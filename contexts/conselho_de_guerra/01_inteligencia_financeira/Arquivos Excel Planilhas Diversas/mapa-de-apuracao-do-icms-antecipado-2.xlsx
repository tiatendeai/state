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480" yWindow="405" windowWidth="19320" windowHeight="7710"/>
  </bookViews>
  <sheets>
    <sheet name="01.2018" sheetId="1" r:id="rId1"/>
  </sheets>
  <definedNames>
    <definedName name="fixa" localSheetId="0">'01.2018'!$AM$18:$AQ$33</definedName>
    <definedName name="_xlnm.Print_Titles" localSheetId="0">'01.2018'!$A:$T,'01.2018'!$33:$39</definedName>
  </definedNames>
  <calcPr calcId="145621"/>
</workbook>
</file>

<file path=xl/calcChain.xml><?xml version="1.0" encoding="utf-8"?>
<calcChain xmlns="http://schemas.openxmlformats.org/spreadsheetml/2006/main">
  <c r="CO299" i="1" l="1"/>
  <c r="CN299" i="1"/>
  <c r="CL299" i="1"/>
  <c r="CM299" i="1" s="1"/>
  <c r="CF299" i="1"/>
  <c r="CE299" i="1"/>
  <c r="CC299" i="1"/>
  <c r="CD299" i="1" s="1"/>
  <c r="CB299" i="1"/>
  <c r="CA299" i="1"/>
  <c r="BY299" i="1"/>
  <c r="BZ299" i="1" s="1"/>
  <c r="BU299" i="1"/>
  <c r="BV299" i="1" s="1"/>
  <c r="BT299" i="1"/>
  <c r="BS299" i="1"/>
  <c r="BQ299" i="1"/>
  <c r="BR299" i="1" s="1"/>
  <c r="BP299" i="1"/>
  <c r="BO299" i="1"/>
  <c r="BM299" i="1"/>
  <c r="BN299" i="1" s="1"/>
  <c r="BJ299" i="1"/>
  <c r="BK299" i="1" s="1"/>
  <c r="BH299" i="1"/>
  <c r="BG299" i="1"/>
  <c r="BE299" i="1"/>
  <c r="BF299" i="1" s="1"/>
  <c r="BD299" i="1"/>
  <c r="BC299" i="1"/>
  <c r="BA299" i="1"/>
  <c r="BB299" i="1" s="1"/>
  <c r="AZ299" i="1"/>
  <c r="AW299" i="1"/>
  <c r="AX299" i="1" s="1"/>
  <c r="AV299" i="1"/>
  <c r="AS299" i="1"/>
  <c r="AT299" i="1" s="1"/>
  <c r="AR299" i="1"/>
  <c r="AQ299" i="1"/>
  <c r="AO299" i="1"/>
  <c r="AP299" i="1" s="1"/>
  <c r="AM299" i="1"/>
  <c r="AN299" i="1" s="1"/>
  <c r="AL299" i="1"/>
  <c r="AK299" i="1"/>
  <c r="AI299" i="1"/>
  <c r="AJ299" i="1" s="1"/>
  <c r="T299" i="1"/>
  <c r="K299" i="1"/>
  <c r="CO298" i="1"/>
  <c r="CN298" i="1"/>
  <c r="CL298" i="1"/>
  <c r="CM298" i="1" s="1"/>
  <c r="CF298" i="1"/>
  <c r="CE298" i="1"/>
  <c r="CD298" i="1"/>
  <c r="CC298" i="1"/>
  <c r="CB298" i="1"/>
  <c r="CA298" i="1"/>
  <c r="BZ298" i="1"/>
  <c r="BY298" i="1"/>
  <c r="BV298" i="1"/>
  <c r="BU298" i="1"/>
  <c r="BT298" i="1"/>
  <c r="BS298" i="1"/>
  <c r="BR298" i="1"/>
  <c r="BQ298" i="1"/>
  <c r="BP298" i="1"/>
  <c r="BO298" i="1"/>
  <c r="BN298" i="1"/>
  <c r="BM298" i="1"/>
  <c r="BK298" i="1"/>
  <c r="BJ298" i="1"/>
  <c r="BH298" i="1"/>
  <c r="BG298" i="1"/>
  <c r="BF298" i="1"/>
  <c r="BE298" i="1"/>
  <c r="BD298" i="1"/>
  <c r="BC298" i="1"/>
  <c r="BB298" i="1"/>
  <c r="BA298" i="1"/>
  <c r="AZ298" i="1"/>
  <c r="AW298" i="1"/>
  <c r="AX298" i="1" s="1"/>
  <c r="AV298" i="1"/>
  <c r="AS298" i="1"/>
  <c r="AT298" i="1" s="1"/>
  <c r="AR298" i="1"/>
  <c r="AQ298" i="1"/>
  <c r="AO298" i="1"/>
  <c r="AP298" i="1" s="1"/>
  <c r="AM298" i="1"/>
  <c r="AN298" i="1" s="1"/>
  <c r="AL298" i="1"/>
  <c r="AK298" i="1"/>
  <c r="AI298" i="1"/>
  <c r="AJ298" i="1" s="1"/>
  <c r="CI298" i="1" s="1"/>
  <c r="T298" i="1"/>
  <c r="K298" i="1"/>
  <c r="CO297" i="1"/>
  <c r="CN297" i="1"/>
  <c r="CL297" i="1"/>
  <c r="CM297" i="1" s="1"/>
  <c r="CF297" i="1"/>
  <c r="CE297" i="1"/>
  <c r="CC297" i="1"/>
  <c r="CD297" i="1" s="1"/>
  <c r="CB297" i="1"/>
  <c r="CA297" i="1"/>
  <c r="BY297" i="1"/>
  <c r="BZ297" i="1" s="1"/>
  <c r="BU297" i="1"/>
  <c r="BV297" i="1" s="1"/>
  <c r="BT297" i="1"/>
  <c r="BS297" i="1"/>
  <c r="BQ297" i="1"/>
  <c r="BR297" i="1" s="1"/>
  <c r="BP297" i="1"/>
  <c r="BO297" i="1"/>
  <c r="BM297" i="1"/>
  <c r="BN297" i="1" s="1"/>
  <c r="BJ297" i="1"/>
  <c r="BK297" i="1" s="1"/>
  <c r="BH297" i="1"/>
  <c r="BG297" i="1"/>
  <c r="BE297" i="1"/>
  <c r="BF297" i="1" s="1"/>
  <c r="BD297" i="1"/>
  <c r="BC297" i="1"/>
  <c r="BA297" i="1"/>
  <c r="BB297" i="1" s="1"/>
  <c r="AZ297" i="1"/>
  <c r="AW297" i="1"/>
  <c r="AX297" i="1" s="1"/>
  <c r="AV297" i="1"/>
  <c r="AS297" i="1"/>
  <c r="AT297" i="1" s="1"/>
  <c r="AR297" i="1"/>
  <c r="AQ297" i="1"/>
  <c r="AO297" i="1"/>
  <c r="AP297" i="1" s="1"/>
  <c r="AM297" i="1"/>
  <c r="AN297" i="1" s="1"/>
  <c r="AL297" i="1"/>
  <c r="AK297" i="1"/>
  <c r="AI297" i="1"/>
  <c r="AJ297" i="1" s="1"/>
  <c r="T297" i="1"/>
  <c r="K297" i="1"/>
  <c r="CO296" i="1"/>
  <c r="CN296" i="1"/>
  <c r="CL296" i="1"/>
  <c r="CM296" i="1" s="1"/>
  <c r="CF296" i="1"/>
  <c r="CE296" i="1"/>
  <c r="CC296" i="1"/>
  <c r="CD296" i="1" s="1"/>
  <c r="CB296" i="1"/>
  <c r="CA296" i="1"/>
  <c r="BY296" i="1"/>
  <c r="BZ296" i="1" s="1"/>
  <c r="BU296" i="1"/>
  <c r="BV296" i="1" s="1"/>
  <c r="BT296" i="1"/>
  <c r="BS296" i="1"/>
  <c r="BQ296" i="1"/>
  <c r="BR296" i="1" s="1"/>
  <c r="BP296" i="1"/>
  <c r="BO296" i="1"/>
  <c r="BM296" i="1"/>
  <c r="BN296" i="1" s="1"/>
  <c r="BJ296" i="1"/>
  <c r="BK296" i="1" s="1"/>
  <c r="BH296" i="1"/>
  <c r="BG296" i="1"/>
  <c r="BE296" i="1"/>
  <c r="BF296" i="1" s="1"/>
  <c r="BD296" i="1"/>
  <c r="BC296" i="1"/>
  <c r="BA296" i="1"/>
  <c r="BB296" i="1" s="1"/>
  <c r="AZ296" i="1"/>
  <c r="AW296" i="1"/>
  <c r="AX296" i="1" s="1"/>
  <c r="AV296" i="1"/>
  <c r="AS296" i="1"/>
  <c r="AT296" i="1" s="1"/>
  <c r="AR296" i="1"/>
  <c r="AQ296" i="1"/>
  <c r="AO296" i="1"/>
  <c r="AP296" i="1" s="1"/>
  <c r="AM296" i="1"/>
  <c r="AN296" i="1" s="1"/>
  <c r="AL296" i="1"/>
  <c r="AK296" i="1"/>
  <c r="AI296" i="1"/>
  <c r="AJ296" i="1" s="1"/>
  <c r="T296" i="1"/>
  <c r="K296" i="1"/>
  <c r="CO295" i="1"/>
  <c r="CN295" i="1"/>
  <c r="CL295" i="1"/>
  <c r="CM295" i="1" s="1"/>
  <c r="CF295" i="1"/>
  <c r="CE295" i="1"/>
  <c r="CC295" i="1"/>
  <c r="CD295" i="1" s="1"/>
  <c r="CB295" i="1"/>
  <c r="CA295" i="1"/>
  <c r="BY295" i="1"/>
  <c r="BZ295" i="1" s="1"/>
  <c r="BU295" i="1"/>
  <c r="BV295" i="1" s="1"/>
  <c r="BT295" i="1"/>
  <c r="BS295" i="1"/>
  <c r="BQ295" i="1"/>
  <c r="BR295" i="1" s="1"/>
  <c r="BP295" i="1"/>
  <c r="BO295" i="1"/>
  <c r="BM295" i="1"/>
  <c r="BN295" i="1" s="1"/>
  <c r="BJ295" i="1"/>
  <c r="BK295" i="1" s="1"/>
  <c r="BH295" i="1"/>
  <c r="BG295" i="1"/>
  <c r="BE295" i="1"/>
  <c r="BF295" i="1" s="1"/>
  <c r="BD295" i="1"/>
  <c r="BC295" i="1"/>
  <c r="BA295" i="1"/>
  <c r="BB295" i="1" s="1"/>
  <c r="AZ295" i="1"/>
  <c r="AW295" i="1"/>
  <c r="AX295" i="1" s="1"/>
  <c r="AV295" i="1"/>
  <c r="AS295" i="1"/>
  <c r="AT295" i="1" s="1"/>
  <c r="AR295" i="1"/>
  <c r="AQ295" i="1"/>
  <c r="AO295" i="1"/>
  <c r="AP295" i="1" s="1"/>
  <c r="AM295" i="1"/>
  <c r="AN295" i="1" s="1"/>
  <c r="AL295" i="1"/>
  <c r="AK295" i="1"/>
  <c r="AI295" i="1"/>
  <c r="AJ295" i="1" s="1"/>
  <c r="T295" i="1"/>
  <c r="K295" i="1"/>
  <c r="CO294" i="1"/>
  <c r="CN294" i="1"/>
  <c r="CL294" i="1"/>
  <c r="CM294" i="1" s="1"/>
  <c r="CF294" i="1"/>
  <c r="CE294" i="1"/>
  <c r="CC294" i="1"/>
  <c r="CD294" i="1" s="1"/>
  <c r="CB294" i="1"/>
  <c r="CA294" i="1"/>
  <c r="BY294" i="1"/>
  <c r="BZ294" i="1" s="1"/>
  <c r="BU294" i="1"/>
  <c r="BV294" i="1" s="1"/>
  <c r="BT294" i="1"/>
  <c r="BS294" i="1"/>
  <c r="BQ294" i="1"/>
  <c r="BR294" i="1" s="1"/>
  <c r="BP294" i="1"/>
  <c r="BO294" i="1"/>
  <c r="BM294" i="1"/>
  <c r="BN294" i="1" s="1"/>
  <c r="BJ294" i="1"/>
  <c r="BK294" i="1" s="1"/>
  <c r="BH294" i="1"/>
  <c r="BG294" i="1"/>
  <c r="BE294" i="1"/>
  <c r="BF294" i="1" s="1"/>
  <c r="BD294" i="1"/>
  <c r="BC294" i="1"/>
  <c r="BA294" i="1"/>
  <c r="BB294" i="1" s="1"/>
  <c r="AZ294" i="1"/>
  <c r="AW294" i="1"/>
  <c r="AX294" i="1" s="1"/>
  <c r="AV294" i="1"/>
  <c r="AS294" i="1"/>
  <c r="AT294" i="1" s="1"/>
  <c r="AR294" i="1"/>
  <c r="AQ294" i="1"/>
  <c r="AO294" i="1"/>
  <c r="AP294" i="1" s="1"/>
  <c r="AM294" i="1"/>
  <c r="AN294" i="1" s="1"/>
  <c r="AL294" i="1"/>
  <c r="AK294" i="1"/>
  <c r="AI294" i="1"/>
  <c r="AJ294" i="1" s="1"/>
  <c r="T294" i="1"/>
  <c r="K294" i="1"/>
  <c r="CO293" i="1"/>
  <c r="CN293" i="1"/>
  <c r="CL293" i="1"/>
  <c r="CM293" i="1" s="1"/>
  <c r="CF293" i="1"/>
  <c r="CE293" i="1"/>
  <c r="CC293" i="1"/>
  <c r="CD293" i="1" s="1"/>
  <c r="CB293" i="1"/>
  <c r="CA293" i="1"/>
  <c r="BY293" i="1"/>
  <c r="BZ293" i="1" s="1"/>
  <c r="BU293" i="1"/>
  <c r="BV293" i="1" s="1"/>
  <c r="BT293" i="1"/>
  <c r="BS293" i="1"/>
  <c r="BQ293" i="1"/>
  <c r="BR293" i="1" s="1"/>
  <c r="BP293" i="1"/>
  <c r="BO293" i="1"/>
  <c r="BM293" i="1"/>
  <c r="BN293" i="1" s="1"/>
  <c r="BJ293" i="1"/>
  <c r="BK293" i="1" s="1"/>
  <c r="BH293" i="1"/>
  <c r="BG293" i="1"/>
  <c r="BE293" i="1"/>
  <c r="BF293" i="1" s="1"/>
  <c r="BD293" i="1"/>
  <c r="BC293" i="1"/>
  <c r="BA293" i="1"/>
  <c r="BB293" i="1" s="1"/>
  <c r="AZ293" i="1"/>
  <c r="AX293" i="1"/>
  <c r="AW293" i="1"/>
  <c r="AV293" i="1"/>
  <c r="AS293" i="1"/>
  <c r="AT293" i="1" s="1"/>
  <c r="AR293" i="1"/>
  <c r="AQ293" i="1"/>
  <c r="AO293" i="1"/>
  <c r="AP293" i="1" s="1"/>
  <c r="AM293" i="1"/>
  <c r="AN293" i="1" s="1"/>
  <c r="AL293" i="1"/>
  <c r="AK293" i="1"/>
  <c r="AI293" i="1"/>
  <c r="AJ293" i="1" s="1"/>
  <c r="T293" i="1"/>
  <c r="K293" i="1"/>
  <c r="CO292" i="1"/>
  <c r="CN292" i="1"/>
  <c r="CL292" i="1"/>
  <c r="CM292" i="1" s="1"/>
  <c r="CF292" i="1"/>
  <c r="CE292" i="1"/>
  <c r="CD292" i="1"/>
  <c r="CC292" i="1"/>
  <c r="CB292" i="1"/>
  <c r="CA292" i="1"/>
  <c r="BZ292" i="1"/>
  <c r="BY292" i="1"/>
  <c r="BV292" i="1"/>
  <c r="BU292" i="1"/>
  <c r="BT292" i="1"/>
  <c r="BS292" i="1"/>
  <c r="BR292" i="1"/>
  <c r="BQ292" i="1"/>
  <c r="BP292" i="1"/>
  <c r="BO292" i="1"/>
  <c r="BN292" i="1"/>
  <c r="BM292" i="1"/>
  <c r="BK292" i="1"/>
  <c r="BJ292" i="1"/>
  <c r="BH292" i="1"/>
  <c r="BG292" i="1"/>
  <c r="BF292" i="1"/>
  <c r="BE292" i="1"/>
  <c r="BD292" i="1"/>
  <c r="BC292" i="1"/>
  <c r="BB292" i="1"/>
  <c r="BA292" i="1"/>
  <c r="AZ292" i="1"/>
  <c r="AW292" i="1"/>
  <c r="AX292" i="1" s="1"/>
  <c r="AV292" i="1"/>
  <c r="AS292" i="1"/>
  <c r="AT292" i="1" s="1"/>
  <c r="AR292" i="1"/>
  <c r="AQ292" i="1"/>
  <c r="AO292" i="1"/>
  <c r="AP292" i="1" s="1"/>
  <c r="AM292" i="1"/>
  <c r="AN292" i="1" s="1"/>
  <c r="AL292" i="1"/>
  <c r="AK292" i="1"/>
  <c r="AI292" i="1"/>
  <c r="CH292" i="1" s="1"/>
  <c r="P292" i="1" s="1"/>
  <c r="T292" i="1"/>
  <c r="K292" i="1"/>
  <c r="CO291" i="1"/>
  <c r="CN291" i="1"/>
  <c r="CM291" i="1"/>
  <c r="CL291" i="1"/>
  <c r="CF291" i="1"/>
  <c r="CE291" i="1"/>
  <c r="CC291" i="1"/>
  <c r="CD291" i="1" s="1"/>
  <c r="CB291" i="1"/>
  <c r="CA291" i="1"/>
  <c r="BY291" i="1"/>
  <c r="BZ291" i="1" s="1"/>
  <c r="BU291" i="1"/>
  <c r="BV291" i="1" s="1"/>
  <c r="BT291" i="1"/>
  <c r="BS291" i="1"/>
  <c r="BQ291" i="1"/>
  <c r="BR291" i="1" s="1"/>
  <c r="BP291" i="1"/>
  <c r="BO291" i="1"/>
  <c r="BM291" i="1"/>
  <c r="BN291" i="1" s="1"/>
  <c r="BJ291" i="1"/>
  <c r="BK291" i="1" s="1"/>
  <c r="BH291" i="1"/>
  <c r="BG291" i="1"/>
  <c r="BE291" i="1"/>
  <c r="BF291" i="1" s="1"/>
  <c r="BD291" i="1"/>
  <c r="BC291" i="1"/>
  <c r="BA291" i="1"/>
  <c r="BB291" i="1" s="1"/>
  <c r="AZ291" i="1"/>
  <c r="AW291" i="1"/>
  <c r="AX291" i="1" s="1"/>
  <c r="AV291" i="1"/>
  <c r="AS291" i="1"/>
  <c r="AT291" i="1" s="1"/>
  <c r="AR291" i="1"/>
  <c r="AQ291" i="1"/>
  <c r="AO291" i="1"/>
  <c r="AP291" i="1" s="1"/>
  <c r="AM291" i="1"/>
  <c r="AN291" i="1" s="1"/>
  <c r="AL291" i="1"/>
  <c r="AK291" i="1"/>
  <c r="AI291" i="1"/>
  <c r="AJ291" i="1" s="1"/>
  <c r="T291" i="1"/>
  <c r="K291" i="1"/>
  <c r="CO290" i="1"/>
  <c r="CN290" i="1"/>
  <c r="CL290" i="1"/>
  <c r="CM290" i="1" s="1"/>
  <c r="CF290" i="1"/>
  <c r="CE290" i="1"/>
  <c r="CC290" i="1"/>
  <c r="CD290" i="1" s="1"/>
  <c r="CB290" i="1"/>
  <c r="CA290" i="1"/>
  <c r="BY290" i="1"/>
  <c r="BZ290" i="1" s="1"/>
  <c r="BU290" i="1"/>
  <c r="BV290" i="1" s="1"/>
  <c r="BT290" i="1"/>
  <c r="BS290" i="1"/>
  <c r="BQ290" i="1"/>
  <c r="BR290" i="1" s="1"/>
  <c r="BP290" i="1"/>
  <c r="BO290" i="1"/>
  <c r="BM290" i="1"/>
  <c r="BN290" i="1" s="1"/>
  <c r="BJ290" i="1"/>
  <c r="BK290" i="1" s="1"/>
  <c r="BH290" i="1"/>
  <c r="BG290" i="1"/>
  <c r="BE290" i="1"/>
  <c r="BF290" i="1" s="1"/>
  <c r="BD290" i="1"/>
  <c r="BC290" i="1"/>
  <c r="BA290" i="1"/>
  <c r="BB290" i="1" s="1"/>
  <c r="AZ290" i="1"/>
  <c r="AW290" i="1"/>
  <c r="AX290" i="1" s="1"/>
  <c r="AV290" i="1"/>
  <c r="AS290" i="1"/>
  <c r="AT290" i="1" s="1"/>
  <c r="AR290" i="1"/>
  <c r="AQ290" i="1"/>
  <c r="AO290" i="1"/>
  <c r="AP290" i="1" s="1"/>
  <c r="AM290" i="1"/>
  <c r="AN290" i="1" s="1"/>
  <c r="AL290" i="1"/>
  <c r="AK290" i="1"/>
  <c r="AI290" i="1"/>
  <c r="AJ290" i="1" s="1"/>
  <c r="T290" i="1"/>
  <c r="K290" i="1"/>
  <c r="CO289" i="1"/>
  <c r="CN289" i="1"/>
  <c r="CL289" i="1"/>
  <c r="CM289" i="1" s="1"/>
  <c r="CF289" i="1"/>
  <c r="CE289" i="1"/>
  <c r="CC289" i="1"/>
  <c r="CD289" i="1" s="1"/>
  <c r="CB289" i="1"/>
  <c r="CA289" i="1"/>
  <c r="BY289" i="1"/>
  <c r="BZ289" i="1" s="1"/>
  <c r="BU289" i="1"/>
  <c r="BV289" i="1" s="1"/>
  <c r="BT289" i="1"/>
  <c r="BS289" i="1"/>
  <c r="BQ289" i="1"/>
  <c r="BR289" i="1" s="1"/>
  <c r="BP289" i="1"/>
  <c r="BO289" i="1"/>
  <c r="BM289" i="1"/>
  <c r="BN289" i="1" s="1"/>
  <c r="BJ289" i="1"/>
  <c r="BK289" i="1" s="1"/>
  <c r="BH289" i="1"/>
  <c r="BG289" i="1"/>
  <c r="CJ289" i="1" s="1"/>
  <c r="R289" i="1" s="1"/>
  <c r="BE289" i="1"/>
  <c r="BF289" i="1" s="1"/>
  <c r="BD289" i="1"/>
  <c r="BC289" i="1"/>
  <c r="BA289" i="1"/>
  <c r="BB289" i="1" s="1"/>
  <c r="AZ289" i="1"/>
  <c r="AX289" i="1"/>
  <c r="AW289" i="1"/>
  <c r="AV289" i="1"/>
  <c r="AS289" i="1"/>
  <c r="AT289" i="1" s="1"/>
  <c r="AR289" i="1"/>
  <c r="AQ289" i="1"/>
  <c r="AO289" i="1"/>
  <c r="AP289" i="1" s="1"/>
  <c r="AM289" i="1"/>
  <c r="AN289" i="1" s="1"/>
  <c r="AL289" i="1"/>
  <c r="AK289" i="1"/>
  <c r="AI289" i="1"/>
  <c r="AJ289" i="1" s="1"/>
  <c r="T289" i="1"/>
  <c r="K289" i="1"/>
  <c r="CO288" i="1"/>
  <c r="CN288" i="1"/>
  <c r="CL288" i="1"/>
  <c r="CM288" i="1" s="1"/>
  <c r="CF288" i="1"/>
  <c r="CE288" i="1"/>
  <c r="CD288" i="1"/>
  <c r="CC288" i="1"/>
  <c r="CB288" i="1"/>
  <c r="CA288" i="1"/>
  <c r="BZ288" i="1"/>
  <c r="BY288" i="1"/>
  <c r="BV288" i="1"/>
  <c r="BU288" i="1"/>
  <c r="BT288" i="1"/>
  <c r="BS288" i="1"/>
  <c r="BR288" i="1"/>
  <c r="BQ288" i="1"/>
  <c r="BP288" i="1"/>
  <c r="BO288" i="1"/>
  <c r="BN288" i="1"/>
  <c r="BM288" i="1"/>
  <c r="BK288" i="1"/>
  <c r="BJ288" i="1"/>
  <c r="BH288" i="1"/>
  <c r="BG288" i="1"/>
  <c r="BF288" i="1"/>
  <c r="BE288" i="1"/>
  <c r="BD288" i="1"/>
  <c r="BC288" i="1"/>
  <c r="BB288" i="1"/>
  <c r="BA288" i="1"/>
  <c r="AZ288" i="1"/>
  <c r="AW288" i="1"/>
  <c r="AX288" i="1" s="1"/>
  <c r="AV288" i="1"/>
  <c r="AS288" i="1"/>
  <c r="AT288" i="1" s="1"/>
  <c r="AR288" i="1"/>
  <c r="AQ288" i="1"/>
  <c r="AO288" i="1"/>
  <c r="AP288" i="1" s="1"/>
  <c r="AM288" i="1"/>
  <c r="AN288" i="1" s="1"/>
  <c r="AL288" i="1"/>
  <c r="AK288" i="1"/>
  <c r="AI288" i="1"/>
  <c r="AJ288" i="1" s="1"/>
  <c r="CI288" i="1" s="1"/>
  <c r="T288" i="1"/>
  <c r="K288" i="1"/>
  <c r="CO287" i="1"/>
  <c r="CN287" i="1"/>
  <c r="CM287" i="1"/>
  <c r="CL287" i="1"/>
  <c r="CF287" i="1"/>
  <c r="CE287" i="1"/>
  <c r="CC287" i="1"/>
  <c r="CD287" i="1" s="1"/>
  <c r="CB287" i="1"/>
  <c r="CA287" i="1"/>
  <c r="BY287" i="1"/>
  <c r="BZ287" i="1" s="1"/>
  <c r="BU287" i="1"/>
  <c r="BV287" i="1" s="1"/>
  <c r="BT287" i="1"/>
  <c r="BS287" i="1"/>
  <c r="BQ287" i="1"/>
  <c r="BR287" i="1" s="1"/>
  <c r="BP287" i="1"/>
  <c r="BO287" i="1"/>
  <c r="BM287" i="1"/>
  <c r="BN287" i="1" s="1"/>
  <c r="BJ287" i="1"/>
  <c r="BK287" i="1" s="1"/>
  <c r="BH287" i="1"/>
  <c r="BG287" i="1"/>
  <c r="BE287" i="1"/>
  <c r="BF287" i="1" s="1"/>
  <c r="BD287" i="1"/>
  <c r="BC287" i="1"/>
  <c r="BA287" i="1"/>
  <c r="BB287" i="1" s="1"/>
  <c r="AZ287" i="1"/>
  <c r="AW287" i="1"/>
  <c r="AX287" i="1" s="1"/>
  <c r="AV287" i="1"/>
  <c r="AS287" i="1"/>
  <c r="AT287" i="1" s="1"/>
  <c r="AR287" i="1"/>
  <c r="AQ287" i="1"/>
  <c r="AO287" i="1"/>
  <c r="AP287" i="1" s="1"/>
  <c r="AM287" i="1"/>
  <c r="AN287" i="1" s="1"/>
  <c r="AL287" i="1"/>
  <c r="AK287" i="1"/>
  <c r="AI287" i="1"/>
  <c r="AJ287" i="1" s="1"/>
  <c r="T287" i="1"/>
  <c r="K287" i="1"/>
  <c r="CO286" i="1"/>
  <c r="CN286" i="1"/>
  <c r="CL286" i="1"/>
  <c r="CM286" i="1" s="1"/>
  <c r="CF286" i="1"/>
  <c r="CE286" i="1"/>
  <c r="CC286" i="1"/>
  <c r="CD286" i="1" s="1"/>
  <c r="CB286" i="1"/>
  <c r="CA286" i="1"/>
  <c r="BY286" i="1"/>
  <c r="BZ286" i="1" s="1"/>
  <c r="BU286" i="1"/>
  <c r="BV286" i="1" s="1"/>
  <c r="BT286" i="1"/>
  <c r="BS286" i="1"/>
  <c r="BQ286" i="1"/>
  <c r="BR286" i="1" s="1"/>
  <c r="BP286" i="1"/>
  <c r="BO286" i="1"/>
  <c r="BM286" i="1"/>
  <c r="BN286" i="1" s="1"/>
  <c r="BJ286" i="1"/>
  <c r="BK286" i="1" s="1"/>
  <c r="BH286" i="1"/>
  <c r="BG286" i="1"/>
  <c r="BE286" i="1"/>
  <c r="BF286" i="1" s="1"/>
  <c r="BD286" i="1"/>
  <c r="BC286" i="1"/>
  <c r="BA286" i="1"/>
  <c r="BB286" i="1" s="1"/>
  <c r="AZ286" i="1"/>
  <c r="AW286" i="1"/>
  <c r="AX286" i="1" s="1"/>
  <c r="AV286" i="1"/>
  <c r="AS286" i="1"/>
  <c r="AT286" i="1" s="1"/>
  <c r="AR286" i="1"/>
  <c r="AQ286" i="1"/>
  <c r="AO286" i="1"/>
  <c r="AP286" i="1" s="1"/>
  <c r="AM286" i="1"/>
  <c r="AN286" i="1" s="1"/>
  <c r="AL286" i="1"/>
  <c r="AK286" i="1"/>
  <c r="AI286" i="1"/>
  <c r="AJ286" i="1" s="1"/>
  <c r="T286" i="1"/>
  <c r="K286" i="1"/>
  <c r="CO285" i="1"/>
  <c r="CN285" i="1"/>
  <c r="CL285" i="1"/>
  <c r="CM285" i="1" s="1"/>
  <c r="CF285" i="1"/>
  <c r="CE285" i="1"/>
  <c r="CC285" i="1"/>
  <c r="CD285" i="1" s="1"/>
  <c r="CB285" i="1"/>
  <c r="CA285" i="1"/>
  <c r="BY285" i="1"/>
  <c r="BZ285" i="1" s="1"/>
  <c r="BU285" i="1"/>
  <c r="BV285" i="1" s="1"/>
  <c r="BT285" i="1"/>
  <c r="BS285" i="1"/>
  <c r="BQ285" i="1"/>
  <c r="BR285" i="1" s="1"/>
  <c r="BP285" i="1"/>
  <c r="BO285" i="1"/>
  <c r="BM285" i="1"/>
  <c r="BN285" i="1" s="1"/>
  <c r="BJ285" i="1"/>
  <c r="BK285" i="1" s="1"/>
  <c r="BH285" i="1"/>
  <c r="BG285" i="1"/>
  <c r="BE285" i="1"/>
  <c r="BF285" i="1" s="1"/>
  <c r="BD285" i="1"/>
  <c r="BC285" i="1"/>
  <c r="BA285" i="1"/>
  <c r="BB285" i="1" s="1"/>
  <c r="AZ285" i="1"/>
  <c r="AW285" i="1"/>
  <c r="AX285" i="1" s="1"/>
  <c r="AV285" i="1"/>
  <c r="AS285" i="1"/>
  <c r="AT285" i="1" s="1"/>
  <c r="AR285" i="1"/>
  <c r="AQ285" i="1"/>
  <c r="AO285" i="1"/>
  <c r="AP285" i="1" s="1"/>
  <c r="AM285" i="1"/>
  <c r="AN285" i="1" s="1"/>
  <c r="AL285" i="1"/>
  <c r="AK285" i="1"/>
  <c r="CJ285" i="1" s="1"/>
  <c r="R285" i="1" s="1"/>
  <c r="AI285" i="1"/>
  <c r="AJ285" i="1" s="1"/>
  <c r="T285" i="1"/>
  <c r="K285" i="1"/>
  <c r="CO284" i="1"/>
  <c r="CN284" i="1"/>
  <c r="CL284" i="1"/>
  <c r="CM284" i="1" s="1"/>
  <c r="CF284" i="1"/>
  <c r="CE284" i="1"/>
  <c r="CC284" i="1"/>
  <c r="CD284" i="1" s="1"/>
  <c r="CB284" i="1"/>
  <c r="CA284" i="1"/>
  <c r="BY284" i="1"/>
  <c r="BZ284" i="1" s="1"/>
  <c r="BU284" i="1"/>
  <c r="BV284" i="1" s="1"/>
  <c r="BT284" i="1"/>
  <c r="BS284" i="1"/>
  <c r="BQ284" i="1"/>
  <c r="BR284" i="1" s="1"/>
  <c r="BP284" i="1"/>
  <c r="BO284" i="1"/>
  <c r="BM284" i="1"/>
  <c r="BN284" i="1" s="1"/>
  <c r="BJ284" i="1"/>
  <c r="BK284" i="1" s="1"/>
  <c r="BH284" i="1"/>
  <c r="BG284" i="1"/>
  <c r="BE284" i="1"/>
  <c r="BF284" i="1" s="1"/>
  <c r="BD284" i="1"/>
  <c r="BC284" i="1"/>
  <c r="BA284" i="1"/>
  <c r="BB284" i="1" s="1"/>
  <c r="AZ284" i="1"/>
  <c r="AW284" i="1"/>
  <c r="AX284" i="1" s="1"/>
  <c r="AV284" i="1"/>
  <c r="AT284" i="1"/>
  <c r="AS284" i="1"/>
  <c r="AR284" i="1"/>
  <c r="AQ284" i="1"/>
  <c r="AP284" i="1"/>
  <c r="AO284" i="1"/>
  <c r="AN284" i="1"/>
  <c r="AM284" i="1"/>
  <c r="AL284" i="1"/>
  <c r="AK284" i="1"/>
  <c r="AJ284" i="1"/>
  <c r="AI284" i="1"/>
  <c r="T284" i="1"/>
  <c r="K284" i="1"/>
  <c r="CO283" i="1"/>
  <c r="CN283" i="1"/>
  <c r="CL283" i="1"/>
  <c r="CM283" i="1" s="1"/>
  <c r="CF283" i="1"/>
  <c r="CE283" i="1"/>
  <c r="CC283" i="1"/>
  <c r="CD283" i="1" s="1"/>
  <c r="CB283" i="1"/>
  <c r="CA283" i="1"/>
  <c r="BY283" i="1"/>
  <c r="BZ283" i="1" s="1"/>
  <c r="BU283" i="1"/>
  <c r="BV283" i="1" s="1"/>
  <c r="BT283" i="1"/>
  <c r="BS283" i="1"/>
  <c r="BQ283" i="1"/>
  <c r="BR283" i="1" s="1"/>
  <c r="BP283" i="1"/>
  <c r="BO283" i="1"/>
  <c r="BM283" i="1"/>
  <c r="BN283" i="1" s="1"/>
  <c r="BJ283" i="1"/>
  <c r="BK283" i="1" s="1"/>
  <c r="BH283" i="1"/>
  <c r="BG283" i="1"/>
  <c r="BE283" i="1"/>
  <c r="BF283" i="1" s="1"/>
  <c r="BD283" i="1"/>
  <c r="BC283" i="1"/>
  <c r="BA283" i="1"/>
  <c r="BB283" i="1" s="1"/>
  <c r="AZ283" i="1"/>
  <c r="AX283" i="1"/>
  <c r="AW283" i="1"/>
  <c r="AV283" i="1"/>
  <c r="AS283" i="1"/>
  <c r="AT283" i="1" s="1"/>
  <c r="AR283" i="1"/>
  <c r="AQ283" i="1"/>
  <c r="AO283" i="1"/>
  <c r="AP283" i="1" s="1"/>
  <c r="AM283" i="1"/>
  <c r="AN283" i="1" s="1"/>
  <c r="AL283" i="1"/>
  <c r="AK283" i="1"/>
  <c r="AI283" i="1"/>
  <c r="AJ283" i="1" s="1"/>
  <c r="T283" i="1"/>
  <c r="K283" i="1"/>
  <c r="CO282" i="1"/>
  <c r="CN282" i="1"/>
  <c r="CL282" i="1"/>
  <c r="CM282" i="1" s="1"/>
  <c r="CF282" i="1"/>
  <c r="CE282" i="1"/>
  <c r="CD282" i="1"/>
  <c r="CC282" i="1"/>
  <c r="CB282" i="1"/>
  <c r="CA282" i="1"/>
  <c r="BZ282" i="1"/>
  <c r="BY282" i="1"/>
  <c r="BV282" i="1"/>
  <c r="BU282" i="1"/>
  <c r="BT282" i="1"/>
  <c r="BS282" i="1"/>
  <c r="BR282" i="1"/>
  <c r="BQ282" i="1"/>
  <c r="BP282" i="1"/>
  <c r="BO282" i="1"/>
  <c r="BN282" i="1"/>
  <c r="BM282" i="1"/>
  <c r="BK282" i="1"/>
  <c r="BJ282" i="1"/>
  <c r="BH282" i="1"/>
  <c r="BG282" i="1"/>
  <c r="BF282" i="1"/>
  <c r="BE282" i="1"/>
  <c r="BD282" i="1"/>
  <c r="BC282" i="1"/>
  <c r="BB282" i="1"/>
  <c r="BA282" i="1"/>
  <c r="AZ282" i="1"/>
  <c r="AW282" i="1"/>
  <c r="AX282" i="1" s="1"/>
  <c r="AV282" i="1"/>
  <c r="AS282" i="1"/>
  <c r="AT282" i="1" s="1"/>
  <c r="AR282" i="1"/>
  <c r="AQ282" i="1"/>
  <c r="AO282" i="1"/>
  <c r="AP282" i="1" s="1"/>
  <c r="AM282" i="1"/>
  <c r="AN282" i="1" s="1"/>
  <c r="AL282" i="1"/>
  <c r="AK282" i="1"/>
  <c r="AI282" i="1"/>
  <c r="AJ282" i="1" s="1"/>
  <c r="CI282" i="1" s="1"/>
  <c r="T282" i="1"/>
  <c r="K282" i="1"/>
  <c r="CO281" i="1"/>
  <c r="CN281" i="1"/>
  <c r="CL281" i="1"/>
  <c r="CM281" i="1" s="1"/>
  <c r="CF281" i="1"/>
  <c r="CE281" i="1"/>
  <c r="CC281" i="1"/>
  <c r="CD281" i="1" s="1"/>
  <c r="CB281" i="1"/>
  <c r="CA281" i="1"/>
  <c r="BY281" i="1"/>
  <c r="BZ281" i="1" s="1"/>
  <c r="BU281" i="1"/>
  <c r="BV281" i="1" s="1"/>
  <c r="BT281" i="1"/>
  <c r="BS281" i="1"/>
  <c r="BQ281" i="1"/>
  <c r="BR281" i="1" s="1"/>
  <c r="BP281" i="1"/>
  <c r="BO281" i="1"/>
  <c r="BM281" i="1"/>
  <c r="BN281" i="1" s="1"/>
  <c r="BJ281" i="1"/>
  <c r="BK281" i="1" s="1"/>
  <c r="BH281" i="1"/>
  <c r="BG281" i="1"/>
  <c r="BE281" i="1"/>
  <c r="BF281" i="1" s="1"/>
  <c r="BD281" i="1"/>
  <c r="BC281" i="1"/>
  <c r="BA281" i="1"/>
  <c r="BB281" i="1" s="1"/>
  <c r="AZ281" i="1"/>
  <c r="AW281" i="1"/>
  <c r="AX281" i="1" s="1"/>
  <c r="AV281" i="1"/>
  <c r="AS281" i="1"/>
  <c r="AT281" i="1" s="1"/>
  <c r="AR281" i="1"/>
  <c r="AQ281" i="1"/>
  <c r="AO281" i="1"/>
  <c r="AP281" i="1" s="1"/>
  <c r="AM281" i="1"/>
  <c r="AN281" i="1" s="1"/>
  <c r="AL281" i="1"/>
  <c r="AK281" i="1"/>
  <c r="AI281" i="1"/>
  <c r="AJ281" i="1" s="1"/>
  <c r="T281" i="1"/>
  <c r="K281" i="1"/>
  <c r="CO280" i="1"/>
  <c r="CN280" i="1"/>
  <c r="CL280" i="1"/>
  <c r="CM280" i="1" s="1"/>
  <c r="CF280" i="1"/>
  <c r="CE280" i="1"/>
  <c r="CC280" i="1"/>
  <c r="CD280" i="1" s="1"/>
  <c r="CB280" i="1"/>
  <c r="CA280" i="1"/>
  <c r="BY280" i="1"/>
  <c r="BZ280" i="1" s="1"/>
  <c r="BU280" i="1"/>
  <c r="BV280" i="1" s="1"/>
  <c r="BT280" i="1"/>
  <c r="BS280" i="1"/>
  <c r="BQ280" i="1"/>
  <c r="BR280" i="1" s="1"/>
  <c r="BP280" i="1"/>
  <c r="BO280" i="1"/>
  <c r="BM280" i="1"/>
  <c r="BN280" i="1" s="1"/>
  <c r="BJ280" i="1"/>
  <c r="BK280" i="1" s="1"/>
  <c r="BH280" i="1"/>
  <c r="BG280" i="1"/>
  <c r="BE280" i="1"/>
  <c r="BF280" i="1" s="1"/>
  <c r="BD280" i="1"/>
  <c r="BC280" i="1"/>
  <c r="BA280" i="1"/>
  <c r="BB280" i="1" s="1"/>
  <c r="AZ280" i="1"/>
  <c r="AW280" i="1"/>
  <c r="AX280" i="1" s="1"/>
  <c r="AV280" i="1"/>
  <c r="AS280" i="1"/>
  <c r="AT280" i="1" s="1"/>
  <c r="AR280" i="1"/>
  <c r="AQ280" i="1"/>
  <c r="AO280" i="1"/>
  <c r="AP280" i="1" s="1"/>
  <c r="AM280" i="1"/>
  <c r="AN280" i="1" s="1"/>
  <c r="AL280" i="1"/>
  <c r="AK280" i="1"/>
  <c r="AI280" i="1"/>
  <c r="AJ280" i="1" s="1"/>
  <c r="T280" i="1"/>
  <c r="K280" i="1"/>
  <c r="CO279" i="1"/>
  <c r="CN279" i="1"/>
  <c r="CL279" i="1"/>
  <c r="CM279" i="1" s="1"/>
  <c r="CF279" i="1"/>
  <c r="CE279" i="1"/>
  <c r="CC279" i="1"/>
  <c r="CD279" i="1" s="1"/>
  <c r="CB279" i="1"/>
  <c r="CA279" i="1"/>
  <c r="BY279" i="1"/>
  <c r="BZ279" i="1" s="1"/>
  <c r="BU279" i="1"/>
  <c r="BV279" i="1" s="1"/>
  <c r="BT279" i="1"/>
  <c r="BS279" i="1"/>
  <c r="BQ279" i="1"/>
  <c r="BR279" i="1" s="1"/>
  <c r="BP279" i="1"/>
  <c r="BO279" i="1"/>
  <c r="BM279" i="1"/>
  <c r="BN279" i="1" s="1"/>
  <c r="BJ279" i="1"/>
  <c r="BK279" i="1" s="1"/>
  <c r="BH279" i="1"/>
  <c r="BG279" i="1"/>
  <c r="BE279" i="1"/>
  <c r="BF279" i="1" s="1"/>
  <c r="BD279" i="1"/>
  <c r="BC279" i="1"/>
  <c r="BA279" i="1"/>
  <c r="BB279" i="1" s="1"/>
  <c r="AZ279" i="1"/>
  <c r="AW279" i="1"/>
  <c r="AX279" i="1" s="1"/>
  <c r="AV279" i="1"/>
  <c r="AS279" i="1"/>
  <c r="AT279" i="1" s="1"/>
  <c r="AR279" i="1"/>
  <c r="AQ279" i="1"/>
  <c r="AO279" i="1"/>
  <c r="AP279" i="1" s="1"/>
  <c r="AM279" i="1"/>
  <c r="AN279" i="1" s="1"/>
  <c r="AL279" i="1"/>
  <c r="AK279" i="1"/>
  <c r="AI279" i="1"/>
  <c r="AJ279" i="1" s="1"/>
  <c r="T279" i="1"/>
  <c r="K279" i="1"/>
  <c r="CO278" i="1"/>
  <c r="CN278" i="1"/>
  <c r="CL278" i="1"/>
  <c r="CM278" i="1" s="1"/>
  <c r="CF278" i="1"/>
  <c r="CE278" i="1"/>
  <c r="CC278" i="1"/>
  <c r="CD278" i="1" s="1"/>
  <c r="CB278" i="1"/>
  <c r="CA278" i="1"/>
  <c r="BY278" i="1"/>
  <c r="BZ278" i="1" s="1"/>
  <c r="BU278" i="1"/>
  <c r="BV278" i="1" s="1"/>
  <c r="BT278" i="1"/>
  <c r="BS278" i="1"/>
  <c r="BQ278" i="1"/>
  <c r="BR278" i="1" s="1"/>
  <c r="BP278" i="1"/>
  <c r="BO278" i="1"/>
  <c r="BM278" i="1"/>
  <c r="BN278" i="1" s="1"/>
  <c r="BJ278" i="1"/>
  <c r="BK278" i="1" s="1"/>
  <c r="BH278" i="1"/>
  <c r="BG278" i="1"/>
  <c r="BE278" i="1"/>
  <c r="BF278" i="1" s="1"/>
  <c r="BD278" i="1"/>
  <c r="BC278" i="1"/>
  <c r="BA278" i="1"/>
  <c r="BB278" i="1" s="1"/>
  <c r="AZ278" i="1"/>
  <c r="AW278" i="1"/>
  <c r="AX278" i="1" s="1"/>
  <c r="AV278" i="1"/>
  <c r="AS278" i="1"/>
  <c r="AT278" i="1" s="1"/>
  <c r="AR278" i="1"/>
  <c r="AQ278" i="1"/>
  <c r="AO278" i="1"/>
  <c r="AP278" i="1" s="1"/>
  <c r="AM278" i="1"/>
  <c r="AN278" i="1" s="1"/>
  <c r="AL278" i="1"/>
  <c r="AK278" i="1"/>
  <c r="AI278" i="1"/>
  <c r="AJ278" i="1" s="1"/>
  <c r="T278" i="1"/>
  <c r="K278" i="1"/>
  <c r="CO277" i="1"/>
  <c r="CN277" i="1"/>
  <c r="CL277" i="1"/>
  <c r="CM277" i="1" s="1"/>
  <c r="CF277" i="1"/>
  <c r="CE277" i="1"/>
  <c r="CC277" i="1"/>
  <c r="CD277" i="1" s="1"/>
  <c r="CB277" i="1"/>
  <c r="CA277" i="1"/>
  <c r="BY277" i="1"/>
  <c r="BZ277" i="1" s="1"/>
  <c r="BU277" i="1"/>
  <c r="BV277" i="1" s="1"/>
  <c r="BT277" i="1"/>
  <c r="BS277" i="1"/>
  <c r="BQ277" i="1"/>
  <c r="BR277" i="1" s="1"/>
  <c r="BP277" i="1"/>
  <c r="BO277" i="1"/>
  <c r="BM277" i="1"/>
  <c r="BN277" i="1" s="1"/>
  <c r="BJ277" i="1"/>
  <c r="BK277" i="1" s="1"/>
  <c r="BH277" i="1"/>
  <c r="BG277" i="1"/>
  <c r="BE277" i="1"/>
  <c r="BF277" i="1" s="1"/>
  <c r="BD277" i="1"/>
  <c r="BC277" i="1"/>
  <c r="BA277" i="1"/>
  <c r="BB277" i="1" s="1"/>
  <c r="AZ277" i="1"/>
  <c r="AX277" i="1"/>
  <c r="AW277" i="1"/>
  <c r="AV277" i="1"/>
  <c r="AS277" i="1"/>
  <c r="AT277" i="1" s="1"/>
  <c r="AR277" i="1"/>
  <c r="AQ277" i="1"/>
  <c r="AO277" i="1"/>
  <c r="AP277" i="1" s="1"/>
  <c r="AM277" i="1"/>
  <c r="AN277" i="1" s="1"/>
  <c r="AL277" i="1"/>
  <c r="AK277" i="1"/>
  <c r="AI277" i="1"/>
  <c r="AJ277" i="1" s="1"/>
  <c r="T277" i="1"/>
  <c r="K277" i="1"/>
  <c r="CO276" i="1"/>
  <c r="CN276" i="1"/>
  <c r="CL276" i="1"/>
  <c r="CM276" i="1" s="1"/>
  <c r="CF276" i="1"/>
  <c r="CE276" i="1"/>
  <c r="CD276" i="1"/>
  <c r="CC276" i="1"/>
  <c r="CB276" i="1"/>
  <c r="CA276" i="1"/>
  <c r="BZ276" i="1"/>
  <c r="BY276" i="1"/>
  <c r="BV276" i="1"/>
  <c r="BU276" i="1"/>
  <c r="BT276" i="1"/>
  <c r="BS276" i="1"/>
  <c r="BR276" i="1"/>
  <c r="BQ276" i="1"/>
  <c r="BP276" i="1"/>
  <c r="BO276" i="1"/>
  <c r="BN276" i="1"/>
  <c r="BM276" i="1"/>
  <c r="BK276" i="1"/>
  <c r="BJ276" i="1"/>
  <c r="BH276" i="1"/>
  <c r="BG276" i="1"/>
  <c r="BF276" i="1"/>
  <c r="BE276" i="1"/>
  <c r="BD276" i="1"/>
  <c r="BC276" i="1"/>
  <c r="BB276" i="1"/>
  <c r="BA276" i="1"/>
  <c r="AZ276" i="1"/>
  <c r="AW276" i="1"/>
  <c r="AX276" i="1" s="1"/>
  <c r="AV276" i="1"/>
  <c r="AS276" i="1"/>
  <c r="AT276" i="1" s="1"/>
  <c r="AR276" i="1"/>
  <c r="AQ276" i="1"/>
  <c r="AO276" i="1"/>
  <c r="AP276" i="1" s="1"/>
  <c r="AM276" i="1"/>
  <c r="AN276" i="1" s="1"/>
  <c r="AL276" i="1"/>
  <c r="AK276" i="1"/>
  <c r="AI276" i="1"/>
  <c r="CH276" i="1" s="1"/>
  <c r="P276" i="1" s="1"/>
  <c r="T276" i="1"/>
  <c r="K276" i="1"/>
  <c r="CO275" i="1"/>
  <c r="CN275" i="1"/>
  <c r="CM275" i="1"/>
  <c r="CL275" i="1"/>
  <c r="CF275" i="1"/>
  <c r="CE275" i="1"/>
  <c r="CC275" i="1"/>
  <c r="CD275" i="1" s="1"/>
  <c r="CB275" i="1"/>
  <c r="CA275" i="1"/>
  <c r="BY275" i="1"/>
  <c r="BZ275" i="1" s="1"/>
  <c r="BU275" i="1"/>
  <c r="BV275" i="1" s="1"/>
  <c r="BT275" i="1"/>
  <c r="BS275" i="1"/>
  <c r="BQ275" i="1"/>
  <c r="BR275" i="1" s="1"/>
  <c r="BP275" i="1"/>
  <c r="BO275" i="1"/>
  <c r="BM275" i="1"/>
  <c r="BN275" i="1" s="1"/>
  <c r="BJ275" i="1"/>
  <c r="BK275" i="1" s="1"/>
  <c r="BH275" i="1"/>
  <c r="BG275" i="1"/>
  <c r="BE275" i="1"/>
  <c r="BF275" i="1" s="1"/>
  <c r="BD275" i="1"/>
  <c r="BC275" i="1"/>
  <c r="BA275" i="1"/>
  <c r="BB275" i="1" s="1"/>
  <c r="AZ275" i="1"/>
  <c r="AW275" i="1"/>
  <c r="AX275" i="1" s="1"/>
  <c r="AV275" i="1"/>
  <c r="AS275" i="1"/>
  <c r="AT275" i="1" s="1"/>
  <c r="AR275" i="1"/>
  <c r="AQ275" i="1"/>
  <c r="AO275" i="1"/>
  <c r="AP275" i="1" s="1"/>
  <c r="AM275" i="1"/>
  <c r="AN275" i="1" s="1"/>
  <c r="AL275" i="1"/>
  <c r="AK275" i="1"/>
  <c r="AI275" i="1"/>
  <c r="AJ275" i="1" s="1"/>
  <c r="T275" i="1"/>
  <c r="K275" i="1"/>
  <c r="CO274" i="1"/>
  <c r="CN274" i="1"/>
  <c r="CL274" i="1"/>
  <c r="CM274" i="1" s="1"/>
  <c r="CF274" i="1"/>
  <c r="CE274" i="1"/>
  <c r="CC274" i="1"/>
  <c r="CD274" i="1" s="1"/>
  <c r="CB274" i="1"/>
  <c r="CA274" i="1"/>
  <c r="BY274" i="1"/>
  <c r="BZ274" i="1" s="1"/>
  <c r="BU274" i="1"/>
  <c r="BV274" i="1" s="1"/>
  <c r="BT274" i="1"/>
  <c r="BS274" i="1"/>
  <c r="BQ274" i="1"/>
  <c r="BR274" i="1" s="1"/>
  <c r="BP274" i="1"/>
  <c r="BO274" i="1"/>
  <c r="BM274" i="1"/>
  <c r="BN274" i="1" s="1"/>
  <c r="BJ274" i="1"/>
  <c r="BK274" i="1" s="1"/>
  <c r="BH274" i="1"/>
  <c r="BG274" i="1"/>
  <c r="BE274" i="1"/>
  <c r="BF274" i="1" s="1"/>
  <c r="BD274" i="1"/>
  <c r="BC274" i="1"/>
  <c r="BA274" i="1"/>
  <c r="BB274" i="1" s="1"/>
  <c r="AZ274" i="1"/>
  <c r="AW274" i="1"/>
  <c r="AX274" i="1" s="1"/>
  <c r="AV274" i="1"/>
  <c r="AS274" i="1"/>
  <c r="AT274" i="1" s="1"/>
  <c r="AR274" i="1"/>
  <c r="AQ274" i="1"/>
  <c r="AO274" i="1"/>
  <c r="AP274" i="1" s="1"/>
  <c r="AM274" i="1"/>
  <c r="AN274" i="1" s="1"/>
  <c r="AL274" i="1"/>
  <c r="AK274" i="1"/>
  <c r="AI274" i="1"/>
  <c r="AJ274" i="1" s="1"/>
  <c r="T274" i="1"/>
  <c r="K274" i="1"/>
  <c r="CO273" i="1"/>
  <c r="CN273" i="1"/>
  <c r="CL273" i="1"/>
  <c r="CM273" i="1" s="1"/>
  <c r="CF273" i="1"/>
  <c r="CE273" i="1"/>
  <c r="CC273" i="1"/>
  <c r="CD273" i="1" s="1"/>
  <c r="CB273" i="1"/>
  <c r="CA273" i="1"/>
  <c r="BY273" i="1"/>
  <c r="BZ273" i="1" s="1"/>
  <c r="BU273" i="1"/>
  <c r="BV273" i="1" s="1"/>
  <c r="BT273" i="1"/>
  <c r="BS273" i="1"/>
  <c r="BQ273" i="1"/>
  <c r="BR273" i="1" s="1"/>
  <c r="BP273" i="1"/>
  <c r="BO273" i="1"/>
  <c r="BM273" i="1"/>
  <c r="BN273" i="1" s="1"/>
  <c r="BJ273" i="1"/>
  <c r="BK273" i="1" s="1"/>
  <c r="BH273" i="1"/>
  <c r="BG273" i="1"/>
  <c r="BE273" i="1"/>
  <c r="BF273" i="1" s="1"/>
  <c r="BD273" i="1"/>
  <c r="BC273" i="1"/>
  <c r="BA273" i="1"/>
  <c r="BB273" i="1" s="1"/>
  <c r="AZ273" i="1"/>
  <c r="AW273" i="1"/>
  <c r="AX273" i="1" s="1"/>
  <c r="AV273" i="1"/>
  <c r="AS273" i="1"/>
  <c r="AT273" i="1" s="1"/>
  <c r="AR273" i="1"/>
  <c r="AQ273" i="1"/>
  <c r="AO273" i="1"/>
  <c r="AP273" i="1" s="1"/>
  <c r="AM273" i="1"/>
  <c r="AN273" i="1" s="1"/>
  <c r="AL273" i="1"/>
  <c r="AK273" i="1"/>
  <c r="AI273" i="1"/>
  <c r="AJ273" i="1" s="1"/>
  <c r="T273" i="1"/>
  <c r="K273" i="1"/>
  <c r="CO272" i="1"/>
  <c r="CN272" i="1"/>
  <c r="CL272" i="1"/>
  <c r="CM272" i="1" s="1"/>
  <c r="CF272" i="1"/>
  <c r="CE272" i="1"/>
  <c r="CC272" i="1"/>
  <c r="CD272" i="1" s="1"/>
  <c r="CB272" i="1"/>
  <c r="CA272" i="1"/>
  <c r="BY272" i="1"/>
  <c r="BZ272" i="1" s="1"/>
  <c r="BU272" i="1"/>
  <c r="BV272" i="1" s="1"/>
  <c r="BT272" i="1"/>
  <c r="BS272" i="1"/>
  <c r="BQ272" i="1"/>
  <c r="BR272" i="1" s="1"/>
  <c r="BP272" i="1"/>
  <c r="BO272" i="1"/>
  <c r="BM272" i="1"/>
  <c r="BN272" i="1" s="1"/>
  <c r="BJ272" i="1"/>
  <c r="BK272" i="1" s="1"/>
  <c r="BH272" i="1"/>
  <c r="BG272" i="1"/>
  <c r="BE272" i="1"/>
  <c r="BF272" i="1" s="1"/>
  <c r="BD272" i="1"/>
  <c r="BC272" i="1"/>
  <c r="BA272" i="1"/>
  <c r="BB272" i="1" s="1"/>
  <c r="AZ272" i="1"/>
  <c r="AX272" i="1"/>
  <c r="AW272" i="1"/>
  <c r="AV272" i="1"/>
  <c r="AS272" i="1"/>
  <c r="AT272" i="1" s="1"/>
  <c r="AR272" i="1"/>
  <c r="AQ272" i="1"/>
  <c r="AO272" i="1"/>
  <c r="AP272" i="1" s="1"/>
  <c r="AM272" i="1"/>
  <c r="AN272" i="1" s="1"/>
  <c r="AL272" i="1"/>
  <c r="AK272" i="1"/>
  <c r="AI272" i="1"/>
  <c r="AJ272" i="1" s="1"/>
  <c r="T272" i="1"/>
  <c r="K272" i="1"/>
  <c r="CO271" i="1"/>
  <c r="CN271" i="1"/>
  <c r="CL271" i="1"/>
  <c r="CM271" i="1" s="1"/>
  <c r="CF271" i="1"/>
  <c r="CE271" i="1"/>
  <c r="CD271" i="1"/>
  <c r="CC271" i="1"/>
  <c r="CB271" i="1"/>
  <c r="CA271" i="1"/>
  <c r="BZ271" i="1"/>
  <c r="BY271" i="1"/>
  <c r="BV271" i="1"/>
  <c r="BU271" i="1"/>
  <c r="BT271" i="1"/>
  <c r="BS271" i="1"/>
  <c r="BR271" i="1"/>
  <c r="BQ271" i="1"/>
  <c r="BP271" i="1"/>
  <c r="BO271" i="1"/>
  <c r="BN271" i="1"/>
  <c r="BM271" i="1"/>
  <c r="BK271" i="1"/>
  <c r="BJ271" i="1"/>
  <c r="BH271" i="1"/>
  <c r="BG271" i="1"/>
  <c r="BF271" i="1"/>
  <c r="BE271" i="1"/>
  <c r="BD271" i="1"/>
  <c r="BC271" i="1"/>
  <c r="BB271" i="1"/>
  <c r="BA271" i="1"/>
  <c r="AZ271" i="1"/>
  <c r="AW271" i="1"/>
  <c r="AX271" i="1" s="1"/>
  <c r="AV271" i="1"/>
  <c r="AS271" i="1"/>
  <c r="AT271" i="1" s="1"/>
  <c r="AR271" i="1"/>
  <c r="AQ271" i="1"/>
  <c r="AO271" i="1"/>
  <c r="AP271" i="1" s="1"/>
  <c r="AM271" i="1"/>
  <c r="AN271" i="1" s="1"/>
  <c r="AL271" i="1"/>
  <c r="AK271" i="1"/>
  <c r="AI271" i="1"/>
  <c r="CH271" i="1" s="1"/>
  <c r="P271" i="1" s="1"/>
  <c r="T271" i="1"/>
  <c r="K271" i="1"/>
  <c r="CO270" i="1"/>
  <c r="CN270" i="1"/>
  <c r="CM270" i="1"/>
  <c r="CL270" i="1"/>
  <c r="CF270" i="1"/>
  <c r="CE270" i="1"/>
  <c r="CC270" i="1"/>
  <c r="CD270" i="1" s="1"/>
  <c r="CB270" i="1"/>
  <c r="CA270" i="1"/>
  <c r="BY270" i="1"/>
  <c r="BZ270" i="1" s="1"/>
  <c r="BU270" i="1"/>
  <c r="BV270" i="1" s="1"/>
  <c r="BT270" i="1"/>
  <c r="BS270" i="1"/>
  <c r="BQ270" i="1"/>
  <c r="BR270" i="1" s="1"/>
  <c r="BP270" i="1"/>
  <c r="BO270" i="1"/>
  <c r="BM270" i="1"/>
  <c r="BN270" i="1" s="1"/>
  <c r="BJ270" i="1"/>
  <c r="BK270" i="1" s="1"/>
  <c r="BH270" i="1"/>
  <c r="BG270" i="1"/>
  <c r="BE270" i="1"/>
  <c r="BF270" i="1" s="1"/>
  <c r="BD270" i="1"/>
  <c r="BC270" i="1"/>
  <c r="BA270" i="1"/>
  <c r="BB270" i="1" s="1"/>
  <c r="AZ270" i="1"/>
  <c r="AW270" i="1"/>
  <c r="AX270" i="1" s="1"/>
  <c r="AV270" i="1"/>
  <c r="AS270" i="1"/>
  <c r="AT270" i="1" s="1"/>
  <c r="AR270" i="1"/>
  <c r="AQ270" i="1"/>
  <c r="AO270" i="1"/>
  <c r="AP270" i="1" s="1"/>
  <c r="AM270" i="1"/>
  <c r="AN270" i="1" s="1"/>
  <c r="AL270" i="1"/>
  <c r="AK270" i="1"/>
  <c r="AI270" i="1"/>
  <c r="AJ270" i="1" s="1"/>
  <c r="T270" i="1"/>
  <c r="K270" i="1"/>
  <c r="CO269" i="1"/>
  <c r="CN269" i="1"/>
  <c r="CL269" i="1"/>
  <c r="CM269" i="1" s="1"/>
  <c r="CF269" i="1"/>
  <c r="CE269" i="1"/>
  <c r="CC269" i="1"/>
  <c r="CD269" i="1" s="1"/>
  <c r="CB269" i="1"/>
  <c r="CA269" i="1"/>
  <c r="BY269" i="1"/>
  <c r="BZ269" i="1" s="1"/>
  <c r="BU269" i="1"/>
  <c r="BV269" i="1" s="1"/>
  <c r="BT269" i="1"/>
  <c r="BS269" i="1"/>
  <c r="BQ269" i="1"/>
  <c r="BR269" i="1" s="1"/>
  <c r="BP269" i="1"/>
  <c r="BO269" i="1"/>
  <c r="BM269" i="1"/>
  <c r="BN269" i="1" s="1"/>
  <c r="BJ269" i="1"/>
  <c r="BK269" i="1" s="1"/>
  <c r="BH269" i="1"/>
  <c r="BG269" i="1"/>
  <c r="BE269" i="1"/>
  <c r="BF269" i="1" s="1"/>
  <c r="BD269" i="1"/>
  <c r="BC269" i="1"/>
  <c r="BA269" i="1"/>
  <c r="BB269" i="1" s="1"/>
  <c r="AZ269" i="1"/>
  <c r="AW269" i="1"/>
  <c r="AX269" i="1" s="1"/>
  <c r="AV269" i="1"/>
  <c r="AS269" i="1"/>
  <c r="AT269" i="1" s="1"/>
  <c r="AR269" i="1"/>
  <c r="AQ269" i="1"/>
  <c r="AO269" i="1"/>
  <c r="AP269" i="1" s="1"/>
  <c r="AM269" i="1"/>
  <c r="AN269" i="1" s="1"/>
  <c r="AL269" i="1"/>
  <c r="AK269" i="1"/>
  <c r="AI269" i="1"/>
  <c r="AJ269" i="1" s="1"/>
  <c r="T269" i="1"/>
  <c r="K269" i="1"/>
  <c r="CO268" i="1"/>
  <c r="CN268" i="1"/>
  <c r="CL268" i="1"/>
  <c r="CM268" i="1" s="1"/>
  <c r="CF268" i="1"/>
  <c r="CE268" i="1"/>
  <c r="CC268" i="1"/>
  <c r="CD268" i="1" s="1"/>
  <c r="CB268" i="1"/>
  <c r="CA268" i="1"/>
  <c r="BY268" i="1"/>
  <c r="BZ268" i="1" s="1"/>
  <c r="BU268" i="1"/>
  <c r="BV268" i="1" s="1"/>
  <c r="BT268" i="1"/>
  <c r="BS268" i="1"/>
  <c r="BQ268" i="1"/>
  <c r="BR268" i="1" s="1"/>
  <c r="BP268" i="1"/>
  <c r="BO268" i="1"/>
  <c r="BM268" i="1"/>
  <c r="BN268" i="1" s="1"/>
  <c r="BJ268" i="1"/>
  <c r="BK268" i="1" s="1"/>
  <c r="BH268" i="1"/>
  <c r="BG268" i="1"/>
  <c r="BE268" i="1"/>
  <c r="BF268" i="1" s="1"/>
  <c r="BD268" i="1"/>
  <c r="BC268" i="1"/>
  <c r="BA268" i="1"/>
  <c r="BB268" i="1" s="1"/>
  <c r="AZ268" i="1"/>
  <c r="AW268" i="1"/>
  <c r="AX268" i="1" s="1"/>
  <c r="AV268" i="1"/>
  <c r="AS268" i="1"/>
  <c r="AT268" i="1" s="1"/>
  <c r="AR268" i="1"/>
  <c r="AQ268" i="1"/>
  <c r="AO268" i="1"/>
  <c r="AP268" i="1" s="1"/>
  <c r="AM268" i="1"/>
  <c r="AN268" i="1" s="1"/>
  <c r="AL268" i="1"/>
  <c r="AK268" i="1"/>
  <c r="CJ268" i="1" s="1"/>
  <c r="R268" i="1" s="1"/>
  <c r="AI268" i="1"/>
  <c r="AJ268" i="1" s="1"/>
  <c r="T268" i="1"/>
  <c r="K268" i="1"/>
  <c r="CO267" i="1"/>
  <c r="CN267" i="1"/>
  <c r="CL267" i="1"/>
  <c r="CM267" i="1" s="1"/>
  <c r="CF267" i="1"/>
  <c r="CE267" i="1"/>
  <c r="CC267" i="1"/>
  <c r="CD267" i="1" s="1"/>
  <c r="CB267" i="1"/>
  <c r="CA267" i="1"/>
  <c r="BY267" i="1"/>
  <c r="BZ267" i="1" s="1"/>
  <c r="BU267" i="1"/>
  <c r="BV267" i="1" s="1"/>
  <c r="BT267" i="1"/>
  <c r="BS267" i="1"/>
  <c r="BQ267" i="1"/>
  <c r="BR267" i="1" s="1"/>
  <c r="BP267" i="1"/>
  <c r="BO267" i="1"/>
  <c r="BM267" i="1"/>
  <c r="BN267" i="1" s="1"/>
  <c r="BJ267" i="1"/>
  <c r="BK267" i="1" s="1"/>
  <c r="BH267" i="1"/>
  <c r="BG267" i="1"/>
  <c r="BE267" i="1"/>
  <c r="BF267" i="1" s="1"/>
  <c r="BD267" i="1"/>
  <c r="BC267" i="1"/>
  <c r="BA267" i="1"/>
  <c r="BB267" i="1" s="1"/>
  <c r="AZ267" i="1"/>
  <c r="AW267" i="1"/>
  <c r="AX267" i="1" s="1"/>
  <c r="AV267" i="1"/>
  <c r="AT267" i="1"/>
  <c r="AS267" i="1"/>
  <c r="AR267" i="1"/>
  <c r="AQ267" i="1"/>
  <c r="AP267" i="1"/>
  <c r="AO267" i="1"/>
  <c r="AN267" i="1"/>
  <c r="AM267" i="1"/>
  <c r="AL267" i="1"/>
  <c r="AK267" i="1"/>
  <c r="AJ267" i="1"/>
  <c r="AI267" i="1"/>
  <c r="T267" i="1"/>
  <c r="K267" i="1"/>
  <c r="CO266" i="1"/>
  <c r="CN266" i="1"/>
  <c r="CL266" i="1"/>
  <c r="CM266" i="1" s="1"/>
  <c r="CF266" i="1"/>
  <c r="CE266" i="1"/>
  <c r="CC266" i="1"/>
  <c r="CD266" i="1" s="1"/>
  <c r="CB266" i="1"/>
  <c r="CA266" i="1"/>
  <c r="BY266" i="1"/>
  <c r="BZ266" i="1" s="1"/>
  <c r="BU266" i="1"/>
  <c r="BV266" i="1" s="1"/>
  <c r="BT266" i="1"/>
  <c r="BS266" i="1"/>
  <c r="BQ266" i="1"/>
  <c r="BR266" i="1" s="1"/>
  <c r="BP266" i="1"/>
  <c r="BO266" i="1"/>
  <c r="BM266" i="1"/>
  <c r="BN266" i="1" s="1"/>
  <c r="BJ266" i="1"/>
  <c r="BK266" i="1" s="1"/>
  <c r="BH266" i="1"/>
  <c r="BG266" i="1"/>
  <c r="BE266" i="1"/>
  <c r="BF266" i="1" s="1"/>
  <c r="BD266" i="1"/>
  <c r="BC266" i="1"/>
  <c r="BA266" i="1"/>
  <c r="BB266" i="1" s="1"/>
  <c r="AZ266" i="1"/>
  <c r="AX266" i="1"/>
  <c r="AW266" i="1"/>
  <c r="AV266" i="1"/>
  <c r="AS266" i="1"/>
  <c r="AT266" i="1" s="1"/>
  <c r="AR266" i="1"/>
  <c r="AQ266" i="1"/>
  <c r="AO266" i="1"/>
  <c r="AP266" i="1" s="1"/>
  <c r="AM266" i="1"/>
  <c r="AN266" i="1" s="1"/>
  <c r="AL266" i="1"/>
  <c r="AK266" i="1"/>
  <c r="AI266" i="1"/>
  <c r="AJ266" i="1" s="1"/>
  <c r="T266" i="1"/>
  <c r="K266" i="1"/>
  <c r="CO265" i="1"/>
  <c r="CN265" i="1"/>
  <c r="CL265" i="1"/>
  <c r="CM265" i="1" s="1"/>
  <c r="CF265" i="1"/>
  <c r="CE265" i="1"/>
  <c r="CD265" i="1"/>
  <c r="CC265" i="1"/>
  <c r="CB265" i="1"/>
  <c r="CA265" i="1"/>
  <c r="BZ265" i="1"/>
  <c r="BY265" i="1"/>
  <c r="BV265" i="1"/>
  <c r="BU265" i="1"/>
  <c r="BT265" i="1"/>
  <c r="BS265" i="1"/>
  <c r="BR265" i="1"/>
  <c r="BQ265" i="1"/>
  <c r="BP265" i="1"/>
  <c r="BO265" i="1"/>
  <c r="BN265" i="1"/>
  <c r="BM265" i="1"/>
  <c r="BK265" i="1"/>
  <c r="BJ265" i="1"/>
  <c r="BH265" i="1"/>
  <c r="BG265" i="1"/>
  <c r="BF265" i="1"/>
  <c r="BE265" i="1"/>
  <c r="BD265" i="1"/>
  <c r="BC265" i="1"/>
  <c r="BB265" i="1"/>
  <c r="BA265" i="1"/>
  <c r="AZ265" i="1"/>
  <c r="AW265" i="1"/>
  <c r="AX265" i="1" s="1"/>
  <c r="AV265" i="1"/>
  <c r="AS265" i="1"/>
  <c r="AT265" i="1" s="1"/>
  <c r="AR265" i="1"/>
  <c r="AQ265" i="1"/>
  <c r="AO265" i="1"/>
  <c r="AP265" i="1" s="1"/>
  <c r="AM265" i="1"/>
  <c r="AN265" i="1" s="1"/>
  <c r="AL265" i="1"/>
  <c r="AK265" i="1"/>
  <c r="AI265" i="1"/>
  <c r="AJ265" i="1" s="1"/>
  <c r="CI265" i="1" s="1"/>
  <c r="T265" i="1"/>
  <c r="K265" i="1"/>
  <c r="CO264" i="1"/>
  <c r="CN264" i="1"/>
  <c r="CL264" i="1"/>
  <c r="CM264" i="1" s="1"/>
  <c r="CF264" i="1"/>
  <c r="CE264" i="1"/>
  <c r="CC264" i="1"/>
  <c r="CD264" i="1" s="1"/>
  <c r="CB264" i="1"/>
  <c r="CA264" i="1"/>
  <c r="BY264" i="1"/>
  <c r="BZ264" i="1" s="1"/>
  <c r="BU264" i="1"/>
  <c r="BV264" i="1" s="1"/>
  <c r="BT264" i="1"/>
  <c r="BS264" i="1"/>
  <c r="BQ264" i="1"/>
  <c r="BR264" i="1" s="1"/>
  <c r="BP264" i="1"/>
  <c r="BO264" i="1"/>
  <c r="BM264" i="1"/>
  <c r="BN264" i="1" s="1"/>
  <c r="BJ264" i="1"/>
  <c r="BK264" i="1" s="1"/>
  <c r="BH264" i="1"/>
  <c r="BG264" i="1"/>
  <c r="BE264" i="1"/>
  <c r="BF264" i="1" s="1"/>
  <c r="BD264" i="1"/>
  <c r="BC264" i="1"/>
  <c r="BA264" i="1"/>
  <c r="BB264" i="1" s="1"/>
  <c r="AZ264" i="1"/>
  <c r="AW264" i="1"/>
  <c r="AX264" i="1" s="1"/>
  <c r="AV264" i="1"/>
  <c r="AS264" i="1"/>
  <c r="AT264" i="1" s="1"/>
  <c r="AR264" i="1"/>
  <c r="AQ264" i="1"/>
  <c r="AO264" i="1"/>
  <c r="AP264" i="1" s="1"/>
  <c r="AM264" i="1"/>
  <c r="AN264" i="1" s="1"/>
  <c r="AL264" i="1"/>
  <c r="AK264" i="1"/>
  <c r="AI264" i="1"/>
  <c r="AJ264" i="1" s="1"/>
  <c r="T264" i="1"/>
  <c r="K264" i="1"/>
  <c r="CO263" i="1"/>
  <c r="CN263" i="1"/>
  <c r="CL263" i="1"/>
  <c r="CM263" i="1" s="1"/>
  <c r="CF263" i="1"/>
  <c r="CE263" i="1"/>
  <c r="CC263" i="1"/>
  <c r="CD263" i="1" s="1"/>
  <c r="CB263" i="1"/>
  <c r="CA263" i="1"/>
  <c r="BY263" i="1"/>
  <c r="BZ263" i="1" s="1"/>
  <c r="BU263" i="1"/>
  <c r="BV263" i="1" s="1"/>
  <c r="BT263" i="1"/>
  <c r="BS263" i="1"/>
  <c r="BQ263" i="1"/>
  <c r="BR263" i="1" s="1"/>
  <c r="BP263" i="1"/>
  <c r="BO263" i="1"/>
  <c r="BM263" i="1"/>
  <c r="BN263" i="1" s="1"/>
  <c r="BJ263" i="1"/>
  <c r="BK263" i="1" s="1"/>
  <c r="BH263" i="1"/>
  <c r="BG263" i="1"/>
  <c r="BE263" i="1"/>
  <c r="BF263" i="1" s="1"/>
  <c r="BD263" i="1"/>
  <c r="BC263" i="1"/>
  <c r="BA263" i="1"/>
  <c r="BB263" i="1" s="1"/>
  <c r="AZ263" i="1"/>
  <c r="AW263" i="1"/>
  <c r="AX263" i="1" s="1"/>
  <c r="AV263" i="1"/>
  <c r="AS263" i="1"/>
  <c r="AT263" i="1" s="1"/>
  <c r="AR263" i="1"/>
  <c r="AQ263" i="1"/>
  <c r="AO263" i="1"/>
  <c r="AP263" i="1" s="1"/>
  <c r="AM263" i="1"/>
  <c r="AN263" i="1" s="1"/>
  <c r="AL263" i="1"/>
  <c r="AK263" i="1"/>
  <c r="AI263" i="1"/>
  <c r="AJ263" i="1" s="1"/>
  <c r="T263" i="1"/>
  <c r="K263" i="1"/>
  <c r="CO262" i="1"/>
  <c r="CN262" i="1"/>
  <c r="CL262" i="1"/>
  <c r="CM262" i="1" s="1"/>
  <c r="CF262" i="1"/>
  <c r="CE262" i="1"/>
  <c r="CC262" i="1"/>
  <c r="CD262" i="1" s="1"/>
  <c r="CB262" i="1"/>
  <c r="CA262" i="1"/>
  <c r="BY262" i="1"/>
  <c r="BZ262" i="1" s="1"/>
  <c r="BU262" i="1"/>
  <c r="BV262" i="1" s="1"/>
  <c r="BT262" i="1"/>
  <c r="BS262" i="1"/>
  <c r="BQ262" i="1"/>
  <c r="BR262" i="1" s="1"/>
  <c r="BP262" i="1"/>
  <c r="BO262" i="1"/>
  <c r="BM262" i="1"/>
  <c r="BN262" i="1" s="1"/>
  <c r="BJ262" i="1"/>
  <c r="BK262" i="1" s="1"/>
  <c r="BH262" i="1"/>
  <c r="BG262" i="1"/>
  <c r="BE262" i="1"/>
  <c r="BF262" i="1" s="1"/>
  <c r="BD262" i="1"/>
  <c r="BC262" i="1"/>
  <c r="BA262" i="1"/>
  <c r="BB262" i="1" s="1"/>
  <c r="AZ262" i="1"/>
  <c r="AW262" i="1"/>
  <c r="AX262" i="1" s="1"/>
  <c r="AV262" i="1"/>
  <c r="AS262" i="1"/>
  <c r="AT262" i="1" s="1"/>
  <c r="AR262" i="1"/>
  <c r="AQ262" i="1"/>
  <c r="AO262" i="1"/>
  <c r="AP262" i="1" s="1"/>
  <c r="AM262" i="1"/>
  <c r="AN262" i="1" s="1"/>
  <c r="AL262" i="1"/>
  <c r="AK262" i="1"/>
  <c r="AI262" i="1"/>
  <c r="AJ262" i="1" s="1"/>
  <c r="T262" i="1"/>
  <c r="K262" i="1"/>
  <c r="CO261" i="1"/>
  <c r="CN261" i="1"/>
  <c r="CL261" i="1"/>
  <c r="CM261" i="1" s="1"/>
  <c r="CF261" i="1"/>
  <c r="CE261" i="1"/>
  <c r="CC261" i="1"/>
  <c r="CD261" i="1" s="1"/>
  <c r="CB261" i="1"/>
  <c r="CA261" i="1"/>
  <c r="BY261" i="1"/>
  <c r="BZ261" i="1" s="1"/>
  <c r="BU261" i="1"/>
  <c r="BV261" i="1" s="1"/>
  <c r="BT261" i="1"/>
  <c r="BS261" i="1"/>
  <c r="BQ261" i="1"/>
  <c r="BR261" i="1" s="1"/>
  <c r="BP261" i="1"/>
  <c r="BO261" i="1"/>
  <c r="BM261" i="1"/>
  <c r="BN261" i="1" s="1"/>
  <c r="BJ261" i="1"/>
  <c r="BK261" i="1" s="1"/>
  <c r="BH261" i="1"/>
  <c r="BG261" i="1"/>
  <c r="BE261" i="1"/>
  <c r="BF261" i="1" s="1"/>
  <c r="BD261" i="1"/>
  <c r="BC261" i="1"/>
  <c r="BA261" i="1"/>
  <c r="BB261" i="1" s="1"/>
  <c r="AZ261" i="1"/>
  <c r="AW261" i="1"/>
  <c r="AX261" i="1" s="1"/>
  <c r="AV261" i="1"/>
  <c r="AS261" i="1"/>
  <c r="AT261" i="1" s="1"/>
  <c r="AR261" i="1"/>
  <c r="AQ261" i="1"/>
  <c r="AO261" i="1"/>
  <c r="AP261" i="1" s="1"/>
  <c r="AM261" i="1"/>
  <c r="AN261" i="1" s="1"/>
  <c r="AL261" i="1"/>
  <c r="AK261" i="1"/>
  <c r="AI261" i="1"/>
  <c r="AJ261" i="1" s="1"/>
  <c r="T261" i="1"/>
  <c r="K261" i="1"/>
  <c r="CO260" i="1"/>
  <c r="CN260" i="1"/>
  <c r="CL260" i="1"/>
  <c r="CM260" i="1" s="1"/>
  <c r="CF260" i="1"/>
  <c r="CE260" i="1"/>
  <c r="CC260" i="1"/>
  <c r="CD260" i="1" s="1"/>
  <c r="CB260" i="1"/>
  <c r="CA260" i="1"/>
  <c r="BY260" i="1"/>
  <c r="BZ260" i="1" s="1"/>
  <c r="BU260" i="1"/>
  <c r="BV260" i="1" s="1"/>
  <c r="BT260" i="1"/>
  <c r="BS260" i="1"/>
  <c r="BQ260" i="1"/>
  <c r="BR260" i="1" s="1"/>
  <c r="BP260" i="1"/>
  <c r="BO260" i="1"/>
  <c r="BM260" i="1"/>
  <c r="BN260" i="1" s="1"/>
  <c r="BJ260" i="1"/>
  <c r="BK260" i="1" s="1"/>
  <c r="BH260" i="1"/>
  <c r="BG260" i="1"/>
  <c r="BE260" i="1"/>
  <c r="BF260" i="1" s="1"/>
  <c r="BD260" i="1"/>
  <c r="BC260" i="1"/>
  <c r="BA260" i="1"/>
  <c r="BB260" i="1" s="1"/>
  <c r="AZ260" i="1"/>
  <c r="AX260" i="1"/>
  <c r="AW260" i="1"/>
  <c r="AV260" i="1"/>
  <c r="AS260" i="1"/>
  <c r="AT260" i="1" s="1"/>
  <c r="AR260" i="1"/>
  <c r="AQ260" i="1"/>
  <c r="AO260" i="1"/>
  <c r="AP260" i="1" s="1"/>
  <c r="AM260" i="1"/>
  <c r="AN260" i="1" s="1"/>
  <c r="AL260" i="1"/>
  <c r="AK260" i="1"/>
  <c r="AI260" i="1"/>
  <c r="AJ260" i="1" s="1"/>
  <c r="T260" i="1"/>
  <c r="K260" i="1"/>
  <c r="CO259" i="1"/>
  <c r="CN259" i="1"/>
  <c r="CL259" i="1"/>
  <c r="CM259" i="1" s="1"/>
  <c r="CF259" i="1"/>
  <c r="CE259" i="1"/>
  <c r="CD259" i="1"/>
  <c r="CC259" i="1"/>
  <c r="CB259" i="1"/>
  <c r="CA259" i="1"/>
  <c r="BZ259" i="1"/>
  <c r="BY259" i="1"/>
  <c r="BV259" i="1"/>
  <c r="BU259" i="1"/>
  <c r="BT259" i="1"/>
  <c r="BS259" i="1"/>
  <c r="BR259" i="1"/>
  <c r="BQ259" i="1"/>
  <c r="BP259" i="1"/>
  <c r="BO259" i="1"/>
  <c r="BN259" i="1"/>
  <c r="BM259" i="1"/>
  <c r="BK259" i="1"/>
  <c r="BJ259" i="1"/>
  <c r="BH259" i="1"/>
  <c r="BG259" i="1"/>
  <c r="BF259" i="1"/>
  <c r="BE259" i="1"/>
  <c r="BD259" i="1"/>
  <c r="BC259" i="1"/>
  <c r="BB259" i="1"/>
  <c r="BA259" i="1"/>
  <c r="AZ259" i="1"/>
  <c r="AW259" i="1"/>
  <c r="AX259" i="1" s="1"/>
  <c r="AV259" i="1"/>
  <c r="AS259" i="1"/>
  <c r="AT259" i="1" s="1"/>
  <c r="AR259" i="1"/>
  <c r="AQ259" i="1"/>
  <c r="AO259" i="1"/>
  <c r="AP259" i="1" s="1"/>
  <c r="AM259" i="1"/>
  <c r="AN259" i="1" s="1"/>
  <c r="AL259" i="1"/>
  <c r="AK259" i="1"/>
  <c r="AI259" i="1"/>
  <c r="CH259" i="1" s="1"/>
  <c r="P259" i="1" s="1"/>
  <c r="T259" i="1"/>
  <c r="K259" i="1"/>
  <c r="CO258" i="1"/>
  <c r="CN258" i="1"/>
  <c r="CM258" i="1"/>
  <c r="CL258" i="1"/>
  <c r="CF258" i="1"/>
  <c r="CE258" i="1"/>
  <c r="CC258" i="1"/>
  <c r="CD258" i="1" s="1"/>
  <c r="CB258" i="1"/>
  <c r="CA258" i="1"/>
  <c r="BY258" i="1"/>
  <c r="BZ258" i="1" s="1"/>
  <c r="BU258" i="1"/>
  <c r="BV258" i="1" s="1"/>
  <c r="BT258" i="1"/>
  <c r="BS258" i="1"/>
  <c r="BQ258" i="1"/>
  <c r="BR258" i="1" s="1"/>
  <c r="BP258" i="1"/>
  <c r="BO258" i="1"/>
  <c r="BM258" i="1"/>
  <c r="BN258" i="1" s="1"/>
  <c r="BJ258" i="1"/>
  <c r="BK258" i="1" s="1"/>
  <c r="BH258" i="1"/>
  <c r="BG258" i="1"/>
  <c r="BE258" i="1"/>
  <c r="BF258" i="1" s="1"/>
  <c r="BD258" i="1"/>
  <c r="BC258" i="1"/>
  <c r="BA258" i="1"/>
  <c r="BB258" i="1" s="1"/>
  <c r="AZ258" i="1"/>
  <c r="AW258" i="1"/>
  <c r="AX258" i="1" s="1"/>
  <c r="AV258" i="1"/>
  <c r="AS258" i="1"/>
  <c r="AT258" i="1" s="1"/>
  <c r="AR258" i="1"/>
  <c r="AQ258" i="1"/>
  <c r="AO258" i="1"/>
  <c r="AP258" i="1" s="1"/>
  <c r="AM258" i="1"/>
  <c r="AN258" i="1" s="1"/>
  <c r="AL258" i="1"/>
  <c r="AK258" i="1"/>
  <c r="AI258" i="1"/>
  <c r="AJ258" i="1" s="1"/>
  <c r="T258" i="1"/>
  <c r="K258" i="1"/>
  <c r="CO257" i="1"/>
  <c r="CN257" i="1"/>
  <c r="CL257" i="1"/>
  <c r="CM257" i="1" s="1"/>
  <c r="CF257" i="1"/>
  <c r="CE257" i="1"/>
  <c r="CC257" i="1"/>
  <c r="CD257" i="1" s="1"/>
  <c r="CB257" i="1"/>
  <c r="CA257" i="1"/>
  <c r="BY257" i="1"/>
  <c r="BZ257" i="1" s="1"/>
  <c r="BU257" i="1"/>
  <c r="BV257" i="1" s="1"/>
  <c r="BT257" i="1"/>
  <c r="BS257" i="1"/>
  <c r="BQ257" i="1"/>
  <c r="BR257" i="1" s="1"/>
  <c r="BP257" i="1"/>
  <c r="BO257" i="1"/>
  <c r="BM257" i="1"/>
  <c r="BN257" i="1" s="1"/>
  <c r="BJ257" i="1"/>
  <c r="BK257" i="1" s="1"/>
  <c r="BH257" i="1"/>
  <c r="BG257" i="1"/>
  <c r="BE257" i="1"/>
  <c r="BF257" i="1" s="1"/>
  <c r="BD257" i="1"/>
  <c r="BC257" i="1"/>
  <c r="BA257" i="1"/>
  <c r="BB257" i="1" s="1"/>
  <c r="AZ257" i="1"/>
  <c r="AW257" i="1"/>
  <c r="AX257" i="1" s="1"/>
  <c r="AV257" i="1"/>
  <c r="AS257" i="1"/>
  <c r="AT257" i="1" s="1"/>
  <c r="AR257" i="1"/>
  <c r="AQ257" i="1"/>
  <c r="AO257" i="1"/>
  <c r="AP257" i="1" s="1"/>
  <c r="AM257" i="1"/>
  <c r="AN257" i="1" s="1"/>
  <c r="AL257" i="1"/>
  <c r="AK257" i="1"/>
  <c r="AI257" i="1"/>
  <c r="AJ257" i="1" s="1"/>
  <c r="T257" i="1"/>
  <c r="K257" i="1"/>
  <c r="CO256" i="1"/>
  <c r="CN256" i="1"/>
  <c r="CL256" i="1"/>
  <c r="CM256" i="1" s="1"/>
  <c r="CF256" i="1"/>
  <c r="CE256" i="1"/>
  <c r="CC256" i="1"/>
  <c r="CD256" i="1" s="1"/>
  <c r="CB256" i="1"/>
  <c r="CA256" i="1"/>
  <c r="BY256" i="1"/>
  <c r="BZ256" i="1" s="1"/>
  <c r="BU256" i="1"/>
  <c r="BV256" i="1" s="1"/>
  <c r="BT256" i="1"/>
  <c r="BS256" i="1"/>
  <c r="BQ256" i="1"/>
  <c r="BR256" i="1" s="1"/>
  <c r="BP256" i="1"/>
  <c r="BO256" i="1"/>
  <c r="BM256" i="1"/>
  <c r="BN256" i="1" s="1"/>
  <c r="BJ256" i="1"/>
  <c r="BK256" i="1" s="1"/>
  <c r="BH256" i="1"/>
  <c r="BG256" i="1"/>
  <c r="BE256" i="1"/>
  <c r="BF256" i="1" s="1"/>
  <c r="BD256" i="1"/>
  <c r="BC256" i="1"/>
  <c r="BA256" i="1"/>
  <c r="BB256" i="1" s="1"/>
  <c r="AZ256" i="1"/>
  <c r="AW256" i="1"/>
  <c r="AX256" i="1" s="1"/>
  <c r="AV256" i="1"/>
  <c r="AT256" i="1"/>
  <c r="AS256" i="1"/>
  <c r="AR256" i="1"/>
  <c r="AQ256" i="1"/>
  <c r="AP256" i="1"/>
  <c r="AO256" i="1"/>
  <c r="AN256" i="1"/>
  <c r="AM256" i="1"/>
  <c r="AL256" i="1"/>
  <c r="AK256" i="1"/>
  <c r="AJ256" i="1"/>
  <c r="AI256" i="1"/>
  <c r="T256" i="1"/>
  <c r="K256" i="1"/>
  <c r="CO255" i="1"/>
  <c r="CN255" i="1"/>
  <c r="CM255" i="1"/>
  <c r="CL255" i="1"/>
  <c r="CF255" i="1"/>
  <c r="CE255" i="1"/>
  <c r="CC255" i="1"/>
  <c r="CD255" i="1" s="1"/>
  <c r="CB255" i="1"/>
  <c r="CA255" i="1"/>
  <c r="BY255" i="1"/>
  <c r="BZ255" i="1" s="1"/>
  <c r="BU255" i="1"/>
  <c r="BV255" i="1" s="1"/>
  <c r="BT255" i="1"/>
  <c r="BS255" i="1"/>
  <c r="BQ255" i="1"/>
  <c r="BR255" i="1" s="1"/>
  <c r="BP255" i="1"/>
  <c r="BO255" i="1"/>
  <c r="BM255" i="1"/>
  <c r="BN255" i="1" s="1"/>
  <c r="BJ255" i="1"/>
  <c r="BK255" i="1" s="1"/>
  <c r="BH255" i="1"/>
  <c r="BG255" i="1"/>
  <c r="BE255" i="1"/>
  <c r="BF255" i="1" s="1"/>
  <c r="BD255" i="1"/>
  <c r="BC255" i="1"/>
  <c r="BA255" i="1"/>
  <c r="BB255" i="1" s="1"/>
  <c r="AZ255" i="1"/>
  <c r="AW255" i="1"/>
  <c r="AX255" i="1" s="1"/>
  <c r="AV255" i="1"/>
  <c r="AS255" i="1"/>
  <c r="AT255" i="1" s="1"/>
  <c r="AR255" i="1"/>
  <c r="AQ255" i="1"/>
  <c r="AO255" i="1"/>
  <c r="AP255" i="1" s="1"/>
  <c r="AM255" i="1"/>
  <c r="AN255" i="1" s="1"/>
  <c r="AL255" i="1"/>
  <c r="AK255" i="1"/>
  <c r="AI255" i="1"/>
  <c r="AJ255" i="1" s="1"/>
  <c r="T255" i="1"/>
  <c r="K255" i="1"/>
  <c r="CO254" i="1"/>
  <c r="CN254" i="1"/>
  <c r="CL254" i="1"/>
  <c r="CM254" i="1" s="1"/>
  <c r="CF254" i="1"/>
  <c r="CE254" i="1"/>
  <c r="CC254" i="1"/>
  <c r="CD254" i="1" s="1"/>
  <c r="CB254" i="1"/>
  <c r="CA254" i="1"/>
  <c r="BY254" i="1"/>
  <c r="BZ254" i="1" s="1"/>
  <c r="BU254" i="1"/>
  <c r="BV254" i="1" s="1"/>
  <c r="BT254" i="1"/>
  <c r="BS254" i="1"/>
  <c r="BQ254" i="1"/>
  <c r="BR254" i="1" s="1"/>
  <c r="BP254" i="1"/>
  <c r="BO254" i="1"/>
  <c r="BM254" i="1"/>
  <c r="BN254" i="1" s="1"/>
  <c r="BJ254" i="1"/>
  <c r="BK254" i="1" s="1"/>
  <c r="BH254" i="1"/>
  <c r="BG254" i="1"/>
  <c r="BE254" i="1"/>
  <c r="BF254" i="1" s="1"/>
  <c r="BD254" i="1"/>
  <c r="BC254" i="1"/>
  <c r="BA254" i="1"/>
  <c r="BB254" i="1" s="1"/>
  <c r="AZ254" i="1"/>
  <c r="AW254" i="1"/>
  <c r="AX254" i="1" s="1"/>
  <c r="AV254" i="1"/>
  <c r="AS254" i="1"/>
  <c r="AT254" i="1" s="1"/>
  <c r="AR254" i="1"/>
  <c r="AQ254" i="1"/>
  <c r="AO254" i="1"/>
  <c r="AP254" i="1" s="1"/>
  <c r="AM254" i="1"/>
  <c r="AN254" i="1" s="1"/>
  <c r="AL254" i="1"/>
  <c r="AK254" i="1"/>
  <c r="AI254" i="1"/>
  <c r="AJ254" i="1" s="1"/>
  <c r="T254" i="1"/>
  <c r="K254" i="1"/>
  <c r="CO253" i="1"/>
  <c r="CN253" i="1"/>
  <c r="CL253" i="1"/>
  <c r="CM253" i="1" s="1"/>
  <c r="CF253" i="1"/>
  <c r="CE253" i="1"/>
  <c r="CC253" i="1"/>
  <c r="CD253" i="1" s="1"/>
  <c r="CB253" i="1"/>
  <c r="CA253" i="1"/>
  <c r="BY253" i="1"/>
  <c r="BZ253" i="1" s="1"/>
  <c r="BU253" i="1"/>
  <c r="BV253" i="1" s="1"/>
  <c r="BT253" i="1"/>
  <c r="BS253" i="1"/>
  <c r="BQ253" i="1"/>
  <c r="BR253" i="1" s="1"/>
  <c r="BP253" i="1"/>
  <c r="BO253" i="1"/>
  <c r="BM253" i="1"/>
  <c r="BN253" i="1" s="1"/>
  <c r="BJ253" i="1"/>
  <c r="BK253" i="1" s="1"/>
  <c r="BH253" i="1"/>
  <c r="BG253" i="1"/>
  <c r="BE253" i="1"/>
  <c r="BF253" i="1" s="1"/>
  <c r="BD253" i="1"/>
  <c r="BC253" i="1"/>
  <c r="BA253" i="1"/>
  <c r="BB253" i="1" s="1"/>
  <c r="AZ253" i="1"/>
  <c r="AW253" i="1"/>
  <c r="AX253" i="1" s="1"/>
  <c r="AV253" i="1"/>
  <c r="AS253" i="1"/>
  <c r="AT253" i="1" s="1"/>
  <c r="AR253" i="1"/>
  <c r="AQ253" i="1"/>
  <c r="AO253" i="1"/>
  <c r="AP253" i="1" s="1"/>
  <c r="AM253" i="1"/>
  <c r="AN253" i="1" s="1"/>
  <c r="AL253" i="1"/>
  <c r="AK253" i="1"/>
  <c r="AI253" i="1"/>
  <c r="AJ253" i="1" s="1"/>
  <c r="T253" i="1"/>
  <c r="K253" i="1"/>
  <c r="CO252" i="1"/>
  <c r="CN252" i="1"/>
  <c r="CL252" i="1"/>
  <c r="CM252" i="1" s="1"/>
  <c r="CF252" i="1"/>
  <c r="CE252" i="1"/>
  <c r="CC252" i="1"/>
  <c r="CD252" i="1" s="1"/>
  <c r="CB252" i="1"/>
  <c r="CA252" i="1"/>
  <c r="BY252" i="1"/>
  <c r="BZ252" i="1" s="1"/>
  <c r="BU252" i="1"/>
  <c r="BV252" i="1" s="1"/>
  <c r="BT252" i="1"/>
  <c r="BS252" i="1"/>
  <c r="BQ252" i="1"/>
  <c r="BR252" i="1" s="1"/>
  <c r="BP252" i="1"/>
  <c r="BO252" i="1"/>
  <c r="BM252" i="1"/>
  <c r="BN252" i="1" s="1"/>
  <c r="BJ252" i="1"/>
  <c r="BK252" i="1" s="1"/>
  <c r="BH252" i="1"/>
  <c r="BG252" i="1"/>
  <c r="BE252" i="1"/>
  <c r="BF252" i="1" s="1"/>
  <c r="BD252" i="1"/>
  <c r="BC252" i="1"/>
  <c r="BA252" i="1"/>
  <c r="BB252" i="1" s="1"/>
  <c r="AZ252" i="1"/>
  <c r="AW252" i="1"/>
  <c r="AX252" i="1" s="1"/>
  <c r="AV252" i="1"/>
  <c r="AS252" i="1"/>
  <c r="AT252" i="1" s="1"/>
  <c r="AR252" i="1"/>
  <c r="AQ252" i="1"/>
  <c r="AO252" i="1"/>
  <c r="AP252" i="1" s="1"/>
  <c r="AM252" i="1"/>
  <c r="AN252" i="1" s="1"/>
  <c r="AL252" i="1"/>
  <c r="AK252" i="1"/>
  <c r="AI252" i="1"/>
  <c r="AJ252" i="1" s="1"/>
  <c r="T252" i="1"/>
  <c r="K252" i="1"/>
  <c r="CO251" i="1"/>
  <c r="CN251" i="1"/>
  <c r="CL251" i="1"/>
  <c r="CM251" i="1" s="1"/>
  <c r="CF251" i="1"/>
  <c r="CE251" i="1"/>
  <c r="CC251" i="1"/>
  <c r="CD251" i="1" s="1"/>
  <c r="CB251" i="1"/>
  <c r="CA251" i="1"/>
  <c r="BY251" i="1"/>
  <c r="BZ251" i="1" s="1"/>
  <c r="BU251" i="1"/>
  <c r="BV251" i="1" s="1"/>
  <c r="BT251" i="1"/>
  <c r="BS251" i="1"/>
  <c r="BQ251" i="1"/>
  <c r="BR251" i="1" s="1"/>
  <c r="BP251" i="1"/>
  <c r="BO251" i="1"/>
  <c r="BM251" i="1"/>
  <c r="BN251" i="1" s="1"/>
  <c r="BJ251" i="1"/>
  <c r="BK251" i="1" s="1"/>
  <c r="BH251" i="1"/>
  <c r="BG251" i="1"/>
  <c r="BE251" i="1"/>
  <c r="BF251" i="1" s="1"/>
  <c r="BD251" i="1"/>
  <c r="BC251" i="1"/>
  <c r="BA251" i="1"/>
  <c r="BB251" i="1" s="1"/>
  <c r="AZ251" i="1"/>
  <c r="AX251" i="1"/>
  <c r="AW251" i="1"/>
  <c r="AV251" i="1"/>
  <c r="AS251" i="1"/>
  <c r="AT251" i="1" s="1"/>
  <c r="AR251" i="1"/>
  <c r="AQ251" i="1"/>
  <c r="AO251" i="1"/>
  <c r="AP251" i="1" s="1"/>
  <c r="AM251" i="1"/>
  <c r="AN251" i="1" s="1"/>
  <c r="AL251" i="1"/>
  <c r="AK251" i="1"/>
  <c r="AI251" i="1"/>
  <c r="AJ251" i="1" s="1"/>
  <c r="T251" i="1"/>
  <c r="K251" i="1"/>
  <c r="CO250" i="1"/>
  <c r="CN250" i="1"/>
  <c r="CL250" i="1"/>
  <c r="CM250" i="1" s="1"/>
  <c r="CF250" i="1"/>
  <c r="CE250" i="1"/>
  <c r="CD250" i="1"/>
  <c r="CC250" i="1"/>
  <c r="CB250" i="1"/>
  <c r="CA250" i="1"/>
  <c r="BZ250" i="1"/>
  <c r="BY250" i="1"/>
  <c r="BV250" i="1"/>
  <c r="BU250" i="1"/>
  <c r="BT250" i="1"/>
  <c r="BS250" i="1"/>
  <c r="BR250" i="1"/>
  <c r="BQ250" i="1"/>
  <c r="BP250" i="1"/>
  <c r="BO250" i="1"/>
  <c r="BN250" i="1"/>
  <c r="BM250" i="1"/>
  <c r="BK250" i="1"/>
  <c r="BJ250" i="1"/>
  <c r="BH250" i="1"/>
  <c r="BG250" i="1"/>
  <c r="BF250" i="1"/>
  <c r="BE250" i="1"/>
  <c r="BD250" i="1"/>
  <c r="BC250" i="1"/>
  <c r="BB250" i="1"/>
  <c r="BA250" i="1"/>
  <c r="AZ250" i="1"/>
  <c r="AW250" i="1"/>
  <c r="AX250" i="1" s="1"/>
  <c r="AV250" i="1"/>
  <c r="AS250" i="1"/>
  <c r="AT250" i="1" s="1"/>
  <c r="AR250" i="1"/>
  <c r="AQ250" i="1"/>
  <c r="AO250" i="1"/>
  <c r="AP250" i="1" s="1"/>
  <c r="AM250" i="1"/>
  <c r="AN250" i="1" s="1"/>
  <c r="AL250" i="1"/>
  <c r="AK250" i="1"/>
  <c r="AI250" i="1"/>
  <c r="CH250" i="1" s="1"/>
  <c r="P250" i="1" s="1"/>
  <c r="T250" i="1"/>
  <c r="K250" i="1"/>
  <c r="CO249" i="1"/>
  <c r="CN249" i="1"/>
  <c r="CM249" i="1"/>
  <c r="CL249" i="1"/>
  <c r="CF249" i="1"/>
  <c r="CE249" i="1"/>
  <c r="CC249" i="1"/>
  <c r="CD249" i="1" s="1"/>
  <c r="CB249" i="1"/>
  <c r="CA249" i="1"/>
  <c r="BY249" i="1"/>
  <c r="BZ249" i="1" s="1"/>
  <c r="BU249" i="1"/>
  <c r="BV249" i="1" s="1"/>
  <c r="BT249" i="1"/>
  <c r="BS249" i="1"/>
  <c r="BQ249" i="1"/>
  <c r="BR249" i="1" s="1"/>
  <c r="BP249" i="1"/>
  <c r="BO249" i="1"/>
  <c r="BM249" i="1"/>
  <c r="BN249" i="1" s="1"/>
  <c r="BJ249" i="1"/>
  <c r="BK249" i="1" s="1"/>
  <c r="BH249" i="1"/>
  <c r="BG249" i="1"/>
  <c r="BE249" i="1"/>
  <c r="BF249" i="1" s="1"/>
  <c r="BD249" i="1"/>
  <c r="BC249" i="1"/>
  <c r="BA249" i="1"/>
  <c r="BB249" i="1" s="1"/>
  <c r="AZ249" i="1"/>
  <c r="AW249" i="1"/>
  <c r="AX249" i="1" s="1"/>
  <c r="AV249" i="1"/>
  <c r="AS249" i="1"/>
  <c r="AT249" i="1" s="1"/>
  <c r="AR249" i="1"/>
  <c r="AQ249" i="1"/>
  <c r="AO249" i="1"/>
  <c r="AP249" i="1" s="1"/>
  <c r="AM249" i="1"/>
  <c r="AN249" i="1" s="1"/>
  <c r="AL249" i="1"/>
  <c r="AK249" i="1"/>
  <c r="AI249" i="1"/>
  <c r="AJ249" i="1" s="1"/>
  <c r="T249" i="1"/>
  <c r="K249" i="1"/>
  <c r="CO248" i="1"/>
  <c r="CN248" i="1"/>
  <c r="CL248" i="1"/>
  <c r="CM248" i="1" s="1"/>
  <c r="CF248" i="1"/>
  <c r="CE248" i="1"/>
  <c r="CC248" i="1"/>
  <c r="CD248" i="1" s="1"/>
  <c r="CB248" i="1"/>
  <c r="CA248" i="1"/>
  <c r="BY248" i="1"/>
  <c r="BZ248" i="1" s="1"/>
  <c r="BU248" i="1"/>
  <c r="BV248" i="1" s="1"/>
  <c r="BT248" i="1"/>
  <c r="BS248" i="1"/>
  <c r="BQ248" i="1"/>
  <c r="BR248" i="1" s="1"/>
  <c r="BP248" i="1"/>
  <c r="BO248" i="1"/>
  <c r="BM248" i="1"/>
  <c r="BN248" i="1" s="1"/>
  <c r="BJ248" i="1"/>
  <c r="BK248" i="1" s="1"/>
  <c r="BH248" i="1"/>
  <c r="BG248" i="1"/>
  <c r="BE248" i="1"/>
  <c r="BF248" i="1" s="1"/>
  <c r="BD248" i="1"/>
  <c r="BC248" i="1"/>
  <c r="BA248" i="1"/>
  <c r="BB248" i="1" s="1"/>
  <c r="AZ248" i="1"/>
  <c r="AW248" i="1"/>
  <c r="AX248" i="1" s="1"/>
  <c r="AV248" i="1"/>
  <c r="AS248" i="1"/>
  <c r="AT248" i="1" s="1"/>
  <c r="AR248" i="1"/>
  <c r="AQ248" i="1"/>
  <c r="AO248" i="1"/>
  <c r="AP248" i="1" s="1"/>
  <c r="AM248" i="1"/>
  <c r="AN248" i="1" s="1"/>
  <c r="AL248" i="1"/>
  <c r="AK248" i="1"/>
  <c r="AI248" i="1"/>
  <c r="AJ248" i="1" s="1"/>
  <c r="T248" i="1"/>
  <c r="K248" i="1"/>
  <c r="CO247" i="1"/>
  <c r="CN247" i="1"/>
  <c r="CL247" i="1"/>
  <c r="CM247" i="1" s="1"/>
  <c r="CF247" i="1"/>
  <c r="CE247" i="1"/>
  <c r="CC247" i="1"/>
  <c r="CD247" i="1" s="1"/>
  <c r="CB247" i="1"/>
  <c r="CA247" i="1"/>
  <c r="BY247" i="1"/>
  <c r="BZ247" i="1" s="1"/>
  <c r="BU247" i="1"/>
  <c r="BV247" i="1" s="1"/>
  <c r="BT247" i="1"/>
  <c r="BS247" i="1"/>
  <c r="BQ247" i="1"/>
  <c r="BR247" i="1" s="1"/>
  <c r="BP247" i="1"/>
  <c r="BO247" i="1"/>
  <c r="BM247" i="1"/>
  <c r="BN247" i="1" s="1"/>
  <c r="BJ247" i="1"/>
  <c r="BK247" i="1" s="1"/>
  <c r="BH247" i="1"/>
  <c r="BG247" i="1"/>
  <c r="BE247" i="1"/>
  <c r="BF247" i="1" s="1"/>
  <c r="BD247" i="1"/>
  <c r="BC247" i="1"/>
  <c r="BA247" i="1"/>
  <c r="BB247" i="1" s="1"/>
  <c r="AZ247" i="1"/>
  <c r="AW247" i="1"/>
  <c r="AX247" i="1" s="1"/>
  <c r="AV247" i="1"/>
  <c r="AS247" i="1"/>
  <c r="AT247" i="1" s="1"/>
  <c r="AR247" i="1"/>
  <c r="AQ247" i="1"/>
  <c r="AO247" i="1"/>
  <c r="AP247" i="1" s="1"/>
  <c r="AM247" i="1"/>
  <c r="AN247" i="1" s="1"/>
  <c r="AL247" i="1"/>
  <c r="AK247" i="1"/>
  <c r="CJ247" i="1" s="1"/>
  <c r="R247" i="1" s="1"/>
  <c r="AI247" i="1"/>
  <c r="AJ247" i="1" s="1"/>
  <c r="T247" i="1"/>
  <c r="K247" i="1"/>
  <c r="CO246" i="1"/>
  <c r="CN246" i="1"/>
  <c r="CL246" i="1"/>
  <c r="CM246" i="1" s="1"/>
  <c r="CF246" i="1"/>
  <c r="CE246" i="1"/>
  <c r="CC246" i="1"/>
  <c r="CD246" i="1" s="1"/>
  <c r="CB246" i="1"/>
  <c r="CA246" i="1"/>
  <c r="BY246" i="1"/>
  <c r="BZ246" i="1" s="1"/>
  <c r="BU246" i="1"/>
  <c r="BV246" i="1" s="1"/>
  <c r="BT246" i="1"/>
  <c r="BS246" i="1"/>
  <c r="BQ246" i="1"/>
  <c r="BR246" i="1" s="1"/>
  <c r="BP246" i="1"/>
  <c r="BO246" i="1"/>
  <c r="BM246" i="1"/>
  <c r="BN246" i="1" s="1"/>
  <c r="BJ246" i="1"/>
  <c r="BK246" i="1" s="1"/>
  <c r="BH246" i="1"/>
  <c r="BG246" i="1"/>
  <c r="BE246" i="1"/>
  <c r="BF246" i="1" s="1"/>
  <c r="BD246" i="1"/>
  <c r="BC246" i="1"/>
  <c r="BA246" i="1"/>
  <c r="BB246" i="1" s="1"/>
  <c r="AZ246" i="1"/>
  <c r="AW246" i="1"/>
  <c r="AX246" i="1" s="1"/>
  <c r="AV246" i="1"/>
  <c r="AT246" i="1"/>
  <c r="AS246" i="1"/>
  <c r="AR246" i="1"/>
  <c r="AQ246" i="1"/>
  <c r="AP246" i="1"/>
  <c r="AO246" i="1"/>
  <c r="AN246" i="1"/>
  <c r="AM246" i="1"/>
  <c r="AL246" i="1"/>
  <c r="AK246" i="1"/>
  <c r="AJ246" i="1"/>
  <c r="AI246" i="1"/>
  <c r="T246" i="1"/>
  <c r="K246" i="1"/>
  <c r="CO245" i="1"/>
  <c r="CN245" i="1"/>
  <c r="CL245" i="1"/>
  <c r="CM245" i="1" s="1"/>
  <c r="CF245" i="1"/>
  <c r="CE245" i="1"/>
  <c r="CC245" i="1"/>
  <c r="CD245" i="1" s="1"/>
  <c r="CB245" i="1"/>
  <c r="CA245" i="1"/>
  <c r="BY245" i="1"/>
  <c r="BZ245" i="1" s="1"/>
  <c r="BU245" i="1"/>
  <c r="BV245" i="1" s="1"/>
  <c r="BT245" i="1"/>
  <c r="BS245" i="1"/>
  <c r="BQ245" i="1"/>
  <c r="BR245" i="1" s="1"/>
  <c r="BP245" i="1"/>
  <c r="BO245" i="1"/>
  <c r="BM245" i="1"/>
  <c r="BN245" i="1" s="1"/>
  <c r="BJ245" i="1"/>
  <c r="BK245" i="1" s="1"/>
  <c r="BH245" i="1"/>
  <c r="BG245" i="1"/>
  <c r="BE245" i="1"/>
  <c r="BF245" i="1" s="1"/>
  <c r="BD245" i="1"/>
  <c r="BC245" i="1"/>
  <c r="BA245" i="1"/>
  <c r="BB245" i="1" s="1"/>
  <c r="AZ245" i="1"/>
  <c r="AX245" i="1"/>
  <c r="AW245" i="1"/>
  <c r="AV245" i="1"/>
  <c r="AS245" i="1"/>
  <c r="AT245" i="1" s="1"/>
  <c r="AR245" i="1"/>
  <c r="AQ245" i="1"/>
  <c r="AO245" i="1"/>
  <c r="AP245" i="1" s="1"/>
  <c r="AM245" i="1"/>
  <c r="AN245" i="1" s="1"/>
  <c r="AL245" i="1"/>
  <c r="AK245" i="1"/>
  <c r="AI245" i="1"/>
  <c r="AJ245" i="1" s="1"/>
  <c r="T245" i="1"/>
  <c r="K245" i="1"/>
  <c r="CO244" i="1"/>
  <c r="CN244" i="1"/>
  <c r="CL244" i="1"/>
  <c r="CM244" i="1" s="1"/>
  <c r="CF244" i="1"/>
  <c r="CE244" i="1"/>
  <c r="CD244" i="1"/>
  <c r="CC244" i="1"/>
  <c r="CB244" i="1"/>
  <c r="CA244" i="1"/>
  <c r="BZ244" i="1"/>
  <c r="BY244" i="1"/>
  <c r="BV244" i="1"/>
  <c r="BU244" i="1"/>
  <c r="BT244" i="1"/>
  <c r="BS244" i="1"/>
  <c r="BR244" i="1"/>
  <c r="BQ244" i="1"/>
  <c r="BP244" i="1"/>
  <c r="BO244" i="1"/>
  <c r="BN244" i="1"/>
  <c r="BM244" i="1"/>
  <c r="BK244" i="1"/>
  <c r="BJ244" i="1"/>
  <c r="BH244" i="1"/>
  <c r="BG244" i="1"/>
  <c r="BF244" i="1"/>
  <c r="BE244" i="1"/>
  <c r="BD244" i="1"/>
  <c r="BC244" i="1"/>
  <c r="BB244" i="1"/>
  <c r="BA244" i="1"/>
  <c r="AZ244" i="1"/>
  <c r="AW244" i="1"/>
  <c r="AX244" i="1" s="1"/>
  <c r="AV244" i="1"/>
  <c r="AS244" i="1"/>
  <c r="AT244" i="1" s="1"/>
  <c r="AR244" i="1"/>
  <c r="AQ244" i="1"/>
  <c r="AO244" i="1"/>
  <c r="AP244" i="1" s="1"/>
  <c r="AM244" i="1"/>
  <c r="AN244" i="1" s="1"/>
  <c r="AL244" i="1"/>
  <c r="AK244" i="1"/>
  <c r="AI244" i="1"/>
  <c r="AJ244" i="1" s="1"/>
  <c r="CI244" i="1" s="1"/>
  <c r="T244" i="1"/>
  <c r="K244" i="1"/>
  <c r="CO243" i="1"/>
  <c r="CN243" i="1"/>
  <c r="CL243" i="1"/>
  <c r="CM243" i="1" s="1"/>
  <c r="CF243" i="1"/>
  <c r="CE243" i="1"/>
  <c r="CC243" i="1"/>
  <c r="CD243" i="1" s="1"/>
  <c r="CB243" i="1"/>
  <c r="CA243" i="1"/>
  <c r="BY243" i="1"/>
  <c r="BZ243" i="1" s="1"/>
  <c r="BU243" i="1"/>
  <c r="BV243" i="1" s="1"/>
  <c r="BT243" i="1"/>
  <c r="BS243" i="1"/>
  <c r="BQ243" i="1"/>
  <c r="BR243" i="1" s="1"/>
  <c r="BP243" i="1"/>
  <c r="BO243" i="1"/>
  <c r="BM243" i="1"/>
  <c r="BN243" i="1" s="1"/>
  <c r="BJ243" i="1"/>
  <c r="BK243" i="1" s="1"/>
  <c r="BH243" i="1"/>
  <c r="BG243" i="1"/>
  <c r="BE243" i="1"/>
  <c r="BF243" i="1" s="1"/>
  <c r="BD243" i="1"/>
  <c r="BC243" i="1"/>
  <c r="BA243" i="1"/>
  <c r="BB243" i="1" s="1"/>
  <c r="AZ243" i="1"/>
  <c r="AW243" i="1"/>
  <c r="AX243" i="1" s="1"/>
  <c r="AV243" i="1"/>
  <c r="AS243" i="1"/>
  <c r="AT243" i="1" s="1"/>
  <c r="AR243" i="1"/>
  <c r="AQ243" i="1"/>
  <c r="AO243" i="1"/>
  <c r="AP243" i="1" s="1"/>
  <c r="AM243" i="1"/>
  <c r="AN243" i="1" s="1"/>
  <c r="AL243" i="1"/>
  <c r="AK243" i="1"/>
  <c r="AI243" i="1"/>
  <c r="AJ243" i="1" s="1"/>
  <c r="T243" i="1"/>
  <c r="K243" i="1"/>
  <c r="CO242" i="1"/>
  <c r="CN242" i="1"/>
  <c r="CL242" i="1"/>
  <c r="CM242" i="1" s="1"/>
  <c r="CF242" i="1"/>
  <c r="CE242" i="1"/>
  <c r="CC242" i="1"/>
  <c r="CD242" i="1" s="1"/>
  <c r="CB242" i="1"/>
  <c r="CA242" i="1"/>
  <c r="BY242" i="1"/>
  <c r="BZ242" i="1" s="1"/>
  <c r="BU242" i="1"/>
  <c r="BV242" i="1" s="1"/>
  <c r="BT242" i="1"/>
  <c r="BS242" i="1"/>
  <c r="BQ242" i="1"/>
  <c r="BR242" i="1" s="1"/>
  <c r="BP242" i="1"/>
  <c r="BO242" i="1"/>
  <c r="BM242" i="1"/>
  <c r="BN242" i="1" s="1"/>
  <c r="BJ242" i="1"/>
  <c r="BK242" i="1" s="1"/>
  <c r="BH242" i="1"/>
  <c r="BG242" i="1"/>
  <c r="BE242" i="1"/>
  <c r="BF242" i="1" s="1"/>
  <c r="BD242" i="1"/>
  <c r="BC242" i="1"/>
  <c r="BA242" i="1"/>
  <c r="BB242" i="1" s="1"/>
  <c r="AZ242" i="1"/>
  <c r="AW242" i="1"/>
  <c r="AX242" i="1" s="1"/>
  <c r="AV242" i="1"/>
  <c r="AS242" i="1"/>
  <c r="AT242" i="1" s="1"/>
  <c r="AR242" i="1"/>
  <c r="AQ242" i="1"/>
  <c r="AO242" i="1"/>
  <c r="AP242" i="1" s="1"/>
  <c r="AM242" i="1"/>
  <c r="AN242" i="1" s="1"/>
  <c r="AL242" i="1"/>
  <c r="AK242" i="1"/>
  <c r="CJ242" i="1" s="1"/>
  <c r="R242" i="1" s="1"/>
  <c r="AI242" i="1"/>
  <c r="T242" i="1"/>
  <c r="K242" i="1"/>
  <c r="CO241" i="1"/>
  <c r="CN241" i="1"/>
  <c r="CL241" i="1"/>
  <c r="CM241" i="1" s="1"/>
  <c r="CF241" i="1"/>
  <c r="CE241" i="1"/>
  <c r="CC241" i="1"/>
  <c r="CD241" i="1" s="1"/>
  <c r="CB241" i="1"/>
  <c r="CA241" i="1"/>
  <c r="BY241" i="1"/>
  <c r="BZ241" i="1" s="1"/>
  <c r="BU241" i="1"/>
  <c r="BV241" i="1" s="1"/>
  <c r="BT241" i="1"/>
  <c r="BS241" i="1"/>
  <c r="BQ241" i="1"/>
  <c r="BR241" i="1" s="1"/>
  <c r="BP241" i="1"/>
  <c r="BO241" i="1"/>
  <c r="BM241" i="1"/>
  <c r="BN241" i="1" s="1"/>
  <c r="BJ241" i="1"/>
  <c r="BK241" i="1" s="1"/>
  <c r="BH241" i="1"/>
  <c r="BG241" i="1"/>
  <c r="BE241" i="1"/>
  <c r="BF241" i="1" s="1"/>
  <c r="BD241" i="1"/>
  <c r="BC241" i="1"/>
  <c r="BA241" i="1"/>
  <c r="BB241" i="1" s="1"/>
  <c r="AZ241" i="1"/>
  <c r="AW241" i="1"/>
  <c r="AX241" i="1" s="1"/>
  <c r="AV241" i="1"/>
  <c r="AS241" i="1"/>
  <c r="AT241" i="1" s="1"/>
  <c r="AR241" i="1"/>
  <c r="AQ241" i="1"/>
  <c r="AO241" i="1"/>
  <c r="AP241" i="1" s="1"/>
  <c r="AM241" i="1"/>
  <c r="AN241" i="1" s="1"/>
  <c r="AL241" i="1"/>
  <c r="AK241" i="1"/>
  <c r="CJ241" i="1" s="1"/>
  <c r="AI241" i="1"/>
  <c r="AJ241" i="1" s="1"/>
  <c r="T241" i="1"/>
  <c r="K241" i="1"/>
  <c r="CO240" i="1"/>
  <c r="CN240" i="1"/>
  <c r="CL240" i="1"/>
  <c r="CM240" i="1" s="1"/>
  <c r="CF240" i="1"/>
  <c r="CE240" i="1"/>
  <c r="CC240" i="1"/>
  <c r="CD240" i="1" s="1"/>
  <c r="CB240" i="1"/>
  <c r="CA240" i="1"/>
  <c r="BY240" i="1"/>
  <c r="BZ240" i="1" s="1"/>
  <c r="BU240" i="1"/>
  <c r="BV240" i="1" s="1"/>
  <c r="BT240" i="1"/>
  <c r="BS240" i="1"/>
  <c r="BQ240" i="1"/>
  <c r="BR240" i="1" s="1"/>
  <c r="BP240" i="1"/>
  <c r="BO240" i="1"/>
  <c r="BM240" i="1"/>
  <c r="BN240" i="1" s="1"/>
  <c r="BJ240" i="1"/>
  <c r="BK240" i="1" s="1"/>
  <c r="BH240" i="1"/>
  <c r="BG240" i="1"/>
  <c r="BE240" i="1"/>
  <c r="BF240" i="1" s="1"/>
  <c r="BD240" i="1"/>
  <c r="BC240" i="1"/>
  <c r="BA240" i="1"/>
  <c r="BB240" i="1" s="1"/>
  <c r="AZ240" i="1"/>
  <c r="AW240" i="1"/>
  <c r="AX240" i="1" s="1"/>
  <c r="AV240" i="1"/>
  <c r="AT240" i="1"/>
  <c r="AS240" i="1"/>
  <c r="AR240" i="1"/>
  <c r="AQ240" i="1"/>
  <c r="AP240" i="1"/>
  <c r="AO240" i="1"/>
  <c r="AN240" i="1"/>
  <c r="AM240" i="1"/>
  <c r="AL240" i="1"/>
  <c r="AK240" i="1"/>
  <c r="AJ240" i="1"/>
  <c r="AI240" i="1"/>
  <c r="T240" i="1"/>
  <c r="K240" i="1"/>
  <c r="CO239" i="1"/>
  <c r="CN239" i="1"/>
  <c r="CM239" i="1"/>
  <c r="CL239" i="1"/>
  <c r="CF239" i="1"/>
  <c r="CE239" i="1"/>
  <c r="CC239" i="1"/>
  <c r="CD239" i="1" s="1"/>
  <c r="CB239" i="1"/>
  <c r="CA239" i="1"/>
  <c r="BY239" i="1"/>
  <c r="BZ239" i="1" s="1"/>
  <c r="BU239" i="1"/>
  <c r="BV239" i="1" s="1"/>
  <c r="BT239" i="1"/>
  <c r="BS239" i="1"/>
  <c r="BQ239" i="1"/>
  <c r="BR239" i="1" s="1"/>
  <c r="BP239" i="1"/>
  <c r="BO239" i="1"/>
  <c r="BM239" i="1"/>
  <c r="BN239" i="1" s="1"/>
  <c r="BJ239" i="1"/>
  <c r="BK239" i="1" s="1"/>
  <c r="BH239" i="1"/>
  <c r="BG239" i="1"/>
  <c r="BE239" i="1"/>
  <c r="BF239" i="1" s="1"/>
  <c r="BD239" i="1"/>
  <c r="BC239" i="1"/>
  <c r="BA239" i="1"/>
  <c r="BB239" i="1" s="1"/>
  <c r="AZ239" i="1"/>
  <c r="AW239" i="1"/>
  <c r="AX239" i="1" s="1"/>
  <c r="AV239" i="1"/>
  <c r="AS239" i="1"/>
  <c r="AT239" i="1" s="1"/>
  <c r="AR239" i="1"/>
  <c r="AQ239" i="1"/>
  <c r="AO239" i="1"/>
  <c r="AP239" i="1" s="1"/>
  <c r="AM239" i="1"/>
  <c r="AN239" i="1" s="1"/>
  <c r="AL239" i="1"/>
  <c r="AK239" i="1"/>
  <c r="AI239" i="1"/>
  <c r="AJ239" i="1" s="1"/>
  <c r="T239" i="1"/>
  <c r="K239" i="1"/>
  <c r="CO238" i="1"/>
  <c r="CN238" i="1"/>
  <c r="CL238" i="1"/>
  <c r="CM238" i="1" s="1"/>
  <c r="CF238" i="1"/>
  <c r="CE238" i="1"/>
  <c r="CC238" i="1"/>
  <c r="CD238" i="1" s="1"/>
  <c r="CB238" i="1"/>
  <c r="CA238" i="1"/>
  <c r="BY238" i="1"/>
  <c r="BZ238" i="1" s="1"/>
  <c r="BU238" i="1"/>
  <c r="BV238" i="1" s="1"/>
  <c r="BT238" i="1"/>
  <c r="BS238" i="1"/>
  <c r="BQ238" i="1"/>
  <c r="BR238" i="1" s="1"/>
  <c r="BP238" i="1"/>
  <c r="BO238" i="1"/>
  <c r="BM238" i="1"/>
  <c r="BN238" i="1" s="1"/>
  <c r="BJ238" i="1"/>
  <c r="BK238" i="1" s="1"/>
  <c r="BH238" i="1"/>
  <c r="BG238" i="1"/>
  <c r="BE238" i="1"/>
  <c r="BF238" i="1" s="1"/>
  <c r="BD238" i="1"/>
  <c r="BC238" i="1"/>
  <c r="BA238" i="1"/>
  <c r="BB238" i="1" s="1"/>
  <c r="AZ238" i="1"/>
  <c r="AW238" i="1"/>
  <c r="AX238" i="1" s="1"/>
  <c r="AV238" i="1"/>
  <c r="AS238" i="1"/>
  <c r="AT238" i="1" s="1"/>
  <c r="AR238" i="1"/>
  <c r="AQ238" i="1"/>
  <c r="AO238" i="1"/>
  <c r="AP238" i="1" s="1"/>
  <c r="AM238" i="1"/>
  <c r="AN238" i="1" s="1"/>
  <c r="AL238" i="1"/>
  <c r="AK238" i="1"/>
  <c r="AI238" i="1"/>
  <c r="AJ238" i="1" s="1"/>
  <c r="T238" i="1"/>
  <c r="K238" i="1"/>
  <c r="CO237" i="1"/>
  <c r="CN237" i="1"/>
  <c r="CL237" i="1"/>
  <c r="CM237" i="1" s="1"/>
  <c r="CF237" i="1"/>
  <c r="CE237" i="1"/>
  <c r="CC237" i="1"/>
  <c r="CD237" i="1" s="1"/>
  <c r="CB237" i="1"/>
  <c r="CA237" i="1"/>
  <c r="BY237" i="1"/>
  <c r="BZ237" i="1" s="1"/>
  <c r="BU237" i="1"/>
  <c r="BV237" i="1" s="1"/>
  <c r="BT237" i="1"/>
  <c r="BS237" i="1"/>
  <c r="BQ237" i="1"/>
  <c r="BR237" i="1" s="1"/>
  <c r="BP237" i="1"/>
  <c r="BO237" i="1"/>
  <c r="BM237" i="1"/>
  <c r="BN237" i="1" s="1"/>
  <c r="BJ237" i="1"/>
  <c r="BK237" i="1" s="1"/>
  <c r="BH237" i="1"/>
  <c r="BG237" i="1"/>
  <c r="BE237" i="1"/>
  <c r="BF237" i="1" s="1"/>
  <c r="BD237" i="1"/>
  <c r="BC237" i="1"/>
  <c r="BA237" i="1"/>
  <c r="BB237" i="1" s="1"/>
  <c r="AZ237" i="1"/>
  <c r="AW237" i="1"/>
  <c r="AX237" i="1" s="1"/>
  <c r="AV237" i="1"/>
  <c r="AS237" i="1"/>
  <c r="AT237" i="1" s="1"/>
  <c r="AR237" i="1"/>
  <c r="AQ237" i="1"/>
  <c r="AO237" i="1"/>
  <c r="AP237" i="1" s="1"/>
  <c r="AM237" i="1"/>
  <c r="AN237" i="1" s="1"/>
  <c r="AL237" i="1"/>
  <c r="AK237" i="1"/>
  <c r="AI237" i="1"/>
  <c r="AJ237" i="1" s="1"/>
  <c r="T237" i="1"/>
  <c r="K237" i="1"/>
  <c r="CO236" i="1"/>
  <c r="CN236" i="1"/>
  <c r="CL236" i="1"/>
  <c r="CM236" i="1" s="1"/>
  <c r="CF236" i="1"/>
  <c r="CE236" i="1"/>
  <c r="CC236" i="1"/>
  <c r="CD236" i="1" s="1"/>
  <c r="CB236" i="1"/>
  <c r="CA236" i="1"/>
  <c r="BY236" i="1"/>
  <c r="BZ236" i="1" s="1"/>
  <c r="BU236" i="1"/>
  <c r="BV236" i="1" s="1"/>
  <c r="BT236" i="1"/>
  <c r="BS236" i="1"/>
  <c r="BQ236" i="1"/>
  <c r="BR236" i="1" s="1"/>
  <c r="BP236" i="1"/>
  <c r="BO236" i="1"/>
  <c r="BM236" i="1"/>
  <c r="BN236" i="1" s="1"/>
  <c r="BJ236" i="1"/>
  <c r="BK236" i="1" s="1"/>
  <c r="BH236" i="1"/>
  <c r="BG236" i="1"/>
  <c r="BE236" i="1"/>
  <c r="BF236" i="1" s="1"/>
  <c r="BD236" i="1"/>
  <c r="BC236" i="1"/>
  <c r="BA236" i="1"/>
  <c r="BB236" i="1" s="1"/>
  <c r="AZ236" i="1"/>
  <c r="AW236" i="1"/>
  <c r="AX236" i="1" s="1"/>
  <c r="AV236" i="1"/>
  <c r="AS236" i="1"/>
  <c r="AT236" i="1" s="1"/>
  <c r="AR236" i="1"/>
  <c r="AQ236" i="1"/>
  <c r="AO236" i="1"/>
  <c r="AP236" i="1" s="1"/>
  <c r="AM236" i="1"/>
  <c r="AN236" i="1" s="1"/>
  <c r="AL236" i="1"/>
  <c r="AK236" i="1"/>
  <c r="AI236" i="1"/>
  <c r="AJ236" i="1" s="1"/>
  <c r="T236" i="1"/>
  <c r="K236" i="1"/>
  <c r="CO235" i="1"/>
  <c r="CN235" i="1"/>
  <c r="CL235" i="1"/>
  <c r="CM235" i="1" s="1"/>
  <c r="CF235" i="1"/>
  <c r="CE235" i="1"/>
  <c r="CC235" i="1"/>
  <c r="CD235" i="1" s="1"/>
  <c r="CB235" i="1"/>
  <c r="CA235" i="1"/>
  <c r="BY235" i="1"/>
  <c r="BZ235" i="1" s="1"/>
  <c r="BU235" i="1"/>
  <c r="BV235" i="1" s="1"/>
  <c r="BT235" i="1"/>
  <c r="BS235" i="1"/>
  <c r="BQ235" i="1"/>
  <c r="BR235" i="1" s="1"/>
  <c r="BP235" i="1"/>
  <c r="BO235" i="1"/>
  <c r="BM235" i="1"/>
  <c r="BN235" i="1" s="1"/>
  <c r="BJ235" i="1"/>
  <c r="BK235" i="1" s="1"/>
  <c r="BH235" i="1"/>
  <c r="BG235" i="1"/>
  <c r="BE235" i="1"/>
  <c r="BF235" i="1" s="1"/>
  <c r="BD235" i="1"/>
  <c r="BC235" i="1"/>
  <c r="BA235" i="1"/>
  <c r="BB235" i="1" s="1"/>
  <c r="AZ235" i="1"/>
  <c r="AX235" i="1"/>
  <c r="AW235" i="1"/>
  <c r="AV235" i="1"/>
  <c r="AS235" i="1"/>
  <c r="AT235" i="1" s="1"/>
  <c r="AR235" i="1"/>
  <c r="AQ235" i="1"/>
  <c r="AO235" i="1"/>
  <c r="AP235" i="1" s="1"/>
  <c r="AM235" i="1"/>
  <c r="AN235" i="1" s="1"/>
  <c r="AL235" i="1"/>
  <c r="AK235" i="1"/>
  <c r="AI235" i="1"/>
  <c r="AJ235" i="1" s="1"/>
  <c r="T235" i="1"/>
  <c r="K235" i="1"/>
  <c r="CO234" i="1"/>
  <c r="CN234" i="1"/>
  <c r="CL234" i="1"/>
  <c r="CM234" i="1" s="1"/>
  <c r="CF234" i="1"/>
  <c r="CE234" i="1"/>
  <c r="CD234" i="1"/>
  <c r="CC234" i="1"/>
  <c r="CB234" i="1"/>
  <c r="CA234" i="1"/>
  <c r="BZ234" i="1"/>
  <c r="BY234" i="1"/>
  <c r="BV234" i="1"/>
  <c r="BU234" i="1"/>
  <c r="BT234" i="1"/>
  <c r="BS234" i="1"/>
  <c r="BR234" i="1"/>
  <c r="BQ234" i="1"/>
  <c r="BP234" i="1"/>
  <c r="BO234" i="1"/>
  <c r="BN234" i="1"/>
  <c r="BM234" i="1"/>
  <c r="BK234" i="1"/>
  <c r="BJ234" i="1"/>
  <c r="BH234" i="1"/>
  <c r="BG234" i="1"/>
  <c r="BF234" i="1"/>
  <c r="BE234" i="1"/>
  <c r="BD234" i="1"/>
  <c r="BC234" i="1"/>
  <c r="BB234" i="1"/>
  <c r="BA234" i="1"/>
  <c r="AZ234" i="1"/>
  <c r="AW234" i="1"/>
  <c r="AX234" i="1" s="1"/>
  <c r="AV234" i="1"/>
  <c r="AS234" i="1"/>
  <c r="AT234" i="1" s="1"/>
  <c r="AR234" i="1"/>
  <c r="AQ234" i="1"/>
  <c r="AO234" i="1"/>
  <c r="AP234" i="1" s="1"/>
  <c r="AM234" i="1"/>
  <c r="AN234" i="1" s="1"/>
  <c r="AL234" i="1"/>
  <c r="AK234" i="1"/>
  <c r="AI234" i="1"/>
  <c r="CH234" i="1" s="1"/>
  <c r="P234" i="1" s="1"/>
  <c r="T234" i="1"/>
  <c r="K234" i="1"/>
  <c r="CO233" i="1"/>
  <c r="CN233" i="1"/>
  <c r="CM233" i="1"/>
  <c r="CL233" i="1"/>
  <c r="CF233" i="1"/>
  <c r="CE233" i="1"/>
  <c r="CC233" i="1"/>
  <c r="CD233" i="1" s="1"/>
  <c r="CB233" i="1"/>
  <c r="CA233" i="1"/>
  <c r="BY233" i="1"/>
  <c r="BZ233" i="1" s="1"/>
  <c r="BU233" i="1"/>
  <c r="BV233" i="1" s="1"/>
  <c r="BT233" i="1"/>
  <c r="BS233" i="1"/>
  <c r="BQ233" i="1"/>
  <c r="BR233" i="1" s="1"/>
  <c r="BP233" i="1"/>
  <c r="BO233" i="1"/>
  <c r="BM233" i="1"/>
  <c r="BN233" i="1" s="1"/>
  <c r="BJ233" i="1"/>
  <c r="BK233" i="1" s="1"/>
  <c r="BH233" i="1"/>
  <c r="BG233" i="1"/>
  <c r="BE233" i="1"/>
  <c r="BF233" i="1" s="1"/>
  <c r="BD233" i="1"/>
  <c r="BC233" i="1"/>
  <c r="BA233" i="1"/>
  <c r="BB233" i="1" s="1"/>
  <c r="AZ233" i="1"/>
  <c r="AW233" i="1"/>
  <c r="AX233" i="1" s="1"/>
  <c r="AV233" i="1"/>
  <c r="AS233" i="1"/>
  <c r="AT233" i="1" s="1"/>
  <c r="AR233" i="1"/>
  <c r="AQ233" i="1"/>
  <c r="AO233" i="1"/>
  <c r="AP233" i="1" s="1"/>
  <c r="AM233" i="1"/>
  <c r="AN233" i="1" s="1"/>
  <c r="AL233" i="1"/>
  <c r="AK233" i="1"/>
  <c r="AI233" i="1"/>
  <c r="AJ233" i="1" s="1"/>
  <c r="T233" i="1"/>
  <c r="K233" i="1"/>
  <c r="CO232" i="1"/>
  <c r="CN232" i="1"/>
  <c r="CL232" i="1"/>
  <c r="CM232" i="1" s="1"/>
  <c r="CF232" i="1"/>
  <c r="CE232" i="1"/>
  <c r="CC232" i="1"/>
  <c r="CD232" i="1" s="1"/>
  <c r="CB232" i="1"/>
  <c r="CA232" i="1"/>
  <c r="BY232" i="1"/>
  <c r="BZ232" i="1" s="1"/>
  <c r="BU232" i="1"/>
  <c r="BV232" i="1" s="1"/>
  <c r="BT232" i="1"/>
  <c r="BS232" i="1"/>
  <c r="BQ232" i="1"/>
  <c r="BR232" i="1" s="1"/>
  <c r="BP232" i="1"/>
  <c r="BO232" i="1"/>
  <c r="BM232" i="1"/>
  <c r="BN232" i="1" s="1"/>
  <c r="BJ232" i="1"/>
  <c r="BK232" i="1" s="1"/>
  <c r="BH232" i="1"/>
  <c r="BG232" i="1"/>
  <c r="BE232" i="1"/>
  <c r="BF232" i="1" s="1"/>
  <c r="BD232" i="1"/>
  <c r="BC232" i="1"/>
  <c r="BA232" i="1"/>
  <c r="BB232" i="1" s="1"/>
  <c r="AZ232" i="1"/>
  <c r="AW232" i="1"/>
  <c r="AX232" i="1" s="1"/>
  <c r="AV232" i="1"/>
  <c r="AS232" i="1"/>
  <c r="AT232" i="1" s="1"/>
  <c r="AR232" i="1"/>
  <c r="AQ232" i="1"/>
  <c r="AO232" i="1"/>
  <c r="AP232" i="1" s="1"/>
  <c r="AM232" i="1"/>
  <c r="AN232" i="1" s="1"/>
  <c r="AL232" i="1"/>
  <c r="AK232" i="1"/>
  <c r="AI232" i="1"/>
  <c r="AJ232" i="1" s="1"/>
  <c r="T232" i="1"/>
  <c r="K232" i="1"/>
  <c r="CO231" i="1"/>
  <c r="CN231" i="1"/>
  <c r="CL231" i="1"/>
  <c r="CM231" i="1" s="1"/>
  <c r="CF231" i="1"/>
  <c r="CE231" i="1"/>
  <c r="CC231" i="1"/>
  <c r="CD231" i="1" s="1"/>
  <c r="CB231" i="1"/>
  <c r="CA231" i="1"/>
  <c r="BY231" i="1"/>
  <c r="BZ231" i="1" s="1"/>
  <c r="BU231" i="1"/>
  <c r="BV231" i="1" s="1"/>
  <c r="BT231" i="1"/>
  <c r="BS231" i="1"/>
  <c r="BQ231" i="1"/>
  <c r="BR231" i="1" s="1"/>
  <c r="BP231" i="1"/>
  <c r="BO231" i="1"/>
  <c r="BM231" i="1"/>
  <c r="BN231" i="1" s="1"/>
  <c r="BJ231" i="1"/>
  <c r="BK231" i="1" s="1"/>
  <c r="BH231" i="1"/>
  <c r="BG231" i="1"/>
  <c r="BE231" i="1"/>
  <c r="BF231" i="1" s="1"/>
  <c r="BD231" i="1"/>
  <c r="BC231" i="1"/>
  <c r="BA231" i="1"/>
  <c r="BB231" i="1" s="1"/>
  <c r="AZ231" i="1"/>
  <c r="AW231" i="1"/>
  <c r="AX231" i="1" s="1"/>
  <c r="AV231" i="1"/>
  <c r="AS231" i="1"/>
  <c r="AT231" i="1" s="1"/>
  <c r="AR231" i="1"/>
  <c r="AQ231" i="1"/>
  <c r="AO231" i="1"/>
  <c r="AP231" i="1" s="1"/>
  <c r="AM231" i="1"/>
  <c r="AN231" i="1" s="1"/>
  <c r="AL231" i="1"/>
  <c r="AK231" i="1"/>
  <c r="CJ231" i="1" s="1"/>
  <c r="R231" i="1" s="1"/>
  <c r="AI231" i="1"/>
  <c r="AJ231" i="1" s="1"/>
  <c r="T231" i="1"/>
  <c r="K231" i="1"/>
  <c r="CO230" i="1"/>
  <c r="CN230" i="1"/>
  <c r="CL230" i="1"/>
  <c r="CM230" i="1" s="1"/>
  <c r="CF230" i="1"/>
  <c r="CE230" i="1"/>
  <c r="CC230" i="1"/>
  <c r="CD230" i="1" s="1"/>
  <c r="CB230" i="1"/>
  <c r="CA230" i="1"/>
  <c r="BY230" i="1"/>
  <c r="BZ230" i="1" s="1"/>
  <c r="BU230" i="1"/>
  <c r="BV230" i="1" s="1"/>
  <c r="BT230" i="1"/>
  <c r="BS230" i="1"/>
  <c r="BQ230" i="1"/>
  <c r="BR230" i="1" s="1"/>
  <c r="BP230" i="1"/>
  <c r="BO230" i="1"/>
  <c r="BM230" i="1"/>
  <c r="BN230" i="1" s="1"/>
  <c r="BJ230" i="1"/>
  <c r="BK230" i="1" s="1"/>
  <c r="BH230" i="1"/>
  <c r="BG230" i="1"/>
  <c r="BE230" i="1"/>
  <c r="BF230" i="1" s="1"/>
  <c r="BD230" i="1"/>
  <c r="BC230" i="1"/>
  <c r="BA230" i="1"/>
  <c r="BB230" i="1" s="1"/>
  <c r="AZ230" i="1"/>
  <c r="AW230" i="1"/>
  <c r="AX230" i="1" s="1"/>
  <c r="AV230" i="1"/>
  <c r="AT230" i="1"/>
  <c r="AS230" i="1"/>
  <c r="AR230" i="1"/>
  <c r="AQ230" i="1"/>
  <c r="AP230" i="1"/>
  <c r="AO230" i="1"/>
  <c r="AN230" i="1"/>
  <c r="AM230" i="1"/>
  <c r="AL230" i="1"/>
  <c r="AK230" i="1"/>
  <c r="AJ230" i="1"/>
  <c r="AI230" i="1"/>
  <c r="T230" i="1"/>
  <c r="K230" i="1"/>
  <c r="CO229" i="1"/>
  <c r="CN229" i="1"/>
  <c r="CL229" i="1"/>
  <c r="CM229" i="1" s="1"/>
  <c r="CF229" i="1"/>
  <c r="CE229" i="1"/>
  <c r="CC229" i="1"/>
  <c r="CD229" i="1" s="1"/>
  <c r="CB229" i="1"/>
  <c r="CA229" i="1"/>
  <c r="BY229" i="1"/>
  <c r="BZ229" i="1" s="1"/>
  <c r="BU229" i="1"/>
  <c r="BV229" i="1" s="1"/>
  <c r="BT229" i="1"/>
  <c r="BS229" i="1"/>
  <c r="BQ229" i="1"/>
  <c r="BR229" i="1" s="1"/>
  <c r="BP229" i="1"/>
  <c r="BO229" i="1"/>
  <c r="BM229" i="1"/>
  <c r="BN229" i="1" s="1"/>
  <c r="BJ229" i="1"/>
  <c r="BK229" i="1" s="1"/>
  <c r="BH229" i="1"/>
  <c r="BG229" i="1"/>
  <c r="BE229" i="1"/>
  <c r="BF229" i="1" s="1"/>
  <c r="BD229" i="1"/>
  <c r="BC229" i="1"/>
  <c r="BA229" i="1"/>
  <c r="BB229" i="1" s="1"/>
  <c r="AZ229" i="1"/>
  <c r="AX229" i="1"/>
  <c r="AW229" i="1"/>
  <c r="AV229" i="1"/>
  <c r="AS229" i="1"/>
  <c r="AT229" i="1" s="1"/>
  <c r="AR229" i="1"/>
  <c r="AQ229" i="1"/>
  <c r="AO229" i="1"/>
  <c r="AP229" i="1" s="1"/>
  <c r="AM229" i="1"/>
  <c r="AN229" i="1" s="1"/>
  <c r="AL229" i="1"/>
  <c r="AK229" i="1"/>
  <c r="AI229" i="1"/>
  <c r="AJ229" i="1" s="1"/>
  <c r="T229" i="1"/>
  <c r="K229" i="1"/>
  <c r="CO228" i="1"/>
  <c r="CN228" i="1"/>
  <c r="CL228" i="1"/>
  <c r="CM228" i="1" s="1"/>
  <c r="CF228" i="1"/>
  <c r="CE228" i="1"/>
  <c r="CD228" i="1"/>
  <c r="CC228" i="1"/>
  <c r="CB228" i="1"/>
  <c r="CA228" i="1"/>
  <c r="BZ228" i="1"/>
  <c r="BY228" i="1"/>
  <c r="BV228" i="1"/>
  <c r="BU228" i="1"/>
  <c r="BT228" i="1"/>
  <c r="BS228" i="1"/>
  <c r="BR228" i="1"/>
  <c r="BQ228" i="1"/>
  <c r="BP228" i="1"/>
  <c r="BO228" i="1"/>
  <c r="BN228" i="1"/>
  <c r="BM228" i="1"/>
  <c r="BK228" i="1"/>
  <c r="BJ228" i="1"/>
  <c r="BH228" i="1"/>
  <c r="BG228" i="1"/>
  <c r="BF228" i="1"/>
  <c r="BE228" i="1"/>
  <c r="BD228" i="1"/>
  <c r="BC228" i="1"/>
  <c r="BB228" i="1"/>
  <c r="BA228" i="1"/>
  <c r="AZ228" i="1"/>
  <c r="AW228" i="1"/>
  <c r="AX228" i="1" s="1"/>
  <c r="AV228" i="1"/>
  <c r="AS228" i="1"/>
  <c r="AT228" i="1" s="1"/>
  <c r="AR228" i="1"/>
  <c r="AQ228" i="1"/>
  <c r="AO228" i="1"/>
  <c r="AP228" i="1" s="1"/>
  <c r="AM228" i="1"/>
  <c r="AN228" i="1" s="1"/>
  <c r="AL228" i="1"/>
  <c r="AK228" i="1"/>
  <c r="AI228" i="1"/>
  <c r="AJ228" i="1" s="1"/>
  <c r="CI228" i="1" s="1"/>
  <c r="T228" i="1"/>
  <c r="K228" i="1"/>
  <c r="CO227" i="1"/>
  <c r="CN227" i="1"/>
  <c r="CL227" i="1"/>
  <c r="CM227" i="1" s="1"/>
  <c r="CF227" i="1"/>
  <c r="CE227" i="1"/>
  <c r="CC227" i="1"/>
  <c r="CD227" i="1" s="1"/>
  <c r="CB227" i="1"/>
  <c r="CA227" i="1"/>
  <c r="BY227" i="1"/>
  <c r="BZ227" i="1" s="1"/>
  <c r="BU227" i="1"/>
  <c r="BV227" i="1" s="1"/>
  <c r="BT227" i="1"/>
  <c r="BS227" i="1"/>
  <c r="BQ227" i="1"/>
  <c r="BR227" i="1" s="1"/>
  <c r="BP227" i="1"/>
  <c r="BO227" i="1"/>
  <c r="BM227" i="1"/>
  <c r="BN227" i="1" s="1"/>
  <c r="BJ227" i="1"/>
  <c r="BK227" i="1" s="1"/>
  <c r="BH227" i="1"/>
  <c r="BG227" i="1"/>
  <c r="BE227" i="1"/>
  <c r="BF227" i="1" s="1"/>
  <c r="BD227" i="1"/>
  <c r="BC227" i="1"/>
  <c r="BA227" i="1"/>
  <c r="BB227" i="1" s="1"/>
  <c r="AZ227" i="1"/>
  <c r="AW227" i="1"/>
  <c r="AX227" i="1" s="1"/>
  <c r="AV227" i="1"/>
  <c r="AS227" i="1"/>
  <c r="AT227" i="1" s="1"/>
  <c r="AR227" i="1"/>
  <c r="AQ227" i="1"/>
  <c r="AO227" i="1"/>
  <c r="AP227" i="1" s="1"/>
  <c r="AM227" i="1"/>
  <c r="AN227" i="1" s="1"/>
  <c r="AL227" i="1"/>
  <c r="AK227" i="1"/>
  <c r="AI227" i="1"/>
  <c r="AJ227" i="1" s="1"/>
  <c r="T227" i="1"/>
  <c r="K227" i="1"/>
  <c r="CO226" i="1"/>
  <c r="CN226" i="1"/>
  <c r="CL226" i="1"/>
  <c r="CM226" i="1" s="1"/>
  <c r="CF226" i="1"/>
  <c r="CE226" i="1"/>
  <c r="CC226" i="1"/>
  <c r="CD226" i="1" s="1"/>
  <c r="CB226" i="1"/>
  <c r="CA226" i="1"/>
  <c r="BY226" i="1"/>
  <c r="BZ226" i="1" s="1"/>
  <c r="BU226" i="1"/>
  <c r="BV226" i="1" s="1"/>
  <c r="BT226" i="1"/>
  <c r="BS226" i="1"/>
  <c r="BQ226" i="1"/>
  <c r="BR226" i="1" s="1"/>
  <c r="BP226" i="1"/>
  <c r="BO226" i="1"/>
  <c r="BM226" i="1"/>
  <c r="BN226" i="1" s="1"/>
  <c r="BJ226" i="1"/>
  <c r="BK226" i="1" s="1"/>
  <c r="BH226" i="1"/>
  <c r="BG226" i="1"/>
  <c r="BE226" i="1"/>
  <c r="BF226" i="1" s="1"/>
  <c r="BD226" i="1"/>
  <c r="BC226" i="1"/>
  <c r="BA226" i="1"/>
  <c r="BB226" i="1" s="1"/>
  <c r="AZ226" i="1"/>
  <c r="AW226" i="1"/>
  <c r="AX226" i="1" s="1"/>
  <c r="AV226" i="1"/>
  <c r="AS226" i="1"/>
  <c r="AT226" i="1" s="1"/>
  <c r="AR226" i="1"/>
  <c r="AQ226" i="1"/>
  <c r="AO226" i="1"/>
  <c r="AP226" i="1" s="1"/>
  <c r="AM226" i="1"/>
  <c r="AN226" i="1" s="1"/>
  <c r="AL226" i="1"/>
  <c r="AK226" i="1"/>
  <c r="CJ226" i="1" s="1"/>
  <c r="R226" i="1" s="1"/>
  <c r="AI226" i="1"/>
  <c r="T226" i="1"/>
  <c r="K226" i="1"/>
  <c r="CO225" i="1"/>
  <c r="CN225" i="1"/>
  <c r="CL225" i="1"/>
  <c r="CM225" i="1" s="1"/>
  <c r="CF225" i="1"/>
  <c r="CE225" i="1"/>
  <c r="CC225" i="1"/>
  <c r="CD225" i="1" s="1"/>
  <c r="CB225" i="1"/>
  <c r="CA225" i="1"/>
  <c r="BY225" i="1"/>
  <c r="BZ225" i="1" s="1"/>
  <c r="BU225" i="1"/>
  <c r="BV225" i="1" s="1"/>
  <c r="BT225" i="1"/>
  <c r="BS225" i="1"/>
  <c r="BQ225" i="1"/>
  <c r="BR225" i="1" s="1"/>
  <c r="BP225" i="1"/>
  <c r="BO225" i="1"/>
  <c r="BM225" i="1"/>
  <c r="BN225" i="1" s="1"/>
  <c r="BJ225" i="1"/>
  <c r="BK225" i="1" s="1"/>
  <c r="BH225" i="1"/>
  <c r="BG225" i="1"/>
  <c r="BE225" i="1"/>
  <c r="BF225" i="1" s="1"/>
  <c r="BD225" i="1"/>
  <c r="BC225" i="1"/>
  <c r="BA225" i="1"/>
  <c r="BB225" i="1" s="1"/>
  <c r="AZ225" i="1"/>
  <c r="AW225" i="1"/>
  <c r="AX225" i="1" s="1"/>
  <c r="AV225" i="1"/>
  <c r="AS225" i="1"/>
  <c r="AT225" i="1" s="1"/>
  <c r="AR225" i="1"/>
  <c r="AQ225" i="1"/>
  <c r="AO225" i="1"/>
  <c r="AP225" i="1" s="1"/>
  <c r="AM225" i="1"/>
  <c r="AN225" i="1" s="1"/>
  <c r="AL225" i="1"/>
  <c r="AK225" i="1"/>
  <c r="CJ225" i="1" s="1"/>
  <c r="AI225" i="1"/>
  <c r="AJ225" i="1" s="1"/>
  <c r="T225" i="1"/>
  <c r="K225" i="1"/>
  <c r="CO224" i="1"/>
  <c r="CN224" i="1"/>
  <c r="CL224" i="1"/>
  <c r="CM224" i="1" s="1"/>
  <c r="CF224" i="1"/>
  <c r="CE224" i="1"/>
  <c r="CC224" i="1"/>
  <c r="CD224" i="1" s="1"/>
  <c r="CB224" i="1"/>
  <c r="CA224" i="1"/>
  <c r="BY224" i="1"/>
  <c r="BZ224" i="1" s="1"/>
  <c r="BU224" i="1"/>
  <c r="BV224" i="1" s="1"/>
  <c r="BT224" i="1"/>
  <c r="BS224" i="1"/>
  <c r="BQ224" i="1"/>
  <c r="BR224" i="1" s="1"/>
  <c r="BP224" i="1"/>
  <c r="BO224" i="1"/>
  <c r="BM224" i="1"/>
  <c r="BN224" i="1" s="1"/>
  <c r="BJ224" i="1"/>
  <c r="BK224" i="1" s="1"/>
  <c r="BH224" i="1"/>
  <c r="BG224" i="1"/>
  <c r="BE224" i="1"/>
  <c r="BF224" i="1" s="1"/>
  <c r="BD224" i="1"/>
  <c r="BC224" i="1"/>
  <c r="BA224" i="1"/>
  <c r="BB224" i="1" s="1"/>
  <c r="AZ224" i="1"/>
  <c r="AW224" i="1"/>
  <c r="AX224" i="1" s="1"/>
  <c r="AV224" i="1"/>
  <c r="AT224" i="1"/>
  <c r="AS224" i="1"/>
  <c r="AR224" i="1"/>
  <c r="AQ224" i="1"/>
  <c r="AP224" i="1"/>
  <c r="AO224" i="1"/>
  <c r="AN224" i="1"/>
  <c r="AM224" i="1"/>
  <c r="AL224" i="1"/>
  <c r="AK224" i="1"/>
  <c r="AJ224" i="1"/>
  <c r="AI224" i="1"/>
  <c r="T224" i="1"/>
  <c r="K224" i="1"/>
  <c r="CO223" i="1"/>
  <c r="CN223" i="1"/>
  <c r="CM223" i="1"/>
  <c r="CL223" i="1"/>
  <c r="CF223" i="1"/>
  <c r="CE223" i="1"/>
  <c r="CC223" i="1"/>
  <c r="CD223" i="1" s="1"/>
  <c r="CB223" i="1"/>
  <c r="CA223" i="1"/>
  <c r="BY223" i="1"/>
  <c r="BZ223" i="1" s="1"/>
  <c r="BU223" i="1"/>
  <c r="BV223" i="1" s="1"/>
  <c r="BT223" i="1"/>
  <c r="BS223" i="1"/>
  <c r="BQ223" i="1"/>
  <c r="BR223" i="1" s="1"/>
  <c r="BP223" i="1"/>
  <c r="BO223" i="1"/>
  <c r="BM223" i="1"/>
  <c r="BN223" i="1" s="1"/>
  <c r="BJ223" i="1"/>
  <c r="BK223" i="1" s="1"/>
  <c r="BH223" i="1"/>
  <c r="BG223" i="1"/>
  <c r="BE223" i="1"/>
  <c r="BF223" i="1" s="1"/>
  <c r="BD223" i="1"/>
  <c r="BC223" i="1"/>
  <c r="BA223" i="1"/>
  <c r="BB223" i="1" s="1"/>
  <c r="AZ223" i="1"/>
  <c r="AW223" i="1"/>
  <c r="AX223" i="1" s="1"/>
  <c r="AV223" i="1"/>
  <c r="AS223" i="1"/>
  <c r="AT223" i="1" s="1"/>
  <c r="AR223" i="1"/>
  <c r="AQ223" i="1"/>
  <c r="AO223" i="1"/>
  <c r="AP223" i="1" s="1"/>
  <c r="AM223" i="1"/>
  <c r="AN223" i="1" s="1"/>
  <c r="AL223" i="1"/>
  <c r="AK223" i="1"/>
  <c r="AI223" i="1"/>
  <c r="AJ223" i="1" s="1"/>
  <c r="T223" i="1"/>
  <c r="K223" i="1"/>
  <c r="CO222" i="1"/>
  <c r="CN222" i="1"/>
  <c r="CL222" i="1"/>
  <c r="CM222" i="1" s="1"/>
  <c r="CF222" i="1"/>
  <c r="CE222" i="1"/>
  <c r="CC222" i="1"/>
  <c r="CD222" i="1" s="1"/>
  <c r="CB222" i="1"/>
  <c r="CA222" i="1"/>
  <c r="BY222" i="1"/>
  <c r="BZ222" i="1" s="1"/>
  <c r="BU222" i="1"/>
  <c r="BV222" i="1" s="1"/>
  <c r="BT222" i="1"/>
  <c r="BS222" i="1"/>
  <c r="BQ222" i="1"/>
  <c r="BR222" i="1" s="1"/>
  <c r="BP222" i="1"/>
  <c r="BO222" i="1"/>
  <c r="BM222" i="1"/>
  <c r="BN222" i="1" s="1"/>
  <c r="BJ222" i="1"/>
  <c r="BK222" i="1" s="1"/>
  <c r="BH222" i="1"/>
  <c r="BG222" i="1"/>
  <c r="BE222" i="1"/>
  <c r="BF222" i="1" s="1"/>
  <c r="BD222" i="1"/>
  <c r="BC222" i="1"/>
  <c r="BA222" i="1"/>
  <c r="BB222" i="1" s="1"/>
  <c r="AZ222" i="1"/>
  <c r="AW222" i="1"/>
  <c r="AX222" i="1" s="1"/>
  <c r="AV222" i="1"/>
  <c r="AS222" i="1"/>
  <c r="AT222" i="1" s="1"/>
  <c r="AR222" i="1"/>
  <c r="AQ222" i="1"/>
  <c r="AO222" i="1"/>
  <c r="AP222" i="1" s="1"/>
  <c r="AM222" i="1"/>
  <c r="AN222" i="1" s="1"/>
  <c r="AL222" i="1"/>
  <c r="AK222" i="1"/>
  <c r="AI222" i="1"/>
  <c r="AJ222" i="1" s="1"/>
  <c r="T222" i="1"/>
  <c r="K222" i="1"/>
  <c r="CO221" i="1"/>
  <c r="CN221" i="1"/>
  <c r="CL221" i="1"/>
  <c r="CM221" i="1" s="1"/>
  <c r="CF221" i="1"/>
  <c r="CE221" i="1"/>
  <c r="CC221" i="1"/>
  <c r="CD221" i="1" s="1"/>
  <c r="CB221" i="1"/>
  <c r="CA221" i="1"/>
  <c r="BY221" i="1"/>
  <c r="BZ221" i="1" s="1"/>
  <c r="BU221" i="1"/>
  <c r="BV221" i="1" s="1"/>
  <c r="BT221" i="1"/>
  <c r="BS221" i="1"/>
  <c r="BQ221" i="1"/>
  <c r="BR221" i="1" s="1"/>
  <c r="BP221" i="1"/>
  <c r="BO221" i="1"/>
  <c r="BM221" i="1"/>
  <c r="BN221" i="1" s="1"/>
  <c r="BJ221" i="1"/>
  <c r="BK221" i="1" s="1"/>
  <c r="BH221" i="1"/>
  <c r="BG221" i="1"/>
  <c r="BE221" i="1"/>
  <c r="BF221" i="1" s="1"/>
  <c r="BD221" i="1"/>
  <c r="BC221" i="1"/>
  <c r="BA221" i="1"/>
  <c r="BB221" i="1" s="1"/>
  <c r="AZ221" i="1"/>
  <c r="AW221" i="1"/>
  <c r="AX221" i="1" s="1"/>
  <c r="AV221" i="1"/>
  <c r="AS221" i="1"/>
  <c r="AT221" i="1" s="1"/>
  <c r="AR221" i="1"/>
  <c r="AQ221" i="1"/>
  <c r="AO221" i="1"/>
  <c r="AP221" i="1" s="1"/>
  <c r="AM221" i="1"/>
  <c r="AN221" i="1" s="1"/>
  <c r="AL221" i="1"/>
  <c r="AK221" i="1"/>
  <c r="AI221" i="1"/>
  <c r="AJ221" i="1" s="1"/>
  <c r="T221" i="1"/>
  <c r="K221" i="1"/>
  <c r="CO220" i="1"/>
  <c r="CN220" i="1"/>
  <c r="CL220" i="1"/>
  <c r="CM220" i="1" s="1"/>
  <c r="CF220" i="1"/>
  <c r="CE220" i="1"/>
  <c r="CC220" i="1"/>
  <c r="CD220" i="1" s="1"/>
  <c r="CB220" i="1"/>
  <c r="CA220" i="1"/>
  <c r="BY220" i="1"/>
  <c r="BZ220" i="1" s="1"/>
  <c r="BU220" i="1"/>
  <c r="BV220" i="1" s="1"/>
  <c r="BT220" i="1"/>
  <c r="BS220" i="1"/>
  <c r="BQ220" i="1"/>
  <c r="BR220" i="1" s="1"/>
  <c r="BP220" i="1"/>
  <c r="BO220" i="1"/>
  <c r="BM220" i="1"/>
  <c r="BN220" i="1" s="1"/>
  <c r="BJ220" i="1"/>
  <c r="BK220" i="1" s="1"/>
  <c r="BH220" i="1"/>
  <c r="BG220" i="1"/>
  <c r="BE220" i="1"/>
  <c r="BF220" i="1" s="1"/>
  <c r="BD220" i="1"/>
  <c r="BC220" i="1"/>
  <c r="BA220" i="1"/>
  <c r="BB220" i="1" s="1"/>
  <c r="AZ220" i="1"/>
  <c r="AW220" i="1"/>
  <c r="AX220" i="1" s="1"/>
  <c r="AV220" i="1"/>
  <c r="AS220" i="1"/>
  <c r="AT220" i="1" s="1"/>
  <c r="AR220" i="1"/>
  <c r="AQ220" i="1"/>
  <c r="AO220" i="1"/>
  <c r="AP220" i="1" s="1"/>
  <c r="AM220" i="1"/>
  <c r="AN220" i="1" s="1"/>
  <c r="AL220" i="1"/>
  <c r="AK220" i="1"/>
  <c r="AI220" i="1"/>
  <c r="AJ220" i="1" s="1"/>
  <c r="T220" i="1"/>
  <c r="K220" i="1"/>
  <c r="CO219" i="1"/>
  <c r="CN219" i="1"/>
  <c r="CL219" i="1"/>
  <c r="CM219" i="1" s="1"/>
  <c r="CF219" i="1"/>
  <c r="CE219" i="1"/>
  <c r="CC219" i="1"/>
  <c r="CD219" i="1" s="1"/>
  <c r="CB219" i="1"/>
  <c r="CA219" i="1"/>
  <c r="BY219" i="1"/>
  <c r="BZ219" i="1" s="1"/>
  <c r="BU219" i="1"/>
  <c r="BV219" i="1" s="1"/>
  <c r="BT219" i="1"/>
  <c r="BS219" i="1"/>
  <c r="BQ219" i="1"/>
  <c r="BR219" i="1" s="1"/>
  <c r="BP219" i="1"/>
  <c r="BO219" i="1"/>
  <c r="BM219" i="1"/>
  <c r="BN219" i="1" s="1"/>
  <c r="BJ219" i="1"/>
  <c r="BK219" i="1" s="1"/>
  <c r="BH219" i="1"/>
  <c r="BG219" i="1"/>
  <c r="BE219" i="1"/>
  <c r="BF219" i="1" s="1"/>
  <c r="BD219" i="1"/>
  <c r="BC219" i="1"/>
  <c r="BA219" i="1"/>
  <c r="BB219" i="1" s="1"/>
  <c r="AZ219" i="1"/>
  <c r="AX219" i="1"/>
  <c r="AW219" i="1"/>
  <c r="AV219" i="1"/>
  <c r="AS219" i="1"/>
  <c r="AT219" i="1" s="1"/>
  <c r="AR219" i="1"/>
  <c r="AQ219" i="1"/>
  <c r="AO219" i="1"/>
  <c r="AP219" i="1" s="1"/>
  <c r="AM219" i="1"/>
  <c r="AN219" i="1" s="1"/>
  <c r="AL219" i="1"/>
  <c r="AK219" i="1"/>
  <c r="AI219" i="1"/>
  <c r="AJ219" i="1" s="1"/>
  <c r="T219" i="1"/>
  <c r="K219" i="1"/>
  <c r="CO218" i="1"/>
  <c r="CN218" i="1"/>
  <c r="CL218" i="1"/>
  <c r="CM218" i="1" s="1"/>
  <c r="CF218" i="1"/>
  <c r="CE218" i="1"/>
  <c r="CD218" i="1"/>
  <c r="CC218" i="1"/>
  <c r="CB218" i="1"/>
  <c r="CA218" i="1"/>
  <c r="BZ218" i="1"/>
  <c r="BY218" i="1"/>
  <c r="BV218" i="1"/>
  <c r="BU218" i="1"/>
  <c r="BT218" i="1"/>
  <c r="BS218" i="1"/>
  <c r="BR218" i="1"/>
  <c r="BQ218" i="1"/>
  <c r="BP218" i="1"/>
  <c r="BO218" i="1"/>
  <c r="BN218" i="1"/>
  <c r="BM218" i="1"/>
  <c r="BK218" i="1"/>
  <c r="BJ218" i="1"/>
  <c r="BH218" i="1"/>
  <c r="BG218" i="1"/>
  <c r="BF218" i="1"/>
  <c r="BE218" i="1"/>
  <c r="BD218" i="1"/>
  <c r="BC218" i="1"/>
  <c r="BB218" i="1"/>
  <c r="BA218" i="1"/>
  <c r="AZ218" i="1"/>
  <c r="AW218" i="1"/>
  <c r="AX218" i="1" s="1"/>
  <c r="AV218" i="1"/>
  <c r="AS218" i="1"/>
  <c r="AT218" i="1" s="1"/>
  <c r="AR218" i="1"/>
  <c r="AQ218" i="1"/>
  <c r="AO218" i="1"/>
  <c r="AP218" i="1" s="1"/>
  <c r="AM218" i="1"/>
  <c r="AN218" i="1" s="1"/>
  <c r="AL218" i="1"/>
  <c r="AK218" i="1"/>
  <c r="AI218" i="1"/>
  <c r="CH218" i="1" s="1"/>
  <c r="P218" i="1" s="1"/>
  <c r="T218" i="1"/>
  <c r="K218" i="1"/>
  <c r="CO217" i="1"/>
  <c r="CN217" i="1"/>
  <c r="CM217" i="1"/>
  <c r="CL217" i="1"/>
  <c r="CF217" i="1"/>
  <c r="CE217" i="1"/>
  <c r="CC217" i="1"/>
  <c r="CD217" i="1" s="1"/>
  <c r="CB217" i="1"/>
  <c r="CA217" i="1"/>
  <c r="BY217" i="1"/>
  <c r="BZ217" i="1" s="1"/>
  <c r="BU217" i="1"/>
  <c r="BV217" i="1" s="1"/>
  <c r="BT217" i="1"/>
  <c r="BS217" i="1"/>
  <c r="BQ217" i="1"/>
  <c r="BR217" i="1" s="1"/>
  <c r="BP217" i="1"/>
  <c r="BO217" i="1"/>
  <c r="BM217" i="1"/>
  <c r="BN217" i="1" s="1"/>
  <c r="BJ217" i="1"/>
  <c r="BK217" i="1" s="1"/>
  <c r="BH217" i="1"/>
  <c r="BG217" i="1"/>
  <c r="BE217" i="1"/>
  <c r="BF217" i="1" s="1"/>
  <c r="BD217" i="1"/>
  <c r="BC217" i="1"/>
  <c r="BA217" i="1"/>
  <c r="BB217" i="1" s="1"/>
  <c r="AZ217" i="1"/>
  <c r="AW217" i="1"/>
  <c r="AX217" i="1" s="1"/>
  <c r="AV217" i="1"/>
  <c r="AS217" i="1"/>
  <c r="AT217" i="1" s="1"/>
  <c r="AR217" i="1"/>
  <c r="AQ217" i="1"/>
  <c r="AO217" i="1"/>
  <c r="AP217" i="1" s="1"/>
  <c r="AM217" i="1"/>
  <c r="AN217" i="1" s="1"/>
  <c r="AL217" i="1"/>
  <c r="AK217" i="1"/>
  <c r="AI217" i="1"/>
  <c r="AJ217" i="1" s="1"/>
  <c r="T217" i="1"/>
  <c r="K217" i="1"/>
  <c r="CO216" i="1"/>
  <c r="CN216" i="1"/>
  <c r="CL216" i="1"/>
  <c r="CM216" i="1" s="1"/>
  <c r="CF216" i="1"/>
  <c r="CE216" i="1"/>
  <c r="CC216" i="1"/>
  <c r="CD216" i="1" s="1"/>
  <c r="CB216" i="1"/>
  <c r="CA216" i="1"/>
  <c r="BY216" i="1"/>
  <c r="BZ216" i="1" s="1"/>
  <c r="BU216" i="1"/>
  <c r="BV216" i="1" s="1"/>
  <c r="BT216" i="1"/>
  <c r="BS216" i="1"/>
  <c r="BQ216" i="1"/>
  <c r="BR216" i="1" s="1"/>
  <c r="BP216" i="1"/>
  <c r="BO216" i="1"/>
  <c r="BM216" i="1"/>
  <c r="BN216" i="1" s="1"/>
  <c r="BJ216" i="1"/>
  <c r="BK216" i="1" s="1"/>
  <c r="BH216" i="1"/>
  <c r="BG216" i="1"/>
  <c r="BE216" i="1"/>
  <c r="BF216" i="1" s="1"/>
  <c r="BD216" i="1"/>
  <c r="BC216" i="1"/>
  <c r="BA216" i="1"/>
  <c r="BB216" i="1" s="1"/>
  <c r="AZ216" i="1"/>
  <c r="AW216" i="1"/>
  <c r="AX216" i="1" s="1"/>
  <c r="AV216" i="1"/>
  <c r="AS216" i="1"/>
  <c r="AT216" i="1" s="1"/>
  <c r="AR216" i="1"/>
  <c r="AQ216" i="1"/>
  <c r="AO216" i="1"/>
  <c r="AP216" i="1" s="1"/>
  <c r="AM216" i="1"/>
  <c r="AN216" i="1" s="1"/>
  <c r="AL216" i="1"/>
  <c r="AK216" i="1"/>
  <c r="AI216" i="1"/>
  <c r="AJ216" i="1" s="1"/>
  <c r="T216" i="1"/>
  <c r="K216" i="1"/>
  <c r="CO215" i="1"/>
  <c r="CN215" i="1"/>
  <c r="CL215" i="1"/>
  <c r="CM215" i="1" s="1"/>
  <c r="CF215" i="1"/>
  <c r="CE215" i="1"/>
  <c r="CC215" i="1"/>
  <c r="CD215" i="1" s="1"/>
  <c r="CB215" i="1"/>
  <c r="CA215" i="1"/>
  <c r="BY215" i="1"/>
  <c r="BZ215" i="1" s="1"/>
  <c r="BU215" i="1"/>
  <c r="BV215" i="1" s="1"/>
  <c r="BT215" i="1"/>
  <c r="BS215" i="1"/>
  <c r="BQ215" i="1"/>
  <c r="BR215" i="1" s="1"/>
  <c r="BP215" i="1"/>
  <c r="BO215" i="1"/>
  <c r="BM215" i="1"/>
  <c r="BN215" i="1" s="1"/>
  <c r="BJ215" i="1"/>
  <c r="BK215" i="1" s="1"/>
  <c r="BH215" i="1"/>
  <c r="BG215" i="1"/>
  <c r="BE215" i="1"/>
  <c r="BF215" i="1" s="1"/>
  <c r="BD215" i="1"/>
  <c r="BC215" i="1"/>
  <c r="BA215" i="1"/>
  <c r="BB215" i="1" s="1"/>
  <c r="AZ215" i="1"/>
  <c r="AW215" i="1"/>
  <c r="AX215" i="1" s="1"/>
  <c r="AV215" i="1"/>
  <c r="AS215" i="1"/>
  <c r="AT215" i="1" s="1"/>
  <c r="AR215" i="1"/>
  <c r="AQ215" i="1"/>
  <c r="AO215" i="1"/>
  <c r="AP215" i="1" s="1"/>
  <c r="AM215" i="1"/>
  <c r="AN215" i="1" s="1"/>
  <c r="AL215" i="1"/>
  <c r="AK215" i="1"/>
  <c r="CJ215" i="1" s="1"/>
  <c r="R215" i="1" s="1"/>
  <c r="AI215" i="1"/>
  <c r="AJ215" i="1" s="1"/>
  <c r="T215" i="1"/>
  <c r="K215" i="1"/>
  <c r="CO214" i="1"/>
  <c r="CN214" i="1"/>
  <c r="CL214" i="1"/>
  <c r="CM214" i="1" s="1"/>
  <c r="CF214" i="1"/>
  <c r="CE214" i="1"/>
  <c r="CC214" i="1"/>
  <c r="CD214" i="1" s="1"/>
  <c r="CB214" i="1"/>
  <c r="CA214" i="1"/>
  <c r="BY214" i="1"/>
  <c r="BZ214" i="1" s="1"/>
  <c r="BU214" i="1"/>
  <c r="BV214" i="1" s="1"/>
  <c r="BT214" i="1"/>
  <c r="BS214" i="1"/>
  <c r="BQ214" i="1"/>
  <c r="BR214" i="1" s="1"/>
  <c r="BP214" i="1"/>
  <c r="BO214" i="1"/>
  <c r="BM214" i="1"/>
  <c r="BN214" i="1" s="1"/>
  <c r="BJ214" i="1"/>
  <c r="BK214" i="1" s="1"/>
  <c r="BH214" i="1"/>
  <c r="BG214" i="1"/>
  <c r="BE214" i="1"/>
  <c r="BF214" i="1" s="1"/>
  <c r="BD214" i="1"/>
  <c r="BC214" i="1"/>
  <c r="BA214" i="1"/>
  <c r="BB214" i="1" s="1"/>
  <c r="AZ214" i="1"/>
  <c r="AW214" i="1"/>
  <c r="AX214" i="1" s="1"/>
  <c r="AV214" i="1"/>
  <c r="AT214" i="1"/>
  <c r="AS214" i="1"/>
  <c r="AR214" i="1"/>
  <c r="AQ214" i="1"/>
  <c r="AP214" i="1"/>
  <c r="AO214" i="1"/>
  <c r="AN214" i="1"/>
  <c r="AM214" i="1"/>
  <c r="AL214" i="1"/>
  <c r="AK214" i="1"/>
  <c r="AJ214" i="1"/>
  <c r="AI214" i="1"/>
  <c r="T214" i="1"/>
  <c r="K214" i="1"/>
  <c r="CO213" i="1"/>
  <c r="CN213" i="1"/>
  <c r="CM213" i="1"/>
  <c r="CL213" i="1"/>
  <c r="CF213" i="1"/>
  <c r="CE213" i="1"/>
  <c r="CC213" i="1"/>
  <c r="CD213" i="1" s="1"/>
  <c r="CB213" i="1"/>
  <c r="CA213" i="1"/>
  <c r="BY213" i="1"/>
  <c r="BZ213" i="1" s="1"/>
  <c r="BU213" i="1"/>
  <c r="BV213" i="1" s="1"/>
  <c r="BT213" i="1"/>
  <c r="BS213" i="1"/>
  <c r="BQ213" i="1"/>
  <c r="BR213" i="1" s="1"/>
  <c r="BP213" i="1"/>
  <c r="BO213" i="1"/>
  <c r="BM213" i="1"/>
  <c r="BN213" i="1" s="1"/>
  <c r="BJ213" i="1"/>
  <c r="BK213" i="1" s="1"/>
  <c r="BH213" i="1"/>
  <c r="BG213" i="1"/>
  <c r="BE213" i="1"/>
  <c r="BF213" i="1" s="1"/>
  <c r="BD213" i="1"/>
  <c r="BC213" i="1"/>
  <c r="BA213" i="1"/>
  <c r="BB213" i="1" s="1"/>
  <c r="AZ213" i="1"/>
  <c r="AW213" i="1"/>
  <c r="AX213" i="1" s="1"/>
  <c r="AV213" i="1"/>
  <c r="AS213" i="1"/>
  <c r="AT213" i="1" s="1"/>
  <c r="AR213" i="1"/>
  <c r="AQ213" i="1"/>
  <c r="AO213" i="1"/>
  <c r="AP213" i="1" s="1"/>
  <c r="AM213" i="1"/>
  <c r="AN213" i="1" s="1"/>
  <c r="AL213" i="1"/>
  <c r="AK213" i="1"/>
  <c r="AI213" i="1"/>
  <c r="T213" i="1"/>
  <c r="K213" i="1"/>
  <c r="CO212" i="1"/>
  <c r="CN212" i="1"/>
  <c r="CL212" i="1"/>
  <c r="CM212" i="1" s="1"/>
  <c r="CF212" i="1"/>
  <c r="CE212" i="1"/>
  <c r="CC212" i="1"/>
  <c r="CD212" i="1" s="1"/>
  <c r="CB212" i="1"/>
  <c r="CA212" i="1"/>
  <c r="BY212" i="1"/>
  <c r="BZ212" i="1" s="1"/>
  <c r="BU212" i="1"/>
  <c r="BV212" i="1" s="1"/>
  <c r="BT212" i="1"/>
  <c r="BS212" i="1"/>
  <c r="BQ212" i="1"/>
  <c r="BR212" i="1" s="1"/>
  <c r="BP212" i="1"/>
  <c r="BO212" i="1"/>
  <c r="BM212" i="1"/>
  <c r="BN212" i="1" s="1"/>
  <c r="BJ212" i="1"/>
  <c r="BK212" i="1" s="1"/>
  <c r="BH212" i="1"/>
  <c r="BG212" i="1"/>
  <c r="BE212" i="1"/>
  <c r="BF212" i="1" s="1"/>
  <c r="BD212" i="1"/>
  <c r="BC212" i="1"/>
  <c r="BA212" i="1"/>
  <c r="BB212" i="1" s="1"/>
  <c r="AZ212" i="1"/>
  <c r="AW212" i="1"/>
  <c r="AX212" i="1" s="1"/>
  <c r="AV212" i="1"/>
  <c r="AS212" i="1"/>
  <c r="AT212" i="1" s="1"/>
  <c r="AR212" i="1"/>
  <c r="AQ212" i="1"/>
  <c r="AO212" i="1"/>
  <c r="AP212" i="1" s="1"/>
  <c r="AM212" i="1"/>
  <c r="AN212" i="1" s="1"/>
  <c r="AL212" i="1"/>
  <c r="AK212" i="1"/>
  <c r="AI212" i="1"/>
  <c r="AJ212" i="1" s="1"/>
  <c r="T212" i="1"/>
  <c r="K212" i="1"/>
  <c r="CO211" i="1"/>
  <c r="CN211" i="1"/>
  <c r="CL211" i="1"/>
  <c r="CM211" i="1" s="1"/>
  <c r="CF211" i="1"/>
  <c r="CE211" i="1"/>
  <c r="CC211" i="1"/>
  <c r="CD211" i="1" s="1"/>
  <c r="CB211" i="1"/>
  <c r="CA211" i="1"/>
  <c r="BY211" i="1"/>
  <c r="BZ211" i="1" s="1"/>
  <c r="BU211" i="1"/>
  <c r="BV211" i="1" s="1"/>
  <c r="BT211" i="1"/>
  <c r="BS211" i="1"/>
  <c r="BQ211" i="1"/>
  <c r="BR211" i="1" s="1"/>
  <c r="BP211" i="1"/>
  <c r="BO211" i="1"/>
  <c r="BM211" i="1"/>
  <c r="BN211" i="1" s="1"/>
  <c r="BJ211" i="1"/>
  <c r="BK211" i="1" s="1"/>
  <c r="BH211" i="1"/>
  <c r="BG211" i="1"/>
  <c r="BE211" i="1"/>
  <c r="BF211" i="1" s="1"/>
  <c r="BD211" i="1"/>
  <c r="BC211" i="1"/>
  <c r="BA211" i="1"/>
  <c r="BB211" i="1" s="1"/>
  <c r="AZ211" i="1"/>
  <c r="AW211" i="1"/>
  <c r="AX211" i="1" s="1"/>
  <c r="AV211" i="1"/>
  <c r="AS211" i="1"/>
  <c r="AT211" i="1" s="1"/>
  <c r="AR211" i="1"/>
  <c r="AQ211" i="1"/>
  <c r="AO211" i="1"/>
  <c r="AP211" i="1" s="1"/>
  <c r="AM211" i="1"/>
  <c r="AN211" i="1" s="1"/>
  <c r="AL211" i="1"/>
  <c r="AK211" i="1"/>
  <c r="CJ211" i="1" s="1"/>
  <c r="R211" i="1" s="1"/>
  <c r="AI211" i="1"/>
  <c r="T211" i="1"/>
  <c r="K211" i="1"/>
  <c r="CO210" i="1"/>
  <c r="CN210" i="1"/>
  <c r="CL210" i="1"/>
  <c r="CM210" i="1" s="1"/>
  <c r="CF210" i="1"/>
  <c r="CE210" i="1"/>
  <c r="CC210" i="1"/>
  <c r="CD210" i="1" s="1"/>
  <c r="CB210" i="1"/>
  <c r="CA210" i="1"/>
  <c r="BY210" i="1"/>
  <c r="BZ210" i="1" s="1"/>
  <c r="BU210" i="1"/>
  <c r="BV210" i="1" s="1"/>
  <c r="BT210" i="1"/>
  <c r="BS210" i="1"/>
  <c r="BQ210" i="1"/>
  <c r="BR210" i="1" s="1"/>
  <c r="BP210" i="1"/>
  <c r="BO210" i="1"/>
  <c r="BM210" i="1"/>
  <c r="BN210" i="1" s="1"/>
  <c r="BJ210" i="1"/>
  <c r="BK210" i="1" s="1"/>
  <c r="BH210" i="1"/>
  <c r="BG210" i="1"/>
  <c r="BE210" i="1"/>
  <c r="BF210" i="1" s="1"/>
  <c r="BD210" i="1"/>
  <c r="BC210" i="1"/>
  <c r="BA210" i="1"/>
  <c r="BB210" i="1" s="1"/>
  <c r="AZ210" i="1"/>
  <c r="AW210" i="1"/>
  <c r="AX210" i="1" s="1"/>
  <c r="AV210" i="1"/>
  <c r="AT210" i="1"/>
  <c r="AS210" i="1"/>
  <c r="AR210" i="1"/>
  <c r="AQ210" i="1"/>
  <c r="AP210" i="1"/>
  <c r="AO210" i="1"/>
  <c r="AN210" i="1"/>
  <c r="AM210" i="1"/>
  <c r="AL210" i="1"/>
  <c r="AK210" i="1"/>
  <c r="AJ210" i="1"/>
  <c r="AI210" i="1"/>
  <c r="T210" i="1"/>
  <c r="K210" i="1"/>
  <c r="CO209" i="1"/>
  <c r="CN209" i="1"/>
  <c r="CM209" i="1"/>
  <c r="CL209" i="1"/>
  <c r="CF209" i="1"/>
  <c r="CE209" i="1"/>
  <c r="CC209" i="1"/>
  <c r="CD209" i="1" s="1"/>
  <c r="CB209" i="1"/>
  <c r="CA209" i="1"/>
  <c r="BY209" i="1"/>
  <c r="BZ209" i="1" s="1"/>
  <c r="BU209" i="1"/>
  <c r="BV209" i="1" s="1"/>
  <c r="BT209" i="1"/>
  <c r="BS209" i="1"/>
  <c r="BQ209" i="1"/>
  <c r="BR209" i="1" s="1"/>
  <c r="BP209" i="1"/>
  <c r="BO209" i="1"/>
  <c r="BM209" i="1"/>
  <c r="BN209" i="1" s="1"/>
  <c r="BJ209" i="1"/>
  <c r="BK209" i="1" s="1"/>
  <c r="BH209" i="1"/>
  <c r="BG209" i="1"/>
  <c r="BE209" i="1"/>
  <c r="BF209" i="1" s="1"/>
  <c r="BD209" i="1"/>
  <c r="BC209" i="1"/>
  <c r="BA209" i="1"/>
  <c r="BB209" i="1" s="1"/>
  <c r="AZ209" i="1"/>
  <c r="AW209" i="1"/>
  <c r="AX209" i="1" s="1"/>
  <c r="AV209" i="1"/>
  <c r="AS209" i="1"/>
  <c r="AT209" i="1" s="1"/>
  <c r="AR209" i="1"/>
  <c r="AQ209" i="1"/>
  <c r="AO209" i="1"/>
  <c r="AP209" i="1" s="1"/>
  <c r="AM209" i="1"/>
  <c r="AN209" i="1" s="1"/>
  <c r="AL209" i="1"/>
  <c r="AK209" i="1"/>
  <c r="AI209" i="1"/>
  <c r="T209" i="1"/>
  <c r="K209" i="1"/>
  <c r="CO208" i="1"/>
  <c r="CN208" i="1"/>
  <c r="CL208" i="1"/>
  <c r="CM208" i="1" s="1"/>
  <c r="CF208" i="1"/>
  <c r="CE208" i="1"/>
  <c r="CC208" i="1"/>
  <c r="CD208" i="1" s="1"/>
  <c r="CB208" i="1"/>
  <c r="CA208" i="1"/>
  <c r="BY208" i="1"/>
  <c r="BZ208" i="1" s="1"/>
  <c r="BU208" i="1"/>
  <c r="BV208" i="1" s="1"/>
  <c r="BT208" i="1"/>
  <c r="BS208" i="1"/>
  <c r="BQ208" i="1"/>
  <c r="BR208" i="1" s="1"/>
  <c r="BP208" i="1"/>
  <c r="BO208" i="1"/>
  <c r="BM208" i="1"/>
  <c r="BN208" i="1" s="1"/>
  <c r="BJ208" i="1"/>
  <c r="BK208" i="1" s="1"/>
  <c r="BH208" i="1"/>
  <c r="BG208" i="1"/>
  <c r="BE208" i="1"/>
  <c r="BF208" i="1" s="1"/>
  <c r="BD208" i="1"/>
  <c r="BC208" i="1"/>
  <c r="BA208" i="1"/>
  <c r="BB208" i="1" s="1"/>
  <c r="AZ208" i="1"/>
  <c r="AW208" i="1"/>
  <c r="AX208" i="1" s="1"/>
  <c r="AV208" i="1"/>
  <c r="AS208" i="1"/>
  <c r="AT208" i="1" s="1"/>
  <c r="AR208" i="1"/>
  <c r="AQ208" i="1"/>
  <c r="AO208" i="1"/>
  <c r="AP208" i="1" s="1"/>
  <c r="AM208" i="1"/>
  <c r="AN208" i="1" s="1"/>
  <c r="AL208" i="1"/>
  <c r="AK208" i="1"/>
  <c r="AI208" i="1"/>
  <c r="AJ208" i="1" s="1"/>
  <c r="T208" i="1"/>
  <c r="K208" i="1"/>
  <c r="CO207" i="1"/>
  <c r="CN207" i="1"/>
  <c r="CL207" i="1"/>
  <c r="CM207" i="1" s="1"/>
  <c r="CF207" i="1"/>
  <c r="CE207" i="1"/>
  <c r="CC207" i="1"/>
  <c r="CD207" i="1" s="1"/>
  <c r="CB207" i="1"/>
  <c r="CA207" i="1"/>
  <c r="BY207" i="1"/>
  <c r="BZ207" i="1" s="1"/>
  <c r="BU207" i="1"/>
  <c r="BV207" i="1" s="1"/>
  <c r="BT207" i="1"/>
  <c r="BS207" i="1"/>
  <c r="BQ207" i="1"/>
  <c r="BR207" i="1" s="1"/>
  <c r="BP207" i="1"/>
  <c r="BO207" i="1"/>
  <c r="BM207" i="1"/>
  <c r="BN207" i="1" s="1"/>
  <c r="BJ207" i="1"/>
  <c r="BK207" i="1" s="1"/>
  <c r="BH207" i="1"/>
  <c r="BG207" i="1"/>
  <c r="BE207" i="1"/>
  <c r="BF207" i="1" s="1"/>
  <c r="BD207" i="1"/>
  <c r="BC207" i="1"/>
  <c r="BA207" i="1"/>
  <c r="BB207" i="1" s="1"/>
  <c r="AZ207" i="1"/>
  <c r="AW207" i="1"/>
  <c r="AX207" i="1" s="1"/>
  <c r="AV207" i="1"/>
  <c r="AS207" i="1"/>
  <c r="AT207" i="1" s="1"/>
  <c r="AR207" i="1"/>
  <c r="AQ207" i="1"/>
  <c r="AO207" i="1"/>
  <c r="AP207" i="1" s="1"/>
  <c r="AM207" i="1"/>
  <c r="AN207" i="1" s="1"/>
  <c r="AL207" i="1"/>
  <c r="AK207" i="1"/>
  <c r="CJ207" i="1" s="1"/>
  <c r="R207" i="1" s="1"/>
  <c r="AI207" i="1"/>
  <c r="T207" i="1"/>
  <c r="K207" i="1"/>
  <c r="CO206" i="1"/>
  <c r="CN206" i="1"/>
  <c r="CL206" i="1"/>
  <c r="CM206" i="1" s="1"/>
  <c r="CF206" i="1"/>
  <c r="CE206" i="1"/>
  <c r="CC206" i="1"/>
  <c r="CD206" i="1" s="1"/>
  <c r="CB206" i="1"/>
  <c r="CA206" i="1"/>
  <c r="BY206" i="1"/>
  <c r="BZ206" i="1" s="1"/>
  <c r="BU206" i="1"/>
  <c r="BV206" i="1" s="1"/>
  <c r="BT206" i="1"/>
  <c r="BS206" i="1"/>
  <c r="BQ206" i="1"/>
  <c r="BR206" i="1" s="1"/>
  <c r="BP206" i="1"/>
  <c r="BO206" i="1"/>
  <c r="BM206" i="1"/>
  <c r="BN206" i="1" s="1"/>
  <c r="BJ206" i="1"/>
  <c r="BK206" i="1" s="1"/>
  <c r="BH206" i="1"/>
  <c r="BG206" i="1"/>
  <c r="BE206" i="1"/>
  <c r="BF206" i="1" s="1"/>
  <c r="BD206" i="1"/>
  <c r="BC206" i="1"/>
  <c r="BA206" i="1"/>
  <c r="BB206" i="1" s="1"/>
  <c r="AZ206" i="1"/>
  <c r="AW206" i="1"/>
  <c r="AX206" i="1" s="1"/>
  <c r="AV206" i="1"/>
  <c r="AT206" i="1"/>
  <c r="AS206" i="1"/>
  <c r="AR206" i="1"/>
  <c r="AQ206" i="1"/>
  <c r="AP206" i="1"/>
  <c r="AO206" i="1"/>
  <c r="AN206" i="1"/>
  <c r="AM206" i="1"/>
  <c r="AL206" i="1"/>
  <c r="AK206" i="1"/>
  <c r="AJ206" i="1"/>
  <c r="AI206" i="1"/>
  <c r="T206" i="1"/>
  <c r="K206" i="1"/>
  <c r="CO205" i="1"/>
  <c r="CN205" i="1"/>
  <c r="CM205" i="1"/>
  <c r="CL205" i="1"/>
  <c r="CF205" i="1"/>
  <c r="CE205" i="1"/>
  <c r="CC205" i="1"/>
  <c r="CD205" i="1" s="1"/>
  <c r="CB205" i="1"/>
  <c r="CA205" i="1"/>
  <c r="BY205" i="1"/>
  <c r="BZ205" i="1" s="1"/>
  <c r="BU205" i="1"/>
  <c r="BV205" i="1" s="1"/>
  <c r="BT205" i="1"/>
  <c r="BS205" i="1"/>
  <c r="BQ205" i="1"/>
  <c r="BR205" i="1" s="1"/>
  <c r="BP205" i="1"/>
  <c r="BO205" i="1"/>
  <c r="BM205" i="1"/>
  <c r="BN205" i="1" s="1"/>
  <c r="BJ205" i="1"/>
  <c r="BK205" i="1" s="1"/>
  <c r="BH205" i="1"/>
  <c r="BG205" i="1"/>
  <c r="BE205" i="1"/>
  <c r="BF205" i="1" s="1"/>
  <c r="BD205" i="1"/>
  <c r="BC205" i="1"/>
  <c r="BA205" i="1"/>
  <c r="BB205" i="1" s="1"/>
  <c r="AZ205" i="1"/>
  <c r="AW205" i="1"/>
  <c r="AX205" i="1" s="1"/>
  <c r="AV205" i="1"/>
  <c r="AS205" i="1"/>
  <c r="AT205" i="1" s="1"/>
  <c r="AR205" i="1"/>
  <c r="AQ205" i="1"/>
  <c r="AO205" i="1"/>
  <c r="AP205" i="1" s="1"/>
  <c r="AM205" i="1"/>
  <c r="AN205" i="1" s="1"/>
  <c r="AL205" i="1"/>
  <c r="AK205" i="1"/>
  <c r="AI205" i="1"/>
  <c r="T205" i="1"/>
  <c r="K205" i="1"/>
  <c r="CO204" i="1"/>
  <c r="CN204" i="1"/>
  <c r="CL204" i="1"/>
  <c r="CM204" i="1" s="1"/>
  <c r="CF204" i="1"/>
  <c r="CE204" i="1"/>
  <c r="CC204" i="1"/>
  <c r="CD204" i="1" s="1"/>
  <c r="CB204" i="1"/>
  <c r="CA204" i="1"/>
  <c r="BY204" i="1"/>
  <c r="BZ204" i="1" s="1"/>
  <c r="BU204" i="1"/>
  <c r="BV204" i="1" s="1"/>
  <c r="BT204" i="1"/>
  <c r="BS204" i="1"/>
  <c r="BQ204" i="1"/>
  <c r="BR204" i="1" s="1"/>
  <c r="BP204" i="1"/>
  <c r="BO204" i="1"/>
  <c r="BM204" i="1"/>
  <c r="BN204" i="1" s="1"/>
  <c r="BJ204" i="1"/>
  <c r="BK204" i="1" s="1"/>
  <c r="BH204" i="1"/>
  <c r="BG204" i="1"/>
  <c r="BE204" i="1"/>
  <c r="BF204" i="1" s="1"/>
  <c r="BD204" i="1"/>
  <c r="BC204" i="1"/>
  <c r="BA204" i="1"/>
  <c r="BB204" i="1" s="1"/>
  <c r="AZ204" i="1"/>
  <c r="AW204" i="1"/>
  <c r="AX204" i="1" s="1"/>
  <c r="AV204" i="1"/>
  <c r="AS204" i="1"/>
  <c r="AT204" i="1" s="1"/>
  <c r="AR204" i="1"/>
  <c r="AQ204" i="1"/>
  <c r="AO204" i="1"/>
  <c r="AP204" i="1" s="1"/>
  <c r="AM204" i="1"/>
  <c r="AN204" i="1" s="1"/>
  <c r="AL204" i="1"/>
  <c r="AK204" i="1"/>
  <c r="AI204" i="1"/>
  <c r="AJ204" i="1" s="1"/>
  <c r="T204" i="1"/>
  <c r="K204" i="1"/>
  <c r="CO203" i="1"/>
  <c r="CN203" i="1"/>
  <c r="CL203" i="1"/>
  <c r="CM203" i="1" s="1"/>
  <c r="CF203" i="1"/>
  <c r="CE203" i="1"/>
  <c r="CC203" i="1"/>
  <c r="CD203" i="1" s="1"/>
  <c r="CB203" i="1"/>
  <c r="CA203" i="1"/>
  <c r="BY203" i="1"/>
  <c r="BZ203" i="1" s="1"/>
  <c r="BU203" i="1"/>
  <c r="BV203" i="1" s="1"/>
  <c r="BT203" i="1"/>
  <c r="BS203" i="1"/>
  <c r="BQ203" i="1"/>
  <c r="BR203" i="1" s="1"/>
  <c r="BP203" i="1"/>
  <c r="BO203" i="1"/>
  <c r="BM203" i="1"/>
  <c r="BN203" i="1" s="1"/>
  <c r="BJ203" i="1"/>
  <c r="BK203" i="1" s="1"/>
  <c r="BH203" i="1"/>
  <c r="BG203" i="1"/>
  <c r="BE203" i="1"/>
  <c r="BF203" i="1" s="1"/>
  <c r="BD203" i="1"/>
  <c r="BC203" i="1"/>
  <c r="BA203" i="1"/>
  <c r="BB203" i="1" s="1"/>
  <c r="AZ203" i="1"/>
  <c r="AW203" i="1"/>
  <c r="AX203" i="1" s="1"/>
  <c r="AV203" i="1"/>
  <c r="AS203" i="1"/>
  <c r="AT203" i="1" s="1"/>
  <c r="AR203" i="1"/>
  <c r="AQ203" i="1"/>
  <c r="AO203" i="1"/>
  <c r="AP203" i="1" s="1"/>
  <c r="AM203" i="1"/>
  <c r="AN203" i="1" s="1"/>
  <c r="AL203" i="1"/>
  <c r="AK203" i="1"/>
  <c r="CJ203" i="1" s="1"/>
  <c r="R203" i="1" s="1"/>
  <c r="AI203" i="1"/>
  <c r="T203" i="1"/>
  <c r="K203" i="1"/>
  <c r="CO202" i="1"/>
  <c r="CN202" i="1"/>
  <c r="CL202" i="1"/>
  <c r="CM202" i="1" s="1"/>
  <c r="CF202" i="1"/>
  <c r="CE202" i="1"/>
  <c r="CC202" i="1"/>
  <c r="CD202" i="1" s="1"/>
  <c r="CB202" i="1"/>
  <c r="CA202" i="1"/>
  <c r="BY202" i="1"/>
  <c r="BZ202" i="1" s="1"/>
  <c r="BU202" i="1"/>
  <c r="BV202" i="1" s="1"/>
  <c r="BT202" i="1"/>
  <c r="BS202" i="1"/>
  <c r="BQ202" i="1"/>
  <c r="BR202" i="1" s="1"/>
  <c r="BP202" i="1"/>
  <c r="BO202" i="1"/>
  <c r="BM202" i="1"/>
  <c r="BN202" i="1" s="1"/>
  <c r="BJ202" i="1"/>
  <c r="BK202" i="1" s="1"/>
  <c r="BH202" i="1"/>
  <c r="BG202" i="1"/>
  <c r="BE202" i="1"/>
  <c r="BF202" i="1" s="1"/>
  <c r="BD202" i="1"/>
  <c r="BC202" i="1"/>
  <c r="BA202" i="1"/>
  <c r="BB202" i="1" s="1"/>
  <c r="AZ202" i="1"/>
  <c r="AW202" i="1"/>
  <c r="AX202" i="1" s="1"/>
  <c r="AV202" i="1"/>
  <c r="AT202" i="1"/>
  <c r="AS202" i="1"/>
  <c r="AR202" i="1"/>
  <c r="AQ202" i="1"/>
  <c r="AP202" i="1"/>
  <c r="AO202" i="1"/>
  <c r="AN202" i="1"/>
  <c r="AM202" i="1"/>
  <c r="AL202" i="1"/>
  <c r="AK202" i="1"/>
  <c r="AJ202" i="1"/>
  <c r="AI202" i="1"/>
  <c r="T202" i="1"/>
  <c r="K202" i="1"/>
  <c r="CO201" i="1"/>
  <c r="CN201" i="1"/>
  <c r="CM201" i="1"/>
  <c r="CL201" i="1"/>
  <c r="CF201" i="1"/>
  <c r="CE201" i="1"/>
  <c r="CC201" i="1"/>
  <c r="CD201" i="1" s="1"/>
  <c r="CB201" i="1"/>
  <c r="CA201" i="1"/>
  <c r="BY201" i="1"/>
  <c r="BZ201" i="1" s="1"/>
  <c r="BU201" i="1"/>
  <c r="BV201" i="1" s="1"/>
  <c r="BT201" i="1"/>
  <c r="BS201" i="1"/>
  <c r="BQ201" i="1"/>
  <c r="BR201" i="1" s="1"/>
  <c r="BP201" i="1"/>
  <c r="BO201" i="1"/>
  <c r="BM201" i="1"/>
  <c r="BN201" i="1" s="1"/>
  <c r="BJ201" i="1"/>
  <c r="BK201" i="1" s="1"/>
  <c r="BH201" i="1"/>
  <c r="BG201" i="1"/>
  <c r="BE201" i="1"/>
  <c r="BF201" i="1" s="1"/>
  <c r="BD201" i="1"/>
  <c r="BC201" i="1"/>
  <c r="BA201" i="1"/>
  <c r="BB201" i="1" s="1"/>
  <c r="AZ201" i="1"/>
  <c r="AW201" i="1"/>
  <c r="AX201" i="1" s="1"/>
  <c r="AV201" i="1"/>
  <c r="AS201" i="1"/>
  <c r="AT201" i="1" s="1"/>
  <c r="AR201" i="1"/>
  <c r="AQ201" i="1"/>
  <c r="AO201" i="1"/>
  <c r="AP201" i="1" s="1"/>
  <c r="AM201" i="1"/>
  <c r="AN201" i="1" s="1"/>
  <c r="AL201" i="1"/>
  <c r="AK201" i="1"/>
  <c r="AI201" i="1"/>
  <c r="T201" i="1"/>
  <c r="K201" i="1"/>
  <c r="CO200" i="1"/>
  <c r="CN200" i="1"/>
  <c r="CL200" i="1"/>
  <c r="CM200" i="1" s="1"/>
  <c r="CF200" i="1"/>
  <c r="CE200" i="1"/>
  <c r="CC200" i="1"/>
  <c r="CD200" i="1" s="1"/>
  <c r="CB200" i="1"/>
  <c r="CA200" i="1"/>
  <c r="BY200" i="1"/>
  <c r="BZ200" i="1" s="1"/>
  <c r="BU200" i="1"/>
  <c r="BV200" i="1" s="1"/>
  <c r="BT200" i="1"/>
  <c r="BS200" i="1"/>
  <c r="BQ200" i="1"/>
  <c r="BR200" i="1" s="1"/>
  <c r="BP200" i="1"/>
  <c r="BO200" i="1"/>
  <c r="BM200" i="1"/>
  <c r="BN200" i="1" s="1"/>
  <c r="BJ200" i="1"/>
  <c r="BK200" i="1" s="1"/>
  <c r="BH200" i="1"/>
  <c r="BG200" i="1"/>
  <c r="BE200" i="1"/>
  <c r="BF200" i="1" s="1"/>
  <c r="BD200" i="1"/>
  <c r="BC200" i="1"/>
  <c r="BA200" i="1"/>
  <c r="BB200" i="1" s="1"/>
  <c r="AZ200" i="1"/>
  <c r="AW200" i="1"/>
  <c r="AX200" i="1" s="1"/>
  <c r="AV200" i="1"/>
  <c r="AS200" i="1"/>
  <c r="AT200" i="1" s="1"/>
  <c r="AR200" i="1"/>
  <c r="AQ200" i="1"/>
  <c r="AO200" i="1"/>
  <c r="AP200" i="1" s="1"/>
  <c r="AM200" i="1"/>
  <c r="AN200" i="1" s="1"/>
  <c r="AL200" i="1"/>
  <c r="AK200" i="1"/>
  <c r="AI200" i="1"/>
  <c r="AJ200" i="1" s="1"/>
  <c r="T200" i="1"/>
  <c r="K200" i="1"/>
  <c r="CO199" i="1"/>
  <c r="CN199" i="1"/>
  <c r="CL199" i="1"/>
  <c r="CM199" i="1" s="1"/>
  <c r="CF199" i="1"/>
  <c r="CE199" i="1"/>
  <c r="CC199" i="1"/>
  <c r="CD199" i="1" s="1"/>
  <c r="CB199" i="1"/>
  <c r="CA199" i="1"/>
  <c r="BY199" i="1"/>
  <c r="BZ199" i="1" s="1"/>
  <c r="BU199" i="1"/>
  <c r="BV199" i="1" s="1"/>
  <c r="BT199" i="1"/>
  <c r="BS199" i="1"/>
  <c r="BQ199" i="1"/>
  <c r="BR199" i="1" s="1"/>
  <c r="BP199" i="1"/>
  <c r="BO199" i="1"/>
  <c r="BM199" i="1"/>
  <c r="BN199" i="1" s="1"/>
  <c r="BJ199" i="1"/>
  <c r="BK199" i="1" s="1"/>
  <c r="BH199" i="1"/>
  <c r="BG199" i="1"/>
  <c r="BE199" i="1"/>
  <c r="BF199" i="1" s="1"/>
  <c r="BD199" i="1"/>
  <c r="BC199" i="1"/>
  <c r="BA199" i="1"/>
  <c r="BB199" i="1" s="1"/>
  <c r="AZ199" i="1"/>
  <c r="AW199" i="1"/>
  <c r="AX199" i="1" s="1"/>
  <c r="AV199" i="1"/>
  <c r="AS199" i="1"/>
  <c r="AT199" i="1" s="1"/>
  <c r="AR199" i="1"/>
  <c r="AQ199" i="1"/>
  <c r="AO199" i="1"/>
  <c r="AP199" i="1" s="1"/>
  <c r="AM199" i="1"/>
  <c r="AN199" i="1" s="1"/>
  <c r="AL199" i="1"/>
  <c r="AK199" i="1"/>
  <c r="CJ199" i="1" s="1"/>
  <c r="R199" i="1" s="1"/>
  <c r="AI199" i="1"/>
  <c r="T199" i="1"/>
  <c r="K199" i="1"/>
  <c r="CO198" i="1"/>
  <c r="CN198" i="1"/>
  <c r="CL198" i="1"/>
  <c r="CM198" i="1" s="1"/>
  <c r="CF198" i="1"/>
  <c r="CE198" i="1"/>
  <c r="CC198" i="1"/>
  <c r="CD198" i="1" s="1"/>
  <c r="CB198" i="1"/>
  <c r="CA198" i="1"/>
  <c r="BY198" i="1"/>
  <c r="BZ198" i="1" s="1"/>
  <c r="BU198" i="1"/>
  <c r="BV198" i="1" s="1"/>
  <c r="BT198" i="1"/>
  <c r="BS198" i="1"/>
  <c r="BQ198" i="1"/>
  <c r="BR198" i="1" s="1"/>
  <c r="BP198" i="1"/>
  <c r="BO198" i="1"/>
  <c r="BM198" i="1"/>
  <c r="BN198" i="1" s="1"/>
  <c r="BJ198" i="1"/>
  <c r="BK198" i="1" s="1"/>
  <c r="BH198" i="1"/>
  <c r="BG198" i="1"/>
  <c r="BE198" i="1"/>
  <c r="BF198" i="1" s="1"/>
  <c r="BD198" i="1"/>
  <c r="BC198" i="1"/>
  <c r="BA198" i="1"/>
  <c r="BB198" i="1" s="1"/>
  <c r="AZ198" i="1"/>
  <c r="AW198" i="1"/>
  <c r="AX198" i="1" s="1"/>
  <c r="AV198" i="1"/>
  <c r="AT198" i="1"/>
  <c r="AS198" i="1"/>
  <c r="AR198" i="1"/>
  <c r="AQ198" i="1"/>
  <c r="AP198" i="1"/>
  <c r="AO198" i="1"/>
  <c r="AN198" i="1"/>
  <c r="AM198" i="1"/>
  <c r="AL198" i="1"/>
  <c r="AK198" i="1"/>
  <c r="AJ198" i="1"/>
  <c r="AI198" i="1"/>
  <c r="T198" i="1"/>
  <c r="K198" i="1"/>
  <c r="CO197" i="1"/>
  <c r="CN197" i="1"/>
  <c r="CM197" i="1"/>
  <c r="CL197" i="1"/>
  <c r="CF197" i="1"/>
  <c r="CE197" i="1"/>
  <c r="CC197" i="1"/>
  <c r="CD197" i="1" s="1"/>
  <c r="CB197" i="1"/>
  <c r="CA197" i="1"/>
  <c r="BY197" i="1"/>
  <c r="BZ197" i="1" s="1"/>
  <c r="BU197" i="1"/>
  <c r="BV197" i="1" s="1"/>
  <c r="BT197" i="1"/>
  <c r="BS197" i="1"/>
  <c r="BQ197" i="1"/>
  <c r="BR197" i="1" s="1"/>
  <c r="BP197" i="1"/>
  <c r="BO197" i="1"/>
  <c r="BM197" i="1"/>
  <c r="BN197" i="1" s="1"/>
  <c r="BJ197" i="1"/>
  <c r="BK197" i="1" s="1"/>
  <c r="BH197" i="1"/>
  <c r="BG197" i="1"/>
  <c r="BE197" i="1"/>
  <c r="BF197" i="1" s="1"/>
  <c r="BD197" i="1"/>
  <c r="BC197" i="1"/>
  <c r="BA197" i="1"/>
  <c r="BB197" i="1" s="1"/>
  <c r="AZ197" i="1"/>
  <c r="AW197" i="1"/>
  <c r="AX197" i="1" s="1"/>
  <c r="AV197" i="1"/>
  <c r="AS197" i="1"/>
  <c r="AT197" i="1" s="1"/>
  <c r="AR197" i="1"/>
  <c r="AQ197" i="1"/>
  <c r="AO197" i="1"/>
  <c r="AP197" i="1" s="1"/>
  <c r="AM197" i="1"/>
  <c r="AN197" i="1" s="1"/>
  <c r="AL197" i="1"/>
  <c r="AK197" i="1"/>
  <c r="AI197" i="1"/>
  <c r="T197" i="1"/>
  <c r="K197" i="1"/>
  <c r="CO196" i="1"/>
  <c r="CN196" i="1"/>
  <c r="CL196" i="1"/>
  <c r="CM196" i="1" s="1"/>
  <c r="CF196" i="1"/>
  <c r="CE196" i="1"/>
  <c r="CC196" i="1"/>
  <c r="CD196" i="1" s="1"/>
  <c r="CB196" i="1"/>
  <c r="CA196" i="1"/>
  <c r="BY196" i="1"/>
  <c r="BZ196" i="1" s="1"/>
  <c r="BU196" i="1"/>
  <c r="BV196" i="1" s="1"/>
  <c r="BT196" i="1"/>
  <c r="BS196" i="1"/>
  <c r="BQ196" i="1"/>
  <c r="BR196" i="1" s="1"/>
  <c r="BP196" i="1"/>
  <c r="BO196" i="1"/>
  <c r="BM196" i="1"/>
  <c r="BN196" i="1" s="1"/>
  <c r="BJ196" i="1"/>
  <c r="BK196" i="1" s="1"/>
  <c r="BH196" i="1"/>
  <c r="BG196" i="1"/>
  <c r="BE196" i="1"/>
  <c r="BF196" i="1" s="1"/>
  <c r="BD196" i="1"/>
  <c r="BC196" i="1"/>
  <c r="BA196" i="1"/>
  <c r="BB196" i="1" s="1"/>
  <c r="AZ196" i="1"/>
  <c r="AW196" i="1"/>
  <c r="AX196" i="1" s="1"/>
  <c r="AV196" i="1"/>
  <c r="AS196" i="1"/>
  <c r="AT196" i="1" s="1"/>
  <c r="AR196" i="1"/>
  <c r="AQ196" i="1"/>
  <c r="AO196" i="1"/>
  <c r="AP196" i="1" s="1"/>
  <c r="AM196" i="1"/>
  <c r="AN196" i="1" s="1"/>
  <c r="AL196" i="1"/>
  <c r="AK196" i="1"/>
  <c r="AI196" i="1"/>
  <c r="AJ196" i="1" s="1"/>
  <c r="T196" i="1"/>
  <c r="K196" i="1"/>
  <c r="CO195" i="1"/>
  <c r="CN195" i="1"/>
  <c r="CL195" i="1"/>
  <c r="CM195" i="1" s="1"/>
  <c r="CF195" i="1"/>
  <c r="CE195" i="1"/>
  <c r="CC195" i="1"/>
  <c r="CD195" i="1" s="1"/>
  <c r="CB195" i="1"/>
  <c r="CA195" i="1"/>
  <c r="BY195" i="1"/>
  <c r="BZ195" i="1" s="1"/>
  <c r="BU195" i="1"/>
  <c r="BV195" i="1" s="1"/>
  <c r="BT195" i="1"/>
  <c r="BS195" i="1"/>
  <c r="BQ195" i="1"/>
  <c r="BR195" i="1" s="1"/>
  <c r="BP195" i="1"/>
  <c r="BO195" i="1"/>
  <c r="BM195" i="1"/>
  <c r="BN195" i="1" s="1"/>
  <c r="BJ195" i="1"/>
  <c r="BK195" i="1" s="1"/>
  <c r="BH195" i="1"/>
  <c r="BG195" i="1"/>
  <c r="BE195" i="1"/>
  <c r="BF195" i="1" s="1"/>
  <c r="BD195" i="1"/>
  <c r="BC195" i="1"/>
  <c r="BA195" i="1"/>
  <c r="BB195" i="1" s="1"/>
  <c r="AZ195" i="1"/>
  <c r="AW195" i="1"/>
  <c r="AX195" i="1" s="1"/>
  <c r="AV195" i="1"/>
  <c r="AS195" i="1"/>
  <c r="AT195" i="1" s="1"/>
  <c r="AR195" i="1"/>
  <c r="AQ195" i="1"/>
  <c r="AO195" i="1"/>
  <c r="AP195" i="1" s="1"/>
  <c r="AM195" i="1"/>
  <c r="AN195" i="1" s="1"/>
  <c r="AL195" i="1"/>
  <c r="AK195" i="1"/>
  <c r="CJ195" i="1" s="1"/>
  <c r="R195" i="1" s="1"/>
  <c r="AI195" i="1"/>
  <c r="T195" i="1"/>
  <c r="K195" i="1"/>
  <c r="CO194" i="1"/>
  <c r="CN194" i="1"/>
  <c r="CL194" i="1"/>
  <c r="CM194" i="1" s="1"/>
  <c r="CF194" i="1"/>
  <c r="CE194" i="1"/>
  <c r="CC194" i="1"/>
  <c r="CD194" i="1" s="1"/>
  <c r="CB194" i="1"/>
  <c r="CA194" i="1"/>
  <c r="BY194" i="1"/>
  <c r="BZ194" i="1" s="1"/>
  <c r="BU194" i="1"/>
  <c r="BV194" i="1" s="1"/>
  <c r="BT194" i="1"/>
  <c r="BS194" i="1"/>
  <c r="BQ194" i="1"/>
  <c r="BR194" i="1" s="1"/>
  <c r="BP194" i="1"/>
  <c r="BO194" i="1"/>
  <c r="BM194" i="1"/>
  <c r="BN194" i="1" s="1"/>
  <c r="BJ194" i="1"/>
  <c r="BK194" i="1" s="1"/>
  <c r="BH194" i="1"/>
  <c r="BG194" i="1"/>
  <c r="BE194" i="1"/>
  <c r="BF194" i="1" s="1"/>
  <c r="BD194" i="1"/>
  <c r="BC194" i="1"/>
  <c r="BA194" i="1"/>
  <c r="BB194" i="1" s="1"/>
  <c r="AZ194" i="1"/>
  <c r="AW194" i="1"/>
  <c r="AX194" i="1" s="1"/>
  <c r="AV194" i="1"/>
  <c r="AT194" i="1"/>
  <c r="AS194" i="1"/>
  <c r="AR194" i="1"/>
  <c r="AQ194" i="1"/>
  <c r="AP194" i="1"/>
  <c r="AO194" i="1"/>
  <c r="AN194" i="1"/>
  <c r="AM194" i="1"/>
  <c r="AL194" i="1"/>
  <c r="AK194" i="1"/>
  <c r="AJ194" i="1"/>
  <c r="AI194" i="1"/>
  <c r="T194" i="1"/>
  <c r="K194" i="1"/>
  <c r="CO193" i="1"/>
  <c r="CN193" i="1"/>
  <c r="CM193" i="1"/>
  <c r="CL193" i="1"/>
  <c r="CF193" i="1"/>
  <c r="CE193" i="1"/>
  <c r="CC193" i="1"/>
  <c r="CD193" i="1" s="1"/>
  <c r="CB193" i="1"/>
  <c r="CA193" i="1"/>
  <c r="BY193" i="1"/>
  <c r="BZ193" i="1" s="1"/>
  <c r="BU193" i="1"/>
  <c r="BV193" i="1" s="1"/>
  <c r="BT193" i="1"/>
  <c r="BS193" i="1"/>
  <c r="BQ193" i="1"/>
  <c r="BR193" i="1" s="1"/>
  <c r="BP193" i="1"/>
  <c r="BO193" i="1"/>
  <c r="BM193" i="1"/>
  <c r="BN193" i="1" s="1"/>
  <c r="BJ193" i="1"/>
  <c r="BK193" i="1" s="1"/>
  <c r="BH193" i="1"/>
  <c r="BG193" i="1"/>
  <c r="BE193" i="1"/>
  <c r="BF193" i="1" s="1"/>
  <c r="BD193" i="1"/>
  <c r="BC193" i="1"/>
  <c r="BA193" i="1"/>
  <c r="BB193" i="1" s="1"/>
  <c r="AZ193" i="1"/>
  <c r="AW193" i="1"/>
  <c r="AX193" i="1" s="1"/>
  <c r="AV193" i="1"/>
  <c r="AS193" i="1"/>
  <c r="AT193" i="1" s="1"/>
  <c r="AR193" i="1"/>
  <c r="AQ193" i="1"/>
  <c r="AO193" i="1"/>
  <c r="AP193" i="1" s="1"/>
  <c r="AM193" i="1"/>
  <c r="AN193" i="1" s="1"/>
  <c r="AL193" i="1"/>
  <c r="AK193" i="1"/>
  <c r="AI193" i="1"/>
  <c r="T193" i="1"/>
  <c r="K193" i="1"/>
  <c r="CO192" i="1"/>
  <c r="CN192" i="1"/>
  <c r="CL192" i="1"/>
  <c r="CM192" i="1" s="1"/>
  <c r="CF192" i="1"/>
  <c r="CE192" i="1"/>
  <c r="CC192" i="1"/>
  <c r="CD192" i="1" s="1"/>
  <c r="CB192" i="1"/>
  <c r="CA192" i="1"/>
  <c r="BY192" i="1"/>
  <c r="BZ192" i="1" s="1"/>
  <c r="BU192" i="1"/>
  <c r="BV192" i="1" s="1"/>
  <c r="BT192" i="1"/>
  <c r="BS192" i="1"/>
  <c r="BQ192" i="1"/>
  <c r="BR192" i="1" s="1"/>
  <c r="BP192" i="1"/>
  <c r="BO192" i="1"/>
  <c r="BM192" i="1"/>
  <c r="BN192" i="1" s="1"/>
  <c r="BJ192" i="1"/>
  <c r="BK192" i="1" s="1"/>
  <c r="BH192" i="1"/>
  <c r="BG192" i="1"/>
  <c r="BE192" i="1"/>
  <c r="BF192" i="1" s="1"/>
  <c r="BD192" i="1"/>
  <c r="BC192" i="1"/>
  <c r="BA192" i="1"/>
  <c r="BB192" i="1" s="1"/>
  <c r="AZ192" i="1"/>
  <c r="AW192" i="1"/>
  <c r="AX192" i="1" s="1"/>
  <c r="AV192" i="1"/>
  <c r="AS192" i="1"/>
  <c r="AT192" i="1" s="1"/>
  <c r="AR192" i="1"/>
  <c r="AQ192" i="1"/>
  <c r="AO192" i="1"/>
  <c r="AP192" i="1" s="1"/>
  <c r="AM192" i="1"/>
  <c r="AN192" i="1" s="1"/>
  <c r="AL192" i="1"/>
  <c r="AK192" i="1"/>
  <c r="AI192" i="1"/>
  <c r="AJ192" i="1" s="1"/>
  <c r="T192" i="1"/>
  <c r="K192" i="1"/>
  <c r="CO191" i="1"/>
  <c r="CN191" i="1"/>
  <c r="CL191" i="1"/>
  <c r="CM191" i="1" s="1"/>
  <c r="CF191" i="1"/>
  <c r="CE191" i="1"/>
  <c r="CC191" i="1"/>
  <c r="CD191" i="1" s="1"/>
  <c r="CB191" i="1"/>
  <c r="CA191" i="1"/>
  <c r="BY191" i="1"/>
  <c r="BZ191" i="1" s="1"/>
  <c r="BU191" i="1"/>
  <c r="BV191" i="1" s="1"/>
  <c r="BT191" i="1"/>
  <c r="BS191" i="1"/>
  <c r="BQ191" i="1"/>
  <c r="BR191" i="1" s="1"/>
  <c r="BP191" i="1"/>
  <c r="BO191" i="1"/>
  <c r="BM191" i="1"/>
  <c r="BN191" i="1" s="1"/>
  <c r="BJ191" i="1"/>
  <c r="BK191" i="1" s="1"/>
  <c r="BH191" i="1"/>
  <c r="BG191" i="1"/>
  <c r="BE191" i="1"/>
  <c r="BF191" i="1" s="1"/>
  <c r="BD191" i="1"/>
  <c r="BC191" i="1"/>
  <c r="BA191" i="1"/>
  <c r="BB191" i="1" s="1"/>
  <c r="AZ191" i="1"/>
  <c r="AW191" i="1"/>
  <c r="AX191" i="1" s="1"/>
  <c r="AV191" i="1"/>
  <c r="AS191" i="1"/>
  <c r="AT191" i="1" s="1"/>
  <c r="AR191" i="1"/>
  <c r="AQ191" i="1"/>
  <c r="AO191" i="1"/>
  <c r="AP191" i="1" s="1"/>
  <c r="AM191" i="1"/>
  <c r="AN191" i="1" s="1"/>
  <c r="AL191" i="1"/>
  <c r="AK191" i="1"/>
  <c r="CJ191" i="1" s="1"/>
  <c r="R191" i="1" s="1"/>
  <c r="AI191" i="1"/>
  <c r="T191" i="1"/>
  <c r="K191" i="1"/>
  <c r="CO190" i="1"/>
  <c r="CN190" i="1"/>
  <c r="CL190" i="1"/>
  <c r="CM190" i="1" s="1"/>
  <c r="CF190" i="1"/>
  <c r="CE190" i="1"/>
  <c r="CC190" i="1"/>
  <c r="CD190" i="1" s="1"/>
  <c r="CB190" i="1"/>
  <c r="CA190" i="1"/>
  <c r="BY190" i="1"/>
  <c r="BZ190" i="1" s="1"/>
  <c r="BU190" i="1"/>
  <c r="BV190" i="1" s="1"/>
  <c r="BT190" i="1"/>
  <c r="BS190" i="1"/>
  <c r="BQ190" i="1"/>
  <c r="BR190" i="1" s="1"/>
  <c r="BP190" i="1"/>
  <c r="BO190" i="1"/>
  <c r="BM190" i="1"/>
  <c r="BN190" i="1" s="1"/>
  <c r="BJ190" i="1"/>
  <c r="BK190" i="1" s="1"/>
  <c r="BH190" i="1"/>
  <c r="BG190" i="1"/>
  <c r="BE190" i="1"/>
  <c r="BF190" i="1" s="1"/>
  <c r="BD190" i="1"/>
  <c r="BC190" i="1"/>
  <c r="BA190" i="1"/>
  <c r="BB190" i="1" s="1"/>
  <c r="AZ190" i="1"/>
  <c r="AW190" i="1"/>
  <c r="AX190" i="1" s="1"/>
  <c r="AV190" i="1"/>
  <c r="AT190" i="1"/>
  <c r="AS190" i="1"/>
  <c r="AR190" i="1"/>
  <c r="AQ190" i="1"/>
  <c r="AP190" i="1"/>
  <c r="AO190" i="1"/>
  <c r="AN190" i="1"/>
  <c r="AM190" i="1"/>
  <c r="AL190" i="1"/>
  <c r="AK190" i="1"/>
  <c r="AJ190" i="1"/>
  <c r="AI190" i="1"/>
  <c r="T190" i="1"/>
  <c r="K190" i="1"/>
  <c r="CO189" i="1"/>
  <c r="CN189" i="1"/>
  <c r="CM189" i="1"/>
  <c r="CL189" i="1"/>
  <c r="CF189" i="1"/>
  <c r="CE189" i="1"/>
  <c r="CC189" i="1"/>
  <c r="CD189" i="1" s="1"/>
  <c r="CB189" i="1"/>
  <c r="CA189" i="1"/>
  <c r="BY189" i="1"/>
  <c r="BZ189" i="1" s="1"/>
  <c r="BU189" i="1"/>
  <c r="BV189" i="1" s="1"/>
  <c r="BT189" i="1"/>
  <c r="BS189" i="1"/>
  <c r="BQ189" i="1"/>
  <c r="BR189" i="1" s="1"/>
  <c r="BP189" i="1"/>
  <c r="BO189" i="1"/>
  <c r="BM189" i="1"/>
  <c r="BN189" i="1" s="1"/>
  <c r="BJ189" i="1"/>
  <c r="BK189" i="1" s="1"/>
  <c r="BH189" i="1"/>
  <c r="BG189" i="1"/>
  <c r="BE189" i="1"/>
  <c r="BF189" i="1" s="1"/>
  <c r="BD189" i="1"/>
  <c r="BC189" i="1"/>
  <c r="BA189" i="1"/>
  <c r="BB189" i="1" s="1"/>
  <c r="AZ189" i="1"/>
  <c r="AW189" i="1"/>
  <c r="AX189" i="1" s="1"/>
  <c r="AV189" i="1"/>
  <c r="AS189" i="1"/>
  <c r="AT189" i="1" s="1"/>
  <c r="AR189" i="1"/>
  <c r="AQ189" i="1"/>
  <c r="AO189" i="1"/>
  <c r="AP189" i="1" s="1"/>
  <c r="AM189" i="1"/>
  <c r="AN189" i="1" s="1"/>
  <c r="AL189" i="1"/>
  <c r="AK189" i="1"/>
  <c r="AI189" i="1"/>
  <c r="T189" i="1"/>
  <c r="K189" i="1"/>
  <c r="CO188" i="1"/>
  <c r="CN188" i="1"/>
  <c r="CL188" i="1"/>
  <c r="CM188" i="1" s="1"/>
  <c r="CF188" i="1"/>
  <c r="CE188" i="1"/>
  <c r="CC188" i="1"/>
  <c r="CD188" i="1" s="1"/>
  <c r="CB188" i="1"/>
  <c r="CA188" i="1"/>
  <c r="BY188" i="1"/>
  <c r="BZ188" i="1" s="1"/>
  <c r="BU188" i="1"/>
  <c r="BV188" i="1" s="1"/>
  <c r="BT188" i="1"/>
  <c r="BS188" i="1"/>
  <c r="BQ188" i="1"/>
  <c r="BR188" i="1" s="1"/>
  <c r="BP188" i="1"/>
  <c r="BO188" i="1"/>
  <c r="BM188" i="1"/>
  <c r="BN188" i="1" s="1"/>
  <c r="BJ188" i="1"/>
  <c r="BK188" i="1" s="1"/>
  <c r="BH188" i="1"/>
  <c r="BG188" i="1"/>
  <c r="BE188" i="1"/>
  <c r="BF188" i="1" s="1"/>
  <c r="BD188" i="1"/>
  <c r="BC188" i="1"/>
  <c r="BA188" i="1"/>
  <c r="BB188" i="1" s="1"/>
  <c r="AZ188" i="1"/>
  <c r="AW188" i="1"/>
  <c r="AX188" i="1" s="1"/>
  <c r="AV188" i="1"/>
  <c r="AS188" i="1"/>
  <c r="AT188" i="1" s="1"/>
  <c r="AR188" i="1"/>
  <c r="AQ188" i="1"/>
  <c r="AO188" i="1"/>
  <c r="AP188" i="1" s="1"/>
  <c r="AM188" i="1"/>
  <c r="AN188" i="1" s="1"/>
  <c r="AL188" i="1"/>
  <c r="AK188" i="1"/>
  <c r="AI188" i="1"/>
  <c r="AJ188" i="1" s="1"/>
  <c r="T188" i="1"/>
  <c r="K188" i="1"/>
  <c r="CO187" i="1"/>
  <c r="CN187" i="1"/>
  <c r="CL187" i="1"/>
  <c r="CM187" i="1" s="1"/>
  <c r="CF187" i="1"/>
  <c r="CE187" i="1"/>
  <c r="CC187" i="1"/>
  <c r="CD187" i="1" s="1"/>
  <c r="CB187" i="1"/>
  <c r="CA187" i="1"/>
  <c r="BY187" i="1"/>
  <c r="BZ187" i="1" s="1"/>
  <c r="BU187" i="1"/>
  <c r="BV187" i="1" s="1"/>
  <c r="BT187" i="1"/>
  <c r="BS187" i="1"/>
  <c r="BQ187" i="1"/>
  <c r="BR187" i="1" s="1"/>
  <c r="BP187" i="1"/>
  <c r="BO187" i="1"/>
  <c r="BM187" i="1"/>
  <c r="BN187" i="1" s="1"/>
  <c r="BJ187" i="1"/>
  <c r="BK187" i="1" s="1"/>
  <c r="BH187" i="1"/>
  <c r="BG187" i="1"/>
  <c r="BE187" i="1"/>
  <c r="BF187" i="1" s="1"/>
  <c r="BD187" i="1"/>
  <c r="BC187" i="1"/>
  <c r="BA187" i="1"/>
  <c r="BB187" i="1" s="1"/>
  <c r="AZ187" i="1"/>
  <c r="AW187" i="1"/>
  <c r="AX187" i="1" s="1"/>
  <c r="AV187" i="1"/>
  <c r="AS187" i="1"/>
  <c r="AT187" i="1" s="1"/>
  <c r="AR187" i="1"/>
  <c r="AQ187" i="1"/>
  <c r="AO187" i="1"/>
  <c r="AP187" i="1" s="1"/>
  <c r="AM187" i="1"/>
  <c r="AN187" i="1" s="1"/>
  <c r="AL187" i="1"/>
  <c r="AK187" i="1"/>
  <c r="CJ187" i="1" s="1"/>
  <c r="R187" i="1" s="1"/>
  <c r="AI187" i="1"/>
  <c r="T187" i="1"/>
  <c r="K187" i="1"/>
  <c r="CO186" i="1"/>
  <c r="CN186" i="1"/>
  <c r="CL186" i="1"/>
  <c r="CM186" i="1" s="1"/>
  <c r="CF186" i="1"/>
  <c r="CE186" i="1"/>
  <c r="CC186" i="1"/>
  <c r="CD186" i="1" s="1"/>
  <c r="CB186" i="1"/>
  <c r="CA186" i="1"/>
  <c r="BY186" i="1"/>
  <c r="BZ186" i="1" s="1"/>
  <c r="BU186" i="1"/>
  <c r="BV186" i="1" s="1"/>
  <c r="BT186" i="1"/>
  <c r="BS186" i="1"/>
  <c r="BQ186" i="1"/>
  <c r="BR186" i="1" s="1"/>
  <c r="BP186" i="1"/>
  <c r="BO186" i="1"/>
  <c r="BM186" i="1"/>
  <c r="BN186" i="1" s="1"/>
  <c r="BJ186" i="1"/>
  <c r="BK186" i="1" s="1"/>
  <c r="BH186" i="1"/>
  <c r="BG186" i="1"/>
  <c r="BE186" i="1"/>
  <c r="BF186" i="1" s="1"/>
  <c r="BD186" i="1"/>
  <c r="BC186" i="1"/>
  <c r="BA186" i="1"/>
  <c r="BB186" i="1" s="1"/>
  <c r="AZ186" i="1"/>
  <c r="AW186" i="1"/>
  <c r="AX186" i="1" s="1"/>
  <c r="AV186" i="1"/>
  <c r="AT186" i="1"/>
  <c r="AS186" i="1"/>
  <c r="AR186" i="1"/>
  <c r="AQ186" i="1"/>
  <c r="AP186" i="1"/>
  <c r="AO186" i="1"/>
  <c r="AN186" i="1"/>
  <c r="AM186" i="1"/>
  <c r="AL186" i="1"/>
  <c r="AK186" i="1"/>
  <c r="AJ186" i="1"/>
  <c r="AI186" i="1"/>
  <c r="T186" i="1"/>
  <c r="K186" i="1"/>
  <c r="CO185" i="1"/>
  <c r="CN185" i="1"/>
  <c r="CM185" i="1"/>
  <c r="CL185" i="1"/>
  <c r="CF185" i="1"/>
  <c r="CE185" i="1"/>
  <c r="CC185" i="1"/>
  <c r="CD185" i="1" s="1"/>
  <c r="CB185" i="1"/>
  <c r="CA185" i="1"/>
  <c r="BY185" i="1"/>
  <c r="BZ185" i="1" s="1"/>
  <c r="BU185" i="1"/>
  <c r="BV185" i="1" s="1"/>
  <c r="BT185" i="1"/>
  <c r="BS185" i="1"/>
  <c r="BQ185" i="1"/>
  <c r="BR185" i="1" s="1"/>
  <c r="BP185" i="1"/>
  <c r="BO185" i="1"/>
  <c r="BM185" i="1"/>
  <c r="BN185" i="1" s="1"/>
  <c r="BJ185" i="1"/>
  <c r="BK185" i="1" s="1"/>
  <c r="BH185" i="1"/>
  <c r="BG185" i="1"/>
  <c r="BE185" i="1"/>
  <c r="BF185" i="1" s="1"/>
  <c r="BD185" i="1"/>
  <c r="BC185" i="1"/>
  <c r="BA185" i="1"/>
  <c r="BB185" i="1" s="1"/>
  <c r="AZ185" i="1"/>
  <c r="AW185" i="1"/>
  <c r="AX185" i="1" s="1"/>
  <c r="AV185" i="1"/>
  <c r="AS185" i="1"/>
  <c r="AT185" i="1" s="1"/>
  <c r="AR185" i="1"/>
  <c r="AQ185" i="1"/>
  <c r="AO185" i="1"/>
  <c r="AP185" i="1" s="1"/>
  <c r="AM185" i="1"/>
  <c r="AN185" i="1" s="1"/>
  <c r="AL185" i="1"/>
  <c r="AK185" i="1"/>
  <c r="AI185" i="1"/>
  <c r="T185" i="1"/>
  <c r="K185" i="1"/>
  <c r="CO184" i="1"/>
  <c r="CN184" i="1"/>
  <c r="CL184" i="1"/>
  <c r="CM184" i="1" s="1"/>
  <c r="CF184" i="1"/>
  <c r="CE184" i="1"/>
  <c r="CC184" i="1"/>
  <c r="CD184" i="1" s="1"/>
  <c r="CB184" i="1"/>
  <c r="CA184" i="1"/>
  <c r="BY184" i="1"/>
  <c r="BZ184" i="1" s="1"/>
  <c r="BU184" i="1"/>
  <c r="BV184" i="1" s="1"/>
  <c r="BT184" i="1"/>
  <c r="BS184" i="1"/>
  <c r="BQ184" i="1"/>
  <c r="BR184" i="1" s="1"/>
  <c r="BP184" i="1"/>
  <c r="BO184" i="1"/>
  <c r="BM184" i="1"/>
  <c r="BN184" i="1" s="1"/>
  <c r="BJ184" i="1"/>
  <c r="BK184" i="1" s="1"/>
  <c r="BH184" i="1"/>
  <c r="BG184" i="1"/>
  <c r="BE184" i="1"/>
  <c r="BF184" i="1" s="1"/>
  <c r="BD184" i="1"/>
  <c r="BC184" i="1"/>
  <c r="BA184" i="1"/>
  <c r="BB184" i="1" s="1"/>
  <c r="AZ184" i="1"/>
  <c r="AW184" i="1"/>
  <c r="AX184" i="1" s="1"/>
  <c r="AV184" i="1"/>
  <c r="AS184" i="1"/>
  <c r="AT184" i="1" s="1"/>
  <c r="AR184" i="1"/>
  <c r="AQ184" i="1"/>
  <c r="AO184" i="1"/>
  <c r="AP184" i="1" s="1"/>
  <c r="AM184" i="1"/>
  <c r="AN184" i="1" s="1"/>
  <c r="AL184" i="1"/>
  <c r="AK184" i="1"/>
  <c r="AI184" i="1"/>
  <c r="AJ184" i="1" s="1"/>
  <c r="T184" i="1"/>
  <c r="K184" i="1"/>
  <c r="CO183" i="1"/>
  <c r="CN183" i="1"/>
  <c r="CL183" i="1"/>
  <c r="CM183" i="1" s="1"/>
  <c r="CF183" i="1"/>
  <c r="CE183" i="1"/>
  <c r="CC183" i="1"/>
  <c r="CD183" i="1" s="1"/>
  <c r="CB183" i="1"/>
  <c r="CA183" i="1"/>
  <c r="BY183" i="1"/>
  <c r="BZ183" i="1" s="1"/>
  <c r="BU183" i="1"/>
  <c r="BV183" i="1" s="1"/>
  <c r="BT183" i="1"/>
  <c r="BS183" i="1"/>
  <c r="BQ183" i="1"/>
  <c r="BR183" i="1" s="1"/>
  <c r="BP183" i="1"/>
  <c r="BO183" i="1"/>
  <c r="BM183" i="1"/>
  <c r="BN183" i="1" s="1"/>
  <c r="BJ183" i="1"/>
  <c r="BK183" i="1" s="1"/>
  <c r="BH183" i="1"/>
  <c r="BG183" i="1"/>
  <c r="BE183" i="1"/>
  <c r="BF183" i="1" s="1"/>
  <c r="BD183" i="1"/>
  <c r="BC183" i="1"/>
  <c r="BA183" i="1"/>
  <c r="BB183" i="1" s="1"/>
  <c r="AZ183" i="1"/>
  <c r="AW183" i="1"/>
  <c r="AX183" i="1" s="1"/>
  <c r="AV183" i="1"/>
  <c r="AS183" i="1"/>
  <c r="AT183" i="1" s="1"/>
  <c r="AR183" i="1"/>
  <c r="AQ183" i="1"/>
  <c r="AO183" i="1"/>
  <c r="AP183" i="1" s="1"/>
  <c r="AM183" i="1"/>
  <c r="AN183" i="1" s="1"/>
  <c r="AL183" i="1"/>
  <c r="AK183" i="1"/>
  <c r="CJ183" i="1" s="1"/>
  <c r="R183" i="1" s="1"/>
  <c r="AI183" i="1"/>
  <c r="T183" i="1"/>
  <c r="K183" i="1"/>
  <c r="CO182" i="1"/>
  <c r="CN182" i="1"/>
  <c r="CL182" i="1"/>
  <c r="CM182" i="1" s="1"/>
  <c r="CF182" i="1"/>
  <c r="CE182" i="1"/>
  <c r="CC182" i="1"/>
  <c r="CD182" i="1" s="1"/>
  <c r="CB182" i="1"/>
  <c r="CA182" i="1"/>
  <c r="BY182" i="1"/>
  <c r="BZ182" i="1" s="1"/>
  <c r="BU182" i="1"/>
  <c r="BV182" i="1" s="1"/>
  <c r="BT182" i="1"/>
  <c r="BS182" i="1"/>
  <c r="BQ182" i="1"/>
  <c r="BR182" i="1" s="1"/>
  <c r="BP182" i="1"/>
  <c r="BO182" i="1"/>
  <c r="BM182" i="1"/>
  <c r="BN182" i="1" s="1"/>
  <c r="BJ182" i="1"/>
  <c r="BK182" i="1" s="1"/>
  <c r="BH182" i="1"/>
  <c r="BG182" i="1"/>
  <c r="BE182" i="1"/>
  <c r="BF182" i="1" s="1"/>
  <c r="BD182" i="1"/>
  <c r="BC182" i="1"/>
  <c r="BA182" i="1"/>
  <c r="BB182" i="1" s="1"/>
  <c r="AZ182" i="1"/>
  <c r="AW182" i="1"/>
  <c r="AX182" i="1" s="1"/>
  <c r="AV182" i="1"/>
  <c r="AT182" i="1"/>
  <c r="AS182" i="1"/>
  <c r="AR182" i="1"/>
  <c r="AQ182" i="1"/>
  <c r="AP182" i="1"/>
  <c r="AO182" i="1"/>
  <c r="AN182" i="1"/>
  <c r="AM182" i="1"/>
  <c r="AL182" i="1"/>
  <c r="AK182" i="1"/>
  <c r="AJ182" i="1"/>
  <c r="AI182" i="1"/>
  <c r="T182" i="1"/>
  <c r="K182" i="1"/>
  <c r="CO181" i="1"/>
  <c r="CN181" i="1"/>
  <c r="CM181" i="1"/>
  <c r="CL181" i="1"/>
  <c r="CF181" i="1"/>
  <c r="CE181" i="1"/>
  <c r="CC181" i="1"/>
  <c r="CD181" i="1" s="1"/>
  <c r="CB181" i="1"/>
  <c r="CA181" i="1"/>
  <c r="BY181" i="1"/>
  <c r="BZ181" i="1" s="1"/>
  <c r="BU181" i="1"/>
  <c r="BV181" i="1" s="1"/>
  <c r="BT181" i="1"/>
  <c r="BS181" i="1"/>
  <c r="BQ181" i="1"/>
  <c r="BR181" i="1" s="1"/>
  <c r="BP181" i="1"/>
  <c r="BO181" i="1"/>
  <c r="BM181" i="1"/>
  <c r="BN181" i="1" s="1"/>
  <c r="BJ181" i="1"/>
  <c r="BK181" i="1" s="1"/>
  <c r="BH181" i="1"/>
  <c r="BG181" i="1"/>
  <c r="BE181" i="1"/>
  <c r="BF181" i="1" s="1"/>
  <c r="BD181" i="1"/>
  <c r="BC181" i="1"/>
  <c r="BA181" i="1"/>
  <c r="BB181" i="1" s="1"/>
  <c r="AZ181" i="1"/>
  <c r="AW181" i="1"/>
  <c r="AX181" i="1" s="1"/>
  <c r="AV181" i="1"/>
  <c r="AS181" i="1"/>
  <c r="AT181" i="1" s="1"/>
  <c r="AR181" i="1"/>
  <c r="AQ181" i="1"/>
  <c r="AO181" i="1"/>
  <c r="AP181" i="1" s="1"/>
  <c r="AM181" i="1"/>
  <c r="AN181" i="1" s="1"/>
  <c r="AL181" i="1"/>
  <c r="AK181" i="1"/>
  <c r="AI181" i="1"/>
  <c r="T181" i="1"/>
  <c r="K181" i="1"/>
  <c r="CO180" i="1"/>
  <c r="CN180" i="1"/>
  <c r="CL180" i="1"/>
  <c r="CM180" i="1" s="1"/>
  <c r="CF180" i="1"/>
  <c r="CE180" i="1"/>
  <c r="CC180" i="1"/>
  <c r="CD180" i="1" s="1"/>
  <c r="CB180" i="1"/>
  <c r="CA180" i="1"/>
  <c r="BY180" i="1"/>
  <c r="BZ180" i="1" s="1"/>
  <c r="BU180" i="1"/>
  <c r="BV180" i="1" s="1"/>
  <c r="BT180" i="1"/>
  <c r="BS180" i="1"/>
  <c r="BQ180" i="1"/>
  <c r="BR180" i="1" s="1"/>
  <c r="BP180" i="1"/>
  <c r="BO180" i="1"/>
  <c r="BM180" i="1"/>
  <c r="BN180" i="1" s="1"/>
  <c r="BJ180" i="1"/>
  <c r="BK180" i="1" s="1"/>
  <c r="BH180" i="1"/>
  <c r="BG180" i="1"/>
  <c r="BE180" i="1"/>
  <c r="BF180" i="1" s="1"/>
  <c r="BD180" i="1"/>
  <c r="BC180" i="1"/>
  <c r="BA180" i="1"/>
  <c r="BB180" i="1" s="1"/>
  <c r="AZ180" i="1"/>
  <c r="AW180" i="1"/>
  <c r="AX180" i="1" s="1"/>
  <c r="AV180" i="1"/>
  <c r="AS180" i="1"/>
  <c r="AT180" i="1" s="1"/>
  <c r="AR180" i="1"/>
  <c r="AQ180" i="1"/>
  <c r="AO180" i="1"/>
  <c r="AP180" i="1" s="1"/>
  <c r="AM180" i="1"/>
  <c r="AN180" i="1" s="1"/>
  <c r="AL180" i="1"/>
  <c r="AK180" i="1"/>
  <c r="AI180" i="1"/>
  <c r="AJ180" i="1" s="1"/>
  <c r="T180" i="1"/>
  <c r="K180" i="1"/>
  <c r="CO179" i="1"/>
  <c r="CN179" i="1"/>
  <c r="CL179" i="1"/>
  <c r="CM179" i="1" s="1"/>
  <c r="CF179" i="1"/>
  <c r="CE179" i="1"/>
  <c r="CC179" i="1"/>
  <c r="CD179" i="1" s="1"/>
  <c r="CB179" i="1"/>
  <c r="CA179" i="1"/>
  <c r="BY179" i="1"/>
  <c r="BZ179" i="1" s="1"/>
  <c r="BU179" i="1"/>
  <c r="BV179" i="1" s="1"/>
  <c r="BT179" i="1"/>
  <c r="BS179" i="1"/>
  <c r="BQ179" i="1"/>
  <c r="BR179" i="1" s="1"/>
  <c r="BP179" i="1"/>
  <c r="BO179" i="1"/>
  <c r="BM179" i="1"/>
  <c r="BN179" i="1" s="1"/>
  <c r="BJ179" i="1"/>
  <c r="BK179" i="1" s="1"/>
  <c r="BH179" i="1"/>
  <c r="BG179" i="1"/>
  <c r="BE179" i="1"/>
  <c r="BF179" i="1" s="1"/>
  <c r="BD179" i="1"/>
  <c r="BC179" i="1"/>
  <c r="BA179" i="1"/>
  <c r="BB179" i="1" s="1"/>
  <c r="AZ179" i="1"/>
  <c r="AW179" i="1"/>
  <c r="AX179" i="1" s="1"/>
  <c r="AV179" i="1"/>
  <c r="AS179" i="1"/>
  <c r="AT179" i="1" s="1"/>
  <c r="AR179" i="1"/>
  <c r="AQ179" i="1"/>
  <c r="AO179" i="1"/>
  <c r="AP179" i="1" s="1"/>
  <c r="AM179" i="1"/>
  <c r="AN179" i="1" s="1"/>
  <c r="AL179" i="1"/>
  <c r="AK179" i="1"/>
  <c r="AI179" i="1"/>
  <c r="T179" i="1"/>
  <c r="K179" i="1"/>
  <c r="CO178" i="1"/>
  <c r="CN178" i="1"/>
  <c r="CL178" i="1"/>
  <c r="CM178" i="1" s="1"/>
  <c r="CF178" i="1"/>
  <c r="CE178" i="1"/>
  <c r="CC178" i="1"/>
  <c r="CD178" i="1" s="1"/>
  <c r="CB178" i="1"/>
  <c r="CA178" i="1"/>
  <c r="BY178" i="1"/>
  <c r="BZ178" i="1" s="1"/>
  <c r="BU178" i="1"/>
  <c r="BV178" i="1" s="1"/>
  <c r="BT178" i="1"/>
  <c r="BS178" i="1"/>
  <c r="BQ178" i="1"/>
  <c r="BR178" i="1" s="1"/>
  <c r="BP178" i="1"/>
  <c r="BO178" i="1"/>
  <c r="BM178" i="1"/>
  <c r="BN178" i="1" s="1"/>
  <c r="BJ178" i="1"/>
  <c r="BK178" i="1" s="1"/>
  <c r="BH178" i="1"/>
  <c r="BG178" i="1"/>
  <c r="BE178" i="1"/>
  <c r="BF178" i="1" s="1"/>
  <c r="BD178" i="1"/>
  <c r="BC178" i="1"/>
  <c r="BA178" i="1"/>
  <c r="BB178" i="1" s="1"/>
  <c r="AZ178" i="1"/>
  <c r="AW178" i="1"/>
  <c r="AX178" i="1" s="1"/>
  <c r="AV178" i="1"/>
  <c r="AT178" i="1"/>
  <c r="AS178" i="1"/>
  <c r="AR178" i="1"/>
  <c r="AQ178" i="1"/>
  <c r="AP178" i="1"/>
  <c r="AO178" i="1"/>
  <c r="AN178" i="1"/>
  <c r="AM178" i="1"/>
  <c r="AL178" i="1"/>
  <c r="AK178" i="1"/>
  <c r="AJ178" i="1"/>
  <c r="AI178" i="1"/>
  <c r="T178" i="1"/>
  <c r="K178" i="1"/>
  <c r="CO177" i="1"/>
  <c r="CN177" i="1"/>
  <c r="CM177" i="1"/>
  <c r="CL177" i="1"/>
  <c r="CF177" i="1"/>
  <c r="CE177" i="1"/>
  <c r="CC177" i="1"/>
  <c r="CD177" i="1" s="1"/>
  <c r="CB177" i="1"/>
  <c r="CA177" i="1"/>
  <c r="BY177" i="1"/>
  <c r="BZ177" i="1" s="1"/>
  <c r="BU177" i="1"/>
  <c r="BV177" i="1" s="1"/>
  <c r="BT177" i="1"/>
  <c r="BS177" i="1"/>
  <c r="BQ177" i="1"/>
  <c r="BR177" i="1" s="1"/>
  <c r="BP177" i="1"/>
  <c r="BO177" i="1"/>
  <c r="BM177" i="1"/>
  <c r="BN177" i="1" s="1"/>
  <c r="BJ177" i="1"/>
  <c r="BK177" i="1" s="1"/>
  <c r="BH177" i="1"/>
  <c r="BG177" i="1"/>
  <c r="BE177" i="1"/>
  <c r="BF177" i="1" s="1"/>
  <c r="BD177" i="1"/>
  <c r="BC177" i="1"/>
  <c r="BA177" i="1"/>
  <c r="BB177" i="1" s="1"/>
  <c r="AZ177" i="1"/>
  <c r="AW177" i="1"/>
  <c r="AX177" i="1" s="1"/>
  <c r="AV177" i="1"/>
  <c r="AS177" i="1"/>
  <c r="AT177" i="1" s="1"/>
  <c r="AR177" i="1"/>
  <c r="AQ177" i="1"/>
  <c r="AO177" i="1"/>
  <c r="AP177" i="1" s="1"/>
  <c r="AM177" i="1"/>
  <c r="AN177" i="1" s="1"/>
  <c r="AL177" i="1"/>
  <c r="AK177" i="1"/>
  <c r="AI177" i="1"/>
  <c r="AJ177" i="1" s="1"/>
  <c r="T177" i="1"/>
  <c r="K177" i="1"/>
  <c r="CO176" i="1"/>
  <c r="CN176" i="1"/>
  <c r="CL176" i="1"/>
  <c r="CM176" i="1" s="1"/>
  <c r="CF176" i="1"/>
  <c r="CE176" i="1"/>
  <c r="CC176" i="1"/>
  <c r="CD176" i="1" s="1"/>
  <c r="CB176" i="1"/>
  <c r="CA176" i="1"/>
  <c r="BY176" i="1"/>
  <c r="BZ176" i="1" s="1"/>
  <c r="BU176" i="1"/>
  <c r="BV176" i="1" s="1"/>
  <c r="BT176" i="1"/>
  <c r="BS176" i="1"/>
  <c r="BQ176" i="1"/>
  <c r="BR176" i="1" s="1"/>
  <c r="BP176" i="1"/>
  <c r="BO176" i="1"/>
  <c r="BM176" i="1"/>
  <c r="BN176" i="1" s="1"/>
  <c r="BJ176" i="1"/>
  <c r="BK176" i="1" s="1"/>
  <c r="BH176" i="1"/>
  <c r="BG176" i="1"/>
  <c r="BE176" i="1"/>
  <c r="BF176" i="1" s="1"/>
  <c r="BD176" i="1"/>
  <c r="BC176" i="1"/>
  <c r="BA176" i="1"/>
  <c r="BB176" i="1" s="1"/>
  <c r="AZ176" i="1"/>
  <c r="AW176" i="1"/>
  <c r="AX176" i="1" s="1"/>
  <c r="AV176" i="1"/>
  <c r="AS176" i="1"/>
  <c r="AT176" i="1" s="1"/>
  <c r="AR176" i="1"/>
  <c r="AQ176" i="1"/>
  <c r="AO176" i="1"/>
  <c r="AP176" i="1" s="1"/>
  <c r="AM176" i="1"/>
  <c r="AN176" i="1" s="1"/>
  <c r="AL176" i="1"/>
  <c r="AK176" i="1"/>
  <c r="AI176" i="1"/>
  <c r="AJ176" i="1" s="1"/>
  <c r="T176" i="1"/>
  <c r="K176" i="1"/>
  <c r="CO175" i="1"/>
  <c r="CN175" i="1"/>
  <c r="CL175" i="1"/>
  <c r="CM175" i="1" s="1"/>
  <c r="CF175" i="1"/>
  <c r="CE175" i="1"/>
  <c r="CC175" i="1"/>
  <c r="CD175" i="1" s="1"/>
  <c r="CB175" i="1"/>
  <c r="CA175" i="1"/>
  <c r="BY175" i="1"/>
  <c r="BZ175" i="1" s="1"/>
  <c r="BU175" i="1"/>
  <c r="BV175" i="1" s="1"/>
  <c r="BT175" i="1"/>
  <c r="BS175" i="1"/>
  <c r="BQ175" i="1"/>
  <c r="BR175" i="1" s="1"/>
  <c r="BP175" i="1"/>
  <c r="BO175" i="1"/>
  <c r="BM175" i="1"/>
  <c r="BN175" i="1" s="1"/>
  <c r="BJ175" i="1"/>
  <c r="BK175" i="1" s="1"/>
  <c r="BH175" i="1"/>
  <c r="BG175" i="1"/>
  <c r="BE175" i="1"/>
  <c r="BF175" i="1" s="1"/>
  <c r="BD175" i="1"/>
  <c r="BC175" i="1"/>
  <c r="BA175" i="1"/>
  <c r="BB175" i="1" s="1"/>
  <c r="AZ175" i="1"/>
  <c r="AW175" i="1"/>
  <c r="AX175" i="1" s="1"/>
  <c r="AV175" i="1"/>
  <c r="AS175" i="1"/>
  <c r="AT175" i="1" s="1"/>
  <c r="AR175" i="1"/>
  <c r="AQ175" i="1"/>
  <c r="AO175" i="1"/>
  <c r="AP175" i="1" s="1"/>
  <c r="AM175" i="1"/>
  <c r="AN175" i="1" s="1"/>
  <c r="AL175" i="1"/>
  <c r="AK175" i="1"/>
  <c r="CJ175" i="1" s="1"/>
  <c r="R175" i="1" s="1"/>
  <c r="AI175" i="1"/>
  <c r="AJ175" i="1" s="1"/>
  <c r="T175" i="1"/>
  <c r="K175" i="1"/>
  <c r="CO174" i="1"/>
  <c r="CN174" i="1"/>
  <c r="CL174" i="1"/>
  <c r="CM174" i="1" s="1"/>
  <c r="CF174" i="1"/>
  <c r="CE174" i="1"/>
  <c r="CC174" i="1"/>
  <c r="CD174" i="1" s="1"/>
  <c r="CB174" i="1"/>
  <c r="CA174" i="1"/>
  <c r="BY174" i="1"/>
  <c r="BZ174" i="1" s="1"/>
  <c r="BU174" i="1"/>
  <c r="BV174" i="1" s="1"/>
  <c r="BT174" i="1"/>
  <c r="BS174" i="1"/>
  <c r="BQ174" i="1"/>
  <c r="BR174" i="1" s="1"/>
  <c r="BP174" i="1"/>
  <c r="BO174" i="1"/>
  <c r="BM174" i="1"/>
  <c r="BN174" i="1" s="1"/>
  <c r="BJ174" i="1"/>
  <c r="BK174" i="1" s="1"/>
  <c r="BH174" i="1"/>
  <c r="BG174" i="1"/>
  <c r="BE174" i="1"/>
  <c r="BF174" i="1" s="1"/>
  <c r="BD174" i="1"/>
  <c r="BC174" i="1"/>
  <c r="BA174" i="1"/>
  <c r="BB174" i="1" s="1"/>
  <c r="AZ174" i="1"/>
  <c r="AW174" i="1"/>
  <c r="AX174" i="1" s="1"/>
  <c r="AV174" i="1"/>
  <c r="AT174" i="1"/>
  <c r="AS174" i="1"/>
  <c r="AR174" i="1"/>
  <c r="AQ174" i="1"/>
  <c r="AP174" i="1"/>
  <c r="AO174" i="1"/>
  <c r="AN174" i="1"/>
  <c r="AM174" i="1"/>
  <c r="AL174" i="1"/>
  <c r="AK174" i="1"/>
  <c r="AJ174" i="1"/>
  <c r="AI174" i="1"/>
  <c r="T174" i="1"/>
  <c r="K174" i="1"/>
  <c r="CO173" i="1"/>
  <c r="CN173" i="1"/>
  <c r="CM173" i="1"/>
  <c r="CL173" i="1"/>
  <c r="CF173" i="1"/>
  <c r="CE173" i="1"/>
  <c r="CC173" i="1"/>
  <c r="CD173" i="1" s="1"/>
  <c r="CB173" i="1"/>
  <c r="CA173" i="1"/>
  <c r="BY173" i="1"/>
  <c r="BZ173" i="1" s="1"/>
  <c r="BU173" i="1"/>
  <c r="BV173" i="1" s="1"/>
  <c r="BT173" i="1"/>
  <c r="BS173" i="1"/>
  <c r="BQ173" i="1"/>
  <c r="BR173" i="1" s="1"/>
  <c r="BP173" i="1"/>
  <c r="BO173" i="1"/>
  <c r="BM173" i="1"/>
  <c r="BN173" i="1" s="1"/>
  <c r="BJ173" i="1"/>
  <c r="BK173" i="1" s="1"/>
  <c r="BH173" i="1"/>
  <c r="BG173" i="1"/>
  <c r="BE173" i="1"/>
  <c r="BF173" i="1" s="1"/>
  <c r="BD173" i="1"/>
  <c r="BC173" i="1"/>
  <c r="BA173" i="1"/>
  <c r="BB173" i="1" s="1"/>
  <c r="AZ173" i="1"/>
  <c r="AW173" i="1"/>
  <c r="AX173" i="1" s="1"/>
  <c r="AV173" i="1"/>
  <c r="AS173" i="1"/>
  <c r="AT173" i="1" s="1"/>
  <c r="AR173" i="1"/>
  <c r="AQ173" i="1"/>
  <c r="AO173" i="1"/>
  <c r="AP173" i="1" s="1"/>
  <c r="AM173" i="1"/>
  <c r="AN173" i="1" s="1"/>
  <c r="AL173" i="1"/>
  <c r="AK173" i="1"/>
  <c r="AI173" i="1"/>
  <c r="AJ173" i="1" s="1"/>
  <c r="T173" i="1"/>
  <c r="K173" i="1"/>
  <c r="CO172" i="1"/>
  <c r="CN172" i="1"/>
  <c r="CL172" i="1"/>
  <c r="CM172" i="1" s="1"/>
  <c r="CF172" i="1"/>
  <c r="CE172" i="1"/>
  <c r="CC172" i="1"/>
  <c r="CD172" i="1" s="1"/>
  <c r="CB172" i="1"/>
  <c r="CA172" i="1"/>
  <c r="BY172" i="1"/>
  <c r="BZ172" i="1" s="1"/>
  <c r="BU172" i="1"/>
  <c r="BV172" i="1" s="1"/>
  <c r="BT172" i="1"/>
  <c r="BS172" i="1"/>
  <c r="BQ172" i="1"/>
  <c r="BR172" i="1" s="1"/>
  <c r="BP172" i="1"/>
  <c r="BO172" i="1"/>
  <c r="BM172" i="1"/>
  <c r="BN172" i="1" s="1"/>
  <c r="BJ172" i="1"/>
  <c r="BK172" i="1" s="1"/>
  <c r="BH172" i="1"/>
  <c r="BG172" i="1"/>
  <c r="BE172" i="1"/>
  <c r="BF172" i="1" s="1"/>
  <c r="BD172" i="1"/>
  <c r="BC172" i="1"/>
  <c r="BA172" i="1"/>
  <c r="BB172" i="1" s="1"/>
  <c r="AZ172" i="1"/>
  <c r="AW172" i="1"/>
  <c r="AX172" i="1" s="1"/>
  <c r="AV172" i="1"/>
  <c r="AS172" i="1"/>
  <c r="AT172" i="1" s="1"/>
  <c r="AR172" i="1"/>
  <c r="AQ172" i="1"/>
  <c r="AO172" i="1"/>
  <c r="AP172" i="1" s="1"/>
  <c r="AM172" i="1"/>
  <c r="AN172" i="1" s="1"/>
  <c r="AL172" i="1"/>
  <c r="AK172" i="1"/>
  <c r="AI172" i="1"/>
  <c r="AJ172" i="1" s="1"/>
  <c r="T172" i="1"/>
  <c r="K172" i="1"/>
  <c r="CO171" i="1"/>
  <c r="CN171" i="1"/>
  <c r="CL171" i="1"/>
  <c r="CM171" i="1" s="1"/>
  <c r="CF171" i="1"/>
  <c r="CE171" i="1"/>
  <c r="CC171" i="1"/>
  <c r="CD171" i="1" s="1"/>
  <c r="CB171" i="1"/>
  <c r="CA171" i="1"/>
  <c r="BY171" i="1"/>
  <c r="BZ171" i="1" s="1"/>
  <c r="BU171" i="1"/>
  <c r="BV171" i="1" s="1"/>
  <c r="BT171" i="1"/>
  <c r="BS171" i="1"/>
  <c r="BQ171" i="1"/>
  <c r="BR171" i="1" s="1"/>
  <c r="BP171" i="1"/>
  <c r="BO171" i="1"/>
  <c r="BM171" i="1"/>
  <c r="BN171" i="1" s="1"/>
  <c r="BJ171" i="1"/>
  <c r="BK171" i="1" s="1"/>
  <c r="BH171" i="1"/>
  <c r="BG171" i="1"/>
  <c r="BE171" i="1"/>
  <c r="BF171" i="1" s="1"/>
  <c r="BD171" i="1"/>
  <c r="BC171" i="1"/>
  <c r="BA171" i="1"/>
  <c r="BB171" i="1" s="1"/>
  <c r="AZ171" i="1"/>
  <c r="AW171" i="1"/>
  <c r="AX171" i="1" s="1"/>
  <c r="AV171" i="1"/>
  <c r="AS171" i="1"/>
  <c r="AT171" i="1" s="1"/>
  <c r="AR171" i="1"/>
  <c r="AQ171" i="1"/>
  <c r="AO171" i="1"/>
  <c r="AP171" i="1" s="1"/>
  <c r="AM171" i="1"/>
  <c r="AN171" i="1" s="1"/>
  <c r="AL171" i="1"/>
  <c r="AK171" i="1"/>
  <c r="CJ171" i="1" s="1"/>
  <c r="R171" i="1" s="1"/>
  <c r="AI171" i="1"/>
  <c r="AJ171" i="1" s="1"/>
  <c r="T171" i="1"/>
  <c r="K171" i="1"/>
  <c r="CO170" i="1"/>
  <c r="CN170" i="1"/>
  <c r="CL170" i="1"/>
  <c r="CM170" i="1" s="1"/>
  <c r="CF170" i="1"/>
  <c r="CE170" i="1"/>
  <c r="CC170" i="1"/>
  <c r="CD170" i="1" s="1"/>
  <c r="CB170" i="1"/>
  <c r="CA170" i="1"/>
  <c r="BY170" i="1"/>
  <c r="BZ170" i="1" s="1"/>
  <c r="BU170" i="1"/>
  <c r="BV170" i="1" s="1"/>
  <c r="BT170" i="1"/>
  <c r="BS170" i="1"/>
  <c r="BQ170" i="1"/>
  <c r="BR170" i="1" s="1"/>
  <c r="BP170" i="1"/>
  <c r="BO170" i="1"/>
  <c r="BM170" i="1"/>
  <c r="BN170" i="1" s="1"/>
  <c r="BJ170" i="1"/>
  <c r="BK170" i="1" s="1"/>
  <c r="BH170" i="1"/>
  <c r="BG170" i="1"/>
  <c r="BE170" i="1"/>
  <c r="BF170" i="1" s="1"/>
  <c r="BD170" i="1"/>
  <c r="BC170" i="1"/>
  <c r="BA170" i="1"/>
  <c r="BB170" i="1" s="1"/>
  <c r="AZ170" i="1"/>
  <c r="AW170" i="1"/>
  <c r="AX170" i="1" s="1"/>
  <c r="AV170" i="1"/>
  <c r="AT170" i="1"/>
  <c r="AS170" i="1"/>
  <c r="AR170" i="1"/>
  <c r="AQ170" i="1"/>
  <c r="AP170" i="1"/>
  <c r="AO170" i="1"/>
  <c r="AN170" i="1"/>
  <c r="AM170" i="1"/>
  <c r="AL170" i="1"/>
  <c r="AK170" i="1"/>
  <c r="AJ170" i="1"/>
  <c r="AI170" i="1"/>
  <c r="T170" i="1"/>
  <c r="K170" i="1"/>
  <c r="CO169" i="1"/>
  <c r="CN169" i="1"/>
  <c r="CM169" i="1"/>
  <c r="CL169" i="1"/>
  <c r="CF169" i="1"/>
  <c r="CE169" i="1"/>
  <c r="CC169" i="1"/>
  <c r="CD169" i="1" s="1"/>
  <c r="CB169" i="1"/>
  <c r="CA169" i="1"/>
  <c r="BY169" i="1"/>
  <c r="BZ169" i="1" s="1"/>
  <c r="BU169" i="1"/>
  <c r="BV169" i="1" s="1"/>
  <c r="BT169" i="1"/>
  <c r="BS169" i="1"/>
  <c r="BQ169" i="1"/>
  <c r="BR169" i="1" s="1"/>
  <c r="BP169" i="1"/>
  <c r="BO169" i="1"/>
  <c r="BM169" i="1"/>
  <c r="BN169" i="1" s="1"/>
  <c r="BJ169" i="1"/>
  <c r="BK169" i="1" s="1"/>
  <c r="BH169" i="1"/>
  <c r="BG169" i="1"/>
  <c r="BE169" i="1"/>
  <c r="BF169" i="1" s="1"/>
  <c r="BD169" i="1"/>
  <c r="BC169" i="1"/>
  <c r="BA169" i="1"/>
  <c r="BB169" i="1" s="1"/>
  <c r="AZ169" i="1"/>
  <c r="AW169" i="1"/>
  <c r="AX169" i="1" s="1"/>
  <c r="AV169" i="1"/>
  <c r="AS169" i="1"/>
  <c r="AT169" i="1" s="1"/>
  <c r="AR169" i="1"/>
  <c r="AQ169" i="1"/>
  <c r="AO169" i="1"/>
  <c r="AP169" i="1" s="1"/>
  <c r="AM169" i="1"/>
  <c r="AN169" i="1" s="1"/>
  <c r="AL169" i="1"/>
  <c r="AK169" i="1"/>
  <c r="AI169" i="1"/>
  <c r="AJ169" i="1" s="1"/>
  <c r="T169" i="1"/>
  <c r="K169" i="1"/>
  <c r="CO168" i="1"/>
  <c r="CN168" i="1"/>
  <c r="CL168" i="1"/>
  <c r="CM168" i="1" s="1"/>
  <c r="CF168" i="1"/>
  <c r="CE168" i="1"/>
  <c r="CC168" i="1"/>
  <c r="CD168" i="1" s="1"/>
  <c r="CB168" i="1"/>
  <c r="CA168" i="1"/>
  <c r="BY168" i="1"/>
  <c r="BZ168" i="1" s="1"/>
  <c r="BU168" i="1"/>
  <c r="BV168" i="1" s="1"/>
  <c r="BT168" i="1"/>
  <c r="BS168" i="1"/>
  <c r="BQ168" i="1"/>
  <c r="BR168" i="1" s="1"/>
  <c r="BP168" i="1"/>
  <c r="BO168" i="1"/>
  <c r="BM168" i="1"/>
  <c r="BN168" i="1" s="1"/>
  <c r="BJ168" i="1"/>
  <c r="BK168" i="1" s="1"/>
  <c r="BH168" i="1"/>
  <c r="BG168" i="1"/>
  <c r="BE168" i="1"/>
  <c r="BF168" i="1" s="1"/>
  <c r="BD168" i="1"/>
  <c r="BC168" i="1"/>
  <c r="BA168" i="1"/>
  <c r="BB168" i="1" s="1"/>
  <c r="AZ168" i="1"/>
  <c r="AW168" i="1"/>
  <c r="AX168" i="1" s="1"/>
  <c r="AV168" i="1"/>
  <c r="AS168" i="1"/>
  <c r="AT168" i="1" s="1"/>
  <c r="AR168" i="1"/>
  <c r="AQ168" i="1"/>
  <c r="AO168" i="1"/>
  <c r="AP168" i="1" s="1"/>
  <c r="AM168" i="1"/>
  <c r="AN168" i="1" s="1"/>
  <c r="AL168" i="1"/>
  <c r="AK168" i="1"/>
  <c r="AI168" i="1"/>
  <c r="AJ168" i="1" s="1"/>
  <c r="T168" i="1"/>
  <c r="K168" i="1"/>
  <c r="CO167" i="1"/>
  <c r="CN167" i="1"/>
  <c r="CL167" i="1"/>
  <c r="CM167" i="1" s="1"/>
  <c r="CF167" i="1"/>
  <c r="CE167" i="1"/>
  <c r="CC167" i="1"/>
  <c r="CD167" i="1" s="1"/>
  <c r="CB167" i="1"/>
  <c r="CA167" i="1"/>
  <c r="BY167" i="1"/>
  <c r="BZ167" i="1" s="1"/>
  <c r="BU167" i="1"/>
  <c r="BV167" i="1" s="1"/>
  <c r="BT167" i="1"/>
  <c r="BS167" i="1"/>
  <c r="BQ167" i="1"/>
  <c r="BR167" i="1" s="1"/>
  <c r="BP167" i="1"/>
  <c r="BO167" i="1"/>
  <c r="BM167" i="1"/>
  <c r="BN167" i="1" s="1"/>
  <c r="BJ167" i="1"/>
  <c r="BK167" i="1" s="1"/>
  <c r="BH167" i="1"/>
  <c r="BG167" i="1"/>
  <c r="BE167" i="1"/>
  <c r="BF167" i="1" s="1"/>
  <c r="BD167" i="1"/>
  <c r="BC167" i="1"/>
  <c r="BA167" i="1"/>
  <c r="BB167" i="1" s="1"/>
  <c r="AZ167" i="1"/>
  <c r="AW167" i="1"/>
  <c r="AX167" i="1" s="1"/>
  <c r="AV167" i="1"/>
  <c r="AS167" i="1"/>
  <c r="AT167" i="1" s="1"/>
  <c r="AR167" i="1"/>
  <c r="AQ167" i="1"/>
  <c r="AO167" i="1"/>
  <c r="AP167" i="1" s="1"/>
  <c r="AM167" i="1"/>
  <c r="AN167" i="1" s="1"/>
  <c r="AL167" i="1"/>
  <c r="AK167" i="1"/>
  <c r="AI167" i="1"/>
  <c r="AJ167" i="1" s="1"/>
  <c r="T167" i="1"/>
  <c r="K167" i="1"/>
  <c r="CO166" i="1"/>
  <c r="CN166" i="1"/>
  <c r="CL166" i="1"/>
  <c r="CM166" i="1" s="1"/>
  <c r="CF166" i="1"/>
  <c r="CE166" i="1"/>
  <c r="CC166" i="1"/>
  <c r="CD166" i="1" s="1"/>
  <c r="CB166" i="1"/>
  <c r="CA166" i="1"/>
  <c r="BY166" i="1"/>
  <c r="BZ166" i="1" s="1"/>
  <c r="BU166" i="1"/>
  <c r="BV166" i="1" s="1"/>
  <c r="BT166" i="1"/>
  <c r="BS166" i="1"/>
  <c r="BQ166" i="1"/>
  <c r="BR166" i="1" s="1"/>
  <c r="BP166" i="1"/>
  <c r="BO166" i="1"/>
  <c r="BM166" i="1"/>
  <c r="BN166" i="1" s="1"/>
  <c r="BJ166" i="1"/>
  <c r="BK166" i="1" s="1"/>
  <c r="BH166" i="1"/>
  <c r="BG166" i="1"/>
  <c r="BE166" i="1"/>
  <c r="BF166" i="1" s="1"/>
  <c r="BD166" i="1"/>
  <c r="BC166" i="1"/>
  <c r="BA166" i="1"/>
  <c r="BB166" i="1" s="1"/>
  <c r="AZ166" i="1"/>
  <c r="AW166" i="1"/>
  <c r="AX166" i="1" s="1"/>
  <c r="AV166" i="1"/>
  <c r="AT166" i="1"/>
  <c r="AS166" i="1"/>
  <c r="AR166" i="1"/>
  <c r="AQ166" i="1"/>
  <c r="AP166" i="1"/>
  <c r="AO166" i="1"/>
  <c r="AN166" i="1"/>
  <c r="AM166" i="1"/>
  <c r="AL166" i="1"/>
  <c r="AK166" i="1"/>
  <c r="AJ166" i="1"/>
  <c r="AI166" i="1"/>
  <c r="T166" i="1"/>
  <c r="K166" i="1"/>
  <c r="CO165" i="1"/>
  <c r="CN165" i="1"/>
  <c r="CM165" i="1"/>
  <c r="CL165" i="1"/>
  <c r="CF165" i="1"/>
  <c r="CE165" i="1"/>
  <c r="CC165" i="1"/>
  <c r="CD165" i="1" s="1"/>
  <c r="CB165" i="1"/>
  <c r="CA165" i="1"/>
  <c r="BY165" i="1"/>
  <c r="BZ165" i="1" s="1"/>
  <c r="BU165" i="1"/>
  <c r="BV165" i="1" s="1"/>
  <c r="BT165" i="1"/>
  <c r="BS165" i="1"/>
  <c r="BQ165" i="1"/>
  <c r="BR165" i="1" s="1"/>
  <c r="BP165" i="1"/>
  <c r="BO165" i="1"/>
  <c r="BM165" i="1"/>
  <c r="BN165" i="1" s="1"/>
  <c r="BJ165" i="1"/>
  <c r="BK165" i="1" s="1"/>
  <c r="BH165" i="1"/>
  <c r="BG165" i="1"/>
  <c r="BE165" i="1"/>
  <c r="BF165" i="1" s="1"/>
  <c r="BD165" i="1"/>
  <c r="BC165" i="1"/>
  <c r="BA165" i="1"/>
  <c r="BB165" i="1" s="1"/>
  <c r="AZ165" i="1"/>
  <c r="AW165" i="1"/>
  <c r="AX165" i="1" s="1"/>
  <c r="AV165" i="1"/>
  <c r="AS165" i="1"/>
  <c r="AT165" i="1" s="1"/>
  <c r="AR165" i="1"/>
  <c r="AQ165" i="1"/>
  <c r="AO165" i="1"/>
  <c r="AP165" i="1" s="1"/>
  <c r="AM165" i="1"/>
  <c r="AN165" i="1" s="1"/>
  <c r="AL165" i="1"/>
  <c r="AK165" i="1"/>
  <c r="AI165" i="1"/>
  <c r="AJ165" i="1" s="1"/>
  <c r="T165" i="1"/>
  <c r="K165" i="1"/>
  <c r="CO164" i="1"/>
  <c r="CN164" i="1"/>
  <c r="CL164" i="1"/>
  <c r="CM164" i="1" s="1"/>
  <c r="CF164" i="1"/>
  <c r="CE164" i="1"/>
  <c r="CC164" i="1"/>
  <c r="CD164" i="1" s="1"/>
  <c r="CB164" i="1"/>
  <c r="CA164" i="1"/>
  <c r="BY164" i="1"/>
  <c r="BZ164" i="1" s="1"/>
  <c r="BU164" i="1"/>
  <c r="BV164" i="1" s="1"/>
  <c r="BT164" i="1"/>
  <c r="BS164" i="1"/>
  <c r="BQ164" i="1"/>
  <c r="BR164" i="1" s="1"/>
  <c r="BP164" i="1"/>
  <c r="BO164" i="1"/>
  <c r="BM164" i="1"/>
  <c r="BN164" i="1" s="1"/>
  <c r="BJ164" i="1"/>
  <c r="BK164" i="1" s="1"/>
  <c r="BH164" i="1"/>
  <c r="BG164" i="1"/>
  <c r="BE164" i="1"/>
  <c r="BF164" i="1" s="1"/>
  <c r="BD164" i="1"/>
  <c r="BC164" i="1"/>
  <c r="BA164" i="1"/>
  <c r="BB164" i="1" s="1"/>
  <c r="AZ164" i="1"/>
  <c r="AW164" i="1"/>
  <c r="AX164" i="1" s="1"/>
  <c r="AV164" i="1"/>
  <c r="AS164" i="1"/>
  <c r="AT164" i="1" s="1"/>
  <c r="AR164" i="1"/>
  <c r="AQ164" i="1"/>
  <c r="AO164" i="1"/>
  <c r="AP164" i="1" s="1"/>
  <c r="AM164" i="1"/>
  <c r="AN164" i="1" s="1"/>
  <c r="AL164" i="1"/>
  <c r="AK164" i="1"/>
  <c r="AI164" i="1"/>
  <c r="AJ164" i="1" s="1"/>
  <c r="T164" i="1"/>
  <c r="K164" i="1"/>
  <c r="CO163" i="1"/>
  <c r="CN163" i="1"/>
  <c r="CL163" i="1"/>
  <c r="CM163" i="1" s="1"/>
  <c r="CF163" i="1"/>
  <c r="CE163" i="1"/>
  <c r="CC163" i="1"/>
  <c r="CD163" i="1" s="1"/>
  <c r="CB163" i="1"/>
  <c r="CA163" i="1"/>
  <c r="BY163" i="1"/>
  <c r="BZ163" i="1" s="1"/>
  <c r="BU163" i="1"/>
  <c r="BV163" i="1" s="1"/>
  <c r="BT163" i="1"/>
  <c r="BS163" i="1"/>
  <c r="BQ163" i="1"/>
  <c r="BR163" i="1" s="1"/>
  <c r="BP163" i="1"/>
  <c r="BO163" i="1"/>
  <c r="BM163" i="1"/>
  <c r="BN163" i="1" s="1"/>
  <c r="BJ163" i="1"/>
  <c r="BK163" i="1" s="1"/>
  <c r="BH163" i="1"/>
  <c r="BG163" i="1"/>
  <c r="BE163" i="1"/>
  <c r="BF163" i="1" s="1"/>
  <c r="BD163" i="1"/>
  <c r="BC163" i="1"/>
  <c r="BA163" i="1"/>
  <c r="BB163" i="1" s="1"/>
  <c r="AZ163" i="1"/>
  <c r="AW163" i="1"/>
  <c r="AX163" i="1" s="1"/>
  <c r="AV163" i="1"/>
  <c r="AS163" i="1"/>
  <c r="AT163" i="1" s="1"/>
  <c r="AR163" i="1"/>
  <c r="AQ163" i="1"/>
  <c r="AO163" i="1"/>
  <c r="AP163" i="1" s="1"/>
  <c r="AM163" i="1"/>
  <c r="AN163" i="1" s="1"/>
  <c r="AL163" i="1"/>
  <c r="AK163" i="1"/>
  <c r="AI163" i="1"/>
  <c r="AJ163" i="1" s="1"/>
  <c r="T163" i="1"/>
  <c r="K163" i="1"/>
  <c r="CO162" i="1"/>
  <c r="CN162" i="1"/>
  <c r="CL162" i="1"/>
  <c r="CM162" i="1" s="1"/>
  <c r="CF162" i="1"/>
  <c r="CE162" i="1"/>
  <c r="CC162" i="1"/>
  <c r="CD162" i="1" s="1"/>
  <c r="CB162" i="1"/>
  <c r="CA162" i="1"/>
  <c r="BY162" i="1"/>
  <c r="BZ162" i="1" s="1"/>
  <c r="BU162" i="1"/>
  <c r="BV162" i="1" s="1"/>
  <c r="BT162" i="1"/>
  <c r="BS162" i="1"/>
  <c r="BQ162" i="1"/>
  <c r="BR162" i="1" s="1"/>
  <c r="BP162" i="1"/>
  <c r="BO162" i="1"/>
  <c r="BM162" i="1"/>
  <c r="BN162" i="1" s="1"/>
  <c r="BJ162" i="1"/>
  <c r="BK162" i="1" s="1"/>
  <c r="BH162" i="1"/>
  <c r="BG162" i="1"/>
  <c r="BE162" i="1"/>
  <c r="BF162" i="1" s="1"/>
  <c r="BD162" i="1"/>
  <c r="BC162" i="1"/>
  <c r="BA162" i="1"/>
  <c r="BB162" i="1" s="1"/>
  <c r="AZ162" i="1"/>
  <c r="AW162" i="1"/>
  <c r="AX162" i="1" s="1"/>
  <c r="AV162" i="1"/>
  <c r="AT162" i="1"/>
  <c r="AS162" i="1"/>
  <c r="AR162" i="1"/>
  <c r="AQ162" i="1"/>
  <c r="AP162" i="1"/>
  <c r="AO162" i="1"/>
  <c r="AN162" i="1"/>
  <c r="AM162" i="1"/>
  <c r="AL162" i="1"/>
  <c r="AK162" i="1"/>
  <c r="AJ162" i="1"/>
  <c r="AI162" i="1"/>
  <c r="T162" i="1"/>
  <c r="K162" i="1"/>
  <c r="CO161" i="1"/>
  <c r="CN161" i="1"/>
  <c r="CM161" i="1"/>
  <c r="CL161" i="1"/>
  <c r="CF161" i="1"/>
  <c r="CE161" i="1"/>
  <c r="CC161" i="1"/>
  <c r="CD161" i="1" s="1"/>
  <c r="CB161" i="1"/>
  <c r="CA161" i="1"/>
  <c r="BY161" i="1"/>
  <c r="BZ161" i="1" s="1"/>
  <c r="BU161" i="1"/>
  <c r="BV161" i="1" s="1"/>
  <c r="BT161" i="1"/>
  <c r="BS161" i="1"/>
  <c r="BQ161" i="1"/>
  <c r="BR161" i="1" s="1"/>
  <c r="BP161" i="1"/>
  <c r="BO161" i="1"/>
  <c r="BM161" i="1"/>
  <c r="BN161" i="1" s="1"/>
  <c r="BJ161" i="1"/>
  <c r="BK161" i="1" s="1"/>
  <c r="BH161" i="1"/>
  <c r="BG161" i="1"/>
  <c r="BE161" i="1"/>
  <c r="BF161" i="1" s="1"/>
  <c r="BD161" i="1"/>
  <c r="BC161" i="1"/>
  <c r="BA161" i="1"/>
  <c r="BB161" i="1" s="1"/>
  <c r="AZ161" i="1"/>
  <c r="AW161" i="1"/>
  <c r="AX161" i="1" s="1"/>
  <c r="AV161" i="1"/>
  <c r="AS161" i="1"/>
  <c r="AT161" i="1" s="1"/>
  <c r="AR161" i="1"/>
  <c r="AQ161" i="1"/>
  <c r="AO161" i="1"/>
  <c r="AP161" i="1" s="1"/>
  <c r="AM161" i="1"/>
  <c r="AN161" i="1" s="1"/>
  <c r="AL161" i="1"/>
  <c r="AK161" i="1"/>
  <c r="AI161" i="1"/>
  <c r="AJ161" i="1" s="1"/>
  <c r="T161" i="1"/>
  <c r="K161" i="1"/>
  <c r="CO160" i="1"/>
  <c r="CN160" i="1"/>
  <c r="CL160" i="1"/>
  <c r="CM160" i="1" s="1"/>
  <c r="CF160" i="1"/>
  <c r="CE160" i="1"/>
  <c r="CC160" i="1"/>
  <c r="CD160" i="1" s="1"/>
  <c r="CB160" i="1"/>
  <c r="CA160" i="1"/>
  <c r="BY160" i="1"/>
  <c r="BZ160" i="1" s="1"/>
  <c r="BU160" i="1"/>
  <c r="BV160" i="1" s="1"/>
  <c r="BT160" i="1"/>
  <c r="BS160" i="1"/>
  <c r="BQ160" i="1"/>
  <c r="BR160" i="1" s="1"/>
  <c r="BP160" i="1"/>
  <c r="BO160" i="1"/>
  <c r="BM160" i="1"/>
  <c r="BN160" i="1" s="1"/>
  <c r="BJ160" i="1"/>
  <c r="BK160" i="1" s="1"/>
  <c r="BH160" i="1"/>
  <c r="BG160" i="1"/>
  <c r="BE160" i="1"/>
  <c r="BF160" i="1" s="1"/>
  <c r="BD160" i="1"/>
  <c r="BC160" i="1"/>
  <c r="BA160" i="1"/>
  <c r="BB160" i="1" s="1"/>
  <c r="AZ160" i="1"/>
  <c r="AW160" i="1"/>
  <c r="AX160" i="1" s="1"/>
  <c r="AV160" i="1"/>
  <c r="AS160" i="1"/>
  <c r="AT160" i="1" s="1"/>
  <c r="AR160" i="1"/>
  <c r="AQ160" i="1"/>
  <c r="AO160" i="1"/>
  <c r="AP160" i="1" s="1"/>
  <c r="AM160" i="1"/>
  <c r="AN160" i="1" s="1"/>
  <c r="AL160" i="1"/>
  <c r="AK160" i="1"/>
  <c r="AI160" i="1"/>
  <c r="AJ160" i="1" s="1"/>
  <c r="T160" i="1"/>
  <c r="K160" i="1"/>
  <c r="CO159" i="1"/>
  <c r="CN159" i="1"/>
  <c r="CL159" i="1"/>
  <c r="CM159" i="1" s="1"/>
  <c r="CF159" i="1"/>
  <c r="CE159" i="1"/>
  <c r="CC159" i="1"/>
  <c r="CD159" i="1" s="1"/>
  <c r="CB159" i="1"/>
  <c r="CA159" i="1"/>
  <c r="BY159" i="1"/>
  <c r="BZ159" i="1" s="1"/>
  <c r="BU159" i="1"/>
  <c r="BV159" i="1" s="1"/>
  <c r="BT159" i="1"/>
  <c r="BS159" i="1"/>
  <c r="BQ159" i="1"/>
  <c r="BR159" i="1" s="1"/>
  <c r="BP159" i="1"/>
  <c r="BO159" i="1"/>
  <c r="BM159" i="1"/>
  <c r="BN159" i="1" s="1"/>
  <c r="BJ159" i="1"/>
  <c r="BK159" i="1" s="1"/>
  <c r="BH159" i="1"/>
  <c r="BG159" i="1"/>
  <c r="BE159" i="1"/>
  <c r="BF159" i="1" s="1"/>
  <c r="BD159" i="1"/>
  <c r="BC159" i="1"/>
  <c r="BA159" i="1"/>
  <c r="BB159" i="1" s="1"/>
  <c r="AZ159" i="1"/>
  <c r="AW159" i="1"/>
  <c r="AX159" i="1" s="1"/>
  <c r="AV159" i="1"/>
  <c r="AS159" i="1"/>
  <c r="AT159" i="1" s="1"/>
  <c r="AR159" i="1"/>
  <c r="AQ159" i="1"/>
  <c r="AO159" i="1"/>
  <c r="AP159" i="1" s="1"/>
  <c r="AM159" i="1"/>
  <c r="AN159" i="1" s="1"/>
  <c r="AL159" i="1"/>
  <c r="AK159" i="1"/>
  <c r="CJ159" i="1" s="1"/>
  <c r="R159" i="1" s="1"/>
  <c r="AI159" i="1"/>
  <c r="AJ159" i="1" s="1"/>
  <c r="T159" i="1"/>
  <c r="K159" i="1"/>
  <c r="CO158" i="1"/>
  <c r="CN158" i="1"/>
  <c r="CL158" i="1"/>
  <c r="CM158" i="1" s="1"/>
  <c r="CF158" i="1"/>
  <c r="CE158" i="1"/>
  <c r="CC158" i="1"/>
  <c r="CD158" i="1" s="1"/>
  <c r="CB158" i="1"/>
  <c r="CA158" i="1"/>
  <c r="BY158" i="1"/>
  <c r="BZ158" i="1" s="1"/>
  <c r="BU158" i="1"/>
  <c r="BV158" i="1" s="1"/>
  <c r="BT158" i="1"/>
  <c r="BS158" i="1"/>
  <c r="BQ158" i="1"/>
  <c r="BR158" i="1" s="1"/>
  <c r="BP158" i="1"/>
  <c r="BO158" i="1"/>
  <c r="BM158" i="1"/>
  <c r="BN158" i="1" s="1"/>
  <c r="BJ158" i="1"/>
  <c r="BK158" i="1" s="1"/>
  <c r="BH158" i="1"/>
  <c r="BG158" i="1"/>
  <c r="BE158" i="1"/>
  <c r="BF158" i="1" s="1"/>
  <c r="BD158" i="1"/>
  <c r="BC158" i="1"/>
  <c r="BA158" i="1"/>
  <c r="BB158" i="1" s="1"/>
  <c r="AZ158" i="1"/>
  <c r="AW158" i="1"/>
  <c r="AX158" i="1" s="1"/>
  <c r="AV158" i="1"/>
  <c r="AT158" i="1"/>
  <c r="AS158" i="1"/>
  <c r="AR158" i="1"/>
  <c r="AQ158" i="1"/>
  <c r="AP158" i="1"/>
  <c r="AO158" i="1"/>
  <c r="AN158" i="1"/>
  <c r="AM158" i="1"/>
  <c r="AL158" i="1"/>
  <c r="AK158" i="1"/>
  <c r="AJ158" i="1"/>
  <c r="AI158" i="1"/>
  <c r="T158" i="1"/>
  <c r="K158" i="1"/>
  <c r="CO157" i="1"/>
  <c r="CN157" i="1"/>
  <c r="CM157" i="1"/>
  <c r="CL157" i="1"/>
  <c r="CF157" i="1"/>
  <c r="CE157" i="1"/>
  <c r="CC157" i="1"/>
  <c r="CD157" i="1" s="1"/>
  <c r="CB157" i="1"/>
  <c r="CA157" i="1"/>
  <c r="BY157" i="1"/>
  <c r="BZ157" i="1" s="1"/>
  <c r="BU157" i="1"/>
  <c r="BV157" i="1" s="1"/>
  <c r="BT157" i="1"/>
  <c r="BS157" i="1"/>
  <c r="BQ157" i="1"/>
  <c r="BR157" i="1" s="1"/>
  <c r="BP157" i="1"/>
  <c r="BO157" i="1"/>
  <c r="BM157" i="1"/>
  <c r="BN157" i="1" s="1"/>
  <c r="BJ157" i="1"/>
  <c r="BK157" i="1" s="1"/>
  <c r="BH157" i="1"/>
  <c r="BG157" i="1"/>
  <c r="BE157" i="1"/>
  <c r="BF157" i="1" s="1"/>
  <c r="BD157" i="1"/>
  <c r="BC157" i="1"/>
  <c r="BA157" i="1"/>
  <c r="BB157" i="1" s="1"/>
  <c r="AZ157" i="1"/>
  <c r="AW157" i="1"/>
  <c r="AX157" i="1" s="1"/>
  <c r="AV157" i="1"/>
  <c r="AS157" i="1"/>
  <c r="AT157" i="1" s="1"/>
  <c r="AR157" i="1"/>
  <c r="AQ157" i="1"/>
  <c r="AO157" i="1"/>
  <c r="AP157" i="1" s="1"/>
  <c r="AM157" i="1"/>
  <c r="AN157" i="1" s="1"/>
  <c r="AL157" i="1"/>
  <c r="AK157" i="1"/>
  <c r="AI157" i="1"/>
  <c r="AJ157" i="1" s="1"/>
  <c r="T157" i="1"/>
  <c r="K157" i="1"/>
  <c r="CO156" i="1"/>
  <c r="CN156" i="1"/>
  <c r="CL156" i="1"/>
  <c r="CM156" i="1" s="1"/>
  <c r="CF156" i="1"/>
  <c r="CE156" i="1"/>
  <c r="CC156" i="1"/>
  <c r="CD156" i="1" s="1"/>
  <c r="CB156" i="1"/>
  <c r="CA156" i="1"/>
  <c r="BY156" i="1"/>
  <c r="BZ156" i="1" s="1"/>
  <c r="BU156" i="1"/>
  <c r="BV156" i="1" s="1"/>
  <c r="BT156" i="1"/>
  <c r="BS156" i="1"/>
  <c r="BQ156" i="1"/>
  <c r="BR156" i="1" s="1"/>
  <c r="BP156" i="1"/>
  <c r="BO156" i="1"/>
  <c r="BM156" i="1"/>
  <c r="BN156" i="1" s="1"/>
  <c r="BJ156" i="1"/>
  <c r="BK156" i="1" s="1"/>
  <c r="BH156" i="1"/>
  <c r="BG156" i="1"/>
  <c r="BE156" i="1"/>
  <c r="BF156" i="1" s="1"/>
  <c r="BD156" i="1"/>
  <c r="BC156" i="1"/>
  <c r="BA156" i="1"/>
  <c r="BB156" i="1" s="1"/>
  <c r="AZ156" i="1"/>
  <c r="AW156" i="1"/>
  <c r="AX156" i="1" s="1"/>
  <c r="AV156" i="1"/>
  <c r="AS156" i="1"/>
  <c r="AT156" i="1" s="1"/>
  <c r="AR156" i="1"/>
  <c r="AQ156" i="1"/>
  <c r="AP156" i="1"/>
  <c r="AO156" i="1"/>
  <c r="AN156" i="1"/>
  <c r="AM156" i="1"/>
  <c r="AL156" i="1"/>
  <c r="AK156" i="1"/>
  <c r="AJ156" i="1"/>
  <c r="AI156" i="1"/>
  <c r="T156" i="1"/>
  <c r="K156" i="1"/>
  <c r="CO155" i="1"/>
  <c r="CN155" i="1"/>
  <c r="CM155" i="1"/>
  <c r="CL155" i="1"/>
  <c r="CF155" i="1"/>
  <c r="CE155" i="1"/>
  <c r="CC155" i="1"/>
  <c r="CD155" i="1" s="1"/>
  <c r="CB155" i="1"/>
  <c r="CA155" i="1"/>
  <c r="BY155" i="1"/>
  <c r="BZ155" i="1" s="1"/>
  <c r="BU155" i="1"/>
  <c r="BV155" i="1" s="1"/>
  <c r="BT155" i="1"/>
  <c r="BS155" i="1"/>
  <c r="BQ155" i="1"/>
  <c r="BR155" i="1" s="1"/>
  <c r="BP155" i="1"/>
  <c r="BO155" i="1"/>
  <c r="BM155" i="1"/>
  <c r="BN155" i="1" s="1"/>
  <c r="BJ155" i="1"/>
  <c r="BK155" i="1" s="1"/>
  <c r="BH155" i="1"/>
  <c r="BG155" i="1"/>
  <c r="BE155" i="1"/>
  <c r="BF155" i="1" s="1"/>
  <c r="BD155" i="1"/>
  <c r="BC155" i="1"/>
  <c r="BA155" i="1"/>
  <c r="BB155" i="1" s="1"/>
  <c r="AZ155" i="1"/>
  <c r="AW155" i="1"/>
  <c r="AX155" i="1" s="1"/>
  <c r="AV155" i="1"/>
  <c r="AS155" i="1"/>
  <c r="AT155" i="1" s="1"/>
  <c r="AR155" i="1"/>
  <c r="AQ155" i="1"/>
  <c r="AO155" i="1"/>
  <c r="AP155" i="1" s="1"/>
  <c r="AM155" i="1"/>
  <c r="AN155" i="1" s="1"/>
  <c r="AL155" i="1"/>
  <c r="AK155" i="1"/>
  <c r="AI155" i="1"/>
  <c r="AJ155" i="1" s="1"/>
  <c r="T155" i="1"/>
  <c r="K155" i="1"/>
  <c r="CO154" i="1"/>
  <c r="CN154" i="1"/>
  <c r="CL154" i="1"/>
  <c r="CM154" i="1" s="1"/>
  <c r="CF154" i="1"/>
  <c r="CE154" i="1"/>
  <c r="CC154" i="1"/>
  <c r="CD154" i="1" s="1"/>
  <c r="CB154" i="1"/>
  <c r="CA154" i="1"/>
  <c r="BY154" i="1"/>
  <c r="BZ154" i="1" s="1"/>
  <c r="BU154" i="1"/>
  <c r="BV154" i="1" s="1"/>
  <c r="BT154" i="1"/>
  <c r="BS154" i="1"/>
  <c r="BQ154" i="1"/>
  <c r="BR154" i="1" s="1"/>
  <c r="BP154" i="1"/>
  <c r="BO154" i="1"/>
  <c r="BM154" i="1"/>
  <c r="BN154" i="1" s="1"/>
  <c r="BJ154" i="1"/>
  <c r="BK154" i="1" s="1"/>
  <c r="BH154" i="1"/>
  <c r="BG154" i="1"/>
  <c r="BE154" i="1"/>
  <c r="BF154" i="1" s="1"/>
  <c r="BD154" i="1"/>
  <c r="BC154" i="1"/>
  <c r="BA154" i="1"/>
  <c r="BB154" i="1" s="1"/>
  <c r="AZ154" i="1"/>
  <c r="AW154" i="1"/>
  <c r="AX154" i="1" s="1"/>
  <c r="AV154" i="1"/>
  <c r="AS154" i="1"/>
  <c r="AT154" i="1" s="1"/>
  <c r="AR154" i="1"/>
  <c r="AQ154" i="1"/>
  <c r="AO154" i="1"/>
  <c r="AP154" i="1" s="1"/>
  <c r="AM154" i="1"/>
  <c r="AN154" i="1" s="1"/>
  <c r="AL154" i="1"/>
  <c r="AK154" i="1"/>
  <c r="AI154" i="1"/>
  <c r="AJ154" i="1" s="1"/>
  <c r="T154" i="1"/>
  <c r="K154" i="1"/>
  <c r="CO153" i="1"/>
  <c r="CN153" i="1"/>
  <c r="CL153" i="1"/>
  <c r="CM153" i="1" s="1"/>
  <c r="CF153" i="1"/>
  <c r="CE153" i="1"/>
  <c r="CC153" i="1"/>
  <c r="CD153" i="1" s="1"/>
  <c r="CB153" i="1"/>
  <c r="CA153" i="1"/>
  <c r="BY153" i="1"/>
  <c r="BZ153" i="1" s="1"/>
  <c r="BU153" i="1"/>
  <c r="BV153" i="1" s="1"/>
  <c r="BT153" i="1"/>
  <c r="BS153" i="1"/>
  <c r="BQ153" i="1"/>
  <c r="BR153" i="1" s="1"/>
  <c r="BP153" i="1"/>
  <c r="BO153" i="1"/>
  <c r="BM153" i="1"/>
  <c r="BN153" i="1" s="1"/>
  <c r="BJ153" i="1"/>
  <c r="BK153" i="1" s="1"/>
  <c r="BH153" i="1"/>
  <c r="BG153" i="1"/>
  <c r="BE153" i="1"/>
  <c r="BF153" i="1" s="1"/>
  <c r="BD153" i="1"/>
  <c r="BC153" i="1"/>
  <c r="BA153" i="1"/>
  <c r="BB153" i="1" s="1"/>
  <c r="AZ153" i="1"/>
  <c r="AW153" i="1"/>
  <c r="AX153" i="1" s="1"/>
  <c r="AV153" i="1"/>
  <c r="AS153" i="1"/>
  <c r="AT153" i="1" s="1"/>
  <c r="AR153" i="1"/>
  <c r="AQ153" i="1"/>
  <c r="AO153" i="1"/>
  <c r="AP153" i="1" s="1"/>
  <c r="AM153" i="1"/>
  <c r="AN153" i="1" s="1"/>
  <c r="AL153" i="1"/>
  <c r="AK153" i="1"/>
  <c r="CJ153" i="1" s="1"/>
  <c r="R153" i="1" s="1"/>
  <c r="AI153" i="1"/>
  <c r="AJ153" i="1" s="1"/>
  <c r="T153" i="1"/>
  <c r="K153" i="1"/>
  <c r="CO152" i="1"/>
  <c r="CN152" i="1"/>
  <c r="CL152" i="1"/>
  <c r="CM152" i="1" s="1"/>
  <c r="CF152" i="1"/>
  <c r="CE152" i="1"/>
  <c r="CC152" i="1"/>
  <c r="CD152" i="1" s="1"/>
  <c r="CB152" i="1"/>
  <c r="CA152" i="1"/>
  <c r="BY152" i="1"/>
  <c r="BZ152" i="1" s="1"/>
  <c r="BU152" i="1"/>
  <c r="BV152" i="1" s="1"/>
  <c r="BT152" i="1"/>
  <c r="BS152" i="1"/>
  <c r="BQ152" i="1"/>
  <c r="BR152" i="1" s="1"/>
  <c r="BP152" i="1"/>
  <c r="BO152" i="1"/>
  <c r="BM152" i="1"/>
  <c r="BN152" i="1" s="1"/>
  <c r="BJ152" i="1"/>
  <c r="BK152" i="1" s="1"/>
  <c r="BH152" i="1"/>
  <c r="BG152" i="1"/>
  <c r="BE152" i="1"/>
  <c r="BF152" i="1" s="1"/>
  <c r="BD152" i="1"/>
  <c r="BC152" i="1"/>
  <c r="BA152" i="1"/>
  <c r="BB152" i="1" s="1"/>
  <c r="AZ152" i="1"/>
  <c r="AW152" i="1"/>
  <c r="AX152" i="1" s="1"/>
  <c r="AV152" i="1"/>
  <c r="AT152" i="1"/>
  <c r="AS152" i="1"/>
  <c r="AR152" i="1"/>
  <c r="AQ152" i="1"/>
  <c r="AP152" i="1"/>
  <c r="AO152" i="1"/>
  <c r="AN152" i="1"/>
  <c r="AM152" i="1"/>
  <c r="AL152" i="1"/>
  <c r="AK152" i="1"/>
  <c r="AJ152" i="1"/>
  <c r="AI152" i="1"/>
  <c r="T152" i="1"/>
  <c r="K152" i="1"/>
  <c r="CO151" i="1"/>
  <c r="CN151" i="1"/>
  <c r="CM151" i="1"/>
  <c r="CL151" i="1"/>
  <c r="CF151" i="1"/>
  <c r="CE151" i="1"/>
  <c r="CC151" i="1"/>
  <c r="CD151" i="1" s="1"/>
  <c r="CB151" i="1"/>
  <c r="CA151" i="1"/>
  <c r="BY151" i="1"/>
  <c r="BZ151" i="1" s="1"/>
  <c r="BU151" i="1"/>
  <c r="BV151" i="1" s="1"/>
  <c r="BT151" i="1"/>
  <c r="BS151" i="1"/>
  <c r="BQ151" i="1"/>
  <c r="BR151" i="1" s="1"/>
  <c r="BP151" i="1"/>
  <c r="BO151" i="1"/>
  <c r="BM151" i="1"/>
  <c r="BN151" i="1" s="1"/>
  <c r="BJ151" i="1"/>
  <c r="BK151" i="1" s="1"/>
  <c r="BH151" i="1"/>
  <c r="BG151" i="1"/>
  <c r="BE151" i="1"/>
  <c r="BF151" i="1" s="1"/>
  <c r="BD151" i="1"/>
  <c r="BC151" i="1"/>
  <c r="BA151" i="1"/>
  <c r="BB151" i="1" s="1"/>
  <c r="AZ151" i="1"/>
  <c r="AW151" i="1"/>
  <c r="AX151" i="1" s="1"/>
  <c r="AV151" i="1"/>
  <c r="AS151" i="1"/>
  <c r="AT151" i="1" s="1"/>
  <c r="AR151" i="1"/>
  <c r="AQ151" i="1"/>
  <c r="AO151" i="1"/>
  <c r="AP151" i="1" s="1"/>
  <c r="AM151" i="1"/>
  <c r="AN151" i="1" s="1"/>
  <c r="AL151" i="1"/>
  <c r="AK151" i="1"/>
  <c r="AI151" i="1"/>
  <c r="AJ151" i="1" s="1"/>
  <c r="T151" i="1"/>
  <c r="K151" i="1"/>
  <c r="CO150" i="1"/>
  <c r="CN150" i="1"/>
  <c r="CL150" i="1"/>
  <c r="CM150" i="1" s="1"/>
  <c r="CF150" i="1"/>
  <c r="CE150" i="1"/>
  <c r="CC150" i="1"/>
  <c r="CD150" i="1" s="1"/>
  <c r="CB150" i="1"/>
  <c r="CA150" i="1"/>
  <c r="BY150" i="1"/>
  <c r="BZ150" i="1" s="1"/>
  <c r="BU150" i="1"/>
  <c r="BV150" i="1" s="1"/>
  <c r="BT150" i="1"/>
  <c r="BS150" i="1"/>
  <c r="BQ150" i="1"/>
  <c r="BR150" i="1" s="1"/>
  <c r="BP150" i="1"/>
  <c r="BO150" i="1"/>
  <c r="BM150" i="1"/>
  <c r="BN150" i="1" s="1"/>
  <c r="BJ150" i="1"/>
  <c r="BK150" i="1" s="1"/>
  <c r="BH150" i="1"/>
  <c r="BG150" i="1"/>
  <c r="BE150" i="1"/>
  <c r="BF150" i="1" s="1"/>
  <c r="BD150" i="1"/>
  <c r="BC150" i="1"/>
  <c r="BA150" i="1"/>
  <c r="BB150" i="1" s="1"/>
  <c r="AZ150" i="1"/>
  <c r="AW150" i="1"/>
  <c r="AX150" i="1" s="1"/>
  <c r="AV150" i="1"/>
  <c r="AS150" i="1"/>
  <c r="AT150" i="1" s="1"/>
  <c r="AR150" i="1"/>
  <c r="AQ150" i="1"/>
  <c r="AO150" i="1"/>
  <c r="AP150" i="1" s="1"/>
  <c r="AM150" i="1"/>
  <c r="AN150" i="1" s="1"/>
  <c r="AL150" i="1"/>
  <c r="AK150" i="1"/>
  <c r="AI150" i="1"/>
  <c r="AJ150" i="1" s="1"/>
  <c r="T150" i="1"/>
  <c r="K150" i="1"/>
  <c r="CO149" i="1"/>
  <c r="CN149" i="1"/>
  <c r="CL149" i="1"/>
  <c r="CM149" i="1" s="1"/>
  <c r="CF149" i="1"/>
  <c r="CE149" i="1"/>
  <c r="CC149" i="1"/>
  <c r="CD149" i="1" s="1"/>
  <c r="CB149" i="1"/>
  <c r="CA149" i="1"/>
  <c r="BY149" i="1"/>
  <c r="BZ149" i="1" s="1"/>
  <c r="BU149" i="1"/>
  <c r="BV149" i="1" s="1"/>
  <c r="BT149" i="1"/>
  <c r="BS149" i="1"/>
  <c r="BQ149" i="1"/>
  <c r="BR149" i="1" s="1"/>
  <c r="BP149" i="1"/>
  <c r="BO149" i="1"/>
  <c r="BM149" i="1"/>
  <c r="BN149" i="1" s="1"/>
  <c r="BJ149" i="1"/>
  <c r="BK149" i="1" s="1"/>
  <c r="BH149" i="1"/>
  <c r="BG149" i="1"/>
  <c r="BE149" i="1"/>
  <c r="BF149" i="1" s="1"/>
  <c r="BD149" i="1"/>
  <c r="BC149" i="1"/>
  <c r="BA149" i="1"/>
  <c r="BB149" i="1" s="1"/>
  <c r="AZ149" i="1"/>
  <c r="AW149" i="1"/>
  <c r="AX149" i="1" s="1"/>
  <c r="AV149" i="1"/>
  <c r="AS149" i="1"/>
  <c r="AT149" i="1" s="1"/>
  <c r="AR149" i="1"/>
  <c r="AQ149" i="1"/>
  <c r="AO149" i="1"/>
  <c r="AP149" i="1" s="1"/>
  <c r="AM149" i="1"/>
  <c r="AN149" i="1" s="1"/>
  <c r="AL149" i="1"/>
  <c r="AK149" i="1"/>
  <c r="CJ149" i="1" s="1"/>
  <c r="R149" i="1" s="1"/>
  <c r="AI149" i="1"/>
  <c r="AJ149" i="1" s="1"/>
  <c r="T149" i="1"/>
  <c r="K149" i="1"/>
  <c r="CO148" i="1"/>
  <c r="CN148" i="1"/>
  <c r="CL148" i="1"/>
  <c r="CM148" i="1" s="1"/>
  <c r="CF148" i="1"/>
  <c r="CE148" i="1"/>
  <c r="CC148" i="1"/>
  <c r="CD148" i="1" s="1"/>
  <c r="CB148" i="1"/>
  <c r="CA148" i="1"/>
  <c r="BY148" i="1"/>
  <c r="BZ148" i="1" s="1"/>
  <c r="BU148" i="1"/>
  <c r="BV148" i="1" s="1"/>
  <c r="BT148" i="1"/>
  <c r="BS148" i="1"/>
  <c r="BQ148" i="1"/>
  <c r="BR148" i="1" s="1"/>
  <c r="BP148" i="1"/>
  <c r="BO148" i="1"/>
  <c r="BM148" i="1"/>
  <c r="BN148" i="1" s="1"/>
  <c r="BJ148" i="1"/>
  <c r="BK148" i="1" s="1"/>
  <c r="BH148" i="1"/>
  <c r="BG148" i="1"/>
  <c r="BE148" i="1"/>
  <c r="BF148" i="1" s="1"/>
  <c r="BD148" i="1"/>
  <c r="BC148" i="1"/>
  <c r="BA148" i="1"/>
  <c r="BB148" i="1" s="1"/>
  <c r="AZ148" i="1"/>
  <c r="AW148" i="1"/>
  <c r="AX148" i="1" s="1"/>
  <c r="AV148" i="1"/>
  <c r="AT148" i="1"/>
  <c r="AS148" i="1"/>
  <c r="AR148" i="1"/>
  <c r="AQ148" i="1"/>
  <c r="AP148" i="1"/>
  <c r="AO148" i="1"/>
  <c r="AN148" i="1"/>
  <c r="AM148" i="1"/>
  <c r="AL148" i="1"/>
  <c r="AK148" i="1"/>
  <c r="AJ148" i="1"/>
  <c r="AI148" i="1"/>
  <c r="T148" i="1"/>
  <c r="K148" i="1"/>
  <c r="CO147" i="1"/>
  <c r="CN147" i="1"/>
  <c r="CM147" i="1"/>
  <c r="CL147" i="1"/>
  <c r="CF147" i="1"/>
  <c r="CE147" i="1"/>
  <c r="CC147" i="1"/>
  <c r="CD147" i="1" s="1"/>
  <c r="CB147" i="1"/>
  <c r="CA147" i="1"/>
  <c r="BY147" i="1"/>
  <c r="BZ147" i="1" s="1"/>
  <c r="BU147" i="1"/>
  <c r="BV147" i="1" s="1"/>
  <c r="BT147" i="1"/>
  <c r="BS147" i="1"/>
  <c r="BQ147" i="1"/>
  <c r="BR147" i="1" s="1"/>
  <c r="BP147" i="1"/>
  <c r="BO147" i="1"/>
  <c r="BM147" i="1"/>
  <c r="BN147" i="1" s="1"/>
  <c r="BJ147" i="1"/>
  <c r="BK147" i="1" s="1"/>
  <c r="BH147" i="1"/>
  <c r="BG147" i="1"/>
  <c r="BE147" i="1"/>
  <c r="BF147" i="1" s="1"/>
  <c r="BD147" i="1"/>
  <c r="BC147" i="1"/>
  <c r="BA147" i="1"/>
  <c r="BB147" i="1" s="1"/>
  <c r="AZ147" i="1"/>
  <c r="AW147" i="1"/>
  <c r="AX147" i="1" s="1"/>
  <c r="AV147" i="1"/>
  <c r="AS147" i="1"/>
  <c r="AT147" i="1" s="1"/>
  <c r="AR147" i="1"/>
  <c r="AQ147" i="1"/>
  <c r="AO147" i="1"/>
  <c r="AP147" i="1" s="1"/>
  <c r="AM147" i="1"/>
  <c r="AN147" i="1" s="1"/>
  <c r="AL147" i="1"/>
  <c r="AK147" i="1"/>
  <c r="AI147" i="1"/>
  <c r="AJ147" i="1" s="1"/>
  <c r="T147" i="1"/>
  <c r="K147" i="1"/>
  <c r="CO146" i="1"/>
  <c r="CN146" i="1"/>
  <c r="CL146" i="1"/>
  <c r="CM146" i="1" s="1"/>
  <c r="CF146" i="1"/>
  <c r="CE146" i="1"/>
  <c r="CC146" i="1"/>
  <c r="CD146" i="1" s="1"/>
  <c r="CB146" i="1"/>
  <c r="CA146" i="1"/>
  <c r="BY146" i="1"/>
  <c r="BZ146" i="1" s="1"/>
  <c r="BU146" i="1"/>
  <c r="BV146" i="1" s="1"/>
  <c r="BT146" i="1"/>
  <c r="BS146" i="1"/>
  <c r="BQ146" i="1"/>
  <c r="BR146" i="1" s="1"/>
  <c r="BP146" i="1"/>
  <c r="BO146" i="1"/>
  <c r="BM146" i="1"/>
  <c r="BN146" i="1" s="1"/>
  <c r="BJ146" i="1"/>
  <c r="BK146" i="1" s="1"/>
  <c r="BH146" i="1"/>
  <c r="BG146" i="1"/>
  <c r="BE146" i="1"/>
  <c r="BF146" i="1" s="1"/>
  <c r="BD146" i="1"/>
  <c r="BC146" i="1"/>
  <c r="BA146" i="1"/>
  <c r="BB146" i="1" s="1"/>
  <c r="AZ146" i="1"/>
  <c r="AW146" i="1"/>
  <c r="AX146" i="1" s="1"/>
  <c r="AV146" i="1"/>
  <c r="AS146" i="1"/>
  <c r="AT146" i="1" s="1"/>
  <c r="AR146" i="1"/>
  <c r="AQ146" i="1"/>
  <c r="AO146" i="1"/>
  <c r="AP146" i="1" s="1"/>
  <c r="AM146" i="1"/>
  <c r="AN146" i="1" s="1"/>
  <c r="AL146" i="1"/>
  <c r="AK146" i="1"/>
  <c r="AI146" i="1"/>
  <c r="AJ146" i="1" s="1"/>
  <c r="T146" i="1"/>
  <c r="K146" i="1"/>
  <c r="CO145" i="1"/>
  <c r="CN145" i="1"/>
  <c r="CL145" i="1"/>
  <c r="CM145" i="1" s="1"/>
  <c r="CF145" i="1"/>
  <c r="CE145" i="1"/>
  <c r="CC145" i="1"/>
  <c r="CD145" i="1" s="1"/>
  <c r="CB145" i="1"/>
  <c r="CA145" i="1"/>
  <c r="BY145" i="1"/>
  <c r="BZ145" i="1" s="1"/>
  <c r="BU145" i="1"/>
  <c r="BV145" i="1" s="1"/>
  <c r="BT145" i="1"/>
  <c r="BS145" i="1"/>
  <c r="BQ145" i="1"/>
  <c r="BR145" i="1" s="1"/>
  <c r="BP145" i="1"/>
  <c r="BO145" i="1"/>
  <c r="BM145" i="1"/>
  <c r="BN145" i="1" s="1"/>
  <c r="BJ145" i="1"/>
  <c r="BK145" i="1" s="1"/>
  <c r="BH145" i="1"/>
  <c r="BG145" i="1"/>
  <c r="BE145" i="1"/>
  <c r="BF145" i="1" s="1"/>
  <c r="BD145" i="1"/>
  <c r="BC145" i="1"/>
  <c r="BA145" i="1"/>
  <c r="BB145" i="1" s="1"/>
  <c r="AZ145" i="1"/>
  <c r="AW145" i="1"/>
  <c r="AX145" i="1" s="1"/>
  <c r="AV145" i="1"/>
  <c r="AS145" i="1"/>
  <c r="AT145" i="1" s="1"/>
  <c r="AR145" i="1"/>
  <c r="AQ145" i="1"/>
  <c r="AO145" i="1"/>
  <c r="AP145" i="1" s="1"/>
  <c r="AM145" i="1"/>
  <c r="AN145" i="1" s="1"/>
  <c r="AL145" i="1"/>
  <c r="AK145" i="1"/>
  <c r="CJ145" i="1" s="1"/>
  <c r="R145" i="1" s="1"/>
  <c r="AI145" i="1"/>
  <c r="AJ145" i="1" s="1"/>
  <c r="T145" i="1"/>
  <c r="K145" i="1"/>
  <c r="CO144" i="1"/>
  <c r="CN144" i="1"/>
  <c r="CL144" i="1"/>
  <c r="CM144" i="1" s="1"/>
  <c r="CF144" i="1"/>
  <c r="CE144" i="1"/>
  <c r="CC144" i="1"/>
  <c r="CD144" i="1" s="1"/>
  <c r="CB144" i="1"/>
  <c r="CA144" i="1"/>
  <c r="BY144" i="1"/>
  <c r="BZ144" i="1" s="1"/>
  <c r="BU144" i="1"/>
  <c r="BV144" i="1" s="1"/>
  <c r="BT144" i="1"/>
  <c r="BS144" i="1"/>
  <c r="BQ144" i="1"/>
  <c r="BR144" i="1" s="1"/>
  <c r="BP144" i="1"/>
  <c r="BO144" i="1"/>
  <c r="BM144" i="1"/>
  <c r="BN144" i="1" s="1"/>
  <c r="BJ144" i="1"/>
  <c r="BK144" i="1" s="1"/>
  <c r="BH144" i="1"/>
  <c r="BG144" i="1"/>
  <c r="BE144" i="1"/>
  <c r="BF144" i="1" s="1"/>
  <c r="BD144" i="1"/>
  <c r="BC144" i="1"/>
  <c r="BA144" i="1"/>
  <c r="BB144" i="1" s="1"/>
  <c r="AZ144" i="1"/>
  <c r="AW144" i="1"/>
  <c r="AX144" i="1" s="1"/>
  <c r="AV144" i="1"/>
  <c r="AT144" i="1"/>
  <c r="AS144" i="1"/>
  <c r="AR144" i="1"/>
  <c r="AQ144" i="1"/>
  <c r="AP144" i="1"/>
  <c r="AO144" i="1"/>
  <c r="AN144" i="1"/>
  <c r="AM144" i="1"/>
  <c r="AL144" i="1"/>
  <c r="AK144" i="1"/>
  <c r="AJ144" i="1"/>
  <c r="AI144" i="1"/>
  <c r="T144" i="1"/>
  <c r="K144" i="1"/>
  <c r="CO143" i="1"/>
  <c r="CN143" i="1"/>
  <c r="CM143" i="1"/>
  <c r="CL143" i="1"/>
  <c r="CF143" i="1"/>
  <c r="CE143" i="1"/>
  <c r="CC143" i="1"/>
  <c r="CD143" i="1" s="1"/>
  <c r="CB143" i="1"/>
  <c r="CA143" i="1"/>
  <c r="BY143" i="1"/>
  <c r="BZ143" i="1" s="1"/>
  <c r="BU143" i="1"/>
  <c r="BV143" i="1" s="1"/>
  <c r="BT143" i="1"/>
  <c r="BS143" i="1"/>
  <c r="BQ143" i="1"/>
  <c r="BR143" i="1" s="1"/>
  <c r="BP143" i="1"/>
  <c r="BO143" i="1"/>
  <c r="BM143" i="1"/>
  <c r="BN143" i="1" s="1"/>
  <c r="BJ143" i="1"/>
  <c r="BK143" i="1" s="1"/>
  <c r="BH143" i="1"/>
  <c r="BG143" i="1"/>
  <c r="BE143" i="1"/>
  <c r="BF143" i="1" s="1"/>
  <c r="BD143" i="1"/>
  <c r="BC143" i="1"/>
  <c r="BA143" i="1"/>
  <c r="BB143" i="1" s="1"/>
  <c r="AZ143" i="1"/>
  <c r="AW143" i="1"/>
  <c r="AX143" i="1" s="1"/>
  <c r="AV143" i="1"/>
  <c r="AS143" i="1"/>
  <c r="AT143" i="1" s="1"/>
  <c r="AR143" i="1"/>
  <c r="AQ143" i="1"/>
  <c r="AO143" i="1"/>
  <c r="AP143" i="1" s="1"/>
  <c r="AM143" i="1"/>
  <c r="AN143" i="1" s="1"/>
  <c r="AL143" i="1"/>
  <c r="AK143" i="1"/>
  <c r="AI143" i="1"/>
  <c r="AJ143" i="1" s="1"/>
  <c r="T143" i="1"/>
  <c r="K143" i="1"/>
  <c r="CO142" i="1"/>
  <c r="CN142" i="1"/>
  <c r="CL142" i="1"/>
  <c r="CM142" i="1" s="1"/>
  <c r="CF142" i="1"/>
  <c r="CE142" i="1"/>
  <c r="CC142" i="1"/>
  <c r="CD142" i="1" s="1"/>
  <c r="CB142" i="1"/>
  <c r="CA142" i="1"/>
  <c r="BY142" i="1"/>
  <c r="BZ142" i="1" s="1"/>
  <c r="BU142" i="1"/>
  <c r="BV142" i="1" s="1"/>
  <c r="BT142" i="1"/>
  <c r="BS142" i="1"/>
  <c r="BQ142" i="1"/>
  <c r="BR142" i="1" s="1"/>
  <c r="BP142" i="1"/>
  <c r="BO142" i="1"/>
  <c r="BM142" i="1"/>
  <c r="BN142" i="1" s="1"/>
  <c r="BJ142" i="1"/>
  <c r="BK142" i="1" s="1"/>
  <c r="BH142" i="1"/>
  <c r="BG142" i="1"/>
  <c r="BE142" i="1"/>
  <c r="BF142" i="1" s="1"/>
  <c r="BD142" i="1"/>
  <c r="BC142" i="1"/>
  <c r="BA142" i="1"/>
  <c r="BB142" i="1" s="1"/>
  <c r="AZ142" i="1"/>
  <c r="AW142" i="1"/>
  <c r="AX142" i="1" s="1"/>
  <c r="AV142" i="1"/>
  <c r="AS142" i="1"/>
  <c r="AT142" i="1" s="1"/>
  <c r="AR142" i="1"/>
  <c r="AQ142" i="1"/>
  <c r="AO142" i="1"/>
  <c r="AP142" i="1" s="1"/>
  <c r="AM142" i="1"/>
  <c r="AN142" i="1" s="1"/>
  <c r="AL142" i="1"/>
  <c r="AK142" i="1"/>
  <c r="AI142" i="1"/>
  <c r="AJ142" i="1" s="1"/>
  <c r="T142" i="1"/>
  <c r="K142" i="1"/>
  <c r="CO141" i="1"/>
  <c r="CN141" i="1"/>
  <c r="CL141" i="1"/>
  <c r="CM141" i="1" s="1"/>
  <c r="CF141" i="1"/>
  <c r="CE141" i="1"/>
  <c r="CC141" i="1"/>
  <c r="CD141" i="1" s="1"/>
  <c r="CB141" i="1"/>
  <c r="CA141" i="1"/>
  <c r="BY141" i="1"/>
  <c r="BZ141" i="1" s="1"/>
  <c r="BU141" i="1"/>
  <c r="BV141" i="1" s="1"/>
  <c r="BT141" i="1"/>
  <c r="BS141" i="1"/>
  <c r="BQ141" i="1"/>
  <c r="BR141" i="1" s="1"/>
  <c r="BP141" i="1"/>
  <c r="BO141" i="1"/>
  <c r="BM141" i="1"/>
  <c r="BN141" i="1" s="1"/>
  <c r="BJ141" i="1"/>
  <c r="BK141" i="1" s="1"/>
  <c r="BH141" i="1"/>
  <c r="BG141" i="1"/>
  <c r="BE141" i="1"/>
  <c r="BF141" i="1" s="1"/>
  <c r="BD141" i="1"/>
  <c r="BC141" i="1"/>
  <c r="BA141" i="1"/>
  <c r="BB141" i="1" s="1"/>
  <c r="AZ141" i="1"/>
  <c r="AW141" i="1"/>
  <c r="AX141" i="1" s="1"/>
  <c r="AV141" i="1"/>
  <c r="AS141" i="1"/>
  <c r="AT141" i="1" s="1"/>
  <c r="AR141" i="1"/>
  <c r="AQ141" i="1"/>
  <c r="AO141" i="1"/>
  <c r="AP141" i="1" s="1"/>
  <c r="AM141" i="1"/>
  <c r="AN141" i="1" s="1"/>
  <c r="AL141" i="1"/>
  <c r="AK141" i="1"/>
  <c r="CJ141" i="1" s="1"/>
  <c r="R141" i="1" s="1"/>
  <c r="AI141" i="1"/>
  <c r="AJ141" i="1" s="1"/>
  <c r="T141" i="1"/>
  <c r="K141" i="1"/>
  <c r="CO140" i="1"/>
  <c r="CN140" i="1"/>
  <c r="CL140" i="1"/>
  <c r="CM140" i="1" s="1"/>
  <c r="CF140" i="1"/>
  <c r="CE140" i="1"/>
  <c r="CC140" i="1"/>
  <c r="CD140" i="1" s="1"/>
  <c r="CB140" i="1"/>
  <c r="CA140" i="1"/>
  <c r="BY140" i="1"/>
  <c r="BZ140" i="1" s="1"/>
  <c r="BU140" i="1"/>
  <c r="BV140" i="1" s="1"/>
  <c r="BT140" i="1"/>
  <c r="BS140" i="1"/>
  <c r="BQ140" i="1"/>
  <c r="BR140" i="1" s="1"/>
  <c r="BP140" i="1"/>
  <c r="BO140" i="1"/>
  <c r="BM140" i="1"/>
  <c r="BN140" i="1" s="1"/>
  <c r="BJ140" i="1"/>
  <c r="BK140" i="1" s="1"/>
  <c r="BH140" i="1"/>
  <c r="BG140" i="1"/>
  <c r="BE140" i="1"/>
  <c r="BF140" i="1" s="1"/>
  <c r="BD140" i="1"/>
  <c r="BC140" i="1"/>
  <c r="BA140" i="1"/>
  <c r="BB140" i="1" s="1"/>
  <c r="AZ140" i="1"/>
  <c r="AW140" i="1"/>
  <c r="AX140" i="1" s="1"/>
  <c r="AV140" i="1"/>
  <c r="AT140" i="1"/>
  <c r="AS140" i="1"/>
  <c r="AR140" i="1"/>
  <c r="AQ140" i="1"/>
  <c r="AP140" i="1"/>
  <c r="AO140" i="1"/>
  <c r="AN140" i="1"/>
  <c r="AM140" i="1"/>
  <c r="AL140" i="1"/>
  <c r="AK140" i="1"/>
  <c r="AJ140" i="1"/>
  <c r="AI140" i="1"/>
  <c r="T140" i="1"/>
  <c r="K140" i="1"/>
  <c r="CO139" i="1"/>
  <c r="CN139" i="1"/>
  <c r="CM139" i="1"/>
  <c r="CL139" i="1"/>
  <c r="CF139" i="1"/>
  <c r="CE139" i="1"/>
  <c r="CC139" i="1"/>
  <c r="CD139" i="1" s="1"/>
  <c r="CB139" i="1"/>
  <c r="CA139" i="1"/>
  <c r="BY139" i="1"/>
  <c r="BZ139" i="1" s="1"/>
  <c r="BU139" i="1"/>
  <c r="BV139" i="1" s="1"/>
  <c r="BT139" i="1"/>
  <c r="BS139" i="1"/>
  <c r="BQ139" i="1"/>
  <c r="BR139" i="1" s="1"/>
  <c r="BP139" i="1"/>
  <c r="BO139" i="1"/>
  <c r="BM139" i="1"/>
  <c r="BN139" i="1" s="1"/>
  <c r="BJ139" i="1"/>
  <c r="BK139" i="1" s="1"/>
  <c r="BH139" i="1"/>
  <c r="BG139" i="1"/>
  <c r="BE139" i="1"/>
  <c r="BF139" i="1" s="1"/>
  <c r="BD139" i="1"/>
  <c r="BC139" i="1"/>
  <c r="BA139" i="1"/>
  <c r="BB139" i="1" s="1"/>
  <c r="AZ139" i="1"/>
  <c r="AW139" i="1"/>
  <c r="AX139" i="1" s="1"/>
  <c r="AV139" i="1"/>
  <c r="AS139" i="1"/>
  <c r="AT139" i="1" s="1"/>
  <c r="AR139" i="1"/>
  <c r="AQ139" i="1"/>
  <c r="AO139" i="1"/>
  <c r="AP139" i="1" s="1"/>
  <c r="AM139" i="1"/>
  <c r="AN139" i="1" s="1"/>
  <c r="AL139" i="1"/>
  <c r="AK139" i="1"/>
  <c r="AI139" i="1"/>
  <c r="AJ139" i="1" s="1"/>
  <c r="T139" i="1"/>
  <c r="K139" i="1"/>
  <c r="CO138" i="1"/>
  <c r="CN138" i="1"/>
  <c r="CL138" i="1"/>
  <c r="CM138" i="1" s="1"/>
  <c r="CF138" i="1"/>
  <c r="CE138" i="1"/>
  <c r="CC138" i="1"/>
  <c r="CD138" i="1" s="1"/>
  <c r="CB138" i="1"/>
  <c r="CA138" i="1"/>
  <c r="BY138" i="1"/>
  <c r="BZ138" i="1" s="1"/>
  <c r="BU138" i="1"/>
  <c r="BV138" i="1" s="1"/>
  <c r="BT138" i="1"/>
  <c r="BS138" i="1"/>
  <c r="BQ138" i="1"/>
  <c r="BR138" i="1" s="1"/>
  <c r="BP138" i="1"/>
  <c r="BO138" i="1"/>
  <c r="BM138" i="1"/>
  <c r="BN138" i="1" s="1"/>
  <c r="BJ138" i="1"/>
  <c r="BK138" i="1" s="1"/>
  <c r="BH138" i="1"/>
  <c r="BG138" i="1"/>
  <c r="BE138" i="1"/>
  <c r="BF138" i="1" s="1"/>
  <c r="BD138" i="1"/>
  <c r="BC138" i="1"/>
  <c r="BA138" i="1"/>
  <c r="BB138" i="1" s="1"/>
  <c r="AZ138" i="1"/>
  <c r="AW138" i="1"/>
  <c r="AX138" i="1" s="1"/>
  <c r="AV138" i="1"/>
  <c r="AS138" i="1"/>
  <c r="AT138" i="1" s="1"/>
  <c r="AR138" i="1"/>
  <c r="AQ138" i="1"/>
  <c r="AO138" i="1"/>
  <c r="AP138" i="1" s="1"/>
  <c r="AM138" i="1"/>
  <c r="AN138" i="1" s="1"/>
  <c r="AL138" i="1"/>
  <c r="AK138" i="1"/>
  <c r="AI138" i="1"/>
  <c r="AJ138" i="1" s="1"/>
  <c r="T138" i="1"/>
  <c r="K138" i="1"/>
  <c r="CO137" i="1"/>
  <c r="CN137" i="1"/>
  <c r="CL137" i="1"/>
  <c r="CM137" i="1" s="1"/>
  <c r="CF137" i="1"/>
  <c r="CE137" i="1"/>
  <c r="CC137" i="1"/>
  <c r="CD137" i="1" s="1"/>
  <c r="CB137" i="1"/>
  <c r="CA137" i="1"/>
  <c r="BY137" i="1"/>
  <c r="BZ137" i="1" s="1"/>
  <c r="BU137" i="1"/>
  <c r="BV137" i="1" s="1"/>
  <c r="BT137" i="1"/>
  <c r="BS137" i="1"/>
  <c r="BQ137" i="1"/>
  <c r="BR137" i="1" s="1"/>
  <c r="BP137" i="1"/>
  <c r="BO137" i="1"/>
  <c r="BM137" i="1"/>
  <c r="BN137" i="1" s="1"/>
  <c r="BJ137" i="1"/>
  <c r="BK137" i="1" s="1"/>
  <c r="BH137" i="1"/>
  <c r="BG137" i="1"/>
  <c r="BE137" i="1"/>
  <c r="BF137" i="1" s="1"/>
  <c r="BD137" i="1"/>
  <c r="BC137" i="1"/>
  <c r="BA137" i="1"/>
  <c r="BB137" i="1" s="1"/>
  <c r="AZ137" i="1"/>
  <c r="AW137" i="1"/>
  <c r="AX137" i="1" s="1"/>
  <c r="AV137" i="1"/>
  <c r="AS137" i="1"/>
  <c r="AT137" i="1" s="1"/>
  <c r="AR137" i="1"/>
  <c r="AQ137" i="1"/>
  <c r="AO137" i="1"/>
  <c r="AP137" i="1" s="1"/>
  <c r="AM137" i="1"/>
  <c r="AN137" i="1" s="1"/>
  <c r="AL137" i="1"/>
  <c r="AK137" i="1"/>
  <c r="CJ137" i="1" s="1"/>
  <c r="R137" i="1" s="1"/>
  <c r="AI137" i="1"/>
  <c r="AJ137" i="1" s="1"/>
  <c r="T137" i="1"/>
  <c r="K137" i="1"/>
  <c r="CO136" i="1"/>
  <c r="CN136" i="1"/>
  <c r="CL136" i="1"/>
  <c r="CM136" i="1" s="1"/>
  <c r="CF136" i="1"/>
  <c r="CE136" i="1"/>
  <c r="CC136" i="1"/>
  <c r="CD136" i="1" s="1"/>
  <c r="CB136" i="1"/>
  <c r="CA136" i="1"/>
  <c r="BY136" i="1"/>
  <c r="BZ136" i="1" s="1"/>
  <c r="BU136" i="1"/>
  <c r="BV136" i="1" s="1"/>
  <c r="BT136" i="1"/>
  <c r="BS136" i="1"/>
  <c r="BQ136" i="1"/>
  <c r="BR136" i="1" s="1"/>
  <c r="BP136" i="1"/>
  <c r="BO136" i="1"/>
  <c r="BM136" i="1"/>
  <c r="BN136" i="1" s="1"/>
  <c r="BJ136" i="1"/>
  <c r="BK136" i="1" s="1"/>
  <c r="BH136" i="1"/>
  <c r="BG136" i="1"/>
  <c r="BE136" i="1"/>
  <c r="BF136" i="1" s="1"/>
  <c r="BD136" i="1"/>
  <c r="BC136" i="1"/>
  <c r="BA136" i="1"/>
  <c r="BB136" i="1" s="1"/>
  <c r="AZ136" i="1"/>
  <c r="AW136" i="1"/>
  <c r="AX136" i="1" s="1"/>
  <c r="AV136" i="1"/>
  <c r="AT136" i="1"/>
  <c r="AS136" i="1"/>
  <c r="AR136" i="1"/>
  <c r="AQ136" i="1"/>
  <c r="AP136" i="1"/>
  <c r="AO136" i="1"/>
  <c r="AN136" i="1"/>
  <c r="AM136" i="1"/>
  <c r="AL136" i="1"/>
  <c r="AK136" i="1"/>
  <c r="AJ136" i="1"/>
  <c r="AI136" i="1"/>
  <c r="T136" i="1"/>
  <c r="K136" i="1"/>
  <c r="CO135" i="1"/>
  <c r="CN135" i="1"/>
  <c r="CM135" i="1"/>
  <c r="CL135" i="1"/>
  <c r="CF135" i="1"/>
  <c r="CE135" i="1"/>
  <c r="CC135" i="1"/>
  <c r="CD135" i="1" s="1"/>
  <c r="CB135" i="1"/>
  <c r="CA135" i="1"/>
  <c r="BY135" i="1"/>
  <c r="BZ135" i="1" s="1"/>
  <c r="BU135" i="1"/>
  <c r="BV135" i="1" s="1"/>
  <c r="BT135" i="1"/>
  <c r="BS135" i="1"/>
  <c r="BQ135" i="1"/>
  <c r="BR135" i="1" s="1"/>
  <c r="BP135" i="1"/>
  <c r="BO135" i="1"/>
  <c r="BM135" i="1"/>
  <c r="BN135" i="1" s="1"/>
  <c r="BJ135" i="1"/>
  <c r="BK135" i="1" s="1"/>
  <c r="BH135" i="1"/>
  <c r="BG135" i="1"/>
  <c r="BE135" i="1"/>
  <c r="BF135" i="1" s="1"/>
  <c r="BD135" i="1"/>
  <c r="BC135" i="1"/>
  <c r="BA135" i="1"/>
  <c r="BB135" i="1" s="1"/>
  <c r="AZ135" i="1"/>
  <c r="AW135" i="1"/>
  <c r="AX135" i="1" s="1"/>
  <c r="AV135" i="1"/>
  <c r="AS135" i="1"/>
  <c r="AT135" i="1" s="1"/>
  <c r="AR135" i="1"/>
  <c r="AQ135" i="1"/>
  <c r="AO135" i="1"/>
  <c r="AP135" i="1" s="1"/>
  <c r="AM135" i="1"/>
  <c r="AN135" i="1" s="1"/>
  <c r="AL135" i="1"/>
  <c r="AK135" i="1"/>
  <c r="AI135" i="1"/>
  <c r="AJ135" i="1" s="1"/>
  <c r="T135" i="1"/>
  <c r="K135" i="1"/>
  <c r="CO134" i="1"/>
  <c r="CN134" i="1"/>
  <c r="CL134" i="1"/>
  <c r="CM134" i="1" s="1"/>
  <c r="CF134" i="1"/>
  <c r="CE134" i="1"/>
  <c r="CC134" i="1"/>
  <c r="CD134" i="1" s="1"/>
  <c r="CB134" i="1"/>
  <c r="CA134" i="1"/>
  <c r="BY134" i="1"/>
  <c r="BZ134" i="1" s="1"/>
  <c r="BU134" i="1"/>
  <c r="BV134" i="1" s="1"/>
  <c r="BT134" i="1"/>
  <c r="BS134" i="1"/>
  <c r="BQ134" i="1"/>
  <c r="BR134" i="1" s="1"/>
  <c r="BP134" i="1"/>
  <c r="BO134" i="1"/>
  <c r="BM134" i="1"/>
  <c r="BN134" i="1" s="1"/>
  <c r="BJ134" i="1"/>
  <c r="BK134" i="1" s="1"/>
  <c r="BH134" i="1"/>
  <c r="BG134" i="1"/>
  <c r="BE134" i="1"/>
  <c r="BF134" i="1" s="1"/>
  <c r="BD134" i="1"/>
  <c r="BC134" i="1"/>
  <c r="BA134" i="1"/>
  <c r="BB134" i="1" s="1"/>
  <c r="AZ134" i="1"/>
  <c r="AW134" i="1"/>
  <c r="AX134" i="1" s="1"/>
  <c r="AV134" i="1"/>
  <c r="AS134" i="1"/>
  <c r="AT134" i="1" s="1"/>
  <c r="AR134" i="1"/>
  <c r="AQ134" i="1"/>
  <c r="AO134" i="1"/>
  <c r="AP134" i="1" s="1"/>
  <c r="AM134" i="1"/>
  <c r="AN134" i="1" s="1"/>
  <c r="AL134" i="1"/>
  <c r="AK134" i="1"/>
  <c r="AI134" i="1"/>
  <c r="AJ134" i="1" s="1"/>
  <c r="T134" i="1"/>
  <c r="K134" i="1"/>
  <c r="CO133" i="1"/>
  <c r="CN133" i="1"/>
  <c r="CL133" i="1"/>
  <c r="CM133" i="1" s="1"/>
  <c r="CF133" i="1"/>
  <c r="CE133" i="1"/>
  <c r="CC133" i="1"/>
  <c r="CD133" i="1" s="1"/>
  <c r="CB133" i="1"/>
  <c r="CA133" i="1"/>
  <c r="BY133" i="1"/>
  <c r="BZ133" i="1" s="1"/>
  <c r="BU133" i="1"/>
  <c r="BV133" i="1" s="1"/>
  <c r="BT133" i="1"/>
  <c r="BS133" i="1"/>
  <c r="BQ133" i="1"/>
  <c r="BR133" i="1" s="1"/>
  <c r="BP133" i="1"/>
  <c r="BO133" i="1"/>
  <c r="BM133" i="1"/>
  <c r="BN133" i="1" s="1"/>
  <c r="BJ133" i="1"/>
  <c r="BK133" i="1" s="1"/>
  <c r="BH133" i="1"/>
  <c r="BG133" i="1"/>
  <c r="BE133" i="1"/>
  <c r="BF133" i="1" s="1"/>
  <c r="BD133" i="1"/>
  <c r="BC133" i="1"/>
  <c r="BA133" i="1"/>
  <c r="BB133" i="1" s="1"/>
  <c r="AZ133" i="1"/>
  <c r="AW133" i="1"/>
  <c r="AX133" i="1" s="1"/>
  <c r="AV133" i="1"/>
  <c r="AS133" i="1"/>
  <c r="AT133" i="1" s="1"/>
  <c r="AR133" i="1"/>
  <c r="AQ133" i="1"/>
  <c r="AO133" i="1"/>
  <c r="AP133" i="1" s="1"/>
  <c r="AM133" i="1"/>
  <c r="AN133" i="1" s="1"/>
  <c r="AL133" i="1"/>
  <c r="AK133" i="1"/>
  <c r="CJ133" i="1" s="1"/>
  <c r="R133" i="1" s="1"/>
  <c r="AI133" i="1"/>
  <c r="AJ133" i="1" s="1"/>
  <c r="T133" i="1"/>
  <c r="K133" i="1"/>
  <c r="CO132" i="1"/>
  <c r="CN132" i="1"/>
  <c r="CL132" i="1"/>
  <c r="CM132" i="1" s="1"/>
  <c r="CF132" i="1"/>
  <c r="CE132" i="1"/>
  <c r="CC132" i="1"/>
  <c r="CD132" i="1" s="1"/>
  <c r="CB132" i="1"/>
  <c r="CA132" i="1"/>
  <c r="BY132" i="1"/>
  <c r="BZ132" i="1" s="1"/>
  <c r="BU132" i="1"/>
  <c r="BV132" i="1" s="1"/>
  <c r="BT132" i="1"/>
  <c r="BS132" i="1"/>
  <c r="BQ132" i="1"/>
  <c r="BR132" i="1" s="1"/>
  <c r="BP132" i="1"/>
  <c r="BO132" i="1"/>
  <c r="BM132" i="1"/>
  <c r="BN132" i="1" s="1"/>
  <c r="BJ132" i="1"/>
  <c r="BK132" i="1" s="1"/>
  <c r="BH132" i="1"/>
  <c r="BG132" i="1"/>
  <c r="BE132" i="1"/>
  <c r="BF132" i="1" s="1"/>
  <c r="BD132" i="1"/>
  <c r="BC132" i="1"/>
  <c r="BA132" i="1"/>
  <c r="BB132" i="1" s="1"/>
  <c r="AZ132" i="1"/>
  <c r="AW132" i="1"/>
  <c r="AX132" i="1" s="1"/>
  <c r="AV132" i="1"/>
  <c r="AT132" i="1"/>
  <c r="AS132" i="1"/>
  <c r="AR132" i="1"/>
  <c r="AQ132" i="1"/>
  <c r="AP132" i="1"/>
  <c r="AO132" i="1"/>
  <c r="AN132" i="1"/>
  <c r="AM132" i="1"/>
  <c r="AL132" i="1"/>
  <c r="AK132" i="1"/>
  <c r="AJ132" i="1"/>
  <c r="AI132" i="1"/>
  <c r="T132" i="1"/>
  <c r="K132" i="1"/>
  <c r="CO131" i="1"/>
  <c r="CN131" i="1"/>
  <c r="CM131" i="1"/>
  <c r="CL131" i="1"/>
  <c r="CF131" i="1"/>
  <c r="CE131" i="1"/>
  <c r="CC131" i="1"/>
  <c r="CD131" i="1" s="1"/>
  <c r="CB131" i="1"/>
  <c r="CA131" i="1"/>
  <c r="BY131" i="1"/>
  <c r="BZ131" i="1" s="1"/>
  <c r="BU131" i="1"/>
  <c r="BV131" i="1" s="1"/>
  <c r="BT131" i="1"/>
  <c r="BS131" i="1"/>
  <c r="BQ131" i="1"/>
  <c r="BR131" i="1" s="1"/>
  <c r="BP131" i="1"/>
  <c r="BO131" i="1"/>
  <c r="BM131" i="1"/>
  <c r="BN131" i="1" s="1"/>
  <c r="BJ131" i="1"/>
  <c r="BK131" i="1" s="1"/>
  <c r="BH131" i="1"/>
  <c r="BG131" i="1"/>
  <c r="BE131" i="1"/>
  <c r="BF131" i="1" s="1"/>
  <c r="BD131" i="1"/>
  <c r="BC131" i="1"/>
  <c r="BA131" i="1"/>
  <c r="BB131" i="1" s="1"/>
  <c r="AZ131" i="1"/>
  <c r="AW131" i="1"/>
  <c r="AX131" i="1" s="1"/>
  <c r="AV131" i="1"/>
  <c r="AS131" i="1"/>
  <c r="AT131" i="1" s="1"/>
  <c r="AR131" i="1"/>
  <c r="AQ131" i="1"/>
  <c r="AO131" i="1"/>
  <c r="AP131" i="1" s="1"/>
  <c r="AM131" i="1"/>
  <c r="AN131" i="1" s="1"/>
  <c r="AL131" i="1"/>
  <c r="AK131" i="1"/>
  <c r="AI131" i="1"/>
  <c r="AJ131" i="1" s="1"/>
  <c r="T131" i="1"/>
  <c r="K131" i="1"/>
  <c r="CO130" i="1"/>
  <c r="CN130" i="1"/>
  <c r="CL130" i="1"/>
  <c r="CM130" i="1" s="1"/>
  <c r="CF130" i="1"/>
  <c r="CE130" i="1"/>
  <c r="CC130" i="1"/>
  <c r="CD130" i="1" s="1"/>
  <c r="CB130" i="1"/>
  <c r="CA130" i="1"/>
  <c r="BY130" i="1"/>
  <c r="BZ130" i="1" s="1"/>
  <c r="BU130" i="1"/>
  <c r="BV130" i="1" s="1"/>
  <c r="BT130" i="1"/>
  <c r="BS130" i="1"/>
  <c r="BQ130" i="1"/>
  <c r="BR130" i="1" s="1"/>
  <c r="BP130" i="1"/>
  <c r="BO130" i="1"/>
  <c r="BM130" i="1"/>
  <c r="BN130" i="1" s="1"/>
  <c r="BJ130" i="1"/>
  <c r="BK130" i="1" s="1"/>
  <c r="BH130" i="1"/>
  <c r="BG130" i="1"/>
  <c r="BE130" i="1"/>
  <c r="BF130" i="1" s="1"/>
  <c r="BD130" i="1"/>
  <c r="BC130" i="1"/>
  <c r="BA130" i="1"/>
  <c r="BB130" i="1" s="1"/>
  <c r="AZ130" i="1"/>
  <c r="AW130" i="1"/>
  <c r="AX130" i="1" s="1"/>
  <c r="AV130" i="1"/>
  <c r="AS130" i="1"/>
  <c r="AT130" i="1" s="1"/>
  <c r="AR130" i="1"/>
  <c r="AQ130" i="1"/>
  <c r="AO130" i="1"/>
  <c r="AP130" i="1" s="1"/>
  <c r="AM130" i="1"/>
  <c r="AN130" i="1" s="1"/>
  <c r="AL130" i="1"/>
  <c r="AK130" i="1"/>
  <c r="AI130" i="1"/>
  <c r="AJ130" i="1" s="1"/>
  <c r="T130" i="1"/>
  <c r="K130" i="1"/>
  <c r="CO129" i="1"/>
  <c r="CN129" i="1"/>
  <c r="CL129" i="1"/>
  <c r="CM129" i="1" s="1"/>
  <c r="CF129" i="1"/>
  <c r="CE129" i="1"/>
  <c r="CC129" i="1"/>
  <c r="CD129" i="1" s="1"/>
  <c r="CB129" i="1"/>
  <c r="CA129" i="1"/>
  <c r="BY129" i="1"/>
  <c r="BZ129" i="1" s="1"/>
  <c r="BU129" i="1"/>
  <c r="BV129" i="1" s="1"/>
  <c r="BT129" i="1"/>
  <c r="BS129" i="1"/>
  <c r="BQ129" i="1"/>
  <c r="BR129" i="1" s="1"/>
  <c r="BP129" i="1"/>
  <c r="BO129" i="1"/>
  <c r="BM129" i="1"/>
  <c r="BN129" i="1" s="1"/>
  <c r="BJ129" i="1"/>
  <c r="BK129" i="1" s="1"/>
  <c r="BH129" i="1"/>
  <c r="BG129" i="1"/>
  <c r="BE129" i="1"/>
  <c r="BF129" i="1" s="1"/>
  <c r="BD129" i="1"/>
  <c r="BC129" i="1"/>
  <c r="BA129" i="1"/>
  <c r="BB129" i="1" s="1"/>
  <c r="AZ129" i="1"/>
  <c r="AW129" i="1"/>
  <c r="AX129" i="1" s="1"/>
  <c r="AV129" i="1"/>
  <c r="AS129" i="1"/>
  <c r="AT129" i="1" s="1"/>
  <c r="AR129" i="1"/>
  <c r="AQ129" i="1"/>
  <c r="AO129" i="1"/>
  <c r="AP129" i="1" s="1"/>
  <c r="AM129" i="1"/>
  <c r="AN129" i="1" s="1"/>
  <c r="AL129" i="1"/>
  <c r="AK129" i="1"/>
  <c r="CJ129" i="1" s="1"/>
  <c r="R129" i="1" s="1"/>
  <c r="AI129" i="1"/>
  <c r="AJ129" i="1" s="1"/>
  <c r="T129" i="1"/>
  <c r="K129" i="1"/>
  <c r="CO128" i="1"/>
  <c r="CN128" i="1"/>
  <c r="CL128" i="1"/>
  <c r="CM128" i="1" s="1"/>
  <c r="CF128" i="1"/>
  <c r="CE128" i="1"/>
  <c r="CC128" i="1"/>
  <c r="CD128" i="1" s="1"/>
  <c r="CB128" i="1"/>
  <c r="CA128" i="1"/>
  <c r="BY128" i="1"/>
  <c r="BZ128" i="1" s="1"/>
  <c r="BU128" i="1"/>
  <c r="BV128" i="1" s="1"/>
  <c r="BT128" i="1"/>
  <c r="BS128" i="1"/>
  <c r="BQ128" i="1"/>
  <c r="BR128" i="1" s="1"/>
  <c r="BP128" i="1"/>
  <c r="BO128" i="1"/>
  <c r="BM128" i="1"/>
  <c r="BN128" i="1" s="1"/>
  <c r="BJ128" i="1"/>
  <c r="BK128" i="1" s="1"/>
  <c r="BH128" i="1"/>
  <c r="BG128" i="1"/>
  <c r="BE128" i="1"/>
  <c r="BF128" i="1" s="1"/>
  <c r="BD128" i="1"/>
  <c r="BC128" i="1"/>
  <c r="BA128" i="1"/>
  <c r="BB128" i="1" s="1"/>
  <c r="AZ128" i="1"/>
  <c r="AW128" i="1"/>
  <c r="AX128" i="1" s="1"/>
  <c r="AV128" i="1"/>
  <c r="AT128" i="1"/>
  <c r="AS128" i="1"/>
  <c r="AR128" i="1"/>
  <c r="AQ128" i="1"/>
  <c r="AP128" i="1"/>
  <c r="AO128" i="1"/>
  <c r="AN128" i="1"/>
  <c r="AM128" i="1"/>
  <c r="AL128" i="1"/>
  <c r="AK128" i="1"/>
  <c r="AJ128" i="1"/>
  <c r="AI128" i="1"/>
  <c r="T128" i="1"/>
  <c r="K128" i="1"/>
  <c r="CO127" i="1"/>
  <c r="CN127" i="1"/>
  <c r="CM127" i="1"/>
  <c r="CL127" i="1"/>
  <c r="CF127" i="1"/>
  <c r="CE127" i="1"/>
  <c r="CC127" i="1"/>
  <c r="CD127" i="1" s="1"/>
  <c r="CB127" i="1"/>
  <c r="CA127" i="1"/>
  <c r="BY127" i="1"/>
  <c r="BZ127" i="1" s="1"/>
  <c r="BU127" i="1"/>
  <c r="BV127" i="1" s="1"/>
  <c r="BT127" i="1"/>
  <c r="BS127" i="1"/>
  <c r="BQ127" i="1"/>
  <c r="BR127" i="1" s="1"/>
  <c r="BP127" i="1"/>
  <c r="BO127" i="1"/>
  <c r="BM127" i="1"/>
  <c r="BN127" i="1" s="1"/>
  <c r="BJ127" i="1"/>
  <c r="BK127" i="1" s="1"/>
  <c r="BH127" i="1"/>
  <c r="BG127" i="1"/>
  <c r="BE127" i="1"/>
  <c r="BF127" i="1" s="1"/>
  <c r="BD127" i="1"/>
  <c r="BC127" i="1"/>
  <c r="BA127" i="1"/>
  <c r="BB127" i="1" s="1"/>
  <c r="AZ127" i="1"/>
  <c r="AW127" i="1"/>
  <c r="AX127" i="1" s="1"/>
  <c r="AV127" i="1"/>
  <c r="AS127" i="1"/>
  <c r="AT127" i="1" s="1"/>
  <c r="AR127" i="1"/>
  <c r="AQ127" i="1"/>
  <c r="AO127" i="1"/>
  <c r="AP127" i="1" s="1"/>
  <c r="AM127" i="1"/>
  <c r="AN127" i="1" s="1"/>
  <c r="AL127" i="1"/>
  <c r="AK127" i="1"/>
  <c r="AI127" i="1"/>
  <c r="AJ127" i="1" s="1"/>
  <c r="T127" i="1"/>
  <c r="K127" i="1"/>
  <c r="CO126" i="1"/>
  <c r="CN126" i="1"/>
  <c r="CL126" i="1"/>
  <c r="CM126" i="1" s="1"/>
  <c r="CF126" i="1"/>
  <c r="CE126" i="1"/>
  <c r="CC126" i="1"/>
  <c r="CD126" i="1" s="1"/>
  <c r="CB126" i="1"/>
  <c r="CA126" i="1"/>
  <c r="BY126" i="1"/>
  <c r="BZ126" i="1" s="1"/>
  <c r="BU126" i="1"/>
  <c r="BV126" i="1" s="1"/>
  <c r="BT126" i="1"/>
  <c r="BS126" i="1"/>
  <c r="BQ126" i="1"/>
  <c r="BR126" i="1" s="1"/>
  <c r="BP126" i="1"/>
  <c r="BO126" i="1"/>
  <c r="BM126" i="1"/>
  <c r="BN126" i="1" s="1"/>
  <c r="BJ126" i="1"/>
  <c r="BK126" i="1" s="1"/>
  <c r="BH126" i="1"/>
  <c r="BG126" i="1"/>
  <c r="BE126" i="1"/>
  <c r="BF126" i="1" s="1"/>
  <c r="BD126" i="1"/>
  <c r="BC126" i="1"/>
  <c r="BA126" i="1"/>
  <c r="BB126" i="1" s="1"/>
  <c r="AZ126" i="1"/>
  <c r="AW126" i="1"/>
  <c r="AX126" i="1" s="1"/>
  <c r="AV126" i="1"/>
  <c r="AS126" i="1"/>
  <c r="AT126" i="1" s="1"/>
  <c r="AR126" i="1"/>
  <c r="AQ126" i="1"/>
  <c r="AO126" i="1"/>
  <c r="AP126" i="1" s="1"/>
  <c r="AM126" i="1"/>
  <c r="AN126" i="1" s="1"/>
  <c r="AL126" i="1"/>
  <c r="AK126" i="1"/>
  <c r="AI126" i="1"/>
  <c r="AJ126" i="1" s="1"/>
  <c r="T126" i="1"/>
  <c r="K126" i="1"/>
  <c r="CO125" i="1"/>
  <c r="CN125" i="1"/>
  <c r="CL125" i="1"/>
  <c r="CM125" i="1" s="1"/>
  <c r="CF125" i="1"/>
  <c r="CE125" i="1"/>
  <c r="CC125" i="1"/>
  <c r="CD125" i="1" s="1"/>
  <c r="CB125" i="1"/>
  <c r="CA125" i="1"/>
  <c r="BY125" i="1"/>
  <c r="BZ125" i="1" s="1"/>
  <c r="BU125" i="1"/>
  <c r="BV125" i="1" s="1"/>
  <c r="BT125" i="1"/>
  <c r="BS125" i="1"/>
  <c r="BQ125" i="1"/>
  <c r="BR125" i="1" s="1"/>
  <c r="BP125" i="1"/>
  <c r="BO125" i="1"/>
  <c r="BM125" i="1"/>
  <c r="BN125" i="1" s="1"/>
  <c r="BJ125" i="1"/>
  <c r="BK125" i="1" s="1"/>
  <c r="BH125" i="1"/>
  <c r="BG125" i="1"/>
  <c r="BE125" i="1"/>
  <c r="BF125" i="1" s="1"/>
  <c r="BD125" i="1"/>
  <c r="BC125" i="1"/>
  <c r="BA125" i="1"/>
  <c r="BB125" i="1" s="1"/>
  <c r="AZ125" i="1"/>
  <c r="AW125" i="1"/>
  <c r="AX125" i="1" s="1"/>
  <c r="AV125" i="1"/>
  <c r="AS125" i="1"/>
  <c r="AT125" i="1" s="1"/>
  <c r="AR125" i="1"/>
  <c r="AQ125" i="1"/>
  <c r="AO125" i="1"/>
  <c r="AP125" i="1" s="1"/>
  <c r="AM125" i="1"/>
  <c r="AN125" i="1" s="1"/>
  <c r="AL125" i="1"/>
  <c r="AK125" i="1"/>
  <c r="CJ125" i="1" s="1"/>
  <c r="R125" i="1" s="1"/>
  <c r="AI125" i="1"/>
  <c r="AJ125" i="1" s="1"/>
  <c r="T125" i="1"/>
  <c r="K125" i="1"/>
  <c r="CO124" i="1"/>
  <c r="CN124" i="1"/>
  <c r="CL124" i="1"/>
  <c r="CM124" i="1" s="1"/>
  <c r="CF124" i="1"/>
  <c r="CE124" i="1"/>
  <c r="CC124" i="1"/>
  <c r="CD124" i="1" s="1"/>
  <c r="CB124" i="1"/>
  <c r="CA124" i="1"/>
  <c r="BY124" i="1"/>
  <c r="BZ124" i="1" s="1"/>
  <c r="BU124" i="1"/>
  <c r="BV124" i="1" s="1"/>
  <c r="BT124" i="1"/>
  <c r="BS124" i="1"/>
  <c r="BQ124" i="1"/>
  <c r="BR124" i="1" s="1"/>
  <c r="BP124" i="1"/>
  <c r="BO124" i="1"/>
  <c r="BM124" i="1"/>
  <c r="BN124" i="1" s="1"/>
  <c r="BJ124" i="1"/>
  <c r="BK124" i="1" s="1"/>
  <c r="BH124" i="1"/>
  <c r="BG124" i="1"/>
  <c r="BE124" i="1"/>
  <c r="BF124" i="1" s="1"/>
  <c r="BD124" i="1"/>
  <c r="BC124" i="1"/>
  <c r="BA124" i="1"/>
  <c r="BB124" i="1" s="1"/>
  <c r="AZ124" i="1"/>
  <c r="AW124" i="1"/>
  <c r="AX124" i="1" s="1"/>
  <c r="AV124" i="1"/>
  <c r="AT124" i="1"/>
  <c r="AS124" i="1"/>
  <c r="AR124" i="1"/>
  <c r="AQ124" i="1"/>
  <c r="AP124" i="1"/>
  <c r="AO124" i="1"/>
  <c r="AN124" i="1"/>
  <c r="AM124" i="1"/>
  <c r="AL124" i="1"/>
  <c r="AK124" i="1"/>
  <c r="AJ124" i="1"/>
  <c r="AI124" i="1"/>
  <c r="T124" i="1"/>
  <c r="K124" i="1"/>
  <c r="CO123" i="1"/>
  <c r="CN123" i="1"/>
  <c r="CM123" i="1"/>
  <c r="CL123" i="1"/>
  <c r="CF123" i="1"/>
  <c r="CE123" i="1"/>
  <c r="CC123" i="1"/>
  <c r="CD123" i="1" s="1"/>
  <c r="CB123" i="1"/>
  <c r="CA123" i="1"/>
  <c r="BY123" i="1"/>
  <c r="BZ123" i="1" s="1"/>
  <c r="BU123" i="1"/>
  <c r="BV123" i="1" s="1"/>
  <c r="BT123" i="1"/>
  <c r="BS123" i="1"/>
  <c r="BQ123" i="1"/>
  <c r="BR123" i="1" s="1"/>
  <c r="BP123" i="1"/>
  <c r="BO123" i="1"/>
  <c r="BM123" i="1"/>
  <c r="BN123" i="1" s="1"/>
  <c r="BJ123" i="1"/>
  <c r="BK123" i="1" s="1"/>
  <c r="BH123" i="1"/>
  <c r="BG123" i="1"/>
  <c r="BE123" i="1"/>
  <c r="BF123" i="1" s="1"/>
  <c r="BD123" i="1"/>
  <c r="BC123" i="1"/>
  <c r="BA123" i="1"/>
  <c r="BB123" i="1" s="1"/>
  <c r="AZ123" i="1"/>
  <c r="AW123" i="1"/>
  <c r="AX123" i="1" s="1"/>
  <c r="AV123" i="1"/>
  <c r="AS123" i="1"/>
  <c r="AT123" i="1" s="1"/>
  <c r="AR123" i="1"/>
  <c r="AQ123" i="1"/>
  <c r="AO123" i="1"/>
  <c r="AP123" i="1" s="1"/>
  <c r="AM123" i="1"/>
  <c r="AN123" i="1" s="1"/>
  <c r="AL123" i="1"/>
  <c r="AK123" i="1"/>
  <c r="AI123" i="1"/>
  <c r="AJ123" i="1" s="1"/>
  <c r="T123" i="1"/>
  <c r="K123" i="1"/>
  <c r="CO122" i="1"/>
  <c r="CN122" i="1"/>
  <c r="CL122" i="1"/>
  <c r="CM122" i="1" s="1"/>
  <c r="CF122" i="1"/>
  <c r="CE122" i="1"/>
  <c r="CC122" i="1"/>
  <c r="CD122" i="1" s="1"/>
  <c r="CB122" i="1"/>
  <c r="CA122" i="1"/>
  <c r="BY122" i="1"/>
  <c r="BZ122" i="1" s="1"/>
  <c r="BU122" i="1"/>
  <c r="BV122" i="1" s="1"/>
  <c r="BT122" i="1"/>
  <c r="BS122" i="1"/>
  <c r="BQ122" i="1"/>
  <c r="BR122" i="1" s="1"/>
  <c r="BP122" i="1"/>
  <c r="BO122" i="1"/>
  <c r="BM122" i="1"/>
  <c r="BN122" i="1" s="1"/>
  <c r="BJ122" i="1"/>
  <c r="BK122" i="1" s="1"/>
  <c r="BH122" i="1"/>
  <c r="BG122" i="1"/>
  <c r="BE122" i="1"/>
  <c r="BF122" i="1" s="1"/>
  <c r="BD122" i="1"/>
  <c r="BC122" i="1"/>
  <c r="BA122" i="1"/>
  <c r="BB122" i="1" s="1"/>
  <c r="AZ122" i="1"/>
  <c r="AW122" i="1"/>
  <c r="AX122" i="1" s="1"/>
  <c r="AV122" i="1"/>
  <c r="AS122" i="1"/>
  <c r="AT122" i="1" s="1"/>
  <c r="AR122" i="1"/>
  <c r="AQ122" i="1"/>
  <c r="AO122" i="1"/>
  <c r="AP122" i="1" s="1"/>
  <c r="AM122" i="1"/>
  <c r="AN122" i="1" s="1"/>
  <c r="AL122" i="1"/>
  <c r="AK122" i="1"/>
  <c r="AI122" i="1"/>
  <c r="AJ122" i="1" s="1"/>
  <c r="T122" i="1"/>
  <c r="K122" i="1"/>
  <c r="CO121" i="1"/>
  <c r="CN121" i="1"/>
  <c r="CL121" i="1"/>
  <c r="CM121" i="1" s="1"/>
  <c r="CF121" i="1"/>
  <c r="CE121" i="1"/>
  <c r="CC121" i="1"/>
  <c r="CD121" i="1" s="1"/>
  <c r="CB121" i="1"/>
  <c r="CA121" i="1"/>
  <c r="BY121" i="1"/>
  <c r="BZ121" i="1" s="1"/>
  <c r="BU121" i="1"/>
  <c r="BV121" i="1" s="1"/>
  <c r="BT121" i="1"/>
  <c r="BS121" i="1"/>
  <c r="BQ121" i="1"/>
  <c r="BR121" i="1" s="1"/>
  <c r="BP121" i="1"/>
  <c r="BO121" i="1"/>
  <c r="BM121" i="1"/>
  <c r="BN121" i="1" s="1"/>
  <c r="BJ121" i="1"/>
  <c r="BK121" i="1" s="1"/>
  <c r="BH121" i="1"/>
  <c r="BG121" i="1"/>
  <c r="BE121" i="1"/>
  <c r="BF121" i="1" s="1"/>
  <c r="BD121" i="1"/>
  <c r="BC121" i="1"/>
  <c r="BA121" i="1"/>
  <c r="BB121" i="1" s="1"/>
  <c r="AZ121" i="1"/>
  <c r="AW121" i="1"/>
  <c r="AX121" i="1" s="1"/>
  <c r="AV121" i="1"/>
  <c r="AS121" i="1"/>
  <c r="AT121" i="1" s="1"/>
  <c r="AR121" i="1"/>
  <c r="AQ121" i="1"/>
  <c r="AO121" i="1"/>
  <c r="AP121" i="1" s="1"/>
  <c r="AM121" i="1"/>
  <c r="AN121" i="1" s="1"/>
  <c r="AL121" i="1"/>
  <c r="AK121" i="1"/>
  <c r="CJ121" i="1" s="1"/>
  <c r="R121" i="1" s="1"/>
  <c r="AI121" i="1"/>
  <c r="AJ121" i="1" s="1"/>
  <c r="T121" i="1"/>
  <c r="K121" i="1"/>
  <c r="CO120" i="1"/>
  <c r="CN120" i="1"/>
  <c r="CL120" i="1"/>
  <c r="CM120" i="1" s="1"/>
  <c r="CF120" i="1"/>
  <c r="CE120" i="1"/>
  <c r="CC120" i="1"/>
  <c r="CD120" i="1" s="1"/>
  <c r="CB120" i="1"/>
  <c r="CA120" i="1"/>
  <c r="BY120" i="1"/>
  <c r="BZ120" i="1" s="1"/>
  <c r="BU120" i="1"/>
  <c r="BV120" i="1" s="1"/>
  <c r="BT120" i="1"/>
  <c r="BS120" i="1"/>
  <c r="BQ120" i="1"/>
  <c r="BR120" i="1" s="1"/>
  <c r="BP120" i="1"/>
  <c r="BO120" i="1"/>
  <c r="BM120" i="1"/>
  <c r="BN120" i="1" s="1"/>
  <c r="BJ120" i="1"/>
  <c r="BK120" i="1" s="1"/>
  <c r="BH120" i="1"/>
  <c r="BG120" i="1"/>
  <c r="BE120" i="1"/>
  <c r="BF120" i="1" s="1"/>
  <c r="BD120" i="1"/>
  <c r="BC120" i="1"/>
  <c r="BA120" i="1"/>
  <c r="BB120" i="1" s="1"/>
  <c r="AZ120" i="1"/>
  <c r="AW120" i="1"/>
  <c r="AX120" i="1" s="1"/>
  <c r="AV120" i="1"/>
  <c r="AT120" i="1"/>
  <c r="AS120" i="1"/>
  <c r="AR120" i="1"/>
  <c r="AQ120" i="1"/>
  <c r="AP120" i="1"/>
  <c r="AO120" i="1"/>
  <c r="AN120" i="1"/>
  <c r="AM120" i="1"/>
  <c r="AL120" i="1"/>
  <c r="AK120" i="1"/>
  <c r="AJ120" i="1"/>
  <c r="AI120" i="1"/>
  <c r="T120" i="1"/>
  <c r="K120" i="1"/>
  <c r="CO119" i="1"/>
  <c r="CN119" i="1"/>
  <c r="CM119" i="1"/>
  <c r="CL119" i="1"/>
  <c r="CF119" i="1"/>
  <c r="CE119" i="1"/>
  <c r="CC119" i="1"/>
  <c r="CD119" i="1" s="1"/>
  <c r="CB119" i="1"/>
  <c r="CA119" i="1"/>
  <c r="BY119" i="1"/>
  <c r="BZ119" i="1" s="1"/>
  <c r="BU119" i="1"/>
  <c r="BV119" i="1" s="1"/>
  <c r="BT119" i="1"/>
  <c r="BS119" i="1"/>
  <c r="BQ119" i="1"/>
  <c r="BR119" i="1" s="1"/>
  <c r="BP119" i="1"/>
  <c r="BO119" i="1"/>
  <c r="BM119" i="1"/>
  <c r="BN119" i="1" s="1"/>
  <c r="BJ119" i="1"/>
  <c r="BK119" i="1" s="1"/>
  <c r="BH119" i="1"/>
  <c r="BG119" i="1"/>
  <c r="BE119" i="1"/>
  <c r="BF119" i="1" s="1"/>
  <c r="BD119" i="1"/>
  <c r="BC119" i="1"/>
  <c r="BA119" i="1"/>
  <c r="BB119" i="1" s="1"/>
  <c r="AZ119" i="1"/>
  <c r="AW119" i="1"/>
  <c r="AX119" i="1" s="1"/>
  <c r="AV119" i="1"/>
  <c r="AS119" i="1"/>
  <c r="AT119" i="1" s="1"/>
  <c r="AR119" i="1"/>
  <c r="AQ119" i="1"/>
  <c r="AO119" i="1"/>
  <c r="AP119" i="1" s="1"/>
  <c r="AM119" i="1"/>
  <c r="AN119" i="1" s="1"/>
  <c r="AL119" i="1"/>
  <c r="AK119" i="1"/>
  <c r="AI119" i="1"/>
  <c r="AJ119" i="1" s="1"/>
  <c r="T119" i="1"/>
  <c r="K119" i="1"/>
  <c r="CO118" i="1"/>
  <c r="CN118" i="1"/>
  <c r="CL118" i="1"/>
  <c r="CM118" i="1" s="1"/>
  <c r="CF118" i="1"/>
  <c r="CE118" i="1"/>
  <c r="CC118" i="1"/>
  <c r="CD118" i="1" s="1"/>
  <c r="CB118" i="1"/>
  <c r="CA118" i="1"/>
  <c r="BY118" i="1"/>
  <c r="BZ118" i="1" s="1"/>
  <c r="BU118" i="1"/>
  <c r="BV118" i="1" s="1"/>
  <c r="BT118" i="1"/>
  <c r="BS118" i="1"/>
  <c r="BQ118" i="1"/>
  <c r="BR118" i="1" s="1"/>
  <c r="BP118" i="1"/>
  <c r="BO118" i="1"/>
  <c r="BM118" i="1"/>
  <c r="BN118" i="1" s="1"/>
  <c r="BJ118" i="1"/>
  <c r="BK118" i="1" s="1"/>
  <c r="BH118" i="1"/>
  <c r="BG118" i="1"/>
  <c r="BE118" i="1"/>
  <c r="BF118" i="1" s="1"/>
  <c r="BD118" i="1"/>
  <c r="BC118" i="1"/>
  <c r="BA118" i="1"/>
  <c r="BB118" i="1" s="1"/>
  <c r="AZ118" i="1"/>
  <c r="AW118" i="1"/>
  <c r="AX118" i="1" s="1"/>
  <c r="AV118" i="1"/>
  <c r="AS118" i="1"/>
  <c r="AT118" i="1" s="1"/>
  <c r="AR118" i="1"/>
  <c r="AQ118" i="1"/>
  <c r="AO118" i="1"/>
  <c r="AP118" i="1" s="1"/>
  <c r="AM118" i="1"/>
  <c r="AN118" i="1" s="1"/>
  <c r="AL118" i="1"/>
  <c r="AK118" i="1"/>
  <c r="AI118" i="1"/>
  <c r="AJ118" i="1" s="1"/>
  <c r="T118" i="1"/>
  <c r="K118" i="1"/>
  <c r="CO117" i="1"/>
  <c r="CN117" i="1"/>
  <c r="CL117" i="1"/>
  <c r="CM117" i="1" s="1"/>
  <c r="CF117" i="1"/>
  <c r="CE117" i="1"/>
  <c r="CC117" i="1"/>
  <c r="CD117" i="1" s="1"/>
  <c r="CB117" i="1"/>
  <c r="CA117" i="1"/>
  <c r="BY117" i="1"/>
  <c r="BZ117" i="1" s="1"/>
  <c r="BU117" i="1"/>
  <c r="BV117" i="1" s="1"/>
  <c r="BT117" i="1"/>
  <c r="BS117" i="1"/>
  <c r="BQ117" i="1"/>
  <c r="BR117" i="1" s="1"/>
  <c r="BP117" i="1"/>
  <c r="BO117" i="1"/>
  <c r="BM117" i="1"/>
  <c r="BN117" i="1" s="1"/>
  <c r="BJ117" i="1"/>
  <c r="BK117" i="1" s="1"/>
  <c r="BH117" i="1"/>
  <c r="BG117" i="1"/>
  <c r="BE117" i="1"/>
  <c r="BF117" i="1" s="1"/>
  <c r="BD117" i="1"/>
  <c r="BC117" i="1"/>
  <c r="BA117" i="1"/>
  <c r="BB117" i="1" s="1"/>
  <c r="AZ117" i="1"/>
  <c r="AW117" i="1"/>
  <c r="AX117" i="1" s="1"/>
  <c r="AV117" i="1"/>
  <c r="AS117" i="1"/>
  <c r="AT117" i="1" s="1"/>
  <c r="AR117" i="1"/>
  <c r="AQ117" i="1"/>
  <c r="AO117" i="1"/>
  <c r="AP117" i="1" s="1"/>
  <c r="AM117" i="1"/>
  <c r="AN117" i="1" s="1"/>
  <c r="AL117" i="1"/>
  <c r="AK117" i="1"/>
  <c r="CJ117" i="1" s="1"/>
  <c r="R117" i="1" s="1"/>
  <c r="AI117" i="1"/>
  <c r="AJ117" i="1" s="1"/>
  <c r="T117" i="1"/>
  <c r="K117" i="1"/>
  <c r="CO116" i="1"/>
  <c r="CN116" i="1"/>
  <c r="CL116" i="1"/>
  <c r="CM116" i="1" s="1"/>
  <c r="CF116" i="1"/>
  <c r="CE116" i="1"/>
  <c r="CC116" i="1"/>
  <c r="CD116" i="1" s="1"/>
  <c r="CB116" i="1"/>
  <c r="CA116" i="1"/>
  <c r="BY116" i="1"/>
  <c r="BZ116" i="1" s="1"/>
  <c r="BU116" i="1"/>
  <c r="BV116" i="1" s="1"/>
  <c r="BT116" i="1"/>
  <c r="BS116" i="1"/>
  <c r="BQ116" i="1"/>
  <c r="BR116" i="1" s="1"/>
  <c r="BP116" i="1"/>
  <c r="BO116" i="1"/>
  <c r="BM116" i="1"/>
  <c r="BN116" i="1" s="1"/>
  <c r="BJ116" i="1"/>
  <c r="BK116" i="1" s="1"/>
  <c r="BH116" i="1"/>
  <c r="BG116" i="1"/>
  <c r="BE116" i="1"/>
  <c r="BF116" i="1" s="1"/>
  <c r="BD116" i="1"/>
  <c r="BC116" i="1"/>
  <c r="BA116" i="1"/>
  <c r="BB116" i="1" s="1"/>
  <c r="AZ116" i="1"/>
  <c r="AW116" i="1"/>
  <c r="AX116" i="1" s="1"/>
  <c r="AV116" i="1"/>
  <c r="AT116" i="1"/>
  <c r="AS116" i="1"/>
  <c r="AR116" i="1"/>
  <c r="AQ116" i="1"/>
  <c r="AP116" i="1"/>
  <c r="AO116" i="1"/>
  <c r="AN116" i="1"/>
  <c r="AM116" i="1"/>
  <c r="AL116" i="1"/>
  <c r="AK116" i="1"/>
  <c r="AJ116" i="1"/>
  <c r="AI116" i="1"/>
  <c r="T116" i="1"/>
  <c r="K116" i="1"/>
  <c r="CO115" i="1"/>
  <c r="CN115" i="1"/>
  <c r="CM115" i="1"/>
  <c r="CL115" i="1"/>
  <c r="CF115" i="1"/>
  <c r="CE115" i="1"/>
  <c r="CC115" i="1"/>
  <c r="CD115" i="1" s="1"/>
  <c r="CB115" i="1"/>
  <c r="CA115" i="1"/>
  <c r="BY115" i="1"/>
  <c r="BZ115" i="1" s="1"/>
  <c r="BU115" i="1"/>
  <c r="BV115" i="1" s="1"/>
  <c r="BT115" i="1"/>
  <c r="BS115" i="1"/>
  <c r="BQ115" i="1"/>
  <c r="BR115" i="1" s="1"/>
  <c r="BP115" i="1"/>
  <c r="BO115" i="1"/>
  <c r="BM115" i="1"/>
  <c r="BN115" i="1" s="1"/>
  <c r="BJ115" i="1"/>
  <c r="BK115" i="1" s="1"/>
  <c r="BH115" i="1"/>
  <c r="BG115" i="1"/>
  <c r="BE115" i="1"/>
  <c r="BF115" i="1" s="1"/>
  <c r="BD115" i="1"/>
  <c r="BC115" i="1"/>
  <c r="BA115" i="1"/>
  <c r="BB115" i="1" s="1"/>
  <c r="AZ115" i="1"/>
  <c r="AW115" i="1"/>
  <c r="AX115" i="1" s="1"/>
  <c r="AV115" i="1"/>
  <c r="AS115" i="1"/>
  <c r="AT115" i="1" s="1"/>
  <c r="AR115" i="1"/>
  <c r="AQ115" i="1"/>
  <c r="AO115" i="1"/>
  <c r="AP115" i="1" s="1"/>
  <c r="AM115" i="1"/>
  <c r="AN115" i="1" s="1"/>
  <c r="AL115" i="1"/>
  <c r="AK115" i="1"/>
  <c r="AI115" i="1"/>
  <c r="AJ115" i="1" s="1"/>
  <c r="T115" i="1"/>
  <c r="K115" i="1"/>
  <c r="CO114" i="1"/>
  <c r="CN114" i="1"/>
  <c r="CL114" i="1"/>
  <c r="CM114" i="1" s="1"/>
  <c r="CF114" i="1"/>
  <c r="CE114" i="1"/>
  <c r="CC114" i="1"/>
  <c r="CD114" i="1" s="1"/>
  <c r="CB114" i="1"/>
  <c r="CA114" i="1"/>
  <c r="BY114" i="1"/>
  <c r="BZ114" i="1" s="1"/>
  <c r="BU114" i="1"/>
  <c r="BV114" i="1" s="1"/>
  <c r="BT114" i="1"/>
  <c r="BS114" i="1"/>
  <c r="BQ114" i="1"/>
  <c r="BR114" i="1" s="1"/>
  <c r="BP114" i="1"/>
  <c r="BO114" i="1"/>
  <c r="BM114" i="1"/>
  <c r="BN114" i="1" s="1"/>
  <c r="BJ114" i="1"/>
  <c r="BK114" i="1" s="1"/>
  <c r="BH114" i="1"/>
  <c r="BG114" i="1"/>
  <c r="BE114" i="1"/>
  <c r="BF114" i="1" s="1"/>
  <c r="BD114" i="1"/>
  <c r="BC114" i="1"/>
  <c r="BA114" i="1"/>
  <c r="BB114" i="1" s="1"/>
  <c r="AZ114" i="1"/>
  <c r="AW114" i="1"/>
  <c r="AX114" i="1" s="1"/>
  <c r="AV114" i="1"/>
  <c r="AS114" i="1"/>
  <c r="AT114" i="1" s="1"/>
  <c r="AR114" i="1"/>
  <c r="AQ114" i="1"/>
  <c r="AO114" i="1"/>
  <c r="AP114" i="1" s="1"/>
  <c r="AM114" i="1"/>
  <c r="AN114" i="1" s="1"/>
  <c r="AL114" i="1"/>
  <c r="AK114" i="1"/>
  <c r="AI114" i="1"/>
  <c r="AJ114" i="1" s="1"/>
  <c r="T114" i="1"/>
  <c r="K114" i="1"/>
  <c r="CO113" i="1"/>
  <c r="CN113" i="1"/>
  <c r="CL113" i="1"/>
  <c r="CM113" i="1" s="1"/>
  <c r="CF113" i="1"/>
  <c r="CE113" i="1"/>
  <c r="CC113" i="1"/>
  <c r="CD113" i="1" s="1"/>
  <c r="CB113" i="1"/>
  <c r="CA113" i="1"/>
  <c r="BY113" i="1"/>
  <c r="BZ113" i="1" s="1"/>
  <c r="BU113" i="1"/>
  <c r="BV113" i="1" s="1"/>
  <c r="BT113" i="1"/>
  <c r="BS113" i="1"/>
  <c r="BQ113" i="1"/>
  <c r="BR113" i="1" s="1"/>
  <c r="BP113" i="1"/>
  <c r="BO113" i="1"/>
  <c r="BM113" i="1"/>
  <c r="BN113" i="1" s="1"/>
  <c r="BJ113" i="1"/>
  <c r="BK113" i="1" s="1"/>
  <c r="BH113" i="1"/>
  <c r="BG113" i="1"/>
  <c r="BE113" i="1"/>
  <c r="BF113" i="1" s="1"/>
  <c r="BD113" i="1"/>
  <c r="BC113" i="1"/>
  <c r="BA113" i="1"/>
  <c r="BB113" i="1" s="1"/>
  <c r="AZ113" i="1"/>
  <c r="AW113" i="1"/>
  <c r="AX113" i="1" s="1"/>
  <c r="AV113" i="1"/>
  <c r="AS113" i="1"/>
  <c r="AT113" i="1" s="1"/>
  <c r="AR113" i="1"/>
  <c r="AQ113" i="1"/>
  <c r="AO113" i="1"/>
  <c r="AP113" i="1" s="1"/>
  <c r="AM113" i="1"/>
  <c r="AN113" i="1" s="1"/>
  <c r="AL113" i="1"/>
  <c r="AK113" i="1"/>
  <c r="CJ113" i="1" s="1"/>
  <c r="R113" i="1" s="1"/>
  <c r="AI113" i="1"/>
  <c r="AJ113" i="1" s="1"/>
  <c r="T113" i="1"/>
  <c r="K113" i="1"/>
  <c r="CO112" i="1"/>
  <c r="CN112" i="1"/>
  <c r="CL112" i="1"/>
  <c r="CM112" i="1" s="1"/>
  <c r="CF112" i="1"/>
  <c r="CE112" i="1"/>
  <c r="CC112" i="1"/>
  <c r="CD112" i="1" s="1"/>
  <c r="CB112" i="1"/>
  <c r="CA112" i="1"/>
  <c r="BY112" i="1"/>
  <c r="BZ112" i="1" s="1"/>
  <c r="BU112" i="1"/>
  <c r="BV112" i="1" s="1"/>
  <c r="BT112" i="1"/>
  <c r="BS112" i="1"/>
  <c r="BQ112" i="1"/>
  <c r="BR112" i="1" s="1"/>
  <c r="BP112" i="1"/>
  <c r="BO112" i="1"/>
  <c r="BM112" i="1"/>
  <c r="BN112" i="1" s="1"/>
  <c r="BJ112" i="1"/>
  <c r="BK112" i="1" s="1"/>
  <c r="BH112" i="1"/>
  <c r="BG112" i="1"/>
  <c r="BE112" i="1"/>
  <c r="BF112" i="1" s="1"/>
  <c r="BD112" i="1"/>
  <c r="BC112" i="1"/>
  <c r="BA112" i="1"/>
  <c r="BB112" i="1" s="1"/>
  <c r="AZ112" i="1"/>
  <c r="AW112" i="1"/>
  <c r="AX112" i="1" s="1"/>
  <c r="AV112" i="1"/>
  <c r="AT112" i="1"/>
  <c r="AS112" i="1"/>
  <c r="AR112" i="1"/>
  <c r="AQ112" i="1"/>
  <c r="AP112" i="1"/>
  <c r="AO112" i="1"/>
  <c r="AN112" i="1"/>
  <c r="AM112" i="1"/>
  <c r="AL112" i="1"/>
  <c r="AK112" i="1"/>
  <c r="AJ112" i="1"/>
  <c r="AI112" i="1"/>
  <c r="T112" i="1"/>
  <c r="K112" i="1"/>
  <c r="CO111" i="1"/>
  <c r="CN111" i="1"/>
  <c r="CM111" i="1"/>
  <c r="CL111" i="1"/>
  <c r="CF111" i="1"/>
  <c r="CE111" i="1"/>
  <c r="CC111" i="1"/>
  <c r="CD111" i="1" s="1"/>
  <c r="CB111" i="1"/>
  <c r="CA111" i="1"/>
  <c r="BY111" i="1"/>
  <c r="BZ111" i="1" s="1"/>
  <c r="BU111" i="1"/>
  <c r="BV111" i="1" s="1"/>
  <c r="BT111" i="1"/>
  <c r="BS111" i="1"/>
  <c r="BQ111" i="1"/>
  <c r="BR111" i="1" s="1"/>
  <c r="BP111" i="1"/>
  <c r="BO111" i="1"/>
  <c r="BM111" i="1"/>
  <c r="BN111" i="1" s="1"/>
  <c r="BJ111" i="1"/>
  <c r="BK111" i="1" s="1"/>
  <c r="BH111" i="1"/>
  <c r="BG111" i="1"/>
  <c r="BE111" i="1"/>
  <c r="BF111" i="1" s="1"/>
  <c r="BD111" i="1"/>
  <c r="BC111" i="1"/>
  <c r="BA111" i="1"/>
  <c r="BB111" i="1" s="1"/>
  <c r="AZ111" i="1"/>
  <c r="AW111" i="1"/>
  <c r="AX111" i="1" s="1"/>
  <c r="AV111" i="1"/>
  <c r="AS111" i="1"/>
  <c r="AT111" i="1" s="1"/>
  <c r="AR111" i="1"/>
  <c r="AQ111" i="1"/>
  <c r="AO111" i="1"/>
  <c r="AP111" i="1" s="1"/>
  <c r="AM111" i="1"/>
  <c r="AN111" i="1" s="1"/>
  <c r="AL111" i="1"/>
  <c r="AK111" i="1"/>
  <c r="AI111" i="1"/>
  <c r="AJ111" i="1" s="1"/>
  <c r="T111" i="1"/>
  <c r="K111" i="1"/>
  <c r="CO110" i="1"/>
  <c r="CN110" i="1"/>
  <c r="CL110" i="1"/>
  <c r="CM110" i="1" s="1"/>
  <c r="CF110" i="1"/>
  <c r="CE110" i="1"/>
  <c r="CC110" i="1"/>
  <c r="CD110" i="1" s="1"/>
  <c r="CB110" i="1"/>
  <c r="CA110" i="1"/>
  <c r="BY110" i="1"/>
  <c r="BZ110" i="1" s="1"/>
  <c r="BU110" i="1"/>
  <c r="BV110" i="1" s="1"/>
  <c r="BT110" i="1"/>
  <c r="BS110" i="1"/>
  <c r="BQ110" i="1"/>
  <c r="BR110" i="1" s="1"/>
  <c r="BP110" i="1"/>
  <c r="BO110" i="1"/>
  <c r="BM110" i="1"/>
  <c r="BN110" i="1" s="1"/>
  <c r="BJ110" i="1"/>
  <c r="BK110" i="1" s="1"/>
  <c r="BH110" i="1"/>
  <c r="BG110" i="1"/>
  <c r="BE110" i="1"/>
  <c r="BF110" i="1" s="1"/>
  <c r="BD110" i="1"/>
  <c r="BC110" i="1"/>
  <c r="BA110" i="1"/>
  <c r="BB110" i="1" s="1"/>
  <c r="AZ110" i="1"/>
  <c r="AW110" i="1"/>
  <c r="AX110" i="1" s="1"/>
  <c r="AV110" i="1"/>
  <c r="AS110" i="1"/>
  <c r="AT110" i="1" s="1"/>
  <c r="AR110" i="1"/>
  <c r="AQ110" i="1"/>
  <c r="AO110" i="1"/>
  <c r="AP110" i="1" s="1"/>
  <c r="AM110" i="1"/>
  <c r="AN110" i="1" s="1"/>
  <c r="AL110" i="1"/>
  <c r="AK110" i="1"/>
  <c r="AI110" i="1"/>
  <c r="AJ110" i="1" s="1"/>
  <c r="T110" i="1"/>
  <c r="K110" i="1"/>
  <c r="CO109" i="1"/>
  <c r="CN109" i="1"/>
  <c r="CL109" i="1"/>
  <c r="CM109" i="1" s="1"/>
  <c r="CF109" i="1"/>
  <c r="CE109" i="1"/>
  <c r="CC109" i="1"/>
  <c r="CD109" i="1" s="1"/>
  <c r="CB109" i="1"/>
  <c r="CA109" i="1"/>
  <c r="BY109" i="1"/>
  <c r="BZ109" i="1" s="1"/>
  <c r="BU109" i="1"/>
  <c r="BV109" i="1" s="1"/>
  <c r="BT109" i="1"/>
  <c r="BS109" i="1"/>
  <c r="BQ109" i="1"/>
  <c r="BR109" i="1" s="1"/>
  <c r="BP109" i="1"/>
  <c r="BO109" i="1"/>
  <c r="BM109" i="1"/>
  <c r="BN109" i="1" s="1"/>
  <c r="BJ109" i="1"/>
  <c r="BK109" i="1" s="1"/>
  <c r="BH109" i="1"/>
  <c r="BG109" i="1"/>
  <c r="BE109" i="1"/>
  <c r="BF109" i="1" s="1"/>
  <c r="BD109" i="1"/>
  <c r="BC109" i="1"/>
  <c r="BA109" i="1"/>
  <c r="BB109" i="1" s="1"/>
  <c r="AZ109" i="1"/>
  <c r="AW109" i="1"/>
  <c r="AX109" i="1" s="1"/>
  <c r="AV109" i="1"/>
  <c r="AS109" i="1"/>
  <c r="AT109" i="1" s="1"/>
  <c r="AR109" i="1"/>
  <c r="AQ109" i="1"/>
  <c r="AO109" i="1"/>
  <c r="AP109" i="1" s="1"/>
  <c r="AM109" i="1"/>
  <c r="AN109" i="1" s="1"/>
  <c r="AL109" i="1"/>
  <c r="AK109" i="1"/>
  <c r="CJ109" i="1" s="1"/>
  <c r="R109" i="1" s="1"/>
  <c r="AI109" i="1"/>
  <c r="AJ109" i="1" s="1"/>
  <c r="T109" i="1"/>
  <c r="K109" i="1"/>
  <c r="CO108" i="1"/>
  <c r="CN108" i="1"/>
  <c r="CL108" i="1"/>
  <c r="CM108" i="1" s="1"/>
  <c r="CF108" i="1"/>
  <c r="CE108" i="1"/>
  <c r="CC108" i="1"/>
  <c r="CD108" i="1" s="1"/>
  <c r="CB108" i="1"/>
  <c r="CA108" i="1"/>
  <c r="BY108" i="1"/>
  <c r="BZ108" i="1" s="1"/>
  <c r="BU108" i="1"/>
  <c r="BV108" i="1" s="1"/>
  <c r="BT108" i="1"/>
  <c r="BS108" i="1"/>
  <c r="BQ108" i="1"/>
  <c r="BR108" i="1" s="1"/>
  <c r="BP108" i="1"/>
  <c r="BO108" i="1"/>
  <c r="BM108" i="1"/>
  <c r="BN108" i="1" s="1"/>
  <c r="BJ108" i="1"/>
  <c r="BK108" i="1" s="1"/>
  <c r="BH108" i="1"/>
  <c r="BG108" i="1"/>
  <c r="BE108" i="1"/>
  <c r="BF108" i="1" s="1"/>
  <c r="BD108" i="1"/>
  <c r="BC108" i="1"/>
  <c r="BA108" i="1"/>
  <c r="BB108" i="1" s="1"/>
  <c r="AZ108" i="1"/>
  <c r="AW108" i="1"/>
  <c r="AX108" i="1" s="1"/>
  <c r="AV108" i="1"/>
  <c r="AT108" i="1"/>
  <c r="AS108" i="1"/>
  <c r="AR108" i="1"/>
  <c r="AQ108" i="1"/>
  <c r="AP108" i="1"/>
  <c r="AO108" i="1"/>
  <c r="AN108" i="1"/>
  <c r="AM108" i="1"/>
  <c r="AL108" i="1"/>
  <c r="AK108" i="1"/>
  <c r="AJ108" i="1"/>
  <c r="AI108" i="1"/>
  <c r="T108" i="1"/>
  <c r="K108" i="1"/>
  <c r="CO107" i="1"/>
  <c r="CN107" i="1"/>
  <c r="CM107" i="1"/>
  <c r="CL107" i="1"/>
  <c r="CF107" i="1"/>
  <c r="CE107" i="1"/>
  <c r="CC107" i="1"/>
  <c r="CD107" i="1" s="1"/>
  <c r="CB107" i="1"/>
  <c r="CA107" i="1"/>
  <c r="BY107" i="1"/>
  <c r="BZ107" i="1" s="1"/>
  <c r="BU107" i="1"/>
  <c r="BV107" i="1" s="1"/>
  <c r="BT107" i="1"/>
  <c r="BS107" i="1"/>
  <c r="BQ107" i="1"/>
  <c r="BR107" i="1" s="1"/>
  <c r="BP107" i="1"/>
  <c r="BO107" i="1"/>
  <c r="BM107" i="1"/>
  <c r="BN107" i="1" s="1"/>
  <c r="BJ107" i="1"/>
  <c r="BK107" i="1" s="1"/>
  <c r="BH107" i="1"/>
  <c r="BG107" i="1"/>
  <c r="BE107" i="1"/>
  <c r="BF107" i="1" s="1"/>
  <c r="BD107" i="1"/>
  <c r="BC107" i="1"/>
  <c r="BA107" i="1"/>
  <c r="BB107" i="1" s="1"/>
  <c r="AZ107" i="1"/>
  <c r="AW107" i="1"/>
  <c r="AX107" i="1" s="1"/>
  <c r="AV107" i="1"/>
  <c r="AS107" i="1"/>
  <c r="AT107" i="1" s="1"/>
  <c r="AR107" i="1"/>
  <c r="AQ107" i="1"/>
  <c r="AO107" i="1"/>
  <c r="AP107" i="1" s="1"/>
  <c r="AM107" i="1"/>
  <c r="AN107" i="1" s="1"/>
  <c r="AL107" i="1"/>
  <c r="AK107" i="1"/>
  <c r="AI107" i="1"/>
  <c r="AJ107" i="1" s="1"/>
  <c r="T107" i="1"/>
  <c r="K107" i="1"/>
  <c r="CO106" i="1"/>
  <c r="CN106" i="1"/>
  <c r="CL106" i="1"/>
  <c r="CM106" i="1" s="1"/>
  <c r="CF106" i="1"/>
  <c r="CE106" i="1"/>
  <c r="CC106" i="1"/>
  <c r="CD106" i="1" s="1"/>
  <c r="CB106" i="1"/>
  <c r="CA106" i="1"/>
  <c r="BY106" i="1"/>
  <c r="BZ106" i="1" s="1"/>
  <c r="BU106" i="1"/>
  <c r="BV106" i="1" s="1"/>
  <c r="BT106" i="1"/>
  <c r="BS106" i="1"/>
  <c r="BQ106" i="1"/>
  <c r="BR106" i="1" s="1"/>
  <c r="BP106" i="1"/>
  <c r="BO106" i="1"/>
  <c r="BM106" i="1"/>
  <c r="BN106" i="1" s="1"/>
  <c r="BJ106" i="1"/>
  <c r="BK106" i="1" s="1"/>
  <c r="BH106" i="1"/>
  <c r="BG106" i="1"/>
  <c r="BE106" i="1"/>
  <c r="BF106" i="1" s="1"/>
  <c r="BD106" i="1"/>
  <c r="BC106" i="1"/>
  <c r="BA106" i="1"/>
  <c r="BB106" i="1" s="1"/>
  <c r="AZ106" i="1"/>
  <c r="AW106" i="1"/>
  <c r="AX106" i="1" s="1"/>
  <c r="AV106" i="1"/>
  <c r="AS106" i="1"/>
  <c r="AT106" i="1" s="1"/>
  <c r="AR106" i="1"/>
  <c r="AQ106" i="1"/>
  <c r="AO106" i="1"/>
  <c r="AP106" i="1" s="1"/>
  <c r="AM106" i="1"/>
  <c r="AN106" i="1" s="1"/>
  <c r="AL106" i="1"/>
  <c r="AK106" i="1"/>
  <c r="AI106" i="1"/>
  <c r="AJ106" i="1" s="1"/>
  <c r="T106" i="1"/>
  <c r="K106" i="1"/>
  <c r="CO105" i="1"/>
  <c r="CN105" i="1"/>
  <c r="CL105" i="1"/>
  <c r="CM105" i="1" s="1"/>
  <c r="CF105" i="1"/>
  <c r="CE105" i="1"/>
  <c r="CC105" i="1"/>
  <c r="CD105" i="1" s="1"/>
  <c r="CB105" i="1"/>
  <c r="CA105" i="1"/>
  <c r="BY105" i="1"/>
  <c r="BZ105" i="1" s="1"/>
  <c r="BU105" i="1"/>
  <c r="BV105" i="1" s="1"/>
  <c r="BT105" i="1"/>
  <c r="BS105" i="1"/>
  <c r="BQ105" i="1"/>
  <c r="BR105" i="1" s="1"/>
  <c r="BP105" i="1"/>
  <c r="BO105" i="1"/>
  <c r="BM105" i="1"/>
  <c r="BN105" i="1" s="1"/>
  <c r="BJ105" i="1"/>
  <c r="BK105" i="1" s="1"/>
  <c r="BH105" i="1"/>
  <c r="BG105" i="1"/>
  <c r="BE105" i="1"/>
  <c r="BF105" i="1" s="1"/>
  <c r="BD105" i="1"/>
  <c r="BC105" i="1"/>
  <c r="BA105" i="1"/>
  <c r="BB105" i="1" s="1"/>
  <c r="AZ105" i="1"/>
  <c r="AW105" i="1"/>
  <c r="AX105" i="1" s="1"/>
  <c r="AV105" i="1"/>
  <c r="AS105" i="1"/>
  <c r="AT105" i="1" s="1"/>
  <c r="AR105" i="1"/>
  <c r="AQ105" i="1"/>
  <c r="AO105" i="1"/>
  <c r="AP105" i="1" s="1"/>
  <c r="AM105" i="1"/>
  <c r="AN105" i="1" s="1"/>
  <c r="AL105" i="1"/>
  <c r="AK105" i="1"/>
  <c r="CJ105" i="1" s="1"/>
  <c r="R105" i="1" s="1"/>
  <c r="AI105" i="1"/>
  <c r="AJ105" i="1" s="1"/>
  <c r="T105" i="1"/>
  <c r="K105" i="1"/>
  <c r="CO104" i="1"/>
  <c r="CN104" i="1"/>
  <c r="CL104" i="1"/>
  <c r="CM104" i="1" s="1"/>
  <c r="CF104" i="1"/>
  <c r="CE104" i="1"/>
  <c r="CC104" i="1"/>
  <c r="CD104" i="1" s="1"/>
  <c r="CB104" i="1"/>
  <c r="CA104" i="1"/>
  <c r="BY104" i="1"/>
  <c r="BZ104" i="1" s="1"/>
  <c r="BU104" i="1"/>
  <c r="BV104" i="1" s="1"/>
  <c r="BT104" i="1"/>
  <c r="BS104" i="1"/>
  <c r="BQ104" i="1"/>
  <c r="BR104" i="1" s="1"/>
  <c r="BP104" i="1"/>
  <c r="BO104" i="1"/>
  <c r="BM104" i="1"/>
  <c r="BN104" i="1" s="1"/>
  <c r="BJ104" i="1"/>
  <c r="BK104" i="1" s="1"/>
  <c r="BH104" i="1"/>
  <c r="BG104" i="1"/>
  <c r="BE104" i="1"/>
  <c r="BF104" i="1" s="1"/>
  <c r="BD104" i="1"/>
  <c r="BC104" i="1"/>
  <c r="BA104" i="1"/>
  <c r="BB104" i="1" s="1"/>
  <c r="AZ104" i="1"/>
  <c r="AW104" i="1"/>
  <c r="AX104" i="1" s="1"/>
  <c r="AV104" i="1"/>
  <c r="AT104" i="1"/>
  <c r="AS104" i="1"/>
  <c r="AR104" i="1"/>
  <c r="AQ104" i="1"/>
  <c r="AP104" i="1"/>
  <c r="AO104" i="1"/>
  <c r="AN104" i="1"/>
  <c r="AM104" i="1"/>
  <c r="AL104" i="1"/>
  <c r="AK104" i="1"/>
  <c r="AJ104" i="1"/>
  <c r="AI104" i="1"/>
  <c r="T104" i="1"/>
  <c r="K104" i="1"/>
  <c r="CO103" i="1"/>
  <c r="CN103" i="1"/>
  <c r="CL103" i="1"/>
  <c r="CM103" i="1" s="1"/>
  <c r="CF103" i="1"/>
  <c r="CE103" i="1"/>
  <c r="CC103" i="1"/>
  <c r="CD103" i="1" s="1"/>
  <c r="CB103" i="1"/>
  <c r="CA103" i="1"/>
  <c r="BY103" i="1"/>
  <c r="BZ103" i="1" s="1"/>
  <c r="BU103" i="1"/>
  <c r="BV103" i="1" s="1"/>
  <c r="BT103" i="1"/>
  <c r="BS103" i="1"/>
  <c r="BQ103" i="1"/>
  <c r="BR103" i="1" s="1"/>
  <c r="BP103" i="1"/>
  <c r="BO103" i="1"/>
  <c r="BM103" i="1"/>
  <c r="BN103" i="1" s="1"/>
  <c r="BJ103" i="1"/>
  <c r="BK103" i="1" s="1"/>
  <c r="BH103" i="1"/>
  <c r="BG103" i="1"/>
  <c r="BE103" i="1"/>
  <c r="BF103" i="1" s="1"/>
  <c r="BD103" i="1"/>
  <c r="BC103" i="1"/>
  <c r="BA103" i="1"/>
  <c r="BB103" i="1" s="1"/>
  <c r="AZ103" i="1"/>
  <c r="AX103" i="1"/>
  <c r="AW103" i="1"/>
  <c r="AV103" i="1"/>
  <c r="AS103" i="1"/>
  <c r="AT103" i="1" s="1"/>
  <c r="AR103" i="1"/>
  <c r="AQ103" i="1"/>
  <c r="AO103" i="1"/>
  <c r="AP103" i="1" s="1"/>
  <c r="AM103" i="1"/>
  <c r="AN103" i="1" s="1"/>
  <c r="AL103" i="1"/>
  <c r="AK103" i="1"/>
  <c r="AI103" i="1"/>
  <c r="AJ103" i="1" s="1"/>
  <c r="T103" i="1"/>
  <c r="K103" i="1"/>
  <c r="CO102" i="1"/>
  <c r="CN102" i="1"/>
  <c r="CL102" i="1"/>
  <c r="CM102" i="1" s="1"/>
  <c r="CF102" i="1"/>
  <c r="CE102" i="1"/>
  <c r="CD102" i="1"/>
  <c r="CC102" i="1"/>
  <c r="CB102" i="1"/>
  <c r="CA102" i="1"/>
  <c r="BZ102" i="1"/>
  <c r="BY102" i="1"/>
  <c r="BV102" i="1"/>
  <c r="BU102" i="1"/>
  <c r="BT102" i="1"/>
  <c r="BS102" i="1"/>
  <c r="BR102" i="1"/>
  <c r="BQ102" i="1"/>
  <c r="BP102" i="1"/>
  <c r="BO102" i="1"/>
  <c r="BN102" i="1"/>
  <c r="BM102" i="1"/>
  <c r="BK102" i="1"/>
  <c r="BJ102" i="1"/>
  <c r="BH102" i="1"/>
  <c r="BG102" i="1"/>
  <c r="BF102" i="1"/>
  <c r="BE102" i="1"/>
  <c r="BD102" i="1"/>
  <c r="BC102" i="1"/>
  <c r="BB102" i="1"/>
  <c r="BA102" i="1"/>
  <c r="AZ102" i="1"/>
  <c r="AW102" i="1"/>
  <c r="AX102" i="1" s="1"/>
  <c r="AV102" i="1"/>
  <c r="AS102" i="1"/>
  <c r="AT102" i="1" s="1"/>
  <c r="AR102" i="1"/>
  <c r="AQ102" i="1"/>
  <c r="AO102" i="1"/>
  <c r="AP102" i="1" s="1"/>
  <c r="AM102" i="1"/>
  <c r="AN102" i="1" s="1"/>
  <c r="AL102" i="1"/>
  <c r="AK102" i="1"/>
  <c r="AI102" i="1"/>
  <c r="CH102" i="1" s="1"/>
  <c r="P102" i="1" s="1"/>
  <c r="T102" i="1"/>
  <c r="K102" i="1"/>
  <c r="CO101" i="1"/>
  <c r="CN101" i="1"/>
  <c r="CL101" i="1"/>
  <c r="CM101" i="1" s="1"/>
  <c r="CF101" i="1"/>
  <c r="CE101" i="1"/>
  <c r="CC101" i="1"/>
  <c r="CD101" i="1" s="1"/>
  <c r="CB101" i="1"/>
  <c r="CA101" i="1"/>
  <c r="BY101" i="1"/>
  <c r="BZ101" i="1" s="1"/>
  <c r="BU101" i="1"/>
  <c r="BV101" i="1" s="1"/>
  <c r="BT101" i="1"/>
  <c r="BS101" i="1"/>
  <c r="BQ101" i="1"/>
  <c r="BR101" i="1" s="1"/>
  <c r="BP101" i="1"/>
  <c r="BO101" i="1"/>
  <c r="BM101" i="1"/>
  <c r="BN101" i="1" s="1"/>
  <c r="BJ101" i="1"/>
  <c r="BK101" i="1" s="1"/>
  <c r="BH101" i="1"/>
  <c r="BG101" i="1"/>
  <c r="BE101" i="1"/>
  <c r="BF101" i="1" s="1"/>
  <c r="BD101" i="1"/>
  <c r="BC101" i="1"/>
  <c r="BA101" i="1"/>
  <c r="BB101" i="1" s="1"/>
  <c r="AZ101" i="1"/>
  <c r="AW101" i="1"/>
  <c r="AX101" i="1" s="1"/>
  <c r="AV101" i="1"/>
  <c r="AS101" i="1"/>
  <c r="AT101" i="1" s="1"/>
  <c r="AR101" i="1"/>
  <c r="AQ101" i="1"/>
  <c r="AO101" i="1"/>
  <c r="AP101" i="1" s="1"/>
  <c r="AM101" i="1"/>
  <c r="AN101" i="1" s="1"/>
  <c r="AL101" i="1"/>
  <c r="AK101" i="1"/>
  <c r="AI101" i="1"/>
  <c r="AJ101" i="1" s="1"/>
  <c r="T101" i="1"/>
  <c r="K101" i="1"/>
  <c r="CO100" i="1"/>
  <c r="CN100" i="1"/>
  <c r="CL100" i="1"/>
  <c r="CM100" i="1" s="1"/>
  <c r="CF100" i="1"/>
  <c r="CE100" i="1"/>
  <c r="CC100" i="1"/>
  <c r="CD100" i="1" s="1"/>
  <c r="CB100" i="1"/>
  <c r="CA100" i="1"/>
  <c r="BY100" i="1"/>
  <c r="BZ100" i="1" s="1"/>
  <c r="BU100" i="1"/>
  <c r="BV100" i="1" s="1"/>
  <c r="BT100" i="1"/>
  <c r="BS100" i="1"/>
  <c r="BQ100" i="1"/>
  <c r="BR100" i="1" s="1"/>
  <c r="BP100" i="1"/>
  <c r="BO100" i="1"/>
  <c r="BM100" i="1"/>
  <c r="BN100" i="1" s="1"/>
  <c r="BJ100" i="1"/>
  <c r="BK100" i="1" s="1"/>
  <c r="BH100" i="1"/>
  <c r="BG100" i="1"/>
  <c r="BE100" i="1"/>
  <c r="BF100" i="1" s="1"/>
  <c r="BD100" i="1"/>
  <c r="BC100" i="1"/>
  <c r="BA100" i="1"/>
  <c r="BB100" i="1" s="1"/>
  <c r="AZ100" i="1"/>
  <c r="AW100" i="1"/>
  <c r="AX100" i="1" s="1"/>
  <c r="AV100" i="1"/>
  <c r="AS100" i="1"/>
  <c r="AT100" i="1" s="1"/>
  <c r="AR100" i="1"/>
  <c r="AQ100" i="1"/>
  <c r="AO100" i="1"/>
  <c r="AP100" i="1" s="1"/>
  <c r="AM100" i="1"/>
  <c r="AN100" i="1" s="1"/>
  <c r="AL100" i="1"/>
  <c r="AK100" i="1"/>
  <c r="CJ100" i="1" s="1"/>
  <c r="R100" i="1" s="1"/>
  <c r="AI100" i="1"/>
  <c r="T100" i="1"/>
  <c r="K100" i="1"/>
  <c r="CO99" i="1"/>
  <c r="CN99" i="1"/>
  <c r="CL99" i="1"/>
  <c r="CM99" i="1" s="1"/>
  <c r="CF99" i="1"/>
  <c r="CE99" i="1"/>
  <c r="CC99" i="1"/>
  <c r="CD99" i="1" s="1"/>
  <c r="CB99" i="1"/>
  <c r="CA99" i="1"/>
  <c r="BY99" i="1"/>
  <c r="BZ99" i="1" s="1"/>
  <c r="BU99" i="1"/>
  <c r="BV99" i="1" s="1"/>
  <c r="BT99" i="1"/>
  <c r="BS99" i="1"/>
  <c r="BQ99" i="1"/>
  <c r="BR99" i="1" s="1"/>
  <c r="BP99" i="1"/>
  <c r="BO99" i="1"/>
  <c r="BM99" i="1"/>
  <c r="BN99" i="1" s="1"/>
  <c r="BJ99" i="1"/>
  <c r="BK99" i="1" s="1"/>
  <c r="BH99" i="1"/>
  <c r="BG99" i="1"/>
  <c r="BE99" i="1"/>
  <c r="BF99" i="1" s="1"/>
  <c r="BD99" i="1"/>
  <c r="BC99" i="1"/>
  <c r="BA99" i="1"/>
  <c r="BB99" i="1" s="1"/>
  <c r="AZ99" i="1"/>
  <c r="AW99" i="1"/>
  <c r="AX99" i="1" s="1"/>
  <c r="AV99" i="1"/>
  <c r="AS99" i="1"/>
  <c r="AT99" i="1" s="1"/>
  <c r="AR99" i="1"/>
  <c r="AQ99" i="1"/>
  <c r="AO99" i="1"/>
  <c r="AP99" i="1" s="1"/>
  <c r="AM99" i="1"/>
  <c r="AN99" i="1" s="1"/>
  <c r="AL99" i="1"/>
  <c r="AK99" i="1"/>
  <c r="AI99" i="1"/>
  <c r="AJ99" i="1" s="1"/>
  <c r="T99" i="1"/>
  <c r="K99" i="1"/>
  <c r="CO98" i="1"/>
  <c r="CN98" i="1"/>
  <c r="CL98" i="1"/>
  <c r="CM98" i="1" s="1"/>
  <c r="CF98" i="1"/>
  <c r="CE98" i="1"/>
  <c r="CC98" i="1"/>
  <c r="CD98" i="1" s="1"/>
  <c r="CB98" i="1"/>
  <c r="CA98" i="1"/>
  <c r="BY98" i="1"/>
  <c r="BZ98" i="1" s="1"/>
  <c r="BU98" i="1"/>
  <c r="BV98" i="1" s="1"/>
  <c r="BT98" i="1"/>
  <c r="BS98" i="1"/>
  <c r="BQ98" i="1"/>
  <c r="BR98" i="1" s="1"/>
  <c r="BP98" i="1"/>
  <c r="BO98" i="1"/>
  <c r="BM98" i="1"/>
  <c r="BN98" i="1" s="1"/>
  <c r="BJ98" i="1"/>
  <c r="BK98" i="1" s="1"/>
  <c r="BH98" i="1"/>
  <c r="BG98" i="1"/>
  <c r="BE98" i="1"/>
  <c r="BF98" i="1" s="1"/>
  <c r="BD98" i="1"/>
  <c r="BC98" i="1"/>
  <c r="BA98" i="1"/>
  <c r="BB98" i="1" s="1"/>
  <c r="AZ98" i="1"/>
  <c r="AW98" i="1"/>
  <c r="AX98" i="1" s="1"/>
  <c r="AV98" i="1"/>
  <c r="AS98" i="1"/>
  <c r="AT98" i="1" s="1"/>
  <c r="AR98" i="1"/>
  <c r="AQ98" i="1"/>
  <c r="AO98" i="1"/>
  <c r="AP98" i="1" s="1"/>
  <c r="AM98" i="1"/>
  <c r="AN98" i="1" s="1"/>
  <c r="AL98" i="1"/>
  <c r="AK98" i="1"/>
  <c r="AI98" i="1"/>
  <c r="T98" i="1"/>
  <c r="K98" i="1"/>
  <c r="CO97" i="1"/>
  <c r="CN97" i="1"/>
  <c r="CL97" i="1"/>
  <c r="CM97" i="1" s="1"/>
  <c r="CF97" i="1"/>
  <c r="CE97" i="1"/>
  <c r="CC97" i="1"/>
  <c r="CD97" i="1" s="1"/>
  <c r="CB97" i="1"/>
  <c r="CA97" i="1"/>
  <c r="BY97" i="1"/>
  <c r="BZ97" i="1" s="1"/>
  <c r="BU97" i="1"/>
  <c r="BV97" i="1" s="1"/>
  <c r="BT97" i="1"/>
  <c r="BS97" i="1"/>
  <c r="BQ97" i="1"/>
  <c r="BR97" i="1" s="1"/>
  <c r="BP97" i="1"/>
  <c r="BO97" i="1"/>
  <c r="BM97" i="1"/>
  <c r="BN97" i="1" s="1"/>
  <c r="BJ97" i="1"/>
  <c r="BK97" i="1" s="1"/>
  <c r="BH97" i="1"/>
  <c r="BG97" i="1"/>
  <c r="BE97" i="1"/>
  <c r="BF97" i="1" s="1"/>
  <c r="BD97" i="1"/>
  <c r="BC97" i="1"/>
  <c r="BA97" i="1"/>
  <c r="BB97" i="1" s="1"/>
  <c r="AZ97" i="1"/>
  <c r="AW97" i="1"/>
  <c r="AX97" i="1" s="1"/>
  <c r="AV97" i="1"/>
  <c r="AS97" i="1"/>
  <c r="AT97" i="1" s="1"/>
  <c r="AR97" i="1"/>
  <c r="AQ97" i="1"/>
  <c r="AO97" i="1"/>
  <c r="AP97" i="1" s="1"/>
  <c r="AM97" i="1"/>
  <c r="AN97" i="1" s="1"/>
  <c r="AL97" i="1"/>
  <c r="AK97" i="1"/>
  <c r="AI97" i="1"/>
  <c r="AJ97" i="1" s="1"/>
  <c r="T97" i="1"/>
  <c r="K97" i="1"/>
  <c r="CO96" i="1"/>
  <c r="CN96" i="1"/>
  <c r="CL96" i="1"/>
  <c r="CM96" i="1" s="1"/>
  <c r="CF96" i="1"/>
  <c r="CE96" i="1"/>
  <c r="CC96" i="1"/>
  <c r="CD96" i="1" s="1"/>
  <c r="CB96" i="1"/>
  <c r="CA96" i="1"/>
  <c r="BY96" i="1"/>
  <c r="BZ96" i="1" s="1"/>
  <c r="BU96" i="1"/>
  <c r="BV96" i="1" s="1"/>
  <c r="BT96" i="1"/>
  <c r="BS96" i="1"/>
  <c r="BQ96" i="1"/>
  <c r="BR96" i="1" s="1"/>
  <c r="BP96" i="1"/>
  <c r="BO96" i="1"/>
  <c r="BM96" i="1"/>
  <c r="BN96" i="1" s="1"/>
  <c r="BJ96" i="1"/>
  <c r="BK96" i="1" s="1"/>
  <c r="BH96" i="1"/>
  <c r="BG96" i="1"/>
  <c r="BE96" i="1"/>
  <c r="BF96" i="1" s="1"/>
  <c r="BD96" i="1"/>
  <c r="BC96" i="1"/>
  <c r="BA96" i="1"/>
  <c r="BB96" i="1" s="1"/>
  <c r="AZ96" i="1"/>
  <c r="AW96" i="1"/>
  <c r="AX96" i="1" s="1"/>
  <c r="AV96" i="1"/>
  <c r="AS96" i="1"/>
  <c r="AT96" i="1" s="1"/>
  <c r="AR96" i="1"/>
  <c r="AQ96" i="1"/>
  <c r="AO96" i="1"/>
  <c r="AP96" i="1" s="1"/>
  <c r="AM96" i="1"/>
  <c r="AN96" i="1" s="1"/>
  <c r="AL96" i="1"/>
  <c r="AK96" i="1"/>
  <c r="AI96" i="1"/>
  <c r="T96" i="1"/>
  <c r="K96" i="1"/>
  <c r="CO95" i="1"/>
  <c r="CN95" i="1"/>
  <c r="CL95" i="1"/>
  <c r="CM95" i="1" s="1"/>
  <c r="CF95" i="1"/>
  <c r="CE95" i="1"/>
  <c r="CC95" i="1"/>
  <c r="CD95" i="1" s="1"/>
  <c r="CB95" i="1"/>
  <c r="CA95" i="1"/>
  <c r="BY95" i="1"/>
  <c r="BZ95" i="1" s="1"/>
  <c r="BU95" i="1"/>
  <c r="BV95" i="1" s="1"/>
  <c r="BT95" i="1"/>
  <c r="BS95" i="1"/>
  <c r="BQ95" i="1"/>
  <c r="BR95" i="1" s="1"/>
  <c r="BP95" i="1"/>
  <c r="BO95" i="1"/>
  <c r="BM95" i="1"/>
  <c r="BN95" i="1" s="1"/>
  <c r="BJ95" i="1"/>
  <c r="BK95" i="1" s="1"/>
  <c r="BG95" i="1"/>
  <c r="BD95" i="1"/>
  <c r="BC95" i="1"/>
  <c r="BA95" i="1"/>
  <c r="BB95" i="1" s="1"/>
  <c r="AZ95" i="1"/>
  <c r="AW95" i="1"/>
  <c r="AX95" i="1" s="1"/>
  <c r="AV95" i="1"/>
  <c r="AS95" i="1"/>
  <c r="AT95" i="1" s="1"/>
  <c r="AR95" i="1"/>
  <c r="AQ95" i="1"/>
  <c r="AO95" i="1"/>
  <c r="AP95" i="1" s="1"/>
  <c r="AM95" i="1"/>
  <c r="AN95" i="1" s="1"/>
  <c r="AL95" i="1"/>
  <c r="AK95" i="1"/>
  <c r="AI95" i="1"/>
  <c r="AJ95" i="1" s="1"/>
  <c r="T95" i="1"/>
  <c r="K95" i="1"/>
  <c r="BE95" i="1" s="1"/>
  <c r="BF95" i="1" s="1"/>
  <c r="BH95" i="1" s="1"/>
  <c r="CO94" i="1"/>
  <c r="CN94" i="1"/>
  <c r="CL94" i="1"/>
  <c r="CM94" i="1" s="1"/>
  <c r="CF94" i="1"/>
  <c r="CE94" i="1"/>
  <c r="CC94" i="1"/>
  <c r="CD94" i="1" s="1"/>
  <c r="CB94" i="1"/>
  <c r="CA94" i="1"/>
  <c r="BY94" i="1"/>
  <c r="BZ94" i="1" s="1"/>
  <c r="BU94" i="1"/>
  <c r="BV94" i="1" s="1"/>
  <c r="BT94" i="1"/>
  <c r="BS94" i="1"/>
  <c r="BQ94" i="1"/>
  <c r="BR94" i="1" s="1"/>
  <c r="BP94" i="1"/>
  <c r="BO94" i="1"/>
  <c r="BM94" i="1"/>
  <c r="BN94" i="1" s="1"/>
  <c r="BJ94" i="1"/>
  <c r="BK94" i="1" s="1"/>
  <c r="BG94" i="1"/>
  <c r="BD94" i="1"/>
  <c r="BC94" i="1"/>
  <c r="BA94" i="1"/>
  <c r="BB94" i="1" s="1"/>
  <c r="AZ94" i="1"/>
  <c r="AW94" i="1"/>
  <c r="AX94" i="1" s="1"/>
  <c r="AV94" i="1"/>
  <c r="AT94" i="1"/>
  <c r="AS94" i="1"/>
  <c r="AR94" i="1"/>
  <c r="AQ94" i="1"/>
  <c r="AP94" i="1"/>
  <c r="AO94" i="1"/>
  <c r="AN94" i="1"/>
  <c r="AM94" i="1"/>
  <c r="AL94" i="1"/>
  <c r="AK94" i="1"/>
  <c r="AJ94" i="1"/>
  <c r="AI94" i="1"/>
  <c r="T94" i="1"/>
  <c r="K94" i="1"/>
  <c r="BE94" i="1" s="1"/>
  <c r="BF94" i="1" s="1"/>
  <c r="CO93" i="1"/>
  <c r="CN93" i="1"/>
  <c r="CM93" i="1"/>
  <c r="CL93" i="1"/>
  <c r="CF93" i="1"/>
  <c r="CE93" i="1"/>
  <c r="CC93" i="1"/>
  <c r="CD93" i="1" s="1"/>
  <c r="CB93" i="1"/>
  <c r="CA93" i="1"/>
  <c r="BY93" i="1"/>
  <c r="BZ93" i="1" s="1"/>
  <c r="BU93" i="1"/>
  <c r="BV93" i="1" s="1"/>
  <c r="BT93" i="1"/>
  <c r="BS93" i="1"/>
  <c r="BQ93" i="1"/>
  <c r="BR93" i="1" s="1"/>
  <c r="BP93" i="1"/>
  <c r="BO93" i="1"/>
  <c r="BM93" i="1"/>
  <c r="BN93" i="1" s="1"/>
  <c r="BJ93" i="1"/>
  <c r="BK93" i="1" s="1"/>
  <c r="BG93" i="1"/>
  <c r="BD93" i="1"/>
  <c r="BC93" i="1"/>
  <c r="BA93" i="1"/>
  <c r="BB93" i="1" s="1"/>
  <c r="AZ93" i="1"/>
  <c r="AW93" i="1"/>
  <c r="AX93" i="1" s="1"/>
  <c r="AV93" i="1"/>
  <c r="AS93" i="1"/>
  <c r="AT93" i="1" s="1"/>
  <c r="AR93" i="1"/>
  <c r="AQ93" i="1"/>
  <c r="AO93" i="1"/>
  <c r="AP93" i="1" s="1"/>
  <c r="AM93" i="1"/>
  <c r="AN93" i="1" s="1"/>
  <c r="AL93" i="1"/>
  <c r="AK93" i="1"/>
  <c r="AI93" i="1"/>
  <c r="AJ93" i="1" s="1"/>
  <c r="T93" i="1"/>
  <c r="K93" i="1"/>
  <c r="BE93" i="1" s="1"/>
  <c r="BF93" i="1" s="1"/>
  <c r="CN92" i="1"/>
  <c r="CF92" i="1"/>
  <c r="CE92" i="1"/>
  <c r="CD92" i="1"/>
  <c r="CC92" i="1"/>
  <c r="CB92" i="1"/>
  <c r="CA92" i="1"/>
  <c r="BZ92" i="1"/>
  <c r="BY92" i="1"/>
  <c r="BV92" i="1"/>
  <c r="BU92" i="1"/>
  <c r="BT92" i="1"/>
  <c r="BS92" i="1"/>
  <c r="BR92" i="1"/>
  <c r="BQ92" i="1"/>
  <c r="BP92" i="1"/>
  <c r="BO92" i="1"/>
  <c r="BN92" i="1"/>
  <c r="BM92" i="1"/>
  <c r="BK92" i="1"/>
  <c r="BJ92" i="1"/>
  <c r="BH92" i="1"/>
  <c r="BG92" i="1"/>
  <c r="BF92" i="1"/>
  <c r="BE92" i="1"/>
  <c r="BD92" i="1"/>
  <c r="BC92" i="1"/>
  <c r="BB92" i="1"/>
  <c r="BA92" i="1"/>
  <c r="AZ92" i="1"/>
  <c r="AW92" i="1"/>
  <c r="AX92" i="1" s="1"/>
  <c r="AV92" i="1"/>
  <c r="AS92" i="1"/>
  <c r="AT92" i="1" s="1"/>
  <c r="AR92" i="1"/>
  <c r="AQ92" i="1"/>
  <c r="AO92" i="1"/>
  <c r="AP92" i="1" s="1"/>
  <c r="AM92" i="1"/>
  <c r="AN92" i="1" s="1"/>
  <c r="AL92" i="1"/>
  <c r="AK92" i="1"/>
  <c r="CJ92" i="1" s="1"/>
  <c r="R92" i="1" s="1"/>
  <c r="AI92" i="1"/>
  <c r="AJ92" i="1" s="1"/>
  <c r="T92" i="1"/>
  <c r="K92" i="1"/>
  <c r="CL92" i="1" s="1"/>
  <c r="CM92" i="1" s="1"/>
  <c r="CO92" i="1" s="1"/>
  <c r="CN91" i="1"/>
  <c r="CF91" i="1"/>
  <c r="CE91" i="1"/>
  <c r="CC91" i="1"/>
  <c r="CD91" i="1" s="1"/>
  <c r="CB91" i="1"/>
  <c r="CA91" i="1"/>
  <c r="BY91" i="1"/>
  <c r="BZ91" i="1" s="1"/>
  <c r="BU91" i="1"/>
  <c r="BV91" i="1" s="1"/>
  <c r="BT91" i="1"/>
  <c r="BS91" i="1"/>
  <c r="BQ91" i="1"/>
  <c r="BR91" i="1" s="1"/>
  <c r="BP91" i="1"/>
  <c r="BO91" i="1"/>
  <c r="BM91" i="1"/>
  <c r="BN91" i="1" s="1"/>
  <c r="BJ91" i="1"/>
  <c r="BK91" i="1" s="1"/>
  <c r="BH91" i="1"/>
  <c r="BG91" i="1"/>
  <c r="BE91" i="1"/>
  <c r="BF91" i="1" s="1"/>
  <c r="BD91" i="1"/>
  <c r="BC91" i="1"/>
  <c r="BA91" i="1"/>
  <c r="BB91" i="1" s="1"/>
  <c r="AZ91" i="1"/>
  <c r="AW91" i="1"/>
  <c r="AX91" i="1" s="1"/>
  <c r="AV91" i="1"/>
  <c r="AS91" i="1"/>
  <c r="AT91" i="1" s="1"/>
  <c r="AR91" i="1"/>
  <c r="AQ91" i="1"/>
  <c r="AO91" i="1"/>
  <c r="AP91" i="1" s="1"/>
  <c r="AM91" i="1"/>
  <c r="AN91" i="1" s="1"/>
  <c r="AL91" i="1"/>
  <c r="AK91" i="1"/>
  <c r="AI91" i="1"/>
  <c r="AJ91" i="1" s="1"/>
  <c r="T91" i="1"/>
  <c r="K91" i="1"/>
  <c r="CL91" i="1" s="1"/>
  <c r="CM91" i="1" s="1"/>
  <c r="CO91" i="1" s="1"/>
  <c r="CN90" i="1"/>
  <c r="CF90" i="1"/>
  <c r="CE90" i="1"/>
  <c r="CD90" i="1"/>
  <c r="CC90" i="1"/>
  <c r="CB90" i="1"/>
  <c r="CA90" i="1"/>
  <c r="BZ90" i="1"/>
  <c r="BY90" i="1"/>
  <c r="BV90" i="1"/>
  <c r="BU90" i="1"/>
  <c r="BT90" i="1"/>
  <c r="BS90" i="1"/>
  <c r="BR90" i="1"/>
  <c r="BQ90" i="1"/>
  <c r="BP90" i="1"/>
  <c r="BO90" i="1"/>
  <c r="BN90" i="1"/>
  <c r="BM90" i="1"/>
  <c r="BK90" i="1"/>
  <c r="BJ90" i="1"/>
  <c r="BH90" i="1"/>
  <c r="BG90" i="1"/>
  <c r="BF90" i="1"/>
  <c r="BE90" i="1"/>
  <c r="BD90" i="1"/>
  <c r="BC90" i="1"/>
  <c r="BB90" i="1"/>
  <c r="BA90" i="1"/>
  <c r="AZ90" i="1"/>
  <c r="AW90" i="1"/>
  <c r="AX90" i="1" s="1"/>
  <c r="AV90" i="1"/>
  <c r="AS90" i="1"/>
  <c r="AT90" i="1" s="1"/>
  <c r="AR90" i="1"/>
  <c r="AQ90" i="1"/>
  <c r="AO90" i="1"/>
  <c r="AP90" i="1" s="1"/>
  <c r="AM90" i="1"/>
  <c r="AN90" i="1" s="1"/>
  <c r="AL90" i="1"/>
  <c r="AK90" i="1"/>
  <c r="CJ90" i="1" s="1"/>
  <c r="R90" i="1" s="1"/>
  <c r="AI90" i="1"/>
  <c r="AJ90" i="1" s="1"/>
  <c r="T90" i="1"/>
  <c r="K90" i="1"/>
  <c r="CL90" i="1" s="1"/>
  <c r="CM90" i="1" s="1"/>
  <c r="CO90" i="1" s="1"/>
  <c r="CN89" i="1"/>
  <c r="CF89" i="1"/>
  <c r="CE89" i="1"/>
  <c r="CC89" i="1"/>
  <c r="CD89" i="1" s="1"/>
  <c r="CB89" i="1"/>
  <c r="CA89" i="1"/>
  <c r="BY89" i="1"/>
  <c r="BZ89" i="1" s="1"/>
  <c r="BU89" i="1"/>
  <c r="BV89" i="1" s="1"/>
  <c r="BT89" i="1"/>
  <c r="BS89" i="1"/>
  <c r="BQ89" i="1"/>
  <c r="BR89" i="1" s="1"/>
  <c r="BP89" i="1"/>
  <c r="BO89" i="1"/>
  <c r="BM89" i="1"/>
  <c r="BN89" i="1" s="1"/>
  <c r="BJ89" i="1"/>
  <c r="BK89" i="1" s="1"/>
  <c r="BH89" i="1"/>
  <c r="BG89" i="1"/>
  <c r="BE89" i="1"/>
  <c r="BF89" i="1" s="1"/>
  <c r="BD89" i="1"/>
  <c r="BC89" i="1"/>
  <c r="BA89" i="1"/>
  <c r="BB89" i="1" s="1"/>
  <c r="AZ89" i="1"/>
  <c r="AW89" i="1"/>
  <c r="AX89" i="1" s="1"/>
  <c r="AV89" i="1"/>
  <c r="AS89" i="1"/>
  <c r="AT89" i="1" s="1"/>
  <c r="AR89" i="1"/>
  <c r="AQ89" i="1"/>
  <c r="AO89" i="1"/>
  <c r="AP89" i="1" s="1"/>
  <c r="AM89" i="1"/>
  <c r="AN89" i="1" s="1"/>
  <c r="AL89" i="1"/>
  <c r="AK89" i="1"/>
  <c r="AI89" i="1"/>
  <c r="T89" i="1"/>
  <c r="K89" i="1"/>
  <c r="CL89" i="1" s="1"/>
  <c r="CM89" i="1" s="1"/>
  <c r="CO89" i="1" s="1"/>
  <c r="CN88" i="1"/>
  <c r="CF88" i="1"/>
  <c r="CE88" i="1"/>
  <c r="CD88" i="1"/>
  <c r="CC88" i="1"/>
  <c r="CB88" i="1"/>
  <c r="CA88" i="1"/>
  <c r="BZ88" i="1"/>
  <c r="BY88" i="1"/>
  <c r="BV88" i="1"/>
  <c r="BU88" i="1"/>
  <c r="BT88" i="1"/>
  <c r="BS88" i="1"/>
  <c r="BR88" i="1"/>
  <c r="BQ88" i="1"/>
  <c r="BP88" i="1"/>
  <c r="BO88" i="1"/>
  <c r="BN88" i="1"/>
  <c r="BM88" i="1"/>
  <c r="BK88" i="1"/>
  <c r="BJ88" i="1"/>
  <c r="BH88" i="1"/>
  <c r="BG88" i="1"/>
  <c r="BF88" i="1"/>
  <c r="BE88" i="1"/>
  <c r="BD88" i="1"/>
  <c r="BC88" i="1"/>
  <c r="BB88" i="1"/>
  <c r="BA88" i="1"/>
  <c r="AZ88" i="1"/>
  <c r="AW88" i="1"/>
  <c r="AX88" i="1" s="1"/>
  <c r="AV88" i="1"/>
  <c r="AS88" i="1"/>
  <c r="AT88" i="1" s="1"/>
  <c r="AR88" i="1"/>
  <c r="AQ88" i="1"/>
  <c r="AO88" i="1"/>
  <c r="AP88" i="1" s="1"/>
  <c r="AM88" i="1"/>
  <c r="AN88" i="1" s="1"/>
  <c r="AL88" i="1"/>
  <c r="AK88" i="1"/>
  <c r="CJ88" i="1" s="1"/>
  <c r="AI88" i="1"/>
  <c r="AJ88" i="1" s="1"/>
  <c r="CI88" i="1" s="1"/>
  <c r="T88" i="1"/>
  <c r="R88" i="1"/>
  <c r="K88" i="1"/>
  <c r="CL88" i="1" s="1"/>
  <c r="CM88" i="1" s="1"/>
  <c r="CO88" i="1" s="1"/>
  <c r="CN87" i="1"/>
  <c r="CF87" i="1"/>
  <c r="CE87" i="1"/>
  <c r="CC87" i="1"/>
  <c r="CD87" i="1" s="1"/>
  <c r="CB87" i="1"/>
  <c r="CA87" i="1"/>
  <c r="BY87" i="1"/>
  <c r="BZ87" i="1" s="1"/>
  <c r="BU87" i="1"/>
  <c r="BV87" i="1" s="1"/>
  <c r="BT87" i="1"/>
  <c r="BS87" i="1"/>
  <c r="BQ87" i="1"/>
  <c r="BR87" i="1" s="1"/>
  <c r="BP87" i="1"/>
  <c r="BO87" i="1"/>
  <c r="BM87" i="1"/>
  <c r="BN87" i="1" s="1"/>
  <c r="BJ87" i="1"/>
  <c r="BK87" i="1" s="1"/>
  <c r="BH87" i="1"/>
  <c r="BG87" i="1"/>
  <c r="BE87" i="1"/>
  <c r="BF87" i="1" s="1"/>
  <c r="BD87" i="1"/>
  <c r="BC87" i="1"/>
  <c r="BA87" i="1"/>
  <c r="BB87" i="1" s="1"/>
  <c r="AZ87" i="1"/>
  <c r="AX87" i="1"/>
  <c r="AW87" i="1"/>
  <c r="AV87" i="1"/>
  <c r="AS87" i="1"/>
  <c r="AT87" i="1" s="1"/>
  <c r="AR87" i="1"/>
  <c r="AQ87" i="1"/>
  <c r="AO87" i="1"/>
  <c r="AP87" i="1" s="1"/>
  <c r="AM87" i="1"/>
  <c r="AN87" i="1" s="1"/>
  <c r="AL87" i="1"/>
  <c r="AK87" i="1"/>
  <c r="AI87" i="1"/>
  <c r="AJ87" i="1" s="1"/>
  <c r="T87" i="1"/>
  <c r="K87" i="1"/>
  <c r="CL87" i="1" s="1"/>
  <c r="CM87" i="1" s="1"/>
  <c r="CO87" i="1" s="1"/>
  <c r="CN86" i="1"/>
  <c r="CL86" i="1"/>
  <c r="CM86" i="1" s="1"/>
  <c r="CF86" i="1"/>
  <c r="CE86" i="1"/>
  <c r="CC86" i="1"/>
  <c r="CD86" i="1" s="1"/>
  <c r="CB86" i="1"/>
  <c r="CA86" i="1"/>
  <c r="BY86" i="1"/>
  <c r="BZ86" i="1" s="1"/>
  <c r="BU86" i="1"/>
  <c r="BV86" i="1" s="1"/>
  <c r="BT86" i="1"/>
  <c r="BS86" i="1"/>
  <c r="BQ86" i="1"/>
  <c r="BR86" i="1" s="1"/>
  <c r="BP86" i="1"/>
  <c r="BO86" i="1"/>
  <c r="BM86" i="1"/>
  <c r="BN86" i="1" s="1"/>
  <c r="BJ86" i="1"/>
  <c r="BK86" i="1" s="1"/>
  <c r="BH86" i="1"/>
  <c r="BG86" i="1"/>
  <c r="BE86" i="1"/>
  <c r="BF86" i="1" s="1"/>
  <c r="BD86" i="1"/>
  <c r="BC86" i="1"/>
  <c r="BA86" i="1"/>
  <c r="BB86" i="1" s="1"/>
  <c r="AZ86" i="1"/>
  <c r="AW86" i="1"/>
  <c r="AX86" i="1" s="1"/>
  <c r="AV86" i="1"/>
  <c r="AT86" i="1"/>
  <c r="AS86" i="1"/>
  <c r="AR86" i="1"/>
  <c r="AQ86" i="1"/>
  <c r="AP86" i="1"/>
  <c r="AO86" i="1"/>
  <c r="AN86" i="1"/>
  <c r="AM86" i="1"/>
  <c r="AL86" i="1"/>
  <c r="AK86" i="1"/>
  <c r="AJ86" i="1"/>
  <c r="AI86" i="1"/>
  <c r="T86" i="1"/>
  <c r="K86" i="1"/>
  <c r="CN85" i="1"/>
  <c r="CF85" i="1"/>
  <c r="CE85" i="1"/>
  <c r="CC85" i="1"/>
  <c r="CD85" i="1" s="1"/>
  <c r="CB85" i="1"/>
  <c r="CA85" i="1"/>
  <c r="BY85" i="1"/>
  <c r="BZ85" i="1" s="1"/>
  <c r="BU85" i="1"/>
  <c r="BV85" i="1" s="1"/>
  <c r="BT85" i="1"/>
  <c r="BS85" i="1"/>
  <c r="BQ85" i="1"/>
  <c r="BR85" i="1" s="1"/>
  <c r="BP85" i="1"/>
  <c r="BO85" i="1"/>
  <c r="BM85" i="1"/>
  <c r="BN85" i="1" s="1"/>
  <c r="BJ85" i="1"/>
  <c r="BK85" i="1" s="1"/>
  <c r="BH85" i="1"/>
  <c r="BG85" i="1"/>
  <c r="BE85" i="1"/>
  <c r="BF85" i="1" s="1"/>
  <c r="BD85" i="1"/>
  <c r="BC85" i="1"/>
  <c r="BA85" i="1"/>
  <c r="BB85" i="1" s="1"/>
  <c r="AZ85" i="1"/>
  <c r="AX85" i="1"/>
  <c r="AW85" i="1"/>
  <c r="AV85" i="1"/>
  <c r="AS85" i="1"/>
  <c r="AT85" i="1" s="1"/>
  <c r="AR85" i="1"/>
  <c r="AQ85" i="1"/>
  <c r="AO85" i="1"/>
  <c r="AP85" i="1" s="1"/>
  <c r="AM85" i="1"/>
  <c r="AN85" i="1" s="1"/>
  <c r="AL85" i="1"/>
  <c r="AK85" i="1"/>
  <c r="AI85" i="1"/>
  <c r="AJ85" i="1" s="1"/>
  <c r="T85" i="1"/>
  <c r="K85" i="1"/>
  <c r="CL85" i="1" s="1"/>
  <c r="CM85" i="1" s="1"/>
  <c r="CO85" i="1" s="1"/>
  <c r="CN84" i="1"/>
  <c r="CF84" i="1"/>
  <c r="CE84" i="1"/>
  <c r="CC84" i="1"/>
  <c r="CD84" i="1" s="1"/>
  <c r="CB84" i="1"/>
  <c r="CA84" i="1"/>
  <c r="BY84" i="1"/>
  <c r="BZ84" i="1" s="1"/>
  <c r="BU84" i="1"/>
  <c r="BV84" i="1" s="1"/>
  <c r="BT84" i="1"/>
  <c r="BS84" i="1"/>
  <c r="BQ84" i="1"/>
  <c r="BR84" i="1" s="1"/>
  <c r="BP84" i="1"/>
  <c r="BO84" i="1"/>
  <c r="BM84" i="1"/>
  <c r="BN84" i="1" s="1"/>
  <c r="BJ84" i="1"/>
  <c r="BK84" i="1" s="1"/>
  <c r="BH84" i="1"/>
  <c r="BG84" i="1"/>
  <c r="BE84" i="1"/>
  <c r="BF84" i="1" s="1"/>
  <c r="BD84" i="1"/>
  <c r="BC84" i="1"/>
  <c r="BA84" i="1"/>
  <c r="BB84" i="1" s="1"/>
  <c r="AZ84" i="1"/>
  <c r="AW84" i="1"/>
  <c r="AX84" i="1" s="1"/>
  <c r="AV84" i="1"/>
  <c r="AS84" i="1"/>
  <c r="AT84" i="1" s="1"/>
  <c r="AR84" i="1"/>
  <c r="AQ84" i="1"/>
  <c r="AO84" i="1"/>
  <c r="AP84" i="1" s="1"/>
  <c r="AM84" i="1"/>
  <c r="AN84" i="1" s="1"/>
  <c r="AL84" i="1"/>
  <c r="AK84" i="1"/>
  <c r="AI84" i="1"/>
  <c r="AJ84" i="1" s="1"/>
  <c r="T84" i="1"/>
  <c r="K84" i="1"/>
  <c r="CL84" i="1" s="1"/>
  <c r="CM84" i="1" s="1"/>
  <c r="CO84" i="1" s="1"/>
  <c r="CN83" i="1"/>
  <c r="CF83" i="1"/>
  <c r="CE83" i="1"/>
  <c r="CC83" i="1"/>
  <c r="CD83" i="1" s="1"/>
  <c r="CB83" i="1"/>
  <c r="CA83" i="1"/>
  <c r="BY83" i="1"/>
  <c r="BZ83" i="1" s="1"/>
  <c r="BU83" i="1"/>
  <c r="BV83" i="1" s="1"/>
  <c r="BT83" i="1"/>
  <c r="BS83" i="1"/>
  <c r="BQ83" i="1"/>
  <c r="BR83" i="1" s="1"/>
  <c r="BP83" i="1"/>
  <c r="BO83" i="1"/>
  <c r="BM83" i="1"/>
  <c r="BN83" i="1" s="1"/>
  <c r="BJ83" i="1"/>
  <c r="BK83" i="1" s="1"/>
  <c r="BH83" i="1"/>
  <c r="BG83" i="1"/>
  <c r="BE83" i="1"/>
  <c r="BF83" i="1" s="1"/>
  <c r="BD83" i="1"/>
  <c r="BC83" i="1"/>
  <c r="BA83" i="1"/>
  <c r="BB83" i="1" s="1"/>
  <c r="AZ83" i="1"/>
  <c r="AW83" i="1"/>
  <c r="AX83" i="1" s="1"/>
  <c r="AV83" i="1"/>
  <c r="AS83" i="1"/>
  <c r="AT83" i="1" s="1"/>
  <c r="AR83" i="1"/>
  <c r="AQ83" i="1"/>
  <c r="AO83" i="1"/>
  <c r="AP83" i="1" s="1"/>
  <c r="AM83" i="1"/>
  <c r="AN83" i="1" s="1"/>
  <c r="AL83" i="1"/>
  <c r="AK83" i="1"/>
  <c r="AI83" i="1"/>
  <c r="AJ83" i="1" s="1"/>
  <c r="T83" i="1"/>
  <c r="K83" i="1"/>
  <c r="CL83" i="1" s="1"/>
  <c r="CM83" i="1" s="1"/>
  <c r="CO83" i="1" s="1"/>
  <c r="CN82" i="1"/>
  <c r="CF82" i="1"/>
  <c r="CE82" i="1"/>
  <c r="CC82" i="1"/>
  <c r="CD82" i="1" s="1"/>
  <c r="CB82" i="1"/>
  <c r="CA82" i="1"/>
  <c r="BY82" i="1"/>
  <c r="BZ82" i="1" s="1"/>
  <c r="BU82" i="1"/>
  <c r="BV82" i="1" s="1"/>
  <c r="BT82" i="1"/>
  <c r="BS82" i="1"/>
  <c r="BQ82" i="1"/>
  <c r="BR82" i="1" s="1"/>
  <c r="BP82" i="1"/>
  <c r="BO82" i="1"/>
  <c r="BM82" i="1"/>
  <c r="BN82" i="1" s="1"/>
  <c r="BJ82" i="1"/>
  <c r="BK82" i="1" s="1"/>
  <c r="BH82" i="1"/>
  <c r="BG82" i="1"/>
  <c r="BE82" i="1"/>
  <c r="BF82" i="1" s="1"/>
  <c r="BD82" i="1"/>
  <c r="BC82" i="1"/>
  <c r="BA82" i="1"/>
  <c r="BB82" i="1" s="1"/>
  <c r="AZ82" i="1"/>
  <c r="AW82" i="1"/>
  <c r="AX82" i="1" s="1"/>
  <c r="AV82" i="1"/>
  <c r="AS82" i="1"/>
  <c r="AT82" i="1" s="1"/>
  <c r="AR82" i="1"/>
  <c r="AQ82" i="1"/>
  <c r="AO82" i="1"/>
  <c r="AP82" i="1" s="1"/>
  <c r="AM82" i="1"/>
  <c r="AN82" i="1" s="1"/>
  <c r="AL82" i="1"/>
  <c r="AK82" i="1"/>
  <c r="AI82" i="1"/>
  <c r="AJ82" i="1" s="1"/>
  <c r="T82" i="1"/>
  <c r="K82" i="1"/>
  <c r="CL82" i="1" s="1"/>
  <c r="CM82" i="1" s="1"/>
  <c r="CN81" i="1"/>
  <c r="CF81" i="1"/>
  <c r="CE81" i="1"/>
  <c r="CC81" i="1"/>
  <c r="CD81" i="1" s="1"/>
  <c r="CB81" i="1"/>
  <c r="CA81" i="1"/>
  <c r="BY81" i="1"/>
  <c r="BZ81" i="1" s="1"/>
  <c r="BU81" i="1"/>
  <c r="BV81" i="1" s="1"/>
  <c r="BT81" i="1"/>
  <c r="BS81" i="1"/>
  <c r="BQ81" i="1"/>
  <c r="BR81" i="1" s="1"/>
  <c r="BP81" i="1"/>
  <c r="BO81" i="1"/>
  <c r="BM81" i="1"/>
  <c r="BN81" i="1" s="1"/>
  <c r="BJ81" i="1"/>
  <c r="BK81" i="1" s="1"/>
  <c r="BH81" i="1"/>
  <c r="BG81" i="1"/>
  <c r="BE81" i="1"/>
  <c r="BF81" i="1" s="1"/>
  <c r="BD81" i="1"/>
  <c r="BC81" i="1"/>
  <c r="BA81" i="1"/>
  <c r="BB81" i="1" s="1"/>
  <c r="AZ81" i="1"/>
  <c r="AW81" i="1"/>
  <c r="AX81" i="1" s="1"/>
  <c r="AV81" i="1"/>
  <c r="AS81" i="1"/>
  <c r="AT81" i="1" s="1"/>
  <c r="AR81" i="1"/>
  <c r="AQ81" i="1"/>
  <c r="AO81" i="1"/>
  <c r="AP81" i="1" s="1"/>
  <c r="AM81" i="1"/>
  <c r="AN81" i="1" s="1"/>
  <c r="AL81" i="1"/>
  <c r="AK81" i="1"/>
  <c r="AI81" i="1"/>
  <c r="AJ81" i="1" s="1"/>
  <c r="T81" i="1"/>
  <c r="K81" i="1"/>
  <c r="CL81" i="1" s="1"/>
  <c r="CM81" i="1" s="1"/>
  <c r="CO81" i="1" s="1"/>
  <c r="CN80" i="1"/>
  <c r="CL80" i="1"/>
  <c r="CM80" i="1" s="1"/>
  <c r="CO80" i="1" s="1"/>
  <c r="CF80" i="1"/>
  <c r="CE80" i="1"/>
  <c r="CC80" i="1"/>
  <c r="CD80" i="1" s="1"/>
  <c r="CB80" i="1"/>
  <c r="CA80" i="1"/>
  <c r="BY80" i="1"/>
  <c r="BZ80" i="1" s="1"/>
  <c r="BU80" i="1"/>
  <c r="BV80" i="1" s="1"/>
  <c r="BT80" i="1"/>
  <c r="BS80" i="1"/>
  <c r="BQ80" i="1"/>
  <c r="BR80" i="1" s="1"/>
  <c r="BP80" i="1"/>
  <c r="BO80" i="1"/>
  <c r="BM80" i="1"/>
  <c r="BN80" i="1" s="1"/>
  <c r="BJ80" i="1"/>
  <c r="BK80" i="1" s="1"/>
  <c r="BH80" i="1"/>
  <c r="BG80" i="1"/>
  <c r="BE80" i="1"/>
  <c r="BF80" i="1" s="1"/>
  <c r="BD80" i="1"/>
  <c r="BC80" i="1"/>
  <c r="BA80" i="1"/>
  <c r="BB80" i="1" s="1"/>
  <c r="AZ80" i="1"/>
  <c r="AW80" i="1"/>
  <c r="AX80" i="1" s="1"/>
  <c r="AV80" i="1"/>
  <c r="AS80" i="1"/>
  <c r="AT80" i="1" s="1"/>
  <c r="AR80" i="1"/>
  <c r="AQ80" i="1"/>
  <c r="AO80" i="1"/>
  <c r="AP80" i="1" s="1"/>
  <c r="AM80" i="1"/>
  <c r="AN80" i="1" s="1"/>
  <c r="AL80" i="1"/>
  <c r="AK80" i="1"/>
  <c r="AI80" i="1"/>
  <c r="AJ80" i="1" s="1"/>
  <c r="T80" i="1"/>
  <c r="K80" i="1"/>
  <c r="CN79" i="1"/>
  <c r="CF79" i="1"/>
  <c r="CE79" i="1"/>
  <c r="CC79" i="1"/>
  <c r="CD79" i="1" s="1"/>
  <c r="CB79" i="1"/>
  <c r="CA79" i="1"/>
  <c r="BY79" i="1"/>
  <c r="BZ79" i="1" s="1"/>
  <c r="BU79" i="1"/>
  <c r="BV79" i="1" s="1"/>
  <c r="BT79" i="1"/>
  <c r="BS79" i="1"/>
  <c r="BQ79" i="1"/>
  <c r="BR79" i="1" s="1"/>
  <c r="BP79" i="1"/>
  <c r="BO79" i="1"/>
  <c r="BM79" i="1"/>
  <c r="BN79" i="1" s="1"/>
  <c r="BJ79" i="1"/>
  <c r="BK79" i="1" s="1"/>
  <c r="BH79" i="1"/>
  <c r="BG79" i="1"/>
  <c r="BE79" i="1"/>
  <c r="BF79" i="1" s="1"/>
  <c r="BD79" i="1"/>
  <c r="BC79" i="1"/>
  <c r="BA79" i="1"/>
  <c r="BB79" i="1" s="1"/>
  <c r="AZ79" i="1"/>
  <c r="AW79" i="1"/>
  <c r="AX79" i="1" s="1"/>
  <c r="AV79" i="1"/>
  <c r="AS79" i="1"/>
  <c r="AT79" i="1" s="1"/>
  <c r="AR79" i="1"/>
  <c r="AQ79" i="1"/>
  <c r="AO79" i="1"/>
  <c r="AP79" i="1" s="1"/>
  <c r="AM79" i="1"/>
  <c r="AN79" i="1" s="1"/>
  <c r="AL79" i="1"/>
  <c r="AK79" i="1"/>
  <c r="AI79" i="1"/>
  <c r="AJ79" i="1" s="1"/>
  <c r="T79" i="1"/>
  <c r="K79" i="1"/>
  <c r="CL79" i="1" s="1"/>
  <c r="CM79" i="1" s="1"/>
  <c r="CO79" i="1" s="1"/>
  <c r="CN78" i="1"/>
  <c r="CL78" i="1"/>
  <c r="CM78" i="1" s="1"/>
  <c r="CO78" i="1" s="1"/>
  <c r="CF78" i="1"/>
  <c r="CE78" i="1"/>
  <c r="CC78" i="1"/>
  <c r="CD78" i="1" s="1"/>
  <c r="CB78" i="1"/>
  <c r="CA78" i="1"/>
  <c r="BY78" i="1"/>
  <c r="BZ78" i="1" s="1"/>
  <c r="BU78" i="1"/>
  <c r="BV78" i="1" s="1"/>
  <c r="BT78" i="1"/>
  <c r="BS78" i="1"/>
  <c r="BQ78" i="1"/>
  <c r="BR78" i="1" s="1"/>
  <c r="BP78" i="1"/>
  <c r="BO78" i="1"/>
  <c r="BM78" i="1"/>
  <c r="BN78" i="1" s="1"/>
  <c r="BJ78" i="1"/>
  <c r="BK78" i="1" s="1"/>
  <c r="BH78" i="1"/>
  <c r="BG78" i="1"/>
  <c r="BE78" i="1"/>
  <c r="BF78" i="1" s="1"/>
  <c r="BD78" i="1"/>
  <c r="BC78" i="1"/>
  <c r="BA78" i="1"/>
  <c r="BB78" i="1" s="1"/>
  <c r="AZ78" i="1"/>
  <c r="AW78" i="1"/>
  <c r="AX78" i="1" s="1"/>
  <c r="AV78" i="1"/>
  <c r="AS78" i="1"/>
  <c r="AT78" i="1" s="1"/>
  <c r="AR78" i="1"/>
  <c r="AQ78" i="1"/>
  <c r="AO78" i="1"/>
  <c r="AP78" i="1" s="1"/>
  <c r="AM78" i="1"/>
  <c r="AN78" i="1" s="1"/>
  <c r="AL78" i="1"/>
  <c r="AK78" i="1"/>
  <c r="AI78" i="1"/>
  <c r="AJ78" i="1" s="1"/>
  <c r="T78" i="1"/>
  <c r="K78" i="1"/>
  <c r="CN77" i="1"/>
  <c r="CF77" i="1"/>
  <c r="CE77" i="1"/>
  <c r="CC77" i="1"/>
  <c r="CD77" i="1" s="1"/>
  <c r="CB77" i="1"/>
  <c r="CA77" i="1"/>
  <c r="BY77" i="1"/>
  <c r="BZ77" i="1" s="1"/>
  <c r="BU77" i="1"/>
  <c r="BV77" i="1" s="1"/>
  <c r="BT77" i="1"/>
  <c r="BS77" i="1"/>
  <c r="BQ77" i="1"/>
  <c r="BR77" i="1" s="1"/>
  <c r="BP77" i="1"/>
  <c r="BO77" i="1"/>
  <c r="BM77" i="1"/>
  <c r="BN77" i="1" s="1"/>
  <c r="BJ77" i="1"/>
  <c r="BK77" i="1" s="1"/>
  <c r="BH77" i="1"/>
  <c r="BG77" i="1"/>
  <c r="BE77" i="1"/>
  <c r="BF77" i="1" s="1"/>
  <c r="BD77" i="1"/>
  <c r="BC77" i="1"/>
  <c r="BA77" i="1"/>
  <c r="BB77" i="1" s="1"/>
  <c r="AZ77" i="1"/>
  <c r="AW77" i="1"/>
  <c r="AX77" i="1" s="1"/>
  <c r="AV77" i="1"/>
  <c r="AS77" i="1"/>
  <c r="AT77" i="1" s="1"/>
  <c r="AR77" i="1"/>
  <c r="AQ77" i="1"/>
  <c r="AO77" i="1"/>
  <c r="AP77" i="1" s="1"/>
  <c r="AM77" i="1"/>
  <c r="AN77" i="1" s="1"/>
  <c r="AL77" i="1"/>
  <c r="AK77" i="1"/>
  <c r="AI77" i="1"/>
  <c r="AJ77" i="1" s="1"/>
  <c r="T77" i="1"/>
  <c r="K77" i="1"/>
  <c r="CL77" i="1" s="1"/>
  <c r="CM77" i="1" s="1"/>
  <c r="CO77" i="1" s="1"/>
  <c r="CN76" i="1"/>
  <c r="CL76" i="1"/>
  <c r="CM76" i="1" s="1"/>
  <c r="CO76" i="1" s="1"/>
  <c r="CF76" i="1"/>
  <c r="CE76" i="1"/>
  <c r="CC76" i="1"/>
  <c r="CD76" i="1" s="1"/>
  <c r="CB76" i="1"/>
  <c r="CA76" i="1"/>
  <c r="BY76" i="1"/>
  <c r="BZ76" i="1" s="1"/>
  <c r="BU76" i="1"/>
  <c r="BV76" i="1" s="1"/>
  <c r="BT76" i="1"/>
  <c r="BS76" i="1"/>
  <c r="BQ76" i="1"/>
  <c r="BR76" i="1" s="1"/>
  <c r="BP76" i="1"/>
  <c r="BO76" i="1"/>
  <c r="BM76" i="1"/>
  <c r="BN76" i="1" s="1"/>
  <c r="BJ76" i="1"/>
  <c r="BK76" i="1" s="1"/>
  <c r="BH76" i="1"/>
  <c r="BG76" i="1"/>
  <c r="BE76" i="1"/>
  <c r="BF76" i="1" s="1"/>
  <c r="BD76" i="1"/>
  <c r="BC76" i="1"/>
  <c r="BA76" i="1"/>
  <c r="BB76" i="1" s="1"/>
  <c r="AZ76" i="1"/>
  <c r="AW76" i="1"/>
  <c r="AX76" i="1" s="1"/>
  <c r="AV76" i="1"/>
  <c r="AS76" i="1"/>
  <c r="AT76" i="1" s="1"/>
  <c r="AR76" i="1"/>
  <c r="AQ76" i="1"/>
  <c r="AO76" i="1"/>
  <c r="AP76" i="1" s="1"/>
  <c r="AM76" i="1"/>
  <c r="AN76" i="1" s="1"/>
  <c r="AL76" i="1"/>
  <c r="AK76" i="1"/>
  <c r="AI76" i="1"/>
  <c r="AJ76" i="1" s="1"/>
  <c r="T76" i="1"/>
  <c r="K76" i="1"/>
  <c r="CN75" i="1"/>
  <c r="CF75" i="1"/>
  <c r="CE75" i="1"/>
  <c r="CC75" i="1"/>
  <c r="CD75" i="1" s="1"/>
  <c r="CB75" i="1"/>
  <c r="CA75" i="1"/>
  <c r="BY75" i="1"/>
  <c r="BZ75" i="1" s="1"/>
  <c r="BU75" i="1"/>
  <c r="BV75" i="1" s="1"/>
  <c r="BT75" i="1"/>
  <c r="BS75" i="1"/>
  <c r="BQ75" i="1"/>
  <c r="BR75" i="1" s="1"/>
  <c r="BP75" i="1"/>
  <c r="BO75" i="1"/>
  <c r="BM75" i="1"/>
  <c r="BN75" i="1" s="1"/>
  <c r="BJ75" i="1"/>
  <c r="BK75" i="1" s="1"/>
  <c r="BH75" i="1"/>
  <c r="BG75" i="1"/>
  <c r="BE75" i="1"/>
  <c r="BF75" i="1" s="1"/>
  <c r="BD75" i="1"/>
  <c r="BC75" i="1"/>
  <c r="BA75" i="1"/>
  <c r="BB75" i="1" s="1"/>
  <c r="AZ75" i="1"/>
  <c r="AW75" i="1"/>
  <c r="AX75" i="1" s="1"/>
  <c r="AV75" i="1"/>
  <c r="AS75" i="1"/>
  <c r="AT75" i="1" s="1"/>
  <c r="AR75" i="1"/>
  <c r="AQ75" i="1"/>
  <c r="AO75" i="1"/>
  <c r="AP75" i="1" s="1"/>
  <c r="AM75" i="1"/>
  <c r="AN75" i="1" s="1"/>
  <c r="AL75" i="1"/>
  <c r="AK75" i="1"/>
  <c r="AI75" i="1"/>
  <c r="AJ75" i="1" s="1"/>
  <c r="T75" i="1"/>
  <c r="K75" i="1"/>
  <c r="CL75" i="1" s="1"/>
  <c r="CM75" i="1" s="1"/>
  <c r="CO75" i="1" s="1"/>
  <c r="CN74" i="1"/>
  <c r="CL74" i="1"/>
  <c r="CM74" i="1" s="1"/>
  <c r="CO74" i="1" s="1"/>
  <c r="CF74" i="1"/>
  <c r="CE74" i="1"/>
  <c r="CC74" i="1"/>
  <c r="CD74" i="1" s="1"/>
  <c r="CB74" i="1"/>
  <c r="CA74" i="1"/>
  <c r="BY74" i="1"/>
  <c r="BZ74" i="1" s="1"/>
  <c r="BU74" i="1"/>
  <c r="BV74" i="1" s="1"/>
  <c r="BT74" i="1"/>
  <c r="BS74" i="1"/>
  <c r="BQ74" i="1"/>
  <c r="BR74" i="1" s="1"/>
  <c r="BP74" i="1"/>
  <c r="BO74" i="1"/>
  <c r="BM74" i="1"/>
  <c r="BN74" i="1" s="1"/>
  <c r="BJ74" i="1"/>
  <c r="BK74" i="1" s="1"/>
  <c r="BH74" i="1"/>
  <c r="BG74" i="1"/>
  <c r="BE74" i="1"/>
  <c r="BF74" i="1" s="1"/>
  <c r="BD74" i="1"/>
  <c r="BC74" i="1"/>
  <c r="BA74" i="1"/>
  <c r="BB74" i="1" s="1"/>
  <c r="AZ74" i="1"/>
  <c r="AW74" i="1"/>
  <c r="AX74" i="1" s="1"/>
  <c r="AV74" i="1"/>
  <c r="AS74" i="1"/>
  <c r="AT74" i="1" s="1"/>
  <c r="AR74" i="1"/>
  <c r="AQ74" i="1"/>
  <c r="AO74" i="1"/>
  <c r="AP74" i="1" s="1"/>
  <c r="AM74" i="1"/>
  <c r="AN74" i="1" s="1"/>
  <c r="AL74" i="1"/>
  <c r="AK74" i="1"/>
  <c r="AI74" i="1"/>
  <c r="AJ74" i="1" s="1"/>
  <c r="T74" i="1"/>
  <c r="K74" i="1"/>
  <c r="CN73" i="1"/>
  <c r="CF73" i="1"/>
  <c r="CE73" i="1"/>
  <c r="CC73" i="1"/>
  <c r="CD73" i="1" s="1"/>
  <c r="CB73" i="1"/>
  <c r="CA73" i="1"/>
  <c r="BY73" i="1"/>
  <c r="BZ73" i="1" s="1"/>
  <c r="BU73" i="1"/>
  <c r="BV73" i="1" s="1"/>
  <c r="BT73" i="1"/>
  <c r="BS73" i="1"/>
  <c r="BQ73" i="1"/>
  <c r="BR73" i="1" s="1"/>
  <c r="BP73" i="1"/>
  <c r="BO73" i="1"/>
  <c r="BM73" i="1"/>
  <c r="BN73" i="1" s="1"/>
  <c r="BJ73" i="1"/>
  <c r="BK73" i="1" s="1"/>
  <c r="BH73" i="1"/>
  <c r="BG73" i="1"/>
  <c r="BE73" i="1"/>
  <c r="BF73" i="1" s="1"/>
  <c r="BD73" i="1"/>
  <c r="BC73" i="1"/>
  <c r="BA73" i="1"/>
  <c r="BB73" i="1" s="1"/>
  <c r="AZ73" i="1"/>
  <c r="AW73" i="1"/>
  <c r="AX73" i="1" s="1"/>
  <c r="AV73" i="1"/>
  <c r="AS73" i="1"/>
  <c r="AT73" i="1" s="1"/>
  <c r="AR73" i="1"/>
  <c r="AQ73" i="1"/>
  <c r="AO73" i="1"/>
  <c r="AP73" i="1" s="1"/>
  <c r="AM73" i="1"/>
  <c r="AN73" i="1" s="1"/>
  <c r="AL73" i="1"/>
  <c r="AK73" i="1"/>
  <c r="AI73" i="1"/>
  <c r="AJ73" i="1" s="1"/>
  <c r="T73" i="1"/>
  <c r="K73" i="1"/>
  <c r="CL73" i="1" s="1"/>
  <c r="CM73" i="1" s="1"/>
  <c r="CO73" i="1" s="1"/>
  <c r="CN72" i="1"/>
  <c r="CL72" i="1"/>
  <c r="CM72" i="1" s="1"/>
  <c r="CO72" i="1" s="1"/>
  <c r="CF72" i="1"/>
  <c r="CE72" i="1"/>
  <c r="CC72" i="1"/>
  <c r="CD72" i="1" s="1"/>
  <c r="CB72" i="1"/>
  <c r="CA72" i="1"/>
  <c r="BY72" i="1"/>
  <c r="BZ72" i="1" s="1"/>
  <c r="BU72" i="1"/>
  <c r="BV72" i="1" s="1"/>
  <c r="BT72" i="1"/>
  <c r="BS72" i="1"/>
  <c r="BQ72" i="1"/>
  <c r="BR72" i="1" s="1"/>
  <c r="BP72" i="1"/>
  <c r="BO72" i="1"/>
  <c r="BM72" i="1"/>
  <c r="BN72" i="1" s="1"/>
  <c r="BJ72" i="1"/>
  <c r="BK72" i="1" s="1"/>
  <c r="BH72" i="1"/>
  <c r="BG72" i="1"/>
  <c r="BE72" i="1"/>
  <c r="BF72" i="1" s="1"/>
  <c r="BD72" i="1"/>
  <c r="BC72" i="1"/>
  <c r="BA72" i="1"/>
  <c r="BB72" i="1" s="1"/>
  <c r="AZ72" i="1"/>
  <c r="AW72" i="1"/>
  <c r="AX72" i="1" s="1"/>
  <c r="AV72" i="1"/>
  <c r="AS72" i="1"/>
  <c r="AT72" i="1" s="1"/>
  <c r="AR72" i="1"/>
  <c r="AQ72" i="1"/>
  <c r="AO72" i="1"/>
  <c r="AP72" i="1" s="1"/>
  <c r="AM72" i="1"/>
  <c r="AN72" i="1" s="1"/>
  <c r="AL72" i="1"/>
  <c r="AK72" i="1"/>
  <c r="AI72" i="1"/>
  <c r="AJ72" i="1" s="1"/>
  <c r="T72" i="1"/>
  <c r="K72" i="1"/>
  <c r="CN71" i="1"/>
  <c r="CF71" i="1"/>
  <c r="CE71" i="1"/>
  <c r="CC71" i="1"/>
  <c r="CD71" i="1" s="1"/>
  <c r="CB71" i="1"/>
  <c r="CA71" i="1"/>
  <c r="BY71" i="1"/>
  <c r="BZ71" i="1" s="1"/>
  <c r="BU71" i="1"/>
  <c r="BV71" i="1" s="1"/>
  <c r="BT71" i="1"/>
  <c r="BS71" i="1"/>
  <c r="BQ71" i="1"/>
  <c r="BR71" i="1" s="1"/>
  <c r="BP71" i="1"/>
  <c r="BO71" i="1"/>
  <c r="BM71" i="1"/>
  <c r="BN71" i="1" s="1"/>
  <c r="BJ71" i="1"/>
  <c r="BK71" i="1" s="1"/>
  <c r="BH71" i="1"/>
  <c r="BG71" i="1"/>
  <c r="BE71" i="1"/>
  <c r="BF71" i="1" s="1"/>
  <c r="BD71" i="1"/>
  <c r="BC71" i="1"/>
  <c r="BA71" i="1"/>
  <c r="BB71" i="1" s="1"/>
  <c r="AZ71" i="1"/>
  <c r="AW71" i="1"/>
  <c r="AX71" i="1" s="1"/>
  <c r="AV71" i="1"/>
  <c r="AS71" i="1"/>
  <c r="AT71" i="1" s="1"/>
  <c r="AR71" i="1"/>
  <c r="AQ71" i="1"/>
  <c r="AO71" i="1"/>
  <c r="AP71" i="1" s="1"/>
  <c r="AM71" i="1"/>
  <c r="AN71" i="1" s="1"/>
  <c r="AL71" i="1"/>
  <c r="AK71" i="1"/>
  <c r="AI71" i="1"/>
  <c r="AJ71" i="1" s="1"/>
  <c r="T71" i="1"/>
  <c r="K71" i="1"/>
  <c r="CL71" i="1" s="1"/>
  <c r="CM71" i="1" s="1"/>
  <c r="CO71" i="1" s="1"/>
  <c r="CO70" i="1"/>
  <c r="CN70" i="1"/>
  <c r="CL70" i="1"/>
  <c r="CM70" i="1" s="1"/>
  <c r="CF70" i="1"/>
  <c r="CE70" i="1"/>
  <c r="CC70" i="1"/>
  <c r="CD70" i="1" s="1"/>
  <c r="CB70" i="1"/>
  <c r="CA70" i="1"/>
  <c r="BY70" i="1"/>
  <c r="BZ70" i="1" s="1"/>
  <c r="BU70" i="1"/>
  <c r="BV70" i="1" s="1"/>
  <c r="BT70" i="1"/>
  <c r="BS70" i="1"/>
  <c r="BQ70" i="1"/>
  <c r="BR70" i="1" s="1"/>
  <c r="BP70" i="1"/>
  <c r="BO70" i="1"/>
  <c r="BM70" i="1"/>
  <c r="BN70" i="1" s="1"/>
  <c r="BJ70" i="1"/>
  <c r="BK70" i="1" s="1"/>
  <c r="BG70" i="1"/>
  <c r="BD70" i="1"/>
  <c r="BC70" i="1"/>
  <c r="BA70" i="1"/>
  <c r="BB70" i="1" s="1"/>
  <c r="AZ70" i="1"/>
  <c r="AW70" i="1"/>
  <c r="AX70" i="1" s="1"/>
  <c r="AV70" i="1"/>
  <c r="AS70" i="1"/>
  <c r="AT70" i="1" s="1"/>
  <c r="AR70" i="1"/>
  <c r="AQ70" i="1"/>
  <c r="AO70" i="1"/>
  <c r="AP70" i="1" s="1"/>
  <c r="AM70" i="1"/>
  <c r="AN70" i="1" s="1"/>
  <c r="AL70" i="1"/>
  <c r="AK70" i="1"/>
  <c r="AI70" i="1"/>
  <c r="AJ70" i="1" s="1"/>
  <c r="T70" i="1"/>
  <c r="K70" i="1"/>
  <c r="BE70" i="1" s="1"/>
  <c r="BF70" i="1" s="1"/>
  <c r="CO69" i="1"/>
  <c r="CN69" i="1"/>
  <c r="CL69" i="1"/>
  <c r="CM69" i="1" s="1"/>
  <c r="CF69" i="1"/>
  <c r="CE69" i="1"/>
  <c r="CC69" i="1"/>
  <c r="CD69" i="1" s="1"/>
  <c r="CB69" i="1"/>
  <c r="CA69" i="1"/>
  <c r="BY69" i="1"/>
  <c r="BZ69" i="1" s="1"/>
  <c r="BU69" i="1"/>
  <c r="BV69" i="1" s="1"/>
  <c r="BT69" i="1"/>
  <c r="BS69" i="1"/>
  <c r="BQ69" i="1"/>
  <c r="BR69" i="1" s="1"/>
  <c r="BP69" i="1"/>
  <c r="BO69" i="1"/>
  <c r="BM69" i="1"/>
  <c r="BN69" i="1" s="1"/>
  <c r="BJ69" i="1"/>
  <c r="BK69" i="1" s="1"/>
  <c r="BG69" i="1"/>
  <c r="BD69" i="1"/>
  <c r="BC69" i="1"/>
  <c r="BA69" i="1"/>
  <c r="BB69" i="1" s="1"/>
  <c r="AZ69" i="1"/>
  <c r="AW69" i="1"/>
  <c r="AX69" i="1" s="1"/>
  <c r="AV69" i="1"/>
  <c r="AS69" i="1"/>
  <c r="AT69" i="1" s="1"/>
  <c r="AR69" i="1"/>
  <c r="AQ69" i="1"/>
  <c r="AO69" i="1"/>
  <c r="AP69" i="1" s="1"/>
  <c r="AM69" i="1"/>
  <c r="AN69" i="1" s="1"/>
  <c r="AL69" i="1"/>
  <c r="AK69" i="1"/>
  <c r="AI69" i="1"/>
  <c r="AJ69" i="1" s="1"/>
  <c r="T69" i="1"/>
  <c r="K69" i="1"/>
  <c r="BE69" i="1" s="1"/>
  <c r="BF69" i="1" s="1"/>
  <c r="CO68" i="1"/>
  <c r="CN68" i="1"/>
  <c r="CL68" i="1"/>
  <c r="CM68" i="1" s="1"/>
  <c r="CF68" i="1"/>
  <c r="CE68" i="1"/>
  <c r="CC68" i="1"/>
  <c r="CD68" i="1" s="1"/>
  <c r="CB68" i="1"/>
  <c r="CA68" i="1"/>
  <c r="BY68" i="1"/>
  <c r="BZ68" i="1" s="1"/>
  <c r="BU68" i="1"/>
  <c r="BV68" i="1" s="1"/>
  <c r="BT68" i="1"/>
  <c r="BS68" i="1"/>
  <c r="BQ68" i="1"/>
  <c r="BR68" i="1" s="1"/>
  <c r="BP68" i="1"/>
  <c r="BO68" i="1"/>
  <c r="BM68" i="1"/>
  <c r="BN68" i="1" s="1"/>
  <c r="BJ68" i="1"/>
  <c r="BK68" i="1" s="1"/>
  <c r="BG68" i="1"/>
  <c r="BD68" i="1"/>
  <c r="BC68" i="1"/>
  <c r="BA68" i="1"/>
  <c r="BB68" i="1" s="1"/>
  <c r="AZ68" i="1"/>
  <c r="AW68" i="1"/>
  <c r="AX68" i="1" s="1"/>
  <c r="AV68" i="1"/>
  <c r="AS68" i="1"/>
  <c r="AT68" i="1" s="1"/>
  <c r="AR68" i="1"/>
  <c r="AQ68" i="1"/>
  <c r="AO68" i="1"/>
  <c r="AP68" i="1" s="1"/>
  <c r="AM68" i="1"/>
  <c r="AN68" i="1" s="1"/>
  <c r="AL68" i="1"/>
  <c r="AK68" i="1"/>
  <c r="AI68" i="1"/>
  <c r="AJ68" i="1" s="1"/>
  <c r="T68" i="1"/>
  <c r="K68" i="1"/>
  <c r="BE68" i="1" s="1"/>
  <c r="BF68" i="1" s="1"/>
  <c r="BH68" i="1" s="1"/>
  <c r="CO67" i="1"/>
  <c r="CN67" i="1"/>
  <c r="CL67" i="1"/>
  <c r="CM67" i="1" s="1"/>
  <c r="CF67" i="1"/>
  <c r="CE67" i="1"/>
  <c r="CC67" i="1"/>
  <c r="CD67" i="1" s="1"/>
  <c r="CB67" i="1"/>
  <c r="CA67" i="1"/>
  <c r="BY67" i="1"/>
  <c r="BZ67" i="1" s="1"/>
  <c r="BU67" i="1"/>
  <c r="BV67" i="1" s="1"/>
  <c r="BT67" i="1"/>
  <c r="BS67" i="1"/>
  <c r="BQ67" i="1"/>
  <c r="BR67" i="1" s="1"/>
  <c r="BP67" i="1"/>
  <c r="BO67" i="1"/>
  <c r="BM67" i="1"/>
  <c r="BN67" i="1" s="1"/>
  <c r="BJ67" i="1"/>
  <c r="BK67" i="1" s="1"/>
  <c r="BG67" i="1"/>
  <c r="BD67" i="1"/>
  <c r="BC67" i="1"/>
  <c r="BA67" i="1"/>
  <c r="BB67" i="1" s="1"/>
  <c r="AZ67" i="1"/>
  <c r="AX67" i="1"/>
  <c r="AW67" i="1"/>
  <c r="AV67" i="1"/>
  <c r="AS67" i="1"/>
  <c r="AT67" i="1" s="1"/>
  <c r="AR67" i="1"/>
  <c r="AQ67" i="1"/>
  <c r="AO67" i="1"/>
  <c r="AP67" i="1" s="1"/>
  <c r="AM67" i="1"/>
  <c r="AN67" i="1" s="1"/>
  <c r="AL67" i="1"/>
  <c r="AK67" i="1"/>
  <c r="AI67" i="1"/>
  <c r="AJ67" i="1" s="1"/>
  <c r="T67" i="1"/>
  <c r="K67" i="1"/>
  <c r="BE67" i="1" s="1"/>
  <c r="BF67" i="1" s="1"/>
  <c r="BH67" i="1" s="1"/>
  <c r="CO66" i="1"/>
  <c r="CN66" i="1"/>
  <c r="CL66" i="1"/>
  <c r="CM66" i="1" s="1"/>
  <c r="CF66" i="1"/>
  <c r="CE66" i="1"/>
  <c r="CC66" i="1"/>
  <c r="CD66" i="1" s="1"/>
  <c r="CB66" i="1"/>
  <c r="CA66" i="1"/>
  <c r="BY66" i="1"/>
  <c r="BZ66" i="1" s="1"/>
  <c r="BU66" i="1"/>
  <c r="BV66" i="1" s="1"/>
  <c r="BT66" i="1"/>
  <c r="BS66" i="1"/>
  <c r="BQ66" i="1"/>
  <c r="BR66" i="1" s="1"/>
  <c r="BP66" i="1"/>
  <c r="BO66" i="1"/>
  <c r="BM66" i="1"/>
  <c r="BN66" i="1" s="1"/>
  <c r="BJ66" i="1"/>
  <c r="BK66" i="1" s="1"/>
  <c r="BG66" i="1"/>
  <c r="BD66" i="1"/>
  <c r="BC66" i="1"/>
  <c r="BA66" i="1"/>
  <c r="BB66" i="1" s="1"/>
  <c r="AZ66" i="1"/>
  <c r="AW66" i="1"/>
  <c r="AX66" i="1" s="1"/>
  <c r="AV66" i="1"/>
  <c r="AS66" i="1"/>
  <c r="AT66" i="1" s="1"/>
  <c r="AR66" i="1"/>
  <c r="AQ66" i="1"/>
  <c r="AO66" i="1"/>
  <c r="AP66" i="1" s="1"/>
  <c r="AM66" i="1"/>
  <c r="AN66" i="1" s="1"/>
  <c r="AL66" i="1"/>
  <c r="AK66" i="1"/>
  <c r="AI66" i="1"/>
  <c r="AJ66" i="1" s="1"/>
  <c r="T66" i="1"/>
  <c r="K66" i="1"/>
  <c r="BE66" i="1" s="1"/>
  <c r="BF66" i="1" s="1"/>
  <c r="CO65" i="1"/>
  <c r="CN65" i="1"/>
  <c r="CL65" i="1"/>
  <c r="CM65" i="1" s="1"/>
  <c r="CF65" i="1"/>
  <c r="CE65" i="1"/>
  <c r="CC65" i="1"/>
  <c r="CD65" i="1" s="1"/>
  <c r="CB65" i="1"/>
  <c r="CA65" i="1"/>
  <c r="BY65" i="1"/>
  <c r="BZ65" i="1" s="1"/>
  <c r="BU65" i="1"/>
  <c r="BV65" i="1" s="1"/>
  <c r="BT65" i="1"/>
  <c r="BS65" i="1"/>
  <c r="BQ65" i="1"/>
  <c r="BR65" i="1" s="1"/>
  <c r="BP65" i="1"/>
  <c r="BO65" i="1"/>
  <c r="BM65" i="1"/>
  <c r="BN65" i="1" s="1"/>
  <c r="BJ65" i="1"/>
  <c r="BK65" i="1" s="1"/>
  <c r="BG65" i="1"/>
  <c r="BD65" i="1"/>
  <c r="BC65" i="1"/>
  <c r="BA65" i="1"/>
  <c r="BB65" i="1" s="1"/>
  <c r="AZ65" i="1"/>
  <c r="AW65" i="1"/>
  <c r="AX65" i="1" s="1"/>
  <c r="AV65" i="1"/>
  <c r="AS65" i="1"/>
  <c r="AT65" i="1" s="1"/>
  <c r="AR65" i="1"/>
  <c r="AQ65" i="1"/>
  <c r="AO65" i="1"/>
  <c r="AP65" i="1" s="1"/>
  <c r="AM65" i="1"/>
  <c r="AN65" i="1" s="1"/>
  <c r="AL65" i="1"/>
  <c r="AK65" i="1"/>
  <c r="AI65" i="1"/>
  <c r="AJ65" i="1" s="1"/>
  <c r="T65" i="1"/>
  <c r="K65" i="1"/>
  <c r="BE65" i="1" s="1"/>
  <c r="BF65" i="1" s="1"/>
  <c r="CO64" i="1"/>
  <c r="CN64" i="1"/>
  <c r="CL64" i="1"/>
  <c r="CM64" i="1" s="1"/>
  <c r="CF64" i="1"/>
  <c r="CE64" i="1"/>
  <c r="CC64" i="1"/>
  <c r="CD64" i="1" s="1"/>
  <c r="CB64" i="1"/>
  <c r="CA64" i="1"/>
  <c r="BY64" i="1"/>
  <c r="BZ64" i="1" s="1"/>
  <c r="BU64" i="1"/>
  <c r="BV64" i="1" s="1"/>
  <c r="BT64" i="1"/>
  <c r="BS64" i="1"/>
  <c r="BQ64" i="1"/>
  <c r="BR64" i="1" s="1"/>
  <c r="BP64" i="1"/>
  <c r="BO64" i="1"/>
  <c r="BM64" i="1"/>
  <c r="BN64" i="1" s="1"/>
  <c r="BJ64" i="1"/>
  <c r="BK64" i="1" s="1"/>
  <c r="BG64" i="1"/>
  <c r="BD64" i="1"/>
  <c r="BC64" i="1"/>
  <c r="BA64" i="1"/>
  <c r="BB64" i="1" s="1"/>
  <c r="AZ64" i="1"/>
  <c r="AW64" i="1"/>
  <c r="AX64" i="1" s="1"/>
  <c r="AV64" i="1"/>
  <c r="AS64" i="1"/>
  <c r="AT64" i="1" s="1"/>
  <c r="AR64" i="1"/>
  <c r="AQ64" i="1"/>
  <c r="AO64" i="1"/>
  <c r="AP64" i="1" s="1"/>
  <c r="AM64" i="1"/>
  <c r="AN64" i="1" s="1"/>
  <c r="AL64" i="1"/>
  <c r="AK64" i="1"/>
  <c r="AI64" i="1"/>
  <c r="AJ64" i="1" s="1"/>
  <c r="T64" i="1"/>
  <c r="K64" i="1"/>
  <c r="BE64" i="1" s="1"/>
  <c r="BF64" i="1" s="1"/>
  <c r="CO63" i="1"/>
  <c r="CN63" i="1"/>
  <c r="CL63" i="1"/>
  <c r="CM63" i="1" s="1"/>
  <c r="CF63" i="1"/>
  <c r="CE63" i="1"/>
  <c r="CC63" i="1"/>
  <c r="CD63" i="1" s="1"/>
  <c r="CB63" i="1"/>
  <c r="CA63" i="1"/>
  <c r="BY63" i="1"/>
  <c r="BZ63" i="1" s="1"/>
  <c r="BU63" i="1"/>
  <c r="BV63" i="1" s="1"/>
  <c r="BT63" i="1"/>
  <c r="BS63" i="1"/>
  <c r="BQ63" i="1"/>
  <c r="BR63" i="1" s="1"/>
  <c r="BP63" i="1"/>
  <c r="BO63" i="1"/>
  <c r="BM63" i="1"/>
  <c r="BN63" i="1" s="1"/>
  <c r="BJ63" i="1"/>
  <c r="BK63" i="1" s="1"/>
  <c r="BG63" i="1"/>
  <c r="BD63" i="1"/>
  <c r="BC63" i="1"/>
  <c r="BA63" i="1"/>
  <c r="BB63" i="1" s="1"/>
  <c r="AZ63" i="1"/>
  <c r="AW63" i="1"/>
  <c r="AX63" i="1" s="1"/>
  <c r="AV63" i="1"/>
  <c r="AS63" i="1"/>
  <c r="AT63" i="1" s="1"/>
  <c r="AR63" i="1"/>
  <c r="AQ63" i="1"/>
  <c r="AO63" i="1"/>
  <c r="AP63" i="1" s="1"/>
  <c r="AM63" i="1"/>
  <c r="AN63" i="1" s="1"/>
  <c r="AL63" i="1"/>
  <c r="AK63" i="1"/>
  <c r="AI63" i="1"/>
  <c r="AJ63" i="1" s="1"/>
  <c r="T63" i="1"/>
  <c r="K63" i="1"/>
  <c r="BE63" i="1" s="1"/>
  <c r="BF63" i="1" s="1"/>
  <c r="CO62" i="1"/>
  <c r="CN62" i="1"/>
  <c r="CL62" i="1"/>
  <c r="CM62" i="1" s="1"/>
  <c r="CF62" i="1"/>
  <c r="CE62" i="1"/>
  <c r="CC62" i="1"/>
  <c r="CD62" i="1" s="1"/>
  <c r="CB62" i="1"/>
  <c r="CA62" i="1"/>
  <c r="BY62" i="1"/>
  <c r="BZ62" i="1" s="1"/>
  <c r="BU62" i="1"/>
  <c r="BV62" i="1" s="1"/>
  <c r="BT62" i="1"/>
  <c r="BS62" i="1"/>
  <c r="BQ62" i="1"/>
  <c r="BR62" i="1" s="1"/>
  <c r="BP62" i="1"/>
  <c r="BO62" i="1"/>
  <c r="BM62" i="1"/>
  <c r="BN62" i="1" s="1"/>
  <c r="BJ62" i="1"/>
  <c r="BK62" i="1" s="1"/>
  <c r="BG62" i="1"/>
  <c r="BD62" i="1"/>
  <c r="BC62" i="1"/>
  <c r="BA62" i="1"/>
  <c r="BB62" i="1" s="1"/>
  <c r="AZ62" i="1"/>
  <c r="AW62" i="1"/>
  <c r="AX62" i="1" s="1"/>
  <c r="AV62" i="1"/>
  <c r="AS62" i="1"/>
  <c r="AT62" i="1" s="1"/>
  <c r="AR62" i="1"/>
  <c r="AQ62" i="1"/>
  <c r="AO62" i="1"/>
  <c r="AP62" i="1" s="1"/>
  <c r="AM62" i="1"/>
  <c r="AN62" i="1" s="1"/>
  <c r="AL62" i="1"/>
  <c r="AK62" i="1"/>
  <c r="AI62" i="1"/>
  <c r="AJ62" i="1" s="1"/>
  <c r="T62" i="1"/>
  <c r="N21" i="1" s="1"/>
  <c r="K62" i="1"/>
  <c r="BE62" i="1" s="1"/>
  <c r="BF62" i="1" s="1"/>
  <c r="CN61" i="1"/>
  <c r="CF61" i="1"/>
  <c r="CE61" i="1"/>
  <c r="CC61" i="1"/>
  <c r="CD61" i="1" s="1"/>
  <c r="CB61" i="1"/>
  <c r="CA61" i="1"/>
  <c r="BY61" i="1"/>
  <c r="BZ61" i="1" s="1"/>
  <c r="BU61" i="1"/>
  <c r="BV61" i="1" s="1"/>
  <c r="BT61" i="1"/>
  <c r="BS61" i="1"/>
  <c r="BQ61" i="1"/>
  <c r="BR61" i="1" s="1"/>
  <c r="BP61" i="1"/>
  <c r="BO61" i="1"/>
  <c r="BM61" i="1"/>
  <c r="BN61" i="1" s="1"/>
  <c r="BJ61" i="1"/>
  <c r="BK61" i="1" s="1"/>
  <c r="BH61" i="1"/>
  <c r="BG61" i="1"/>
  <c r="BE61" i="1"/>
  <c r="BF61" i="1" s="1"/>
  <c r="BD61" i="1"/>
  <c r="BC61" i="1"/>
  <c r="BA61" i="1"/>
  <c r="BB61" i="1" s="1"/>
  <c r="AZ61" i="1"/>
  <c r="AW61" i="1"/>
  <c r="AX61" i="1" s="1"/>
  <c r="AV61" i="1"/>
  <c r="AS61" i="1"/>
  <c r="AT61" i="1" s="1"/>
  <c r="AR61" i="1"/>
  <c r="AQ61" i="1"/>
  <c r="AO61" i="1"/>
  <c r="AP61" i="1" s="1"/>
  <c r="AM61" i="1"/>
  <c r="AN61" i="1" s="1"/>
  <c r="AL61" i="1"/>
  <c r="AK61" i="1"/>
  <c r="AI61" i="1"/>
  <c r="AJ61" i="1" s="1"/>
  <c r="T61" i="1"/>
  <c r="K61" i="1"/>
  <c r="CL61" i="1" s="1"/>
  <c r="CM61" i="1" s="1"/>
  <c r="CO61" i="1" s="1"/>
  <c r="CN60" i="1"/>
  <c r="CL60" i="1"/>
  <c r="CM60" i="1" s="1"/>
  <c r="CO60" i="1" s="1"/>
  <c r="CF60" i="1"/>
  <c r="CE60" i="1"/>
  <c r="CC60" i="1"/>
  <c r="CD60" i="1" s="1"/>
  <c r="CB60" i="1"/>
  <c r="CA60" i="1"/>
  <c r="BY60" i="1"/>
  <c r="BZ60" i="1" s="1"/>
  <c r="BU60" i="1"/>
  <c r="BV60" i="1" s="1"/>
  <c r="BT60" i="1"/>
  <c r="BS60" i="1"/>
  <c r="BQ60" i="1"/>
  <c r="BR60" i="1" s="1"/>
  <c r="BP60" i="1"/>
  <c r="BO60" i="1"/>
  <c r="BM60" i="1"/>
  <c r="BN60" i="1" s="1"/>
  <c r="BJ60" i="1"/>
  <c r="BK60" i="1" s="1"/>
  <c r="BH60" i="1"/>
  <c r="BG60" i="1"/>
  <c r="BE60" i="1"/>
  <c r="BF60" i="1" s="1"/>
  <c r="BD60" i="1"/>
  <c r="BC60" i="1"/>
  <c r="BA60" i="1"/>
  <c r="BB60" i="1" s="1"/>
  <c r="AZ60" i="1"/>
  <c r="AW60" i="1"/>
  <c r="AX60" i="1" s="1"/>
  <c r="AV60" i="1"/>
  <c r="AT60" i="1"/>
  <c r="AS60" i="1"/>
  <c r="AR60" i="1"/>
  <c r="AQ60" i="1"/>
  <c r="AP60" i="1"/>
  <c r="AO60" i="1"/>
  <c r="AN60" i="1"/>
  <c r="AM60" i="1"/>
  <c r="AL60" i="1"/>
  <c r="AK60" i="1"/>
  <c r="AJ60" i="1"/>
  <c r="AI60" i="1"/>
  <c r="T60" i="1"/>
  <c r="K60" i="1"/>
  <c r="CN59" i="1"/>
  <c r="CF59" i="1"/>
  <c r="CE59" i="1"/>
  <c r="CC59" i="1"/>
  <c r="CD59" i="1" s="1"/>
  <c r="CB59" i="1"/>
  <c r="CA59" i="1"/>
  <c r="BY59" i="1"/>
  <c r="BZ59" i="1" s="1"/>
  <c r="BU59" i="1"/>
  <c r="BV59" i="1" s="1"/>
  <c r="BT59" i="1"/>
  <c r="BS59" i="1"/>
  <c r="BQ59" i="1"/>
  <c r="BR59" i="1" s="1"/>
  <c r="BP59" i="1"/>
  <c r="BO59" i="1"/>
  <c r="BM59" i="1"/>
  <c r="BN59" i="1" s="1"/>
  <c r="BJ59" i="1"/>
  <c r="BK59" i="1" s="1"/>
  <c r="BH59" i="1"/>
  <c r="BG59" i="1"/>
  <c r="BE59" i="1"/>
  <c r="BF59" i="1" s="1"/>
  <c r="BD59" i="1"/>
  <c r="BC59" i="1"/>
  <c r="BA59" i="1"/>
  <c r="BB59" i="1" s="1"/>
  <c r="AZ59" i="1"/>
  <c r="AX59" i="1"/>
  <c r="AW59" i="1"/>
  <c r="AV59" i="1"/>
  <c r="AS59" i="1"/>
  <c r="AT59" i="1" s="1"/>
  <c r="AR59" i="1"/>
  <c r="AQ59" i="1"/>
  <c r="AO59" i="1"/>
  <c r="AP59" i="1" s="1"/>
  <c r="AM59" i="1"/>
  <c r="AN59" i="1" s="1"/>
  <c r="AL59" i="1"/>
  <c r="AK59" i="1"/>
  <c r="AI59" i="1"/>
  <c r="AJ59" i="1" s="1"/>
  <c r="T59" i="1"/>
  <c r="K59" i="1"/>
  <c r="CL59" i="1" s="1"/>
  <c r="CM59" i="1" s="1"/>
  <c r="CO59" i="1" s="1"/>
  <c r="CN58" i="1"/>
  <c r="CF58" i="1"/>
  <c r="CE58" i="1"/>
  <c r="CC58" i="1"/>
  <c r="CD58" i="1" s="1"/>
  <c r="CB58" i="1"/>
  <c r="CA58" i="1"/>
  <c r="BY58" i="1"/>
  <c r="BZ58" i="1" s="1"/>
  <c r="BU58" i="1"/>
  <c r="BV58" i="1" s="1"/>
  <c r="BT58" i="1"/>
  <c r="BS58" i="1"/>
  <c r="BQ58" i="1"/>
  <c r="BR58" i="1" s="1"/>
  <c r="BP58" i="1"/>
  <c r="BO58" i="1"/>
  <c r="BM58" i="1"/>
  <c r="BN58" i="1" s="1"/>
  <c r="BJ58" i="1"/>
  <c r="BK58" i="1" s="1"/>
  <c r="BH58" i="1"/>
  <c r="BG58" i="1"/>
  <c r="BE58" i="1"/>
  <c r="BF58" i="1" s="1"/>
  <c r="BD58" i="1"/>
  <c r="BC58" i="1"/>
  <c r="BA58" i="1"/>
  <c r="BB58" i="1" s="1"/>
  <c r="AZ58" i="1"/>
  <c r="AW58" i="1"/>
  <c r="AX58" i="1" s="1"/>
  <c r="AV58" i="1"/>
  <c r="AS58" i="1"/>
  <c r="AT58" i="1" s="1"/>
  <c r="AR58" i="1"/>
  <c r="AQ58" i="1"/>
  <c r="AO58" i="1"/>
  <c r="AP58" i="1" s="1"/>
  <c r="AM58" i="1"/>
  <c r="AN58" i="1" s="1"/>
  <c r="AL58" i="1"/>
  <c r="AK58" i="1"/>
  <c r="AI58" i="1"/>
  <c r="T58" i="1"/>
  <c r="K58" i="1"/>
  <c r="CL58" i="1" s="1"/>
  <c r="CM58" i="1" s="1"/>
  <c r="CO58" i="1" s="1"/>
  <c r="CN57" i="1"/>
  <c r="CF57" i="1"/>
  <c r="CE57" i="1"/>
  <c r="CC57" i="1"/>
  <c r="CD57" i="1" s="1"/>
  <c r="CB57" i="1"/>
  <c r="CA57" i="1"/>
  <c r="BY57" i="1"/>
  <c r="BZ57" i="1" s="1"/>
  <c r="BU57" i="1"/>
  <c r="BV57" i="1" s="1"/>
  <c r="BT57" i="1"/>
  <c r="BS57" i="1"/>
  <c r="BQ57" i="1"/>
  <c r="BR57" i="1" s="1"/>
  <c r="BP57" i="1"/>
  <c r="BO57" i="1"/>
  <c r="BM57" i="1"/>
  <c r="BN57" i="1" s="1"/>
  <c r="BJ57" i="1"/>
  <c r="BK57" i="1" s="1"/>
  <c r="BH57" i="1"/>
  <c r="BG57" i="1"/>
  <c r="BE57" i="1"/>
  <c r="BF57" i="1" s="1"/>
  <c r="BD57" i="1"/>
  <c r="BC57" i="1"/>
  <c r="BA57" i="1"/>
  <c r="BB57" i="1" s="1"/>
  <c r="AZ57" i="1"/>
  <c r="AW57" i="1"/>
  <c r="AX57" i="1" s="1"/>
  <c r="AV57" i="1"/>
  <c r="AS57" i="1"/>
  <c r="AT57" i="1" s="1"/>
  <c r="AR57" i="1"/>
  <c r="AQ57" i="1"/>
  <c r="AO57" i="1"/>
  <c r="AP57" i="1" s="1"/>
  <c r="AM57" i="1"/>
  <c r="AN57" i="1" s="1"/>
  <c r="AL57" i="1"/>
  <c r="AK57" i="1"/>
  <c r="AI57" i="1"/>
  <c r="AJ57" i="1" s="1"/>
  <c r="T57" i="1"/>
  <c r="K57" i="1"/>
  <c r="CL57" i="1" s="1"/>
  <c r="CM57" i="1" s="1"/>
  <c r="CN56" i="1"/>
  <c r="CF56" i="1"/>
  <c r="CE56" i="1"/>
  <c r="CC56" i="1"/>
  <c r="CD56" i="1" s="1"/>
  <c r="CB56" i="1"/>
  <c r="CA56" i="1"/>
  <c r="BY56" i="1"/>
  <c r="BZ56" i="1" s="1"/>
  <c r="BU56" i="1"/>
  <c r="BV56" i="1" s="1"/>
  <c r="BT56" i="1"/>
  <c r="BS56" i="1"/>
  <c r="BQ56" i="1"/>
  <c r="BR56" i="1" s="1"/>
  <c r="BP56" i="1"/>
  <c r="BO56" i="1"/>
  <c r="BM56" i="1"/>
  <c r="BN56" i="1" s="1"/>
  <c r="BJ56" i="1"/>
  <c r="BK56" i="1" s="1"/>
  <c r="BH56" i="1"/>
  <c r="BG56" i="1"/>
  <c r="BE56" i="1"/>
  <c r="BF56" i="1" s="1"/>
  <c r="BD56" i="1"/>
  <c r="BC56" i="1"/>
  <c r="BA56" i="1"/>
  <c r="BB56" i="1" s="1"/>
  <c r="AZ56" i="1"/>
  <c r="AW56" i="1"/>
  <c r="AX56" i="1" s="1"/>
  <c r="AV56" i="1"/>
  <c r="AS56" i="1"/>
  <c r="AT56" i="1" s="1"/>
  <c r="AR56" i="1"/>
  <c r="AQ56" i="1"/>
  <c r="AO56" i="1"/>
  <c r="AP56" i="1" s="1"/>
  <c r="AM56" i="1"/>
  <c r="AN56" i="1" s="1"/>
  <c r="AL56" i="1"/>
  <c r="AK56" i="1"/>
  <c r="AI56" i="1"/>
  <c r="T56" i="1"/>
  <c r="K56" i="1"/>
  <c r="CL56" i="1" s="1"/>
  <c r="CM56" i="1" s="1"/>
  <c r="CN55" i="1"/>
  <c r="CF55" i="1"/>
  <c r="CE55" i="1"/>
  <c r="CC55" i="1"/>
  <c r="CD55" i="1" s="1"/>
  <c r="CB55" i="1"/>
  <c r="CA55" i="1"/>
  <c r="BY55" i="1"/>
  <c r="BZ55" i="1" s="1"/>
  <c r="BU55" i="1"/>
  <c r="BV55" i="1" s="1"/>
  <c r="BT55" i="1"/>
  <c r="BS55" i="1"/>
  <c r="BQ55" i="1"/>
  <c r="BR55" i="1" s="1"/>
  <c r="BP55" i="1"/>
  <c r="BO55" i="1"/>
  <c r="BM55" i="1"/>
  <c r="BN55" i="1" s="1"/>
  <c r="BJ55" i="1"/>
  <c r="BK55" i="1" s="1"/>
  <c r="BH55" i="1"/>
  <c r="BG55" i="1"/>
  <c r="BE55" i="1"/>
  <c r="BF55" i="1" s="1"/>
  <c r="BD55" i="1"/>
  <c r="BC55" i="1"/>
  <c r="BA55" i="1"/>
  <c r="BB55" i="1" s="1"/>
  <c r="AZ55" i="1"/>
  <c r="AW55" i="1"/>
  <c r="AX55" i="1" s="1"/>
  <c r="AV55" i="1"/>
  <c r="AS55" i="1"/>
  <c r="AT55" i="1" s="1"/>
  <c r="AR55" i="1"/>
  <c r="AQ55" i="1"/>
  <c r="AO55" i="1"/>
  <c r="AP55" i="1" s="1"/>
  <c r="AM55" i="1"/>
  <c r="AN55" i="1" s="1"/>
  <c r="AL55" i="1"/>
  <c r="AK55" i="1"/>
  <c r="AI55" i="1"/>
  <c r="AJ55" i="1" s="1"/>
  <c r="T55" i="1"/>
  <c r="K55" i="1"/>
  <c r="CL55" i="1" s="1"/>
  <c r="CM55" i="1" s="1"/>
  <c r="CN54" i="1"/>
  <c r="CF54" i="1"/>
  <c r="CE54" i="1"/>
  <c r="CC54" i="1"/>
  <c r="CD54" i="1" s="1"/>
  <c r="CB54" i="1"/>
  <c r="CA54" i="1"/>
  <c r="BY54" i="1"/>
  <c r="BZ54" i="1" s="1"/>
  <c r="BU54" i="1"/>
  <c r="BV54" i="1" s="1"/>
  <c r="BT54" i="1"/>
  <c r="BS54" i="1"/>
  <c r="BQ54" i="1"/>
  <c r="BR54" i="1" s="1"/>
  <c r="BP54" i="1"/>
  <c r="BO54" i="1"/>
  <c r="BM54" i="1"/>
  <c r="BN54" i="1" s="1"/>
  <c r="BJ54" i="1"/>
  <c r="BK54" i="1" s="1"/>
  <c r="BH54" i="1"/>
  <c r="BG54" i="1"/>
  <c r="BE54" i="1"/>
  <c r="BF54" i="1" s="1"/>
  <c r="BD54" i="1"/>
  <c r="BC54" i="1"/>
  <c r="BA54" i="1"/>
  <c r="BB54" i="1" s="1"/>
  <c r="AZ54" i="1"/>
  <c r="AW54" i="1"/>
  <c r="AX54" i="1" s="1"/>
  <c r="AV54" i="1"/>
  <c r="AS54" i="1"/>
  <c r="AT54" i="1" s="1"/>
  <c r="AR54" i="1"/>
  <c r="AQ54" i="1"/>
  <c r="AO54" i="1"/>
  <c r="AP54" i="1" s="1"/>
  <c r="AM54" i="1"/>
  <c r="AN54" i="1" s="1"/>
  <c r="AL54" i="1"/>
  <c r="AK54" i="1"/>
  <c r="AI54" i="1"/>
  <c r="T54" i="1"/>
  <c r="K54" i="1"/>
  <c r="CL54" i="1" s="1"/>
  <c r="CM54" i="1" s="1"/>
  <c r="CN53" i="1"/>
  <c r="CF53" i="1"/>
  <c r="CE53" i="1"/>
  <c r="CC53" i="1"/>
  <c r="CD53" i="1" s="1"/>
  <c r="CB53" i="1"/>
  <c r="CA53" i="1"/>
  <c r="BY53" i="1"/>
  <c r="BZ53" i="1" s="1"/>
  <c r="BU53" i="1"/>
  <c r="BV53" i="1" s="1"/>
  <c r="BT53" i="1"/>
  <c r="BS53" i="1"/>
  <c r="BQ53" i="1"/>
  <c r="BR53" i="1" s="1"/>
  <c r="BP53" i="1"/>
  <c r="BO53" i="1"/>
  <c r="BM53" i="1"/>
  <c r="BN53" i="1" s="1"/>
  <c r="BJ53" i="1"/>
  <c r="BK53" i="1" s="1"/>
  <c r="BH53" i="1"/>
  <c r="BG53" i="1"/>
  <c r="BE53" i="1"/>
  <c r="BF53" i="1" s="1"/>
  <c r="BD53" i="1"/>
  <c r="BC53" i="1"/>
  <c r="BA53" i="1"/>
  <c r="BB53" i="1" s="1"/>
  <c r="AZ53" i="1"/>
  <c r="AW53" i="1"/>
  <c r="AX53" i="1" s="1"/>
  <c r="AV53" i="1"/>
  <c r="AS53" i="1"/>
  <c r="AT53" i="1" s="1"/>
  <c r="AR53" i="1"/>
  <c r="AQ53" i="1"/>
  <c r="AO53" i="1"/>
  <c r="AP53" i="1" s="1"/>
  <c r="AM53" i="1"/>
  <c r="AN53" i="1" s="1"/>
  <c r="AL53" i="1"/>
  <c r="AK53" i="1"/>
  <c r="AI53" i="1"/>
  <c r="AJ53" i="1" s="1"/>
  <c r="T53" i="1"/>
  <c r="K53" i="1"/>
  <c r="CL53" i="1" s="1"/>
  <c r="CM53" i="1" s="1"/>
  <c r="CN52" i="1"/>
  <c r="CF52" i="1"/>
  <c r="CE52" i="1"/>
  <c r="CC52" i="1"/>
  <c r="CD52" i="1" s="1"/>
  <c r="CB52" i="1"/>
  <c r="CA52" i="1"/>
  <c r="BY52" i="1"/>
  <c r="BZ52" i="1" s="1"/>
  <c r="BU52" i="1"/>
  <c r="BV52" i="1" s="1"/>
  <c r="BT52" i="1"/>
  <c r="BS52" i="1"/>
  <c r="BQ52" i="1"/>
  <c r="BR52" i="1" s="1"/>
  <c r="BP52" i="1"/>
  <c r="BO52" i="1"/>
  <c r="BM52" i="1"/>
  <c r="BN52" i="1" s="1"/>
  <c r="BJ52" i="1"/>
  <c r="BK52" i="1" s="1"/>
  <c r="BH52" i="1"/>
  <c r="BG52" i="1"/>
  <c r="BE52" i="1"/>
  <c r="BF52" i="1" s="1"/>
  <c r="BD52" i="1"/>
  <c r="BC52" i="1"/>
  <c r="BA52" i="1"/>
  <c r="BB52" i="1" s="1"/>
  <c r="AZ52" i="1"/>
  <c r="AW52" i="1"/>
  <c r="AX52" i="1" s="1"/>
  <c r="AV52" i="1"/>
  <c r="AS52" i="1"/>
  <c r="AT52" i="1" s="1"/>
  <c r="AR52" i="1"/>
  <c r="AQ52" i="1"/>
  <c r="AO52" i="1"/>
  <c r="AP52" i="1" s="1"/>
  <c r="AM52" i="1"/>
  <c r="AN52" i="1" s="1"/>
  <c r="AL52" i="1"/>
  <c r="AK52" i="1"/>
  <c r="AI52" i="1"/>
  <c r="T52" i="1"/>
  <c r="K52" i="1"/>
  <c r="CL52" i="1" s="1"/>
  <c r="CM52" i="1" s="1"/>
  <c r="CN51" i="1"/>
  <c r="CF51" i="1"/>
  <c r="CE51" i="1"/>
  <c r="CC51" i="1"/>
  <c r="CD51" i="1" s="1"/>
  <c r="CB51" i="1"/>
  <c r="CA51" i="1"/>
  <c r="BY51" i="1"/>
  <c r="BZ51" i="1" s="1"/>
  <c r="BU51" i="1"/>
  <c r="BV51" i="1" s="1"/>
  <c r="BT51" i="1"/>
  <c r="BS51" i="1"/>
  <c r="BQ51" i="1"/>
  <c r="BR51" i="1" s="1"/>
  <c r="BP51" i="1"/>
  <c r="BO51" i="1"/>
  <c r="BM51" i="1"/>
  <c r="BN51" i="1" s="1"/>
  <c r="BJ51" i="1"/>
  <c r="BK51" i="1" s="1"/>
  <c r="BH51" i="1"/>
  <c r="BG51" i="1"/>
  <c r="BE51" i="1"/>
  <c r="BF51" i="1" s="1"/>
  <c r="BD51" i="1"/>
  <c r="BC51" i="1"/>
  <c r="BA51" i="1"/>
  <c r="BB51" i="1" s="1"/>
  <c r="AZ51" i="1"/>
  <c r="AW51" i="1"/>
  <c r="AX51" i="1" s="1"/>
  <c r="AV51" i="1"/>
  <c r="AS51" i="1"/>
  <c r="AT51" i="1" s="1"/>
  <c r="AR51" i="1"/>
  <c r="AQ51" i="1"/>
  <c r="AO51" i="1"/>
  <c r="AP51" i="1" s="1"/>
  <c r="AM51" i="1"/>
  <c r="AN51" i="1" s="1"/>
  <c r="AL51" i="1"/>
  <c r="AK51" i="1"/>
  <c r="AI51" i="1"/>
  <c r="AJ51" i="1" s="1"/>
  <c r="T51" i="1"/>
  <c r="K51" i="1"/>
  <c r="CL51" i="1" s="1"/>
  <c r="CM51" i="1" s="1"/>
  <c r="CN50" i="1"/>
  <c r="CF50" i="1"/>
  <c r="CE50" i="1"/>
  <c r="CC50" i="1"/>
  <c r="CD50" i="1" s="1"/>
  <c r="CB50" i="1"/>
  <c r="CA50" i="1"/>
  <c r="BY50" i="1"/>
  <c r="BZ50" i="1" s="1"/>
  <c r="BU50" i="1"/>
  <c r="BV50" i="1" s="1"/>
  <c r="BT50" i="1"/>
  <c r="BS50" i="1"/>
  <c r="BQ50" i="1"/>
  <c r="BR50" i="1" s="1"/>
  <c r="BP50" i="1"/>
  <c r="BO50" i="1"/>
  <c r="BM50" i="1"/>
  <c r="BN50" i="1" s="1"/>
  <c r="BJ50" i="1"/>
  <c r="BK50" i="1" s="1"/>
  <c r="BH50" i="1"/>
  <c r="BG50" i="1"/>
  <c r="BE50" i="1"/>
  <c r="BF50" i="1" s="1"/>
  <c r="BD50" i="1"/>
  <c r="BC50" i="1"/>
  <c r="BA50" i="1"/>
  <c r="BB50" i="1" s="1"/>
  <c r="AZ50" i="1"/>
  <c r="AW50" i="1"/>
  <c r="AX50" i="1" s="1"/>
  <c r="AV50" i="1"/>
  <c r="AS50" i="1"/>
  <c r="AT50" i="1" s="1"/>
  <c r="AR50" i="1"/>
  <c r="AQ50" i="1"/>
  <c r="AO50" i="1"/>
  <c r="AP50" i="1" s="1"/>
  <c r="AM50" i="1"/>
  <c r="AN50" i="1" s="1"/>
  <c r="AL50" i="1"/>
  <c r="AK50" i="1"/>
  <c r="AI50" i="1"/>
  <c r="T50" i="1"/>
  <c r="K50" i="1"/>
  <c r="CL50" i="1" s="1"/>
  <c r="CM50" i="1" s="1"/>
  <c r="CN49" i="1"/>
  <c r="CF49" i="1"/>
  <c r="CE49" i="1"/>
  <c r="CC49" i="1"/>
  <c r="CD49" i="1" s="1"/>
  <c r="CB49" i="1"/>
  <c r="CA49" i="1"/>
  <c r="BY49" i="1"/>
  <c r="BZ49" i="1" s="1"/>
  <c r="BU49" i="1"/>
  <c r="BV49" i="1" s="1"/>
  <c r="BT49" i="1"/>
  <c r="BS49" i="1"/>
  <c r="BQ49" i="1"/>
  <c r="BR49" i="1" s="1"/>
  <c r="BP49" i="1"/>
  <c r="BO49" i="1"/>
  <c r="BM49" i="1"/>
  <c r="BN49" i="1" s="1"/>
  <c r="BJ49" i="1"/>
  <c r="BK49" i="1" s="1"/>
  <c r="BH49" i="1"/>
  <c r="BG49" i="1"/>
  <c r="BE49" i="1"/>
  <c r="BF49" i="1" s="1"/>
  <c r="BD49" i="1"/>
  <c r="BC49" i="1"/>
  <c r="BA49" i="1"/>
  <c r="BB49" i="1" s="1"/>
  <c r="AZ49" i="1"/>
  <c r="AW49" i="1"/>
  <c r="AX49" i="1" s="1"/>
  <c r="AV49" i="1"/>
  <c r="AS49" i="1"/>
  <c r="AT49" i="1" s="1"/>
  <c r="AR49" i="1"/>
  <c r="AQ49" i="1"/>
  <c r="AO49" i="1"/>
  <c r="AP49" i="1" s="1"/>
  <c r="AM49" i="1"/>
  <c r="AN49" i="1" s="1"/>
  <c r="AL49" i="1"/>
  <c r="AK49" i="1"/>
  <c r="AI49" i="1"/>
  <c r="AJ49" i="1" s="1"/>
  <c r="T49" i="1"/>
  <c r="K49" i="1"/>
  <c r="CL49" i="1" s="1"/>
  <c r="CM49" i="1" s="1"/>
  <c r="CN48" i="1"/>
  <c r="CF48" i="1"/>
  <c r="CE48" i="1"/>
  <c r="CC48" i="1"/>
  <c r="CD48" i="1" s="1"/>
  <c r="CB48" i="1"/>
  <c r="CA48" i="1"/>
  <c r="BY48" i="1"/>
  <c r="BZ48" i="1" s="1"/>
  <c r="BU48" i="1"/>
  <c r="BV48" i="1" s="1"/>
  <c r="BT48" i="1"/>
  <c r="BS48" i="1"/>
  <c r="BQ48" i="1"/>
  <c r="BR48" i="1" s="1"/>
  <c r="BP48" i="1"/>
  <c r="BO48" i="1"/>
  <c r="BM48" i="1"/>
  <c r="BN48" i="1" s="1"/>
  <c r="BJ48" i="1"/>
  <c r="BK48" i="1" s="1"/>
  <c r="BH48" i="1"/>
  <c r="BG48" i="1"/>
  <c r="BE48" i="1"/>
  <c r="BF48" i="1" s="1"/>
  <c r="BD48" i="1"/>
  <c r="BC48" i="1"/>
  <c r="BA48" i="1"/>
  <c r="BB48" i="1" s="1"/>
  <c r="AZ48" i="1"/>
  <c r="AW48" i="1"/>
  <c r="AX48" i="1" s="1"/>
  <c r="AV48" i="1"/>
  <c r="AS48" i="1"/>
  <c r="AT48" i="1" s="1"/>
  <c r="AR48" i="1"/>
  <c r="AQ48" i="1"/>
  <c r="AO48" i="1"/>
  <c r="AP48" i="1" s="1"/>
  <c r="AM48" i="1"/>
  <c r="AN48" i="1" s="1"/>
  <c r="AL48" i="1"/>
  <c r="AK48" i="1"/>
  <c r="AI48" i="1"/>
  <c r="T48" i="1"/>
  <c r="K48" i="1"/>
  <c r="CL48" i="1" s="1"/>
  <c r="CM48" i="1" s="1"/>
  <c r="CN47" i="1"/>
  <c r="CF47" i="1"/>
  <c r="CE47" i="1"/>
  <c r="CC47" i="1"/>
  <c r="CD47" i="1" s="1"/>
  <c r="CB47" i="1"/>
  <c r="CA47" i="1"/>
  <c r="BY47" i="1"/>
  <c r="BZ47" i="1" s="1"/>
  <c r="BU47" i="1"/>
  <c r="BV47" i="1" s="1"/>
  <c r="BT47" i="1"/>
  <c r="BS47" i="1"/>
  <c r="BQ47" i="1"/>
  <c r="BR47" i="1" s="1"/>
  <c r="BP47" i="1"/>
  <c r="BO47" i="1"/>
  <c r="BM47" i="1"/>
  <c r="BN47" i="1" s="1"/>
  <c r="BJ47" i="1"/>
  <c r="BK47" i="1" s="1"/>
  <c r="BH47" i="1"/>
  <c r="BG47" i="1"/>
  <c r="BE47" i="1"/>
  <c r="BF47" i="1" s="1"/>
  <c r="BD47" i="1"/>
  <c r="BC47" i="1"/>
  <c r="BA47" i="1"/>
  <c r="BB47" i="1" s="1"/>
  <c r="AZ47" i="1"/>
  <c r="AW47" i="1"/>
  <c r="AX47" i="1" s="1"/>
  <c r="AV47" i="1"/>
  <c r="AS47" i="1"/>
  <c r="AT47" i="1" s="1"/>
  <c r="AR47" i="1"/>
  <c r="AQ47" i="1"/>
  <c r="AO47" i="1"/>
  <c r="AP47" i="1" s="1"/>
  <c r="AM47" i="1"/>
  <c r="AN47" i="1" s="1"/>
  <c r="AL47" i="1"/>
  <c r="AK47" i="1"/>
  <c r="AI47" i="1"/>
  <c r="AJ47" i="1" s="1"/>
  <c r="T47" i="1"/>
  <c r="K47" i="1"/>
  <c r="CL47" i="1" s="1"/>
  <c r="CM47" i="1" s="1"/>
  <c r="CN46" i="1"/>
  <c r="CF46" i="1"/>
  <c r="CE46" i="1"/>
  <c r="CC46" i="1"/>
  <c r="CD46" i="1" s="1"/>
  <c r="CB46" i="1"/>
  <c r="CA46" i="1"/>
  <c r="BY46" i="1"/>
  <c r="BZ46" i="1" s="1"/>
  <c r="BU46" i="1"/>
  <c r="BV46" i="1" s="1"/>
  <c r="BT46" i="1"/>
  <c r="BS46" i="1"/>
  <c r="BQ46" i="1"/>
  <c r="BR46" i="1" s="1"/>
  <c r="BP46" i="1"/>
  <c r="BO46" i="1"/>
  <c r="BM46" i="1"/>
  <c r="BN46" i="1" s="1"/>
  <c r="BJ46" i="1"/>
  <c r="BK46" i="1" s="1"/>
  <c r="BH46" i="1"/>
  <c r="BG46" i="1"/>
  <c r="BE46" i="1"/>
  <c r="BF46" i="1" s="1"/>
  <c r="BD46" i="1"/>
  <c r="BC46" i="1"/>
  <c r="BA46" i="1"/>
  <c r="BB46" i="1" s="1"/>
  <c r="AZ46" i="1"/>
  <c r="AW46" i="1"/>
  <c r="AX46" i="1" s="1"/>
  <c r="AV46" i="1"/>
  <c r="AS46" i="1"/>
  <c r="AT46" i="1" s="1"/>
  <c r="AR46" i="1"/>
  <c r="AQ46" i="1"/>
  <c r="AO46" i="1"/>
  <c r="AP46" i="1" s="1"/>
  <c r="AM46" i="1"/>
  <c r="AN46" i="1" s="1"/>
  <c r="AL46" i="1"/>
  <c r="AK46" i="1"/>
  <c r="AI46" i="1"/>
  <c r="T46" i="1"/>
  <c r="K46" i="1"/>
  <c r="CL46" i="1" s="1"/>
  <c r="CM46" i="1" s="1"/>
  <c r="CN45" i="1"/>
  <c r="CF45" i="1"/>
  <c r="CE45" i="1"/>
  <c r="CC45" i="1"/>
  <c r="CD45" i="1" s="1"/>
  <c r="CB45" i="1"/>
  <c r="CA45" i="1"/>
  <c r="BY45" i="1"/>
  <c r="BZ45" i="1" s="1"/>
  <c r="BU45" i="1"/>
  <c r="BV45" i="1" s="1"/>
  <c r="BT45" i="1"/>
  <c r="BS45" i="1"/>
  <c r="BQ45" i="1"/>
  <c r="BR45" i="1" s="1"/>
  <c r="BP45" i="1"/>
  <c r="BO45" i="1"/>
  <c r="BM45" i="1"/>
  <c r="BN45" i="1" s="1"/>
  <c r="BJ45" i="1"/>
  <c r="BK45" i="1" s="1"/>
  <c r="BH45" i="1"/>
  <c r="BG45" i="1"/>
  <c r="BE45" i="1"/>
  <c r="BF45" i="1" s="1"/>
  <c r="BD45" i="1"/>
  <c r="BC45" i="1"/>
  <c r="BA45" i="1"/>
  <c r="BB45" i="1" s="1"/>
  <c r="AZ45" i="1"/>
  <c r="AW45" i="1"/>
  <c r="AX45" i="1" s="1"/>
  <c r="AV45" i="1"/>
  <c r="AS45" i="1"/>
  <c r="AT45" i="1" s="1"/>
  <c r="AR45" i="1"/>
  <c r="AQ45" i="1"/>
  <c r="AO45" i="1"/>
  <c r="AP45" i="1" s="1"/>
  <c r="AM45" i="1"/>
  <c r="AN45" i="1" s="1"/>
  <c r="AL45" i="1"/>
  <c r="AK45" i="1"/>
  <c r="AI45" i="1"/>
  <c r="AJ45" i="1" s="1"/>
  <c r="T45" i="1"/>
  <c r="K45" i="1"/>
  <c r="CL45" i="1" s="1"/>
  <c r="CM45" i="1" s="1"/>
  <c r="CF44" i="1"/>
  <c r="CE44" i="1"/>
  <c r="CC44" i="1"/>
  <c r="CD44" i="1" s="1"/>
  <c r="CB44" i="1"/>
  <c r="CA44" i="1"/>
  <c r="BY44" i="1"/>
  <c r="BZ44" i="1" s="1"/>
  <c r="BU44" i="1"/>
  <c r="BV44" i="1" s="1"/>
  <c r="BS44" i="1"/>
  <c r="BP44" i="1"/>
  <c r="BO44" i="1"/>
  <c r="BM44" i="1"/>
  <c r="BN44" i="1" s="1"/>
  <c r="BJ44" i="1"/>
  <c r="BK44" i="1" s="1"/>
  <c r="BH44" i="1"/>
  <c r="BG44" i="1"/>
  <c r="BE44" i="1"/>
  <c r="BF44" i="1" s="1"/>
  <c r="BD44" i="1"/>
  <c r="BC44" i="1"/>
  <c r="BA44" i="1"/>
  <c r="BB44" i="1" s="1"/>
  <c r="AZ44" i="1"/>
  <c r="AW44" i="1"/>
  <c r="AX44" i="1" s="1"/>
  <c r="AV44" i="1"/>
  <c r="AS44" i="1"/>
  <c r="AT44" i="1" s="1"/>
  <c r="AR44" i="1"/>
  <c r="AQ44" i="1"/>
  <c r="AO44" i="1"/>
  <c r="AP44" i="1" s="1"/>
  <c r="AM44" i="1"/>
  <c r="AN44" i="1" s="1"/>
  <c r="AL44" i="1"/>
  <c r="AK44" i="1"/>
  <c r="AI44" i="1"/>
  <c r="AJ44" i="1" s="1"/>
  <c r="T44" i="1"/>
  <c r="K44" i="1"/>
  <c r="CL44" i="1" s="1"/>
  <c r="CM44" i="1" s="1"/>
  <c r="CF43" i="1"/>
  <c r="CE43" i="1"/>
  <c r="CC43" i="1"/>
  <c r="CD43" i="1" s="1"/>
  <c r="CB43" i="1"/>
  <c r="CA43" i="1"/>
  <c r="BY43" i="1"/>
  <c r="BZ43" i="1" s="1"/>
  <c r="BU43" i="1"/>
  <c r="BV43" i="1" s="1"/>
  <c r="BT43" i="1"/>
  <c r="BS43" i="1"/>
  <c r="BQ43" i="1"/>
  <c r="BR43" i="1" s="1"/>
  <c r="BP43" i="1"/>
  <c r="BO43" i="1"/>
  <c r="BM43" i="1"/>
  <c r="BN43" i="1" s="1"/>
  <c r="BJ43" i="1"/>
  <c r="BK43" i="1" s="1"/>
  <c r="BH43" i="1"/>
  <c r="BG43" i="1"/>
  <c r="BE43" i="1"/>
  <c r="BF43" i="1" s="1"/>
  <c r="BD43" i="1"/>
  <c r="BC43" i="1"/>
  <c r="BA43" i="1"/>
  <c r="BB43" i="1" s="1"/>
  <c r="AZ43" i="1"/>
  <c r="AW43" i="1"/>
  <c r="AX43" i="1" s="1"/>
  <c r="AV43" i="1"/>
  <c r="AS43" i="1"/>
  <c r="AT43" i="1" s="1"/>
  <c r="AR43" i="1"/>
  <c r="AQ43" i="1"/>
  <c r="AO43" i="1"/>
  <c r="AP43" i="1" s="1"/>
  <c r="AM43" i="1"/>
  <c r="AN43" i="1" s="1"/>
  <c r="AL43" i="1"/>
  <c r="AK43" i="1"/>
  <c r="AI43" i="1"/>
  <c r="AJ43" i="1" s="1"/>
  <c r="T43" i="1"/>
  <c r="K43" i="1"/>
  <c r="CL43" i="1" s="1"/>
  <c r="CM43" i="1" s="1"/>
  <c r="CN42" i="1"/>
  <c r="CF42" i="1"/>
  <c r="CE42" i="1"/>
  <c r="CC42" i="1"/>
  <c r="CD42" i="1" s="1"/>
  <c r="CB42" i="1"/>
  <c r="CA42" i="1"/>
  <c r="BY42" i="1"/>
  <c r="BZ42" i="1" s="1"/>
  <c r="BU42" i="1"/>
  <c r="BV42" i="1" s="1"/>
  <c r="BT42" i="1"/>
  <c r="BS42" i="1"/>
  <c r="BQ42" i="1"/>
  <c r="BR42" i="1" s="1"/>
  <c r="BP42" i="1"/>
  <c r="BO42" i="1"/>
  <c r="BM42" i="1"/>
  <c r="BN42" i="1" s="1"/>
  <c r="BJ42" i="1"/>
  <c r="BK42" i="1" s="1"/>
  <c r="BH42" i="1"/>
  <c r="BG42" i="1"/>
  <c r="BE42" i="1"/>
  <c r="BF42" i="1" s="1"/>
  <c r="BD42" i="1"/>
  <c r="BC42" i="1"/>
  <c r="BA42" i="1"/>
  <c r="BB42" i="1" s="1"/>
  <c r="AZ42" i="1"/>
  <c r="AW42" i="1"/>
  <c r="AX42" i="1" s="1"/>
  <c r="AV42" i="1"/>
  <c r="AS42" i="1"/>
  <c r="AT42" i="1" s="1"/>
  <c r="AQ42" i="1"/>
  <c r="AM42" i="1"/>
  <c r="AN42" i="1" s="1"/>
  <c r="AK42" i="1"/>
  <c r="T42" i="1"/>
  <c r="K42" i="1"/>
  <c r="CL42" i="1" s="1"/>
  <c r="CM42" i="1" s="1"/>
  <c r="CO42" i="1" s="1"/>
  <c r="CN41" i="1"/>
  <c r="CF41" i="1"/>
  <c r="CE41" i="1"/>
  <c r="CC41" i="1"/>
  <c r="CD41" i="1" s="1"/>
  <c r="CB41" i="1"/>
  <c r="CA41" i="1"/>
  <c r="BY41" i="1"/>
  <c r="BZ41" i="1" s="1"/>
  <c r="BU41" i="1"/>
  <c r="BV41" i="1" s="1"/>
  <c r="BT41" i="1"/>
  <c r="BS41" i="1"/>
  <c r="BQ41" i="1"/>
  <c r="BR41" i="1" s="1"/>
  <c r="BP41" i="1"/>
  <c r="BO41" i="1"/>
  <c r="BM41" i="1"/>
  <c r="BN41" i="1" s="1"/>
  <c r="BJ41" i="1"/>
  <c r="BK41" i="1" s="1"/>
  <c r="BH41" i="1"/>
  <c r="BG41" i="1"/>
  <c r="BE41" i="1"/>
  <c r="BF41" i="1" s="1"/>
  <c r="BD41" i="1"/>
  <c r="BC41" i="1"/>
  <c r="BA41" i="1"/>
  <c r="BB41" i="1" s="1"/>
  <c r="AZ41" i="1"/>
  <c r="AW41" i="1"/>
  <c r="AX41" i="1" s="1"/>
  <c r="AV41" i="1"/>
  <c r="AS41" i="1"/>
  <c r="AT41" i="1" s="1"/>
  <c r="AQ41" i="1"/>
  <c r="AM41" i="1"/>
  <c r="AN41" i="1" s="1"/>
  <c r="AK41" i="1"/>
  <c r="T41" i="1"/>
  <c r="K41" i="1"/>
  <c r="CL41" i="1" s="1"/>
  <c r="CM41" i="1" s="1"/>
  <c r="CN40" i="1"/>
  <c r="CF40" i="1"/>
  <c r="CE40" i="1"/>
  <c r="CC40" i="1"/>
  <c r="CD40" i="1" s="1"/>
  <c r="CB40" i="1"/>
  <c r="CA40" i="1"/>
  <c r="BY40" i="1"/>
  <c r="BZ40" i="1" s="1"/>
  <c r="BU40" i="1"/>
  <c r="BV40" i="1" s="1"/>
  <c r="BT40" i="1"/>
  <c r="BS40" i="1"/>
  <c r="BQ40" i="1"/>
  <c r="BR40" i="1" s="1"/>
  <c r="BP40" i="1"/>
  <c r="BO40" i="1"/>
  <c r="BM40" i="1"/>
  <c r="BN40" i="1" s="1"/>
  <c r="BJ40" i="1"/>
  <c r="BK40" i="1" s="1"/>
  <c r="BH40" i="1"/>
  <c r="BG40" i="1"/>
  <c r="BE40" i="1"/>
  <c r="BF40" i="1" s="1"/>
  <c r="BD40" i="1"/>
  <c r="BC40" i="1"/>
  <c r="BA40" i="1"/>
  <c r="BB40" i="1" s="1"/>
  <c r="AZ40" i="1"/>
  <c r="AW40" i="1"/>
  <c r="AX40" i="1" s="1"/>
  <c r="AV40" i="1"/>
  <c r="AS40" i="1"/>
  <c r="AT40" i="1" s="1"/>
  <c r="AR40" i="1"/>
  <c r="AQ40" i="1"/>
  <c r="AO40" i="1"/>
  <c r="AP40" i="1" s="1"/>
  <c r="AM40" i="1"/>
  <c r="AN40" i="1" s="1"/>
  <c r="AK40" i="1"/>
  <c r="T40" i="1"/>
  <c r="K40" i="1"/>
  <c r="CL40" i="1" s="1"/>
  <c r="CM40" i="1" s="1"/>
  <c r="CO39" i="1"/>
  <c r="CN39" i="1"/>
  <c r="CL39" i="1"/>
  <c r="CM39" i="1" s="1"/>
  <c r="CF39" i="1"/>
  <c r="CE39" i="1"/>
  <c r="CC39" i="1"/>
  <c r="CD39" i="1" s="1"/>
  <c r="CB39" i="1"/>
  <c r="CA39" i="1"/>
  <c r="BY39" i="1"/>
  <c r="BZ39" i="1" s="1"/>
  <c r="BU39" i="1"/>
  <c r="BV39" i="1" s="1"/>
  <c r="BT39" i="1"/>
  <c r="BS39" i="1"/>
  <c r="BQ39" i="1"/>
  <c r="BR39" i="1" s="1"/>
  <c r="BP39" i="1"/>
  <c r="BO39" i="1"/>
  <c r="BM39" i="1"/>
  <c r="BN39" i="1" s="1"/>
  <c r="BJ39" i="1"/>
  <c r="BK39" i="1" s="1"/>
  <c r="BH39" i="1"/>
  <c r="BG39" i="1"/>
  <c r="BE39" i="1"/>
  <c r="BF39" i="1" s="1"/>
  <c r="BD39" i="1"/>
  <c r="BC39" i="1"/>
  <c r="BA39" i="1"/>
  <c r="BB39" i="1" s="1"/>
  <c r="AZ39" i="1"/>
  <c r="AW39" i="1"/>
  <c r="AX39" i="1" s="1"/>
  <c r="AV39" i="1"/>
  <c r="AS39" i="1"/>
  <c r="AT39" i="1" s="1"/>
  <c r="AR39" i="1"/>
  <c r="AQ39" i="1"/>
  <c r="AO39" i="1"/>
  <c r="AP39" i="1" s="1"/>
  <c r="AM39" i="1"/>
  <c r="AN39" i="1" s="1"/>
  <c r="AL39" i="1"/>
  <c r="AK39" i="1"/>
  <c r="CJ39" i="1" s="1"/>
  <c r="AI39" i="1"/>
  <c r="AJ39" i="1" s="1"/>
  <c r="N31" i="1"/>
  <c r="L31" i="1"/>
  <c r="I31" i="1"/>
  <c r="H31" i="1"/>
  <c r="AQ30" i="1"/>
  <c r="N30" i="1"/>
  <c r="L30" i="1"/>
  <c r="I30" i="1"/>
  <c r="H30" i="1"/>
  <c r="I29" i="1"/>
  <c r="H29" i="1"/>
  <c r="I28" i="1"/>
  <c r="H28" i="1"/>
  <c r="N27" i="1"/>
  <c r="L27" i="1"/>
  <c r="I27" i="1"/>
  <c r="H27" i="1"/>
  <c r="N26" i="1"/>
  <c r="L26" i="1"/>
  <c r="I26" i="1"/>
  <c r="H26" i="1"/>
  <c r="N25" i="1"/>
  <c r="L25" i="1"/>
  <c r="J25" i="1"/>
  <c r="H25" i="1"/>
  <c r="N24" i="1"/>
  <c r="L24" i="1"/>
  <c r="J24" i="1"/>
  <c r="H24" i="1"/>
  <c r="N23" i="1"/>
  <c r="J23" i="1"/>
  <c r="H23" i="1"/>
  <c r="N22" i="1"/>
  <c r="L22" i="1"/>
  <c r="J22" i="1"/>
  <c r="H22" i="1"/>
  <c r="J21" i="1"/>
  <c r="H21" i="1"/>
  <c r="N20" i="1"/>
  <c r="L20" i="1"/>
  <c r="J20" i="1"/>
  <c r="H20" i="1"/>
  <c r="N19" i="1"/>
  <c r="L19" i="1"/>
  <c r="J19" i="1"/>
  <c r="H19" i="1"/>
  <c r="N18" i="1"/>
  <c r="L18" i="1"/>
  <c r="J18" i="1"/>
  <c r="H18" i="1"/>
  <c r="N17" i="1"/>
  <c r="J17" i="1"/>
  <c r="H17" i="1"/>
  <c r="N16" i="1"/>
  <c r="J16" i="1"/>
  <c r="H16" i="1"/>
  <c r="N15" i="1"/>
  <c r="L15" i="1"/>
  <c r="J15" i="1"/>
  <c r="H15" i="1"/>
  <c r="AO42" i="1" l="1"/>
  <c r="AP42" i="1" s="1"/>
  <c r="AR42" i="1" s="1"/>
  <c r="CO41" i="1"/>
  <c r="T39" i="1"/>
  <c r="E24" i="1" s="1"/>
  <c r="CH100" i="1"/>
  <c r="P100" i="1" s="1"/>
  <c r="CJ167" i="1"/>
  <c r="R167" i="1" s="1"/>
  <c r="CJ102" i="1"/>
  <c r="R102" i="1" s="1"/>
  <c r="CJ107" i="1"/>
  <c r="R107" i="1" s="1"/>
  <c r="CJ111" i="1"/>
  <c r="R111" i="1" s="1"/>
  <c r="CJ115" i="1"/>
  <c r="R115" i="1" s="1"/>
  <c r="CJ119" i="1"/>
  <c r="R119" i="1" s="1"/>
  <c r="CJ123" i="1"/>
  <c r="R123" i="1" s="1"/>
  <c r="CJ127" i="1"/>
  <c r="R127" i="1" s="1"/>
  <c r="CJ131" i="1"/>
  <c r="R131" i="1" s="1"/>
  <c r="CJ135" i="1"/>
  <c r="R135" i="1" s="1"/>
  <c r="CJ139" i="1"/>
  <c r="R139" i="1" s="1"/>
  <c r="CJ143" i="1"/>
  <c r="R143" i="1" s="1"/>
  <c r="CJ147" i="1"/>
  <c r="R147" i="1" s="1"/>
  <c r="CJ151" i="1"/>
  <c r="R151" i="1" s="1"/>
  <c r="CJ155" i="1"/>
  <c r="R155" i="1" s="1"/>
  <c r="CJ163" i="1"/>
  <c r="R163" i="1" s="1"/>
  <c r="CJ157" i="1"/>
  <c r="R157" i="1" s="1"/>
  <c r="CJ161" i="1"/>
  <c r="R161" i="1" s="1"/>
  <c r="CJ165" i="1"/>
  <c r="R165" i="1" s="1"/>
  <c r="CJ169" i="1"/>
  <c r="R169" i="1" s="1"/>
  <c r="CJ173" i="1"/>
  <c r="R173" i="1" s="1"/>
  <c r="CJ177" i="1"/>
  <c r="R177" i="1" s="1"/>
  <c r="CJ181" i="1"/>
  <c r="R181" i="1" s="1"/>
  <c r="CJ185" i="1"/>
  <c r="R185" i="1" s="1"/>
  <c r="CJ189" i="1"/>
  <c r="R189" i="1" s="1"/>
  <c r="CJ193" i="1"/>
  <c r="R193" i="1" s="1"/>
  <c r="CJ197" i="1"/>
  <c r="R197" i="1" s="1"/>
  <c r="CJ201" i="1"/>
  <c r="R201" i="1" s="1"/>
  <c r="CJ205" i="1"/>
  <c r="R205" i="1" s="1"/>
  <c r="CJ209" i="1"/>
  <c r="R209" i="1" s="1"/>
  <c r="CJ213" i="1"/>
  <c r="R213" i="1" s="1"/>
  <c r="CJ217" i="1"/>
  <c r="CJ218" i="1"/>
  <c r="R218" i="1" s="1"/>
  <c r="CJ223" i="1"/>
  <c r="R223" i="1" s="1"/>
  <c r="CH226" i="1"/>
  <c r="P226" i="1" s="1"/>
  <c r="CJ233" i="1"/>
  <c r="CJ234" i="1"/>
  <c r="R234" i="1" s="1"/>
  <c r="CJ239" i="1"/>
  <c r="R239" i="1" s="1"/>
  <c r="CH242" i="1"/>
  <c r="P242" i="1" s="1"/>
  <c r="CJ249" i="1"/>
  <c r="CJ250" i="1"/>
  <c r="R250" i="1" s="1"/>
  <c r="CJ255" i="1"/>
  <c r="R255" i="1" s="1"/>
  <c r="CJ256" i="1"/>
  <c r="R256" i="1" s="1"/>
  <c r="CJ259" i="1"/>
  <c r="R259" i="1" s="1"/>
  <c r="CJ264" i="1"/>
  <c r="R264" i="1" s="1"/>
  <c r="CJ271" i="1"/>
  <c r="R271" i="1" s="1"/>
  <c r="CJ276" i="1"/>
  <c r="R276" i="1" s="1"/>
  <c r="CJ281" i="1"/>
  <c r="R281" i="1" s="1"/>
  <c r="CJ287" i="1"/>
  <c r="CJ288" i="1"/>
  <c r="R288" i="1" s="1"/>
  <c r="CJ292" i="1"/>
  <c r="R292" i="1" s="1"/>
  <c r="CJ297" i="1"/>
  <c r="R297" i="1" s="1"/>
  <c r="AI42" i="1"/>
  <c r="BQ44" i="1"/>
  <c r="BR44" i="1" s="1"/>
  <c r="BT44" i="1" s="1"/>
  <c r="AI41" i="1"/>
  <c r="AJ41" i="1" s="1"/>
  <c r="AL41" i="1" s="1"/>
  <c r="AO41" i="1"/>
  <c r="AP41" i="1" s="1"/>
  <c r="AR41" i="1" s="1"/>
  <c r="CJ40" i="1"/>
  <c r="R40" i="1" s="1"/>
  <c r="AI40" i="1"/>
  <c r="CO40" i="1"/>
  <c r="CJ45" i="1"/>
  <c r="R45" i="1" s="1"/>
  <c r="CJ46" i="1"/>
  <c r="R46" i="1" s="1"/>
  <c r="CJ47" i="1"/>
  <c r="R47" i="1" s="1"/>
  <c r="CJ48" i="1"/>
  <c r="R48" i="1" s="1"/>
  <c r="CJ49" i="1"/>
  <c r="R49" i="1" s="1"/>
  <c r="CJ50" i="1"/>
  <c r="R50" i="1" s="1"/>
  <c r="CJ51" i="1"/>
  <c r="R51" i="1" s="1"/>
  <c r="CJ52" i="1"/>
  <c r="R52" i="1" s="1"/>
  <c r="CJ53" i="1"/>
  <c r="R53" i="1" s="1"/>
  <c r="CJ54" i="1"/>
  <c r="R54" i="1" s="1"/>
  <c r="CJ55" i="1"/>
  <c r="R55" i="1" s="1"/>
  <c r="BH64" i="1"/>
  <c r="CJ65" i="1"/>
  <c r="R65" i="1" s="1"/>
  <c r="CI64" i="1"/>
  <c r="CJ56" i="1"/>
  <c r="R56" i="1" s="1"/>
  <c r="CJ57" i="1"/>
  <c r="R57" i="1" s="1"/>
  <c r="CJ58" i="1"/>
  <c r="R58" i="1" s="1"/>
  <c r="BH63" i="1"/>
  <c r="CJ64" i="1"/>
  <c r="R64" i="1" s="1"/>
  <c r="CJ68" i="1"/>
  <c r="R68" i="1" s="1"/>
  <c r="CH96" i="1"/>
  <c r="P96" i="1" s="1"/>
  <c r="CJ98" i="1"/>
  <c r="R98" i="1" s="1"/>
  <c r="CJ69" i="1"/>
  <c r="R69" i="1" s="1"/>
  <c r="CJ83" i="1"/>
  <c r="R83" i="1" s="1"/>
  <c r="CJ91" i="1"/>
  <c r="R91" i="1" s="1"/>
  <c r="CJ93" i="1"/>
  <c r="R93" i="1" s="1"/>
  <c r="CJ96" i="1"/>
  <c r="R96" i="1" s="1"/>
  <c r="CH98" i="1"/>
  <c r="P98" i="1" s="1"/>
  <c r="CI90" i="1"/>
  <c r="CI92" i="1"/>
  <c r="CI68" i="1"/>
  <c r="CI220" i="1"/>
  <c r="CI236" i="1"/>
  <c r="CI252" i="1"/>
  <c r="CI261" i="1"/>
  <c r="CI273" i="1"/>
  <c r="CI278" i="1"/>
  <c r="CI294" i="1"/>
  <c r="N29" i="1"/>
  <c r="CI60" i="1"/>
  <c r="CI74" i="1"/>
  <c r="CI76" i="1"/>
  <c r="CI82" i="1"/>
  <c r="CI86" i="1"/>
  <c r="CI104" i="1"/>
  <c r="CI106" i="1"/>
  <c r="CI112" i="1"/>
  <c r="CI116" i="1"/>
  <c r="CI118" i="1"/>
  <c r="CI126" i="1"/>
  <c r="CI134" i="1"/>
  <c r="CI140" i="1"/>
  <c r="CI142" i="1"/>
  <c r="CI148" i="1"/>
  <c r="CI150" i="1"/>
  <c r="CI152" i="1"/>
  <c r="CI154" i="1"/>
  <c r="CI156" i="1"/>
  <c r="CI158" i="1"/>
  <c r="CI160" i="1"/>
  <c r="CI166" i="1"/>
  <c r="CI176" i="1"/>
  <c r="CI178" i="1"/>
  <c r="CI180" i="1"/>
  <c r="CJ42" i="1"/>
  <c r="R42" i="1" s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J59" i="1"/>
  <c r="R59" i="1" s="1"/>
  <c r="CH60" i="1"/>
  <c r="P60" i="1" s="1"/>
  <c r="CJ60" i="1"/>
  <c r="R60" i="1" s="1"/>
  <c r="CJ61" i="1"/>
  <c r="R61" i="1" s="1"/>
  <c r="BH62" i="1"/>
  <c r="CJ62" i="1"/>
  <c r="R62" i="1" s="1"/>
  <c r="CJ63" i="1"/>
  <c r="R63" i="1" s="1"/>
  <c r="BH65" i="1"/>
  <c r="BH66" i="1"/>
  <c r="CJ66" i="1"/>
  <c r="R66" i="1" s="1"/>
  <c r="CJ67" i="1"/>
  <c r="R67" i="1" s="1"/>
  <c r="BH69" i="1"/>
  <c r="BH70" i="1"/>
  <c r="CJ70" i="1"/>
  <c r="R70" i="1" s="1"/>
  <c r="CJ71" i="1"/>
  <c r="R71" i="1" s="1"/>
  <c r="CH72" i="1"/>
  <c r="P72" i="1" s="1"/>
  <c r="CJ72" i="1"/>
  <c r="R72" i="1" s="1"/>
  <c r="CJ73" i="1"/>
  <c r="R73" i="1" s="1"/>
  <c r="CH74" i="1"/>
  <c r="P74" i="1" s="1"/>
  <c r="CJ74" i="1"/>
  <c r="R74" i="1" s="1"/>
  <c r="CJ75" i="1"/>
  <c r="R75" i="1" s="1"/>
  <c r="CH76" i="1"/>
  <c r="P76" i="1" s="1"/>
  <c r="CJ76" i="1"/>
  <c r="R76" i="1" s="1"/>
  <c r="CJ77" i="1"/>
  <c r="R77" i="1" s="1"/>
  <c r="CH78" i="1"/>
  <c r="P78" i="1" s="1"/>
  <c r="CJ78" i="1"/>
  <c r="R78" i="1" s="1"/>
  <c r="CJ79" i="1"/>
  <c r="R79" i="1" s="1"/>
  <c r="CH80" i="1"/>
  <c r="P80" i="1" s="1"/>
  <c r="CJ80" i="1"/>
  <c r="R80" i="1" s="1"/>
  <c r="CJ81" i="1"/>
  <c r="R81" i="1" s="1"/>
  <c r="CO82" i="1"/>
  <c r="CH84" i="1"/>
  <c r="P84" i="1" s="1"/>
  <c r="CJ84" i="1"/>
  <c r="R84" i="1" s="1"/>
  <c r="CJ85" i="1"/>
  <c r="R85" i="1" s="1"/>
  <c r="CJ87" i="1"/>
  <c r="R87" i="1" s="1"/>
  <c r="BH93" i="1"/>
  <c r="BH94" i="1"/>
  <c r="CJ94" i="1"/>
  <c r="R94" i="1" s="1"/>
  <c r="CJ95" i="1"/>
  <c r="R95" i="1" s="1"/>
  <c r="AJ96" i="1"/>
  <c r="CI96" i="1" s="1"/>
  <c r="CJ97" i="1"/>
  <c r="R97" i="1" s="1"/>
  <c r="AJ98" i="1"/>
  <c r="CI98" i="1" s="1"/>
  <c r="CJ99" i="1"/>
  <c r="R99" i="1" s="1"/>
  <c r="AJ100" i="1"/>
  <c r="CI100" i="1" s="1"/>
  <c r="CJ101" i="1"/>
  <c r="R101" i="1" s="1"/>
  <c r="AJ102" i="1"/>
  <c r="CI102" i="1" s="1"/>
  <c r="CJ103" i="1"/>
  <c r="R103" i="1" s="1"/>
  <c r="CH104" i="1"/>
  <c r="P104" i="1" s="1"/>
  <c r="CJ104" i="1"/>
  <c r="R104" i="1" s="1"/>
  <c r="CI105" i="1"/>
  <c r="CH106" i="1"/>
  <c r="P106" i="1" s="1"/>
  <c r="CJ106" i="1"/>
  <c r="R106" i="1" s="1"/>
  <c r="CI107" i="1"/>
  <c r="CH108" i="1"/>
  <c r="P108" i="1" s="1"/>
  <c r="CJ108" i="1"/>
  <c r="R108" i="1" s="1"/>
  <c r="CI109" i="1"/>
  <c r="CH110" i="1"/>
  <c r="P110" i="1" s="1"/>
  <c r="CJ110" i="1"/>
  <c r="R110" i="1" s="1"/>
  <c r="CI111" i="1"/>
  <c r="CH112" i="1"/>
  <c r="P112" i="1" s="1"/>
  <c r="CJ112" i="1"/>
  <c r="R112" i="1" s="1"/>
  <c r="CI113" i="1"/>
  <c r="CH114" i="1"/>
  <c r="P114" i="1" s="1"/>
  <c r="CJ114" i="1"/>
  <c r="R114" i="1" s="1"/>
  <c r="CI115" i="1"/>
  <c r="CH116" i="1"/>
  <c r="P116" i="1" s="1"/>
  <c r="CJ116" i="1"/>
  <c r="R116" i="1" s="1"/>
  <c r="CI117" i="1"/>
  <c r="CH118" i="1"/>
  <c r="P118" i="1" s="1"/>
  <c r="CJ118" i="1"/>
  <c r="R118" i="1" s="1"/>
  <c r="CI119" i="1"/>
  <c r="CH120" i="1"/>
  <c r="P120" i="1" s="1"/>
  <c r="CJ120" i="1"/>
  <c r="R120" i="1" s="1"/>
  <c r="CI121" i="1"/>
  <c r="CH122" i="1"/>
  <c r="P122" i="1" s="1"/>
  <c r="CJ122" i="1"/>
  <c r="R122" i="1" s="1"/>
  <c r="CI123" i="1"/>
  <c r="CH124" i="1"/>
  <c r="P124" i="1" s="1"/>
  <c r="CJ124" i="1"/>
  <c r="R124" i="1" s="1"/>
  <c r="CI125" i="1"/>
  <c r="CH126" i="1"/>
  <c r="P126" i="1" s="1"/>
  <c r="CJ126" i="1"/>
  <c r="R126" i="1" s="1"/>
  <c r="CI127" i="1"/>
  <c r="CH128" i="1"/>
  <c r="P128" i="1" s="1"/>
  <c r="CJ128" i="1"/>
  <c r="R128" i="1" s="1"/>
  <c r="CI129" i="1"/>
  <c r="CH130" i="1"/>
  <c r="P130" i="1" s="1"/>
  <c r="CJ130" i="1"/>
  <c r="R130" i="1" s="1"/>
  <c r="CI131" i="1"/>
  <c r="CH132" i="1"/>
  <c r="P132" i="1" s="1"/>
  <c r="CJ132" i="1"/>
  <c r="R132" i="1" s="1"/>
  <c r="CI133" i="1"/>
  <c r="CH134" i="1"/>
  <c r="P134" i="1" s="1"/>
  <c r="CJ134" i="1"/>
  <c r="R134" i="1" s="1"/>
  <c r="CI135" i="1"/>
  <c r="CH136" i="1"/>
  <c r="P136" i="1" s="1"/>
  <c r="CJ136" i="1"/>
  <c r="R136" i="1" s="1"/>
  <c r="CI137" i="1"/>
  <c r="CH138" i="1"/>
  <c r="P138" i="1" s="1"/>
  <c r="CJ138" i="1"/>
  <c r="R138" i="1" s="1"/>
  <c r="CI139" i="1"/>
  <c r="CH140" i="1"/>
  <c r="P140" i="1" s="1"/>
  <c r="CJ140" i="1"/>
  <c r="R140" i="1" s="1"/>
  <c r="CI141" i="1"/>
  <c r="CH142" i="1"/>
  <c r="P142" i="1" s="1"/>
  <c r="CJ142" i="1"/>
  <c r="R142" i="1" s="1"/>
  <c r="CI143" i="1"/>
  <c r="CH144" i="1"/>
  <c r="P144" i="1" s="1"/>
  <c r="CJ144" i="1"/>
  <c r="R144" i="1" s="1"/>
  <c r="CI145" i="1"/>
  <c r="CH146" i="1"/>
  <c r="P146" i="1" s="1"/>
  <c r="CJ146" i="1"/>
  <c r="R146" i="1" s="1"/>
  <c r="CI147" i="1"/>
  <c r="CH148" i="1"/>
  <c r="P148" i="1" s="1"/>
  <c r="CJ148" i="1"/>
  <c r="R148" i="1" s="1"/>
  <c r="CI149" i="1"/>
  <c r="CH150" i="1"/>
  <c r="P150" i="1" s="1"/>
  <c r="CJ150" i="1"/>
  <c r="R150" i="1" s="1"/>
  <c r="CI151" i="1"/>
  <c r="CH152" i="1"/>
  <c r="P152" i="1" s="1"/>
  <c r="CJ152" i="1"/>
  <c r="R152" i="1" s="1"/>
  <c r="CI153" i="1"/>
  <c r="CH154" i="1"/>
  <c r="P154" i="1" s="1"/>
  <c r="CJ154" i="1"/>
  <c r="R154" i="1" s="1"/>
  <c r="CI155" i="1"/>
  <c r="CH156" i="1"/>
  <c r="P156" i="1" s="1"/>
  <c r="CJ156" i="1"/>
  <c r="R156" i="1" s="1"/>
  <c r="CI157" i="1"/>
  <c r="CH158" i="1"/>
  <c r="P158" i="1" s="1"/>
  <c r="CJ158" i="1"/>
  <c r="R158" i="1" s="1"/>
  <c r="CI159" i="1"/>
  <c r="CH160" i="1"/>
  <c r="P160" i="1" s="1"/>
  <c r="CJ160" i="1"/>
  <c r="R160" i="1" s="1"/>
  <c r="CI161" i="1"/>
  <c r="CH162" i="1"/>
  <c r="P162" i="1" s="1"/>
  <c r="CJ162" i="1"/>
  <c r="R162" i="1" s="1"/>
  <c r="CI163" i="1"/>
  <c r="CH164" i="1"/>
  <c r="P164" i="1" s="1"/>
  <c r="CJ164" i="1"/>
  <c r="R164" i="1" s="1"/>
  <c r="CI165" i="1"/>
  <c r="CH166" i="1"/>
  <c r="P166" i="1" s="1"/>
  <c r="CJ166" i="1"/>
  <c r="R166" i="1" s="1"/>
  <c r="CH168" i="1"/>
  <c r="P168" i="1" s="1"/>
  <c r="CJ168" i="1"/>
  <c r="R168" i="1" s="1"/>
  <c r="CH170" i="1"/>
  <c r="P170" i="1" s="1"/>
  <c r="CJ170" i="1"/>
  <c r="R170" i="1" s="1"/>
  <c r="CH172" i="1"/>
  <c r="P172" i="1" s="1"/>
  <c r="CJ172" i="1"/>
  <c r="R172" i="1" s="1"/>
  <c r="CH174" i="1"/>
  <c r="P174" i="1" s="1"/>
  <c r="CJ174" i="1"/>
  <c r="R174" i="1" s="1"/>
  <c r="CH176" i="1"/>
  <c r="P176" i="1" s="1"/>
  <c r="CJ176" i="1"/>
  <c r="R176" i="1" s="1"/>
  <c r="CH180" i="1"/>
  <c r="P180" i="1" s="1"/>
  <c r="CJ180" i="1"/>
  <c r="R180" i="1" s="1"/>
  <c r="CH181" i="1"/>
  <c r="P181" i="1" s="1"/>
  <c r="CH182" i="1"/>
  <c r="P182" i="1" s="1"/>
  <c r="CJ182" i="1"/>
  <c r="R182" i="1" s="1"/>
  <c r="CH183" i="1"/>
  <c r="P183" i="1" s="1"/>
  <c r="CH184" i="1"/>
  <c r="P184" i="1" s="1"/>
  <c r="CJ184" i="1"/>
  <c r="R184" i="1" s="1"/>
  <c r="CH185" i="1"/>
  <c r="P185" i="1" s="1"/>
  <c r="CH186" i="1"/>
  <c r="P186" i="1" s="1"/>
  <c r="CJ186" i="1"/>
  <c r="R186" i="1" s="1"/>
  <c r="CH187" i="1"/>
  <c r="P187" i="1" s="1"/>
  <c r="CH188" i="1"/>
  <c r="P188" i="1" s="1"/>
  <c r="CJ188" i="1"/>
  <c r="R188" i="1" s="1"/>
  <c r="CH189" i="1"/>
  <c r="P189" i="1" s="1"/>
  <c r="CH190" i="1"/>
  <c r="P190" i="1" s="1"/>
  <c r="CJ190" i="1"/>
  <c r="R190" i="1" s="1"/>
  <c r="CH191" i="1"/>
  <c r="P191" i="1" s="1"/>
  <c r="CH192" i="1"/>
  <c r="P192" i="1" s="1"/>
  <c r="CJ192" i="1"/>
  <c r="R192" i="1" s="1"/>
  <c r="CH193" i="1"/>
  <c r="P193" i="1" s="1"/>
  <c r="CH194" i="1"/>
  <c r="P194" i="1" s="1"/>
  <c r="CJ194" i="1"/>
  <c r="R194" i="1" s="1"/>
  <c r="CH195" i="1"/>
  <c r="P195" i="1" s="1"/>
  <c r="CH196" i="1"/>
  <c r="P196" i="1" s="1"/>
  <c r="CJ196" i="1"/>
  <c r="R196" i="1" s="1"/>
  <c r="CH197" i="1"/>
  <c r="P197" i="1" s="1"/>
  <c r="CH198" i="1"/>
  <c r="P198" i="1" s="1"/>
  <c r="CJ198" i="1"/>
  <c r="R198" i="1" s="1"/>
  <c r="CH199" i="1"/>
  <c r="P199" i="1" s="1"/>
  <c r="CH200" i="1"/>
  <c r="P200" i="1" s="1"/>
  <c r="CJ200" i="1"/>
  <c r="R200" i="1" s="1"/>
  <c r="CH201" i="1"/>
  <c r="P201" i="1" s="1"/>
  <c r="CH202" i="1"/>
  <c r="P202" i="1" s="1"/>
  <c r="CJ202" i="1"/>
  <c r="R202" i="1" s="1"/>
  <c r="CH203" i="1"/>
  <c r="P203" i="1" s="1"/>
  <c r="CH204" i="1"/>
  <c r="P204" i="1" s="1"/>
  <c r="CJ204" i="1"/>
  <c r="R204" i="1" s="1"/>
  <c r="CH205" i="1"/>
  <c r="P205" i="1" s="1"/>
  <c r="CH206" i="1"/>
  <c r="P206" i="1" s="1"/>
  <c r="CJ206" i="1"/>
  <c r="R206" i="1" s="1"/>
  <c r="CH207" i="1"/>
  <c r="P207" i="1" s="1"/>
  <c r="CH208" i="1"/>
  <c r="P208" i="1" s="1"/>
  <c r="CJ208" i="1"/>
  <c r="R208" i="1" s="1"/>
  <c r="CH209" i="1"/>
  <c r="P209" i="1" s="1"/>
  <c r="CH210" i="1"/>
  <c r="P210" i="1" s="1"/>
  <c r="CJ210" i="1"/>
  <c r="R210" i="1" s="1"/>
  <c r="CH211" i="1"/>
  <c r="P211" i="1" s="1"/>
  <c r="CH212" i="1"/>
  <c r="P212" i="1" s="1"/>
  <c r="CJ212" i="1"/>
  <c r="R212" i="1" s="1"/>
  <c r="CH213" i="1"/>
  <c r="P213" i="1" s="1"/>
  <c r="CH214" i="1"/>
  <c r="P214" i="1" s="1"/>
  <c r="CJ214" i="1"/>
  <c r="R214" i="1" s="1"/>
  <c r="CI217" i="1"/>
  <c r="Q217" i="1" s="1"/>
  <c r="AJ218" i="1"/>
  <c r="CI218" i="1" s="1"/>
  <c r="CJ219" i="1"/>
  <c r="R219" i="1" s="1"/>
  <c r="CJ221" i="1"/>
  <c r="CH222" i="1"/>
  <c r="P222" i="1" s="1"/>
  <c r="CJ222" i="1"/>
  <c r="R222" i="1" s="1"/>
  <c r="CI225" i="1"/>
  <c r="Q225" i="1" s="1"/>
  <c r="AJ226" i="1"/>
  <c r="CI226" i="1" s="1"/>
  <c r="CJ227" i="1"/>
  <c r="R227" i="1" s="1"/>
  <c r="CJ229" i="1"/>
  <c r="CH230" i="1"/>
  <c r="P230" i="1" s="1"/>
  <c r="CJ230" i="1"/>
  <c r="R230" i="1" s="1"/>
  <c r="CI233" i="1"/>
  <c r="Q233" i="1" s="1"/>
  <c r="AJ234" i="1"/>
  <c r="CI234" i="1" s="1"/>
  <c r="CJ235" i="1"/>
  <c r="R235" i="1" s="1"/>
  <c r="CJ237" i="1"/>
  <c r="CH238" i="1"/>
  <c r="P238" i="1" s="1"/>
  <c r="CJ238" i="1"/>
  <c r="R238" i="1" s="1"/>
  <c r="CI241" i="1"/>
  <c r="Q241" i="1" s="1"/>
  <c r="AJ242" i="1"/>
  <c r="CI242" i="1" s="1"/>
  <c r="CJ243" i="1"/>
  <c r="R243" i="1" s="1"/>
  <c r="CJ245" i="1"/>
  <c r="CH246" i="1"/>
  <c r="P246" i="1" s="1"/>
  <c r="CJ246" i="1"/>
  <c r="R246" i="1" s="1"/>
  <c r="CI249" i="1"/>
  <c r="Q249" i="1" s="1"/>
  <c r="AJ250" i="1"/>
  <c r="CI250" i="1" s="1"/>
  <c r="CJ251" i="1"/>
  <c r="R251" i="1" s="1"/>
  <c r="CJ253" i="1"/>
  <c r="CH254" i="1"/>
  <c r="P254" i="1" s="1"/>
  <c r="CJ254" i="1"/>
  <c r="R254" i="1" s="1"/>
  <c r="CI258" i="1"/>
  <c r="Q258" i="1" s="1"/>
  <c r="AJ259" i="1"/>
  <c r="CJ260" i="1"/>
  <c r="R260" i="1" s="1"/>
  <c r="CH263" i="1"/>
  <c r="P263" i="1" s="1"/>
  <c r="CJ263" i="1"/>
  <c r="R263" i="1" s="1"/>
  <c r="CH267" i="1"/>
  <c r="P267" i="1" s="1"/>
  <c r="CJ267" i="1"/>
  <c r="R267" i="1" s="1"/>
  <c r="CI270" i="1"/>
  <c r="Q270" i="1" s="1"/>
  <c r="AJ271" i="1"/>
  <c r="CJ272" i="1"/>
  <c r="R272" i="1" s="1"/>
  <c r="CJ275" i="1"/>
  <c r="R275" i="1" s="1"/>
  <c r="AJ276" i="1"/>
  <c r="CJ277" i="1"/>
  <c r="R277" i="1" s="1"/>
  <c r="CJ279" i="1"/>
  <c r="CJ280" i="1"/>
  <c r="R280" i="1" s="1"/>
  <c r="CH284" i="1"/>
  <c r="P284" i="1" s="1"/>
  <c r="CJ284" i="1"/>
  <c r="R284" i="1" s="1"/>
  <c r="CI287" i="1"/>
  <c r="Q287" i="1" s="1"/>
  <c r="CI291" i="1"/>
  <c r="Q291" i="1" s="1"/>
  <c r="AJ292" i="1"/>
  <c r="CJ293" i="1"/>
  <c r="R293" i="1" s="1"/>
  <c r="CJ295" i="1"/>
  <c r="R295" i="1" s="1"/>
  <c r="CJ296" i="1"/>
  <c r="R296" i="1" s="1"/>
  <c r="CI72" i="1"/>
  <c r="CI78" i="1"/>
  <c r="CI80" i="1"/>
  <c r="CI84" i="1"/>
  <c r="CH88" i="1"/>
  <c r="P88" i="1" s="1"/>
  <c r="CH90" i="1"/>
  <c r="P90" i="1" s="1"/>
  <c r="CH92" i="1"/>
  <c r="P92" i="1" s="1"/>
  <c r="CI108" i="1"/>
  <c r="CI110" i="1"/>
  <c r="CI114" i="1"/>
  <c r="CI120" i="1"/>
  <c r="CI122" i="1"/>
  <c r="CI124" i="1"/>
  <c r="CI128" i="1"/>
  <c r="CI130" i="1"/>
  <c r="CI132" i="1"/>
  <c r="CI136" i="1"/>
  <c r="CI138" i="1"/>
  <c r="CI144" i="1"/>
  <c r="CI146" i="1"/>
  <c r="CI162" i="1"/>
  <c r="CI164" i="1"/>
  <c r="CI168" i="1"/>
  <c r="CI170" i="1"/>
  <c r="CI172" i="1"/>
  <c r="CI174" i="1"/>
  <c r="CI182" i="1"/>
  <c r="CI184" i="1"/>
  <c r="CI186" i="1"/>
  <c r="CI188" i="1"/>
  <c r="CI190" i="1"/>
  <c r="CI192" i="1"/>
  <c r="CI194" i="1"/>
  <c r="CI196" i="1"/>
  <c r="CI198" i="1"/>
  <c r="CI200" i="1"/>
  <c r="CI202" i="1"/>
  <c r="CI204" i="1"/>
  <c r="CI206" i="1"/>
  <c r="CI208" i="1"/>
  <c r="CI210" i="1"/>
  <c r="CI212" i="1"/>
  <c r="CI214" i="1"/>
  <c r="CI216" i="1"/>
  <c r="CI221" i="1"/>
  <c r="Q221" i="1" s="1"/>
  <c r="CI222" i="1"/>
  <c r="CI224" i="1"/>
  <c r="CI229" i="1"/>
  <c r="Q229" i="1" s="1"/>
  <c r="CI230" i="1"/>
  <c r="CI232" i="1"/>
  <c r="CI237" i="1"/>
  <c r="Q237" i="1" s="1"/>
  <c r="CI238" i="1"/>
  <c r="CI240" i="1"/>
  <c r="CI245" i="1"/>
  <c r="Q245" i="1" s="1"/>
  <c r="CI246" i="1"/>
  <c r="CI248" i="1"/>
  <c r="CI253" i="1"/>
  <c r="Q253" i="1" s="1"/>
  <c r="CI254" i="1"/>
  <c r="CI256" i="1"/>
  <c r="CI257" i="1"/>
  <c r="CI262" i="1"/>
  <c r="Q262" i="1" s="1"/>
  <c r="CI263" i="1"/>
  <c r="CI266" i="1"/>
  <c r="Q266" i="1" s="1"/>
  <c r="CI269" i="1"/>
  <c r="CI274" i="1"/>
  <c r="Q274" i="1" s="1"/>
  <c r="CI279" i="1"/>
  <c r="Q279" i="1" s="1"/>
  <c r="CI280" i="1"/>
  <c r="CI283" i="1"/>
  <c r="Q283" i="1" s="1"/>
  <c r="CI286" i="1"/>
  <c r="CI290" i="1"/>
  <c r="CI295" i="1"/>
  <c r="Q295" i="1" s="1"/>
  <c r="CI296" i="1"/>
  <c r="CI299" i="1"/>
  <c r="Q299" i="1" s="1"/>
  <c r="CO45" i="1"/>
  <c r="P22" i="1"/>
  <c r="P24" i="1"/>
  <c r="P26" i="1"/>
  <c r="N28" i="1"/>
  <c r="P15" i="1"/>
  <c r="P18" i="1"/>
  <c r="P19" i="1"/>
  <c r="P20" i="1"/>
  <c r="P31" i="1"/>
  <c r="CJ41" i="1"/>
  <c r="R41" i="1" s="1"/>
  <c r="P27" i="1"/>
  <c r="P25" i="1"/>
  <c r="P30" i="1"/>
  <c r="CH40" i="1"/>
  <c r="P40" i="1" s="1"/>
  <c r="CH42" i="1"/>
  <c r="P42" i="1" s="1"/>
  <c r="CH46" i="1"/>
  <c r="P46" i="1" s="1"/>
  <c r="CH48" i="1"/>
  <c r="P48" i="1" s="1"/>
  <c r="CH50" i="1"/>
  <c r="P50" i="1" s="1"/>
  <c r="CH52" i="1"/>
  <c r="P52" i="1" s="1"/>
  <c r="CH54" i="1"/>
  <c r="P54" i="1" s="1"/>
  <c r="CH56" i="1"/>
  <c r="P56" i="1" s="1"/>
  <c r="CH58" i="1"/>
  <c r="P58" i="1" s="1"/>
  <c r="AJ40" i="1"/>
  <c r="AJ42" i="1"/>
  <c r="AJ46" i="1"/>
  <c r="CI46" i="1" s="1"/>
  <c r="Q46" i="1" s="1"/>
  <c r="AJ48" i="1"/>
  <c r="CI48" i="1" s="1"/>
  <c r="S48" i="1" s="1"/>
  <c r="AJ50" i="1"/>
  <c r="CI50" i="1" s="1"/>
  <c r="Q50" i="1" s="1"/>
  <c r="AJ52" i="1"/>
  <c r="CI52" i="1" s="1"/>
  <c r="Q52" i="1" s="1"/>
  <c r="AJ54" i="1"/>
  <c r="CI54" i="1" s="1"/>
  <c r="Q54" i="1" s="1"/>
  <c r="AJ56" i="1"/>
  <c r="CI56" i="1" s="1"/>
  <c r="S56" i="1" s="1"/>
  <c r="AJ58" i="1"/>
  <c r="CI58" i="1" s="1"/>
  <c r="Q58" i="1" s="1"/>
  <c r="S64" i="1"/>
  <c r="Q64" i="1"/>
  <c r="S68" i="1"/>
  <c r="Q68" i="1"/>
  <c r="S88" i="1"/>
  <c r="Q88" i="1"/>
  <c r="CI39" i="1"/>
  <c r="CI43" i="1"/>
  <c r="CH44" i="1"/>
  <c r="P44" i="1" s="1"/>
  <c r="CH62" i="1"/>
  <c r="P62" i="1" s="1"/>
  <c r="CI65" i="1"/>
  <c r="CH66" i="1"/>
  <c r="P66" i="1" s="1"/>
  <c r="CI69" i="1"/>
  <c r="CH70" i="1"/>
  <c r="P70" i="1" s="1"/>
  <c r="CH82" i="1"/>
  <c r="P82" i="1" s="1"/>
  <c r="S46" i="1"/>
  <c r="Q48" i="1"/>
  <c r="S50" i="1"/>
  <c r="S52" i="1"/>
  <c r="S54" i="1"/>
  <c r="Q56" i="1"/>
  <c r="S58" i="1"/>
  <c r="S60" i="1"/>
  <c r="Q60" i="1"/>
  <c r="S72" i="1"/>
  <c r="Q72" i="1"/>
  <c r="S74" i="1"/>
  <c r="Q74" i="1"/>
  <c r="S76" i="1"/>
  <c r="Q76" i="1"/>
  <c r="S78" i="1"/>
  <c r="Q78" i="1"/>
  <c r="S80" i="1"/>
  <c r="Q80" i="1"/>
  <c r="Q82" i="1"/>
  <c r="S84" i="1"/>
  <c r="Q84" i="1"/>
  <c r="Q86" i="1"/>
  <c r="CH43" i="1"/>
  <c r="P43" i="1" s="1"/>
  <c r="CI44" i="1"/>
  <c r="CI45" i="1"/>
  <c r="CI47" i="1"/>
  <c r="CI49" i="1"/>
  <c r="CI51" i="1"/>
  <c r="CI53" i="1"/>
  <c r="CI55" i="1"/>
  <c r="CI57" i="1"/>
  <c r="CI59" i="1"/>
  <c r="CI61" i="1"/>
  <c r="CI62" i="1"/>
  <c r="CI63" i="1"/>
  <c r="CH64" i="1"/>
  <c r="P64" i="1" s="1"/>
  <c r="CI66" i="1"/>
  <c r="CI67" i="1"/>
  <c r="CH68" i="1"/>
  <c r="P68" i="1" s="1"/>
  <c r="CI70" i="1"/>
  <c r="CI71" i="1"/>
  <c r="CI73" i="1"/>
  <c r="CI75" i="1"/>
  <c r="CI77" i="1"/>
  <c r="CI79" i="1"/>
  <c r="CI81" i="1"/>
  <c r="AJ89" i="1"/>
  <c r="CI89" i="1" s="1"/>
  <c r="CH89" i="1"/>
  <c r="P89" i="1" s="1"/>
  <c r="S90" i="1"/>
  <c r="Q90" i="1"/>
  <c r="S92" i="1"/>
  <c r="Q92" i="1"/>
  <c r="S96" i="1"/>
  <c r="Q96" i="1"/>
  <c r="S98" i="1"/>
  <c r="Q98" i="1"/>
  <c r="S100" i="1"/>
  <c r="Q100" i="1"/>
  <c r="S102" i="1"/>
  <c r="Q102" i="1"/>
  <c r="S105" i="1"/>
  <c r="Q105" i="1"/>
  <c r="S107" i="1"/>
  <c r="Q107" i="1"/>
  <c r="S109" i="1"/>
  <c r="Q109" i="1"/>
  <c r="S111" i="1"/>
  <c r="Q111" i="1"/>
  <c r="S113" i="1"/>
  <c r="Q113" i="1"/>
  <c r="S115" i="1"/>
  <c r="Q115" i="1"/>
  <c r="S117" i="1"/>
  <c r="Q117" i="1"/>
  <c r="S119" i="1"/>
  <c r="Q119" i="1"/>
  <c r="S121" i="1"/>
  <c r="Q121" i="1"/>
  <c r="S123" i="1"/>
  <c r="Q123" i="1"/>
  <c r="S125" i="1"/>
  <c r="Q125" i="1"/>
  <c r="S127" i="1"/>
  <c r="Q127" i="1"/>
  <c r="S129" i="1"/>
  <c r="Q129" i="1"/>
  <c r="S131" i="1"/>
  <c r="Q131" i="1"/>
  <c r="S133" i="1"/>
  <c r="Q133" i="1"/>
  <c r="S135" i="1"/>
  <c r="Q135" i="1"/>
  <c r="S137" i="1"/>
  <c r="Q137" i="1"/>
  <c r="S139" i="1"/>
  <c r="Q139" i="1"/>
  <c r="S141" i="1"/>
  <c r="Q141" i="1"/>
  <c r="S143" i="1"/>
  <c r="Q143" i="1"/>
  <c r="S145" i="1"/>
  <c r="Q145" i="1"/>
  <c r="S147" i="1"/>
  <c r="Q147" i="1"/>
  <c r="S149" i="1"/>
  <c r="Q149" i="1"/>
  <c r="S151" i="1"/>
  <c r="Q151" i="1"/>
  <c r="S153" i="1"/>
  <c r="Q153" i="1"/>
  <c r="S155" i="1"/>
  <c r="Q155" i="1"/>
  <c r="S157" i="1"/>
  <c r="Q157" i="1"/>
  <c r="S159" i="1"/>
  <c r="Q159" i="1"/>
  <c r="S161" i="1"/>
  <c r="Q161" i="1"/>
  <c r="S163" i="1"/>
  <c r="Q163" i="1"/>
  <c r="S165" i="1"/>
  <c r="Q165" i="1"/>
  <c r="CH39" i="1"/>
  <c r="CN43" i="1"/>
  <c r="CO43" i="1" s="1"/>
  <c r="CN44" i="1"/>
  <c r="CO44" i="1" s="1"/>
  <c r="CH45" i="1"/>
  <c r="P45" i="1" s="1"/>
  <c r="CH47" i="1"/>
  <c r="P47" i="1" s="1"/>
  <c r="CH49" i="1"/>
  <c r="P49" i="1" s="1"/>
  <c r="CH51" i="1"/>
  <c r="P51" i="1" s="1"/>
  <c r="CH53" i="1"/>
  <c r="P53" i="1" s="1"/>
  <c r="CH55" i="1"/>
  <c r="P55" i="1" s="1"/>
  <c r="CH57" i="1"/>
  <c r="P57" i="1" s="1"/>
  <c r="CH59" i="1"/>
  <c r="P59" i="1" s="1"/>
  <c r="CH61" i="1"/>
  <c r="P61" i="1" s="1"/>
  <c r="CH63" i="1"/>
  <c r="P63" i="1" s="1"/>
  <c r="CH65" i="1"/>
  <c r="P65" i="1" s="1"/>
  <c r="CH67" i="1"/>
  <c r="P67" i="1" s="1"/>
  <c r="CH69" i="1"/>
  <c r="P69" i="1" s="1"/>
  <c r="CH71" i="1"/>
  <c r="P71" i="1" s="1"/>
  <c r="CH73" i="1"/>
  <c r="P73" i="1" s="1"/>
  <c r="CH75" i="1"/>
  <c r="P75" i="1" s="1"/>
  <c r="CH77" i="1"/>
  <c r="P77" i="1" s="1"/>
  <c r="CH79" i="1"/>
  <c r="P79" i="1" s="1"/>
  <c r="CH81" i="1"/>
  <c r="P81" i="1" s="1"/>
  <c r="CI85" i="1"/>
  <c r="CH85" i="1"/>
  <c r="P85" i="1" s="1"/>
  <c r="CI91" i="1"/>
  <c r="CI93" i="1"/>
  <c r="CH94" i="1"/>
  <c r="P94" i="1" s="1"/>
  <c r="CI167" i="1"/>
  <c r="CI169" i="1"/>
  <c r="CI171" i="1"/>
  <c r="CI173" i="1"/>
  <c r="CI175" i="1"/>
  <c r="CI177" i="1"/>
  <c r="S104" i="1"/>
  <c r="Q104" i="1"/>
  <c r="S106" i="1"/>
  <c r="Q106" i="1"/>
  <c r="S108" i="1"/>
  <c r="Q108" i="1"/>
  <c r="S110" i="1"/>
  <c r="Q110" i="1"/>
  <c r="S112" i="1"/>
  <c r="Q112" i="1"/>
  <c r="S114" i="1"/>
  <c r="Q114" i="1"/>
  <c r="S116" i="1"/>
  <c r="Q116" i="1"/>
  <c r="S118" i="1"/>
  <c r="Q118" i="1"/>
  <c r="S120" i="1"/>
  <c r="Q120" i="1"/>
  <c r="S122" i="1"/>
  <c r="Q122" i="1"/>
  <c r="S124" i="1"/>
  <c r="Q124" i="1"/>
  <c r="S126" i="1"/>
  <c r="Q126" i="1"/>
  <c r="S128" i="1"/>
  <c r="Q128" i="1"/>
  <c r="S130" i="1"/>
  <c r="Q130" i="1"/>
  <c r="S132" i="1"/>
  <c r="Q132" i="1"/>
  <c r="S134" i="1"/>
  <c r="Q134" i="1"/>
  <c r="S136" i="1"/>
  <c r="Q136" i="1"/>
  <c r="S138" i="1"/>
  <c r="Q138" i="1"/>
  <c r="S140" i="1"/>
  <c r="Q140" i="1"/>
  <c r="S142" i="1"/>
  <c r="Q142" i="1"/>
  <c r="S144" i="1"/>
  <c r="Q144" i="1"/>
  <c r="S146" i="1"/>
  <c r="Q146" i="1"/>
  <c r="S148" i="1"/>
  <c r="Q148" i="1"/>
  <c r="S150" i="1"/>
  <c r="Q150" i="1"/>
  <c r="S152" i="1"/>
  <c r="Q152" i="1"/>
  <c r="S154" i="1"/>
  <c r="Q154" i="1"/>
  <c r="S156" i="1"/>
  <c r="Q156" i="1"/>
  <c r="S158" i="1"/>
  <c r="Q158" i="1"/>
  <c r="S160" i="1"/>
  <c r="Q160" i="1"/>
  <c r="S162" i="1"/>
  <c r="Q162" i="1"/>
  <c r="S164" i="1"/>
  <c r="Q164" i="1"/>
  <c r="S166" i="1"/>
  <c r="Q166" i="1"/>
  <c r="S168" i="1"/>
  <c r="Q168" i="1"/>
  <c r="S170" i="1"/>
  <c r="Q170" i="1"/>
  <c r="S172" i="1"/>
  <c r="Q172" i="1"/>
  <c r="S174" i="1"/>
  <c r="Q174" i="1"/>
  <c r="S176" i="1"/>
  <c r="Q176" i="1"/>
  <c r="Q178" i="1"/>
  <c r="CJ82" i="1"/>
  <c r="R82" i="1" s="1"/>
  <c r="CI83" i="1"/>
  <c r="CH83" i="1"/>
  <c r="P83" i="1" s="1"/>
  <c r="CH86" i="1"/>
  <c r="P86" i="1" s="1"/>
  <c r="CJ86" i="1"/>
  <c r="R86" i="1" s="1"/>
  <c r="CO86" i="1"/>
  <c r="CI87" i="1"/>
  <c r="CH87" i="1"/>
  <c r="P87" i="1" s="1"/>
  <c r="CJ89" i="1"/>
  <c r="R89" i="1" s="1"/>
  <c r="CI94" i="1"/>
  <c r="CI95" i="1"/>
  <c r="CI97" i="1"/>
  <c r="CI99" i="1"/>
  <c r="CI101" i="1"/>
  <c r="CI103" i="1"/>
  <c r="CH179" i="1"/>
  <c r="P179" i="1" s="1"/>
  <c r="AJ179" i="1"/>
  <c r="CI179" i="1" s="1"/>
  <c r="S218" i="1"/>
  <c r="Q218" i="1"/>
  <c r="Q220" i="1"/>
  <c r="R221" i="1"/>
  <c r="S221" i="1"/>
  <c r="S226" i="1"/>
  <c r="Q226" i="1"/>
  <c r="Q228" i="1"/>
  <c r="R229" i="1"/>
  <c r="S229" i="1"/>
  <c r="S234" i="1"/>
  <c r="Q234" i="1"/>
  <c r="Q236" i="1"/>
  <c r="R237" i="1"/>
  <c r="S237" i="1"/>
  <c r="S242" i="1"/>
  <c r="Q242" i="1"/>
  <c r="Q244" i="1"/>
  <c r="R245" i="1"/>
  <c r="S245" i="1"/>
  <c r="S250" i="1"/>
  <c r="Q250" i="1"/>
  <c r="Q252" i="1"/>
  <c r="R253" i="1"/>
  <c r="S253" i="1"/>
  <c r="Q261" i="1"/>
  <c r="Q265" i="1"/>
  <c r="Q273" i="1"/>
  <c r="Q278" i="1"/>
  <c r="CH91" i="1"/>
  <c r="P91" i="1" s="1"/>
  <c r="CH93" i="1"/>
  <c r="P93" i="1" s="1"/>
  <c r="CH95" i="1"/>
  <c r="P95" i="1" s="1"/>
  <c r="CH97" i="1"/>
  <c r="P97" i="1" s="1"/>
  <c r="CH99" i="1"/>
  <c r="P99" i="1" s="1"/>
  <c r="CH101" i="1"/>
  <c r="P101" i="1" s="1"/>
  <c r="CH103" i="1"/>
  <c r="P103" i="1" s="1"/>
  <c r="CH105" i="1"/>
  <c r="P105" i="1" s="1"/>
  <c r="CH107" i="1"/>
  <c r="P107" i="1" s="1"/>
  <c r="CH109" i="1"/>
  <c r="P109" i="1" s="1"/>
  <c r="CH111" i="1"/>
  <c r="P111" i="1" s="1"/>
  <c r="CH113" i="1"/>
  <c r="P113" i="1" s="1"/>
  <c r="CH115" i="1"/>
  <c r="P115" i="1" s="1"/>
  <c r="CH117" i="1"/>
  <c r="P117" i="1" s="1"/>
  <c r="CH119" i="1"/>
  <c r="P119" i="1" s="1"/>
  <c r="CH121" i="1"/>
  <c r="P121" i="1" s="1"/>
  <c r="CH123" i="1"/>
  <c r="P123" i="1" s="1"/>
  <c r="CH125" i="1"/>
  <c r="P125" i="1" s="1"/>
  <c r="CH127" i="1"/>
  <c r="P127" i="1" s="1"/>
  <c r="CH129" i="1"/>
  <c r="P129" i="1" s="1"/>
  <c r="CH131" i="1"/>
  <c r="P131" i="1" s="1"/>
  <c r="CH133" i="1"/>
  <c r="P133" i="1" s="1"/>
  <c r="CH135" i="1"/>
  <c r="P135" i="1" s="1"/>
  <c r="CH137" i="1"/>
  <c r="P137" i="1" s="1"/>
  <c r="CH139" i="1"/>
  <c r="P139" i="1" s="1"/>
  <c r="CH141" i="1"/>
  <c r="P141" i="1" s="1"/>
  <c r="CH143" i="1"/>
  <c r="P143" i="1" s="1"/>
  <c r="CH145" i="1"/>
  <c r="P145" i="1" s="1"/>
  <c r="CH147" i="1"/>
  <c r="P147" i="1" s="1"/>
  <c r="CH149" i="1"/>
  <c r="P149" i="1" s="1"/>
  <c r="CH151" i="1"/>
  <c r="P151" i="1" s="1"/>
  <c r="CH153" i="1"/>
  <c r="P153" i="1" s="1"/>
  <c r="CH155" i="1"/>
  <c r="P155" i="1" s="1"/>
  <c r="CH157" i="1"/>
  <c r="P157" i="1" s="1"/>
  <c r="CH159" i="1"/>
  <c r="P159" i="1" s="1"/>
  <c r="CH161" i="1"/>
  <c r="P161" i="1" s="1"/>
  <c r="CH163" i="1"/>
  <c r="P163" i="1" s="1"/>
  <c r="CH165" i="1"/>
  <c r="P165" i="1" s="1"/>
  <c r="CH167" i="1"/>
  <c r="P167" i="1" s="1"/>
  <c r="CH169" i="1"/>
  <c r="P169" i="1" s="1"/>
  <c r="CH171" i="1"/>
  <c r="P171" i="1" s="1"/>
  <c r="CH173" i="1"/>
  <c r="P173" i="1" s="1"/>
  <c r="CH175" i="1"/>
  <c r="P175" i="1" s="1"/>
  <c r="CH177" i="1"/>
  <c r="P177" i="1" s="1"/>
  <c r="S180" i="1"/>
  <c r="Q180" i="1"/>
  <c r="S182" i="1"/>
  <c r="Q182" i="1"/>
  <c r="S184" i="1"/>
  <c r="Q184" i="1"/>
  <c r="S186" i="1"/>
  <c r="Q186" i="1"/>
  <c r="S188" i="1"/>
  <c r="Q188" i="1"/>
  <c r="S190" i="1"/>
  <c r="Q190" i="1"/>
  <c r="S192" i="1"/>
  <c r="Q192" i="1"/>
  <c r="S194" i="1"/>
  <c r="Q194" i="1"/>
  <c r="S196" i="1"/>
  <c r="Q196" i="1"/>
  <c r="S198" i="1"/>
  <c r="Q198" i="1"/>
  <c r="S200" i="1"/>
  <c r="Q200" i="1"/>
  <c r="S202" i="1"/>
  <c r="Q202" i="1"/>
  <c r="S204" i="1"/>
  <c r="Q204" i="1"/>
  <c r="S206" i="1"/>
  <c r="Q206" i="1"/>
  <c r="S208" i="1"/>
  <c r="Q208" i="1"/>
  <c r="S210" i="1"/>
  <c r="Q210" i="1"/>
  <c r="S212" i="1"/>
  <c r="Q212" i="1"/>
  <c r="S214" i="1"/>
  <c r="Q214" i="1"/>
  <c r="Q216" i="1"/>
  <c r="R217" i="1"/>
  <c r="S217" i="1"/>
  <c r="S222" i="1"/>
  <c r="Q222" i="1"/>
  <c r="Q224" i="1"/>
  <c r="R225" i="1"/>
  <c r="S225" i="1"/>
  <c r="S230" i="1"/>
  <c r="Q230" i="1"/>
  <c r="Q232" i="1"/>
  <c r="R233" i="1"/>
  <c r="S233" i="1"/>
  <c r="S238" i="1"/>
  <c r="Q238" i="1"/>
  <c r="Q240" i="1"/>
  <c r="R241" i="1"/>
  <c r="S241" i="1"/>
  <c r="S246" i="1"/>
  <c r="Q246" i="1"/>
  <c r="Q248" i="1"/>
  <c r="R249" i="1"/>
  <c r="S249" i="1"/>
  <c r="S254" i="1"/>
  <c r="Q254" i="1"/>
  <c r="Q257" i="1"/>
  <c r="Q269" i="1"/>
  <c r="Q286" i="1"/>
  <c r="CH178" i="1"/>
  <c r="P178" i="1" s="1"/>
  <c r="CJ178" i="1"/>
  <c r="R178" i="1" s="1"/>
  <c r="CJ179" i="1"/>
  <c r="R179" i="1" s="1"/>
  <c r="S280" i="1"/>
  <c r="Q280" i="1"/>
  <c r="S288" i="1"/>
  <c r="Q288" i="1"/>
  <c r="Q294" i="1"/>
  <c r="Q298" i="1"/>
  <c r="AJ181" i="1"/>
  <c r="CI181" i="1" s="1"/>
  <c r="AJ183" i="1"/>
  <c r="CI183" i="1" s="1"/>
  <c r="AJ185" i="1"/>
  <c r="CI185" i="1" s="1"/>
  <c r="AJ187" i="1"/>
  <c r="CI187" i="1" s="1"/>
  <c r="AJ189" i="1"/>
  <c r="CI189" i="1" s="1"/>
  <c r="AJ191" i="1"/>
  <c r="CI191" i="1" s="1"/>
  <c r="AJ193" i="1"/>
  <c r="CI193" i="1" s="1"/>
  <c r="AJ195" i="1"/>
  <c r="CI195" i="1" s="1"/>
  <c r="AJ197" i="1"/>
  <c r="CI197" i="1" s="1"/>
  <c r="AJ199" i="1"/>
  <c r="CI199" i="1" s="1"/>
  <c r="AJ201" i="1"/>
  <c r="CI201" i="1" s="1"/>
  <c r="AJ203" i="1"/>
  <c r="CI203" i="1" s="1"/>
  <c r="AJ205" i="1"/>
  <c r="CI205" i="1" s="1"/>
  <c r="AJ207" i="1"/>
  <c r="CI207" i="1" s="1"/>
  <c r="AJ209" i="1"/>
  <c r="CI209" i="1" s="1"/>
  <c r="AJ211" i="1"/>
  <c r="CI211" i="1" s="1"/>
  <c r="AJ213" i="1"/>
  <c r="CI213" i="1" s="1"/>
  <c r="CI215" i="1"/>
  <c r="CH215" i="1"/>
  <c r="P215" i="1" s="1"/>
  <c r="CH216" i="1"/>
  <c r="P216" i="1" s="1"/>
  <c r="CJ216" i="1"/>
  <c r="R216" i="1" s="1"/>
  <c r="CI219" i="1"/>
  <c r="CH219" i="1"/>
  <c r="P219" i="1" s="1"/>
  <c r="CH220" i="1"/>
  <c r="P220" i="1" s="1"/>
  <c r="CJ220" i="1"/>
  <c r="R220" i="1" s="1"/>
  <c r="CI223" i="1"/>
  <c r="CH223" i="1"/>
  <c r="P223" i="1" s="1"/>
  <c r="CH224" i="1"/>
  <c r="P224" i="1" s="1"/>
  <c r="CJ224" i="1"/>
  <c r="R224" i="1" s="1"/>
  <c r="CI227" i="1"/>
  <c r="CH227" i="1"/>
  <c r="P227" i="1" s="1"/>
  <c r="CH228" i="1"/>
  <c r="P228" i="1" s="1"/>
  <c r="CJ228" i="1"/>
  <c r="R228" i="1" s="1"/>
  <c r="CI231" i="1"/>
  <c r="CH231" i="1"/>
  <c r="P231" i="1" s="1"/>
  <c r="CH232" i="1"/>
  <c r="P232" i="1" s="1"/>
  <c r="CJ232" i="1"/>
  <c r="R232" i="1" s="1"/>
  <c r="CI235" i="1"/>
  <c r="CH235" i="1"/>
  <c r="P235" i="1" s="1"/>
  <c r="CH236" i="1"/>
  <c r="P236" i="1" s="1"/>
  <c r="CJ236" i="1"/>
  <c r="R236" i="1" s="1"/>
  <c r="CI239" i="1"/>
  <c r="CH239" i="1"/>
  <c r="P239" i="1" s="1"/>
  <c r="CH240" i="1"/>
  <c r="P240" i="1" s="1"/>
  <c r="CJ240" i="1"/>
  <c r="R240" i="1" s="1"/>
  <c r="CI243" i="1"/>
  <c r="CH243" i="1"/>
  <c r="P243" i="1" s="1"/>
  <c r="CH244" i="1"/>
  <c r="P244" i="1" s="1"/>
  <c r="CJ244" i="1"/>
  <c r="R244" i="1" s="1"/>
  <c r="CI247" i="1"/>
  <c r="CH247" i="1"/>
  <c r="P247" i="1" s="1"/>
  <c r="CH248" i="1"/>
  <c r="P248" i="1" s="1"/>
  <c r="CJ248" i="1"/>
  <c r="R248" i="1" s="1"/>
  <c r="CI251" i="1"/>
  <c r="CH251" i="1"/>
  <c r="P251" i="1" s="1"/>
  <c r="CH252" i="1"/>
  <c r="P252" i="1" s="1"/>
  <c r="CJ252" i="1"/>
  <c r="R252" i="1" s="1"/>
  <c r="CI255" i="1"/>
  <c r="CH255" i="1"/>
  <c r="P255" i="1" s="1"/>
  <c r="CH256" i="1"/>
  <c r="P256" i="1" s="1"/>
  <c r="CJ258" i="1"/>
  <c r="CI259" i="1"/>
  <c r="CH262" i="1"/>
  <c r="P262" i="1" s="1"/>
  <c r="CJ266" i="1"/>
  <c r="CI267" i="1"/>
  <c r="CH270" i="1"/>
  <c r="P270" i="1" s="1"/>
  <c r="CJ274" i="1"/>
  <c r="S256" i="1"/>
  <c r="Q256" i="1"/>
  <c r="S263" i="1"/>
  <c r="Q263" i="1"/>
  <c r="R279" i="1"/>
  <c r="S279" i="1"/>
  <c r="Q282" i="1"/>
  <c r="R287" i="1"/>
  <c r="S287" i="1"/>
  <c r="Q290" i="1"/>
  <c r="CH217" i="1"/>
  <c r="P217" i="1" s="1"/>
  <c r="CH221" i="1"/>
  <c r="P221" i="1" s="1"/>
  <c r="CH225" i="1"/>
  <c r="P225" i="1" s="1"/>
  <c r="CH229" i="1"/>
  <c r="P229" i="1" s="1"/>
  <c r="CH233" i="1"/>
  <c r="P233" i="1" s="1"/>
  <c r="CH237" i="1"/>
  <c r="P237" i="1" s="1"/>
  <c r="CH241" i="1"/>
  <c r="P241" i="1" s="1"/>
  <c r="CH245" i="1"/>
  <c r="P245" i="1" s="1"/>
  <c r="CH249" i="1"/>
  <c r="P249" i="1" s="1"/>
  <c r="CH253" i="1"/>
  <c r="P253" i="1" s="1"/>
  <c r="CH258" i="1"/>
  <c r="P258" i="1" s="1"/>
  <c r="CJ262" i="1"/>
  <c r="CH266" i="1"/>
  <c r="P266" i="1" s="1"/>
  <c r="CJ270" i="1"/>
  <c r="CI271" i="1"/>
  <c r="CH274" i="1"/>
  <c r="P274" i="1" s="1"/>
  <c r="CH275" i="1"/>
  <c r="P275" i="1" s="1"/>
  <c r="CH283" i="1"/>
  <c r="P283" i="1" s="1"/>
  <c r="CH291" i="1"/>
  <c r="P291" i="1" s="1"/>
  <c r="S296" i="1"/>
  <c r="Q296" i="1"/>
  <c r="CH299" i="1"/>
  <c r="P299" i="1" s="1"/>
  <c r="CH257" i="1"/>
  <c r="P257" i="1" s="1"/>
  <c r="CJ257" i="1"/>
  <c r="R257" i="1" s="1"/>
  <c r="CI260" i="1"/>
  <c r="CH260" i="1"/>
  <c r="P260" i="1" s="1"/>
  <c r="CH261" i="1"/>
  <c r="P261" i="1" s="1"/>
  <c r="CJ261" i="1"/>
  <c r="R261" i="1" s="1"/>
  <c r="CI264" i="1"/>
  <c r="CH264" i="1"/>
  <c r="P264" i="1" s="1"/>
  <c r="CH265" i="1"/>
  <c r="P265" i="1" s="1"/>
  <c r="CJ265" i="1"/>
  <c r="R265" i="1" s="1"/>
  <c r="CI268" i="1"/>
  <c r="CH268" i="1"/>
  <c r="P268" i="1" s="1"/>
  <c r="CH269" i="1"/>
  <c r="P269" i="1" s="1"/>
  <c r="CJ269" i="1"/>
  <c r="R269" i="1" s="1"/>
  <c r="CI272" i="1"/>
  <c r="CH272" i="1"/>
  <c r="P272" i="1" s="1"/>
  <c r="CH273" i="1"/>
  <c r="P273" i="1" s="1"/>
  <c r="CJ273" i="1"/>
  <c r="R273" i="1" s="1"/>
  <c r="CI275" i="1"/>
  <c r="CI276" i="1"/>
  <c r="CH279" i="1"/>
  <c r="P279" i="1" s="1"/>
  <c r="CH280" i="1"/>
  <c r="P280" i="1" s="1"/>
  <c r="CJ283" i="1"/>
  <c r="CI284" i="1"/>
  <c r="CH287" i="1"/>
  <c r="P287" i="1" s="1"/>
  <c r="CH288" i="1"/>
  <c r="P288" i="1" s="1"/>
  <c r="CJ291" i="1"/>
  <c r="CI292" i="1"/>
  <c r="S295" i="1"/>
  <c r="CH295" i="1"/>
  <c r="P295" i="1" s="1"/>
  <c r="CH296" i="1"/>
  <c r="P296" i="1" s="1"/>
  <c r="CJ299" i="1"/>
  <c r="CI277" i="1"/>
  <c r="CH277" i="1"/>
  <c r="P277" i="1" s="1"/>
  <c r="CH278" i="1"/>
  <c r="P278" i="1" s="1"/>
  <c r="CJ278" i="1"/>
  <c r="R278" i="1" s="1"/>
  <c r="CI281" i="1"/>
  <c r="CH281" i="1"/>
  <c r="P281" i="1" s="1"/>
  <c r="CH282" i="1"/>
  <c r="P282" i="1" s="1"/>
  <c r="CJ282" i="1"/>
  <c r="R282" i="1" s="1"/>
  <c r="CI285" i="1"/>
  <c r="CH285" i="1"/>
  <c r="P285" i="1" s="1"/>
  <c r="CH286" i="1"/>
  <c r="P286" i="1" s="1"/>
  <c r="CJ286" i="1"/>
  <c r="R286" i="1" s="1"/>
  <c r="CI289" i="1"/>
  <c r="CH289" i="1"/>
  <c r="P289" i="1" s="1"/>
  <c r="CH290" i="1"/>
  <c r="P290" i="1" s="1"/>
  <c r="CJ290" i="1"/>
  <c r="R290" i="1" s="1"/>
  <c r="CI293" i="1"/>
  <c r="CH293" i="1"/>
  <c r="P293" i="1" s="1"/>
  <c r="CH294" i="1"/>
  <c r="P294" i="1" s="1"/>
  <c r="CJ294" i="1"/>
  <c r="R294" i="1" s="1"/>
  <c r="CI297" i="1"/>
  <c r="CH297" i="1"/>
  <c r="P297" i="1" s="1"/>
  <c r="CH298" i="1"/>
  <c r="P298" i="1" s="1"/>
  <c r="CJ298" i="1"/>
  <c r="R298" i="1" s="1"/>
  <c r="CI42" i="1" l="1"/>
  <c r="AL42" i="1"/>
  <c r="CH41" i="1"/>
  <c r="P41" i="1" s="1"/>
  <c r="P39" i="1" s="1"/>
  <c r="E20" i="1" s="1"/>
  <c r="CI41" i="1"/>
  <c r="Q41" i="1" s="1"/>
  <c r="CI40" i="1"/>
  <c r="AL40" i="1"/>
  <c r="R299" i="1"/>
  <c r="S299" i="1"/>
  <c r="S292" i="1"/>
  <c r="Q292" i="1"/>
  <c r="S284" i="1"/>
  <c r="Q284" i="1"/>
  <c r="S276" i="1"/>
  <c r="Q276" i="1"/>
  <c r="R270" i="1"/>
  <c r="S270" i="1"/>
  <c r="R262" i="1"/>
  <c r="S262" i="1"/>
  <c r="R274" i="1"/>
  <c r="S274" i="1"/>
  <c r="S267" i="1"/>
  <c r="Q267" i="1"/>
  <c r="R258" i="1"/>
  <c r="S258" i="1"/>
  <c r="S213" i="1"/>
  <c r="Q213" i="1"/>
  <c r="S209" i="1"/>
  <c r="Q209" i="1"/>
  <c r="S205" i="1"/>
  <c r="Q205" i="1"/>
  <c r="S201" i="1"/>
  <c r="Q201" i="1"/>
  <c r="S197" i="1"/>
  <c r="Q197" i="1"/>
  <c r="S193" i="1"/>
  <c r="Q193" i="1"/>
  <c r="S189" i="1"/>
  <c r="Q189" i="1"/>
  <c r="S185" i="1"/>
  <c r="Q185" i="1"/>
  <c r="S181" i="1"/>
  <c r="Q181" i="1"/>
  <c r="Q179" i="1"/>
  <c r="S179" i="1"/>
  <c r="S103" i="1"/>
  <c r="Q103" i="1"/>
  <c r="S99" i="1"/>
  <c r="Q99" i="1"/>
  <c r="S95" i="1"/>
  <c r="Q95" i="1"/>
  <c r="S87" i="1"/>
  <c r="Q87" i="1"/>
  <c r="S175" i="1"/>
  <c r="Q175" i="1"/>
  <c r="S171" i="1"/>
  <c r="Q171" i="1"/>
  <c r="S167" i="1"/>
  <c r="Q167" i="1"/>
  <c r="S93" i="1"/>
  <c r="Q93" i="1"/>
  <c r="Q89" i="1"/>
  <c r="S89" i="1"/>
  <c r="S79" i="1"/>
  <c r="Q79" i="1"/>
  <c r="S75" i="1"/>
  <c r="Q75" i="1"/>
  <c r="S71" i="1"/>
  <c r="Q71" i="1"/>
  <c r="S66" i="1"/>
  <c r="Q66" i="1"/>
  <c r="S63" i="1"/>
  <c r="Q63" i="1"/>
  <c r="S61" i="1"/>
  <c r="Q61" i="1"/>
  <c r="S57" i="1"/>
  <c r="Q57" i="1"/>
  <c r="S53" i="1"/>
  <c r="Q53" i="1"/>
  <c r="S49" i="1"/>
  <c r="Q49" i="1"/>
  <c r="S45" i="1"/>
  <c r="Q45" i="1"/>
  <c r="S69" i="1"/>
  <c r="Q69" i="1"/>
  <c r="S65" i="1"/>
  <c r="Q65" i="1"/>
  <c r="S298" i="1"/>
  <c r="S294" i="1"/>
  <c r="S178" i="1"/>
  <c r="CJ43" i="1"/>
  <c r="R43" i="1" s="1"/>
  <c r="CJ44" i="1"/>
  <c r="R44" i="1" s="1"/>
  <c r="S297" i="1"/>
  <c r="Q297" i="1"/>
  <c r="S293" i="1"/>
  <c r="Q293" i="1"/>
  <c r="S289" i="1"/>
  <c r="Q289" i="1"/>
  <c r="S285" i="1"/>
  <c r="Q285" i="1"/>
  <c r="S281" i="1"/>
  <c r="Q281" i="1"/>
  <c r="S277" i="1"/>
  <c r="Q277" i="1"/>
  <c r="R291" i="1"/>
  <c r="S291" i="1"/>
  <c r="R283" i="1"/>
  <c r="S283" i="1"/>
  <c r="S275" i="1"/>
  <c r="Q275" i="1"/>
  <c r="S272" i="1"/>
  <c r="Q272" i="1"/>
  <c r="S268" i="1"/>
  <c r="Q268" i="1"/>
  <c r="S264" i="1"/>
  <c r="Q264" i="1"/>
  <c r="S260" i="1"/>
  <c r="Q260" i="1"/>
  <c r="S271" i="1"/>
  <c r="Q271" i="1"/>
  <c r="R266" i="1"/>
  <c r="S266" i="1"/>
  <c r="S259" i="1"/>
  <c r="Q259" i="1"/>
  <c r="Q255" i="1"/>
  <c r="S255" i="1"/>
  <c r="Q251" i="1"/>
  <c r="S251" i="1"/>
  <c r="Q247" i="1"/>
  <c r="S247" i="1"/>
  <c r="Q243" i="1"/>
  <c r="S243" i="1"/>
  <c r="Q239" i="1"/>
  <c r="S239" i="1"/>
  <c r="Q235" i="1"/>
  <c r="S235" i="1"/>
  <c r="Q231" i="1"/>
  <c r="S231" i="1"/>
  <c r="Q227" i="1"/>
  <c r="S227" i="1"/>
  <c r="Q223" i="1"/>
  <c r="S223" i="1"/>
  <c r="Q219" i="1"/>
  <c r="S219" i="1"/>
  <c r="Q215" i="1"/>
  <c r="S215" i="1"/>
  <c r="S211" i="1"/>
  <c r="Q211" i="1"/>
  <c r="S207" i="1"/>
  <c r="Q207" i="1"/>
  <c r="S203" i="1"/>
  <c r="Q203" i="1"/>
  <c r="S199" i="1"/>
  <c r="Q199" i="1"/>
  <c r="S195" i="1"/>
  <c r="Q195" i="1"/>
  <c r="S191" i="1"/>
  <c r="Q191" i="1"/>
  <c r="S187" i="1"/>
  <c r="Q187" i="1"/>
  <c r="S183" i="1"/>
  <c r="Q183" i="1"/>
  <c r="S101" i="1"/>
  <c r="Q101" i="1"/>
  <c r="S97" i="1"/>
  <c r="Q97" i="1"/>
  <c r="S94" i="1"/>
  <c r="Q94" i="1"/>
  <c r="S83" i="1"/>
  <c r="Q83" i="1"/>
  <c r="S177" i="1"/>
  <c r="Q177" i="1"/>
  <c r="S173" i="1"/>
  <c r="Q173" i="1"/>
  <c r="S169" i="1"/>
  <c r="Q169" i="1"/>
  <c r="S91" i="1"/>
  <c r="Q91" i="1"/>
  <c r="Q85" i="1"/>
  <c r="S85" i="1"/>
  <c r="S81" i="1"/>
  <c r="Q81" i="1"/>
  <c r="S77" i="1"/>
  <c r="Q77" i="1"/>
  <c r="S73" i="1"/>
  <c r="Q73" i="1"/>
  <c r="S70" i="1"/>
  <c r="Q70" i="1"/>
  <c r="S67" i="1"/>
  <c r="Q67" i="1"/>
  <c r="S62" i="1"/>
  <c r="Q62" i="1"/>
  <c r="S59" i="1"/>
  <c r="Q59" i="1"/>
  <c r="S55" i="1"/>
  <c r="Q55" i="1"/>
  <c r="S51" i="1"/>
  <c r="Q51" i="1"/>
  <c r="S47" i="1"/>
  <c r="Q47" i="1"/>
  <c r="Q44" i="1"/>
  <c r="S41" i="1"/>
  <c r="Q43" i="1"/>
  <c r="S290" i="1"/>
  <c r="S282" i="1"/>
  <c r="S286" i="1"/>
  <c r="S269" i="1"/>
  <c r="S257" i="1"/>
  <c r="S248" i="1"/>
  <c r="S240" i="1"/>
  <c r="S232" i="1"/>
  <c r="S224" i="1"/>
  <c r="S216" i="1"/>
  <c r="S278" i="1"/>
  <c r="S273" i="1"/>
  <c r="S265" i="1"/>
  <c r="S261" i="1"/>
  <c r="S252" i="1"/>
  <c r="S244" i="1"/>
  <c r="S236" i="1"/>
  <c r="S228" i="1"/>
  <c r="S220" i="1"/>
  <c r="S86" i="1"/>
  <c r="S82" i="1"/>
  <c r="Q42" i="1" l="1"/>
  <c r="S42" i="1"/>
  <c r="L17" i="1" s="1"/>
  <c r="P17" i="1" s="1"/>
  <c r="Q40" i="1"/>
  <c r="S40" i="1"/>
  <c r="L16" i="1" s="1"/>
  <c r="P16" i="1" s="1"/>
  <c r="S43" i="1"/>
  <c r="L29" i="1"/>
  <c r="P29" i="1" s="1"/>
  <c r="S44" i="1"/>
  <c r="L23" i="1" s="1"/>
  <c r="P23" i="1" s="1"/>
  <c r="L21" i="1"/>
  <c r="P21" i="1" s="1"/>
  <c r="L28" i="1"/>
  <c r="P28" i="1" s="1"/>
  <c r="Q39" i="1"/>
  <c r="E21" i="1" s="1"/>
  <c r="R39" i="1"/>
  <c r="E22" i="1" s="1"/>
  <c r="E23" i="1" l="1"/>
  <c r="E25" i="1" s="1"/>
  <c r="A31" i="1" s="1"/>
</calcChain>
</file>

<file path=xl/comments1.xml><?xml version="1.0" encoding="utf-8"?>
<comments xmlns="http://schemas.openxmlformats.org/spreadsheetml/2006/main">
  <authors>
    <author>Sonia</author>
  </authors>
  <commentList>
    <comment ref="C39" authorId="0">
      <text>
        <r>
          <rPr>
            <b/>
            <sz val="8"/>
            <color indexed="81"/>
            <rFont val="Tahoma"/>
            <family val="2"/>
          </rPr>
          <t>CLIQUE NAS LINHAS ABAIXO, PARA IDENTICAR A RECEITA</t>
        </r>
      </text>
    </comment>
    <comment ref="G39" authorId="0">
      <text>
        <r>
          <rPr>
            <b/>
            <sz val="8"/>
            <color indexed="81"/>
            <rFont val="Tahoma"/>
            <family val="2"/>
          </rPr>
          <t>Quando todos os produtos forem antecipados,O IPI, o Frete, o seguro e outras despesas são valores totais , se não  os valores  do IPI, frete, seguro e despesas são unitários.</t>
        </r>
      </text>
    </comment>
    <comment ref="L39" authorId="0">
      <text>
        <r>
          <rPr>
            <b/>
            <sz val="8"/>
            <color indexed="81"/>
            <rFont val="Tahoma"/>
            <family val="2"/>
          </rPr>
          <t>se for produto com redução de base de cálculo, coloque a carga tributária de origem, se não a alíquota de origem.</t>
        </r>
      </text>
    </comment>
    <comment ref="M39" authorId="0">
      <text>
        <r>
          <rPr>
            <sz val="8"/>
            <color indexed="81"/>
            <rFont val="Tahoma"/>
            <family val="2"/>
          </rPr>
          <t xml:space="preserve">se for produto com redução de base de cálculo, coloque a carga tributária de destino, se não a alíquota de destino.
</t>
        </r>
      </text>
    </comment>
  </commentList>
</comments>
</file>

<file path=xl/sharedStrings.xml><?xml version="1.0" encoding="utf-8"?>
<sst xmlns="http://schemas.openxmlformats.org/spreadsheetml/2006/main" count="223" uniqueCount="153">
  <si>
    <t>GOVERNO DE SERGIPE</t>
  </si>
  <si>
    <t>SECRETARIA DE ESTADO DA FAZENDA</t>
  </si>
  <si>
    <t>VERSÃO 5</t>
  </si>
  <si>
    <t>PORTARIA N.º 103/2006-SEFAZ</t>
  </si>
  <si>
    <t>DE 26 DEJANEIRO DE 2006</t>
  </si>
  <si>
    <t>ANEXO I</t>
  </si>
  <si>
    <t>MAPA DE APURAÇÃO DO ICMS</t>
  </si>
  <si>
    <t>Valor da</t>
  </si>
  <si>
    <t>Valor a recolher</t>
  </si>
  <si>
    <t>MÊS DE REFERÊNCIA</t>
  </si>
  <si>
    <t>Valor devido por Receita</t>
  </si>
  <si>
    <t>devolução</t>
  </si>
  <si>
    <t xml:space="preserve"> por Receita</t>
  </si>
  <si>
    <t>CONTRIBUINTE:</t>
  </si>
  <si>
    <t>INSCRIÇÃO ESTADUAL N.º:</t>
  </si>
  <si>
    <t>NÃO TEM VALOR A RECOLHER, POIS O SALDO CREDOR FOI MAIOR QUE O DEVEDOR</t>
  </si>
  <si>
    <t>CNPJ:</t>
  </si>
  <si>
    <t>Cesta Básica optante</t>
  </si>
  <si>
    <t>Difer.de Alíquota</t>
  </si>
  <si>
    <t xml:space="preserve">Somatório das Bases de Cálculo </t>
  </si>
  <si>
    <t>Antecip.com encer.</t>
  </si>
  <si>
    <t xml:space="preserve">Débito do Imposto   </t>
  </si>
  <si>
    <t>Importações</t>
  </si>
  <si>
    <t>Crédito do Imposto referente as entradas</t>
  </si>
  <si>
    <t>F.trigo (signatário)</t>
  </si>
  <si>
    <t>Imposto devido</t>
  </si>
  <si>
    <t>F.trigo ( Não signatário)</t>
  </si>
  <si>
    <t>Devolução de  mercadoria / desfazimento</t>
  </si>
  <si>
    <t>antecip. Op. Interest.</t>
  </si>
  <si>
    <t>valor a recolher</t>
  </si>
  <si>
    <t>Simfaz comércio</t>
  </si>
  <si>
    <t>Os valores lançados nesta planilha são apenas para efeito exemplificativo.</t>
  </si>
  <si>
    <t>Cesta básica não optante</t>
  </si>
  <si>
    <t xml:space="preserve">ANTES DE COMEÇAR </t>
  </si>
  <si>
    <t>subst tribut. interna</t>
  </si>
  <si>
    <t>LEIA O MANUAL DE PREENCHIMENTO</t>
  </si>
  <si>
    <t>antecipação trib. Interna</t>
  </si>
  <si>
    <t>farinha de trigo importada</t>
  </si>
  <si>
    <t>trigo importado</t>
  </si>
  <si>
    <t>simples nacional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</si>
  <si>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</si>
  <si>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</si>
  <si>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</si>
  <si>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</si>
  <si>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</si>
  <si>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</si>
  <si>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</si>
  <si>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</si>
  <si>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</si>
  <si>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</si>
  <si>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</si>
  <si>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</si>
  <si>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</si>
  <si>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</si>
  <si>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</si>
  <si>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</si>
  <si>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</si>
  <si>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</si>
  <si>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</si>
  <si>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</si>
  <si>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NOTA</t>
  </si>
  <si>
    <t>Devo</t>
  </si>
  <si>
    <t>Receita</t>
  </si>
  <si>
    <t>IDENTIFICAÇÃO</t>
  </si>
  <si>
    <t>Quan-</t>
  </si>
  <si>
    <t>Formação do Preço Unitário para Base de Cálculo</t>
  </si>
  <si>
    <t>Alí-</t>
  </si>
  <si>
    <t>Carga</t>
  </si>
  <si>
    <t>Valor</t>
  </si>
  <si>
    <t>Margem</t>
  </si>
  <si>
    <t>Base</t>
  </si>
  <si>
    <t>Débito do</t>
  </si>
  <si>
    <t>Crédito</t>
  </si>
  <si>
    <t>ICMS</t>
  </si>
  <si>
    <t>Valor do</t>
  </si>
  <si>
    <t xml:space="preserve">lance  na </t>
  </si>
  <si>
    <t>FISCAL</t>
  </si>
  <si>
    <t>lução/</t>
  </si>
  <si>
    <t xml:space="preserve">a </t>
  </si>
  <si>
    <t xml:space="preserve">DO </t>
  </si>
  <si>
    <t>ti-</t>
  </si>
  <si>
    <t xml:space="preserve">Valor da </t>
  </si>
  <si>
    <t>IPI</t>
  </si>
  <si>
    <t>Frete</t>
  </si>
  <si>
    <t>Seguro</t>
  </si>
  <si>
    <t>OU</t>
  </si>
  <si>
    <t>Preço</t>
  </si>
  <si>
    <t>quota</t>
  </si>
  <si>
    <t>tributária</t>
  </si>
  <si>
    <t>da pauta</t>
  </si>
  <si>
    <t>de</t>
  </si>
  <si>
    <t>Imposto</t>
  </si>
  <si>
    <t>da</t>
  </si>
  <si>
    <t xml:space="preserve"> a ser</t>
  </si>
  <si>
    <t>ICMS a</t>
  </si>
  <si>
    <t>coluna</t>
  </si>
  <si>
    <t>DE</t>
  </si>
  <si>
    <t>desfaz-</t>
  </si>
  <si>
    <t>ser</t>
  </si>
  <si>
    <t>FORNECEDOR</t>
  </si>
  <si>
    <t>dade</t>
  </si>
  <si>
    <t>Nota Fiscal/</t>
  </si>
  <si>
    <t>TRAS</t>
  </si>
  <si>
    <t>Composto</t>
  </si>
  <si>
    <t xml:space="preserve">de </t>
  </si>
  <si>
    <t>alíquota</t>
  </si>
  <si>
    <t>fiscal</t>
  </si>
  <si>
    <t>Agreg.</t>
  </si>
  <si>
    <t>Cálculo</t>
  </si>
  <si>
    <t xml:space="preserve">nota </t>
  </si>
  <si>
    <t>reco-</t>
  </si>
  <si>
    <t>O código</t>
  </si>
  <si>
    <t>ENTRADA</t>
  </si>
  <si>
    <t>mento</t>
  </si>
  <si>
    <t>Antecipada</t>
  </si>
  <si>
    <t>OU DO</t>
  </si>
  <si>
    <t>do</t>
  </si>
  <si>
    <t>Base de cálculo</t>
  </si>
  <si>
    <t>DES</t>
  </si>
  <si>
    <t>origem</t>
  </si>
  <si>
    <t>para o</t>
  </si>
  <si>
    <t>fiscal de</t>
  </si>
  <si>
    <t>lhido</t>
  </si>
  <si>
    <t>devol-</t>
  </si>
  <si>
    <t>de Receita</t>
  </si>
  <si>
    <t>diferença de Alíquota</t>
  </si>
  <si>
    <t>ant.prod. Importados</t>
  </si>
  <si>
    <t>antecipação cerâmica</t>
  </si>
  <si>
    <t xml:space="preserve">marque </t>
  </si>
  <si>
    <t>DESTINATÁRIO (quando</t>
  </si>
  <si>
    <t>pro-</t>
  </si>
  <si>
    <t>PE</t>
  </si>
  <si>
    <t>destino</t>
  </si>
  <si>
    <t>produto</t>
  </si>
  <si>
    <t>MVA*</t>
  </si>
  <si>
    <t>na ope-</t>
  </si>
  <si>
    <t>vido</t>
  </si>
  <si>
    <t>de cada</t>
  </si>
  <si>
    <t>b.Calculo</t>
  </si>
  <si>
    <t>débito</t>
  </si>
  <si>
    <t>crédito</t>
  </si>
  <si>
    <t>v. a recolher</t>
  </si>
  <si>
    <t>Base de  cálculo</t>
  </si>
  <si>
    <t>NF/CTRC Nº</t>
  </si>
  <si>
    <t>substituição interna)</t>
  </si>
  <si>
    <t>duto</t>
  </si>
  <si>
    <t xml:space="preserve"> </t>
  </si>
  <si>
    <t>SAS</t>
  </si>
  <si>
    <t>ração</t>
  </si>
  <si>
    <t>EMBRATEL BRASIL.</t>
  </si>
  <si>
    <t>MECAL MAQ.</t>
  </si>
  <si>
    <t>NOME DA EMPRESA</t>
  </si>
  <si>
    <t>MEDCAL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</si>
</sst>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_(&quot;R$ &quot;* #,##0.00_);_(&quot;R$ &quot;* \(#,##0.00\);_(&quot;R$ &quot;* &quot;-&quot;??_);_(@_)"/>
    <numFmt numFmtId="165" formatCode="_(* #,##0.00_);_(* \(#,##0.00\);_(* &quot;-&quot;??_);_(@_)"/>
    <numFmt numFmtId="166" formatCode="0.0%"/>
  </numFmts>
  <fonts count="23">
    <font>
      <sz val="10"/>
      <name val="Arial"/>
    </font>
    <font>
      <sz val="10"/>
      <name val="Arial"/>
    </font>
    <font>
      <b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Fixa"/>
    </font>
    <font>
      <b/>
      <sz val="10"/>
      <color indexed="12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8"/>
      <color indexed="10"/>
      <name val="Arial"/>
      <family val="2"/>
    </font>
    <font>
      <sz val="8"/>
      <color indexed="10"/>
      <name val="Arial"/>
      <family val="2"/>
    </font>
    <font>
      <sz val="10"/>
      <color indexed="10"/>
      <name val="Arial"/>
      <family val="2"/>
    </font>
    <font>
      <b/>
      <sz val="9"/>
      <name val="Arial"/>
      <family val="2"/>
    </font>
    <font>
      <b/>
      <sz val="7.5"/>
      <name val="Arial"/>
      <family val="2"/>
    </font>
    <font>
      <b/>
      <sz val="8"/>
      <name val="Arial"/>
      <family val="2"/>
    </font>
    <font>
      <sz val="7.5"/>
      <color indexed="12"/>
      <name val="Arial"/>
      <family val="2"/>
    </font>
    <font>
      <sz val="8"/>
      <color indexed="12"/>
      <name val="Arial"/>
      <family val="2"/>
    </font>
    <font>
      <sz val="7.5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5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0" fontId="0" fillId="0" borderId="0"/>
    <xf numFmtId="165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47">
    <xf numFmtId="0" fontId="0" fillId="0" borderId="0" xfId="0"/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center"/>
    </xf>
    <xf numFmtId="0" fontId="2" fillId="0" borderId="7" xfId="0" applyFont="1" applyBorder="1" applyAlignment="1" applyProtection="1">
      <alignment horizontal="center"/>
      <protection locked="0"/>
    </xf>
    <xf numFmtId="17" fontId="2" fillId="0" borderId="5" xfId="0" applyNumberFormat="1" applyFont="1" applyBorder="1" applyAlignment="1" applyProtection="1">
      <alignment horizontal="center"/>
      <protection locked="0"/>
    </xf>
    <xf numFmtId="0" fontId="2" fillId="0" borderId="0" xfId="0" applyFont="1"/>
    <xf numFmtId="0" fontId="2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/>
    <xf numFmtId="0" fontId="2" fillId="0" borderId="8" xfId="0" applyFont="1" applyBorder="1"/>
    <xf numFmtId="0" fontId="2" fillId="0" borderId="6" xfId="0" applyFont="1" applyBorder="1"/>
    <xf numFmtId="0" fontId="2" fillId="0" borderId="0" xfId="0" applyFont="1" applyBorder="1" applyAlignment="1" applyProtection="1">
      <alignment horizontal="center"/>
      <protection locked="0"/>
    </xf>
    <xf numFmtId="0" fontId="5" fillId="0" borderId="5" xfId="0" applyFont="1" applyBorder="1" applyProtection="1"/>
    <xf numFmtId="0" fontId="6" fillId="0" borderId="9" xfId="0" applyFont="1" applyBorder="1" applyAlignment="1">
      <alignment horizontal="center"/>
    </xf>
    <xf numFmtId="0" fontId="3" fillId="0" borderId="5" xfId="0" applyFont="1" applyBorder="1"/>
    <xf numFmtId="0" fontId="3" fillId="0" borderId="7" xfId="0" applyFont="1" applyBorder="1"/>
    <xf numFmtId="0" fontId="2" fillId="0" borderId="11" xfId="0" applyFont="1" applyBorder="1" applyAlignment="1" applyProtection="1">
      <alignment horizontal="center"/>
      <protection locked="0"/>
    </xf>
    <xf numFmtId="0" fontId="3" fillId="0" borderId="12" xfId="0" applyFont="1" applyFill="1" applyBorder="1"/>
    <xf numFmtId="0" fontId="2" fillId="0" borderId="0" xfId="0" applyFont="1" applyBorder="1" applyAlignment="1">
      <alignment horizontal="center"/>
    </xf>
    <xf numFmtId="0" fontId="7" fillId="0" borderId="0" xfId="0" applyFont="1"/>
    <xf numFmtId="10" fontId="7" fillId="0" borderId="0" xfId="0" applyNumberFormat="1" applyFont="1"/>
    <xf numFmtId="0" fontId="3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0" fillId="0" borderId="7" xfId="0" applyBorder="1"/>
    <xf numFmtId="0" fontId="3" fillId="0" borderId="0" xfId="0" applyFont="1" applyFill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0" fillId="0" borderId="11" xfId="0" applyBorder="1"/>
    <xf numFmtId="0" fontId="2" fillId="3" borderId="0" xfId="0" applyFont="1" applyFill="1" applyBorder="1" applyAlignment="1">
      <alignment horizontal="left"/>
    </xf>
    <xf numFmtId="0" fontId="0" fillId="3" borderId="0" xfId="0" applyFill="1"/>
    <xf numFmtId="0" fontId="10" fillId="0" borderId="0" xfId="4" applyFill="1" applyAlignment="1" applyProtection="1"/>
    <xf numFmtId="0" fontId="9" fillId="2" borderId="0" xfId="0" applyFont="1" applyFill="1" applyBorder="1" applyAlignment="1">
      <alignment horizontal="left"/>
    </xf>
    <xf numFmtId="0" fontId="10" fillId="0" borderId="0" xfId="4" applyAlignment="1" applyProtection="1"/>
    <xf numFmtId="0" fontId="11" fillId="0" borderId="0" xfId="0" applyFont="1" applyBorder="1" applyAlignment="1">
      <alignment horizontal="left"/>
    </xf>
    <xf numFmtId="0" fontId="3" fillId="0" borderId="0" xfId="0" applyFont="1" applyBorder="1" applyAlignment="1">
      <alignment horizontal="left"/>
    </xf>
    <xf numFmtId="0" fontId="0" fillId="0" borderId="0" xfId="0" applyBorder="1"/>
    <xf numFmtId="0" fontId="2" fillId="0" borderId="0" xfId="0" applyFont="1" applyBorder="1" applyAlignment="1">
      <alignment horizontal="left"/>
    </xf>
    <xf numFmtId="0" fontId="11" fillId="0" borderId="0" xfId="0" applyFont="1"/>
    <xf numFmtId="0" fontId="11" fillId="0" borderId="0" xfId="0" applyFont="1" applyFill="1" applyBorder="1" applyAlignment="1">
      <alignment horizontal="left"/>
    </xf>
    <xf numFmtId="0" fontId="12" fillId="0" borderId="0" xfId="0" applyFont="1"/>
    <xf numFmtId="0" fontId="12" fillId="0" borderId="0" xfId="0" applyFont="1" applyBorder="1"/>
    <xf numFmtId="0" fontId="13" fillId="0" borderId="0" xfId="0" applyFont="1" applyBorder="1"/>
    <xf numFmtId="0" fontId="14" fillId="0" borderId="12" xfId="0" applyFont="1" applyBorder="1" applyAlignment="1">
      <alignment horizontal="center"/>
    </xf>
    <xf numFmtId="0" fontId="14" fillId="0" borderId="5" xfId="0" applyFont="1" applyBorder="1" applyAlignment="1">
      <alignment horizontal="center"/>
    </xf>
    <xf numFmtId="0" fontId="14" fillId="0" borderId="12" xfId="0" applyFont="1" applyFill="1" applyBorder="1" applyAlignment="1">
      <alignment horizontal="center"/>
    </xf>
    <xf numFmtId="0" fontId="14" fillId="0" borderId="6" xfId="0" applyFont="1" applyFill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15" fillId="0" borderId="16" xfId="0" applyFont="1" applyBorder="1"/>
    <xf numFmtId="0" fontId="16" fillId="0" borderId="16" xfId="0" applyFont="1" applyBorder="1"/>
    <xf numFmtId="0" fontId="2" fillId="0" borderId="16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6" fillId="0" borderId="16" xfId="0" applyFont="1" applyBorder="1" applyAlignment="1">
      <alignment horizontal="center"/>
    </xf>
    <xf numFmtId="0" fontId="16" fillId="0" borderId="17" xfId="0" applyFont="1" applyBorder="1" applyAlignment="1">
      <alignment horizontal="center"/>
    </xf>
    <xf numFmtId="0" fontId="15" fillId="0" borderId="16" xfId="0" applyFont="1" applyFill="1" applyBorder="1" applyAlignment="1">
      <alignment horizontal="center"/>
    </xf>
    <xf numFmtId="0" fontId="2" fillId="0" borderId="16" xfId="0" applyFont="1" applyBorder="1"/>
    <xf numFmtId="0" fontId="2" fillId="0" borderId="0" xfId="0" applyFont="1" applyBorder="1"/>
    <xf numFmtId="0" fontId="15" fillId="0" borderId="17" xfId="0" applyFont="1" applyBorder="1"/>
    <xf numFmtId="0" fontId="16" fillId="0" borderId="17" xfId="0" applyFont="1" applyBorder="1"/>
    <xf numFmtId="0" fontId="2" fillId="0" borderId="17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17" xfId="0" applyFont="1" applyFill="1" applyBorder="1" applyAlignment="1">
      <alignment horizontal="center"/>
    </xf>
    <xf numFmtId="0" fontId="2" fillId="0" borderId="17" xfId="0" applyFont="1" applyBorder="1"/>
    <xf numFmtId="9" fontId="15" fillId="0" borderId="17" xfId="0" applyNumberFormat="1" applyFont="1" applyBorder="1" applyAlignment="1">
      <alignment horizontal="center"/>
    </xf>
    <xf numFmtId="0" fontId="15" fillId="0" borderId="0" xfId="0" applyFont="1" applyFill="1" applyBorder="1" applyAlignment="1">
      <alignment horizontal="center"/>
    </xf>
    <xf numFmtId="0" fontId="16" fillId="0" borderId="0" xfId="0" applyFont="1" applyBorder="1"/>
    <xf numFmtId="0" fontId="16" fillId="0" borderId="17" xfId="0" applyFont="1" applyFill="1" applyBorder="1" applyAlignment="1">
      <alignment horizontal="center"/>
    </xf>
    <xf numFmtId="0" fontId="15" fillId="0" borderId="18" xfId="0" applyFont="1" applyFill="1" applyBorder="1" applyAlignment="1">
      <alignment horizontal="center"/>
    </xf>
    <xf numFmtId="0" fontId="0" fillId="0" borderId="9" xfId="0" applyBorder="1"/>
    <xf numFmtId="0" fontId="0" fillId="0" borderId="17" xfId="0" applyBorder="1" applyAlignment="1">
      <alignment horizontal="center"/>
    </xf>
    <xf numFmtId="0" fontId="2" fillId="0" borderId="19" xfId="0" applyFont="1" applyBorder="1" applyAlignment="1">
      <alignment horizontal="center"/>
    </xf>
    <xf numFmtId="0" fontId="0" fillId="0" borderId="20" xfId="0" applyBorder="1"/>
    <xf numFmtId="0" fontId="0" fillId="0" borderId="16" xfId="0" applyBorder="1"/>
    <xf numFmtId="0" fontId="15" fillId="0" borderId="18" xfId="0" applyFont="1" applyBorder="1" applyAlignment="1">
      <alignment horizontal="center"/>
    </xf>
    <xf numFmtId="165" fontId="15" fillId="0" borderId="18" xfId="0" applyNumberFormat="1" applyFont="1" applyFill="1" applyBorder="1" applyAlignment="1">
      <alignment horizontal="center"/>
    </xf>
    <xf numFmtId="0" fontId="16" fillId="0" borderId="18" xfId="0" applyFont="1" applyBorder="1"/>
    <xf numFmtId="165" fontId="17" fillId="0" borderId="17" xfId="0" applyNumberFormat="1" applyFont="1" applyFill="1" applyBorder="1" applyAlignment="1">
      <alignment horizontal="center"/>
    </xf>
    <xf numFmtId="165" fontId="18" fillId="0" borderId="17" xfId="0" applyNumberFormat="1" applyFont="1" applyBorder="1"/>
    <xf numFmtId="2" fontId="18" fillId="0" borderId="17" xfId="0" applyNumberFormat="1" applyFont="1" applyBorder="1"/>
    <xf numFmtId="2" fontId="12" fillId="0" borderId="21" xfId="0" applyNumberFormat="1" applyFont="1" applyBorder="1"/>
    <xf numFmtId="10" fontId="0" fillId="0" borderId="9" xfId="0" applyNumberFormat="1" applyBorder="1"/>
    <xf numFmtId="2" fontId="0" fillId="0" borderId="9" xfId="0" applyNumberFormat="1" applyBorder="1"/>
    <xf numFmtId="2" fontId="19" fillId="0" borderId="22" xfId="1" applyNumberFormat="1" applyFont="1" applyBorder="1"/>
    <xf numFmtId="165" fontId="20" fillId="0" borderId="22" xfId="0" applyNumberFormat="1" applyFont="1" applyBorder="1"/>
    <xf numFmtId="2" fontId="19" fillId="0" borderId="22" xfId="0" applyNumberFormat="1" applyFont="1" applyBorder="1"/>
    <xf numFmtId="0" fontId="19" fillId="0" borderId="13" xfId="0" applyFont="1" applyBorder="1" applyProtection="1">
      <protection locked="0"/>
    </xf>
    <xf numFmtId="0" fontId="20" fillId="0" borderId="9" xfId="0" applyFont="1" applyBorder="1" applyProtection="1">
      <protection locked="0"/>
    </xf>
    <xf numFmtId="0" fontId="6" fillId="0" borderId="15" xfId="0" applyFont="1" applyBorder="1" applyProtection="1">
      <protection locked="0"/>
    </xf>
    <xf numFmtId="0" fontId="6" fillId="0" borderId="9" xfId="0" applyFont="1" applyBorder="1" applyProtection="1">
      <protection locked="0"/>
    </xf>
    <xf numFmtId="0" fontId="19" fillId="0" borderId="22" xfId="0" applyFont="1" applyBorder="1" applyProtection="1">
      <protection locked="0"/>
    </xf>
    <xf numFmtId="165" fontId="19" fillId="0" borderId="22" xfId="1" applyFont="1" applyBorder="1" applyProtection="1">
      <protection locked="0"/>
    </xf>
    <xf numFmtId="165" fontId="20" fillId="0" borderId="9" xfId="0" applyNumberFormat="1" applyFont="1" applyBorder="1"/>
    <xf numFmtId="10" fontId="20" fillId="0" borderId="22" xfId="0" applyNumberFormat="1" applyFont="1" applyBorder="1" applyProtection="1">
      <protection locked="0"/>
    </xf>
    <xf numFmtId="10" fontId="19" fillId="0" borderId="22" xfId="1" applyNumberFormat="1" applyFont="1" applyBorder="1" applyProtection="1">
      <protection locked="0"/>
    </xf>
    <xf numFmtId="165" fontId="20" fillId="0" borderId="22" xfId="0" applyNumberFormat="1" applyFont="1" applyBorder="1" applyProtection="1">
      <protection locked="0"/>
    </xf>
    <xf numFmtId="10" fontId="20" fillId="0" borderId="23" xfId="0" applyNumberFormat="1" applyFont="1" applyBorder="1" applyProtection="1">
      <protection locked="0"/>
    </xf>
    <xf numFmtId="165" fontId="20" fillId="0" borderId="9" xfId="1" applyFont="1" applyBorder="1" applyProtection="1"/>
    <xf numFmtId="165" fontId="20" fillId="0" borderId="22" xfId="1" applyFont="1" applyBorder="1" applyProtection="1"/>
    <xf numFmtId="166" fontId="1" fillId="0" borderId="0" xfId="3" applyNumberFormat="1" applyFont="1"/>
    <xf numFmtId="0" fontId="0" fillId="0" borderId="0" xfId="0" applyProtection="1">
      <protection locked="0"/>
    </xf>
    <xf numFmtId="165" fontId="1" fillId="0" borderId="0" xfId="1" applyFont="1"/>
    <xf numFmtId="165" fontId="20" fillId="0" borderId="0" xfId="1" applyFont="1" applyBorder="1"/>
    <xf numFmtId="2" fontId="0" fillId="0" borderId="0" xfId="0" applyNumberFormat="1"/>
    <xf numFmtId="165" fontId="1" fillId="0" borderId="0" xfId="1" applyFont="1" applyBorder="1"/>
    <xf numFmtId="0" fontId="6" fillId="0" borderId="0" xfId="0" applyFont="1" applyBorder="1"/>
    <xf numFmtId="0" fontId="0" fillId="0" borderId="0" xfId="0" applyBorder="1" applyProtection="1">
      <protection locked="0"/>
    </xf>
    <xf numFmtId="0" fontId="19" fillId="0" borderId="0" xfId="0" applyFont="1" applyBorder="1" applyProtection="1">
      <protection locked="0"/>
    </xf>
    <xf numFmtId="165" fontId="19" fillId="0" borderId="0" xfId="1" applyFont="1" applyBorder="1" applyProtection="1">
      <protection locked="0"/>
    </xf>
    <xf numFmtId="10" fontId="20" fillId="0" borderId="0" xfId="0" applyNumberFormat="1" applyFont="1" applyBorder="1" applyProtection="1">
      <protection locked="0"/>
    </xf>
    <xf numFmtId="165" fontId="1" fillId="0" borderId="0" xfId="1" applyFont="1" applyBorder="1" applyProtection="1">
      <protection locked="0"/>
    </xf>
    <xf numFmtId="165" fontId="0" fillId="0" borderId="0" xfId="0" applyNumberFormat="1" applyBorder="1"/>
    <xf numFmtId="165" fontId="1" fillId="0" borderId="0" xfId="1" applyFont="1" applyProtection="1">
      <protection locked="0"/>
    </xf>
    <xf numFmtId="165" fontId="0" fillId="0" borderId="0" xfId="0" applyNumberFormat="1"/>
    <xf numFmtId="0" fontId="2" fillId="0" borderId="7" xfId="0" applyFont="1" applyBorder="1" applyAlignment="1" applyProtection="1">
      <alignment horizontal="center"/>
      <protection locked="0"/>
    </xf>
    <xf numFmtId="0" fontId="15" fillId="0" borderId="5" xfId="0" applyFont="1" applyBorder="1" applyAlignment="1">
      <alignment horizontal="center"/>
    </xf>
    <xf numFmtId="0" fontId="15" fillId="0" borderId="7" xfId="0" applyFont="1" applyBorder="1" applyAlignment="1">
      <alignment horizontal="center"/>
    </xf>
    <xf numFmtId="0" fontId="15" fillId="0" borderId="6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  <xf numFmtId="164" fontId="6" fillId="0" borderId="7" xfId="2" applyFont="1" applyBorder="1" applyAlignment="1">
      <alignment horizontal="center"/>
    </xf>
    <xf numFmtId="164" fontId="6" fillId="0" borderId="5" xfId="2" applyFont="1" applyBorder="1" applyAlignment="1">
      <alignment horizontal="center"/>
    </xf>
    <xf numFmtId="164" fontId="6" fillId="0" borderId="10" xfId="2" applyFont="1" applyBorder="1" applyAlignment="1">
      <alignment horizontal="center"/>
    </xf>
    <xf numFmtId="0" fontId="9" fillId="2" borderId="0" xfId="0" applyFont="1" applyFill="1" applyBorder="1" applyAlignment="1">
      <alignment horizontal="center"/>
    </xf>
    <xf numFmtId="165" fontId="8" fillId="0" borderId="5" xfId="0" applyNumberFormat="1" applyFont="1" applyBorder="1" applyAlignment="1">
      <alignment horizontal="center"/>
    </xf>
    <xf numFmtId="165" fontId="8" fillId="0" borderId="6" xfId="0" applyNumberFormat="1" applyFont="1" applyBorder="1" applyAlignment="1">
      <alignment horizontal="center"/>
    </xf>
    <xf numFmtId="165" fontId="2" fillId="0" borderId="5" xfId="1" applyFont="1" applyBorder="1" applyAlignment="1">
      <alignment horizontal="center"/>
    </xf>
    <xf numFmtId="165" fontId="2" fillId="0" borderId="6" xfId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2" fillId="0" borderId="0" xfId="0" applyFont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horizontal="center"/>
    </xf>
    <xf numFmtId="17" fontId="2" fillId="0" borderId="7" xfId="0" applyNumberFormat="1" applyFont="1" applyBorder="1" applyAlignment="1" applyProtection="1">
      <alignment horizontal="center"/>
      <protection locked="0"/>
    </xf>
    <xf numFmtId="17" fontId="2" fillId="0" borderId="6" xfId="0" applyNumberFormat="1" applyFont="1" applyBorder="1" applyAlignment="1" applyProtection="1">
      <alignment horizontal="center"/>
      <protection locked="0"/>
    </xf>
    <xf numFmtId="0" fontId="4" fillId="0" borderId="0" xfId="0" applyFont="1" applyFill="1" applyBorder="1" applyAlignment="1">
      <alignment horizontal="center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542925</xdr:colOff>
          <xdr:row>0</xdr:row>
          <xdr:rowOff>123825</xdr:rowOff>
        </xdr:from>
        <xdr:to>
          <xdr:col>0</xdr:col>
          <xdr:colOff>542925</xdr:colOff>
          <xdr:row>3</xdr:row>
          <xdr:rowOff>123825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omments" Target="../comments1.xml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IF9241"/>
  <sheetViews>
    <sheetView showGridLines="0" tabSelected="1" topLeftCell="A13" zoomScale="90" zoomScaleNormal="90" workbookViewId="0">
      <selection activeCell="G44" sqref="G44"/>
    </sheetView>
  </sheetViews>
  <sheetFormatPr defaultColWidth="0" defaultRowHeight="0" customHeight="1" zeroHeight="1"/>
  <cols>
    <col min="1" max="1" width="8.28515625" customWidth="1"/>
    <col min="2" max="2" width="6.85546875" customWidth="1"/>
    <col min="3" max="3" width="17.42578125" customWidth="1"/>
    <col min="4" max="4" width="19.42578125" customWidth="1"/>
    <col min="5" max="5" width="4.28515625" customWidth="1"/>
    <col min="6" max="6" width="13.140625" customWidth="1"/>
    <col min="7" max="7" width="7.140625" customWidth="1"/>
    <col min="8" max="8" width="6.42578125" customWidth="1"/>
    <col min="9" max="9" width="7" customWidth="1"/>
    <col min="10" max="10" width="6.140625" customWidth="1"/>
    <col min="11" max="11" width="12.5703125" customWidth="1"/>
    <col min="12" max="12" width="6.85546875" customWidth="1"/>
    <col min="13" max="13" width="8.85546875" customWidth="1"/>
    <col min="14" max="14" width="9.42578125" customWidth="1"/>
    <col min="15" max="15" width="6.7109375" style="109" customWidth="1"/>
    <col min="16" max="16" width="11" style="110" customWidth="1"/>
    <col min="17" max="17" width="10" style="110" customWidth="1"/>
    <col min="18" max="19" width="9.5703125" style="110" customWidth="1"/>
    <col min="20" max="20" width="9.28515625" style="110" customWidth="1"/>
    <col min="21" max="21" width="0.140625" hidden="1" customWidth="1"/>
    <col min="22" max="22" width="9" hidden="1" customWidth="1"/>
    <col min="23" max="23" width="11.140625" hidden="1" customWidth="1"/>
    <col min="24" max="24" width="0.28515625" hidden="1" customWidth="1"/>
    <col min="25" max="29" width="11.140625" hidden="1" customWidth="1"/>
    <col min="30" max="30" width="0.85546875" hidden="1" customWidth="1"/>
    <col min="31" max="34" width="11.140625" hidden="1" customWidth="1"/>
    <col min="35" max="37" width="13.28515625" hidden="1" customWidth="1"/>
    <col min="38" max="38" width="0.28515625" hidden="1" customWidth="1"/>
    <col min="39" max="42" width="13.42578125" hidden="1" customWidth="1"/>
    <col min="43" max="43" width="12.5703125" hidden="1" customWidth="1"/>
    <col min="44" max="44" width="14.85546875" hidden="1" customWidth="1"/>
    <col min="45" max="45" width="13.42578125" hidden="1" customWidth="1"/>
    <col min="46" max="46" width="10.85546875" hidden="1" customWidth="1"/>
    <col min="47" max="48" width="11.140625" hidden="1" customWidth="1"/>
    <col min="49" max="49" width="0.5703125" hidden="1" customWidth="1"/>
    <col min="50" max="50" width="12.5703125" hidden="1" customWidth="1"/>
    <col min="51" max="51" width="12" hidden="1" customWidth="1"/>
    <col min="52" max="52" width="9.140625" hidden="1" customWidth="1"/>
    <col min="53" max="53" width="13.28515625" hidden="1" customWidth="1"/>
    <col min="54" max="60" width="9.140625" hidden="1" customWidth="1"/>
    <col min="61" max="61" width="0.5703125" hidden="1" customWidth="1"/>
    <col min="62" max="67" width="9.140625" hidden="1" customWidth="1"/>
    <col min="68" max="68" width="7" hidden="1" customWidth="1"/>
    <col min="69" max="73" width="9.140625" hidden="1" customWidth="1"/>
    <col min="74" max="74" width="7.28515625" hidden="1" customWidth="1"/>
    <col min="75" max="83" width="9.140625" hidden="1" customWidth="1"/>
    <col min="84" max="84" width="0.140625" hidden="1" customWidth="1"/>
    <col min="85" max="85" width="9.140625" hidden="1" customWidth="1"/>
    <col min="86" max="86" width="19.5703125" hidden="1" customWidth="1"/>
    <col min="87" max="92" width="9.140625" hidden="1" customWidth="1"/>
    <col min="93" max="93" width="11.42578125" hidden="1" customWidth="1"/>
    <col min="94" max="97" width="9.140625" hidden="1" customWidth="1"/>
    <col min="98" max="98" width="0.42578125" hidden="1" customWidth="1"/>
    <col min="99" max="99" width="0.28515625" hidden="1" customWidth="1"/>
    <col min="100" max="106" width="9.140625" hidden="1" customWidth="1"/>
    <col min="107" max="107" width="0.28515625" hidden="1" customWidth="1"/>
    <col min="108" max="138" width="9.140625" hidden="1" customWidth="1"/>
    <col min="139" max="139" width="0.5703125" hidden="1" customWidth="1"/>
    <col min="140" max="146" width="9.140625" hidden="1" customWidth="1"/>
    <col min="147" max="147" width="0.42578125" hidden="1" customWidth="1"/>
    <col min="148" max="154" width="9.140625" hidden="1" customWidth="1"/>
    <col min="155" max="155" width="0.140625" hidden="1" customWidth="1"/>
    <col min="156" max="164" width="9.140625" hidden="1" customWidth="1"/>
    <col min="165" max="165" width="0.140625" hidden="1" customWidth="1"/>
    <col min="166" max="174" width="9.140625" hidden="1" customWidth="1"/>
    <col min="175" max="175" width="0.5703125" hidden="1" customWidth="1"/>
    <col min="176" max="185" width="9.140625" hidden="1" customWidth="1"/>
    <col min="186" max="186" width="0.140625" hidden="1" customWidth="1"/>
    <col min="187" max="205" width="9.140625" hidden="1" customWidth="1"/>
    <col min="206" max="206" width="0.5703125" hidden="1" customWidth="1"/>
    <col min="207" max="239" width="9.140625" hidden="1" customWidth="1"/>
    <col min="240" max="240" width="0.5703125" hidden="1" customWidth="1"/>
  </cols>
  <sheetData>
    <row r="1" spans="1:25" ht="12.75">
      <c r="O1"/>
      <c r="P1"/>
      <c r="Q1"/>
      <c r="R1"/>
      <c r="S1"/>
      <c r="T1"/>
    </row>
    <row r="2" spans="1:25" ht="12.75">
      <c r="O2"/>
      <c r="P2"/>
      <c r="Q2"/>
      <c r="R2"/>
      <c r="S2"/>
      <c r="T2"/>
    </row>
    <row r="3" spans="1:25" ht="12.75">
      <c r="O3"/>
      <c r="P3"/>
      <c r="Q3"/>
      <c r="R3"/>
      <c r="S3"/>
      <c r="T3"/>
    </row>
    <row r="4" spans="1:25" ht="12.75">
      <c r="O4"/>
      <c r="P4"/>
      <c r="Q4"/>
      <c r="R4"/>
      <c r="S4"/>
      <c r="T4"/>
    </row>
    <row r="5" spans="1:25" ht="12.75">
      <c r="A5" s="141" t="s">
        <v>0</v>
      </c>
      <c r="B5" s="141"/>
      <c r="C5" s="141"/>
      <c r="D5" s="141"/>
      <c r="E5" s="141"/>
      <c r="F5" s="141"/>
      <c r="G5" s="141"/>
      <c r="H5" s="141"/>
      <c r="I5" s="141"/>
      <c r="J5" s="141"/>
      <c r="K5" s="141"/>
      <c r="L5" s="141"/>
      <c r="M5" s="141"/>
      <c r="N5" s="141"/>
      <c r="O5" s="141"/>
      <c r="P5" s="141"/>
      <c r="Q5" s="141"/>
      <c r="R5" s="141"/>
      <c r="S5" s="141"/>
      <c r="T5" s="141"/>
      <c r="U5" s="141"/>
      <c r="V5" s="141"/>
      <c r="W5" s="141"/>
      <c r="X5" s="141"/>
      <c r="Y5" s="1"/>
    </row>
    <row r="6" spans="1:25" ht="12.75">
      <c r="A6" s="141" t="s">
        <v>1</v>
      </c>
      <c r="B6" s="141"/>
      <c r="C6" s="141"/>
      <c r="D6" s="141"/>
      <c r="E6" s="141"/>
      <c r="F6" s="141"/>
      <c r="G6" s="141"/>
      <c r="H6" s="141"/>
      <c r="I6" s="141"/>
      <c r="J6" s="141"/>
      <c r="K6" s="141"/>
      <c r="L6" s="141"/>
      <c r="M6" s="141"/>
      <c r="N6" s="141"/>
      <c r="O6" s="141"/>
      <c r="P6" s="141"/>
      <c r="Q6" s="141"/>
      <c r="R6" s="141"/>
      <c r="S6" s="141"/>
      <c r="T6" s="141"/>
      <c r="U6" s="141"/>
      <c r="V6" s="141"/>
      <c r="W6" s="141"/>
      <c r="X6" s="141"/>
      <c r="Y6" s="1"/>
    </row>
    <row r="7" spans="1:25" ht="15.75">
      <c r="A7" s="2"/>
      <c r="B7" s="2" t="s">
        <v>2</v>
      </c>
      <c r="C7" s="2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4"/>
      <c r="S7" s="4"/>
      <c r="T7" s="4"/>
      <c r="U7" s="4"/>
      <c r="V7" s="4"/>
      <c r="W7" s="4"/>
      <c r="X7" s="4"/>
      <c r="Y7" s="4"/>
    </row>
    <row r="8" spans="1:25" ht="15">
      <c r="A8" s="141" t="s">
        <v>3</v>
      </c>
      <c r="B8" s="141"/>
      <c r="C8" s="141"/>
      <c r="D8" s="141"/>
      <c r="E8" s="141"/>
      <c r="F8" s="141"/>
      <c r="G8" s="141"/>
      <c r="H8" s="141"/>
      <c r="I8" s="141"/>
      <c r="J8" s="141"/>
      <c r="K8" s="141"/>
      <c r="L8" s="141"/>
      <c r="M8" s="141"/>
      <c r="N8" s="141"/>
      <c r="O8" s="141"/>
      <c r="P8" s="141"/>
      <c r="Q8" s="141"/>
      <c r="R8" s="141"/>
      <c r="S8" s="141"/>
      <c r="T8" s="141"/>
      <c r="U8" s="141"/>
      <c r="V8" s="141"/>
      <c r="W8" s="141"/>
      <c r="X8" s="141"/>
      <c r="Y8" s="5"/>
    </row>
    <row r="9" spans="1:25" ht="15">
      <c r="A9" s="141" t="s">
        <v>4</v>
      </c>
      <c r="B9" s="141"/>
      <c r="C9" s="141"/>
      <c r="D9" s="141"/>
      <c r="E9" s="141"/>
      <c r="F9" s="141"/>
      <c r="G9" s="141"/>
      <c r="H9" s="141"/>
      <c r="I9" s="141"/>
      <c r="J9" s="141"/>
      <c r="K9" s="141"/>
      <c r="L9" s="141"/>
      <c r="M9" s="141"/>
      <c r="N9" s="141"/>
      <c r="O9" s="141"/>
      <c r="P9" s="141"/>
      <c r="Q9" s="141"/>
      <c r="R9" s="141"/>
      <c r="S9" s="141"/>
      <c r="T9" s="141"/>
      <c r="U9" s="141"/>
      <c r="V9" s="141"/>
      <c r="W9" s="141"/>
      <c r="X9" s="141"/>
      <c r="Y9" s="5"/>
    </row>
    <row r="10" spans="1:25" ht="15">
      <c r="A10" s="146"/>
      <c r="B10" s="14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7"/>
      <c r="S10" s="7"/>
      <c r="T10" s="6"/>
      <c r="U10" s="6"/>
      <c r="V10" s="6"/>
      <c r="W10" s="6"/>
      <c r="X10" s="6"/>
      <c r="Y10" s="6"/>
    </row>
    <row r="11" spans="1:25" ht="15">
      <c r="A11" s="141" t="s">
        <v>5</v>
      </c>
      <c r="B11" s="141"/>
      <c r="C11" s="141"/>
      <c r="D11" s="141"/>
      <c r="E11" s="141"/>
      <c r="F11" s="141"/>
      <c r="G11" s="141"/>
      <c r="H11" s="141"/>
      <c r="I11" s="141"/>
      <c r="J11" s="141"/>
      <c r="K11" s="141"/>
      <c r="L11" s="141"/>
      <c r="M11" s="141"/>
      <c r="N11" s="141"/>
      <c r="O11" s="141"/>
      <c r="P11" s="141"/>
      <c r="Q11" s="141"/>
      <c r="R11" s="141"/>
      <c r="S11" s="141"/>
      <c r="T11" s="141"/>
      <c r="U11" s="141"/>
      <c r="V11" s="141"/>
      <c r="W11" s="141"/>
      <c r="X11" s="141"/>
      <c r="Y11" s="5"/>
    </row>
    <row r="12" spans="1:25" ht="16.5" thickBot="1">
      <c r="A12" s="141" t="s">
        <v>6</v>
      </c>
      <c r="B12" s="141"/>
      <c r="C12" s="141"/>
      <c r="D12" s="141"/>
      <c r="E12" s="141"/>
      <c r="F12" s="141"/>
      <c r="G12" s="141"/>
      <c r="H12" s="141"/>
      <c r="I12" s="141"/>
      <c r="J12" s="141"/>
      <c r="K12" s="141"/>
      <c r="L12" s="141"/>
      <c r="M12" s="141"/>
      <c r="N12" s="141"/>
      <c r="O12" s="141"/>
      <c r="P12" s="141"/>
      <c r="Q12" s="141"/>
      <c r="R12" s="141"/>
      <c r="S12" s="141"/>
      <c r="T12" s="141"/>
      <c r="U12" s="141"/>
      <c r="V12" s="141"/>
      <c r="W12" s="141"/>
      <c r="X12" s="141"/>
      <c r="Y12" s="3"/>
    </row>
    <row r="13" spans="1:25" ht="13.5" thickBot="1">
      <c r="A13" s="142"/>
      <c r="B13" s="143"/>
      <c r="N13" s="8" t="s">
        <v>7</v>
      </c>
      <c r="O13" s="9"/>
      <c r="P13" s="10" t="s">
        <v>8</v>
      </c>
      <c r="Q13" s="11"/>
      <c r="R13"/>
      <c r="S13"/>
      <c r="T13"/>
    </row>
    <row r="14" spans="1:25" ht="13.5" thickBot="1">
      <c r="A14" s="12" t="s">
        <v>9</v>
      </c>
      <c r="B14" s="13"/>
      <c r="C14" s="14"/>
      <c r="D14" s="15">
        <v>43101</v>
      </c>
      <c r="E14" s="144"/>
      <c r="F14" s="145"/>
      <c r="H14" s="16" t="s">
        <v>10</v>
      </c>
      <c r="J14" s="16"/>
      <c r="K14" s="16"/>
      <c r="N14" s="17" t="s">
        <v>11</v>
      </c>
      <c r="O14" s="18"/>
      <c r="P14" s="19" t="s">
        <v>12</v>
      </c>
      <c r="Q14" s="20"/>
      <c r="R14"/>
      <c r="S14"/>
      <c r="T14"/>
    </row>
    <row r="15" spans="1:25" ht="13.5" thickBot="1">
      <c r="A15" s="12" t="s">
        <v>13</v>
      </c>
      <c r="B15" s="21"/>
      <c r="C15" s="22"/>
      <c r="D15" s="22" t="s">
        <v>151</v>
      </c>
      <c r="E15" s="22"/>
      <c r="F15" s="22"/>
      <c r="H15" s="23">
        <f t="shared" ref="H15:H28" si="0">AO18</f>
        <v>2674</v>
      </c>
      <c r="I15" s="24"/>
      <c r="J15" s="24" t="str">
        <f t="shared" ref="J15:J25" si="1">AM18</f>
        <v>Cesta Básica optante</v>
      </c>
      <c r="K15" s="24"/>
      <c r="L15" s="130">
        <f t="shared" ref="L15:L28" si="2">SUMIF($C$40:$C$299,AM18,$S$40:$S$299)</f>
        <v>0</v>
      </c>
      <c r="M15" s="130"/>
      <c r="N15" s="131">
        <f t="shared" ref="N15:N28" si="3">SUMIF($C$40:$C$299,AM18,$T$40:$T$299)</f>
        <v>0</v>
      </c>
      <c r="O15" s="132"/>
      <c r="P15" s="131">
        <f t="shared" ref="P15:P31" si="4">L15-N15</f>
        <v>0</v>
      </c>
      <c r="Q15" s="132"/>
      <c r="R15"/>
      <c r="S15"/>
      <c r="T15"/>
    </row>
    <row r="16" spans="1:25" ht="16.5" thickBot="1">
      <c r="A16" s="25" t="s">
        <v>14</v>
      </c>
      <c r="B16" s="26"/>
      <c r="C16" s="13"/>
      <c r="D16" s="27">
        <v>0</v>
      </c>
      <c r="E16" s="27"/>
      <c r="F16" s="27"/>
      <c r="H16" s="23">
        <f t="shared" si="0"/>
        <v>2445</v>
      </c>
      <c r="I16" s="24"/>
      <c r="J16" s="24" t="str">
        <f t="shared" si="1"/>
        <v>Difer.de Alíquota</v>
      </c>
      <c r="K16" s="24"/>
      <c r="L16" s="130">
        <f t="shared" si="2"/>
        <v>7.1399999999999988</v>
      </c>
      <c r="M16" s="130"/>
      <c r="N16" s="131">
        <f t="shared" si="3"/>
        <v>0</v>
      </c>
      <c r="O16" s="132"/>
      <c r="P16" s="131">
        <f t="shared" si="4"/>
        <v>7.1399999999999988</v>
      </c>
      <c r="Q16" s="132"/>
      <c r="R16"/>
      <c r="S16"/>
      <c r="T16"/>
      <c r="W16" t="s">
        <v>15</v>
      </c>
    </row>
    <row r="17" spans="1:43" ht="16.5" thickBot="1">
      <c r="A17" s="28" t="s">
        <v>16</v>
      </c>
      <c r="B17" s="139"/>
      <c r="C17" s="140"/>
      <c r="D17" s="123">
        <v>0</v>
      </c>
      <c r="E17" s="14"/>
      <c r="F17" s="14"/>
      <c r="H17" s="23">
        <f t="shared" si="0"/>
        <v>2674</v>
      </c>
      <c r="I17" s="24"/>
      <c r="J17" s="24" t="str">
        <f t="shared" si="1"/>
        <v>Antecip.com encer.</v>
      </c>
      <c r="K17" s="24"/>
      <c r="L17" s="130">
        <f t="shared" si="2"/>
        <v>546.2912</v>
      </c>
      <c r="M17" s="130"/>
      <c r="N17" s="131">
        <f t="shared" si="3"/>
        <v>0</v>
      </c>
      <c r="O17" s="132"/>
      <c r="P17" s="131">
        <f t="shared" si="4"/>
        <v>546.2912</v>
      </c>
      <c r="Q17" s="132"/>
      <c r="R17"/>
      <c r="S17"/>
      <c r="T17"/>
    </row>
    <row r="18" spans="1:43" ht="13.5" thickBot="1">
      <c r="A18" s="138"/>
      <c r="B18" s="138"/>
      <c r="C18" s="138"/>
      <c r="D18" s="29"/>
      <c r="E18" s="29"/>
      <c r="F18" s="29"/>
      <c r="G18" s="1"/>
      <c r="H18" s="23">
        <f t="shared" si="0"/>
        <v>2372</v>
      </c>
      <c r="I18" s="24"/>
      <c r="J18" s="24" t="str">
        <f t="shared" si="1"/>
        <v>Importações</v>
      </c>
      <c r="K18" s="24"/>
      <c r="L18" s="130">
        <f t="shared" si="2"/>
        <v>0</v>
      </c>
      <c r="M18" s="130"/>
      <c r="N18" s="131">
        <f t="shared" si="3"/>
        <v>0</v>
      </c>
      <c r="O18" s="132"/>
      <c r="P18" s="131">
        <f t="shared" si="4"/>
        <v>0</v>
      </c>
      <c r="Q18" s="132"/>
      <c r="R18"/>
      <c r="S18"/>
      <c r="T18"/>
      <c r="AG18" s="30"/>
      <c r="AM18" s="30" t="s">
        <v>17</v>
      </c>
      <c r="AN18" s="30"/>
      <c r="AO18">
        <v>2674</v>
      </c>
      <c r="AP18" s="30"/>
      <c r="AQ18" s="31"/>
    </row>
    <row r="19" spans="1:43" ht="13.5" thickBot="1">
      <c r="C19" s="1"/>
      <c r="D19" s="1"/>
      <c r="E19" s="1"/>
      <c r="F19" s="1"/>
      <c r="G19" s="1"/>
      <c r="H19" s="23">
        <f t="shared" si="0"/>
        <v>2674</v>
      </c>
      <c r="I19" s="24"/>
      <c r="J19" s="24" t="str">
        <f t="shared" si="1"/>
        <v>F.trigo (signatário)</v>
      </c>
      <c r="K19" s="24"/>
      <c r="L19" s="130">
        <f t="shared" si="2"/>
        <v>0</v>
      </c>
      <c r="M19" s="130"/>
      <c r="N19" s="131">
        <f t="shared" si="3"/>
        <v>0</v>
      </c>
      <c r="O19" s="132"/>
      <c r="P19" s="131">
        <f t="shared" si="4"/>
        <v>0</v>
      </c>
      <c r="Q19" s="132"/>
      <c r="R19"/>
      <c r="S19"/>
      <c r="T19"/>
      <c r="AM19" s="30" t="s">
        <v>18</v>
      </c>
      <c r="AN19" s="30"/>
      <c r="AO19">
        <v>2445</v>
      </c>
      <c r="AP19" s="30"/>
      <c r="AQ19" s="30"/>
    </row>
    <row r="20" spans="1:43" ht="16.5" thickBot="1">
      <c r="A20" s="32" t="s">
        <v>19</v>
      </c>
      <c r="B20" s="33"/>
      <c r="C20" s="34"/>
      <c r="D20" s="34"/>
      <c r="E20" s="136">
        <f>P39</f>
        <v>7052.34</v>
      </c>
      <c r="F20" s="137"/>
      <c r="H20" s="23">
        <f t="shared" si="0"/>
        <v>2674</v>
      </c>
      <c r="I20" s="24"/>
      <c r="J20" s="24" t="str">
        <f t="shared" si="1"/>
        <v>F.trigo ( Não signatário)</v>
      </c>
      <c r="K20" s="24"/>
      <c r="L20" s="130">
        <f t="shared" si="2"/>
        <v>0</v>
      </c>
      <c r="M20" s="130"/>
      <c r="N20" s="131">
        <f t="shared" si="3"/>
        <v>0</v>
      </c>
      <c r="O20" s="132"/>
      <c r="P20" s="131">
        <f t="shared" si="4"/>
        <v>0</v>
      </c>
      <c r="Q20" s="132"/>
      <c r="R20"/>
      <c r="S20"/>
      <c r="T20"/>
      <c r="AM20" s="30" t="s">
        <v>20</v>
      </c>
      <c r="AN20" s="30"/>
      <c r="AO20">
        <v>2674</v>
      </c>
      <c r="AP20" s="30"/>
    </row>
    <row r="21" spans="1:43" ht="16.5" thickBot="1">
      <c r="A21" s="32" t="s">
        <v>21</v>
      </c>
      <c r="B21" s="33"/>
      <c r="C21" s="34"/>
      <c r="D21" s="34"/>
      <c r="E21" s="136">
        <f>Q39</f>
        <v>1269.4212</v>
      </c>
      <c r="F21" s="137"/>
      <c r="H21" s="23">
        <f t="shared" si="0"/>
        <v>2631</v>
      </c>
      <c r="I21" s="24"/>
      <c r="J21" s="24" t="str">
        <f t="shared" si="1"/>
        <v>antecip. Op. Interest.</v>
      </c>
      <c r="K21" s="24"/>
      <c r="L21" s="130">
        <f t="shared" si="2"/>
        <v>0</v>
      </c>
      <c r="M21" s="130"/>
      <c r="N21" s="131">
        <f t="shared" si="3"/>
        <v>0</v>
      </c>
      <c r="O21" s="132"/>
      <c r="P21" s="131">
        <f t="shared" si="4"/>
        <v>0</v>
      </c>
      <c r="Q21" s="132"/>
      <c r="R21"/>
      <c r="S21"/>
      <c r="T21"/>
      <c r="AM21" s="30" t="s">
        <v>22</v>
      </c>
      <c r="AN21" s="30"/>
      <c r="AO21">
        <v>2372</v>
      </c>
      <c r="AP21" s="30"/>
    </row>
    <row r="22" spans="1:43" ht="16.5" thickBot="1">
      <c r="A22" s="32" t="s">
        <v>23</v>
      </c>
      <c r="B22" s="33"/>
      <c r="C22" s="34"/>
      <c r="D22" s="34"/>
      <c r="E22" s="136">
        <f>R39</f>
        <v>391.51000000000005</v>
      </c>
      <c r="F22" s="137"/>
      <c r="H22" s="23">
        <f t="shared" si="0"/>
        <v>2658</v>
      </c>
      <c r="I22" s="24"/>
      <c r="J22" s="24" t="str">
        <f t="shared" si="1"/>
        <v>Simfaz comércio</v>
      </c>
      <c r="K22" s="24"/>
      <c r="L22" s="130">
        <f t="shared" si="2"/>
        <v>0</v>
      </c>
      <c r="M22" s="130"/>
      <c r="N22" s="131">
        <f t="shared" si="3"/>
        <v>0</v>
      </c>
      <c r="O22" s="132"/>
      <c r="P22" s="131">
        <f t="shared" si="4"/>
        <v>0</v>
      </c>
      <c r="Q22" s="132"/>
      <c r="R22"/>
      <c r="S22"/>
      <c r="T22"/>
      <c r="AM22" s="30" t="s">
        <v>24</v>
      </c>
      <c r="AN22" s="30"/>
      <c r="AO22">
        <v>2674</v>
      </c>
      <c r="AP22" s="30"/>
    </row>
    <row r="23" spans="1:43" ht="16.5" thickBot="1">
      <c r="A23" s="35" t="s">
        <v>25</v>
      </c>
      <c r="B23" s="36"/>
      <c r="C23" s="37"/>
      <c r="D23" s="37"/>
      <c r="E23" s="134">
        <f>E21-E22</f>
        <v>877.91120000000001</v>
      </c>
      <c r="F23" s="135"/>
      <c r="H23" s="23">
        <f t="shared" si="0"/>
        <v>2674</v>
      </c>
      <c r="I23" s="24"/>
      <c r="J23" s="24" t="str">
        <f t="shared" si="1"/>
        <v>Cesta básica não optante</v>
      </c>
      <c r="K23" s="24"/>
      <c r="L23" s="130">
        <f t="shared" si="2"/>
        <v>0</v>
      </c>
      <c r="M23" s="130"/>
      <c r="N23" s="131">
        <f t="shared" si="3"/>
        <v>0</v>
      </c>
      <c r="O23" s="132"/>
      <c r="P23" s="131">
        <f t="shared" si="4"/>
        <v>0</v>
      </c>
      <c r="Q23" s="132"/>
      <c r="R23"/>
      <c r="S23"/>
      <c r="T23"/>
      <c r="AM23" s="30" t="s">
        <v>26</v>
      </c>
      <c r="AN23" s="30"/>
      <c r="AO23">
        <v>2674</v>
      </c>
      <c r="AP23" s="30"/>
    </row>
    <row r="24" spans="1:43" ht="16.5" thickBot="1">
      <c r="A24" s="32" t="s">
        <v>27</v>
      </c>
      <c r="B24" s="33"/>
      <c r="C24" s="34"/>
      <c r="D24" s="34"/>
      <c r="E24" s="134">
        <f>T39</f>
        <v>0</v>
      </c>
      <c r="F24" s="135"/>
      <c r="H24" s="23">
        <f t="shared" si="0"/>
        <v>2356</v>
      </c>
      <c r="I24" s="24"/>
      <c r="J24" s="24" t="str">
        <f t="shared" si="1"/>
        <v>subst tribut. interna</v>
      </c>
      <c r="K24" s="24"/>
      <c r="L24" s="130">
        <f t="shared" si="2"/>
        <v>0</v>
      </c>
      <c r="M24" s="130"/>
      <c r="N24" s="131">
        <f t="shared" si="3"/>
        <v>0</v>
      </c>
      <c r="O24" s="132"/>
      <c r="P24" s="131">
        <f t="shared" si="4"/>
        <v>0</v>
      </c>
      <c r="Q24" s="132"/>
      <c r="R24"/>
      <c r="S24"/>
      <c r="T24"/>
      <c r="AM24" s="30" t="s">
        <v>28</v>
      </c>
      <c r="AN24" s="30"/>
      <c r="AO24">
        <v>2631</v>
      </c>
      <c r="AP24" s="30"/>
    </row>
    <row r="25" spans="1:43" ht="16.5" thickBot="1">
      <c r="A25" s="32" t="s">
        <v>29</v>
      </c>
      <c r="B25" s="33"/>
      <c r="C25" s="34"/>
      <c r="D25" s="34"/>
      <c r="E25" s="134">
        <f>E23-E24</f>
        <v>877.91120000000001</v>
      </c>
      <c r="F25" s="135"/>
      <c r="H25" s="23">
        <f t="shared" si="0"/>
        <v>2666</v>
      </c>
      <c r="I25" s="24"/>
      <c r="J25" s="24" t="str">
        <f t="shared" si="1"/>
        <v>antecipação trib. Interna</v>
      </c>
      <c r="K25" s="24"/>
      <c r="L25" s="130">
        <f t="shared" si="2"/>
        <v>0</v>
      </c>
      <c r="M25" s="130"/>
      <c r="N25" s="131">
        <f t="shared" si="3"/>
        <v>0</v>
      </c>
      <c r="O25" s="132"/>
      <c r="P25" s="131">
        <f t="shared" si="4"/>
        <v>0</v>
      </c>
      <c r="Q25" s="132"/>
      <c r="R25"/>
      <c r="S25"/>
      <c r="T25"/>
      <c r="X25" t="s">
        <v>11</v>
      </c>
      <c r="Z25" t="s">
        <v>11</v>
      </c>
      <c r="AM25" s="30" t="s">
        <v>30</v>
      </c>
      <c r="AN25" s="30"/>
      <c r="AO25">
        <v>2658</v>
      </c>
      <c r="AP25" s="30"/>
    </row>
    <row r="26" spans="1:43" ht="13.5" thickBot="1">
      <c r="A26" s="38" t="s">
        <v>31</v>
      </c>
      <c r="B26" s="39"/>
      <c r="C26" s="39"/>
      <c r="D26" s="39"/>
      <c r="E26" s="39"/>
      <c r="F26" s="39"/>
      <c r="H26" s="23">
        <f t="shared" si="0"/>
        <v>2372</v>
      </c>
      <c r="I26" s="127" t="str">
        <f>IF(AM29="","",AM29)</f>
        <v>farinha de trigo importada</v>
      </c>
      <c r="J26" s="128"/>
      <c r="K26" s="129"/>
      <c r="L26" s="130">
        <f t="shared" si="2"/>
        <v>0</v>
      </c>
      <c r="M26" s="130"/>
      <c r="N26" s="131">
        <f t="shared" si="3"/>
        <v>0</v>
      </c>
      <c r="O26" s="132"/>
      <c r="P26" s="131">
        <f t="shared" si="4"/>
        <v>0</v>
      </c>
      <c r="Q26" s="132"/>
      <c r="R26"/>
      <c r="S26"/>
      <c r="T26"/>
      <c r="AM26" s="30" t="s">
        <v>32</v>
      </c>
      <c r="AN26" s="30"/>
      <c r="AO26">
        <v>2674</v>
      </c>
      <c r="AP26" s="30"/>
    </row>
    <row r="27" spans="1:43" ht="18.75" thickBot="1">
      <c r="A27" s="133" t="s">
        <v>33</v>
      </c>
      <c r="B27" s="133"/>
      <c r="C27" s="133"/>
      <c r="D27" s="133"/>
      <c r="F27" s="40"/>
      <c r="H27" s="23">
        <f t="shared" si="0"/>
        <v>2372</v>
      </c>
      <c r="I27" s="127" t="str">
        <f>IF(AM30="","",AM30)</f>
        <v>trigo importado</v>
      </c>
      <c r="J27" s="128"/>
      <c r="K27" s="129"/>
      <c r="L27" s="130">
        <f t="shared" si="2"/>
        <v>0</v>
      </c>
      <c r="M27" s="130"/>
      <c r="N27" s="131">
        <f t="shared" si="3"/>
        <v>0</v>
      </c>
      <c r="O27" s="132"/>
      <c r="P27" s="131">
        <f t="shared" si="4"/>
        <v>0</v>
      </c>
      <c r="Q27" s="132"/>
      <c r="R27"/>
      <c r="S27"/>
      <c r="T27"/>
      <c r="AM27" s="30" t="s">
        <v>34</v>
      </c>
      <c r="AN27" s="30"/>
      <c r="AO27">
        <v>2356</v>
      </c>
      <c r="AP27" s="30"/>
      <c r="AQ27" s="30"/>
    </row>
    <row r="28" spans="1:43" ht="15" customHeight="1" thickBot="1">
      <c r="A28" s="41" t="s">
        <v>35</v>
      </c>
      <c r="B28" s="41"/>
      <c r="C28" s="41"/>
      <c r="D28" s="41"/>
      <c r="H28" s="23">
        <f t="shared" si="0"/>
        <v>2607</v>
      </c>
      <c r="I28" s="127" t="str">
        <f>IF(AM31="","",AM31)</f>
        <v>simples nacional</v>
      </c>
      <c r="J28" s="128"/>
      <c r="K28" s="129"/>
      <c r="L28" s="130">
        <f t="shared" si="2"/>
        <v>324.48</v>
      </c>
      <c r="M28" s="130"/>
      <c r="N28" s="131">
        <f t="shared" si="3"/>
        <v>0</v>
      </c>
      <c r="O28" s="132"/>
      <c r="P28" s="131">
        <f t="shared" si="4"/>
        <v>324.48</v>
      </c>
      <c r="Q28" s="132"/>
      <c r="R28"/>
      <c r="S28"/>
      <c r="T28"/>
      <c r="AM28" s="30" t="s">
        <v>36</v>
      </c>
      <c r="AN28" s="30"/>
      <c r="AO28">
        <v>2666</v>
      </c>
      <c r="AP28" s="30"/>
      <c r="AQ28" s="30"/>
    </row>
    <row r="29" spans="1:43" ht="3" hidden="1" customHeight="1">
      <c r="F29" s="42"/>
      <c r="H29" s="23">
        <f>AO31</f>
        <v>2607</v>
      </c>
      <c r="I29" s="127" t="str">
        <f>IF(AM31="","",AM31)</f>
        <v>simples nacional</v>
      </c>
      <c r="J29" s="128"/>
      <c r="K29" s="129"/>
      <c r="L29" s="130">
        <f>SUMIF($C$40:$C$299,AM31,$S$40:$S$299)</f>
        <v>324.48</v>
      </c>
      <c r="M29" s="130"/>
      <c r="N29" s="131">
        <f>SUMIF($C$40:$C$299,AM31,$T$40:$T$299)</f>
        <v>0</v>
      </c>
      <c r="O29" s="132"/>
      <c r="P29" s="131">
        <f t="shared" si="4"/>
        <v>324.48</v>
      </c>
      <c r="Q29" s="132"/>
      <c r="R29"/>
      <c r="S29"/>
      <c r="T29"/>
      <c r="AM29" t="s">
        <v>37</v>
      </c>
      <c r="AO29">
        <v>2372</v>
      </c>
      <c r="AP29" s="30"/>
    </row>
    <row r="30" spans="1:43" ht="18.75" hidden="1" customHeight="1">
      <c r="A30" s="43"/>
      <c r="B30" s="44"/>
      <c r="C30" s="45"/>
      <c r="D30" s="45"/>
      <c r="E30" s="45"/>
      <c r="F30" s="45"/>
      <c r="G30" s="46"/>
      <c r="H30" s="23">
        <f>AO33</f>
        <v>0</v>
      </c>
      <c r="I30" s="127" t="str">
        <f>IF(AM33="","",AM33)</f>
        <v/>
      </c>
      <c r="J30" s="128"/>
      <c r="K30" s="129"/>
      <c r="L30" s="130">
        <f>SUMIF($C$40:$C$299,AM33,$S$40:$S$299)</f>
        <v>0</v>
      </c>
      <c r="M30" s="130"/>
      <c r="N30" s="131">
        <f>SUMIF($C$40:$C$299,AM33,$T$40:$T$299)</f>
        <v>0</v>
      </c>
      <c r="O30" s="132"/>
      <c r="P30" s="131">
        <f t="shared" si="4"/>
        <v>0</v>
      </c>
      <c r="Q30" s="132"/>
      <c r="R30"/>
      <c r="S30"/>
      <c r="T30"/>
      <c r="AM30" t="s">
        <v>38</v>
      </c>
      <c r="AO30">
        <v>2372</v>
      </c>
      <c r="AP30" s="30"/>
      <c r="AQ30" t="str">
        <f>""</f>
        <v/>
      </c>
    </row>
    <row r="31" spans="1:43" ht="17.25" hidden="1" customHeight="1" thickBot="1">
      <c r="A31" s="47" t="str">
        <f>IF(E25&lt;0,W16,"")</f>
        <v/>
      </c>
      <c r="H31" s="23">
        <f>AO34</f>
        <v>0</v>
      </c>
      <c r="I31" s="127" t="str">
        <f>IF(AM34="","",AM34)</f>
        <v/>
      </c>
      <c r="J31" s="128"/>
      <c r="K31" s="129"/>
      <c r="L31" s="130">
        <f>SUMIF($C$40:$C$299,AM34,$S$40:$S$299)</f>
        <v>0</v>
      </c>
      <c r="M31" s="130"/>
      <c r="N31" s="131">
        <f>SUMIF($C$40:$C$299,AM34,$T$40:$T$299)</f>
        <v>0</v>
      </c>
      <c r="O31" s="132"/>
      <c r="P31" s="131">
        <f t="shared" si="4"/>
        <v>0</v>
      </c>
      <c r="Q31" s="132"/>
      <c r="R31" s="45"/>
      <c r="S31" s="45"/>
      <c r="T31" s="45"/>
      <c r="AM31" t="s">
        <v>39</v>
      </c>
      <c r="AO31">
        <v>2607</v>
      </c>
    </row>
    <row r="32" spans="1:43" ht="13.5" thickBot="1">
      <c r="A32" s="48"/>
      <c r="B32" s="49"/>
      <c r="C32" s="49"/>
      <c r="D32" s="49"/>
      <c r="E32" s="49"/>
      <c r="F32" s="49"/>
      <c r="G32" s="49"/>
      <c r="H32" s="50"/>
      <c r="I32" s="50"/>
      <c r="J32" s="51"/>
      <c r="K32" s="45"/>
      <c r="O32"/>
      <c r="P32"/>
      <c r="Q32" s="45"/>
      <c r="R32" s="45"/>
      <c r="S32" s="45"/>
      <c r="T32" s="45"/>
    </row>
    <row r="33" spans="1:93" ht="13.5" thickBot="1">
      <c r="A33" s="52" t="s">
        <v>40</v>
      </c>
      <c r="B33" s="52" t="s">
        <v>41</v>
      </c>
      <c r="C33" s="52" t="s">
        <v>42</v>
      </c>
      <c r="D33" s="52" t="s">
        <v>43</v>
      </c>
      <c r="E33" s="52" t="s">
        <v>44</v>
      </c>
      <c r="F33" s="52" t="s">
        <v>45</v>
      </c>
      <c r="G33" s="52" t="s">
        <v>46</v>
      </c>
      <c r="H33" s="52" t="s">
        <v>47</v>
      </c>
      <c r="I33" s="52" t="s">
        <v>48</v>
      </c>
      <c r="J33" s="52" t="s">
        <v>49</v>
      </c>
      <c r="K33" s="52" t="s">
        <v>50</v>
      </c>
      <c r="L33" s="52" t="s">
        <v>51</v>
      </c>
      <c r="M33" s="53" t="s">
        <v>52</v>
      </c>
      <c r="N33" s="54" t="s">
        <v>53</v>
      </c>
      <c r="O33" s="52" t="s">
        <v>54</v>
      </c>
      <c r="P33" s="54" t="s">
        <v>55</v>
      </c>
      <c r="Q33" s="52" t="s">
        <v>56</v>
      </c>
      <c r="R33" s="52" t="s">
        <v>57</v>
      </c>
      <c r="S33" s="55" t="s">
        <v>58</v>
      </c>
      <c r="T33" s="52" t="s">
        <v>59</v>
      </c>
      <c r="U33" s="56" t="s">
        <v>59</v>
      </c>
      <c r="V33" s="57"/>
      <c r="Y33" s="29"/>
    </row>
    <row r="34" spans="1:93" ht="13.5" thickBot="1">
      <c r="A34" s="58" t="s">
        <v>60</v>
      </c>
      <c r="B34" s="59" t="s">
        <v>61</v>
      </c>
      <c r="C34" s="60" t="s">
        <v>62</v>
      </c>
      <c r="D34" s="61" t="s">
        <v>63</v>
      </c>
      <c r="E34" s="61" t="s">
        <v>64</v>
      </c>
      <c r="F34" s="124" t="s">
        <v>65</v>
      </c>
      <c r="G34" s="125"/>
      <c r="H34" s="125"/>
      <c r="I34" s="125"/>
      <c r="J34" s="126"/>
      <c r="K34" s="61"/>
      <c r="L34" s="61" t="s">
        <v>66</v>
      </c>
      <c r="M34" s="61" t="s">
        <v>67</v>
      </c>
      <c r="N34" s="62" t="s">
        <v>68</v>
      </c>
      <c r="O34" s="61" t="s">
        <v>69</v>
      </c>
      <c r="P34" s="61" t="s">
        <v>70</v>
      </c>
      <c r="Q34" s="63" t="s">
        <v>71</v>
      </c>
      <c r="R34" s="64" t="s">
        <v>72</v>
      </c>
      <c r="S34" s="60" t="s">
        <v>73</v>
      </c>
      <c r="T34" s="60" t="s">
        <v>74</v>
      </c>
      <c r="U34" s="65" t="s">
        <v>75</v>
      </c>
      <c r="Y34" s="66"/>
    </row>
    <row r="35" spans="1:93" ht="13.5" thickBot="1">
      <c r="A35" s="67" t="s">
        <v>76</v>
      </c>
      <c r="B35" s="68" t="s">
        <v>77</v>
      </c>
      <c r="C35" s="69" t="s">
        <v>78</v>
      </c>
      <c r="D35" s="70" t="s">
        <v>79</v>
      </c>
      <c r="E35" s="70" t="s">
        <v>80</v>
      </c>
      <c r="F35" s="61" t="s">
        <v>81</v>
      </c>
      <c r="G35" s="61" t="s">
        <v>82</v>
      </c>
      <c r="H35" s="61" t="s">
        <v>83</v>
      </c>
      <c r="I35" s="61" t="s">
        <v>84</v>
      </c>
      <c r="J35" s="61" t="s">
        <v>85</v>
      </c>
      <c r="K35" s="70" t="s">
        <v>86</v>
      </c>
      <c r="L35" s="71" t="s">
        <v>87</v>
      </c>
      <c r="M35" s="70" t="s">
        <v>88</v>
      </c>
      <c r="N35" s="63" t="s">
        <v>89</v>
      </c>
      <c r="O35" s="70" t="s">
        <v>90</v>
      </c>
      <c r="P35" s="70" t="s">
        <v>90</v>
      </c>
      <c r="Q35" s="63" t="s">
        <v>91</v>
      </c>
      <c r="R35" s="71" t="s">
        <v>92</v>
      </c>
      <c r="S35" s="69" t="s">
        <v>93</v>
      </c>
      <c r="T35" s="69" t="s">
        <v>94</v>
      </c>
      <c r="U35" s="72" t="s">
        <v>95</v>
      </c>
      <c r="Y35" s="66"/>
    </row>
    <row r="36" spans="1:93" ht="12.75">
      <c r="A36" s="67" t="s">
        <v>96</v>
      </c>
      <c r="B36" s="68" t="s">
        <v>97</v>
      </c>
      <c r="C36" s="69" t="s">
        <v>98</v>
      </c>
      <c r="D36" s="70" t="s">
        <v>99</v>
      </c>
      <c r="E36" s="70" t="s">
        <v>100</v>
      </c>
      <c r="F36" s="70" t="s">
        <v>101</v>
      </c>
      <c r="G36" s="73"/>
      <c r="H36" s="70"/>
      <c r="I36" s="70"/>
      <c r="J36" s="70" t="s">
        <v>102</v>
      </c>
      <c r="K36" s="70" t="s">
        <v>103</v>
      </c>
      <c r="L36" s="70" t="s">
        <v>104</v>
      </c>
      <c r="M36" s="70" t="s">
        <v>105</v>
      </c>
      <c r="N36" s="63" t="s">
        <v>106</v>
      </c>
      <c r="O36" s="74" t="s">
        <v>107</v>
      </c>
      <c r="P36" s="70" t="s">
        <v>108</v>
      </c>
      <c r="Q36" s="68"/>
      <c r="R36" s="71" t="s">
        <v>109</v>
      </c>
      <c r="S36" s="69" t="s">
        <v>110</v>
      </c>
      <c r="T36" s="69" t="s">
        <v>98</v>
      </c>
      <c r="U36" s="59" t="s">
        <v>111</v>
      </c>
      <c r="Y36" s="75"/>
    </row>
    <row r="37" spans="1:93" ht="13.5" thickBot="1">
      <c r="A37" s="67" t="s">
        <v>112</v>
      </c>
      <c r="B37" s="68" t="s">
        <v>113</v>
      </c>
      <c r="C37" s="69" t="s">
        <v>114</v>
      </c>
      <c r="D37" s="70" t="s">
        <v>115</v>
      </c>
      <c r="E37" s="70" t="s">
        <v>116</v>
      </c>
      <c r="F37" s="70" t="s">
        <v>117</v>
      </c>
      <c r="G37" s="73"/>
      <c r="H37" s="70"/>
      <c r="I37" s="70"/>
      <c r="J37" s="70" t="s">
        <v>118</v>
      </c>
      <c r="K37" s="70"/>
      <c r="L37" s="70" t="s">
        <v>119</v>
      </c>
      <c r="M37" s="74" t="s">
        <v>90</v>
      </c>
      <c r="N37" s="76" t="s">
        <v>120</v>
      </c>
      <c r="O37" s="70"/>
      <c r="P37" s="70"/>
      <c r="Q37" s="68"/>
      <c r="R37" s="77" t="s">
        <v>121</v>
      </c>
      <c r="S37" s="69" t="s">
        <v>122</v>
      </c>
      <c r="T37" s="69" t="s">
        <v>123</v>
      </c>
      <c r="U37" s="68" t="s">
        <v>124</v>
      </c>
      <c r="Y37" s="75"/>
      <c r="AI37" s="78" t="s">
        <v>125</v>
      </c>
      <c r="AJ37" s="78"/>
      <c r="AK37" s="78"/>
      <c r="AL37" s="78"/>
      <c r="AM37" s="30" t="s">
        <v>17</v>
      </c>
      <c r="AN37" s="78"/>
      <c r="AO37" s="30" t="s">
        <v>20</v>
      </c>
      <c r="AP37" s="78"/>
      <c r="AQ37" s="78"/>
      <c r="AR37" s="78"/>
      <c r="AS37" s="30" t="s">
        <v>126</v>
      </c>
      <c r="AT37" s="78"/>
      <c r="AU37" s="78"/>
      <c r="AV37" s="78"/>
      <c r="AW37" s="30" t="s">
        <v>24</v>
      </c>
      <c r="AX37" s="78"/>
      <c r="AY37" s="78"/>
      <c r="AZ37" s="78"/>
      <c r="BA37" s="30" t="s">
        <v>26</v>
      </c>
      <c r="BB37" s="78"/>
      <c r="BC37" s="78"/>
      <c r="BD37" s="78"/>
      <c r="BE37" s="30" t="s">
        <v>28</v>
      </c>
      <c r="BF37" s="78"/>
      <c r="BG37" s="78"/>
      <c r="BH37" s="78"/>
      <c r="BI37" s="30"/>
      <c r="BJ37" s="78" t="s">
        <v>37</v>
      </c>
      <c r="BM37" s="30" t="s">
        <v>30</v>
      </c>
      <c r="BQ37" s="30" t="s">
        <v>32</v>
      </c>
      <c r="BU37" s="30" t="s">
        <v>38</v>
      </c>
      <c r="BY37" s="30" t="s">
        <v>34</v>
      </c>
      <c r="CC37" s="30" t="s">
        <v>127</v>
      </c>
      <c r="CL37" s="30" t="s">
        <v>30</v>
      </c>
    </row>
    <row r="38" spans="1:93" ht="12.75">
      <c r="A38" s="67"/>
      <c r="B38" s="68" t="s">
        <v>128</v>
      </c>
      <c r="C38" s="79"/>
      <c r="D38" s="70" t="s">
        <v>129</v>
      </c>
      <c r="E38" s="70" t="s">
        <v>130</v>
      </c>
      <c r="F38" s="70"/>
      <c r="G38" s="73"/>
      <c r="H38" s="70"/>
      <c r="I38" s="70"/>
      <c r="J38" s="70" t="s">
        <v>131</v>
      </c>
      <c r="K38" s="70"/>
      <c r="L38" s="70"/>
      <c r="M38" s="71" t="s">
        <v>132</v>
      </c>
      <c r="N38" s="63" t="s">
        <v>133</v>
      </c>
      <c r="O38" s="70" t="s">
        <v>134</v>
      </c>
      <c r="P38" s="70"/>
      <c r="Q38" s="63"/>
      <c r="R38" s="71" t="s">
        <v>119</v>
      </c>
      <c r="S38" s="69" t="s">
        <v>135</v>
      </c>
      <c r="T38" s="80" t="s">
        <v>136</v>
      </c>
      <c r="U38" s="68" t="s">
        <v>137</v>
      </c>
      <c r="AI38" s="81" t="s">
        <v>138</v>
      </c>
      <c r="AJ38" s="81" t="s">
        <v>139</v>
      </c>
      <c r="AK38" s="81" t="s">
        <v>140</v>
      </c>
      <c r="AL38" s="81" t="s">
        <v>141</v>
      </c>
      <c r="AM38" s="81" t="s">
        <v>138</v>
      </c>
      <c r="AN38" s="81" t="s">
        <v>139</v>
      </c>
      <c r="AO38" s="81" t="s">
        <v>138</v>
      </c>
      <c r="AP38" s="81" t="s">
        <v>139</v>
      </c>
      <c r="AQ38" s="81" t="s">
        <v>140</v>
      </c>
      <c r="AR38" s="81" t="s">
        <v>141</v>
      </c>
      <c r="AS38" s="81" t="s">
        <v>138</v>
      </c>
      <c r="AT38" s="81" t="s">
        <v>139</v>
      </c>
      <c r="AU38" s="81"/>
      <c r="AV38" s="81" t="s">
        <v>141</v>
      </c>
      <c r="AW38" s="81" t="s">
        <v>138</v>
      </c>
      <c r="AX38" s="81" t="s">
        <v>139</v>
      </c>
      <c r="AY38" s="81" t="s">
        <v>140</v>
      </c>
      <c r="AZ38" s="81" t="s">
        <v>141</v>
      </c>
      <c r="BA38" s="81" t="s">
        <v>138</v>
      </c>
      <c r="BB38" s="81" t="s">
        <v>139</v>
      </c>
      <c r="BC38" s="81" t="s">
        <v>140</v>
      </c>
      <c r="BD38" s="81" t="s">
        <v>141</v>
      </c>
      <c r="BE38" s="81" t="s">
        <v>138</v>
      </c>
      <c r="BF38" s="81" t="s">
        <v>139</v>
      </c>
      <c r="BG38" s="81" t="s">
        <v>140</v>
      </c>
      <c r="BH38" s="81" t="s">
        <v>141</v>
      </c>
      <c r="BI38" s="81"/>
      <c r="BJ38" s="81" t="s">
        <v>138</v>
      </c>
      <c r="BK38" s="81" t="s">
        <v>139</v>
      </c>
      <c r="BL38" s="81"/>
      <c r="BM38" s="81" t="s">
        <v>138</v>
      </c>
      <c r="BN38" s="81" t="s">
        <v>139</v>
      </c>
      <c r="BO38" s="81" t="s">
        <v>140</v>
      </c>
      <c r="BP38" s="81" t="s">
        <v>141</v>
      </c>
      <c r="BQ38" s="81" t="s">
        <v>138</v>
      </c>
      <c r="BR38" s="81" t="s">
        <v>139</v>
      </c>
      <c r="BS38" s="81" t="s">
        <v>140</v>
      </c>
      <c r="BT38" s="81" t="s">
        <v>141</v>
      </c>
      <c r="BU38" s="81" t="s">
        <v>138</v>
      </c>
      <c r="BV38" s="81" t="s">
        <v>139</v>
      </c>
      <c r="BW38" s="81"/>
      <c r="BX38" s="81"/>
      <c r="BY38" s="81" t="s">
        <v>138</v>
      </c>
      <c r="BZ38" s="81" t="s">
        <v>139</v>
      </c>
      <c r="CA38" s="81" t="s">
        <v>140</v>
      </c>
      <c r="CB38" s="81" t="s">
        <v>141</v>
      </c>
      <c r="CC38" s="81" t="s">
        <v>138</v>
      </c>
      <c r="CD38" s="81" t="s">
        <v>139</v>
      </c>
      <c r="CE38" s="81" t="s">
        <v>140</v>
      </c>
      <c r="CF38" s="81" t="s">
        <v>141</v>
      </c>
      <c r="CH38" s="65" t="s">
        <v>142</v>
      </c>
      <c r="CI38" s="82" t="s">
        <v>139</v>
      </c>
      <c r="CJ38" s="82" t="s">
        <v>140</v>
      </c>
      <c r="CK38" s="82" t="s">
        <v>29</v>
      </c>
      <c r="CL38" s="81" t="s">
        <v>138</v>
      </c>
      <c r="CM38" s="81" t="s">
        <v>139</v>
      </c>
      <c r="CN38" s="81" t="s">
        <v>140</v>
      </c>
      <c r="CO38" s="81" t="s">
        <v>141</v>
      </c>
    </row>
    <row r="39" spans="1:93" ht="13.5" thickBot="1">
      <c r="A39" s="67" t="s">
        <v>143</v>
      </c>
      <c r="B39" s="63"/>
      <c r="C39" s="79"/>
      <c r="D39" s="70" t="s">
        <v>144</v>
      </c>
      <c r="E39" s="83" t="s">
        <v>145</v>
      </c>
      <c r="F39" s="83"/>
      <c r="G39" s="83"/>
      <c r="H39" s="83"/>
      <c r="I39" s="83" t="s">
        <v>146</v>
      </c>
      <c r="J39" s="83" t="s">
        <v>147</v>
      </c>
      <c r="K39" s="77"/>
      <c r="L39" s="83"/>
      <c r="M39" s="84"/>
      <c r="N39" s="85"/>
      <c r="O39"/>
      <c r="P39" s="86">
        <f>SUM(P40:P299)</f>
        <v>7052.34</v>
      </c>
      <c r="Q39" s="87">
        <f>SUM(Q40:Q1011)</f>
        <v>1269.4212</v>
      </c>
      <c r="R39" s="88">
        <f>SUM(R40:R1011)</f>
        <v>391.51000000000005</v>
      </c>
      <c r="S39" s="69" t="s">
        <v>148</v>
      </c>
      <c r="T39" s="89">
        <f>SUM(T40:T299)</f>
        <v>0</v>
      </c>
      <c r="U39" s="68" t="s">
        <v>133</v>
      </c>
      <c r="AI39" s="78">
        <f t="shared" ref="AI39:AI102" si="5">IF($C39=$AM$19,IF($N39&gt;$K39,$N39*$E39,$K39*$E39),0)</f>
        <v>0</v>
      </c>
      <c r="AJ39" s="78">
        <f t="shared" ref="AJ39:AJ102" si="6">AI39*M39</f>
        <v>0</v>
      </c>
      <c r="AK39" s="78">
        <f t="shared" ref="AK39:AK102" si="7">IF(C39=$AM$19,($E39*$F39+$E39*$H39)*$L39,0)</f>
        <v>0</v>
      </c>
      <c r="AL39" s="78">
        <f t="shared" ref="AL39:AL102" si="8">IF(C39=$AM$19,AJ39-AK39,0)</f>
        <v>0</v>
      </c>
      <c r="AM39" s="78">
        <f t="shared" ref="AM39:AM102" si="9">IF($C39=$AM$18,IF($N39&gt;$K39,$N39*$E39,$K39*$E39),0)</f>
        <v>0</v>
      </c>
      <c r="AN39" s="78">
        <f t="shared" ref="AN39:AN102" si="10">AM39*2.1%</f>
        <v>0</v>
      </c>
      <c r="AO39" s="78">
        <f t="shared" ref="AO39:AO102" si="11">IF($C39=$AM$20,IF($N39&gt;$K39,$N39*$E39*$O39+$N39*$E39,$K39*$E39*$O39+$K39*$E39),0)</f>
        <v>0</v>
      </c>
      <c r="AP39" s="78">
        <f t="shared" ref="AP39:AP102" si="12">$AO39*$M39</f>
        <v>0</v>
      </c>
      <c r="AQ39" s="78">
        <f t="shared" ref="AQ39:AQ102" si="13">IF(C39=$AM$20,($E39*$F39+$E39*$H39)*$L39,0)</f>
        <v>0</v>
      </c>
      <c r="AR39" s="78">
        <f t="shared" ref="AR39:AR102" si="14">IF($C39=$AM$20,$AP39-$AQ39,0)</f>
        <v>0</v>
      </c>
      <c r="AS39" s="90">
        <f t="shared" ref="AS39:AS102" si="15">IF($C39=$AM$21,IF(N39&gt;K39,N39*E39,$K39*$O39*$E39+$K39*$E39),0)/(100%-M39)</f>
        <v>0</v>
      </c>
      <c r="AT39" s="91">
        <f t="shared" ref="AT39:AT102" si="16">AS39*M39</f>
        <v>0</v>
      </c>
      <c r="AV39" s="91">
        <f t="shared" ref="AV39:AV102" si="17">IF($C39=$AM$21,$AT39,0)</f>
        <v>0</v>
      </c>
      <c r="AW39" s="78">
        <f t="shared" ref="AW39:AW102" si="18">IF($C39=$AM$22,IF($N39&gt;$K39,$N39*$E39,$K39*$E39),0)</f>
        <v>0</v>
      </c>
      <c r="AX39" s="78">
        <f t="shared" ref="AX39:AX102" si="19">AW39*12%</f>
        <v>0</v>
      </c>
      <c r="AY39" s="78"/>
      <c r="AZ39" s="78">
        <f t="shared" ref="AZ39:AZ102" si="20">IF($C39=$AM$22,$AX39-$AY39,0)</f>
        <v>0</v>
      </c>
      <c r="BA39" s="78">
        <f t="shared" ref="BA39:BA102" si="21">IF($C39=$AM$23,IF($N39&gt;$K39,$N39*$E39,$K39*$E39),0)</f>
        <v>0</v>
      </c>
      <c r="BB39" s="78">
        <f t="shared" ref="BB39:BB102" si="22">BA39*30%</f>
        <v>0</v>
      </c>
      <c r="BC39" s="78">
        <f t="shared" ref="BC39:BC102" si="23">IF(C39=$AM$23,($E39*$F39+$E39*$H39)*$L39,0)</f>
        <v>0</v>
      </c>
      <c r="BD39" s="78">
        <f t="shared" ref="BD39:BD102" si="24">IF($C39=$AM$23,BB39-BC39,0)</f>
        <v>0</v>
      </c>
      <c r="BE39" s="78">
        <f t="shared" ref="BE39:BE102" si="25">IF($C39=$AM$24,IF($N39&gt;$K39,$N39*$O39*$E39+$N39*$E39,$K39*$E39*$O39+$K39*$E39),0)</f>
        <v>0</v>
      </c>
      <c r="BF39" s="78">
        <f t="shared" ref="BF39:BF102" si="26">BE39*M39</f>
        <v>0</v>
      </c>
      <c r="BG39" s="78">
        <f t="shared" ref="BG39:BG102" si="27">IF($C39=$AM$24,($E39*$F39+$E39*$H39)*$L39,0)</f>
        <v>0</v>
      </c>
      <c r="BH39" s="78">
        <f t="shared" ref="BH39:BH102" si="28">IF($C39=$AM$24,BF39-BG39,0)</f>
        <v>0</v>
      </c>
      <c r="BI39" s="78"/>
      <c r="BJ39" s="91">
        <f t="shared" ref="BJ39:BJ102" si="29">IF($C39=$AM$29,IF($N39&gt;$K39,$N39*$E39,$K39*$O39*$E39+$K39*$E39),0)/(100%-$M39)</f>
        <v>0</v>
      </c>
      <c r="BK39" s="91">
        <f t="shared" ref="BK39:BK102" si="30">BJ39*30%</f>
        <v>0</v>
      </c>
      <c r="BL39" s="78"/>
      <c r="BM39" s="78">
        <f t="shared" ref="BM39:BM102" si="31">IF($C39=$AM$25,IF($N39&gt;$K39,$N39*$E39,$K39*$E39),0)</f>
        <v>0</v>
      </c>
      <c r="BN39" s="78">
        <f t="shared" ref="BN39:BN102" si="32">BM39*M39</f>
        <v>0</v>
      </c>
      <c r="BO39" s="78">
        <f t="shared" ref="BO39:BO102" si="33">IF($C39=$AM$25,($E39*$F39+$E39*$H39)*$L39,0)</f>
        <v>0</v>
      </c>
      <c r="BP39" s="78">
        <f t="shared" ref="BP39:BP102" si="34">IF($C39=$AM$25,BN39-BO39,0)</f>
        <v>0</v>
      </c>
      <c r="BQ39" s="78">
        <f t="shared" ref="BQ39:BQ102" si="35">IF($C39=$AM$26,IF($N39&gt;$K39,$N39*$E39*30%+$N39*$E39,$K39*$E39*30%+$K39*$E39),0)</f>
        <v>0</v>
      </c>
      <c r="BR39" s="78">
        <f t="shared" ref="BR39:BR102" si="36">$BQ39*12%</f>
        <v>0</v>
      </c>
      <c r="BS39" s="78">
        <f t="shared" ref="BS39:BS102" si="37">IF($C39=$AM$26,($E39*$F39+$E39*$H39)*$L39,0)</f>
        <v>0</v>
      </c>
      <c r="BT39" s="78">
        <f t="shared" ref="BT39:BT102" si="38">IF($C39=$AM$26,BR39-BS39,0)</f>
        <v>0</v>
      </c>
      <c r="BU39" s="91">
        <f t="shared" ref="BU39:BU102" si="39">IF($C39=$AM$30,IF($N39&gt;$K39,$N39*$E39,$K39*$O39*$E39+$K39*$E39),0)/(100%-$M39)</f>
        <v>0</v>
      </c>
      <c r="BV39" s="91">
        <f t="shared" ref="BV39:BV102" si="40">BU39*33%</f>
        <v>0</v>
      </c>
      <c r="BW39" s="78"/>
      <c r="BX39" s="78"/>
      <c r="BY39" s="78">
        <f t="shared" ref="BY39:BY102" si="41">IF($C39=$AM$27,IF($N39&gt;$K39,$N39*$E39*$O39+$N39*$E39,$K39*$E39*$O39+$K39*$E39),0)</f>
        <v>0</v>
      </c>
      <c r="BZ39" s="78">
        <f t="shared" ref="BZ39:BZ102" si="42">$BY39*$M39</f>
        <v>0</v>
      </c>
      <c r="CA39" s="78">
        <f t="shared" ref="CA39:CA102" si="43">IF($C39=$AM$27,($E39*$F39+$E39*$H39)*$L39,0)</f>
        <v>0</v>
      </c>
      <c r="CB39" s="78">
        <f t="shared" ref="CB39:CB102" si="44">IF($C39=$AM$27,BZ39-CA39,0)</f>
        <v>0</v>
      </c>
      <c r="CC39" s="78">
        <f t="shared" ref="CC39:CC102" si="45">IF($C39=$AM$28,IF($N39&gt;$K39,$N39*$O39*$E39+$N39*$E39,$K39*$E39*$O39+$K39*$E39),0)</f>
        <v>0</v>
      </c>
      <c r="CD39" s="78">
        <f t="shared" ref="CD39:CD102" si="46">CC39*$M39</f>
        <v>0</v>
      </c>
      <c r="CE39" s="78">
        <f t="shared" ref="CE39:CE102" si="47">IF($C39=$AM$28,($E39*$F39+$E39*$H39)*$L39,0)</f>
        <v>0</v>
      </c>
      <c r="CF39" s="78">
        <f t="shared" ref="CF39:CF102" si="48">IF($C39=$AM$28,CD39-CE39,0)</f>
        <v>0</v>
      </c>
      <c r="CG39" s="78"/>
      <c r="CH39" s="92">
        <f t="shared" ref="CH39:CH102" si="49">SUM(AI39+AM39+AO39+AS39+AW39+BA39+BE39+BI39+BM39+BQ39+BU39+BY39+CC39+BJ39+CL39)</f>
        <v>0</v>
      </c>
      <c r="CI39" s="93">
        <f t="shared" ref="CI39:CI102" si="50">SUM(AJ39+AN39+AP39+AT39+AX39+BB39+BF39+BV39+BN39+BR39+BK39+BZ39+CD39+CM39)</f>
        <v>0</v>
      </c>
      <c r="CJ39" s="94">
        <f t="shared" ref="CJ39:CJ102" si="51">SUM(AK39+AQ39+AY39+BC39+BG39+BO39+BS39+BW39+CA39+CE39+CN39)</f>
        <v>0</v>
      </c>
      <c r="CL39" s="78">
        <f t="shared" ref="CL39:CL102" si="52">IF($C39=$AM$31,IF($N39&gt;$K39,$N39*$E39,$K39*$E39),0)</f>
        <v>0</v>
      </c>
      <c r="CM39" s="78">
        <f t="shared" ref="CM39:CM102" si="53">CL39*$M39</f>
        <v>0</v>
      </c>
      <c r="CN39" s="78">
        <f t="shared" ref="CN39:CN102" si="54">IF($C39=$AM$31,($E39*$F39+$E39*$H39)*$L39,0)</f>
        <v>0</v>
      </c>
      <c r="CO39" s="78">
        <f t="shared" ref="CO39:CO102" si="55">IF($C39=$AM$31,CM39-CN39,0)</f>
        <v>0</v>
      </c>
    </row>
    <row r="40" spans="1:93" ht="13.5" thickBot="1">
      <c r="A40" s="95">
        <v>168403</v>
      </c>
      <c r="B40" s="96"/>
      <c r="C40" s="97" t="s">
        <v>18</v>
      </c>
      <c r="D40" s="98" t="s">
        <v>149</v>
      </c>
      <c r="E40" s="99">
        <v>1</v>
      </c>
      <c r="F40" s="100">
        <v>119</v>
      </c>
      <c r="G40" s="100"/>
      <c r="H40" s="100"/>
      <c r="I40" s="100"/>
      <c r="J40" s="100"/>
      <c r="K40" s="101">
        <f t="shared" ref="K40:K103" si="56">IF(C40="","",(F40)+(G40)+(H40)+(I40)+(J40))</f>
        <v>119</v>
      </c>
      <c r="L40" s="102">
        <v>0.12</v>
      </c>
      <c r="M40" s="103">
        <v>0.18</v>
      </c>
      <c r="N40" s="104"/>
      <c r="O40" s="105"/>
      <c r="P40" s="106">
        <f t="shared" ref="P40:P103" si="57">IF(B40="",CH40,0)</f>
        <v>119</v>
      </c>
      <c r="Q40" s="106">
        <f t="shared" ref="Q40:Q103" si="58">IF(B40="",CI40,0)</f>
        <v>21.419999999999998</v>
      </c>
      <c r="R40" s="106">
        <f t="shared" ref="R40:R103" si="59">IF(B40="",CJ40,0)</f>
        <v>14.28</v>
      </c>
      <c r="S40" s="106">
        <f t="shared" ref="S40:S103" si="60">IF(B40="",CI40-CJ40,0)</f>
        <v>7.1399999999999988</v>
      </c>
      <c r="T40" s="107">
        <f t="shared" ref="T40:T103" si="61">IF(B40="",0,CI40-CJ40)</f>
        <v>0</v>
      </c>
      <c r="U40" s="78"/>
      <c r="AG40" s="108"/>
      <c r="AI40" s="78">
        <f t="shared" si="5"/>
        <v>119</v>
      </c>
      <c r="AJ40" s="78">
        <f t="shared" si="6"/>
        <v>21.419999999999998</v>
      </c>
      <c r="AK40" s="78">
        <f t="shared" si="7"/>
        <v>14.28</v>
      </c>
      <c r="AL40" s="78">
        <f t="shared" si="8"/>
        <v>7.1399999999999988</v>
      </c>
      <c r="AM40" s="78">
        <f t="shared" si="9"/>
        <v>0</v>
      </c>
      <c r="AN40" s="78">
        <f t="shared" si="10"/>
        <v>0</v>
      </c>
      <c r="AO40" s="78">
        <f t="shared" si="11"/>
        <v>0</v>
      </c>
      <c r="AP40" s="78">
        <f t="shared" si="12"/>
        <v>0</v>
      </c>
      <c r="AQ40" s="78">
        <f t="shared" si="13"/>
        <v>0</v>
      </c>
      <c r="AR40" s="78">
        <f t="shared" si="14"/>
        <v>0</v>
      </c>
      <c r="AS40" s="90">
        <f t="shared" si="15"/>
        <v>0</v>
      </c>
      <c r="AT40" s="91">
        <f t="shared" si="16"/>
        <v>0</v>
      </c>
      <c r="AV40" s="91">
        <f t="shared" si="17"/>
        <v>0</v>
      </c>
      <c r="AW40" s="78">
        <f t="shared" si="18"/>
        <v>0</v>
      </c>
      <c r="AX40" s="78">
        <f t="shared" si="19"/>
        <v>0</v>
      </c>
      <c r="AY40" s="78"/>
      <c r="AZ40" s="78">
        <f t="shared" si="20"/>
        <v>0</v>
      </c>
      <c r="BA40" s="78">
        <f t="shared" si="21"/>
        <v>0</v>
      </c>
      <c r="BB40" s="78">
        <f t="shared" si="22"/>
        <v>0</v>
      </c>
      <c r="BC40" s="78">
        <f t="shared" si="23"/>
        <v>0</v>
      </c>
      <c r="BD40" s="78">
        <f t="shared" si="24"/>
        <v>0</v>
      </c>
      <c r="BE40" s="78">
        <f t="shared" si="25"/>
        <v>0</v>
      </c>
      <c r="BF40" s="78">
        <f t="shared" si="26"/>
        <v>0</v>
      </c>
      <c r="BG40" s="78">
        <f t="shared" si="27"/>
        <v>0</v>
      </c>
      <c r="BH40" s="78">
        <f t="shared" si="28"/>
        <v>0</v>
      </c>
      <c r="BI40" s="78"/>
      <c r="BJ40" s="91">
        <f t="shared" si="29"/>
        <v>0</v>
      </c>
      <c r="BK40" s="91">
        <f t="shared" si="30"/>
        <v>0</v>
      </c>
      <c r="BL40" s="78"/>
      <c r="BM40" s="78">
        <f t="shared" si="31"/>
        <v>0</v>
      </c>
      <c r="BN40" s="78">
        <f t="shared" si="32"/>
        <v>0</v>
      </c>
      <c r="BO40" s="78">
        <f t="shared" si="33"/>
        <v>0</v>
      </c>
      <c r="BP40" s="78">
        <f t="shared" si="34"/>
        <v>0</v>
      </c>
      <c r="BQ40" s="78">
        <f t="shared" si="35"/>
        <v>0</v>
      </c>
      <c r="BR40" s="78">
        <f t="shared" si="36"/>
        <v>0</v>
      </c>
      <c r="BS40" s="78">
        <f t="shared" si="37"/>
        <v>0</v>
      </c>
      <c r="BT40" s="78">
        <f t="shared" si="38"/>
        <v>0</v>
      </c>
      <c r="BU40" s="91">
        <f t="shared" si="39"/>
        <v>0</v>
      </c>
      <c r="BV40" s="91">
        <f t="shared" si="40"/>
        <v>0</v>
      </c>
      <c r="BW40" s="78"/>
      <c r="BX40" s="78"/>
      <c r="BY40" s="78">
        <f t="shared" si="41"/>
        <v>0</v>
      </c>
      <c r="BZ40" s="78">
        <f t="shared" si="42"/>
        <v>0</v>
      </c>
      <c r="CA40" s="78">
        <f t="shared" si="43"/>
        <v>0</v>
      </c>
      <c r="CB40" s="78">
        <f t="shared" si="44"/>
        <v>0</v>
      </c>
      <c r="CC40" s="78">
        <f t="shared" si="45"/>
        <v>0</v>
      </c>
      <c r="CD40" s="78">
        <f t="shared" si="46"/>
        <v>0</v>
      </c>
      <c r="CE40" s="78">
        <f t="shared" si="47"/>
        <v>0</v>
      </c>
      <c r="CF40" s="78">
        <f t="shared" si="48"/>
        <v>0</v>
      </c>
      <c r="CG40" s="78"/>
      <c r="CH40" s="92">
        <f t="shared" si="49"/>
        <v>119</v>
      </c>
      <c r="CI40" s="93">
        <f t="shared" si="50"/>
        <v>21.419999999999998</v>
      </c>
      <c r="CJ40" s="94">
        <f t="shared" si="51"/>
        <v>14.28</v>
      </c>
      <c r="CL40" s="78">
        <f t="shared" si="52"/>
        <v>0</v>
      </c>
      <c r="CM40" s="78">
        <f t="shared" si="53"/>
        <v>0</v>
      </c>
      <c r="CN40" s="78">
        <f t="shared" si="54"/>
        <v>0</v>
      </c>
      <c r="CO40" s="78">
        <f t="shared" si="55"/>
        <v>0</v>
      </c>
    </row>
    <row r="41" spans="1:93" ht="13.5" thickBot="1">
      <c r="A41" s="95">
        <v>2922</v>
      </c>
      <c r="B41" s="96"/>
      <c r="C41" s="97" t="s">
        <v>39</v>
      </c>
      <c r="D41" s="98" t="s">
        <v>150</v>
      </c>
      <c r="E41" s="99">
        <v>1</v>
      </c>
      <c r="F41" s="100">
        <v>2785</v>
      </c>
      <c r="G41" s="100">
        <v>54</v>
      </c>
      <c r="H41" s="100">
        <v>56</v>
      </c>
      <c r="I41" s="100">
        <v>8</v>
      </c>
      <c r="J41" s="100">
        <v>4.5</v>
      </c>
      <c r="K41" s="101">
        <f t="shared" si="56"/>
        <v>2907.5</v>
      </c>
      <c r="L41" s="102">
        <v>7.0000000000000007E-2</v>
      </c>
      <c r="M41" s="103">
        <v>0.18</v>
      </c>
      <c r="N41" s="104"/>
      <c r="O41" s="105"/>
      <c r="P41" s="106">
        <f t="shared" si="57"/>
        <v>2907.5</v>
      </c>
      <c r="Q41" s="106">
        <f t="shared" si="58"/>
        <v>523.35</v>
      </c>
      <c r="R41" s="106">
        <f t="shared" si="59"/>
        <v>198.87000000000003</v>
      </c>
      <c r="S41" s="106">
        <f t="shared" si="60"/>
        <v>324.48</v>
      </c>
      <c r="T41" s="107">
        <f t="shared" si="61"/>
        <v>0</v>
      </c>
      <c r="U41" s="78"/>
      <c r="AG41" s="108"/>
      <c r="AI41" s="78">
        <f t="shared" si="5"/>
        <v>0</v>
      </c>
      <c r="AJ41" s="78">
        <f t="shared" si="6"/>
        <v>0</v>
      </c>
      <c r="AK41" s="78">
        <f t="shared" si="7"/>
        <v>0</v>
      </c>
      <c r="AL41" s="78">
        <f t="shared" si="8"/>
        <v>0</v>
      </c>
      <c r="AM41" s="78">
        <f t="shared" si="9"/>
        <v>0</v>
      </c>
      <c r="AN41" s="78">
        <f t="shared" si="10"/>
        <v>0</v>
      </c>
      <c r="AO41" s="78">
        <f t="shared" si="11"/>
        <v>0</v>
      </c>
      <c r="AP41" s="78">
        <f t="shared" si="12"/>
        <v>0</v>
      </c>
      <c r="AQ41" s="78">
        <f t="shared" si="13"/>
        <v>0</v>
      </c>
      <c r="AR41" s="78">
        <f t="shared" si="14"/>
        <v>0</v>
      </c>
      <c r="AS41" s="90">
        <f t="shared" si="15"/>
        <v>0</v>
      </c>
      <c r="AT41" s="91">
        <f t="shared" si="16"/>
        <v>0</v>
      </c>
      <c r="AV41" s="91">
        <f t="shared" si="17"/>
        <v>0</v>
      </c>
      <c r="AW41" s="78">
        <f t="shared" si="18"/>
        <v>0</v>
      </c>
      <c r="AX41" s="78">
        <f t="shared" si="19"/>
        <v>0</v>
      </c>
      <c r="AY41" s="78"/>
      <c r="AZ41" s="78">
        <f t="shared" si="20"/>
        <v>0</v>
      </c>
      <c r="BA41" s="78">
        <f t="shared" si="21"/>
        <v>0</v>
      </c>
      <c r="BB41" s="78">
        <f t="shared" si="22"/>
        <v>0</v>
      </c>
      <c r="BC41" s="78">
        <f t="shared" si="23"/>
        <v>0</v>
      </c>
      <c r="BD41" s="78">
        <f t="shared" si="24"/>
        <v>0</v>
      </c>
      <c r="BE41" s="78">
        <f t="shared" si="25"/>
        <v>0</v>
      </c>
      <c r="BF41" s="78">
        <f t="shared" si="26"/>
        <v>0</v>
      </c>
      <c r="BG41" s="78">
        <f t="shared" si="27"/>
        <v>0</v>
      </c>
      <c r="BH41" s="78">
        <f t="shared" si="28"/>
        <v>0</v>
      </c>
      <c r="BI41" s="78"/>
      <c r="BJ41" s="91">
        <f t="shared" si="29"/>
        <v>0</v>
      </c>
      <c r="BK41" s="91">
        <f t="shared" si="30"/>
        <v>0</v>
      </c>
      <c r="BL41" s="78"/>
      <c r="BM41" s="78">
        <f t="shared" si="31"/>
        <v>0</v>
      </c>
      <c r="BN41" s="78">
        <f t="shared" si="32"/>
        <v>0</v>
      </c>
      <c r="BO41" s="78">
        <f t="shared" si="33"/>
        <v>0</v>
      </c>
      <c r="BP41" s="78">
        <f t="shared" si="34"/>
        <v>0</v>
      </c>
      <c r="BQ41" s="78">
        <f t="shared" si="35"/>
        <v>0</v>
      </c>
      <c r="BR41" s="78">
        <f t="shared" si="36"/>
        <v>0</v>
      </c>
      <c r="BS41" s="78">
        <f t="shared" si="37"/>
        <v>0</v>
      </c>
      <c r="BT41" s="78">
        <f t="shared" si="38"/>
        <v>0</v>
      </c>
      <c r="BU41" s="91">
        <f t="shared" si="39"/>
        <v>0</v>
      </c>
      <c r="BV41" s="91">
        <f t="shared" si="40"/>
        <v>0</v>
      </c>
      <c r="BW41" s="78"/>
      <c r="BX41" s="78"/>
      <c r="BY41" s="78">
        <f t="shared" si="41"/>
        <v>0</v>
      </c>
      <c r="BZ41" s="78">
        <f t="shared" si="42"/>
        <v>0</v>
      </c>
      <c r="CA41" s="78">
        <f t="shared" si="43"/>
        <v>0</v>
      </c>
      <c r="CB41" s="78">
        <f t="shared" si="44"/>
        <v>0</v>
      </c>
      <c r="CC41" s="78">
        <f t="shared" si="45"/>
        <v>0</v>
      </c>
      <c r="CD41" s="78">
        <f t="shared" si="46"/>
        <v>0</v>
      </c>
      <c r="CE41" s="78">
        <f t="shared" si="47"/>
        <v>0</v>
      </c>
      <c r="CF41" s="78">
        <f t="shared" si="48"/>
        <v>0</v>
      </c>
      <c r="CG41" s="78"/>
      <c r="CH41" s="92">
        <f t="shared" si="49"/>
        <v>2907.5</v>
      </c>
      <c r="CI41" s="93">
        <f t="shared" si="50"/>
        <v>523.35</v>
      </c>
      <c r="CJ41" s="94">
        <f t="shared" si="51"/>
        <v>198.87000000000003</v>
      </c>
      <c r="CL41" s="78">
        <f t="shared" si="52"/>
        <v>2907.5</v>
      </c>
      <c r="CM41" s="78">
        <f t="shared" si="53"/>
        <v>523.35</v>
      </c>
      <c r="CN41" s="78">
        <f t="shared" si="54"/>
        <v>198.87000000000003</v>
      </c>
      <c r="CO41" s="78">
        <f t="shared" si="55"/>
        <v>324.48</v>
      </c>
    </row>
    <row r="42" spans="1:93" ht="13.5" thickBot="1">
      <c r="A42" s="95">
        <v>2854</v>
      </c>
      <c r="B42" s="96"/>
      <c r="C42" s="97" t="s">
        <v>20</v>
      </c>
      <c r="D42" s="98" t="s">
        <v>152</v>
      </c>
      <c r="E42" s="99">
        <v>1</v>
      </c>
      <c r="F42" s="100">
        <v>2548</v>
      </c>
      <c r="G42" s="100"/>
      <c r="H42" s="100"/>
      <c r="I42" s="100"/>
      <c r="J42" s="100"/>
      <c r="K42" s="101">
        <f t="shared" si="56"/>
        <v>2548</v>
      </c>
      <c r="L42" s="102">
        <v>7.0000000000000007E-2</v>
      </c>
      <c r="M42" s="103">
        <v>0.18</v>
      </c>
      <c r="N42" s="104"/>
      <c r="O42" s="105">
        <v>0.57999999999999996</v>
      </c>
      <c r="P42" s="106">
        <f t="shared" si="57"/>
        <v>4025.84</v>
      </c>
      <c r="Q42" s="106">
        <f t="shared" si="58"/>
        <v>724.65120000000002</v>
      </c>
      <c r="R42" s="106">
        <f t="shared" si="59"/>
        <v>178.36</v>
      </c>
      <c r="S42" s="106">
        <f t="shared" si="60"/>
        <v>546.2912</v>
      </c>
      <c r="T42" s="107">
        <f t="shared" si="61"/>
        <v>0</v>
      </c>
      <c r="U42" s="78"/>
      <c r="AG42" s="108"/>
      <c r="AI42" s="78">
        <f t="shared" si="5"/>
        <v>0</v>
      </c>
      <c r="AJ42" s="78">
        <f t="shared" si="6"/>
        <v>0</v>
      </c>
      <c r="AK42" s="78">
        <f t="shared" si="7"/>
        <v>0</v>
      </c>
      <c r="AL42" s="78">
        <f t="shared" si="8"/>
        <v>0</v>
      </c>
      <c r="AM42" s="78">
        <f t="shared" si="9"/>
        <v>0</v>
      </c>
      <c r="AN42" s="78">
        <f t="shared" si="10"/>
        <v>0</v>
      </c>
      <c r="AO42" s="78">
        <f t="shared" si="11"/>
        <v>4025.84</v>
      </c>
      <c r="AP42" s="78">
        <f t="shared" si="12"/>
        <v>724.65120000000002</v>
      </c>
      <c r="AQ42" s="78">
        <f t="shared" si="13"/>
        <v>178.36</v>
      </c>
      <c r="AR42" s="78">
        <f t="shared" si="14"/>
        <v>546.2912</v>
      </c>
      <c r="AS42" s="90">
        <f t="shared" si="15"/>
        <v>0</v>
      </c>
      <c r="AT42" s="91">
        <f t="shared" si="16"/>
        <v>0</v>
      </c>
      <c r="AV42" s="91">
        <f t="shared" si="17"/>
        <v>0</v>
      </c>
      <c r="AW42" s="78">
        <f t="shared" si="18"/>
        <v>0</v>
      </c>
      <c r="AX42" s="78">
        <f t="shared" si="19"/>
        <v>0</v>
      </c>
      <c r="AY42" s="78"/>
      <c r="AZ42" s="78">
        <f t="shared" si="20"/>
        <v>0</v>
      </c>
      <c r="BA42" s="78">
        <f t="shared" si="21"/>
        <v>0</v>
      </c>
      <c r="BB42" s="78">
        <f t="shared" si="22"/>
        <v>0</v>
      </c>
      <c r="BC42" s="78">
        <f t="shared" si="23"/>
        <v>0</v>
      </c>
      <c r="BD42" s="78">
        <f t="shared" si="24"/>
        <v>0</v>
      </c>
      <c r="BE42" s="78">
        <f t="shared" si="25"/>
        <v>0</v>
      </c>
      <c r="BF42" s="78">
        <f t="shared" si="26"/>
        <v>0</v>
      </c>
      <c r="BG42" s="78">
        <f t="shared" si="27"/>
        <v>0</v>
      </c>
      <c r="BH42" s="78">
        <f t="shared" si="28"/>
        <v>0</v>
      </c>
      <c r="BI42" s="78"/>
      <c r="BJ42" s="91">
        <f t="shared" si="29"/>
        <v>0</v>
      </c>
      <c r="BK42" s="91">
        <f t="shared" si="30"/>
        <v>0</v>
      </c>
      <c r="BL42" s="78"/>
      <c r="BM42" s="78">
        <f t="shared" si="31"/>
        <v>0</v>
      </c>
      <c r="BN42" s="78">
        <f t="shared" si="32"/>
        <v>0</v>
      </c>
      <c r="BO42" s="78">
        <f t="shared" si="33"/>
        <v>0</v>
      </c>
      <c r="BP42" s="78">
        <f t="shared" si="34"/>
        <v>0</v>
      </c>
      <c r="BQ42" s="78">
        <f t="shared" si="35"/>
        <v>0</v>
      </c>
      <c r="BR42" s="78">
        <f t="shared" si="36"/>
        <v>0</v>
      </c>
      <c r="BS42" s="78">
        <f t="shared" si="37"/>
        <v>0</v>
      </c>
      <c r="BT42" s="78">
        <f t="shared" si="38"/>
        <v>0</v>
      </c>
      <c r="BU42" s="91">
        <f t="shared" si="39"/>
        <v>0</v>
      </c>
      <c r="BV42" s="91">
        <f t="shared" si="40"/>
        <v>0</v>
      </c>
      <c r="BW42" s="78"/>
      <c r="BX42" s="78"/>
      <c r="BY42" s="78">
        <f t="shared" si="41"/>
        <v>0</v>
      </c>
      <c r="BZ42" s="78">
        <f t="shared" si="42"/>
        <v>0</v>
      </c>
      <c r="CA42" s="78">
        <f t="shared" si="43"/>
        <v>0</v>
      </c>
      <c r="CB42" s="78">
        <f t="shared" si="44"/>
        <v>0</v>
      </c>
      <c r="CC42" s="78">
        <f t="shared" si="45"/>
        <v>0</v>
      </c>
      <c r="CD42" s="78">
        <f t="shared" si="46"/>
        <v>0</v>
      </c>
      <c r="CE42" s="78">
        <f t="shared" si="47"/>
        <v>0</v>
      </c>
      <c r="CF42" s="78">
        <f t="shared" si="48"/>
        <v>0</v>
      </c>
      <c r="CG42" s="78"/>
      <c r="CH42" s="92">
        <f t="shared" si="49"/>
        <v>4025.84</v>
      </c>
      <c r="CI42" s="93">
        <f t="shared" si="50"/>
        <v>724.65120000000002</v>
      </c>
      <c r="CJ42" s="94">
        <f t="shared" si="51"/>
        <v>178.36</v>
      </c>
      <c r="CL42" s="78">
        <f t="shared" si="52"/>
        <v>0</v>
      </c>
      <c r="CM42" s="78">
        <f t="shared" si="53"/>
        <v>0</v>
      </c>
      <c r="CN42" s="78">
        <f t="shared" si="54"/>
        <v>0</v>
      </c>
      <c r="CO42" s="78">
        <f t="shared" si="55"/>
        <v>0</v>
      </c>
    </row>
    <row r="43" spans="1:93" ht="13.5" thickBot="1">
      <c r="A43" s="95"/>
      <c r="B43" s="96"/>
      <c r="C43" s="97"/>
      <c r="D43" s="98"/>
      <c r="E43" s="99"/>
      <c r="F43" s="100"/>
      <c r="G43" s="100"/>
      <c r="H43" s="100"/>
      <c r="I43" s="100"/>
      <c r="J43" s="100"/>
      <c r="K43" s="101" t="str">
        <f t="shared" si="56"/>
        <v/>
      </c>
      <c r="L43" s="102"/>
      <c r="M43" s="103"/>
      <c r="N43" s="104"/>
      <c r="O43" s="105"/>
      <c r="P43" s="106">
        <f t="shared" si="57"/>
        <v>0</v>
      </c>
      <c r="Q43" s="106">
        <f t="shared" si="58"/>
        <v>0</v>
      </c>
      <c r="R43" s="106">
        <f t="shared" si="59"/>
        <v>0</v>
      </c>
      <c r="S43" s="106">
        <f t="shared" si="60"/>
        <v>0</v>
      </c>
      <c r="T43" s="107">
        <f t="shared" si="61"/>
        <v>0</v>
      </c>
      <c r="U43" s="78"/>
      <c r="AG43" s="108"/>
      <c r="AI43" s="78">
        <f t="shared" si="5"/>
        <v>0</v>
      </c>
      <c r="AJ43" s="78">
        <f t="shared" si="6"/>
        <v>0</v>
      </c>
      <c r="AK43" s="78">
        <f t="shared" si="7"/>
        <v>0</v>
      </c>
      <c r="AL43" s="78">
        <f t="shared" si="8"/>
        <v>0</v>
      </c>
      <c r="AM43" s="78">
        <f t="shared" si="9"/>
        <v>0</v>
      </c>
      <c r="AN43" s="78">
        <f t="shared" si="10"/>
        <v>0</v>
      </c>
      <c r="AO43" s="78">
        <f t="shared" si="11"/>
        <v>0</v>
      </c>
      <c r="AP43" s="78">
        <f t="shared" si="12"/>
        <v>0</v>
      </c>
      <c r="AQ43" s="78">
        <f t="shared" si="13"/>
        <v>0</v>
      </c>
      <c r="AR43" s="78">
        <f t="shared" si="14"/>
        <v>0</v>
      </c>
      <c r="AS43" s="90">
        <f t="shared" si="15"/>
        <v>0</v>
      </c>
      <c r="AT43" s="91">
        <f t="shared" si="16"/>
        <v>0</v>
      </c>
      <c r="AV43" s="91">
        <f t="shared" si="17"/>
        <v>0</v>
      </c>
      <c r="AW43" s="78">
        <f t="shared" si="18"/>
        <v>0</v>
      </c>
      <c r="AX43" s="78">
        <f t="shared" si="19"/>
        <v>0</v>
      </c>
      <c r="AY43" s="78"/>
      <c r="AZ43" s="78">
        <f t="shared" si="20"/>
        <v>0</v>
      </c>
      <c r="BA43" s="78">
        <f t="shared" si="21"/>
        <v>0</v>
      </c>
      <c r="BB43" s="78">
        <f t="shared" si="22"/>
        <v>0</v>
      </c>
      <c r="BC43" s="78">
        <f t="shared" si="23"/>
        <v>0</v>
      </c>
      <c r="BD43" s="78">
        <f t="shared" si="24"/>
        <v>0</v>
      </c>
      <c r="BE43" s="78">
        <f t="shared" si="25"/>
        <v>0</v>
      </c>
      <c r="BF43" s="78">
        <f t="shared" si="26"/>
        <v>0</v>
      </c>
      <c r="BG43" s="78">
        <f t="shared" si="27"/>
        <v>0</v>
      </c>
      <c r="BH43" s="78">
        <f t="shared" si="28"/>
        <v>0</v>
      </c>
      <c r="BI43" s="78"/>
      <c r="BJ43" s="91">
        <f t="shared" si="29"/>
        <v>0</v>
      </c>
      <c r="BK43" s="91">
        <f t="shared" si="30"/>
        <v>0</v>
      </c>
      <c r="BL43" s="78"/>
      <c r="BM43" s="78">
        <f t="shared" si="31"/>
        <v>0</v>
      </c>
      <c r="BN43" s="78">
        <f t="shared" si="32"/>
        <v>0</v>
      </c>
      <c r="BO43" s="78">
        <f t="shared" si="33"/>
        <v>0</v>
      </c>
      <c r="BP43" s="78">
        <f t="shared" si="34"/>
        <v>0</v>
      </c>
      <c r="BQ43" s="78">
        <f t="shared" si="35"/>
        <v>0</v>
      </c>
      <c r="BR43" s="78">
        <f t="shared" si="36"/>
        <v>0</v>
      </c>
      <c r="BS43" s="78">
        <f t="shared" si="37"/>
        <v>0</v>
      </c>
      <c r="BT43" s="78">
        <f t="shared" si="38"/>
        <v>0</v>
      </c>
      <c r="BU43" s="91">
        <f t="shared" si="39"/>
        <v>0</v>
      </c>
      <c r="BV43" s="91">
        <f t="shared" si="40"/>
        <v>0</v>
      </c>
      <c r="BW43" s="78"/>
      <c r="BX43" s="78"/>
      <c r="BY43" s="78">
        <f t="shared" si="41"/>
        <v>0</v>
      </c>
      <c r="BZ43" s="78">
        <f t="shared" si="42"/>
        <v>0</v>
      </c>
      <c r="CA43" s="78">
        <f t="shared" si="43"/>
        <v>0</v>
      </c>
      <c r="CB43" s="78">
        <f t="shared" si="44"/>
        <v>0</v>
      </c>
      <c r="CC43" s="78">
        <f t="shared" si="45"/>
        <v>0</v>
      </c>
      <c r="CD43" s="78">
        <f t="shared" si="46"/>
        <v>0</v>
      </c>
      <c r="CE43" s="78">
        <f t="shared" si="47"/>
        <v>0</v>
      </c>
      <c r="CF43" s="78">
        <f t="shared" si="48"/>
        <v>0</v>
      </c>
      <c r="CG43" s="78"/>
      <c r="CH43" s="92">
        <f t="shared" si="49"/>
        <v>0</v>
      </c>
      <c r="CI43" s="93">
        <f t="shared" si="50"/>
        <v>0</v>
      </c>
      <c r="CJ43" s="94">
        <f t="shared" si="51"/>
        <v>0</v>
      </c>
      <c r="CL43" s="78">
        <f t="shared" si="52"/>
        <v>0</v>
      </c>
      <c r="CM43" s="78">
        <f t="shared" si="53"/>
        <v>0</v>
      </c>
      <c r="CN43" s="78">
        <f t="shared" si="54"/>
        <v>0</v>
      </c>
      <c r="CO43" s="78">
        <f t="shared" si="55"/>
        <v>0</v>
      </c>
    </row>
    <row r="44" spans="1:93" ht="13.5" thickBot="1">
      <c r="A44" s="95"/>
      <c r="B44" s="96"/>
      <c r="C44" s="97"/>
      <c r="D44" s="98"/>
      <c r="E44" s="99"/>
      <c r="F44" s="100"/>
      <c r="G44" s="100"/>
      <c r="H44" s="100"/>
      <c r="I44" s="100"/>
      <c r="J44" s="100"/>
      <c r="K44" s="101" t="str">
        <f t="shared" si="56"/>
        <v/>
      </c>
      <c r="L44" s="102"/>
      <c r="M44" s="103"/>
      <c r="N44" s="104"/>
      <c r="O44" s="105"/>
      <c r="P44" s="106">
        <f t="shared" si="57"/>
        <v>0</v>
      </c>
      <c r="Q44" s="106">
        <f t="shared" si="58"/>
        <v>0</v>
      </c>
      <c r="R44" s="106">
        <f t="shared" si="59"/>
        <v>0</v>
      </c>
      <c r="S44" s="106">
        <f t="shared" si="60"/>
        <v>0</v>
      </c>
      <c r="T44" s="107">
        <f t="shared" si="61"/>
        <v>0</v>
      </c>
      <c r="U44" s="78"/>
      <c r="AG44" s="108"/>
      <c r="AI44" s="78">
        <f t="shared" si="5"/>
        <v>0</v>
      </c>
      <c r="AJ44" s="78">
        <f t="shared" si="6"/>
        <v>0</v>
      </c>
      <c r="AK44" s="78">
        <f t="shared" si="7"/>
        <v>0</v>
      </c>
      <c r="AL44" s="78">
        <f t="shared" si="8"/>
        <v>0</v>
      </c>
      <c r="AM44" s="78">
        <f t="shared" si="9"/>
        <v>0</v>
      </c>
      <c r="AN44" s="78">
        <f t="shared" si="10"/>
        <v>0</v>
      </c>
      <c r="AO44" s="78">
        <f t="shared" si="11"/>
        <v>0</v>
      </c>
      <c r="AP44" s="78">
        <f t="shared" si="12"/>
        <v>0</v>
      </c>
      <c r="AQ44" s="78">
        <f t="shared" si="13"/>
        <v>0</v>
      </c>
      <c r="AR44" s="78">
        <f t="shared" si="14"/>
        <v>0</v>
      </c>
      <c r="AS44" s="90">
        <f t="shared" si="15"/>
        <v>0</v>
      </c>
      <c r="AT44" s="91">
        <f t="shared" si="16"/>
        <v>0</v>
      </c>
      <c r="AV44" s="91">
        <f t="shared" si="17"/>
        <v>0</v>
      </c>
      <c r="AW44" s="78">
        <f t="shared" si="18"/>
        <v>0</v>
      </c>
      <c r="AX44" s="78">
        <f t="shared" si="19"/>
        <v>0</v>
      </c>
      <c r="AY44" s="78"/>
      <c r="AZ44" s="78">
        <f t="shared" si="20"/>
        <v>0</v>
      </c>
      <c r="BA44" s="78">
        <f t="shared" si="21"/>
        <v>0</v>
      </c>
      <c r="BB44" s="78">
        <f t="shared" si="22"/>
        <v>0</v>
      </c>
      <c r="BC44" s="78">
        <f t="shared" si="23"/>
        <v>0</v>
      </c>
      <c r="BD44" s="78">
        <f t="shared" si="24"/>
        <v>0</v>
      </c>
      <c r="BE44" s="78">
        <f t="shared" si="25"/>
        <v>0</v>
      </c>
      <c r="BF44" s="78">
        <f t="shared" si="26"/>
        <v>0</v>
      </c>
      <c r="BG44" s="78">
        <f t="shared" si="27"/>
        <v>0</v>
      </c>
      <c r="BH44" s="78">
        <f t="shared" si="28"/>
        <v>0</v>
      </c>
      <c r="BI44" s="78"/>
      <c r="BJ44" s="91">
        <f t="shared" si="29"/>
        <v>0</v>
      </c>
      <c r="BK44" s="91">
        <f t="shared" si="30"/>
        <v>0</v>
      </c>
      <c r="BL44" s="78"/>
      <c r="BM44" s="78">
        <f t="shared" si="31"/>
        <v>0</v>
      </c>
      <c r="BN44" s="78">
        <f t="shared" si="32"/>
        <v>0</v>
      </c>
      <c r="BO44" s="78">
        <f t="shared" si="33"/>
        <v>0</v>
      </c>
      <c r="BP44" s="78">
        <f t="shared" si="34"/>
        <v>0</v>
      </c>
      <c r="BQ44" s="78">
        <f t="shared" si="35"/>
        <v>0</v>
      </c>
      <c r="BR44" s="78">
        <f t="shared" si="36"/>
        <v>0</v>
      </c>
      <c r="BS44" s="78">
        <f t="shared" si="37"/>
        <v>0</v>
      </c>
      <c r="BT44" s="78">
        <f t="shared" si="38"/>
        <v>0</v>
      </c>
      <c r="BU44" s="91">
        <f t="shared" si="39"/>
        <v>0</v>
      </c>
      <c r="BV44" s="91">
        <f t="shared" si="40"/>
        <v>0</v>
      </c>
      <c r="BW44" s="78"/>
      <c r="BX44" s="78"/>
      <c r="BY44" s="78">
        <f t="shared" si="41"/>
        <v>0</v>
      </c>
      <c r="BZ44" s="78">
        <f t="shared" si="42"/>
        <v>0</v>
      </c>
      <c r="CA44" s="78">
        <f t="shared" si="43"/>
        <v>0</v>
      </c>
      <c r="CB44" s="78">
        <f t="shared" si="44"/>
        <v>0</v>
      </c>
      <c r="CC44" s="78">
        <f t="shared" si="45"/>
        <v>0</v>
      </c>
      <c r="CD44" s="78">
        <f t="shared" si="46"/>
        <v>0</v>
      </c>
      <c r="CE44" s="78">
        <f t="shared" si="47"/>
        <v>0</v>
      </c>
      <c r="CF44" s="78">
        <f t="shared" si="48"/>
        <v>0</v>
      </c>
      <c r="CG44" s="78"/>
      <c r="CH44" s="92">
        <f t="shared" si="49"/>
        <v>0</v>
      </c>
      <c r="CI44" s="93">
        <f t="shared" si="50"/>
        <v>0</v>
      </c>
      <c r="CJ44" s="94">
        <f t="shared" si="51"/>
        <v>0</v>
      </c>
      <c r="CL44" s="78">
        <f t="shared" si="52"/>
        <v>0</v>
      </c>
      <c r="CM44" s="78">
        <f t="shared" si="53"/>
        <v>0</v>
      </c>
      <c r="CN44" s="78">
        <f t="shared" si="54"/>
        <v>0</v>
      </c>
      <c r="CO44" s="78">
        <f t="shared" si="55"/>
        <v>0</v>
      </c>
    </row>
    <row r="45" spans="1:93" ht="13.5" thickBot="1">
      <c r="A45" s="95"/>
      <c r="B45" s="96"/>
      <c r="C45" s="97"/>
      <c r="D45" s="98"/>
      <c r="E45" s="99"/>
      <c r="F45" s="100"/>
      <c r="G45" s="100"/>
      <c r="H45" s="100"/>
      <c r="I45" s="100"/>
      <c r="J45" s="100"/>
      <c r="K45" s="101" t="str">
        <f t="shared" si="56"/>
        <v/>
      </c>
      <c r="L45" s="102"/>
      <c r="M45" s="103"/>
      <c r="N45" s="104"/>
      <c r="O45" s="105"/>
      <c r="P45" s="106">
        <f t="shared" si="57"/>
        <v>0</v>
      </c>
      <c r="Q45" s="106">
        <f t="shared" si="58"/>
        <v>0</v>
      </c>
      <c r="R45" s="106">
        <f t="shared" si="59"/>
        <v>0</v>
      </c>
      <c r="S45" s="106">
        <f t="shared" si="60"/>
        <v>0</v>
      </c>
      <c r="T45" s="107">
        <f t="shared" si="61"/>
        <v>0</v>
      </c>
      <c r="U45" s="78"/>
      <c r="AG45" s="108"/>
      <c r="AI45" s="78">
        <f t="shared" si="5"/>
        <v>0</v>
      </c>
      <c r="AJ45" s="78">
        <f t="shared" si="6"/>
        <v>0</v>
      </c>
      <c r="AK45" s="78">
        <f t="shared" si="7"/>
        <v>0</v>
      </c>
      <c r="AL45" s="78">
        <f t="shared" si="8"/>
        <v>0</v>
      </c>
      <c r="AM45" s="78">
        <f t="shared" si="9"/>
        <v>0</v>
      </c>
      <c r="AN45" s="78">
        <f t="shared" si="10"/>
        <v>0</v>
      </c>
      <c r="AO45" s="78">
        <f t="shared" si="11"/>
        <v>0</v>
      </c>
      <c r="AP45" s="78">
        <f t="shared" si="12"/>
        <v>0</v>
      </c>
      <c r="AQ45" s="78">
        <f t="shared" si="13"/>
        <v>0</v>
      </c>
      <c r="AR45" s="78">
        <f t="shared" si="14"/>
        <v>0</v>
      </c>
      <c r="AS45" s="90">
        <f t="shared" si="15"/>
        <v>0</v>
      </c>
      <c r="AT45" s="91">
        <f t="shared" si="16"/>
        <v>0</v>
      </c>
      <c r="AV45" s="91">
        <f t="shared" si="17"/>
        <v>0</v>
      </c>
      <c r="AW45" s="78">
        <f t="shared" si="18"/>
        <v>0</v>
      </c>
      <c r="AX45" s="78">
        <f t="shared" si="19"/>
        <v>0</v>
      </c>
      <c r="AY45" s="78"/>
      <c r="AZ45" s="78">
        <f t="shared" si="20"/>
        <v>0</v>
      </c>
      <c r="BA45" s="78">
        <f t="shared" si="21"/>
        <v>0</v>
      </c>
      <c r="BB45" s="78">
        <f t="shared" si="22"/>
        <v>0</v>
      </c>
      <c r="BC45" s="78">
        <f t="shared" si="23"/>
        <v>0</v>
      </c>
      <c r="BD45" s="78">
        <f t="shared" si="24"/>
        <v>0</v>
      </c>
      <c r="BE45" s="78">
        <f t="shared" si="25"/>
        <v>0</v>
      </c>
      <c r="BF45" s="78">
        <f t="shared" si="26"/>
        <v>0</v>
      </c>
      <c r="BG45" s="78">
        <f t="shared" si="27"/>
        <v>0</v>
      </c>
      <c r="BH45" s="78">
        <f t="shared" si="28"/>
        <v>0</v>
      </c>
      <c r="BI45" s="78"/>
      <c r="BJ45" s="91">
        <f t="shared" si="29"/>
        <v>0</v>
      </c>
      <c r="BK45" s="91">
        <f t="shared" si="30"/>
        <v>0</v>
      </c>
      <c r="BL45" s="78"/>
      <c r="BM45" s="78">
        <f t="shared" si="31"/>
        <v>0</v>
      </c>
      <c r="BN45" s="78">
        <f t="shared" si="32"/>
        <v>0</v>
      </c>
      <c r="BO45" s="78">
        <f t="shared" si="33"/>
        <v>0</v>
      </c>
      <c r="BP45" s="78">
        <f t="shared" si="34"/>
        <v>0</v>
      </c>
      <c r="BQ45" s="78">
        <f t="shared" si="35"/>
        <v>0</v>
      </c>
      <c r="BR45" s="78">
        <f t="shared" si="36"/>
        <v>0</v>
      </c>
      <c r="BS45" s="78">
        <f t="shared" si="37"/>
        <v>0</v>
      </c>
      <c r="BT45" s="78">
        <f t="shared" si="38"/>
        <v>0</v>
      </c>
      <c r="BU45" s="91">
        <f t="shared" si="39"/>
        <v>0</v>
      </c>
      <c r="BV45" s="91">
        <f t="shared" si="40"/>
        <v>0</v>
      </c>
      <c r="BW45" s="78"/>
      <c r="BX45" s="78"/>
      <c r="BY45" s="78">
        <f t="shared" si="41"/>
        <v>0</v>
      </c>
      <c r="BZ45" s="78">
        <f t="shared" si="42"/>
        <v>0</v>
      </c>
      <c r="CA45" s="78">
        <f t="shared" si="43"/>
        <v>0</v>
      </c>
      <c r="CB45" s="78">
        <f t="shared" si="44"/>
        <v>0</v>
      </c>
      <c r="CC45" s="78">
        <f t="shared" si="45"/>
        <v>0</v>
      </c>
      <c r="CD45" s="78">
        <f t="shared" si="46"/>
        <v>0</v>
      </c>
      <c r="CE45" s="78">
        <f t="shared" si="47"/>
        <v>0</v>
      </c>
      <c r="CF45" s="78">
        <f t="shared" si="48"/>
        <v>0</v>
      </c>
      <c r="CG45" s="78"/>
      <c r="CH45" s="92">
        <f t="shared" si="49"/>
        <v>0</v>
      </c>
      <c r="CI45" s="93">
        <f t="shared" si="50"/>
        <v>0</v>
      </c>
      <c r="CJ45" s="94">
        <f t="shared" si="51"/>
        <v>0</v>
      </c>
      <c r="CL45" s="78">
        <f t="shared" si="52"/>
        <v>0</v>
      </c>
      <c r="CM45" s="78">
        <f t="shared" si="53"/>
        <v>0</v>
      </c>
      <c r="CN45" s="78">
        <f t="shared" si="54"/>
        <v>0</v>
      </c>
      <c r="CO45" s="78">
        <f t="shared" si="55"/>
        <v>0</v>
      </c>
    </row>
    <row r="46" spans="1:93" ht="13.5" thickBot="1">
      <c r="A46" s="95"/>
      <c r="B46" s="96"/>
      <c r="C46" s="97"/>
      <c r="D46" s="98"/>
      <c r="E46" s="99"/>
      <c r="F46" s="100"/>
      <c r="G46" s="100"/>
      <c r="H46" s="100"/>
      <c r="I46" s="100"/>
      <c r="J46" s="100"/>
      <c r="K46" s="101" t="str">
        <f t="shared" si="56"/>
        <v/>
      </c>
      <c r="L46" s="102"/>
      <c r="M46" s="103"/>
      <c r="N46" s="104"/>
      <c r="O46" s="105"/>
      <c r="P46" s="106">
        <f t="shared" si="57"/>
        <v>0</v>
      </c>
      <c r="Q46" s="106">
        <f t="shared" si="58"/>
        <v>0</v>
      </c>
      <c r="R46" s="106">
        <f t="shared" si="59"/>
        <v>0</v>
      </c>
      <c r="S46" s="106">
        <f t="shared" si="60"/>
        <v>0</v>
      </c>
      <c r="T46" s="107">
        <f t="shared" si="61"/>
        <v>0</v>
      </c>
      <c r="U46" s="78"/>
      <c r="AG46" s="108"/>
      <c r="AI46" s="78">
        <f t="shared" si="5"/>
        <v>0</v>
      </c>
      <c r="AJ46" s="78">
        <f t="shared" si="6"/>
        <v>0</v>
      </c>
      <c r="AK46" s="78">
        <f t="shared" si="7"/>
        <v>0</v>
      </c>
      <c r="AL46" s="78">
        <f t="shared" si="8"/>
        <v>0</v>
      </c>
      <c r="AM46" s="78">
        <f t="shared" si="9"/>
        <v>0</v>
      </c>
      <c r="AN46" s="78">
        <f t="shared" si="10"/>
        <v>0</v>
      </c>
      <c r="AO46" s="78">
        <f t="shared" si="11"/>
        <v>0</v>
      </c>
      <c r="AP46" s="78">
        <f t="shared" si="12"/>
        <v>0</v>
      </c>
      <c r="AQ46" s="78">
        <f t="shared" si="13"/>
        <v>0</v>
      </c>
      <c r="AR46" s="78">
        <f t="shared" si="14"/>
        <v>0</v>
      </c>
      <c r="AS46" s="90">
        <f t="shared" si="15"/>
        <v>0</v>
      </c>
      <c r="AT46" s="91">
        <f t="shared" si="16"/>
        <v>0</v>
      </c>
      <c r="AV46" s="91">
        <f t="shared" si="17"/>
        <v>0</v>
      </c>
      <c r="AW46" s="78">
        <f t="shared" si="18"/>
        <v>0</v>
      </c>
      <c r="AX46" s="78">
        <f t="shared" si="19"/>
        <v>0</v>
      </c>
      <c r="AY46" s="78"/>
      <c r="AZ46" s="78">
        <f t="shared" si="20"/>
        <v>0</v>
      </c>
      <c r="BA46" s="78">
        <f t="shared" si="21"/>
        <v>0</v>
      </c>
      <c r="BB46" s="78">
        <f t="shared" si="22"/>
        <v>0</v>
      </c>
      <c r="BC46" s="78">
        <f t="shared" si="23"/>
        <v>0</v>
      </c>
      <c r="BD46" s="78">
        <f t="shared" si="24"/>
        <v>0</v>
      </c>
      <c r="BE46" s="78">
        <f t="shared" si="25"/>
        <v>0</v>
      </c>
      <c r="BF46" s="78">
        <f t="shared" si="26"/>
        <v>0</v>
      </c>
      <c r="BG46" s="78">
        <f t="shared" si="27"/>
        <v>0</v>
      </c>
      <c r="BH46" s="78">
        <f t="shared" si="28"/>
        <v>0</v>
      </c>
      <c r="BI46" s="78"/>
      <c r="BJ46" s="91">
        <f t="shared" si="29"/>
        <v>0</v>
      </c>
      <c r="BK46" s="91">
        <f t="shared" si="30"/>
        <v>0</v>
      </c>
      <c r="BL46" s="78"/>
      <c r="BM46" s="78">
        <f t="shared" si="31"/>
        <v>0</v>
      </c>
      <c r="BN46" s="78">
        <f t="shared" si="32"/>
        <v>0</v>
      </c>
      <c r="BO46" s="78">
        <f t="shared" si="33"/>
        <v>0</v>
      </c>
      <c r="BP46" s="78">
        <f t="shared" si="34"/>
        <v>0</v>
      </c>
      <c r="BQ46" s="78">
        <f t="shared" si="35"/>
        <v>0</v>
      </c>
      <c r="BR46" s="78">
        <f t="shared" si="36"/>
        <v>0</v>
      </c>
      <c r="BS46" s="78">
        <f t="shared" si="37"/>
        <v>0</v>
      </c>
      <c r="BT46" s="78">
        <f t="shared" si="38"/>
        <v>0</v>
      </c>
      <c r="BU46" s="91">
        <f t="shared" si="39"/>
        <v>0</v>
      </c>
      <c r="BV46" s="91">
        <f t="shared" si="40"/>
        <v>0</v>
      </c>
      <c r="BW46" s="78"/>
      <c r="BX46" s="78"/>
      <c r="BY46" s="78">
        <f t="shared" si="41"/>
        <v>0</v>
      </c>
      <c r="BZ46" s="78">
        <f t="shared" si="42"/>
        <v>0</v>
      </c>
      <c r="CA46" s="78">
        <f t="shared" si="43"/>
        <v>0</v>
      </c>
      <c r="CB46" s="78">
        <f t="shared" si="44"/>
        <v>0</v>
      </c>
      <c r="CC46" s="78">
        <f t="shared" si="45"/>
        <v>0</v>
      </c>
      <c r="CD46" s="78">
        <f t="shared" si="46"/>
        <v>0</v>
      </c>
      <c r="CE46" s="78">
        <f t="shared" si="47"/>
        <v>0</v>
      </c>
      <c r="CF46" s="78">
        <f t="shared" si="48"/>
        <v>0</v>
      </c>
      <c r="CG46" s="78"/>
      <c r="CH46" s="92">
        <f t="shared" si="49"/>
        <v>0</v>
      </c>
      <c r="CI46" s="93">
        <f t="shared" si="50"/>
        <v>0</v>
      </c>
      <c r="CJ46" s="94">
        <f t="shared" si="51"/>
        <v>0</v>
      </c>
      <c r="CL46" s="78">
        <f t="shared" si="52"/>
        <v>0</v>
      </c>
      <c r="CM46" s="78">
        <f t="shared" si="53"/>
        <v>0</v>
      </c>
      <c r="CN46" s="78">
        <f t="shared" si="54"/>
        <v>0</v>
      </c>
      <c r="CO46" s="78">
        <f t="shared" si="55"/>
        <v>0</v>
      </c>
    </row>
    <row r="47" spans="1:93" ht="13.5" thickBot="1">
      <c r="A47" s="95"/>
      <c r="B47" s="96"/>
      <c r="C47" s="97"/>
      <c r="D47" s="98"/>
      <c r="E47" s="99"/>
      <c r="F47" s="100"/>
      <c r="G47" s="100"/>
      <c r="H47" s="100"/>
      <c r="I47" s="100"/>
      <c r="J47" s="100"/>
      <c r="K47" s="101" t="str">
        <f t="shared" si="56"/>
        <v/>
      </c>
      <c r="L47" s="102"/>
      <c r="M47" s="103"/>
      <c r="N47" s="104"/>
      <c r="O47" s="105"/>
      <c r="P47" s="106">
        <f t="shared" si="57"/>
        <v>0</v>
      </c>
      <c r="Q47" s="106">
        <f t="shared" si="58"/>
        <v>0</v>
      </c>
      <c r="R47" s="106">
        <f t="shared" si="59"/>
        <v>0</v>
      </c>
      <c r="S47" s="106">
        <f t="shared" si="60"/>
        <v>0</v>
      </c>
      <c r="T47" s="107">
        <f t="shared" si="61"/>
        <v>0</v>
      </c>
      <c r="U47" s="78"/>
      <c r="AG47" s="108"/>
      <c r="AI47" s="78">
        <f t="shared" si="5"/>
        <v>0</v>
      </c>
      <c r="AJ47" s="78">
        <f t="shared" si="6"/>
        <v>0</v>
      </c>
      <c r="AK47" s="78">
        <f t="shared" si="7"/>
        <v>0</v>
      </c>
      <c r="AL47" s="78">
        <f t="shared" si="8"/>
        <v>0</v>
      </c>
      <c r="AM47" s="78">
        <f t="shared" si="9"/>
        <v>0</v>
      </c>
      <c r="AN47" s="78">
        <f t="shared" si="10"/>
        <v>0</v>
      </c>
      <c r="AO47" s="78">
        <f t="shared" si="11"/>
        <v>0</v>
      </c>
      <c r="AP47" s="78">
        <f t="shared" si="12"/>
        <v>0</v>
      </c>
      <c r="AQ47" s="78">
        <f t="shared" si="13"/>
        <v>0</v>
      </c>
      <c r="AR47" s="78">
        <f t="shared" si="14"/>
        <v>0</v>
      </c>
      <c r="AS47" s="90">
        <f t="shared" si="15"/>
        <v>0</v>
      </c>
      <c r="AT47" s="91">
        <f t="shared" si="16"/>
        <v>0</v>
      </c>
      <c r="AV47" s="91">
        <f t="shared" si="17"/>
        <v>0</v>
      </c>
      <c r="AW47" s="78">
        <f t="shared" si="18"/>
        <v>0</v>
      </c>
      <c r="AX47" s="78">
        <f t="shared" si="19"/>
        <v>0</v>
      </c>
      <c r="AY47" s="78"/>
      <c r="AZ47" s="78">
        <f t="shared" si="20"/>
        <v>0</v>
      </c>
      <c r="BA47" s="78">
        <f t="shared" si="21"/>
        <v>0</v>
      </c>
      <c r="BB47" s="78">
        <f t="shared" si="22"/>
        <v>0</v>
      </c>
      <c r="BC47" s="78">
        <f t="shared" si="23"/>
        <v>0</v>
      </c>
      <c r="BD47" s="78">
        <f t="shared" si="24"/>
        <v>0</v>
      </c>
      <c r="BE47" s="78">
        <f t="shared" si="25"/>
        <v>0</v>
      </c>
      <c r="BF47" s="78">
        <f t="shared" si="26"/>
        <v>0</v>
      </c>
      <c r="BG47" s="78">
        <f t="shared" si="27"/>
        <v>0</v>
      </c>
      <c r="BH47" s="78">
        <f t="shared" si="28"/>
        <v>0</v>
      </c>
      <c r="BI47" s="78"/>
      <c r="BJ47" s="91">
        <f t="shared" si="29"/>
        <v>0</v>
      </c>
      <c r="BK47" s="91">
        <f t="shared" si="30"/>
        <v>0</v>
      </c>
      <c r="BL47" s="78"/>
      <c r="BM47" s="78">
        <f t="shared" si="31"/>
        <v>0</v>
      </c>
      <c r="BN47" s="78">
        <f t="shared" si="32"/>
        <v>0</v>
      </c>
      <c r="BO47" s="78">
        <f t="shared" si="33"/>
        <v>0</v>
      </c>
      <c r="BP47" s="78">
        <f t="shared" si="34"/>
        <v>0</v>
      </c>
      <c r="BQ47" s="78">
        <f t="shared" si="35"/>
        <v>0</v>
      </c>
      <c r="BR47" s="78">
        <f t="shared" si="36"/>
        <v>0</v>
      </c>
      <c r="BS47" s="78">
        <f t="shared" si="37"/>
        <v>0</v>
      </c>
      <c r="BT47" s="78">
        <f t="shared" si="38"/>
        <v>0</v>
      </c>
      <c r="BU47" s="91">
        <f t="shared" si="39"/>
        <v>0</v>
      </c>
      <c r="BV47" s="91">
        <f t="shared" si="40"/>
        <v>0</v>
      </c>
      <c r="BW47" s="78"/>
      <c r="BX47" s="78"/>
      <c r="BY47" s="78">
        <f t="shared" si="41"/>
        <v>0</v>
      </c>
      <c r="BZ47" s="78">
        <f t="shared" si="42"/>
        <v>0</v>
      </c>
      <c r="CA47" s="78">
        <f t="shared" si="43"/>
        <v>0</v>
      </c>
      <c r="CB47" s="78">
        <f t="shared" si="44"/>
        <v>0</v>
      </c>
      <c r="CC47" s="78">
        <f t="shared" si="45"/>
        <v>0</v>
      </c>
      <c r="CD47" s="78">
        <f t="shared" si="46"/>
        <v>0</v>
      </c>
      <c r="CE47" s="78">
        <f t="shared" si="47"/>
        <v>0</v>
      </c>
      <c r="CF47" s="78">
        <f t="shared" si="48"/>
        <v>0</v>
      </c>
      <c r="CG47" s="78"/>
      <c r="CH47" s="92">
        <f t="shared" si="49"/>
        <v>0</v>
      </c>
      <c r="CI47" s="93">
        <f t="shared" si="50"/>
        <v>0</v>
      </c>
      <c r="CJ47" s="94">
        <f t="shared" si="51"/>
        <v>0</v>
      </c>
      <c r="CL47" s="78">
        <f t="shared" si="52"/>
        <v>0</v>
      </c>
      <c r="CM47" s="78">
        <f t="shared" si="53"/>
        <v>0</v>
      </c>
      <c r="CN47" s="78">
        <f t="shared" si="54"/>
        <v>0</v>
      </c>
      <c r="CO47" s="78">
        <f t="shared" si="55"/>
        <v>0</v>
      </c>
    </row>
    <row r="48" spans="1:93" ht="13.5" thickBot="1">
      <c r="A48" s="95"/>
      <c r="B48" s="96"/>
      <c r="C48" s="97"/>
      <c r="D48" s="98"/>
      <c r="E48" s="99"/>
      <c r="F48" s="100"/>
      <c r="G48" s="100"/>
      <c r="H48" s="100"/>
      <c r="I48" s="100"/>
      <c r="J48" s="100"/>
      <c r="K48" s="101" t="str">
        <f t="shared" si="56"/>
        <v/>
      </c>
      <c r="L48" s="102"/>
      <c r="M48" s="103"/>
      <c r="N48" s="104"/>
      <c r="O48" s="105"/>
      <c r="P48" s="106">
        <f t="shared" si="57"/>
        <v>0</v>
      </c>
      <c r="Q48" s="106">
        <f t="shared" si="58"/>
        <v>0</v>
      </c>
      <c r="R48" s="106">
        <f t="shared" si="59"/>
        <v>0</v>
      </c>
      <c r="S48" s="106">
        <f t="shared" si="60"/>
        <v>0</v>
      </c>
      <c r="T48" s="107">
        <f t="shared" si="61"/>
        <v>0</v>
      </c>
      <c r="U48" s="78"/>
      <c r="AG48" s="108"/>
      <c r="AI48" s="78">
        <f t="shared" si="5"/>
        <v>0</v>
      </c>
      <c r="AJ48" s="78">
        <f t="shared" si="6"/>
        <v>0</v>
      </c>
      <c r="AK48" s="78">
        <f t="shared" si="7"/>
        <v>0</v>
      </c>
      <c r="AL48" s="78">
        <f t="shared" si="8"/>
        <v>0</v>
      </c>
      <c r="AM48" s="78">
        <f t="shared" si="9"/>
        <v>0</v>
      </c>
      <c r="AN48" s="78">
        <f t="shared" si="10"/>
        <v>0</v>
      </c>
      <c r="AO48" s="78">
        <f t="shared" si="11"/>
        <v>0</v>
      </c>
      <c r="AP48" s="78">
        <f t="shared" si="12"/>
        <v>0</v>
      </c>
      <c r="AQ48" s="78">
        <f t="shared" si="13"/>
        <v>0</v>
      </c>
      <c r="AR48" s="78">
        <f t="shared" si="14"/>
        <v>0</v>
      </c>
      <c r="AS48" s="90">
        <f t="shared" si="15"/>
        <v>0</v>
      </c>
      <c r="AT48" s="91">
        <f t="shared" si="16"/>
        <v>0</v>
      </c>
      <c r="AV48" s="91">
        <f t="shared" si="17"/>
        <v>0</v>
      </c>
      <c r="AW48" s="78">
        <f t="shared" si="18"/>
        <v>0</v>
      </c>
      <c r="AX48" s="78">
        <f t="shared" si="19"/>
        <v>0</v>
      </c>
      <c r="AY48" s="78"/>
      <c r="AZ48" s="78">
        <f t="shared" si="20"/>
        <v>0</v>
      </c>
      <c r="BA48" s="78">
        <f t="shared" si="21"/>
        <v>0</v>
      </c>
      <c r="BB48" s="78">
        <f t="shared" si="22"/>
        <v>0</v>
      </c>
      <c r="BC48" s="78">
        <f t="shared" si="23"/>
        <v>0</v>
      </c>
      <c r="BD48" s="78">
        <f t="shared" si="24"/>
        <v>0</v>
      </c>
      <c r="BE48" s="78">
        <f t="shared" si="25"/>
        <v>0</v>
      </c>
      <c r="BF48" s="78">
        <f t="shared" si="26"/>
        <v>0</v>
      </c>
      <c r="BG48" s="78">
        <f t="shared" si="27"/>
        <v>0</v>
      </c>
      <c r="BH48" s="78">
        <f t="shared" si="28"/>
        <v>0</v>
      </c>
      <c r="BI48" s="78"/>
      <c r="BJ48" s="91">
        <f t="shared" si="29"/>
        <v>0</v>
      </c>
      <c r="BK48" s="91">
        <f t="shared" si="30"/>
        <v>0</v>
      </c>
      <c r="BL48" s="78"/>
      <c r="BM48" s="78">
        <f t="shared" si="31"/>
        <v>0</v>
      </c>
      <c r="BN48" s="78">
        <f t="shared" si="32"/>
        <v>0</v>
      </c>
      <c r="BO48" s="78">
        <f t="shared" si="33"/>
        <v>0</v>
      </c>
      <c r="BP48" s="78">
        <f t="shared" si="34"/>
        <v>0</v>
      </c>
      <c r="BQ48" s="78">
        <f t="shared" si="35"/>
        <v>0</v>
      </c>
      <c r="BR48" s="78">
        <f t="shared" si="36"/>
        <v>0</v>
      </c>
      <c r="BS48" s="78">
        <f t="shared" si="37"/>
        <v>0</v>
      </c>
      <c r="BT48" s="78">
        <f t="shared" si="38"/>
        <v>0</v>
      </c>
      <c r="BU48" s="91">
        <f t="shared" si="39"/>
        <v>0</v>
      </c>
      <c r="BV48" s="91">
        <f t="shared" si="40"/>
        <v>0</v>
      </c>
      <c r="BW48" s="78"/>
      <c r="BX48" s="78"/>
      <c r="BY48" s="78">
        <f t="shared" si="41"/>
        <v>0</v>
      </c>
      <c r="BZ48" s="78">
        <f t="shared" si="42"/>
        <v>0</v>
      </c>
      <c r="CA48" s="78">
        <f t="shared" si="43"/>
        <v>0</v>
      </c>
      <c r="CB48" s="78">
        <f t="shared" si="44"/>
        <v>0</v>
      </c>
      <c r="CC48" s="78">
        <f t="shared" si="45"/>
        <v>0</v>
      </c>
      <c r="CD48" s="78">
        <f t="shared" si="46"/>
        <v>0</v>
      </c>
      <c r="CE48" s="78">
        <f t="shared" si="47"/>
        <v>0</v>
      </c>
      <c r="CF48" s="78">
        <f t="shared" si="48"/>
        <v>0</v>
      </c>
      <c r="CG48" s="78"/>
      <c r="CH48" s="92">
        <f t="shared" si="49"/>
        <v>0</v>
      </c>
      <c r="CI48" s="93">
        <f t="shared" si="50"/>
        <v>0</v>
      </c>
      <c r="CJ48" s="94">
        <f t="shared" si="51"/>
        <v>0</v>
      </c>
      <c r="CL48" s="78">
        <f t="shared" si="52"/>
        <v>0</v>
      </c>
      <c r="CM48" s="78">
        <f t="shared" si="53"/>
        <v>0</v>
      </c>
      <c r="CN48" s="78">
        <f t="shared" si="54"/>
        <v>0</v>
      </c>
      <c r="CO48" s="78">
        <f t="shared" si="55"/>
        <v>0</v>
      </c>
    </row>
    <row r="49" spans="1:93" ht="13.5" thickBot="1">
      <c r="A49" s="95"/>
      <c r="B49" s="96"/>
      <c r="C49" s="97"/>
      <c r="D49" s="98"/>
      <c r="E49" s="99"/>
      <c r="F49" s="100"/>
      <c r="G49" s="100"/>
      <c r="H49" s="100"/>
      <c r="I49" s="100"/>
      <c r="J49" s="100"/>
      <c r="K49" s="101" t="str">
        <f t="shared" si="56"/>
        <v/>
      </c>
      <c r="L49" s="102"/>
      <c r="M49" s="103"/>
      <c r="N49" s="104"/>
      <c r="O49" s="105"/>
      <c r="P49" s="106">
        <f t="shared" si="57"/>
        <v>0</v>
      </c>
      <c r="Q49" s="106">
        <f t="shared" si="58"/>
        <v>0</v>
      </c>
      <c r="R49" s="106">
        <f t="shared" si="59"/>
        <v>0</v>
      </c>
      <c r="S49" s="106">
        <f t="shared" si="60"/>
        <v>0</v>
      </c>
      <c r="T49" s="107">
        <f t="shared" si="61"/>
        <v>0</v>
      </c>
      <c r="U49" s="78"/>
      <c r="AG49" s="108"/>
      <c r="AI49" s="78">
        <f t="shared" si="5"/>
        <v>0</v>
      </c>
      <c r="AJ49" s="78">
        <f t="shared" si="6"/>
        <v>0</v>
      </c>
      <c r="AK49" s="78">
        <f t="shared" si="7"/>
        <v>0</v>
      </c>
      <c r="AL49" s="78">
        <f t="shared" si="8"/>
        <v>0</v>
      </c>
      <c r="AM49" s="78">
        <f t="shared" si="9"/>
        <v>0</v>
      </c>
      <c r="AN49" s="78">
        <f t="shared" si="10"/>
        <v>0</v>
      </c>
      <c r="AO49" s="78">
        <f t="shared" si="11"/>
        <v>0</v>
      </c>
      <c r="AP49" s="78">
        <f t="shared" si="12"/>
        <v>0</v>
      </c>
      <c r="AQ49" s="78">
        <f t="shared" si="13"/>
        <v>0</v>
      </c>
      <c r="AR49" s="78">
        <f t="shared" si="14"/>
        <v>0</v>
      </c>
      <c r="AS49" s="90">
        <f t="shared" si="15"/>
        <v>0</v>
      </c>
      <c r="AT49" s="91">
        <f t="shared" si="16"/>
        <v>0</v>
      </c>
      <c r="AV49" s="91">
        <f t="shared" si="17"/>
        <v>0</v>
      </c>
      <c r="AW49" s="78">
        <f t="shared" si="18"/>
        <v>0</v>
      </c>
      <c r="AX49" s="78">
        <f t="shared" si="19"/>
        <v>0</v>
      </c>
      <c r="AY49" s="78"/>
      <c r="AZ49" s="78">
        <f t="shared" si="20"/>
        <v>0</v>
      </c>
      <c r="BA49" s="78">
        <f t="shared" si="21"/>
        <v>0</v>
      </c>
      <c r="BB49" s="78">
        <f t="shared" si="22"/>
        <v>0</v>
      </c>
      <c r="BC49" s="78">
        <f t="shared" si="23"/>
        <v>0</v>
      </c>
      <c r="BD49" s="78">
        <f t="shared" si="24"/>
        <v>0</v>
      </c>
      <c r="BE49" s="78">
        <f t="shared" si="25"/>
        <v>0</v>
      </c>
      <c r="BF49" s="78">
        <f t="shared" si="26"/>
        <v>0</v>
      </c>
      <c r="BG49" s="78">
        <f t="shared" si="27"/>
        <v>0</v>
      </c>
      <c r="BH49" s="78">
        <f t="shared" si="28"/>
        <v>0</v>
      </c>
      <c r="BI49" s="78"/>
      <c r="BJ49" s="91">
        <f t="shared" si="29"/>
        <v>0</v>
      </c>
      <c r="BK49" s="91">
        <f t="shared" si="30"/>
        <v>0</v>
      </c>
      <c r="BL49" s="78"/>
      <c r="BM49" s="78">
        <f t="shared" si="31"/>
        <v>0</v>
      </c>
      <c r="BN49" s="78">
        <f t="shared" si="32"/>
        <v>0</v>
      </c>
      <c r="BO49" s="78">
        <f t="shared" si="33"/>
        <v>0</v>
      </c>
      <c r="BP49" s="78">
        <f t="shared" si="34"/>
        <v>0</v>
      </c>
      <c r="BQ49" s="78">
        <f t="shared" si="35"/>
        <v>0</v>
      </c>
      <c r="BR49" s="78">
        <f t="shared" si="36"/>
        <v>0</v>
      </c>
      <c r="BS49" s="78">
        <f t="shared" si="37"/>
        <v>0</v>
      </c>
      <c r="BT49" s="78">
        <f t="shared" si="38"/>
        <v>0</v>
      </c>
      <c r="BU49" s="91">
        <f t="shared" si="39"/>
        <v>0</v>
      </c>
      <c r="BV49" s="91">
        <f t="shared" si="40"/>
        <v>0</v>
      </c>
      <c r="BW49" s="78"/>
      <c r="BX49" s="78"/>
      <c r="BY49" s="78">
        <f t="shared" si="41"/>
        <v>0</v>
      </c>
      <c r="BZ49" s="78">
        <f t="shared" si="42"/>
        <v>0</v>
      </c>
      <c r="CA49" s="78">
        <f t="shared" si="43"/>
        <v>0</v>
      </c>
      <c r="CB49" s="78">
        <f t="shared" si="44"/>
        <v>0</v>
      </c>
      <c r="CC49" s="78">
        <f t="shared" si="45"/>
        <v>0</v>
      </c>
      <c r="CD49" s="78">
        <f t="shared" si="46"/>
        <v>0</v>
      </c>
      <c r="CE49" s="78">
        <f t="shared" si="47"/>
        <v>0</v>
      </c>
      <c r="CF49" s="78">
        <f t="shared" si="48"/>
        <v>0</v>
      </c>
      <c r="CG49" s="78"/>
      <c r="CH49" s="92">
        <f t="shared" si="49"/>
        <v>0</v>
      </c>
      <c r="CI49" s="93">
        <f t="shared" si="50"/>
        <v>0</v>
      </c>
      <c r="CJ49" s="94">
        <f t="shared" si="51"/>
        <v>0</v>
      </c>
      <c r="CL49" s="78">
        <f t="shared" si="52"/>
        <v>0</v>
      </c>
      <c r="CM49" s="78">
        <f t="shared" si="53"/>
        <v>0</v>
      </c>
      <c r="CN49" s="78">
        <f t="shared" si="54"/>
        <v>0</v>
      </c>
      <c r="CO49" s="78">
        <f t="shared" si="55"/>
        <v>0</v>
      </c>
    </row>
    <row r="50" spans="1:93" ht="13.5" thickBot="1">
      <c r="A50" s="95"/>
      <c r="B50" s="96"/>
      <c r="C50" s="97"/>
      <c r="D50" s="98"/>
      <c r="E50" s="99"/>
      <c r="F50" s="100"/>
      <c r="G50" s="100"/>
      <c r="H50" s="100"/>
      <c r="I50" s="100"/>
      <c r="J50" s="100"/>
      <c r="K50" s="101" t="str">
        <f t="shared" si="56"/>
        <v/>
      </c>
      <c r="L50" s="102"/>
      <c r="M50" s="103"/>
      <c r="N50" s="104"/>
      <c r="O50" s="105"/>
      <c r="P50" s="106">
        <f t="shared" si="57"/>
        <v>0</v>
      </c>
      <c r="Q50" s="106">
        <f t="shared" si="58"/>
        <v>0</v>
      </c>
      <c r="R50" s="106">
        <f t="shared" si="59"/>
        <v>0</v>
      </c>
      <c r="S50" s="106">
        <f t="shared" si="60"/>
        <v>0</v>
      </c>
      <c r="T50" s="107">
        <f t="shared" si="61"/>
        <v>0</v>
      </c>
      <c r="U50" s="78"/>
      <c r="AG50" s="108"/>
      <c r="AI50" s="78">
        <f t="shared" si="5"/>
        <v>0</v>
      </c>
      <c r="AJ50" s="78">
        <f t="shared" si="6"/>
        <v>0</v>
      </c>
      <c r="AK50" s="78">
        <f t="shared" si="7"/>
        <v>0</v>
      </c>
      <c r="AL50" s="78">
        <f t="shared" si="8"/>
        <v>0</v>
      </c>
      <c r="AM50" s="78">
        <f t="shared" si="9"/>
        <v>0</v>
      </c>
      <c r="AN50" s="78">
        <f t="shared" si="10"/>
        <v>0</v>
      </c>
      <c r="AO50" s="78">
        <f t="shared" si="11"/>
        <v>0</v>
      </c>
      <c r="AP50" s="78">
        <f t="shared" si="12"/>
        <v>0</v>
      </c>
      <c r="AQ50" s="78">
        <f t="shared" si="13"/>
        <v>0</v>
      </c>
      <c r="AR50" s="78">
        <f t="shared" si="14"/>
        <v>0</v>
      </c>
      <c r="AS50" s="90">
        <f t="shared" si="15"/>
        <v>0</v>
      </c>
      <c r="AT50" s="91">
        <f t="shared" si="16"/>
        <v>0</v>
      </c>
      <c r="AV50" s="91">
        <f t="shared" si="17"/>
        <v>0</v>
      </c>
      <c r="AW50" s="78">
        <f t="shared" si="18"/>
        <v>0</v>
      </c>
      <c r="AX50" s="78">
        <f t="shared" si="19"/>
        <v>0</v>
      </c>
      <c r="AY50" s="78"/>
      <c r="AZ50" s="78">
        <f t="shared" si="20"/>
        <v>0</v>
      </c>
      <c r="BA50" s="78">
        <f t="shared" si="21"/>
        <v>0</v>
      </c>
      <c r="BB50" s="78">
        <f t="shared" si="22"/>
        <v>0</v>
      </c>
      <c r="BC50" s="78">
        <f t="shared" si="23"/>
        <v>0</v>
      </c>
      <c r="BD50" s="78">
        <f t="shared" si="24"/>
        <v>0</v>
      </c>
      <c r="BE50" s="78">
        <f t="shared" si="25"/>
        <v>0</v>
      </c>
      <c r="BF50" s="78">
        <f t="shared" si="26"/>
        <v>0</v>
      </c>
      <c r="BG50" s="78">
        <f t="shared" si="27"/>
        <v>0</v>
      </c>
      <c r="BH50" s="78">
        <f t="shared" si="28"/>
        <v>0</v>
      </c>
      <c r="BI50" s="78"/>
      <c r="BJ50" s="91">
        <f t="shared" si="29"/>
        <v>0</v>
      </c>
      <c r="BK50" s="91">
        <f t="shared" si="30"/>
        <v>0</v>
      </c>
      <c r="BL50" s="78"/>
      <c r="BM50" s="78">
        <f t="shared" si="31"/>
        <v>0</v>
      </c>
      <c r="BN50" s="78">
        <f t="shared" si="32"/>
        <v>0</v>
      </c>
      <c r="BO50" s="78">
        <f t="shared" si="33"/>
        <v>0</v>
      </c>
      <c r="BP50" s="78">
        <f t="shared" si="34"/>
        <v>0</v>
      </c>
      <c r="BQ50" s="78">
        <f t="shared" si="35"/>
        <v>0</v>
      </c>
      <c r="BR50" s="78">
        <f t="shared" si="36"/>
        <v>0</v>
      </c>
      <c r="BS50" s="78">
        <f t="shared" si="37"/>
        <v>0</v>
      </c>
      <c r="BT50" s="78">
        <f t="shared" si="38"/>
        <v>0</v>
      </c>
      <c r="BU50" s="91">
        <f t="shared" si="39"/>
        <v>0</v>
      </c>
      <c r="BV50" s="91">
        <f t="shared" si="40"/>
        <v>0</v>
      </c>
      <c r="BW50" s="78"/>
      <c r="BX50" s="78"/>
      <c r="BY50" s="78">
        <f t="shared" si="41"/>
        <v>0</v>
      </c>
      <c r="BZ50" s="78">
        <f t="shared" si="42"/>
        <v>0</v>
      </c>
      <c r="CA50" s="78">
        <f t="shared" si="43"/>
        <v>0</v>
      </c>
      <c r="CB50" s="78">
        <f t="shared" si="44"/>
        <v>0</v>
      </c>
      <c r="CC50" s="78">
        <f t="shared" si="45"/>
        <v>0</v>
      </c>
      <c r="CD50" s="78">
        <f t="shared" si="46"/>
        <v>0</v>
      </c>
      <c r="CE50" s="78">
        <f t="shared" si="47"/>
        <v>0</v>
      </c>
      <c r="CF50" s="78">
        <f t="shared" si="48"/>
        <v>0</v>
      </c>
      <c r="CG50" s="78"/>
      <c r="CH50" s="92">
        <f t="shared" si="49"/>
        <v>0</v>
      </c>
      <c r="CI50" s="93">
        <f t="shared" si="50"/>
        <v>0</v>
      </c>
      <c r="CJ50" s="94">
        <f t="shared" si="51"/>
        <v>0</v>
      </c>
      <c r="CL50" s="78">
        <f t="shared" si="52"/>
        <v>0</v>
      </c>
      <c r="CM50" s="78">
        <f t="shared" si="53"/>
        <v>0</v>
      </c>
      <c r="CN50" s="78">
        <f t="shared" si="54"/>
        <v>0</v>
      </c>
      <c r="CO50" s="78">
        <f t="shared" si="55"/>
        <v>0</v>
      </c>
    </row>
    <row r="51" spans="1:93" ht="13.5" thickBot="1">
      <c r="A51" s="95"/>
      <c r="B51" s="96"/>
      <c r="C51" s="97"/>
      <c r="D51" s="98"/>
      <c r="E51" s="99"/>
      <c r="F51" s="100"/>
      <c r="G51" s="100"/>
      <c r="H51" s="100"/>
      <c r="I51" s="100"/>
      <c r="J51" s="100"/>
      <c r="K51" s="101" t="str">
        <f t="shared" si="56"/>
        <v/>
      </c>
      <c r="L51" s="102"/>
      <c r="M51" s="103"/>
      <c r="N51" s="104"/>
      <c r="O51" s="105"/>
      <c r="P51" s="106">
        <f t="shared" si="57"/>
        <v>0</v>
      </c>
      <c r="Q51" s="106">
        <f t="shared" si="58"/>
        <v>0</v>
      </c>
      <c r="R51" s="106">
        <f t="shared" si="59"/>
        <v>0</v>
      </c>
      <c r="S51" s="106">
        <f t="shared" si="60"/>
        <v>0</v>
      </c>
      <c r="T51" s="107">
        <f t="shared" si="61"/>
        <v>0</v>
      </c>
      <c r="U51" s="78"/>
      <c r="AG51" s="108"/>
      <c r="AI51" s="78">
        <f t="shared" si="5"/>
        <v>0</v>
      </c>
      <c r="AJ51" s="78">
        <f t="shared" si="6"/>
        <v>0</v>
      </c>
      <c r="AK51" s="78">
        <f t="shared" si="7"/>
        <v>0</v>
      </c>
      <c r="AL51" s="78">
        <f t="shared" si="8"/>
        <v>0</v>
      </c>
      <c r="AM51" s="78">
        <f t="shared" si="9"/>
        <v>0</v>
      </c>
      <c r="AN51" s="78">
        <f t="shared" si="10"/>
        <v>0</v>
      </c>
      <c r="AO51" s="78">
        <f t="shared" si="11"/>
        <v>0</v>
      </c>
      <c r="AP51" s="78">
        <f t="shared" si="12"/>
        <v>0</v>
      </c>
      <c r="AQ51" s="78">
        <f t="shared" si="13"/>
        <v>0</v>
      </c>
      <c r="AR51" s="78">
        <f t="shared" si="14"/>
        <v>0</v>
      </c>
      <c r="AS51" s="90">
        <f t="shared" si="15"/>
        <v>0</v>
      </c>
      <c r="AT51" s="91">
        <f t="shared" si="16"/>
        <v>0</v>
      </c>
      <c r="AV51" s="91">
        <f t="shared" si="17"/>
        <v>0</v>
      </c>
      <c r="AW51" s="78">
        <f t="shared" si="18"/>
        <v>0</v>
      </c>
      <c r="AX51" s="78">
        <f t="shared" si="19"/>
        <v>0</v>
      </c>
      <c r="AY51" s="78"/>
      <c r="AZ51" s="78">
        <f t="shared" si="20"/>
        <v>0</v>
      </c>
      <c r="BA51" s="78">
        <f t="shared" si="21"/>
        <v>0</v>
      </c>
      <c r="BB51" s="78">
        <f t="shared" si="22"/>
        <v>0</v>
      </c>
      <c r="BC51" s="78">
        <f t="shared" si="23"/>
        <v>0</v>
      </c>
      <c r="BD51" s="78">
        <f t="shared" si="24"/>
        <v>0</v>
      </c>
      <c r="BE51" s="78">
        <f t="shared" si="25"/>
        <v>0</v>
      </c>
      <c r="BF51" s="78">
        <f t="shared" si="26"/>
        <v>0</v>
      </c>
      <c r="BG51" s="78">
        <f t="shared" si="27"/>
        <v>0</v>
      </c>
      <c r="BH51" s="78">
        <f t="shared" si="28"/>
        <v>0</v>
      </c>
      <c r="BI51" s="78"/>
      <c r="BJ51" s="91">
        <f t="shared" si="29"/>
        <v>0</v>
      </c>
      <c r="BK51" s="91">
        <f t="shared" si="30"/>
        <v>0</v>
      </c>
      <c r="BL51" s="78"/>
      <c r="BM51" s="78">
        <f t="shared" si="31"/>
        <v>0</v>
      </c>
      <c r="BN51" s="78">
        <f t="shared" si="32"/>
        <v>0</v>
      </c>
      <c r="BO51" s="78">
        <f t="shared" si="33"/>
        <v>0</v>
      </c>
      <c r="BP51" s="78">
        <f t="shared" si="34"/>
        <v>0</v>
      </c>
      <c r="BQ51" s="78">
        <f t="shared" si="35"/>
        <v>0</v>
      </c>
      <c r="BR51" s="78">
        <f t="shared" si="36"/>
        <v>0</v>
      </c>
      <c r="BS51" s="78">
        <f t="shared" si="37"/>
        <v>0</v>
      </c>
      <c r="BT51" s="78">
        <f t="shared" si="38"/>
        <v>0</v>
      </c>
      <c r="BU51" s="91">
        <f t="shared" si="39"/>
        <v>0</v>
      </c>
      <c r="BV51" s="91">
        <f t="shared" si="40"/>
        <v>0</v>
      </c>
      <c r="BW51" s="78"/>
      <c r="BX51" s="78"/>
      <c r="BY51" s="78">
        <f t="shared" si="41"/>
        <v>0</v>
      </c>
      <c r="BZ51" s="78">
        <f t="shared" si="42"/>
        <v>0</v>
      </c>
      <c r="CA51" s="78">
        <f t="shared" si="43"/>
        <v>0</v>
      </c>
      <c r="CB51" s="78">
        <f t="shared" si="44"/>
        <v>0</v>
      </c>
      <c r="CC51" s="78">
        <f t="shared" si="45"/>
        <v>0</v>
      </c>
      <c r="CD51" s="78">
        <f t="shared" si="46"/>
        <v>0</v>
      </c>
      <c r="CE51" s="78">
        <f t="shared" si="47"/>
        <v>0</v>
      </c>
      <c r="CF51" s="78">
        <f t="shared" si="48"/>
        <v>0</v>
      </c>
      <c r="CG51" s="78"/>
      <c r="CH51" s="92">
        <f t="shared" si="49"/>
        <v>0</v>
      </c>
      <c r="CI51" s="93">
        <f t="shared" si="50"/>
        <v>0</v>
      </c>
      <c r="CJ51" s="94">
        <f t="shared" si="51"/>
        <v>0</v>
      </c>
      <c r="CL51" s="78">
        <f t="shared" si="52"/>
        <v>0</v>
      </c>
      <c r="CM51" s="78">
        <f t="shared" si="53"/>
        <v>0</v>
      </c>
      <c r="CN51" s="78">
        <f t="shared" si="54"/>
        <v>0</v>
      </c>
      <c r="CO51" s="78">
        <f t="shared" si="55"/>
        <v>0</v>
      </c>
    </row>
    <row r="52" spans="1:93" ht="13.5" thickBot="1">
      <c r="A52" s="109"/>
      <c r="B52" s="96"/>
      <c r="C52" s="97"/>
      <c r="D52" s="109"/>
      <c r="E52" s="99"/>
      <c r="F52" s="100"/>
      <c r="G52" s="100"/>
      <c r="H52" s="100"/>
      <c r="I52" s="100"/>
      <c r="J52" s="100"/>
      <c r="K52" s="101" t="str">
        <f t="shared" si="56"/>
        <v/>
      </c>
      <c r="L52" s="102"/>
      <c r="M52" s="103"/>
      <c r="N52" s="104"/>
      <c r="O52" s="105"/>
      <c r="P52" s="106">
        <f t="shared" si="57"/>
        <v>0</v>
      </c>
      <c r="Q52" s="106">
        <f t="shared" si="58"/>
        <v>0</v>
      </c>
      <c r="R52" s="106">
        <f t="shared" si="59"/>
        <v>0</v>
      </c>
      <c r="S52" s="106">
        <f t="shared" si="60"/>
        <v>0</v>
      </c>
      <c r="T52" s="107">
        <f t="shared" si="61"/>
        <v>0</v>
      </c>
      <c r="U52" s="78"/>
      <c r="AG52" s="108"/>
      <c r="AI52" s="78">
        <f t="shared" si="5"/>
        <v>0</v>
      </c>
      <c r="AJ52" s="78">
        <f t="shared" si="6"/>
        <v>0</v>
      </c>
      <c r="AK52" s="78">
        <f t="shared" si="7"/>
        <v>0</v>
      </c>
      <c r="AL52" s="78">
        <f t="shared" si="8"/>
        <v>0</v>
      </c>
      <c r="AM52" s="78">
        <f t="shared" si="9"/>
        <v>0</v>
      </c>
      <c r="AN52" s="78">
        <f t="shared" si="10"/>
        <v>0</v>
      </c>
      <c r="AO52" s="78">
        <f t="shared" si="11"/>
        <v>0</v>
      </c>
      <c r="AP52" s="78">
        <f t="shared" si="12"/>
        <v>0</v>
      </c>
      <c r="AQ52" s="78">
        <f t="shared" si="13"/>
        <v>0</v>
      </c>
      <c r="AR52" s="78">
        <f t="shared" si="14"/>
        <v>0</v>
      </c>
      <c r="AS52" s="90">
        <f t="shared" si="15"/>
        <v>0</v>
      </c>
      <c r="AT52" s="91">
        <f t="shared" si="16"/>
        <v>0</v>
      </c>
      <c r="AV52" s="91">
        <f t="shared" si="17"/>
        <v>0</v>
      </c>
      <c r="AW52" s="78">
        <f t="shared" si="18"/>
        <v>0</v>
      </c>
      <c r="AX52" s="78">
        <f t="shared" si="19"/>
        <v>0</v>
      </c>
      <c r="AY52" s="78"/>
      <c r="AZ52" s="78">
        <f t="shared" si="20"/>
        <v>0</v>
      </c>
      <c r="BA52" s="78">
        <f t="shared" si="21"/>
        <v>0</v>
      </c>
      <c r="BB52" s="78">
        <f t="shared" si="22"/>
        <v>0</v>
      </c>
      <c r="BC52" s="78">
        <f t="shared" si="23"/>
        <v>0</v>
      </c>
      <c r="BD52" s="78">
        <f t="shared" si="24"/>
        <v>0</v>
      </c>
      <c r="BE52" s="78">
        <f t="shared" si="25"/>
        <v>0</v>
      </c>
      <c r="BF52" s="78">
        <f t="shared" si="26"/>
        <v>0</v>
      </c>
      <c r="BG52" s="78">
        <f t="shared" si="27"/>
        <v>0</v>
      </c>
      <c r="BH52" s="78">
        <f t="shared" si="28"/>
        <v>0</v>
      </c>
      <c r="BI52" s="78"/>
      <c r="BJ52" s="91">
        <f t="shared" si="29"/>
        <v>0</v>
      </c>
      <c r="BK52" s="91">
        <f t="shared" si="30"/>
        <v>0</v>
      </c>
      <c r="BL52" s="78"/>
      <c r="BM52" s="78">
        <f t="shared" si="31"/>
        <v>0</v>
      </c>
      <c r="BN52" s="78">
        <f t="shared" si="32"/>
        <v>0</v>
      </c>
      <c r="BO52" s="78">
        <f t="shared" si="33"/>
        <v>0</v>
      </c>
      <c r="BP52" s="78">
        <f t="shared" si="34"/>
        <v>0</v>
      </c>
      <c r="BQ52" s="78">
        <f t="shared" si="35"/>
        <v>0</v>
      </c>
      <c r="BR52" s="78">
        <f t="shared" si="36"/>
        <v>0</v>
      </c>
      <c r="BS52" s="78">
        <f t="shared" si="37"/>
        <v>0</v>
      </c>
      <c r="BT52" s="78">
        <f t="shared" si="38"/>
        <v>0</v>
      </c>
      <c r="BU52" s="91">
        <f t="shared" si="39"/>
        <v>0</v>
      </c>
      <c r="BV52" s="91">
        <f t="shared" si="40"/>
        <v>0</v>
      </c>
      <c r="BW52" s="78"/>
      <c r="BX52" s="78"/>
      <c r="BY52" s="78">
        <f t="shared" si="41"/>
        <v>0</v>
      </c>
      <c r="BZ52" s="78">
        <f t="shared" si="42"/>
        <v>0</v>
      </c>
      <c r="CA52" s="78">
        <f t="shared" si="43"/>
        <v>0</v>
      </c>
      <c r="CB52" s="78">
        <f t="shared" si="44"/>
        <v>0</v>
      </c>
      <c r="CC52" s="78">
        <f t="shared" si="45"/>
        <v>0</v>
      </c>
      <c r="CD52" s="78">
        <f t="shared" si="46"/>
        <v>0</v>
      </c>
      <c r="CE52" s="78">
        <f t="shared" si="47"/>
        <v>0</v>
      </c>
      <c r="CF52" s="78">
        <f t="shared" si="48"/>
        <v>0</v>
      </c>
      <c r="CG52" s="78"/>
      <c r="CH52" s="92">
        <f t="shared" si="49"/>
        <v>0</v>
      </c>
      <c r="CI52" s="93">
        <f t="shared" si="50"/>
        <v>0</v>
      </c>
      <c r="CJ52" s="94">
        <f t="shared" si="51"/>
        <v>0</v>
      </c>
      <c r="CL52" s="78">
        <f t="shared" si="52"/>
        <v>0</v>
      </c>
      <c r="CM52" s="78">
        <f t="shared" si="53"/>
        <v>0</v>
      </c>
      <c r="CN52" s="78">
        <f t="shared" si="54"/>
        <v>0</v>
      </c>
      <c r="CO52" s="78">
        <f t="shared" si="55"/>
        <v>0</v>
      </c>
    </row>
    <row r="53" spans="1:93" ht="13.5" thickBot="1">
      <c r="A53" s="95"/>
      <c r="B53" s="96"/>
      <c r="C53" s="97"/>
      <c r="D53" s="98"/>
      <c r="E53" s="99"/>
      <c r="F53" s="100"/>
      <c r="G53" s="100"/>
      <c r="H53" s="100"/>
      <c r="I53" s="100"/>
      <c r="J53" s="100"/>
      <c r="K53" s="101" t="str">
        <f t="shared" si="56"/>
        <v/>
      </c>
      <c r="L53" s="102"/>
      <c r="M53" s="103"/>
      <c r="N53" s="104"/>
      <c r="O53" s="105"/>
      <c r="P53" s="106">
        <f t="shared" si="57"/>
        <v>0</v>
      </c>
      <c r="Q53" s="106">
        <f t="shared" si="58"/>
        <v>0</v>
      </c>
      <c r="R53" s="106">
        <f t="shared" si="59"/>
        <v>0</v>
      </c>
      <c r="S53" s="106">
        <f t="shared" si="60"/>
        <v>0</v>
      </c>
      <c r="T53" s="107">
        <f t="shared" si="61"/>
        <v>0</v>
      </c>
      <c r="U53" s="78"/>
      <c r="AG53" s="108"/>
      <c r="AI53" s="78">
        <f t="shared" si="5"/>
        <v>0</v>
      </c>
      <c r="AJ53" s="78">
        <f t="shared" si="6"/>
        <v>0</v>
      </c>
      <c r="AK53" s="78">
        <f t="shared" si="7"/>
        <v>0</v>
      </c>
      <c r="AL53" s="78">
        <f t="shared" si="8"/>
        <v>0</v>
      </c>
      <c r="AM53" s="78">
        <f t="shared" si="9"/>
        <v>0</v>
      </c>
      <c r="AN53" s="78">
        <f t="shared" si="10"/>
        <v>0</v>
      </c>
      <c r="AO53" s="78">
        <f t="shared" si="11"/>
        <v>0</v>
      </c>
      <c r="AP53" s="78">
        <f t="shared" si="12"/>
        <v>0</v>
      </c>
      <c r="AQ53" s="78">
        <f t="shared" si="13"/>
        <v>0</v>
      </c>
      <c r="AR53" s="78">
        <f t="shared" si="14"/>
        <v>0</v>
      </c>
      <c r="AS53" s="90">
        <f t="shared" si="15"/>
        <v>0</v>
      </c>
      <c r="AT53" s="91">
        <f t="shared" si="16"/>
        <v>0</v>
      </c>
      <c r="AV53" s="91">
        <f t="shared" si="17"/>
        <v>0</v>
      </c>
      <c r="AW53" s="78">
        <f t="shared" si="18"/>
        <v>0</v>
      </c>
      <c r="AX53" s="78">
        <f t="shared" si="19"/>
        <v>0</v>
      </c>
      <c r="AY53" s="78"/>
      <c r="AZ53" s="78">
        <f t="shared" si="20"/>
        <v>0</v>
      </c>
      <c r="BA53" s="78">
        <f t="shared" si="21"/>
        <v>0</v>
      </c>
      <c r="BB53" s="78">
        <f t="shared" si="22"/>
        <v>0</v>
      </c>
      <c r="BC53" s="78">
        <f t="shared" si="23"/>
        <v>0</v>
      </c>
      <c r="BD53" s="78">
        <f t="shared" si="24"/>
        <v>0</v>
      </c>
      <c r="BE53" s="78">
        <f t="shared" si="25"/>
        <v>0</v>
      </c>
      <c r="BF53" s="78">
        <f t="shared" si="26"/>
        <v>0</v>
      </c>
      <c r="BG53" s="78">
        <f t="shared" si="27"/>
        <v>0</v>
      </c>
      <c r="BH53" s="78">
        <f t="shared" si="28"/>
        <v>0</v>
      </c>
      <c r="BI53" s="78"/>
      <c r="BJ53" s="91">
        <f t="shared" si="29"/>
        <v>0</v>
      </c>
      <c r="BK53" s="91">
        <f t="shared" si="30"/>
        <v>0</v>
      </c>
      <c r="BL53" s="78"/>
      <c r="BM53" s="78">
        <f t="shared" si="31"/>
        <v>0</v>
      </c>
      <c r="BN53" s="78">
        <f t="shared" si="32"/>
        <v>0</v>
      </c>
      <c r="BO53" s="78">
        <f t="shared" si="33"/>
        <v>0</v>
      </c>
      <c r="BP53" s="78">
        <f t="shared" si="34"/>
        <v>0</v>
      </c>
      <c r="BQ53" s="78">
        <f t="shared" si="35"/>
        <v>0</v>
      </c>
      <c r="BR53" s="78">
        <f t="shared" si="36"/>
        <v>0</v>
      </c>
      <c r="BS53" s="78">
        <f t="shared" si="37"/>
        <v>0</v>
      </c>
      <c r="BT53" s="78">
        <f t="shared" si="38"/>
        <v>0</v>
      </c>
      <c r="BU53" s="91">
        <f t="shared" si="39"/>
        <v>0</v>
      </c>
      <c r="BV53" s="91">
        <f t="shared" si="40"/>
        <v>0</v>
      </c>
      <c r="BW53" s="78"/>
      <c r="BX53" s="78"/>
      <c r="BY53" s="78">
        <f t="shared" si="41"/>
        <v>0</v>
      </c>
      <c r="BZ53" s="78">
        <f t="shared" si="42"/>
        <v>0</v>
      </c>
      <c r="CA53" s="78">
        <f t="shared" si="43"/>
        <v>0</v>
      </c>
      <c r="CB53" s="78">
        <f t="shared" si="44"/>
        <v>0</v>
      </c>
      <c r="CC53" s="78">
        <f t="shared" si="45"/>
        <v>0</v>
      </c>
      <c r="CD53" s="78">
        <f t="shared" si="46"/>
        <v>0</v>
      </c>
      <c r="CE53" s="78">
        <f t="shared" si="47"/>
        <v>0</v>
      </c>
      <c r="CF53" s="78">
        <f t="shared" si="48"/>
        <v>0</v>
      </c>
      <c r="CG53" s="78"/>
      <c r="CH53" s="92">
        <f t="shared" si="49"/>
        <v>0</v>
      </c>
      <c r="CI53" s="93">
        <f t="shared" si="50"/>
        <v>0</v>
      </c>
      <c r="CJ53" s="94">
        <f t="shared" si="51"/>
        <v>0</v>
      </c>
      <c r="CL53" s="78">
        <f t="shared" si="52"/>
        <v>0</v>
      </c>
      <c r="CM53" s="78">
        <f t="shared" si="53"/>
        <v>0</v>
      </c>
      <c r="CN53" s="78">
        <f t="shared" si="54"/>
        <v>0</v>
      </c>
      <c r="CO53" s="78">
        <f t="shared" si="55"/>
        <v>0</v>
      </c>
    </row>
    <row r="54" spans="1:93" ht="13.5" thickBot="1">
      <c r="A54" s="95"/>
      <c r="B54" s="96"/>
      <c r="C54" s="97"/>
      <c r="D54" s="98"/>
      <c r="E54" s="99"/>
      <c r="F54" s="100"/>
      <c r="G54" s="100"/>
      <c r="H54" s="100"/>
      <c r="I54" s="100"/>
      <c r="J54" s="100"/>
      <c r="K54" s="101" t="str">
        <f t="shared" si="56"/>
        <v/>
      </c>
      <c r="L54" s="102"/>
      <c r="M54" s="103"/>
      <c r="N54" s="104"/>
      <c r="O54" s="105"/>
      <c r="P54" s="106">
        <f t="shared" si="57"/>
        <v>0</v>
      </c>
      <c r="Q54" s="106">
        <f t="shared" si="58"/>
        <v>0</v>
      </c>
      <c r="R54" s="106">
        <f t="shared" si="59"/>
        <v>0</v>
      </c>
      <c r="S54" s="106">
        <f t="shared" si="60"/>
        <v>0</v>
      </c>
      <c r="T54" s="107">
        <f t="shared" si="61"/>
        <v>0</v>
      </c>
      <c r="U54" s="78"/>
      <c r="AG54" s="108"/>
      <c r="AI54" s="78">
        <f t="shared" si="5"/>
        <v>0</v>
      </c>
      <c r="AJ54" s="78">
        <f t="shared" si="6"/>
        <v>0</v>
      </c>
      <c r="AK54" s="78">
        <f t="shared" si="7"/>
        <v>0</v>
      </c>
      <c r="AL54" s="78">
        <f t="shared" si="8"/>
        <v>0</v>
      </c>
      <c r="AM54" s="78">
        <f t="shared" si="9"/>
        <v>0</v>
      </c>
      <c r="AN54" s="78">
        <f t="shared" si="10"/>
        <v>0</v>
      </c>
      <c r="AO54" s="78">
        <f t="shared" si="11"/>
        <v>0</v>
      </c>
      <c r="AP54" s="78">
        <f t="shared" si="12"/>
        <v>0</v>
      </c>
      <c r="AQ54" s="78">
        <f t="shared" si="13"/>
        <v>0</v>
      </c>
      <c r="AR54" s="78">
        <f t="shared" si="14"/>
        <v>0</v>
      </c>
      <c r="AS54" s="90">
        <f t="shared" si="15"/>
        <v>0</v>
      </c>
      <c r="AT54" s="91">
        <f t="shared" si="16"/>
        <v>0</v>
      </c>
      <c r="AV54" s="91">
        <f t="shared" si="17"/>
        <v>0</v>
      </c>
      <c r="AW54" s="78">
        <f t="shared" si="18"/>
        <v>0</v>
      </c>
      <c r="AX54" s="78">
        <f t="shared" si="19"/>
        <v>0</v>
      </c>
      <c r="AY54" s="78"/>
      <c r="AZ54" s="78">
        <f t="shared" si="20"/>
        <v>0</v>
      </c>
      <c r="BA54" s="78">
        <f t="shared" si="21"/>
        <v>0</v>
      </c>
      <c r="BB54" s="78">
        <f t="shared" si="22"/>
        <v>0</v>
      </c>
      <c r="BC54" s="78">
        <f t="shared" si="23"/>
        <v>0</v>
      </c>
      <c r="BD54" s="78">
        <f t="shared" si="24"/>
        <v>0</v>
      </c>
      <c r="BE54" s="78">
        <f t="shared" si="25"/>
        <v>0</v>
      </c>
      <c r="BF54" s="78">
        <f t="shared" si="26"/>
        <v>0</v>
      </c>
      <c r="BG54" s="78">
        <f t="shared" si="27"/>
        <v>0</v>
      </c>
      <c r="BH54" s="78">
        <f t="shared" si="28"/>
        <v>0</v>
      </c>
      <c r="BI54" s="78"/>
      <c r="BJ54" s="91">
        <f t="shared" si="29"/>
        <v>0</v>
      </c>
      <c r="BK54" s="91">
        <f t="shared" si="30"/>
        <v>0</v>
      </c>
      <c r="BL54" s="78"/>
      <c r="BM54" s="78">
        <f t="shared" si="31"/>
        <v>0</v>
      </c>
      <c r="BN54" s="78">
        <f t="shared" si="32"/>
        <v>0</v>
      </c>
      <c r="BO54" s="78">
        <f t="shared" si="33"/>
        <v>0</v>
      </c>
      <c r="BP54" s="78">
        <f t="shared" si="34"/>
        <v>0</v>
      </c>
      <c r="BQ54" s="78">
        <f t="shared" si="35"/>
        <v>0</v>
      </c>
      <c r="BR54" s="78">
        <f t="shared" si="36"/>
        <v>0</v>
      </c>
      <c r="BS54" s="78">
        <f t="shared" si="37"/>
        <v>0</v>
      </c>
      <c r="BT54" s="78">
        <f t="shared" si="38"/>
        <v>0</v>
      </c>
      <c r="BU54" s="91">
        <f t="shared" si="39"/>
        <v>0</v>
      </c>
      <c r="BV54" s="91">
        <f t="shared" si="40"/>
        <v>0</v>
      </c>
      <c r="BW54" s="78"/>
      <c r="BX54" s="78"/>
      <c r="BY54" s="78">
        <f t="shared" si="41"/>
        <v>0</v>
      </c>
      <c r="BZ54" s="78">
        <f t="shared" si="42"/>
        <v>0</v>
      </c>
      <c r="CA54" s="78">
        <f t="shared" si="43"/>
        <v>0</v>
      </c>
      <c r="CB54" s="78">
        <f t="shared" si="44"/>
        <v>0</v>
      </c>
      <c r="CC54" s="78">
        <f t="shared" si="45"/>
        <v>0</v>
      </c>
      <c r="CD54" s="78">
        <f t="shared" si="46"/>
        <v>0</v>
      </c>
      <c r="CE54" s="78">
        <f t="shared" si="47"/>
        <v>0</v>
      </c>
      <c r="CF54" s="78">
        <f t="shared" si="48"/>
        <v>0</v>
      </c>
      <c r="CG54" s="78"/>
      <c r="CH54" s="92">
        <f t="shared" si="49"/>
        <v>0</v>
      </c>
      <c r="CI54" s="93">
        <f t="shared" si="50"/>
        <v>0</v>
      </c>
      <c r="CJ54" s="94">
        <f t="shared" si="51"/>
        <v>0</v>
      </c>
      <c r="CL54" s="78">
        <f t="shared" si="52"/>
        <v>0</v>
      </c>
      <c r="CM54" s="78">
        <f t="shared" si="53"/>
        <v>0</v>
      </c>
      <c r="CN54" s="78">
        <f t="shared" si="54"/>
        <v>0</v>
      </c>
      <c r="CO54" s="78">
        <f t="shared" si="55"/>
        <v>0</v>
      </c>
    </row>
    <row r="55" spans="1:93" ht="13.5" thickBot="1">
      <c r="A55" s="95"/>
      <c r="B55" s="96"/>
      <c r="C55" s="97"/>
      <c r="D55" s="98"/>
      <c r="E55" s="99"/>
      <c r="F55" s="100"/>
      <c r="G55" s="100"/>
      <c r="H55" s="100"/>
      <c r="I55" s="100"/>
      <c r="J55" s="100"/>
      <c r="K55" s="101" t="str">
        <f t="shared" si="56"/>
        <v/>
      </c>
      <c r="L55" s="102"/>
      <c r="M55" s="103"/>
      <c r="N55" s="104"/>
      <c r="O55" s="105"/>
      <c r="P55" s="106">
        <f t="shared" si="57"/>
        <v>0</v>
      </c>
      <c r="Q55" s="106">
        <f t="shared" si="58"/>
        <v>0</v>
      </c>
      <c r="R55" s="106">
        <f t="shared" si="59"/>
        <v>0</v>
      </c>
      <c r="S55" s="106">
        <f t="shared" si="60"/>
        <v>0</v>
      </c>
      <c r="T55" s="107">
        <f t="shared" si="61"/>
        <v>0</v>
      </c>
      <c r="U55" s="78"/>
      <c r="AG55" s="108"/>
      <c r="AI55" s="78">
        <f t="shared" si="5"/>
        <v>0</v>
      </c>
      <c r="AJ55" s="78">
        <f t="shared" si="6"/>
        <v>0</v>
      </c>
      <c r="AK55" s="78">
        <f t="shared" si="7"/>
        <v>0</v>
      </c>
      <c r="AL55" s="78">
        <f t="shared" si="8"/>
        <v>0</v>
      </c>
      <c r="AM55" s="78">
        <f t="shared" si="9"/>
        <v>0</v>
      </c>
      <c r="AN55" s="78">
        <f t="shared" si="10"/>
        <v>0</v>
      </c>
      <c r="AO55" s="78">
        <f t="shared" si="11"/>
        <v>0</v>
      </c>
      <c r="AP55" s="78">
        <f t="shared" si="12"/>
        <v>0</v>
      </c>
      <c r="AQ55" s="78">
        <f t="shared" si="13"/>
        <v>0</v>
      </c>
      <c r="AR55" s="78">
        <f t="shared" si="14"/>
        <v>0</v>
      </c>
      <c r="AS55" s="90">
        <f t="shared" si="15"/>
        <v>0</v>
      </c>
      <c r="AT55" s="91">
        <f t="shared" si="16"/>
        <v>0</v>
      </c>
      <c r="AV55" s="91">
        <f t="shared" si="17"/>
        <v>0</v>
      </c>
      <c r="AW55" s="78">
        <f t="shared" si="18"/>
        <v>0</v>
      </c>
      <c r="AX55" s="78">
        <f t="shared" si="19"/>
        <v>0</v>
      </c>
      <c r="AY55" s="78"/>
      <c r="AZ55" s="78">
        <f t="shared" si="20"/>
        <v>0</v>
      </c>
      <c r="BA55" s="78">
        <f t="shared" si="21"/>
        <v>0</v>
      </c>
      <c r="BB55" s="78">
        <f t="shared" si="22"/>
        <v>0</v>
      </c>
      <c r="BC55" s="78">
        <f t="shared" si="23"/>
        <v>0</v>
      </c>
      <c r="BD55" s="78">
        <f t="shared" si="24"/>
        <v>0</v>
      </c>
      <c r="BE55" s="78">
        <f t="shared" si="25"/>
        <v>0</v>
      </c>
      <c r="BF55" s="78">
        <f t="shared" si="26"/>
        <v>0</v>
      </c>
      <c r="BG55" s="78">
        <f t="shared" si="27"/>
        <v>0</v>
      </c>
      <c r="BH55" s="78">
        <f t="shared" si="28"/>
        <v>0</v>
      </c>
      <c r="BI55" s="78"/>
      <c r="BJ55" s="91">
        <f t="shared" si="29"/>
        <v>0</v>
      </c>
      <c r="BK55" s="91">
        <f t="shared" si="30"/>
        <v>0</v>
      </c>
      <c r="BL55" s="78"/>
      <c r="BM55" s="78">
        <f t="shared" si="31"/>
        <v>0</v>
      </c>
      <c r="BN55" s="78">
        <f t="shared" si="32"/>
        <v>0</v>
      </c>
      <c r="BO55" s="78">
        <f t="shared" si="33"/>
        <v>0</v>
      </c>
      <c r="BP55" s="78">
        <f t="shared" si="34"/>
        <v>0</v>
      </c>
      <c r="BQ55" s="78">
        <f t="shared" si="35"/>
        <v>0</v>
      </c>
      <c r="BR55" s="78">
        <f t="shared" si="36"/>
        <v>0</v>
      </c>
      <c r="BS55" s="78">
        <f t="shared" si="37"/>
        <v>0</v>
      </c>
      <c r="BT55" s="78">
        <f t="shared" si="38"/>
        <v>0</v>
      </c>
      <c r="BU55" s="91">
        <f t="shared" si="39"/>
        <v>0</v>
      </c>
      <c r="BV55" s="91">
        <f t="shared" si="40"/>
        <v>0</v>
      </c>
      <c r="BW55" s="78"/>
      <c r="BX55" s="78"/>
      <c r="BY55" s="78">
        <f t="shared" si="41"/>
        <v>0</v>
      </c>
      <c r="BZ55" s="78">
        <f t="shared" si="42"/>
        <v>0</v>
      </c>
      <c r="CA55" s="78">
        <f t="shared" si="43"/>
        <v>0</v>
      </c>
      <c r="CB55" s="78">
        <f t="shared" si="44"/>
        <v>0</v>
      </c>
      <c r="CC55" s="78">
        <f t="shared" si="45"/>
        <v>0</v>
      </c>
      <c r="CD55" s="78">
        <f t="shared" si="46"/>
        <v>0</v>
      </c>
      <c r="CE55" s="78">
        <f t="shared" si="47"/>
        <v>0</v>
      </c>
      <c r="CF55" s="78">
        <f t="shared" si="48"/>
        <v>0</v>
      </c>
      <c r="CG55" s="78"/>
      <c r="CH55" s="92">
        <f t="shared" si="49"/>
        <v>0</v>
      </c>
      <c r="CI55" s="93">
        <f t="shared" si="50"/>
        <v>0</v>
      </c>
      <c r="CJ55" s="94">
        <f t="shared" si="51"/>
        <v>0</v>
      </c>
      <c r="CL55" s="78">
        <f t="shared" si="52"/>
        <v>0</v>
      </c>
      <c r="CM55" s="78">
        <f t="shared" si="53"/>
        <v>0</v>
      </c>
      <c r="CN55" s="78">
        <f t="shared" si="54"/>
        <v>0</v>
      </c>
      <c r="CO55" s="78">
        <f t="shared" si="55"/>
        <v>0</v>
      </c>
    </row>
    <row r="56" spans="1:93" ht="13.5" thickBot="1">
      <c r="A56" s="95"/>
      <c r="B56" s="96"/>
      <c r="C56" s="97"/>
      <c r="D56" s="98"/>
      <c r="E56" s="99"/>
      <c r="F56" s="100"/>
      <c r="G56" s="100"/>
      <c r="H56" s="100"/>
      <c r="I56" s="100"/>
      <c r="J56" s="100"/>
      <c r="K56" s="101" t="str">
        <f t="shared" si="56"/>
        <v/>
      </c>
      <c r="L56" s="102"/>
      <c r="M56" s="103"/>
      <c r="N56" s="104"/>
      <c r="O56" s="105"/>
      <c r="P56" s="106">
        <f t="shared" si="57"/>
        <v>0</v>
      </c>
      <c r="Q56" s="106">
        <f t="shared" si="58"/>
        <v>0</v>
      </c>
      <c r="R56" s="106">
        <f t="shared" si="59"/>
        <v>0</v>
      </c>
      <c r="S56" s="106">
        <f t="shared" si="60"/>
        <v>0</v>
      </c>
      <c r="T56" s="107">
        <f t="shared" si="61"/>
        <v>0</v>
      </c>
      <c r="U56" s="78"/>
      <c r="AG56" s="108"/>
      <c r="AI56" s="78">
        <f t="shared" si="5"/>
        <v>0</v>
      </c>
      <c r="AJ56" s="78">
        <f t="shared" si="6"/>
        <v>0</v>
      </c>
      <c r="AK56" s="78">
        <f t="shared" si="7"/>
        <v>0</v>
      </c>
      <c r="AL56" s="78">
        <f t="shared" si="8"/>
        <v>0</v>
      </c>
      <c r="AM56" s="78">
        <f t="shared" si="9"/>
        <v>0</v>
      </c>
      <c r="AN56" s="78">
        <f t="shared" si="10"/>
        <v>0</v>
      </c>
      <c r="AO56" s="78">
        <f t="shared" si="11"/>
        <v>0</v>
      </c>
      <c r="AP56" s="78">
        <f t="shared" si="12"/>
        <v>0</v>
      </c>
      <c r="AQ56" s="78">
        <f t="shared" si="13"/>
        <v>0</v>
      </c>
      <c r="AR56" s="78">
        <f t="shared" si="14"/>
        <v>0</v>
      </c>
      <c r="AS56" s="90">
        <f t="shared" si="15"/>
        <v>0</v>
      </c>
      <c r="AT56" s="91">
        <f t="shared" si="16"/>
        <v>0</v>
      </c>
      <c r="AV56" s="91">
        <f t="shared" si="17"/>
        <v>0</v>
      </c>
      <c r="AW56" s="78">
        <f t="shared" si="18"/>
        <v>0</v>
      </c>
      <c r="AX56" s="78">
        <f t="shared" si="19"/>
        <v>0</v>
      </c>
      <c r="AY56" s="78"/>
      <c r="AZ56" s="78">
        <f t="shared" si="20"/>
        <v>0</v>
      </c>
      <c r="BA56" s="78">
        <f t="shared" si="21"/>
        <v>0</v>
      </c>
      <c r="BB56" s="78">
        <f t="shared" si="22"/>
        <v>0</v>
      </c>
      <c r="BC56" s="78">
        <f t="shared" si="23"/>
        <v>0</v>
      </c>
      <c r="BD56" s="78">
        <f t="shared" si="24"/>
        <v>0</v>
      </c>
      <c r="BE56" s="78">
        <f t="shared" si="25"/>
        <v>0</v>
      </c>
      <c r="BF56" s="78">
        <f t="shared" si="26"/>
        <v>0</v>
      </c>
      <c r="BG56" s="78">
        <f t="shared" si="27"/>
        <v>0</v>
      </c>
      <c r="BH56" s="78">
        <f t="shared" si="28"/>
        <v>0</v>
      </c>
      <c r="BI56" s="78"/>
      <c r="BJ56" s="91">
        <f t="shared" si="29"/>
        <v>0</v>
      </c>
      <c r="BK56" s="91">
        <f t="shared" si="30"/>
        <v>0</v>
      </c>
      <c r="BL56" s="78"/>
      <c r="BM56" s="78">
        <f t="shared" si="31"/>
        <v>0</v>
      </c>
      <c r="BN56" s="78">
        <f t="shared" si="32"/>
        <v>0</v>
      </c>
      <c r="BO56" s="78">
        <f t="shared" si="33"/>
        <v>0</v>
      </c>
      <c r="BP56" s="78">
        <f t="shared" si="34"/>
        <v>0</v>
      </c>
      <c r="BQ56" s="78">
        <f t="shared" si="35"/>
        <v>0</v>
      </c>
      <c r="BR56" s="78">
        <f t="shared" si="36"/>
        <v>0</v>
      </c>
      <c r="BS56" s="78">
        <f t="shared" si="37"/>
        <v>0</v>
      </c>
      <c r="BT56" s="78">
        <f t="shared" si="38"/>
        <v>0</v>
      </c>
      <c r="BU56" s="91">
        <f t="shared" si="39"/>
        <v>0</v>
      </c>
      <c r="BV56" s="91">
        <f t="shared" si="40"/>
        <v>0</v>
      </c>
      <c r="BW56" s="78"/>
      <c r="BX56" s="78"/>
      <c r="BY56" s="78">
        <f t="shared" si="41"/>
        <v>0</v>
      </c>
      <c r="BZ56" s="78">
        <f t="shared" si="42"/>
        <v>0</v>
      </c>
      <c r="CA56" s="78">
        <f t="shared" si="43"/>
        <v>0</v>
      </c>
      <c r="CB56" s="78">
        <f t="shared" si="44"/>
        <v>0</v>
      </c>
      <c r="CC56" s="78">
        <f t="shared" si="45"/>
        <v>0</v>
      </c>
      <c r="CD56" s="78">
        <f t="shared" si="46"/>
        <v>0</v>
      </c>
      <c r="CE56" s="78">
        <f t="shared" si="47"/>
        <v>0</v>
      </c>
      <c r="CF56" s="78">
        <f t="shared" si="48"/>
        <v>0</v>
      </c>
      <c r="CG56" s="78"/>
      <c r="CH56" s="92">
        <f t="shared" si="49"/>
        <v>0</v>
      </c>
      <c r="CI56" s="93">
        <f t="shared" si="50"/>
        <v>0</v>
      </c>
      <c r="CJ56" s="94">
        <f t="shared" si="51"/>
        <v>0</v>
      </c>
      <c r="CL56" s="78">
        <f t="shared" si="52"/>
        <v>0</v>
      </c>
      <c r="CM56" s="78">
        <f t="shared" si="53"/>
        <v>0</v>
      </c>
      <c r="CN56" s="78">
        <f t="shared" si="54"/>
        <v>0</v>
      </c>
      <c r="CO56" s="78">
        <f t="shared" si="55"/>
        <v>0</v>
      </c>
    </row>
    <row r="57" spans="1:93" ht="13.5" thickBot="1">
      <c r="A57" s="95"/>
      <c r="B57" s="96"/>
      <c r="C57" s="97"/>
      <c r="D57" s="98"/>
      <c r="E57" s="99"/>
      <c r="F57" s="100"/>
      <c r="G57" s="100"/>
      <c r="H57" s="100"/>
      <c r="I57" s="100"/>
      <c r="J57" s="100"/>
      <c r="K57" s="101" t="str">
        <f t="shared" si="56"/>
        <v/>
      </c>
      <c r="L57" s="102"/>
      <c r="M57" s="103"/>
      <c r="N57" s="104"/>
      <c r="O57" s="105"/>
      <c r="P57" s="106">
        <f t="shared" si="57"/>
        <v>0</v>
      </c>
      <c r="Q57" s="106">
        <f t="shared" si="58"/>
        <v>0</v>
      </c>
      <c r="R57" s="106">
        <f t="shared" si="59"/>
        <v>0</v>
      </c>
      <c r="S57" s="106">
        <f t="shared" si="60"/>
        <v>0</v>
      </c>
      <c r="T57" s="107">
        <f t="shared" si="61"/>
        <v>0</v>
      </c>
      <c r="U57" s="78"/>
      <c r="AG57" s="108"/>
      <c r="AI57" s="78">
        <f t="shared" si="5"/>
        <v>0</v>
      </c>
      <c r="AJ57" s="78">
        <f t="shared" si="6"/>
        <v>0</v>
      </c>
      <c r="AK57" s="78">
        <f t="shared" si="7"/>
        <v>0</v>
      </c>
      <c r="AL57" s="78">
        <f t="shared" si="8"/>
        <v>0</v>
      </c>
      <c r="AM57" s="78">
        <f t="shared" si="9"/>
        <v>0</v>
      </c>
      <c r="AN57" s="78">
        <f t="shared" si="10"/>
        <v>0</v>
      </c>
      <c r="AO57" s="78">
        <f t="shared" si="11"/>
        <v>0</v>
      </c>
      <c r="AP57" s="78">
        <f t="shared" si="12"/>
        <v>0</v>
      </c>
      <c r="AQ57" s="78">
        <f t="shared" si="13"/>
        <v>0</v>
      </c>
      <c r="AR57" s="78">
        <f t="shared" si="14"/>
        <v>0</v>
      </c>
      <c r="AS57" s="90">
        <f t="shared" si="15"/>
        <v>0</v>
      </c>
      <c r="AT57" s="91">
        <f t="shared" si="16"/>
        <v>0</v>
      </c>
      <c r="AV57" s="91">
        <f t="shared" si="17"/>
        <v>0</v>
      </c>
      <c r="AW57" s="78">
        <f t="shared" si="18"/>
        <v>0</v>
      </c>
      <c r="AX57" s="78">
        <f t="shared" si="19"/>
        <v>0</v>
      </c>
      <c r="AY57" s="78"/>
      <c r="AZ57" s="78">
        <f t="shared" si="20"/>
        <v>0</v>
      </c>
      <c r="BA57" s="78">
        <f t="shared" si="21"/>
        <v>0</v>
      </c>
      <c r="BB57" s="78">
        <f t="shared" si="22"/>
        <v>0</v>
      </c>
      <c r="BC57" s="78">
        <f t="shared" si="23"/>
        <v>0</v>
      </c>
      <c r="BD57" s="78">
        <f t="shared" si="24"/>
        <v>0</v>
      </c>
      <c r="BE57" s="78">
        <f t="shared" si="25"/>
        <v>0</v>
      </c>
      <c r="BF57" s="78">
        <f t="shared" si="26"/>
        <v>0</v>
      </c>
      <c r="BG57" s="78">
        <f t="shared" si="27"/>
        <v>0</v>
      </c>
      <c r="BH57" s="78">
        <f t="shared" si="28"/>
        <v>0</v>
      </c>
      <c r="BI57" s="78"/>
      <c r="BJ57" s="91">
        <f t="shared" si="29"/>
        <v>0</v>
      </c>
      <c r="BK57" s="91">
        <f t="shared" si="30"/>
        <v>0</v>
      </c>
      <c r="BL57" s="78"/>
      <c r="BM57" s="78">
        <f t="shared" si="31"/>
        <v>0</v>
      </c>
      <c r="BN57" s="78">
        <f t="shared" si="32"/>
        <v>0</v>
      </c>
      <c r="BO57" s="78">
        <f t="shared" si="33"/>
        <v>0</v>
      </c>
      <c r="BP57" s="78">
        <f t="shared" si="34"/>
        <v>0</v>
      </c>
      <c r="BQ57" s="78">
        <f t="shared" si="35"/>
        <v>0</v>
      </c>
      <c r="BR57" s="78">
        <f t="shared" si="36"/>
        <v>0</v>
      </c>
      <c r="BS57" s="78">
        <f t="shared" si="37"/>
        <v>0</v>
      </c>
      <c r="BT57" s="78">
        <f t="shared" si="38"/>
        <v>0</v>
      </c>
      <c r="BU57" s="91">
        <f t="shared" si="39"/>
        <v>0</v>
      </c>
      <c r="BV57" s="91">
        <f t="shared" si="40"/>
        <v>0</v>
      </c>
      <c r="BW57" s="78"/>
      <c r="BX57" s="78"/>
      <c r="BY57" s="78">
        <f t="shared" si="41"/>
        <v>0</v>
      </c>
      <c r="BZ57" s="78">
        <f t="shared" si="42"/>
        <v>0</v>
      </c>
      <c r="CA57" s="78">
        <f t="shared" si="43"/>
        <v>0</v>
      </c>
      <c r="CB57" s="78">
        <f t="shared" si="44"/>
        <v>0</v>
      </c>
      <c r="CC57" s="78">
        <f t="shared" si="45"/>
        <v>0</v>
      </c>
      <c r="CD57" s="78">
        <f t="shared" si="46"/>
        <v>0</v>
      </c>
      <c r="CE57" s="78">
        <f t="shared" si="47"/>
        <v>0</v>
      </c>
      <c r="CF57" s="78">
        <f t="shared" si="48"/>
        <v>0</v>
      </c>
      <c r="CG57" s="78"/>
      <c r="CH57" s="92">
        <f t="shared" si="49"/>
        <v>0</v>
      </c>
      <c r="CI57" s="93">
        <f t="shared" si="50"/>
        <v>0</v>
      </c>
      <c r="CJ57" s="94">
        <f t="shared" si="51"/>
        <v>0</v>
      </c>
      <c r="CL57" s="78">
        <f t="shared" si="52"/>
        <v>0</v>
      </c>
      <c r="CM57" s="78">
        <f t="shared" si="53"/>
        <v>0</v>
      </c>
      <c r="CN57" s="78">
        <f t="shared" si="54"/>
        <v>0</v>
      </c>
      <c r="CO57" s="78">
        <f t="shared" si="55"/>
        <v>0</v>
      </c>
    </row>
    <row r="58" spans="1:93" ht="13.5" thickBot="1">
      <c r="A58" s="95"/>
      <c r="B58" s="96"/>
      <c r="C58" s="97"/>
      <c r="D58" s="98"/>
      <c r="E58" s="99"/>
      <c r="F58" s="100"/>
      <c r="G58" s="100"/>
      <c r="H58" s="100"/>
      <c r="I58" s="100"/>
      <c r="J58" s="100"/>
      <c r="K58" s="101" t="str">
        <f t="shared" si="56"/>
        <v/>
      </c>
      <c r="L58" s="102"/>
      <c r="M58" s="103"/>
      <c r="N58" s="104"/>
      <c r="O58" s="105"/>
      <c r="P58" s="106">
        <f t="shared" si="57"/>
        <v>0</v>
      </c>
      <c r="Q58" s="106">
        <f t="shared" si="58"/>
        <v>0</v>
      </c>
      <c r="R58" s="106">
        <f t="shared" si="59"/>
        <v>0</v>
      </c>
      <c r="S58" s="106">
        <f t="shared" si="60"/>
        <v>0</v>
      </c>
      <c r="T58" s="107">
        <f t="shared" si="61"/>
        <v>0</v>
      </c>
      <c r="U58" s="78"/>
      <c r="AG58" s="108"/>
      <c r="AI58" s="78">
        <f t="shared" si="5"/>
        <v>0</v>
      </c>
      <c r="AJ58" s="78">
        <f t="shared" si="6"/>
        <v>0</v>
      </c>
      <c r="AK58" s="78">
        <f t="shared" si="7"/>
        <v>0</v>
      </c>
      <c r="AL58" s="78">
        <f t="shared" si="8"/>
        <v>0</v>
      </c>
      <c r="AM58" s="78">
        <f t="shared" si="9"/>
        <v>0</v>
      </c>
      <c r="AN58" s="78">
        <f t="shared" si="10"/>
        <v>0</v>
      </c>
      <c r="AO58" s="78">
        <f t="shared" si="11"/>
        <v>0</v>
      </c>
      <c r="AP58" s="78">
        <f t="shared" si="12"/>
        <v>0</v>
      </c>
      <c r="AQ58" s="78">
        <f t="shared" si="13"/>
        <v>0</v>
      </c>
      <c r="AR58" s="78">
        <f t="shared" si="14"/>
        <v>0</v>
      </c>
      <c r="AS58" s="90">
        <f t="shared" si="15"/>
        <v>0</v>
      </c>
      <c r="AT58" s="91">
        <f t="shared" si="16"/>
        <v>0</v>
      </c>
      <c r="AV58" s="91">
        <f t="shared" si="17"/>
        <v>0</v>
      </c>
      <c r="AW58" s="78">
        <f t="shared" si="18"/>
        <v>0</v>
      </c>
      <c r="AX58" s="78">
        <f t="shared" si="19"/>
        <v>0</v>
      </c>
      <c r="AY58" s="78"/>
      <c r="AZ58" s="78">
        <f t="shared" si="20"/>
        <v>0</v>
      </c>
      <c r="BA58" s="78">
        <f t="shared" si="21"/>
        <v>0</v>
      </c>
      <c r="BB58" s="78">
        <f t="shared" si="22"/>
        <v>0</v>
      </c>
      <c r="BC58" s="78">
        <f t="shared" si="23"/>
        <v>0</v>
      </c>
      <c r="BD58" s="78">
        <f t="shared" si="24"/>
        <v>0</v>
      </c>
      <c r="BE58" s="78">
        <f t="shared" si="25"/>
        <v>0</v>
      </c>
      <c r="BF58" s="78">
        <f t="shared" si="26"/>
        <v>0</v>
      </c>
      <c r="BG58" s="78">
        <f t="shared" si="27"/>
        <v>0</v>
      </c>
      <c r="BH58" s="78">
        <f t="shared" si="28"/>
        <v>0</v>
      </c>
      <c r="BI58" s="78"/>
      <c r="BJ58" s="91">
        <f t="shared" si="29"/>
        <v>0</v>
      </c>
      <c r="BK58" s="91">
        <f t="shared" si="30"/>
        <v>0</v>
      </c>
      <c r="BL58" s="78"/>
      <c r="BM58" s="78">
        <f t="shared" si="31"/>
        <v>0</v>
      </c>
      <c r="BN58" s="78">
        <f t="shared" si="32"/>
        <v>0</v>
      </c>
      <c r="BO58" s="78">
        <f t="shared" si="33"/>
        <v>0</v>
      </c>
      <c r="BP58" s="78">
        <f t="shared" si="34"/>
        <v>0</v>
      </c>
      <c r="BQ58" s="78">
        <f t="shared" si="35"/>
        <v>0</v>
      </c>
      <c r="BR58" s="78">
        <f t="shared" si="36"/>
        <v>0</v>
      </c>
      <c r="BS58" s="78">
        <f t="shared" si="37"/>
        <v>0</v>
      </c>
      <c r="BT58" s="78">
        <f t="shared" si="38"/>
        <v>0</v>
      </c>
      <c r="BU58" s="91">
        <f t="shared" si="39"/>
        <v>0</v>
      </c>
      <c r="BV58" s="91">
        <f t="shared" si="40"/>
        <v>0</v>
      </c>
      <c r="BW58" s="78"/>
      <c r="BX58" s="78"/>
      <c r="BY58" s="78">
        <f t="shared" si="41"/>
        <v>0</v>
      </c>
      <c r="BZ58" s="78">
        <f t="shared" si="42"/>
        <v>0</v>
      </c>
      <c r="CA58" s="78">
        <f t="shared" si="43"/>
        <v>0</v>
      </c>
      <c r="CB58" s="78">
        <f t="shared" si="44"/>
        <v>0</v>
      </c>
      <c r="CC58" s="78">
        <f t="shared" si="45"/>
        <v>0</v>
      </c>
      <c r="CD58" s="78">
        <f t="shared" si="46"/>
        <v>0</v>
      </c>
      <c r="CE58" s="78">
        <f t="shared" si="47"/>
        <v>0</v>
      </c>
      <c r="CF58" s="78">
        <f t="shared" si="48"/>
        <v>0</v>
      </c>
      <c r="CG58" s="78"/>
      <c r="CH58" s="92">
        <f t="shared" si="49"/>
        <v>0</v>
      </c>
      <c r="CI58" s="93">
        <f t="shared" si="50"/>
        <v>0</v>
      </c>
      <c r="CJ58" s="94">
        <f t="shared" si="51"/>
        <v>0</v>
      </c>
      <c r="CL58" s="78">
        <f t="shared" si="52"/>
        <v>0</v>
      </c>
      <c r="CM58" s="78">
        <f t="shared" si="53"/>
        <v>0</v>
      </c>
      <c r="CN58" s="78">
        <f t="shared" si="54"/>
        <v>0</v>
      </c>
      <c r="CO58" s="78">
        <f t="shared" si="55"/>
        <v>0</v>
      </c>
    </row>
    <row r="59" spans="1:93" ht="13.5" thickBot="1">
      <c r="A59" s="95"/>
      <c r="B59" s="96"/>
      <c r="C59" s="97"/>
      <c r="D59" s="100"/>
      <c r="E59" s="99"/>
      <c r="F59" s="100"/>
      <c r="G59" s="100"/>
      <c r="H59" s="100"/>
      <c r="I59" s="100"/>
      <c r="J59" s="100"/>
      <c r="K59" s="101" t="str">
        <f t="shared" si="56"/>
        <v/>
      </c>
      <c r="L59" s="102"/>
      <c r="M59" s="103"/>
      <c r="N59" s="104"/>
      <c r="O59" s="105"/>
      <c r="P59" s="106">
        <f t="shared" si="57"/>
        <v>0</v>
      </c>
      <c r="Q59" s="106">
        <f t="shared" si="58"/>
        <v>0</v>
      </c>
      <c r="R59" s="106">
        <f t="shared" si="59"/>
        <v>0</v>
      </c>
      <c r="S59" s="106">
        <f t="shared" si="60"/>
        <v>0</v>
      </c>
      <c r="T59" s="107">
        <f t="shared" si="61"/>
        <v>0</v>
      </c>
      <c r="U59" s="78"/>
      <c r="AG59" s="108"/>
      <c r="AI59" s="78">
        <f t="shared" si="5"/>
        <v>0</v>
      </c>
      <c r="AJ59" s="78">
        <f t="shared" si="6"/>
        <v>0</v>
      </c>
      <c r="AK59" s="78">
        <f t="shared" si="7"/>
        <v>0</v>
      </c>
      <c r="AL59" s="78">
        <f t="shared" si="8"/>
        <v>0</v>
      </c>
      <c r="AM59" s="78">
        <f t="shared" si="9"/>
        <v>0</v>
      </c>
      <c r="AN59" s="78">
        <f t="shared" si="10"/>
        <v>0</v>
      </c>
      <c r="AO59" s="78">
        <f t="shared" si="11"/>
        <v>0</v>
      </c>
      <c r="AP59" s="78">
        <f t="shared" si="12"/>
        <v>0</v>
      </c>
      <c r="AQ59" s="78">
        <f t="shared" si="13"/>
        <v>0</v>
      </c>
      <c r="AR59" s="78">
        <f t="shared" si="14"/>
        <v>0</v>
      </c>
      <c r="AS59" s="90">
        <f t="shared" si="15"/>
        <v>0</v>
      </c>
      <c r="AT59" s="91">
        <f t="shared" si="16"/>
        <v>0</v>
      </c>
      <c r="AV59" s="91">
        <f t="shared" si="17"/>
        <v>0</v>
      </c>
      <c r="AW59" s="78">
        <f t="shared" si="18"/>
        <v>0</v>
      </c>
      <c r="AX59" s="78">
        <f t="shared" si="19"/>
        <v>0</v>
      </c>
      <c r="AY59" s="78"/>
      <c r="AZ59" s="78">
        <f t="shared" si="20"/>
        <v>0</v>
      </c>
      <c r="BA59" s="78">
        <f t="shared" si="21"/>
        <v>0</v>
      </c>
      <c r="BB59" s="78">
        <f t="shared" si="22"/>
        <v>0</v>
      </c>
      <c r="BC59" s="78">
        <f t="shared" si="23"/>
        <v>0</v>
      </c>
      <c r="BD59" s="78">
        <f t="shared" si="24"/>
        <v>0</v>
      </c>
      <c r="BE59" s="78">
        <f t="shared" si="25"/>
        <v>0</v>
      </c>
      <c r="BF59" s="78">
        <f t="shared" si="26"/>
        <v>0</v>
      </c>
      <c r="BG59" s="78">
        <f t="shared" si="27"/>
        <v>0</v>
      </c>
      <c r="BH59" s="78">
        <f t="shared" si="28"/>
        <v>0</v>
      </c>
      <c r="BI59" s="78"/>
      <c r="BJ59" s="91">
        <f t="shared" si="29"/>
        <v>0</v>
      </c>
      <c r="BK59" s="91">
        <f t="shared" si="30"/>
        <v>0</v>
      </c>
      <c r="BL59" s="78"/>
      <c r="BM59" s="78">
        <f t="shared" si="31"/>
        <v>0</v>
      </c>
      <c r="BN59" s="78">
        <f t="shared" si="32"/>
        <v>0</v>
      </c>
      <c r="BO59" s="78">
        <f t="shared" si="33"/>
        <v>0</v>
      </c>
      <c r="BP59" s="78">
        <f t="shared" si="34"/>
        <v>0</v>
      </c>
      <c r="BQ59" s="78">
        <f t="shared" si="35"/>
        <v>0</v>
      </c>
      <c r="BR59" s="78">
        <f t="shared" si="36"/>
        <v>0</v>
      </c>
      <c r="BS59" s="78">
        <f t="shared" si="37"/>
        <v>0</v>
      </c>
      <c r="BT59" s="78">
        <f t="shared" si="38"/>
        <v>0</v>
      </c>
      <c r="BU59" s="91">
        <f t="shared" si="39"/>
        <v>0</v>
      </c>
      <c r="BV59" s="91">
        <f t="shared" si="40"/>
        <v>0</v>
      </c>
      <c r="BW59" s="78"/>
      <c r="BX59" s="78"/>
      <c r="BY59" s="78">
        <f t="shared" si="41"/>
        <v>0</v>
      </c>
      <c r="BZ59" s="78">
        <f t="shared" si="42"/>
        <v>0</v>
      </c>
      <c r="CA59" s="78">
        <f t="shared" si="43"/>
        <v>0</v>
      </c>
      <c r="CB59" s="78">
        <f t="shared" si="44"/>
        <v>0</v>
      </c>
      <c r="CC59" s="78">
        <f t="shared" si="45"/>
        <v>0</v>
      </c>
      <c r="CD59" s="78">
        <f t="shared" si="46"/>
        <v>0</v>
      </c>
      <c r="CE59" s="78">
        <f t="shared" si="47"/>
        <v>0</v>
      </c>
      <c r="CF59" s="78">
        <f t="shared" si="48"/>
        <v>0</v>
      </c>
      <c r="CG59" s="78"/>
      <c r="CH59" s="92">
        <f t="shared" si="49"/>
        <v>0</v>
      </c>
      <c r="CI59" s="93">
        <f t="shared" si="50"/>
        <v>0</v>
      </c>
      <c r="CJ59" s="94">
        <f t="shared" si="51"/>
        <v>0</v>
      </c>
      <c r="CL59" s="78">
        <f t="shared" si="52"/>
        <v>0</v>
      </c>
      <c r="CM59" s="78">
        <f t="shared" si="53"/>
        <v>0</v>
      </c>
      <c r="CN59" s="78">
        <f t="shared" si="54"/>
        <v>0</v>
      </c>
      <c r="CO59" s="78">
        <f t="shared" si="55"/>
        <v>0</v>
      </c>
    </row>
    <row r="60" spans="1:93" ht="13.5" thickBot="1">
      <c r="A60" s="95"/>
      <c r="B60" s="96"/>
      <c r="C60" s="97"/>
      <c r="D60" s="98"/>
      <c r="E60" s="99"/>
      <c r="F60" s="100"/>
      <c r="G60" s="100"/>
      <c r="H60" s="100"/>
      <c r="I60" s="100"/>
      <c r="J60" s="100"/>
      <c r="K60" s="101" t="str">
        <f t="shared" si="56"/>
        <v/>
      </c>
      <c r="L60" s="102"/>
      <c r="M60" s="103"/>
      <c r="N60" s="104"/>
      <c r="O60" s="105"/>
      <c r="P60" s="106">
        <f t="shared" si="57"/>
        <v>0</v>
      </c>
      <c r="Q60" s="106">
        <f t="shared" si="58"/>
        <v>0</v>
      </c>
      <c r="R60" s="106">
        <f t="shared" si="59"/>
        <v>0</v>
      </c>
      <c r="S60" s="106">
        <f t="shared" si="60"/>
        <v>0</v>
      </c>
      <c r="T60" s="107">
        <f t="shared" si="61"/>
        <v>0</v>
      </c>
      <c r="U60" s="78"/>
      <c r="AG60" s="108"/>
      <c r="AI60" s="78">
        <f t="shared" si="5"/>
        <v>0</v>
      </c>
      <c r="AJ60" s="78">
        <f t="shared" si="6"/>
        <v>0</v>
      </c>
      <c r="AK60" s="78">
        <f t="shared" si="7"/>
        <v>0</v>
      </c>
      <c r="AL60" s="78">
        <f t="shared" si="8"/>
        <v>0</v>
      </c>
      <c r="AM60" s="78">
        <f t="shared" si="9"/>
        <v>0</v>
      </c>
      <c r="AN60" s="78">
        <f t="shared" si="10"/>
        <v>0</v>
      </c>
      <c r="AO60" s="78">
        <f t="shared" si="11"/>
        <v>0</v>
      </c>
      <c r="AP60" s="78">
        <f t="shared" si="12"/>
        <v>0</v>
      </c>
      <c r="AQ60" s="78">
        <f t="shared" si="13"/>
        <v>0</v>
      </c>
      <c r="AR60" s="78">
        <f t="shared" si="14"/>
        <v>0</v>
      </c>
      <c r="AS60" s="90">
        <f t="shared" si="15"/>
        <v>0</v>
      </c>
      <c r="AT60" s="91">
        <f t="shared" si="16"/>
        <v>0</v>
      </c>
      <c r="AV60" s="91">
        <f t="shared" si="17"/>
        <v>0</v>
      </c>
      <c r="AW60" s="78">
        <f t="shared" si="18"/>
        <v>0</v>
      </c>
      <c r="AX60" s="78">
        <f t="shared" si="19"/>
        <v>0</v>
      </c>
      <c r="AY60" s="78"/>
      <c r="AZ60" s="78">
        <f t="shared" si="20"/>
        <v>0</v>
      </c>
      <c r="BA60" s="78">
        <f t="shared" si="21"/>
        <v>0</v>
      </c>
      <c r="BB60" s="78">
        <f t="shared" si="22"/>
        <v>0</v>
      </c>
      <c r="BC60" s="78">
        <f t="shared" si="23"/>
        <v>0</v>
      </c>
      <c r="BD60" s="78">
        <f t="shared" si="24"/>
        <v>0</v>
      </c>
      <c r="BE60" s="78">
        <f t="shared" si="25"/>
        <v>0</v>
      </c>
      <c r="BF60" s="78">
        <f t="shared" si="26"/>
        <v>0</v>
      </c>
      <c r="BG60" s="78">
        <f t="shared" si="27"/>
        <v>0</v>
      </c>
      <c r="BH60" s="78">
        <f t="shared" si="28"/>
        <v>0</v>
      </c>
      <c r="BI60" s="78"/>
      <c r="BJ60" s="91">
        <f t="shared" si="29"/>
        <v>0</v>
      </c>
      <c r="BK60" s="91">
        <f t="shared" si="30"/>
        <v>0</v>
      </c>
      <c r="BL60" s="78"/>
      <c r="BM60" s="78">
        <f t="shared" si="31"/>
        <v>0</v>
      </c>
      <c r="BN60" s="78">
        <f t="shared" si="32"/>
        <v>0</v>
      </c>
      <c r="BO60" s="78">
        <f t="shared" si="33"/>
        <v>0</v>
      </c>
      <c r="BP60" s="78">
        <f t="shared" si="34"/>
        <v>0</v>
      </c>
      <c r="BQ60" s="78">
        <f t="shared" si="35"/>
        <v>0</v>
      </c>
      <c r="BR60" s="78">
        <f t="shared" si="36"/>
        <v>0</v>
      </c>
      <c r="BS60" s="78">
        <f t="shared" si="37"/>
        <v>0</v>
      </c>
      <c r="BT60" s="78">
        <f t="shared" si="38"/>
        <v>0</v>
      </c>
      <c r="BU60" s="91">
        <f t="shared" si="39"/>
        <v>0</v>
      </c>
      <c r="BV60" s="91">
        <f t="shared" si="40"/>
        <v>0</v>
      </c>
      <c r="BW60" s="78"/>
      <c r="BX60" s="78"/>
      <c r="BY60" s="78">
        <f t="shared" si="41"/>
        <v>0</v>
      </c>
      <c r="BZ60" s="78">
        <f t="shared" si="42"/>
        <v>0</v>
      </c>
      <c r="CA60" s="78">
        <f t="shared" si="43"/>
        <v>0</v>
      </c>
      <c r="CB60" s="78">
        <f t="shared" si="44"/>
        <v>0</v>
      </c>
      <c r="CC60" s="78">
        <f t="shared" si="45"/>
        <v>0</v>
      </c>
      <c r="CD60" s="78">
        <f t="shared" si="46"/>
        <v>0</v>
      </c>
      <c r="CE60" s="78">
        <f t="shared" si="47"/>
        <v>0</v>
      </c>
      <c r="CF60" s="78">
        <f t="shared" si="48"/>
        <v>0</v>
      </c>
      <c r="CG60" s="78"/>
      <c r="CH60" s="92">
        <f t="shared" si="49"/>
        <v>0</v>
      </c>
      <c r="CI60" s="93">
        <f t="shared" si="50"/>
        <v>0</v>
      </c>
      <c r="CJ60" s="94">
        <f t="shared" si="51"/>
        <v>0</v>
      </c>
      <c r="CL60" s="78">
        <f t="shared" si="52"/>
        <v>0</v>
      </c>
      <c r="CM60" s="78">
        <f t="shared" si="53"/>
        <v>0</v>
      </c>
      <c r="CN60" s="78">
        <f t="shared" si="54"/>
        <v>0</v>
      </c>
      <c r="CO60" s="78">
        <f t="shared" si="55"/>
        <v>0</v>
      </c>
    </row>
    <row r="61" spans="1:93" ht="13.5" thickBot="1">
      <c r="A61" s="95"/>
      <c r="B61" s="96"/>
      <c r="C61" s="97"/>
      <c r="D61" s="98"/>
      <c r="E61" s="99"/>
      <c r="F61" s="100"/>
      <c r="G61" s="100"/>
      <c r="H61" s="100"/>
      <c r="I61" s="100"/>
      <c r="J61" s="100"/>
      <c r="K61" s="101" t="str">
        <f t="shared" si="56"/>
        <v/>
      </c>
      <c r="L61" s="102"/>
      <c r="M61" s="103"/>
      <c r="N61" s="104"/>
      <c r="O61" s="105"/>
      <c r="P61" s="106">
        <f t="shared" si="57"/>
        <v>0</v>
      </c>
      <c r="Q61" s="106">
        <f t="shared" si="58"/>
        <v>0</v>
      </c>
      <c r="R61" s="106">
        <f t="shared" si="59"/>
        <v>0</v>
      </c>
      <c r="S61" s="106">
        <f t="shared" si="60"/>
        <v>0</v>
      </c>
      <c r="T61" s="107">
        <f t="shared" si="61"/>
        <v>0</v>
      </c>
      <c r="U61" s="78"/>
      <c r="AG61" s="108"/>
      <c r="AI61" s="78">
        <f t="shared" si="5"/>
        <v>0</v>
      </c>
      <c r="AJ61" s="78">
        <f t="shared" si="6"/>
        <v>0</v>
      </c>
      <c r="AK61" s="78">
        <f t="shared" si="7"/>
        <v>0</v>
      </c>
      <c r="AL61" s="78">
        <f t="shared" si="8"/>
        <v>0</v>
      </c>
      <c r="AM61" s="78">
        <f t="shared" si="9"/>
        <v>0</v>
      </c>
      <c r="AN61" s="78">
        <f t="shared" si="10"/>
        <v>0</v>
      </c>
      <c r="AO61" s="78">
        <f t="shared" si="11"/>
        <v>0</v>
      </c>
      <c r="AP61" s="78">
        <f t="shared" si="12"/>
        <v>0</v>
      </c>
      <c r="AQ61" s="78">
        <f t="shared" si="13"/>
        <v>0</v>
      </c>
      <c r="AR61" s="78">
        <f t="shared" si="14"/>
        <v>0</v>
      </c>
      <c r="AS61" s="90">
        <f t="shared" si="15"/>
        <v>0</v>
      </c>
      <c r="AT61" s="91">
        <f t="shared" si="16"/>
        <v>0</v>
      </c>
      <c r="AV61" s="91">
        <f t="shared" si="17"/>
        <v>0</v>
      </c>
      <c r="AW61" s="78">
        <f t="shared" si="18"/>
        <v>0</v>
      </c>
      <c r="AX61" s="78">
        <f t="shared" si="19"/>
        <v>0</v>
      </c>
      <c r="AY61" s="78"/>
      <c r="AZ61" s="78">
        <f t="shared" si="20"/>
        <v>0</v>
      </c>
      <c r="BA61" s="78">
        <f t="shared" si="21"/>
        <v>0</v>
      </c>
      <c r="BB61" s="78">
        <f t="shared" si="22"/>
        <v>0</v>
      </c>
      <c r="BC61" s="78">
        <f t="shared" si="23"/>
        <v>0</v>
      </c>
      <c r="BD61" s="78">
        <f t="shared" si="24"/>
        <v>0</v>
      </c>
      <c r="BE61" s="78">
        <f t="shared" si="25"/>
        <v>0</v>
      </c>
      <c r="BF61" s="78">
        <f t="shared" si="26"/>
        <v>0</v>
      </c>
      <c r="BG61" s="78">
        <f t="shared" si="27"/>
        <v>0</v>
      </c>
      <c r="BH61" s="78">
        <f t="shared" si="28"/>
        <v>0</v>
      </c>
      <c r="BI61" s="78"/>
      <c r="BJ61" s="91">
        <f t="shared" si="29"/>
        <v>0</v>
      </c>
      <c r="BK61" s="91">
        <f t="shared" si="30"/>
        <v>0</v>
      </c>
      <c r="BL61" s="78"/>
      <c r="BM61" s="78">
        <f t="shared" si="31"/>
        <v>0</v>
      </c>
      <c r="BN61" s="78">
        <f t="shared" si="32"/>
        <v>0</v>
      </c>
      <c r="BO61" s="78">
        <f t="shared" si="33"/>
        <v>0</v>
      </c>
      <c r="BP61" s="78">
        <f t="shared" si="34"/>
        <v>0</v>
      </c>
      <c r="BQ61" s="78">
        <f t="shared" si="35"/>
        <v>0</v>
      </c>
      <c r="BR61" s="78">
        <f t="shared" si="36"/>
        <v>0</v>
      </c>
      <c r="BS61" s="78">
        <f t="shared" si="37"/>
        <v>0</v>
      </c>
      <c r="BT61" s="78">
        <f t="shared" si="38"/>
        <v>0</v>
      </c>
      <c r="BU61" s="91">
        <f t="shared" si="39"/>
        <v>0</v>
      </c>
      <c r="BV61" s="91">
        <f t="shared" si="40"/>
        <v>0</v>
      </c>
      <c r="BW61" s="78"/>
      <c r="BX61" s="78"/>
      <c r="BY61" s="78">
        <f t="shared" si="41"/>
        <v>0</v>
      </c>
      <c r="BZ61" s="78">
        <f t="shared" si="42"/>
        <v>0</v>
      </c>
      <c r="CA61" s="78">
        <f t="shared" si="43"/>
        <v>0</v>
      </c>
      <c r="CB61" s="78">
        <f t="shared" si="44"/>
        <v>0</v>
      </c>
      <c r="CC61" s="78">
        <f t="shared" si="45"/>
        <v>0</v>
      </c>
      <c r="CD61" s="78">
        <f t="shared" si="46"/>
        <v>0</v>
      </c>
      <c r="CE61" s="78">
        <f t="shared" si="47"/>
        <v>0</v>
      </c>
      <c r="CF61" s="78">
        <f t="shared" si="48"/>
        <v>0</v>
      </c>
      <c r="CG61" s="78"/>
      <c r="CH61" s="92">
        <f t="shared" si="49"/>
        <v>0</v>
      </c>
      <c r="CI61" s="93">
        <f t="shared" si="50"/>
        <v>0</v>
      </c>
      <c r="CJ61" s="94">
        <f t="shared" si="51"/>
        <v>0</v>
      </c>
      <c r="CL61" s="78">
        <f t="shared" si="52"/>
        <v>0</v>
      </c>
      <c r="CM61" s="78">
        <f t="shared" si="53"/>
        <v>0</v>
      </c>
      <c r="CN61" s="78">
        <f t="shared" si="54"/>
        <v>0</v>
      </c>
      <c r="CO61" s="78">
        <f t="shared" si="55"/>
        <v>0</v>
      </c>
    </row>
    <row r="62" spans="1:93" ht="13.5" thickBot="1">
      <c r="A62" s="95"/>
      <c r="B62" s="96"/>
      <c r="C62" s="97"/>
      <c r="D62" s="98"/>
      <c r="E62" s="99"/>
      <c r="F62" s="100"/>
      <c r="G62" s="100"/>
      <c r="H62" s="100"/>
      <c r="I62" s="100"/>
      <c r="J62" s="100"/>
      <c r="K62" s="101" t="str">
        <f t="shared" si="56"/>
        <v/>
      </c>
      <c r="L62" s="102"/>
      <c r="M62" s="103"/>
      <c r="N62" s="104"/>
      <c r="O62" s="105"/>
      <c r="P62" s="106">
        <f t="shared" si="57"/>
        <v>0</v>
      </c>
      <c r="Q62" s="106">
        <f t="shared" si="58"/>
        <v>0</v>
      </c>
      <c r="R62" s="106">
        <f t="shared" si="59"/>
        <v>0</v>
      </c>
      <c r="S62" s="106">
        <f t="shared" si="60"/>
        <v>0</v>
      </c>
      <c r="T62" s="107">
        <f t="shared" si="61"/>
        <v>0</v>
      </c>
      <c r="U62" s="78"/>
      <c r="AG62" s="108"/>
      <c r="AI62" s="78">
        <f t="shared" si="5"/>
        <v>0</v>
      </c>
      <c r="AJ62" s="78">
        <f t="shared" si="6"/>
        <v>0</v>
      </c>
      <c r="AK62" s="78">
        <f t="shared" si="7"/>
        <v>0</v>
      </c>
      <c r="AL62" s="78">
        <f t="shared" si="8"/>
        <v>0</v>
      </c>
      <c r="AM62" s="78">
        <f t="shared" si="9"/>
        <v>0</v>
      </c>
      <c r="AN62" s="78">
        <f t="shared" si="10"/>
        <v>0</v>
      </c>
      <c r="AO62" s="78">
        <f t="shared" si="11"/>
        <v>0</v>
      </c>
      <c r="AP62" s="78">
        <f t="shared" si="12"/>
        <v>0</v>
      </c>
      <c r="AQ62" s="78">
        <f t="shared" si="13"/>
        <v>0</v>
      </c>
      <c r="AR62" s="78">
        <f t="shared" si="14"/>
        <v>0</v>
      </c>
      <c r="AS62" s="90">
        <f t="shared" si="15"/>
        <v>0</v>
      </c>
      <c r="AT62" s="91">
        <f t="shared" si="16"/>
        <v>0</v>
      </c>
      <c r="AV62" s="91">
        <f t="shared" si="17"/>
        <v>0</v>
      </c>
      <c r="AW62" s="78">
        <f t="shared" si="18"/>
        <v>0</v>
      </c>
      <c r="AX62" s="78">
        <f t="shared" si="19"/>
        <v>0</v>
      </c>
      <c r="AY62" s="78"/>
      <c r="AZ62" s="78">
        <f t="shared" si="20"/>
        <v>0</v>
      </c>
      <c r="BA62" s="78">
        <f t="shared" si="21"/>
        <v>0</v>
      </c>
      <c r="BB62" s="78">
        <f t="shared" si="22"/>
        <v>0</v>
      </c>
      <c r="BC62" s="78">
        <f t="shared" si="23"/>
        <v>0</v>
      </c>
      <c r="BD62" s="78">
        <f t="shared" si="24"/>
        <v>0</v>
      </c>
      <c r="BE62" s="78">
        <f t="shared" si="25"/>
        <v>0</v>
      </c>
      <c r="BF62" s="78">
        <f t="shared" si="26"/>
        <v>0</v>
      </c>
      <c r="BG62" s="78">
        <f t="shared" si="27"/>
        <v>0</v>
      </c>
      <c r="BH62" s="78">
        <f t="shared" si="28"/>
        <v>0</v>
      </c>
      <c r="BI62" s="78"/>
      <c r="BJ62" s="91">
        <f t="shared" si="29"/>
        <v>0</v>
      </c>
      <c r="BK62" s="91">
        <f t="shared" si="30"/>
        <v>0</v>
      </c>
      <c r="BL62" s="78"/>
      <c r="BM62" s="78">
        <f t="shared" si="31"/>
        <v>0</v>
      </c>
      <c r="BN62" s="78">
        <f t="shared" si="32"/>
        <v>0</v>
      </c>
      <c r="BO62" s="78">
        <f t="shared" si="33"/>
        <v>0</v>
      </c>
      <c r="BP62" s="78">
        <f t="shared" si="34"/>
        <v>0</v>
      </c>
      <c r="BQ62" s="78">
        <f t="shared" si="35"/>
        <v>0</v>
      </c>
      <c r="BR62" s="78">
        <f t="shared" si="36"/>
        <v>0</v>
      </c>
      <c r="BS62" s="78">
        <f t="shared" si="37"/>
        <v>0</v>
      </c>
      <c r="BT62" s="78">
        <f t="shared" si="38"/>
        <v>0</v>
      </c>
      <c r="BU62" s="91">
        <f t="shared" si="39"/>
        <v>0</v>
      </c>
      <c r="BV62" s="91">
        <f t="shared" si="40"/>
        <v>0</v>
      </c>
      <c r="BW62" s="78"/>
      <c r="BX62" s="78"/>
      <c r="BY62" s="78">
        <f t="shared" si="41"/>
        <v>0</v>
      </c>
      <c r="BZ62" s="78">
        <f t="shared" si="42"/>
        <v>0</v>
      </c>
      <c r="CA62" s="78">
        <f t="shared" si="43"/>
        <v>0</v>
      </c>
      <c r="CB62" s="78">
        <f t="shared" si="44"/>
        <v>0</v>
      </c>
      <c r="CC62" s="78">
        <f t="shared" si="45"/>
        <v>0</v>
      </c>
      <c r="CD62" s="78">
        <f t="shared" si="46"/>
        <v>0</v>
      </c>
      <c r="CE62" s="78">
        <f t="shared" si="47"/>
        <v>0</v>
      </c>
      <c r="CF62" s="78">
        <f t="shared" si="48"/>
        <v>0</v>
      </c>
      <c r="CG62" s="78"/>
      <c r="CH62" s="92">
        <f t="shared" si="49"/>
        <v>0</v>
      </c>
      <c r="CI62" s="93">
        <f t="shared" si="50"/>
        <v>0</v>
      </c>
      <c r="CJ62" s="94">
        <f t="shared" si="51"/>
        <v>0</v>
      </c>
      <c r="CL62" s="78">
        <f t="shared" si="52"/>
        <v>0</v>
      </c>
      <c r="CM62" s="78">
        <f t="shared" si="53"/>
        <v>0</v>
      </c>
      <c r="CN62" s="78">
        <f t="shared" si="54"/>
        <v>0</v>
      </c>
      <c r="CO62" s="78">
        <f t="shared" si="55"/>
        <v>0</v>
      </c>
    </row>
    <row r="63" spans="1:93" ht="13.5" thickBot="1">
      <c r="A63" s="95"/>
      <c r="B63" s="96"/>
      <c r="C63" s="97"/>
      <c r="D63" s="98"/>
      <c r="E63" s="99"/>
      <c r="F63" s="100"/>
      <c r="G63" s="100"/>
      <c r="H63" s="100"/>
      <c r="I63" s="100"/>
      <c r="J63" s="100"/>
      <c r="K63" s="101" t="str">
        <f t="shared" si="56"/>
        <v/>
      </c>
      <c r="L63" s="102"/>
      <c r="M63" s="103"/>
      <c r="N63" s="104"/>
      <c r="O63" s="105"/>
      <c r="P63" s="106">
        <f t="shared" si="57"/>
        <v>0</v>
      </c>
      <c r="Q63" s="106">
        <f t="shared" si="58"/>
        <v>0</v>
      </c>
      <c r="R63" s="106">
        <f t="shared" si="59"/>
        <v>0</v>
      </c>
      <c r="S63" s="106">
        <f t="shared" si="60"/>
        <v>0</v>
      </c>
      <c r="T63" s="107">
        <f t="shared" si="61"/>
        <v>0</v>
      </c>
      <c r="U63" s="78"/>
      <c r="AG63" s="108"/>
      <c r="AI63" s="78">
        <f t="shared" si="5"/>
        <v>0</v>
      </c>
      <c r="AJ63" s="78">
        <f t="shared" si="6"/>
        <v>0</v>
      </c>
      <c r="AK63" s="78">
        <f t="shared" si="7"/>
        <v>0</v>
      </c>
      <c r="AL63" s="78">
        <f t="shared" si="8"/>
        <v>0</v>
      </c>
      <c r="AM63" s="78">
        <f t="shared" si="9"/>
        <v>0</v>
      </c>
      <c r="AN63" s="78">
        <f t="shared" si="10"/>
        <v>0</v>
      </c>
      <c r="AO63" s="78">
        <f t="shared" si="11"/>
        <v>0</v>
      </c>
      <c r="AP63" s="78">
        <f t="shared" si="12"/>
        <v>0</v>
      </c>
      <c r="AQ63" s="78">
        <f t="shared" si="13"/>
        <v>0</v>
      </c>
      <c r="AR63" s="78">
        <f t="shared" si="14"/>
        <v>0</v>
      </c>
      <c r="AS63" s="90">
        <f t="shared" si="15"/>
        <v>0</v>
      </c>
      <c r="AT63" s="91">
        <f t="shared" si="16"/>
        <v>0</v>
      </c>
      <c r="AV63" s="91">
        <f t="shared" si="17"/>
        <v>0</v>
      </c>
      <c r="AW63" s="78">
        <f t="shared" si="18"/>
        <v>0</v>
      </c>
      <c r="AX63" s="78">
        <f t="shared" si="19"/>
        <v>0</v>
      </c>
      <c r="AY63" s="78"/>
      <c r="AZ63" s="78">
        <f t="shared" si="20"/>
        <v>0</v>
      </c>
      <c r="BA63" s="78">
        <f t="shared" si="21"/>
        <v>0</v>
      </c>
      <c r="BB63" s="78">
        <f t="shared" si="22"/>
        <v>0</v>
      </c>
      <c r="BC63" s="78">
        <f t="shared" si="23"/>
        <v>0</v>
      </c>
      <c r="BD63" s="78">
        <f t="shared" si="24"/>
        <v>0</v>
      </c>
      <c r="BE63" s="78">
        <f t="shared" si="25"/>
        <v>0</v>
      </c>
      <c r="BF63" s="78">
        <f t="shared" si="26"/>
        <v>0</v>
      </c>
      <c r="BG63" s="78">
        <f t="shared" si="27"/>
        <v>0</v>
      </c>
      <c r="BH63" s="78">
        <f t="shared" si="28"/>
        <v>0</v>
      </c>
      <c r="BI63" s="78"/>
      <c r="BJ63" s="91">
        <f t="shared" si="29"/>
        <v>0</v>
      </c>
      <c r="BK63" s="91">
        <f t="shared" si="30"/>
        <v>0</v>
      </c>
      <c r="BL63" s="78"/>
      <c r="BM63" s="78">
        <f t="shared" si="31"/>
        <v>0</v>
      </c>
      <c r="BN63" s="78">
        <f t="shared" si="32"/>
        <v>0</v>
      </c>
      <c r="BO63" s="78">
        <f t="shared" si="33"/>
        <v>0</v>
      </c>
      <c r="BP63" s="78">
        <f t="shared" si="34"/>
        <v>0</v>
      </c>
      <c r="BQ63" s="78">
        <f t="shared" si="35"/>
        <v>0</v>
      </c>
      <c r="BR63" s="78">
        <f t="shared" si="36"/>
        <v>0</v>
      </c>
      <c r="BS63" s="78">
        <f t="shared" si="37"/>
        <v>0</v>
      </c>
      <c r="BT63" s="78">
        <f t="shared" si="38"/>
        <v>0</v>
      </c>
      <c r="BU63" s="91">
        <f t="shared" si="39"/>
        <v>0</v>
      </c>
      <c r="BV63" s="91">
        <f t="shared" si="40"/>
        <v>0</v>
      </c>
      <c r="BW63" s="78"/>
      <c r="BX63" s="78"/>
      <c r="BY63" s="78">
        <f t="shared" si="41"/>
        <v>0</v>
      </c>
      <c r="BZ63" s="78">
        <f t="shared" si="42"/>
        <v>0</v>
      </c>
      <c r="CA63" s="78">
        <f t="shared" si="43"/>
        <v>0</v>
      </c>
      <c r="CB63" s="78">
        <f t="shared" si="44"/>
        <v>0</v>
      </c>
      <c r="CC63" s="78">
        <f t="shared" si="45"/>
        <v>0</v>
      </c>
      <c r="CD63" s="78">
        <f t="shared" si="46"/>
        <v>0</v>
      </c>
      <c r="CE63" s="78">
        <f t="shared" si="47"/>
        <v>0</v>
      </c>
      <c r="CF63" s="78">
        <f t="shared" si="48"/>
        <v>0</v>
      </c>
      <c r="CG63" s="78"/>
      <c r="CH63" s="92">
        <f t="shared" si="49"/>
        <v>0</v>
      </c>
      <c r="CI63" s="93">
        <f t="shared" si="50"/>
        <v>0</v>
      </c>
      <c r="CJ63" s="94">
        <f t="shared" si="51"/>
        <v>0</v>
      </c>
      <c r="CL63" s="78">
        <f t="shared" si="52"/>
        <v>0</v>
      </c>
      <c r="CM63" s="78">
        <f t="shared" si="53"/>
        <v>0</v>
      </c>
      <c r="CN63" s="78">
        <f t="shared" si="54"/>
        <v>0</v>
      </c>
      <c r="CO63" s="78">
        <f t="shared" si="55"/>
        <v>0</v>
      </c>
    </row>
    <row r="64" spans="1:93" ht="13.5" thickBot="1">
      <c r="A64" s="95"/>
      <c r="B64" s="96"/>
      <c r="C64" s="97"/>
      <c r="D64" s="98"/>
      <c r="E64" s="99"/>
      <c r="F64" s="100"/>
      <c r="G64" s="100"/>
      <c r="H64" s="100"/>
      <c r="I64" s="100"/>
      <c r="J64" s="100"/>
      <c r="K64" s="101" t="str">
        <f t="shared" si="56"/>
        <v/>
      </c>
      <c r="L64" s="102"/>
      <c r="M64" s="103"/>
      <c r="N64" s="104"/>
      <c r="O64" s="105"/>
      <c r="P64" s="106">
        <f t="shared" si="57"/>
        <v>0</v>
      </c>
      <c r="Q64" s="106">
        <f t="shared" si="58"/>
        <v>0</v>
      </c>
      <c r="R64" s="106">
        <f t="shared" si="59"/>
        <v>0</v>
      </c>
      <c r="S64" s="106">
        <f t="shared" si="60"/>
        <v>0</v>
      </c>
      <c r="T64" s="107">
        <f t="shared" si="61"/>
        <v>0</v>
      </c>
      <c r="U64" s="78"/>
      <c r="AG64" s="108"/>
      <c r="AI64" s="78">
        <f t="shared" si="5"/>
        <v>0</v>
      </c>
      <c r="AJ64" s="78">
        <f t="shared" si="6"/>
        <v>0</v>
      </c>
      <c r="AK64" s="78">
        <f t="shared" si="7"/>
        <v>0</v>
      </c>
      <c r="AL64" s="78">
        <f t="shared" si="8"/>
        <v>0</v>
      </c>
      <c r="AM64" s="78">
        <f t="shared" si="9"/>
        <v>0</v>
      </c>
      <c r="AN64" s="78">
        <f t="shared" si="10"/>
        <v>0</v>
      </c>
      <c r="AO64" s="78">
        <f t="shared" si="11"/>
        <v>0</v>
      </c>
      <c r="AP64" s="78">
        <f t="shared" si="12"/>
        <v>0</v>
      </c>
      <c r="AQ64" s="78">
        <f t="shared" si="13"/>
        <v>0</v>
      </c>
      <c r="AR64" s="78">
        <f t="shared" si="14"/>
        <v>0</v>
      </c>
      <c r="AS64" s="90">
        <f t="shared" si="15"/>
        <v>0</v>
      </c>
      <c r="AT64" s="91">
        <f t="shared" si="16"/>
        <v>0</v>
      </c>
      <c r="AV64" s="91">
        <f t="shared" si="17"/>
        <v>0</v>
      </c>
      <c r="AW64" s="78">
        <f t="shared" si="18"/>
        <v>0</v>
      </c>
      <c r="AX64" s="78">
        <f t="shared" si="19"/>
        <v>0</v>
      </c>
      <c r="AY64" s="78"/>
      <c r="AZ64" s="78">
        <f t="shared" si="20"/>
        <v>0</v>
      </c>
      <c r="BA64" s="78">
        <f t="shared" si="21"/>
        <v>0</v>
      </c>
      <c r="BB64" s="78">
        <f t="shared" si="22"/>
        <v>0</v>
      </c>
      <c r="BC64" s="78">
        <f t="shared" si="23"/>
        <v>0</v>
      </c>
      <c r="BD64" s="78">
        <f t="shared" si="24"/>
        <v>0</v>
      </c>
      <c r="BE64" s="78">
        <f t="shared" si="25"/>
        <v>0</v>
      </c>
      <c r="BF64" s="78">
        <f t="shared" si="26"/>
        <v>0</v>
      </c>
      <c r="BG64" s="78">
        <f t="shared" si="27"/>
        <v>0</v>
      </c>
      <c r="BH64" s="78">
        <f t="shared" si="28"/>
        <v>0</v>
      </c>
      <c r="BI64" s="78"/>
      <c r="BJ64" s="91">
        <f t="shared" si="29"/>
        <v>0</v>
      </c>
      <c r="BK64" s="91">
        <f t="shared" si="30"/>
        <v>0</v>
      </c>
      <c r="BL64" s="78"/>
      <c r="BM64" s="78">
        <f t="shared" si="31"/>
        <v>0</v>
      </c>
      <c r="BN64" s="78">
        <f t="shared" si="32"/>
        <v>0</v>
      </c>
      <c r="BO64" s="78">
        <f t="shared" si="33"/>
        <v>0</v>
      </c>
      <c r="BP64" s="78">
        <f t="shared" si="34"/>
        <v>0</v>
      </c>
      <c r="BQ64" s="78">
        <f t="shared" si="35"/>
        <v>0</v>
      </c>
      <c r="BR64" s="78">
        <f t="shared" si="36"/>
        <v>0</v>
      </c>
      <c r="BS64" s="78">
        <f t="shared" si="37"/>
        <v>0</v>
      </c>
      <c r="BT64" s="78">
        <f t="shared" si="38"/>
        <v>0</v>
      </c>
      <c r="BU64" s="91">
        <f t="shared" si="39"/>
        <v>0</v>
      </c>
      <c r="BV64" s="91">
        <f t="shared" si="40"/>
        <v>0</v>
      </c>
      <c r="BW64" s="78"/>
      <c r="BX64" s="78"/>
      <c r="BY64" s="78">
        <f t="shared" si="41"/>
        <v>0</v>
      </c>
      <c r="BZ64" s="78">
        <f t="shared" si="42"/>
        <v>0</v>
      </c>
      <c r="CA64" s="78">
        <f t="shared" si="43"/>
        <v>0</v>
      </c>
      <c r="CB64" s="78">
        <f t="shared" si="44"/>
        <v>0</v>
      </c>
      <c r="CC64" s="78">
        <f t="shared" si="45"/>
        <v>0</v>
      </c>
      <c r="CD64" s="78">
        <f t="shared" si="46"/>
        <v>0</v>
      </c>
      <c r="CE64" s="78">
        <f t="shared" si="47"/>
        <v>0</v>
      </c>
      <c r="CF64" s="78">
        <f t="shared" si="48"/>
        <v>0</v>
      </c>
      <c r="CG64" s="78"/>
      <c r="CH64" s="92">
        <f t="shared" si="49"/>
        <v>0</v>
      </c>
      <c r="CI64" s="93">
        <f t="shared" si="50"/>
        <v>0</v>
      </c>
      <c r="CJ64" s="94">
        <f t="shared" si="51"/>
        <v>0</v>
      </c>
      <c r="CL64" s="78">
        <f t="shared" si="52"/>
        <v>0</v>
      </c>
      <c r="CM64" s="78">
        <f t="shared" si="53"/>
        <v>0</v>
      </c>
      <c r="CN64" s="78">
        <f t="shared" si="54"/>
        <v>0</v>
      </c>
      <c r="CO64" s="78">
        <f t="shared" si="55"/>
        <v>0</v>
      </c>
    </row>
    <row r="65" spans="1:93" ht="13.5" thickBot="1">
      <c r="A65" s="95"/>
      <c r="B65" s="96"/>
      <c r="C65" s="97"/>
      <c r="D65" s="98"/>
      <c r="E65" s="99"/>
      <c r="F65" s="100"/>
      <c r="G65" s="100"/>
      <c r="H65" s="100"/>
      <c r="I65" s="100"/>
      <c r="J65" s="100"/>
      <c r="K65" s="101" t="str">
        <f t="shared" si="56"/>
        <v/>
      </c>
      <c r="L65" s="102"/>
      <c r="M65" s="103"/>
      <c r="N65" s="104"/>
      <c r="O65" s="105"/>
      <c r="P65" s="106">
        <f t="shared" si="57"/>
        <v>0</v>
      </c>
      <c r="Q65" s="106">
        <f t="shared" si="58"/>
        <v>0</v>
      </c>
      <c r="R65" s="106">
        <f t="shared" si="59"/>
        <v>0</v>
      </c>
      <c r="S65" s="106">
        <f t="shared" si="60"/>
        <v>0</v>
      </c>
      <c r="T65" s="107">
        <f t="shared" si="61"/>
        <v>0</v>
      </c>
      <c r="U65" s="78"/>
      <c r="AG65" s="108"/>
      <c r="AI65" s="78">
        <f t="shared" si="5"/>
        <v>0</v>
      </c>
      <c r="AJ65" s="78">
        <f t="shared" si="6"/>
        <v>0</v>
      </c>
      <c r="AK65" s="78">
        <f t="shared" si="7"/>
        <v>0</v>
      </c>
      <c r="AL65" s="78">
        <f t="shared" si="8"/>
        <v>0</v>
      </c>
      <c r="AM65" s="78">
        <f t="shared" si="9"/>
        <v>0</v>
      </c>
      <c r="AN65" s="78">
        <f t="shared" si="10"/>
        <v>0</v>
      </c>
      <c r="AO65" s="78">
        <f t="shared" si="11"/>
        <v>0</v>
      </c>
      <c r="AP65" s="78">
        <f t="shared" si="12"/>
        <v>0</v>
      </c>
      <c r="AQ65" s="78">
        <f t="shared" si="13"/>
        <v>0</v>
      </c>
      <c r="AR65" s="78">
        <f t="shared" si="14"/>
        <v>0</v>
      </c>
      <c r="AS65" s="90">
        <f t="shared" si="15"/>
        <v>0</v>
      </c>
      <c r="AT65" s="91">
        <f t="shared" si="16"/>
        <v>0</v>
      </c>
      <c r="AV65" s="91">
        <f t="shared" si="17"/>
        <v>0</v>
      </c>
      <c r="AW65" s="78">
        <f t="shared" si="18"/>
        <v>0</v>
      </c>
      <c r="AX65" s="78">
        <f t="shared" si="19"/>
        <v>0</v>
      </c>
      <c r="AY65" s="78"/>
      <c r="AZ65" s="78">
        <f t="shared" si="20"/>
        <v>0</v>
      </c>
      <c r="BA65" s="78">
        <f t="shared" si="21"/>
        <v>0</v>
      </c>
      <c r="BB65" s="78">
        <f t="shared" si="22"/>
        <v>0</v>
      </c>
      <c r="BC65" s="78">
        <f t="shared" si="23"/>
        <v>0</v>
      </c>
      <c r="BD65" s="78">
        <f t="shared" si="24"/>
        <v>0</v>
      </c>
      <c r="BE65" s="78">
        <f t="shared" si="25"/>
        <v>0</v>
      </c>
      <c r="BF65" s="78">
        <f t="shared" si="26"/>
        <v>0</v>
      </c>
      <c r="BG65" s="78">
        <f t="shared" si="27"/>
        <v>0</v>
      </c>
      <c r="BH65" s="78">
        <f t="shared" si="28"/>
        <v>0</v>
      </c>
      <c r="BI65" s="78"/>
      <c r="BJ65" s="91">
        <f t="shared" si="29"/>
        <v>0</v>
      </c>
      <c r="BK65" s="91">
        <f t="shared" si="30"/>
        <v>0</v>
      </c>
      <c r="BL65" s="78"/>
      <c r="BM65" s="78">
        <f t="shared" si="31"/>
        <v>0</v>
      </c>
      <c r="BN65" s="78">
        <f t="shared" si="32"/>
        <v>0</v>
      </c>
      <c r="BO65" s="78">
        <f t="shared" si="33"/>
        <v>0</v>
      </c>
      <c r="BP65" s="78">
        <f t="shared" si="34"/>
        <v>0</v>
      </c>
      <c r="BQ65" s="78">
        <f t="shared" si="35"/>
        <v>0</v>
      </c>
      <c r="BR65" s="78">
        <f t="shared" si="36"/>
        <v>0</v>
      </c>
      <c r="BS65" s="78">
        <f t="shared" si="37"/>
        <v>0</v>
      </c>
      <c r="BT65" s="78">
        <f t="shared" si="38"/>
        <v>0</v>
      </c>
      <c r="BU65" s="91">
        <f t="shared" si="39"/>
        <v>0</v>
      </c>
      <c r="BV65" s="91">
        <f t="shared" si="40"/>
        <v>0</v>
      </c>
      <c r="BW65" s="78"/>
      <c r="BX65" s="78"/>
      <c r="BY65" s="78">
        <f t="shared" si="41"/>
        <v>0</v>
      </c>
      <c r="BZ65" s="78">
        <f t="shared" si="42"/>
        <v>0</v>
      </c>
      <c r="CA65" s="78">
        <f t="shared" si="43"/>
        <v>0</v>
      </c>
      <c r="CB65" s="78">
        <f t="shared" si="44"/>
        <v>0</v>
      </c>
      <c r="CC65" s="78">
        <f t="shared" si="45"/>
        <v>0</v>
      </c>
      <c r="CD65" s="78">
        <f t="shared" si="46"/>
        <v>0</v>
      </c>
      <c r="CE65" s="78">
        <f t="shared" si="47"/>
        <v>0</v>
      </c>
      <c r="CF65" s="78">
        <f t="shared" si="48"/>
        <v>0</v>
      </c>
      <c r="CG65" s="78"/>
      <c r="CH65" s="92">
        <f t="shared" si="49"/>
        <v>0</v>
      </c>
      <c r="CI65" s="93">
        <f t="shared" si="50"/>
        <v>0</v>
      </c>
      <c r="CJ65" s="94">
        <f t="shared" si="51"/>
        <v>0</v>
      </c>
      <c r="CL65" s="78">
        <f t="shared" si="52"/>
        <v>0</v>
      </c>
      <c r="CM65" s="78">
        <f t="shared" si="53"/>
        <v>0</v>
      </c>
      <c r="CN65" s="78">
        <f t="shared" si="54"/>
        <v>0</v>
      </c>
      <c r="CO65" s="78">
        <f t="shared" si="55"/>
        <v>0</v>
      </c>
    </row>
    <row r="66" spans="1:93" ht="13.5" thickBot="1">
      <c r="A66" s="95"/>
      <c r="B66" s="96"/>
      <c r="C66" s="97"/>
      <c r="D66" s="98"/>
      <c r="E66" s="99"/>
      <c r="F66" s="100"/>
      <c r="G66" s="100"/>
      <c r="H66" s="100"/>
      <c r="I66" s="100"/>
      <c r="J66" s="100"/>
      <c r="K66" s="101" t="str">
        <f t="shared" si="56"/>
        <v/>
      </c>
      <c r="L66" s="102"/>
      <c r="M66" s="103"/>
      <c r="N66" s="104"/>
      <c r="O66" s="105"/>
      <c r="P66" s="106">
        <f t="shared" si="57"/>
        <v>0</v>
      </c>
      <c r="Q66" s="106">
        <f t="shared" si="58"/>
        <v>0</v>
      </c>
      <c r="R66" s="106">
        <f t="shared" si="59"/>
        <v>0</v>
      </c>
      <c r="S66" s="106">
        <f t="shared" si="60"/>
        <v>0</v>
      </c>
      <c r="T66" s="107">
        <f t="shared" si="61"/>
        <v>0</v>
      </c>
      <c r="U66" s="78"/>
      <c r="AG66" s="108"/>
      <c r="AI66" s="78">
        <f t="shared" si="5"/>
        <v>0</v>
      </c>
      <c r="AJ66" s="78">
        <f t="shared" si="6"/>
        <v>0</v>
      </c>
      <c r="AK66" s="78">
        <f t="shared" si="7"/>
        <v>0</v>
      </c>
      <c r="AL66" s="78">
        <f t="shared" si="8"/>
        <v>0</v>
      </c>
      <c r="AM66" s="78">
        <f t="shared" si="9"/>
        <v>0</v>
      </c>
      <c r="AN66" s="78">
        <f t="shared" si="10"/>
        <v>0</v>
      </c>
      <c r="AO66" s="78">
        <f t="shared" si="11"/>
        <v>0</v>
      </c>
      <c r="AP66" s="78">
        <f t="shared" si="12"/>
        <v>0</v>
      </c>
      <c r="AQ66" s="78">
        <f t="shared" si="13"/>
        <v>0</v>
      </c>
      <c r="AR66" s="78">
        <f t="shared" si="14"/>
        <v>0</v>
      </c>
      <c r="AS66" s="90">
        <f t="shared" si="15"/>
        <v>0</v>
      </c>
      <c r="AT66" s="91">
        <f t="shared" si="16"/>
        <v>0</v>
      </c>
      <c r="AV66" s="91">
        <f t="shared" si="17"/>
        <v>0</v>
      </c>
      <c r="AW66" s="78">
        <f t="shared" si="18"/>
        <v>0</v>
      </c>
      <c r="AX66" s="78">
        <f t="shared" si="19"/>
        <v>0</v>
      </c>
      <c r="AY66" s="78"/>
      <c r="AZ66" s="78">
        <f t="shared" si="20"/>
        <v>0</v>
      </c>
      <c r="BA66" s="78">
        <f t="shared" si="21"/>
        <v>0</v>
      </c>
      <c r="BB66" s="78">
        <f t="shared" si="22"/>
        <v>0</v>
      </c>
      <c r="BC66" s="78">
        <f t="shared" si="23"/>
        <v>0</v>
      </c>
      <c r="BD66" s="78">
        <f t="shared" si="24"/>
        <v>0</v>
      </c>
      <c r="BE66" s="78">
        <f t="shared" si="25"/>
        <v>0</v>
      </c>
      <c r="BF66" s="78">
        <f t="shared" si="26"/>
        <v>0</v>
      </c>
      <c r="BG66" s="78">
        <f t="shared" si="27"/>
        <v>0</v>
      </c>
      <c r="BH66" s="78">
        <f t="shared" si="28"/>
        <v>0</v>
      </c>
      <c r="BI66" s="78"/>
      <c r="BJ66" s="91">
        <f t="shared" si="29"/>
        <v>0</v>
      </c>
      <c r="BK66" s="91">
        <f t="shared" si="30"/>
        <v>0</v>
      </c>
      <c r="BL66" s="78"/>
      <c r="BM66" s="78">
        <f t="shared" si="31"/>
        <v>0</v>
      </c>
      <c r="BN66" s="78">
        <f t="shared" si="32"/>
        <v>0</v>
      </c>
      <c r="BO66" s="78">
        <f t="shared" si="33"/>
        <v>0</v>
      </c>
      <c r="BP66" s="78">
        <f t="shared" si="34"/>
        <v>0</v>
      </c>
      <c r="BQ66" s="78">
        <f t="shared" si="35"/>
        <v>0</v>
      </c>
      <c r="BR66" s="78">
        <f t="shared" si="36"/>
        <v>0</v>
      </c>
      <c r="BS66" s="78">
        <f t="shared" si="37"/>
        <v>0</v>
      </c>
      <c r="BT66" s="78">
        <f t="shared" si="38"/>
        <v>0</v>
      </c>
      <c r="BU66" s="91">
        <f t="shared" si="39"/>
        <v>0</v>
      </c>
      <c r="BV66" s="91">
        <f t="shared" si="40"/>
        <v>0</v>
      </c>
      <c r="BW66" s="78"/>
      <c r="BX66" s="78"/>
      <c r="BY66" s="78">
        <f t="shared" si="41"/>
        <v>0</v>
      </c>
      <c r="BZ66" s="78">
        <f t="shared" si="42"/>
        <v>0</v>
      </c>
      <c r="CA66" s="78">
        <f t="shared" si="43"/>
        <v>0</v>
      </c>
      <c r="CB66" s="78">
        <f t="shared" si="44"/>
        <v>0</v>
      </c>
      <c r="CC66" s="78">
        <f t="shared" si="45"/>
        <v>0</v>
      </c>
      <c r="CD66" s="78">
        <f t="shared" si="46"/>
        <v>0</v>
      </c>
      <c r="CE66" s="78">
        <f t="shared" si="47"/>
        <v>0</v>
      </c>
      <c r="CF66" s="78">
        <f t="shared" si="48"/>
        <v>0</v>
      </c>
      <c r="CG66" s="78"/>
      <c r="CH66" s="92">
        <f t="shared" si="49"/>
        <v>0</v>
      </c>
      <c r="CI66" s="93">
        <f t="shared" si="50"/>
        <v>0</v>
      </c>
      <c r="CJ66" s="94">
        <f t="shared" si="51"/>
        <v>0</v>
      </c>
      <c r="CL66" s="78">
        <f t="shared" si="52"/>
        <v>0</v>
      </c>
      <c r="CM66" s="78">
        <f t="shared" si="53"/>
        <v>0</v>
      </c>
      <c r="CN66" s="78">
        <f t="shared" si="54"/>
        <v>0</v>
      </c>
      <c r="CO66" s="78">
        <f t="shared" si="55"/>
        <v>0</v>
      </c>
    </row>
    <row r="67" spans="1:93" ht="13.5" thickBot="1">
      <c r="A67" s="95"/>
      <c r="B67" s="96"/>
      <c r="C67" s="97"/>
      <c r="D67" s="98"/>
      <c r="E67" s="99"/>
      <c r="F67" s="100"/>
      <c r="G67" s="100"/>
      <c r="H67" s="100"/>
      <c r="I67" s="100"/>
      <c r="J67" s="100"/>
      <c r="K67" s="101" t="str">
        <f t="shared" si="56"/>
        <v/>
      </c>
      <c r="L67" s="102"/>
      <c r="M67" s="103"/>
      <c r="N67" s="104"/>
      <c r="O67" s="105"/>
      <c r="P67" s="106">
        <f t="shared" si="57"/>
        <v>0</v>
      </c>
      <c r="Q67" s="106">
        <f t="shared" si="58"/>
        <v>0</v>
      </c>
      <c r="R67" s="106">
        <f t="shared" si="59"/>
        <v>0</v>
      </c>
      <c r="S67" s="106">
        <f t="shared" si="60"/>
        <v>0</v>
      </c>
      <c r="T67" s="107">
        <f t="shared" si="61"/>
        <v>0</v>
      </c>
      <c r="U67" s="78"/>
      <c r="AG67" s="108"/>
      <c r="AI67" s="78">
        <f t="shared" si="5"/>
        <v>0</v>
      </c>
      <c r="AJ67" s="78">
        <f t="shared" si="6"/>
        <v>0</v>
      </c>
      <c r="AK67" s="78">
        <f t="shared" si="7"/>
        <v>0</v>
      </c>
      <c r="AL67" s="78">
        <f t="shared" si="8"/>
        <v>0</v>
      </c>
      <c r="AM67" s="78">
        <f t="shared" si="9"/>
        <v>0</v>
      </c>
      <c r="AN67" s="78">
        <f t="shared" si="10"/>
        <v>0</v>
      </c>
      <c r="AO67" s="78">
        <f t="shared" si="11"/>
        <v>0</v>
      </c>
      <c r="AP67" s="78">
        <f t="shared" si="12"/>
        <v>0</v>
      </c>
      <c r="AQ67" s="78">
        <f t="shared" si="13"/>
        <v>0</v>
      </c>
      <c r="AR67" s="78">
        <f t="shared" si="14"/>
        <v>0</v>
      </c>
      <c r="AS67" s="90">
        <f t="shared" si="15"/>
        <v>0</v>
      </c>
      <c r="AT67" s="91">
        <f t="shared" si="16"/>
        <v>0</v>
      </c>
      <c r="AV67" s="91">
        <f t="shared" si="17"/>
        <v>0</v>
      </c>
      <c r="AW67" s="78">
        <f t="shared" si="18"/>
        <v>0</v>
      </c>
      <c r="AX67" s="78">
        <f t="shared" si="19"/>
        <v>0</v>
      </c>
      <c r="AY67" s="78"/>
      <c r="AZ67" s="78">
        <f t="shared" si="20"/>
        <v>0</v>
      </c>
      <c r="BA67" s="78">
        <f t="shared" si="21"/>
        <v>0</v>
      </c>
      <c r="BB67" s="78">
        <f t="shared" si="22"/>
        <v>0</v>
      </c>
      <c r="BC67" s="78">
        <f t="shared" si="23"/>
        <v>0</v>
      </c>
      <c r="BD67" s="78">
        <f t="shared" si="24"/>
        <v>0</v>
      </c>
      <c r="BE67" s="78">
        <f t="shared" si="25"/>
        <v>0</v>
      </c>
      <c r="BF67" s="78">
        <f t="shared" si="26"/>
        <v>0</v>
      </c>
      <c r="BG67" s="78">
        <f t="shared" si="27"/>
        <v>0</v>
      </c>
      <c r="BH67" s="78">
        <f t="shared" si="28"/>
        <v>0</v>
      </c>
      <c r="BI67" s="78"/>
      <c r="BJ67" s="91">
        <f t="shared" si="29"/>
        <v>0</v>
      </c>
      <c r="BK67" s="91">
        <f t="shared" si="30"/>
        <v>0</v>
      </c>
      <c r="BL67" s="78"/>
      <c r="BM67" s="78">
        <f t="shared" si="31"/>
        <v>0</v>
      </c>
      <c r="BN67" s="78">
        <f t="shared" si="32"/>
        <v>0</v>
      </c>
      <c r="BO67" s="78">
        <f t="shared" si="33"/>
        <v>0</v>
      </c>
      <c r="BP67" s="78">
        <f t="shared" si="34"/>
        <v>0</v>
      </c>
      <c r="BQ67" s="78">
        <f t="shared" si="35"/>
        <v>0</v>
      </c>
      <c r="BR67" s="78">
        <f t="shared" si="36"/>
        <v>0</v>
      </c>
      <c r="BS67" s="78">
        <f t="shared" si="37"/>
        <v>0</v>
      </c>
      <c r="BT67" s="78">
        <f t="shared" si="38"/>
        <v>0</v>
      </c>
      <c r="BU67" s="91">
        <f t="shared" si="39"/>
        <v>0</v>
      </c>
      <c r="BV67" s="91">
        <f t="shared" si="40"/>
        <v>0</v>
      </c>
      <c r="BW67" s="78"/>
      <c r="BX67" s="78"/>
      <c r="BY67" s="78">
        <f t="shared" si="41"/>
        <v>0</v>
      </c>
      <c r="BZ67" s="78">
        <f t="shared" si="42"/>
        <v>0</v>
      </c>
      <c r="CA67" s="78">
        <f t="shared" si="43"/>
        <v>0</v>
      </c>
      <c r="CB67" s="78">
        <f t="shared" si="44"/>
        <v>0</v>
      </c>
      <c r="CC67" s="78">
        <f t="shared" si="45"/>
        <v>0</v>
      </c>
      <c r="CD67" s="78">
        <f t="shared" si="46"/>
        <v>0</v>
      </c>
      <c r="CE67" s="78">
        <f t="shared" si="47"/>
        <v>0</v>
      </c>
      <c r="CF67" s="78">
        <f t="shared" si="48"/>
        <v>0</v>
      </c>
      <c r="CG67" s="78"/>
      <c r="CH67" s="92">
        <f t="shared" si="49"/>
        <v>0</v>
      </c>
      <c r="CI67" s="93">
        <f t="shared" si="50"/>
        <v>0</v>
      </c>
      <c r="CJ67" s="94">
        <f t="shared" si="51"/>
        <v>0</v>
      </c>
      <c r="CL67" s="78">
        <f t="shared" si="52"/>
        <v>0</v>
      </c>
      <c r="CM67" s="78">
        <f t="shared" si="53"/>
        <v>0</v>
      </c>
      <c r="CN67" s="78">
        <f t="shared" si="54"/>
        <v>0</v>
      </c>
      <c r="CO67" s="78">
        <f t="shared" si="55"/>
        <v>0</v>
      </c>
    </row>
    <row r="68" spans="1:93" ht="13.5" thickBot="1">
      <c r="A68" s="95"/>
      <c r="B68" s="96"/>
      <c r="C68" s="97"/>
      <c r="D68" s="98"/>
      <c r="E68" s="99"/>
      <c r="F68" s="100"/>
      <c r="G68" s="100"/>
      <c r="H68" s="100"/>
      <c r="I68" s="100"/>
      <c r="J68" s="100"/>
      <c r="K68" s="101" t="str">
        <f t="shared" si="56"/>
        <v/>
      </c>
      <c r="L68" s="102"/>
      <c r="M68" s="103"/>
      <c r="N68" s="104"/>
      <c r="O68" s="105"/>
      <c r="P68" s="106">
        <f t="shared" si="57"/>
        <v>0</v>
      </c>
      <c r="Q68" s="106">
        <f t="shared" si="58"/>
        <v>0</v>
      </c>
      <c r="R68" s="106">
        <f t="shared" si="59"/>
        <v>0</v>
      </c>
      <c r="S68" s="106">
        <f t="shared" si="60"/>
        <v>0</v>
      </c>
      <c r="T68" s="107">
        <f t="shared" si="61"/>
        <v>0</v>
      </c>
      <c r="U68" s="78"/>
      <c r="AG68" s="108"/>
      <c r="AI68" s="78">
        <f t="shared" si="5"/>
        <v>0</v>
      </c>
      <c r="AJ68" s="78">
        <f t="shared" si="6"/>
        <v>0</v>
      </c>
      <c r="AK68" s="78">
        <f t="shared" si="7"/>
        <v>0</v>
      </c>
      <c r="AL68" s="78">
        <f t="shared" si="8"/>
        <v>0</v>
      </c>
      <c r="AM68" s="78">
        <f t="shared" si="9"/>
        <v>0</v>
      </c>
      <c r="AN68" s="78">
        <f t="shared" si="10"/>
        <v>0</v>
      </c>
      <c r="AO68" s="78">
        <f t="shared" si="11"/>
        <v>0</v>
      </c>
      <c r="AP68" s="78">
        <f t="shared" si="12"/>
        <v>0</v>
      </c>
      <c r="AQ68" s="78">
        <f t="shared" si="13"/>
        <v>0</v>
      </c>
      <c r="AR68" s="78">
        <f t="shared" si="14"/>
        <v>0</v>
      </c>
      <c r="AS68" s="90">
        <f t="shared" si="15"/>
        <v>0</v>
      </c>
      <c r="AT68" s="91">
        <f t="shared" si="16"/>
        <v>0</v>
      </c>
      <c r="AV68" s="91">
        <f t="shared" si="17"/>
        <v>0</v>
      </c>
      <c r="AW68" s="78">
        <f t="shared" si="18"/>
        <v>0</v>
      </c>
      <c r="AX68" s="78">
        <f t="shared" si="19"/>
        <v>0</v>
      </c>
      <c r="AY68" s="78"/>
      <c r="AZ68" s="78">
        <f t="shared" si="20"/>
        <v>0</v>
      </c>
      <c r="BA68" s="78">
        <f t="shared" si="21"/>
        <v>0</v>
      </c>
      <c r="BB68" s="78">
        <f t="shared" si="22"/>
        <v>0</v>
      </c>
      <c r="BC68" s="78">
        <f t="shared" si="23"/>
        <v>0</v>
      </c>
      <c r="BD68" s="78">
        <f t="shared" si="24"/>
        <v>0</v>
      </c>
      <c r="BE68" s="78">
        <f t="shared" si="25"/>
        <v>0</v>
      </c>
      <c r="BF68" s="78">
        <f t="shared" si="26"/>
        <v>0</v>
      </c>
      <c r="BG68" s="78">
        <f t="shared" si="27"/>
        <v>0</v>
      </c>
      <c r="BH68" s="78">
        <f t="shared" si="28"/>
        <v>0</v>
      </c>
      <c r="BI68" s="78"/>
      <c r="BJ68" s="91">
        <f t="shared" si="29"/>
        <v>0</v>
      </c>
      <c r="BK68" s="91">
        <f t="shared" si="30"/>
        <v>0</v>
      </c>
      <c r="BL68" s="78"/>
      <c r="BM68" s="78">
        <f t="shared" si="31"/>
        <v>0</v>
      </c>
      <c r="BN68" s="78">
        <f t="shared" si="32"/>
        <v>0</v>
      </c>
      <c r="BO68" s="78">
        <f t="shared" si="33"/>
        <v>0</v>
      </c>
      <c r="BP68" s="78">
        <f t="shared" si="34"/>
        <v>0</v>
      </c>
      <c r="BQ68" s="78">
        <f t="shared" si="35"/>
        <v>0</v>
      </c>
      <c r="BR68" s="78">
        <f t="shared" si="36"/>
        <v>0</v>
      </c>
      <c r="BS68" s="78">
        <f t="shared" si="37"/>
        <v>0</v>
      </c>
      <c r="BT68" s="78">
        <f t="shared" si="38"/>
        <v>0</v>
      </c>
      <c r="BU68" s="91">
        <f t="shared" si="39"/>
        <v>0</v>
      </c>
      <c r="BV68" s="91">
        <f t="shared" si="40"/>
        <v>0</v>
      </c>
      <c r="BW68" s="78"/>
      <c r="BX68" s="78"/>
      <c r="BY68" s="78">
        <f t="shared" si="41"/>
        <v>0</v>
      </c>
      <c r="BZ68" s="78">
        <f t="shared" si="42"/>
        <v>0</v>
      </c>
      <c r="CA68" s="78">
        <f t="shared" si="43"/>
        <v>0</v>
      </c>
      <c r="CB68" s="78">
        <f t="shared" si="44"/>
        <v>0</v>
      </c>
      <c r="CC68" s="78">
        <f t="shared" si="45"/>
        <v>0</v>
      </c>
      <c r="CD68" s="78">
        <f t="shared" si="46"/>
        <v>0</v>
      </c>
      <c r="CE68" s="78">
        <f t="shared" si="47"/>
        <v>0</v>
      </c>
      <c r="CF68" s="78">
        <f t="shared" si="48"/>
        <v>0</v>
      </c>
      <c r="CG68" s="78"/>
      <c r="CH68" s="92">
        <f t="shared" si="49"/>
        <v>0</v>
      </c>
      <c r="CI68" s="93">
        <f t="shared" si="50"/>
        <v>0</v>
      </c>
      <c r="CJ68" s="94">
        <f t="shared" si="51"/>
        <v>0</v>
      </c>
      <c r="CL68" s="78">
        <f t="shared" si="52"/>
        <v>0</v>
      </c>
      <c r="CM68" s="78">
        <f t="shared" si="53"/>
        <v>0</v>
      </c>
      <c r="CN68" s="78">
        <f t="shared" si="54"/>
        <v>0</v>
      </c>
      <c r="CO68" s="78">
        <f t="shared" si="55"/>
        <v>0</v>
      </c>
    </row>
    <row r="69" spans="1:93" ht="13.5" thickBot="1">
      <c r="A69" s="95"/>
      <c r="B69" s="96"/>
      <c r="C69" s="97"/>
      <c r="D69" s="98"/>
      <c r="E69" s="99"/>
      <c r="F69" s="100"/>
      <c r="G69" s="100"/>
      <c r="H69" s="100"/>
      <c r="I69" s="100"/>
      <c r="J69" s="100"/>
      <c r="K69" s="101" t="str">
        <f t="shared" si="56"/>
        <v/>
      </c>
      <c r="L69" s="102"/>
      <c r="M69" s="103"/>
      <c r="N69" s="104"/>
      <c r="O69" s="105"/>
      <c r="P69" s="106">
        <f t="shared" si="57"/>
        <v>0</v>
      </c>
      <c r="Q69" s="106">
        <f t="shared" si="58"/>
        <v>0</v>
      </c>
      <c r="R69" s="106">
        <f t="shared" si="59"/>
        <v>0</v>
      </c>
      <c r="S69" s="106">
        <f t="shared" si="60"/>
        <v>0</v>
      </c>
      <c r="T69" s="107">
        <f t="shared" si="61"/>
        <v>0</v>
      </c>
      <c r="U69" s="78"/>
      <c r="AG69" s="108"/>
      <c r="AI69" s="78">
        <f t="shared" si="5"/>
        <v>0</v>
      </c>
      <c r="AJ69" s="78">
        <f t="shared" si="6"/>
        <v>0</v>
      </c>
      <c r="AK69" s="78">
        <f t="shared" si="7"/>
        <v>0</v>
      </c>
      <c r="AL69" s="78">
        <f t="shared" si="8"/>
        <v>0</v>
      </c>
      <c r="AM69" s="78">
        <f t="shared" si="9"/>
        <v>0</v>
      </c>
      <c r="AN69" s="78">
        <f t="shared" si="10"/>
        <v>0</v>
      </c>
      <c r="AO69" s="78">
        <f t="shared" si="11"/>
        <v>0</v>
      </c>
      <c r="AP69" s="78">
        <f t="shared" si="12"/>
        <v>0</v>
      </c>
      <c r="AQ69" s="78">
        <f t="shared" si="13"/>
        <v>0</v>
      </c>
      <c r="AR69" s="78">
        <f t="shared" si="14"/>
        <v>0</v>
      </c>
      <c r="AS69" s="90">
        <f t="shared" si="15"/>
        <v>0</v>
      </c>
      <c r="AT69" s="91">
        <f t="shared" si="16"/>
        <v>0</v>
      </c>
      <c r="AV69" s="91">
        <f t="shared" si="17"/>
        <v>0</v>
      </c>
      <c r="AW69" s="78">
        <f t="shared" si="18"/>
        <v>0</v>
      </c>
      <c r="AX69" s="78">
        <f t="shared" si="19"/>
        <v>0</v>
      </c>
      <c r="AY69" s="78"/>
      <c r="AZ69" s="78">
        <f t="shared" si="20"/>
        <v>0</v>
      </c>
      <c r="BA69" s="78">
        <f t="shared" si="21"/>
        <v>0</v>
      </c>
      <c r="BB69" s="78">
        <f t="shared" si="22"/>
        <v>0</v>
      </c>
      <c r="BC69" s="78">
        <f t="shared" si="23"/>
        <v>0</v>
      </c>
      <c r="BD69" s="78">
        <f t="shared" si="24"/>
        <v>0</v>
      </c>
      <c r="BE69" s="78">
        <f t="shared" si="25"/>
        <v>0</v>
      </c>
      <c r="BF69" s="78">
        <f t="shared" si="26"/>
        <v>0</v>
      </c>
      <c r="BG69" s="78">
        <f t="shared" si="27"/>
        <v>0</v>
      </c>
      <c r="BH69" s="78">
        <f t="shared" si="28"/>
        <v>0</v>
      </c>
      <c r="BI69" s="78"/>
      <c r="BJ69" s="91">
        <f t="shared" si="29"/>
        <v>0</v>
      </c>
      <c r="BK69" s="91">
        <f t="shared" si="30"/>
        <v>0</v>
      </c>
      <c r="BL69" s="78"/>
      <c r="BM69" s="78">
        <f t="shared" si="31"/>
        <v>0</v>
      </c>
      <c r="BN69" s="78">
        <f t="shared" si="32"/>
        <v>0</v>
      </c>
      <c r="BO69" s="78">
        <f t="shared" si="33"/>
        <v>0</v>
      </c>
      <c r="BP69" s="78">
        <f t="shared" si="34"/>
        <v>0</v>
      </c>
      <c r="BQ69" s="78">
        <f t="shared" si="35"/>
        <v>0</v>
      </c>
      <c r="BR69" s="78">
        <f t="shared" si="36"/>
        <v>0</v>
      </c>
      <c r="BS69" s="78">
        <f t="shared" si="37"/>
        <v>0</v>
      </c>
      <c r="BT69" s="78">
        <f t="shared" si="38"/>
        <v>0</v>
      </c>
      <c r="BU69" s="91">
        <f t="shared" si="39"/>
        <v>0</v>
      </c>
      <c r="BV69" s="91">
        <f t="shared" si="40"/>
        <v>0</v>
      </c>
      <c r="BW69" s="78"/>
      <c r="BX69" s="78"/>
      <c r="BY69" s="78">
        <f t="shared" si="41"/>
        <v>0</v>
      </c>
      <c r="BZ69" s="78">
        <f t="shared" si="42"/>
        <v>0</v>
      </c>
      <c r="CA69" s="78">
        <f t="shared" si="43"/>
        <v>0</v>
      </c>
      <c r="CB69" s="78">
        <f t="shared" si="44"/>
        <v>0</v>
      </c>
      <c r="CC69" s="78">
        <f t="shared" si="45"/>
        <v>0</v>
      </c>
      <c r="CD69" s="78">
        <f t="shared" si="46"/>
        <v>0</v>
      </c>
      <c r="CE69" s="78">
        <f t="shared" si="47"/>
        <v>0</v>
      </c>
      <c r="CF69" s="78">
        <f t="shared" si="48"/>
        <v>0</v>
      </c>
      <c r="CG69" s="78"/>
      <c r="CH69" s="92">
        <f t="shared" si="49"/>
        <v>0</v>
      </c>
      <c r="CI69" s="93">
        <f t="shared" si="50"/>
        <v>0</v>
      </c>
      <c r="CJ69" s="94">
        <f t="shared" si="51"/>
        <v>0</v>
      </c>
      <c r="CL69" s="78">
        <f t="shared" si="52"/>
        <v>0</v>
      </c>
      <c r="CM69" s="78">
        <f t="shared" si="53"/>
        <v>0</v>
      </c>
      <c r="CN69" s="78">
        <f t="shared" si="54"/>
        <v>0</v>
      </c>
      <c r="CO69" s="78">
        <f t="shared" si="55"/>
        <v>0</v>
      </c>
    </row>
    <row r="70" spans="1:93" ht="13.5" thickBot="1">
      <c r="A70" s="95"/>
      <c r="B70" s="96"/>
      <c r="C70" s="97"/>
      <c r="D70" s="98"/>
      <c r="E70" s="99"/>
      <c r="F70" s="100"/>
      <c r="G70" s="100"/>
      <c r="H70" s="100"/>
      <c r="I70" s="100"/>
      <c r="J70" s="100"/>
      <c r="K70" s="101" t="str">
        <f t="shared" si="56"/>
        <v/>
      </c>
      <c r="L70" s="102"/>
      <c r="M70" s="103"/>
      <c r="N70" s="104"/>
      <c r="O70" s="105"/>
      <c r="P70" s="106">
        <f t="shared" si="57"/>
        <v>0</v>
      </c>
      <c r="Q70" s="106">
        <f t="shared" si="58"/>
        <v>0</v>
      </c>
      <c r="R70" s="106">
        <f t="shared" si="59"/>
        <v>0</v>
      </c>
      <c r="S70" s="106">
        <f t="shared" si="60"/>
        <v>0</v>
      </c>
      <c r="T70" s="107">
        <f t="shared" si="61"/>
        <v>0</v>
      </c>
      <c r="U70" s="78"/>
      <c r="AG70" s="108"/>
      <c r="AI70" s="78">
        <f t="shared" si="5"/>
        <v>0</v>
      </c>
      <c r="AJ70" s="78">
        <f t="shared" si="6"/>
        <v>0</v>
      </c>
      <c r="AK70" s="78">
        <f t="shared" si="7"/>
        <v>0</v>
      </c>
      <c r="AL70" s="78">
        <f t="shared" si="8"/>
        <v>0</v>
      </c>
      <c r="AM70" s="78">
        <f t="shared" si="9"/>
        <v>0</v>
      </c>
      <c r="AN70" s="78">
        <f t="shared" si="10"/>
        <v>0</v>
      </c>
      <c r="AO70" s="78">
        <f t="shared" si="11"/>
        <v>0</v>
      </c>
      <c r="AP70" s="78">
        <f t="shared" si="12"/>
        <v>0</v>
      </c>
      <c r="AQ70" s="78">
        <f t="shared" si="13"/>
        <v>0</v>
      </c>
      <c r="AR70" s="78">
        <f t="shared" si="14"/>
        <v>0</v>
      </c>
      <c r="AS70" s="90">
        <f t="shared" si="15"/>
        <v>0</v>
      </c>
      <c r="AT70" s="91">
        <f t="shared" si="16"/>
        <v>0</v>
      </c>
      <c r="AV70" s="91">
        <f t="shared" si="17"/>
        <v>0</v>
      </c>
      <c r="AW70" s="78">
        <f t="shared" si="18"/>
        <v>0</v>
      </c>
      <c r="AX70" s="78">
        <f t="shared" si="19"/>
        <v>0</v>
      </c>
      <c r="AY70" s="78"/>
      <c r="AZ70" s="78">
        <f t="shared" si="20"/>
        <v>0</v>
      </c>
      <c r="BA70" s="78">
        <f t="shared" si="21"/>
        <v>0</v>
      </c>
      <c r="BB70" s="78">
        <f t="shared" si="22"/>
        <v>0</v>
      </c>
      <c r="BC70" s="78">
        <f t="shared" si="23"/>
        <v>0</v>
      </c>
      <c r="BD70" s="78">
        <f t="shared" si="24"/>
        <v>0</v>
      </c>
      <c r="BE70" s="78">
        <f t="shared" si="25"/>
        <v>0</v>
      </c>
      <c r="BF70" s="78">
        <f t="shared" si="26"/>
        <v>0</v>
      </c>
      <c r="BG70" s="78">
        <f t="shared" si="27"/>
        <v>0</v>
      </c>
      <c r="BH70" s="78">
        <f t="shared" si="28"/>
        <v>0</v>
      </c>
      <c r="BI70" s="78"/>
      <c r="BJ70" s="91">
        <f t="shared" si="29"/>
        <v>0</v>
      </c>
      <c r="BK70" s="91">
        <f t="shared" si="30"/>
        <v>0</v>
      </c>
      <c r="BL70" s="78"/>
      <c r="BM70" s="78">
        <f t="shared" si="31"/>
        <v>0</v>
      </c>
      <c r="BN70" s="78">
        <f t="shared" si="32"/>
        <v>0</v>
      </c>
      <c r="BO70" s="78">
        <f t="shared" si="33"/>
        <v>0</v>
      </c>
      <c r="BP70" s="78">
        <f t="shared" si="34"/>
        <v>0</v>
      </c>
      <c r="BQ70" s="78">
        <f t="shared" si="35"/>
        <v>0</v>
      </c>
      <c r="BR70" s="78">
        <f t="shared" si="36"/>
        <v>0</v>
      </c>
      <c r="BS70" s="78">
        <f t="shared" si="37"/>
        <v>0</v>
      </c>
      <c r="BT70" s="78">
        <f t="shared" si="38"/>
        <v>0</v>
      </c>
      <c r="BU70" s="91">
        <f t="shared" si="39"/>
        <v>0</v>
      </c>
      <c r="BV70" s="91">
        <f t="shared" si="40"/>
        <v>0</v>
      </c>
      <c r="BW70" s="78"/>
      <c r="BX70" s="78"/>
      <c r="BY70" s="78">
        <f t="shared" si="41"/>
        <v>0</v>
      </c>
      <c r="BZ70" s="78">
        <f t="shared" si="42"/>
        <v>0</v>
      </c>
      <c r="CA70" s="78">
        <f t="shared" si="43"/>
        <v>0</v>
      </c>
      <c r="CB70" s="78">
        <f t="shared" si="44"/>
        <v>0</v>
      </c>
      <c r="CC70" s="78">
        <f t="shared" si="45"/>
        <v>0</v>
      </c>
      <c r="CD70" s="78">
        <f t="shared" si="46"/>
        <v>0</v>
      </c>
      <c r="CE70" s="78">
        <f t="shared" si="47"/>
        <v>0</v>
      </c>
      <c r="CF70" s="78">
        <f t="shared" si="48"/>
        <v>0</v>
      </c>
      <c r="CG70" s="78"/>
      <c r="CH70" s="92">
        <f t="shared" si="49"/>
        <v>0</v>
      </c>
      <c r="CI70" s="93">
        <f t="shared" si="50"/>
        <v>0</v>
      </c>
      <c r="CJ70" s="94">
        <f t="shared" si="51"/>
        <v>0</v>
      </c>
      <c r="CL70" s="78">
        <f t="shared" si="52"/>
        <v>0</v>
      </c>
      <c r="CM70" s="78">
        <f t="shared" si="53"/>
        <v>0</v>
      </c>
      <c r="CN70" s="78">
        <f t="shared" si="54"/>
        <v>0</v>
      </c>
      <c r="CO70" s="78">
        <f t="shared" si="55"/>
        <v>0</v>
      </c>
    </row>
    <row r="71" spans="1:93" ht="13.5" thickBot="1">
      <c r="A71" s="95"/>
      <c r="B71" s="96"/>
      <c r="C71" s="97"/>
      <c r="D71" s="98"/>
      <c r="E71" s="99"/>
      <c r="F71" s="100"/>
      <c r="G71" s="100"/>
      <c r="H71" s="100"/>
      <c r="I71" s="100"/>
      <c r="J71" s="100"/>
      <c r="K71" s="101" t="str">
        <f t="shared" si="56"/>
        <v/>
      </c>
      <c r="L71" s="102"/>
      <c r="M71" s="103"/>
      <c r="N71" s="104"/>
      <c r="O71" s="105"/>
      <c r="P71" s="106">
        <f t="shared" si="57"/>
        <v>0</v>
      </c>
      <c r="Q71" s="106">
        <f t="shared" si="58"/>
        <v>0</v>
      </c>
      <c r="R71" s="106">
        <f t="shared" si="59"/>
        <v>0</v>
      </c>
      <c r="S71" s="106">
        <f t="shared" si="60"/>
        <v>0</v>
      </c>
      <c r="T71" s="107">
        <f t="shared" si="61"/>
        <v>0</v>
      </c>
      <c r="U71" s="78"/>
      <c r="AG71" s="108"/>
      <c r="AI71" s="78">
        <f t="shared" si="5"/>
        <v>0</v>
      </c>
      <c r="AJ71" s="78">
        <f t="shared" si="6"/>
        <v>0</v>
      </c>
      <c r="AK71" s="78">
        <f t="shared" si="7"/>
        <v>0</v>
      </c>
      <c r="AL71" s="78">
        <f t="shared" si="8"/>
        <v>0</v>
      </c>
      <c r="AM71" s="78">
        <f t="shared" si="9"/>
        <v>0</v>
      </c>
      <c r="AN71" s="78">
        <f t="shared" si="10"/>
        <v>0</v>
      </c>
      <c r="AO71" s="78">
        <f t="shared" si="11"/>
        <v>0</v>
      </c>
      <c r="AP71" s="78">
        <f t="shared" si="12"/>
        <v>0</v>
      </c>
      <c r="AQ71" s="78">
        <f t="shared" si="13"/>
        <v>0</v>
      </c>
      <c r="AR71" s="78">
        <f t="shared" si="14"/>
        <v>0</v>
      </c>
      <c r="AS71" s="90">
        <f t="shared" si="15"/>
        <v>0</v>
      </c>
      <c r="AT71" s="91">
        <f t="shared" si="16"/>
        <v>0</v>
      </c>
      <c r="AV71" s="91">
        <f t="shared" si="17"/>
        <v>0</v>
      </c>
      <c r="AW71" s="78">
        <f t="shared" si="18"/>
        <v>0</v>
      </c>
      <c r="AX71" s="78">
        <f t="shared" si="19"/>
        <v>0</v>
      </c>
      <c r="AY71" s="78"/>
      <c r="AZ71" s="78">
        <f t="shared" si="20"/>
        <v>0</v>
      </c>
      <c r="BA71" s="78">
        <f t="shared" si="21"/>
        <v>0</v>
      </c>
      <c r="BB71" s="78">
        <f t="shared" si="22"/>
        <v>0</v>
      </c>
      <c r="BC71" s="78">
        <f t="shared" si="23"/>
        <v>0</v>
      </c>
      <c r="BD71" s="78">
        <f t="shared" si="24"/>
        <v>0</v>
      </c>
      <c r="BE71" s="78">
        <f t="shared" si="25"/>
        <v>0</v>
      </c>
      <c r="BF71" s="78">
        <f t="shared" si="26"/>
        <v>0</v>
      </c>
      <c r="BG71" s="78">
        <f t="shared" si="27"/>
        <v>0</v>
      </c>
      <c r="BH71" s="78">
        <f t="shared" si="28"/>
        <v>0</v>
      </c>
      <c r="BI71" s="78"/>
      <c r="BJ71" s="91">
        <f t="shared" si="29"/>
        <v>0</v>
      </c>
      <c r="BK71" s="91">
        <f t="shared" si="30"/>
        <v>0</v>
      </c>
      <c r="BL71" s="78"/>
      <c r="BM71" s="78">
        <f t="shared" si="31"/>
        <v>0</v>
      </c>
      <c r="BN71" s="78">
        <f t="shared" si="32"/>
        <v>0</v>
      </c>
      <c r="BO71" s="78">
        <f t="shared" si="33"/>
        <v>0</v>
      </c>
      <c r="BP71" s="78">
        <f t="shared" si="34"/>
        <v>0</v>
      </c>
      <c r="BQ71" s="78">
        <f t="shared" si="35"/>
        <v>0</v>
      </c>
      <c r="BR71" s="78">
        <f t="shared" si="36"/>
        <v>0</v>
      </c>
      <c r="BS71" s="78">
        <f t="shared" si="37"/>
        <v>0</v>
      </c>
      <c r="BT71" s="78">
        <f t="shared" si="38"/>
        <v>0</v>
      </c>
      <c r="BU71" s="91">
        <f t="shared" si="39"/>
        <v>0</v>
      </c>
      <c r="BV71" s="91">
        <f t="shared" si="40"/>
        <v>0</v>
      </c>
      <c r="BW71" s="78"/>
      <c r="BX71" s="78"/>
      <c r="BY71" s="78">
        <f t="shared" si="41"/>
        <v>0</v>
      </c>
      <c r="BZ71" s="78">
        <f t="shared" si="42"/>
        <v>0</v>
      </c>
      <c r="CA71" s="78">
        <f t="shared" si="43"/>
        <v>0</v>
      </c>
      <c r="CB71" s="78">
        <f t="shared" si="44"/>
        <v>0</v>
      </c>
      <c r="CC71" s="78">
        <f t="shared" si="45"/>
        <v>0</v>
      </c>
      <c r="CD71" s="78">
        <f t="shared" si="46"/>
        <v>0</v>
      </c>
      <c r="CE71" s="78">
        <f t="shared" si="47"/>
        <v>0</v>
      </c>
      <c r="CF71" s="78">
        <f t="shared" si="48"/>
        <v>0</v>
      </c>
      <c r="CG71" s="78"/>
      <c r="CH71" s="92">
        <f t="shared" si="49"/>
        <v>0</v>
      </c>
      <c r="CI71" s="93">
        <f t="shared" si="50"/>
        <v>0</v>
      </c>
      <c r="CJ71" s="94">
        <f t="shared" si="51"/>
        <v>0</v>
      </c>
      <c r="CL71" s="78">
        <f t="shared" si="52"/>
        <v>0</v>
      </c>
      <c r="CM71" s="78">
        <f t="shared" si="53"/>
        <v>0</v>
      </c>
      <c r="CN71" s="78">
        <f t="shared" si="54"/>
        <v>0</v>
      </c>
      <c r="CO71" s="78">
        <f t="shared" si="55"/>
        <v>0</v>
      </c>
    </row>
    <row r="72" spans="1:93" ht="13.5" thickBot="1">
      <c r="A72" s="95"/>
      <c r="B72" s="96"/>
      <c r="C72" s="97"/>
      <c r="D72" s="98"/>
      <c r="E72" s="99"/>
      <c r="F72" s="100"/>
      <c r="G72" s="100"/>
      <c r="H72" s="100"/>
      <c r="I72" s="100"/>
      <c r="J72" s="100"/>
      <c r="K72" s="101" t="str">
        <f t="shared" si="56"/>
        <v/>
      </c>
      <c r="L72" s="102"/>
      <c r="M72" s="103"/>
      <c r="N72" s="104"/>
      <c r="O72" s="105"/>
      <c r="P72" s="106">
        <f t="shared" si="57"/>
        <v>0</v>
      </c>
      <c r="Q72" s="106">
        <f t="shared" si="58"/>
        <v>0</v>
      </c>
      <c r="R72" s="106">
        <f t="shared" si="59"/>
        <v>0</v>
      </c>
      <c r="S72" s="106">
        <f t="shared" si="60"/>
        <v>0</v>
      </c>
      <c r="T72" s="107">
        <f t="shared" si="61"/>
        <v>0</v>
      </c>
      <c r="U72" s="78"/>
      <c r="AG72" s="108"/>
      <c r="AI72" s="78">
        <f t="shared" si="5"/>
        <v>0</v>
      </c>
      <c r="AJ72" s="78">
        <f t="shared" si="6"/>
        <v>0</v>
      </c>
      <c r="AK72" s="78">
        <f t="shared" si="7"/>
        <v>0</v>
      </c>
      <c r="AL72" s="78">
        <f t="shared" si="8"/>
        <v>0</v>
      </c>
      <c r="AM72" s="78">
        <f t="shared" si="9"/>
        <v>0</v>
      </c>
      <c r="AN72" s="78">
        <f t="shared" si="10"/>
        <v>0</v>
      </c>
      <c r="AO72" s="78">
        <f t="shared" si="11"/>
        <v>0</v>
      </c>
      <c r="AP72" s="78">
        <f t="shared" si="12"/>
        <v>0</v>
      </c>
      <c r="AQ72" s="78">
        <f t="shared" si="13"/>
        <v>0</v>
      </c>
      <c r="AR72" s="78">
        <f t="shared" si="14"/>
        <v>0</v>
      </c>
      <c r="AS72" s="90">
        <f t="shared" si="15"/>
        <v>0</v>
      </c>
      <c r="AT72" s="91">
        <f t="shared" si="16"/>
        <v>0</v>
      </c>
      <c r="AV72" s="91">
        <f t="shared" si="17"/>
        <v>0</v>
      </c>
      <c r="AW72" s="78">
        <f t="shared" si="18"/>
        <v>0</v>
      </c>
      <c r="AX72" s="78">
        <f t="shared" si="19"/>
        <v>0</v>
      </c>
      <c r="AY72" s="78"/>
      <c r="AZ72" s="78">
        <f t="shared" si="20"/>
        <v>0</v>
      </c>
      <c r="BA72" s="78">
        <f t="shared" si="21"/>
        <v>0</v>
      </c>
      <c r="BB72" s="78">
        <f t="shared" si="22"/>
        <v>0</v>
      </c>
      <c r="BC72" s="78">
        <f t="shared" si="23"/>
        <v>0</v>
      </c>
      <c r="BD72" s="78">
        <f t="shared" si="24"/>
        <v>0</v>
      </c>
      <c r="BE72" s="78">
        <f t="shared" si="25"/>
        <v>0</v>
      </c>
      <c r="BF72" s="78">
        <f t="shared" si="26"/>
        <v>0</v>
      </c>
      <c r="BG72" s="78">
        <f t="shared" si="27"/>
        <v>0</v>
      </c>
      <c r="BH72" s="78">
        <f t="shared" si="28"/>
        <v>0</v>
      </c>
      <c r="BI72" s="78"/>
      <c r="BJ72" s="91">
        <f t="shared" si="29"/>
        <v>0</v>
      </c>
      <c r="BK72" s="91">
        <f t="shared" si="30"/>
        <v>0</v>
      </c>
      <c r="BL72" s="78"/>
      <c r="BM72" s="78">
        <f t="shared" si="31"/>
        <v>0</v>
      </c>
      <c r="BN72" s="78">
        <f t="shared" si="32"/>
        <v>0</v>
      </c>
      <c r="BO72" s="78">
        <f t="shared" si="33"/>
        <v>0</v>
      </c>
      <c r="BP72" s="78">
        <f t="shared" si="34"/>
        <v>0</v>
      </c>
      <c r="BQ72" s="78">
        <f t="shared" si="35"/>
        <v>0</v>
      </c>
      <c r="BR72" s="78">
        <f t="shared" si="36"/>
        <v>0</v>
      </c>
      <c r="BS72" s="78">
        <f t="shared" si="37"/>
        <v>0</v>
      </c>
      <c r="BT72" s="78">
        <f t="shared" si="38"/>
        <v>0</v>
      </c>
      <c r="BU72" s="91">
        <f t="shared" si="39"/>
        <v>0</v>
      </c>
      <c r="BV72" s="91">
        <f t="shared" si="40"/>
        <v>0</v>
      </c>
      <c r="BW72" s="78"/>
      <c r="BX72" s="78"/>
      <c r="BY72" s="78">
        <f t="shared" si="41"/>
        <v>0</v>
      </c>
      <c r="BZ72" s="78">
        <f t="shared" si="42"/>
        <v>0</v>
      </c>
      <c r="CA72" s="78">
        <f t="shared" si="43"/>
        <v>0</v>
      </c>
      <c r="CB72" s="78">
        <f t="shared" si="44"/>
        <v>0</v>
      </c>
      <c r="CC72" s="78">
        <f t="shared" si="45"/>
        <v>0</v>
      </c>
      <c r="CD72" s="78">
        <f t="shared" si="46"/>
        <v>0</v>
      </c>
      <c r="CE72" s="78">
        <f t="shared" si="47"/>
        <v>0</v>
      </c>
      <c r="CF72" s="78">
        <f t="shared" si="48"/>
        <v>0</v>
      </c>
      <c r="CG72" s="78"/>
      <c r="CH72" s="92">
        <f t="shared" si="49"/>
        <v>0</v>
      </c>
      <c r="CI72" s="93">
        <f t="shared" si="50"/>
        <v>0</v>
      </c>
      <c r="CJ72" s="94">
        <f t="shared" si="51"/>
        <v>0</v>
      </c>
      <c r="CL72" s="78">
        <f t="shared" si="52"/>
        <v>0</v>
      </c>
      <c r="CM72" s="78">
        <f t="shared" si="53"/>
        <v>0</v>
      </c>
      <c r="CN72" s="78">
        <f t="shared" si="54"/>
        <v>0</v>
      </c>
      <c r="CO72" s="78">
        <f t="shared" si="55"/>
        <v>0</v>
      </c>
    </row>
    <row r="73" spans="1:93" ht="13.5" thickBot="1">
      <c r="A73" s="95"/>
      <c r="B73" s="96"/>
      <c r="C73" s="97"/>
      <c r="D73" s="98"/>
      <c r="E73" s="99"/>
      <c r="F73" s="100"/>
      <c r="G73" s="100"/>
      <c r="H73" s="100"/>
      <c r="I73" s="100"/>
      <c r="J73" s="100"/>
      <c r="K73" s="101" t="str">
        <f t="shared" si="56"/>
        <v/>
      </c>
      <c r="L73" s="102"/>
      <c r="M73" s="103"/>
      <c r="N73" s="104"/>
      <c r="O73" s="105"/>
      <c r="P73" s="106">
        <f t="shared" si="57"/>
        <v>0</v>
      </c>
      <c r="Q73" s="106">
        <f t="shared" si="58"/>
        <v>0</v>
      </c>
      <c r="R73" s="106">
        <f t="shared" si="59"/>
        <v>0</v>
      </c>
      <c r="S73" s="106">
        <f t="shared" si="60"/>
        <v>0</v>
      </c>
      <c r="T73" s="107">
        <f t="shared" si="61"/>
        <v>0</v>
      </c>
      <c r="U73" s="78"/>
      <c r="AG73" s="108"/>
      <c r="AI73" s="78">
        <f t="shared" si="5"/>
        <v>0</v>
      </c>
      <c r="AJ73" s="78">
        <f t="shared" si="6"/>
        <v>0</v>
      </c>
      <c r="AK73" s="78">
        <f t="shared" si="7"/>
        <v>0</v>
      </c>
      <c r="AL73" s="78">
        <f t="shared" si="8"/>
        <v>0</v>
      </c>
      <c r="AM73" s="78">
        <f t="shared" si="9"/>
        <v>0</v>
      </c>
      <c r="AN73" s="78">
        <f t="shared" si="10"/>
        <v>0</v>
      </c>
      <c r="AO73" s="78">
        <f t="shared" si="11"/>
        <v>0</v>
      </c>
      <c r="AP73" s="78">
        <f t="shared" si="12"/>
        <v>0</v>
      </c>
      <c r="AQ73" s="78">
        <f t="shared" si="13"/>
        <v>0</v>
      </c>
      <c r="AR73" s="78">
        <f t="shared" si="14"/>
        <v>0</v>
      </c>
      <c r="AS73" s="90">
        <f t="shared" si="15"/>
        <v>0</v>
      </c>
      <c r="AT73" s="91">
        <f t="shared" si="16"/>
        <v>0</v>
      </c>
      <c r="AV73" s="91">
        <f t="shared" si="17"/>
        <v>0</v>
      </c>
      <c r="AW73" s="78">
        <f t="shared" si="18"/>
        <v>0</v>
      </c>
      <c r="AX73" s="78">
        <f t="shared" si="19"/>
        <v>0</v>
      </c>
      <c r="AY73" s="78"/>
      <c r="AZ73" s="78">
        <f t="shared" si="20"/>
        <v>0</v>
      </c>
      <c r="BA73" s="78">
        <f t="shared" si="21"/>
        <v>0</v>
      </c>
      <c r="BB73" s="78">
        <f t="shared" si="22"/>
        <v>0</v>
      </c>
      <c r="BC73" s="78">
        <f t="shared" si="23"/>
        <v>0</v>
      </c>
      <c r="BD73" s="78">
        <f t="shared" si="24"/>
        <v>0</v>
      </c>
      <c r="BE73" s="78">
        <f t="shared" si="25"/>
        <v>0</v>
      </c>
      <c r="BF73" s="78">
        <f t="shared" si="26"/>
        <v>0</v>
      </c>
      <c r="BG73" s="78">
        <f t="shared" si="27"/>
        <v>0</v>
      </c>
      <c r="BH73" s="78">
        <f t="shared" si="28"/>
        <v>0</v>
      </c>
      <c r="BI73" s="78"/>
      <c r="BJ73" s="91">
        <f t="shared" si="29"/>
        <v>0</v>
      </c>
      <c r="BK73" s="91">
        <f t="shared" si="30"/>
        <v>0</v>
      </c>
      <c r="BL73" s="78"/>
      <c r="BM73" s="78">
        <f t="shared" si="31"/>
        <v>0</v>
      </c>
      <c r="BN73" s="78">
        <f t="shared" si="32"/>
        <v>0</v>
      </c>
      <c r="BO73" s="78">
        <f t="shared" si="33"/>
        <v>0</v>
      </c>
      <c r="BP73" s="78">
        <f t="shared" si="34"/>
        <v>0</v>
      </c>
      <c r="BQ73" s="78">
        <f t="shared" si="35"/>
        <v>0</v>
      </c>
      <c r="BR73" s="78">
        <f t="shared" si="36"/>
        <v>0</v>
      </c>
      <c r="BS73" s="78">
        <f t="shared" si="37"/>
        <v>0</v>
      </c>
      <c r="BT73" s="78">
        <f t="shared" si="38"/>
        <v>0</v>
      </c>
      <c r="BU73" s="91">
        <f t="shared" si="39"/>
        <v>0</v>
      </c>
      <c r="BV73" s="91">
        <f t="shared" si="40"/>
        <v>0</v>
      </c>
      <c r="BW73" s="78"/>
      <c r="BX73" s="78"/>
      <c r="BY73" s="78">
        <f t="shared" si="41"/>
        <v>0</v>
      </c>
      <c r="BZ73" s="78">
        <f t="shared" si="42"/>
        <v>0</v>
      </c>
      <c r="CA73" s="78">
        <f t="shared" si="43"/>
        <v>0</v>
      </c>
      <c r="CB73" s="78">
        <f t="shared" si="44"/>
        <v>0</v>
      </c>
      <c r="CC73" s="78">
        <f t="shared" si="45"/>
        <v>0</v>
      </c>
      <c r="CD73" s="78">
        <f t="shared" si="46"/>
        <v>0</v>
      </c>
      <c r="CE73" s="78">
        <f t="shared" si="47"/>
        <v>0</v>
      </c>
      <c r="CF73" s="78">
        <f t="shared" si="48"/>
        <v>0</v>
      </c>
      <c r="CG73" s="78"/>
      <c r="CH73" s="92">
        <f t="shared" si="49"/>
        <v>0</v>
      </c>
      <c r="CI73" s="93">
        <f t="shared" si="50"/>
        <v>0</v>
      </c>
      <c r="CJ73" s="94">
        <f t="shared" si="51"/>
        <v>0</v>
      </c>
      <c r="CL73" s="78">
        <f t="shared" si="52"/>
        <v>0</v>
      </c>
      <c r="CM73" s="78">
        <f t="shared" si="53"/>
        <v>0</v>
      </c>
      <c r="CN73" s="78">
        <f t="shared" si="54"/>
        <v>0</v>
      </c>
      <c r="CO73" s="78">
        <f t="shared" si="55"/>
        <v>0</v>
      </c>
    </row>
    <row r="74" spans="1:93" ht="13.5" thickBot="1">
      <c r="A74" s="95"/>
      <c r="B74" s="96"/>
      <c r="C74" s="97"/>
      <c r="D74" s="98"/>
      <c r="E74" s="99"/>
      <c r="F74" s="100"/>
      <c r="G74" s="100"/>
      <c r="H74" s="100"/>
      <c r="I74" s="100"/>
      <c r="J74" s="100"/>
      <c r="K74" s="101" t="str">
        <f t="shared" si="56"/>
        <v/>
      </c>
      <c r="L74" s="102"/>
      <c r="M74" s="103"/>
      <c r="N74" s="104"/>
      <c r="O74" s="105"/>
      <c r="P74" s="106">
        <f t="shared" si="57"/>
        <v>0</v>
      </c>
      <c r="Q74" s="106">
        <f t="shared" si="58"/>
        <v>0</v>
      </c>
      <c r="R74" s="106">
        <f t="shared" si="59"/>
        <v>0</v>
      </c>
      <c r="S74" s="106">
        <f t="shared" si="60"/>
        <v>0</v>
      </c>
      <c r="T74" s="107">
        <f t="shared" si="61"/>
        <v>0</v>
      </c>
      <c r="U74" s="78"/>
      <c r="AG74" s="108"/>
      <c r="AI74" s="78">
        <f t="shared" si="5"/>
        <v>0</v>
      </c>
      <c r="AJ74" s="78">
        <f t="shared" si="6"/>
        <v>0</v>
      </c>
      <c r="AK74" s="78">
        <f t="shared" si="7"/>
        <v>0</v>
      </c>
      <c r="AL74" s="78">
        <f t="shared" si="8"/>
        <v>0</v>
      </c>
      <c r="AM74" s="78">
        <f t="shared" si="9"/>
        <v>0</v>
      </c>
      <c r="AN74" s="78">
        <f t="shared" si="10"/>
        <v>0</v>
      </c>
      <c r="AO74" s="78">
        <f t="shared" si="11"/>
        <v>0</v>
      </c>
      <c r="AP74" s="78">
        <f t="shared" si="12"/>
        <v>0</v>
      </c>
      <c r="AQ74" s="78">
        <f t="shared" si="13"/>
        <v>0</v>
      </c>
      <c r="AR74" s="78">
        <f t="shared" si="14"/>
        <v>0</v>
      </c>
      <c r="AS74" s="90">
        <f t="shared" si="15"/>
        <v>0</v>
      </c>
      <c r="AT74" s="91">
        <f t="shared" si="16"/>
        <v>0</v>
      </c>
      <c r="AV74" s="91">
        <f t="shared" si="17"/>
        <v>0</v>
      </c>
      <c r="AW74" s="78">
        <f t="shared" si="18"/>
        <v>0</v>
      </c>
      <c r="AX74" s="78">
        <f t="shared" si="19"/>
        <v>0</v>
      </c>
      <c r="AY74" s="78"/>
      <c r="AZ74" s="78">
        <f t="shared" si="20"/>
        <v>0</v>
      </c>
      <c r="BA74" s="78">
        <f t="shared" si="21"/>
        <v>0</v>
      </c>
      <c r="BB74" s="78">
        <f t="shared" si="22"/>
        <v>0</v>
      </c>
      <c r="BC74" s="78">
        <f t="shared" si="23"/>
        <v>0</v>
      </c>
      <c r="BD74" s="78">
        <f t="shared" si="24"/>
        <v>0</v>
      </c>
      <c r="BE74" s="78">
        <f t="shared" si="25"/>
        <v>0</v>
      </c>
      <c r="BF74" s="78">
        <f t="shared" si="26"/>
        <v>0</v>
      </c>
      <c r="BG74" s="78">
        <f t="shared" si="27"/>
        <v>0</v>
      </c>
      <c r="BH74" s="78">
        <f t="shared" si="28"/>
        <v>0</v>
      </c>
      <c r="BI74" s="78"/>
      <c r="BJ74" s="91">
        <f t="shared" si="29"/>
        <v>0</v>
      </c>
      <c r="BK74" s="91">
        <f t="shared" si="30"/>
        <v>0</v>
      </c>
      <c r="BL74" s="78"/>
      <c r="BM74" s="78">
        <f t="shared" si="31"/>
        <v>0</v>
      </c>
      <c r="BN74" s="78">
        <f t="shared" si="32"/>
        <v>0</v>
      </c>
      <c r="BO74" s="78">
        <f t="shared" si="33"/>
        <v>0</v>
      </c>
      <c r="BP74" s="78">
        <f t="shared" si="34"/>
        <v>0</v>
      </c>
      <c r="BQ74" s="78">
        <f t="shared" si="35"/>
        <v>0</v>
      </c>
      <c r="BR74" s="78">
        <f t="shared" si="36"/>
        <v>0</v>
      </c>
      <c r="BS74" s="78">
        <f t="shared" si="37"/>
        <v>0</v>
      </c>
      <c r="BT74" s="78">
        <f t="shared" si="38"/>
        <v>0</v>
      </c>
      <c r="BU74" s="91">
        <f t="shared" si="39"/>
        <v>0</v>
      </c>
      <c r="BV74" s="91">
        <f t="shared" si="40"/>
        <v>0</v>
      </c>
      <c r="BW74" s="78"/>
      <c r="BX74" s="78"/>
      <c r="BY74" s="78">
        <f t="shared" si="41"/>
        <v>0</v>
      </c>
      <c r="BZ74" s="78">
        <f t="shared" si="42"/>
        <v>0</v>
      </c>
      <c r="CA74" s="78">
        <f t="shared" si="43"/>
        <v>0</v>
      </c>
      <c r="CB74" s="78">
        <f t="shared" si="44"/>
        <v>0</v>
      </c>
      <c r="CC74" s="78">
        <f t="shared" si="45"/>
        <v>0</v>
      </c>
      <c r="CD74" s="78">
        <f t="shared" si="46"/>
        <v>0</v>
      </c>
      <c r="CE74" s="78">
        <f t="shared" si="47"/>
        <v>0</v>
      </c>
      <c r="CF74" s="78">
        <f t="shared" si="48"/>
        <v>0</v>
      </c>
      <c r="CG74" s="78"/>
      <c r="CH74" s="92">
        <f t="shared" si="49"/>
        <v>0</v>
      </c>
      <c r="CI74" s="93">
        <f t="shared" si="50"/>
        <v>0</v>
      </c>
      <c r="CJ74" s="94">
        <f t="shared" si="51"/>
        <v>0</v>
      </c>
      <c r="CL74" s="78">
        <f t="shared" si="52"/>
        <v>0</v>
      </c>
      <c r="CM74" s="78">
        <f t="shared" si="53"/>
        <v>0</v>
      </c>
      <c r="CN74" s="78">
        <f t="shared" si="54"/>
        <v>0</v>
      </c>
      <c r="CO74" s="78">
        <f t="shared" si="55"/>
        <v>0</v>
      </c>
    </row>
    <row r="75" spans="1:93" ht="13.5" thickBot="1">
      <c r="A75" s="95"/>
      <c r="B75" s="96"/>
      <c r="C75" s="97"/>
      <c r="D75" s="98"/>
      <c r="E75" s="99"/>
      <c r="F75" s="100"/>
      <c r="G75" s="100"/>
      <c r="H75" s="100"/>
      <c r="I75" s="100"/>
      <c r="J75" s="100"/>
      <c r="K75" s="101" t="str">
        <f t="shared" si="56"/>
        <v/>
      </c>
      <c r="L75" s="102"/>
      <c r="M75" s="103"/>
      <c r="N75" s="104"/>
      <c r="O75" s="105"/>
      <c r="P75" s="106">
        <f t="shared" si="57"/>
        <v>0</v>
      </c>
      <c r="Q75" s="106">
        <f t="shared" si="58"/>
        <v>0</v>
      </c>
      <c r="R75" s="106">
        <f t="shared" si="59"/>
        <v>0</v>
      </c>
      <c r="S75" s="106">
        <f t="shared" si="60"/>
        <v>0</v>
      </c>
      <c r="T75" s="107">
        <f t="shared" si="61"/>
        <v>0</v>
      </c>
      <c r="U75" s="78"/>
      <c r="AG75" s="108"/>
      <c r="AI75" s="78">
        <f t="shared" si="5"/>
        <v>0</v>
      </c>
      <c r="AJ75" s="78">
        <f t="shared" si="6"/>
        <v>0</v>
      </c>
      <c r="AK75" s="78">
        <f t="shared" si="7"/>
        <v>0</v>
      </c>
      <c r="AL75" s="78">
        <f t="shared" si="8"/>
        <v>0</v>
      </c>
      <c r="AM75" s="78">
        <f t="shared" si="9"/>
        <v>0</v>
      </c>
      <c r="AN75" s="78">
        <f t="shared" si="10"/>
        <v>0</v>
      </c>
      <c r="AO75" s="78">
        <f t="shared" si="11"/>
        <v>0</v>
      </c>
      <c r="AP75" s="78">
        <f t="shared" si="12"/>
        <v>0</v>
      </c>
      <c r="AQ75" s="78">
        <f t="shared" si="13"/>
        <v>0</v>
      </c>
      <c r="AR75" s="78">
        <f t="shared" si="14"/>
        <v>0</v>
      </c>
      <c r="AS75" s="90">
        <f t="shared" si="15"/>
        <v>0</v>
      </c>
      <c r="AT75" s="91">
        <f t="shared" si="16"/>
        <v>0</v>
      </c>
      <c r="AV75" s="91">
        <f t="shared" si="17"/>
        <v>0</v>
      </c>
      <c r="AW75" s="78">
        <f t="shared" si="18"/>
        <v>0</v>
      </c>
      <c r="AX75" s="78">
        <f t="shared" si="19"/>
        <v>0</v>
      </c>
      <c r="AY75" s="78"/>
      <c r="AZ75" s="78">
        <f t="shared" si="20"/>
        <v>0</v>
      </c>
      <c r="BA75" s="78">
        <f t="shared" si="21"/>
        <v>0</v>
      </c>
      <c r="BB75" s="78">
        <f t="shared" si="22"/>
        <v>0</v>
      </c>
      <c r="BC75" s="78">
        <f t="shared" si="23"/>
        <v>0</v>
      </c>
      <c r="BD75" s="78">
        <f t="shared" si="24"/>
        <v>0</v>
      </c>
      <c r="BE75" s="78">
        <f t="shared" si="25"/>
        <v>0</v>
      </c>
      <c r="BF75" s="78">
        <f t="shared" si="26"/>
        <v>0</v>
      </c>
      <c r="BG75" s="78">
        <f t="shared" si="27"/>
        <v>0</v>
      </c>
      <c r="BH75" s="78">
        <f t="shared" si="28"/>
        <v>0</v>
      </c>
      <c r="BI75" s="78"/>
      <c r="BJ75" s="91">
        <f t="shared" si="29"/>
        <v>0</v>
      </c>
      <c r="BK75" s="91">
        <f t="shared" si="30"/>
        <v>0</v>
      </c>
      <c r="BL75" s="78"/>
      <c r="BM75" s="78">
        <f t="shared" si="31"/>
        <v>0</v>
      </c>
      <c r="BN75" s="78">
        <f t="shared" si="32"/>
        <v>0</v>
      </c>
      <c r="BO75" s="78">
        <f t="shared" si="33"/>
        <v>0</v>
      </c>
      <c r="BP75" s="78">
        <f t="shared" si="34"/>
        <v>0</v>
      </c>
      <c r="BQ75" s="78">
        <f t="shared" si="35"/>
        <v>0</v>
      </c>
      <c r="BR75" s="78">
        <f t="shared" si="36"/>
        <v>0</v>
      </c>
      <c r="BS75" s="78">
        <f t="shared" si="37"/>
        <v>0</v>
      </c>
      <c r="BT75" s="78">
        <f t="shared" si="38"/>
        <v>0</v>
      </c>
      <c r="BU75" s="91">
        <f t="shared" si="39"/>
        <v>0</v>
      </c>
      <c r="BV75" s="91">
        <f t="shared" si="40"/>
        <v>0</v>
      </c>
      <c r="BW75" s="78"/>
      <c r="BX75" s="78"/>
      <c r="BY75" s="78">
        <f t="shared" si="41"/>
        <v>0</v>
      </c>
      <c r="BZ75" s="78">
        <f t="shared" si="42"/>
        <v>0</v>
      </c>
      <c r="CA75" s="78">
        <f t="shared" si="43"/>
        <v>0</v>
      </c>
      <c r="CB75" s="78">
        <f t="shared" si="44"/>
        <v>0</v>
      </c>
      <c r="CC75" s="78">
        <f t="shared" si="45"/>
        <v>0</v>
      </c>
      <c r="CD75" s="78">
        <f t="shared" si="46"/>
        <v>0</v>
      </c>
      <c r="CE75" s="78">
        <f t="shared" si="47"/>
        <v>0</v>
      </c>
      <c r="CF75" s="78">
        <f t="shared" si="48"/>
        <v>0</v>
      </c>
      <c r="CG75" s="78"/>
      <c r="CH75" s="92">
        <f t="shared" si="49"/>
        <v>0</v>
      </c>
      <c r="CI75" s="93">
        <f t="shared" si="50"/>
        <v>0</v>
      </c>
      <c r="CJ75" s="94">
        <f t="shared" si="51"/>
        <v>0</v>
      </c>
      <c r="CL75" s="78">
        <f t="shared" si="52"/>
        <v>0</v>
      </c>
      <c r="CM75" s="78">
        <f t="shared" si="53"/>
        <v>0</v>
      </c>
      <c r="CN75" s="78">
        <f t="shared" si="54"/>
        <v>0</v>
      </c>
      <c r="CO75" s="78">
        <f t="shared" si="55"/>
        <v>0</v>
      </c>
    </row>
    <row r="76" spans="1:93" ht="13.5" thickBot="1">
      <c r="A76" s="95"/>
      <c r="B76" s="96"/>
      <c r="C76" s="97"/>
      <c r="D76" s="98"/>
      <c r="E76" s="99"/>
      <c r="F76" s="100"/>
      <c r="G76" s="100"/>
      <c r="H76" s="100"/>
      <c r="I76" s="100"/>
      <c r="J76" s="100"/>
      <c r="K76" s="101" t="str">
        <f t="shared" si="56"/>
        <v/>
      </c>
      <c r="L76" s="102"/>
      <c r="M76" s="103"/>
      <c r="N76" s="104"/>
      <c r="O76" s="105"/>
      <c r="P76" s="106">
        <f t="shared" si="57"/>
        <v>0</v>
      </c>
      <c r="Q76" s="106">
        <f t="shared" si="58"/>
        <v>0</v>
      </c>
      <c r="R76" s="106">
        <f t="shared" si="59"/>
        <v>0</v>
      </c>
      <c r="S76" s="106">
        <f t="shared" si="60"/>
        <v>0</v>
      </c>
      <c r="T76" s="107">
        <f t="shared" si="61"/>
        <v>0</v>
      </c>
      <c r="U76" s="78"/>
      <c r="AG76" s="108"/>
      <c r="AI76" s="78">
        <f t="shared" si="5"/>
        <v>0</v>
      </c>
      <c r="AJ76" s="78">
        <f t="shared" si="6"/>
        <v>0</v>
      </c>
      <c r="AK76" s="78">
        <f t="shared" si="7"/>
        <v>0</v>
      </c>
      <c r="AL76" s="78">
        <f t="shared" si="8"/>
        <v>0</v>
      </c>
      <c r="AM76" s="78">
        <f t="shared" si="9"/>
        <v>0</v>
      </c>
      <c r="AN76" s="78">
        <f t="shared" si="10"/>
        <v>0</v>
      </c>
      <c r="AO76" s="78">
        <f t="shared" si="11"/>
        <v>0</v>
      </c>
      <c r="AP76" s="78">
        <f t="shared" si="12"/>
        <v>0</v>
      </c>
      <c r="AQ76" s="78">
        <f t="shared" si="13"/>
        <v>0</v>
      </c>
      <c r="AR76" s="78">
        <f t="shared" si="14"/>
        <v>0</v>
      </c>
      <c r="AS76" s="90">
        <f t="shared" si="15"/>
        <v>0</v>
      </c>
      <c r="AT76" s="91">
        <f t="shared" si="16"/>
        <v>0</v>
      </c>
      <c r="AV76" s="91">
        <f t="shared" si="17"/>
        <v>0</v>
      </c>
      <c r="AW76" s="78">
        <f t="shared" si="18"/>
        <v>0</v>
      </c>
      <c r="AX76" s="78">
        <f t="shared" si="19"/>
        <v>0</v>
      </c>
      <c r="AY76" s="78"/>
      <c r="AZ76" s="78">
        <f t="shared" si="20"/>
        <v>0</v>
      </c>
      <c r="BA76" s="78">
        <f t="shared" si="21"/>
        <v>0</v>
      </c>
      <c r="BB76" s="78">
        <f t="shared" si="22"/>
        <v>0</v>
      </c>
      <c r="BC76" s="78">
        <f t="shared" si="23"/>
        <v>0</v>
      </c>
      <c r="BD76" s="78">
        <f t="shared" si="24"/>
        <v>0</v>
      </c>
      <c r="BE76" s="78">
        <f t="shared" si="25"/>
        <v>0</v>
      </c>
      <c r="BF76" s="78">
        <f t="shared" si="26"/>
        <v>0</v>
      </c>
      <c r="BG76" s="78">
        <f t="shared" si="27"/>
        <v>0</v>
      </c>
      <c r="BH76" s="78">
        <f t="shared" si="28"/>
        <v>0</v>
      </c>
      <c r="BI76" s="78"/>
      <c r="BJ76" s="91">
        <f t="shared" si="29"/>
        <v>0</v>
      </c>
      <c r="BK76" s="91">
        <f t="shared" si="30"/>
        <v>0</v>
      </c>
      <c r="BL76" s="78"/>
      <c r="BM76" s="78">
        <f t="shared" si="31"/>
        <v>0</v>
      </c>
      <c r="BN76" s="78">
        <f t="shared" si="32"/>
        <v>0</v>
      </c>
      <c r="BO76" s="78">
        <f t="shared" si="33"/>
        <v>0</v>
      </c>
      <c r="BP76" s="78">
        <f t="shared" si="34"/>
        <v>0</v>
      </c>
      <c r="BQ76" s="78">
        <f t="shared" si="35"/>
        <v>0</v>
      </c>
      <c r="BR76" s="78">
        <f t="shared" si="36"/>
        <v>0</v>
      </c>
      <c r="BS76" s="78">
        <f t="shared" si="37"/>
        <v>0</v>
      </c>
      <c r="BT76" s="78">
        <f t="shared" si="38"/>
        <v>0</v>
      </c>
      <c r="BU76" s="91">
        <f t="shared" si="39"/>
        <v>0</v>
      </c>
      <c r="BV76" s="91">
        <f t="shared" si="40"/>
        <v>0</v>
      </c>
      <c r="BW76" s="78"/>
      <c r="BX76" s="78"/>
      <c r="BY76" s="78">
        <f t="shared" si="41"/>
        <v>0</v>
      </c>
      <c r="BZ76" s="78">
        <f t="shared" si="42"/>
        <v>0</v>
      </c>
      <c r="CA76" s="78">
        <f t="shared" si="43"/>
        <v>0</v>
      </c>
      <c r="CB76" s="78">
        <f t="shared" si="44"/>
        <v>0</v>
      </c>
      <c r="CC76" s="78">
        <f t="shared" si="45"/>
        <v>0</v>
      </c>
      <c r="CD76" s="78">
        <f t="shared" si="46"/>
        <v>0</v>
      </c>
      <c r="CE76" s="78">
        <f t="shared" si="47"/>
        <v>0</v>
      </c>
      <c r="CF76" s="78">
        <f t="shared" si="48"/>
        <v>0</v>
      </c>
      <c r="CG76" s="78"/>
      <c r="CH76" s="92">
        <f t="shared" si="49"/>
        <v>0</v>
      </c>
      <c r="CI76" s="93">
        <f t="shared" si="50"/>
        <v>0</v>
      </c>
      <c r="CJ76" s="94">
        <f t="shared" si="51"/>
        <v>0</v>
      </c>
      <c r="CL76" s="78">
        <f t="shared" si="52"/>
        <v>0</v>
      </c>
      <c r="CM76" s="78">
        <f t="shared" si="53"/>
        <v>0</v>
      </c>
      <c r="CN76" s="78">
        <f t="shared" si="54"/>
        <v>0</v>
      </c>
      <c r="CO76" s="78">
        <f t="shared" si="55"/>
        <v>0</v>
      </c>
    </row>
    <row r="77" spans="1:93" ht="13.5" thickBot="1">
      <c r="A77" s="95"/>
      <c r="B77" s="96"/>
      <c r="C77" s="97"/>
      <c r="D77" s="98"/>
      <c r="E77" s="99"/>
      <c r="F77" s="100"/>
      <c r="G77" s="100"/>
      <c r="H77" s="100"/>
      <c r="I77" s="100"/>
      <c r="J77" s="100"/>
      <c r="K77" s="101" t="str">
        <f t="shared" si="56"/>
        <v/>
      </c>
      <c r="L77" s="102"/>
      <c r="M77" s="103"/>
      <c r="N77" s="104"/>
      <c r="O77" s="105"/>
      <c r="P77" s="106">
        <f t="shared" si="57"/>
        <v>0</v>
      </c>
      <c r="Q77" s="106">
        <f t="shared" si="58"/>
        <v>0</v>
      </c>
      <c r="R77" s="106">
        <f t="shared" si="59"/>
        <v>0</v>
      </c>
      <c r="S77" s="106">
        <f t="shared" si="60"/>
        <v>0</v>
      </c>
      <c r="T77" s="107">
        <f t="shared" si="61"/>
        <v>0</v>
      </c>
      <c r="U77" s="78"/>
      <c r="AG77" s="108"/>
      <c r="AI77" s="78">
        <f t="shared" si="5"/>
        <v>0</v>
      </c>
      <c r="AJ77" s="78">
        <f t="shared" si="6"/>
        <v>0</v>
      </c>
      <c r="AK77" s="78">
        <f t="shared" si="7"/>
        <v>0</v>
      </c>
      <c r="AL77" s="78">
        <f t="shared" si="8"/>
        <v>0</v>
      </c>
      <c r="AM77" s="78">
        <f t="shared" si="9"/>
        <v>0</v>
      </c>
      <c r="AN77" s="78">
        <f t="shared" si="10"/>
        <v>0</v>
      </c>
      <c r="AO77" s="78">
        <f t="shared" si="11"/>
        <v>0</v>
      </c>
      <c r="AP77" s="78">
        <f t="shared" si="12"/>
        <v>0</v>
      </c>
      <c r="AQ77" s="78">
        <f t="shared" si="13"/>
        <v>0</v>
      </c>
      <c r="AR77" s="78">
        <f t="shared" si="14"/>
        <v>0</v>
      </c>
      <c r="AS77" s="90">
        <f t="shared" si="15"/>
        <v>0</v>
      </c>
      <c r="AT77" s="91">
        <f t="shared" si="16"/>
        <v>0</v>
      </c>
      <c r="AV77" s="91">
        <f t="shared" si="17"/>
        <v>0</v>
      </c>
      <c r="AW77" s="78">
        <f t="shared" si="18"/>
        <v>0</v>
      </c>
      <c r="AX77" s="78">
        <f t="shared" si="19"/>
        <v>0</v>
      </c>
      <c r="AY77" s="78"/>
      <c r="AZ77" s="78">
        <f t="shared" si="20"/>
        <v>0</v>
      </c>
      <c r="BA77" s="78">
        <f t="shared" si="21"/>
        <v>0</v>
      </c>
      <c r="BB77" s="78">
        <f t="shared" si="22"/>
        <v>0</v>
      </c>
      <c r="BC77" s="78">
        <f t="shared" si="23"/>
        <v>0</v>
      </c>
      <c r="BD77" s="78">
        <f t="shared" si="24"/>
        <v>0</v>
      </c>
      <c r="BE77" s="78">
        <f t="shared" si="25"/>
        <v>0</v>
      </c>
      <c r="BF77" s="78">
        <f t="shared" si="26"/>
        <v>0</v>
      </c>
      <c r="BG77" s="78">
        <f t="shared" si="27"/>
        <v>0</v>
      </c>
      <c r="BH77" s="78">
        <f t="shared" si="28"/>
        <v>0</v>
      </c>
      <c r="BI77" s="78"/>
      <c r="BJ77" s="91">
        <f t="shared" si="29"/>
        <v>0</v>
      </c>
      <c r="BK77" s="91">
        <f t="shared" si="30"/>
        <v>0</v>
      </c>
      <c r="BL77" s="78"/>
      <c r="BM77" s="78">
        <f t="shared" si="31"/>
        <v>0</v>
      </c>
      <c r="BN77" s="78">
        <f t="shared" si="32"/>
        <v>0</v>
      </c>
      <c r="BO77" s="78">
        <f t="shared" si="33"/>
        <v>0</v>
      </c>
      <c r="BP77" s="78">
        <f t="shared" si="34"/>
        <v>0</v>
      </c>
      <c r="BQ77" s="78">
        <f t="shared" si="35"/>
        <v>0</v>
      </c>
      <c r="BR77" s="78">
        <f t="shared" si="36"/>
        <v>0</v>
      </c>
      <c r="BS77" s="78">
        <f t="shared" si="37"/>
        <v>0</v>
      </c>
      <c r="BT77" s="78">
        <f t="shared" si="38"/>
        <v>0</v>
      </c>
      <c r="BU77" s="91">
        <f t="shared" si="39"/>
        <v>0</v>
      </c>
      <c r="BV77" s="91">
        <f t="shared" si="40"/>
        <v>0</v>
      </c>
      <c r="BW77" s="78"/>
      <c r="BX77" s="78"/>
      <c r="BY77" s="78">
        <f t="shared" si="41"/>
        <v>0</v>
      </c>
      <c r="BZ77" s="78">
        <f t="shared" si="42"/>
        <v>0</v>
      </c>
      <c r="CA77" s="78">
        <f t="shared" si="43"/>
        <v>0</v>
      </c>
      <c r="CB77" s="78">
        <f t="shared" si="44"/>
        <v>0</v>
      </c>
      <c r="CC77" s="78">
        <f t="shared" si="45"/>
        <v>0</v>
      </c>
      <c r="CD77" s="78">
        <f t="shared" si="46"/>
        <v>0</v>
      </c>
      <c r="CE77" s="78">
        <f t="shared" si="47"/>
        <v>0</v>
      </c>
      <c r="CF77" s="78">
        <f t="shared" si="48"/>
        <v>0</v>
      </c>
      <c r="CG77" s="78"/>
      <c r="CH77" s="92">
        <f t="shared" si="49"/>
        <v>0</v>
      </c>
      <c r="CI77" s="93">
        <f t="shared" si="50"/>
        <v>0</v>
      </c>
      <c r="CJ77" s="94">
        <f t="shared" si="51"/>
        <v>0</v>
      </c>
      <c r="CL77" s="78">
        <f t="shared" si="52"/>
        <v>0</v>
      </c>
      <c r="CM77" s="78">
        <f t="shared" si="53"/>
        <v>0</v>
      </c>
      <c r="CN77" s="78">
        <f t="shared" si="54"/>
        <v>0</v>
      </c>
      <c r="CO77" s="78">
        <f t="shared" si="55"/>
        <v>0</v>
      </c>
    </row>
    <row r="78" spans="1:93" ht="13.5" thickBot="1">
      <c r="A78" s="95"/>
      <c r="B78" s="96"/>
      <c r="C78" s="97"/>
      <c r="D78" s="98"/>
      <c r="E78" s="99"/>
      <c r="F78" s="100"/>
      <c r="G78" s="100"/>
      <c r="H78" s="100"/>
      <c r="I78" s="100"/>
      <c r="J78" s="100"/>
      <c r="K78" s="101" t="str">
        <f t="shared" si="56"/>
        <v/>
      </c>
      <c r="L78" s="102"/>
      <c r="M78" s="103"/>
      <c r="N78" s="104"/>
      <c r="O78" s="105"/>
      <c r="P78" s="106">
        <f t="shared" si="57"/>
        <v>0</v>
      </c>
      <c r="Q78" s="106">
        <f t="shared" si="58"/>
        <v>0</v>
      </c>
      <c r="R78" s="106">
        <f t="shared" si="59"/>
        <v>0</v>
      </c>
      <c r="S78" s="106">
        <f t="shared" si="60"/>
        <v>0</v>
      </c>
      <c r="T78" s="107">
        <f t="shared" si="61"/>
        <v>0</v>
      </c>
      <c r="U78" s="78"/>
      <c r="AG78" s="108"/>
      <c r="AI78" s="78">
        <f t="shared" si="5"/>
        <v>0</v>
      </c>
      <c r="AJ78" s="78">
        <f t="shared" si="6"/>
        <v>0</v>
      </c>
      <c r="AK78" s="78">
        <f t="shared" si="7"/>
        <v>0</v>
      </c>
      <c r="AL78" s="78">
        <f t="shared" si="8"/>
        <v>0</v>
      </c>
      <c r="AM78" s="78">
        <f t="shared" si="9"/>
        <v>0</v>
      </c>
      <c r="AN78" s="78">
        <f t="shared" si="10"/>
        <v>0</v>
      </c>
      <c r="AO78" s="78">
        <f t="shared" si="11"/>
        <v>0</v>
      </c>
      <c r="AP78" s="78">
        <f t="shared" si="12"/>
        <v>0</v>
      </c>
      <c r="AQ78" s="78">
        <f t="shared" si="13"/>
        <v>0</v>
      </c>
      <c r="AR78" s="78">
        <f t="shared" si="14"/>
        <v>0</v>
      </c>
      <c r="AS78" s="90">
        <f t="shared" si="15"/>
        <v>0</v>
      </c>
      <c r="AT78" s="91">
        <f t="shared" si="16"/>
        <v>0</v>
      </c>
      <c r="AV78" s="91">
        <f t="shared" si="17"/>
        <v>0</v>
      </c>
      <c r="AW78" s="78">
        <f t="shared" si="18"/>
        <v>0</v>
      </c>
      <c r="AX78" s="78">
        <f t="shared" si="19"/>
        <v>0</v>
      </c>
      <c r="AY78" s="78"/>
      <c r="AZ78" s="78">
        <f t="shared" si="20"/>
        <v>0</v>
      </c>
      <c r="BA78" s="78">
        <f t="shared" si="21"/>
        <v>0</v>
      </c>
      <c r="BB78" s="78">
        <f t="shared" si="22"/>
        <v>0</v>
      </c>
      <c r="BC78" s="78">
        <f t="shared" si="23"/>
        <v>0</v>
      </c>
      <c r="BD78" s="78">
        <f t="shared" si="24"/>
        <v>0</v>
      </c>
      <c r="BE78" s="78">
        <f t="shared" si="25"/>
        <v>0</v>
      </c>
      <c r="BF78" s="78">
        <f t="shared" si="26"/>
        <v>0</v>
      </c>
      <c r="BG78" s="78">
        <f t="shared" si="27"/>
        <v>0</v>
      </c>
      <c r="BH78" s="78">
        <f t="shared" si="28"/>
        <v>0</v>
      </c>
      <c r="BI78" s="78"/>
      <c r="BJ78" s="91">
        <f t="shared" si="29"/>
        <v>0</v>
      </c>
      <c r="BK78" s="91">
        <f t="shared" si="30"/>
        <v>0</v>
      </c>
      <c r="BL78" s="78"/>
      <c r="BM78" s="78">
        <f t="shared" si="31"/>
        <v>0</v>
      </c>
      <c r="BN78" s="78">
        <f t="shared" si="32"/>
        <v>0</v>
      </c>
      <c r="BO78" s="78">
        <f t="shared" si="33"/>
        <v>0</v>
      </c>
      <c r="BP78" s="78">
        <f t="shared" si="34"/>
        <v>0</v>
      </c>
      <c r="BQ78" s="78">
        <f t="shared" si="35"/>
        <v>0</v>
      </c>
      <c r="BR78" s="78">
        <f t="shared" si="36"/>
        <v>0</v>
      </c>
      <c r="BS78" s="78">
        <f t="shared" si="37"/>
        <v>0</v>
      </c>
      <c r="BT78" s="78">
        <f t="shared" si="38"/>
        <v>0</v>
      </c>
      <c r="BU78" s="91">
        <f t="shared" si="39"/>
        <v>0</v>
      </c>
      <c r="BV78" s="91">
        <f t="shared" si="40"/>
        <v>0</v>
      </c>
      <c r="BW78" s="78"/>
      <c r="BX78" s="78"/>
      <c r="BY78" s="78">
        <f t="shared" si="41"/>
        <v>0</v>
      </c>
      <c r="BZ78" s="78">
        <f t="shared" si="42"/>
        <v>0</v>
      </c>
      <c r="CA78" s="78">
        <f t="shared" si="43"/>
        <v>0</v>
      </c>
      <c r="CB78" s="78">
        <f t="shared" si="44"/>
        <v>0</v>
      </c>
      <c r="CC78" s="78">
        <f t="shared" si="45"/>
        <v>0</v>
      </c>
      <c r="CD78" s="78">
        <f t="shared" si="46"/>
        <v>0</v>
      </c>
      <c r="CE78" s="78">
        <f t="shared" si="47"/>
        <v>0</v>
      </c>
      <c r="CF78" s="78">
        <f t="shared" si="48"/>
        <v>0</v>
      </c>
      <c r="CG78" s="78"/>
      <c r="CH78" s="92">
        <f t="shared" si="49"/>
        <v>0</v>
      </c>
      <c r="CI78" s="93">
        <f t="shared" si="50"/>
        <v>0</v>
      </c>
      <c r="CJ78" s="94">
        <f t="shared" si="51"/>
        <v>0</v>
      </c>
      <c r="CL78" s="78">
        <f t="shared" si="52"/>
        <v>0</v>
      </c>
      <c r="CM78" s="78">
        <f t="shared" si="53"/>
        <v>0</v>
      </c>
      <c r="CN78" s="78">
        <f t="shared" si="54"/>
        <v>0</v>
      </c>
      <c r="CO78" s="78">
        <f t="shared" si="55"/>
        <v>0</v>
      </c>
    </row>
    <row r="79" spans="1:93" ht="13.5" thickBot="1">
      <c r="A79" s="95"/>
      <c r="B79" s="96"/>
      <c r="C79" s="97"/>
      <c r="D79" s="98"/>
      <c r="E79" s="99"/>
      <c r="F79" s="100"/>
      <c r="G79" s="100"/>
      <c r="H79" s="100"/>
      <c r="I79" s="100"/>
      <c r="J79" s="100"/>
      <c r="K79" s="101" t="str">
        <f t="shared" si="56"/>
        <v/>
      </c>
      <c r="L79" s="102"/>
      <c r="M79" s="103"/>
      <c r="N79" s="104"/>
      <c r="O79" s="105"/>
      <c r="P79" s="106">
        <f t="shared" si="57"/>
        <v>0</v>
      </c>
      <c r="Q79" s="106">
        <f t="shared" si="58"/>
        <v>0</v>
      </c>
      <c r="R79" s="106">
        <f t="shared" si="59"/>
        <v>0</v>
      </c>
      <c r="S79" s="106">
        <f t="shared" si="60"/>
        <v>0</v>
      </c>
      <c r="T79" s="107">
        <f t="shared" si="61"/>
        <v>0</v>
      </c>
      <c r="U79" s="78"/>
      <c r="AG79" s="108"/>
      <c r="AI79" s="78">
        <f t="shared" si="5"/>
        <v>0</v>
      </c>
      <c r="AJ79" s="78">
        <f t="shared" si="6"/>
        <v>0</v>
      </c>
      <c r="AK79" s="78">
        <f t="shared" si="7"/>
        <v>0</v>
      </c>
      <c r="AL79" s="78">
        <f t="shared" si="8"/>
        <v>0</v>
      </c>
      <c r="AM79" s="78">
        <f t="shared" si="9"/>
        <v>0</v>
      </c>
      <c r="AN79" s="78">
        <f t="shared" si="10"/>
        <v>0</v>
      </c>
      <c r="AO79" s="78">
        <f t="shared" si="11"/>
        <v>0</v>
      </c>
      <c r="AP79" s="78">
        <f t="shared" si="12"/>
        <v>0</v>
      </c>
      <c r="AQ79" s="78">
        <f t="shared" si="13"/>
        <v>0</v>
      </c>
      <c r="AR79" s="78">
        <f t="shared" si="14"/>
        <v>0</v>
      </c>
      <c r="AS79" s="90">
        <f t="shared" si="15"/>
        <v>0</v>
      </c>
      <c r="AT79" s="91">
        <f t="shared" si="16"/>
        <v>0</v>
      </c>
      <c r="AV79" s="91">
        <f t="shared" si="17"/>
        <v>0</v>
      </c>
      <c r="AW79" s="78">
        <f t="shared" si="18"/>
        <v>0</v>
      </c>
      <c r="AX79" s="78">
        <f t="shared" si="19"/>
        <v>0</v>
      </c>
      <c r="AY79" s="78"/>
      <c r="AZ79" s="78">
        <f t="shared" si="20"/>
        <v>0</v>
      </c>
      <c r="BA79" s="78">
        <f t="shared" si="21"/>
        <v>0</v>
      </c>
      <c r="BB79" s="78">
        <f t="shared" si="22"/>
        <v>0</v>
      </c>
      <c r="BC79" s="78">
        <f t="shared" si="23"/>
        <v>0</v>
      </c>
      <c r="BD79" s="78">
        <f t="shared" si="24"/>
        <v>0</v>
      </c>
      <c r="BE79" s="78">
        <f t="shared" si="25"/>
        <v>0</v>
      </c>
      <c r="BF79" s="78">
        <f t="shared" si="26"/>
        <v>0</v>
      </c>
      <c r="BG79" s="78">
        <f t="shared" si="27"/>
        <v>0</v>
      </c>
      <c r="BH79" s="78">
        <f t="shared" si="28"/>
        <v>0</v>
      </c>
      <c r="BI79" s="78"/>
      <c r="BJ79" s="91">
        <f t="shared" si="29"/>
        <v>0</v>
      </c>
      <c r="BK79" s="91">
        <f t="shared" si="30"/>
        <v>0</v>
      </c>
      <c r="BL79" s="78"/>
      <c r="BM79" s="78">
        <f t="shared" si="31"/>
        <v>0</v>
      </c>
      <c r="BN79" s="78">
        <f t="shared" si="32"/>
        <v>0</v>
      </c>
      <c r="BO79" s="78">
        <f t="shared" si="33"/>
        <v>0</v>
      </c>
      <c r="BP79" s="78">
        <f t="shared" si="34"/>
        <v>0</v>
      </c>
      <c r="BQ79" s="78">
        <f t="shared" si="35"/>
        <v>0</v>
      </c>
      <c r="BR79" s="78">
        <f t="shared" si="36"/>
        <v>0</v>
      </c>
      <c r="BS79" s="78">
        <f t="shared" si="37"/>
        <v>0</v>
      </c>
      <c r="BT79" s="78">
        <f t="shared" si="38"/>
        <v>0</v>
      </c>
      <c r="BU79" s="91">
        <f t="shared" si="39"/>
        <v>0</v>
      </c>
      <c r="BV79" s="91">
        <f t="shared" si="40"/>
        <v>0</v>
      </c>
      <c r="BW79" s="78"/>
      <c r="BX79" s="78"/>
      <c r="BY79" s="78">
        <f t="shared" si="41"/>
        <v>0</v>
      </c>
      <c r="BZ79" s="78">
        <f t="shared" si="42"/>
        <v>0</v>
      </c>
      <c r="CA79" s="78">
        <f t="shared" si="43"/>
        <v>0</v>
      </c>
      <c r="CB79" s="78">
        <f t="shared" si="44"/>
        <v>0</v>
      </c>
      <c r="CC79" s="78">
        <f t="shared" si="45"/>
        <v>0</v>
      </c>
      <c r="CD79" s="78">
        <f t="shared" si="46"/>
        <v>0</v>
      </c>
      <c r="CE79" s="78">
        <f t="shared" si="47"/>
        <v>0</v>
      </c>
      <c r="CF79" s="78">
        <f t="shared" si="48"/>
        <v>0</v>
      </c>
      <c r="CG79" s="78"/>
      <c r="CH79" s="92">
        <f t="shared" si="49"/>
        <v>0</v>
      </c>
      <c r="CI79" s="93">
        <f t="shared" si="50"/>
        <v>0</v>
      </c>
      <c r="CJ79" s="94">
        <f t="shared" si="51"/>
        <v>0</v>
      </c>
      <c r="CL79" s="78">
        <f t="shared" si="52"/>
        <v>0</v>
      </c>
      <c r="CM79" s="78">
        <f t="shared" si="53"/>
        <v>0</v>
      </c>
      <c r="CN79" s="78">
        <f t="shared" si="54"/>
        <v>0</v>
      </c>
      <c r="CO79" s="78">
        <f t="shared" si="55"/>
        <v>0</v>
      </c>
    </row>
    <row r="80" spans="1:93" ht="13.5" thickBot="1">
      <c r="A80" s="95"/>
      <c r="B80" s="96"/>
      <c r="C80" s="97"/>
      <c r="D80" s="98"/>
      <c r="E80" s="99"/>
      <c r="F80" s="100"/>
      <c r="G80" s="100"/>
      <c r="H80" s="100"/>
      <c r="I80" s="100"/>
      <c r="J80" s="100"/>
      <c r="K80" s="101" t="str">
        <f t="shared" si="56"/>
        <v/>
      </c>
      <c r="L80" s="102"/>
      <c r="M80" s="103"/>
      <c r="N80" s="104"/>
      <c r="O80" s="105"/>
      <c r="P80" s="106">
        <f t="shared" si="57"/>
        <v>0</v>
      </c>
      <c r="Q80" s="106">
        <f t="shared" si="58"/>
        <v>0</v>
      </c>
      <c r="R80" s="106">
        <f t="shared" si="59"/>
        <v>0</v>
      </c>
      <c r="S80" s="106">
        <f t="shared" si="60"/>
        <v>0</v>
      </c>
      <c r="T80" s="107">
        <f t="shared" si="61"/>
        <v>0</v>
      </c>
      <c r="U80" s="78"/>
      <c r="AG80" s="108"/>
      <c r="AI80" s="78">
        <f t="shared" si="5"/>
        <v>0</v>
      </c>
      <c r="AJ80" s="78">
        <f t="shared" si="6"/>
        <v>0</v>
      </c>
      <c r="AK80" s="78">
        <f t="shared" si="7"/>
        <v>0</v>
      </c>
      <c r="AL80" s="78">
        <f t="shared" si="8"/>
        <v>0</v>
      </c>
      <c r="AM80" s="78">
        <f t="shared" si="9"/>
        <v>0</v>
      </c>
      <c r="AN80" s="78">
        <f t="shared" si="10"/>
        <v>0</v>
      </c>
      <c r="AO80" s="78">
        <f t="shared" si="11"/>
        <v>0</v>
      </c>
      <c r="AP80" s="78">
        <f t="shared" si="12"/>
        <v>0</v>
      </c>
      <c r="AQ80" s="78">
        <f t="shared" si="13"/>
        <v>0</v>
      </c>
      <c r="AR80" s="78">
        <f t="shared" si="14"/>
        <v>0</v>
      </c>
      <c r="AS80" s="90">
        <f t="shared" si="15"/>
        <v>0</v>
      </c>
      <c r="AT80" s="91">
        <f t="shared" si="16"/>
        <v>0</v>
      </c>
      <c r="AV80" s="91">
        <f t="shared" si="17"/>
        <v>0</v>
      </c>
      <c r="AW80" s="78">
        <f t="shared" si="18"/>
        <v>0</v>
      </c>
      <c r="AX80" s="78">
        <f t="shared" si="19"/>
        <v>0</v>
      </c>
      <c r="AY80" s="78"/>
      <c r="AZ80" s="78">
        <f t="shared" si="20"/>
        <v>0</v>
      </c>
      <c r="BA80" s="78">
        <f t="shared" si="21"/>
        <v>0</v>
      </c>
      <c r="BB80" s="78">
        <f t="shared" si="22"/>
        <v>0</v>
      </c>
      <c r="BC80" s="78">
        <f t="shared" si="23"/>
        <v>0</v>
      </c>
      <c r="BD80" s="78">
        <f t="shared" si="24"/>
        <v>0</v>
      </c>
      <c r="BE80" s="78">
        <f t="shared" si="25"/>
        <v>0</v>
      </c>
      <c r="BF80" s="78">
        <f t="shared" si="26"/>
        <v>0</v>
      </c>
      <c r="BG80" s="78">
        <f t="shared" si="27"/>
        <v>0</v>
      </c>
      <c r="BH80" s="78">
        <f t="shared" si="28"/>
        <v>0</v>
      </c>
      <c r="BI80" s="78"/>
      <c r="BJ80" s="91">
        <f t="shared" si="29"/>
        <v>0</v>
      </c>
      <c r="BK80" s="91">
        <f t="shared" si="30"/>
        <v>0</v>
      </c>
      <c r="BL80" s="78"/>
      <c r="BM80" s="78">
        <f t="shared" si="31"/>
        <v>0</v>
      </c>
      <c r="BN80" s="78">
        <f t="shared" si="32"/>
        <v>0</v>
      </c>
      <c r="BO80" s="78">
        <f t="shared" si="33"/>
        <v>0</v>
      </c>
      <c r="BP80" s="78">
        <f t="shared" si="34"/>
        <v>0</v>
      </c>
      <c r="BQ80" s="78">
        <f t="shared" si="35"/>
        <v>0</v>
      </c>
      <c r="BR80" s="78">
        <f t="shared" si="36"/>
        <v>0</v>
      </c>
      <c r="BS80" s="78">
        <f t="shared" si="37"/>
        <v>0</v>
      </c>
      <c r="BT80" s="78">
        <f t="shared" si="38"/>
        <v>0</v>
      </c>
      <c r="BU80" s="91">
        <f t="shared" si="39"/>
        <v>0</v>
      </c>
      <c r="BV80" s="91">
        <f t="shared" si="40"/>
        <v>0</v>
      </c>
      <c r="BW80" s="78"/>
      <c r="BX80" s="78"/>
      <c r="BY80" s="78">
        <f t="shared" si="41"/>
        <v>0</v>
      </c>
      <c r="BZ80" s="78">
        <f t="shared" si="42"/>
        <v>0</v>
      </c>
      <c r="CA80" s="78">
        <f t="shared" si="43"/>
        <v>0</v>
      </c>
      <c r="CB80" s="78">
        <f t="shared" si="44"/>
        <v>0</v>
      </c>
      <c r="CC80" s="78">
        <f t="shared" si="45"/>
        <v>0</v>
      </c>
      <c r="CD80" s="78">
        <f t="shared" si="46"/>
        <v>0</v>
      </c>
      <c r="CE80" s="78">
        <f t="shared" si="47"/>
        <v>0</v>
      </c>
      <c r="CF80" s="78">
        <f t="shared" si="48"/>
        <v>0</v>
      </c>
      <c r="CG80" s="78"/>
      <c r="CH80" s="92">
        <f t="shared" si="49"/>
        <v>0</v>
      </c>
      <c r="CI80" s="93">
        <f t="shared" si="50"/>
        <v>0</v>
      </c>
      <c r="CJ80" s="94">
        <f t="shared" si="51"/>
        <v>0</v>
      </c>
      <c r="CL80" s="78">
        <f t="shared" si="52"/>
        <v>0</v>
      </c>
      <c r="CM80" s="78">
        <f t="shared" si="53"/>
        <v>0</v>
      </c>
      <c r="CN80" s="78">
        <f t="shared" si="54"/>
        <v>0</v>
      </c>
      <c r="CO80" s="78">
        <f t="shared" si="55"/>
        <v>0</v>
      </c>
    </row>
    <row r="81" spans="1:93" ht="13.5" thickBot="1">
      <c r="A81" s="95"/>
      <c r="B81" s="96"/>
      <c r="C81" s="97"/>
      <c r="D81" s="98"/>
      <c r="E81" s="99"/>
      <c r="F81" s="100"/>
      <c r="G81" s="100"/>
      <c r="H81" s="100"/>
      <c r="I81" s="100"/>
      <c r="J81" s="100"/>
      <c r="K81" s="101" t="str">
        <f t="shared" si="56"/>
        <v/>
      </c>
      <c r="L81" s="102"/>
      <c r="M81" s="103"/>
      <c r="N81" s="104"/>
      <c r="O81" s="105"/>
      <c r="P81" s="106">
        <f t="shared" si="57"/>
        <v>0</v>
      </c>
      <c r="Q81" s="106">
        <f t="shared" si="58"/>
        <v>0</v>
      </c>
      <c r="R81" s="106">
        <f t="shared" si="59"/>
        <v>0</v>
      </c>
      <c r="S81" s="106">
        <f t="shared" si="60"/>
        <v>0</v>
      </c>
      <c r="T81" s="107">
        <f t="shared" si="61"/>
        <v>0</v>
      </c>
      <c r="U81" s="78"/>
      <c r="AG81" s="108"/>
      <c r="AI81" s="78">
        <f t="shared" si="5"/>
        <v>0</v>
      </c>
      <c r="AJ81" s="78">
        <f t="shared" si="6"/>
        <v>0</v>
      </c>
      <c r="AK81" s="78">
        <f t="shared" si="7"/>
        <v>0</v>
      </c>
      <c r="AL81" s="78">
        <f t="shared" si="8"/>
        <v>0</v>
      </c>
      <c r="AM81" s="78">
        <f t="shared" si="9"/>
        <v>0</v>
      </c>
      <c r="AN81" s="78">
        <f t="shared" si="10"/>
        <v>0</v>
      </c>
      <c r="AO81" s="78">
        <f t="shared" si="11"/>
        <v>0</v>
      </c>
      <c r="AP81" s="78">
        <f t="shared" si="12"/>
        <v>0</v>
      </c>
      <c r="AQ81" s="78">
        <f t="shared" si="13"/>
        <v>0</v>
      </c>
      <c r="AR81" s="78">
        <f t="shared" si="14"/>
        <v>0</v>
      </c>
      <c r="AS81" s="90">
        <f t="shared" si="15"/>
        <v>0</v>
      </c>
      <c r="AT81" s="91">
        <f t="shared" si="16"/>
        <v>0</v>
      </c>
      <c r="AV81" s="91">
        <f t="shared" si="17"/>
        <v>0</v>
      </c>
      <c r="AW81" s="78">
        <f t="shared" si="18"/>
        <v>0</v>
      </c>
      <c r="AX81" s="78">
        <f t="shared" si="19"/>
        <v>0</v>
      </c>
      <c r="AY81" s="78"/>
      <c r="AZ81" s="78">
        <f t="shared" si="20"/>
        <v>0</v>
      </c>
      <c r="BA81" s="78">
        <f t="shared" si="21"/>
        <v>0</v>
      </c>
      <c r="BB81" s="78">
        <f t="shared" si="22"/>
        <v>0</v>
      </c>
      <c r="BC81" s="78">
        <f t="shared" si="23"/>
        <v>0</v>
      </c>
      <c r="BD81" s="78">
        <f t="shared" si="24"/>
        <v>0</v>
      </c>
      <c r="BE81" s="78">
        <f t="shared" si="25"/>
        <v>0</v>
      </c>
      <c r="BF81" s="78">
        <f t="shared" si="26"/>
        <v>0</v>
      </c>
      <c r="BG81" s="78">
        <f t="shared" si="27"/>
        <v>0</v>
      </c>
      <c r="BH81" s="78">
        <f t="shared" si="28"/>
        <v>0</v>
      </c>
      <c r="BI81" s="78"/>
      <c r="BJ81" s="91">
        <f t="shared" si="29"/>
        <v>0</v>
      </c>
      <c r="BK81" s="91">
        <f t="shared" si="30"/>
        <v>0</v>
      </c>
      <c r="BL81" s="78"/>
      <c r="BM81" s="78">
        <f t="shared" si="31"/>
        <v>0</v>
      </c>
      <c r="BN81" s="78">
        <f t="shared" si="32"/>
        <v>0</v>
      </c>
      <c r="BO81" s="78">
        <f t="shared" si="33"/>
        <v>0</v>
      </c>
      <c r="BP81" s="78">
        <f t="shared" si="34"/>
        <v>0</v>
      </c>
      <c r="BQ81" s="78">
        <f t="shared" si="35"/>
        <v>0</v>
      </c>
      <c r="BR81" s="78">
        <f t="shared" si="36"/>
        <v>0</v>
      </c>
      <c r="BS81" s="78">
        <f t="shared" si="37"/>
        <v>0</v>
      </c>
      <c r="BT81" s="78">
        <f t="shared" si="38"/>
        <v>0</v>
      </c>
      <c r="BU81" s="91">
        <f t="shared" si="39"/>
        <v>0</v>
      </c>
      <c r="BV81" s="91">
        <f t="shared" si="40"/>
        <v>0</v>
      </c>
      <c r="BW81" s="78"/>
      <c r="BX81" s="78"/>
      <c r="BY81" s="78">
        <f t="shared" si="41"/>
        <v>0</v>
      </c>
      <c r="BZ81" s="78">
        <f t="shared" si="42"/>
        <v>0</v>
      </c>
      <c r="CA81" s="78">
        <f t="shared" si="43"/>
        <v>0</v>
      </c>
      <c r="CB81" s="78">
        <f t="shared" si="44"/>
        <v>0</v>
      </c>
      <c r="CC81" s="78">
        <f t="shared" si="45"/>
        <v>0</v>
      </c>
      <c r="CD81" s="78">
        <f t="shared" si="46"/>
        <v>0</v>
      </c>
      <c r="CE81" s="78">
        <f t="shared" si="47"/>
        <v>0</v>
      </c>
      <c r="CF81" s="78">
        <f t="shared" si="48"/>
        <v>0</v>
      </c>
      <c r="CG81" s="78"/>
      <c r="CH81" s="92">
        <f t="shared" si="49"/>
        <v>0</v>
      </c>
      <c r="CI81" s="93">
        <f t="shared" si="50"/>
        <v>0</v>
      </c>
      <c r="CJ81" s="94">
        <f t="shared" si="51"/>
        <v>0</v>
      </c>
      <c r="CL81" s="78">
        <f t="shared" si="52"/>
        <v>0</v>
      </c>
      <c r="CM81" s="78">
        <f t="shared" si="53"/>
        <v>0</v>
      </c>
      <c r="CN81" s="78">
        <f t="shared" si="54"/>
        <v>0</v>
      </c>
      <c r="CO81" s="78">
        <f t="shared" si="55"/>
        <v>0</v>
      </c>
    </row>
    <row r="82" spans="1:93" ht="13.5" thickBot="1">
      <c r="A82" s="95"/>
      <c r="B82" s="96"/>
      <c r="C82" s="97"/>
      <c r="D82" s="98"/>
      <c r="E82" s="99"/>
      <c r="F82" s="100"/>
      <c r="G82" s="100"/>
      <c r="H82" s="100"/>
      <c r="I82" s="100"/>
      <c r="J82" s="100"/>
      <c r="K82" s="101" t="str">
        <f t="shared" si="56"/>
        <v/>
      </c>
      <c r="L82" s="102"/>
      <c r="M82" s="103"/>
      <c r="N82" s="104"/>
      <c r="O82" s="105"/>
      <c r="P82" s="106">
        <f t="shared" si="57"/>
        <v>0</v>
      </c>
      <c r="Q82" s="106">
        <f t="shared" si="58"/>
        <v>0</v>
      </c>
      <c r="R82" s="106">
        <f t="shared" si="59"/>
        <v>0</v>
      </c>
      <c r="S82" s="106">
        <f t="shared" si="60"/>
        <v>0</v>
      </c>
      <c r="T82" s="107">
        <f t="shared" si="61"/>
        <v>0</v>
      </c>
      <c r="U82" s="78"/>
      <c r="AG82" s="108"/>
      <c r="AI82" s="78">
        <f t="shared" si="5"/>
        <v>0</v>
      </c>
      <c r="AJ82" s="78">
        <f t="shared" si="6"/>
        <v>0</v>
      </c>
      <c r="AK82" s="78">
        <f t="shared" si="7"/>
        <v>0</v>
      </c>
      <c r="AL82" s="78">
        <f t="shared" si="8"/>
        <v>0</v>
      </c>
      <c r="AM82" s="78">
        <f t="shared" si="9"/>
        <v>0</v>
      </c>
      <c r="AN82" s="78">
        <f t="shared" si="10"/>
        <v>0</v>
      </c>
      <c r="AO82" s="78">
        <f t="shared" si="11"/>
        <v>0</v>
      </c>
      <c r="AP82" s="78">
        <f t="shared" si="12"/>
        <v>0</v>
      </c>
      <c r="AQ82" s="78">
        <f t="shared" si="13"/>
        <v>0</v>
      </c>
      <c r="AR82" s="78">
        <f t="shared" si="14"/>
        <v>0</v>
      </c>
      <c r="AS82" s="90">
        <f t="shared" si="15"/>
        <v>0</v>
      </c>
      <c r="AT82" s="91">
        <f t="shared" si="16"/>
        <v>0</v>
      </c>
      <c r="AV82" s="91">
        <f t="shared" si="17"/>
        <v>0</v>
      </c>
      <c r="AW82" s="78">
        <f t="shared" si="18"/>
        <v>0</v>
      </c>
      <c r="AX82" s="78">
        <f t="shared" si="19"/>
        <v>0</v>
      </c>
      <c r="AY82" s="78"/>
      <c r="AZ82" s="78">
        <f t="shared" si="20"/>
        <v>0</v>
      </c>
      <c r="BA82" s="78">
        <f t="shared" si="21"/>
        <v>0</v>
      </c>
      <c r="BB82" s="78">
        <f t="shared" si="22"/>
        <v>0</v>
      </c>
      <c r="BC82" s="78">
        <f t="shared" si="23"/>
        <v>0</v>
      </c>
      <c r="BD82" s="78">
        <f t="shared" si="24"/>
        <v>0</v>
      </c>
      <c r="BE82" s="78">
        <f t="shared" si="25"/>
        <v>0</v>
      </c>
      <c r="BF82" s="78">
        <f t="shared" si="26"/>
        <v>0</v>
      </c>
      <c r="BG82" s="78">
        <f t="shared" si="27"/>
        <v>0</v>
      </c>
      <c r="BH82" s="78">
        <f t="shared" si="28"/>
        <v>0</v>
      </c>
      <c r="BI82" s="78"/>
      <c r="BJ82" s="91">
        <f t="shared" si="29"/>
        <v>0</v>
      </c>
      <c r="BK82" s="91">
        <f t="shared" si="30"/>
        <v>0</v>
      </c>
      <c r="BL82" s="78"/>
      <c r="BM82" s="78">
        <f t="shared" si="31"/>
        <v>0</v>
      </c>
      <c r="BN82" s="78">
        <f t="shared" si="32"/>
        <v>0</v>
      </c>
      <c r="BO82" s="78">
        <f t="shared" si="33"/>
        <v>0</v>
      </c>
      <c r="BP82" s="78">
        <f t="shared" si="34"/>
        <v>0</v>
      </c>
      <c r="BQ82" s="78">
        <f t="shared" si="35"/>
        <v>0</v>
      </c>
      <c r="BR82" s="78">
        <f t="shared" si="36"/>
        <v>0</v>
      </c>
      <c r="BS82" s="78">
        <f t="shared" si="37"/>
        <v>0</v>
      </c>
      <c r="BT82" s="78">
        <f t="shared" si="38"/>
        <v>0</v>
      </c>
      <c r="BU82" s="91">
        <f t="shared" si="39"/>
        <v>0</v>
      </c>
      <c r="BV82" s="91">
        <f t="shared" si="40"/>
        <v>0</v>
      </c>
      <c r="BW82" s="78"/>
      <c r="BX82" s="78"/>
      <c r="BY82" s="78">
        <f t="shared" si="41"/>
        <v>0</v>
      </c>
      <c r="BZ82" s="78">
        <f t="shared" si="42"/>
        <v>0</v>
      </c>
      <c r="CA82" s="78">
        <f t="shared" si="43"/>
        <v>0</v>
      </c>
      <c r="CB82" s="78">
        <f t="shared" si="44"/>
        <v>0</v>
      </c>
      <c r="CC82" s="78">
        <f t="shared" si="45"/>
        <v>0</v>
      </c>
      <c r="CD82" s="78">
        <f t="shared" si="46"/>
        <v>0</v>
      </c>
      <c r="CE82" s="78">
        <f t="shared" si="47"/>
        <v>0</v>
      </c>
      <c r="CF82" s="78">
        <f t="shared" si="48"/>
        <v>0</v>
      </c>
      <c r="CG82" s="78"/>
      <c r="CH82" s="92">
        <f t="shared" si="49"/>
        <v>0</v>
      </c>
      <c r="CI82" s="93">
        <f t="shared" si="50"/>
        <v>0</v>
      </c>
      <c r="CJ82" s="94">
        <f t="shared" si="51"/>
        <v>0</v>
      </c>
      <c r="CL82" s="78">
        <f t="shared" si="52"/>
        <v>0</v>
      </c>
      <c r="CM82" s="78">
        <f t="shared" si="53"/>
        <v>0</v>
      </c>
      <c r="CN82" s="78">
        <f t="shared" si="54"/>
        <v>0</v>
      </c>
      <c r="CO82" s="78">
        <f t="shared" si="55"/>
        <v>0</v>
      </c>
    </row>
    <row r="83" spans="1:93" ht="13.5" thickBot="1">
      <c r="A83" s="95"/>
      <c r="B83" s="96"/>
      <c r="C83" s="97"/>
      <c r="D83" s="98"/>
      <c r="E83" s="99"/>
      <c r="F83" s="100"/>
      <c r="G83" s="100"/>
      <c r="H83" s="100"/>
      <c r="I83" s="100"/>
      <c r="J83" s="100"/>
      <c r="K83" s="101" t="str">
        <f t="shared" si="56"/>
        <v/>
      </c>
      <c r="L83" s="102"/>
      <c r="M83" s="103"/>
      <c r="N83" s="104"/>
      <c r="O83" s="105"/>
      <c r="P83" s="106">
        <f t="shared" si="57"/>
        <v>0</v>
      </c>
      <c r="Q83" s="106">
        <f t="shared" si="58"/>
        <v>0</v>
      </c>
      <c r="R83" s="106">
        <f t="shared" si="59"/>
        <v>0</v>
      </c>
      <c r="S83" s="106">
        <f t="shared" si="60"/>
        <v>0</v>
      </c>
      <c r="T83" s="107">
        <f t="shared" si="61"/>
        <v>0</v>
      </c>
      <c r="U83" s="78"/>
      <c r="AG83" s="108"/>
      <c r="AI83" s="78">
        <f t="shared" si="5"/>
        <v>0</v>
      </c>
      <c r="AJ83" s="78">
        <f t="shared" si="6"/>
        <v>0</v>
      </c>
      <c r="AK83" s="78">
        <f t="shared" si="7"/>
        <v>0</v>
      </c>
      <c r="AL83" s="78">
        <f t="shared" si="8"/>
        <v>0</v>
      </c>
      <c r="AM83" s="78">
        <f t="shared" si="9"/>
        <v>0</v>
      </c>
      <c r="AN83" s="78">
        <f t="shared" si="10"/>
        <v>0</v>
      </c>
      <c r="AO83" s="78">
        <f t="shared" si="11"/>
        <v>0</v>
      </c>
      <c r="AP83" s="78">
        <f t="shared" si="12"/>
        <v>0</v>
      </c>
      <c r="AQ83" s="78">
        <f t="shared" si="13"/>
        <v>0</v>
      </c>
      <c r="AR83" s="78">
        <f t="shared" si="14"/>
        <v>0</v>
      </c>
      <c r="AS83" s="90">
        <f t="shared" si="15"/>
        <v>0</v>
      </c>
      <c r="AT83" s="91">
        <f t="shared" si="16"/>
        <v>0</v>
      </c>
      <c r="AV83" s="91">
        <f t="shared" si="17"/>
        <v>0</v>
      </c>
      <c r="AW83" s="78">
        <f t="shared" si="18"/>
        <v>0</v>
      </c>
      <c r="AX83" s="78">
        <f t="shared" si="19"/>
        <v>0</v>
      </c>
      <c r="AY83" s="78"/>
      <c r="AZ83" s="78">
        <f t="shared" si="20"/>
        <v>0</v>
      </c>
      <c r="BA83" s="78">
        <f t="shared" si="21"/>
        <v>0</v>
      </c>
      <c r="BB83" s="78">
        <f t="shared" si="22"/>
        <v>0</v>
      </c>
      <c r="BC83" s="78">
        <f t="shared" si="23"/>
        <v>0</v>
      </c>
      <c r="BD83" s="78">
        <f t="shared" si="24"/>
        <v>0</v>
      </c>
      <c r="BE83" s="78">
        <f t="shared" si="25"/>
        <v>0</v>
      </c>
      <c r="BF83" s="78">
        <f t="shared" si="26"/>
        <v>0</v>
      </c>
      <c r="BG83" s="78">
        <f t="shared" si="27"/>
        <v>0</v>
      </c>
      <c r="BH83" s="78">
        <f t="shared" si="28"/>
        <v>0</v>
      </c>
      <c r="BI83" s="78"/>
      <c r="BJ83" s="91">
        <f t="shared" si="29"/>
        <v>0</v>
      </c>
      <c r="BK83" s="91">
        <f t="shared" si="30"/>
        <v>0</v>
      </c>
      <c r="BL83" s="78"/>
      <c r="BM83" s="78">
        <f t="shared" si="31"/>
        <v>0</v>
      </c>
      <c r="BN83" s="78">
        <f t="shared" si="32"/>
        <v>0</v>
      </c>
      <c r="BO83" s="78">
        <f t="shared" si="33"/>
        <v>0</v>
      </c>
      <c r="BP83" s="78">
        <f t="shared" si="34"/>
        <v>0</v>
      </c>
      <c r="BQ83" s="78">
        <f t="shared" si="35"/>
        <v>0</v>
      </c>
      <c r="BR83" s="78">
        <f t="shared" si="36"/>
        <v>0</v>
      </c>
      <c r="BS83" s="78">
        <f t="shared" si="37"/>
        <v>0</v>
      </c>
      <c r="BT83" s="78">
        <f t="shared" si="38"/>
        <v>0</v>
      </c>
      <c r="BU83" s="91">
        <f t="shared" si="39"/>
        <v>0</v>
      </c>
      <c r="BV83" s="91">
        <f t="shared" si="40"/>
        <v>0</v>
      </c>
      <c r="BW83" s="78"/>
      <c r="BX83" s="78"/>
      <c r="BY83" s="78">
        <f t="shared" si="41"/>
        <v>0</v>
      </c>
      <c r="BZ83" s="78">
        <f t="shared" si="42"/>
        <v>0</v>
      </c>
      <c r="CA83" s="78">
        <f t="shared" si="43"/>
        <v>0</v>
      </c>
      <c r="CB83" s="78">
        <f t="shared" si="44"/>
        <v>0</v>
      </c>
      <c r="CC83" s="78">
        <f t="shared" si="45"/>
        <v>0</v>
      </c>
      <c r="CD83" s="78">
        <f t="shared" si="46"/>
        <v>0</v>
      </c>
      <c r="CE83" s="78">
        <f t="shared" si="47"/>
        <v>0</v>
      </c>
      <c r="CF83" s="78">
        <f t="shared" si="48"/>
        <v>0</v>
      </c>
      <c r="CG83" s="78"/>
      <c r="CH83" s="92">
        <f t="shared" si="49"/>
        <v>0</v>
      </c>
      <c r="CI83" s="93">
        <f t="shared" si="50"/>
        <v>0</v>
      </c>
      <c r="CJ83" s="94">
        <f t="shared" si="51"/>
        <v>0</v>
      </c>
      <c r="CL83" s="78">
        <f t="shared" si="52"/>
        <v>0</v>
      </c>
      <c r="CM83" s="78">
        <f t="shared" si="53"/>
        <v>0</v>
      </c>
      <c r="CN83" s="78">
        <f t="shared" si="54"/>
        <v>0</v>
      </c>
      <c r="CO83" s="78">
        <f t="shared" si="55"/>
        <v>0</v>
      </c>
    </row>
    <row r="84" spans="1:93" ht="13.5" thickBot="1">
      <c r="A84" s="95"/>
      <c r="B84" s="96"/>
      <c r="C84" s="97"/>
      <c r="D84" s="98"/>
      <c r="E84" s="99"/>
      <c r="F84" s="100"/>
      <c r="G84" s="100"/>
      <c r="H84" s="100"/>
      <c r="I84" s="100"/>
      <c r="J84" s="100"/>
      <c r="K84" s="101" t="str">
        <f t="shared" si="56"/>
        <v/>
      </c>
      <c r="L84" s="102"/>
      <c r="M84" s="103"/>
      <c r="N84" s="104"/>
      <c r="O84" s="105"/>
      <c r="P84" s="106">
        <f t="shared" si="57"/>
        <v>0</v>
      </c>
      <c r="Q84" s="106">
        <f t="shared" si="58"/>
        <v>0</v>
      </c>
      <c r="R84" s="106">
        <f t="shared" si="59"/>
        <v>0</v>
      </c>
      <c r="S84" s="106">
        <f t="shared" si="60"/>
        <v>0</v>
      </c>
      <c r="T84" s="107">
        <f t="shared" si="61"/>
        <v>0</v>
      </c>
      <c r="U84" s="78"/>
      <c r="AG84" s="108"/>
      <c r="AI84" s="78">
        <f t="shared" si="5"/>
        <v>0</v>
      </c>
      <c r="AJ84" s="78">
        <f t="shared" si="6"/>
        <v>0</v>
      </c>
      <c r="AK84" s="78">
        <f t="shared" si="7"/>
        <v>0</v>
      </c>
      <c r="AL84" s="78">
        <f t="shared" si="8"/>
        <v>0</v>
      </c>
      <c r="AM84" s="78">
        <f t="shared" si="9"/>
        <v>0</v>
      </c>
      <c r="AN84" s="78">
        <f t="shared" si="10"/>
        <v>0</v>
      </c>
      <c r="AO84" s="78">
        <f t="shared" si="11"/>
        <v>0</v>
      </c>
      <c r="AP84" s="78">
        <f t="shared" si="12"/>
        <v>0</v>
      </c>
      <c r="AQ84" s="78">
        <f t="shared" si="13"/>
        <v>0</v>
      </c>
      <c r="AR84" s="78">
        <f t="shared" si="14"/>
        <v>0</v>
      </c>
      <c r="AS84" s="90">
        <f t="shared" si="15"/>
        <v>0</v>
      </c>
      <c r="AT84" s="91">
        <f t="shared" si="16"/>
        <v>0</v>
      </c>
      <c r="AV84" s="91">
        <f t="shared" si="17"/>
        <v>0</v>
      </c>
      <c r="AW84" s="78">
        <f t="shared" si="18"/>
        <v>0</v>
      </c>
      <c r="AX84" s="78">
        <f t="shared" si="19"/>
        <v>0</v>
      </c>
      <c r="AY84" s="78"/>
      <c r="AZ84" s="78">
        <f t="shared" si="20"/>
        <v>0</v>
      </c>
      <c r="BA84" s="78">
        <f t="shared" si="21"/>
        <v>0</v>
      </c>
      <c r="BB84" s="78">
        <f t="shared" si="22"/>
        <v>0</v>
      </c>
      <c r="BC84" s="78">
        <f t="shared" si="23"/>
        <v>0</v>
      </c>
      <c r="BD84" s="78">
        <f t="shared" si="24"/>
        <v>0</v>
      </c>
      <c r="BE84" s="78">
        <f t="shared" si="25"/>
        <v>0</v>
      </c>
      <c r="BF84" s="78">
        <f t="shared" si="26"/>
        <v>0</v>
      </c>
      <c r="BG84" s="78">
        <f t="shared" si="27"/>
        <v>0</v>
      </c>
      <c r="BH84" s="78">
        <f t="shared" si="28"/>
        <v>0</v>
      </c>
      <c r="BI84" s="78"/>
      <c r="BJ84" s="91">
        <f t="shared" si="29"/>
        <v>0</v>
      </c>
      <c r="BK84" s="91">
        <f t="shared" si="30"/>
        <v>0</v>
      </c>
      <c r="BL84" s="78"/>
      <c r="BM84" s="78">
        <f t="shared" si="31"/>
        <v>0</v>
      </c>
      <c r="BN84" s="78">
        <f t="shared" si="32"/>
        <v>0</v>
      </c>
      <c r="BO84" s="78">
        <f t="shared" si="33"/>
        <v>0</v>
      </c>
      <c r="BP84" s="78">
        <f t="shared" si="34"/>
        <v>0</v>
      </c>
      <c r="BQ84" s="78">
        <f t="shared" si="35"/>
        <v>0</v>
      </c>
      <c r="BR84" s="78">
        <f t="shared" si="36"/>
        <v>0</v>
      </c>
      <c r="BS84" s="78">
        <f t="shared" si="37"/>
        <v>0</v>
      </c>
      <c r="BT84" s="78">
        <f t="shared" si="38"/>
        <v>0</v>
      </c>
      <c r="BU84" s="91">
        <f t="shared" si="39"/>
        <v>0</v>
      </c>
      <c r="BV84" s="91">
        <f t="shared" si="40"/>
        <v>0</v>
      </c>
      <c r="BW84" s="78"/>
      <c r="BX84" s="78"/>
      <c r="BY84" s="78">
        <f t="shared" si="41"/>
        <v>0</v>
      </c>
      <c r="BZ84" s="78">
        <f t="shared" si="42"/>
        <v>0</v>
      </c>
      <c r="CA84" s="78">
        <f t="shared" si="43"/>
        <v>0</v>
      </c>
      <c r="CB84" s="78">
        <f t="shared" si="44"/>
        <v>0</v>
      </c>
      <c r="CC84" s="78">
        <f t="shared" si="45"/>
        <v>0</v>
      </c>
      <c r="CD84" s="78">
        <f t="shared" si="46"/>
        <v>0</v>
      </c>
      <c r="CE84" s="78">
        <f t="shared" si="47"/>
        <v>0</v>
      </c>
      <c r="CF84" s="78">
        <f t="shared" si="48"/>
        <v>0</v>
      </c>
      <c r="CG84" s="78"/>
      <c r="CH84" s="92">
        <f t="shared" si="49"/>
        <v>0</v>
      </c>
      <c r="CI84" s="93">
        <f t="shared" si="50"/>
        <v>0</v>
      </c>
      <c r="CJ84" s="94">
        <f t="shared" si="51"/>
        <v>0</v>
      </c>
      <c r="CL84" s="78">
        <f t="shared" si="52"/>
        <v>0</v>
      </c>
      <c r="CM84" s="78">
        <f t="shared" si="53"/>
        <v>0</v>
      </c>
      <c r="CN84" s="78">
        <f t="shared" si="54"/>
        <v>0</v>
      </c>
      <c r="CO84" s="78">
        <f t="shared" si="55"/>
        <v>0</v>
      </c>
    </row>
    <row r="85" spans="1:93" ht="13.5" thickBot="1">
      <c r="A85" s="95"/>
      <c r="B85" s="96"/>
      <c r="C85" s="97"/>
      <c r="D85" s="98"/>
      <c r="E85" s="99"/>
      <c r="F85" s="100"/>
      <c r="G85" s="100"/>
      <c r="H85" s="100"/>
      <c r="I85" s="100"/>
      <c r="J85" s="100"/>
      <c r="K85" s="101" t="str">
        <f t="shared" si="56"/>
        <v/>
      </c>
      <c r="L85" s="102"/>
      <c r="M85" s="103"/>
      <c r="N85" s="104"/>
      <c r="O85" s="105"/>
      <c r="P85" s="106">
        <f t="shared" si="57"/>
        <v>0</v>
      </c>
      <c r="Q85" s="106">
        <f t="shared" si="58"/>
        <v>0</v>
      </c>
      <c r="R85" s="106">
        <f t="shared" si="59"/>
        <v>0</v>
      </c>
      <c r="S85" s="106">
        <f t="shared" si="60"/>
        <v>0</v>
      </c>
      <c r="T85" s="107">
        <f t="shared" si="61"/>
        <v>0</v>
      </c>
      <c r="U85" s="78"/>
      <c r="AG85" s="108"/>
      <c r="AI85" s="78">
        <f t="shared" si="5"/>
        <v>0</v>
      </c>
      <c r="AJ85" s="78">
        <f t="shared" si="6"/>
        <v>0</v>
      </c>
      <c r="AK85" s="78">
        <f t="shared" si="7"/>
        <v>0</v>
      </c>
      <c r="AL85" s="78">
        <f t="shared" si="8"/>
        <v>0</v>
      </c>
      <c r="AM85" s="78">
        <f t="shared" si="9"/>
        <v>0</v>
      </c>
      <c r="AN85" s="78">
        <f t="shared" si="10"/>
        <v>0</v>
      </c>
      <c r="AO85" s="78">
        <f t="shared" si="11"/>
        <v>0</v>
      </c>
      <c r="AP85" s="78">
        <f t="shared" si="12"/>
        <v>0</v>
      </c>
      <c r="AQ85" s="78">
        <f t="shared" si="13"/>
        <v>0</v>
      </c>
      <c r="AR85" s="78">
        <f t="shared" si="14"/>
        <v>0</v>
      </c>
      <c r="AS85" s="90">
        <f t="shared" si="15"/>
        <v>0</v>
      </c>
      <c r="AT85" s="91">
        <f t="shared" si="16"/>
        <v>0</v>
      </c>
      <c r="AV85" s="91">
        <f t="shared" si="17"/>
        <v>0</v>
      </c>
      <c r="AW85" s="78">
        <f t="shared" si="18"/>
        <v>0</v>
      </c>
      <c r="AX85" s="78">
        <f t="shared" si="19"/>
        <v>0</v>
      </c>
      <c r="AY85" s="78"/>
      <c r="AZ85" s="78">
        <f t="shared" si="20"/>
        <v>0</v>
      </c>
      <c r="BA85" s="78">
        <f t="shared" si="21"/>
        <v>0</v>
      </c>
      <c r="BB85" s="78">
        <f t="shared" si="22"/>
        <v>0</v>
      </c>
      <c r="BC85" s="78">
        <f t="shared" si="23"/>
        <v>0</v>
      </c>
      <c r="BD85" s="78">
        <f t="shared" si="24"/>
        <v>0</v>
      </c>
      <c r="BE85" s="78">
        <f t="shared" si="25"/>
        <v>0</v>
      </c>
      <c r="BF85" s="78">
        <f t="shared" si="26"/>
        <v>0</v>
      </c>
      <c r="BG85" s="78">
        <f t="shared" si="27"/>
        <v>0</v>
      </c>
      <c r="BH85" s="78">
        <f t="shared" si="28"/>
        <v>0</v>
      </c>
      <c r="BI85" s="78"/>
      <c r="BJ85" s="91">
        <f t="shared" si="29"/>
        <v>0</v>
      </c>
      <c r="BK85" s="91">
        <f t="shared" si="30"/>
        <v>0</v>
      </c>
      <c r="BL85" s="78"/>
      <c r="BM85" s="78">
        <f t="shared" si="31"/>
        <v>0</v>
      </c>
      <c r="BN85" s="78">
        <f t="shared" si="32"/>
        <v>0</v>
      </c>
      <c r="BO85" s="78">
        <f t="shared" si="33"/>
        <v>0</v>
      </c>
      <c r="BP85" s="78">
        <f t="shared" si="34"/>
        <v>0</v>
      </c>
      <c r="BQ85" s="78">
        <f t="shared" si="35"/>
        <v>0</v>
      </c>
      <c r="BR85" s="78">
        <f t="shared" si="36"/>
        <v>0</v>
      </c>
      <c r="BS85" s="78">
        <f t="shared" si="37"/>
        <v>0</v>
      </c>
      <c r="BT85" s="78">
        <f t="shared" si="38"/>
        <v>0</v>
      </c>
      <c r="BU85" s="91">
        <f t="shared" si="39"/>
        <v>0</v>
      </c>
      <c r="BV85" s="91">
        <f t="shared" si="40"/>
        <v>0</v>
      </c>
      <c r="BW85" s="78"/>
      <c r="BX85" s="78"/>
      <c r="BY85" s="78">
        <f t="shared" si="41"/>
        <v>0</v>
      </c>
      <c r="BZ85" s="78">
        <f t="shared" si="42"/>
        <v>0</v>
      </c>
      <c r="CA85" s="78">
        <f t="shared" si="43"/>
        <v>0</v>
      </c>
      <c r="CB85" s="78">
        <f t="shared" si="44"/>
        <v>0</v>
      </c>
      <c r="CC85" s="78">
        <f t="shared" si="45"/>
        <v>0</v>
      </c>
      <c r="CD85" s="78">
        <f t="shared" si="46"/>
        <v>0</v>
      </c>
      <c r="CE85" s="78">
        <f t="shared" si="47"/>
        <v>0</v>
      </c>
      <c r="CF85" s="78">
        <f t="shared" si="48"/>
        <v>0</v>
      </c>
      <c r="CG85" s="78"/>
      <c r="CH85" s="92">
        <f t="shared" si="49"/>
        <v>0</v>
      </c>
      <c r="CI85" s="93">
        <f t="shared" si="50"/>
        <v>0</v>
      </c>
      <c r="CJ85" s="94">
        <f t="shared" si="51"/>
        <v>0</v>
      </c>
      <c r="CL85" s="78">
        <f t="shared" si="52"/>
        <v>0</v>
      </c>
      <c r="CM85" s="78">
        <f t="shared" si="53"/>
        <v>0</v>
      </c>
      <c r="CN85" s="78">
        <f t="shared" si="54"/>
        <v>0</v>
      </c>
      <c r="CO85" s="78">
        <f t="shared" si="55"/>
        <v>0</v>
      </c>
    </row>
    <row r="86" spans="1:93" ht="13.5" thickBot="1">
      <c r="A86" s="95"/>
      <c r="B86" s="96"/>
      <c r="C86" s="97"/>
      <c r="D86" s="98"/>
      <c r="E86" s="99"/>
      <c r="F86" s="100"/>
      <c r="G86" s="100"/>
      <c r="H86" s="100"/>
      <c r="I86" s="100"/>
      <c r="J86" s="100"/>
      <c r="K86" s="101" t="str">
        <f t="shared" si="56"/>
        <v/>
      </c>
      <c r="L86" s="102"/>
      <c r="M86" s="103"/>
      <c r="N86" s="104"/>
      <c r="O86" s="105"/>
      <c r="P86" s="106">
        <f t="shared" si="57"/>
        <v>0</v>
      </c>
      <c r="Q86" s="106">
        <f t="shared" si="58"/>
        <v>0</v>
      </c>
      <c r="R86" s="106">
        <f t="shared" si="59"/>
        <v>0</v>
      </c>
      <c r="S86" s="106">
        <f t="shared" si="60"/>
        <v>0</v>
      </c>
      <c r="T86" s="107">
        <f t="shared" si="61"/>
        <v>0</v>
      </c>
      <c r="U86" s="78"/>
      <c r="AG86" s="108"/>
      <c r="AI86" s="78">
        <f t="shared" si="5"/>
        <v>0</v>
      </c>
      <c r="AJ86" s="78">
        <f t="shared" si="6"/>
        <v>0</v>
      </c>
      <c r="AK86" s="78">
        <f t="shared" si="7"/>
        <v>0</v>
      </c>
      <c r="AL86" s="78">
        <f t="shared" si="8"/>
        <v>0</v>
      </c>
      <c r="AM86" s="78">
        <f t="shared" si="9"/>
        <v>0</v>
      </c>
      <c r="AN86" s="78">
        <f t="shared" si="10"/>
        <v>0</v>
      </c>
      <c r="AO86" s="78">
        <f t="shared" si="11"/>
        <v>0</v>
      </c>
      <c r="AP86" s="78">
        <f t="shared" si="12"/>
        <v>0</v>
      </c>
      <c r="AQ86" s="78">
        <f t="shared" si="13"/>
        <v>0</v>
      </c>
      <c r="AR86" s="78">
        <f t="shared" si="14"/>
        <v>0</v>
      </c>
      <c r="AS86" s="90">
        <f t="shared" si="15"/>
        <v>0</v>
      </c>
      <c r="AT86" s="91">
        <f t="shared" si="16"/>
        <v>0</v>
      </c>
      <c r="AV86" s="91">
        <f t="shared" si="17"/>
        <v>0</v>
      </c>
      <c r="AW86" s="78">
        <f t="shared" si="18"/>
        <v>0</v>
      </c>
      <c r="AX86" s="78">
        <f t="shared" si="19"/>
        <v>0</v>
      </c>
      <c r="AY86" s="78"/>
      <c r="AZ86" s="78">
        <f t="shared" si="20"/>
        <v>0</v>
      </c>
      <c r="BA86" s="78">
        <f t="shared" si="21"/>
        <v>0</v>
      </c>
      <c r="BB86" s="78">
        <f t="shared" si="22"/>
        <v>0</v>
      </c>
      <c r="BC86" s="78">
        <f t="shared" si="23"/>
        <v>0</v>
      </c>
      <c r="BD86" s="78">
        <f t="shared" si="24"/>
        <v>0</v>
      </c>
      <c r="BE86" s="78">
        <f t="shared" si="25"/>
        <v>0</v>
      </c>
      <c r="BF86" s="78">
        <f t="shared" si="26"/>
        <v>0</v>
      </c>
      <c r="BG86" s="78">
        <f t="shared" si="27"/>
        <v>0</v>
      </c>
      <c r="BH86" s="78">
        <f t="shared" si="28"/>
        <v>0</v>
      </c>
      <c r="BI86" s="78"/>
      <c r="BJ86" s="91">
        <f t="shared" si="29"/>
        <v>0</v>
      </c>
      <c r="BK86" s="91">
        <f t="shared" si="30"/>
        <v>0</v>
      </c>
      <c r="BL86" s="78"/>
      <c r="BM86" s="78">
        <f t="shared" si="31"/>
        <v>0</v>
      </c>
      <c r="BN86" s="78">
        <f t="shared" si="32"/>
        <v>0</v>
      </c>
      <c r="BO86" s="78">
        <f t="shared" si="33"/>
        <v>0</v>
      </c>
      <c r="BP86" s="78">
        <f t="shared" si="34"/>
        <v>0</v>
      </c>
      <c r="BQ86" s="78">
        <f t="shared" si="35"/>
        <v>0</v>
      </c>
      <c r="BR86" s="78">
        <f t="shared" si="36"/>
        <v>0</v>
      </c>
      <c r="BS86" s="78">
        <f t="shared" si="37"/>
        <v>0</v>
      </c>
      <c r="BT86" s="78">
        <f t="shared" si="38"/>
        <v>0</v>
      </c>
      <c r="BU86" s="91">
        <f t="shared" si="39"/>
        <v>0</v>
      </c>
      <c r="BV86" s="91">
        <f t="shared" si="40"/>
        <v>0</v>
      </c>
      <c r="BW86" s="78"/>
      <c r="BX86" s="78"/>
      <c r="BY86" s="78">
        <f t="shared" si="41"/>
        <v>0</v>
      </c>
      <c r="BZ86" s="78">
        <f t="shared" si="42"/>
        <v>0</v>
      </c>
      <c r="CA86" s="78">
        <f t="shared" si="43"/>
        <v>0</v>
      </c>
      <c r="CB86" s="78">
        <f t="shared" si="44"/>
        <v>0</v>
      </c>
      <c r="CC86" s="78">
        <f t="shared" si="45"/>
        <v>0</v>
      </c>
      <c r="CD86" s="78">
        <f t="shared" si="46"/>
        <v>0</v>
      </c>
      <c r="CE86" s="78">
        <f t="shared" si="47"/>
        <v>0</v>
      </c>
      <c r="CF86" s="78">
        <f t="shared" si="48"/>
        <v>0</v>
      </c>
      <c r="CG86" s="78"/>
      <c r="CH86" s="92">
        <f t="shared" si="49"/>
        <v>0</v>
      </c>
      <c r="CI86" s="93">
        <f t="shared" si="50"/>
        <v>0</v>
      </c>
      <c r="CJ86" s="94">
        <f t="shared" si="51"/>
        <v>0</v>
      </c>
      <c r="CL86" s="78">
        <f t="shared" si="52"/>
        <v>0</v>
      </c>
      <c r="CM86" s="78">
        <f t="shared" si="53"/>
        <v>0</v>
      </c>
      <c r="CN86" s="78">
        <f t="shared" si="54"/>
        <v>0</v>
      </c>
      <c r="CO86" s="78">
        <f t="shared" si="55"/>
        <v>0</v>
      </c>
    </row>
    <row r="87" spans="1:93" ht="13.5" thickBot="1">
      <c r="A87" s="95"/>
      <c r="B87" s="96"/>
      <c r="C87" s="97"/>
      <c r="D87" s="98"/>
      <c r="E87" s="99"/>
      <c r="F87" s="100"/>
      <c r="G87" s="100"/>
      <c r="H87" s="100"/>
      <c r="I87" s="100"/>
      <c r="J87" s="100"/>
      <c r="K87" s="101" t="str">
        <f t="shared" si="56"/>
        <v/>
      </c>
      <c r="L87" s="102"/>
      <c r="M87" s="103"/>
      <c r="N87" s="104"/>
      <c r="O87" s="105"/>
      <c r="P87" s="106">
        <f t="shared" si="57"/>
        <v>0</v>
      </c>
      <c r="Q87" s="106">
        <f t="shared" si="58"/>
        <v>0</v>
      </c>
      <c r="R87" s="106">
        <f t="shared" si="59"/>
        <v>0</v>
      </c>
      <c r="S87" s="106">
        <f t="shared" si="60"/>
        <v>0</v>
      </c>
      <c r="T87" s="107">
        <f t="shared" si="61"/>
        <v>0</v>
      </c>
      <c r="U87" s="78"/>
      <c r="AG87" s="108"/>
      <c r="AI87" s="78">
        <f t="shared" si="5"/>
        <v>0</v>
      </c>
      <c r="AJ87" s="78">
        <f t="shared" si="6"/>
        <v>0</v>
      </c>
      <c r="AK87" s="78">
        <f t="shared" si="7"/>
        <v>0</v>
      </c>
      <c r="AL87" s="78">
        <f t="shared" si="8"/>
        <v>0</v>
      </c>
      <c r="AM87" s="78">
        <f t="shared" si="9"/>
        <v>0</v>
      </c>
      <c r="AN87" s="78">
        <f t="shared" si="10"/>
        <v>0</v>
      </c>
      <c r="AO87" s="78">
        <f t="shared" si="11"/>
        <v>0</v>
      </c>
      <c r="AP87" s="78">
        <f t="shared" si="12"/>
        <v>0</v>
      </c>
      <c r="AQ87" s="78">
        <f t="shared" si="13"/>
        <v>0</v>
      </c>
      <c r="AR87" s="78">
        <f t="shared" si="14"/>
        <v>0</v>
      </c>
      <c r="AS87" s="90">
        <f t="shared" si="15"/>
        <v>0</v>
      </c>
      <c r="AT87" s="91">
        <f t="shared" si="16"/>
        <v>0</v>
      </c>
      <c r="AV87" s="91">
        <f t="shared" si="17"/>
        <v>0</v>
      </c>
      <c r="AW87" s="78">
        <f t="shared" si="18"/>
        <v>0</v>
      </c>
      <c r="AX87" s="78">
        <f t="shared" si="19"/>
        <v>0</v>
      </c>
      <c r="AY87" s="78"/>
      <c r="AZ87" s="78">
        <f t="shared" si="20"/>
        <v>0</v>
      </c>
      <c r="BA87" s="78">
        <f t="shared" si="21"/>
        <v>0</v>
      </c>
      <c r="BB87" s="78">
        <f t="shared" si="22"/>
        <v>0</v>
      </c>
      <c r="BC87" s="78">
        <f t="shared" si="23"/>
        <v>0</v>
      </c>
      <c r="BD87" s="78">
        <f t="shared" si="24"/>
        <v>0</v>
      </c>
      <c r="BE87" s="78">
        <f t="shared" si="25"/>
        <v>0</v>
      </c>
      <c r="BF87" s="78">
        <f t="shared" si="26"/>
        <v>0</v>
      </c>
      <c r="BG87" s="78">
        <f t="shared" si="27"/>
        <v>0</v>
      </c>
      <c r="BH87" s="78">
        <f t="shared" si="28"/>
        <v>0</v>
      </c>
      <c r="BI87" s="78"/>
      <c r="BJ87" s="91">
        <f t="shared" si="29"/>
        <v>0</v>
      </c>
      <c r="BK87" s="91">
        <f t="shared" si="30"/>
        <v>0</v>
      </c>
      <c r="BL87" s="78"/>
      <c r="BM87" s="78">
        <f t="shared" si="31"/>
        <v>0</v>
      </c>
      <c r="BN87" s="78">
        <f t="shared" si="32"/>
        <v>0</v>
      </c>
      <c r="BO87" s="78">
        <f t="shared" si="33"/>
        <v>0</v>
      </c>
      <c r="BP87" s="78">
        <f t="shared" si="34"/>
        <v>0</v>
      </c>
      <c r="BQ87" s="78">
        <f t="shared" si="35"/>
        <v>0</v>
      </c>
      <c r="BR87" s="78">
        <f t="shared" si="36"/>
        <v>0</v>
      </c>
      <c r="BS87" s="78">
        <f t="shared" si="37"/>
        <v>0</v>
      </c>
      <c r="BT87" s="78">
        <f t="shared" si="38"/>
        <v>0</v>
      </c>
      <c r="BU87" s="91">
        <f t="shared" si="39"/>
        <v>0</v>
      </c>
      <c r="BV87" s="91">
        <f t="shared" si="40"/>
        <v>0</v>
      </c>
      <c r="BW87" s="78"/>
      <c r="BX87" s="78"/>
      <c r="BY87" s="78">
        <f t="shared" si="41"/>
        <v>0</v>
      </c>
      <c r="BZ87" s="78">
        <f t="shared" si="42"/>
        <v>0</v>
      </c>
      <c r="CA87" s="78">
        <f t="shared" si="43"/>
        <v>0</v>
      </c>
      <c r="CB87" s="78">
        <f t="shared" si="44"/>
        <v>0</v>
      </c>
      <c r="CC87" s="78">
        <f t="shared" si="45"/>
        <v>0</v>
      </c>
      <c r="CD87" s="78">
        <f t="shared" si="46"/>
        <v>0</v>
      </c>
      <c r="CE87" s="78">
        <f t="shared" si="47"/>
        <v>0</v>
      </c>
      <c r="CF87" s="78">
        <f t="shared" si="48"/>
        <v>0</v>
      </c>
      <c r="CG87" s="78"/>
      <c r="CH87" s="92">
        <f t="shared" si="49"/>
        <v>0</v>
      </c>
      <c r="CI87" s="93">
        <f t="shared" si="50"/>
        <v>0</v>
      </c>
      <c r="CJ87" s="94">
        <f t="shared" si="51"/>
        <v>0</v>
      </c>
      <c r="CL87" s="78">
        <f t="shared" si="52"/>
        <v>0</v>
      </c>
      <c r="CM87" s="78">
        <f t="shared" si="53"/>
        <v>0</v>
      </c>
      <c r="CN87" s="78">
        <f t="shared" si="54"/>
        <v>0</v>
      </c>
      <c r="CO87" s="78">
        <f t="shared" si="55"/>
        <v>0</v>
      </c>
    </row>
    <row r="88" spans="1:93" ht="13.5" thickBot="1">
      <c r="A88" s="95"/>
      <c r="B88" s="96"/>
      <c r="C88" s="97"/>
      <c r="D88" s="98"/>
      <c r="E88" s="99"/>
      <c r="F88" s="100"/>
      <c r="G88" s="100"/>
      <c r="H88" s="100"/>
      <c r="I88" s="100"/>
      <c r="J88" s="100"/>
      <c r="K88" s="101" t="str">
        <f t="shared" si="56"/>
        <v/>
      </c>
      <c r="L88" s="102"/>
      <c r="M88" s="103"/>
      <c r="N88" s="104"/>
      <c r="O88" s="105"/>
      <c r="P88" s="106">
        <f t="shared" si="57"/>
        <v>0</v>
      </c>
      <c r="Q88" s="106">
        <f t="shared" si="58"/>
        <v>0</v>
      </c>
      <c r="R88" s="106">
        <f t="shared" si="59"/>
        <v>0</v>
      </c>
      <c r="S88" s="106">
        <f t="shared" si="60"/>
        <v>0</v>
      </c>
      <c r="T88" s="107">
        <f t="shared" si="61"/>
        <v>0</v>
      </c>
      <c r="U88" s="78"/>
      <c r="AG88" s="108"/>
      <c r="AI88" s="78">
        <f t="shared" si="5"/>
        <v>0</v>
      </c>
      <c r="AJ88" s="78">
        <f t="shared" si="6"/>
        <v>0</v>
      </c>
      <c r="AK88" s="78">
        <f t="shared" si="7"/>
        <v>0</v>
      </c>
      <c r="AL88" s="78">
        <f t="shared" si="8"/>
        <v>0</v>
      </c>
      <c r="AM88" s="78">
        <f t="shared" si="9"/>
        <v>0</v>
      </c>
      <c r="AN88" s="78">
        <f t="shared" si="10"/>
        <v>0</v>
      </c>
      <c r="AO88" s="78">
        <f t="shared" si="11"/>
        <v>0</v>
      </c>
      <c r="AP88" s="78">
        <f t="shared" si="12"/>
        <v>0</v>
      </c>
      <c r="AQ88" s="78">
        <f t="shared" si="13"/>
        <v>0</v>
      </c>
      <c r="AR88" s="78">
        <f t="shared" si="14"/>
        <v>0</v>
      </c>
      <c r="AS88" s="90">
        <f t="shared" si="15"/>
        <v>0</v>
      </c>
      <c r="AT88" s="91">
        <f t="shared" si="16"/>
        <v>0</v>
      </c>
      <c r="AV88" s="91">
        <f t="shared" si="17"/>
        <v>0</v>
      </c>
      <c r="AW88" s="78">
        <f t="shared" si="18"/>
        <v>0</v>
      </c>
      <c r="AX88" s="78">
        <f t="shared" si="19"/>
        <v>0</v>
      </c>
      <c r="AY88" s="78"/>
      <c r="AZ88" s="78">
        <f t="shared" si="20"/>
        <v>0</v>
      </c>
      <c r="BA88" s="78">
        <f t="shared" si="21"/>
        <v>0</v>
      </c>
      <c r="BB88" s="78">
        <f t="shared" si="22"/>
        <v>0</v>
      </c>
      <c r="BC88" s="78">
        <f t="shared" si="23"/>
        <v>0</v>
      </c>
      <c r="BD88" s="78">
        <f t="shared" si="24"/>
        <v>0</v>
      </c>
      <c r="BE88" s="78">
        <f t="shared" si="25"/>
        <v>0</v>
      </c>
      <c r="BF88" s="78">
        <f t="shared" si="26"/>
        <v>0</v>
      </c>
      <c r="BG88" s="78">
        <f t="shared" si="27"/>
        <v>0</v>
      </c>
      <c r="BH88" s="78">
        <f t="shared" si="28"/>
        <v>0</v>
      </c>
      <c r="BI88" s="78"/>
      <c r="BJ88" s="91">
        <f t="shared" si="29"/>
        <v>0</v>
      </c>
      <c r="BK88" s="91">
        <f t="shared" si="30"/>
        <v>0</v>
      </c>
      <c r="BL88" s="78"/>
      <c r="BM88" s="78">
        <f t="shared" si="31"/>
        <v>0</v>
      </c>
      <c r="BN88" s="78">
        <f t="shared" si="32"/>
        <v>0</v>
      </c>
      <c r="BO88" s="78">
        <f t="shared" si="33"/>
        <v>0</v>
      </c>
      <c r="BP88" s="78">
        <f t="shared" si="34"/>
        <v>0</v>
      </c>
      <c r="BQ88" s="78">
        <f t="shared" si="35"/>
        <v>0</v>
      </c>
      <c r="BR88" s="78">
        <f t="shared" si="36"/>
        <v>0</v>
      </c>
      <c r="BS88" s="78">
        <f t="shared" si="37"/>
        <v>0</v>
      </c>
      <c r="BT88" s="78">
        <f t="shared" si="38"/>
        <v>0</v>
      </c>
      <c r="BU88" s="91">
        <f t="shared" si="39"/>
        <v>0</v>
      </c>
      <c r="BV88" s="91">
        <f t="shared" si="40"/>
        <v>0</v>
      </c>
      <c r="BW88" s="78"/>
      <c r="BX88" s="78"/>
      <c r="BY88" s="78">
        <f t="shared" si="41"/>
        <v>0</v>
      </c>
      <c r="BZ88" s="78">
        <f t="shared" si="42"/>
        <v>0</v>
      </c>
      <c r="CA88" s="78">
        <f t="shared" si="43"/>
        <v>0</v>
      </c>
      <c r="CB88" s="78">
        <f t="shared" si="44"/>
        <v>0</v>
      </c>
      <c r="CC88" s="78">
        <f t="shared" si="45"/>
        <v>0</v>
      </c>
      <c r="CD88" s="78">
        <f t="shared" si="46"/>
        <v>0</v>
      </c>
      <c r="CE88" s="78">
        <f t="shared" si="47"/>
        <v>0</v>
      </c>
      <c r="CF88" s="78">
        <f t="shared" si="48"/>
        <v>0</v>
      </c>
      <c r="CG88" s="78"/>
      <c r="CH88" s="92">
        <f t="shared" si="49"/>
        <v>0</v>
      </c>
      <c r="CI88" s="93">
        <f t="shared" si="50"/>
        <v>0</v>
      </c>
      <c r="CJ88" s="94">
        <f t="shared" si="51"/>
        <v>0</v>
      </c>
      <c r="CL88" s="78">
        <f t="shared" si="52"/>
        <v>0</v>
      </c>
      <c r="CM88" s="78">
        <f t="shared" si="53"/>
        <v>0</v>
      </c>
      <c r="CN88" s="78">
        <f t="shared" si="54"/>
        <v>0</v>
      </c>
      <c r="CO88" s="78">
        <f t="shared" si="55"/>
        <v>0</v>
      </c>
    </row>
    <row r="89" spans="1:93" ht="13.5" thickBot="1">
      <c r="A89" s="95"/>
      <c r="B89" s="96"/>
      <c r="C89" s="97"/>
      <c r="D89" s="98"/>
      <c r="E89" s="99"/>
      <c r="F89" s="100"/>
      <c r="G89" s="100"/>
      <c r="H89" s="100"/>
      <c r="I89" s="100"/>
      <c r="J89" s="100"/>
      <c r="K89" s="101" t="str">
        <f t="shared" si="56"/>
        <v/>
      </c>
      <c r="L89" s="102"/>
      <c r="M89" s="103"/>
      <c r="N89" s="104"/>
      <c r="O89" s="105"/>
      <c r="P89" s="106">
        <f t="shared" si="57"/>
        <v>0</v>
      </c>
      <c r="Q89" s="106">
        <f t="shared" si="58"/>
        <v>0</v>
      </c>
      <c r="R89" s="106">
        <f t="shared" si="59"/>
        <v>0</v>
      </c>
      <c r="S89" s="106">
        <f t="shared" si="60"/>
        <v>0</v>
      </c>
      <c r="T89" s="107">
        <f t="shared" si="61"/>
        <v>0</v>
      </c>
      <c r="U89" s="78"/>
      <c r="AG89" s="108"/>
      <c r="AI89" s="78">
        <f t="shared" si="5"/>
        <v>0</v>
      </c>
      <c r="AJ89" s="78">
        <f t="shared" si="6"/>
        <v>0</v>
      </c>
      <c r="AK89" s="78">
        <f t="shared" si="7"/>
        <v>0</v>
      </c>
      <c r="AL89" s="78">
        <f t="shared" si="8"/>
        <v>0</v>
      </c>
      <c r="AM89" s="78">
        <f t="shared" si="9"/>
        <v>0</v>
      </c>
      <c r="AN89" s="78">
        <f t="shared" si="10"/>
        <v>0</v>
      </c>
      <c r="AO89" s="78">
        <f t="shared" si="11"/>
        <v>0</v>
      </c>
      <c r="AP89" s="78">
        <f t="shared" si="12"/>
        <v>0</v>
      </c>
      <c r="AQ89" s="78">
        <f t="shared" si="13"/>
        <v>0</v>
      </c>
      <c r="AR89" s="78">
        <f t="shared" si="14"/>
        <v>0</v>
      </c>
      <c r="AS89" s="90">
        <f t="shared" si="15"/>
        <v>0</v>
      </c>
      <c r="AT89" s="91">
        <f t="shared" si="16"/>
        <v>0</v>
      </c>
      <c r="AV89" s="91">
        <f t="shared" si="17"/>
        <v>0</v>
      </c>
      <c r="AW89" s="78">
        <f t="shared" si="18"/>
        <v>0</v>
      </c>
      <c r="AX89" s="78">
        <f t="shared" si="19"/>
        <v>0</v>
      </c>
      <c r="AY89" s="78"/>
      <c r="AZ89" s="78">
        <f t="shared" si="20"/>
        <v>0</v>
      </c>
      <c r="BA89" s="78">
        <f t="shared" si="21"/>
        <v>0</v>
      </c>
      <c r="BB89" s="78">
        <f t="shared" si="22"/>
        <v>0</v>
      </c>
      <c r="BC89" s="78">
        <f t="shared" si="23"/>
        <v>0</v>
      </c>
      <c r="BD89" s="78">
        <f t="shared" si="24"/>
        <v>0</v>
      </c>
      <c r="BE89" s="78">
        <f t="shared" si="25"/>
        <v>0</v>
      </c>
      <c r="BF89" s="78">
        <f t="shared" si="26"/>
        <v>0</v>
      </c>
      <c r="BG89" s="78">
        <f t="shared" si="27"/>
        <v>0</v>
      </c>
      <c r="BH89" s="78">
        <f t="shared" si="28"/>
        <v>0</v>
      </c>
      <c r="BI89" s="78"/>
      <c r="BJ89" s="91">
        <f t="shared" si="29"/>
        <v>0</v>
      </c>
      <c r="BK89" s="91">
        <f t="shared" si="30"/>
        <v>0</v>
      </c>
      <c r="BL89" s="78"/>
      <c r="BM89" s="78">
        <f t="shared" si="31"/>
        <v>0</v>
      </c>
      <c r="BN89" s="78">
        <f t="shared" si="32"/>
        <v>0</v>
      </c>
      <c r="BO89" s="78">
        <f t="shared" si="33"/>
        <v>0</v>
      </c>
      <c r="BP89" s="78">
        <f t="shared" si="34"/>
        <v>0</v>
      </c>
      <c r="BQ89" s="78">
        <f t="shared" si="35"/>
        <v>0</v>
      </c>
      <c r="BR89" s="78">
        <f t="shared" si="36"/>
        <v>0</v>
      </c>
      <c r="BS89" s="78">
        <f t="shared" si="37"/>
        <v>0</v>
      </c>
      <c r="BT89" s="78">
        <f t="shared" si="38"/>
        <v>0</v>
      </c>
      <c r="BU89" s="91">
        <f t="shared" si="39"/>
        <v>0</v>
      </c>
      <c r="BV89" s="91">
        <f t="shared" si="40"/>
        <v>0</v>
      </c>
      <c r="BW89" s="78"/>
      <c r="BX89" s="78"/>
      <c r="BY89" s="78">
        <f t="shared" si="41"/>
        <v>0</v>
      </c>
      <c r="BZ89" s="78">
        <f t="shared" si="42"/>
        <v>0</v>
      </c>
      <c r="CA89" s="78">
        <f t="shared" si="43"/>
        <v>0</v>
      </c>
      <c r="CB89" s="78">
        <f t="shared" si="44"/>
        <v>0</v>
      </c>
      <c r="CC89" s="78">
        <f t="shared" si="45"/>
        <v>0</v>
      </c>
      <c r="CD89" s="78">
        <f t="shared" si="46"/>
        <v>0</v>
      </c>
      <c r="CE89" s="78">
        <f t="shared" si="47"/>
        <v>0</v>
      </c>
      <c r="CF89" s="78">
        <f t="shared" si="48"/>
        <v>0</v>
      </c>
      <c r="CG89" s="78"/>
      <c r="CH89" s="92">
        <f t="shared" si="49"/>
        <v>0</v>
      </c>
      <c r="CI89" s="93">
        <f t="shared" si="50"/>
        <v>0</v>
      </c>
      <c r="CJ89" s="94">
        <f t="shared" si="51"/>
        <v>0</v>
      </c>
      <c r="CL89" s="78">
        <f t="shared" si="52"/>
        <v>0</v>
      </c>
      <c r="CM89" s="78">
        <f t="shared" si="53"/>
        <v>0</v>
      </c>
      <c r="CN89" s="78">
        <f t="shared" si="54"/>
        <v>0</v>
      </c>
      <c r="CO89" s="78">
        <f t="shared" si="55"/>
        <v>0</v>
      </c>
    </row>
    <row r="90" spans="1:93" ht="13.5" thickBot="1">
      <c r="A90" s="95"/>
      <c r="B90" s="96"/>
      <c r="C90" s="97"/>
      <c r="D90" s="98"/>
      <c r="E90" s="99"/>
      <c r="F90" s="100"/>
      <c r="G90" s="100"/>
      <c r="H90" s="100"/>
      <c r="I90" s="100"/>
      <c r="J90" s="100"/>
      <c r="K90" s="101" t="str">
        <f t="shared" si="56"/>
        <v/>
      </c>
      <c r="L90" s="102"/>
      <c r="M90" s="103"/>
      <c r="N90" s="104"/>
      <c r="O90" s="105"/>
      <c r="P90" s="106">
        <f t="shared" si="57"/>
        <v>0</v>
      </c>
      <c r="Q90" s="106">
        <f t="shared" si="58"/>
        <v>0</v>
      </c>
      <c r="R90" s="106">
        <f t="shared" si="59"/>
        <v>0</v>
      </c>
      <c r="S90" s="106">
        <f t="shared" si="60"/>
        <v>0</v>
      </c>
      <c r="T90" s="107">
        <f t="shared" si="61"/>
        <v>0</v>
      </c>
      <c r="U90" s="78"/>
      <c r="AG90" s="108"/>
      <c r="AI90" s="78">
        <f t="shared" si="5"/>
        <v>0</v>
      </c>
      <c r="AJ90" s="78">
        <f t="shared" si="6"/>
        <v>0</v>
      </c>
      <c r="AK90" s="78">
        <f t="shared" si="7"/>
        <v>0</v>
      </c>
      <c r="AL90" s="78">
        <f t="shared" si="8"/>
        <v>0</v>
      </c>
      <c r="AM90" s="78">
        <f t="shared" si="9"/>
        <v>0</v>
      </c>
      <c r="AN90" s="78">
        <f t="shared" si="10"/>
        <v>0</v>
      </c>
      <c r="AO90" s="78">
        <f t="shared" si="11"/>
        <v>0</v>
      </c>
      <c r="AP90" s="78">
        <f t="shared" si="12"/>
        <v>0</v>
      </c>
      <c r="AQ90" s="78">
        <f t="shared" si="13"/>
        <v>0</v>
      </c>
      <c r="AR90" s="78">
        <f t="shared" si="14"/>
        <v>0</v>
      </c>
      <c r="AS90" s="90">
        <f t="shared" si="15"/>
        <v>0</v>
      </c>
      <c r="AT90" s="91">
        <f t="shared" si="16"/>
        <v>0</v>
      </c>
      <c r="AV90" s="91">
        <f t="shared" si="17"/>
        <v>0</v>
      </c>
      <c r="AW90" s="78">
        <f t="shared" si="18"/>
        <v>0</v>
      </c>
      <c r="AX90" s="78">
        <f t="shared" si="19"/>
        <v>0</v>
      </c>
      <c r="AY90" s="78"/>
      <c r="AZ90" s="78">
        <f t="shared" si="20"/>
        <v>0</v>
      </c>
      <c r="BA90" s="78">
        <f t="shared" si="21"/>
        <v>0</v>
      </c>
      <c r="BB90" s="78">
        <f t="shared" si="22"/>
        <v>0</v>
      </c>
      <c r="BC90" s="78">
        <f t="shared" si="23"/>
        <v>0</v>
      </c>
      <c r="BD90" s="78">
        <f t="shared" si="24"/>
        <v>0</v>
      </c>
      <c r="BE90" s="78">
        <f t="shared" si="25"/>
        <v>0</v>
      </c>
      <c r="BF90" s="78">
        <f t="shared" si="26"/>
        <v>0</v>
      </c>
      <c r="BG90" s="78">
        <f t="shared" si="27"/>
        <v>0</v>
      </c>
      <c r="BH90" s="78">
        <f t="shared" si="28"/>
        <v>0</v>
      </c>
      <c r="BI90" s="78"/>
      <c r="BJ90" s="91">
        <f t="shared" si="29"/>
        <v>0</v>
      </c>
      <c r="BK90" s="91">
        <f t="shared" si="30"/>
        <v>0</v>
      </c>
      <c r="BL90" s="78"/>
      <c r="BM90" s="78">
        <f t="shared" si="31"/>
        <v>0</v>
      </c>
      <c r="BN90" s="78">
        <f t="shared" si="32"/>
        <v>0</v>
      </c>
      <c r="BO90" s="78">
        <f t="shared" si="33"/>
        <v>0</v>
      </c>
      <c r="BP90" s="78">
        <f t="shared" si="34"/>
        <v>0</v>
      </c>
      <c r="BQ90" s="78">
        <f t="shared" si="35"/>
        <v>0</v>
      </c>
      <c r="BR90" s="78">
        <f t="shared" si="36"/>
        <v>0</v>
      </c>
      <c r="BS90" s="78">
        <f t="shared" si="37"/>
        <v>0</v>
      </c>
      <c r="BT90" s="78">
        <f t="shared" si="38"/>
        <v>0</v>
      </c>
      <c r="BU90" s="91">
        <f t="shared" si="39"/>
        <v>0</v>
      </c>
      <c r="BV90" s="91">
        <f t="shared" si="40"/>
        <v>0</v>
      </c>
      <c r="BW90" s="78"/>
      <c r="BX90" s="78"/>
      <c r="BY90" s="78">
        <f t="shared" si="41"/>
        <v>0</v>
      </c>
      <c r="BZ90" s="78">
        <f t="shared" si="42"/>
        <v>0</v>
      </c>
      <c r="CA90" s="78">
        <f t="shared" si="43"/>
        <v>0</v>
      </c>
      <c r="CB90" s="78">
        <f t="shared" si="44"/>
        <v>0</v>
      </c>
      <c r="CC90" s="78">
        <f t="shared" si="45"/>
        <v>0</v>
      </c>
      <c r="CD90" s="78">
        <f t="shared" si="46"/>
        <v>0</v>
      </c>
      <c r="CE90" s="78">
        <f t="shared" si="47"/>
        <v>0</v>
      </c>
      <c r="CF90" s="78">
        <f t="shared" si="48"/>
        <v>0</v>
      </c>
      <c r="CG90" s="78"/>
      <c r="CH90" s="92">
        <f t="shared" si="49"/>
        <v>0</v>
      </c>
      <c r="CI90" s="93">
        <f t="shared" si="50"/>
        <v>0</v>
      </c>
      <c r="CJ90" s="94">
        <f t="shared" si="51"/>
        <v>0</v>
      </c>
      <c r="CL90" s="78">
        <f t="shared" si="52"/>
        <v>0</v>
      </c>
      <c r="CM90" s="78">
        <f t="shared" si="53"/>
        <v>0</v>
      </c>
      <c r="CN90" s="78">
        <f t="shared" si="54"/>
        <v>0</v>
      </c>
      <c r="CO90" s="78">
        <f t="shared" si="55"/>
        <v>0</v>
      </c>
    </row>
    <row r="91" spans="1:93" ht="13.5" thickBot="1">
      <c r="A91" s="95"/>
      <c r="B91" s="96"/>
      <c r="C91" s="97"/>
      <c r="D91" s="98"/>
      <c r="E91" s="99"/>
      <c r="F91" s="100"/>
      <c r="G91" s="100"/>
      <c r="H91" s="100"/>
      <c r="I91" s="100"/>
      <c r="J91" s="100"/>
      <c r="K91" s="101" t="str">
        <f t="shared" si="56"/>
        <v/>
      </c>
      <c r="L91" s="102"/>
      <c r="M91" s="103"/>
      <c r="N91" s="104"/>
      <c r="O91" s="105"/>
      <c r="P91" s="106">
        <f t="shared" si="57"/>
        <v>0</v>
      </c>
      <c r="Q91" s="106">
        <f t="shared" si="58"/>
        <v>0</v>
      </c>
      <c r="R91" s="106">
        <f t="shared" si="59"/>
        <v>0</v>
      </c>
      <c r="S91" s="106">
        <f t="shared" si="60"/>
        <v>0</v>
      </c>
      <c r="T91" s="107">
        <f t="shared" si="61"/>
        <v>0</v>
      </c>
      <c r="U91" s="78"/>
      <c r="AG91" s="108"/>
      <c r="AI91" s="78">
        <f t="shared" si="5"/>
        <v>0</v>
      </c>
      <c r="AJ91" s="78">
        <f t="shared" si="6"/>
        <v>0</v>
      </c>
      <c r="AK91" s="78">
        <f t="shared" si="7"/>
        <v>0</v>
      </c>
      <c r="AL91" s="78">
        <f t="shared" si="8"/>
        <v>0</v>
      </c>
      <c r="AM91" s="78">
        <f t="shared" si="9"/>
        <v>0</v>
      </c>
      <c r="AN91" s="78">
        <f t="shared" si="10"/>
        <v>0</v>
      </c>
      <c r="AO91" s="78">
        <f t="shared" si="11"/>
        <v>0</v>
      </c>
      <c r="AP91" s="78">
        <f t="shared" si="12"/>
        <v>0</v>
      </c>
      <c r="AQ91" s="78">
        <f t="shared" si="13"/>
        <v>0</v>
      </c>
      <c r="AR91" s="78">
        <f t="shared" si="14"/>
        <v>0</v>
      </c>
      <c r="AS91" s="90">
        <f t="shared" si="15"/>
        <v>0</v>
      </c>
      <c r="AT91" s="91">
        <f t="shared" si="16"/>
        <v>0</v>
      </c>
      <c r="AV91" s="91">
        <f t="shared" si="17"/>
        <v>0</v>
      </c>
      <c r="AW91" s="78">
        <f t="shared" si="18"/>
        <v>0</v>
      </c>
      <c r="AX91" s="78">
        <f t="shared" si="19"/>
        <v>0</v>
      </c>
      <c r="AY91" s="78"/>
      <c r="AZ91" s="78">
        <f t="shared" si="20"/>
        <v>0</v>
      </c>
      <c r="BA91" s="78">
        <f t="shared" si="21"/>
        <v>0</v>
      </c>
      <c r="BB91" s="78">
        <f t="shared" si="22"/>
        <v>0</v>
      </c>
      <c r="BC91" s="78">
        <f t="shared" si="23"/>
        <v>0</v>
      </c>
      <c r="BD91" s="78">
        <f t="shared" si="24"/>
        <v>0</v>
      </c>
      <c r="BE91" s="78">
        <f t="shared" si="25"/>
        <v>0</v>
      </c>
      <c r="BF91" s="78">
        <f t="shared" si="26"/>
        <v>0</v>
      </c>
      <c r="BG91" s="78">
        <f t="shared" si="27"/>
        <v>0</v>
      </c>
      <c r="BH91" s="78">
        <f t="shared" si="28"/>
        <v>0</v>
      </c>
      <c r="BI91" s="78"/>
      <c r="BJ91" s="91">
        <f t="shared" si="29"/>
        <v>0</v>
      </c>
      <c r="BK91" s="91">
        <f t="shared" si="30"/>
        <v>0</v>
      </c>
      <c r="BL91" s="78"/>
      <c r="BM91" s="78">
        <f t="shared" si="31"/>
        <v>0</v>
      </c>
      <c r="BN91" s="78">
        <f t="shared" si="32"/>
        <v>0</v>
      </c>
      <c r="BO91" s="78">
        <f t="shared" si="33"/>
        <v>0</v>
      </c>
      <c r="BP91" s="78">
        <f t="shared" si="34"/>
        <v>0</v>
      </c>
      <c r="BQ91" s="78">
        <f t="shared" si="35"/>
        <v>0</v>
      </c>
      <c r="BR91" s="78">
        <f t="shared" si="36"/>
        <v>0</v>
      </c>
      <c r="BS91" s="78">
        <f t="shared" si="37"/>
        <v>0</v>
      </c>
      <c r="BT91" s="78">
        <f t="shared" si="38"/>
        <v>0</v>
      </c>
      <c r="BU91" s="91">
        <f t="shared" si="39"/>
        <v>0</v>
      </c>
      <c r="BV91" s="91">
        <f t="shared" si="40"/>
        <v>0</v>
      </c>
      <c r="BW91" s="78"/>
      <c r="BX91" s="78"/>
      <c r="BY91" s="78">
        <f t="shared" si="41"/>
        <v>0</v>
      </c>
      <c r="BZ91" s="78">
        <f t="shared" si="42"/>
        <v>0</v>
      </c>
      <c r="CA91" s="78">
        <f t="shared" si="43"/>
        <v>0</v>
      </c>
      <c r="CB91" s="78">
        <f t="shared" si="44"/>
        <v>0</v>
      </c>
      <c r="CC91" s="78">
        <f t="shared" si="45"/>
        <v>0</v>
      </c>
      <c r="CD91" s="78">
        <f t="shared" si="46"/>
        <v>0</v>
      </c>
      <c r="CE91" s="78">
        <f t="shared" si="47"/>
        <v>0</v>
      </c>
      <c r="CF91" s="78">
        <f t="shared" si="48"/>
        <v>0</v>
      </c>
      <c r="CG91" s="78"/>
      <c r="CH91" s="92">
        <f t="shared" si="49"/>
        <v>0</v>
      </c>
      <c r="CI91" s="93">
        <f t="shared" si="50"/>
        <v>0</v>
      </c>
      <c r="CJ91" s="94">
        <f t="shared" si="51"/>
        <v>0</v>
      </c>
      <c r="CL91" s="78">
        <f t="shared" si="52"/>
        <v>0</v>
      </c>
      <c r="CM91" s="78">
        <f t="shared" si="53"/>
        <v>0</v>
      </c>
      <c r="CN91" s="78">
        <f t="shared" si="54"/>
        <v>0</v>
      </c>
      <c r="CO91" s="78">
        <f t="shared" si="55"/>
        <v>0</v>
      </c>
    </row>
    <row r="92" spans="1:93" ht="13.5" thickBot="1">
      <c r="A92" s="95"/>
      <c r="B92" s="96"/>
      <c r="C92" s="97"/>
      <c r="D92" s="98"/>
      <c r="E92" s="99"/>
      <c r="F92" s="100"/>
      <c r="G92" s="100"/>
      <c r="H92" s="100"/>
      <c r="I92" s="100"/>
      <c r="J92" s="100"/>
      <c r="K92" s="101" t="str">
        <f t="shared" si="56"/>
        <v/>
      </c>
      <c r="L92" s="102"/>
      <c r="M92" s="103"/>
      <c r="N92" s="104"/>
      <c r="O92" s="105"/>
      <c r="P92" s="106">
        <f t="shared" si="57"/>
        <v>0</v>
      </c>
      <c r="Q92" s="106">
        <f t="shared" si="58"/>
        <v>0</v>
      </c>
      <c r="R92" s="106">
        <f t="shared" si="59"/>
        <v>0</v>
      </c>
      <c r="S92" s="106">
        <f t="shared" si="60"/>
        <v>0</v>
      </c>
      <c r="T92" s="107">
        <f t="shared" si="61"/>
        <v>0</v>
      </c>
      <c r="U92" s="78"/>
      <c r="AG92" s="108"/>
      <c r="AI92" s="78">
        <f t="shared" si="5"/>
        <v>0</v>
      </c>
      <c r="AJ92" s="78">
        <f t="shared" si="6"/>
        <v>0</v>
      </c>
      <c r="AK92" s="78">
        <f t="shared" si="7"/>
        <v>0</v>
      </c>
      <c r="AL92" s="78">
        <f t="shared" si="8"/>
        <v>0</v>
      </c>
      <c r="AM92" s="78">
        <f t="shared" si="9"/>
        <v>0</v>
      </c>
      <c r="AN92" s="78">
        <f t="shared" si="10"/>
        <v>0</v>
      </c>
      <c r="AO92" s="78">
        <f t="shared" si="11"/>
        <v>0</v>
      </c>
      <c r="AP92" s="78">
        <f t="shared" si="12"/>
        <v>0</v>
      </c>
      <c r="AQ92" s="78">
        <f t="shared" si="13"/>
        <v>0</v>
      </c>
      <c r="AR92" s="78">
        <f t="shared" si="14"/>
        <v>0</v>
      </c>
      <c r="AS92" s="90">
        <f t="shared" si="15"/>
        <v>0</v>
      </c>
      <c r="AT92" s="91">
        <f t="shared" si="16"/>
        <v>0</v>
      </c>
      <c r="AV92" s="91">
        <f t="shared" si="17"/>
        <v>0</v>
      </c>
      <c r="AW92" s="78">
        <f t="shared" si="18"/>
        <v>0</v>
      </c>
      <c r="AX92" s="78">
        <f t="shared" si="19"/>
        <v>0</v>
      </c>
      <c r="AY92" s="78"/>
      <c r="AZ92" s="78">
        <f t="shared" si="20"/>
        <v>0</v>
      </c>
      <c r="BA92" s="78">
        <f t="shared" si="21"/>
        <v>0</v>
      </c>
      <c r="BB92" s="78">
        <f t="shared" si="22"/>
        <v>0</v>
      </c>
      <c r="BC92" s="78">
        <f t="shared" si="23"/>
        <v>0</v>
      </c>
      <c r="BD92" s="78">
        <f t="shared" si="24"/>
        <v>0</v>
      </c>
      <c r="BE92" s="78">
        <f t="shared" si="25"/>
        <v>0</v>
      </c>
      <c r="BF92" s="78">
        <f t="shared" si="26"/>
        <v>0</v>
      </c>
      <c r="BG92" s="78">
        <f t="shared" si="27"/>
        <v>0</v>
      </c>
      <c r="BH92" s="78">
        <f t="shared" si="28"/>
        <v>0</v>
      </c>
      <c r="BI92" s="78"/>
      <c r="BJ92" s="91">
        <f t="shared" si="29"/>
        <v>0</v>
      </c>
      <c r="BK92" s="91">
        <f t="shared" si="30"/>
        <v>0</v>
      </c>
      <c r="BL92" s="78"/>
      <c r="BM92" s="78">
        <f t="shared" si="31"/>
        <v>0</v>
      </c>
      <c r="BN92" s="78">
        <f t="shared" si="32"/>
        <v>0</v>
      </c>
      <c r="BO92" s="78">
        <f t="shared" si="33"/>
        <v>0</v>
      </c>
      <c r="BP92" s="78">
        <f t="shared" si="34"/>
        <v>0</v>
      </c>
      <c r="BQ92" s="78">
        <f t="shared" si="35"/>
        <v>0</v>
      </c>
      <c r="BR92" s="78">
        <f t="shared" si="36"/>
        <v>0</v>
      </c>
      <c r="BS92" s="78">
        <f t="shared" si="37"/>
        <v>0</v>
      </c>
      <c r="BT92" s="78">
        <f t="shared" si="38"/>
        <v>0</v>
      </c>
      <c r="BU92" s="91">
        <f t="shared" si="39"/>
        <v>0</v>
      </c>
      <c r="BV92" s="91">
        <f t="shared" si="40"/>
        <v>0</v>
      </c>
      <c r="BW92" s="78"/>
      <c r="BX92" s="78"/>
      <c r="BY92" s="78">
        <f t="shared" si="41"/>
        <v>0</v>
      </c>
      <c r="BZ92" s="78">
        <f t="shared" si="42"/>
        <v>0</v>
      </c>
      <c r="CA92" s="78">
        <f t="shared" si="43"/>
        <v>0</v>
      </c>
      <c r="CB92" s="78">
        <f t="shared" si="44"/>
        <v>0</v>
      </c>
      <c r="CC92" s="78">
        <f t="shared" si="45"/>
        <v>0</v>
      </c>
      <c r="CD92" s="78">
        <f t="shared" si="46"/>
        <v>0</v>
      </c>
      <c r="CE92" s="78">
        <f t="shared" si="47"/>
        <v>0</v>
      </c>
      <c r="CF92" s="78">
        <f t="shared" si="48"/>
        <v>0</v>
      </c>
      <c r="CG92" s="78"/>
      <c r="CH92" s="92">
        <f t="shared" si="49"/>
        <v>0</v>
      </c>
      <c r="CI92" s="93">
        <f t="shared" si="50"/>
        <v>0</v>
      </c>
      <c r="CJ92" s="94">
        <f t="shared" si="51"/>
        <v>0</v>
      </c>
      <c r="CL92" s="78">
        <f t="shared" si="52"/>
        <v>0</v>
      </c>
      <c r="CM92" s="78">
        <f t="shared" si="53"/>
        <v>0</v>
      </c>
      <c r="CN92" s="78">
        <f t="shared" si="54"/>
        <v>0</v>
      </c>
      <c r="CO92" s="78">
        <f t="shared" si="55"/>
        <v>0</v>
      </c>
    </row>
    <row r="93" spans="1:93" ht="13.5" thickBot="1">
      <c r="A93" s="95"/>
      <c r="B93" s="96"/>
      <c r="C93" s="97"/>
      <c r="D93" s="98"/>
      <c r="E93" s="99"/>
      <c r="F93" s="100"/>
      <c r="G93" s="100"/>
      <c r="H93" s="100"/>
      <c r="I93" s="100"/>
      <c r="J93" s="100"/>
      <c r="K93" s="101" t="str">
        <f t="shared" si="56"/>
        <v/>
      </c>
      <c r="L93" s="102"/>
      <c r="M93" s="103"/>
      <c r="N93" s="104"/>
      <c r="O93" s="105"/>
      <c r="P93" s="106">
        <f t="shared" si="57"/>
        <v>0</v>
      </c>
      <c r="Q93" s="106">
        <f t="shared" si="58"/>
        <v>0</v>
      </c>
      <c r="R93" s="106">
        <f t="shared" si="59"/>
        <v>0</v>
      </c>
      <c r="S93" s="106">
        <f t="shared" si="60"/>
        <v>0</v>
      </c>
      <c r="T93" s="107">
        <f t="shared" si="61"/>
        <v>0</v>
      </c>
      <c r="U93" s="78"/>
      <c r="AG93" s="108"/>
      <c r="AI93" s="78">
        <f t="shared" si="5"/>
        <v>0</v>
      </c>
      <c r="AJ93" s="78">
        <f t="shared" si="6"/>
        <v>0</v>
      </c>
      <c r="AK93" s="78">
        <f t="shared" si="7"/>
        <v>0</v>
      </c>
      <c r="AL93" s="78">
        <f t="shared" si="8"/>
        <v>0</v>
      </c>
      <c r="AM93" s="78">
        <f t="shared" si="9"/>
        <v>0</v>
      </c>
      <c r="AN93" s="78">
        <f t="shared" si="10"/>
        <v>0</v>
      </c>
      <c r="AO93" s="78">
        <f t="shared" si="11"/>
        <v>0</v>
      </c>
      <c r="AP93" s="78">
        <f t="shared" si="12"/>
        <v>0</v>
      </c>
      <c r="AQ93" s="78">
        <f t="shared" si="13"/>
        <v>0</v>
      </c>
      <c r="AR93" s="78">
        <f t="shared" si="14"/>
        <v>0</v>
      </c>
      <c r="AS93" s="90">
        <f t="shared" si="15"/>
        <v>0</v>
      </c>
      <c r="AT93" s="91">
        <f t="shared" si="16"/>
        <v>0</v>
      </c>
      <c r="AV93" s="91">
        <f t="shared" si="17"/>
        <v>0</v>
      </c>
      <c r="AW93" s="78">
        <f t="shared" si="18"/>
        <v>0</v>
      </c>
      <c r="AX93" s="78">
        <f t="shared" si="19"/>
        <v>0</v>
      </c>
      <c r="AY93" s="78"/>
      <c r="AZ93" s="78">
        <f t="shared" si="20"/>
        <v>0</v>
      </c>
      <c r="BA93" s="78">
        <f t="shared" si="21"/>
        <v>0</v>
      </c>
      <c r="BB93" s="78">
        <f t="shared" si="22"/>
        <v>0</v>
      </c>
      <c r="BC93" s="78">
        <f t="shared" si="23"/>
        <v>0</v>
      </c>
      <c r="BD93" s="78">
        <f t="shared" si="24"/>
        <v>0</v>
      </c>
      <c r="BE93" s="78">
        <f t="shared" si="25"/>
        <v>0</v>
      </c>
      <c r="BF93" s="78">
        <f t="shared" si="26"/>
        <v>0</v>
      </c>
      <c r="BG93" s="78">
        <f t="shared" si="27"/>
        <v>0</v>
      </c>
      <c r="BH93" s="78">
        <f t="shared" si="28"/>
        <v>0</v>
      </c>
      <c r="BI93" s="78"/>
      <c r="BJ93" s="91">
        <f t="shared" si="29"/>
        <v>0</v>
      </c>
      <c r="BK93" s="91">
        <f t="shared" si="30"/>
        <v>0</v>
      </c>
      <c r="BL93" s="78"/>
      <c r="BM93" s="78">
        <f t="shared" si="31"/>
        <v>0</v>
      </c>
      <c r="BN93" s="78">
        <f t="shared" si="32"/>
        <v>0</v>
      </c>
      <c r="BO93" s="78">
        <f t="shared" si="33"/>
        <v>0</v>
      </c>
      <c r="BP93" s="78">
        <f t="shared" si="34"/>
        <v>0</v>
      </c>
      <c r="BQ93" s="78">
        <f t="shared" si="35"/>
        <v>0</v>
      </c>
      <c r="BR93" s="78">
        <f t="shared" si="36"/>
        <v>0</v>
      </c>
      <c r="BS93" s="78">
        <f t="shared" si="37"/>
        <v>0</v>
      </c>
      <c r="BT93" s="78">
        <f t="shared" si="38"/>
        <v>0</v>
      </c>
      <c r="BU93" s="91">
        <f t="shared" si="39"/>
        <v>0</v>
      </c>
      <c r="BV93" s="91">
        <f t="shared" si="40"/>
        <v>0</v>
      </c>
      <c r="BW93" s="78"/>
      <c r="BX93" s="78"/>
      <c r="BY93" s="78">
        <f t="shared" si="41"/>
        <v>0</v>
      </c>
      <c r="BZ93" s="78">
        <f t="shared" si="42"/>
        <v>0</v>
      </c>
      <c r="CA93" s="78">
        <f t="shared" si="43"/>
        <v>0</v>
      </c>
      <c r="CB93" s="78">
        <f t="shared" si="44"/>
        <v>0</v>
      </c>
      <c r="CC93" s="78">
        <f t="shared" si="45"/>
        <v>0</v>
      </c>
      <c r="CD93" s="78">
        <f t="shared" si="46"/>
        <v>0</v>
      </c>
      <c r="CE93" s="78">
        <f t="shared" si="47"/>
        <v>0</v>
      </c>
      <c r="CF93" s="78">
        <f t="shared" si="48"/>
        <v>0</v>
      </c>
      <c r="CG93" s="78"/>
      <c r="CH93" s="92">
        <f t="shared" si="49"/>
        <v>0</v>
      </c>
      <c r="CI93" s="93">
        <f t="shared" si="50"/>
        <v>0</v>
      </c>
      <c r="CJ93" s="94">
        <f t="shared" si="51"/>
        <v>0</v>
      </c>
      <c r="CL93" s="78">
        <f t="shared" si="52"/>
        <v>0</v>
      </c>
      <c r="CM93" s="78">
        <f t="shared" si="53"/>
        <v>0</v>
      </c>
      <c r="CN93" s="78">
        <f t="shared" si="54"/>
        <v>0</v>
      </c>
      <c r="CO93" s="78">
        <f t="shared" si="55"/>
        <v>0</v>
      </c>
    </row>
    <row r="94" spans="1:93" ht="13.5" thickBot="1">
      <c r="A94" s="95"/>
      <c r="B94" s="96"/>
      <c r="C94" s="97"/>
      <c r="D94" s="98"/>
      <c r="E94" s="99"/>
      <c r="F94" s="100"/>
      <c r="G94" s="100"/>
      <c r="H94" s="100"/>
      <c r="I94" s="100"/>
      <c r="J94" s="100"/>
      <c r="K94" s="101" t="str">
        <f t="shared" si="56"/>
        <v/>
      </c>
      <c r="L94" s="102"/>
      <c r="M94" s="103"/>
      <c r="N94" s="104"/>
      <c r="O94" s="105"/>
      <c r="P94" s="106">
        <f t="shared" si="57"/>
        <v>0</v>
      </c>
      <c r="Q94" s="106">
        <f t="shared" si="58"/>
        <v>0</v>
      </c>
      <c r="R94" s="106">
        <f t="shared" si="59"/>
        <v>0</v>
      </c>
      <c r="S94" s="106">
        <f t="shared" si="60"/>
        <v>0</v>
      </c>
      <c r="T94" s="107">
        <f t="shared" si="61"/>
        <v>0</v>
      </c>
      <c r="U94" s="78"/>
      <c r="AG94" s="108"/>
      <c r="AI94" s="78">
        <f t="shared" si="5"/>
        <v>0</v>
      </c>
      <c r="AJ94" s="78">
        <f t="shared" si="6"/>
        <v>0</v>
      </c>
      <c r="AK94" s="78">
        <f t="shared" si="7"/>
        <v>0</v>
      </c>
      <c r="AL94" s="78">
        <f t="shared" si="8"/>
        <v>0</v>
      </c>
      <c r="AM94" s="78">
        <f t="shared" si="9"/>
        <v>0</v>
      </c>
      <c r="AN94" s="78">
        <f t="shared" si="10"/>
        <v>0</v>
      </c>
      <c r="AO94" s="78">
        <f t="shared" si="11"/>
        <v>0</v>
      </c>
      <c r="AP94" s="78">
        <f t="shared" si="12"/>
        <v>0</v>
      </c>
      <c r="AQ94" s="78">
        <f t="shared" si="13"/>
        <v>0</v>
      </c>
      <c r="AR94" s="78">
        <f t="shared" si="14"/>
        <v>0</v>
      </c>
      <c r="AS94" s="90">
        <f t="shared" si="15"/>
        <v>0</v>
      </c>
      <c r="AT94" s="91">
        <f t="shared" si="16"/>
        <v>0</v>
      </c>
      <c r="AV94" s="91">
        <f t="shared" si="17"/>
        <v>0</v>
      </c>
      <c r="AW94" s="78">
        <f t="shared" si="18"/>
        <v>0</v>
      </c>
      <c r="AX94" s="78">
        <f t="shared" si="19"/>
        <v>0</v>
      </c>
      <c r="AY94" s="78"/>
      <c r="AZ94" s="78">
        <f t="shared" si="20"/>
        <v>0</v>
      </c>
      <c r="BA94" s="78">
        <f t="shared" si="21"/>
        <v>0</v>
      </c>
      <c r="BB94" s="78">
        <f t="shared" si="22"/>
        <v>0</v>
      </c>
      <c r="BC94" s="78">
        <f t="shared" si="23"/>
        <v>0</v>
      </c>
      <c r="BD94" s="78">
        <f t="shared" si="24"/>
        <v>0</v>
      </c>
      <c r="BE94" s="78">
        <f t="shared" si="25"/>
        <v>0</v>
      </c>
      <c r="BF94" s="78">
        <f t="shared" si="26"/>
        <v>0</v>
      </c>
      <c r="BG94" s="78">
        <f t="shared" si="27"/>
        <v>0</v>
      </c>
      <c r="BH94" s="78">
        <f t="shared" si="28"/>
        <v>0</v>
      </c>
      <c r="BI94" s="78"/>
      <c r="BJ94" s="91">
        <f t="shared" si="29"/>
        <v>0</v>
      </c>
      <c r="BK94" s="91">
        <f t="shared" si="30"/>
        <v>0</v>
      </c>
      <c r="BL94" s="78"/>
      <c r="BM94" s="78">
        <f t="shared" si="31"/>
        <v>0</v>
      </c>
      <c r="BN94" s="78">
        <f t="shared" si="32"/>
        <v>0</v>
      </c>
      <c r="BO94" s="78">
        <f t="shared" si="33"/>
        <v>0</v>
      </c>
      <c r="BP94" s="78">
        <f t="shared" si="34"/>
        <v>0</v>
      </c>
      <c r="BQ94" s="78">
        <f t="shared" si="35"/>
        <v>0</v>
      </c>
      <c r="BR94" s="78">
        <f t="shared" si="36"/>
        <v>0</v>
      </c>
      <c r="BS94" s="78">
        <f t="shared" si="37"/>
        <v>0</v>
      </c>
      <c r="BT94" s="78">
        <f t="shared" si="38"/>
        <v>0</v>
      </c>
      <c r="BU94" s="91">
        <f t="shared" si="39"/>
        <v>0</v>
      </c>
      <c r="BV94" s="91">
        <f t="shared" si="40"/>
        <v>0</v>
      </c>
      <c r="BW94" s="78"/>
      <c r="BX94" s="78"/>
      <c r="BY94" s="78">
        <f t="shared" si="41"/>
        <v>0</v>
      </c>
      <c r="BZ94" s="78">
        <f t="shared" si="42"/>
        <v>0</v>
      </c>
      <c r="CA94" s="78">
        <f t="shared" si="43"/>
        <v>0</v>
      </c>
      <c r="CB94" s="78">
        <f t="shared" si="44"/>
        <v>0</v>
      </c>
      <c r="CC94" s="78">
        <f t="shared" si="45"/>
        <v>0</v>
      </c>
      <c r="CD94" s="78">
        <f t="shared" si="46"/>
        <v>0</v>
      </c>
      <c r="CE94" s="78">
        <f t="shared" si="47"/>
        <v>0</v>
      </c>
      <c r="CF94" s="78">
        <f t="shared" si="48"/>
        <v>0</v>
      </c>
      <c r="CG94" s="78"/>
      <c r="CH94" s="92">
        <f t="shared" si="49"/>
        <v>0</v>
      </c>
      <c r="CI94" s="93">
        <f t="shared" si="50"/>
        <v>0</v>
      </c>
      <c r="CJ94" s="94">
        <f t="shared" si="51"/>
        <v>0</v>
      </c>
      <c r="CL94" s="78">
        <f t="shared" si="52"/>
        <v>0</v>
      </c>
      <c r="CM94" s="78">
        <f t="shared" si="53"/>
        <v>0</v>
      </c>
      <c r="CN94" s="78">
        <f t="shared" si="54"/>
        <v>0</v>
      </c>
      <c r="CO94" s="78">
        <f t="shared" si="55"/>
        <v>0</v>
      </c>
    </row>
    <row r="95" spans="1:93" ht="13.5" thickBot="1">
      <c r="A95" s="95"/>
      <c r="B95" s="96"/>
      <c r="C95" s="97"/>
      <c r="D95" s="98"/>
      <c r="E95" s="99"/>
      <c r="F95" s="100"/>
      <c r="G95" s="100"/>
      <c r="H95" s="100"/>
      <c r="I95" s="100"/>
      <c r="J95" s="100"/>
      <c r="K95" s="101" t="str">
        <f t="shared" si="56"/>
        <v/>
      </c>
      <c r="L95" s="102"/>
      <c r="M95" s="103"/>
      <c r="N95" s="104"/>
      <c r="O95" s="105"/>
      <c r="P95" s="106">
        <f t="shared" si="57"/>
        <v>0</v>
      </c>
      <c r="Q95" s="106">
        <f t="shared" si="58"/>
        <v>0</v>
      </c>
      <c r="R95" s="106">
        <f t="shared" si="59"/>
        <v>0</v>
      </c>
      <c r="S95" s="106">
        <f t="shared" si="60"/>
        <v>0</v>
      </c>
      <c r="T95" s="107">
        <f t="shared" si="61"/>
        <v>0</v>
      </c>
      <c r="U95" s="78"/>
      <c r="AG95" s="108"/>
      <c r="AI95" s="78">
        <f t="shared" si="5"/>
        <v>0</v>
      </c>
      <c r="AJ95" s="78">
        <f t="shared" si="6"/>
        <v>0</v>
      </c>
      <c r="AK95" s="78">
        <f t="shared" si="7"/>
        <v>0</v>
      </c>
      <c r="AL95" s="78">
        <f t="shared" si="8"/>
        <v>0</v>
      </c>
      <c r="AM95" s="78">
        <f t="shared" si="9"/>
        <v>0</v>
      </c>
      <c r="AN95" s="78">
        <f t="shared" si="10"/>
        <v>0</v>
      </c>
      <c r="AO95" s="78">
        <f t="shared" si="11"/>
        <v>0</v>
      </c>
      <c r="AP95" s="78">
        <f t="shared" si="12"/>
        <v>0</v>
      </c>
      <c r="AQ95" s="78">
        <f t="shared" si="13"/>
        <v>0</v>
      </c>
      <c r="AR95" s="78">
        <f t="shared" si="14"/>
        <v>0</v>
      </c>
      <c r="AS95" s="90">
        <f t="shared" si="15"/>
        <v>0</v>
      </c>
      <c r="AT95" s="91">
        <f t="shared" si="16"/>
        <v>0</v>
      </c>
      <c r="AV95" s="91">
        <f t="shared" si="17"/>
        <v>0</v>
      </c>
      <c r="AW95" s="78">
        <f t="shared" si="18"/>
        <v>0</v>
      </c>
      <c r="AX95" s="78">
        <f t="shared" si="19"/>
        <v>0</v>
      </c>
      <c r="AY95" s="78"/>
      <c r="AZ95" s="78">
        <f t="shared" si="20"/>
        <v>0</v>
      </c>
      <c r="BA95" s="78">
        <f t="shared" si="21"/>
        <v>0</v>
      </c>
      <c r="BB95" s="78">
        <f t="shared" si="22"/>
        <v>0</v>
      </c>
      <c r="BC95" s="78">
        <f t="shared" si="23"/>
        <v>0</v>
      </c>
      <c r="BD95" s="78">
        <f t="shared" si="24"/>
        <v>0</v>
      </c>
      <c r="BE95" s="78">
        <f t="shared" si="25"/>
        <v>0</v>
      </c>
      <c r="BF95" s="78">
        <f t="shared" si="26"/>
        <v>0</v>
      </c>
      <c r="BG95" s="78">
        <f t="shared" si="27"/>
        <v>0</v>
      </c>
      <c r="BH95" s="78">
        <f t="shared" si="28"/>
        <v>0</v>
      </c>
      <c r="BI95" s="78"/>
      <c r="BJ95" s="91">
        <f t="shared" si="29"/>
        <v>0</v>
      </c>
      <c r="BK95" s="91">
        <f t="shared" si="30"/>
        <v>0</v>
      </c>
      <c r="BL95" s="78"/>
      <c r="BM95" s="78">
        <f t="shared" si="31"/>
        <v>0</v>
      </c>
      <c r="BN95" s="78">
        <f t="shared" si="32"/>
        <v>0</v>
      </c>
      <c r="BO95" s="78">
        <f t="shared" si="33"/>
        <v>0</v>
      </c>
      <c r="BP95" s="78">
        <f t="shared" si="34"/>
        <v>0</v>
      </c>
      <c r="BQ95" s="78">
        <f t="shared" si="35"/>
        <v>0</v>
      </c>
      <c r="BR95" s="78">
        <f t="shared" si="36"/>
        <v>0</v>
      </c>
      <c r="BS95" s="78">
        <f t="shared" si="37"/>
        <v>0</v>
      </c>
      <c r="BT95" s="78">
        <f t="shared" si="38"/>
        <v>0</v>
      </c>
      <c r="BU95" s="91">
        <f t="shared" si="39"/>
        <v>0</v>
      </c>
      <c r="BV95" s="91">
        <f t="shared" si="40"/>
        <v>0</v>
      </c>
      <c r="BW95" s="78"/>
      <c r="BX95" s="78"/>
      <c r="BY95" s="78">
        <f t="shared" si="41"/>
        <v>0</v>
      </c>
      <c r="BZ95" s="78">
        <f t="shared" si="42"/>
        <v>0</v>
      </c>
      <c r="CA95" s="78">
        <f t="shared" si="43"/>
        <v>0</v>
      </c>
      <c r="CB95" s="78">
        <f t="shared" si="44"/>
        <v>0</v>
      </c>
      <c r="CC95" s="78">
        <f t="shared" si="45"/>
        <v>0</v>
      </c>
      <c r="CD95" s="78">
        <f t="shared" si="46"/>
        <v>0</v>
      </c>
      <c r="CE95" s="78">
        <f t="shared" si="47"/>
        <v>0</v>
      </c>
      <c r="CF95" s="78">
        <f t="shared" si="48"/>
        <v>0</v>
      </c>
      <c r="CG95" s="78"/>
      <c r="CH95" s="92">
        <f t="shared" si="49"/>
        <v>0</v>
      </c>
      <c r="CI95" s="93">
        <f t="shared" si="50"/>
        <v>0</v>
      </c>
      <c r="CJ95" s="94">
        <f t="shared" si="51"/>
        <v>0</v>
      </c>
      <c r="CL95" s="78">
        <f t="shared" si="52"/>
        <v>0</v>
      </c>
      <c r="CM95" s="78">
        <f t="shared" si="53"/>
        <v>0</v>
      </c>
      <c r="CN95" s="78">
        <f t="shared" si="54"/>
        <v>0</v>
      </c>
      <c r="CO95" s="78">
        <f t="shared" si="55"/>
        <v>0</v>
      </c>
    </row>
    <row r="96" spans="1:93" ht="13.5" thickBot="1">
      <c r="A96" s="95"/>
      <c r="B96" s="96"/>
      <c r="C96" s="97"/>
      <c r="D96" s="98"/>
      <c r="E96" s="99"/>
      <c r="F96" s="100"/>
      <c r="G96" s="100"/>
      <c r="H96" s="100"/>
      <c r="I96" s="100"/>
      <c r="J96" s="100"/>
      <c r="K96" s="101" t="str">
        <f t="shared" si="56"/>
        <v/>
      </c>
      <c r="L96" s="102"/>
      <c r="M96" s="103"/>
      <c r="N96" s="104"/>
      <c r="O96" s="105"/>
      <c r="P96" s="106">
        <f t="shared" si="57"/>
        <v>0</v>
      </c>
      <c r="Q96" s="106">
        <f t="shared" si="58"/>
        <v>0</v>
      </c>
      <c r="R96" s="106">
        <f t="shared" si="59"/>
        <v>0</v>
      </c>
      <c r="S96" s="106">
        <f t="shared" si="60"/>
        <v>0</v>
      </c>
      <c r="T96" s="107">
        <f t="shared" si="61"/>
        <v>0</v>
      </c>
      <c r="U96" s="78"/>
      <c r="AG96" s="108"/>
      <c r="AI96" s="78">
        <f t="shared" si="5"/>
        <v>0</v>
      </c>
      <c r="AJ96" s="78">
        <f t="shared" si="6"/>
        <v>0</v>
      </c>
      <c r="AK96" s="78">
        <f t="shared" si="7"/>
        <v>0</v>
      </c>
      <c r="AL96" s="78">
        <f t="shared" si="8"/>
        <v>0</v>
      </c>
      <c r="AM96" s="78">
        <f t="shared" si="9"/>
        <v>0</v>
      </c>
      <c r="AN96" s="78">
        <f t="shared" si="10"/>
        <v>0</v>
      </c>
      <c r="AO96" s="78">
        <f t="shared" si="11"/>
        <v>0</v>
      </c>
      <c r="AP96" s="78">
        <f t="shared" si="12"/>
        <v>0</v>
      </c>
      <c r="AQ96" s="78">
        <f t="shared" si="13"/>
        <v>0</v>
      </c>
      <c r="AR96" s="78">
        <f t="shared" si="14"/>
        <v>0</v>
      </c>
      <c r="AS96" s="90">
        <f t="shared" si="15"/>
        <v>0</v>
      </c>
      <c r="AT96" s="91">
        <f t="shared" si="16"/>
        <v>0</v>
      </c>
      <c r="AV96" s="91">
        <f t="shared" si="17"/>
        <v>0</v>
      </c>
      <c r="AW96" s="78">
        <f t="shared" si="18"/>
        <v>0</v>
      </c>
      <c r="AX96" s="78">
        <f t="shared" si="19"/>
        <v>0</v>
      </c>
      <c r="AY96" s="78"/>
      <c r="AZ96" s="78">
        <f t="shared" si="20"/>
        <v>0</v>
      </c>
      <c r="BA96" s="78">
        <f t="shared" si="21"/>
        <v>0</v>
      </c>
      <c r="BB96" s="78">
        <f t="shared" si="22"/>
        <v>0</v>
      </c>
      <c r="BC96" s="78">
        <f t="shared" si="23"/>
        <v>0</v>
      </c>
      <c r="BD96" s="78">
        <f t="shared" si="24"/>
        <v>0</v>
      </c>
      <c r="BE96" s="78">
        <f t="shared" si="25"/>
        <v>0</v>
      </c>
      <c r="BF96" s="78">
        <f t="shared" si="26"/>
        <v>0</v>
      </c>
      <c r="BG96" s="78">
        <f t="shared" si="27"/>
        <v>0</v>
      </c>
      <c r="BH96" s="78">
        <f t="shared" si="28"/>
        <v>0</v>
      </c>
      <c r="BI96" s="78"/>
      <c r="BJ96" s="91">
        <f t="shared" si="29"/>
        <v>0</v>
      </c>
      <c r="BK96" s="91">
        <f t="shared" si="30"/>
        <v>0</v>
      </c>
      <c r="BL96" s="78"/>
      <c r="BM96" s="78">
        <f t="shared" si="31"/>
        <v>0</v>
      </c>
      <c r="BN96" s="78">
        <f t="shared" si="32"/>
        <v>0</v>
      </c>
      <c r="BO96" s="78">
        <f t="shared" si="33"/>
        <v>0</v>
      </c>
      <c r="BP96" s="78">
        <f t="shared" si="34"/>
        <v>0</v>
      </c>
      <c r="BQ96" s="78">
        <f t="shared" si="35"/>
        <v>0</v>
      </c>
      <c r="BR96" s="78">
        <f t="shared" si="36"/>
        <v>0</v>
      </c>
      <c r="BS96" s="78">
        <f t="shared" si="37"/>
        <v>0</v>
      </c>
      <c r="BT96" s="78">
        <f t="shared" si="38"/>
        <v>0</v>
      </c>
      <c r="BU96" s="91">
        <f t="shared" si="39"/>
        <v>0</v>
      </c>
      <c r="BV96" s="91">
        <f t="shared" si="40"/>
        <v>0</v>
      </c>
      <c r="BW96" s="78"/>
      <c r="BX96" s="78"/>
      <c r="BY96" s="78">
        <f t="shared" si="41"/>
        <v>0</v>
      </c>
      <c r="BZ96" s="78">
        <f t="shared" si="42"/>
        <v>0</v>
      </c>
      <c r="CA96" s="78">
        <f t="shared" si="43"/>
        <v>0</v>
      </c>
      <c r="CB96" s="78">
        <f t="shared" si="44"/>
        <v>0</v>
      </c>
      <c r="CC96" s="78">
        <f t="shared" si="45"/>
        <v>0</v>
      </c>
      <c r="CD96" s="78">
        <f t="shared" si="46"/>
        <v>0</v>
      </c>
      <c r="CE96" s="78">
        <f t="shared" si="47"/>
        <v>0</v>
      </c>
      <c r="CF96" s="78">
        <f t="shared" si="48"/>
        <v>0</v>
      </c>
      <c r="CG96" s="78"/>
      <c r="CH96" s="92">
        <f t="shared" si="49"/>
        <v>0</v>
      </c>
      <c r="CI96" s="93">
        <f t="shared" si="50"/>
        <v>0</v>
      </c>
      <c r="CJ96" s="94">
        <f t="shared" si="51"/>
        <v>0</v>
      </c>
      <c r="CL96" s="78">
        <f t="shared" si="52"/>
        <v>0</v>
      </c>
      <c r="CM96" s="78">
        <f t="shared" si="53"/>
        <v>0</v>
      </c>
      <c r="CN96" s="78">
        <f t="shared" si="54"/>
        <v>0</v>
      </c>
      <c r="CO96" s="78">
        <f t="shared" si="55"/>
        <v>0</v>
      </c>
    </row>
    <row r="97" spans="1:93" ht="13.5" thickBot="1">
      <c r="A97" s="95"/>
      <c r="B97" s="96"/>
      <c r="C97" s="97"/>
      <c r="D97" s="98"/>
      <c r="E97" s="99"/>
      <c r="F97" s="100"/>
      <c r="G97" s="100"/>
      <c r="H97" s="100"/>
      <c r="I97" s="100"/>
      <c r="J97" s="100"/>
      <c r="K97" s="101" t="str">
        <f t="shared" si="56"/>
        <v/>
      </c>
      <c r="L97" s="102"/>
      <c r="M97" s="103"/>
      <c r="N97" s="104"/>
      <c r="O97" s="105"/>
      <c r="P97" s="106">
        <f t="shared" si="57"/>
        <v>0</v>
      </c>
      <c r="Q97" s="106">
        <f t="shared" si="58"/>
        <v>0</v>
      </c>
      <c r="R97" s="106">
        <f t="shared" si="59"/>
        <v>0</v>
      </c>
      <c r="S97" s="106">
        <f t="shared" si="60"/>
        <v>0</v>
      </c>
      <c r="T97" s="107">
        <f t="shared" si="61"/>
        <v>0</v>
      </c>
      <c r="U97" s="78"/>
      <c r="AG97" s="108"/>
      <c r="AI97" s="78">
        <f t="shared" si="5"/>
        <v>0</v>
      </c>
      <c r="AJ97" s="78">
        <f t="shared" si="6"/>
        <v>0</v>
      </c>
      <c r="AK97" s="78">
        <f t="shared" si="7"/>
        <v>0</v>
      </c>
      <c r="AL97" s="78">
        <f t="shared" si="8"/>
        <v>0</v>
      </c>
      <c r="AM97" s="78">
        <f t="shared" si="9"/>
        <v>0</v>
      </c>
      <c r="AN97" s="78">
        <f t="shared" si="10"/>
        <v>0</v>
      </c>
      <c r="AO97" s="78">
        <f t="shared" si="11"/>
        <v>0</v>
      </c>
      <c r="AP97" s="78">
        <f t="shared" si="12"/>
        <v>0</v>
      </c>
      <c r="AQ97" s="78">
        <f t="shared" si="13"/>
        <v>0</v>
      </c>
      <c r="AR97" s="78">
        <f t="shared" si="14"/>
        <v>0</v>
      </c>
      <c r="AS97" s="90">
        <f t="shared" si="15"/>
        <v>0</v>
      </c>
      <c r="AT97" s="91">
        <f t="shared" si="16"/>
        <v>0</v>
      </c>
      <c r="AV97" s="91">
        <f t="shared" si="17"/>
        <v>0</v>
      </c>
      <c r="AW97" s="78">
        <f t="shared" si="18"/>
        <v>0</v>
      </c>
      <c r="AX97" s="78">
        <f t="shared" si="19"/>
        <v>0</v>
      </c>
      <c r="AY97" s="78"/>
      <c r="AZ97" s="78">
        <f t="shared" si="20"/>
        <v>0</v>
      </c>
      <c r="BA97" s="78">
        <f t="shared" si="21"/>
        <v>0</v>
      </c>
      <c r="BB97" s="78">
        <f t="shared" si="22"/>
        <v>0</v>
      </c>
      <c r="BC97" s="78">
        <f t="shared" si="23"/>
        <v>0</v>
      </c>
      <c r="BD97" s="78">
        <f t="shared" si="24"/>
        <v>0</v>
      </c>
      <c r="BE97" s="78">
        <f t="shared" si="25"/>
        <v>0</v>
      </c>
      <c r="BF97" s="78">
        <f t="shared" si="26"/>
        <v>0</v>
      </c>
      <c r="BG97" s="78">
        <f t="shared" si="27"/>
        <v>0</v>
      </c>
      <c r="BH97" s="78">
        <f t="shared" si="28"/>
        <v>0</v>
      </c>
      <c r="BI97" s="78"/>
      <c r="BJ97" s="91">
        <f t="shared" si="29"/>
        <v>0</v>
      </c>
      <c r="BK97" s="91">
        <f t="shared" si="30"/>
        <v>0</v>
      </c>
      <c r="BL97" s="78"/>
      <c r="BM97" s="78">
        <f t="shared" si="31"/>
        <v>0</v>
      </c>
      <c r="BN97" s="78">
        <f t="shared" si="32"/>
        <v>0</v>
      </c>
      <c r="BO97" s="78">
        <f t="shared" si="33"/>
        <v>0</v>
      </c>
      <c r="BP97" s="78">
        <f t="shared" si="34"/>
        <v>0</v>
      </c>
      <c r="BQ97" s="78">
        <f t="shared" si="35"/>
        <v>0</v>
      </c>
      <c r="BR97" s="78">
        <f t="shared" si="36"/>
        <v>0</v>
      </c>
      <c r="BS97" s="78">
        <f t="shared" si="37"/>
        <v>0</v>
      </c>
      <c r="BT97" s="78">
        <f t="shared" si="38"/>
        <v>0</v>
      </c>
      <c r="BU97" s="91">
        <f t="shared" si="39"/>
        <v>0</v>
      </c>
      <c r="BV97" s="91">
        <f t="shared" si="40"/>
        <v>0</v>
      </c>
      <c r="BW97" s="78"/>
      <c r="BX97" s="78"/>
      <c r="BY97" s="78">
        <f t="shared" si="41"/>
        <v>0</v>
      </c>
      <c r="BZ97" s="78">
        <f t="shared" si="42"/>
        <v>0</v>
      </c>
      <c r="CA97" s="78">
        <f t="shared" si="43"/>
        <v>0</v>
      </c>
      <c r="CB97" s="78">
        <f t="shared" si="44"/>
        <v>0</v>
      </c>
      <c r="CC97" s="78">
        <f t="shared" si="45"/>
        <v>0</v>
      </c>
      <c r="CD97" s="78">
        <f t="shared" si="46"/>
        <v>0</v>
      </c>
      <c r="CE97" s="78">
        <f t="shared" si="47"/>
        <v>0</v>
      </c>
      <c r="CF97" s="78">
        <f t="shared" si="48"/>
        <v>0</v>
      </c>
      <c r="CG97" s="78"/>
      <c r="CH97" s="92">
        <f t="shared" si="49"/>
        <v>0</v>
      </c>
      <c r="CI97" s="93">
        <f t="shared" si="50"/>
        <v>0</v>
      </c>
      <c r="CJ97" s="94">
        <f t="shared" si="51"/>
        <v>0</v>
      </c>
      <c r="CL97" s="78">
        <f t="shared" si="52"/>
        <v>0</v>
      </c>
      <c r="CM97" s="78">
        <f t="shared" si="53"/>
        <v>0</v>
      </c>
      <c r="CN97" s="78">
        <f t="shared" si="54"/>
        <v>0</v>
      </c>
      <c r="CO97" s="78">
        <f t="shared" si="55"/>
        <v>0</v>
      </c>
    </row>
    <row r="98" spans="1:93" ht="13.5" thickBot="1">
      <c r="A98" s="95"/>
      <c r="B98" s="96"/>
      <c r="C98" s="97"/>
      <c r="D98" s="98"/>
      <c r="E98" s="99"/>
      <c r="F98" s="100"/>
      <c r="G98" s="100"/>
      <c r="H98" s="100"/>
      <c r="I98" s="100"/>
      <c r="J98" s="100"/>
      <c r="K98" s="101" t="str">
        <f t="shared" si="56"/>
        <v/>
      </c>
      <c r="L98" s="102"/>
      <c r="M98" s="103"/>
      <c r="N98" s="104"/>
      <c r="O98" s="105"/>
      <c r="P98" s="106">
        <f t="shared" si="57"/>
        <v>0</v>
      </c>
      <c r="Q98" s="106">
        <f t="shared" si="58"/>
        <v>0</v>
      </c>
      <c r="R98" s="106">
        <f t="shared" si="59"/>
        <v>0</v>
      </c>
      <c r="S98" s="106">
        <f t="shared" si="60"/>
        <v>0</v>
      </c>
      <c r="T98" s="107">
        <f t="shared" si="61"/>
        <v>0</v>
      </c>
      <c r="U98" s="78"/>
      <c r="AG98" s="108"/>
      <c r="AI98" s="78">
        <f t="shared" si="5"/>
        <v>0</v>
      </c>
      <c r="AJ98" s="78">
        <f t="shared" si="6"/>
        <v>0</v>
      </c>
      <c r="AK98" s="78">
        <f t="shared" si="7"/>
        <v>0</v>
      </c>
      <c r="AL98" s="78">
        <f t="shared" si="8"/>
        <v>0</v>
      </c>
      <c r="AM98" s="78">
        <f t="shared" si="9"/>
        <v>0</v>
      </c>
      <c r="AN98" s="78">
        <f t="shared" si="10"/>
        <v>0</v>
      </c>
      <c r="AO98" s="78">
        <f t="shared" si="11"/>
        <v>0</v>
      </c>
      <c r="AP98" s="78">
        <f t="shared" si="12"/>
        <v>0</v>
      </c>
      <c r="AQ98" s="78">
        <f t="shared" si="13"/>
        <v>0</v>
      </c>
      <c r="AR98" s="78">
        <f t="shared" si="14"/>
        <v>0</v>
      </c>
      <c r="AS98" s="90">
        <f t="shared" si="15"/>
        <v>0</v>
      </c>
      <c r="AT98" s="91">
        <f t="shared" si="16"/>
        <v>0</v>
      </c>
      <c r="AV98" s="91">
        <f t="shared" si="17"/>
        <v>0</v>
      </c>
      <c r="AW98" s="78">
        <f t="shared" si="18"/>
        <v>0</v>
      </c>
      <c r="AX98" s="78">
        <f t="shared" si="19"/>
        <v>0</v>
      </c>
      <c r="AY98" s="78"/>
      <c r="AZ98" s="78">
        <f t="shared" si="20"/>
        <v>0</v>
      </c>
      <c r="BA98" s="78">
        <f t="shared" si="21"/>
        <v>0</v>
      </c>
      <c r="BB98" s="78">
        <f t="shared" si="22"/>
        <v>0</v>
      </c>
      <c r="BC98" s="78">
        <f t="shared" si="23"/>
        <v>0</v>
      </c>
      <c r="BD98" s="78">
        <f t="shared" si="24"/>
        <v>0</v>
      </c>
      <c r="BE98" s="78">
        <f t="shared" si="25"/>
        <v>0</v>
      </c>
      <c r="BF98" s="78">
        <f t="shared" si="26"/>
        <v>0</v>
      </c>
      <c r="BG98" s="78">
        <f t="shared" si="27"/>
        <v>0</v>
      </c>
      <c r="BH98" s="78">
        <f t="shared" si="28"/>
        <v>0</v>
      </c>
      <c r="BI98" s="78"/>
      <c r="BJ98" s="91">
        <f t="shared" si="29"/>
        <v>0</v>
      </c>
      <c r="BK98" s="91">
        <f t="shared" si="30"/>
        <v>0</v>
      </c>
      <c r="BL98" s="78"/>
      <c r="BM98" s="78">
        <f t="shared" si="31"/>
        <v>0</v>
      </c>
      <c r="BN98" s="78">
        <f t="shared" si="32"/>
        <v>0</v>
      </c>
      <c r="BO98" s="78">
        <f t="shared" si="33"/>
        <v>0</v>
      </c>
      <c r="BP98" s="78">
        <f t="shared" si="34"/>
        <v>0</v>
      </c>
      <c r="BQ98" s="78">
        <f t="shared" si="35"/>
        <v>0</v>
      </c>
      <c r="BR98" s="78">
        <f t="shared" si="36"/>
        <v>0</v>
      </c>
      <c r="BS98" s="78">
        <f t="shared" si="37"/>
        <v>0</v>
      </c>
      <c r="BT98" s="78">
        <f t="shared" si="38"/>
        <v>0</v>
      </c>
      <c r="BU98" s="91">
        <f t="shared" si="39"/>
        <v>0</v>
      </c>
      <c r="BV98" s="91">
        <f t="shared" si="40"/>
        <v>0</v>
      </c>
      <c r="BW98" s="78"/>
      <c r="BX98" s="78"/>
      <c r="BY98" s="78">
        <f t="shared" si="41"/>
        <v>0</v>
      </c>
      <c r="BZ98" s="78">
        <f t="shared" si="42"/>
        <v>0</v>
      </c>
      <c r="CA98" s="78">
        <f t="shared" si="43"/>
        <v>0</v>
      </c>
      <c r="CB98" s="78">
        <f t="shared" si="44"/>
        <v>0</v>
      </c>
      <c r="CC98" s="78">
        <f t="shared" si="45"/>
        <v>0</v>
      </c>
      <c r="CD98" s="78">
        <f t="shared" si="46"/>
        <v>0</v>
      </c>
      <c r="CE98" s="78">
        <f t="shared" si="47"/>
        <v>0</v>
      </c>
      <c r="CF98" s="78">
        <f t="shared" si="48"/>
        <v>0</v>
      </c>
      <c r="CG98" s="78"/>
      <c r="CH98" s="92">
        <f t="shared" si="49"/>
        <v>0</v>
      </c>
      <c r="CI98" s="93">
        <f t="shared" si="50"/>
        <v>0</v>
      </c>
      <c r="CJ98" s="94">
        <f t="shared" si="51"/>
        <v>0</v>
      </c>
      <c r="CL98" s="78">
        <f t="shared" si="52"/>
        <v>0</v>
      </c>
      <c r="CM98" s="78">
        <f t="shared" si="53"/>
        <v>0</v>
      </c>
      <c r="CN98" s="78">
        <f t="shared" si="54"/>
        <v>0</v>
      </c>
      <c r="CO98" s="78">
        <f t="shared" si="55"/>
        <v>0</v>
      </c>
    </row>
    <row r="99" spans="1:93" ht="13.5" thickBot="1">
      <c r="A99" s="95"/>
      <c r="B99" s="96"/>
      <c r="C99" s="97"/>
      <c r="D99" s="98"/>
      <c r="E99" s="99"/>
      <c r="F99" s="100"/>
      <c r="G99" s="100"/>
      <c r="H99" s="100"/>
      <c r="I99" s="100"/>
      <c r="J99" s="100"/>
      <c r="K99" s="101" t="str">
        <f t="shared" si="56"/>
        <v/>
      </c>
      <c r="L99" s="102"/>
      <c r="M99" s="103"/>
      <c r="N99" s="104"/>
      <c r="O99" s="105"/>
      <c r="P99" s="106">
        <f t="shared" si="57"/>
        <v>0</v>
      </c>
      <c r="Q99" s="106">
        <f t="shared" si="58"/>
        <v>0</v>
      </c>
      <c r="R99" s="106">
        <f t="shared" si="59"/>
        <v>0</v>
      </c>
      <c r="S99" s="106">
        <f t="shared" si="60"/>
        <v>0</v>
      </c>
      <c r="T99" s="107">
        <f t="shared" si="61"/>
        <v>0</v>
      </c>
      <c r="U99" s="78"/>
      <c r="AG99" s="108"/>
      <c r="AI99" s="78">
        <f t="shared" si="5"/>
        <v>0</v>
      </c>
      <c r="AJ99" s="78">
        <f t="shared" si="6"/>
        <v>0</v>
      </c>
      <c r="AK99" s="78">
        <f t="shared" si="7"/>
        <v>0</v>
      </c>
      <c r="AL99" s="78">
        <f t="shared" si="8"/>
        <v>0</v>
      </c>
      <c r="AM99" s="78">
        <f t="shared" si="9"/>
        <v>0</v>
      </c>
      <c r="AN99" s="78">
        <f t="shared" si="10"/>
        <v>0</v>
      </c>
      <c r="AO99" s="78">
        <f t="shared" si="11"/>
        <v>0</v>
      </c>
      <c r="AP99" s="78">
        <f t="shared" si="12"/>
        <v>0</v>
      </c>
      <c r="AQ99" s="78">
        <f t="shared" si="13"/>
        <v>0</v>
      </c>
      <c r="AR99" s="78">
        <f t="shared" si="14"/>
        <v>0</v>
      </c>
      <c r="AS99" s="90">
        <f t="shared" si="15"/>
        <v>0</v>
      </c>
      <c r="AT99" s="91">
        <f t="shared" si="16"/>
        <v>0</v>
      </c>
      <c r="AV99" s="91">
        <f t="shared" si="17"/>
        <v>0</v>
      </c>
      <c r="AW99" s="78">
        <f t="shared" si="18"/>
        <v>0</v>
      </c>
      <c r="AX99" s="78">
        <f t="shared" si="19"/>
        <v>0</v>
      </c>
      <c r="AY99" s="78"/>
      <c r="AZ99" s="78">
        <f t="shared" si="20"/>
        <v>0</v>
      </c>
      <c r="BA99" s="78">
        <f t="shared" si="21"/>
        <v>0</v>
      </c>
      <c r="BB99" s="78">
        <f t="shared" si="22"/>
        <v>0</v>
      </c>
      <c r="BC99" s="78">
        <f t="shared" si="23"/>
        <v>0</v>
      </c>
      <c r="BD99" s="78">
        <f t="shared" si="24"/>
        <v>0</v>
      </c>
      <c r="BE99" s="78">
        <f t="shared" si="25"/>
        <v>0</v>
      </c>
      <c r="BF99" s="78">
        <f t="shared" si="26"/>
        <v>0</v>
      </c>
      <c r="BG99" s="78">
        <f t="shared" si="27"/>
        <v>0</v>
      </c>
      <c r="BH99" s="78">
        <f t="shared" si="28"/>
        <v>0</v>
      </c>
      <c r="BI99" s="78"/>
      <c r="BJ99" s="91">
        <f t="shared" si="29"/>
        <v>0</v>
      </c>
      <c r="BK99" s="91">
        <f t="shared" si="30"/>
        <v>0</v>
      </c>
      <c r="BL99" s="78"/>
      <c r="BM99" s="78">
        <f t="shared" si="31"/>
        <v>0</v>
      </c>
      <c r="BN99" s="78">
        <f t="shared" si="32"/>
        <v>0</v>
      </c>
      <c r="BO99" s="78">
        <f t="shared" si="33"/>
        <v>0</v>
      </c>
      <c r="BP99" s="78">
        <f t="shared" si="34"/>
        <v>0</v>
      </c>
      <c r="BQ99" s="78">
        <f t="shared" si="35"/>
        <v>0</v>
      </c>
      <c r="BR99" s="78">
        <f t="shared" si="36"/>
        <v>0</v>
      </c>
      <c r="BS99" s="78">
        <f t="shared" si="37"/>
        <v>0</v>
      </c>
      <c r="BT99" s="78">
        <f t="shared" si="38"/>
        <v>0</v>
      </c>
      <c r="BU99" s="91">
        <f t="shared" si="39"/>
        <v>0</v>
      </c>
      <c r="BV99" s="91">
        <f t="shared" si="40"/>
        <v>0</v>
      </c>
      <c r="BW99" s="78"/>
      <c r="BX99" s="78"/>
      <c r="BY99" s="78">
        <f t="shared" si="41"/>
        <v>0</v>
      </c>
      <c r="BZ99" s="78">
        <f t="shared" si="42"/>
        <v>0</v>
      </c>
      <c r="CA99" s="78">
        <f t="shared" si="43"/>
        <v>0</v>
      </c>
      <c r="CB99" s="78">
        <f t="shared" si="44"/>
        <v>0</v>
      </c>
      <c r="CC99" s="78">
        <f t="shared" si="45"/>
        <v>0</v>
      </c>
      <c r="CD99" s="78">
        <f t="shared" si="46"/>
        <v>0</v>
      </c>
      <c r="CE99" s="78">
        <f t="shared" si="47"/>
        <v>0</v>
      </c>
      <c r="CF99" s="78">
        <f t="shared" si="48"/>
        <v>0</v>
      </c>
      <c r="CG99" s="78"/>
      <c r="CH99" s="92">
        <f t="shared" si="49"/>
        <v>0</v>
      </c>
      <c r="CI99" s="93">
        <f t="shared" si="50"/>
        <v>0</v>
      </c>
      <c r="CJ99" s="94">
        <f t="shared" si="51"/>
        <v>0</v>
      </c>
      <c r="CL99" s="78">
        <f t="shared" si="52"/>
        <v>0</v>
      </c>
      <c r="CM99" s="78">
        <f t="shared" si="53"/>
        <v>0</v>
      </c>
      <c r="CN99" s="78">
        <f t="shared" si="54"/>
        <v>0</v>
      </c>
      <c r="CO99" s="78">
        <f t="shared" si="55"/>
        <v>0</v>
      </c>
    </row>
    <row r="100" spans="1:93" ht="13.5" thickBot="1">
      <c r="A100" s="95"/>
      <c r="B100" s="96"/>
      <c r="C100" s="97"/>
      <c r="D100" s="98"/>
      <c r="E100" s="99"/>
      <c r="F100" s="100"/>
      <c r="G100" s="100"/>
      <c r="H100" s="100"/>
      <c r="I100" s="100"/>
      <c r="J100" s="100"/>
      <c r="K100" s="101" t="str">
        <f t="shared" si="56"/>
        <v/>
      </c>
      <c r="L100" s="102"/>
      <c r="M100" s="103"/>
      <c r="N100" s="104"/>
      <c r="O100" s="105"/>
      <c r="P100" s="106">
        <f t="shared" si="57"/>
        <v>0</v>
      </c>
      <c r="Q100" s="106">
        <f t="shared" si="58"/>
        <v>0</v>
      </c>
      <c r="R100" s="106">
        <f t="shared" si="59"/>
        <v>0</v>
      </c>
      <c r="S100" s="106">
        <f t="shared" si="60"/>
        <v>0</v>
      </c>
      <c r="T100" s="107">
        <f t="shared" si="61"/>
        <v>0</v>
      </c>
      <c r="U100" s="78"/>
      <c r="AG100" s="108"/>
      <c r="AI100" s="78">
        <f t="shared" si="5"/>
        <v>0</v>
      </c>
      <c r="AJ100" s="78">
        <f t="shared" si="6"/>
        <v>0</v>
      </c>
      <c r="AK100" s="78">
        <f t="shared" si="7"/>
        <v>0</v>
      </c>
      <c r="AL100" s="78">
        <f t="shared" si="8"/>
        <v>0</v>
      </c>
      <c r="AM100" s="78">
        <f t="shared" si="9"/>
        <v>0</v>
      </c>
      <c r="AN100" s="78">
        <f t="shared" si="10"/>
        <v>0</v>
      </c>
      <c r="AO100" s="78">
        <f t="shared" si="11"/>
        <v>0</v>
      </c>
      <c r="AP100" s="78">
        <f t="shared" si="12"/>
        <v>0</v>
      </c>
      <c r="AQ100" s="78">
        <f t="shared" si="13"/>
        <v>0</v>
      </c>
      <c r="AR100" s="78">
        <f t="shared" si="14"/>
        <v>0</v>
      </c>
      <c r="AS100" s="90">
        <f t="shared" si="15"/>
        <v>0</v>
      </c>
      <c r="AT100" s="91">
        <f t="shared" si="16"/>
        <v>0</v>
      </c>
      <c r="AV100" s="91">
        <f t="shared" si="17"/>
        <v>0</v>
      </c>
      <c r="AW100" s="78">
        <f t="shared" si="18"/>
        <v>0</v>
      </c>
      <c r="AX100" s="78">
        <f t="shared" si="19"/>
        <v>0</v>
      </c>
      <c r="AY100" s="78"/>
      <c r="AZ100" s="78">
        <f t="shared" si="20"/>
        <v>0</v>
      </c>
      <c r="BA100" s="78">
        <f t="shared" si="21"/>
        <v>0</v>
      </c>
      <c r="BB100" s="78">
        <f t="shared" si="22"/>
        <v>0</v>
      </c>
      <c r="BC100" s="78">
        <f t="shared" si="23"/>
        <v>0</v>
      </c>
      <c r="BD100" s="78">
        <f t="shared" si="24"/>
        <v>0</v>
      </c>
      <c r="BE100" s="78">
        <f t="shared" si="25"/>
        <v>0</v>
      </c>
      <c r="BF100" s="78">
        <f t="shared" si="26"/>
        <v>0</v>
      </c>
      <c r="BG100" s="78">
        <f t="shared" si="27"/>
        <v>0</v>
      </c>
      <c r="BH100" s="78">
        <f t="shared" si="28"/>
        <v>0</v>
      </c>
      <c r="BI100" s="78"/>
      <c r="BJ100" s="91">
        <f t="shared" si="29"/>
        <v>0</v>
      </c>
      <c r="BK100" s="91">
        <f t="shared" si="30"/>
        <v>0</v>
      </c>
      <c r="BL100" s="78"/>
      <c r="BM100" s="78">
        <f t="shared" si="31"/>
        <v>0</v>
      </c>
      <c r="BN100" s="78">
        <f t="shared" si="32"/>
        <v>0</v>
      </c>
      <c r="BO100" s="78">
        <f t="shared" si="33"/>
        <v>0</v>
      </c>
      <c r="BP100" s="78">
        <f t="shared" si="34"/>
        <v>0</v>
      </c>
      <c r="BQ100" s="78">
        <f t="shared" si="35"/>
        <v>0</v>
      </c>
      <c r="BR100" s="78">
        <f t="shared" si="36"/>
        <v>0</v>
      </c>
      <c r="BS100" s="78">
        <f t="shared" si="37"/>
        <v>0</v>
      </c>
      <c r="BT100" s="78">
        <f t="shared" si="38"/>
        <v>0</v>
      </c>
      <c r="BU100" s="91">
        <f t="shared" si="39"/>
        <v>0</v>
      </c>
      <c r="BV100" s="91">
        <f t="shared" si="40"/>
        <v>0</v>
      </c>
      <c r="BW100" s="78"/>
      <c r="BX100" s="78"/>
      <c r="BY100" s="78">
        <f t="shared" si="41"/>
        <v>0</v>
      </c>
      <c r="BZ100" s="78">
        <f t="shared" si="42"/>
        <v>0</v>
      </c>
      <c r="CA100" s="78">
        <f t="shared" si="43"/>
        <v>0</v>
      </c>
      <c r="CB100" s="78">
        <f t="shared" si="44"/>
        <v>0</v>
      </c>
      <c r="CC100" s="78">
        <f t="shared" si="45"/>
        <v>0</v>
      </c>
      <c r="CD100" s="78">
        <f t="shared" si="46"/>
        <v>0</v>
      </c>
      <c r="CE100" s="78">
        <f t="shared" si="47"/>
        <v>0</v>
      </c>
      <c r="CF100" s="78">
        <f t="shared" si="48"/>
        <v>0</v>
      </c>
      <c r="CG100" s="78"/>
      <c r="CH100" s="92">
        <f t="shared" si="49"/>
        <v>0</v>
      </c>
      <c r="CI100" s="93">
        <f t="shared" si="50"/>
        <v>0</v>
      </c>
      <c r="CJ100" s="94">
        <f t="shared" si="51"/>
        <v>0</v>
      </c>
      <c r="CL100" s="78">
        <f t="shared" si="52"/>
        <v>0</v>
      </c>
      <c r="CM100" s="78">
        <f t="shared" si="53"/>
        <v>0</v>
      </c>
      <c r="CN100" s="78">
        <f t="shared" si="54"/>
        <v>0</v>
      </c>
      <c r="CO100" s="78">
        <f t="shared" si="55"/>
        <v>0</v>
      </c>
    </row>
    <row r="101" spans="1:93" ht="13.5" thickBot="1">
      <c r="A101" s="95"/>
      <c r="B101" s="96"/>
      <c r="C101" s="97"/>
      <c r="D101" s="98"/>
      <c r="E101" s="99"/>
      <c r="F101" s="100"/>
      <c r="G101" s="100"/>
      <c r="H101" s="100"/>
      <c r="I101" s="100"/>
      <c r="J101" s="100"/>
      <c r="K101" s="101" t="str">
        <f t="shared" si="56"/>
        <v/>
      </c>
      <c r="L101" s="102"/>
      <c r="M101" s="103"/>
      <c r="N101" s="104"/>
      <c r="O101" s="105"/>
      <c r="P101" s="106">
        <f t="shared" si="57"/>
        <v>0</v>
      </c>
      <c r="Q101" s="106">
        <f t="shared" si="58"/>
        <v>0</v>
      </c>
      <c r="R101" s="106">
        <f t="shared" si="59"/>
        <v>0</v>
      </c>
      <c r="S101" s="106">
        <f t="shared" si="60"/>
        <v>0</v>
      </c>
      <c r="T101" s="107">
        <f t="shared" si="61"/>
        <v>0</v>
      </c>
      <c r="U101" s="78"/>
      <c r="AG101" s="108"/>
      <c r="AI101" s="78">
        <f t="shared" si="5"/>
        <v>0</v>
      </c>
      <c r="AJ101" s="78">
        <f t="shared" si="6"/>
        <v>0</v>
      </c>
      <c r="AK101" s="78">
        <f t="shared" si="7"/>
        <v>0</v>
      </c>
      <c r="AL101" s="78">
        <f t="shared" si="8"/>
        <v>0</v>
      </c>
      <c r="AM101" s="78">
        <f t="shared" si="9"/>
        <v>0</v>
      </c>
      <c r="AN101" s="78">
        <f t="shared" si="10"/>
        <v>0</v>
      </c>
      <c r="AO101" s="78">
        <f t="shared" si="11"/>
        <v>0</v>
      </c>
      <c r="AP101" s="78">
        <f t="shared" si="12"/>
        <v>0</v>
      </c>
      <c r="AQ101" s="78">
        <f t="shared" si="13"/>
        <v>0</v>
      </c>
      <c r="AR101" s="78">
        <f t="shared" si="14"/>
        <v>0</v>
      </c>
      <c r="AS101" s="90">
        <f t="shared" si="15"/>
        <v>0</v>
      </c>
      <c r="AT101" s="91">
        <f t="shared" si="16"/>
        <v>0</v>
      </c>
      <c r="AV101" s="91">
        <f t="shared" si="17"/>
        <v>0</v>
      </c>
      <c r="AW101" s="78">
        <f t="shared" si="18"/>
        <v>0</v>
      </c>
      <c r="AX101" s="78">
        <f t="shared" si="19"/>
        <v>0</v>
      </c>
      <c r="AY101" s="78"/>
      <c r="AZ101" s="78">
        <f t="shared" si="20"/>
        <v>0</v>
      </c>
      <c r="BA101" s="78">
        <f t="shared" si="21"/>
        <v>0</v>
      </c>
      <c r="BB101" s="78">
        <f t="shared" si="22"/>
        <v>0</v>
      </c>
      <c r="BC101" s="78">
        <f t="shared" si="23"/>
        <v>0</v>
      </c>
      <c r="BD101" s="78">
        <f t="shared" si="24"/>
        <v>0</v>
      </c>
      <c r="BE101" s="78">
        <f t="shared" si="25"/>
        <v>0</v>
      </c>
      <c r="BF101" s="78">
        <f t="shared" si="26"/>
        <v>0</v>
      </c>
      <c r="BG101" s="78">
        <f t="shared" si="27"/>
        <v>0</v>
      </c>
      <c r="BH101" s="78">
        <f t="shared" si="28"/>
        <v>0</v>
      </c>
      <c r="BI101" s="78"/>
      <c r="BJ101" s="91">
        <f t="shared" si="29"/>
        <v>0</v>
      </c>
      <c r="BK101" s="91">
        <f t="shared" si="30"/>
        <v>0</v>
      </c>
      <c r="BL101" s="78"/>
      <c r="BM101" s="78">
        <f t="shared" si="31"/>
        <v>0</v>
      </c>
      <c r="BN101" s="78">
        <f t="shared" si="32"/>
        <v>0</v>
      </c>
      <c r="BO101" s="78">
        <f t="shared" si="33"/>
        <v>0</v>
      </c>
      <c r="BP101" s="78">
        <f t="shared" si="34"/>
        <v>0</v>
      </c>
      <c r="BQ101" s="78">
        <f t="shared" si="35"/>
        <v>0</v>
      </c>
      <c r="BR101" s="78">
        <f t="shared" si="36"/>
        <v>0</v>
      </c>
      <c r="BS101" s="78">
        <f t="shared" si="37"/>
        <v>0</v>
      </c>
      <c r="BT101" s="78">
        <f t="shared" si="38"/>
        <v>0</v>
      </c>
      <c r="BU101" s="91">
        <f t="shared" si="39"/>
        <v>0</v>
      </c>
      <c r="BV101" s="91">
        <f t="shared" si="40"/>
        <v>0</v>
      </c>
      <c r="BW101" s="78"/>
      <c r="BX101" s="78"/>
      <c r="BY101" s="78">
        <f t="shared" si="41"/>
        <v>0</v>
      </c>
      <c r="BZ101" s="78">
        <f t="shared" si="42"/>
        <v>0</v>
      </c>
      <c r="CA101" s="78">
        <f t="shared" si="43"/>
        <v>0</v>
      </c>
      <c r="CB101" s="78">
        <f t="shared" si="44"/>
        <v>0</v>
      </c>
      <c r="CC101" s="78">
        <f t="shared" si="45"/>
        <v>0</v>
      </c>
      <c r="CD101" s="78">
        <f t="shared" si="46"/>
        <v>0</v>
      </c>
      <c r="CE101" s="78">
        <f t="shared" si="47"/>
        <v>0</v>
      </c>
      <c r="CF101" s="78">
        <f t="shared" si="48"/>
        <v>0</v>
      </c>
      <c r="CG101" s="78"/>
      <c r="CH101" s="92">
        <f t="shared" si="49"/>
        <v>0</v>
      </c>
      <c r="CI101" s="93">
        <f t="shared" si="50"/>
        <v>0</v>
      </c>
      <c r="CJ101" s="94">
        <f t="shared" si="51"/>
        <v>0</v>
      </c>
      <c r="CL101" s="78">
        <f t="shared" si="52"/>
        <v>0</v>
      </c>
      <c r="CM101" s="78">
        <f t="shared" si="53"/>
        <v>0</v>
      </c>
      <c r="CN101" s="78">
        <f t="shared" si="54"/>
        <v>0</v>
      </c>
      <c r="CO101" s="78">
        <f t="shared" si="55"/>
        <v>0</v>
      </c>
    </row>
    <row r="102" spans="1:93" ht="13.5" thickBot="1">
      <c r="A102" s="95"/>
      <c r="B102" s="96"/>
      <c r="C102" s="97"/>
      <c r="D102" s="98"/>
      <c r="E102" s="99"/>
      <c r="F102" s="100"/>
      <c r="G102" s="100"/>
      <c r="H102" s="100"/>
      <c r="I102" s="100"/>
      <c r="J102" s="100"/>
      <c r="K102" s="101" t="str">
        <f t="shared" si="56"/>
        <v/>
      </c>
      <c r="L102" s="102"/>
      <c r="M102" s="103"/>
      <c r="N102" s="104"/>
      <c r="O102" s="105"/>
      <c r="P102" s="106">
        <f t="shared" si="57"/>
        <v>0</v>
      </c>
      <c r="Q102" s="106">
        <f t="shared" si="58"/>
        <v>0</v>
      </c>
      <c r="R102" s="106">
        <f t="shared" si="59"/>
        <v>0</v>
      </c>
      <c r="S102" s="106">
        <f t="shared" si="60"/>
        <v>0</v>
      </c>
      <c r="T102" s="107">
        <f t="shared" si="61"/>
        <v>0</v>
      </c>
      <c r="U102" s="78"/>
      <c r="AG102" s="108"/>
      <c r="AI102" s="78">
        <f t="shared" si="5"/>
        <v>0</v>
      </c>
      <c r="AJ102" s="78">
        <f t="shared" si="6"/>
        <v>0</v>
      </c>
      <c r="AK102" s="78">
        <f t="shared" si="7"/>
        <v>0</v>
      </c>
      <c r="AL102" s="78">
        <f t="shared" si="8"/>
        <v>0</v>
      </c>
      <c r="AM102" s="78">
        <f t="shared" si="9"/>
        <v>0</v>
      </c>
      <c r="AN102" s="78">
        <f t="shared" si="10"/>
        <v>0</v>
      </c>
      <c r="AO102" s="78">
        <f t="shared" si="11"/>
        <v>0</v>
      </c>
      <c r="AP102" s="78">
        <f t="shared" si="12"/>
        <v>0</v>
      </c>
      <c r="AQ102" s="78">
        <f t="shared" si="13"/>
        <v>0</v>
      </c>
      <c r="AR102" s="78">
        <f t="shared" si="14"/>
        <v>0</v>
      </c>
      <c r="AS102" s="90">
        <f t="shared" si="15"/>
        <v>0</v>
      </c>
      <c r="AT102" s="91">
        <f t="shared" si="16"/>
        <v>0</v>
      </c>
      <c r="AV102" s="91">
        <f t="shared" si="17"/>
        <v>0</v>
      </c>
      <c r="AW102" s="78">
        <f t="shared" si="18"/>
        <v>0</v>
      </c>
      <c r="AX102" s="78">
        <f t="shared" si="19"/>
        <v>0</v>
      </c>
      <c r="AY102" s="78"/>
      <c r="AZ102" s="78">
        <f t="shared" si="20"/>
        <v>0</v>
      </c>
      <c r="BA102" s="78">
        <f t="shared" si="21"/>
        <v>0</v>
      </c>
      <c r="BB102" s="78">
        <f t="shared" si="22"/>
        <v>0</v>
      </c>
      <c r="BC102" s="78">
        <f t="shared" si="23"/>
        <v>0</v>
      </c>
      <c r="BD102" s="78">
        <f t="shared" si="24"/>
        <v>0</v>
      </c>
      <c r="BE102" s="78">
        <f t="shared" si="25"/>
        <v>0</v>
      </c>
      <c r="BF102" s="78">
        <f t="shared" si="26"/>
        <v>0</v>
      </c>
      <c r="BG102" s="78">
        <f t="shared" si="27"/>
        <v>0</v>
      </c>
      <c r="BH102" s="78">
        <f t="shared" si="28"/>
        <v>0</v>
      </c>
      <c r="BI102" s="78"/>
      <c r="BJ102" s="91">
        <f t="shared" si="29"/>
        <v>0</v>
      </c>
      <c r="BK102" s="91">
        <f t="shared" si="30"/>
        <v>0</v>
      </c>
      <c r="BL102" s="78"/>
      <c r="BM102" s="78">
        <f t="shared" si="31"/>
        <v>0</v>
      </c>
      <c r="BN102" s="78">
        <f t="shared" si="32"/>
        <v>0</v>
      </c>
      <c r="BO102" s="78">
        <f t="shared" si="33"/>
        <v>0</v>
      </c>
      <c r="BP102" s="78">
        <f t="shared" si="34"/>
        <v>0</v>
      </c>
      <c r="BQ102" s="78">
        <f t="shared" si="35"/>
        <v>0</v>
      </c>
      <c r="BR102" s="78">
        <f t="shared" si="36"/>
        <v>0</v>
      </c>
      <c r="BS102" s="78">
        <f t="shared" si="37"/>
        <v>0</v>
      </c>
      <c r="BT102" s="78">
        <f t="shared" si="38"/>
        <v>0</v>
      </c>
      <c r="BU102" s="91">
        <f t="shared" si="39"/>
        <v>0</v>
      </c>
      <c r="BV102" s="91">
        <f t="shared" si="40"/>
        <v>0</v>
      </c>
      <c r="BW102" s="78"/>
      <c r="BX102" s="78"/>
      <c r="BY102" s="78">
        <f t="shared" si="41"/>
        <v>0</v>
      </c>
      <c r="BZ102" s="78">
        <f t="shared" si="42"/>
        <v>0</v>
      </c>
      <c r="CA102" s="78">
        <f t="shared" si="43"/>
        <v>0</v>
      </c>
      <c r="CB102" s="78">
        <f t="shared" si="44"/>
        <v>0</v>
      </c>
      <c r="CC102" s="78">
        <f t="shared" si="45"/>
        <v>0</v>
      </c>
      <c r="CD102" s="78">
        <f t="shared" si="46"/>
        <v>0</v>
      </c>
      <c r="CE102" s="78">
        <f t="shared" si="47"/>
        <v>0</v>
      </c>
      <c r="CF102" s="78">
        <f t="shared" si="48"/>
        <v>0</v>
      </c>
      <c r="CG102" s="78"/>
      <c r="CH102" s="92">
        <f t="shared" si="49"/>
        <v>0</v>
      </c>
      <c r="CI102" s="93">
        <f t="shared" si="50"/>
        <v>0</v>
      </c>
      <c r="CJ102" s="94">
        <f t="shared" si="51"/>
        <v>0</v>
      </c>
      <c r="CL102" s="78">
        <f t="shared" si="52"/>
        <v>0</v>
      </c>
      <c r="CM102" s="78">
        <f t="shared" si="53"/>
        <v>0</v>
      </c>
      <c r="CN102" s="78">
        <f t="shared" si="54"/>
        <v>0</v>
      </c>
      <c r="CO102" s="78">
        <f t="shared" si="55"/>
        <v>0</v>
      </c>
    </row>
    <row r="103" spans="1:93" ht="13.5" thickBot="1">
      <c r="A103" s="95"/>
      <c r="B103" s="96"/>
      <c r="C103" s="97"/>
      <c r="D103" s="98"/>
      <c r="E103" s="99"/>
      <c r="F103" s="100"/>
      <c r="G103" s="100"/>
      <c r="H103" s="100"/>
      <c r="I103" s="100"/>
      <c r="J103" s="100"/>
      <c r="K103" s="101" t="str">
        <f t="shared" si="56"/>
        <v/>
      </c>
      <c r="L103" s="102"/>
      <c r="M103" s="103"/>
      <c r="N103" s="104"/>
      <c r="O103" s="105"/>
      <c r="P103" s="106">
        <f t="shared" si="57"/>
        <v>0</v>
      </c>
      <c r="Q103" s="106">
        <f t="shared" si="58"/>
        <v>0</v>
      </c>
      <c r="R103" s="106">
        <f t="shared" si="59"/>
        <v>0</v>
      </c>
      <c r="S103" s="106">
        <f t="shared" si="60"/>
        <v>0</v>
      </c>
      <c r="T103" s="107">
        <f t="shared" si="61"/>
        <v>0</v>
      </c>
      <c r="U103" s="78"/>
      <c r="AG103" s="108"/>
      <c r="AI103" s="78">
        <f t="shared" ref="AI103:AI166" si="62">IF($C103=$AM$19,IF($N103&gt;$K103,$N103*$E103,$K103*$E103),0)</f>
        <v>0</v>
      </c>
      <c r="AJ103" s="78">
        <f t="shared" ref="AJ103:AJ166" si="63">AI103*M103</f>
        <v>0</v>
      </c>
      <c r="AK103" s="78">
        <f t="shared" ref="AK103:AK166" si="64">IF(C103=$AM$19,($E103*$F103+$E103*$H103)*$L103,0)</f>
        <v>0</v>
      </c>
      <c r="AL103" s="78">
        <f t="shared" ref="AL103:AL166" si="65">IF(C103=$AM$19,AJ103-AK103,0)</f>
        <v>0</v>
      </c>
      <c r="AM103" s="78">
        <f t="shared" ref="AM103:AM166" si="66">IF($C103=$AM$18,IF($N103&gt;$K103,$N103*$E103,$K103*$E103),0)</f>
        <v>0</v>
      </c>
      <c r="AN103" s="78">
        <f t="shared" ref="AN103:AN166" si="67">AM103*2.1%</f>
        <v>0</v>
      </c>
      <c r="AO103" s="78">
        <f t="shared" ref="AO103:AO166" si="68">IF($C103=$AM$20,IF($N103&gt;$K103,$N103*$E103*$O103+$N103*$E103,$K103*$E103*$O103+$K103*$E103),0)</f>
        <v>0</v>
      </c>
      <c r="AP103" s="78">
        <f t="shared" ref="AP103:AP166" si="69">$AO103*$M103</f>
        <v>0</v>
      </c>
      <c r="AQ103" s="78">
        <f t="shared" ref="AQ103:AQ166" si="70">IF(C103=$AM$20,($E103*$F103+$E103*$H103)*$L103,0)</f>
        <v>0</v>
      </c>
      <c r="AR103" s="78">
        <f t="shared" ref="AR103:AR166" si="71">IF($C103=$AM$20,$AP103-$AQ103,0)</f>
        <v>0</v>
      </c>
      <c r="AS103" s="90">
        <f t="shared" ref="AS103:AS166" si="72">IF($C103=$AM$21,IF(N103&gt;K103,N103*E103,$K103*$O103*$E103+$K103*$E103),0)/(100%-M103)</f>
        <v>0</v>
      </c>
      <c r="AT103" s="91">
        <f t="shared" ref="AT103:AT166" si="73">AS103*M103</f>
        <v>0</v>
      </c>
      <c r="AV103" s="91">
        <f t="shared" ref="AV103:AV166" si="74">IF($C103=$AM$21,$AT103,0)</f>
        <v>0</v>
      </c>
      <c r="AW103" s="78">
        <f t="shared" ref="AW103:AW166" si="75">IF($C103=$AM$22,IF($N103&gt;$K103,$N103*$E103,$K103*$E103),0)</f>
        <v>0</v>
      </c>
      <c r="AX103" s="78">
        <f t="shared" ref="AX103:AX166" si="76">AW103*12%</f>
        <v>0</v>
      </c>
      <c r="AY103" s="78"/>
      <c r="AZ103" s="78">
        <f t="shared" ref="AZ103:AZ166" si="77">IF($C103=$AM$22,$AX103-$AY103,0)</f>
        <v>0</v>
      </c>
      <c r="BA103" s="78">
        <f t="shared" ref="BA103:BA166" si="78">IF($C103=$AM$23,IF($N103&gt;$K103,$N103*$E103,$K103*$E103),0)</f>
        <v>0</v>
      </c>
      <c r="BB103" s="78">
        <f t="shared" ref="BB103:BB166" si="79">BA103*30%</f>
        <v>0</v>
      </c>
      <c r="BC103" s="78">
        <f t="shared" ref="BC103:BC166" si="80">IF(C103=$AM$23,($E103*$F103+$E103*$H103)*$L103,0)</f>
        <v>0</v>
      </c>
      <c r="BD103" s="78">
        <f t="shared" ref="BD103:BD166" si="81">IF($C103=$AM$23,BB103-BC103,0)</f>
        <v>0</v>
      </c>
      <c r="BE103" s="78">
        <f t="shared" ref="BE103:BE166" si="82">IF($C103=$AM$24,IF($N103&gt;$K103,$N103*$O103*$E103+$N103*$E103,$K103*$E103*$O103+$K103*$E103),0)</f>
        <v>0</v>
      </c>
      <c r="BF103" s="78">
        <f t="shared" ref="BF103:BF166" si="83">BE103*M103</f>
        <v>0</v>
      </c>
      <c r="BG103" s="78">
        <f t="shared" ref="BG103:BG166" si="84">IF($C103=$AM$24,($E103*$F103+$E103*$H103)*$L103,0)</f>
        <v>0</v>
      </c>
      <c r="BH103" s="78">
        <f t="shared" ref="BH103:BH166" si="85">IF($C103=$AM$24,BF103-BG103,0)</f>
        <v>0</v>
      </c>
      <c r="BI103" s="78"/>
      <c r="BJ103" s="91">
        <f t="shared" ref="BJ103:BJ166" si="86">IF($C103=$AM$29,IF($N103&gt;$K103,$N103*$E103,$K103*$O103*$E103+$K103*$E103),0)/(100%-$M103)</f>
        <v>0</v>
      </c>
      <c r="BK103" s="91">
        <f t="shared" ref="BK103:BK166" si="87">BJ103*30%</f>
        <v>0</v>
      </c>
      <c r="BL103" s="78"/>
      <c r="BM103" s="78">
        <f t="shared" ref="BM103:BM166" si="88">IF($C103=$AM$25,IF($N103&gt;$K103,$N103*$E103,$K103*$E103),0)</f>
        <v>0</v>
      </c>
      <c r="BN103" s="78">
        <f t="shared" ref="BN103:BN166" si="89">BM103*M103</f>
        <v>0</v>
      </c>
      <c r="BO103" s="78">
        <f t="shared" ref="BO103:BO166" si="90">IF($C103=$AM$25,($E103*$F103+$E103*$H103)*$L103,0)</f>
        <v>0</v>
      </c>
      <c r="BP103" s="78">
        <f t="shared" ref="BP103:BP166" si="91">IF($C103=$AM$25,BN103-BO103,0)</f>
        <v>0</v>
      </c>
      <c r="BQ103" s="78">
        <f t="shared" ref="BQ103:BQ166" si="92">IF($C103=$AM$26,IF($N103&gt;$K103,$N103*$E103*30%+$N103*$E103,$K103*$E103*30%+$K103*$E103),0)</f>
        <v>0</v>
      </c>
      <c r="BR103" s="78">
        <f t="shared" ref="BR103:BR166" si="93">$BQ103*12%</f>
        <v>0</v>
      </c>
      <c r="BS103" s="78">
        <f t="shared" ref="BS103:BS166" si="94">IF($C103=$AM$26,($E103*$F103+$E103*$H103)*$L103,0)</f>
        <v>0</v>
      </c>
      <c r="BT103" s="78">
        <f t="shared" ref="BT103:BT166" si="95">IF($C103=$AM$26,BR103-BS103,0)</f>
        <v>0</v>
      </c>
      <c r="BU103" s="91">
        <f t="shared" ref="BU103:BU166" si="96">IF($C103=$AM$30,IF($N103&gt;$K103,$N103*$E103,$K103*$O103*$E103+$K103*$E103),0)/(100%-$M103)</f>
        <v>0</v>
      </c>
      <c r="BV103" s="91">
        <f t="shared" ref="BV103:BV166" si="97">BU103*33%</f>
        <v>0</v>
      </c>
      <c r="BW103" s="78"/>
      <c r="BX103" s="78"/>
      <c r="BY103" s="78">
        <f t="shared" ref="BY103:BY166" si="98">IF($C103=$AM$27,IF($N103&gt;$K103,$N103*$E103*$O103+$N103*$E103,$K103*$E103*$O103+$K103*$E103),0)</f>
        <v>0</v>
      </c>
      <c r="BZ103" s="78">
        <f t="shared" ref="BZ103:BZ166" si="99">$BY103*$M103</f>
        <v>0</v>
      </c>
      <c r="CA103" s="78">
        <f t="shared" ref="CA103:CA166" si="100">IF($C103=$AM$27,($E103*$F103+$E103*$H103)*$L103,0)</f>
        <v>0</v>
      </c>
      <c r="CB103" s="78">
        <f t="shared" ref="CB103:CB166" si="101">IF($C103=$AM$27,BZ103-CA103,0)</f>
        <v>0</v>
      </c>
      <c r="CC103" s="78">
        <f t="shared" ref="CC103:CC166" si="102">IF($C103=$AM$28,IF($N103&gt;$K103,$N103*$O103*$E103+$N103*$E103,$K103*$E103*$O103+$K103*$E103),0)</f>
        <v>0</v>
      </c>
      <c r="CD103" s="78">
        <f t="shared" ref="CD103:CD166" si="103">CC103*$M103</f>
        <v>0</v>
      </c>
      <c r="CE103" s="78">
        <f t="shared" ref="CE103:CE166" si="104">IF($C103=$AM$28,($E103*$F103+$E103*$H103)*$L103,0)</f>
        <v>0</v>
      </c>
      <c r="CF103" s="78">
        <f t="shared" ref="CF103:CF166" si="105">IF($C103=$AM$28,CD103-CE103,0)</f>
        <v>0</v>
      </c>
      <c r="CG103" s="78"/>
      <c r="CH103" s="92">
        <f t="shared" ref="CH103:CH166" si="106">SUM(AI103+AM103+AO103+AS103+AW103+BA103+BE103+BI103+BM103+BQ103+BU103+BY103+CC103+BJ103+CL103)</f>
        <v>0</v>
      </c>
      <c r="CI103" s="93">
        <f t="shared" ref="CI103:CI166" si="107">SUM(AJ103+AN103+AP103+AT103+AX103+BB103+BF103+BV103+BN103+BR103+BK103+BZ103+CD103+CM103)</f>
        <v>0</v>
      </c>
      <c r="CJ103" s="94">
        <f t="shared" ref="CJ103:CJ166" si="108">SUM(AK103+AQ103+AY103+BC103+BG103+BO103+BS103+BW103+CA103+CE103+CN103)</f>
        <v>0</v>
      </c>
      <c r="CL103" s="78">
        <f t="shared" ref="CL103:CL166" si="109">IF($C103=$AM$31,IF($N103&gt;$K103,$N103*$E103,$K103*$E103),0)</f>
        <v>0</v>
      </c>
      <c r="CM103" s="78">
        <f t="shared" ref="CM103:CM166" si="110">CL103*$M103</f>
        <v>0</v>
      </c>
      <c r="CN103" s="78">
        <f t="shared" ref="CN103:CN166" si="111">IF($C103=$AM$31,($E103*$F103+$E103*$H103)*$L103,0)</f>
        <v>0</v>
      </c>
      <c r="CO103" s="78">
        <f t="shared" ref="CO103:CO166" si="112">IF($C103=$AM$31,CM103-CN103,0)</f>
        <v>0</v>
      </c>
    </row>
    <row r="104" spans="1:93" ht="13.5" thickBot="1">
      <c r="A104" s="95"/>
      <c r="B104" s="96"/>
      <c r="C104" s="97"/>
      <c r="D104" s="98"/>
      <c r="E104" s="99"/>
      <c r="F104" s="100"/>
      <c r="G104" s="100"/>
      <c r="H104" s="100"/>
      <c r="I104" s="100"/>
      <c r="J104" s="100"/>
      <c r="K104" s="101" t="str">
        <f t="shared" ref="K104:K167" si="113">IF(C104="","",(F104)+(G104)+(H104)+(I104)+(J104))</f>
        <v/>
      </c>
      <c r="L104" s="102"/>
      <c r="M104" s="103"/>
      <c r="N104" s="104"/>
      <c r="O104" s="105"/>
      <c r="P104" s="106">
        <f t="shared" ref="P104:P167" si="114">IF(B104="",CH104,0)</f>
        <v>0</v>
      </c>
      <c r="Q104" s="106">
        <f t="shared" ref="Q104:Q167" si="115">IF(B104="",CI104,0)</f>
        <v>0</v>
      </c>
      <c r="R104" s="106">
        <f t="shared" ref="R104:R167" si="116">IF(B104="",CJ104,0)</f>
        <v>0</v>
      </c>
      <c r="S104" s="106">
        <f t="shared" ref="S104:S167" si="117">IF(B104="",CI104-CJ104,0)</f>
        <v>0</v>
      </c>
      <c r="T104" s="107">
        <f t="shared" ref="T104:T167" si="118">IF(B104="",0,CI104-CJ104)</f>
        <v>0</v>
      </c>
      <c r="U104" s="78"/>
      <c r="AG104" s="108"/>
      <c r="AI104" s="78">
        <f t="shared" si="62"/>
        <v>0</v>
      </c>
      <c r="AJ104" s="78">
        <f t="shared" si="63"/>
        <v>0</v>
      </c>
      <c r="AK104" s="78">
        <f t="shared" si="64"/>
        <v>0</v>
      </c>
      <c r="AL104" s="78">
        <f t="shared" si="65"/>
        <v>0</v>
      </c>
      <c r="AM104" s="78">
        <f t="shared" si="66"/>
        <v>0</v>
      </c>
      <c r="AN104" s="78">
        <f t="shared" si="67"/>
        <v>0</v>
      </c>
      <c r="AO104" s="78">
        <f t="shared" si="68"/>
        <v>0</v>
      </c>
      <c r="AP104" s="78">
        <f t="shared" si="69"/>
        <v>0</v>
      </c>
      <c r="AQ104" s="78">
        <f t="shared" si="70"/>
        <v>0</v>
      </c>
      <c r="AR104" s="78">
        <f t="shared" si="71"/>
        <v>0</v>
      </c>
      <c r="AS104" s="90">
        <f t="shared" si="72"/>
        <v>0</v>
      </c>
      <c r="AT104" s="91">
        <f t="shared" si="73"/>
        <v>0</v>
      </c>
      <c r="AV104" s="91">
        <f t="shared" si="74"/>
        <v>0</v>
      </c>
      <c r="AW104" s="78">
        <f t="shared" si="75"/>
        <v>0</v>
      </c>
      <c r="AX104" s="78">
        <f t="shared" si="76"/>
        <v>0</v>
      </c>
      <c r="AY104" s="78"/>
      <c r="AZ104" s="78">
        <f t="shared" si="77"/>
        <v>0</v>
      </c>
      <c r="BA104" s="78">
        <f t="shared" si="78"/>
        <v>0</v>
      </c>
      <c r="BB104" s="78">
        <f t="shared" si="79"/>
        <v>0</v>
      </c>
      <c r="BC104" s="78">
        <f t="shared" si="80"/>
        <v>0</v>
      </c>
      <c r="BD104" s="78">
        <f t="shared" si="81"/>
        <v>0</v>
      </c>
      <c r="BE104" s="78">
        <f t="shared" si="82"/>
        <v>0</v>
      </c>
      <c r="BF104" s="78">
        <f t="shared" si="83"/>
        <v>0</v>
      </c>
      <c r="BG104" s="78">
        <f t="shared" si="84"/>
        <v>0</v>
      </c>
      <c r="BH104" s="78">
        <f t="shared" si="85"/>
        <v>0</v>
      </c>
      <c r="BI104" s="78"/>
      <c r="BJ104" s="91">
        <f t="shared" si="86"/>
        <v>0</v>
      </c>
      <c r="BK104" s="91">
        <f t="shared" si="87"/>
        <v>0</v>
      </c>
      <c r="BL104" s="78"/>
      <c r="BM104" s="78">
        <f t="shared" si="88"/>
        <v>0</v>
      </c>
      <c r="BN104" s="78">
        <f t="shared" si="89"/>
        <v>0</v>
      </c>
      <c r="BO104" s="78">
        <f t="shared" si="90"/>
        <v>0</v>
      </c>
      <c r="BP104" s="78">
        <f t="shared" si="91"/>
        <v>0</v>
      </c>
      <c r="BQ104" s="78">
        <f t="shared" si="92"/>
        <v>0</v>
      </c>
      <c r="BR104" s="78">
        <f t="shared" si="93"/>
        <v>0</v>
      </c>
      <c r="BS104" s="78">
        <f t="shared" si="94"/>
        <v>0</v>
      </c>
      <c r="BT104" s="78">
        <f t="shared" si="95"/>
        <v>0</v>
      </c>
      <c r="BU104" s="91">
        <f t="shared" si="96"/>
        <v>0</v>
      </c>
      <c r="BV104" s="91">
        <f t="shared" si="97"/>
        <v>0</v>
      </c>
      <c r="BW104" s="78"/>
      <c r="BX104" s="78"/>
      <c r="BY104" s="78">
        <f t="shared" si="98"/>
        <v>0</v>
      </c>
      <c r="BZ104" s="78">
        <f t="shared" si="99"/>
        <v>0</v>
      </c>
      <c r="CA104" s="78">
        <f t="shared" si="100"/>
        <v>0</v>
      </c>
      <c r="CB104" s="78">
        <f t="shared" si="101"/>
        <v>0</v>
      </c>
      <c r="CC104" s="78">
        <f t="shared" si="102"/>
        <v>0</v>
      </c>
      <c r="CD104" s="78">
        <f t="shared" si="103"/>
        <v>0</v>
      </c>
      <c r="CE104" s="78">
        <f t="shared" si="104"/>
        <v>0</v>
      </c>
      <c r="CF104" s="78">
        <f t="shared" si="105"/>
        <v>0</v>
      </c>
      <c r="CG104" s="78"/>
      <c r="CH104" s="92">
        <f t="shared" si="106"/>
        <v>0</v>
      </c>
      <c r="CI104" s="93">
        <f t="shared" si="107"/>
        <v>0</v>
      </c>
      <c r="CJ104" s="94">
        <f t="shared" si="108"/>
        <v>0</v>
      </c>
      <c r="CL104" s="78">
        <f t="shared" si="109"/>
        <v>0</v>
      </c>
      <c r="CM104" s="78">
        <f t="shared" si="110"/>
        <v>0</v>
      </c>
      <c r="CN104" s="78">
        <f t="shared" si="111"/>
        <v>0</v>
      </c>
      <c r="CO104" s="78">
        <f t="shared" si="112"/>
        <v>0</v>
      </c>
    </row>
    <row r="105" spans="1:93" ht="13.5" thickBot="1">
      <c r="A105" s="95"/>
      <c r="B105" s="96"/>
      <c r="C105" s="97"/>
      <c r="D105" s="98"/>
      <c r="E105" s="99"/>
      <c r="F105" s="100"/>
      <c r="G105" s="100"/>
      <c r="H105" s="100"/>
      <c r="I105" s="100"/>
      <c r="J105" s="100"/>
      <c r="K105" s="101" t="str">
        <f t="shared" si="113"/>
        <v/>
      </c>
      <c r="L105" s="102"/>
      <c r="M105" s="103"/>
      <c r="N105" s="104"/>
      <c r="O105" s="105"/>
      <c r="P105" s="106">
        <f t="shared" si="114"/>
        <v>0</v>
      </c>
      <c r="Q105" s="106">
        <f t="shared" si="115"/>
        <v>0</v>
      </c>
      <c r="R105" s="106">
        <f t="shared" si="116"/>
        <v>0</v>
      </c>
      <c r="S105" s="106">
        <f t="shared" si="117"/>
        <v>0</v>
      </c>
      <c r="T105" s="107">
        <f t="shared" si="118"/>
        <v>0</v>
      </c>
      <c r="U105" s="78"/>
      <c r="AG105" s="108"/>
      <c r="AI105" s="78">
        <f t="shared" si="62"/>
        <v>0</v>
      </c>
      <c r="AJ105" s="78">
        <f t="shared" si="63"/>
        <v>0</v>
      </c>
      <c r="AK105" s="78">
        <f t="shared" si="64"/>
        <v>0</v>
      </c>
      <c r="AL105" s="78">
        <f t="shared" si="65"/>
        <v>0</v>
      </c>
      <c r="AM105" s="78">
        <f t="shared" si="66"/>
        <v>0</v>
      </c>
      <c r="AN105" s="78">
        <f t="shared" si="67"/>
        <v>0</v>
      </c>
      <c r="AO105" s="78">
        <f t="shared" si="68"/>
        <v>0</v>
      </c>
      <c r="AP105" s="78">
        <f t="shared" si="69"/>
        <v>0</v>
      </c>
      <c r="AQ105" s="78">
        <f t="shared" si="70"/>
        <v>0</v>
      </c>
      <c r="AR105" s="78">
        <f t="shared" si="71"/>
        <v>0</v>
      </c>
      <c r="AS105" s="90">
        <f t="shared" si="72"/>
        <v>0</v>
      </c>
      <c r="AT105" s="91">
        <f t="shared" si="73"/>
        <v>0</v>
      </c>
      <c r="AV105" s="91">
        <f t="shared" si="74"/>
        <v>0</v>
      </c>
      <c r="AW105" s="78">
        <f t="shared" si="75"/>
        <v>0</v>
      </c>
      <c r="AX105" s="78">
        <f t="shared" si="76"/>
        <v>0</v>
      </c>
      <c r="AY105" s="78"/>
      <c r="AZ105" s="78">
        <f t="shared" si="77"/>
        <v>0</v>
      </c>
      <c r="BA105" s="78">
        <f t="shared" si="78"/>
        <v>0</v>
      </c>
      <c r="BB105" s="78">
        <f t="shared" si="79"/>
        <v>0</v>
      </c>
      <c r="BC105" s="78">
        <f t="shared" si="80"/>
        <v>0</v>
      </c>
      <c r="BD105" s="78">
        <f t="shared" si="81"/>
        <v>0</v>
      </c>
      <c r="BE105" s="78">
        <f t="shared" si="82"/>
        <v>0</v>
      </c>
      <c r="BF105" s="78">
        <f t="shared" si="83"/>
        <v>0</v>
      </c>
      <c r="BG105" s="78">
        <f t="shared" si="84"/>
        <v>0</v>
      </c>
      <c r="BH105" s="78">
        <f t="shared" si="85"/>
        <v>0</v>
      </c>
      <c r="BI105" s="78"/>
      <c r="BJ105" s="91">
        <f t="shared" si="86"/>
        <v>0</v>
      </c>
      <c r="BK105" s="91">
        <f t="shared" si="87"/>
        <v>0</v>
      </c>
      <c r="BL105" s="78"/>
      <c r="BM105" s="78">
        <f t="shared" si="88"/>
        <v>0</v>
      </c>
      <c r="BN105" s="78">
        <f t="shared" si="89"/>
        <v>0</v>
      </c>
      <c r="BO105" s="78">
        <f t="shared" si="90"/>
        <v>0</v>
      </c>
      <c r="BP105" s="78">
        <f t="shared" si="91"/>
        <v>0</v>
      </c>
      <c r="BQ105" s="78">
        <f t="shared" si="92"/>
        <v>0</v>
      </c>
      <c r="BR105" s="78">
        <f t="shared" si="93"/>
        <v>0</v>
      </c>
      <c r="BS105" s="78">
        <f t="shared" si="94"/>
        <v>0</v>
      </c>
      <c r="BT105" s="78">
        <f t="shared" si="95"/>
        <v>0</v>
      </c>
      <c r="BU105" s="91">
        <f t="shared" si="96"/>
        <v>0</v>
      </c>
      <c r="BV105" s="91">
        <f t="shared" si="97"/>
        <v>0</v>
      </c>
      <c r="BW105" s="78"/>
      <c r="BX105" s="78"/>
      <c r="BY105" s="78">
        <f t="shared" si="98"/>
        <v>0</v>
      </c>
      <c r="BZ105" s="78">
        <f t="shared" si="99"/>
        <v>0</v>
      </c>
      <c r="CA105" s="78">
        <f t="shared" si="100"/>
        <v>0</v>
      </c>
      <c r="CB105" s="78">
        <f t="shared" si="101"/>
        <v>0</v>
      </c>
      <c r="CC105" s="78">
        <f t="shared" si="102"/>
        <v>0</v>
      </c>
      <c r="CD105" s="78">
        <f t="shared" si="103"/>
        <v>0</v>
      </c>
      <c r="CE105" s="78">
        <f t="shared" si="104"/>
        <v>0</v>
      </c>
      <c r="CF105" s="78">
        <f t="shared" si="105"/>
        <v>0</v>
      </c>
      <c r="CG105" s="78"/>
      <c r="CH105" s="92">
        <f t="shared" si="106"/>
        <v>0</v>
      </c>
      <c r="CI105" s="93">
        <f t="shared" si="107"/>
        <v>0</v>
      </c>
      <c r="CJ105" s="94">
        <f t="shared" si="108"/>
        <v>0</v>
      </c>
      <c r="CL105" s="78">
        <f t="shared" si="109"/>
        <v>0</v>
      </c>
      <c r="CM105" s="78">
        <f t="shared" si="110"/>
        <v>0</v>
      </c>
      <c r="CN105" s="78">
        <f t="shared" si="111"/>
        <v>0</v>
      </c>
      <c r="CO105" s="78">
        <f t="shared" si="112"/>
        <v>0</v>
      </c>
    </row>
    <row r="106" spans="1:93" ht="13.5" thickBot="1">
      <c r="A106" s="95"/>
      <c r="B106" s="96"/>
      <c r="C106" s="97"/>
      <c r="D106" s="98"/>
      <c r="E106" s="99"/>
      <c r="F106" s="100"/>
      <c r="G106" s="100"/>
      <c r="H106" s="100"/>
      <c r="I106" s="100"/>
      <c r="J106" s="100"/>
      <c r="K106" s="101" t="str">
        <f t="shared" si="113"/>
        <v/>
      </c>
      <c r="L106" s="102"/>
      <c r="M106" s="103"/>
      <c r="N106" s="104"/>
      <c r="O106" s="105"/>
      <c r="P106" s="106">
        <f t="shared" si="114"/>
        <v>0</v>
      </c>
      <c r="Q106" s="106">
        <f t="shared" si="115"/>
        <v>0</v>
      </c>
      <c r="R106" s="106">
        <f t="shared" si="116"/>
        <v>0</v>
      </c>
      <c r="S106" s="106">
        <f t="shared" si="117"/>
        <v>0</v>
      </c>
      <c r="T106" s="107">
        <f t="shared" si="118"/>
        <v>0</v>
      </c>
      <c r="U106" s="78"/>
      <c r="AG106" s="108"/>
      <c r="AI106" s="78">
        <f t="shared" si="62"/>
        <v>0</v>
      </c>
      <c r="AJ106" s="78">
        <f t="shared" si="63"/>
        <v>0</v>
      </c>
      <c r="AK106" s="78">
        <f t="shared" si="64"/>
        <v>0</v>
      </c>
      <c r="AL106" s="78">
        <f t="shared" si="65"/>
        <v>0</v>
      </c>
      <c r="AM106" s="78">
        <f t="shared" si="66"/>
        <v>0</v>
      </c>
      <c r="AN106" s="78">
        <f t="shared" si="67"/>
        <v>0</v>
      </c>
      <c r="AO106" s="78">
        <f t="shared" si="68"/>
        <v>0</v>
      </c>
      <c r="AP106" s="78">
        <f t="shared" si="69"/>
        <v>0</v>
      </c>
      <c r="AQ106" s="78">
        <f t="shared" si="70"/>
        <v>0</v>
      </c>
      <c r="AR106" s="78">
        <f t="shared" si="71"/>
        <v>0</v>
      </c>
      <c r="AS106" s="90">
        <f t="shared" si="72"/>
        <v>0</v>
      </c>
      <c r="AT106" s="91">
        <f t="shared" si="73"/>
        <v>0</v>
      </c>
      <c r="AV106" s="91">
        <f t="shared" si="74"/>
        <v>0</v>
      </c>
      <c r="AW106" s="78">
        <f t="shared" si="75"/>
        <v>0</v>
      </c>
      <c r="AX106" s="78">
        <f t="shared" si="76"/>
        <v>0</v>
      </c>
      <c r="AY106" s="78"/>
      <c r="AZ106" s="78">
        <f t="shared" si="77"/>
        <v>0</v>
      </c>
      <c r="BA106" s="78">
        <f t="shared" si="78"/>
        <v>0</v>
      </c>
      <c r="BB106" s="78">
        <f t="shared" si="79"/>
        <v>0</v>
      </c>
      <c r="BC106" s="78">
        <f t="shared" si="80"/>
        <v>0</v>
      </c>
      <c r="BD106" s="78">
        <f t="shared" si="81"/>
        <v>0</v>
      </c>
      <c r="BE106" s="78">
        <f t="shared" si="82"/>
        <v>0</v>
      </c>
      <c r="BF106" s="78">
        <f t="shared" si="83"/>
        <v>0</v>
      </c>
      <c r="BG106" s="78">
        <f t="shared" si="84"/>
        <v>0</v>
      </c>
      <c r="BH106" s="78">
        <f t="shared" si="85"/>
        <v>0</v>
      </c>
      <c r="BI106" s="78"/>
      <c r="BJ106" s="91">
        <f t="shared" si="86"/>
        <v>0</v>
      </c>
      <c r="BK106" s="91">
        <f t="shared" si="87"/>
        <v>0</v>
      </c>
      <c r="BL106" s="78"/>
      <c r="BM106" s="78">
        <f t="shared" si="88"/>
        <v>0</v>
      </c>
      <c r="BN106" s="78">
        <f t="shared" si="89"/>
        <v>0</v>
      </c>
      <c r="BO106" s="78">
        <f t="shared" si="90"/>
        <v>0</v>
      </c>
      <c r="BP106" s="78">
        <f t="shared" si="91"/>
        <v>0</v>
      </c>
      <c r="BQ106" s="78">
        <f t="shared" si="92"/>
        <v>0</v>
      </c>
      <c r="BR106" s="78">
        <f t="shared" si="93"/>
        <v>0</v>
      </c>
      <c r="BS106" s="78">
        <f t="shared" si="94"/>
        <v>0</v>
      </c>
      <c r="BT106" s="78">
        <f t="shared" si="95"/>
        <v>0</v>
      </c>
      <c r="BU106" s="91">
        <f t="shared" si="96"/>
        <v>0</v>
      </c>
      <c r="BV106" s="91">
        <f t="shared" si="97"/>
        <v>0</v>
      </c>
      <c r="BW106" s="78"/>
      <c r="BX106" s="78"/>
      <c r="BY106" s="78">
        <f t="shared" si="98"/>
        <v>0</v>
      </c>
      <c r="BZ106" s="78">
        <f t="shared" si="99"/>
        <v>0</v>
      </c>
      <c r="CA106" s="78">
        <f t="shared" si="100"/>
        <v>0</v>
      </c>
      <c r="CB106" s="78">
        <f t="shared" si="101"/>
        <v>0</v>
      </c>
      <c r="CC106" s="78">
        <f t="shared" si="102"/>
        <v>0</v>
      </c>
      <c r="CD106" s="78">
        <f t="shared" si="103"/>
        <v>0</v>
      </c>
      <c r="CE106" s="78">
        <f t="shared" si="104"/>
        <v>0</v>
      </c>
      <c r="CF106" s="78">
        <f t="shared" si="105"/>
        <v>0</v>
      </c>
      <c r="CG106" s="78"/>
      <c r="CH106" s="92">
        <f t="shared" si="106"/>
        <v>0</v>
      </c>
      <c r="CI106" s="93">
        <f t="shared" si="107"/>
        <v>0</v>
      </c>
      <c r="CJ106" s="94">
        <f t="shared" si="108"/>
        <v>0</v>
      </c>
      <c r="CL106" s="78">
        <f t="shared" si="109"/>
        <v>0</v>
      </c>
      <c r="CM106" s="78">
        <f t="shared" si="110"/>
        <v>0</v>
      </c>
      <c r="CN106" s="78">
        <f t="shared" si="111"/>
        <v>0</v>
      </c>
      <c r="CO106" s="78">
        <f t="shared" si="112"/>
        <v>0</v>
      </c>
    </row>
    <row r="107" spans="1:93" ht="13.5" thickBot="1">
      <c r="A107" s="95"/>
      <c r="B107" s="96"/>
      <c r="C107" s="97"/>
      <c r="D107" s="98"/>
      <c r="E107" s="99"/>
      <c r="F107" s="100"/>
      <c r="G107" s="100"/>
      <c r="H107" s="100"/>
      <c r="I107" s="100"/>
      <c r="J107" s="100"/>
      <c r="K107" s="101" t="str">
        <f t="shared" si="113"/>
        <v/>
      </c>
      <c r="L107" s="102"/>
      <c r="M107" s="103"/>
      <c r="N107" s="104"/>
      <c r="O107" s="105"/>
      <c r="P107" s="106">
        <f t="shared" si="114"/>
        <v>0</v>
      </c>
      <c r="Q107" s="106">
        <f t="shared" si="115"/>
        <v>0</v>
      </c>
      <c r="R107" s="106">
        <f t="shared" si="116"/>
        <v>0</v>
      </c>
      <c r="S107" s="106">
        <f t="shared" si="117"/>
        <v>0</v>
      </c>
      <c r="T107" s="107">
        <f t="shared" si="118"/>
        <v>0</v>
      </c>
      <c r="U107" s="78"/>
      <c r="AG107" s="108"/>
      <c r="AI107" s="78">
        <f t="shared" si="62"/>
        <v>0</v>
      </c>
      <c r="AJ107" s="78">
        <f t="shared" si="63"/>
        <v>0</v>
      </c>
      <c r="AK107" s="78">
        <f t="shared" si="64"/>
        <v>0</v>
      </c>
      <c r="AL107" s="78">
        <f t="shared" si="65"/>
        <v>0</v>
      </c>
      <c r="AM107" s="78">
        <f t="shared" si="66"/>
        <v>0</v>
      </c>
      <c r="AN107" s="78">
        <f t="shared" si="67"/>
        <v>0</v>
      </c>
      <c r="AO107" s="78">
        <f t="shared" si="68"/>
        <v>0</v>
      </c>
      <c r="AP107" s="78">
        <f t="shared" si="69"/>
        <v>0</v>
      </c>
      <c r="AQ107" s="78">
        <f t="shared" si="70"/>
        <v>0</v>
      </c>
      <c r="AR107" s="78">
        <f t="shared" si="71"/>
        <v>0</v>
      </c>
      <c r="AS107" s="90">
        <f t="shared" si="72"/>
        <v>0</v>
      </c>
      <c r="AT107" s="91">
        <f t="shared" si="73"/>
        <v>0</v>
      </c>
      <c r="AV107" s="91">
        <f t="shared" si="74"/>
        <v>0</v>
      </c>
      <c r="AW107" s="78">
        <f t="shared" si="75"/>
        <v>0</v>
      </c>
      <c r="AX107" s="78">
        <f t="shared" si="76"/>
        <v>0</v>
      </c>
      <c r="AY107" s="78"/>
      <c r="AZ107" s="78">
        <f t="shared" si="77"/>
        <v>0</v>
      </c>
      <c r="BA107" s="78">
        <f t="shared" si="78"/>
        <v>0</v>
      </c>
      <c r="BB107" s="78">
        <f t="shared" si="79"/>
        <v>0</v>
      </c>
      <c r="BC107" s="78">
        <f t="shared" si="80"/>
        <v>0</v>
      </c>
      <c r="BD107" s="78">
        <f t="shared" si="81"/>
        <v>0</v>
      </c>
      <c r="BE107" s="78">
        <f t="shared" si="82"/>
        <v>0</v>
      </c>
      <c r="BF107" s="78">
        <f t="shared" si="83"/>
        <v>0</v>
      </c>
      <c r="BG107" s="78">
        <f t="shared" si="84"/>
        <v>0</v>
      </c>
      <c r="BH107" s="78">
        <f t="shared" si="85"/>
        <v>0</v>
      </c>
      <c r="BI107" s="78"/>
      <c r="BJ107" s="91">
        <f t="shared" si="86"/>
        <v>0</v>
      </c>
      <c r="BK107" s="91">
        <f t="shared" si="87"/>
        <v>0</v>
      </c>
      <c r="BL107" s="78"/>
      <c r="BM107" s="78">
        <f t="shared" si="88"/>
        <v>0</v>
      </c>
      <c r="BN107" s="78">
        <f t="shared" si="89"/>
        <v>0</v>
      </c>
      <c r="BO107" s="78">
        <f t="shared" si="90"/>
        <v>0</v>
      </c>
      <c r="BP107" s="78">
        <f t="shared" si="91"/>
        <v>0</v>
      </c>
      <c r="BQ107" s="78">
        <f t="shared" si="92"/>
        <v>0</v>
      </c>
      <c r="BR107" s="78">
        <f t="shared" si="93"/>
        <v>0</v>
      </c>
      <c r="BS107" s="78">
        <f t="shared" si="94"/>
        <v>0</v>
      </c>
      <c r="BT107" s="78">
        <f t="shared" si="95"/>
        <v>0</v>
      </c>
      <c r="BU107" s="91">
        <f t="shared" si="96"/>
        <v>0</v>
      </c>
      <c r="BV107" s="91">
        <f t="shared" si="97"/>
        <v>0</v>
      </c>
      <c r="BW107" s="78"/>
      <c r="BX107" s="78"/>
      <c r="BY107" s="78">
        <f t="shared" si="98"/>
        <v>0</v>
      </c>
      <c r="BZ107" s="78">
        <f t="shared" si="99"/>
        <v>0</v>
      </c>
      <c r="CA107" s="78">
        <f t="shared" si="100"/>
        <v>0</v>
      </c>
      <c r="CB107" s="78">
        <f t="shared" si="101"/>
        <v>0</v>
      </c>
      <c r="CC107" s="78">
        <f t="shared" si="102"/>
        <v>0</v>
      </c>
      <c r="CD107" s="78">
        <f t="shared" si="103"/>
        <v>0</v>
      </c>
      <c r="CE107" s="78">
        <f t="shared" si="104"/>
        <v>0</v>
      </c>
      <c r="CF107" s="78">
        <f t="shared" si="105"/>
        <v>0</v>
      </c>
      <c r="CG107" s="78"/>
      <c r="CH107" s="92">
        <f t="shared" si="106"/>
        <v>0</v>
      </c>
      <c r="CI107" s="93">
        <f t="shared" si="107"/>
        <v>0</v>
      </c>
      <c r="CJ107" s="94">
        <f t="shared" si="108"/>
        <v>0</v>
      </c>
      <c r="CL107" s="78">
        <f t="shared" si="109"/>
        <v>0</v>
      </c>
      <c r="CM107" s="78">
        <f t="shared" si="110"/>
        <v>0</v>
      </c>
      <c r="CN107" s="78">
        <f t="shared" si="111"/>
        <v>0</v>
      </c>
      <c r="CO107" s="78">
        <f t="shared" si="112"/>
        <v>0</v>
      </c>
    </row>
    <row r="108" spans="1:93" ht="13.5" thickBot="1">
      <c r="A108" s="95"/>
      <c r="B108" s="96"/>
      <c r="C108" s="97"/>
      <c r="D108" s="98"/>
      <c r="E108" s="99"/>
      <c r="F108" s="100"/>
      <c r="G108" s="100"/>
      <c r="H108" s="100"/>
      <c r="I108" s="100"/>
      <c r="J108" s="100"/>
      <c r="K108" s="101" t="str">
        <f t="shared" si="113"/>
        <v/>
      </c>
      <c r="L108" s="102"/>
      <c r="M108" s="103"/>
      <c r="N108" s="104"/>
      <c r="O108" s="105"/>
      <c r="P108" s="106">
        <f t="shared" si="114"/>
        <v>0</v>
      </c>
      <c r="Q108" s="106">
        <f t="shared" si="115"/>
        <v>0</v>
      </c>
      <c r="R108" s="106">
        <f t="shared" si="116"/>
        <v>0</v>
      </c>
      <c r="S108" s="106">
        <f t="shared" si="117"/>
        <v>0</v>
      </c>
      <c r="T108" s="107">
        <f t="shared" si="118"/>
        <v>0</v>
      </c>
      <c r="U108" s="78"/>
      <c r="AG108" s="108"/>
      <c r="AI108" s="78">
        <f t="shared" si="62"/>
        <v>0</v>
      </c>
      <c r="AJ108" s="78">
        <f t="shared" si="63"/>
        <v>0</v>
      </c>
      <c r="AK108" s="78">
        <f t="shared" si="64"/>
        <v>0</v>
      </c>
      <c r="AL108" s="78">
        <f t="shared" si="65"/>
        <v>0</v>
      </c>
      <c r="AM108" s="78">
        <f t="shared" si="66"/>
        <v>0</v>
      </c>
      <c r="AN108" s="78">
        <f t="shared" si="67"/>
        <v>0</v>
      </c>
      <c r="AO108" s="78">
        <f t="shared" si="68"/>
        <v>0</v>
      </c>
      <c r="AP108" s="78">
        <f t="shared" si="69"/>
        <v>0</v>
      </c>
      <c r="AQ108" s="78">
        <f t="shared" si="70"/>
        <v>0</v>
      </c>
      <c r="AR108" s="78">
        <f t="shared" si="71"/>
        <v>0</v>
      </c>
      <c r="AS108" s="90">
        <f t="shared" si="72"/>
        <v>0</v>
      </c>
      <c r="AT108" s="91">
        <f t="shared" si="73"/>
        <v>0</v>
      </c>
      <c r="AV108" s="91">
        <f t="shared" si="74"/>
        <v>0</v>
      </c>
      <c r="AW108" s="78">
        <f t="shared" si="75"/>
        <v>0</v>
      </c>
      <c r="AX108" s="78">
        <f t="shared" si="76"/>
        <v>0</v>
      </c>
      <c r="AY108" s="78"/>
      <c r="AZ108" s="78">
        <f t="shared" si="77"/>
        <v>0</v>
      </c>
      <c r="BA108" s="78">
        <f t="shared" si="78"/>
        <v>0</v>
      </c>
      <c r="BB108" s="78">
        <f t="shared" si="79"/>
        <v>0</v>
      </c>
      <c r="BC108" s="78">
        <f t="shared" si="80"/>
        <v>0</v>
      </c>
      <c r="BD108" s="78">
        <f t="shared" si="81"/>
        <v>0</v>
      </c>
      <c r="BE108" s="78">
        <f t="shared" si="82"/>
        <v>0</v>
      </c>
      <c r="BF108" s="78">
        <f t="shared" si="83"/>
        <v>0</v>
      </c>
      <c r="BG108" s="78">
        <f t="shared" si="84"/>
        <v>0</v>
      </c>
      <c r="BH108" s="78">
        <f t="shared" si="85"/>
        <v>0</v>
      </c>
      <c r="BI108" s="78"/>
      <c r="BJ108" s="91">
        <f t="shared" si="86"/>
        <v>0</v>
      </c>
      <c r="BK108" s="91">
        <f t="shared" si="87"/>
        <v>0</v>
      </c>
      <c r="BL108" s="78"/>
      <c r="BM108" s="78">
        <f t="shared" si="88"/>
        <v>0</v>
      </c>
      <c r="BN108" s="78">
        <f t="shared" si="89"/>
        <v>0</v>
      </c>
      <c r="BO108" s="78">
        <f t="shared" si="90"/>
        <v>0</v>
      </c>
      <c r="BP108" s="78">
        <f t="shared" si="91"/>
        <v>0</v>
      </c>
      <c r="BQ108" s="78">
        <f t="shared" si="92"/>
        <v>0</v>
      </c>
      <c r="BR108" s="78">
        <f t="shared" si="93"/>
        <v>0</v>
      </c>
      <c r="BS108" s="78">
        <f t="shared" si="94"/>
        <v>0</v>
      </c>
      <c r="BT108" s="78">
        <f t="shared" si="95"/>
        <v>0</v>
      </c>
      <c r="BU108" s="91">
        <f t="shared" si="96"/>
        <v>0</v>
      </c>
      <c r="BV108" s="91">
        <f t="shared" si="97"/>
        <v>0</v>
      </c>
      <c r="BW108" s="78"/>
      <c r="BX108" s="78"/>
      <c r="BY108" s="78">
        <f t="shared" si="98"/>
        <v>0</v>
      </c>
      <c r="BZ108" s="78">
        <f t="shared" si="99"/>
        <v>0</v>
      </c>
      <c r="CA108" s="78">
        <f t="shared" si="100"/>
        <v>0</v>
      </c>
      <c r="CB108" s="78">
        <f t="shared" si="101"/>
        <v>0</v>
      </c>
      <c r="CC108" s="78">
        <f t="shared" si="102"/>
        <v>0</v>
      </c>
      <c r="CD108" s="78">
        <f t="shared" si="103"/>
        <v>0</v>
      </c>
      <c r="CE108" s="78">
        <f t="shared" si="104"/>
        <v>0</v>
      </c>
      <c r="CF108" s="78">
        <f t="shared" si="105"/>
        <v>0</v>
      </c>
      <c r="CG108" s="78"/>
      <c r="CH108" s="92">
        <f t="shared" si="106"/>
        <v>0</v>
      </c>
      <c r="CI108" s="93">
        <f t="shared" si="107"/>
        <v>0</v>
      </c>
      <c r="CJ108" s="94">
        <f t="shared" si="108"/>
        <v>0</v>
      </c>
      <c r="CL108" s="78">
        <f t="shared" si="109"/>
        <v>0</v>
      </c>
      <c r="CM108" s="78">
        <f t="shared" si="110"/>
        <v>0</v>
      </c>
      <c r="CN108" s="78">
        <f t="shared" si="111"/>
        <v>0</v>
      </c>
      <c r="CO108" s="78">
        <f t="shared" si="112"/>
        <v>0</v>
      </c>
    </row>
    <row r="109" spans="1:93" ht="13.5" thickBot="1">
      <c r="A109" s="95"/>
      <c r="B109" s="96"/>
      <c r="C109" s="97"/>
      <c r="D109" s="98"/>
      <c r="E109" s="99"/>
      <c r="F109" s="100"/>
      <c r="G109" s="100"/>
      <c r="H109" s="100"/>
      <c r="I109" s="100"/>
      <c r="J109" s="100"/>
      <c r="K109" s="101" t="str">
        <f t="shared" si="113"/>
        <v/>
      </c>
      <c r="L109" s="102"/>
      <c r="M109" s="103"/>
      <c r="N109" s="104"/>
      <c r="O109" s="105"/>
      <c r="P109" s="106">
        <f t="shared" si="114"/>
        <v>0</v>
      </c>
      <c r="Q109" s="106">
        <f t="shared" si="115"/>
        <v>0</v>
      </c>
      <c r="R109" s="106">
        <f t="shared" si="116"/>
        <v>0</v>
      </c>
      <c r="S109" s="106">
        <f t="shared" si="117"/>
        <v>0</v>
      </c>
      <c r="T109" s="107">
        <f t="shared" si="118"/>
        <v>0</v>
      </c>
      <c r="U109" s="78"/>
      <c r="AG109" s="108"/>
      <c r="AI109" s="78">
        <f t="shared" si="62"/>
        <v>0</v>
      </c>
      <c r="AJ109" s="78">
        <f t="shared" si="63"/>
        <v>0</v>
      </c>
      <c r="AK109" s="78">
        <f t="shared" si="64"/>
        <v>0</v>
      </c>
      <c r="AL109" s="78">
        <f t="shared" si="65"/>
        <v>0</v>
      </c>
      <c r="AM109" s="78">
        <f t="shared" si="66"/>
        <v>0</v>
      </c>
      <c r="AN109" s="78">
        <f t="shared" si="67"/>
        <v>0</v>
      </c>
      <c r="AO109" s="78">
        <f t="shared" si="68"/>
        <v>0</v>
      </c>
      <c r="AP109" s="78">
        <f t="shared" si="69"/>
        <v>0</v>
      </c>
      <c r="AQ109" s="78">
        <f t="shared" si="70"/>
        <v>0</v>
      </c>
      <c r="AR109" s="78">
        <f t="shared" si="71"/>
        <v>0</v>
      </c>
      <c r="AS109" s="90">
        <f t="shared" si="72"/>
        <v>0</v>
      </c>
      <c r="AT109" s="91">
        <f t="shared" si="73"/>
        <v>0</v>
      </c>
      <c r="AV109" s="91">
        <f t="shared" si="74"/>
        <v>0</v>
      </c>
      <c r="AW109" s="78">
        <f t="shared" si="75"/>
        <v>0</v>
      </c>
      <c r="AX109" s="78">
        <f t="shared" si="76"/>
        <v>0</v>
      </c>
      <c r="AY109" s="78"/>
      <c r="AZ109" s="78">
        <f t="shared" si="77"/>
        <v>0</v>
      </c>
      <c r="BA109" s="78">
        <f t="shared" si="78"/>
        <v>0</v>
      </c>
      <c r="BB109" s="78">
        <f t="shared" si="79"/>
        <v>0</v>
      </c>
      <c r="BC109" s="78">
        <f t="shared" si="80"/>
        <v>0</v>
      </c>
      <c r="BD109" s="78">
        <f t="shared" si="81"/>
        <v>0</v>
      </c>
      <c r="BE109" s="78">
        <f t="shared" si="82"/>
        <v>0</v>
      </c>
      <c r="BF109" s="78">
        <f t="shared" si="83"/>
        <v>0</v>
      </c>
      <c r="BG109" s="78">
        <f t="shared" si="84"/>
        <v>0</v>
      </c>
      <c r="BH109" s="78">
        <f t="shared" si="85"/>
        <v>0</v>
      </c>
      <c r="BI109" s="78"/>
      <c r="BJ109" s="91">
        <f t="shared" si="86"/>
        <v>0</v>
      </c>
      <c r="BK109" s="91">
        <f t="shared" si="87"/>
        <v>0</v>
      </c>
      <c r="BL109" s="78"/>
      <c r="BM109" s="78">
        <f t="shared" si="88"/>
        <v>0</v>
      </c>
      <c r="BN109" s="78">
        <f t="shared" si="89"/>
        <v>0</v>
      </c>
      <c r="BO109" s="78">
        <f t="shared" si="90"/>
        <v>0</v>
      </c>
      <c r="BP109" s="78">
        <f t="shared" si="91"/>
        <v>0</v>
      </c>
      <c r="BQ109" s="78">
        <f t="shared" si="92"/>
        <v>0</v>
      </c>
      <c r="BR109" s="78">
        <f t="shared" si="93"/>
        <v>0</v>
      </c>
      <c r="BS109" s="78">
        <f t="shared" si="94"/>
        <v>0</v>
      </c>
      <c r="BT109" s="78">
        <f t="shared" si="95"/>
        <v>0</v>
      </c>
      <c r="BU109" s="91">
        <f t="shared" si="96"/>
        <v>0</v>
      </c>
      <c r="BV109" s="91">
        <f t="shared" si="97"/>
        <v>0</v>
      </c>
      <c r="BW109" s="78"/>
      <c r="BX109" s="78"/>
      <c r="BY109" s="78">
        <f t="shared" si="98"/>
        <v>0</v>
      </c>
      <c r="BZ109" s="78">
        <f t="shared" si="99"/>
        <v>0</v>
      </c>
      <c r="CA109" s="78">
        <f t="shared" si="100"/>
        <v>0</v>
      </c>
      <c r="CB109" s="78">
        <f t="shared" si="101"/>
        <v>0</v>
      </c>
      <c r="CC109" s="78">
        <f t="shared" si="102"/>
        <v>0</v>
      </c>
      <c r="CD109" s="78">
        <f t="shared" si="103"/>
        <v>0</v>
      </c>
      <c r="CE109" s="78">
        <f t="shared" si="104"/>
        <v>0</v>
      </c>
      <c r="CF109" s="78">
        <f t="shared" si="105"/>
        <v>0</v>
      </c>
      <c r="CG109" s="78"/>
      <c r="CH109" s="92">
        <f t="shared" si="106"/>
        <v>0</v>
      </c>
      <c r="CI109" s="93">
        <f t="shared" si="107"/>
        <v>0</v>
      </c>
      <c r="CJ109" s="94">
        <f t="shared" si="108"/>
        <v>0</v>
      </c>
      <c r="CL109" s="78">
        <f t="shared" si="109"/>
        <v>0</v>
      </c>
      <c r="CM109" s="78">
        <f t="shared" si="110"/>
        <v>0</v>
      </c>
      <c r="CN109" s="78">
        <f t="shared" si="111"/>
        <v>0</v>
      </c>
      <c r="CO109" s="78">
        <f t="shared" si="112"/>
        <v>0</v>
      </c>
    </row>
    <row r="110" spans="1:93" ht="13.5" thickBot="1">
      <c r="A110" s="95"/>
      <c r="B110" s="96"/>
      <c r="C110" s="97"/>
      <c r="D110" s="98"/>
      <c r="E110" s="99"/>
      <c r="F110" s="100"/>
      <c r="G110" s="100"/>
      <c r="H110" s="100"/>
      <c r="I110" s="100"/>
      <c r="J110" s="100"/>
      <c r="K110" s="101" t="str">
        <f t="shared" si="113"/>
        <v/>
      </c>
      <c r="L110" s="102"/>
      <c r="M110" s="103"/>
      <c r="N110" s="104"/>
      <c r="O110" s="105"/>
      <c r="P110" s="106">
        <f t="shared" si="114"/>
        <v>0</v>
      </c>
      <c r="Q110" s="106">
        <f t="shared" si="115"/>
        <v>0</v>
      </c>
      <c r="R110" s="106">
        <f t="shared" si="116"/>
        <v>0</v>
      </c>
      <c r="S110" s="106">
        <f t="shared" si="117"/>
        <v>0</v>
      </c>
      <c r="T110" s="107">
        <f t="shared" si="118"/>
        <v>0</v>
      </c>
      <c r="U110" s="78"/>
      <c r="AG110" s="108"/>
      <c r="AI110" s="78">
        <f t="shared" si="62"/>
        <v>0</v>
      </c>
      <c r="AJ110" s="78">
        <f t="shared" si="63"/>
        <v>0</v>
      </c>
      <c r="AK110" s="78">
        <f t="shared" si="64"/>
        <v>0</v>
      </c>
      <c r="AL110" s="78">
        <f t="shared" si="65"/>
        <v>0</v>
      </c>
      <c r="AM110" s="78">
        <f t="shared" si="66"/>
        <v>0</v>
      </c>
      <c r="AN110" s="78">
        <f t="shared" si="67"/>
        <v>0</v>
      </c>
      <c r="AO110" s="78">
        <f t="shared" si="68"/>
        <v>0</v>
      </c>
      <c r="AP110" s="78">
        <f t="shared" si="69"/>
        <v>0</v>
      </c>
      <c r="AQ110" s="78">
        <f t="shared" si="70"/>
        <v>0</v>
      </c>
      <c r="AR110" s="78">
        <f t="shared" si="71"/>
        <v>0</v>
      </c>
      <c r="AS110" s="90">
        <f t="shared" si="72"/>
        <v>0</v>
      </c>
      <c r="AT110" s="91">
        <f t="shared" si="73"/>
        <v>0</v>
      </c>
      <c r="AV110" s="91">
        <f t="shared" si="74"/>
        <v>0</v>
      </c>
      <c r="AW110" s="78">
        <f t="shared" si="75"/>
        <v>0</v>
      </c>
      <c r="AX110" s="78">
        <f t="shared" si="76"/>
        <v>0</v>
      </c>
      <c r="AY110" s="78"/>
      <c r="AZ110" s="78">
        <f t="shared" si="77"/>
        <v>0</v>
      </c>
      <c r="BA110" s="78">
        <f t="shared" si="78"/>
        <v>0</v>
      </c>
      <c r="BB110" s="78">
        <f t="shared" si="79"/>
        <v>0</v>
      </c>
      <c r="BC110" s="78">
        <f t="shared" si="80"/>
        <v>0</v>
      </c>
      <c r="BD110" s="78">
        <f t="shared" si="81"/>
        <v>0</v>
      </c>
      <c r="BE110" s="78">
        <f t="shared" si="82"/>
        <v>0</v>
      </c>
      <c r="BF110" s="78">
        <f t="shared" si="83"/>
        <v>0</v>
      </c>
      <c r="BG110" s="78">
        <f t="shared" si="84"/>
        <v>0</v>
      </c>
      <c r="BH110" s="78">
        <f t="shared" si="85"/>
        <v>0</v>
      </c>
      <c r="BI110" s="78"/>
      <c r="BJ110" s="91">
        <f t="shared" si="86"/>
        <v>0</v>
      </c>
      <c r="BK110" s="91">
        <f t="shared" si="87"/>
        <v>0</v>
      </c>
      <c r="BL110" s="78"/>
      <c r="BM110" s="78">
        <f t="shared" si="88"/>
        <v>0</v>
      </c>
      <c r="BN110" s="78">
        <f t="shared" si="89"/>
        <v>0</v>
      </c>
      <c r="BO110" s="78">
        <f t="shared" si="90"/>
        <v>0</v>
      </c>
      <c r="BP110" s="78">
        <f t="shared" si="91"/>
        <v>0</v>
      </c>
      <c r="BQ110" s="78">
        <f t="shared" si="92"/>
        <v>0</v>
      </c>
      <c r="BR110" s="78">
        <f t="shared" si="93"/>
        <v>0</v>
      </c>
      <c r="BS110" s="78">
        <f t="shared" si="94"/>
        <v>0</v>
      </c>
      <c r="BT110" s="78">
        <f t="shared" si="95"/>
        <v>0</v>
      </c>
      <c r="BU110" s="91">
        <f t="shared" si="96"/>
        <v>0</v>
      </c>
      <c r="BV110" s="91">
        <f t="shared" si="97"/>
        <v>0</v>
      </c>
      <c r="BW110" s="78"/>
      <c r="BX110" s="78"/>
      <c r="BY110" s="78">
        <f t="shared" si="98"/>
        <v>0</v>
      </c>
      <c r="BZ110" s="78">
        <f t="shared" si="99"/>
        <v>0</v>
      </c>
      <c r="CA110" s="78">
        <f t="shared" si="100"/>
        <v>0</v>
      </c>
      <c r="CB110" s="78">
        <f t="shared" si="101"/>
        <v>0</v>
      </c>
      <c r="CC110" s="78">
        <f t="shared" si="102"/>
        <v>0</v>
      </c>
      <c r="CD110" s="78">
        <f t="shared" si="103"/>
        <v>0</v>
      </c>
      <c r="CE110" s="78">
        <f t="shared" si="104"/>
        <v>0</v>
      </c>
      <c r="CF110" s="78">
        <f t="shared" si="105"/>
        <v>0</v>
      </c>
      <c r="CG110" s="78"/>
      <c r="CH110" s="92">
        <f t="shared" si="106"/>
        <v>0</v>
      </c>
      <c r="CI110" s="93">
        <f t="shared" si="107"/>
        <v>0</v>
      </c>
      <c r="CJ110" s="94">
        <f t="shared" si="108"/>
        <v>0</v>
      </c>
      <c r="CL110" s="78">
        <f t="shared" si="109"/>
        <v>0</v>
      </c>
      <c r="CM110" s="78">
        <f t="shared" si="110"/>
        <v>0</v>
      </c>
      <c r="CN110" s="78">
        <f t="shared" si="111"/>
        <v>0</v>
      </c>
      <c r="CO110" s="78">
        <f t="shared" si="112"/>
        <v>0</v>
      </c>
    </row>
    <row r="111" spans="1:93" ht="13.5" thickBot="1">
      <c r="A111" s="95"/>
      <c r="B111" s="96"/>
      <c r="C111" s="97"/>
      <c r="D111" s="98"/>
      <c r="E111" s="99"/>
      <c r="F111" s="100"/>
      <c r="G111" s="100"/>
      <c r="H111" s="100"/>
      <c r="I111" s="100"/>
      <c r="J111" s="100"/>
      <c r="K111" s="101" t="str">
        <f t="shared" si="113"/>
        <v/>
      </c>
      <c r="L111" s="102"/>
      <c r="M111" s="103"/>
      <c r="N111" s="104"/>
      <c r="O111" s="105"/>
      <c r="P111" s="106">
        <f t="shared" si="114"/>
        <v>0</v>
      </c>
      <c r="Q111" s="106">
        <f t="shared" si="115"/>
        <v>0</v>
      </c>
      <c r="R111" s="106">
        <f t="shared" si="116"/>
        <v>0</v>
      </c>
      <c r="S111" s="106">
        <f t="shared" si="117"/>
        <v>0</v>
      </c>
      <c r="T111" s="107">
        <f t="shared" si="118"/>
        <v>0</v>
      </c>
      <c r="U111" s="78"/>
      <c r="AG111" s="108"/>
      <c r="AI111" s="78">
        <f t="shared" si="62"/>
        <v>0</v>
      </c>
      <c r="AJ111" s="78">
        <f t="shared" si="63"/>
        <v>0</v>
      </c>
      <c r="AK111" s="78">
        <f t="shared" si="64"/>
        <v>0</v>
      </c>
      <c r="AL111" s="78">
        <f t="shared" si="65"/>
        <v>0</v>
      </c>
      <c r="AM111" s="78">
        <f t="shared" si="66"/>
        <v>0</v>
      </c>
      <c r="AN111" s="78">
        <f t="shared" si="67"/>
        <v>0</v>
      </c>
      <c r="AO111" s="78">
        <f t="shared" si="68"/>
        <v>0</v>
      </c>
      <c r="AP111" s="78">
        <f t="shared" si="69"/>
        <v>0</v>
      </c>
      <c r="AQ111" s="78">
        <f t="shared" si="70"/>
        <v>0</v>
      </c>
      <c r="AR111" s="78">
        <f t="shared" si="71"/>
        <v>0</v>
      </c>
      <c r="AS111" s="90">
        <f t="shared" si="72"/>
        <v>0</v>
      </c>
      <c r="AT111" s="91">
        <f t="shared" si="73"/>
        <v>0</v>
      </c>
      <c r="AV111" s="91">
        <f t="shared" si="74"/>
        <v>0</v>
      </c>
      <c r="AW111" s="78">
        <f t="shared" si="75"/>
        <v>0</v>
      </c>
      <c r="AX111" s="78">
        <f t="shared" si="76"/>
        <v>0</v>
      </c>
      <c r="AY111" s="78"/>
      <c r="AZ111" s="78">
        <f t="shared" si="77"/>
        <v>0</v>
      </c>
      <c r="BA111" s="78">
        <f t="shared" si="78"/>
        <v>0</v>
      </c>
      <c r="BB111" s="78">
        <f t="shared" si="79"/>
        <v>0</v>
      </c>
      <c r="BC111" s="78">
        <f t="shared" si="80"/>
        <v>0</v>
      </c>
      <c r="BD111" s="78">
        <f t="shared" si="81"/>
        <v>0</v>
      </c>
      <c r="BE111" s="78">
        <f t="shared" si="82"/>
        <v>0</v>
      </c>
      <c r="BF111" s="78">
        <f t="shared" si="83"/>
        <v>0</v>
      </c>
      <c r="BG111" s="78">
        <f t="shared" si="84"/>
        <v>0</v>
      </c>
      <c r="BH111" s="78">
        <f t="shared" si="85"/>
        <v>0</v>
      </c>
      <c r="BI111" s="78"/>
      <c r="BJ111" s="91">
        <f t="shared" si="86"/>
        <v>0</v>
      </c>
      <c r="BK111" s="91">
        <f t="shared" si="87"/>
        <v>0</v>
      </c>
      <c r="BL111" s="78"/>
      <c r="BM111" s="78">
        <f t="shared" si="88"/>
        <v>0</v>
      </c>
      <c r="BN111" s="78">
        <f t="shared" si="89"/>
        <v>0</v>
      </c>
      <c r="BO111" s="78">
        <f t="shared" si="90"/>
        <v>0</v>
      </c>
      <c r="BP111" s="78">
        <f t="shared" si="91"/>
        <v>0</v>
      </c>
      <c r="BQ111" s="78">
        <f t="shared" si="92"/>
        <v>0</v>
      </c>
      <c r="BR111" s="78">
        <f t="shared" si="93"/>
        <v>0</v>
      </c>
      <c r="BS111" s="78">
        <f t="shared" si="94"/>
        <v>0</v>
      </c>
      <c r="BT111" s="78">
        <f t="shared" si="95"/>
        <v>0</v>
      </c>
      <c r="BU111" s="91">
        <f t="shared" si="96"/>
        <v>0</v>
      </c>
      <c r="BV111" s="91">
        <f t="shared" si="97"/>
        <v>0</v>
      </c>
      <c r="BW111" s="78"/>
      <c r="BX111" s="78"/>
      <c r="BY111" s="78">
        <f t="shared" si="98"/>
        <v>0</v>
      </c>
      <c r="BZ111" s="78">
        <f t="shared" si="99"/>
        <v>0</v>
      </c>
      <c r="CA111" s="78">
        <f t="shared" si="100"/>
        <v>0</v>
      </c>
      <c r="CB111" s="78">
        <f t="shared" si="101"/>
        <v>0</v>
      </c>
      <c r="CC111" s="78">
        <f t="shared" si="102"/>
        <v>0</v>
      </c>
      <c r="CD111" s="78">
        <f t="shared" si="103"/>
        <v>0</v>
      </c>
      <c r="CE111" s="78">
        <f t="shared" si="104"/>
        <v>0</v>
      </c>
      <c r="CF111" s="78">
        <f t="shared" si="105"/>
        <v>0</v>
      </c>
      <c r="CG111" s="78"/>
      <c r="CH111" s="92">
        <f t="shared" si="106"/>
        <v>0</v>
      </c>
      <c r="CI111" s="93">
        <f t="shared" si="107"/>
        <v>0</v>
      </c>
      <c r="CJ111" s="94">
        <f t="shared" si="108"/>
        <v>0</v>
      </c>
      <c r="CL111" s="78">
        <f t="shared" si="109"/>
        <v>0</v>
      </c>
      <c r="CM111" s="78">
        <f t="shared" si="110"/>
        <v>0</v>
      </c>
      <c r="CN111" s="78">
        <f t="shared" si="111"/>
        <v>0</v>
      </c>
      <c r="CO111" s="78">
        <f t="shared" si="112"/>
        <v>0</v>
      </c>
    </row>
    <row r="112" spans="1:93" ht="13.5" thickBot="1">
      <c r="A112" s="95"/>
      <c r="B112" s="96"/>
      <c r="C112" s="97"/>
      <c r="D112" s="98"/>
      <c r="E112" s="99"/>
      <c r="F112" s="100"/>
      <c r="G112" s="100"/>
      <c r="H112" s="100"/>
      <c r="I112" s="100"/>
      <c r="J112" s="100"/>
      <c r="K112" s="101" t="str">
        <f t="shared" si="113"/>
        <v/>
      </c>
      <c r="L112" s="102"/>
      <c r="M112" s="103"/>
      <c r="N112" s="104"/>
      <c r="O112" s="105"/>
      <c r="P112" s="106">
        <f t="shared" si="114"/>
        <v>0</v>
      </c>
      <c r="Q112" s="106">
        <f t="shared" si="115"/>
        <v>0</v>
      </c>
      <c r="R112" s="106">
        <f t="shared" si="116"/>
        <v>0</v>
      </c>
      <c r="S112" s="106">
        <f t="shared" si="117"/>
        <v>0</v>
      </c>
      <c r="T112" s="107">
        <f t="shared" si="118"/>
        <v>0</v>
      </c>
      <c r="U112" s="78"/>
      <c r="AG112" s="108"/>
      <c r="AI112" s="78">
        <f t="shared" si="62"/>
        <v>0</v>
      </c>
      <c r="AJ112" s="78">
        <f t="shared" si="63"/>
        <v>0</v>
      </c>
      <c r="AK112" s="78">
        <f t="shared" si="64"/>
        <v>0</v>
      </c>
      <c r="AL112" s="78">
        <f t="shared" si="65"/>
        <v>0</v>
      </c>
      <c r="AM112" s="78">
        <f t="shared" si="66"/>
        <v>0</v>
      </c>
      <c r="AN112" s="78">
        <f t="shared" si="67"/>
        <v>0</v>
      </c>
      <c r="AO112" s="78">
        <f t="shared" si="68"/>
        <v>0</v>
      </c>
      <c r="AP112" s="78">
        <f t="shared" si="69"/>
        <v>0</v>
      </c>
      <c r="AQ112" s="78">
        <f t="shared" si="70"/>
        <v>0</v>
      </c>
      <c r="AR112" s="78">
        <f t="shared" si="71"/>
        <v>0</v>
      </c>
      <c r="AS112" s="90">
        <f t="shared" si="72"/>
        <v>0</v>
      </c>
      <c r="AT112" s="91">
        <f t="shared" si="73"/>
        <v>0</v>
      </c>
      <c r="AV112" s="91">
        <f t="shared" si="74"/>
        <v>0</v>
      </c>
      <c r="AW112" s="78">
        <f t="shared" si="75"/>
        <v>0</v>
      </c>
      <c r="AX112" s="78">
        <f t="shared" si="76"/>
        <v>0</v>
      </c>
      <c r="AY112" s="78"/>
      <c r="AZ112" s="78">
        <f t="shared" si="77"/>
        <v>0</v>
      </c>
      <c r="BA112" s="78">
        <f t="shared" si="78"/>
        <v>0</v>
      </c>
      <c r="BB112" s="78">
        <f t="shared" si="79"/>
        <v>0</v>
      </c>
      <c r="BC112" s="78">
        <f t="shared" si="80"/>
        <v>0</v>
      </c>
      <c r="BD112" s="78">
        <f t="shared" si="81"/>
        <v>0</v>
      </c>
      <c r="BE112" s="78">
        <f t="shared" si="82"/>
        <v>0</v>
      </c>
      <c r="BF112" s="78">
        <f t="shared" si="83"/>
        <v>0</v>
      </c>
      <c r="BG112" s="78">
        <f t="shared" si="84"/>
        <v>0</v>
      </c>
      <c r="BH112" s="78">
        <f t="shared" si="85"/>
        <v>0</v>
      </c>
      <c r="BI112" s="78"/>
      <c r="BJ112" s="91">
        <f t="shared" si="86"/>
        <v>0</v>
      </c>
      <c r="BK112" s="91">
        <f t="shared" si="87"/>
        <v>0</v>
      </c>
      <c r="BL112" s="78"/>
      <c r="BM112" s="78">
        <f t="shared" si="88"/>
        <v>0</v>
      </c>
      <c r="BN112" s="78">
        <f t="shared" si="89"/>
        <v>0</v>
      </c>
      <c r="BO112" s="78">
        <f t="shared" si="90"/>
        <v>0</v>
      </c>
      <c r="BP112" s="78">
        <f t="shared" si="91"/>
        <v>0</v>
      </c>
      <c r="BQ112" s="78">
        <f t="shared" si="92"/>
        <v>0</v>
      </c>
      <c r="BR112" s="78">
        <f t="shared" si="93"/>
        <v>0</v>
      </c>
      <c r="BS112" s="78">
        <f t="shared" si="94"/>
        <v>0</v>
      </c>
      <c r="BT112" s="78">
        <f t="shared" si="95"/>
        <v>0</v>
      </c>
      <c r="BU112" s="91">
        <f t="shared" si="96"/>
        <v>0</v>
      </c>
      <c r="BV112" s="91">
        <f t="shared" si="97"/>
        <v>0</v>
      </c>
      <c r="BW112" s="78"/>
      <c r="BX112" s="78"/>
      <c r="BY112" s="78">
        <f t="shared" si="98"/>
        <v>0</v>
      </c>
      <c r="BZ112" s="78">
        <f t="shared" si="99"/>
        <v>0</v>
      </c>
      <c r="CA112" s="78">
        <f t="shared" si="100"/>
        <v>0</v>
      </c>
      <c r="CB112" s="78">
        <f t="shared" si="101"/>
        <v>0</v>
      </c>
      <c r="CC112" s="78">
        <f t="shared" si="102"/>
        <v>0</v>
      </c>
      <c r="CD112" s="78">
        <f t="shared" si="103"/>
        <v>0</v>
      </c>
      <c r="CE112" s="78">
        <f t="shared" si="104"/>
        <v>0</v>
      </c>
      <c r="CF112" s="78">
        <f t="shared" si="105"/>
        <v>0</v>
      </c>
      <c r="CG112" s="78"/>
      <c r="CH112" s="92">
        <f t="shared" si="106"/>
        <v>0</v>
      </c>
      <c r="CI112" s="93">
        <f t="shared" si="107"/>
        <v>0</v>
      </c>
      <c r="CJ112" s="94">
        <f t="shared" si="108"/>
        <v>0</v>
      </c>
      <c r="CL112" s="78">
        <f t="shared" si="109"/>
        <v>0</v>
      </c>
      <c r="CM112" s="78">
        <f t="shared" si="110"/>
        <v>0</v>
      </c>
      <c r="CN112" s="78">
        <f t="shared" si="111"/>
        <v>0</v>
      </c>
      <c r="CO112" s="78">
        <f t="shared" si="112"/>
        <v>0</v>
      </c>
    </row>
    <row r="113" spans="1:93" ht="13.5" thickBot="1">
      <c r="A113" s="95"/>
      <c r="B113" s="96"/>
      <c r="C113" s="97"/>
      <c r="D113" s="98"/>
      <c r="E113" s="99"/>
      <c r="F113" s="100"/>
      <c r="G113" s="100"/>
      <c r="H113" s="100"/>
      <c r="I113" s="100"/>
      <c r="J113" s="100"/>
      <c r="K113" s="101" t="str">
        <f t="shared" si="113"/>
        <v/>
      </c>
      <c r="L113" s="102"/>
      <c r="M113" s="103"/>
      <c r="N113" s="104"/>
      <c r="O113" s="105"/>
      <c r="P113" s="106">
        <f t="shared" si="114"/>
        <v>0</v>
      </c>
      <c r="Q113" s="106">
        <f t="shared" si="115"/>
        <v>0</v>
      </c>
      <c r="R113" s="106">
        <f t="shared" si="116"/>
        <v>0</v>
      </c>
      <c r="S113" s="106">
        <f t="shared" si="117"/>
        <v>0</v>
      </c>
      <c r="T113" s="107">
        <f t="shared" si="118"/>
        <v>0</v>
      </c>
      <c r="U113" s="78"/>
      <c r="AG113" s="108"/>
      <c r="AI113" s="78">
        <f t="shared" si="62"/>
        <v>0</v>
      </c>
      <c r="AJ113" s="78">
        <f t="shared" si="63"/>
        <v>0</v>
      </c>
      <c r="AK113" s="78">
        <f t="shared" si="64"/>
        <v>0</v>
      </c>
      <c r="AL113" s="78">
        <f t="shared" si="65"/>
        <v>0</v>
      </c>
      <c r="AM113" s="78">
        <f t="shared" si="66"/>
        <v>0</v>
      </c>
      <c r="AN113" s="78">
        <f t="shared" si="67"/>
        <v>0</v>
      </c>
      <c r="AO113" s="78">
        <f t="shared" si="68"/>
        <v>0</v>
      </c>
      <c r="AP113" s="78">
        <f t="shared" si="69"/>
        <v>0</v>
      </c>
      <c r="AQ113" s="78">
        <f t="shared" si="70"/>
        <v>0</v>
      </c>
      <c r="AR113" s="78">
        <f t="shared" si="71"/>
        <v>0</v>
      </c>
      <c r="AS113" s="90">
        <f t="shared" si="72"/>
        <v>0</v>
      </c>
      <c r="AT113" s="91">
        <f t="shared" si="73"/>
        <v>0</v>
      </c>
      <c r="AV113" s="91">
        <f t="shared" si="74"/>
        <v>0</v>
      </c>
      <c r="AW113" s="78">
        <f t="shared" si="75"/>
        <v>0</v>
      </c>
      <c r="AX113" s="78">
        <f t="shared" si="76"/>
        <v>0</v>
      </c>
      <c r="AY113" s="78"/>
      <c r="AZ113" s="78">
        <f t="shared" si="77"/>
        <v>0</v>
      </c>
      <c r="BA113" s="78">
        <f t="shared" si="78"/>
        <v>0</v>
      </c>
      <c r="BB113" s="78">
        <f t="shared" si="79"/>
        <v>0</v>
      </c>
      <c r="BC113" s="78">
        <f t="shared" si="80"/>
        <v>0</v>
      </c>
      <c r="BD113" s="78">
        <f t="shared" si="81"/>
        <v>0</v>
      </c>
      <c r="BE113" s="78">
        <f t="shared" si="82"/>
        <v>0</v>
      </c>
      <c r="BF113" s="78">
        <f t="shared" si="83"/>
        <v>0</v>
      </c>
      <c r="BG113" s="78">
        <f t="shared" si="84"/>
        <v>0</v>
      </c>
      <c r="BH113" s="78">
        <f t="shared" si="85"/>
        <v>0</v>
      </c>
      <c r="BI113" s="78"/>
      <c r="BJ113" s="91">
        <f t="shared" si="86"/>
        <v>0</v>
      </c>
      <c r="BK113" s="91">
        <f t="shared" si="87"/>
        <v>0</v>
      </c>
      <c r="BL113" s="78"/>
      <c r="BM113" s="78">
        <f t="shared" si="88"/>
        <v>0</v>
      </c>
      <c r="BN113" s="78">
        <f t="shared" si="89"/>
        <v>0</v>
      </c>
      <c r="BO113" s="78">
        <f t="shared" si="90"/>
        <v>0</v>
      </c>
      <c r="BP113" s="78">
        <f t="shared" si="91"/>
        <v>0</v>
      </c>
      <c r="BQ113" s="78">
        <f t="shared" si="92"/>
        <v>0</v>
      </c>
      <c r="BR113" s="78">
        <f t="shared" si="93"/>
        <v>0</v>
      </c>
      <c r="BS113" s="78">
        <f t="shared" si="94"/>
        <v>0</v>
      </c>
      <c r="BT113" s="78">
        <f t="shared" si="95"/>
        <v>0</v>
      </c>
      <c r="BU113" s="91">
        <f t="shared" si="96"/>
        <v>0</v>
      </c>
      <c r="BV113" s="91">
        <f t="shared" si="97"/>
        <v>0</v>
      </c>
      <c r="BW113" s="78"/>
      <c r="BX113" s="78"/>
      <c r="BY113" s="78">
        <f t="shared" si="98"/>
        <v>0</v>
      </c>
      <c r="BZ113" s="78">
        <f t="shared" si="99"/>
        <v>0</v>
      </c>
      <c r="CA113" s="78">
        <f t="shared" si="100"/>
        <v>0</v>
      </c>
      <c r="CB113" s="78">
        <f t="shared" si="101"/>
        <v>0</v>
      </c>
      <c r="CC113" s="78">
        <f t="shared" si="102"/>
        <v>0</v>
      </c>
      <c r="CD113" s="78">
        <f t="shared" si="103"/>
        <v>0</v>
      </c>
      <c r="CE113" s="78">
        <f t="shared" si="104"/>
        <v>0</v>
      </c>
      <c r="CF113" s="78">
        <f t="shared" si="105"/>
        <v>0</v>
      </c>
      <c r="CG113" s="78"/>
      <c r="CH113" s="92">
        <f t="shared" si="106"/>
        <v>0</v>
      </c>
      <c r="CI113" s="93">
        <f t="shared" si="107"/>
        <v>0</v>
      </c>
      <c r="CJ113" s="94">
        <f t="shared" si="108"/>
        <v>0</v>
      </c>
      <c r="CL113" s="78">
        <f t="shared" si="109"/>
        <v>0</v>
      </c>
      <c r="CM113" s="78">
        <f t="shared" si="110"/>
        <v>0</v>
      </c>
      <c r="CN113" s="78">
        <f t="shared" si="111"/>
        <v>0</v>
      </c>
      <c r="CO113" s="78">
        <f t="shared" si="112"/>
        <v>0</v>
      </c>
    </row>
    <row r="114" spans="1:93" ht="13.5" thickBot="1">
      <c r="A114" s="95"/>
      <c r="B114" s="96"/>
      <c r="C114" s="97"/>
      <c r="D114" s="98"/>
      <c r="E114" s="99"/>
      <c r="F114" s="100"/>
      <c r="G114" s="100"/>
      <c r="H114" s="100"/>
      <c r="I114" s="100"/>
      <c r="J114" s="100"/>
      <c r="K114" s="101" t="str">
        <f t="shared" si="113"/>
        <v/>
      </c>
      <c r="L114" s="102"/>
      <c r="M114" s="103"/>
      <c r="N114" s="104"/>
      <c r="O114" s="105"/>
      <c r="P114" s="106">
        <f t="shared" si="114"/>
        <v>0</v>
      </c>
      <c r="Q114" s="106">
        <f t="shared" si="115"/>
        <v>0</v>
      </c>
      <c r="R114" s="106">
        <f t="shared" si="116"/>
        <v>0</v>
      </c>
      <c r="S114" s="106">
        <f t="shared" si="117"/>
        <v>0</v>
      </c>
      <c r="T114" s="107">
        <f t="shared" si="118"/>
        <v>0</v>
      </c>
      <c r="U114" s="78"/>
      <c r="AG114" s="108"/>
      <c r="AI114" s="78">
        <f t="shared" si="62"/>
        <v>0</v>
      </c>
      <c r="AJ114" s="78">
        <f t="shared" si="63"/>
        <v>0</v>
      </c>
      <c r="AK114" s="78">
        <f t="shared" si="64"/>
        <v>0</v>
      </c>
      <c r="AL114" s="78">
        <f t="shared" si="65"/>
        <v>0</v>
      </c>
      <c r="AM114" s="78">
        <f t="shared" si="66"/>
        <v>0</v>
      </c>
      <c r="AN114" s="78">
        <f t="shared" si="67"/>
        <v>0</v>
      </c>
      <c r="AO114" s="78">
        <f t="shared" si="68"/>
        <v>0</v>
      </c>
      <c r="AP114" s="78">
        <f t="shared" si="69"/>
        <v>0</v>
      </c>
      <c r="AQ114" s="78">
        <f t="shared" si="70"/>
        <v>0</v>
      </c>
      <c r="AR114" s="78">
        <f t="shared" si="71"/>
        <v>0</v>
      </c>
      <c r="AS114" s="90">
        <f t="shared" si="72"/>
        <v>0</v>
      </c>
      <c r="AT114" s="91">
        <f t="shared" si="73"/>
        <v>0</v>
      </c>
      <c r="AV114" s="91">
        <f t="shared" si="74"/>
        <v>0</v>
      </c>
      <c r="AW114" s="78">
        <f t="shared" si="75"/>
        <v>0</v>
      </c>
      <c r="AX114" s="78">
        <f t="shared" si="76"/>
        <v>0</v>
      </c>
      <c r="AY114" s="78"/>
      <c r="AZ114" s="78">
        <f t="shared" si="77"/>
        <v>0</v>
      </c>
      <c r="BA114" s="78">
        <f t="shared" si="78"/>
        <v>0</v>
      </c>
      <c r="BB114" s="78">
        <f t="shared" si="79"/>
        <v>0</v>
      </c>
      <c r="BC114" s="78">
        <f t="shared" si="80"/>
        <v>0</v>
      </c>
      <c r="BD114" s="78">
        <f t="shared" si="81"/>
        <v>0</v>
      </c>
      <c r="BE114" s="78">
        <f t="shared" si="82"/>
        <v>0</v>
      </c>
      <c r="BF114" s="78">
        <f t="shared" si="83"/>
        <v>0</v>
      </c>
      <c r="BG114" s="78">
        <f t="shared" si="84"/>
        <v>0</v>
      </c>
      <c r="BH114" s="78">
        <f t="shared" si="85"/>
        <v>0</v>
      </c>
      <c r="BI114" s="78"/>
      <c r="BJ114" s="91">
        <f t="shared" si="86"/>
        <v>0</v>
      </c>
      <c r="BK114" s="91">
        <f t="shared" si="87"/>
        <v>0</v>
      </c>
      <c r="BL114" s="78"/>
      <c r="BM114" s="78">
        <f t="shared" si="88"/>
        <v>0</v>
      </c>
      <c r="BN114" s="78">
        <f t="shared" si="89"/>
        <v>0</v>
      </c>
      <c r="BO114" s="78">
        <f t="shared" si="90"/>
        <v>0</v>
      </c>
      <c r="BP114" s="78">
        <f t="shared" si="91"/>
        <v>0</v>
      </c>
      <c r="BQ114" s="78">
        <f t="shared" si="92"/>
        <v>0</v>
      </c>
      <c r="BR114" s="78">
        <f t="shared" si="93"/>
        <v>0</v>
      </c>
      <c r="BS114" s="78">
        <f t="shared" si="94"/>
        <v>0</v>
      </c>
      <c r="BT114" s="78">
        <f t="shared" si="95"/>
        <v>0</v>
      </c>
      <c r="BU114" s="91">
        <f t="shared" si="96"/>
        <v>0</v>
      </c>
      <c r="BV114" s="91">
        <f t="shared" si="97"/>
        <v>0</v>
      </c>
      <c r="BW114" s="78"/>
      <c r="BX114" s="78"/>
      <c r="BY114" s="78">
        <f t="shared" si="98"/>
        <v>0</v>
      </c>
      <c r="BZ114" s="78">
        <f t="shared" si="99"/>
        <v>0</v>
      </c>
      <c r="CA114" s="78">
        <f t="shared" si="100"/>
        <v>0</v>
      </c>
      <c r="CB114" s="78">
        <f t="shared" si="101"/>
        <v>0</v>
      </c>
      <c r="CC114" s="78">
        <f t="shared" si="102"/>
        <v>0</v>
      </c>
      <c r="CD114" s="78">
        <f t="shared" si="103"/>
        <v>0</v>
      </c>
      <c r="CE114" s="78">
        <f t="shared" si="104"/>
        <v>0</v>
      </c>
      <c r="CF114" s="78">
        <f t="shared" si="105"/>
        <v>0</v>
      </c>
      <c r="CG114" s="78"/>
      <c r="CH114" s="92">
        <f t="shared" si="106"/>
        <v>0</v>
      </c>
      <c r="CI114" s="93">
        <f t="shared" si="107"/>
        <v>0</v>
      </c>
      <c r="CJ114" s="94">
        <f t="shared" si="108"/>
        <v>0</v>
      </c>
      <c r="CL114" s="78">
        <f t="shared" si="109"/>
        <v>0</v>
      </c>
      <c r="CM114" s="78">
        <f t="shared" si="110"/>
        <v>0</v>
      </c>
      <c r="CN114" s="78">
        <f t="shared" si="111"/>
        <v>0</v>
      </c>
      <c r="CO114" s="78">
        <f t="shared" si="112"/>
        <v>0</v>
      </c>
    </row>
    <row r="115" spans="1:93" ht="13.5" thickBot="1">
      <c r="A115" s="95"/>
      <c r="B115" s="96"/>
      <c r="C115" s="97"/>
      <c r="D115" s="98"/>
      <c r="E115" s="99"/>
      <c r="F115" s="100"/>
      <c r="G115" s="100"/>
      <c r="H115" s="100"/>
      <c r="I115" s="100"/>
      <c r="J115" s="100"/>
      <c r="K115" s="101" t="str">
        <f t="shared" si="113"/>
        <v/>
      </c>
      <c r="L115" s="102"/>
      <c r="M115" s="103"/>
      <c r="N115" s="104"/>
      <c r="O115" s="105"/>
      <c r="P115" s="106">
        <f t="shared" si="114"/>
        <v>0</v>
      </c>
      <c r="Q115" s="106">
        <f t="shared" si="115"/>
        <v>0</v>
      </c>
      <c r="R115" s="106">
        <f t="shared" si="116"/>
        <v>0</v>
      </c>
      <c r="S115" s="106">
        <f t="shared" si="117"/>
        <v>0</v>
      </c>
      <c r="T115" s="107">
        <f t="shared" si="118"/>
        <v>0</v>
      </c>
      <c r="U115" s="78"/>
      <c r="AG115" s="108"/>
      <c r="AI115" s="78">
        <f t="shared" si="62"/>
        <v>0</v>
      </c>
      <c r="AJ115" s="78">
        <f t="shared" si="63"/>
        <v>0</v>
      </c>
      <c r="AK115" s="78">
        <f t="shared" si="64"/>
        <v>0</v>
      </c>
      <c r="AL115" s="78">
        <f t="shared" si="65"/>
        <v>0</v>
      </c>
      <c r="AM115" s="78">
        <f t="shared" si="66"/>
        <v>0</v>
      </c>
      <c r="AN115" s="78">
        <f t="shared" si="67"/>
        <v>0</v>
      </c>
      <c r="AO115" s="78">
        <f t="shared" si="68"/>
        <v>0</v>
      </c>
      <c r="AP115" s="78">
        <f t="shared" si="69"/>
        <v>0</v>
      </c>
      <c r="AQ115" s="78">
        <f t="shared" si="70"/>
        <v>0</v>
      </c>
      <c r="AR115" s="78">
        <f t="shared" si="71"/>
        <v>0</v>
      </c>
      <c r="AS115" s="90">
        <f t="shared" si="72"/>
        <v>0</v>
      </c>
      <c r="AT115" s="91">
        <f t="shared" si="73"/>
        <v>0</v>
      </c>
      <c r="AV115" s="91">
        <f t="shared" si="74"/>
        <v>0</v>
      </c>
      <c r="AW115" s="78">
        <f t="shared" si="75"/>
        <v>0</v>
      </c>
      <c r="AX115" s="78">
        <f t="shared" si="76"/>
        <v>0</v>
      </c>
      <c r="AY115" s="78"/>
      <c r="AZ115" s="78">
        <f t="shared" si="77"/>
        <v>0</v>
      </c>
      <c r="BA115" s="78">
        <f t="shared" si="78"/>
        <v>0</v>
      </c>
      <c r="BB115" s="78">
        <f t="shared" si="79"/>
        <v>0</v>
      </c>
      <c r="BC115" s="78">
        <f t="shared" si="80"/>
        <v>0</v>
      </c>
      <c r="BD115" s="78">
        <f t="shared" si="81"/>
        <v>0</v>
      </c>
      <c r="BE115" s="78">
        <f t="shared" si="82"/>
        <v>0</v>
      </c>
      <c r="BF115" s="78">
        <f t="shared" si="83"/>
        <v>0</v>
      </c>
      <c r="BG115" s="78">
        <f t="shared" si="84"/>
        <v>0</v>
      </c>
      <c r="BH115" s="78">
        <f t="shared" si="85"/>
        <v>0</v>
      </c>
      <c r="BI115" s="78"/>
      <c r="BJ115" s="91">
        <f t="shared" si="86"/>
        <v>0</v>
      </c>
      <c r="BK115" s="91">
        <f t="shared" si="87"/>
        <v>0</v>
      </c>
      <c r="BL115" s="78"/>
      <c r="BM115" s="78">
        <f t="shared" si="88"/>
        <v>0</v>
      </c>
      <c r="BN115" s="78">
        <f t="shared" si="89"/>
        <v>0</v>
      </c>
      <c r="BO115" s="78">
        <f t="shared" si="90"/>
        <v>0</v>
      </c>
      <c r="BP115" s="78">
        <f t="shared" si="91"/>
        <v>0</v>
      </c>
      <c r="BQ115" s="78">
        <f t="shared" si="92"/>
        <v>0</v>
      </c>
      <c r="BR115" s="78">
        <f t="shared" si="93"/>
        <v>0</v>
      </c>
      <c r="BS115" s="78">
        <f t="shared" si="94"/>
        <v>0</v>
      </c>
      <c r="BT115" s="78">
        <f t="shared" si="95"/>
        <v>0</v>
      </c>
      <c r="BU115" s="91">
        <f t="shared" si="96"/>
        <v>0</v>
      </c>
      <c r="BV115" s="91">
        <f t="shared" si="97"/>
        <v>0</v>
      </c>
      <c r="BW115" s="78"/>
      <c r="BX115" s="78"/>
      <c r="BY115" s="78">
        <f t="shared" si="98"/>
        <v>0</v>
      </c>
      <c r="BZ115" s="78">
        <f t="shared" si="99"/>
        <v>0</v>
      </c>
      <c r="CA115" s="78">
        <f t="shared" si="100"/>
        <v>0</v>
      </c>
      <c r="CB115" s="78">
        <f t="shared" si="101"/>
        <v>0</v>
      </c>
      <c r="CC115" s="78">
        <f t="shared" si="102"/>
        <v>0</v>
      </c>
      <c r="CD115" s="78">
        <f t="shared" si="103"/>
        <v>0</v>
      </c>
      <c r="CE115" s="78">
        <f t="shared" si="104"/>
        <v>0</v>
      </c>
      <c r="CF115" s="78">
        <f t="shared" si="105"/>
        <v>0</v>
      </c>
      <c r="CG115" s="78"/>
      <c r="CH115" s="92">
        <f t="shared" si="106"/>
        <v>0</v>
      </c>
      <c r="CI115" s="93">
        <f t="shared" si="107"/>
        <v>0</v>
      </c>
      <c r="CJ115" s="94">
        <f t="shared" si="108"/>
        <v>0</v>
      </c>
      <c r="CL115" s="78">
        <f t="shared" si="109"/>
        <v>0</v>
      </c>
      <c r="CM115" s="78">
        <f t="shared" si="110"/>
        <v>0</v>
      </c>
      <c r="CN115" s="78">
        <f t="shared" si="111"/>
        <v>0</v>
      </c>
      <c r="CO115" s="78">
        <f t="shared" si="112"/>
        <v>0</v>
      </c>
    </row>
    <row r="116" spans="1:93" ht="13.5" thickBot="1">
      <c r="A116" s="95"/>
      <c r="B116" s="96"/>
      <c r="C116" s="97"/>
      <c r="D116" s="98"/>
      <c r="E116" s="99"/>
      <c r="F116" s="100"/>
      <c r="G116" s="100"/>
      <c r="H116" s="100"/>
      <c r="I116" s="100"/>
      <c r="J116" s="100"/>
      <c r="K116" s="101" t="str">
        <f t="shared" si="113"/>
        <v/>
      </c>
      <c r="L116" s="102"/>
      <c r="M116" s="103"/>
      <c r="N116" s="104"/>
      <c r="O116" s="105"/>
      <c r="P116" s="106">
        <f t="shared" si="114"/>
        <v>0</v>
      </c>
      <c r="Q116" s="106">
        <f t="shared" si="115"/>
        <v>0</v>
      </c>
      <c r="R116" s="106">
        <f t="shared" si="116"/>
        <v>0</v>
      </c>
      <c r="S116" s="106">
        <f t="shared" si="117"/>
        <v>0</v>
      </c>
      <c r="T116" s="107">
        <f t="shared" si="118"/>
        <v>0</v>
      </c>
      <c r="U116" s="78"/>
      <c r="AG116" s="108"/>
      <c r="AI116" s="78">
        <f t="shared" si="62"/>
        <v>0</v>
      </c>
      <c r="AJ116" s="78">
        <f t="shared" si="63"/>
        <v>0</v>
      </c>
      <c r="AK116" s="78">
        <f t="shared" si="64"/>
        <v>0</v>
      </c>
      <c r="AL116" s="78">
        <f t="shared" si="65"/>
        <v>0</v>
      </c>
      <c r="AM116" s="78">
        <f t="shared" si="66"/>
        <v>0</v>
      </c>
      <c r="AN116" s="78">
        <f t="shared" si="67"/>
        <v>0</v>
      </c>
      <c r="AO116" s="78">
        <f t="shared" si="68"/>
        <v>0</v>
      </c>
      <c r="AP116" s="78">
        <f t="shared" si="69"/>
        <v>0</v>
      </c>
      <c r="AQ116" s="78">
        <f t="shared" si="70"/>
        <v>0</v>
      </c>
      <c r="AR116" s="78">
        <f t="shared" si="71"/>
        <v>0</v>
      </c>
      <c r="AS116" s="90">
        <f t="shared" si="72"/>
        <v>0</v>
      </c>
      <c r="AT116" s="91">
        <f t="shared" si="73"/>
        <v>0</v>
      </c>
      <c r="AV116" s="91">
        <f t="shared" si="74"/>
        <v>0</v>
      </c>
      <c r="AW116" s="78">
        <f t="shared" si="75"/>
        <v>0</v>
      </c>
      <c r="AX116" s="78">
        <f t="shared" si="76"/>
        <v>0</v>
      </c>
      <c r="AY116" s="78"/>
      <c r="AZ116" s="78">
        <f t="shared" si="77"/>
        <v>0</v>
      </c>
      <c r="BA116" s="78">
        <f t="shared" si="78"/>
        <v>0</v>
      </c>
      <c r="BB116" s="78">
        <f t="shared" si="79"/>
        <v>0</v>
      </c>
      <c r="BC116" s="78">
        <f t="shared" si="80"/>
        <v>0</v>
      </c>
      <c r="BD116" s="78">
        <f t="shared" si="81"/>
        <v>0</v>
      </c>
      <c r="BE116" s="78">
        <f t="shared" si="82"/>
        <v>0</v>
      </c>
      <c r="BF116" s="78">
        <f t="shared" si="83"/>
        <v>0</v>
      </c>
      <c r="BG116" s="78">
        <f t="shared" si="84"/>
        <v>0</v>
      </c>
      <c r="BH116" s="78">
        <f t="shared" si="85"/>
        <v>0</v>
      </c>
      <c r="BI116" s="78"/>
      <c r="BJ116" s="91">
        <f t="shared" si="86"/>
        <v>0</v>
      </c>
      <c r="BK116" s="91">
        <f t="shared" si="87"/>
        <v>0</v>
      </c>
      <c r="BL116" s="78"/>
      <c r="BM116" s="78">
        <f t="shared" si="88"/>
        <v>0</v>
      </c>
      <c r="BN116" s="78">
        <f t="shared" si="89"/>
        <v>0</v>
      </c>
      <c r="BO116" s="78">
        <f t="shared" si="90"/>
        <v>0</v>
      </c>
      <c r="BP116" s="78">
        <f t="shared" si="91"/>
        <v>0</v>
      </c>
      <c r="BQ116" s="78">
        <f t="shared" si="92"/>
        <v>0</v>
      </c>
      <c r="BR116" s="78">
        <f t="shared" si="93"/>
        <v>0</v>
      </c>
      <c r="BS116" s="78">
        <f t="shared" si="94"/>
        <v>0</v>
      </c>
      <c r="BT116" s="78">
        <f t="shared" si="95"/>
        <v>0</v>
      </c>
      <c r="BU116" s="91">
        <f t="shared" si="96"/>
        <v>0</v>
      </c>
      <c r="BV116" s="91">
        <f t="shared" si="97"/>
        <v>0</v>
      </c>
      <c r="BW116" s="78"/>
      <c r="BX116" s="78"/>
      <c r="BY116" s="78">
        <f t="shared" si="98"/>
        <v>0</v>
      </c>
      <c r="BZ116" s="78">
        <f t="shared" si="99"/>
        <v>0</v>
      </c>
      <c r="CA116" s="78">
        <f t="shared" si="100"/>
        <v>0</v>
      </c>
      <c r="CB116" s="78">
        <f t="shared" si="101"/>
        <v>0</v>
      </c>
      <c r="CC116" s="78">
        <f t="shared" si="102"/>
        <v>0</v>
      </c>
      <c r="CD116" s="78">
        <f t="shared" si="103"/>
        <v>0</v>
      </c>
      <c r="CE116" s="78">
        <f t="shared" si="104"/>
        <v>0</v>
      </c>
      <c r="CF116" s="78">
        <f t="shared" si="105"/>
        <v>0</v>
      </c>
      <c r="CG116" s="78"/>
      <c r="CH116" s="92">
        <f t="shared" si="106"/>
        <v>0</v>
      </c>
      <c r="CI116" s="93">
        <f t="shared" si="107"/>
        <v>0</v>
      </c>
      <c r="CJ116" s="94">
        <f t="shared" si="108"/>
        <v>0</v>
      </c>
      <c r="CL116" s="78">
        <f t="shared" si="109"/>
        <v>0</v>
      </c>
      <c r="CM116" s="78">
        <f t="shared" si="110"/>
        <v>0</v>
      </c>
      <c r="CN116" s="78">
        <f t="shared" si="111"/>
        <v>0</v>
      </c>
      <c r="CO116" s="78">
        <f t="shared" si="112"/>
        <v>0</v>
      </c>
    </row>
    <row r="117" spans="1:93" ht="13.5" thickBot="1">
      <c r="A117" s="95"/>
      <c r="B117" s="96"/>
      <c r="C117" s="97"/>
      <c r="D117" s="98"/>
      <c r="E117" s="99"/>
      <c r="F117" s="100"/>
      <c r="G117" s="100"/>
      <c r="H117" s="100"/>
      <c r="I117" s="100"/>
      <c r="J117" s="100"/>
      <c r="K117" s="101" t="str">
        <f t="shared" si="113"/>
        <v/>
      </c>
      <c r="L117" s="102"/>
      <c r="M117" s="103"/>
      <c r="N117" s="104"/>
      <c r="O117" s="105"/>
      <c r="P117" s="106">
        <f t="shared" si="114"/>
        <v>0</v>
      </c>
      <c r="Q117" s="106">
        <f t="shared" si="115"/>
        <v>0</v>
      </c>
      <c r="R117" s="106">
        <f t="shared" si="116"/>
        <v>0</v>
      </c>
      <c r="S117" s="106">
        <f t="shared" si="117"/>
        <v>0</v>
      </c>
      <c r="T117" s="107">
        <f t="shared" si="118"/>
        <v>0</v>
      </c>
      <c r="U117" s="78"/>
      <c r="AG117" s="108"/>
      <c r="AI117" s="78">
        <f t="shared" si="62"/>
        <v>0</v>
      </c>
      <c r="AJ117" s="78">
        <f t="shared" si="63"/>
        <v>0</v>
      </c>
      <c r="AK117" s="78">
        <f t="shared" si="64"/>
        <v>0</v>
      </c>
      <c r="AL117" s="78">
        <f t="shared" si="65"/>
        <v>0</v>
      </c>
      <c r="AM117" s="78">
        <f t="shared" si="66"/>
        <v>0</v>
      </c>
      <c r="AN117" s="78">
        <f t="shared" si="67"/>
        <v>0</v>
      </c>
      <c r="AO117" s="78">
        <f t="shared" si="68"/>
        <v>0</v>
      </c>
      <c r="AP117" s="78">
        <f t="shared" si="69"/>
        <v>0</v>
      </c>
      <c r="AQ117" s="78">
        <f t="shared" si="70"/>
        <v>0</v>
      </c>
      <c r="AR117" s="78">
        <f t="shared" si="71"/>
        <v>0</v>
      </c>
      <c r="AS117" s="90">
        <f t="shared" si="72"/>
        <v>0</v>
      </c>
      <c r="AT117" s="91">
        <f t="shared" si="73"/>
        <v>0</v>
      </c>
      <c r="AV117" s="91">
        <f t="shared" si="74"/>
        <v>0</v>
      </c>
      <c r="AW117" s="78">
        <f t="shared" si="75"/>
        <v>0</v>
      </c>
      <c r="AX117" s="78">
        <f t="shared" si="76"/>
        <v>0</v>
      </c>
      <c r="AY117" s="78"/>
      <c r="AZ117" s="78">
        <f t="shared" si="77"/>
        <v>0</v>
      </c>
      <c r="BA117" s="78">
        <f t="shared" si="78"/>
        <v>0</v>
      </c>
      <c r="BB117" s="78">
        <f t="shared" si="79"/>
        <v>0</v>
      </c>
      <c r="BC117" s="78">
        <f t="shared" si="80"/>
        <v>0</v>
      </c>
      <c r="BD117" s="78">
        <f t="shared" si="81"/>
        <v>0</v>
      </c>
      <c r="BE117" s="78">
        <f t="shared" si="82"/>
        <v>0</v>
      </c>
      <c r="BF117" s="78">
        <f t="shared" si="83"/>
        <v>0</v>
      </c>
      <c r="BG117" s="78">
        <f t="shared" si="84"/>
        <v>0</v>
      </c>
      <c r="BH117" s="78">
        <f t="shared" si="85"/>
        <v>0</v>
      </c>
      <c r="BI117" s="78"/>
      <c r="BJ117" s="91">
        <f t="shared" si="86"/>
        <v>0</v>
      </c>
      <c r="BK117" s="91">
        <f t="shared" si="87"/>
        <v>0</v>
      </c>
      <c r="BL117" s="78"/>
      <c r="BM117" s="78">
        <f t="shared" si="88"/>
        <v>0</v>
      </c>
      <c r="BN117" s="78">
        <f t="shared" si="89"/>
        <v>0</v>
      </c>
      <c r="BO117" s="78">
        <f t="shared" si="90"/>
        <v>0</v>
      </c>
      <c r="BP117" s="78">
        <f t="shared" si="91"/>
        <v>0</v>
      </c>
      <c r="BQ117" s="78">
        <f t="shared" si="92"/>
        <v>0</v>
      </c>
      <c r="BR117" s="78">
        <f t="shared" si="93"/>
        <v>0</v>
      </c>
      <c r="BS117" s="78">
        <f t="shared" si="94"/>
        <v>0</v>
      </c>
      <c r="BT117" s="78">
        <f t="shared" si="95"/>
        <v>0</v>
      </c>
      <c r="BU117" s="91">
        <f t="shared" si="96"/>
        <v>0</v>
      </c>
      <c r="BV117" s="91">
        <f t="shared" si="97"/>
        <v>0</v>
      </c>
      <c r="BW117" s="78"/>
      <c r="BX117" s="78"/>
      <c r="BY117" s="78">
        <f t="shared" si="98"/>
        <v>0</v>
      </c>
      <c r="BZ117" s="78">
        <f t="shared" si="99"/>
        <v>0</v>
      </c>
      <c r="CA117" s="78">
        <f t="shared" si="100"/>
        <v>0</v>
      </c>
      <c r="CB117" s="78">
        <f t="shared" si="101"/>
        <v>0</v>
      </c>
      <c r="CC117" s="78">
        <f t="shared" si="102"/>
        <v>0</v>
      </c>
      <c r="CD117" s="78">
        <f t="shared" si="103"/>
        <v>0</v>
      </c>
      <c r="CE117" s="78">
        <f t="shared" si="104"/>
        <v>0</v>
      </c>
      <c r="CF117" s="78">
        <f t="shared" si="105"/>
        <v>0</v>
      </c>
      <c r="CG117" s="78"/>
      <c r="CH117" s="92">
        <f t="shared" si="106"/>
        <v>0</v>
      </c>
      <c r="CI117" s="93">
        <f t="shared" si="107"/>
        <v>0</v>
      </c>
      <c r="CJ117" s="94">
        <f t="shared" si="108"/>
        <v>0</v>
      </c>
      <c r="CL117" s="78">
        <f t="shared" si="109"/>
        <v>0</v>
      </c>
      <c r="CM117" s="78">
        <f t="shared" si="110"/>
        <v>0</v>
      </c>
      <c r="CN117" s="78">
        <f t="shared" si="111"/>
        <v>0</v>
      </c>
      <c r="CO117" s="78">
        <f t="shared" si="112"/>
        <v>0</v>
      </c>
    </row>
    <row r="118" spans="1:93" ht="13.5" thickBot="1">
      <c r="A118" s="95"/>
      <c r="B118" s="96"/>
      <c r="C118" s="97"/>
      <c r="D118" s="98"/>
      <c r="E118" s="99"/>
      <c r="F118" s="100"/>
      <c r="G118" s="100"/>
      <c r="H118" s="100"/>
      <c r="I118" s="100"/>
      <c r="J118" s="100"/>
      <c r="K118" s="101" t="str">
        <f t="shared" si="113"/>
        <v/>
      </c>
      <c r="L118" s="102"/>
      <c r="M118" s="103"/>
      <c r="N118" s="104"/>
      <c r="O118" s="105"/>
      <c r="P118" s="106">
        <f t="shared" si="114"/>
        <v>0</v>
      </c>
      <c r="Q118" s="106">
        <f t="shared" si="115"/>
        <v>0</v>
      </c>
      <c r="R118" s="106">
        <f t="shared" si="116"/>
        <v>0</v>
      </c>
      <c r="S118" s="106">
        <f t="shared" si="117"/>
        <v>0</v>
      </c>
      <c r="T118" s="107">
        <f t="shared" si="118"/>
        <v>0</v>
      </c>
      <c r="U118" s="78"/>
      <c r="AG118" s="108"/>
      <c r="AI118" s="78">
        <f t="shared" si="62"/>
        <v>0</v>
      </c>
      <c r="AJ118" s="78">
        <f t="shared" si="63"/>
        <v>0</v>
      </c>
      <c r="AK118" s="78">
        <f t="shared" si="64"/>
        <v>0</v>
      </c>
      <c r="AL118" s="78">
        <f t="shared" si="65"/>
        <v>0</v>
      </c>
      <c r="AM118" s="78">
        <f t="shared" si="66"/>
        <v>0</v>
      </c>
      <c r="AN118" s="78">
        <f t="shared" si="67"/>
        <v>0</v>
      </c>
      <c r="AO118" s="78">
        <f t="shared" si="68"/>
        <v>0</v>
      </c>
      <c r="AP118" s="78">
        <f t="shared" si="69"/>
        <v>0</v>
      </c>
      <c r="AQ118" s="78">
        <f t="shared" si="70"/>
        <v>0</v>
      </c>
      <c r="AR118" s="78">
        <f t="shared" si="71"/>
        <v>0</v>
      </c>
      <c r="AS118" s="90">
        <f t="shared" si="72"/>
        <v>0</v>
      </c>
      <c r="AT118" s="91">
        <f t="shared" si="73"/>
        <v>0</v>
      </c>
      <c r="AV118" s="91">
        <f t="shared" si="74"/>
        <v>0</v>
      </c>
      <c r="AW118" s="78">
        <f t="shared" si="75"/>
        <v>0</v>
      </c>
      <c r="AX118" s="78">
        <f t="shared" si="76"/>
        <v>0</v>
      </c>
      <c r="AY118" s="78"/>
      <c r="AZ118" s="78">
        <f t="shared" si="77"/>
        <v>0</v>
      </c>
      <c r="BA118" s="78">
        <f t="shared" si="78"/>
        <v>0</v>
      </c>
      <c r="BB118" s="78">
        <f t="shared" si="79"/>
        <v>0</v>
      </c>
      <c r="BC118" s="78">
        <f t="shared" si="80"/>
        <v>0</v>
      </c>
      <c r="BD118" s="78">
        <f t="shared" si="81"/>
        <v>0</v>
      </c>
      <c r="BE118" s="78">
        <f t="shared" si="82"/>
        <v>0</v>
      </c>
      <c r="BF118" s="78">
        <f t="shared" si="83"/>
        <v>0</v>
      </c>
      <c r="BG118" s="78">
        <f t="shared" si="84"/>
        <v>0</v>
      </c>
      <c r="BH118" s="78">
        <f t="shared" si="85"/>
        <v>0</v>
      </c>
      <c r="BI118" s="78"/>
      <c r="BJ118" s="91">
        <f t="shared" si="86"/>
        <v>0</v>
      </c>
      <c r="BK118" s="91">
        <f t="shared" si="87"/>
        <v>0</v>
      </c>
      <c r="BL118" s="78"/>
      <c r="BM118" s="78">
        <f t="shared" si="88"/>
        <v>0</v>
      </c>
      <c r="BN118" s="78">
        <f t="shared" si="89"/>
        <v>0</v>
      </c>
      <c r="BO118" s="78">
        <f t="shared" si="90"/>
        <v>0</v>
      </c>
      <c r="BP118" s="78">
        <f t="shared" si="91"/>
        <v>0</v>
      </c>
      <c r="BQ118" s="78">
        <f t="shared" si="92"/>
        <v>0</v>
      </c>
      <c r="BR118" s="78">
        <f t="shared" si="93"/>
        <v>0</v>
      </c>
      <c r="BS118" s="78">
        <f t="shared" si="94"/>
        <v>0</v>
      </c>
      <c r="BT118" s="78">
        <f t="shared" si="95"/>
        <v>0</v>
      </c>
      <c r="BU118" s="91">
        <f t="shared" si="96"/>
        <v>0</v>
      </c>
      <c r="BV118" s="91">
        <f t="shared" si="97"/>
        <v>0</v>
      </c>
      <c r="BW118" s="78"/>
      <c r="BX118" s="78"/>
      <c r="BY118" s="78">
        <f t="shared" si="98"/>
        <v>0</v>
      </c>
      <c r="BZ118" s="78">
        <f t="shared" si="99"/>
        <v>0</v>
      </c>
      <c r="CA118" s="78">
        <f t="shared" si="100"/>
        <v>0</v>
      </c>
      <c r="CB118" s="78">
        <f t="shared" si="101"/>
        <v>0</v>
      </c>
      <c r="CC118" s="78">
        <f t="shared" si="102"/>
        <v>0</v>
      </c>
      <c r="CD118" s="78">
        <f t="shared" si="103"/>
        <v>0</v>
      </c>
      <c r="CE118" s="78">
        <f t="shared" si="104"/>
        <v>0</v>
      </c>
      <c r="CF118" s="78">
        <f t="shared" si="105"/>
        <v>0</v>
      </c>
      <c r="CG118" s="78"/>
      <c r="CH118" s="92">
        <f t="shared" si="106"/>
        <v>0</v>
      </c>
      <c r="CI118" s="93">
        <f t="shared" si="107"/>
        <v>0</v>
      </c>
      <c r="CJ118" s="94">
        <f t="shared" si="108"/>
        <v>0</v>
      </c>
      <c r="CL118" s="78">
        <f t="shared" si="109"/>
        <v>0</v>
      </c>
      <c r="CM118" s="78">
        <f t="shared" si="110"/>
        <v>0</v>
      </c>
      <c r="CN118" s="78">
        <f t="shared" si="111"/>
        <v>0</v>
      </c>
      <c r="CO118" s="78">
        <f t="shared" si="112"/>
        <v>0</v>
      </c>
    </row>
    <row r="119" spans="1:93" ht="13.5" thickBot="1">
      <c r="A119" s="95"/>
      <c r="B119" s="96"/>
      <c r="C119" s="97"/>
      <c r="D119" s="98"/>
      <c r="E119" s="99"/>
      <c r="F119" s="100"/>
      <c r="G119" s="100"/>
      <c r="H119" s="100"/>
      <c r="I119" s="100"/>
      <c r="J119" s="100"/>
      <c r="K119" s="101" t="str">
        <f t="shared" si="113"/>
        <v/>
      </c>
      <c r="L119" s="102"/>
      <c r="M119" s="103"/>
      <c r="N119" s="104"/>
      <c r="O119" s="105"/>
      <c r="P119" s="106">
        <f t="shared" si="114"/>
        <v>0</v>
      </c>
      <c r="Q119" s="106">
        <f t="shared" si="115"/>
        <v>0</v>
      </c>
      <c r="R119" s="106">
        <f t="shared" si="116"/>
        <v>0</v>
      </c>
      <c r="S119" s="106">
        <f t="shared" si="117"/>
        <v>0</v>
      </c>
      <c r="T119" s="107">
        <f t="shared" si="118"/>
        <v>0</v>
      </c>
      <c r="U119" s="78"/>
      <c r="AG119" s="108"/>
      <c r="AI119" s="78">
        <f t="shared" si="62"/>
        <v>0</v>
      </c>
      <c r="AJ119" s="78">
        <f t="shared" si="63"/>
        <v>0</v>
      </c>
      <c r="AK119" s="78">
        <f t="shared" si="64"/>
        <v>0</v>
      </c>
      <c r="AL119" s="78">
        <f t="shared" si="65"/>
        <v>0</v>
      </c>
      <c r="AM119" s="78">
        <f t="shared" si="66"/>
        <v>0</v>
      </c>
      <c r="AN119" s="78">
        <f t="shared" si="67"/>
        <v>0</v>
      </c>
      <c r="AO119" s="78">
        <f t="shared" si="68"/>
        <v>0</v>
      </c>
      <c r="AP119" s="78">
        <f t="shared" si="69"/>
        <v>0</v>
      </c>
      <c r="AQ119" s="78">
        <f t="shared" si="70"/>
        <v>0</v>
      </c>
      <c r="AR119" s="78">
        <f t="shared" si="71"/>
        <v>0</v>
      </c>
      <c r="AS119" s="90">
        <f t="shared" si="72"/>
        <v>0</v>
      </c>
      <c r="AT119" s="91">
        <f t="shared" si="73"/>
        <v>0</v>
      </c>
      <c r="AV119" s="91">
        <f t="shared" si="74"/>
        <v>0</v>
      </c>
      <c r="AW119" s="78">
        <f t="shared" si="75"/>
        <v>0</v>
      </c>
      <c r="AX119" s="78">
        <f t="shared" si="76"/>
        <v>0</v>
      </c>
      <c r="AY119" s="78"/>
      <c r="AZ119" s="78">
        <f t="shared" si="77"/>
        <v>0</v>
      </c>
      <c r="BA119" s="78">
        <f t="shared" si="78"/>
        <v>0</v>
      </c>
      <c r="BB119" s="78">
        <f t="shared" si="79"/>
        <v>0</v>
      </c>
      <c r="BC119" s="78">
        <f t="shared" si="80"/>
        <v>0</v>
      </c>
      <c r="BD119" s="78">
        <f t="shared" si="81"/>
        <v>0</v>
      </c>
      <c r="BE119" s="78">
        <f t="shared" si="82"/>
        <v>0</v>
      </c>
      <c r="BF119" s="78">
        <f t="shared" si="83"/>
        <v>0</v>
      </c>
      <c r="BG119" s="78">
        <f t="shared" si="84"/>
        <v>0</v>
      </c>
      <c r="BH119" s="78">
        <f t="shared" si="85"/>
        <v>0</v>
      </c>
      <c r="BI119" s="78"/>
      <c r="BJ119" s="91">
        <f t="shared" si="86"/>
        <v>0</v>
      </c>
      <c r="BK119" s="91">
        <f t="shared" si="87"/>
        <v>0</v>
      </c>
      <c r="BL119" s="78"/>
      <c r="BM119" s="78">
        <f t="shared" si="88"/>
        <v>0</v>
      </c>
      <c r="BN119" s="78">
        <f t="shared" si="89"/>
        <v>0</v>
      </c>
      <c r="BO119" s="78">
        <f t="shared" si="90"/>
        <v>0</v>
      </c>
      <c r="BP119" s="78">
        <f t="shared" si="91"/>
        <v>0</v>
      </c>
      <c r="BQ119" s="78">
        <f t="shared" si="92"/>
        <v>0</v>
      </c>
      <c r="BR119" s="78">
        <f t="shared" si="93"/>
        <v>0</v>
      </c>
      <c r="BS119" s="78">
        <f t="shared" si="94"/>
        <v>0</v>
      </c>
      <c r="BT119" s="78">
        <f t="shared" si="95"/>
        <v>0</v>
      </c>
      <c r="BU119" s="91">
        <f t="shared" si="96"/>
        <v>0</v>
      </c>
      <c r="BV119" s="91">
        <f t="shared" si="97"/>
        <v>0</v>
      </c>
      <c r="BW119" s="78"/>
      <c r="BX119" s="78"/>
      <c r="BY119" s="78">
        <f t="shared" si="98"/>
        <v>0</v>
      </c>
      <c r="BZ119" s="78">
        <f t="shared" si="99"/>
        <v>0</v>
      </c>
      <c r="CA119" s="78">
        <f t="shared" si="100"/>
        <v>0</v>
      </c>
      <c r="CB119" s="78">
        <f t="shared" si="101"/>
        <v>0</v>
      </c>
      <c r="CC119" s="78">
        <f t="shared" si="102"/>
        <v>0</v>
      </c>
      <c r="CD119" s="78">
        <f t="shared" si="103"/>
        <v>0</v>
      </c>
      <c r="CE119" s="78">
        <f t="shared" si="104"/>
        <v>0</v>
      </c>
      <c r="CF119" s="78">
        <f t="shared" si="105"/>
        <v>0</v>
      </c>
      <c r="CG119" s="78"/>
      <c r="CH119" s="92">
        <f t="shared" si="106"/>
        <v>0</v>
      </c>
      <c r="CI119" s="93">
        <f t="shared" si="107"/>
        <v>0</v>
      </c>
      <c r="CJ119" s="94">
        <f t="shared" si="108"/>
        <v>0</v>
      </c>
      <c r="CL119" s="78">
        <f t="shared" si="109"/>
        <v>0</v>
      </c>
      <c r="CM119" s="78">
        <f t="shared" si="110"/>
        <v>0</v>
      </c>
      <c r="CN119" s="78">
        <f t="shared" si="111"/>
        <v>0</v>
      </c>
      <c r="CO119" s="78">
        <f t="shared" si="112"/>
        <v>0</v>
      </c>
    </row>
    <row r="120" spans="1:93" ht="13.5" thickBot="1">
      <c r="A120" s="95"/>
      <c r="B120" s="96"/>
      <c r="C120" s="97"/>
      <c r="D120" s="98"/>
      <c r="E120" s="99"/>
      <c r="F120" s="100"/>
      <c r="G120" s="100"/>
      <c r="H120" s="100"/>
      <c r="I120" s="100"/>
      <c r="J120" s="100"/>
      <c r="K120" s="101" t="str">
        <f t="shared" si="113"/>
        <v/>
      </c>
      <c r="L120" s="102"/>
      <c r="M120" s="103"/>
      <c r="N120" s="104"/>
      <c r="O120" s="105"/>
      <c r="P120" s="106">
        <f t="shared" si="114"/>
        <v>0</v>
      </c>
      <c r="Q120" s="106">
        <f t="shared" si="115"/>
        <v>0</v>
      </c>
      <c r="R120" s="106">
        <f t="shared" si="116"/>
        <v>0</v>
      </c>
      <c r="S120" s="106">
        <f t="shared" si="117"/>
        <v>0</v>
      </c>
      <c r="T120" s="107">
        <f t="shared" si="118"/>
        <v>0</v>
      </c>
      <c r="U120" s="78"/>
      <c r="AG120" s="108"/>
      <c r="AI120" s="78">
        <f t="shared" si="62"/>
        <v>0</v>
      </c>
      <c r="AJ120" s="78">
        <f t="shared" si="63"/>
        <v>0</v>
      </c>
      <c r="AK120" s="78">
        <f t="shared" si="64"/>
        <v>0</v>
      </c>
      <c r="AL120" s="78">
        <f t="shared" si="65"/>
        <v>0</v>
      </c>
      <c r="AM120" s="78">
        <f t="shared" si="66"/>
        <v>0</v>
      </c>
      <c r="AN120" s="78">
        <f t="shared" si="67"/>
        <v>0</v>
      </c>
      <c r="AO120" s="78">
        <f t="shared" si="68"/>
        <v>0</v>
      </c>
      <c r="AP120" s="78">
        <f t="shared" si="69"/>
        <v>0</v>
      </c>
      <c r="AQ120" s="78">
        <f t="shared" si="70"/>
        <v>0</v>
      </c>
      <c r="AR120" s="78">
        <f t="shared" si="71"/>
        <v>0</v>
      </c>
      <c r="AS120" s="90">
        <f t="shared" si="72"/>
        <v>0</v>
      </c>
      <c r="AT120" s="91">
        <f t="shared" si="73"/>
        <v>0</v>
      </c>
      <c r="AV120" s="91">
        <f t="shared" si="74"/>
        <v>0</v>
      </c>
      <c r="AW120" s="78">
        <f t="shared" si="75"/>
        <v>0</v>
      </c>
      <c r="AX120" s="78">
        <f t="shared" si="76"/>
        <v>0</v>
      </c>
      <c r="AY120" s="78"/>
      <c r="AZ120" s="78">
        <f t="shared" si="77"/>
        <v>0</v>
      </c>
      <c r="BA120" s="78">
        <f t="shared" si="78"/>
        <v>0</v>
      </c>
      <c r="BB120" s="78">
        <f t="shared" si="79"/>
        <v>0</v>
      </c>
      <c r="BC120" s="78">
        <f t="shared" si="80"/>
        <v>0</v>
      </c>
      <c r="BD120" s="78">
        <f t="shared" si="81"/>
        <v>0</v>
      </c>
      <c r="BE120" s="78">
        <f t="shared" si="82"/>
        <v>0</v>
      </c>
      <c r="BF120" s="78">
        <f t="shared" si="83"/>
        <v>0</v>
      </c>
      <c r="BG120" s="78">
        <f t="shared" si="84"/>
        <v>0</v>
      </c>
      <c r="BH120" s="78">
        <f t="shared" si="85"/>
        <v>0</v>
      </c>
      <c r="BI120" s="78"/>
      <c r="BJ120" s="91">
        <f t="shared" si="86"/>
        <v>0</v>
      </c>
      <c r="BK120" s="91">
        <f t="shared" si="87"/>
        <v>0</v>
      </c>
      <c r="BL120" s="78"/>
      <c r="BM120" s="78">
        <f t="shared" si="88"/>
        <v>0</v>
      </c>
      <c r="BN120" s="78">
        <f t="shared" si="89"/>
        <v>0</v>
      </c>
      <c r="BO120" s="78">
        <f t="shared" si="90"/>
        <v>0</v>
      </c>
      <c r="BP120" s="78">
        <f t="shared" si="91"/>
        <v>0</v>
      </c>
      <c r="BQ120" s="78">
        <f t="shared" si="92"/>
        <v>0</v>
      </c>
      <c r="BR120" s="78">
        <f t="shared" si="93"/>
        <v>0</v>
      </c>
      <c r="BS120" s="78">
        <f t="shared" si="94"/>
        <v>0</v>
      </c>
      <c r="BT120" s="78">
        <f t="shared" si="95"/>
        <v>0</v>
      </c>
      <c r="BU120" s="91">
        <f t="shared" si="96"/>
        <v>0</v>
      </c>
      <c r="BV120" s="91">
        <f t="shared" si="97"/>
        <v>0</v>
      </c>
      <c r="BW120" s="78"/>
      <c r="BX120" s="78"/>
      <c r="BY120" s="78">
        <f t="shared" si="98"/>
        <v>0</v>
      </c>
      <c r="BZ120" s="78">
        <f t="shared" si="99"/>
        <v>0</v>
      </c>
      <c r="CA120" s="78">
        <f t="shared" si="100"/>
        <v>0</v>
      </c>
      <c r="CB120" s="78">
        <f t="shared" si="101"/>
        <v>0</v>
      </c>
      <c r="CC120" s="78">
        <f t="shared" si="102"/>
        <v>0</v>
      </c>
      <c r="CD120" s="78">
        <f t="shared" si="103"/>
        <v>0</v>
      </c>
      <c r="CE120" s="78">
        <f t="shared" si="104"/>
        <v>0</v>
      </c>
      <c r="CF120" s="78">
        <f t="shared" si="105"/>
        <v>0</v>
      </c>
      <c r="CG120" s="78"/>
      <c r="CH120" s="92">
        <f t="shared" si="106"/>
        <v>0</v>
      </c>
      <c r="CI120" s="93">
        <f t="shared" si="107"/>
        <v>0</v>
      </c>
      <c r="CJ120" s="94">
        <f t="shared" si="108"/>
        <v>0</v>
      </c>
      <c r="CL120" s="78">
        <f t="shared" si="109"/>
        <v>0</v>
      </c>
      <c r="CM120" s="78">
        <f t="shared" si="110"/>
        <v>0</v>
      </c>
      <c r="CN120" s="78">
        <f t="shared" si="111"/>
        <v>0</v>
      </c>
      <c r="CO120" s="78">
        <f t="shared" si="112"/>
        <v>0</v>
      </c>
    </row>
    <row r="121" spans="1:93" ht="13.5" thickBot="1">
      <c r="A121" s="95"/>
      <c r="B121" s="96"/>
      <c r="C121" s="97"/>
      <c r="D121" s="98"/>
      <c r="E121" s="99"/>
      <c r="F121" s="100"/>
      <c r="G121" s="100"/>
      <c r="H121" s="100"/>
      <c r="I121" s="100"/>
      <c r="J121" s="100"/>
      <c r="K121" s="101" t="str">
        <f t="shared" si="113"/>
        <v/>
      </c>
      <c r="L121" s="102"/>
      <c r="M121" s="103"/>
      <c r="N121" s="104"/>
      <c r="O121" s="105"/>
      <c r="P121" s="106">
        <f t="shared" si="114"/>
        <v>0</v>
      </c>
      <c r="Q121" s="106">
        <f t="shared" si="115"/>
        <v>0</v>
      </c>
      <c r="R121" s="106">
        <f t="shared" si="116"/>
        <v>0</v>
      </c>
      <c r="S121" s="106">
        <f t="shared" si="117"/>
        <v>0</v>
      </c>
      <c r="T121" s="107">
        <f t="shared" si="118"/>
        <v>0</v>
      </c>
      <c r="U121" s="78"/>
      <c r="AG121" s="108"/>
      <c r="AI121" s="78">
        <f t="shared" si="62"/>
        <v>0</v>
      </c>
      <c r="AJ121" s="78">
        <f t="shared" si="63"/>
        <v>0</v>
      </c>
      <c r="AK121" s="78">
        <f t="shared" si="64"/>
        <v>0</v>
      </c>
      <c r="AL121" s="78">
        <f t="shared" si="65"/>
        <v>0</v>
      </c>
      <c r="AM121" s="78">
        <f t="shared" si="66"/>
        <v>0</v>
      </c>
      <c r="AN121" s="78">
        <f t="shared" si="67"/>
        <v>0</v>
      </c>
      <c r="AO121" s="78">
        <f t="shared" si="68"/>
        <v>0</v>
      </c>
      <c r="AP121" s="78">
        <f t="shared" si="69"/>
        <v>0</v>
      </c>
      <c r="AQ121" s="78">
        <f t="shared" si="70"/>
        <v>0</v>
      </c>
      <c r="AR121" s="78">
        <f t="shared" si="71"/>
        <v>0</v>
      </c>
      <c r="AS121" s="90">
        <f t="shared" si="72"/>
        <v>0</v>
      </c>
      <c r="AT121" s="91">
        <f t="shared" si="73"/>
        <v>0</v>
      </c>
      <c r="AV121" s="91">
        <f t="shared" si="74"/>
        <v>0</v>
      </c>
      <c r="AW121" s="78">
        <f t="shared" si="75"/>
        <v>0</v>
      </c>
      <c r="AX121" s="78">
        <f t="shared" si="76"/>
        <v>0</v>
      </c>
      <c r="AY121" s="78"/>
      <c r="AZ121" s="78">
        <f t="shared" si="77"/>
        <v>0</v>
      </c>
      <c r="BA121" s="78">
        <f t="shared" si="78"/>
        <v>0</v>
      </c>
      <c r="BB121" s="78">
        <f t="shared" si="79"/>
        <v>0</v>
      </c>
      <c r="BC121" s="78">
        <f t="shared" si="80"/>
        <v>0</v>
      </c>
      <c r="BD121" s="78">
        <f t="shared" si="81"/>
        <v>0</v>
      </c>
      <c r="BE121" s="78">
        <f t="shared" si="82"/>
        <v>0</v>
      </c>
      <c r="BF121" s="78">
        <f t="shared" si="83"/>
        <v>0</v>
      </c>
      <c r="BG121" s="78">
        <f t="shared" si="84"/>
        <v>0</v>
      </c>
      <c r="BH121" s="78">
        <f t="shared" si="85"/>
        <v>0</v>
      </c>
      <c r="BI121" s="78"/>
      <c r="BJ121" s="91">
        <f t="shared" si="86"/>
        <v>0</v>
      </c>
      <c r="BK121" s="91">
        <f t="shared" si="87"/>
        <v>0</v>
      </c>
      <c r="BL121" s="78"/>
      <c r="BM121" s="78">
        <f t="shared" si="88"/>
        <v>0</v>
      </c>
      <c r="BN121" s="78">
        <f t="shared" si="89"/>
        <v>0</v>
      </c>
      <c r="BO121" s="78">
        <f t="shared" si="90"/>
        <v>0</v>
      </c>
      <c r="BP121" s="78">
        <f t="shared" si="91"/>
        <v>0</v>
      </c>
      <c r="BQ121" s="78">
        <f t="shared" si="92"/>
        <v>0</v>
      </c>
      <c r="BR121" s="78">
        <f t="shared" si="93"/>
        <v>0</v>
      </c>
      <c r="BS121" s="78">
        <f t="shared" si="94"/>
        <v>0</v>
      </c>
      <c r="BT121" s="78">
        <f t="shared" si="95"/>
        <v>0</v>
      </c>
      <c r="BU121" s="91">
        <f t="shared" si="96"/>
        <v>0</v>
      </c>
      <c r="BV121" s="91">
        <f t="shared" si="97"/>
        <v>0</v>
      </c>
      <c r="BW121" s="78"/>
      <c r="BX121" s="78"/>
      <c r="BY121" s="78">
        <f t="shared" si="98"/>
        <v>0</v>
      </c>
      <c r="BZ121" s="78">
        <f t="shared" si="99"/>
        <v>0</v>
      </c>
      <c r="CA121" s="78">
        <f t="shared" si="100"/>
        <v>0</v>
      </c>
      <c r="CB121" s="78">
        <f t="shared" si="101"/>
        <v>0</v>
      </c>
      <c r="CC121" s="78">
        <f t="shared" si="102"/>
        <v>0</v>
      </c>
      <c r="CD121" s="78">
        <f t="shared" si="103"/>
        <v>0</v>
      </c>
      <c r="CE121" s="78">
        <f t="shared" si="104"/>
        <v>0</v>
      </c>
      <c r="CF121" s="78">
        <f t="shared" si="105"/>
        <v>0</v>
      </c>
      <c r="CG121" s="78"/>
      <c r="CH121" s="92">
        <f t="shared" si="106"/>
        <v>0</v>
      </c>
      <c r="CI121" s="93">
        <f t="shared" si="107"/>
        <v>0</v>
      </c>
      <c r="CJ121" s="94">
        <f t="shared" si="108"/>
        <v>0</v>
      </c>
      <c r="CL121" s="78">
        <f t="shared" si="109"/>
        <v>0</v>
      </c>
      <c r="CM121" s="78">
        <f t="shared" si="110"/>
        <v>0</v>
      </c>
      <c r="CN121" s="78">
        <f t="shared" si="111"/>
        <v>0</v>
      </c>
      <c r="CO121" s="78">
        <f t="shared" si="112"/>
        <v>0</v>
      </c>
    </row>
    <row r="122" spans="1:93" ht="13.5" thickBot="1">
      <c r="A122" s="95"/>
      <c r="B122" s="96"/>
      <c r="C122" s="97"/>
      <c r="D122" s="98"/>
      <c r="E122" s="99"/>
      <c r="F122" s="100"/>
      <c r="G122" s="100"/>
      <c r="H122" s="100"/>
      <c r="I122" s="100"/>
      <c r="J122" s="100"/>
      <c r="K122" s="101" t="str">
        <f t="shared" si="113"/>
        <v/>
      </c>
      <c r="L122" s="102"/>
      <c r="M122" s="103"/>
      <c r="N122" s="104"/>
      <c r="O122" s="105"/>
      <c r="P122" s="106">
        <f t="shared" si="114"/>
        <v>0</v>
      </c>
      <c r="Q122" s="106">
        <f t="shared" si="115"/>
        <v>0</v>
      </c>
      <c r="R122" s="106">
        <f t="shared" si="116"/>
        <v>0</v>
      </c>
      <c r="S122" s="106">
        <f t="shared" si="117"/>
        <v>0</v>
      </c>
      <c r="T122" s="107">
        <f t="shared" si="118"/>
        <v>0</v>
      </c>
      <c r="U122" s="78"/>
      <c r="AG122" s="108"/>
      <c r="AI122" s="78">
        <f t="shared" si="62"/>
        <v>0</v>
      </c>
      <c r="AJ122" s="78">
        <f t="shared" si="63"/>
        <v>0</v>
      </c>
      <c r="AK122" s="78">
        <f t="shared" si="64"/>
        <v>0</v>
      </c>
      <c r="AL122" s="78">
        <f t="shared" si="65"/>
        <v>0</v>
      </c>
      <c r="AM122" s="78">
        <f t="shared" si="66"/>
        <v>0</v>
      </c>
      <c r="AN122" s="78">
        <f t="shared" si="67"/>
        <v>0</v>
      </c>
      <c r="AO122" s="78">
        <f t="shared" si="68"/>
        <v>0</v>
      </c>
      <c r="AP122" s="78">
        <f t="shared" si="69"/>
        <v>0</v>
      </c>
      <c r="AQ122" s="78">
        <f t="shared" si="70"/>
        <v>0</v>
      </c>
      <c r="AR122" s="78">
        <f t="shared" si="71"/>
        <v>0</v>
      </c>
      <c r="AS122" s="90">
        <f t="shared" si="72"/>
        <v>0</v>
      </c>
      <c r="AT122" s="91">
        <f t="shared" si="73"/>
        <v>0</v>
      </c>
      <c r="AV122" s="91">
        <f t="shared" si="74"/>
        <v>0</v>
      </c>
      <c r="AW122" s="78">
        <f t="shared" si="75"/>
        <v>0</v>
      </c>
      <c r="AX122" s="78">
        <f t="shared" si="76"/>
        <v>0</v>
      </c>
      <c r="AY122" s="78"/>
      <c r="AZ122" s="78">
        <f t="shared" si="77"/>
        <v>0</v>
      </c>
      <c r="BA122" s="78">
        <f t="shared" si="78"/>
        <v>0</v>
      </c>
      <c r="BB122" s="78">
        <f t="shared" si="79"/>
        <v>0</v>
      </c>
      <c r="BC122" s="78">
        <f t="shared" si="80"/>
        <v>0</v>
      </c>
      <c r="BD122" s="78">
        <f t="shared" si="81"/>
        <v>0</v>
      </c>
      <c r="BE122" s="78">
        <f t="shared" si="82"/>
        <v>0</v>
      </c>
      <c r="BF122" s="78">
        <f t="shared" si="83"/>
        <v>0</v>
      </c>
      <c r="BG122" s="78">
        <f t="shared" si="84"/>
        <v>0</v>
      </c>
      <c r="BH122" s="78">
        <f t="shared" si="85"/>
        <v>0</v>
      </c>
      <c r="BI122" s="78"/>
      <c r="BJ122" s="91">
        <f t="shared" si="86"/>
        <v>0</v>
      </c>
      <c r="BK122" s="91">
        <f t="shared" si="87"/>
        <v>0</v>
      </c>
      <c r="BL122" s="78"/>
      <c r="BM122" s="78">
        <f t="shared" si="88"/>
        <v>0</v>
      </c>
      <c r="BN122" s="78">
        <f t="shared" si="89"/>
        <v>0</v>
      </c>
      <c r="BO122" s="78">
        <f t="shared" si="90"/>
        <v>0</v>
      </c>
      <c r="BP122" s="78">
        <f t="shared" si="91"/>
        <v>0</v>
      </c>
      <c r="BQ122" s="78">
        <f t="shared" si="92"/>
        <v>0</v>
      </c>
      <c r="BR122" s="78">
        <f t="shared" si="93"/>
        <v>0</v>
      </c>
      <c r="BS122" s="78">
        <f t="shared" si="94"/>
        <v>0</v>
      </c>
      <c r="BT122" s="78">
        <f t="shared" si="95"/>
        <v>0</v>
      </c>
      <c r="BU122" s="91">
        <f t="shared" si="96"/>
        <v>0</v>
      </c>
      <c r="BV122" s="91">
        <f t="shared" si="97"/>
        <v>0</v>
      </c>
      <c r="BW122" s="78"/>
      <c r="BX122" s="78"/>
      <c r="BY122" s="78">
        <f t="shared" si="98"/>
        <v>0</v>
      </c>
      <c r="BZ122" s="78">
        <f t="shared" si="99"/>
        <v>0</v>
      </c>
      <c r="CA122" s="78">
        <f t="shared" si="100"/>
        <v>0</v>
      </c>
      <c r="CB122" s="78">
        <f t="shared" si="101"/>
        <v>0</v>
      </c>
      <c r="CC122" s="78">
        <f t="shared" si="102"/>
        <v>0</v>
      </c>
      <c r="CD122" s="78">
        <f t="shared" si="103"/>
        <v>0</v>
      </c>
      <c r="CE122" s="78">
        <f t="shared" si="104"/>
        <v>0</v>
      </c>
      <c r="CF122" s="78">
        <f t="shared" si="105"/>
        <v>0</v>
      </c>
      <c r="CG122" s="78"/>
      <c r="CH122" s="92">
        <f t="shared" si="106"/>
        <v>0</v>
      </c>
      <c r="CI122" s="93">
        <f t="shared" si="107"/>
        <v>0</v>
      </c>
      <c r="CJ122" s="94">
        <f t="shared" si="108"/>
        <v>0</v>
      </c>
      <c r="CL122" s="78">
        <f t="shared" si="109"/>
        <v>0</v>
      </c>
      <c r="CM122" s="78">
        <f t="shared" si="110"/>
        <v>0</v>
      </c>
      <c r="CN122" s="78">
        <f t="shared" si="111"/>
        <v>0</v>
      </c>
      <c r="CO122" s="78">
        <f t="shared" si="112"/>
        <v>0</v>
      </c>
    </row>
    <row r="123" spans="1:93" ht="13.5" thickBot="1">
      <c r="A123" s="95"/>
      <c r="B123" s="96"/>
      <c r="C123" s="97"/>
      <c r="D123" s="98"/>
      <c r="E123" s="99"/>
      <c r="F123" s="100"/>
      <c r="G123" s="100"/>
      <c r="H123" s="100"/>
      <c r="I123" s="100"/>
      <c r="J123" s="100"/>
      <c r="K123" s="101" t="str">
        <f t="shared" si="113"/>
        <v/>
      </c>
      <c r="L123" s="102"/>
      <c r="M123" s="103"/>
      <c r="N123" s="104"/>
      <c r="O123" s="105"/>
      <c r="P123" s="106">
        <f t="shared" si="114"/>
        <v>0</v>
      </c>
      <c r="Q123" s="106">
        <f t="shared" si="115"/>
        <v>0</v>
      </c>
      <c r="R123" s="106">
        <f t="shared" si="116"/>
        <v>0</v>
      </c>
      <c r="S123" s="106">
        <f t="shared" si="117"/>
        <v>0</v>
      </c>
      <c r="T123" s="107">
        <f t="shared" si="118"/>
        <v>0</v>
      </c>
      <c r="U123" s="78"/>
      <c r="AG123" s="108"/>
      <c r="AI123" s="78">
        <f t="shared" si="62"/>
        <v>0</v>
      </c>
      <c r="AJ123" s="78">
        <f t="shared" si="63"/>
        <v>0</v>
      </c>
      <c r="AK123" s="78">
        <f t="shared" si="64"/>
        <v>0</v>
      </c>
      <c r="AL123" s="78">
        <f t="shared" si="65"/>
        <v>0</v>
      </c>
      <c r="AM123" s="78">
        <f t="shared" si="66"/>
        <v>0</v>
      </c>
      <c r="AN123" s="78">
        <f t="shared" si="67"/>
        <v>0</v>
      </c>
      <c r="AO123" s="78">
        <f t="shared" si="68"/>
        <v>0</v>
      </c>
      <c r="AP123" s="78">
        <f t="shared" si="69"/>
        <v>0</v>
      </c>
      <c r="AQ123" s="78">
        <f t="shared" si="70"/>
        <v>0</v>
      </c>
      <c r="AR123" s="78">
        <f t="shared" si="71"/>
        <v>0</v>
      </c>
      <c r="AS123" s="90">
        <f t="shared" si="72"/>
        <v>0</v>
      </c>
      <c r="AT123" s="91">
        <f t="shared" si="73"/>
        <v>0</v>
      </c>
      <c r="AV123" s="91">
        <f t="shared" si="74"/>
        <v>0</v>
      </c>
      <c r="AW123" s="78">
        <f t="shared" si="75"/>
        <v>0</v>
      </c>
      <c r="AX123" s="78">
        <f t="shared" si="76"/>
        <v>0</v>
      </c>
      <c r="AY123" s="78"/>
      <c r="AZ123" s="78">
        <f t="shared" si="77"/>
        <v>0</v>
      </c>
      <c r="BA123" s="78">
        <f t="shared" si="78"/>
        <v>0</v>
      </c>
      <c r="BB123" s="78">
        <f t="shared" si="79"/>
        <v>0</v>
      </c>
      <c r="BC123" s="78">
        <f t="shared" si="80"/>
        <v>0</v>
      </c>
      <c r="BD123" s="78">
        <f t="shared" si="81"/>
        <v>0</v>
      </c>
      <c r="BE123" s="78">
        <f t="shared" si="82"/>
        <v>0</v>
      </c>
      <c r="BF123" s="78">
        <f t="shared" si="83"/>
        <v>0</v>
      </c>
      <c r="BG123" s="78">
        <f t="shared" si="84"/>
        <v>0</v>
      </c>
      <c r="BH123" s="78">
        <f t="shared" si="85"/>
        <v>0</v>
      </c>
      <c r="BI123" s="78"/>
      <c r="BJ123" s="91">
        <f t="shared" si="86"/>
        <v>0</v>
      </c>
      <c r="BK123" s="91">
        <f t="shared" si="87"/>
        <v>0</v>
      </c>
      <c r="BL123" s="78"/>
      <c r="BM123" s="78">
        <f t="shared" si="88"/>
        <v>0</v>
      </c>
      <c r="BN123" s="78">
        <f t="shared" si="89"/>
        <v>0</v>
      </c>
      <c r="BO123" s="78">
        <f t="shared" si="90"/>
        <v>0</v>
      </c>
      <c r="BP123" s="78">
        <f t="shared" si="91"/>
        <v>0</v>
      </c>
      <c r="BQ123" s="78">
        <f t="shared" si="92"/>
        <v>0</v>
      </c>
      <c r="BR123" s="78">
        <f t="shared" si="93"/>
        <v>0</v>
      </c>
      <c r="BS123" s="78">
        <f t="shared" si="94"/>
        <v>0</v>
      </c>
      <c r="BT123" s="78">
        <f t="shared" si="95"/>
        <v>0</v>
      </c>
      <c r="BU123" s="91">
        <f t="shared" si="96"/>
        <v>0</v>
      </c>
      <c r="BV123" s="91">
        <f t="shared" si="97"/>
        <v>0</v>
      </c>
      <c r="BW123" s="78"/>
      <c r="BX123" s="78"/>
      <c r="BY123" s="78">
        <f t="shared" si="98"/>
        <v>0</v>
      </c>
      <c r="BZ123" s="78">
        <f t="shared" si="99"/>
        <v>0</v>
      </c>
      <c r="CA123" s="78">
        <f t="shared" si="100"/>
        <v>0</v>
      </c>
      <c r="CB123" s="78">
        <f t="shared" si="101"/>
        <v>0</v>
      </c>
      <c r="CC123" s="78">
        <f t="shared" si="102"/>
        <v>0</v>
      </c>
      <c r="CD123" s="78">
        <f t="shared" si="103"/>
        <v>0</v>
      </c>
      <c r="CE123" s="78">
        <f t="shared" si="104"/>
        <v>0</v>
      </c>
      <c r="CF123" s="78">
        <f t="shared" si="105"/>
        <v>0</v>
      </c>
      <c r="CG123" s="78"/>
      <c r="CH123" s="92">
        <f t="shared" si="106"/>
        <v>0</v>
      </c>
      <c r="CI123" s="93">
        <f t="shared" si="107"/>
        <v>0</v>
      </c>
      <c r="CJ123" s="94">
        <f t="shared" si="108"/>
        <v>0</v>
      </c>
      <c r="CL123" s="78">
        <f t="shared" si="109"/>
        <v>0</v>
      </c>
      <c r="CM123" s="78">
        <f t="shared" si="110"/>
        <v>0</v>
      </c>
      <c r="CN123" s="78">
        <f t="shared" si="111"/>
        <v>0</v>
      </c>
      <c r="CO123" s="78">
        <f t="shared" si="112"/>
        <v>0</v>
      </c>
    </row>
    <row r="124" spans="1:93" ht="13.5" thickBot="1">
      <c r="A124" s="95"/>
      <c r="B124" s="96"/>
      <c r="C124" s="97"/>
      <c r="D124" s="98"/>
      <c r="E124" s="99"/>
      <c r="F124" s="100"/>
      <c r="G124" s="100"/>
      <c r="H124" s="100"/>
      <c r="I124" s="100"/>
      <c r="J124" s="100"/>
      <c r="K124" s="101" t="str">
        <f t="shared" si="113"/>
        <v/>
      </c>
      <c r="L124" s="102"/>
      <c r="M124" s="103"/>
      <c r="N124" s="104"/>
      <c r="O124" s="105"/>
      <c r="P124" s="106">
        <f t="shared" si="114"/>
        <v>0</v>
      </c>
      <c r="Q124" s="106">
        <f t="shared" si="115"/>
        <v>0</v>
      </c>
      <c r="R124" s="106">
        <f t="shared" si="116"/>
        <v>0</v>
      </c>
      <c r="S124" s="106">
        <f t="shared" si="117"/>
        <v>0</v>
      </c>
      <c r="T124" s="107">
        <f t="shared" si="118"/>
        <v>0</v>
      </c>
      <c r="U124" s="78"/>
      <c r="AG124" s="108"/>
      <c r="AI124" s="78">
        <f t="shared" si="62"/>
        <v>0</v>
      </c>
      <c r="AJ124" s="78">
        <f t="shared" si="63"/>
        <v>0</v>
      </c>
      <c r="AK124" s="78">
        <f t="shared" si="64"/>
        <v>0</v>
      </c>
      <c r="AL124" s="78">
        <f t="shared" si="65"/>
        <v>0</v>
      </c>
      <c r="AM124" s="78">
        <f t="shared" si="66"/>
        <v>0</v>
      </c>
      <c r="AN124" s="78">
        <f t="shared" si="67"/>
        <v>0</v>
      </c>
      <c r="AO124" s="78">
        <f t="shared" si="68"/>
        <v>0</v>
      </c>
      <c r="AP124" s="78">
        <f t="shared" si="69"/>
        <v>0</v>
      </c>
      <c r="AQ124" s="78">
        <f t="shared" si="70"/>
        <v>0</v>
      </c>
      <c r="AR124" s="78">
        <f t="shared" si="71"/>
        <v>0</v>
      </c>
      <c r="AS124" s="90">
        <f t="shared" si="72"/>
        <v>0</v>
      </c>
      <c r="AT124" s="91">
        <f t="shared" si="73"/>
        <v>0</v>
      </c>
      <c r="AV124" s="91">
        <f t="shared" si="74"/>
        <v>0</v>
      </c>
      <c r="AW124" s="78">
        <f t="shared" si="75"/>
        <v>0</v>
      </c>
      <c r="AX124" s="78">
        <f t="shared" si="76"/>
        <v>0</v>
      </c>
      <c r="AY124" s="78"/>
      <c r="AZ124" s="78">
        <f t="shared" si="77"/>
        <v>0</v>
      </c>
      <c r="BA124" s="78">
        <f t="shared" si="78"/>
        <v>0</v>
      </c>
      <c r="BB124" s="78">
        <f t="shared" si="79"/>
        <v>0</v>
      </c>
      <c r="BC124" s="78">
        <f t="shared" si="80"/>
        <v>0</v>
      </c>
      <c r="BD124" s="78">
        <f t="shared" si="81"/>
        <v>0</v>
      </c>
      <c r="BE124" s="78">
        <f t="shared" si="82"/>
        <v>0</v>
      </c>
      <c r="BF124" s="78">
        <f t="shared" si="83"/>
        <v>0</v>
      </c>
      <c r="BG124" s="78">
        <f t="shared" si="84"/>
        <v>0</v>
      </c>
      <c r="BH124" s="78">
        <f t="shared" si="85"/>
        <v>0</v>
      </c>
      <c r="BI124" s="78"/>
      <c r="BJ124" s="91">
        <f t="shared" si="86"/>
        <v>0</v>
      </c>
      <c r="BK124" s="91">
        <f t="shared" si="87"/>
        <v>0</v>
      </c>
      <c r="BL124" s="78"/>
      <c r="BM124" s="78">
        <f t="shared" si="88"/>
        <v>0</v>
      </c>
      <c r="BN124" s="78">
        <f t="shared" si="89"/>
        <v>0</v>
      </c>
      <c r="BO124" s="78">
        <f t="shared" si="90"/>
        <v>0</v>
      </c>
      <c r="BP124" s="78">
        <f t="shared" si="91"/>
        <v>0</v>
      </c>
      <c r="BQ124" s="78">
        <f t="shared" si="92"/>
        <v>0</v>
      </c>
      <c r="BR124" s="78">
        <f t="shared" si="93"/>
        <v>0</v>
      </c>
      <c r="BS124" s="78">
        <f t="shared" si="94"/>
        <v>0</v>
      </c>
      <c r="BT124" s="78">
        <f t="shared" si="95"/>
        <v>0</v>
      </c>
      <c r="BU124" s="91">
        <f t="shared" si="96"/>
        <v>0</v>
      </c>
      <c r="BV124" s="91">
        <f t="shared" si="97"/>
        <v>0</v>
      </c>
      <c r="BW124" s="78"/>
      <c r="BX124" s="78"/>
      <c r="BY124" s="78">
        <f t="shared" si="98"/>
        <v>0</v>
      </c>
      <c r="BZ124" s="78">
        <f t="shared" si="99"/>
        <v>0</v>
      </c>
      <c r="CA124" s="78">
        <f t="shared" si="100"/>
        <v>0</v>
      </c>
      <c r="CB124" s="78">
        <f t="shared" si="101"/>
        <v>0</v>
      </c>
      <c r="CC124" s="78">
        <f t="shared" si="102"/>
        <v>0</v>
      </c>
      <c r="CD124" s="78">
        <f t="shared" si="103"/>
        <v>0</v>
      </c>
      <c r="CE124" s="78">
        <f t="shared" si="104"/>
        <v>0</v>
      </c>
      <c r="CF124" s="78">
        <f t="shared" si="105"/>
        <v>0</v>
      </c>
      <c r="CG124" s="78"/>
      <c r="CH124" s="92">
        <f t="shared" si="106"/>
        <v>0</v>
      </c>
      <c r="CI124" s="93">
        <f t="shared" si="107"/>
        <v>0</v>
      </c>
      <c r="CJ124" s="94">
        <f t="shared" si="108"/>
        <v>0</v>
      </c>
      <c r="CL124" s="78">
        <f t="shared" si="109"/>
        <v>0</v>
      </c>
      <c r="CM124" s="78">
        <f t="shared" si="110"/>
        <v>0</v>
      </c>
      <c r="CN124" s="78">
        <f t="shared" si="111"/>
        <v>0</v>
      </c>
      <c r="CO124" s="78">
        <f t="shared" si="112"/>
        <v>0</v>
      </c>
    </row>
    <row r="125" spans="1:93" ht="13.5" thickBot="1">
      <c r="A125" s="95"/>
      <c r="B125" s="96"/>
      <c r="C125" s="97"/>
      <c r="D125" s="98"/>
      <c r="E125" s="99"/>
      <c r="F125" s="100"/>
      <c r="G125" s="100"/>
      <c r="H125" s="100"/>
      <c r="I125" s="100"/>
      <c r="J125" s="100"/>
      <c r="K125" s="101" t="str">
        <f t="shared" si="113"/>
        <v/>
      </c>
      <c r="L125" s="102"/>
      <c r="M125" s="103"/>
      <c r="N125" s="104"/>
      <c r="O125" s="105"/>
      <c r="P125" s="106">
        <f t="shared" si="114"/>
        <v>0</v>
      </c>
      <c r="Q125" s="106">
        <f t="shared" si="115"/>
        <v>0</v>
      </c>
      <c r="R125" s="106">
        <f t="shared" si="116"/>
        <v>0</v>
      </c>
      <c r="S125" s="106">
        <f t="shared" si="117"/>
        <v>0</v>
      </c>
      <c r="T125" s="107">
        <f t="shared" si="118"/>
        <v>0</v>
      </c>
      <c r="U125" s="78"/>
      <c r="AG125" s="108"/>
      <c r="AI125" s="78">
        <f t="shared" si="62"/>
        <v>0</v>
      </c>
      <c r="AJ125" s="78">
        <f t="shared" si="63"/>
        <v>0</v>
      </c>
      <c r="AK125" s="78">
        <f t="shared" si="64"/>
        <v>0</v>
      </c>
      <c r="AL125" s="78">
        <f t="shared" si="65"/>
        <v>0</v>
      </c>
      <c r="AM125" s="78">
        <f t="shared" si="66"/>
        <v>0</v>
      </c>
      <c r="AN125" s="78">
        <f t="shared" si="67"/>
        <v>0</v>
      </c>
      <c r="AO125" s="78">
        <f t="shared" si="68"/>
        <v>0</v>
      </c>
      <c r="AP125" s="78">
        <f t="shared" si="69"/>
        <v>0</v>
      </c>
      <c r="AQ125" s="78">
        <f t="shared" si="70"/>
        <v>0</v>
      </c>
      <c r="AR125" s="78">
        <f t="shared" si="71"/>
        <v>0</v>
      </c>
      <c r="AS125" s="90">
        <f t="shared" si="72"/>
        <v>0</v>
      </c>
      <c r="AT125" s="91">
        <f t="shared" si="73"/>
        <v>0</v>
      </c>
      <c r="AV125" s="91">
        <f t="shared" si="74"/>
        <v>0</v>
      </c>
      <c r="AW125" s="78">
        <f t="shared" si="75"/>
        <v>0</v>
      </c>
      <c r="AX125" s="78">
        <f t="shared" si="76"/>
        <v>0</v>
      </c>
      <c r="AY125" s="78"/>
      <c r="AZ125" s="78">
        <f t="shared" si="77"/>
        <v>0</v>
      </c>
      <c r="BA125" s="78">
        <f t="shared" si="78"/>
        <v>0</v>
      </c>
      <c r="BB125" s="78">
        <f t="shared" si="79"/>
        <v>0</v>
      </c>
      <c r="BC125" s="78">
        <f t="shared" si="80"/>
        <v>0</v>
      </c>
      <c r="BD125" s="78">
        <f t="shared" si="81"/>
        <v>0</v>
      </c>
      <c r="BE125" s="78">
        <f t="shared" si="82"/>
        <v>0</v>
      </c>
      <c r="BF125" s="78">
        <f t="shared" si="83"/>
        <v>0</v>
      </c>
      <c r="BG125" s="78">
        <f t="shared" si="84"/>
        <v>0</v>
      </c>
      <c r="BH125" s="78">
        <f t="shared" si="85"/>
        <v>0</v>
      </c>
      <c r="BI125" s="78"/>
      <c r="BJ125" s="91">
        <f t="shared" si="86"/>
        <v>0</v>
      </c>
      <c r="BK125" s="91">
        <f t="shared" si="87"/>
        <v>0</v>
      </c>
      <c r="BL125" s="78"/>
      <c r="BM125" s="78">
        <f t="shared" si="88"/>
        <v>0</v>
      </c>
      <c r="BN125" s="78">
        <f t="shared" si="89"/>
        <v>0</v>
      </c>
      <c r="BO125" s="78">
        <f t="shared" si="90"/>
        <v>0</v>
      </c>
      <c r="BP125" s="78">
        <f t="shared" si="91"/>
        <v>0</v>
      </c>
      <c r="BQ125" s="78">
        <f t="shared" si="92"/>
        <v>0</v>
      </c>
      <c r="BR125" s="78">
        <f t="shared" si="93"/>
        <v>0</v>
      </c>
      <c r="BS125" s="78">
        <f t="shared" si="94"/>
        <v>0</v>
      </c>
      <c r="BT125" s="78">
        <f t="shared" si="95"/>
        <v>0</v>
      </c>
      <c r="BU125" s="91">
        <f t="shared" si="96"/>
        <v>0</v>
      </c>
      <c r="BV125" s="91">
        <f t="shared" si="97"/>
        <v>0</v>
      </c>
      <c r="BW125" s="78"/>
      <c r="BX125" s="78"/>
      <c r="BY125" s="78">
        <f t="shared" si="98"/>
        <v>0</v>
      </c>
      <c r="BZ125" s="78">
        <f t="shared" si="99"/>
        <v>0</v>
      </c>
      <c r="CA125" s="78">
        <f t="shared" si="100"/>
        <v>0</v>
      </c>
      <c r="CB125" s="78">
        <f t="shared" si="101"/>
        <v>0</v>
      </c>
      <c r="CC125" s="78">
        <f t="shared" si="102"/>
        <v>0</v>
      </c>
      <c r="CD125" s="78">
        <f t="shared" si="103"/>
        <v>0</v>
      </c>
      <c r="CE125" s="78">
        <f t="shared" si="104"/>
        <v>0</v>
      </c>
      <c r="CF125" s="78">
        <f t="shared" si="105"/>
        <v>0</v>
      </c>
      <c r="CG125" s="78"/>
      <c r="CH125" s="92">
        <f t="shared" si="106"/>
        <v>0</v>
      </c>
      <c r="CI125" s="93">
        <f t="shared" si="107"/>
        <v>0</v>
      </c>
      <c r="CJ125" s="94">
        <f t="shared" si="108"/>
        <v>0</v>
      </c>
      <c r="CL125" s="78">
        <f t="shared" si="109"/>
        <v>0</v>
      </c>
      <c r="CM125" s="78">
        <f t="shared" si="110"/>
        <v>0</v>
      </c>
      <c r="CN125" s="78">
        <f t="shared" si="111"/>
        <v>0</v>
      </c>
      <c r="CO125" s="78">
        <f t="shared" si="112"/>
        <v>0</v>
      </c>
    </row>
    <row r="126" spans="1:93" ht="13.5" thickBot="1">
      <c r="A126" s="95"/>
      <c r="B126" s="96"/>
      <c r="C126" s="97"/>
      <c r="D126" s="98"/>
      <c r="E126" s="99"/>
      <c r="F126" s="100"/>
      <c r="G126" s="100"/>
      <c r="H126" s="100"/>
      <c r="I126" s="100"/>
      <c r="J126" s="100"/>
      <c r="K126" s="101" t="str">
        <f t="shared" si="113"/>
        <v/>
      </c>
      <c r="L126" s="102"/>
      <c r="M126" s="103"/>
      <c r="N126" s="104"/>
      <c r="O126" s="105"/>
      <c r="P126" s="106">
        <f t="shared" si="114"/>
        <v>0</v>
      </c>
      <c r="Q126" s="106">
        <f t="shared" si="115"/>
        <v>0</v>
      </c>
      <c r="R126" s="106">
        <f t="shared" si="116"/>
        <v>0</v>
      </c>
      <c r="S126" s="106">
        <f t="shared" si="117"/>
        <v>0</v>
      </c>
      <c r="T126" s="107">
        <f t="shared" si="118"/>
        <v>0</v>
      </c>
      <c r="U126" s="78"/>
      <c r="AG126" s="108"/>
      <c r="AI126" s="78">
        <f t="shared" si="62"/>
        <v>0</v>
      </c>
      <c r="AJ126" s="78">
        <f t="shared" si="63"/>
        <v>0</v>
      </c>
      <c r="AK126" s="78">
        <f t="shared" si="64"/>
        <v>0</v>
      </c>
      <c r="AL126" s="78">
        <f t="shared" si="65"/>
        <v>0</v>
      </c>
      <c r="AM126" s="78">
        <f t="shared" si="66"/>
        <v>0</v>
      </c>
      <c r="AN126" s="78">
        <f t="shared" si="67"/>
        <v>0</v>
      </c>
      <c r="AO126" s="78">
        <f t="shared" si="68"/>
        <v>0</v>
      </c>
      <c r="AP126" s="78">
        <f t="shared" si="69"/>
        <v>0</v>
      </c>
      <c r="AQ126" s="78">
        <f t="shared" si="70"/>
        <v>0</v>
      </c>
      <c r="AR126" s="78">
        <f t="shared" si="71"/>
        <v>0</v>
      </c>
      <c r="AS126" s="90">
        <f t="shared" si="72"/>
        <v>0</v>
      </c>
      <c r="AT126" s="91">
        <f t="shared" si="73"/>
        <v>0</v>
      </c>
      <c r="AV126" s="91">
        <f t="shared" si="74"/>
        <v>0</v>
      </c>
      <c r="AW126" s="78">
        <f t="shared" si="75"/>
        <v>0</v>
      </c>
      <c r="AX126" s="78">
        <f t="shared" si="76"/>
        <v>0</v>
      </c>
      <c r="AY126" s="78"/>
      <c r="AZ126" s="78">
        <f t="shared" si="77"/>
        <v>0</v>
      </c>
      <c r="BA126" s="78">
        <f t="shared" si="78"/>
        <v>0</v>
      </c>
      <c r="BB126" s="78">
        <f t="shared" si="79"/>
        <v>0</v>
      </c>
      <c r="BC126" s="78">
        <f t="shared" si="80"/>
        <v>0</v>
      </c>
      <c r="BD126" s="78">
        <f t="shared" si="81"/>
        <v>0</v>
      </c>
      <c r="BE126" s="78">
        <f t="shared" si="82"/>
        <v>0</v>
      </c>
      <c r="BF126" s="78">
        <f t="shared" si="83"/>
        <v>0</v>
      </c>
      <c r="BG126" s="78">
        <f t="shared" si="84"/>
        <v>0</v>
      </c>
      <c r="BH126" s="78">
        <f t="shared" si="85"/>
        <v>0</v>
      </c>
      <c r="BI126" s="78"/>
      <c r="BJ126" s="91">
        <f t="shared" si="86"/>
        <v>0</v>
      </c>
      <c r="BK126" s="91">
        <f t="shared" si="87"/>
        <v>0</v>
      </c>
      <c r="BL126" s="78"/>
      <c r="BM126" s="78">
        <f t="shared" si="88"/>
        <v>0</v>
      </c>
      <c r="BN126" s="78">
        <f t="shared" si="89"/>
        <v>0</v>
      </c>
      <c r="BO126" s="78">
        <f t="shared" si="90"/>
        <v>0</v>
      </c>
      <c r="BP126" s="78">
        <f t="shared" si="91"/>
        <v>0</v>
      </c>
      <c r="BQ126" s="78">
        <f t="shared" si="92"/>
        <v>0</v>
      </c>
      <c r="BR126" s="78">
        <f t="shared" si="93"/>
        <v>0</v>
      </c>
      <c r="BS126" s="78">
        <f t="shared" si="94"/>
        <v>0</v>
      </c>
      <c r="BT126" s="78">
        <f t="shared" si="95"/>
        <v>0</v>
      </c>
      <c r="BU126" s="91">
        <f t="shared" si="96"/>
        <v>0</v>
      </c>
      <c r="BV126" s="91">
        <f t="shared" si="97"/>
        <v>0</v>
      </c>
      <c r="BW126" s="78"/>
      <c r="BX126" s="78"/>
      <c r="BY126" s="78">
        <f t="shared" si="98"/>
        <v>0</v>
      </c>
      <c r="BZ126" s="78">
        <f t="shared" si="99"/>
        <v>0</v>
      </c>
      <c r="CA126" s="78">
        <f t="shared" si="100"/>
        <v>0</v>
      </c>
      <c r="CB126" s="78">
        <f t="shared" si="101"/>
        <v>0</v>
      </c>
      <c r="CC126" s="78">
        <f t="shared" si="102"/>
        <v>0</v>
      </c>
      <c r="CD126" s="78">
        <f t="shared" si="103"/>
        <v>0</v>
      </c>
      <c r="CE126" s="78">
        <f t="shared" si="104"/>
        <v>0</v>
      </c>
      <c r="CF126" s="78">
        <f t="shared" si="105"/>
        <v>0</v>
      </c>
      <c r="CG126" s="78"/>
      <c r="CH126" s="92">
        <f t="shared" si="106"/>
        <v>0</v>
      </c>
      <c r="CI126" s="93">
        <f t="shared" si="107"/>
        <v>0</v>
      </c>
      <c r="CJ126" s="94">
        <f t="shared" si="108"/>
        <v>0</v>
      </c>
      <c r="CL126" s="78">
        <f t="shared" si="109"/>
        <v>0</v>
      </c>
      <c r="CM126" s="78">
        <f t="shared" si="110"/>
        <v>0</v>
      </c>
      <c r="CN126" s="78">
        <f t="shared" si="111"/>
        <v>0</v>
      </c>
      <c r="CO126" s="78">
        <f t="shared" si="112"/>
        <v>0</v>
      </c>
    </row>
    <row r="127" spans="1:93" ht="13.5" thickBot="1">
      <c r="A127" s="95"/>
      <c r="B127" s="96"/>
      <c r="C127" s="97"/>
      <c r="D127" s="98"/>
      <c r="E127" s="99"/>
      <c r="F127" s="100"/>
      <c r="G127" s="100"/>
      <c r="H127" s="100"/>
      <c r="I127" s="100"/>
      <c r="J127" s="100"/>
      <c r="K127" s="101" t="str">
        <f t="shared" si="113"/>
        <v/>
      </c>
      <c r="L127" s="102"/>
      <c r="M127" s="103"/>
      <c r="N127" s="104"/>
      <c r="O127" s="105"/>
      <c r="P127" s="106">
        <f t="shared" si="114"/>
        <v>0</v>
      </c>
      <c r="Q127" s="106">
        <f t="shared" si="115"/>
        <v>0</v>
      </c>
      <c r="R127" s="106">
        <f t="shared" si="116"/>
        <v>0</v>
      </c>
      <c r="S127" s="106">
        <f t="shared" si="117"/>
        <v>0</v>
      </c>
      <c r="T127" s="107">
        <f t="shared" si="118"/>
        <v>0</v>
      </c>
      <c r="U127" s="78"/>
      <c r="AG127" s="108"/>
      <c r="AI127" s="78">
        <f t="shared" si="62"/>
        <v>0</v>
      </c>
      <c r="AJ127" s="78">
        <f t="shared" si="63"/>
        <v>0</v>
      </c>
      <c r="AK127" s="78">
        <f t="shared" si="64"/>
        <v>0</v>
      </c>
      <c r="AL127" s="78">
        <f t="shared" si="65"/>
        <v>0</v>
      </c>
      <c r="AM127" s="78">
        <f t="shared" si="66"/>
        <v>0</v>
      </c>
      <c r="AN127" s="78">
        <f t="shared" si="67"/>
        <v>0</v>
      </c>
      <c r="AO127" s="78">
        <f t="shared" si="68"/>
        <v>0</v>
      </c>
      <c r="AP127" s="78">
        <f t="shared" si="69"/>
        <v>0</v>
      </c>
      <c r="AQ127" s="78">
        <f t="shared" si="70"/>
        <v>0</v>
      </c>
      <c r="AR127" s="78">
        <f t="shared" si="71"/>
        <v>0</v>
      </c>
      <c r="AS127" s="90">
        <f t="shared" si="72"/>
        <v>0</v>
      </c>
      <c r="AT127" s="91">
        <f t="shared" si="73"/>
        <v>0</v>
      </c>
      <c r="AV127" s="91">
        <f t="shared" si="74"/>
        <v>0</v>
      </c>
      <c r="AW127" s="78">
        <f t="shared" si="75"/>
        <v>0</v>
      </c>
      <c r="AX127" s="78">
        <f t="shared" si="76"/>
        <v>0</v>
      </c>
      <c r="AY127" s="78"/>
      <c r="AZ127" s="78">
        <f t="shared" si="77"/>
        <v>0</v>
      </c>
      <c r="BA127" s="78">
        <f t="shared" si="78"/>
        <v>0</v>
      </c>
      <c r="BB127" s="78">
        <f t="shared" si="79"/>
        <v>0</v>
      </c>
      <c r="BC127" s="78">
        <f t="shared" si="80"/>
        <v>0</v>
      </c>
      <c r="BD127" s="78">
        <f t="shared" si="81"/>
        <v>0</v>
      </c>
      <c r="BE127" s="78">
        <f t="shared" si="82"/>
        <v>0</v>
      </c>
      <c r="BF127" s="78">
        <f t="shared" si="83"/>
        <v>0</v>
      </c>
      <c r="BG127" s="78">
        <f t="shared" si="84"/>
        <v>0</v>
      </c>
      <c r="BH127" s="78">
        <f t="shared" si="85"/>
        <v>0</v>
      </c>
      <c r="BI127" s="78"/>
      <c r="BJ127" s="91">
        <f t="shared" si="86"/>
        <v>0</v>
      </c>
      <c r="BK127" s="91">
        <f t="shared" si="87"/>
        <v>0</v>
      </c>
      <c r="BL127" s="78"/>
      <c r="BM127" s="78">
        <f t="shared" si="88"/>
        <v>0</v>
      </c>
      <c r="BN127" s="78">
        <f t="shared" si="89"/>
        <v>0</v>
      </c>
      <c r="BO127" s="78">
        <f t="shared" si="90"/>
        <v>0</v>
      </c>
      <c r="BP127" s="78">
        <f t="shared" si="91"/>
        <v>0</v>
      </c>
      <c r="BQ127" s="78">
        <f t="shared" si="92"/>
        <v>0</v>
      </c>
      <c r="BR127" s="78">
        <f t="shared" si="93"/>
        <v>0</v>
      </c>
      <c r="BS127" s="78">
        <f t="shared" si="94"/>
        <v>0</v>
      </c>
      <c r="BT127" s="78">
        <f t="shared" si="95"/>
        <v>0</v>
      </c>
      <c r="BU127" s="91">
        <f t="shared" si="96"/>
        <v>0</v>
      </c>
      <c r="BV127" s="91">
        <f t="shared" si="97"/>
        <v>0</v>
      </c>
      <c r="BW127" s="78"/>
      <c r="BX127" s="78"/>
      <c r="BY127" s="78">
        <f t="shared" si="98"/>
        <v>0</v>
      </c>
      <c r="BZ127" s="78">
        <f t="shared" si="99"/>
        <v>0</v>
      </c>
      <c r="CA127" s="78">
        <f t="shared" si="100"/>
        <v>0</v>
      </c>
      <c r="CB127" s="78">
        <f t="shared" si="101"/>
        <v>0</v>
      </c>
      <c r="CC127" s="78">
        <f t="shared" si="102"/>
        <v>0</v>
      </c>
      <c r="CD127" s="78">
        <f t="shared" si="103"/>
        <v>0</v>
      </c>
      <c r="CE127" s="78">
        <f t="shared" si="104"/>
        <v>0</v>
      </c>
      <c r="CF127" s="78">
        <f t="shared" si="105"/>
        <v>0</v>
      </c>
      <c r="CG127" s="78"/>
      <c r="CH127" s="92">
        <f t="shared" si="106"/>
        <v>0</v>
      </c>
      <c r="CI127" s="93">
        <f t="shared" si="107"/>
        <v>0</v>
      </c>
      <c r="CJ127" s="94">
        <f t="shared" si="108"/>
        <v>0</v>
      </c>
      <c r="CL127" s="78">
        <f t="shared" si="109"/>
        <v>0</v>
      </c>
      <c r="CM127" s="78">
        <f t="shared" si="110"/>
        <v>0</v>
      </c>
      <c r="CN127" s="78">
        <f t="shared" si="111"/>
        <v>0</v>
      </c>
      <c r="CO127" s="78">
        <f t="shared" si="112"/>
        <v>0</v>
      </c>
    </row>
    <row r="128" spans="1:93" ht="13.5" thickBot="1">
      <c r="A128" s="95"/>
      <c r="B128" s="96"/>
      <c r="C128" s="97"/>
      <c r="D128" s="98"/>
      <c r="E128" s="99"/>
      <c r="F128" s="100"/>
      <c r="G128" s="100"/>
      <c r="H128" s="100"/>
      <c r="I128" s="100"/>
      <c r="J128" s="100"/>
      <c r="K128" s="101" t="str">
        <f t="shared" si="113"/>
        <v/>
      </c>
      <c r="L128" s="102"/>
      <c r="M128" s="103"/>
      <c r="N128" s="104"/>
      <c r="O128" s="105"/>
      <c r="P128" s="106">
        <f t="shared" si="114"/>
        <v>0</v>
      </c>
      <c r="Q128" s="106">
        <f t="shared" si="115"/>
        <v>0</v>
      </c>
      <c r="R128" s="106">
        <f t="shared" si="116"/>
        <v>0</v>
      </c>
      <c r="S128" s="106">
        <f t="shared" si="117"/>
        <v>0</v>
      </c>
      <c r="T128" s="107">
        <f t="shared" si="118"/>
        <v>0</v>
      </c>
      <c r="U128" s="78"/>
      <c r="AG128" s="108"/>
      <c r="AI128" s="78">
        <f t="shared" si="62"/>
        <v>0</v>
      </c>
      <c r="AJ128" s="78">
        <f t="shared" si="63"/>
        <v>0</v>
      </c>
      <c r="AK128" s="78">
        <f t="shared" si="64"/>
        <v>0</v>
      </c>
      <c r="AL128" s="78">
        <f t="shared" si="65"/>
        <v>0</v>
      </c>
      <c r="AM128" s="78">
        <f t="shared" si="66"/>
        <v>0</v>
      </c>
      <c r="AN128" s="78">
        <f t="shared" si="67"/>
        <v>0</v>
      </c>
      <c r="AO128" s="78">
        <f t="shared" si="68"/>
        <v>0</v>
      </c>
      <c r="AP128" s="78">
        <f t="shared" si="69"/>
        <v>0</v>
      </c>
      <c r="AQ128" s="78">
        <f t="shared" si="70"/>
        <v>0</v>
      </c>
      <c r="AR128" s="78">
        <f t="shared" si="71"/>
        <v>0</v>
      </c>
      <c r="AS128" s="90">
        <f t="shared" si="72"/>
        <v>0</v>
      </c>
      <c r="AT128" s="91">
        <f t="shared" si="73"/>
        <v>0</v>
      </c>
      <c r="AV128" s="91">
        <f t="shared" si="74"/>
        <v>0</v>
      </c>
      <c r="AW128" s="78">
        <f t="shared" si="75"/>
        <v>0</v>
      </c>
      <c r="AX128" s="78">
        <f t="shared" si="76"/>
        <v>0</v>
      </c>
      <c r="AY128" s="78"/>
      <c r="AZ128" s="78">
        <f t="shared" si="77"/>
        <v>0</v>
      </c>
      <c r="BA128" s="78">
        <f t="shared" si="78"/>
        <v>0</v>
      </c>
      <c r="BB128" s="78">
        <f t="shared" si="79"/>
        <v>0</v>
      </c>
      <c r="BC128" s="78">
        <f t="shared" si="80"/>
        <v>0</v>
      </c>
      <c r="BD128" s="78">
        <f t="shared" si="81"/>
        <v>0</v>
      </c>
      <c r="BE128" s="78">
        <f t="shared" si="82"/>
        <v>0</v>
      </c>
      <c r="BF128" s="78">
        <f t="shared" si="83"/>
        <v>0</v>
      </c>
      <c r="BG128" s="78">
        <f t="shared" si="84"/>
        <v>0</v>
      </c>
      <c r="BH128" s="78">
        <f t="shared" si="85"/>
        <v>0</v>
      </c>
      <c r="BI128" s="78"/>
      <c r="BJ128" s="91">
        <f t="shared" si="86"/>
        <v>0</v>
      </c>
      <c r="BK128" s="91">
        <f t="shared" si="87"/>
        <v>0</v>
      </c>
      <c r="BL128" s="78"/>
      <c r="BM128" s="78">
        <f t="shared" si="88"/>
        <v>0</v>
      </c>
      <c r="BN128" s="78">
        <f t="shared" si="89"/>
        <v>0</v>
      </c>
      <c r="BO128" s="78">
        <f t="shared" si="90"/>
        <v>0</v>
      </c>
      <c r="BP128" s="78">
        <f t="shared" si="91"/>
        <v>0</v>
      </c>
      <c r="BQ128" s="78">
        <f t="shared" si="92"/>
        <v>0</v>
      </c>
      <c r="BR128" s="78">
        <f t="shared" si="93"/>
        <v>0</v>
      </c>
      <c r="BS128" s="78">
        <f t="shared" si="94"/>
        <v>0</v>
      </c>
      <c r="BT128" s="78">
        <f t="shared" si="95"/>
        <v>0</v>
      </c>
      <c r="BU128" s="91">
        <f t="shared" si="96"/>
        <v>0</v>
      </c>
      <c r="BV128" s="91">
        <f t="shared" si="97"/>
        <v>0</v>
      </c>
      <c r="BW128" s="78"/>
      <c r="BX128" s="78"/>
      <c r="BY128" s="78">
        <f t="shared" si="98"/>
        <v>0</v>
      </c>
      <c r="BZ128" s="78">
        <f t="shared" si="99"/>
        <v>0</v>
      </c>
      <c r="CA128" s="78">
        <f t="shared" si="100"/>
        <v>0</v>
      </c>
      <c r="CB128" s="78">
        <f t="shared" si="101"/>
        <v>0</v>
      </c>
      <c r="CC128" s="78">
        <f t="shared" si="102"/>
        <v>0</v>
      </c>
      <c r="CD128" s="78">
        <f t="shared" si="103"/>
        <v>0</v>
      </c>
      <c r="CE128" s="78">
        <f t="shared" si="104"/>
        <v>0</v>
      </c>
      <c r="CF128" s="78">
        <f t="shared" si="105"/>
        <v>0</v>
      </c>
      <c r="CG128" s="78"/>
      <c r="CH128" s="92">
        <f t="shared" si="106"/>
        <v>0</v>
      </c>
      <c r="CI128" s="93">
        <f t="shared" si="107"/>
        <v>0</v>
      </c>
      <c r="CJ128" s="94">
        <f t="shared" si="108"/>
        <v>0</v>
      </c>
      <c r="CL128" s="78">
        <f t="shared" si="109"/>
        <v>0</v>
      </c>
      <c r="CM128" s="78">
        <f t="shared" si="110"/>
        <v>0</v>
      </c>
      <c r="CN128" s="78">
        <f t="shared" si="111"/>
        <v>0</v>
      </c>
      <c r="CO128" s="78">
        <f t="shared" si="112"/>
        <v>0</v>
      </c>
    </row>
    <row r="129" spans="1:93" ht="13.5" thickBot="1">
      <c r="A129" s="95"/>
      <c r="B129" s="96"/>
      <c r="C129" s="97"/>
      <c r="D129" s="98"/>
      <c r="E129" s="99"/>
      <c r="F129" s="100"/>
      <c r="G129" s="100"/>
      <c r="H129" s="100"/>
      <c r="I129" s="100"/>
      <c r="J129" s="100"/>
      <c r="K129" s="101" t="str">
        <f t="shared" si="113"/>
        <v/>
      </c>
      <c r="L129" s="102"/>
      <c r="M129" s="103"/>
      <c r="N129" s="104"/>
      <c r="O129" s="105"/>
      <c r="P129" s="106">
        <f t="shared" si="114"/>
        <v>0</v>
      </c>
      <c r="Q129" s="106">
        <f t="shared" si="115"/>
        <v>0</v>
      </c>
      <c r="R129" s="106">
        <f t="shared" si="116"/>
        <v>0</v>
      </c>
      <c r="S129" s="106">
        <f t="shared" si="117"/>
        <v>0</v>
      </c>
      <c r="T129" s="107">
        <f t="shared" si="118"/>
        <v>0</v>
      </c>
      <c r="U129" s="78"/>
      <c r="AG129" s="108"/>
      <c r="AI129" s="78">
        <f t="shared" si="62"/>
        <v>0</v>
      </c>
      <c r="AJ129" s="78">
        <f t="shared" si="63"/>
        <v>0</v>
      </c>
      <c r="AK129" s="78">
        <f t="shared" si="64"/>
        <v>0</v>
      </c>
      <c r="AL129" s="78">
        <f t="shared" si="65"/>
        <v>0</v>
      </c>
      <c r="AM129" s="78">
        <f t="shared" si="66"/>
        <v>0</v>
      </c>
      <c r="AN129" s="78">
        <f t="shared" si="67"/>
        <v>0</v>
      </c>
      <c r="AO129" s="78">
        <f t="shared" si="68"/>
        <v>0</v>
      </c>
      <c r="AP129" s="78">
        <f t="shared" si="69"/>
        <v>0</v>
      </c>
      <c r="AQ129" s="78">
        <f t="shared" si="70"/>
        <v>0</v>
      </c>
      <c r="AR129" s="78">
        <f t="shared" si="71"/>
        <v>0</v>
      </c>
      <c r="AS129" s="90">
        <f t="shared" si="72"/>
        <v>0</v>
      </c>
      <c r="AT129" s="91">
        <f t="shared" si="73"/>
        <v>0</v>
      </c>
      <c r="AV129" s="91">
        <f t="shared" si="74"/>
        <v>0</v>
      </c>
      <c r="AW129" s="78">
        <f t="shared" si="75"/>
        <v>0</v>
      </c>
      <c r="AX129" s="78">
        <f t="shared" si="76"/>
        <v>0</v>
      </c>
      <c r="AY129" s="78"/>
      <c r="AZ129" s="78">
        <f t="shared" si="77"/>
        <v>0</v>
      </c>
      <c r="BA129" s="78">
        <f t="shared" si="78"/>
        <v>0</v>
      </c>
      <c r="BB129" s="78">
        <f t="shared" si="79"/>
        <v>0</v>
      </c>
      <c r="BC129" s="78">
        <f t="shared" si="80"/>
        <v>0</v>
      </c>
      <c r="BD129" s="78">
        <f t="shared" si="81"/>
        <v>0</v>
      </c>
      <c r="BE129" s="78">
        <f t="shared" si="82"/>
        <v>0</v>
      </c>
      <c r="BF129" s="78">
        <f t="shared" si="83"/>
        <v>0</v>
      </c>
      <c r="BG129" s="78">
        <f t="shared" si="84"/>
        <v>0</v>
      </c>
      <c r="BH129" s="78">
        <f t="shared" si="85"/>
        <v>0</v>
      </c>
      <c r="BI129" s="78"/>
      <c r="BJ129" s="91">
        <f t="shared" si="86"/>
        <v>0</v>
      </c>
      <c r="BK129" s="91">
        <f t="shared" si="87"/>
        <v>0</v>
      </c>
      <c r="BL129" s="78"/>
      <c r="BM129" s="78">
        <f t="shared" si="88"/>
        <v>0</v>
      </c>
      <c r="BN129" s="78">
        <f t="shared" si="89"/>
        <v>0</v>
      </c>
      <c r="BO129" s="78">
        <f t="shared" si="90"/>
        <v>0</v>
      </c>
      <c r="BP129" s="78">
        <f t="shared" si="91"/>
        <v>0</v>
      </c>
      <c r="BQ129" s="78">
        <f t="shared" si="92"/>
        <v>0</v>
      </c>
      <c r="BR129" s="78">
        <f t="shared" si="93"/>
        <v>0</v>
      </c>
      <c r="BS129" s="78">
        <f t="shared" si="94"/>
        <v>0</v>
      </c>
      <c r="BT129" s="78">
        <f t="shared" si="95"/>
        <v>0</v>
      </c>
      <c r="BU129" s="91">
        <f t="shared" si="96"/>
        <v>0</v>
      </c>
      <c r="BV129" s="91">
        <f t="shared" si="97"/>
        <v>0</v>
      </c>
      <c r="BW129" s="78"/>
      <c r="BX129" s="78"/>
      <c r="BY129" s="78">
        <f t="shared" si="98"/>
        <v>0</v>
      </c>
      <c r="BZ129" s="78">
        <f t="shared" si="99"/>
        <v>0</v>
      </c>
      <c r="CA129" s="78">
        <f t="shared" si="100"/>
        <v>0</v>
      </c>
      <c r="CB129" s="78">
        <f t="shared" si="101"/>
        <v>0</v>
      </c>
      <c r="CC129" s="78">
        <f t="shared" si="102"/>
        <v>0</v>
      </c>
      <c r="CD129" s="78">
        <f t="shared" si="103"/>
        <v>0</v>
      </c>
      <c r="CE129" s="78">
        <f t="shared" si="104"/>
        <v>0</v>
      </c>
      <c r="CF129" s="78">
        <f t="shared" si="105"/>
        <v>0</v>
      </c>
      <c r="CG129" s="78"/>
      <c r="CH129" s="92">
        <f t="shared" si="106"/>
        <v>0</v>
      </c>
      <c r="CI129" s="93">
        <f t="shared" si="107"/>
        <v>0</v>
      </c>
      <c r="CJ129" s="94">
        <f t="shared" si="108"/>
        <v>0</v>
      </c>
      <c r="CL129" s="78">
        <f t="shared" si="109"/>
        <v>0</v>
      </c>
      <c r="CM129" s="78">
        <f t="shared" si="110"/>
        <v>0</v>
      </c>
      <c r="CN129" s="78">
        <f t="shared" si="111"/>
        <v>0</v>
      </c>
      <c r="CO129" s="78">
        <f t="shared" si="112"/>
        <v>0</v>
      </c>
    </row>
    <row r="130" spans="1:93" ht="13.5" thickBot="1">
      <c r="A130" s="95"/>
      <c r="B130" s="96"/>
      <c r="C130" s="97"/>
      <c r="D130" s="98"/>
      <c r="E130" s="99"/>
      <c r="F130" s="100"/>
      <c r="G130" s="100"/>
      <c r="H130" s="100"/>
      <c r="I130" s="100"/>
      <c r="J130" s="100"/>
      <c r="K130" s="101" t="str">
        <f t="shared" si="113"/>
        <v/>
      </c>
      <c r="L130" s="102"/>
      <c r="M130" s="103"/>
      <c r="N130" s="104"/>
      <c r="O130" s="105"/>
      <c r="P130" s="106">
        <f t="shared" si="114"/>
        <v>0</v>
      </c>
      <c r="Q130" s="106">
        <f t="shared" si="115"/>
        <v>0</v>
      </c>
      <c r="R130" s="106">
        <f t="shared" si="116"/>
        <v>0</v>
      </c>
      <c r="S130" s="106">
        <f t="shared" si="117"/>
        <v>0</v>
      </c>
      <c r="T130" s="107">
        <f t="shared" si="118"/>
        <v>0</v>
      </c>
      <c r="U130" s="78"/>
      <c r="AG130" s="108"/>
      <c r="AI130" s="78">
        <f t="shared" si="62"/>
        <v>0</v>
      </c>
      <c r="AJ130" s="78">
        <f t="shared" si="63"/>
        <v>0</v>
      </c>
      <c r="AK130" s="78">
        <f t="shared" si="64"/>
        <v>0</v>
      </c>
      <c r="AL130" s="78">
        <f t="shared" si="65"/>
        <v>0</v>
      </c>
      <c r="AM130" s="78">
        <f t="shared" si="66"/>
        <v>0</v>
      </c>
      <c r="AN130" s="78">
        <f t="shared" si="67"/>
        <v>0</v>
      </c>
      <c r="AO130" s="78">
        <f t="shared" si="68"/>
        <v>0</v>
      </c>
      <c r="AP130" s="78">
        <f t="shared" si="69"/>
        <v>0</v>
      </c>
      <c r="AQ130" s="78">
        <f t="shared" si="70"/>
        <v>0</v>
      </c>
      <c r="AR130" s="78">
        <f t="shared" si="71"/>
        <v>0</v>
      </c>
      <c r="AS130" s="90">
        <f t="shared" si="72"/>
        <v>0</v>
      </c>
      <c r="AT130" s="91">
        <f t="shared" si="73"/>
        <v>0</v>
      </c>
      <c r="AV130" s="91">
        <f t="shared" si="74"/>
        <v>0</v>
      </c>
      <c r="AW130" s="78">
        <f t="shared" si="75"/>
        <v>0</v>
      </c>
      <c r="AX130" s="78">
        <f t="shared" si="76"/>
        <v>0</v>
      </c>
      <c r="AY130" s="78"/>
      <c r="AZ130" s="78">
        <f t="shared" si="77"/>
        <v>0</v>
      </c>
      <c r="BA130" s="78">
        <f t="shared" si="78"/>
        <v>0</v>
      </c>
      <c r="BB130" s="78">
        <f t="shared" si="79"/>
        <v>0</v>
      </c>
      <c r="BC130" s="78">
        <f t="shared" si="80"/>
        <v>0</v>
      </c>
      <c r="BD130" s="78">
        <f t="shared" si="81"/>
        <v>0</v>
      </c>
      <c r="BE130" s="78">
        <f t="shared" si="82"/>
        <v>0</v>
      </c>
      <c r="BF130" s="78">
        <f t="shared" si="83"/>
        <v>0</v>
      </c>
      <c r="BG130" s="78">
        <f t="shared" si="84"/>
        <v>0</v>
      </c>
      <c r="BH130" s="78">
        <f t="shared" si="85"/>
        <v>0</v>
      </c>
      <c r="BI130" s="78"/>
      <c r="BJ130" s="91">
        <f t="shared" si="86"/>
        <v>0</v>
      </c>
      <c r="BK130" s="91">
        <f t="shared" si="87"/>
        <v>0</v>
      </c>
      <c r="BL130" s="78"/>
      <c r="BM130" s="78">
        <f t="shared" si="88"/>
        <v>0</v>
      </c>
      <c r="BN130" s="78">
        <f t="shared" si="89"/>
        <v>0</v>
      </c>
      <c r="BO130" s="78">
        <f t="shared" si="90"/>
        <v>0</v>
      </c>
      <c r="BP130" s="78">
        <f t="shared" si="91"/>
        <v>0</v>
      </c>
      <c r="BQ130" s="78">
        <f t="shared" si="92"/>
        <v>0</v>
      </c>
      <c r="BR130" s="78">
        <f t="shared" si="93"/>
        <v>0</v>
      </c>
      <c r="BS130" s="78">
        <f t="shared" si="94"/>
        <v>0</v>
      </c>
      <c r="BT130" s="78">
        <f t="shared" si="95"/>
        <v>0</v>
      </c>
      <c r="BU130" s="91">
        <f t="shared" si="96"/>
        <v>0</v>
      </c>
      <c r="BV130" s="91">
        <f t="shared" si="97"/>
        <v>0</v>
      </c>
      <c r="BW130" s="78"/>
      <c r="BX130" s="78"/>
      <c r="BY130" s="78">
        <f t="shared" si="98"/>
        <v>0</v>
      </c>
      <c r="BZ130" s="78">
        <f t="shared" si="99"/>
        <v>0</v>
      </c>
      <c r="CA130" s="78">
        <f t="shared" si="100"/>
        <v>0</v>
      </c>
      <c r="CB130" s="78">
        <f t="shared" si="101"/>
        <v>0</v>
      </c>
      <c r="CC130" s="78">
        <f t="shared" si="102"/>
        <v>0</v>
      </c>
      <c r="CD130" s="78">
        <f t="shared" si="103"/>
        <v>0</v>
      </c>
      <c r="CE130" s="78">
        <f t="shared" si="104"/>
        <v>0</v>
      </c>
      <c r="CF130" s="78">
        <f t="shared" si="105"/>
        <v>0</v>
      </c>
      <c r="CG130" s="78"/>
      <c r="CH130" s="92">
        <f t="shared" si="106"/>
        <v>0</v>
      </c>
      <c r="CI130" s="93">
        <f t="shared" si="107"/>
        <v>0</v>
      </c>
      <c r="CJ130" s="94">
        <f t="shared" si="108"/>
        <v>0</v>
      </c>
      <c r="CL130" s="78">
        <f t="shared" si="109"/>
        <v>0</v>
      </c>
      <c r="CM130" s="78">
        <f t="shared" si="110"/>
        <v>0</v>
      </c>
      <c r="CN130" s="78">
        <f t="shared" si="111"/>
        <v>0</v>
      </c>
      <c r="CO130" s="78">
        <f t="shared" si="112"/>
        <v>0</v>
      </c>
    </row>
    <row r="131" spans="1:93" ht="13.5" thickBot="1">
      <c r="A131" s="95"/>
      <c r="B131" s="96"/>
      <c r="C131" s="97"/>
      <c r="D131" s="98"/>
      <c r="E131" s="99"/>
      <c r="F131" s="100"/>
      <c r="G131" s="100"/>
      <c r="H131" s="100"/>
      <c r="I131" s="100"/>
      <c r="J131" s="100"/>
      <c r="K131" s="101" t="str">
        <f t="shared" si="113"/>
        <v/>
      </c>
      <c r="L131" s="102"/>
      <c r="M131" s="103"/>
      <c r="N131" s="104"/>
      <c r="O131" s="105"/>
      <c r="P131" s="106">
        <f t="shared" si="114"/>
        <v>0</v>
      </c>
      <c r="Q131" s="106">
        <f t="shared" si="115"/>
        <v>0</v>
      </c>
      <c r="R131" s="106">
        <f t="shared" si="116"/>
        <v>0</v>
      </c>
      <c r="S131" s="106">
        <f t="shared" si="117"/>
        <v>0</v>
      </c>
      <c r="T131" s="107">
        <f t="shared" si="118"/>
        <v>0</v>
      </c>
      <c r="U131" s="78"/>
      <c r="AG131" s="108"/>
      <c r="AI131" s="78">
        <f t="shared" si="62"/>
        <v>0</v>
      </c>
      <c r="AJ131" s="78">
        <f t="shared" si="63"/>
        <v>0</v>
      </c>
      <c r="AK131" s="78">
        <f t="shared" si="64"/>
        <v>0</v>
      </c>
      <c r="AL131" s="78">
        <f t="shared" si="65"/>
        <v>0</v>
      </c>
      <c r="AM131" s="78">
        <f t="shared" si="66"/>
        <v>0</v>
      </c>
      <c r="AN131" s="78">
        <f t="shared" si="67"/>
        <v>0</v>
      </c>
      <c r="AO131" s="78">
        <f t="shared" si="68"/>
        <v>0</v>
      </c>
      <c r="AP131" s="78">
        <f t="shared" si="69"/>
        <v>0</v>
      </c>
      <c r="AQ131" s="78">
        <f t="shared" si="70"/>
        <v>0</v>
      </c>
      <c r="AR131" s="78">
        <f t="shared" si="71"/>
        <v>0</v>
      </c>
      <c r="AS131" s="90">
        <f t="shared" si="72"/>
        <v>0</v>
      </c>
      <c r="AT131" s="91">
        <f t="shared" si="73"/>
        <v>0</v>
      </c>
      <c r="AV131" s="91">
        <f t="shared" si="74"/>
        <v>0</v>
      </c>
      <c r="AW131" s="78">
        <f t="shared" si="75"/>
        <v>0</v>
      </c>
      <c r="AX131" s="78">
        <f t="shared" si="76"/>
        <v>0</v>
      </c>
      <c r="AY131" s="78"/>
      <c r="AZ131" s="78">
        <f t="shared" si="77"/>
        <v>0</v>
      </c>
      <c r="BA131" s="78">
        <f t="shared" si="78"/>
        <v>0</v>
      </c>
      <c r="BB131" s="78">
        <f t="shared" si="79"/>
        <v>0</v>
      </c>
      <c r="BC131" s="78">
        <f t="shared" si="80"/>
        <v>0</v>
      </c>
      <c r="BD131" s="78">
        <f t="shared" si="81"/>
        <v>0</v>
      </c>
      <c r="BE131" s="78">
        <f t="shared" si="82"/>
        <v>0</v>
      </c>
      <c r="BF131" s="78">
        <f t="shared" si="83"/>
        <v>0</v>
      </c>
      <c r="BG131" s="78">
        <f t="shared" si="84"/>
        <v>0</v>
      </c>
      <c r="BH131" s="78">
        <f t="shared" si="85"/>
        <v>0</v>
      </c>
      <c r="BI131" s="78"/>
      <c r="BJ131" s="91">
        <f t="shared" si="86"/>
        <v>0</v>
      </c>
      <c r="BK131" s="91">
        <f t="shared" si="87"/>
        <v>0</v>
      </c>
      <c r="BL131" s="78"/>
      <c r="BM131" s="78">
        <f t="shared" si="88"/>
        <v>0</v>
      </c>
      <c r="BN131" s="78">
        <f t="shared" si="89"/>
        <v>0</v>
      </c>
      <c r="BO131" s="78">
        <f t="shared" si="90"/>
        <v>0</v>
      </c>
      <c r="BP131" s="78">
        <f t="shared" si="91"/>
        <v>0</v>
      </c>
      <c r="BQ131" s="78">
        <f t="shared" si="92"/>
        <v>0</v>
      </c>
      <c r="BR131" s="78">
        <f t="shared" si="93"/>
        <v>0</v>
      </c>
      <c r="BS131" s="78">
        <f t="shared" si="94"/>
        <v>0</v>
      </c>
      <c r="BT131" s="78">
        <f t="shared" si="95"/>
        <v>0</v>
      </c>
      <c r="BU131" s="91">
        <f t="shared" si="96"/>
        <v>0</v>
      </c>
      <c r="BV131" s="91">
        <f t="shared" si="97"/>
        <v>0</v>
      </c>
      <c r="BW131" s="78"/>
      <c r="BX131" s="78"/>
      <c r="BY131" s="78">
        <f t="shared" si="98"/>
        <v>0</v>
      </c>
      <c r="BZ131" s="78">
        <f t="shared" si="99"/>
        <v>0</v>
      </c>
      <c r="CA131" s="78">
        <f t="shared" si="100"/>
        <v>0</v>
      </c>
      <c r="CB131" s="78">
        <f t="shared" si="101"/>
        <v>0</v>
      </c>
      <c r="CC131" s="78">
        <f t="shared" si="102"/>
        <v>0</v>
      </c>
      <c r="CD131" s="78">
        <f t="shared" si="103"/>
        <v>0</v>
      </c>
      <c r="CE131" s="78">
        <f t="shared" si="104"/>
        <v>0</v>
      </c>
      <c r="CF131" s="78">
        <f t="shared" si="105"/>
        <v>0</v>
      </c>
      <c r="CG131" s="78"/>
      <c r="CH131" s="92">
        <f t="shared" si="106"/>
        <v>0</v>
      </c>
      <c r="CI131" s="93">
        <f t="shared" si="107"/>
        <v>0</v>
      </c>
      <c r="CJ131" s="94">
        <f t="shared" si="108"/>
        <v>0</v>
      </c>
      <c r="CL131" s="78">
        <f t="shared" si="109"/>
        <v>0</v>
      </c>
      <c r="CM131" s="78">
        <f t="shared" si="110"/>
        <v>0</v>
      </c>
      <c r="CN131" s="78">
        <f t="shared" si="111"/>
        <v>0</v>
      </c>
      <c r="CO131" s="78">
        <f t="shared" si="112"/>
        <v>0</v>
      </c>
    </row>
    <row r="132" spans="1:93" ht="13.5" thickBot="1">
      <c r="A132" s="95"/>
      <c r="B132" s="96"/>
      <c r="C132" s="97"/>
      <c r="D132" s="98"/>
      <c r="E132" s="99"/>
      <c r="F132" s="100"/>
      <c r="G132" s="100"/>
      <c r="H132" s="100"/>
      <c r="I132" s="100"/>
      <c r="J132" s="100"/>
      <c r="K132" s="101" t="str">
        <f t="shared" si="113"/>
        <v/>
      </c>
      <c r="L132" s="102"/>
      <c r="M132" s="103"/>
      <c r="N132" s="104"/>
      <c r="O132" s="105"/>
      <c r="P132" s="106">
        <f t="shared" si="114"/>
        <v>0</v>
      </c>
      <c r="Q132" s="106">
        <f t="shared" si="115"/>
        <v>0</v>
      </c>
      <c r="R132" s="106">
        <f t="shared" si="116"/>
        <v>0</v>
      </c>
      <c r="S132" s="106">
        <f t="shared" si="117"/>
        <v>0</v>
      </c>
      <c r="T132" s="107">
        <f t="shared" si="118"/>
        <v>0</v>
      </c>
      <c r="U132" s="78"/>
      <c r="AG132" s="108"/>
      <c r="AI132" s="78">
        <f t="shared" si="62"/>
        <v>0</v>
      </c>
      <c r="AJ132" s="78">
        <f t="shared" si="63"/>
        <v>0</v>
      </c>
      <c r="AK132" s="78">
        <f t="shared" si="64"/>
        <v>0</v>
      </c>
      <c r="AL132" s="78">
        <f t="shared" si="65"/>
        <v>0</v>
      </c>
      <c r="AM132" s="78">
        <f t="shared" si="66"/>
        <v>0</v>
      </c>
      <c r="AN132" s="78">
        <f t="shared" si="67"/>
        <v>0</v>
      </c>
      <c r="AO132" s="78">
        <f t="shared" si="68"/>
        <v>0</v>
      </c>
      <c r="AP132" s="78">
        <f t="shared" si="69"/>
        <v>0</v>
      </c>
      <c r="AQ132" s="78">
        <f t="shared" si="70"/>
        <v>0</v>
      </c>
      <c r="AR132" s="78">
        <f t="shared" si="71"/>
        <v>0</v>
      </c>
      <c r="AS132" s="90">
        <f t="shared" si="72"/>
        <v>0</v>
      </c>
      <c r="AT132" s="91">
        <f t="shared" si="73"/>
        <v>0</v>
      </c>
      <c r="AV132" s="91">
        <f t="shared" si="74"/>
        <v>0</v>
      </c>
      <c r="AW132" s="78">
        <f t="shared" si="75"/>
        <v>0</v>
      </c>
      <c r="AX132" s="78">
        <f t="shared" si="76"/>
        <v>0</v>
      </c>
      <c r="AY132" s="78"/>
      <c r="AZ132" s="78">
        <f t="shared" si="77"/>
        <v>0</v>
      </c>
      <c r="BA132" s="78">
        <f t="shared" si="78"/>
        <v>0</v>
      </c>
      <c r="BB132" s="78">
        <f t="shared" si="79"/>
        <v>0</v>
      </c>
      <c r="BC132" s="78">
        <f t="shared" si="80"/>
        <v>0</v>
      </c>
      <c r="BD132" s="78">
        <f t="shared" si="81"/>
        <v>0</v>
      </c>
      <c r="BE132" s="78">
        <f t="shared" si="82"/>
        <v>0</v>
      </c>
      <c r="BF132" s="78">
        <f t="shared" si="83"/>
        <v>0</v>
      </c>
      <c r="BG132" s="78">
        <f t="shared" si="84"/>
        <v>0</v>
      </c>
      <c r="BH132" s="78">
        <f t="shared" si="85"/>
        <v>0</v>
      </c>
      <c r="BI132" s="78"/>
      <c r="BJ132" s="91">
        <f t="shared" si="86"/>
        <v>0</v>
      </c>
      <c r="BK132" s="91">
        <f t="shared" si="87"/>
        <v>0</v>
      </c>
      <c r="BL132" s="78"/>
      <c r="BM132" s="78">
        <f t="shared" si="88"/>
        <v>0</v>
      </c>
      <c r="BN132" s="78">
        <f t="shared" si="89"/>
        <v>0</v>
      </c>
      <c r="BO132" s="78">
        <f t="shared" si="90"/>
        <v>0</v>
      </c>
      <c r="BP132" s="78">
        <f t="shared" si="91"/>
        <v>0</v>
      </c>
      <c r="BQ132" s="78">
        <f t="shared" si="92"/>
        <v>0</v>
      </c>
      <c r="BR132" s="78">
        <f t="shared" si="93"/>
        <v>0</v>
      </c>
      <c r="BS132" s="78">
        <f t="shared" si="94"/>
        <v>0</v>
      </c>
      <c r="BT132" s="78">
        <f t="shared" si="95"/>
        <v>0</v>
      </c>
      <c r="BU132" s="91">
        <f t="shared" si="96"/>
        <v>0</v>
      </c>
      <c r="BV132" s="91">
        <f t="shared" si="97"/>
        <v>0</v>
      </c>
      <c r="BW132" s="78"/>
      <c r="BX132" s="78"/>
      <c r="BY132" s="78">
        <f t="shared" si="98"/>
        <v>0</v>
      </c>
      <c r="BZ132" s="78">
        <f t="shared" si="99"/>
        <v>0</v>
      </c>
      <c r="CA132" s="78">
        <f t="shared" si="100"/>
        <v>0</v>
      </c>
      <c r="CB132" s="78">
        <f t="shared" si="101"/>
        <v>0</v>
      </c>
      <c r="CC132" s="78">
        <f t="shared" si="102"/>
        <v>0</v>
      </c>
      <c r="CD132" s="78">
        <f t="shared" si="103"/>
        <v>0</v>
      </c>
      <c r="CE132" s="78">
        <f t="shared" si="104"/>
        <v>0</v>
      </c>
      <c r="CF132" s="78">
        <f t="shared" si="105"/>
        <v>0</v>
      </c>
      <c r="CG132" s="78"/>
      <c r="CH132" s="92">
        <f t="shared" si="106"/>
        <v>0</v>
      </c>
      <c r="CI132" s="93">
        <f t="shared" si="107"/>
        <v>0</v>
      </c>
      <c r="CJ132" s="94">
        <f t="shared" si="108"/>
        <v>0</v>
      </c>
      <c r="CL132" s="78">
        <f t="shared" si="109"/>
        <v>0</v>
      </c>
      <c r="CM132" s="78">
        <f t="shared" si="110"/>
        <v>0</v>
      </c>
      <c r="CN132" s="78">
        <f t="shared" si="111"/>
        <v>0</v>
      </c>
      <c r="CO132" s="78">
        <f t="shared" si="112"/>
        <v>0</v>
      </c>
    </row>
    <row r="133" spans="1:93" ht="13.5" thickBot="1">
      <c r="A133" s="95"/>
      <c r="B133" s="96"/>
      <c r="C133" s="97"/>
      <c r="D133" s="98"/>
      <c r="E133" s="99"/>
      <c r="F133" s="100"/>
      <c r="G133" s="100"/>
      <c r="H133" s="100"/>
      <c r="I133" s="100"/>
      <c r="J133" s="100"/>
      <c r="K133" s="101" t="str">
        <f t="shared" si="113"/>
        <v/>
      </c>
      <c r="L133" s="102"/>
      <c r="M133" s="103"/>
      <c r="N133" s="104"/>
      <c r="O133" s="105"/>
      <c r="P133" s="106">
        <f t="shared" si="114"/>
        <v>0</v>
      </c>
      <c r="Q133" s="106">
        <f t="shared" si="115"/>
        <v>0</v>
      </c>
      <c r="R133" s="106">
        <f t="shared" si="116"/>
        <v>0</v>
      </c>
      <c r="S133" s="106">
        <f t="shared" si="117"/>
        <v>0</v>
      </c>
      <c r="T133" s="107">
        <f t="shared" si="118"/>
        <v>0</v>
      </c>
      <c r="U133" s="78"/>
      <c r="AG133" s="108"/>
      <c r="AI133" s="78">
        <f t="shared" si="62"/>
        <v>0</v>
      </c>
      <c r="AJ133" s="78">
        <f t="shared" si="63"/>
        <v>0</v>
      </c>
      <c r="AK133" s="78">
        <f t="shared" si="64"/>
        <v>0</v>
      </c>
      <c r="AL133" s="78">
        <f t="shared" si="65"/>
        <v>0</v>
      </c>
      <c r="AM133" s="78">
        <f t="shared" si="66"/>
        <v>0</v>
      </c>
      <c r="AN133" s="78">
        <f t="shared" si="67"/>
        <v>0</v>
      </c>
      <c r="AO133" s="78">
        <f t="shared" si="68"/>
        <v>0</v>
      </c>
      <c r="AP133" s="78">
        <f t="shared" si="69"/>
        <v>0</v>
      </c>
      <c r="AQ133" s="78">
        <f t="shared" si="70"/>
        <v>0</v>
      </c>
      <c r="AR133" s="78">
        <f t="shared" si="71"/>
        <v>0</v>
      </c>
      <c r="AS133" s="90">
        <f t="shared" si="72"/>
        <v>0</v>
      </c>
      <c r="AT133" s="91">
        <f t="shared" si="73"/>
        <v>0</v>
      </c>
      <c r="AV133" s="91">
        <f t="shared" si="74"/>
        <v>0</v>
      </c>
      <c r="AW133" s="78">
        <f t="shared" si="75"/>
        <v>0</v>
      </c>
      <c r="AX133" s="78">
        <f t="shared" si="76"/>
        <v>0</v>
      </c>
      <c r="AY133" s="78"/>
      <c r="AZ133" s="78">
        <f t="shared" si="77"/>
        <v>0</v>
      </c>
      <c r="BA133" s="78">
        <f t="shared" si="78"/>
        <v>0</v>
      </c>
      <c r="BB133" s="78">
        <f t="shared" si="79"/>
        <v>0</v>
      </c>
      <c r="BC133" s="78">
        <f t="shared" si="80"/>
        <v>0</v>
      </c>
      <c r="BD133" s="78">
        <f t="shared" si="81"/>
        <v>0</v>
      </c>
      <c r="BE133" s="78">
        <f t="shared" si="82"/>
        <v>0</v>
      </c>
      <c r="BF133" s="78">
        <f t="shared" si="83"/>
        <v>0</v>
      </c>
      <c r="BG133" s="78">
        <f t="shared" si="84"/>
        <v>0</v>
      </c>
      <c r="BH133" s="78">
        <f t="shared" si="85"/>
        <v>0</v>
      </c>
      <c r="BI133" s="78"/>
      <c r="BJ133" s="91">
        <f t="shared" si="86"/>
        <v>0</v>
      </c>
      <c r="BK133" s="91">
        <f t="shared" si="87"/>
        <v>0</v>
      </c>
      <c r="BL133" s="78"/>
      <c r="BM133" s="78">
        <f t="shared" si="88"/>
        <v>0</v>
      </c>
      <c r="BN133" s="78">
        <f t="shared" si="89"/>
        <v>0</v>
      </c>
      <c r="BO133" s="78">
        <f t="shared" si="90"/>
        <v>0</v>
      </c>
      <c r="BP133" s="78">
        <f t="shared" si="91"/>
        <v>0</v>
      </c>
      <c r="BQ133" s="78">
        <f t="shared" si="92"/>
        <v>0</v>
      </c>
      <c r="BR133" s="78">
        <f t="shared" si="93"/>
        <v>0</v>
      </c>
      <c r="BS133" s="78">
        <f t="shared" si="94"/>
        <v>0</v>
      </c>
      <c r="BT133" s="78">
        <f t="shared" si="95"/>
        <v>0</v>
      </c>
      <c r="BU133" s="91">
        <f t="shared" si="96"/>
        <v>0</v>
      </c>
      <c r="BV133" s="91">
        <f t="shared" si="97"/>
        <v>0</v>
      </c>
      <c r="BW133" s="78"/>
      <c r="BX133" s="78"/>
      <c r="BY133" s="78">
        <f t="shared" si="98"/>
        <v>0</v>
      </c>
      <c r="BZ133" s="78">
        <f t="shared" si="99"/>
        <v>0</v>
      </c>
      <c r="CA133" s="78">
        <f t="shared" si="100"/>
        <v>0</v>
      </c>
      <c r="CB133" s="78">
        <f t="shared" si="101"/>
        <v>0</v>
      </c>
      <c r="CC133" s="78">
        <f t="shared" si="102"/>
        <v>0</v>
      </c>
      <c r="CD133" s="78">
        <f t="shared" si="103"/>
        <v>0</v>
      </c>
      <c r="CE133" s="78">
        <f t="shared" si="104"/>
        <v>0</v>
      </c>
      <c r="CF133" s="78">
        <f t="shared" si="105"/>
        <v>0</v>
      </c>
      <c r="CG133" s="78"/>
      <c r="CH133" s="92">
        <f t="shared" si="106"/>
        <v>0</v>
      </c>
      <c r="CI133" s="93">
        <f t="shared" si="107"/>
        <v>0</v>
      </c>
      <c r="CJ133" s="94">
        <f t="shared" si="108"/>
        <v>0</v>
      </c>
      <c r="CL133" s="78">
        <f t="shared" si="109"/>
        <v>0</v>
      </c>
      <c r="CM133" s="78">
        <f t="shared" si="110"/>
        <v>0</v>
      </c>
      <c r="CN133" s="78">
        <f t="shared" si="111"/>
        <v>0</v>
      </c>
      <c r="CO133" s="78">
        <f t="shared" si="112"/>
        <v>0</v>
      </c>
    </row>
    <row r="134" spans="1:93" ht="13.5" thickBot="1">
      <c r="A134" s="95"/>
      <c r="B134" s="96"/>
      <c r="C134" s="97"/>
      <c r="D134" s="98"/>
      <c r="E134" s="99"/>
      <c r="F134" s="100"/>
      <c r="G134" s="100"/>
      <c r="H134" s="100"/>
      <c r="I134" s="100"/>
      <c r="J134" s="100"/>
      <c r="K134" s="101" t="str">
        <f t="shared" si="113"/>
        <v/>
      </c>
      <c r="L134" s="102"/>
      <c r="M134" s="103"/>
      <c r="N134" s="104"/>
      <c r="O134" s="105"/>
      <c r="P134" s="106">
        <f t="shared" si="114"/>
        <v>0</v>
      </c>
      <c r="Q134" s="106">
        <f t="shared" si="115"/>
        <v>0</v>
      </c>
      <c r="R134" s="106">
        <f t="shared" si="116"/>
        <v>0</v>
      </c>
      <c r="S134" s="106">
        <f t="shared" si="117"/>
        <v>0</v>
      </c>
      <c r="T134" s="107">
        <f t="shared" si="118"/>
        <v>0</v>
      </c>
      <c r="U134" s="78"/>
      <c r="AG134" s="108"/>
      <c r="AI134" s="78">
        <f t="shared" si="62"/>
        <v>0</v>
      </c>
      <c r="AJ134" s="78">
        <f t="shared" si="63"/>
        <v>0</v>
      </c>
      <c r="AK134" s="78">
        <f t="shared" si="64"/>
        <v>0</v>
      </c>
      <c r="AL134" s="78">
        <f t="shared" si="65"/>
        <v>0</v>
      </c>
      <c r="AM134" s="78">
        <f t="shared" si="66"/>
        <v>0</v>
      </c>
      <c r="AN134" s="78">
        <f t="shared" si="67"/>
        <v>0</v>
      </c>
      <c r="AO134" s="78">
        <f t="shared" si="68"/>
        <v>0</v>
      </c>
      <c r="AP134" s="78">
        <f t="shared" si="69"/>
        <v>0</v>
      </c>
      <c r="AQ134" s="78">
        <f t="shared" si="70"/>
        <v>0</v>
      </c>
      <c r="AR134" s="78">
        <f t="shared" si="71"/>
        <v>0</v>
      </c>
      <c r="AS134" s="90">
        <f t="shared" si="72"/>
        <v>0</v>
      </c>
      <c r="AT134" s="91">
        <f t="shared" si="73"/>
        <v>0</v>
      </c>
      <c r="AV134" s="91">
        <f t="shared" si="74"/>
        <v>0</v>
      </c>
      <c r="AW134" s="78">
        <f t="shared" si="75"/>
        <v>0</v>
      </c>
      <c r="AX134" s="78">
        <f t="shared" si="76"/>
        <v>0</v>
      </c>
      <c r="AY134" s="78"/>
      <c r="AZ134" s="78">
        <f t="shared" si="77"/>
        <v>0</v>
      </c>
      <c r="BA134" s="78">
        <f t="shared" si="78"/>
        <v>0</v>
      </c>
      <c r="BB134" s="78">
        <f t="shared" si="79"/>
        <v>0</v>
      </c>
      <c r="BC134" s="78">
        <f t="shared" si="80"/>
        <v>0</v>
      </c>
      <c r="BD134" s="78">
        <f t="shared" si="81"/>
        <v>0</v>
      </c>
      <c r="BE134" s="78">
        <f t="shared" si="82"/>
        <v>0</v>
      </c>
      <c r="BF134" s="78">
        <f t="shared" si="83"/>
        <v>0</v>
      </c>
      <c r="BG134" s="78">
        <f t="shared" si="84"/>
        <v>0</v>
      </c>
      <c r="BH134" s="78">
        <f t="shared" si="85"/>
        <v>0</v>
      </c>
      <c r="BI134" s="78"/>
      <c r="BJ134" s="91">
        <f t="shared" si="86"/>
        <v>0</v>
      </c>
      <c r="BK134" s="91">
        <f t="shared" si="87"/>
        <v>0</v>
      </c>
      <c r="BL134" s="78"/>
      <c r="BM134" s="78">
        <f t="shared" si="88"/>
        <v>0</v>
      </c>
      <c r="BN134" s="78">
        <f t="shared" si="89"/>
        <v>0</v>
      </c>
      <c r="BO134" s="78">
        <f t="shared" si="90"/>
        <v>0</v>
      </c>
      <c r="BP134" s="78">
        <f t="shared" si="91"/>
        <v>0</v>
      </c>
      <c r="BQ134" s="78">
        <f t="shared" si="92"/>
        <v>0</v>
      </c>
      <c r="BR134" s="78">
        <f t="shared" si="93"/>
        <v>0</v>
      </c>
      <c r="BS134" s="78">
        <f t="shared" si="94"/>
        <v>0</v>
      </c>
      <c r="BT134" s="78">
        <f t="shared" si="95"/>
        <v>0</v>
      </c>
      <c r="BU134" s="91">
        <f t="shared" si="96"/>
        <v>0</v>
      </c>
      <c r="BV134" s="91">
        <f t="shared" si="97"/>
        <v>0</v>
      </c>
      <c r="BW134" s="78"/>
      <c r="BX134" s="78"/>
      <c r="BY134" s="78">
        <f t="shared" si="98"/>
        <v>0</v>
      </c>
      <c r="BZ134" s="78">
        <f t="shared" si="99"/>
        <v>0</v>
      </c>
      <c r="CA134" s="78">
        <f t="shared" si="100"/>
        <v>0</v>
      </c>
      <c r="CB134" s="78">
        <f t="shared" si="101"/>
        <v>0</v>
      </c>
      <c r="CC134" s="78">
        <f t="shared" si="102"/>
        <v>0</v>
      </c>
      <c r="CD134" s="78">
        <f t="shared" si="103"/>
        <v>0</v>
      </c>
      <c r="CE134" s="78">
        <f t="shared" si="104"/>
        <v>0</v>
      </c>
      <c r="CF134" s="78">
        <f t="shared" si="105"/>
        <v>0</v>
      </c>
      <c r="CG134" s="78"/>
      <c r="CH134" s="92">
        <f t="shared" si="106"/>
        <v>0</v>
      </c>
      <c r="CI134" s="93">
        <f t="shared" si="107"/>
        <v>0</v>
      </c>
      <c r="CJ134" s="94">
        <f t="shared" si="108"/>
        <v>0</v>
      </c>
      <c r="CL134" s="78">
        <f t="shared" si="109"/>
        <v>0</v>
      </c>
      <c r="CM134" s="78">
        <f t="shared" si="110"/>
        <v>0</v>
      </c>
      <c r="CN134" s="78">
        <f t="shared" si="111"/>
        <v>0</v>
      </c>
      <c r="CO134" s="78">
        <f t="shared" si="112"/>
        <v>0</v>
      </c>
    </row>
    <row r="135" spans="1:93" ht="13.5" thickBot="1">
      <c r="A135" s="95"/>
      <c r="B135" s="96"/>
      <c r="C135" s="97"/>
      <c r="D135" s="98"/>
      <c r="E135" s="99"/>
      <c r="F135" s="100"/>
      <c r="G135" s="100"/>
      <c r="H135" s="100"/>
      <c r="I135" s="100"/>
      <c r="J135" s="100"/>
      <c r="K135" s="101" t="str">
        <f t="shared" si="113"/>
        <v/>
      </c>
      <c r="L135" s="102"/>
      <c r="M135" s="103"/>
      <c r="N135" s="104"/>
      <c r="O135" s="105"/>
      <c r="P135" s="106">
        <f t="shared" si="114"/>
        <v>0</v>
      </c>
      <c r="Q135" s="106">
        <f t="shared" si="115"/>
        <v>0</v>
      </c>
      <c r="R135" s="106">
        <f t="shared" si="116"/>
        <v>0</v>
      </c>
      <c r="S135" s="106">
        <f t="shared" si="117"/>
        <v>0</v>
      </c>
      <c r="T135" s="107">
        <f t="shared" si="118"/>
        <v>0</v>
      </c>
      <c r="U135" s="78"/>
      <c r="AG135" s="108"/>
      <c r="AI135" s="78">
        <f t="shared" si="62"/>
        <v>0</v>
      </c>
      <c r="AJ135" s="78">
        <f t="shared" si="63"/>
        <v>0</v>
      </c>
      <c r="AK135" s="78">
        <f t="shared" si="64"/>
        <v>0</v>
      </c>
      <c r="AL135" s="78">
        <f t="shared" si="65"/>
        <v>0</v>
      </c>
      <c r="AM135" s="78">
        <f t="shared" si="66"/>
        <v>0</v>
      </c>
      <c r="AN135" s="78">
        <f t="shared" si="67"/>
        <v>0</v>
      </c>
      <c r="AO135" s="78">
        <f t="shared" si="68"/>
        <v>0</v>
      </c>
      <c r="AP135" s="78">
        <f t="shared" si="69"/>
        <v>0</v>
      </c>
      <c r="AQ135" s="78">
        <f t="shared" si="70"/>
        <v>0</v>
      </c>
      <c r="AR135" s="78">
        <f t="shared" si="71"/>
        <v>0</v>
      </c>
      <c r="AS135" s="90">
        <f t="shared" si="72"/>
        <v>0</v>
      </c>
      <c r="AT135" s="91">
        <f t="shared" si="73"/>
        <v>0</v>
      </c>
      <c r="AV135" s="91">
        <f t="shared" si="74"/>
        <v>0</v>
      </c>
      <c r="AW135" s="78">
        <f t="shared" si="75"/>
        <v>0</v>
      </c>
      <c r="AX135" s="78">
        <f t="shared" si="76"/>
        <v>0</v>
      </c>
      <c r="AY135" s="78"/>
      <c r="AZ135" s="78">
        <f t="shared" si="77"/>
        <v>0</v>
      </c>
      <c r="BA135" s="78">
        <f t="shared" si="78"/>
        <v>0</v>
      </c>
      <c r="BB135" s="78">
        <f t="shared" si="79"/>
        <v>0</v>
      </c>
      <c r="BC135" s="78">
        <f t="shared" si="80"/>
        <v>0</v>
      </c>
      <c r="BD135" s="78">
        <f t="shared" si="81"/>
        <v>0</v>
      </c>
      <c r="BE135" s="78">
        <f t="shared" si="82"/>
        <v>0</v>
      </c>
      <c r="BF135" s="78">
        <f t="shared" si="83"/>
        <v>0</v>
      </c>
      <c r="BG135" s="78">
        <f t="shared" si="84"/>
        <v>0</v>
      </c>
      <c r="BH135" s="78">
        <f t="shared" si="85"/>
        <v>0</v>
      </c>
      <c r="BI135" s="78"/>
      <c r="BJ135" s="91">
        <f t="shared" si="86"/>
        <v>0</v>
      </c>
      <c r="BK135" s="91">
        <f t="shared" si="87"/>
        <v>0</v>
      </c>
      <c r="BL135" s="78"/>
      <c r="BM135" s="78">
        <f t="shared" si="88"/>
        <v>0</v>
      </c>
      <c r="BN135" s="78">
        <f t="shared" si="89"/>
        <v>0</v>
      </c>
      <c r="BO135" s="78">
        <f t="shared" si="90"/>
        <v>0</v>
      </c>
      <c r="BP135" s="78">
        <f t="shared" si="91"/>
        <v>0</v>
      </c>
      <c r="BQ135" s="78">
        <f t="shared" si="92"/>
        <v>0</v>
      </c>
      <c r="BR135" s="78">
        <f t="shared" si="93"/>
        <v>0</v>
      </c>
      <c r="BS135" s="78">
        <f t="shared" si="94"/>
        <v>0</v>
      </c>
      <c r="BT135" s="78">
        <f t="shared" si="95"/>
        <v>0</v>
      </c>
      <c r="BU135" s="91">
        <f t="shared" si="96"/>
        <v>0</v>
      </c>
      <c r="BV135" s="91">
        <f t="shared" si="97"/>
        <v>0</v>
      </c>
      <c r="BW135" s="78"/>
      <c r="BX135" s="78"/>
      <c r="BY135" s="78">
        <f t="shared" si="98"/>
        <v>0</v>
      </c>
      <c r="BZ135" s="78">
        <f t="shared" si="99"/>
        <v>0</v>
      </c>
      <c r="CA135" s="78">
        <f t="shared" si="100"/>
        <v>0</v>
      </c>
      <c r="CB135" s="78">
        <f t="shared" si="101"/>
        <v>0</v>
      </c>
      <c r="CC135" s="78">
        <f t="shared" si="102"/>
        <v>0</v>
      </c>
      <c r="CD135" s="78">
        <f t="shared" si="103"/>
        <v>0</v>
      </c>
      <c r="CE135" s="78">
        <f t="shared" si="104"/>
        <v>0</v>
      </c>
      <c r="CF135" s="78">
        <f t="shared" si="105"/>
        <v>0</v>
      </c>
      <c r="CG135" s="78"/>
      <c r="CH135" s="92">
        <f t="shared" si="106"/>
        <v>0</v>
      </c>
      <c r="CI135" s="93">
        <f t="shared" si="107"/>
        <v>0</v>
      </c>
      <c r="CJ135" s="94">
        <f t="shared" si="108"/>
        <v>0</v>
      </c>
      <c r="CL135" s="78">
        <f t="shared" si="109"/>
        <v>0</v>
      </c>
      <c r="CM135" s="78">
        <f t="shared" si="110"/>
        <v>0</v>
      </c>
      <c r="CN135" s="78">
        <f t="shared" si="111"/>
        <v>0</v>
      </c>
      <c r="CO135" s="78">
        <f t="shared" si="112"/>
        <v>0</v>
      </c>
    </row>
    <row r="136" spans="1:93" ht="13.5" thickBot="1">
      <c r="A136" s="95"/>
      <c r="B136" s="96"/>
      <c r="C136" s="97"/>
      <c r="D136" s="98"/>
      <c r="E136" s="99"/>
      <c r="F136" s="100"/>
      <c r="G136" s="100"/>
      <c r="H136" s="100"/>
      <c r="I136" s="100"/>
      <c r="J136" s="100"/>
      <c r="K136" s="101" t="str">
        <f t="shared" si="113"/>
        <v/>
      </c>
      <c r="L136" s="102"/>
      <c r="M136" s="103"/>
      <c r="N136" s="104"/>
      <c r="O136" s="105"/>
      <c r="P136" s="106">
        <f t="shared" si="114"/>
        <v>0</v>
      </c>
      <c r="Q136" s="106">
        <f t="shared" si="115"/>
        <v>0</v>
      </c>
      <c r="R136" s="106">
        <f t="shared" si="116"/>
        <v>0</v>
      </c>
      <c r="S136" s="106">
        <f t="shared" si="117"/>
        <v>0</v>
      </c>
      <c r="T136" s="107">
        <f t="shared" si="118"/>
        <v>0</v>
      </c>
      <c r="U136" s="78"/>
      <c r="AG136" s="108"/>
      <c r="AI136" s="78">
        <f t="shared" si="62"/>
        <v>0</v>
      </c>
      <c r="AJ136" s="78">
        <f t="shared" si="63"/>
        <v>0</v>
      </c>
      <c r="AK136" s="78">
        <f t="shared" si="64"/>
        <v>0</v>
      </c>
      <c r="AL136" s="78">
        <f t="shared" si="65"/>
        <v>0</v>
      </c>
      <c r="AM136" s="78">
        <f t="shared" si="66"/>
        <v>0</v>
      </c>
      <c r="AN136" s="78">
        <f t="shared" si="67"/>
        <v>0</v>
      </c>
      <c r="AO136" s="78">
        <f t="shared" si="68"/>
        <v>0</v>
      </c>
      <c r="AP136" s="78">
        <f t="shared" si="69"/>
        <v>0</v>
      </c>
      <c r="AQ136" s="78">
        <f t="shared" si="70"/>
        <v>0</v>
      </c>
      <c r="AR136" s="78">
        <f t="shared" si="71"/>
        <v>0</v>
      </c>
      <c r="AS136" s="90">
        <f t="shared" si="72"/>
        <v>0</v>
      </c>
      <c r="AT136" s="91">
        <f t="shared" si="73"/>
        <v>0</v>
      </c>
      <c r="AV136" s="91">
        <f t="shared" si="74"/>
        <v>0</v>
      </c>
      <c r="AW136" s="78">
        <f t="shared" si="75"/>
        <v>0</v>
      </c>
      <c r="AX136" s="78">
        <f t="shared" si="76"/>
        <v>0</v>
      </c>
      <c r="AY136" s="78"/>
      <c r="AZ136" s="78">
        <f t="shared" si="77"/>
        <v>0</v>
      </c>
      <c r="BA136" s="78">
        <f t="shared" si="78"/>
        <v>0</v>
      </c>
      <c r="BB136" s="78">
        <f t="shared" si="79"/>
        <v>0</v>
      </c>
      <c r="BC136" s="78">
        <f t="shared" si="80"/>
        <v>0</v>
      </c>
      <c r="BD136" s="78">
        <f t="shared" si="81"/>
        <v>0</v>
      </c>
      <c r="BE136" s="78">
        <f t="shared" si="82"/>
        <v>0</v>
      </c>
      <c r="BF136" s="78">
        <f t="shared" si="83"/>
        <v>0</v>
      </c>
      <c r="BG136" s="78">
        <f t="shared" si="84"/>
        <v>0</v>
      </c>
      <c r="BH136" s="78">
        <f t="shared" si="85"/>
        <v>0</v>
      </c>
      <c r="BI136" s="78"/>
      <c r="BJ136" s="91">
        <f t="shared" si="86"/>
        <v>0</v>
      </c>
      <c r="BK136" s="91">
        <f t="shared" si="87"/>
        <v>0</v>
      </c>
      <c r="BL136" s="78"/>
      <c r="BM136" s="78">
        <f t="shared" si="88"/>
        <v>0</v>
      </c>
      <c r="BN136" s="78">
        <f t="shared" si="89"/>
        <v>0</v>
      </c>
      <c r="BO136" s="78">
        <f t="shared" si="90"/>
        <v>0</v>
      </c>
      <c r="BP136" s="78">
        <f t="shared" si="91"/>
        <v>0</v>
      </c>
      <c r="BQ136" s="78">
        <f t="shared" si="92"/>
        <v>0</v>
      </c>
      <c r="BR136" s="78">
        <f t="shared" si="93"/>
        <v>0</v>
      </c>
      <c r="BS136" s="78">
        <f t="shared" si="94"/>
        <v>0</v>
      </c>
      <c r="BT136" s="78">
        <f t="shared" si="95"/>
        <v>0</v>
      </c>
      <c r="BU136" s="91">
        <f t="shared" si="96"/>
        <v>0</v>
      </c>
      <c r="BV136" s="91">
        <f t="shared" si="97"/>
        <v>0</v>
      </c>
      <c r="BW136" s="78"/>
      <c r="BX136" s="78"/>
      <c r="BY136" s="78">
        <f t="shared" si="98"/>
        <v>0</v>
      </c>
      <c r="BZ136" s="78">
        <f t="shared" si="99"/>
        <v>0</v>
      </c>
      <c r="CA136" s="78">
        <f t="shared" si="100"/>
        <v>0</v>
      </c>
      <c r="CB136" s="78">
        <f t="shared" si="101"/>
        <v>0</v>
      </c>
      <c r="CC136" s="78">
        <f t="shared" si="102"/>
        <v>0</v>
      </c>
      <c r="CD136" s="78">
        <f t="shared" si="103"/>
        <v>0</v>
      </c>
      <c r="CE136" s="78">
        <f t="shared" si="104"/>
        <v>0</v>
      </c>
      <c r="CF136" s="78">
        <f t="shared" si="105"/>
        <v>0</v>
      </c>
      <c r="CG136" s="78"/>
      <c r="CH136" s="92">
        <f t="shared" si="106"/>
        <v>0</v>
      </c>
      <c r="CI136" s="93">
        <f t="shared" si="107"/>
        <v>0</v>
      </c>
      <c r="CJ136" s="94">
        <f t="shared" si="108"/>
        <v>0</v>
      </c>
      <c r="CL136" s="78">
        <f t="shared" si="109"/>
        <v>0</v>
      </c>
      <c r="CM136" s="78">
        <f t="shared" si="110"/>
        <v>0</v>
      </c>
      <c r="CN136" s="78">
        <f t="shared" si="111"/>
        <v>0</v>
      </c>
      <c r="CO136" s="78">
        <f t="shared" si="112"/>
        <v>0</v>
      </c>
    </row>
    <row r="137" spans="1:93" ht="13.5" thickBot="1">
      <c r="A137" s="95"/>
      <c r="B137" s="96"/>
      <c r="C137" s="97"/>
      <c r="D137" s="98"/>
      <c r="E137" s="99"/>
      <c r="F137" s="100"/>
      <c r="G137" s="100"/>
      <c r="H137" s="100"/>
      <c r="I137" s="100"/>
      <c r="J137" s="100"/>
      <c r="K137" s="101" t="str">
        <f t="shared" si="113"/>
        <v/>
      </c>
      <c r="L137" s="102"/>
      <c r="M137" s="103"/>
      <c r="N137" s="104"/>
      <c r="O137" s="105"/>
      <c r="P137" s="106">
        <f t="shared" si="114"/>
        <v>0</v>
      </c>
      <c r="Q137" s="106">
        <f t="shared" si="115"/>
        <v>0</v>
      </c>
      <c r="R137" s="106">
        <f t="shared" si="116"/>
        <v>0</v>
      </c>
      <c r="S137" s="106">
        <f t="shared" si="117"/>
        <v>0</v>
      </c>
      <c r="T137" s="107">
        <f t="shared" si="118"/>
        <v>0</v>
      </c>
      <c r="U137" s="78"/>
      <c r="AG137" s="108"/>
      <c r="AI137" s="78">
        <f t="shared" si="62"/>
        <v>0</v>
      </c>
      <c r="AJ137" s="78">
        <f t="shared" si="63"/>
        <v>0</v>
      </c>
      <c r="AK137" s="78">
        <f t="shared" si="64"/>
        <v>0</v>
      </c>
      <c r="AL137" s="78">
        <f t="shared" si="65"/>
        <v>0</v>
      </c>
      <c r="AM137" s="78">
        <f t="shared" si="66"/>
        <v>0</v>
      </c>
      <c r="AN137" s="78">
        <f t="shared" si="67"/>
        <v>0</v>
      </c>
      <c r="AO137" s="78">
        <f t="shared" si="68"/>
        <v>0</v>
      </c>
      <c r="AP137" s="78">
        <f t="shared" si="69"/>
        <v>0</v>
      </c>
      <c r="AQ137" s="78">
        <f t="shared" si="70"/>
        <v>0</v>
      </c>
      <c r="AR137" s="78">
        <f t="shared" si="71"/>
        <v>0</v>
      </c>
      <c r="AS137" s="90">
        <f t="shared" si="72"/>
        <v>0</v>
      </c>
      <c r="AT137" s="91">
        <f t="shared" si="73"/>
        <v>0</v>
      </c>
      <c r="AV137" s="91">
        <f t="shared" si="74"/>
        <v>0</v>
      </c>
      <c r="AW137" s="78">
        <f t="shared" si="75"/>
        <v>0</v>
      </c>
      <c r="AX137" s="78">
        <f t="shared" si="76"/>
        <v>0</v>
      </c>
      <c r="AY137" s="78"/>
      <c r="AZ137" s="78">
        <f t="shared" si="77"/>
        <v>0</v>
      </c>
      <c r="BA137" s="78">
        <f t="shared" si="78"/>
        <v>0</v>
      </c>
      <c r="BB137" s="78">
        <f t="shared" si="79"/>
        <v>0</v>
      </c>
      <c r="BC137" s="78">
        <f t="shared" si="80"/>
        <v>0</v>
      </c>
      <c r="BD137" s="78">
        <f t="shared" si="81"/>
        <v>0</v>
      </c>
      <c r="BE137" s="78">
        <f t="shared" si="82"/>
        <v>0</v>
      </c>
      <c r="BF137" s="78">
        <f t="shared" si="83"/>
        <v>0</v>
      </c>
      <c r="BG137" s="78">
        <f t="shared" si="84"/>
        <v>0</v>
      </c>
      <c r="BH137" s="78">
        <f t="shared" si="85"/>
        <v>0</v>
      </c>
      <c r="BI137" s="78"/>
      <c r="BJ137" s="91">
        <f t="shared" si="86"/>
        <v>0</v>
      </c>
      <c r="BK137" s="91">
        <f t="shared" si="87"/>
        <v>0</v>
      </c>
      <c r="BL137" s="78"/>
      <c r="BM137" s="78">
        <f t="shared" si="88"/>
        <v>0</v>
      </c>
      <c r="BN137" s="78">
        <f t="shared" si="89"/>
        <v>0</v>
      </c>
      <c r="BO137" s="78">
        <f t="shared" si="90"/>
        <v>0</v>
      </c>
      <c r="BP137" s="78">
        <f t="shared" si="91"/>
        <v>0</v>
      </c>
      <c r="BQ137" s="78">
        <f t="shared" si="92"/>
        <v>0</v>
      </c>
      <c r="BR137" s="78">
        <f t="shared" si="93"/>
        <v>0</v>
      </c>
      <c r="BS137" s="78">
        <f t="shared" si="94"/>
        <v>0</v>
      </c>
      <c r="BT137" s="78">
        <f t="shared" si="95"/>
        <v>0</v>
      </c>
      <c r="BU137" s="91">
        <f t="shared" si="96"/>
        <v>0</v>
      </c>
      <c r="BV137" s="91">
        <f t="shared" si="97"/>
        <v>0</v>
      </c>
      <c r="BW137" s="78"/>
      <c r="BX137" s="78"/>
      <c r="BY137" s="78">
        <f t="shared" si="98"/>
        <v>0</v>
      </c>
      <c r="BZ137" s="78">
        <f t="shared" si="99"/>
        <v>0</v>
      </c>
      <c r="CA137" s="78">
        <f t="shared" si="100"/>
        <v>0</v>
      </c>
      <c r="CB137" s="78">
        <f t="shared" si="101"/>
        <v>0</v>
      </c>
      <c r="CC137" s="78">
        <f t="shared" si="102"/>
        <v>0</v>
      </c>
      <c r="CD137" s="78">
        <f t="shared" si="103"/>
        <v>0</v>
      </c>
      <c r="CE137" s="78">
        <f t="shared" si="104"/>
        <v>0</v>
      </c>
      <c r="CF137" s="78">
        <f t="shared" si="105"/>
        <v>0</v>
      </c>
      <c r="CG137" s="78"/>
      <c r="CH137" s="92">
        <f t="shared" si="106"/>
        <v>0</v>
      </c>
      <c r="CI137" s="93">
        <f t="shared" si="107"/>
        <v>0</v>
      </c>
      <c r="CJ137" s="94">
        <f t="shared" si="108"/>
        <v>0</v>
      </c>
      <c r="CL137" s="78">
        <f t="shared" si="109"/>
        <v>0</v>
      </c>
      <c r="CM137" s="78">
        <f t="shared" si="110"/>
        <v>0</v>
      </c>
      <c r="CN137" s="78">
        <f t="shared" si="111"/>
        <v>0</v>
      </c>
      <c r="CO137" s="78">
        <f t="shared" si="112"/>
        <v>0</v>
      </c>
    </row>
    <row r="138" spans="1:93" ht="13.5" thickBot="1">
      <c r="A138" s="95"/>
      <c r="B138" s="96"/>
      <c r="C138" s="97"/>
      <c r="D138" s="98"/>
      <c r="E138" s="99"/>
      <c r="F138" s="100"/>
      <c r="G138" s="100"/>
      <c r="H138" s="100"/>
      <c r="I138" s="100"/>
      <c r="J138" s="100"/>
      <c r="K138" s="101" t="str">
        <f t="shared" si="113"/>
        <v/>
      </c>
      <c r="L138" s="102"/>
      <c r="M138" s="103"/>
      <c r="N138" s="104"/>
      <c r="O138" s="105"/>
      <c r="P138" s="106">
        <f t="shared" si="114"/>
        <v>0</v>
      </c>
      <c r="Q138" s="106">
        <f t="shared" si="115"/>
        <v>0</v>
      </c>
      <c r="R138" s="106">
        <f t="shared" si="116"/>
        <v>0</v>
      </c>
      <c r="S138" s="106">
        <f t="shared" si="117"/>
        <v>0</v>
      </c>
      <c r="T138" s="107">
        <f t="shared" si="118"/>
        <v>0</v>
      </c>
      <c r="U138" s="78"/>
      <c r="AG138" s="108"/>
      <c r="AI138" s="78">
        <f t="shared" si="62"/>
        <v>0</v>
      </c>
      <c r="AJ138" s="78">
        <f t="shared" si="63"/>
        <v>0</v>
      </c>
      <c r="AK138" s="78">
        <f t="shared" si="64"/>
        <v>0</v>
      </c>
      <c r="AL138" s="78">
        <f t="shared" si="65"/>
        <v>0</v>
      </c>
      <c r="AM138" s="78">
        <f t="shared" si="66"/>
        <v>0</v>
      </c>
      <c r="AN138" s="78">
        <f t="shared" si="67"/>
        <v>0</v>
      </c>
      <c r="AO138" s="78">
        <f t="shared" si="68"/>
        <v>0</v>
      </c>
      <c r="AP138" s="78">
        <f t="shared" si="69"/>
        <v>0</v>
      </c>
      <c r="AQ138" s="78">
        <f t="shared" si="70"/>
        <v>0</v>
      </c>
      <c r="AR138" s="78">
        <f t="shared" si="71"/>
        <v>0</v>
      </c>
      <c r="AS138" s="90">
        <f t="shared" si="72"/>
        <v>0</v>
      </c>
      <c r="AT138" s="91">
        <f t="shared" si="73"/>
        <v>0</v>
      </c>
      <c r="AV138" s="91">
        <f t="shared" si="74"/>
        <v>0</v>
      </c>
      <c r="AW138" s="78">
        <f t="shared" si="75"/>
        <v>0</v>
      </c>
      <c r="AX138" s="78">
        <f t="shared" si="76"/>
        <v>0</v>
      </c>
      <c r="AY138" s="78"/>
      <c r="AZ138" s="78">
        <f t="shared" si="77"/>
        <v>0</v>
      </c>
      <c r="BA138" s="78">
        <f t="shared" si="78"/>
        <v>0</v>
      </c>
      <c r="BB138" s="78">
        <f t="shared" si="79"/>
        <v>0</v>
      </c>
      <c r="BC138" s="78">
        <f t="shared" si="80"/>
        <v>0</v>
      </c>
      <c r="BD138" s="78">
        <f t="shared" si="81"/>
        <v>0</v>
      </c>
      <c r="BE138" s="78">
        <f t="shared" si="82"/>
        <v>0</v>
      </c>
      <c r="BF138" s="78">
        <f t="shared" si="83"/>
        <v>0</v>
      </c>
      <c r="BG138" s="78">
        <f t="shared" si="84"/>
        <v>0</v>
      </c>
      <c r="BH138" s="78">
        <f t="shared" si="85"/>
        <v>0</v>
      </c>
      <c r="BI138" s="78"/>
      <c r="BJ138" s="91">
        <f t="shared" si="86"/>
        <v>0</v>
      </c>
      <c r="BK138" s="91">
        <f t="shared" si="87"/>
        <v>0</v>
      </c>
      <c r="BL138" s="78"/>
      <c r="BM138" s="78">
        <f t="shared" si="88"/>
        <v>0</v>
      </c>
      <c r="BN138" s="78">
        <f t="shared" si="89"/>
        <v>0</v>
      </c>
      <c r="BO138" s="78">
        <f t="shared" si="90"/>
        <v>0</v>
      </c>
      <c r="BP138" s="78">
        <f t="shared" si="91"/>
        <v>0</v>
      </c>
      <c r="BQ138" s="78">
        <f t="shared" si="92"/>
        <v>0</v>
      </c>
      <c r="BR138" s="78">
        <f t="shared" si="93"/>
        <v>0</v>
      </c>
      <c r="BS138" s="78">
        <f t="shared" si="94"/>
        <v>0</v>
      </c>
      <c r="BT138" s="78">
        <f t="shared" si="95"/>
        <v>0</v>
      </c>
      <c r="BU138" s="91">
        <f t="shared" si="96"/>
        <v>0</v>
      </c>
      <c r="BV138" s="91">
        <f t="shared" si="97"/>
        <v>0</v>
      </c>
      <c r="BW138" s="78"/>
      <c r="BX138" s="78"/>
      <c r="BY138" s="78">
        <f t="shared" si="98"/>
        <v>0</v>
      </c>
      <c r="BZ138" s="78">
        <f t="shared" si="99"/>
        <v>0</v>
      </c>
      <c r="CA138" s="78">
        <f t="shared" si="100"/>
        <v>0</v>
      </c>
      <c r="CB138" s="78">
        <f t="shared" si="101"/>
        <v>0</v>
      </c>
      <c r="CC138" s="78">
        <f t="shared" si="102"/>
        <v>0</v>
      </c>
      <c r="CD138" s="78">
        <f t="shared" si="103"/>
        <v>0</v>
      </c>
      <c r="CE138" s="78">
        <f t="shared" si="104"/>
        <v>0</v>
      </c>
      <c r="CF138" s="78">
        <f t="shared" si="105"/>
        <v>0</v>
      </c>
      <c r="CG138" s="78"/>
      <c r="CH138" s="92">
        <f t="shared" si="106"/>
        <v>0</v>
      </c>
      <c r="CI138" s="93">
        <f t="shared" si="107"/>
        <v>0</v>
      </c>
      <c r="CJ138" s="94">
        <f t="shared" si="108"/>
        <v>0</v>
      </c>
      <c r="CL138" s="78">
        <f t="shared" si="109"/>
        <v>0</v>
      </c>
      <c r="CM138" s="78">
        <f t="shared" si="110"/>
        <v>0</v>
      </c>
      <c r="CN138" s="78">
        <f t="shared" si="111"/>
        <v>0</v>
      </c>
      <c r="CO138" s="78">
        <f t="shared" si="112"/>
        <v>0</v>
      </c>
    </row>
    <row r="139" spans="1:93" ht="13.5" thickBot="1">
      <c r="A139" s="95"/>
      <c r="B139" s="96"/>
      <c r="C139" s="97"/>
      <c r="D139" s="98"/>
      <c r="E139" s="99"/>
      <c r="F139" s="100"/>
      <c r="G139" s="100"/>
      <c r="H139" s="100"/>
      <c r="I139" s="100"/>
      <c r="J139" s="100"/>
      <c r="K139" s="101" t="str">
        <f t="shared" si="113"/>
        <v/>
      </c>
      <c r="L139" s="102"/>
      <c r="M139" s="103"/>
      <c r="N139" s="104"/>
      <c r="O139" s="105"/>
      <c r="P139" s="106">
        <f t="shared" si="114"/>
        <v>0</v>
      </c>
      <c r="Q139" s="106">
        <f t="shared" si="115"/>
        <v>0</v>
      </c>
      <c r="R139" s="106">
        <f t="shared" si="116"/>
        <v>0</v>
      </c>
      <c r="S139" s="106">
        <f t="shared" si="117"/>
        <v>0</v>
      </c>
      <c r="T139" s="107">
        <f t="shared" si="118"/>
        <v>0</v>
      </c>
      <c r="U139" s="78"/>
      <c r="AG139" s="108"/>
      <c r="AI139" s="78">
        <f t="shared" si="62"/>
        <v>0</v>
      </c>
      <c r="AJ139" s="78">
        <f t="shared" si="63"/>
        <v>0</v>
      </c>
      <c r="AK139" s="78">
        <f t="shared" si="64"/>
        <v>0</v>
      </c>
      <c r="AL139" s="78">
        <f t="shared" si="65"/>
        <v>0</v>
      </c>
      <c r="AM139" s="78">
        <f t="shared" si="66"/>
        <v>0</v>
      </c>
      <c r="AN139" s="78">
        <f t="shared" si="67"/>
        <v>0</v>
      </c>
      <c r="AO139" s="78">
        <f t="shared" si="68"/>
        <v>0</v>
      </c>
      <c r="AP139" s="78">
        <f t="shared" si="69"/>
        <v>0</v>
      </c>
      <c r="AQ139" s="78">
        <f t="shared" si="70"/>
        <v>0</v>
      </c>
      <c r="AR139" s="78">
        <f t="shared" si="71"/>
        <v>0</v>
      </c>
      <c r="AS139" s="90">
        <f t="shared" si="72"/>
        <v>0</v>
      </c>
      <c r="AT139" s="91">
        <f t="shared" si="73"/>
        <v>0</v>
      </c>
      <c r="AV139" s="91">
        <f t="shared" si="74"/>
        <v>0</v>
      </c>
      <c r="AW139" s="78">
        <f t="shared" si="75"/>
        <v>0</v>
      </c>
      <c r="AX139" s="78">
        <f t="shared" si="76"/>
        <v>0</v>
      </c>
      <c r="AY139" s="78"/>
      <c r="AZ139" s="78">
        <f t="shared" si="77"/>
        <v>0</v>
      </c>
      <c r="BA139" s="78">
        <f t="shared" si="78"/>
        <v>0</v>
      </c>
      <c r="BB139" s="78">
        <f t="shared" si="79"/>
        <v>0</v>
      </c>
      <c r="BC139" s="78">
        <f t="shared" si="80"/>
        <v>0</v>
      </c>
      <c r="BD139" s="78">
        <f t="shared" si="81"/>
        <v>0</v>
      </c>
      <c r="BE139" s="78">
        <f t="shared" si="82"/>
        <v>0</v>
      </c>
      <c r="BF139" s="78">
        <f t="shared" si="83"/>
        <v>0</v>
      </c>
      <c r="BG139" s="78">
        <f t="shared" si="84"/>
        <v>0</v>
      </c>
      <c r="BH139" s="78">
        <f t="shared" si="85"/>
        <v>0</v>
      </c>
      <c r="BI139" s="78"/>
      <c r="BJ139" s="91">
        <f t="shared" si="86"/>
        <v>0</v>
      </c>
      <c r="BK139" s="91">
        <f t="shared" si="87"/>
        <v>0</v>
      </c>
      <c r="BL139" s="78"/>
      <c r="BM139" s="78">
        <f t="shared" si="88"/>
        <v>0</v>
      </c>
      <c r="BN139" s="78">
        <f t="shared" si="89"/>
        <v>0</v>
      </c>
      <c r="BO139" s="78">
        <f t="shared" si="90"/>
        <v>0</v>
      </c>
      <c r="BP139" s="78">
        <f t="shared" si="91"/>
        <v>0</v>
      </c>
      <c r="BQ139" s="78">
        <f t="shared" si="92"/>
        <v>0</v>
      </c>
      <c r="BR139" s="78">
        <f t="shared" si="93"/>
        <v>0</v>
      </c>
      <c r="BS139" s="78">
        <f t="shared" si="94"/>
        <v>0</v>
      </c>
      <c r="BT139" s="78">
        <f t="shared" si="95"/>
        <v>0</v>
      </c>
      <c r="BU139" s="91">
        <f t="shared" si="96"/>
        <v>0</v>
      </c>
      <c r="BV139" s="91">
        <f t="shared" si="97"/>
        <v>0</v>
      </c>
      <c r="BW139" s="78"/>
      <c r="BX139" s="78"/>
      <c r="BY139" s="78">
        <f t="shared" si="98"/>
        <v>0</v>
      </c>
      <c r="BZ139" s="78">
        <f t="shared" si="99"/>
        <v>0</v>
      </c>
      <c r="CA139" s="78">
        <f t="shared" si="100"/>
        <v>0</v>
      </c>
      <c r="CB139" s="78">
        <f t="shared" si="101"/>
        <v>0</v>
      </c>
      <c r="CC139" s="78">
        <f t="shared" si="102"/>
        <v>0</v>
      </c>
      <c r="CD139" s="78">
        <f t="shared" si="103"/>
        <v>0</v>
      </c>
      <c r="CE139" s="78">
        <f t="shared" si="104"/>
        <v>0</v>
      </c>
      <c r="CF139" s="78">
        <f t="shared" si="105"/>
        <v>0</v>
      </c>
      <c r="CG139" s="78"/>
      <c r="CH139" s="92">
        <f t="shared" si="106"/>
        <v>0</v>
      </c>
      <c r="CI139" s="93">
        <f t="shared" si="107"/>
        <v>0</v>
      </c>
      <c r="CJ139" s="94">
        <f t="shared" si="108"/>
        <v>0</v>
      </c>
      <c r="CL139" s="78">
        <f t="shared" si="109"/>
        <v>0</v>
      </c>
      <c r="CM139" s="78">
        <f t="shared" si="110"/>
        <v>0</v>
      </c>
      <c r="CN139" s="78">
        <f t="shared" si="111"/>
        <v>0</v>
      </c>
      <c r="CO139" s="78">
        <f t="shared" si="112"/>
        <v>0</v>
      </c>
    </row>
    <row r="140" spans="1:93" ht="13.5" thickBot="1">
      <c r="A140" s="95"/>
      <c r="B140" s="96"/>
      <c r="C140" s="97"/>
      <c r="D140" s="98"/>
      <c r="E140" s="99"/>
      <c r="F140" s="100"/>
      <c r="G140" s="100"/>
      <c r="H140" s="100"/>
      <c r="I140" s="100"/>
      <c r="J140" s="100"/>
      <c r="K140" s="101" t="str">
        <f t="shared" si="113"/>
        <v/>
      </c>
      <c r="L140" s="102"/>
      <c r="M140" s="103"/>
      <c r="N140" s="104"/>
      <c r="O140" s="105"/>
      <c r="P140" s="106">
        <f t="shared" si="114"/>
        <v>0</v>
      </c>
      <c r="Q140" s="106">
        <f t="shared" si="115"/>
        <v>0</v>
      </c>
      <c r="R140" s="106">
        <f t="shared" si="116"/>
        <v>0</v>
      </c>
      <c r="S140" s="106">
        <f t="shared" si="117"/>
        <v>0</v>
      </c>
      <c r="T140" s="107">
        <f t="shared" si="118"/>
        <v>0</v>
      </c>
      <c r="U140" s="78"/>
      <c r="AG140" s="108"/>
      <c r="AI140" s="78">
        <f t="shared" si="62"/>
        <v>0</v>
      </c>
      <c r="AJ140" s="78">
        <f t="shared" si="63"/>
        <v>0</v>
      </c>
      <c r="AK140" s="78">
        <f t="shared" si="64"/>
        <v>0</v>
      </c>
      <c r="AL140" s="78">
        <f t="shared" si="65"/>
        <v>0</v>
      </c>
      <c r="AM140" s="78">
        <f t="shared" si="66"/>
        <v>0</v>
      </c>
      <c r="AN140" s="78">
        <f t="shared" si="67"/>
        <v>0</v>
      </c>
      <c r="AO140" s="78">
        <f t="shared" si="68"/>
        <v>0</v>
      </c>
      <c r="AP140" s="78">
        <f t="shared" si="69"/>
        <v>0</v>
      </c>
      <c r="AQ140" s="78">
        <f t="shared" si="70"/>
        <v>0</v>
      </c>
      <c r="AR140" s="78">
        <f t="shared" si="71"/>
        <v>0</v>
      </c>
      <c r="AS140" s="90">
        <f t="shared" si="72"/>
        <v>0</v>
      </c>
      <c r="AT140" s="91">
        <f t="shared" si="73"/>
        <v>0</v>
      </c>
      <c r="AV140" s="91">
        <f t="shared" si="74"/>
        <v>0</v>
      </c>
      <c r="AW140" s="78">
        <f t="shared" si="75"/>
        <v>0</v>
      </c>
      <c r="AX140" s="78">
        <f t="shared" si="76"/>
        <v>0</v>
      </c>
      <c r="AY140" s="78"/>
      <c r="AZ140" s="78">
        <f t="shared" si="77"/>
        <v>0</v>
      </c>
      <c r="BA140" s="78">
        <f t="shared" si="78"/>
        <v>0</v>
      </c>
      <c r="BB140" s="78">
        <f t="shared" si="79"/>
        <v>0</v>
      </c>
      <c r="BC140" s="78">
        <f t="shared" si="80"/>
        <v>0</v>
      </c>
      <c r="BD140" s="78">
        <f t="shared" si="81"/>
        <v>0</v>
      </c>
      <c r="BE140" s="78">
        <f t="shared" si="82"/>
        <v>0</v>
      </c>
      <c r="BF140" s="78">
        <f t="shared" si="83"/>
        <v>0</v>
      </c>
      <c r="BG140" s="78">
        <f t="shared" si="84"/>
        <v>0</v>
      </c>
      <c r="BH140" s="78">
        <f t="shared" si="85"/>
        <v>0</v>
      </c>
      <c r="BI140" s="78"/>
      <c r="BJ140" s="91">
        <f t="shared" si="86"/>
        <v>0</v>
      </c>
      <c r="BK140" s="91">
        <f t="shared" si="87"/>
        <v>0</v>
      </c>
      <c r="BL140" s="78"/>
      <c r="BM140" s="78">
        <f t="shared" si="88"/>
        <v>0</v>
      </c>
      <c r="BN140" s="78">
        <f t="shared" si="89"/>
        <v>0</v>
      </c>
      <c r="BO140" s="78">
        <f t="shared" si="90"/>
        <v>0</v>
      </c>
      <c r="BP140" s="78">
        <f t="shared" si="91"/>
        <v>0</v>
      </c>
      <c r="BQ140" s="78">
        <f t="shared" si="92"/>
        <v>0</v>
      </c>
      <c r="BR140" s="78">
        <f t="shared" si="93"/>
        <v>0</v>
      </c>
      <c r="BS140" s="78">
        <f t="shared" si="94"/>
        <v>0</v>
      </c>
      <c r="BT140" s="78">
        <f t="shared" si="95"/>
        <v>0</v>
      </c>
      <c r="BU140" s="91">
        <f t="shared" si="96"/>
        <v>0</v>
      </c>
      <c r="BV140" s="91">
        <f t="shared" si="97"/>
        <v>0</v>
      </c>
      <c r="BW140" s="78"/>
      <c r="BX140" s="78"/>
      <c r="BY140" s="78">
        <f t="shared" si="98"/>
        <v>0</v>
      </c>
      <c r="BZ140" s="78">
        <f t="shared" si="99"/>
        <v>0</v>
      </c>
      <c r="CA140" s="78">
        <f t="shared" si="100"/>
        <v>0</v>
      </c>
      <c r="CB140" s="78">
        <f t="shared" si="101"/>
        <v>0</v>
      </c>
      <c r="CC140" s="78">
        <f t="shared" si="102"/>
        <v>0</v>
      </c>
      <c r="CD140" s="78">
        <f t="shared" si="103"/>
        <v>0</v>
      </c>
      <c r="CE140" s="78">
        <f t="shared" si="104"/>
        <v>0</v>
      </c>
      <c r="CF140" s="78">
        <f t="shared" si="105"/>
        <v>0</v>
      </c>
      <c r="CG140" s="78"/>
      <c r="CH140" s="92">
        <f t="shared" si="106"/>
        <v>0</v>
      </c>
      <c r="CI140" s="93">
        <f t="shared" si="107"/>
        <v>0</v>
      </c>
      <c r="CJ140" s="94">
        <f t="shared" si="108"/>
        <v>0</v>
      </c>
      <c r="CL140" s="78">
        <f t="shared" si="109"/>
        <v>0</v>
      </c>
      <c r="CM140" s="78">
        <f t="shared" si="110"/>
        <v>0</v>
      </c>
      <c r="CN140" s="78">
        <f t="shared" si="111"/>
        <v>0</v>
      </c>
      <c r="CO140" s="78">
        <f t="shared" si="112"/>
        <v>0</v>
      </c>
    </row>
    <row r="141" spans="1:93" ht="13.5" thickBot="1">
      <c r="A141" s="95"/>
      <c r="B141" s="96"/>
      <c r="C141" s="97"/>
      <c r="D141" s="98"/>
      <c r="E141" s="99"/>
      <c r="F141" s="100"/>
      <c r="G141" s="100"/>
      <c r="H141" s="100"/>
      <c r="I141" s="100"/>
      <c r="J141" s="100"/>
      <c r="K141" s="101" t="str">
        <f t="shared" si="113"/>
        <v/>
      </c>
      <c r="L141" s="102"/>
      <c r="M141" s="103"/>
      <c r="N141" s="104"/>
      <c r="O141" s="105"/>
      <c r="P141" s="106">
        <f t="shared" si="114"/>
        <v>0</v>
      </c>
      <c r="Q141" s="106">
        <f t="shared" si="115"/>
        <v>0</v>
      </c>
      <c r="R141" s="106">
        <f t="shared" si="116"/>
        <v>0</v>
      </c>
      <c r="S141" s="106">
        <f t="shared" si="117"/>
        <v>0</v>
      </c>
      <c r="T141" s="107">
        <f t="shared" si="118"/>
        <v>0</v>
      </c>
      <c r="U141" s="78"/>
      <c r="AG141" s="108"/>
      <c r="AI141" s="78">
        <f t="shared" si="62"/>
        <v>0</v>
      </c>
      <c r="AJ141" s="78">
        <f t="shared" si="63"/>
        <v>0</v>
      </c>
      <c r="AK141" s="78">
        <f t="shared" si="64"/>
        <v>0</v>
      </c>
      <c r="AL141" s="78">
        <f t="shared" si="65"/>
        <v>0</v>
      </c>
      <c r="AM141" s="78">
        <f t="shared" si="66"/>
        <v>0</v>
      </c>
      <c r="AN141" s="78">
        <f t="shared" si="67"/>
        <v>0</v>
      </c>
      <c r="AO141" s="78">
        <f t="shared" si="68"/>
        <v>0</v>
      </c>
      <c r="AP141" s="78">
        <f t="shared" si="69"/>
        <v>0</v>
      </c>
      <c r="AQ141" s="78">
        <f t="shared" si="70"/>
        <v>0</v>
      </c>
      <c r="AR141" s="78">
        <f t="shared" si="71"/>
        <v>0</v>
      </c>
      <c r="AS141" s="90">
        <f t="shared" si="72"/>
        <v>0</v>
      </c>
      <c r="AT141" s="91">
        <f t="shared" si="73"/>
        <v>0</v>
      </c>
      <c r="AV141" s="91">
        <f t="shared" si="74"/>
        <v>0</v>
      </c>
      <c r="AW141" s="78">
        <f t="shared" si="75"/>
        <v>0</v>
      </c>
      <c r="AX141" s="78">
        <f t="shared" si="76"/>
        <v>0</v>
      </c>
      <c r="AY141" s="78"/>
      <c r="AZ141" s="78">
        <f t="shared" si="77"/>
        <v>0</v>
      </c>
      <c r="BA141" s="78">
        <f t="shared" si="78"/>
        <v>0</v>
      </c>
      <c r="BB141" s="78">
        <f t="shared" si="79"/>
        <v>0</v>
      </c>
      <c r="BC141" s="78">
        <f t="shared" si="80"/>
        <v>0</v>
      </c>
      <c r="BD141" s="78">
        <f t="shared" si="81"/>
        <v>0</v>
      </c>
      <c r="BE141" s="78">
        <f t="shared" si="82"/>
        <v>0</v>
      </c>
      <c r="BF141" s="78">
        <f t="shared" si="83"/>
        <v>0</v>
      </c>
      <c r="BG141" s="78">
        <f t="shared" si="84"/>
        <v>0</v>
      </c>
      <c r="BH141" s="78">
        <f t="shared" si="85"/>
        <v>0</v>
      </c>
      <c r="BI141" s="78"/>
      <c r="BJ141" s="91">
        <f t="shared" si="86"/>
        <v>0</v>
      </c>
      <c r="BK141" s="91">
        <f t="shared" si="87"/>
        <v>0</v>
      </c>
      <c r="BL141" s="78"/>
      <c r="BM141" s="78">
        <f t="shared" si="88"/>
        <v>0</v>
      </c>
      <c r="BN141" s="78">
        <f t="shared" si="89"/>
        <v>0</v>
      </c>
      <c r="BO141" s="78">
        <f t="shared" si="90"/>
        <v>0</v>
      </c>
      <c r="BP141" s="78">
        <f t="shared" si="91"/>
        <v>0</v>
      </c>
      <c r="BQ141" s="78">
        <f t="shared" si="92"/>
        <v>0</v>
      </c>
      <c r="BR141" s="78">
        <f t="shared" si="93"/>
        <v>0</v>
      </c>
      <c r="BS141" s="78">
        <f t="shared" si="94"/>
        <v>0</v>
      </c>
      <c r="BT141" s="78">
        <f t="shared" si="95"/>
        <v>0</v>
      </c>
      <c r="BU141" s="91">
        <f t="shared" si="96"/>
        <v>0</v>
      </c>
      <c r="BV141" s="91">
        <f t="shared" si="97"/>
        <v>0</v>
      </c>
      <c r="BW141" s="78"/>
      <c r="BX141" s="78"/>
      <c r="BY141" s="78">
        <f t="shared" si="98"/>
        <v>0</v>
      </c>
      <c r="BZ141" s="78">
        <f t="shared" si="99"/>
        <v>0</v>
      </c>
      <c r="CA141" s="78">
        <f t="shared" si="100"/>
        <v>0</v>
      </c>
      <c r="CB141" s="78">
        <f t="shared" si="101"/>
        <v>0</v>
      </c>
      <c r="CC141" s="78">
        <f t="shared" si="102"/>
        <v>0</v>
      </c>
      <c r="CD141" s="78">
        <f t="shared" si="103"/>
        <v>0</v>
      </c>
      <c r="CE141" s="78">
        <f t="shared" si="104"/>
        <v>0</v>
      </c>
      <c r="CF141" s="78">
        <f t="shared" si="105"/>
        <v>0</v>
      </c>
      <c r="CG141" s="78"/>
      <c r="CH141" s="92">
        <f t="shared" si="106"/>
        <v>0</v>
      </c>
      <c r="CI141" s="93">
        <f t="shared" si="107"/>
        <v>0</v>
      </c>
      <c r="CJ141" s="94">
        <f t="shared" si="108"/>
        <v>0</v>
      </c>
      <c r="CL141" s="78">
        <f t="shared" si="109"/>
        <v>0</v>
      </c>
      <c r="CM141" s="78">
        <f t="shared" si="110"/>
        <v>0</v>
      </c>
      <c r="CN141" s="78">
        <f t="shared" si="111"/>
        <v>0</v>
      </c>
      <c r="CO141" s="78">
        <f t="shared" si="112"/>
        <v>0</v>
      </c>
    </row>
    <row r="142" spans="1:93" ht="13.5" thickBot="1">
      <c r="A142" s="95"/>
      <c r="B142" s="96"/>
      <c r="C142" s="97"/>
      <c r="D142" s="98"/>
      <c r="E142" s="99"/>
      <c r="F142" s="100"/>
      <c r="G142" s="100"/>
      <c r="H142" s="100"/>
      <c r="I142" s="100"/>
      <c r="J142" s="100"/>
      <c r="K142" s="101" t="str">
        <f t="shared" si="113"/>
        <v/>
      </c>
      <c r="L142" s="102"/>
      <c r="M142" s="103"/>
      <c r="N142" s="104"/>
      <c r="O142" s="105"/>
      <c r="P142" s="106">
        <f t="shared" si="114"/>
        <v>0</v>
      </c>
      <c r="Q142" s="106">
        <f t="shared" si="115"/>
        <v>0</v>
      </c>
      <c r="R142" s="106">
        <f t="shared" si="116"/>
        <v>0</v>
      </c>
      <c r="S142" s="106">
        <f t="shared" si="117"/>
        <v>0</v>
      </c>
      <c r="T142" s="107">
        <f t="shared" si="118"/>
        <v>0</v>
      </c>
      <c r="U142" s="78"/>
      <c r="AG142" s="108"/>
      <c r="AI142" s="78">
        <f t="shared" si="62"/>
        <v>0</v>
      </c>
      <c r="AJ142" s="78">
        <f t="shared" si="63"/>
        <v>0</v>
      </c>
      <c r="AK142" s="78">
        <f t="shared" si="64"/>
        <v>0</v>
      </c>
      <c r="AL142" s="78">
        <f t="shared" si="65"/>
        <v>0</v>
      </c>
      <c r="AM142" s="78">
        <f t="shared" si="66"/>
        <v>0</v>
      </c>
      <c r="AN142" s="78">
        <f t="shared" si="67"/>
        <v>0</v>
      </c>
      <c r="AO142" s="78">
        <f t="shared" si="68"/>
        <v>0</v>
      </c>
      <c r="AP142" s="78">
        <f t="shared" si="69"/>
        <v>0</v>
      </c>
      <c r="AQ142" s="78">
        <f t="shared" si="70"/>
        <v>0</v>
      </c>
      <c r="AR142" s="78">
        <f t="shared" si="71"/>
        <v>0</v>
      </c>
      <c r="AS142" s="90">
        <f t="shared" si="72"/>
        <v>0</v>
      </c>
      <c r="AT142" s="91">
        <f t="shared" si="73"/>
        <v>0</v>
      </c>
      <c r="AV142" s="91">
        <f t="shared" si="74"/>
        <v>0</v>
      </c>
      <c r="AW142" s="78">
        <f t="shared" si="75"/>
        <v>0</v>
      </c>
      <c r="AX142" s="78">
        <f t="shared" si="76"/>
        <v>0</v>
      </c>
      <c r="AY142" s="78"/>
      <c r="AZ142" s="78">
        <f t="shared" si="77"/>
        <v>0</v>
      </c>
      <c r="BA142" s="78">
        <f t="shared" si="78"/>
        <v>0</v>
      </c>
      <c r="BB142" s="78">
        <f t="shared" si="79"/>
        <v>0</v>
      </c>
      <c r="BC142" s="78">
        <f t="shared" si="80"/>
        <v>0</v>
      </c>
      <c r="BD142" s="78">
        <f t="shared" si="81"/>
        <v>0</v>
      </c>
      <c r="BE142" s="78">
        <f t="shared" si="82"/>
        <v>0</v>
      </c>
      <c r="BF142" s="78">
        <f t="shared" si="83"/>
        <v>0</v>
      </c>
      <c r="BG142" s="78">
        <f t="shared" si="84"/>
        <v>0</v>
      </c>
      <c r="BH142" s="78">
        <f t="shared" si="85"/>
        <v>0</v>
      </c>
      <c r="BI142" s="78"/>
      <c r="BJ142" s="91">
        <f t="shared" si="86"/>
        <v>0</v>
      </c>
      <c r="BK142" s="91">
        <f t="shared" si="87"/>
        <v>0</v>
      </c>
      <c r="BL142" s="78"/>
      <c r="BM142" s="78">
        <f t="shared" si="88"/>
        <v>0</v>
      </c>
      <c r="BN142" s="78">
        <f t="shared" si="89"/>
        <v>0</v>
      </c>
      <c r="BO142" s="78">
        <f t="shared" si="90"/>
        <v>0</v>
      </c>
      <c r="BP142" s="78">
        <f t="shared" si="91"/>
        <v>0</v>
      </c>
      <c r="BQ142" s="78">
        <f t="shared" si="92"/>
        <v>0</v>
      </c>
      <c r="BR142" s="78">
        <f t="shared" si="93"/>
        <v>0</v>
      </c>
      <c r="BS142" s="78">
        <f t="shared" si="94"/>
        <v>0</v>
      </c>
      <c r="BT142" s="78">
        <f t="shared" si="95"/>
        <v>0</v>
      </c>
      <c r="BU142" s="91">
        <f t="shared" si="96"/>
        <v>0</v>
      </c>
      <c r="BV142" s="91">
        <f t="shared" si="97"/>
        <v>0</v>
      </c>
      <c r="BW142" s="78"/>
      <c r="BX142" s="78"/>
      <c r="BY142" s="78">
        <f t="shared" si="98"/>
        <v>0</v>
      </c>
      <c r="BZ142" s="78">
        <f t="shared" si="99"/>
        <v>0</v>
      </c>
      <c r="CA142" s="78">
        <f t="shared" si="100"/>
        <v>0</v>
      </c>
      <c r="CB142" s="78">
        <f t="shared" si="101"/>
        <v>0</v>
      </c>
      <c r="CC142" s="78">
        <f t="shared" si="102"/>
        <v>0</v>
      </c>
      <c r="CD142" s="78">
        <f t="shared" si="103"/>
        <v>0</v>
      </c>
      <c r="CE142" s="78">
        <f t="shared" si="104"/>
        <v>0</v>
      </c>
      <c r="CF142" s="78">
        <f t="shared" si="105"/>
        <v>0</v>
      </c>
      <c r="CG142" s="78"/>
      <c r="CH142" s="92">
        <f t="shared" si="106"/>
        <v>0</v>
      </c>
      <c r="CI142" s="93">
        <f t="shared" si="107"/>
        <v>0</v>
      </c>
      <c r="CJ142" s="94">
        <f t="shared" si="108"/>
        <v>0</v>
      </c>
      <c r="CL142" s="78">
        <f t="shared" si="109"/>
        <v>0</v>
      </c>
      <c r="CM142" s="78">
        <f t="shared" si="110"/>
        <v>0</v>
      </c>
      <c r="CN142" s="78">
        <f t="shared" si="111"/>
        <v>0</v>
      </c>
      <c r="CO142" s="78">
        <f t="shared" si="112"/>
        <v>0</v>
      </c>
    </row>
    <row r="143" spans="1:93" ht="13.5" thickBot="1">
      <c r="A143" s="95"/>
      <c r="B143" s="96"/>
      <c r="C143" s="97"/>
      <c r="D143" s="98"/>
      <c r="E143" s="99"/>
      <c r="F143" s="100"/>
      <c r="G143" s="100"/>
      <c r="H143" s="100"/>
      <c r="I143" s="100"/>
      <c r="J143" s="100"/>
      <c r="K143" s="101" t="str">
        <f t="shared" si="113"/>
        <v/>
      </c>
      <c r="L143" s="102"/>
      <c r="M143" s="103"/>
      <c r="N143" s="104"/>
      <c r="O143" s="105"/>
      <c r="P143" s="106">
        <f t="shared" si="114"/>
        <v>0</v>
      </c>
      <c r="Q143" s="106">
        <f t="shared" si="115"/>
        <v>0</v>
      </c>
      <c r="R143" s="106">
        <f t="shared" si="116"/>
        <v>0</v>
      </c>
      <c r="S143" s="106">
        <f t="shared" si="117"/>
        <v>0</v>
      </c>
      <c r="T143" s="107">
        <f t="shared" si="118"/>
        <v>0</v>
      </c>
      <c r="U143" s="78"/>
      <c r="AG143" s="108"/>
      <c r="AI143" s="78">
        <f t="shared" si="62"/>
        <v>0</v>
      </c>
      <c r="AJ143" s="78">
        <f t="shared" si="63"/>
        <v>0</v>
      </c>
      <c r="AK143" s="78">
        <f t="shared" si="64"/>
        <v>0</v>
      </c>
      <c r="AL143" s="78">
        <f t="shared" si="65"/>
        <v>0</v>
      </c>
      <c r="AM143" s="78">
        <f t="shared" si="66"/>
        <v>0</v>
      </c>
      <c r="AN143" s="78">
        <f t="shared" si="67"/>
        <v>0</v>
      </c>
      <c r="AO143" s="78">
        <f t="shared" si="68"/>
        <v>0</v>
      </c>
      <c r="AP143" s="78">
        <f t="shared" si="69"/>
        <v>0</v>
      </c>
      <c r="AQ143" s="78">
        <f t="shared" si="70"/>
        <v>0</v>
      </c>
      <c r="AR143" s="78">
        <f t="shared" si="71"/>
        <v>0</v>
      </c>
      <c r="AS143" s="90">
        <f t="shared" si="72"/>
        <v>0</v>
      </c>
      <c r="AT143" s="91">
        <f t="shared" si="73"/>
        <v>0</v>
      </c>
      <c r="AV143" s="91">
        <f t="shared" si="74"/>
        <v>0</v>
      </c>
      <c r="AW143" s="78">
        <f t="shared" si="75"/>
        <v>0</v>
      </c>
      <c r="AX143" s="78">
        <f t="shared" si="76"/>
        <v>0</v>
      </c>
      <c r="AY143" s="78"/>
      <c r="AZ143" s="78">
        <f t="shared" si="77"/>
        <v>0</v>
      </c>
      <c r="BA143" s="78">
        <f t="shared" si="78"/>
        <v>0</v>
      </c>
      <c r="BB143" s="78">
        <f t="shared" si="79"/>
        <v>0</v>
      </c>
      <c r="BC143" s="78">
        <f t="shared" si="80"/>
        <v>0</v>
      </c>
      <c r="BD143" s="78">
        <f t="shared" si="81"/>
        <v>0</v>
      </c>
      <c r="BE143" s="78">
        <f t="shared" si="82"/>
        <v>0</v>
      </c>
      <c r="BF143" s="78">
        <f t="shared" si="83"/>
        <v>0</v>
      </c>
      <c r="BG143" s="78">
        <f t="shared" si="84"/>
        <v>0</v>
      </c>
      <c r="BH143" s="78">
        <f t="shared" si="85"/>
        <v>0</v>
      </c>
      <c r="BI143" s="78"/>
      <c r="BJ143" s="91">
        <f t="shared" si="86"/>
        <v>0</v>
      </c>
      <c r="BK143" s="91">
        <f t="shared" si="87"/>
        <v>0</v>
      </c>
      <c r="BL143" s="78"/>
      <c r="BM143" s="78">
        <f t="shared" si="88"/>
        <v>0</v>
      </c>
      <c r="BN143" s="78">
        <f t="shared" si="89"/>
        <v>0</v>
      </c>
      <c r="BO143" s="78">
        <f t="shared" si="90"/>
        <v>0</v>
      </c>
      <c r="BP143" s="78">
        <f t="shared" si="91"/>
        <v>0</v>
      </c>
      <c r="BQ143" s="78">
        <f t="shared" si="92"/>
        <v>0</v>
      </c>
      <c r="BR143" s="78">
        <f t="shared" si="93"/>
        <v>0</v>
      </c>
      <c r="BS143" s="78">
        <f t="shared" si="94"/>
        <v>0</v>
      </c>
      <c r="BT143" s="78">
        <f t="shared" si="95"/>
        <v>0</v>
      </c>
      <c r="BU143" s="91">
        <f t="shared" si="96"/>
        <v>0</v>
      </c>
      <c r="BV143" s="91">
        <f t="shared" si="97"/>
        <v>0</v>
      </c>
      <c r="BW143" s="78"/>
      <c r="BX143" s="78"/>
      <c r="BY143" s="78">
        <f t="shared" si="98"/>
        <v>0</v>
      </c>
      <c r="BZ143" s="78">
        <f t="shared" si="99"/>
        <v>0</v>
      </c>
      <c r="CA143" s="78">
        <f t="shared" si="100"/>
        <v>0</v>
      </c>
      <c r="CB143" s="78">
        <f t="shared" si="101"/>
        <v>0</v>
      </c>
      <c r="CC143" s="78">
        <f t="shared" si="102"/>
        <v>0</v>
      </c>
      <c r="CD143" s="78">
        <f t="shared" si="103"/>
        <v>0</v>
      </c>
      <c r="CE143" s="78">
        <f t="shared" si="104"/>
        <v>0</v>
      </c>
      <c r="CF143" s="78">
        <f t="shared" si="105"/>
        <v>0</v>
      </c>
      <c r="CG143" s="78"/>
      <c r="CH143" s="92">
        <f t="shared" si="106"/>
        <v>0</v>
      </c>
      <c r="CI143" s="93">
        <f t="shared" si="107"/>
        <v>0</v>
      </c>
      <c r="CJ143" s="94">
        <f t="shared" si="108"/>
        <v>0</v>
      </c>
      <c r="CL143" s="78">
        <f t="shared" si="109"/>
        <v>0</v>
      </c>
      <c r="CM143" s="78">
        <f t="shared" si="110"/>
        <v>0</v>
      </c>
      <c r="CN143" s="78">
        <f t="shared" si="111"/>
        <v>0</v>
      </c>
      <c r="CO143" s="78">
        <f t="shared" si="112"/>
        <v>0</v>
      </c>
    </row>
    <row r="144" spans="1:93" ht="13.5" thickBot="1">
      <c r="A144" s="95"/>
      <c r="B144" s="96"/>
      <c r="C144" s="97"/>
      <c r="D144" s="98"/>
      <c r="E144" s="99"/>
      <c r="F144" s="100"/>
      <c r="G144" s="100"/>
      <c r="H144" s="100"/>
      <c r="I144" s="100"/>
      <c r="J144" s="100"/>
      <c r="K144" s="101" t="str">
        <f t="shared" si="113"/>
        <v/>
      </c>
      <c r="L144" s="102"/>
      <c r="M144" s="103"/>
      <c r="N144" s="104"/>
      <c r="O144" s="105"/>
      <c r="P144" s="106">
        <f t="shared" si="114"/>
        <v>0</v>
      </c>
      <c r="Q144" s="106">
        <f t="shared" si="115"/>
        <v>0</v>
      </c>
      <c r="R144" s="106">
        <f t="shared" si="116"/>
        <v>0</v>
      </c>
      <c r="S144" s="106">
        <f t="shared" si="117"/>
        <v>0</v>
      </c>
      <c r="T144" s="107">
        <f t="shared" si="118"/>
        <v>0</v>
      </c>
      <c r="U144" s="78"/>
      <c r="AG144" s="108"/>
      <c r="AI144" s="78">
        <f t="shared" si="62"/>
        <v>0</v>
      </c>
      <c r="AJ144" s="78">
        <f t="shared" si="63"/>
        <v>0</v>
      </c>
      <c r="AK144" s="78">
        <f t="shared" si="64"/>
        <v>0</v>
      </c>
      <c r="AL144" s="78">
        <f t="shared" si="65"/>
        <v>0</v>
      </c>
      <c r="AM144" s="78">
        <f t="shared" si="66"/>
        <v>0</v>
      </c>
      <c r="AN144" s="78">
        <f t="shared" si="67"/>
        <v>0</v>
      </c>
      <c r="AO144" s="78">
        <f t="shared" si="68"/>
        <v>0</v>
      </c>
      <c r="AP144" s="78">
        <f t="shared" si="69"/>
        <v>0</v>
      </c>
      <c r="AQ144" s="78">
        <f t="shared" si="70"/>
        <v>0</v>
      </c>
      <c r="AR144" s="78">
        <f t="shared" si="71"/>
        <v>0</v>
      </c>
      <c r="AS144" s="90">
        <f t="shared" si="72"/>
        <v>0</v>
      </c>
      <c r="AT144" s="91">
        <f t="shared" si="73"/>
        <v>0</v>
      </c>
      <c r="AV144" s="91">
        <f t="shared" si="74"/>
        <v>0</v>
      </c>
      <c r="AW144" s="78">
        <f t="shared" si="75"/>
        <v>0</v>
      </c>
      <c r="AX144" s="78">
        <f t="shared" si="76"/>
        <v>0</v>
      </c>
      <c r="AY144" s="78"/>
      <c r="AZ144" s="78">
        <f t="shared" si="77"/>
        <v>0</v>
      </c>
      <c r="BA144" s="78">
        <f t="shared" si="78"/>
        <v>0</v>
      </c>
      <c r="BB144" s="78">
        <f t="shared" si="79"/>
        <v>0</v>
      </c>
      <c r="BC144" s="78">
        <f t="shared" si="80"/>
        <v>0</v>
      </c>
      <c r="BD144" s="78">
        <f t="shared" si="81"/>
        <v>0</v>
      </c>
      <c r="BE144" s="78">
        <f t="shared" si="82"/>
        <v>0</v>
      </c>
      <c r="BF144" s="78">
        <f t="shared" si="83"/>
        <v>0</v>
      </c>
      <c r="BG144" s="78">
        <f t="shared" si="84"/>
        <v>0</v>
      </c>
      <c r="BH144" s="78">
        <f t="shared" si="85"/>
        <v>0</v>
      </c>
      <c r="BI144" s="78"/>
      <c r="BJ144" s="91">
        <f t="shared" si="86"/>
        <v>0</v>
      </c>
      <c r="BK144" s="91">
        <f t="shared" si="87"/>
        <v>0</v>
      </c>
      <c r="BL144" s="78"/>
      <c r="BM144" s="78">
        <f t="shared" si="88"/>
        <v>0</v>
      </c>
      <c r="BN144" s="78">
        <f t="shared" si="89"/>
        <v>0</v>
      </c>
      <c r="BO144" s="78">
        <f t="shared" si="90"/>
        <v>0</v>
      </c>
      <c r="BP144" s="78">
        <f t="shared" si="91"/>
        <v>0</v>
      </c>
      <c r="BQ144" s="78">
        <f t="shared" si="92"/>
        <v>0</v>
      </c>
      <c r="BR144" s="78">
        <f t="shared" si="93"/>
        <v>0</v>
      </c>
      <c r="BS144" s="78">
        <f t="shared" si="94"/>
        <v>0</v>
      </c>
      <c r="BT144" s="78">
        <f t="shared" si="95"/>
        <v>0</v>
      </c>
      <c r="BU144" s="91">
        <f t="shared" si="96"/>
        <v>0</v>
      </c>
      <c r="BV144" s="91">
        <f t="shared" si="97"/>
        <v>0</v>
      </c>
      <c r="BW144" s="78"/>
      <c r="BX144" s="78"/>
      <c r="BY144" s="78">
        <f t="shared" si="98"/>
        <v>0</v>
      </c>
      <c r="BZ144" s="78">
        <f t="shared" si="99"/>
        <v>0</v>
      </c>
      <c r="CA144" s="78">
        <f t="shared" si="100"/>
        <v>0</v>
      </c>
      <c r="CB144" s="78">
        <f t="shared" si="101"/>
        <v>0</v>
      </c>
      <c r="CC144" s="78">
        <f t="shared" si="102"/>
        <v>0</v>
      </c>
      <c r="CD144" s="78">
        <f t="shared" si="103"/>
        <v>0</v>
      </c>
      <c r="CE144" s="78">
        <f t="shared" si="104"/>
        <v>0</v>
      </c>
      <c r="CF144" s="78">
        <f t="shared" si="105"/>
        <v>0</v>
      </c>
      <c r="CG144" s="78"/>
      <c r="CH144" s="92">
        <f t="shared" si="106"/>
        <v>0</v>
      </c>
      <c r="CI144" s="93">
        <f t="shared" si="107"/>
        <v>0</v>
      </c>
      <c r="CJ144" s="94">
        <f t="shared" si="108"/>
        <v>0</v>
      </c>
      <c r="CL144" s="78">
        <f t="shared" si="109"/>
        <v>0</v>
      </c>
      <c r="CM144" s="78">
        <f t="shared" si="110"/>
        <v>0</v>
      </c>
      <c r="CN144" s="78">
        <f t="shared" si="111"/>
        <v>0</v>
      </c>
      <c r="CO144" s="78">
        <f t="shared" si="112"/>
        <v>0</v>
      </c>
    </row>
    <row r="145" spans="1:93" ht="13.5" thickBot="1">
      <c r="A145" s="95"/>
      <c r="B145" s="96"/>
      <c r="C145" s="97"/>
      <c r="D145" s="98"/>
      <c r="E145" s="99"/>
      <c r="F145" s="100"/>
      <c r="G145" s="100"/>
      <c r="H145" s="100"/>
      <c r="I145" s="100"/>
      <c r="J145" s="100"/>
      <c r="K145" s="101" t="str">
        <f t="shared" si="113"/>
        <v/>
      </c>
      <c r="L145" s="102"/>
      <c r="M145" s="103"/>
      <c r="N145" s="104"/>
      <c r="O145" s="105"/>
      <c r="P145" s="106">
        <f t="shared" si="114"/>
        <v>0</v>
      </c>
      <c r="Q145" s="106">
        <f t="shared" si="115"/>
        <v>0</v>
      </c>
      <c r="R145" s="106">
        <f t="shared" si="116"/>
        <v>0</v>
      </c>
      <c r="S145" s="106">
        <f t="shared" si="117"/>
        <v>0</v>
      </c>
      <c r="T145" s="107">
        <f t="shared" si="118"/>
        <v>0</v>
      </c>
      <c r="U145" s="78"/>
      <c r="AG145" s="108"/>
      <c r="AI145" s="78">
        <f t="shared" si="62"/>
        <v>0</v>
      </c>
      <c r="AJ145" s="78">
        <f t="shared" si="63"/>
        <v>0</v>
      </c>
      <c r="AK145" s="78">
        <f t="shared" si="64"/>
        <v>0</v>
      </c>
      <c r="AL145" s="78">
        <f t="shared" si="65"/>
        <v>0</v>
      </c>
      <c r="AM145" s="78">
        <f t="shared" si="66"/>
        <v>0</v>
      </c>
      <c r="AN145" s="78">
        <f t="shared" si="67"/>
        <v>0</v>
      </c>
      <c r="AO145" s="78">
        <f t="shared" si="68"/>
        <v>0</v>
      </c>
      <c r="AP145" s="78">
        <f t="shared" si="69"/>
        <v>0</v>
      </c>
      <c r="AQ145" s="78">
        <f t="shared" si="70"/>
        <v>0</v>
      </c>
      <c r="AR145" s="78">
        <f t="shared" si="71"/>
        <v>0</v>
      </c>
      <c r="AS145" s="90">
        <f t="shared" si="72"/>
        <v>0</v>
      </c>
      <c r="AT145" s="91">
        <f t="shared" si="73"/>
        <v>0</v>
      </c>
      <c r="AV145" s="91">
        <f t="shared" si="74"/>
        <v>0</v>
      </c>
      <c r="AW145" s="78">
        <f t="shared" si="75"/>
        <v>0</v>
      </c>
      <c r="AX145" s="78">
        <f t="shared" si="76"/>
        <v>0</v>
      </c>
      <c r="AY145" s="78"/>
      <c r="AZ145" s="78">
        <f t="shared" si="77"/>
        <v>0</v>
      </c>
      <c r="BA145" s="78">
        <f t="shared" si="78"/>
        <v>0</v>
      </c>
      <c r="BB145" s="78">
        <f t="shared" si="79"/>
        <v>0</v>
      </c>
      <c r="BC145" s="78">
        <f t="shared" si="80"/>
        <v>0</v>
      </c>
      <c r="BD145" s="78">
        <f t="shared" si="81"/>
        <v>0</v>
      </c>
      <c r="BE145" s="78">
        <f t="shared" si="82"/>
        <v>0</v>
      </c>
      <c r="BF145" s="78">
        <f t="shared" si="83"/>
        <v>0</v>
      </c>
      <c r="BG145" s="78">
        <f t="shared" si="84"/>
        <v>0</v>
      </c>
      <c r="BH145" s="78">
        <f t="shared" si="85"/>
        <v>0</v>
      </c>
      <c r="BI145" s="78"/>
      <c r="BJ145" s="91">
        <f t="shared" si="86"/>
        <v>0</v>
      </c>
      <c r="BK145" s="91">
        <f t="shared" si="87"/>
        <v>0</v>
      </c>
      <c r="BL145" s="78"/>
      <c r="BM145" s="78">
        <f t="shared" si="88"/>
        <v>0</v>
      </c>
      <c r="BN145" s="78">
        <f t="shared" si="89"/>
        <v>0</v>
      </c>
      <c r="BO145" s="78">
        <f t="shared" si="90"/>
        <v>0</v>
      </c>
      <c r="BP145" s="78">
        <f t="shared" si="91"/>
        <v>0</v>
      </c>
      <c r="BQ145" s="78">
        <f t="shared" si="92"/>
        <v>0</v>
      </c>
      <c r="BR145" s="78">
        <f t="shared" si="93"/>
        <v>0</v>
      </c>
      <c r="BS145" s="78">
        <f t="shared" si="94"/>
        <v>0</v>
      </c>
      <c r="BT145" s="78">
        <f t="shared" si="95"/>
        <v>0</v>
      </c>
      <c r="BU145" s="91">
        <f t="shared" si="96"/>
        <v>0</v>
      </c>
      <c r="BV145" s="91">
        <f t="shared" si="97"/>
        <v>0</v>
      </c>
      <c r="BW145" s="78"/>
      <c r="BX145" s="78"/>
      <c r="BY145" s="78">
        <f t="shared" si="98"/>
        <v>0</v>
      </c>
      <c r="BZ145" s="78">
        <f t="shared" si="99"/>
        <v>0</v>
      </c>
      <c r="CA145" s="78">
        <f t="shared" si="100"/>
        <v>0</v>
      </c>
      <c r="CB145" s="78">
        <f t="shared" si="101"/>
        <v>0</v>
      </c>
      <c r="CC145" s="78">
        <f t="shared" si="102"/>
        <v>0</v>
      </c>
      <c r="CD145" s="78">
        <f t="shared" si="103"/>
        <v>0</v>
      </c>
      <c r="CE145" s="78">
        <f t="shared" si="104"/>
        <v>0</v>
      </c>
      <c r="CF145" s="78">
        <f t="shared" si="105"/>
        <v>0</v>
      </c>
      <c r="CG145" s="78"/>
      <c r="CH145" s="92">
        <f t="shared" si="106"/>
        <v>0</v>
      </c>
      <c r="CI145" s="93">
        <f t="shared" si="107"/>
        <v>0</v>
      </c>
      <c r="CJ145" s="94">
        <f t="shared" si="108"/>
        <v>0</v>
      </c>
      <c r="CL145" s="78">
        <f t="shared" si="109"/>
        <v>0</v>
      </c>
      <c r="CM145" s="78">
        <f t="shared" si="110"/>
        <v>0</v>
      </c>
      <c r="CN145" s="78">
        <f t="shared" si="111"/>
        <v>0</v>
      </c>
      <c r="CO145" s="78">
        <f t="shared" si="112"/>
        <v>0</v>
      </c>
    </row>
    <row r="146" spans="1:93" ht="13.5" thickBot="1">
      <c r="A146" s="95"/>
      <c r="B146" s="96"/>
      <c r="C146" s="97"/>
      <c r="D146" s="98"/>
      <c r="E146" s="99"/>
      <c r="F146" s="100"/>
      <c r="G146" s="100"/>
      <c r="H146" s="100"/>
      <c r="I146" s="100"/>
      <c r="J146" s="100"/>
      <c r="K146" s="101" t="str">
        <f t="shared" si="113"/>
        <v/>
      </c>
      <c r="L146" s="102"/>
      <c r="M146" s="103"/>
      <c r="N146" s="104"/>
      <c r="O146" s="105"/>
      <c r="P146" s="106">
        <f t="shared" si="114"/>
        <v>0</v>
      </c>
      <c r="Q146" s="106">
        <f t="shared" si="115"/>
        <v>0</v>
      </c>
      <c r="R146" s="106">
        <f t="shared" si="116"/>
        <v>0</v>
      </c>
      <c r="S146" s="106">
        <f t="shared" si="117"/>
        <v>0</v>
      </c>
      <c r="T146" s="107">
        <f t="shared" si="118"/>
        <v>0</v>
      </c>
      <c r="U146" s="78"/>
      <c r="AG146" s="108"/>
      <c r="AI146" s="78">
        <f t="shared" si="62"/>
        <v>0</v>
      </c>
      <c r="AJ146" s="78">
        <f t="shared" si="63"/>
        <v>0</v>
      </c>
      <c r="AK146" s="78">
        <f t="shared" si="64"/>
        <v>0</v>
      </c>
      <c r="AL146" s="78">
        <f t="shared" si="65"/>
        <v>0</v>
      </c>
      <c r="AM146" s="78">
        <f t="shared" si="66"/>
        <v>0</v>
      </c>
      <c r="AN146" s="78">
        <f t="shared" si="67"/>
        <v>0</v>
      </c>
      <c r="AO146" s="78">
        <f t="shared" si="68"/>
        <v>0</v>
      </c>
      <c r="AP146" s="78">
        <f t="shared" si="69"/>
        <v>0</v>
      </c>
      <c r="AQ146" s="78">
        <f t="shared" si="70"/>
        <v>0</v>
      </c>
      <c r="AR146" s="78">
        <f t="shared" si="71"/>
        <v>0</v>
      </c>
      <c r="AS146" s="90">
        <f t="shared" si="72"/>
        <v>0</v>
      </c>
      <c r="AT146" s="91">
        <f t="shared" si="73"/>
        <v>0</v>
      </c>
      <c r="AV146" s="91">
        <f t="shared" si="74"/>
        <v>0</v>
      </c>
      <c r="AW146" s="78">
        <f t="shared" si="75"/>
        <v>0</v>
      </c>
      <c r="AX146" s="78">
        <f t="shared" si="76"/>
        <v>0</v>
      </c>
      <c r="AY146" s="78"/>
      <c r="AZ146" s="78">
        <f t="shared" si="77"/>
        <v>0</v>
      </c>
      <c r="BA146" s="78">
        <f t="shared" si="78"/>
        <v>0</v>
      </c>
      <c r="BB146" s="78">
        <f t="shared" si="79"/>
        <v>0</v>
      </c>
      <c r="BC146" s="78">
        <f t="shared" si="80"/>
        <v>0</v>
      </c>
      <c r="BD146" s="78">
        <f t="shared" si="81"/>
        <v>0</v>
      </c>
      <c r="BE146" s="78">
        <f t="shared" si="82"/>
        <v>0</v>
      </c>
      <c r="BF146" s="78">
        <f t="shared" si="83"/>
        <v>0</v>
      </c>
      <c r="BG146" s="78">
        <f t="shared" si="84"/>
        <v>0</v>
      </c>
      <c r="BH146" s="78">
        <f t="shared" si="85"/>
        <v>0</v>
      </c>
      <c r="BI146" s="78"/>
      <c r="BJ146" s="91">
        <f t="shared" si="86"/>
        <v>0</v>
      </c>
      <c r="BK146" s="91">
        <f t="shared" si="87"/>
        <v>0</v>
      </c>
      <c r="BL146" s="78"/>
      <c r="BM146" s="78">
        <f t="shared" si="88"/>
        <v>0</v>
      </c>
      <c r="BN146" s="78">
        <f t="shared" si="89"/>
        <v>0</v>
      </c>
      <c r="BO146" s="78">
        <f t="shared" si="90"/>
        <v>0</v>
      </c>
      <c r="BP146" s="78">
        <f t="shared" si="91"/>
        <v>0</v>
      </c>
      <c r="BQ146" s="78">
        <f t="shared" si="92"/>
        <v>0</v>
      </c>
      <c r="BR146" s="78">
        <f t="shared" si="93"/>
        <v>0</v>
      </c>
      <c r="BS146" s="78">
        <f t="shared" si="94"/>
        <v>0</v>
      </c>
      <c r="BT146" s="78">
        <f t="shared" si="95"/>
        <v>0</v>
      </c>
      <c r="BU146" s="91">
        <f t="shared" si="96"/>
        <v>0</v>
      </c>
      <c r="BV146" s="91">
        <f t="shared" si="97"/>
        <v>0</v>
      </c>
      <c r="BW146" s="78"/>
      <c r="BX146" s="78"/>
      <c r="BY146" s="78">
        <f t="shared" si="98"/>
        <v>0</v>
      </c>
      <c r="BZ146" s="78">
        <f t="shared" si="99"/>
        <v>0</v>
      </c>
      <c r="CA146" s="78">
        <f t="shared" si="100"/>
        <v>0</v>
      </c>
      <c r="CB146" s="78">
        <f t="shared" si="101"/>
        <v>0</v>
      </c>
      <c r="CC146" s="78">
        <f t="shared" si="102"/>
        <v>0</v>
      </c>
      <c r="CD146" s="78">
        <f t="shared" si="103"/>
        <v>0</v>
      </c>
      <c r="CE146" s="78">
        <f t="shared" si="104"/>
        <v>0</v>
      </c>
      <c r="CF146" s="78">
        <f t="shared" si="105"/>
        <v>0</v>
      </c>
      <c r="CG146" s="78"/>
      <c r="CH146" s="92">
        <f t="shared" si="106"/>
        <v>0</v>
      </c>
      <c r="CI146" s="93">
        <f t="shared" si="107"/>
        <v>0</v>
      </c>
      <c r="CJ146" s="94">
        <f t="shared" si="108"/>
        <v>0</v>
      </c>
      <c r="CL146" s="78">
        <f t="shared" si="109"/>
        <v>0</v>
      </c>
      <c r="CM146" s="78">
        <f t="shared" si="110"/>
        <v>0</v>
      </c>
      <c r="CN146" s="78">
        <f t="shared" si="111"/>
        <v>0</v>
      </c>
      <c r="CO146" s="78">
        <f t="shared" si="112"/>
        <v>0</v>
      </c>
    </row>
    <row r="147" spans="1:93" ht="13.5" thickBot="1">
      <c r="A147" s="95"/>
      <c r="B147" s="96"/>
      <c r="C147" s="97"/>
      <c r="D147" s="98"/>
      <c r="E147" s="99"/>
      <c r="F147" s="100"/>
      <c r="G147" s="100"/>
      <c r="H147" s="100"/>
      <c r="I147" s="100"/>
      <c r="J147" s="100"/>
      <c r="K147" s="101" t="str">
        <f t="shared" si="113"/>
        <v/>
      </c>
      <c r="L147" s="102"/>
      <c r="M147" s="103"/>
      <c r="N147" s="104"/>
      <c r="O147" s="105"/>
      <c r="P147" s="106">
        <f t="shared" si="114"/>
        <v>0</v>
      </c>
      <c r="Q147" s="106">
        <f t="shared" si="115"/>
        <v>0</v>
      </c>
      <c r="R147" s="106">
        <f t="shared" si="116"/>
        <v>0</v>
      </c>
      <c r="S147" s="106">
        <f t="shared" si="117"/>
        <v>0</v>
      </c>
      <c r="T147" s="107">
        <f t="shared" si="118"/>
        <v>0</v>
      </c>
      <c r="U147" s="78"/>
      <c r="AG147" s="108"/>
      <c r="AI147" s="78">
        <f t="shared" si="62"/>
        <v>0</v>
      </c>
      <c r="AJ147" s="78">
        <f t="shared" si="63"/>
        <v>0</v>
      </c>
      <c r="AK147" s="78">
        <f t="shared" si="64"/>
        <v>0</v>
      </c>
      <c r="AL147" s="78">
        <f t="shared" si="65"/>
        <v>0</v>
      </c>
      <c r="AM147" s="78">
        <f t="shared" si="66"/>
        <v>0</v>
      </c>
      <c r="AN147" s="78">
        <f t="shared" si="67"/>
        <v>0</v>
      </c>
      <c r="AO147" s="78">
        <f t="shared" si="68"/>
        <v>0</v>
      </c>
      <c r="AP147" s="78">
        <f t="shared" si="69"/>
        <v>0</v>
      </c>
      <c r="AQ147" s="78">
        <f t="shared" si="70"/>
        <v>0</v>
      </c>
      <c r="AR147" s="78">
        <f t="shared" si="71"/>
        <v>0</v>
      </c>
      <c r="AS147" s="90">
        <f t="shared" si="72"/>
        <v>0</v>
      </c>
      <c r="AT147" s="91">
        <f t="shared" si="73"/>
        <v>0</v>
      </c>
      <c r="AV147" s="91">
        <f t="shared" si="74"/>
        <v>0</v>
      </c>
      <c r="AW147" s="78">
        <f t="shared" si="75"/>
        <v>0</v>
      </c>
      <c r="AX147" s="78">
        <f t="shared" si="76"/>
        <v>0</v>
      </c>
      <c r="AY147" s="78"/>
      <c r="AZ147" s="78">
        <f t="shared" si="77"/>
        <v>0</v>
      </c>
      <c r="BA147" s="78">
        <f t="shared" si="78"/>
        <v>0</v>
      </c>
      <c r="BB147" s="78">
        <f t="shared" si="79"/>
        <v>0</v>
      </c>
      <c r="BC147" s="78">
        <f t="shared" si="80"/>
        <v>0</v>
      </c>
      <c r="BD147" s="78">
        <f t="shared" si="81"/>
        <v>0</v>
      </c>
      <c r="BE147" s="78">
        <f t="shared" si="82"/>
        <v>0</v>
      </c>
      <c r="BF147" s="78">
        <f t="shared" si="83"/>
        <v>0</v>
      </c>
      <c r="BG147" s="78">
        <f t="shared" si="84"/>
        <v>0</v>
      </c>
      <c r="BH147" s="78">
        <f t="shared" si="85"/>
        <v>0</v>
      </c>
      <c r="BI147" s="78"/>
      <c r="BJ147" s="91">
        <f t="shared" si="86"/>
        <v>0</v>
      </c>
      <c r="BK147" s="91">
        <f t="shared" si="87"/>
        <v>0</v>
      </c>
      <c r="BL147" s="78"/>
      <c r="BM147" s="78">
        <f t="shared" si="88"/>
        <v>0</v>
      </c>
      <c r="BN147" s="78">
        <f t="shared" si="89"/>
        <v>0</v>
      </c>
      <c r="BO147" s="78">
        <f t="shared" si="90"/>
        <v>0</v>
      </c>
      <c r="BP147" s="78">
        <f t="shared" si="91"/>
        <v>0</v>
      </c>
      <c r="BQ147" s="78">
        <f t="shared" si="92"/>
        <v>0</v>
      </c>
      <c r="BR147" s="78">
        <f t="shared" si="93"/>
        <v>0</v>
      </c>
      <c r="BS147" s="78">
        <f t="shared" si="94"/>
        <v>0</v>
      </c>
      <c r="BT147" s="78">
        <f t="shared" si="95"/>
        <v>0</v>
      </c>
      <c r="BU147" s="91">
        <f t="shared" si="96"/>
        <v>0</v>
      </c>
      <c r="BV147" s="91">
        <f t="shared" si="97"/>
        <v>0</v>
      </c>
      <c r="BW147" s="78"/>
      <c r="BX147" s="78"/>
      <c r="BY147" s="78">
        <f t="shared" si="98"/>
        <v>0</v>
      </c>
      <c r="BZ147" s="78">
        <f t="shared" si="99"/>
        <v>0</v>
      </c>
      <c r="CA147" s="78">
        <f t="shared" si="100"/>
        <v>0</v>
      </c>
      <c r="CB147" s="78">
        <f t="shared" si="101"/>
        <v>0</v>
      </c>
      <c r="CC147" s="78">
        <f t="shared" si="102"/>
        <v>0</v>
      </c>
      <c r="CD147" s="78">
        <f t="shared" si="103"/>
        <v>0</v>
      </c>
      <c r="CE147" s="78">
        <f t="shared" si="104"/>
        <v>0</v>
      </c>
      <c r="CF147" s="78">
        <f t="shared" si="105"/>
        <v>0</v>
      </c>
      <c r="CG147" s="78"/>
      <c r="CH147" s="92">
        <f t="shared" si="106"/>
        <v>0</v>
      </c>
      <c r="CI147" s="93">
        <f t="shared" si="107"/>
        <v>0</v>
      </c>
      <c r="CJ147" s="94">
        <f t="shared" si="108"/>
        <v>0</v>
      </c>
      <c r="CL147" s="78">
        <f t="shared" si="109"/>
        <v>0</v>
      </c>
      <c r="CM147" s="78">
        <f t="shared" si="110"/>
        <v>0</v>
      </c>
      <c r="CN147" s="78">
        <f t="shared" si="111"/>
        <v>0</v>
      </c>
      <c r="CO147" s="78">
        <f t="shared" si="112"/>
        <v>0</v>
      </c>
    </row>
    <row r="148" spans="1:93" ht="13.5" thickBot="1">
      <c r="A148" s="95"/>
      <c r="B148" s="96"/>
      <c r="C148" s="97"/>
      <c r="D148" s="98"/>
      <c r="E148" s="99"/>
      <c r="F148" s="100"/>
      <c r="G148" s="100"/>
      <c r="H148" s="100"/>
      <c r="I148" s="100"/>
      <c r="J148" s="100"/>
      <c r="K148" s="101" t="str">
        <f t="shared" si="113"/>
        <v/>
      </c>
      <c r="L148" s="102"/>
      <c r="M148" s="103"/>
      <c r="N148" s="104"/>
      <c r="O148" s="105"/>
      <c r="P148" s="106">
        <f t="shared" si="114"/>
        <v>0</v>
      </c>
      <c r="Q148" s="106">
        <f t="shared" si="115"/>
        <v>0</v>
      </c>
      <c r="R148" s="106">
        <f t="shared" si="116"/>
        <v>0</v>
      </c>
      <c r="S148" s="106">
        <f t="shared" si="117"/>
        <v>0</v>
      </c>
      <c r="T148" s="107">
        <f t="shared" si="118"/>
        <v>0</v>
      </c>
      <c r="U148" s="78"/>
      <c r="AG148" s="108"/>
      <c r="AI148" s="78">
        <f t="shared" si="62"/>
        <v>0</v>
      </c>
      <c r="AJ148" s="78">
        <f t="shared" si="63"/>
        <v>0</v>
      </c>
      <c r="AK148" s="78">
        <f t="shared" si="64"/>
        <v>0</v>
      </c>
      <c r="AL148" s="78">
        <f t="shared" si="65"/>
        <v>0</v>
      </c>
      <c r="AM148" s="78">
        <f t="shared" si="66"/>
        <v>0</v>
      </c>
      <c r="AN148" s="78">
        <f t="shared" si="67"/>
        <v>0</v>
      </c>
      <c r="AO148" s="78">
        <f t="shared" si="68"/>
        <v>0</v>
      </c>
      <c r="AP148" s="78">
        <f t="shared" si="69"/>
        <v>0</v>
      </c>
      <c r="AQ148" s="78">
        <f t="shared" si="70"/>
        <v>0</v>
      </c>
      <c r="AR148" s="78">
        <f t="shared" si="71"/>
        <v>0</v>
      </c>
      <c r="AS148" s="90">
        <f t="shared" si="72"/>
        <v>0</v>
      </c>
      <c r="AT148" s="91">
        <f t="shared" si="73"/>
        <v>0</v>
      </c>
      <c r="AV148" s="91">
        <f t="shared" si="74"/>
        <v>0</v>
      </c>
      <c r="AW148" s="78">
        <f t="shared" si="75"/>
        <v>0</v>
      </c>
      <c r="AX148" s="78">
        <f t="shared" si="76"/>
        <v>0</v>
      </c>
      <c r="AY148" s="78"/>
      <c r="AZ148" s="78">
        <f t="shared" si="77"/>
        <v>0</v>
      </c>
      <c r="BA148" s="78">
        <f t="shared" si="78"/>
        <v>0</v>
      </c>
      <c r="BB148" s="78">
        <f t="shared" si="79"/>
        <v>0</v>
      </c>
      <c r="BC148" s="78">
        <f t="shared" si="80"/>
        <v>0</v>
      </c>
      <c r="BD148" s="78">
        <f t="shared" si="81"/>
        <v>0</v>
      </c>
      <c r="BE148" s="78">
        <f t="shared" si="82"/>
        <v>0</v>
      </c>
      <c r="BF148" s="78">
        <f t="shared" si="83"/>
        <v>0</v>
      </c>
      <c r="BG148" s="78">
        <f t="shared" si="84"/>
        <v>0</v>
      </c>
      <c r="BH148" s="78">
        <f t="shared" si="85"/>
        <v>0</v>
      </c>
      <c r="BI148" s="78"/>
      <c r="BJ148" s="91">
        <f t="shared" si="86"/>
        <v>0</v>
      </c>
      <c r="BK148" s="91">
        <f t="shared" si="87"/>
        <v>0</v>
      </c>
      <c r="BL148" s="78"/>
      <c r="BM148" s="78">
        <f t="shared" si="88"/>
        <v>0</v>
      </c>
      <c r="BN148" s="78">
        <f t="shared" si="89"/>
        <v>0</v>
      </c>
      <c r="BO148" s="78">
        <f t="shared" si="90"/>
        <v>0</v>
      </c>
      <c r="BP148" s="78">
        <f t="shared" si="91"/>
        <v>0</v>
      </c>
      <c r="BQ148" s="78">
        <f t="shared" si="92"/>
        <v>0</v>
      </c>
      <c r="BR148" s="78">
        <f t="shared" si="93"/>
        <v>0</v>
      </c>
      <c r="BS148" s="78">
        <f t="shared" si="94"/>
        <v>0</v>
      </c>
      <c r="BT148" s="78">
        <f t="shared" si="95"/>
        <v>0</v>
      </c>
      <c r="BU148" s="91">
        <f t="shared" si="96"/>
        <v>0</v>
      </c>
      <c r="BV148" s="91">
        <f t="shared" si="97"/>
        <v>0</v>
      </c>
      <c r="BW148" s="78"/>
      <c r="BX148" s="78"/>
      <c r="BY148" s="78">
        <f t="shared" si="98"/>
        <v>0</v>
      </c>
      <c r="BZ148" s="78">
        <f t="shared" si="99"/>
        <v>0</v>
      </c>
      <c r="CA148" s="78">
        <f t="shared" si="100"/>
        <v>0</v>
      </c>
      <c r="CB148" s="78">
        <f t="shared" si="101"/>
        <v>0</v>
      </c>
      <c r="CC148" s="78">
        <f t="shared" si="102"/>
        <v>0</v>
      </c>
      <c r="CD148" s="78">
        <f t="shared" si="103"/>
        <v>0</v>
      </c>
      <c r="CE148" s="78">
        <f t="shared" si="104"/>
        <v>0</v>
      </c>
      <c r="CF148" s="78">
        <f t="shared" si="105"/>
        <v>0</v>
      </c>
      <c r="CG148" s="78"/>
      <c r="CH148" s="92">
        <f t="shared" si="106"/>
        <v>0</v>
      </c>
      <c r="CI148" s="93">
        <f t="shared" si="107"/>
        <v>0</v>
      </c>
      <c r="CJ148" s="94">
        <f t="shared" si="108"/>
        <v>0</v>
      </c>
      <c r="CL148" s="78">
        <f t="shared" si="109"/>
        <v>0</v>
      </c>
      <c r="CM148" s="78">
        <f t="shared" si="110"/>
        <v>0</v>
      </c>
      <c r="CN148" s="78">
        <f t="shared" si="111"/>
        <v>0</v>
      </c>
      <c r="CO148" s="78">
        <f t="shared" si="112"/>
        <v>0</v>
      </c>
    </row>
    <row r="149" spans="1:93" ht="13.5" thickBot="1">
      <c r="A149" s="95"/>
      <c r="B149" s="96"/>
      <c r="C149" s="97"/>
      <c r="D149" s="98"/>
      <c r="E149" s="99"/>
      <c r="F149" s="100"/>
      <c r="G149" s="100"/>
      <c r="H149" s="100"/>
      <c r="I149" s="100"/>
      <c r="J149" s="100"/>
      <c r="K149" s="101" t="str">
        <f t="shared" si="113"/>
        <v/>
      </c>
      <c r="L149" s="102"/>
      <c r="M149" s="103"/>
      <c r="N149" s="104"/>
      <c r="O149" s="105"/>
      <c r="P149" s="106">
        <f t="shared" si="114"/>
        <v>0</v>
      </c>
      <c r="Q149" s="106">
        <f t="shared" si="115"/>
        <v>0</v>
      </c>
      <c r="R149" s="106">
        <f t="shared" si="116"/>
        <v>0</v>
      </c>
      <c r="S149" s="106">
        <f t="shared" si="117"/>
        <v>0</v>
      </c>
      <c r="T149" s="107">
        <f t="shared" si="118"/>
        <v>0</v>
      </c>
      <c r="U149" s="78"/>
      <c r="AG149" s="108"/>
      <c r="AI149" s="78">
        <f t="shared" si="62"/>
        <v>0</v>
      </c>
      <c r="AJ149" s="78">
        <f t="shared" si="63"/>
        <v>0</v>
      </c>
      <c r="AK149" s="78">
        <f t="shared" si="64"/>
        <v>0</v>
      </c>
      <c r="AL149" s="78">
        <f t="shared" si="65"/>
        <v>0</v>
      </c>
      <c r="AM149" s="78">
        <f t="shared" si="66"/>
        <v>0</v>
      </c>
      <c r="AN149" s="78">
        <f t="shared" si="67"/>
        <v>0</v>
      </c>
      <c r="AO149" s="78">
        <f t="shared" si="68"/>
        <v>0</v>
      </c>
      <c r="AP149" s="78">
        <f t="shared" si="69"/>
        <v>0</v>
      </c>
      <c r="AQ149" s="78">
        <f t="shared" si="70"/>
        <v>0</v>
      </c>
      <c r="AR149" s="78">
        <f t="shared" si="71"/>
        <v>0</v>
      </c>
      <c r="AS149" s="90">
        <f t="shared" si="72"/>
        <v>0</v>
      </c>
      <c r="AT149" s="91">
        <f t="shared" si="73"/>
        <v>0</v>
      </c>
      <c r="AV149" s="91">
        <f t="shared" si="74"/>
        <v>0</v>
      </c>
      <c r="AW149" s="78">
        <f t="shared" si="75"/>
        <v>0</v>
      </c>
      <c r="AX149" s="78">
        <f t="shared" si="76"/>
        <v>0</v>
      </c>
      <c r="AY149" s="78"/>
      <c r="AZ149" s="78">
        <f t="shared" si="77"/>
        <v>0</v>
      </c>
      <c r="BA149" s="78">
        <f t="shared" si="78"/>
        <v>0</v>
      </c>
      <c r="BB149" s="78">
        <f t="shared" si="79"/>
        <v>0</v>
      </c>
      <c r="BC149" s="78">
        <f t="shared" si="80"/>
        <v>0</v>
      </c>
      <c r="BD149" s="78">
        <f t="shared" si="81"/>
        <v>0</v>
      </c>
      <c r="BE149" s="78">
        <f t="shared" si="82"/>
        <v>0</v>
      </c>
      <c r="BF149" s="78">
        <f t="shared" si="83"/>
        <v>0</v>
      </c>
      <c r="BG149" s="78">
        <f t="shared" si="84"/>
        <v>0</v>
      </c>
      <c r="BH149" s="78">
        <f t="shared" si="85"/>
        <v>0</v>
      </c>
      <c r="BI149" s="78"/>
      <c r="BJ149" s="91">
        <f t="shared" si="86"/>
        <v>0</v>
      </c>
      <c r="BK149" s="91">
        <f t="shared" si="87"/>
        <v>0</v>
      </c>
      <c r="BL149" s="78"/>
      <c r="BM149" s="78">
        <f t="shared" si="88"/>
        <v>0</v>
      </c>
      <c r="BN149" s="78">
        <f t="shared" si="89"/>
        <v>0</v>
      </c>
      <c r="BO149" s="78">
        <f t="shared" si="90"/>
        <v>0</v>
      </c>
      <c r="BP149" s="78">
        <f t="shared" si="91"/>
        <v>0</v>
      </c>
      <c r="BQ149" s="78">
        <f t="shared" si="92"/>
        <v>0</v>
      </c>
      <c r="BR149" s="78">
        <f t="shared" si="93"/>
        <v>0</v>
      </c>
      <c r="BS149" s="78">
        <f t="shared" si="94"/>
        <v>0</v>
      </c>
      <c r="BT149" s="78">
        <f t="shared" si="95"/>
        <v>0</v>
      </c>
      <c r="BU149" s="91">
        <f t="shared" si="96"/>
        <v>0</v>
      </c>
      <c r="BV149" s="91">
        <f t="shared" si="97"/>
        <v>0</v>
      </c>
      <c r="BW149" s="78"/>
      <c r="BX149" s="78"/>
      <c r="BY149" s="78">
        <f t="shared" si="98"/>
        <v>0</v>
      </c>
      <c r="BZ149" s="78">
        <f t="shared" si="99"/>
        <v>0</v>
      </c>
      <c r="CA149" s="78">
        <f t="shared" si="100"/>
        <v>0</v>
      </c>
      <c r="CB149" s="78">
        <f t="shared" si="101"/>
        <v>0</v>
      </c>
      <c r="CC149" s="78">
        <f t="shared" si="102"/>
        <v>0</v>
      </c>
      <c r="CD149" s="78">
        <f t="shared" si="103"/>
        <v>0</v>
      </c>
      <c r="CE149" s="78">
        <f t="shared" si="104"/>
        <v>0</v>
      </c>
      <c r="CF149" s="78">
        <f t="shared" si="105"/>
        <v>0</v>
      </c>
      <c r="CG149" s="78"/>
      <c r="CH149" s="92">
        <f t="shared" si="106"/>
        <v>0</v>
      </c>
      <c r="CI149" s="93">
        <f t="shared" si="107"/>
        <v>0</v>
      </c>
      <c r="CJ149" s="94">
        <f t="shared" si="108"/>
        <v>0</v>
      </c>
      <c r="CL149" s="78">
        <f t="shared" si="109"/>
        <v>0</v>
      </c>
      <c r="CM149" s="78">
        <f t="shared" si="110"/>
        <v>0</v>
      </c>
      <c r="CN149" s="78">
        <f t="shared" si="111"/>
        <v>0</v>
      </c>
      <c r="CO149" s="78">
        <f t="shared" si="112"/>
        <v>0</v>
      </c>
    </row>
    <row r="150" spans="1:93" ht="13.5" thickBot="1">
      <c r="A150" s="95"/>
      <c r="B150" s="96"/>
      <c r="C150" s="97"/>
      <c r="D150" s="98"/>
      <c r="E150" s="99"/>
      <c r="F150" s="100"/>
      <c r="G150" s="100"/>
      <c r="H150" s="100"/>
      <c r="I150" s="100"/>
      <c r="J150" s="100"/>
      <c r="K150" s="101" t="str">
        <f t="shared" si="113"/>
        <v/>
      </c>
      <c r="L150" s="102"/>
      <c r="M150" s="103"/>
      <c r="N150" s="104"/>
      <c r="O150" s="105"/>
      <c r="P150" s="106">
        <f t="shared" si="114"/>
        <v>0</v>
      </c>
      <c r="Q150" s="106">
        <f t="shared" si="115"/>
        <v>0</v>
      </c>
      <c r="R150" s="106">
        <f t="shared" si="116"/>
        <v>0</v>
      </c>
      <c r="S150" s="106">
        <f t="shared" si="117"/>
        <v>0</v>
      </c>
      <c r="T150" s="107">
        <f t="shared" si="118"/>
        <v>0</v>
      </c>
      <c r="U150" s="78"/>
      <c r="AG150" s="108"/>
      <c r="AI150" s="78">
        <f t="shared" si="62"/>
        <v>0</v>
      </c>
      <c r="AJ150" s="78">
        <f t="shared" si="63"/>
        <v>0</v>
      </c>
      <c r="AK150" s="78">
        <f t="shared" si="64"/>
        <v>0</v>
      </c>
      <c r="AL150" s="78">
        <f t="shared" si="65"/>
        <v>0</v>
      </c>
      <c r="AM150" s="78">
        <f t="shared" si="66"/>
        <v>0</v>
      </c>
      <c r="AN150" s="78">
        <f t="shared" si="67"/>
        <v>0</v>
      </c>
      <c r="AO150" s="78">
        <f t="shared" si="68"/>
        <v>0</v>
      </c>
      <c r="AP150" s="78">
        <f t="shared" si="69"/>
        <v>0</v>
      </c>
      <c r="AQ150" s="78">
        <f t="shared" si="70"/>
        <v>0</v>
      </c>
      <c r="AR150" s="78">
        <f t="shared" si="71"/>
        <v>0</v>
      </c>
      <c r="AS150" s="90">
        <f t="shared" si="72"/>
        <v>0</v>
      </c>
      <c r="AT150" s="91">
        <f t="shared" si="73"/>
        <v>0</v>
      </c>
      <c r="AV150" s="91">
        <f t="shared" si="74"/>
        <v>0</v>
      </c>
      <c r="AW150" s="78">
        <f t="shared" si="75"/>
        <v>0</v>
      </c>
      <c r="AX150" s="78">
        <f t="shared" si="76"/>
        <v>0</v>
      </c>
      <c r="AY150" s="78"/>
      <c r="AZ150" s="78">
        <f t="shared" si="77"/>
        <v>0</v>
      </c>
      <c r="BA150" s="78">
        <f t="shared" si="78"/>
        <v>0</v>
      </c>
      <c r="BB150" s="78">
        <f t="shared" si="79"/>
        <v>0</v>
      </c>
      <c r="BC150" s="78">
        <f t="shared" si="80"/>
        <v>0</v>
      </c>
      <c r="BD150" s="78">
        <f t="shared" si="81"/>
        <v>0</v>
      </c>
      <c r="BE150" s="78">
        <f t="shared" si="82"/>
        <v>0</v>
      </c>
      <c r="BF150" s="78">
        <f t="shared" si="83"/>
        <v>0</v>
      </c>
      <c r="BG150" s="78">
        <f t="shared" si="84"/>
        <v>0</v>
      </c>
      <c r="BH150" s="78">
        <f t="shared" si="85"/>
        <v>0</v>
      </c>
      <c r="BI150" s="78"/>
      <c r="BJ150" s="91">
        <f t="shared" si="86"/>
        <v>0</v>
      </c>
      <c r="BK150" s="91">
        <f t="shared" si="87"/>
        <v>0</v>
      </c>
      <c r="BL150" s="78"/>
      <c r="BM150" s="78">
        <f t="shared" si="88"/>
        <v>0</v>
      </c>
      <c r="BN150" s="78">
        <f t="shared" si="89"/>
        <v>0</v>
      </c>
      <c r="BO150" s="78">
        <f t="shared" si="90"/>
        <v>0</v>
      </c>
      <c r="BP150" s="78">
        <f t="shared" si="91"/>
        <v>0</v>
      </c>
      <c r="BQ150" s="78">
        <f t="shared" si="92"/>
        <v>0</v>
      </c>
      <c r="BR150" s="78">
        <f t="shared" si="93"/>
        <v>0</v>
      </c>
      <c r="BS150" s="78">
        <f t="shared" si="94"/>
        <v>0</v>
      </c>
      <c r="BT150" s="78">
        <f t="shared" si="95"/>
        <v>0</v>
      </c>
      <c r="BU150" s="91">
        <f t="shared" si="96"/>
        <v>0</v>
      </c>
      <c r="BV150" s="91">
        <f t="shared" si="97"/>
        <v>0</v>
      </c>
      <c r="BW150" s="78"/>
      <c r="BX150" s="78"/>
      <c r="BY150" s="78">
        <f t="shared" si="98"/>
        <v>0</v>
      </c>
      <c r="BZ150" s="78">
        <f t="shared" si="99"/>
        <v>0</v>
      </c>
      <c r="CA150" s="78">
        <f t="shared" si="100"/>
        <v>0</v>
      </c>
      <c r="CB150" s="78">
        <f t="shared" si="101"/>
        <v>0</v>
      </c>
      <c r="CC150" s="78">
        <f t="shared" si="102"/>
        <v>0</v>
      </c>
      <c r="CD150" s="78">
        <f t="shared" si="103"/>
        <v>0</v>
      </c>
      <c r="CE150" s="78">
        <f t="shared" si="104"/>
        <v>0</v>
      </c>
      <c r="CF150" s="78">
        <f t="shared" si="105"/>
        <v>0</v>
      </c>
      <c r="CG150" s="78"/>
      <c r="CH150" s="92">
        <f t="shared" si="106"/>
        <v>0</v>
      </c>
      <c r="CI150" s="93">
        <f t="shared" si="107"/>
        <v>0</v>
      </c>
      <c r="CJ150" s="94">
        <f t="shared" si="108"/>
        <v>0</v>
      </c>
      <c r="CL150" s="78">
        <f t="shared" si="109"/>
        <v>0</v>
      </c>
      <c r="CM150" s="78">
        <f t="shared" si="110"/>
        <v>0</v>
      </c>
      <c r="CN150" s="78">
        <f t="shared" si="111"/>
        <v>0</v>
      </c>
      <c r="CO150" s="78">
        <f t="shared" si="112"/>
        <v>0</v>
      </c>
    </row>
    <row r="151" spans="1:93" ht="13.5" thickBot="1">
      <c r="A151" s="95"/>
      <c r="B151" s="96"/>
      <c r="C151" s="97"/>
      <c r="D151" s="98"/>
      <c r="E151" s="99"/>
      <c r="F151" s="100"/>
      <c r="G151" s="100"/>
      <c r="H151" s="100"/>
      <c r="I151" s="100"/>
      <c r="J151" s="100"/>
      <c r="K151" s="101" t="str">
        <f t="shared" si="113"/>
        <v/>
      </c>
      <c r="L151" s="102"/>
      <c r="M151" s="103"/>
      <c r="N151" s="104"/>
      <c r="O151" s="105"/>
      <c r="P151" s="106">
        <f t="shared" si="114"/>
        <v>0</v>
      </c>
      <c r="Q151" s="106">
        <f t="shared" si="115"/>
        <v>0</v>
      </c>
      <c r="R151" s="106">
        <f t="shared" si="116"/>
        <v>0</v>
      </c>
      <c r="S151" s="106">
        <f t="shared" si="117"/>
        <v>0</v>
      </c>
      <c r="T151" s="107">
        <f t="shared" si="118"/>
        <v>0</v>
      </c>
      <c r="U151" s="78"/>
      <c r="AG151" s="108"/>
      <c r="AI151" s="78">
        <f t="shared" si="62"/>
        <v>0</v>
      </c>
      <c r="AJ151" s="78">
        <f t="shared" si="63"/>
        <v>0</v>
      </c>
      <c r="AK151" s="78">
        <f t="shared" si="64"/>
        <v>0</v>
      </c>
      <c r="AL151" s="78">
        <f t="shared" si="65"/>
        <v>0</v>
      </c>
      <c r="AM151" s="78">
        <f t="shared" si="66"/>
        <v>0</v>
      </c>
      <c r="AN151" s="78">
        <f t="shared" si="67"/>
        <v>0</v>
      </c>
      <c r="AO151" s="78">
        <f t="shared" si="68"/>
        <v>0</v>
      </c>
      <c r="AP151" s="78">
        <f t="shared" si="69"/>
        <v>0</v>
      </c>
      <c r="AQ151" s="78">
        <f t="shared" si="70"/>
        <v>0</v>
      </c>
      <c r="AR151" s="78">
        <f t="shared" si="71"/>
        <v>0</v>
      </c>
      <c r="AS151" s="90">
        <f t="shared" si="72"/>
        <v>0</v>
      </c>
      <c r="AT151" s="91">
        <f t="shared" si="73"/>
        <v>0</v>
      </c>
      <c r="AV151" s="91">
        <f t="shared" si="74"/>
        <v>0</v>
      </c>
      <c r="AW151" s="78">
        <f t="shared" si="75"/>
        <v>0</v>
      </c>
      <c r="AX151" s="78">
        <f t="shared" si="76"/>
        <v>0</v>
      </c>
      <c r="AY151" s="78"/>
      <c r="AZ151" s="78">
        <f t="shared" si="77"/>
        <v>0</v>
      </c>
      <c r="BA151" s="78">
        <f t="shared" si="78"/>
        <v>0</v>
      </c>
      <c r="BB151" s="78">
        <f t="shared" si="79"/>
        <v>0</v>
      </c>
      <c r="BC151" s="78">
        <f t="shared" si="80"/>
        <v>0</v>
      </c>
      <c r="BD151" s="78">
        <f t="shared" si="81"/>
        <v>0</v>
      </c>
      <c r="BE151" s="78">
        <f t="shared" si="82"/>
        <v>0</v>
      </c>
      <c r="BF151" s="78">
        <f t="shared" si="83"/>
        <v>0</v>
      </c>
      <c r="BG151" s="78">
        <f t="shared" si="84"/>
        <v>0</v>
      </c>
      <c r="BH151" s="78">
        <f t="shared" si="85"/>
        <v>0</v>
      </c>
      <c r="BI151" s="78"/>
      <c r="BJ151" s="91">
        <f t="shared" si="86"/>
        <v>0</v>
      </c>
      <c r="BK151" s="91">
        <f t="shared" si="87"/>
        <v>0</v>
      </c>
      <c r="BL151" s="78"/>
      <c r="BM151" s="78">
        <f t="shared" si="88"/>
        <v>0</v>
      </c>
      <c r="BN151" s="78">
        <f t="shared" si="89"/>
        <v>0</v>
      </c>
      <c r="BO151" s="78">
        <f t="shared" si="90"/>
        <v>0</v>
      </c>
      <c r="BP151" s="78">
        <f t="shared" si="91"/>
        <v>0</v>
      </c>
      <c r="BQ151" s="78">
        <f t="shared" si="92"/>
        <v>0</v>
      </c>
      <c r="BR151" s="78">
        <f t="shared" si="93"/>
        <v>0</v>
      </c>
      <c r="BS151" s="78">
        <f t="shared" si="94"/>
        <v>0</v>
      </c>
      <c r="BT151" s="78">
        <f t="shared" si="95"/>
        <v>0</v>
      </c>
      <c r="BU151" s="91">
        <f t="shared" si="96"/>
        <v>0</v>
      </c>
      <c r="BV151" s="91">
        <f t="shared" si="97"/>
        <v>0</v>
      </c>
      <c r="BW151" s="78"/>
      <c r="BX151" s="78"/>
      <c r="BY151" s="78">
        <f t="shared" si="98"/>
        <v>0</v>
      </c>
      <c r="BZ151" s="78">
        <f t="shared" si="99"/>
        <v>0</v>
      </c>
      <c r="CA151" s="78">
        <f t="shared" si="100"/>
        <v>0</v>
      </c>
      <c r="CB151" s="78">
        <f t="shared" si="101"/>
        <v>0</v>
      </c>
      <c r="CC151" s="78">
        <f t="shared" si="102"/>
        <v>0</v>
      </c>
      <c r="CD151" s="78">
        <f t="shared" si="103"/>
        <v>0</v>
      </c>
      <c r="CE151" s="78">
        <f t="shared" si="104"/>
        <v>0</v>
      </c>
      <c r="CF151" s="78">
        <f t="shared" si="105"/>
        <v>0</v>
      </c>
      <c r="CG151" s="78"/>
      <c r="CH151" s="92">
        <f t="shared" si="106"/>
        <v>0</v>
      </c>
      <c r="CI151" s="93">
        <f t="shared" si="107"/>
        <v>0</v>
      </c>
      <c r="CJ151" s="94">
        <f t="shared" si="108"/>
        <v>0</v>
      </c>
      <c r="CL151" s="78">
        <f t="shared" si="109"/>
        <v>0</v>
      </c>
      <c r="CM151" s="78">
        <f t="shared" si="110"/>
        <v>0</v>
      </c>
      <c r="CN151" s="78">
        <f t="shared" si="111"/>
        <v>0</v>
      </c>
      <c r="CO151" s="78">
        <f t="shared" si="112"/>
        <v>0</v>
      </c>
    </row>
    <row r="152" spans="1:93" ht="13.5" thickBot="1">
      <c r="A152" s="95"/>
      <c r="B152" s="96"/>
      <c r="C152" s="97"/>
      <c r="D152" s="98"/>
      <c r="E152" s="99"/>
      <c r="F152" s="100"/>
      <c r="G152" s="100"/>
      <c r="H152" s="100"/>
      <c r="I152" s="100"/>
      <c r="J152" s="100"/>
      <c r="K152" s="101" t="str">
        <f t="shared" si="113"/>
        <v/>
      </c>
      <c r="L152" s="102"/>
      <c r="M152" s="103"/>
      <c r="N152" s="104"/>
      <c r="O152" s="105"/>
      <c r="P152" s="106">
        <f t="shared" si="114"/>
        <v>0</v>
      </c>
      <c r="Q152" s="106">
        <f t="shared" si="115"/>
        <v>0</v>
      </c>
      <c r="R152" s="106">
        <f t="shared" si="116"/>
        <v>0</v>
      </c>
      <c r="S152" s="106">
        <f t="shared" si="117"/>
        <v>0</v>
      </c>
      <c r="T152" s="107">
        <f t="shared" si="118"/>
        <v>0</v>
      </c>
      <c r="U152" s="78"/>
      <c r="AG152" s="108"/>
      <c r="AI152" s="78">
        <f t="shared" si="62"/>
        <v>0</v>
      </c>
      <c r="AJ152" s="78">
        <f t="shared" si="63"/>
        <v>0</v>
      </c>
      <c r="AK152" s="78">
        <f t="shared" si="64"/>
        <v>0</v>
      </c>
      <c r="AL152" s="78">
        <f t="shared" si="65"/>
        <v>0</v>
      </c>
      <c r="AM152" s="78">
        <f t="shared" si="66"/>
        <v>0</v>
      </c>
      <c r="AN152" s="78">
        <f t="shared" si="67"/>
        <v>0</v>
      </c>
      <c r="AO152" s="78">
        <f t="shared" si="68"/>
        <v>0</v>
      </c>
      <c r="AP152" s="78">
        <f t="shared" si="69"/>
        <v>0</v>
      </c>
      <c r="AQ152" s="78">
        <f t="shared" si="70"/>
        <v>0</v>
      </c>
      <c r="AR152" s="78">
        <f t="shared" si="71"/>
        <v>0</v>
      </c>
      <c r="AS152" s="90">
        <f t="shared" si="72"/>
        <v>0</v>
      </c>
      <c r="AT152" s="91">
        <f t="shared" si="73"/>
        <v>0</v>
      </c>
      <c r="AV152" s="91">
        <f t="shared" si="74"/>
        <v>0</v>
      </c>
      <c r="AW152" s="78">
        <f t="shared" si="75"/>
        <v>0</v>
      </c>
      <c r="AX152" s="78">
        <f t="shared" si="76"/>
        <v>0</v>
      </c>
      <c r="AY152" s="78"/>
      <c r="AZ152" s="78">
        <f t="shared" si="77"/>
        <v>0</v>
      </c>
      <c r="BA152" s="78">
        <f t="shared" si="78"/>
        <v>0</v>
      </c>
      <c r="BB152" s="78">
        <f t="shared" si="79"/>
        <v>0</v>
      </c>
      <c r="BC152" s="78">
        <f t="shared" si="80"/>
        <v>0</v>
      </c>
      <c r="BD152" s="78">
        <f t="shared" si="81"/>
        <v>0</v>
      </c>
      <c r="BE152" s="78">
        <f t="shared" si="82"/>
        <v>0</v>
      </c>
      <c r="BF152" s="78">
        <f t="shared" si="83"/>
        <v>0</v>
      </c>
      <c r="BG152" s="78">
        <f t="shared" si="84"/>
        <v>0</v>
      </c>
      <c r="BH152" s="78">
        <f t="shared" si="85"/>
        <v>0</v>
      </c>
      <c r="BI152" s="78"/>
      <c r="BJ152" s="91">
        <f t="shared" si="86"/>
        <v>0</v>
      </c>
      <c r="BK152" s="91">
        <f t="shared" si="87"/>
        <v>0</v>
      </c>
      <c r="BL152" s="78"/>
      <c r="BM152" s="78">
        <f t="shared" si="88"/>
        <v>0</v>
      </c>
      <c r="BN152" s="78">
        <f t="shared" si="89"/>
        <v>0</v>
      </c>
      <c r="BO152" s="78">
        <f t="shared" si="90"/>
        <v>0</v>
      </c>
      <c r="BP152" s="78">
        <f t="shared" si="91"/>
        <v>0</v>
      </c>
      <c r="BQ152" s="78">
        <f t="shared" si="92"/>
        <v>0</v>
      </c>
      <c r="BR152" s="78">
        <f t="shared" si="93"/>
        <v>0</v>
      </c>
      <c r="BS152" s="78">
        <f t="shared" si="94"/>
        <v>0</v>
      </c>
      <c r="BT152" s="78">
        <f t="shared" si="95"/>
        <v>0</v>
      </c>
      <c r="BU152" s="91">
        <f t="shared" si="96"/>
        <v>0</v>
      </c>
      <c r="BV152" s="91">
        <f t="shared" si="97"/>
        <v>0</v>
      </c>
      <c r="BW152" s="78"/>
      <c r="BX152" s="78"/>
      <c r="BY152" s="78">
        <f t="shared" si="98"/>
        <v>0</v>
      </c>
      <c r="BZ152" s="78">
        <f t="shared" si="99"/>
        <v>0</v>
      </c>
      <c r="CA152" s="78">
        <f t="shared" si="100"/>
        <v>0</v>
      </c>
      <c r="CB152" s="78">
        <f t="shared" si="101"/>
        <v>0</v>
      </c>
      <c r="CC152" s="78">
        <f t="shared" si="102"/>
        <v>0</v>
      </c>
      <c r="CD152" s="78">
        <f t="shared" si="103"/>
        <v>0</v>
      </c>
      <c r="CE152" s="78">
        <f t="shared" si="104"/>
        <v>0</v>
      </c>
      <c r="CF152" s="78">
        <f t="shared" si="105"/>
        <v>0</v>
      </c>
      <c r="CG152" s="78"/>
      <c r="CH152" s="92">
        <f t="shared" si="106"/>
        <v>0</v>
      </c>
      <c r="CI152" s="93">
        <f t="shared" si="107"/>
        <v>0</v>
      </c>
      <c r="CJ152" s="94">
        <f t="shared" si="108"/>
        <v>0</v>
      </c>
      <c r="CL152" s="78">
        <f t="shared" si="109"/>
        <v>0</v>
      </c>
      <c r="CM152" s="78">
        <f t="shared" si="110"/>
        <v>0</v>
      </c>
      <c r="CN152" s="78">
        <f t="shared" si="111"/>
        <v>0</v>
      </c>
      <c r="CO152" s="78">
        <f t="shared" si="112"/>
        <v>0</v>
      </c>
    </row>
    <row r="153" spans="1:93" ht="13.5" thickBot="1">
      <c r="A153" s="95"/>
      <c r="B153" s="96"/>
      <c r="C153" s="97"/>
      <c r="D153" s="98"/>
      <c r="E153" s="99"/>
      <c r="F153" s="100"/>
      <c r="G153" s="100"/>
      <c r="H153" s="100"/>
      <c r="I153" s="100"/>
      <c r="J153" s="100"/>
      <c r="K153" s="101" t="str">
        <f t="shared" si="113"/>
        <v/>
      </c>
      <c r="L153" s="102"/>
      <c r="M153" s="103"/>
      <c r="N153" s="104"/>
      <c r="O153" s="105"/>
      <c r="P153" s="106">
        <f t="shared" si="114"/>
        <v>0</v>
      </c>
      <c r="Q153" s="106">
        <f t="shared" si="115"/>
        <v>0</v>
      </c>
      <c r="R153" s="106">
        <f t="shared" si="116"/>
        <v>0</v>
      </c>
      <c r="S153" s="106">
        <f t="shared" si="117"/>
        <v>0</v>
      </c>
      <c r="T153" s="107">
        <f t="shared" si="118"/>
        <v>0</v>
      </c>
      <c r="U153" s="78"/>
      <c r="AG153" s="108"/>
      <c r="AI153" s="78">
        <f t="shared" si="62"/>
        <v>0</v>
      </c>
      <c r="AJ153" s="78">
        <f t="shared" si="63"/>
        <v>0</v>
      </c>
      <c r="AK153" s="78">
        <f t="shared" si="64"/>
        <v>0</v>
      </c>
      <c r="AL153" s="78">
        <f t="shared" si="65"/>
        <v>0</v>
      </c>
      <c r="AM153" s="78">
        <f t="shared" si="66"/>
        <v>0</v>
      </c>
      <c r="AN153" s="78">
        <f t="shared" si="67"/>
        <v>0</v>
      </c>
      <c r="AO153" s="78">
        <f t="shared" si="68"/>
        <v>0</v>
      </c>
      <c r="AP153" s="78">
        <f t="shared" si="69"/>
        <v>0</v>
      </c>
      <c r="AQ153" s="78">
        <f t="shared" si="70"/>
        <v>0</v>
      </c>
      <c r="AR153" s="78">
        <f t="shared" si="71"/>
        <v>0</v>
      </c>
      <c r="AS153" s="90">
        <f t="shared" si="72"/>
        <v>0</v>
      </c>
      <c r="AT153" s="91">
        <f t="shared" si="73"/>
        <v>0</v>
      </c>
      <c r="AV153" s="91">
        <f t="shared" si="74"/>
        <v>0</v>
      </c>
      <c r="AW153" s="78">
        <f t="shared" si="75"/>
        <v>0</v>
      </c>
      <c r="AX153" s="78">
        <f t="shared" si="76"/>
        <v>0</v>
      </c>
      <c r="AY153" s="78"/>
      <c r="AZ153" s="78">
        <f t="shared" si="77"/>
        <v>0</v>
      </c>
      <c r="BA153" s="78">
        <f t="shared" si="78"/>
        <v>0</v>
      </c>
      <c r="BB153" s="78">
        <f t="shared" si="79"/>
        <v>0</v>
      </c>
      <c r="BC153" s="78">
        <f t="shared" si="80"/>
        <v>0</v>
      </c>
      <c r="BD153" s="78">
        <f t="shared" si="81"/>
        <v>0</v>
      </c>
      <c r="BE153" s="78">
        <f t="shared" si="82"/>
        <v>0</v>
      </c>
      <c r="BF153" s="78">
        <f t="shared" si="83"/>
        <v>0</v>
      </c>
      <c r="BG153" s="78">
        <f t="shared" si="84"/>
        <v>0</v>
      </c>
      <c r="BH153" s="78">
        <f t="shared" si="85"/>
        <v>0</v>
      </c>
      <c r="BI153" s="78"/>
      <c r="BJ153" s="91">
        <f t="shared" si="86"/>
        <v>0</v>
      </c>
      <c r="BK153" s="91">
        <f t="shared" si="87"/>
        <v>0</v>
      </c>
      <c r="BL153" s="78"/>
      <c r="BM153" s="78">
        <f t="shared" si="88"/>
        <v>0</v>
      </c>
      <c r="BN153" s="78">
        <f t="shared" si="89"/>
        <v>0</v>
      </c>
      <c r="BO153" s="78">
        <f t="shared" si="90"/>
        <v>0</v>
      </c>
      <c r="BP153" s="78">
        <f t="shared" si="91"/>
        <v>0</v>
      </c>
      <c r="BQ153" s="78">
        <f t="shared" si="92"/>
        <v>0</v>
      </c>
      <c r="BR153" s="78">
        <f t="shared" si="93"/>
        <v>0</v>
      </c>
      <c r="BS153" s="78">
        <f t="shared" si="94"/>
        <v>0</v>
      </c>
      <c r="BT153" s="78">
        <f t="shared" si="95"/>
        <v>0</v>
      </c>
      <c r="BU153" s="91">
        <f t="shared" si="96"/>
        <v>0</v>
      </c>
      <c r="BV153" s="91">
        <f t="shared" si="97"/>
        <v>0</v>
      </c>
      <c r="BW153" s="78"/>
      <c r="BX153" s="78"/>
      <c r="BY153" s="78">
        <f t="shared" si="98"/>
        <v>0</v>
      </c>
      <c r="BZ153" s="78">
        <f t="shared" si="99"/>
        <v>0</v>
      </c>
      <c r="CA153" s="78">
        <f t="shared" si="100"/>
        <v>0</v>
      </c>
      <c r="CB153" s="78">
        <f t="shared" si="101"/>
        <v>0</v>
      </c>
      <c r="CC153" s="78">
        <f t="shared" si="102"/>
        <v>0</v>
      </c>
      <c r="CD153" s="78">
        <f t="shared" si="103"/>
        <v>0</v>
      </c>
      <c r="CE153" s="78">
        <f t="shared" si="104"/>
        <v>0</v>
      </c>
      <c r="CF153" s="78">
        <f t="shared" si="105"/>
        <v>0</v>
      </c>
      <c r="CG153" s="78"/>
      <c r="CH153" s="92">
        <f t="shared" si="106"/>
        <v>0</v>
      </c>
      <c r="CI153" s="93">
        <f t="shared" si="107"/>
        <v>0</v>
      </c>
      <c r="CJ153" s="94">
        <f t="shared" si="108"/>
        <v>0</v>
      </c>
      <c r="CL153" s="78">
        <f t="shared" si="109"/>
        <v>0</v>
      </c>
      <c r="CM153" s="78">
        <f t="shared" si="110"/>
        <v>0</v>
      </c>
      <c r="CN153" s="78">
        <f t="shared" si="111"/>
        <v>0</v>
      </c>
      <c r="CO153" s="78">
        <f t="shared" si="112"/>
        <v>0</v>
      </c>
    </row>
    <row r="154" spans="1:93" ht="13.5" thickBot="1">
      <c r="A154" s="95"/>
      <c r="B154" s="96"/>
      <c r="C154" s="97"/>
      <c r="D154" s="98"/>
      <c r="E154" s="99"/>
      <c r="F154" s="100"/>
      <c r="G154" s="100"/>
      <c r="H154" s="100"/>
      <c r="I154" s="100"/>
      <c r="J154" s="100"/>
      <c r="K154" s="101" t="str">
        <f t="shared" si="113"/>
        <v/>
      </c>
      <c r="L154" s="102"/>
      <c r="M154" s="103"/>
      <c r="N154" s="104"/>
      <c r="O154" s="105"/>
      <c r="P154" s="106">
        <f t="shared" si="114"/>
        <v>0</v>
      </c>
      <c r="Q154" s="106">
        <f t="shared" si="115"/>
        <v>0</v>
      </c>
      <c r="R154" s="106">
        <f t="shared" si="116"/>
        <v>0</v>
      </c>
      <c r="S154" s="106">
        <f t="shared" si="117"/>
        <v>0</v>
      </c>
      <c r="T154" s="107">
        <f t="shared" si="118"/>
        <v>0</v>
      </c>
      <c r="U154" s="78"/>
      <c r="AG154" s="108"/>
      <c r="AI154" s="78">
        <f t="shared" si="62"/>
        <v>0</v>
      </c>
      <c r="AJ154" s="78">
        <f t="shared" si="63"/>
        <v>0</v>
      </c>
      <c r="AK154" s="78">
        <f t="shared" si="64"/>
        <v>0</v>
      </c>
      <c r="AL154" s="78">
        <f t="shared" si="65"/>
        <v>0</v>
      </c>
      <c r="AM154" s="78">
        <f t="shared" si="66"/>
        <v>0</v>
      </c>
      <c r="AN154" s="78">
        <f t="shared" si="67"/>
        <v>0</v>
      </c>
      <c r="AO154" s="78">
        <f t="shared" si="68"/>
        <v>0</v>
      </c>
      <c r="AP154" s="78">
        <f t="shared" si="69"/>
        <v>0</v>
      </c>
      <c r="AQ154" s="78">
        <f t="shared" si="70"/>
        <v>0</v>
      </c>
      <c r="AR154" s="78">
        <f t="shared" si="71"/>
        <v>0</v>
      </c>
      <c r="AS154" s="90">
        <f t="shared" si="72"/>
        <v>0</v>
      </c>
      <c r="AT154" s="91">
        <f t="shared" si="73"/>
        <v>0</v>
      </c>
      <c r="AV154" s="91">
        <f t="shared" si="74"/>
        <v>0</v>
      </c>
      <c r="AW154" s="78">
        <f t="shared" si="75"/>
        <v>0</v>
      </c>
      <c r="AX154" s="78">
        <f t="shared" si="76"/>
        <v>0</v>
      </c>
      <c r="AY154" s="78"/>
      <c r="AZ154" s="78">
        <f t="shared" si="77"/>
        <v>0</v>
      </c>
      <c r="BA154" s="78">
        <f t="shared" si="78"/>
        <v>0</v>
      </c>
      <c r="BB154" s="78">
        <f t="shared" si="79"/>
        <v>0</v>
      </c>
      <c r="BC154" s="78">
        <f t="shared" si="80"/>
        <v>0</v>
      </c>
      <c r="BD154" s="78">
        <f t="shared" si="81"/>
        <v>0</v>
      </c>
      <c r="BE154" s="78">
        <f t="shared" si="82"/>
        <v>0</v>
      </c>
      <c r="BF154" s="78">
        <f t="shared" si="83"/>
        <v>0</v>
      </c>
      <c r="BG154" s="78">
        <f t="shared" si="84"/>
        <v>0</v>
      </c>
      <c r="BH154" s="78">
        <f t="shared" si="85"/>
        <v>0</v>
      </c>
      <c r="BI154" s="78"/>
      <c r="BJ154" s="91">
        <f t="shared" si="86"/>
        <v>0</v>
      </c>
      <c r="BK154" s="91">
        <f t="shared" si="87"/>
        <v>0</v>
      </c>
      <c r="BL154" s="78"/>
      <c r="BM154" s="78">
        <f t="shared" si="88"/>
        <v>0</v>
      </c>
      <c r="BN154" s="78">
        <f t="shared" si="89"/>
        <v>0</v>
      </c>
      <c r="BO154" s="78">
        <f t="shared" si="90"/>
        <v>0</v>
      </c>
      <c r="BP154" s="78">
        <f t="shared" si="91"/>
        <v>0</v>
      </c>
      <c r="BQ154" s="78">
        <f t="shared" si="92"/>
        <v>0</v>
      </c>
      <c r="BR154" s="78">
        <f t="shared" si="93"/>
        <v>0</v>
      </c>
      <c r="BS154" s="78">
        <f t="shared" si="94"/>
        <v>0</v>
      </c>
      <c r="BT154" s="78">
        <f t="shared" si="95"/>
        <v>0</v>
      </c>
      <c r="BU154" s="91">
        <f t="shared" si="96"/>
        <v>0</v>
      </c>
      <c r="BV154" s="91">
        <f t="shared" si="97"/>
        <v>0</v>
      </c>
      <c r="BW154" s="78"/>
      <c r="BX154" s="78"/>
      <c r="BY154" s="78">
        <f t="shared" si="98"/>
        <v>0</v>
      </c>
      <c r="BZ154" s="78">
        <f t="shared" si="99"/>
        <v>0</v>
      </c>
      <c r="CA154" s="78">
        <f t="shared" si="100"/>
        <v>0</v>
      </c>
      <c r="CB154" s="78">
        <f t="shared" si="101"/>
        <v>0</v>
      </c>
      <c r="CC154" s="78">
        <f t="shared" si="102"/>
        <v>0</v>
      </c>
      <c r="CD154" s="78">
        <f t="shared" si="103"/>
        <v>0</v>
      </c>
      <c r="CE154" s="78">
        <f t="shared" si="104"/>
        <v>0</v>
      </c>
      <c r="CF154" s="78">
        <f t="shared" si="105"/>
        <v>0</v>
      </c>
      <c r="CG154" s="78"/>
      <c r="CH154" s="92">
        <f t="shared" si="106"/>
        <v>0</v>
      </c>
      <c r="CI154" s="93">
        <f t="shared" si="107"/>
        <v>0</v>
      </c>
      <c r="CJ154" s="94">
        <f t="shared" si="108"/>
        <v>0</v>
      </c>
      <c r="CL154" s="78">
        <f t="shared" si="109"/>
        <v>0</v>
      </c>
      <c r="CM154" s="78">
        <f t="shared" si="110"/>
        <v>0</v>
      </c>
      <c r="CN154" s="78">
        <f t="shared" si="111"/>
        <v>0</v>
      </c>
      <c r="CO154" s="78">
        <f t="shared" si="112"/>
        <v>0</v>
      </c>
    </row>
    <row r="155" spans="1:93" ht="13.5" thickBot="1">
      <c r="A155" s="95"/>
      <c r="B155" s="96"/>
      <c r="C155" s="97"/>
      <c r="D155" s="98"/>
      <c r="E155" s="99"/>
      <c r="F155" s="100"/>
      <c r="G155" s="100"/>
      <c r="H155" s="100"/>
      <c r="I155" s="100"/>
      <c r="J155" s="100"/>
      <c r="K155" s="101" t="str">
        <f t="shared" si="113"/>
        <v/>
      </c>
      <c r="L155" s="102"/>
      <c r="M155" s="103"/>
      <c r="N155" s="104"/>
      <c r="O155" s="105"/>
      <c r="P155" s="106">
        <f t="shared" si="114"/>
        <v>0</v>
      </c>
      <c r="Q155" s="106">
        <f t="shared" si="115"/>
        <v>0</v>
      </c>
      <c r="R155" s="106">
        <f t="shared" si="116"/>
        <v>0</v>
      </c>
      <c r="S155" s="106">
        <f t="shared" si="117"/>
        <v>0</v>
      </c>
      <c r="T155" s="107">
        <f t="shared" si="118"/>
        <v>0</v>
      </c>
      <c r="U155" s="78"/>
      <c r="AG155" s="108"/>
      <c r="AI155" s="78">
        <f t="shared" si="62"/>
        <v>0</v>
      </c>
      <c r="AJ155" s="78">
        <f t="shared" si="63"/>
        <v>0</v>
      </c>
      <c r="AK155" s="78">
        <f t="shared" si="64"/>
        <v>0</v>
      </c>
      <c r="AL155" s="78">
        <f t="shared" si="65"/>
        <v>0</v>
      </c>
      <c r="AM155" s="78">
        <f t="shared" si="66"/>
        <v>0</v>
      </c>
      <c r="AN155" s="78">
        <f t="shared" si="67"/>
        <v>0</v>
      </c>
      <c r="AO155" s="78">
        <f t="shared" si="68"/>
        <v>0</v>
      </c>
      <c r="AP155" s="78">
        <f t="shared" si="69"/>
        <v>0</v>
      </c>
      <c r="AQ155" s="78">
        <f t="shared" si="70"/>
        <v>0</v>
      </c>
      <c r="AR155" s="78">
        <f t="shared" si="71"/>
        <v>0</v>
      </c>
      <c r="AS155" s="90">
        <f t="shared" si="72"/>
        <v>0</v>
      </c>
      <c r="AT155" s="91">
        <f t="shared" si="73"/>
        <v>0</v>
      </c>
      <c r="AV155" s="91">
        <f t="shared" si="74"/>
        <v>0</v>
      </c>
      <c r="AW155" s="78">
        <f t="shared" si="75"/>
        <v>0</v>
      </c>
      <c r="AX155" s="78">
        <f t="shared" si="76"/>
        <v>0</v>
      </c>
      <c r="AY155" s="78"/>
      <c r="AZ155" s="78">
        <f t="shared" si="77"/>
        <v>0</v>
      </c>
      <c r="BA155" s="78">
        <f t="shared" si="78"/>
        <v>0</v>
      </c>
      <c r="BB155" s="78">
        <f t="shared" si="79"/>
        <v>0</v>
      </c>
      <c r="BC155" s="78">
        <f t="shared" si="80"/>
        <v>0</v>
      </c>
      <c r="BD155" s="78">
        <f t="shared" si="81"/>
        <v>0</v>
      </c>
      <c r="BE155" s="78">
        <f t="shared" si="82"/>
        <v>0</v>
      </c>
      <c r="BF155" s="78">
        <f t="shared" si="83"/>
        <v>0</v>
      </c>
      <c r="BG155" s="78">
        <f t="shared" si="84"/>
        <v>0</v>
      </c>
      <c r="BH155" s="78">
        <f t="shared" si="85"/>
        <v>0</v>
      </c>
      <c r="BI155" s="78"/>
      <c r="BJ155" s="91">
        <f t="shared" si="86"/>
        <v>0</v>
      </c>
      <c r="BK155" s="91">
        <f t="shared" si="87"/>
        <v>0</v>
      </c>
      <c r="BL155" s="78"/>
      <c r="BM155" s="78">
        <f t="shared" si="88"/>
        <v>0</v>
      </c>
      <c r="BN155" s="78">
        <f t="shared" si="89"/>
        <v>0</v>
      </c>
      <c r="BO155" s="78">
        <f t="shared" si="90"/>
        <v>0</v>
      </c>
      <c r="BP155" s="78">
        <f t="shared" si="91"/>
        <v>0</v>
      </c>
      <c r="BQ155" s="78">
        <f t="shared" si="92"/>
        <v>0</v>
      </c>
      <c r="BR155" s="78">
        <f t="shared" si="93"/>
        <v>0</v>
      </c>
      <c r="BS155" s="78">
        <f t="shared" si="94"/>
        <v>0</v>
      </c>
      <c r="BT155" s="78">
        <f t="shared" si="95"/>
        <v>0</v>
      </c>
      <c r="BU155" s="91">
        <f t="shared" si="96"/>
        <v>0</v>
      </c>
      <c r="BV155" s="91">
        <f t="shared" si="97"/>
        <v>0</v>
      </c>
      <c r="BW155" s="78"/>
      <c r="BX155" s="78"/>
      <c r="BY155" s="78">
        <f t="shared" si="98"/>
        <v>0</v>
      </c>
      <c r="BZ155" s="78">
        <f t="shared" si="99"/>
        <v>0</v>
      </c>
      <c r="CA155" s="78">
        <f t="shared" si="100"/>
        <v>0</v>
      </c>
      <c r="CB155" s="78">
        <f t="shared" si="101"/>
        <v>0</v>
      </c>
      <c r="CC155" s="78">
        <f t="shared" si="102"/>
        <v>0</v>
      </c>
      <c r="CD155" s="78">
        <f t="shared" si="103"/>
        <v>0</v>
      </c>
      <c r="CE155" s="78">
        <f t="shared" si="104"/>
        <v>0</v>
      </c>
      <c r="CF155" s="78">
        <f t="shared" si="105"/>
        <v>0</v>
      </c>
      <c r="CG155" s="78"/>
      <c r="CH155" s="92">
        <f t="shared" si="106"/>
        <v>0</v>
      </c>
      <c r="CI155" s="93">
        <f t="shared" si="107"/>
        <v>0</v>
      </c>
      <c r="CJ155" s="94">
        <f t="shared" si="108"/>
        <v>0</v>
      </c>
      <c r="CL155" s="78">
        <f t="shared" si="109"/>
        <v>0</v>
      </c>
      <c r="CM155" s="78">
        <f t="shared" si="110"/>
        <v>0</v>
      </c>
      <c r="CN155" s="78">
        <f t="shared" si="111"/>
        <v>0</v>
      </c>
      <c r="CO155" s="78">
        <f t="shared" si="112"/>
        <v>0</v>
      </c>
    </row>
    <row r="156" spans="1:93" ht="13.5" thickBot="1">
      <c r="A156" s="95"/>
      <c r="B156" s="96"/>
      <c r="C156" s="97"/>
      <c r="D156" s="98"/>
      <c r="E156" s="99"/>
      <c r="F156" s="100"/>
      <c r="G156" s="100"/>
      <c r="H156" s="100"/>
      <c r="I156" s="100"/>
      <c r="J156" s="100"/>
      <c r="K156" s="101" t="str">
        <f t="shared" si="113"/>
        <v/>
      </c>
      <c r="L156" s="102"/>
      <c r="M156" s="103"/>
      <c r="N156" s="104"/>
      <c r="O156" s="105"/>
      <c r="P156" s="106">
        <f t="shared" si="114"/>
        <v>0</v>
      </c>
      <c r="Q156" s="106">
        <f t="shared" si="115"/>
        <v>0</v>
      </c>
      <c r="R156" s="106">
        <f t="shared" si="116"/>
        <v>0</v>
      </c>
      <c r="S156" s="106">
        <f t="shared" si="117"/>
        <v>0</v>
      </c>
      <c r="T156" s="107">
        <f t="shared" si="118"/>
        <v>0</v>
      </c>
      <c r="U156" s="78"/>
      <c r="AG156" s="108"/>
      <c r="AI156" s="78">
        <f t="shared" si="62"/>
        <v>0</v>
      </c>
      <c r="AJ156" s="78">
        <f t="shared" si="63"/>
        <v>0</v>
      </c>
      <c r="AK156" s="78">
        <f t="shared" si="64"/>
        <v>0</v>
      </c>
      <c r="AL156" s="78">
        <f t="shared" si="65"/>
        <v>0</v>
      </c>
      <c r="AM156" s="78">
        <f t="shared" si="66"/>
        <v>0</v>
      </c>
      <c r="AN156" s="78">
        <f t="shared" si="67"/>
        <v>0</v>
      </c>
      <c r="AO156" s="78">
        <f t="shared" si="68"/>
        <v>0</v>
      </c>
      <c r="AP156" s="78">
        <f t="shared" si="69"/>
        <v>0</v>
      </c>
      <c r="AQ156" s="78">
        <f t="shared" si="70"/>
        <v>0</v>
      </c>
      <c r="AR156" s="78">
        <f t="shared" si="71"/>
        <v>0</v>
      </c>
      <c r="AS156" s="90">
        <f t="shared" si="72"/>
        <v>0</v>
      </c>
      <c r="AT156" s="91">
        <f t="shared" si="73"/>
        <v>0</v>
      </c>
      <c r="AV156" s="91">
        <f t="shared" si="74"/>
        <v>0</v>
      </c>
      <c r="AW156" s="78">
        <f t="shared" si="75"/>
        <v>0</v>
      </c>
      <c r="AX156" s="78">
        <f t="shared" si="76"/>
        <v>0</v>
      </c>
      <c r="AY156" s="78"/>
      <c r="AZ156" s="78">
        <f t="shared" si="77"/>
        <v>0</v>
      </c>
      <c r="BA156" s="78">
        <f t="shared" si="78"/>
        <v>0</v>
      </c>
      <c r="BB156" s="78">
        <f t="shared" si="79"/>
        <v>0</v>
      </c>
      <c r="BC156" s="78">
        <f t="shared" si="80"/>
        <v>0</v>
      </c>
      <c r="BD156" s="78">
        <f t="shared" si="81"/>
        <v>0</v>
      </c>
      <c r="BE156" s="78">
        <f t="shared" si="82"/>
        <v>0</v>
      </c>
      <c r="BF156" s="78">
        <f t="shared" si="83"/>
        <v>0</v>
      </c>
      <c r="BG156" s="78">
        <f t="shared" si="84"/>
        <v>0</v>
      </c>
      <c r="BH156" s="78">
        <f t="shared" si="85"/>
        <v>0</v>
      </c>
      <c r="BI156" s="78"/>
      <c r="BJ156" s="91">
        <f t="shared" si="86"/>
        <v>0</v>
      </c>
      <c r="BK156" s="91">
        <f t="shared" si="87"/>
        <v>0</v>
      </c>
      <c r="BL156" s="78"/>
      <c r="BM156" s="78">
        <f t="shared" si="88"/>
        <v>0</v>
      </c>
      <c r="BN156" s="78">
        <f t="shared" si="89"/>
        <v>0</v>
      </c>
      <c r="BO156" s="78">
        <f t="shared" si="90"/>
        <v>0</v>
      </c>
      <c r="BP156" s="78">
        <f t="shared" si="91"/>
        <v>0</v>
      </c>
      <c r="BQ156" s="78">
        <f t="shared" si="92"/>
        <v>0</v>
      </c>
      <c r="BR156" s="78">
        <f t="shared" si="93"/>
        <v>0</v>
      </c>
      <c r="BS156" s="78">
        <f t="shared" si="94"/>
        <v>0</v>
      </c>
      <c r="BT156" s="78">
        <f t="shared" si="95"/>
        <v>0</v>
      </c>
      <c r="BU156" s="91">
        <f t="shared" si="96"/>
        <v>0</v>
      </c>
      <c r="BV156" s="91">
        <f t="shared" si="97"/>
        <v>0</v>
      </c>
      <c r="BW156" s="78"/>
      <c r="BX156" s="78"/>
      <c r="BY156" s="78">
        <f t="shared" si="98"/>
        <v>0</v>
      </c>
      <c r="BZ156" s="78">
        <f t="shared" si="99"/>
        <v>0</v>
      </c>
      <c r="CA156" s="78">
        <f t="shared" si="100"/>
        <v>0</v>
      </c>
      <c r="CB156" s="78">
        <f t="shared" si="101"/>
        <v>0</v>
      </c>
      <c r="CC156" s="78">
        <f t="shared" si="102"/>
        <v>0</v>
      </c>
      <c r="CD156" s="78">
        <f t="shared" si="103"/>
        <v>0</v>
      </c>
      <c r="CE156" s="78">
        <f t="shared" si="104"/>
        <v>0</v>
      </c>
      <c r="CF156" s="78">
        <f t="shared" si="105"/>
        <v>0</v>
      </c>
      <c r="CG156" s="78"/>
      <c r="CH156" s="92">
        <f t="shared" si="106"/>
        <v>0</v>
      </c>
      <c r="CI156" s="93">
        <f t="shared" si="107"/>
        <v>0</v>
      </c>
      <c r="CJ156" s="94">
        <f t="shared" si="108"/>
        <v>0</v>
      </c>
      <c r="CL156" s="78">
        <f t="shared" si="109"/>
        <v>0</v>
      </c>
      <c r="CM156" s="78">
        <f t="shared" si="110"/>
        <v>0</v>
      </c>
      <c r="CN156" s="78">
        <f t="shared" si="111"/>
        <v>0</v>
      </c>
      <c r="CO156" s="78">
        <f t="shared" si="112"/>
        <v>0</v>
      </c>
    </row>
    <row r="157" spans="1:93" ht="13.5" thickBot="1">
      <c r="A157" s="95"/>
      <c r="B157" s="96"/>
      <c r="C157" s="97"/>
      <c r="D157" s="98"/>
      <c r="E157" s="99"/>
      <c r="F157" s="100"/>
      <c r="G157" s="100"/>
      <c r="H157" s="100"/>
      <c r="I157" s="100"/>
      <c r="J157" s="100"/>
      <c r="K157" s="101" t="str">
        <f t="shared" si="113"/>
        <v/>
      </c>
      <c r="L157" s="102"/>
      <c r="M157" s="103"/>
      <c r="N157" s="104"/>
      <c r="O157" s="105"/>
      <c r="P157" s="106">
        <f t="shared" si="114"/>
        <v>0</v>
      </c>
      <c r="Q157" s="106">
        <f t="shared" si="115"/>
        <v>0</v>
      </c>
      <c r="R157" s="106">
        <f t="shared" si="116"/>
        <v>0</v>
      </c>
      <c r="S157" s="106">
        <f t="shared" si="117"/>
        <v>0</v>
      </c>
      <c r="T157" s="107">
        <f t="shared" si="118"/>
        <v>0</v>
      </c>
      <c r="U157" s="78"/>
      <c r="AG157" s="108"/>
      <c r="AI157" s="78">
        <f t="shared" si="62"/>
        <v>0</v>
      </c>
      <c r="AJ157" s="78">
        <f t="shared" si="63"/>
        <v>0</v>
      </c>
      <c r="AK157" s="78">
        <f t="shared" si="64"/>
        <v>0</v>
      </c>
      <c r="AL157" s="78">
        <f t="shared" si="65"/>
        <v>0</v>
      </c>
      <c r="AM157" s="78">
        <f t="shared" si="66"/>
        <v>0</v>
      </c>
      <c r="AN157" s="78">
        <f t="shared" si="67"/>
        <v>0</v>
      </c>
      <c r="AO157" s="78">
        <f t="shared" si="68"/>
        <v>0</v>
      </c>
      <c r="AP157" s="78">
        <f t="shared" si="69"/>
        <v>0</v>
      </c>
      <c r="AQ157" s="78">
        <f t="shared" si="70"/>
        <v>0</v>
      </c>
      <c r="AR157" s="78">
        <f t="shared" si="71"/>
        <v>0</v>
      </c>
      <c r="AS157" s="90">
        <f t="shared" si="72"/>
        <v>0</v>
      </c>
      <c r="AT157" s="91">
        <f t="shared" si="73"/>
        <v>0</v>
      </c>
      <c r="AV157" s="91">
        <f t="shared" si="74"/>
        <v>0</v>
      </c>
      <c r="AW157" s="78">
        <f t="shared" si="75"/>
        <v>0</v>
      </c>
      <c r="AX157" s="78">
        <f t="shared" si="76"/>
        <v>0</v>
      </c>
      <c r="AY157" s="78"/>
      <c r="AZ157" s="78">
        <f t="shared" si="77"/>
        <v>0</v>
      </c>
      <c r="BA157" s="78">
        <f t="shared" si="78"/>
        <v>0</v>
      </c>
      <c r="BB157" s="78">
        <f t="shared" si="79"/>
        <v>0</v>
      </c>
      <c r="BC157" s="78">
        <f t="shared" si="80"/>
        <v>0</v>
      </c>
      <c r="BD157" s="78">
        <f t="shared" si="81"/>
        <v>0</v>
      </c>
      <c r="BE157" s="78">
        <f t="shared" si="82"/>
        <v>0</v>
      </c>
      <c r="BF157" s="78">
        <f t="shared" si="83"/>
        <v>0</v>
      </c>
      <c r="BG157" s="78">
        <f t="shared" si="84"/>
        <v>0</v>
      </c>
      <c r="BH157" s="78">
        <f t="shared" si="85"/>
        <v>0</v>
      </c>
      <c r="BI157" s="78"/>
      <c r="BJ157" s="91">
        <f t="shared" si="86"/>
        <v>0</v>
      </c>
      <c r="BK157" s="91">
        <f t="shared" si="87"/>
        <v>0</v>
      </c>
      <c r="BL157" s="78"/>
      <c r="BM157" s="78">
        <f t="shared" si="88"/>
        <v>0</v>
      </c>
      <c r="BN157" s="78">
        <f t="shared" si="89"/>
        <v>0</v>
      </c>
      <c r="BO157" s="78">
        <f t="shared" si="90"/>
        <v>0</v>
      </c>
      <c r="BP157" s="78">
        <f t="shared" si="91"/>
        <v>0</v>
      </c>
      <c r="BQ157" s="78">
        <f t="shared" si="92"/>
        <v>0</v>
      </c>
      <c r="BR157" s="78">
        <f t="shared" si="93"/>
        <v>0</v>
      </c>
      <c r="BS157" s="78">
        <f t="shared" si="94"/>
        <v>0</v>
      </c>
      <c r="BT157" s="78">
        <f t="shared" si="95"/>
        <v>0</v>
      </c>
      <c r="BU157" s="91">
        <f t="shared" si="96"/>
        <v>0</v>
      </c>
      <c r="BV157" s="91">
        <f t="shared" si="97"/>
        <v>0</v>
      </c>
      <c r="BW157" s="78"/>
      <c r="BX157" s="78"/>
      <c r="BY157" s="78">
        <f t="shared" si="98"/>
        <v>0</v>
      </c>
      <c r="BZ157" s="78">
        <f t="shared" si="99"/>
        <v>0</v>
      </c>
      <c r="CA157" s="78">
        <f t="shared" si="100"/>
        <v>0</v>
      </c>
      <c r="CB157" s="78">
        <f t="shared" si="101"/>
        <v>0</v>
      </c>
      <c r="CC157" s="78">
        <f t="shared" si="102"/>
        <v>0</v>
      </c>
      <c r="CD157" s="78">
        <f t="shared" si="103"/>
        <v>0</v>
      </c>
      <c r="CE157" s="78">
        <f t="shared" si="104"/>
        <v>0</v>
      </c>
      <c r="CF157" s="78">
        <f t="shared" si="105"/>
        <v>0</v>
      </c>
      <c r="CG157" s="78"/>
      <c r="CH157" s="92">
        <f t="shared" si="106"/>
        <v>0</v>
      </c>
      <c r="CI157" s="93">
        <f t="shared" si="107"/>
        <v>0</v>
      </c>
      <c r="CJ157" s="94">
        <f t="shared" si="108"/>
        <v>0</v>
      </c>
      <c r="CL157" s="78">
        <f t="shared" si="109"/>
        <v>0</v>
      </c>
      <c r="CM157" s="78">
        <f t="shared" si="110"/>
        <v>0</v>
      </c>
      <c r="CN157" s="78">
        <f t="shared" si="111"/>
        <v>0</v>
      </c>
      <c r="CO157" s="78">
        <f t="shared" si="112"/>
        <v>0</v>
      </c>
    </row>
    <row r="158" spans="1:93" ht="13.5" thickBot="1">
      <c r="A158" s="95"/>
      <c r="B158" s="96"/>
      <c r="C158" s="97"/>
      <c r="D158" s="98"/>
      <c r="E158" s="99"/>
      <c r="F158" s="100"/>
      <c r="G158" s="100"/>
      <c r="H158" s="100"/>
      <c r="I158" s="100"/>
      <c r="J158" s="100"/>
      <c r="K158" s="101" t="str">
        <f t="shared" si="113"/>
        <v/>
      </c>
      <c r="L158" s="102"/>
      <c r="M158" s="103"/>
      <c r="N158" s="104"/>
      <c r="O158" s="105"/>
      <c r="P158" s="106">
        <f t="shared" si="114"/>
        <v>0</v>
      </c>
      <c r="Q158" s="106">
        <f t="shared" si="115"/>
        <v>0</v>
      </c>
      <c r="R158" s="106">
        <f t="shared" si="116"/>
        <v>0</v>
      </c>
      <c r="S158" s="106">
        <f t="shared" si="117"/>
        <v>0</v>
      </c>
      <c r="T158" s="107">
        <f t="shared" si="118"/>
        <v>0</v>
      </c>
      <c r="U158" s="78"/>
      <c r="AG158" s="108"/>
      <c r="AI158" s="78">
        <f t="shared" si="62"/>
        <v>0</v>
      </c>
      <c r="AJ158" s="78">
        <f t="shared" si="63"/>
        <v>0</v>
      </c>
      <c r="AK158" s="78">
        <f t="shared" si="64"/>
        <v>0</v>
      </c>
      <c r="AL158" s="78">
        <f t="shared" si="65"/>
        <v>0</v>
      </c>
      <c r="AM158" s="78">
        <f t="shared" si="66"/>
        <v>0</v>
      </c>
      <c r="AN158" s="78">
        <f t="shared" si="67"/>
        <v>0</v>
      </c>
      <c r="AO158" s="78">
        <f t="shared" si="68"/>
        <v>0</v>
      </c>
      <c r="AP158" s="78">
        <f t="shared" si="69"/>
        <v>0</v>
      </c>
      <c r="AQ158" s="78">
        <f t="shared" si="70"/>
        <v>0</v>
      </c>
      <c r="AR158" s="78">
        <f t="shared" si="71"/>
        <v>0</v>
      </c>
      <c r="AS158" s="90">
        <f t="shared" si="72"/>
        <v>0</v>
      </c>
      <c r="AT158" s="91">
        <f t="shared" si="73"/>
        <v>0</v>
      </c>
      <c r="AV158" s="91">
        <f t="shared" si="74"/>
        <v>0</v>
      </c>
      <c r="AW158" s="78">
        <f t="shared" si="75"/>
        <v>0</v>
      </c>
      <c r="AX158" s="78">
        <f t="shared" si="76"/>
        <v>0</v>
      </c>
      <c r="AY158" s="78"/>
      <c r="AZ158" s="78">
        <f t="shared" si="77"/>
        <v>0</v>
      </c>
      <c r="BA158" s="78">
        <f t="shared" si="78"/>
        <v>0</v>
      </c>
      <c r="BB158" s="78">
        <f t="shared" si="79"/>
        <v>0</v>
      </c>
      <c r="BC158" s="78">
        <f t="shared" si="80"/>
        <v>0</v>
      </c>
      <c r="BD158" s="78">
        <f t="shared" si="81"/>
        <v>0</v>
      </c>
      <c r="BE158" s="78">
        <f t="shared" si="82"/>
        <v>0</v>
      </c>
      <c r="BF158" s="78">
        <f t="shared" si="83"/>
        <v>0</v>
      </c>
      <c r="BG158" s="78">
        <f t="shared" si="84"/>
        <v>0</v>
      </c>
      <c r="BH158" s="78">
        <f t="shared" si="85"/>
        <v>0</v>
      </c>
      <c r="BI158" s="78"/>
      <c r="BJ158" s="91">
        <f t="shared" si="86"/>
        <v>0</v>
      </c>
      <c r="BK158" s="91">
        <f t="shared" si="87"/>
        <v>0</v>
      </c>
      <c r="BL158" s="78"/>
      <c r="BM158" s="78">
        <f t="shared" si="88"/>
        <v>0</v>
      </c>
      <c r="BN158" s="78">
        <f t="shared" si="89"/>
        <v>0</v>
      </c>
      <c r="BO158" s="78">
        <f t="shared" si="90"/>
        <v>0</v>
      </c>
      <c r="BP158" s="78">
        <f t="shared" si="91"/>
        <v>0</v>
      </c>
      <c r="BQ158" s="78">
        <f t="shared" si="92"/>
        <v>0</v>
      </c>
      <c r="BR158" s="78">
        <f t="shared" si="93"/>
        <v>0</v>
      </c>
      <c r="BS158" s="78">
        <f t="shared" si="94"/>
        <v>0</v>
      </c>
      <c r="BT158" s="78">
        <f t="shared" si="95"/>
        <v>0</v>
      </c>
      <c r="BU158" s="91">
        <f t="shared" si="96"/>
        <v>0</v>
      </c>
      <c r="BV158" s="91">
        <f t="shared" si="97"/>
        <v>0</v>
      </c>
      <c r="BW158" s="78"/>
      <c r="BX158" s="78"/>
      <c r="BY158" s="78">
        <f t="shared" si="98"/>
        <v>0</v>
      </c>
      <c r="BZ158" s="78">
        <f t="shared" si="99"/>
        <v>0</v>
      </c>
      <c r="CA158" s="78">
        <f t="shared" si="100"/>
        <v>0</v>
      </c>
      <c r="CB158" s="78">
        <f t="shared" si="101"/>
        <v>0</v>
      </c>
      <c r="CC158" s="78">
        <f t="shared" si="102"/>
        <v>0</v>
      </c>
      <c r="CD158" s="78">
        <f t="shared" si="103"/>
        <v>0</v>
      </c>
      <c r="CE158" s="78">
        <f t="shared" si="104"/>
        <v>0</v>
      </c>
      <c r="CF158" s="78">
        <f t="shared" si="105"/>
        <v>0</v>
      </c>
      <c r="CG158" s="78"/>
      <c r="CH158" s="92">
        <f t="shared" si="106"/>
        <v>0</v>
      </c>
      <c r="CI158" s="93">
        <f t="shared" si="107"/>
        <v>0</v>
      </c>
      <c r="CJ158" s="94">
        <f t="shared" si="108"/>
        <v>0</v>
      </c>
      <c r="CL158" s="78">
        <f t="shared" si="109"/>
        <v>0</v>
      </c>
      <c r="CM158" s="78">
        <f t="shared" si="110"/>
        <v>0</v>
      </c>
      <c r="CN158" s="78">
        <f t="shared" si="111"/>
        <v>0</v>
      </c>
      <c r="CO158" s="78">
        <f t="shared" si="112"/>
        <v>0</v>
      </c>
    </row>
    <row r="159" spans="1:93" ht="13.5" thickBot="1">
      <c r="A159" s="95"/>
      <c r="B159" s="96"/>
      <c r="C159" s="97"/>
      <c r="D159" s="98"/>
      <c r="E159" s="99"/>
      <c r="F159" s="100"/>
      <c r="G159" s="100"/>
      <c r="H159" s="100"/>
      <c r="I159" s="100"/>
      <c r="J159" s="100"/>
      <c r="K159" s="101" t="str">
        <f t="shared" si="113"/>
        <v/>
      </c>
      <c r="L159" s="102"/>
      <c r="M159" s="103"/>
      <c r="N159" s="104"/>
      <c r="O159" s="105"/>
      <c r="P159" s="106">
        <f t="shared" si="114"/>
        <v>0</v>
      </c>
      <c r="Q159" s="106">
        <f t="shared" si="115"/>
        <v>0</v>
      </c>
      <c r="R159" s="106">
        <f t="shared" si="116"/>
        <v>0</v>
      </c>
      <c r="S159" s="106">
        <f t="shared" si="117"/>
        <v>0</v>
      </c>
      <c r="T159" s="107">
        <f t="shared" si="118"/>
        <v>0</v>
      </c>
      <c r="U159" s="78"/>
      <c r="AG159" s="108"/>
      <c r="AI159" s="78">
        <f t="shared" si="62"/>
        <v>0</v>
      </c>
      <c r="AJ159" s="78">
        <f t="shared" si="63"/>
        <v>0</v>
      </c>
      <c r="AK159" s="78">
        <f t="shared" si="64"/>
        <v>0</v>
      </c>
      <c r="AL159" s="78">
        <f t="shared" si="65"/>
        <v>0</v>
      </c>
      <c r="AM159" s="78">
        <f t="shared" si="66"/>
        <v>0</v>
      </c>
      <c r="AN159" s="78">
        <f t="shared" si="67"/>
        <v>0</v>
      </c>
      <c r="AO159" s="78">
        <f t="shared" si="68"/>
        <v>0</v>
      </c>
      <c r="AP159" s="78">
        <f t="shared" si="69"/>
        <v>0</v>
      </c>
      <c r="AQ159" s="78">
        <f t="shared" si="70"/>
        <v>0</v>
      </c>
      <c r="AR159" s="78">
        <f t="shared" si="71"/>
        <v>0</v>
      </c>
      <c r="AS159" s="90">
        <f t="shared" si="72"/>
        <v>0</v>
      </c>
      <c r="AT159" s="91">
        <f t="shared" si="73"/>
        <v>0</v>
      </c>
      <c r="AV159" s="91">
        <f t="shared" si="74"/>
        <v>0</v>
      </c>
      <c r="AW159" s="78">
        <f t="shared" si="75"/>
        <v>0</v>
      </c>
      <c r="AX159" s="78">
        <f t="shared" si="76"/>
        <v>0</v>
      </c>
      <c r="AY159" s="78"/>
      <c r="AZ159" s="78">
        <f t="shared" si="77"/>
        <v>0</v>
      </c>
      <c r="BA159" s="78">
        <f t="shared" si="78"/>
        <v>0</v>
      </c>
      <c r="BB159" s="78">
        <f t="shared" si="79"/>
        <v>0</v>
      </c>
      <c r="BC159" s="78">
        <f t="shared" si="80"/>
        <v>0</v>
      </c>
      <c r="BD159" s="78">
        <f t="shared" si="81"/>
        <v>0</v>
      </c>
      <c r="BE159" s="78">
        <f t="shared" si="82"/>
        <v>0</v>
      </c>
      <c r="BF159" s="78">
        <f t="shared" si="83"/>
        <v>0</v>
      </c>
      <c r="BG159" s="78">
        <f t="shared" si="84"/>
        <v>0</v>
      </c>
      <c r="BH159" s="78">
        <f t="shared" si="85"/>
        <v>0</v>
      </c>
      <c r="BI159" s="78"/>
      <c r="BJ159" s="91">
        <f t="shared" si="86"/>
        <v>0</v>
      </c>
      <c r="BK159" s="91">
        <f t="shared" si="87"/>
        <v>0</v>
      </c>
      <c r="BL159" s="78"/>
      <c r="BM159" s="78">
        <f t="shared" si="88"/>
        <v>0</v>
      </c>
      <c r="BN159" s="78">
        <f t="shared" si="89"/>
        <v>0</v>
      </c>
      <c r="BO159" s="78">
        <f t="shared" si="90"/>
        <v>0</v>
      </c>
      <c r="BP159" s="78">
        <f t="shared" si="91"/>
        <v>0</v>
      </c>
      <c r="BQ159" s="78">
        <f t="shared" si="92"/>
        <v>0</v>
      </c>
      <c r="BR159" s="78">
        <f t="shared" si="93"/>
        <v>0</v>
      </c>
      <c r="BS159" s="78">
        <f t="shared" si="94"/>
        <v>0</v>
      </c>
      <c r="BT159" s="78">
        <f t="shared" si="95"/>
        <v>0</v>
      </c>
      <c r="BU159" s="91">
        <f t="shared" si="96"/>
        <v>0</v>
      </c>
      <c r="BV159" s="91">
        <f t="shared" si="97"/>
        <v>0</v>
      </c>
      <c r="BW159" s="78"/>
      <c r="BX159" s="78"/>
      <c r="BY159" s="78">
        <f t="shared" si="98"/>
        <v>0</v>
      </c>
      <c r="BZ159" s="78">
        <f t="shared" si="99"/>
        <v>0</v>
      </c>
      <c r="CA159" s="78">
        <f t="shared" si="100"/>
        <v>0</v>
      </c>
      <c r="CB159" s="78">
        <f t="shared" si="101"/>
        <v>0</v>
      </c>
      <c r="CC159" s="78">
        <f t="shared" si="102"/>
        <v>0</v>
      </c>
      <c r="CD159" s="78">
        <f t="shared" si="103"/>
        <v>0</v>
      </c>
      <c r="CE159" s="78">
        <f t="shared" si="104"/>
        <v>0</v>
      </c>
      <c r="CF159" s="78">
        <f t="shared" si="105"/>
        <v>0</v>
      </c>
      <c r="CG159" s="78"/>
      <c r="CH159" s="92">
        <f t="shared" si="106"/>
        <v>0</v>
      </c>
      <c r="CI159" s="93">
        <f t="shared" si="107"/>
        <v>0</v>
      </c>
      <c r="CJ159" s="94">
        <f t="shared" si="108"/>
        <v>0</v>
      </c>
      <c r="CL159" s="78">
        <f t="shared" si="109"/>
        <v>0</v>
      </c>
      <c r="CM159" s="78">
        <f t="shared" si="110"/>
        <v>0</v>
      </c>
      <c r="CN159" s="78">
        <f t="shared" si="111"/>
        <v>0</v>
      </c>
      <c r="CO159" s="78">
        <f t="shared" si="112"/>
        <v>0</v>
      </c>
    </row>
    <row r="160" spans="1:93" ht="13.5" thickBot="1">
      <c r="A160" s="95"/>
      <c r="B160" s="96"/>
      <c r="C160" s="97"/>
      <c r="D160" s="98"/>
      <c r="E160" s="99"/>
      <c r="F160" s="100"/>
      <c r="G160" s="100"/>
      <c r="H160" s="100"/>
      <c r="I160" s="100"/>
      <c r="J160" s="100"/>
      <c r="K160" s="101" t="str">
        <f t="shared" si="113"/>
        <v/>
      </c>
      <c r="L160" s="102"/>
      <c r="M160" s="103"/>
      <c r="N160" s="104"/>
      <c r="O160" s="105"/>
      <c r="P160" s="106">
        <f t="shared" si="114"/>
        <v>0</v>
      </c>
      <c r="Q160" s="106">
        <f t="shared" si="115"/>
        <v>0</v>
      </c>
      <c r="R160" s="106">
        <f t="shared" si="116"/>
        <v>0</v>
      </c>
      <c r="S160" s="106">
        <f t="shared" si="117"/>
        <v>0</v>
      </c>
      <c r="T160" s="107">
        <f t="shared" si="118"/>
        <v>0</v>
      </c>
      <c r="U160" s="78"/>
      <c r="AG160" s="108"/>
      <c r="AI160" s="78">
        <f t="shared" si="62"/>
        <v>0</v>
      </c>
      <c r="AJ160" s="78">
        <f t="shared" si="63"/>
        <v>0</v>
      </c>
      <c r="AK160" s="78">
        <f t="shared" si="64"/>
        <v>0</v>
      </c>
      <c r="AL160" s="78">
        <f t="shared" si="65"/>
        <v>0</v>
      </c>
      <c r="AM160" s="78">
        <f t="shared" si="66"/>
        <v>0</v>
      </c>
      <c r="AN160" s="78">
        <f t="shared" si="67"/>
        <v>0</v>
      </c>
      <c r="AO160" s="78">
        <f t="shared" si="68"/>
        <v>0</v>
      </c>
      <c r="AP160" s="78">
        <f t="shared" si="69"/>
        <v>0</v>
      </c>
      <c r="AQ160" s="78">
        <f t="shared" si="70"/>
        <v>0</v>
      </c>
      <c r="AR160" s="78">
        <f t="shared" si="71"/>
        <v>0</v>
      </c>
      <c r="AS160" s="90">
        <f t="shared" si="72"/>
        <v>0</v>
      </c>
      <c r="AT160" s="91">
        <f t="shared" si="73"/>
        <v>0</v>
      </c>
      <c r="AV160" s="91">
        <f t="shared" si="74"/>
        <v>0</v>
      </c>
      <c r="AW160" s="78">
        <f t="shared" si="75"/>
        <v>0</v>
      </c>
      <c r="AX160" s="78">
        <f t="shared" si="76"/>
        <v>0</v>
      </c>
      <c r="AY160" s="78"/>
      <c r="AZ160" s="78">
        <f t="shared" si="77"/>
        <v>0</v>
      </c>
      <c r="BA160" s="78">
        <f t="shared" si="78"/>
        <v>0</v>
      </c>
      <c r="BB160" s="78">
        <f t="shared" si="79"/>
        <v>0</v>
      </c>
      <c r="BC160" s="78">
        <f t="shared" si="80"/>
        <v>0</v>
      </c>
      <c r="BD160" s="78">
        <f t="shared" si="81"/>
        <v>0</v>
      </c>
      <c r="BE160" s="78">
        <f t="shared" si="82"/>
        <v>0</v>
      </c>
      <c r="BF160" s="78">
        <f t="shared" si="83"/>
        <v>0</v>
      </c>
      <c r="BG160" s="78">
        <f t="shared" si="84"/>
        <v>0</v>
      </c>
      <c r="BH160" s="78">
        <f t="shared" si="85"/>
        <v>0</v>
      </c>
      <c r="BI160" s="78"/>
      <c r="BJ160" s="91">
        <f t="shared" si="86"/>
        <v>0</v>
      </c>
      <c r="BK160" s="91">
        <f t="shared" si="87"/>
        <v>0</v>
      </c>
      <c r="BL160" s="78"/>
      <c r="BM160" s="78">
        <f t="shared" si="88"/>
        <v>0</v>
      </c>
      <c r="BN160" s="78">
        <f t="shared" si="89"/>
        <v>0</v>
      </c>
      <c r="BO160" s="78">
        <f t="shared" si="90"/>
        <v>0</v>
      </c>
      <c r="BP160" s="78">
        <f t="shared" si="91"/>
        <v>0</v>
      </c>
      <c r="BQ160" s="78">
        <f t="shared" si="92"/>
        <v>0</v>
      </c>
      <c r="BR160" s="78">
        <f t="shared" si="93"/>
        <v>0</v>
      </c>
      <c r="BS160" s="78">
        <f t="shared" si="94"/>
        <v>0</v>
      </c>
      <c r="BT160" s="78">
        <f t="shared" si="95"/>
        <v>0</v>
      </c>
      <c r="BU160" s="91">
        <f t="shared" si="96"/>
        <v>0</v>
      </c>
      <c r="BV160" s="91">
        <f t="shared" si="97"/>
        <v>0</v>
      </c>
      <c r="BW160" s="78"/>
      <c r="BX160" s="78"/>
      <c r="BY160" s="78">
        <f t="shared" si="98"/>
        <v>0</v>
      </c>
      <c r="BZ160" s="78">
        <f t="shared" si="99"/>
        <v>0</v>
      </c>
      <c r="CA160" s="78">
        <f t="shared" si="100"/>
        <v>0</v>
      </c>
      <c r="CB160" s="78">
        <f t="shared" si="101"/>
        <v>0</v>
      </c>
      <c r="CC160" s="78">
        <f t="shared" si="102"/>
        <v>0</v>
      </c>
      <c r="CD160" s="78">
        <f t="shared" si="103"/>
        <v>0</v>
      </c>
      <c r="CE160" s="78">
        <f t="shared" si="104"/>
        <v>0</v>
      </c>
      <c r="CF160" s="78">
        <f t="shared" si="105"/>
        <v>0</v>
      </c>
      <c r="CG160" s="78"/>
      <c r="CH160" s="92">
        <f t="shared" si="106"/>
        <v>0</v>
      </c>
      <c r="CI160" s="93">
        <f t="shared" si="107"/>
        <v>0</v>
      </c>
      <c r="CJ160" s="94">
        <f t="shared" si="108"/>
        <v>0</v>
      </c>
      <c r="CL160" s="78">
        <f t="shared" si="109"/>
        <v>0</v>
      </c>
      <c r="CM160" s="78">
        <f t="shared" si="110"/>
        <v>0</v>
      </c>
      <c r="CN160" s="78">
        <f t="shared" si="111"/>
        <v>0</v>
      </c>
      <c r="CO160" s="78">
        <f t="shared" si="112"/>
        <v>0</v>
      </c>
    </row>
    <row r="161" spans="1:93" ht="13.5" thickBot="1">
      <c r="A161" s="95"/>
      <c r="B161" s="96"/>
      <c r="C161" s="97"/>
      <c r="D161" s="98"/>
      <c r="E161" s="99"/>
      <c r="F161" s="100"/>
      <c r="G161" s="100"/>
      <c r="H161" s="100"/>
      <c r="I161" s="100"/>
      <c r="J161" s="100"/>
      <c r="K161" s="101" t="str">
        <f t="shared" si="113"/>
        <v/>
      </c>
      <c r="L161" s="102"/>
      <c r="M161" s="103"/>
      <c r="N161" s="104"/>
      <c r="O161" s="105"/>
      <c r="P161" s="106">
        <f t="shared" si="114"/>
        <v>0</v>
      </c>
      <c r="Q161" s="106">
        <f t="shared" si="115"/>
        <v>0</v>
      </c>
      <c r="R161" s="106">
        <f t="shared" si="116"/>
        <v>0</v>
      </c>
      <c r="S161" s="106">
        <f t="shared" si="117"/>
        <v>0</v>
      </c>
      <c r="T161" s="107">
        <f t="shared" si="118"/>
        <v>0</v>
      </c>
      <c r="U161" s="78"/>
      <c r="AG161" s="108"/>
      <c r="AI161" s="78">
        <f t="shared" si="62"/>
        <v>0</v>
      </c>
      <c r="AJ161" s="78">
        <f t="shared" si="63"/>
        <v>0</v>
      </c>
      <c r="AK161" s="78">
        <f t="shared" si="64"/>
        <v>0</v>
      </c>
      <c r="AL161" s="78">
        <f t="shared" si="65"/>
        <v>0</v>
      </c>
      <c r="AM161" s="78">
        <f t="shared" si="66"/>
        <v>0</v>
      </c>
      <c r="AN161" s="78">
        <f t="shared" si="67"/>
        <v>0</v>
      </c>
      <c r="AO161" s="78">
        <f t="shared" si="68"/>
        <v>0</v>
      </c>
      <c r="AP161" s="78">
        <f t="shared" si="69"/>
        <v>0</v>
      </c>
      <c r="AQ161" s="78">
        <f t="shared" si="70"/>
        <v>0</v>
      </c>
      <c r="AR161" s="78">
        <f t="shared" si="71"/>
        <v>0</v>
      </c>
      <c r="AS161" s="90">
        <f t="shared" si="72"/>
        <v>0</v>
      </c>
      <c r="AT161" s="91">
        <f t="shared" si="73"/>
        <v>0</v>
      </c>
      <c r="AV161" s="91">
        <f t="shared" si="74"/>
        <v>0</v>
      </c>
      <c r="AW161" s="78">
        <f t="shared" si="75"/>
        <v>0</v>
      </c>
      <c r="AX161" s="78">
        <f t="shared" si="76"/>
        <v>0</v>
      </c>
      <c r="AY161" s="78"/>
      <c r="AZ161" s="78">
        <f t="shared" si="77"/>
        <v>0</v>
      </c>
      <c r="BA161" s="78">
        <f t="shared" si="78"/>
        <v>0</v>
      </c>
      <c r="BB161" s="78">
        <f t="shared" si="79"/>
        <v>0</v>
      </c>
      <c r="BC161" s="78">
        <f t="shared" si="80"/>
        <v>0</v>
      </c>
      <c r="BD161" s="78">
        <f t="shared" si="81"/>
        <v>0</v>
      </c>
      <c r="BE161" s="78">
        <f t="shared" si="82"/>
        <v>0</v>
      </c>
      <c r="BF161" s="78">
        <f t="shared" si="83"/>
        <v>0</v>
      </c>
      <c r="BG161" s="78">
        <f t="shared" si="84"/>
        <v>0</v>
      </c>
      <c r="BH161" s="78">
        <f t="shared" si="85"/>
        <v>0</v>
      </c>
      <c r="BI161" s="78"/>
      <c r="BJ161" s="91">
        <f t="shared" si="86"/>
        <v>0</v>
      </c>
      <c r="BK161" s="91">
        <f t="shared" si="87"/>
        <v>0</v>
      </c>
      <c r="BL161" s="78"/>
      <c r="BM161" s="78">
        <f t="shared" si="88"/>
        <v>0</v>
      </c>
      <c r="BN161" s="78">
        <f t="shared" si="89"/>
        <v>0</v>
      </c>
      <c r="BO161" s="78">
        <f t="shared" si="90"/>
        <v>0</v>
      </c>
      <c r="BP161" s="78">
        <f t="shared" si="91"/>
        <v>0</v>
      </c>
      <c r="BQ161" s="78">
        <f t="shared" si="92"/>
        <v>0</v>
      </c>
      <c r="BR161" s="78">
        <f t="shared" si="93"/>
        <v>0</v>
      </c>
      <c r="BS161" s="78">
        <f t="shared" si="94"/>
        <v>0</v>
      </c>
      <c r="BT161" s="78">
        <f t="shared" si="95"/>
        <v>0</v>
      </c>
      <c r="BU161" s="91">
        <f t="shared" si="96"/>
        <v>0</v>
      </c>
      <c r="BV161" s="91">
        <f t="shared" si="97"/>
        <v>0</v>
      </c>
      <c r="BW161" s="78"/>
      <c r="BX161" s="78"/>
      <c r="BY161" s="78">
        <f t="shared" si="98"/>
        <v>0</v>
      </c>
      <c r="BZ161" s="78">
        <f t="shared" si="99"/>
        <v>0</v>
      </c>
      <c r="CA161" s="78">
        <f t="shared" si="100"/>
        <v>0</v>
      </c>
      <c r="CB161" s="78">
        <f t="shared" si="101"/>
        <v>0</v>
      </c>
      <c r="CC161" s="78">
        <f t="shared" si="102"/>
        <v>0</v>
      </c>
      <c r="CD161" s="78">
        <f t="shared" si="103"/>
        <v>0</v>
      </c>
      <c r="CE161" s="78">
        <f t="shared" si="104"/>
        <v>0</v>
      </c>
      <c r="CF161" s="78">
        <f t="shared" si="105"/>
        <v>0</v>
      </c>
      <c r="CG161" s="78"/>
      <c r="CH161" s="92">
        <f t="shared" si="106"/>
        <v>0</v>
      </c>
      <c r="CI161" s="93">
        <f t="shared" si="107"/>
        <v>0</v>
      </c>
      <c r="CJ161" s="94">
        <f t="shared" si="108"/>
        <v>0</v>
      </c>
      <c r="CL161" s="78">
        <f t="shared" si="109"/>
        <v>0</v>
      </c>
      <c r="CM161" s="78">
        <f t="shared" si="110"/>
        <v>0</v>
      </c>
      <c r="CN161" s="78">
        <f t="shared" si="111"/>
        <v>0</v>
      </c>
      <c r="CO161" s="78">
        <f t="shared" si="112"/>
        <v>0</v>
      </c>
    </row>
    <row r="162" spans="1:93" ht="13.5" thickBot="1">
      <c r="A162" s="95"/>
      <c r="B162" s="96"/>
      <c r="C162" s="97"/>
      <c r="D162" s="98"/>
      <c r="E162" s="99"/>
      <c r="F162" s="100"/>
      <c r="G162" s="100"/>
      <c r="H162" s="100"/>
      <c r="I162" s="100"/>
      <c r="J162" s="100"/>
      <c r="K162" s="101" t="str">
        <f t="shared" si="113"/>
        <v/>
      </c>
      <c r="L162" s="102"/>
      <c r="M162" s="103"/>
      <c r="N162" s="104"/>
      <c r="O162" s="105"/>
      <c r="P162" s="106">
        <f t="shared" si="114"/>
        <v>0</v>
      </c>
      <c r="Q162" s="106">
        <f t="shared" si="115"/>
        <v>0</v>
      </c>
      <c r="R162" s="106">
        <f t="shared" si="116"/>
        <v>0</v>
      </c>
      <c r="S162" s="106">
        <f t="shared" si="117"/>
        <v>0</v>
      </c>
      <c r="T162" s="107">
        <f t="shared" si="118"/>
        <v>0</v>
      </c>
      <c r="U162" s="78"/>
      <c r="AG162" s="108"/>
      <c r="AI162" s="78">
        <f t="shared" si="62"/>
        <v>0</v>
      </c>
      <c r="AJ162" s="78">
        <f t="shared" si="63"/>
        <v>0</v>
      </c>
      <c r="AK162" s="78">
        <f t="shared" si="64"/>
        <v>0</v>
      </c>
      <c r="AL162" s="78">
        <f t="shared" si="65"/>
        <v>0</v>
      </c>
      <c r="AM162" s="78">
        <f t="shared" si="66"/>
        <v>0</v>
      </c>
      <c r="AN162" s="78">
        <f t="shared" si="67"/>
        <v>0</v>
      </c>
      <c r="AO162" s="78">
        <f t="shared" si="68"/>
        <v>0</v>
      </c>
      <c r="AP162" s="78">
        <f t="shared" si="69"/>
        <v>0</v>
      </c>
      <c r="AQ162" s="78">
        <f t="shared" si="70"/>
        <v>0</v>
      </c>
      <c r="AR162" s="78">
        <f t="shared" si="71"/>
        <v>0</v>
      </c>
      <c r="AS162" s="90">
        <f t="shared" si="72"/>
        <v>0</v>
      </c>
      <c r="AT162" s="91">
        <f t="shared" si="73"/>
        <v>0</v>
      </c>
      <c r="AV162" s="91">
        <f t="shared" si="74"/>
        <v>0</v>
      </c>
      <c r="AW162" s="78">
        <f t="shared" si="75"/>
        <v>0</v>
      </c>
      <c r="AX162" s="78">
        <f t="shared" si="76"/>
        <v>0</v>
      </c>
      <c r="AY162" s="78"/>
      <c r="AZ162" s="78">
        <f t="shared" si="77"/>
        <v>0</v>
      </c>
      <c r="BA162" s="78">
        <f t="shared" si="78"/>
        <v>0</v>
      </c>
      <c r="BB162" s="78">
        <f t="shared" si="79"/>
        <v>0</v>
      </c>
      <c r="BC162" s="78">
        <f t="shared" si="80"/>
        <v>0</v>
      </c>
      <c r="BD162" s="78">
        <f t="shared" si="81"/>
        <v>0</v>
      </c>
      <c r="BE162" s="78">
        <f t="shared" si="82"/>
        <v>0</v>
      </c>
      <c r="BF162" s="78">
        <f t="shared" si="83"/>
        <v>0</v>
      </c>
      <c r="BG162" s="78">
        <f t="shared" si="84"/>
        <v>0</v>
      </c>
      <c r="BH162" s="78">
        <f t="shared" si="85"/>
        <v>0</v>
      </c>
      <c r="BI162" s="78"/>
      <c r="BJ162" s="91">
        <f t="shared" si="86"/>
        <v>0</v>
      </c>
      <c r="BK162" s="91">
        <f t="shared" si="87"/>
        <v>0</v>
      </c>
      <c r="BL162" s="78"/>
      <c r="BM162" s="78">
        <f t="shared" si="88"/>
        <v>0</v>
      </c>
      <c r="BN162" s="78">
        <f t="shared" si="89"/>
        <v>0</v>
      </c>
      <c r="BO162" s="78">
        <f t="shared" si="90"/>
        <v>0</v>
      </c>
      <c r="BP162" s="78">
        <f t="shared" si="91"/>
        <v>0</v>
      </c>
      <c r="BQ162" s="78">
        <f t="shared" si="92"/>
        <v>0</v>
      </c>
      <c r="BR162" s="78">
        <f t="shared" si="93"/>
        <v>0</v>
      </c>
      <c r="BS162" s="78">
        <f t="shared" si="94"/>
        <v>0</v>
      </c>
      <c r="BT162" s="78">
        <f t="shared" si="95"/>
        <v>0</v>
      </c>
      <c r="BU162" s="91">
        <f t="shared" si="96"/>
        <v>0</v>
      </c>
      <c r="BV162" s="91">
        <f t="shared" si="97"/>
        <v>0</v>
      </c>
      <c r="BW162" s="78"/>
      <c r="BX162" s="78"/>
      <c r="BY162" s="78">
        <f t="shared" si="98"/>
        <v>0</v>
      </c>
      <c r="BZ162" s="78">
        <f t="shared" si="99"/>
        <v>0</v>
      </c>
      <c r="CA162" s="78">
        <f t="shared" si="100"/>
        <v>0</v>
      </c>
      <c r="CB162" s="78">
        <f t="shared" si="101"/>
        <v>0</v>
      </c>
      <c r="CC162" s="78">
        <f t="shared" si="102"/>
        <v>0</v>
      </c>
      <c r="CD162" s="78">
        <f t="shared" si="103"/>
        <v>0</v>
      </c>
      <c r="CE162" s="78">
        <f t="shared" si="104"/>
        <v>0</v>
      </c>
      <c r="CF162" s="78">
        <f t="shared" si="105"/>
        <v>0</v>
      </c>
      <c r="CG162" s="78"/>
      <c r="CH162" s="92">
        <f t="shared" si="106"/>
        <v>0</v>
      </c>
      <c r="CI162" s="93">
        <f t="shared" si="107"/>
        <v>0</v>
      </c>
      <c r="CJ162" s="94">
        <f t="shared" si="108"/>
        <v>0</v>
      </c>
      <c r="CL162" s="78">
        <f t="shared" si="109"/>
        <v>0</v>
      </c>
      <c r="CM162" s="78">
        <f t="shared" si="110"/>
        <v>0</v>
      </c>
      <c r="CN162" s="78">
        <f t="shared" si="111"/>
        <v>0</v>
      </c>
      <c r="CO162" s="78">
        <f t="shared" si="112"/>
        <v>0</v>
      </c>
    </row>
    <row r="163" spans="1:93" ht="13.5" thickBot="1">
      <c r="A163" s="95"/>
      <c r="B163" s="96"/>
      <c r="C163" s="97"/>
      <c r="D163" s="98"/>
      <c r="E163" s="99"/>
      <c r="F163" s="100"/>
      <c r="G163" s="100"/>
      <c r="H163" s="100"/>
      <c r="I163" s="100"/>
      <c r="J163" s="100"/>
      <c r="K163" s="101" t="str">
        <f t="shared" si="113"/>
        <v/>
      </c>
      <c r="L163" s="102"/>
      <c r="M163" s="103"/>
      <c r="N163" s="104"/>
      <c r="O163" s="105"/>
      <c r="P163" s="106">
        <f t="shared" si="114"/>
        <v>0</v>
      </c>
      <c r="Q163" s="106">
        <f t="shared" si="115"/>
        <v>0</v>
      </c>
      <c r="R163" s="106">
        <f t="shared" si="116"/>
        <v>0</v>
      </c>
      <c r="S163" s="106">
        <f t="shared" si="117"/>
        <v>0</v>
      </c>
      <c r="T163" s="107">
        <f t="shared" si="118"/>
        <v>0</v>
      </c>
      <c r="U163" s="78"/>
      <c r="AG163" s="108"/>
      <c r="AI163" s="78">
        <f t="shared" si="62"/>
        <v>0</v>
      </c>
      <c r="AJ163" s="78">
        <f t="shared" si="63"/>
        <v>0</v>
      </c>
      <c r="AK163" s="78">
        <f t="shared" si="64"/>
        <v>0</v>
      </c>
      <c r="AL163" s="78">
        <f t="shared" si="65"/>
        <v>0</v>
      </c>
      <c r="AM163" s="78">
        <f t="shared" si="66"/>
        <v>0</v>
      </c>
      <c r="AN163" s="78">
        <f t="shared" si="67"/>
        <v>0</v>
      </c>
      <c r="AO163" s="78">
        <f t="shared" si="68"/>
        <v>0</v>
      </c>
      <c r="AP163" s="78">
        <f t="shared" si="69"/>
        <v>0</v>
      </c>
      <c r="AQ163" s="78">
        <f t="shared" si="70"/>
        <v>0</v>
      </c>
      <c r="AR163" s="78">
        <f t="shared" si="71"/>
        <v>0</v>
      </c>
      <c r="AS163" s="90">
        <f t="shared" si="72"/>
        <v>0</v>
      </c>
      <c r="AT163" s="91">
        <f t="shared" si="73"/>
        <v>0</v>
      </c>
      <c r="AV163" s="91">
        <f t="shared" si="74"/>
        <v>0</v>
      </c>
      <c r="AW163" s="78">
        <f t="shared" si="75"/>
        <v>0</v>
      </c>
      <c r="AX163" s="78">
        <f t="shared" si="76"/>
        <v>0</v>
      </c>
      <c r="AY163" s="78"/>
      <c r="AZ163" s="78">
        <f t="shared" si="77"/>
        <v>0</v>
      </c>
      <c r="BA163" s="78">
        <f t="shared" si="78"/>
        <v>0</v>
      </c>
      <c r="BB163" s="78">
        <f t="shared" si="79"/>
        <v>0</v>
      </c>
      <c r="BC163" s="78">
        <f t="shared" si="80"/>
        <v>0</v>
      </c>
      <c r="BD163" s="78">
        <f t="shared" si="81"/>
        <v>0</v>
      </c>
      <c r="BE163" s="78">
        <f t="shared" si="82"/>
        <v>0</v>
      </c>
      <c r="BF163" s="78">
        <f t="shared" si="83"/>
        <v>0</v>
      </c>
      <c r="BG163" s="78">
        <f t="shared" si="84"/>
        <v>0</v>
      </c>
      <c r="BH163" s="78">
        <f t="shared" si="85"/>
        <v>0</v>
      </c>
      <c r="BI163" s="78"/>
      <c r="BJ163" s="91">
        <f t="shared" si="86"/>
        <v>0</v>
      </c>
      <c r="BK163" s="91">
        <f t="shared" si="87"/>
        <v>0</v>
      </c>
      <c r="BL163" s="78"/>
      <c r="BM163" s="78">
        <f t="shared" si="88"/>
        <v>0</v>
      </c>
      <c r="BN163" s="78">
        <f t="shared" si="89"/>
        <v>0</v>
      </c>
      <c r="BO163" s="78">
        <f t="shared" si="90"/>
        <v>0</v>
      </c>
      <c r="BP163" s="78">
        <f t="shared" si="91"/>
        <v>0</v>
      </c>
      <c r="BQ163" s="78">
        <f t="shared" si="92"/>
        <v>0</v>
      </c>
      <c r="BR163" s="78">
        <f t="shared" si="93"/>
        <v>0</v>
      </c>
      <c r="BS163" s="78">
        <f t="shared" si="94"/>
        <v>0</v>
      </c>
      <c r="BT163" s="78">
        <f t="shared" si="95"/>
        <v>0</v>
      </c>
      <c r="BU163" s="91">
        <f t="shared" si="96"/>
        <v>0</v>
      </c>
      <c r="BV163" s="91">
        <f t="shared" si="97"/>
        <v>0</v>
      </c>
      <c r="BW163" s="78"/>
      <c r="BX163" s="78"/>
      <c r="BY163" s="78">
        <f t="shared" si="98"/>
        <v>0</v>
      </c>
      <c r="BZ163" s="78">
        <f t="shared" si="99"/>
        <v>0</v>
      </c>
      <c r="CA163" s="78">
        <f t="shared" si="100"/>
        <v>0</v>
      </c>
      <c r="CB163" s="78">
        <f t="shared" si="101"/>
        <v>0</v>
      </c>
      <c r="CC163" s="78">
        <f t="shared" si="102"/>
        <v>0</v>
      </c>
      <c r="CD163" s="78">
        <f t="shared" si="103"/>
        <v>0</v>
      </c>
      <c r="CE163" s="78">
        <f t="shared" si="104"/>
        <v>0</v>
      </c>
      <c r="CF163" s="78">
        <f t="shared" si="105"/>
        <v>0</v>
      </c>
      <c r="CG163" s="78"/>
      <c r="CH163" s="92">
        <f t="shared" si="106"/>
        <v>0</v>
      </c>
      <c r="CI163" s="93">
        <f t="shared" si="107"/>
        <v>0</v>
      </c>
      <c r="CJ163" s="94">
        <f t="shared" si="108"/>
        <v>0</v>
      </c>
      <c r="CL163" s="78">
        <f t="shared" si="109"/>
        <v>0</v>
      </c>
      <c r="CM163" s="78">
        <f t="shared" si="110"/>
        <v>0</v>
      </c>
      <c r="CN163" s="78">
        <f t="shared" si="111"/>
        <v>0</v>
      </c>
      <c r="CO163" s="78">
        <f t="shared" si="112"/>
        <v>0</v>
      </c>
    </row>
    <row r="164" spans="1:93" ht="13.5" thickBot="1">
      <c r="A164" s="95"/>
      <c r="B164" s="96"/>
      <c r="C164" s="97"/>
      <c r="D164" s="98"/>
      <c r="E164" s="99"/>
      <c r="F164" s="100"/>
      <c r="G164" s="100"/>
      <c r="H164" s="100"/>
      <c r="I164" s="100"/>
      <c r="J164" s="100"/>
      <c r="K164" s="101" t="str">
        <f t="shared" si="113"/>
        <v/>
      </c>
      <c r="L164" s="102"/>
      <c r="M164" s="103"/>
      <c r="N164" s="104"/>
      <c r="O164" s="105"/>
      <c r="P164" s="106">
        <f t="shared" si="114"/>
        <v>0</v>
      </c>
      <c r="Q164" s="106">
        <f t="shared" si="115"/>
        <v>0</v>
      </c>
      <c r="R164" s="106">
        <f t="shared" si="116"/>
        <v>0</v>
      </c>
      <c r="S164" s="106">
        <f t="shared" si="117"/>
        <v>0</v>
      </c>
      <c r="T164" s="107">
        <f t="shared" si="118"/>
        <v>0</v>
      </c>
      <c r="U164" s="78"/>
      <c r="AG164" s="108"/>
      <c r="AI164" s="78">
        <f t="shared" si="62"/>
        <v>0</v>
      </c>
      <c r="AJ164" s="78">
        <f t="shared" si="63"/>
        <v>0</v>
      </c>
      <c r="AK164" s="78">
        <f t="shared" si="64"/>
        <v>0</v>
      </c>
      <c r="AL164" s="78">
        <f t="shared" si="65"/>
        <v>0</v>
      </c>
      <c r="AM164" s="78">
        <f t="shared" si="66"/>
        <v>0</v>
      </c>
      <c r="AN164" s="78">
        <f t="shared" si="67"/>
        <v>0</v>
      </c>
      <c r="AO164" s="78">
        <f t="shared" si="68"/>
        <v>0</v>
      </c>
      <c r="AP164" s="78">
        <f t="shared" si="69"/>
        <v>0</v>
      </c>
      <c r="AQ164" s="78">
        <f t="shared" si="70"/>
        <v>0</v>
      </c>
      <c r="AR164" s="78">
        <f t="shared" si="71"/>
        <v>0</v>
      </c>
      <c r="AS164" s="90">
        <f t="shared" si="72"/>
        <v>0</v>
      </c>
      <c r="AT164" s="91">
        <f t="shared" si="73"/>
        <v>0</v>
      </c>
      <c r="AV164" s="91">
        <f t="shared" si="74"/>
        <v>0</v>
      </c>
      <c r="AW164" s="78">
        <f t="shared" si="75"/>
        <v>0</v>
      </c>
      <c r="AX164" s="78">
        <f t="shared" si="76"/>
        <v>0</v>
      </c>
      <c r="AY164" s="78"/>
      <c r="AZ164" s="78">
        <f t="shared" si="77"/>
        <v>0</v>
      </c>
      <c r="BA164" s="78">
        <f t="shared" si="78"/>
        <v>0</v>
      </c>
      <c r="BB164" s="78">
        <f t="shared" si="79"/>
        <v>0</v>
      </c>
      <c r="BC164" s="78">
        <f t="shared" si="80"/>
        <v>0</v>
      </c>
      <c r="BD164" s="78">
        <f t="shared" si="81"/>
        <v>0</v>
      </c>
      <c r="BE164" s="78">
        <f t="shared" si="82"/>
        <v>0</v>
      </c>
      <c r="BF164" s="78">
        <f t="shared" si="83"/>
        <v>0</v>
      </c>
      <c r="BG164" s="78">
        <f t="shared" si="84"/>
        <v>0</v>
      </c>
      <c r="BH164" s="78">
        <f t="shared" si="85"/>
        <v>0</v>
      </c>
      <c r="BI164" s="78"/>
      <c r="BJ164" s="91">
        <f t="shared" si="86"/>
        <v>0</v>
      </c>
      <c r="BK164" s="91">
        <f t="shared" si="87"/>
        <v>0</v>
      </c>
      <c r="BL164" s="78"/>
      <c r="BM164" s="78">
        <f t="shared" si="88"/>
        <v>0</v>
      </c>
      <c r="BN164" s="78">
        <f t="shared" si="89"/>
        <v>0</v>
      </c>
      <c r="BO164" s="78">
        <f t="shared" si="90"/>
        <v>0</v>
      </c>
      <c r="BP164" s="78">
        <f t="shared" si="91"/>
        <v>0</v>
      </c>
      <c r="BQ164" s="78">
        <f t="shared" si="92"/>
        <v>0</v>
      </c>
      <c r="BR164" s="78">
        <f t="shared" si="93"/>
        <v>0</v>
      </c>
      <c r="BS164" s="78">
        <f t="shared" si="94"/>
        <v>0</v>
      </c>
      <c r="BT164" s="78">
        <f t="shared" si="95"/>
        <v>0</v>
      </c>
      <c r="BU164" s="91">
        <f t="shared" si="96"/>
        <v>0</v>
      </c>
      <c r="BV164" s="91">
        <f t="shared" si="97"/>
        <v>0</v>
      </c>
      <c r="BW164" s="78"/>
      <c r="BX164" s="78"/>
      <c r="BY164" s="78">
        <f t="shared" si="98"/>
        <v>0</v>
      </c>
      <c r="BZ164" s="78">
        <f t="shared" si="99"/>
        <v>0</v>
      </c>
      <c r="CA164" s="78">
        <f t="shared" si="100"/>
        <v>0</v>
      </c>
      <c r="CB164" s="78">
        <f t="shared" si="101"/>
        <v>0</v>
      </c>
      <c r="CC164" s="78">
        <f t="shared" si="102"/>
        <v>0</v>
      </c>
      <c r="CD164" s="78">
        <f t="shared" si="103"/>
        <v>0</v>
      </c>
      <c r="CE164" s="78">
        <f t="shared" si="104"/>
        <v>0</v>
      </c>
      <c r="CF164" s="78">
        <f t="shared" si="105"/>
        <v>0</v>
      </c>
      <c r="CG164" s="78"/>
      <c r="CH164" s="92">
        <f t="shared" si="106"/>
        <v>0</v>
      </c>
      <c r="CI164" s="93">
        <f t="shared" si="107"/>
        <v>0</v>
      </c>
      <c r="CJ164" s="94">
        <f t="shared" si="108"/>
        <v>0</v>
      </c>
      <c r="CL164" s="78">
        <f t="shared" si="109"/>
        <v>0</v>
      </c>
      <c r="CM164" s="78">
        <f t="shared" si="110"/>
        <v>0</v>
      </c>
      <c r="CN164" s="78">
        <f t="shared" si="111"/>
        <v>0</v>
      </c>
      <c r="CO164" s="78">
        <f t="shared" si="112"/>
        <v>0</v>
      </c>
    </row>
    <row r="165" spans="1:93" ht="13.5" thickBot="1">
      <c r="A165" s="95"/>
      <c r="B165" s="96"/>
      <c r="C165" s="97"/>
      <c r="D165" s="98"/>
      <c r="E165" s="99"/>
      <c r="F165" s="100"/>
      <c r="G165" s="100"/>
      <c r="H165" s="100"/>
      <c r="I165" s="100"/>
      <c r="J165" s="100"/>
      <c r="K165" s="101" t="str">
        <f t="shared" si="113"/>
        <v/>
      </c>
      <c r="L165" s="102"/>
      <c r="M165" s="103"/>
      <c r="N165" s="104"/>
      <c r="O165" s="105"/>
      <c r="P165" s="106">
        <f t="shared" si="114"/>
        <v>0</v>
      </c>
      <c r="Q165" s="106">
        <f t="shared" si="115"/>
        <v>0</v>
      </c>
      <c r="R165" s="106">
        <f t="shared" si="116"/>
        <v>0</v>
      </c>
      <c r="S165" s="106">
        <f t="shared" si="117"/>
        <v>0</v>
      </c>
      <c r="T165" s="107">
        <f t="shared" si="118"/>
        <v>0</v>
      </c>
      <c r="U165" s="78"/>
      <c r="AG165" s="108"/>
      <c r="AI165" s="78">
        <f t="shared" si="62"/>
        <v>0</v>
      </c>
      <c r="AJ165" s="78">
        <f t="shared" si="63"/>
        <v>0</v>
      </c>
      <c r="AK165" s="78">
        <f t="shared" si="64"/>
        <v>0</v>
      </c>
      <c r="AL165" s="78">
        <f t="shared" si="65"/>
        <v>0</v>
      </c>
      <c r="AM165" s="78">
        <f t="shared" si="66"/>
        <v>0</v>
      </c>
      <c r="AN165" s="78">
        <f t="shared" si="67"/>
        <v>0</v>
      </c>
      <c r="AO165" s="78">
        <f t="shared" si="68"/>
        <v>0</v>
      </c>
      <c r="AP165" s="78">
        <f t="shared" si="69"/>
        <v>0</v>
      </c>
      <c r="AQ165" s="78">
        <f t="shared" si="70"/>
        <v>0</v>
      </c>
      <c r="AR165" s="78">
        <f t="shared" si="71"/>
        <v>0</v>
      </c>
      <c r="AS165" s="90">
        <f t="shared" si="72"/>
        <v>0</v>
      </c>
      <c r="AT165" s="91">
        <f t="shared" si="73"/>
        <v>0</v>
      </c>
      <c r="AV165" s="91">
        <f t="shared" si="74"/>
        <v>0</v>
      </c>
      <c r="AW165" s="78">
        <f t="shared" si="75"/>
        <v>0</v>
      </c>
      <c r="AX165" s="78">
        <f t="shared" si="76"/>
        <v>0</v>
      </c>
      <c r="AY165" s="78"/>
      <c r="AZ165" s="78">
        <f t="shared" si="77"/>
        <v>0</v>
      </c>
      <c r="BA165" s="78">
        <f t="shared" si="78"/>
        <v>0</v>
      </c>
      <c r="BB165" s="78">
        <f t="shared" si="79"/>
        <v>0</v>
      </c>
      <c r="BC165" s="78">
        <f t="shared" si="80"/>
        <v>0</v>
      </c>
      <c r="BD165" s="78">
        <f t="shared" si="81"/>
        <v>0</v>
      </c>
      <c r="BE165" s="78">
        <f t="shared" si="82"/>
        <v>0</v>
      </c>
      <c r="BF165" s="78">
        <f t="shared" si="83"/>
        <v>0</v>
      </c>
      <c r="BG165" s="78">
        <f t="shared" si="84"/>
        <v>0</v>
      </c>
      <c r="BH165" s="78">
        <f t="shared" si="85"/>
        <v>0</v>
      </c>
      <c r="BI165" s="78"/>
      <c r="BJ165" s="91">
        <f t="shared" si="86"/>
        <v>0</v>
      </c>
      <c r="BK165" s="91">
        <f t="shared" si="87"/>
        <v>0</v>
      </c>
      <c r="BL165" s="78"/>
      <c r="BM165" s="78">
        <f t="shared" si="88"/>
        <v>0</v>
      </c>
      <c r="BN165" s="78">
        <f t="shared" si="89"/>
        <v>0</v>
      </c>
      <c r="BO165" s="78">
        <f t="shared" si="90"/>
        <v>0</v>
      </c>
      <c r="BP165" s="78">
        <f t="shared" si="91"/>
        <v>0</v>
      </c>
      <c r="BQ165" s="78">
        <f t="shared" si="92"/>
        <v>0</v>
      </c>
      <c r="BR165" s="78">
        <f t="shared" si="93"/>
        <v>0</v>
      </c>
      <c r="BS165" s="78">
        <f t="shared" si="94"/>
        <v>0</v>
      </c>
      <c r="BT165" s="78">
        <f t="shared" si="95"/>
        <v>0</v>
      </c>
      <c r="BU165" s="91">
        <f t="shared" si="96"/>
        <v>0</v>
      </c>
      <c r="BV165" s="91">
        <f t="shared" si="97"/>
        <v>0</v>
      </c>
      <c r="BW165" s="78"/>
      <c r="BX165" s="78"/>
      <c r="BY165" s="78">
        <f t="shared" si="98"/>
        <v>0</v>
      </c>
      <c r="BZ165" s="78">
        <f t="shared" si="99"/>
        <v>0</v>
      </c>
      <c r="CA165" s="78">
        <f t="shared" si="100"/>
        <v>0</v>
      </c>
      <c r="CB165" s="78">
        <f t="shared" si="101"/>
        <v>0</v>
      </c>
      <c r="CC165" s="78">
        <f t="shared" si="102"/>
        <v>0</v>
      </c>
      <c r="CD165" s="78">
        <f t="shared" si="103"/>
        <v>0</v>
      </c>
      <c r="CE165" s="78">
        <f t="shared" si="104"/>
        <v>0</v>
      </c>
      <c r="CF165" s="78">
        <f t="shared" si="105"/>
        <v>0</v>
      </c>
      <c r="CG165" s="78"/>
      <c r="CH165" s="92">
        <f t="shared" si="106"/>
        <v>0</v>
      </c>
      <c r="CI165" s="93">
        <f t="shared" si="107"/>
        <v>0</v>
      </c>
      <c r="CJ165" s="94">
        <f t="shared" si="108"/>
        <v>0</v>
      </c>
      <c r="CL165" s="78">
        <f t="shared" si="109"/>
        <v>0</v>
      </c>
      <c r="CM165" s="78">
        <f t="shared" si="110"/>
        <v>0</v>
      </c>
      <c r="CN165" s="78">
        <f t="shared" si="111"/>
        <v>0</v>
      </c>
      <c r="CO165" s="78">
        <f t="shared" si="112"/>
        <v>0</v>
      </c>
    </row>
    <row r="166" spans="1:93" ht="13.5" thickBot="1">
      <c r="A166" s="95"/>
      <c r="B166" s="96"/>
      <c r="C166" s="97"/>
      <c r="D166" s="98"/>
      <c r="E166" s="99"/>
      <c r="F166" s="100"/>
      <c r="G166" s="100"/>
      <c r="H166" s="100"/>
      <c r="I166" s="100"/>
      <c r="J166" s="100"/>
      <c r="K166" s="101" t="str">
        <f t="shared" si="113"/>
        <v/>
      </c>
      <c r="L166" s="102"/>
      <c r="M166" s="103"/>
      <c r="N166" s="104"/>
      <c r="O166" s="105"/>
      <c r="P166" s="106">
        <f t="shared" si="114"/>
        <v>0</v>
      </c>
      <c r="Q166" s="106">
        <f t="shared" si="115"/>
        <v>0</v>
      </c>
      <c r="R166" s="106">
        <f t="shared" si="116"/>
        <v>0</v>
      </c>
      <c r="S166" s="106">
        <f t="shared" si="117"/>
        <v>0</v>
      </c>
      <c r="T166" s="107">
        <f t="shared" si="118"/>
        <v>0</v>
      </c>
      <c r="U166" s="78"/>
      <c r="AG166" s="108"/>
      <c r="AI166" s="78">
        <f t="shared" si="62"/>
        <v>0</v>
      </c>
      <c r="AJ166" s="78">
        <f t="shared" si="63"/>
        <v>0</v>
      </c>
      <c r="AK166" s="78">
        <f t="shared" si="64"/>
        <v>0</v>
      </c>
      <c r="AL166" s="78">
        <f t="shared" si="65"/>
        <v>0</v>
      </c>
      <c r="AM166" s="78">
        <f t="shared" si="66"/>
        <v>0</v>
      </c>
      <c r="AN166" s="78">
        <f t="shared" si="67"/>
        <v>0</v>
      </c>
      <c r="AO166" s="78">
        <f t="shared" si="68"/>
        <v>0</v>
      </c>
      <c r="AP166" s="78">
        <f t="shared" si="69"/>
        <v>0</v>
      </c>
      <c r="AQ166" s="78">
        <f t="shared" si="70"/>
        <v>0</v>
      </c>
      <c r="AR166" s="78">
        <f t="shared" si="71"/>
        <v>0</v>
      </c>
      <c r="AS166" s="90">
        <f t="shared" si="72"/>
        <v>0</v>
      </c>
      <c r="AT166" s="91">
        <f t="shared" si="73"/>
        <v>0</v>
      </c>
      <c r="AV166" s="91">
        <f t="shared" si="74"/>
        <v>0</v>
      </c>
      <c r="AW166" s="78">
        <f t="shared" si="75"/>
        <v>0</v>
      </c>
      <c r="AX166" s="78">
        <f t="shared" si="76"/>
        <v>0</v>
      </c>
      <c r="AY166" s="78"/>
      <c r="AZ166" s="78">
        <f t="shared" si="77"/>
        <v>0</v>
      </c>
      <c r="BA166" s="78">
        <f t="shared" si="78"/>
        <v>0</v>
      </c>
      <c r="BB166" s="78">
        <f t="shared" si="79"/>
        <v>0</v>
      </c>
      <c r="BC166" s="78">
        <f t="shared" si="80"/>
        <v>0</v>
      </c>
      <c r="BD166" s="78">
        <f t="shared" si="81"/>
        <v>0</v>
      </c>
      <c r="BE166" s="78">
        <f t="shared" si="82"/>
        <v>0</v>
      </c>
      <c r="BF166" s="78">
        <f t="shared" si="83"/>
        <v>0</v>
      </c>
      <c r="BG166" s="78">
        <f t="shared" si="84"/>
        <v>0</v>
      </c>
      <c r="BH166" s="78">
        <f t="shared" si="85"/>
        <v>0</v>
      </c>
      <c r="BI166" s="78"/>
      <c r="BJ166" s="91">
        <f t="shared" si="86"/>
        <v>0</v>
      </c>
      <c r="BK166" s="91">
        <f t="shared" si="87"/>
        <v>0</v>
      </c>
      <c r="BL166" s="78"/>
      <c r="BM166" s="78">
        <f t="shared" si="88"/>
        <v>0</v>
      </c>
      <c r="BN166" s="78">
        <f t="shared" si="89"/>
        <v>0</v>
      </c>
      <c r="BO166" s="78">
        <f t="shared" si="90"/>
        <v>0</v>
      </c>
      <c r="BP166" s="78">
        <f t="shared" si="91"/>
        <v>0</v>
      </c>
      <c r="BQ166" s="78">
        <f t="shared" si="92"/>
        <v>0</v>
      </c>
      <c r="BR166" s="78">
        <f t="shared" si="93"/>
        <v>0</v>
      </c>
      <c r="BS166" s="78">
        <f t="shared" si="94"/>
        <v>0</v>
      </c>
      <c r="BT166" s="78">
        <f t="shared" si="95"/>
        <v>0</v>
      </c>
      <c r="BU166" s="91">
        <f t="shared" si="96"/>
        <v>0</v>
      </c>
      <c r="BV166" s="91">
        <f t="shared" si="97"/>
        <v>0</v>
      </c>
      <c r="BW166" s="78"/>
      <c r="BX166" s="78"/>
      <c r="BY166" s="78">
        <f t="shared" si="98"/>
        <v>0</v>
      </c>
      <c r="BZ166" s="78">
        <f t="shared" si="99"/>
        <v>0</v>
      </c>
      <c r="CA166" s="78">
        <f t="shared" si="100"/>
        <v>0</v>
      </c>
      <c r="CB166" s="78">
        <f t="shared" si="101"/>
        <v>0</v>
      </c>
      <c r="CC166" s="78">
        <f t="shared" si="102"/>
        <v>0</v>
      </c>
      <c r="CD166" s="78">
        <f t="shared" si="103"/>
        <v>0</v>
      </c>
      <c r="CE166" s="78">
        <f t="shared" si="104"/>
        <v>0</v>
      </c>
      <c r="CF166" s="78">
        <f t="shared" si="105"/>
        <v>0</v>
      </c>
      <c r="CG166" s="78"/>
      <c r="CH166" s="92">
        <f t="shared" si="106"/>
        <v>0</v>
      </c>
      <c r="CI166" s="93">
        <f t="shared" si="107"/>
        <v>0</v>
      </c>
      <c r="CJ166" s="94">
        <f t="shared" si="108"/>
        <v>0</v>
      </c>
      <c r="CL166" s="78">
        <f t="shared" si="109"/>
        <v>0</v>
      </c>
      <c r="CM166" s="78">
        <f t="shared" si="110"/>
        <v>0</v>
      </c>
      <c r="CN166" s="78">
        <f t="shared" si="111"/>
        <v>0</v>
      </c>
      <c r="CO166" s="78">
        <f t="shared" si="112"/>
        <v>0</v>
      </c>
    </row>
    <row r="167" spans="1:93" ht="13.5" thickBot="1">
      <c r="A167" s="95"/>
      <c r="B167" s="96"/>
      <c r="C167" s="97"/>
      <c r="D167" s="98"/>
      <c r="E167" s="99"/>
      <c r="F167" s="100"/>
      <c r="G167" s="100"/>
      <c r="H167" s="100"/>
      <c r="I167" s="100"/>
      <c r="J167" s="100"/>
      <c r="K167" s="101" t="str">
        <f t="shared" si="113"/>
        <v/>
      </c>
      <c r="L167" s="102"/>
      <c r="M167" s="103"/>
      <c r="N167" s="104"/>
      <c r="O167" s="105"/>
      <c r="P167" s="106">
        <f t="shared" si="114"/>
        <v>0</v>
      </c>
      <c r="Q167" s="106">
        <f t="shared" si="115"/>
        <v>0</v>
      </c>
      <c r="R167" s="106">
        <f t="shared" si="116"/>
        <v>0</v>
      </c>
      <c r="S167" s="106">
        <f t="shared" si="117"/>
        <v>0</v>
      </c>
      <c r="T167" s="107">
        <f t="shared" si="118"/>
        <v>0</v>
      </c>
      <c r="U167" s="78"/>
      <c r="AG167" s="108"/>
      <c r="AI167" s="78">
        <f t="shared" ref="AI167:AI230" si="119">IF($C167=$AM$19,IF($N167&gt;$K167,$N167*$E167,$K167*$E167),0)</f>
        <v>0</v>
      </c>
      <c r="AJ167" s="78">
        <f t="shared" ref="AJ167:AJ230" si="120">AI167*M167</f>
        <v>0</v>
      </c>
      <c r="AK167" s="78">
        <f t="shared" ref="AK167:AK230" si="121">IF(C167=$AM$19,($E167*$F167+$E167*$H167)*$L167,0)</f>
        <v>0</v>
      </c>
      <c r="AL167" s="78">
        <f t="shared" ref="AL167:AL230" si="122">IF(C167=$AM$19,AJ167-AK167,0)</f>
        <v>0</v>
      </c>
      <c r="AM167" s="78">
        <f t="shared" ref="AM167:AM230" si="123">IF($C167=$AM$18,IF($N167&gt;$K167,$N167*$E167,$K167*$E167),0)</f>
        <v>0</v>
      </c>
      <c r="AN167" s="78">
        <f t="shared" ref="AN167:AN230" si="124">AM167*2.1%</f>
        <v>0</v>
      </c>
      <c r="AO167" s="78">
        <f t="shared" ref="AO167:AO230" si="125">IF($C167=$AM$20,IF($N167&gt;$K167,$N167*$E167*$O167+$N167*$E167,$K167*$E167*$O167+$K167*$E167),0)</f>
        <v>0</v>
      </c>
      <c r="AP167" s="78">
        <f t="shared" ref="AP167:AP230" si="126">$AO167*$M167</f>
        <v>0</v>
      </c>
      <c r="AQ167" s="78">
        <f t="shared" ref="AQ167:AQ230" si="127">IF(C167=$AM$20,($E167*$F167+$E167*$H167)*$L167,0)</f>
        <v>0</v>
      </c>
      <c r="AR167" s="78">
        <f t="shared" ref="AR167:AR230" si="128">IF($C167=$AM$20,$AP167-$AQ167,0)</f>
        <v>0</v>
      </c>
      <c r="AS167" s="90">
        <f t="shared" ref="AS167:AS230" si="129">IF($C167=$AM$21,IF(N167&gt;K167,N167*E167,$K167*$O167*$E167+$K167*$E167),0)/(100%-M167)</f>
        <v>0</v>
      </c>
      <c r="AT167" s="91">
        <f t="shared" ref="AT167:AT230" si="130">AS167*M167</f>
        <v>0</v>
      </c>
      <c r="AV167" s="91">
        <f t="shared" ref="AV167:AV230" si="131">IF($C167=$AM$21,$AT167,0)</f>
        <v>0</v>
      </c>
      <c r="AW167" s="78">
        <f t="shared" ref="AW167:AW230" si="132">IF($C167=$AM$22,IF($N167&gt;$K167,$N167*$E167,$K167*$E167),0)</f>
        <v>0</v>
      </c>
      <c r="AX167" s="78">
        <f t="shared" ref="AX167:AX230" si="133">AW167*12%</f>
        <v>0</v>
      </c>
      <c r="AY167" s="78"/>
      <c r="AZ167" s="78">
        <f t="shared" ref="AZ167:AZ230" si="134">IF($C167=$AM$22,$AX167-$AY167,0)</f>
        <v>0</v>
      </c>
      <c r="BA167" s="78">
        <f t="shared" ref="BA167:BA230" si="135">IF($C167=$AM$23,IF($N167&gt;$K167,$N167*$E167,$K167*$E167),0)</f>
        <v>0</v>
      </c>
      <c r="BB167" s="78">
        <f t="shared" ref="BB167:BB230" si="136">BA167*30%</f>
        <v>0</v>
      </c>
      <c r="BC167" s="78">
        <f t="shared" ref="BC167:BC230" si="137">IF(C167=$AM$23,($E167*$F167+$E167*$H167)*$L167,0)</f>
        <v>0</v>
      </c>
      <c r="BD167" s="78">
        <f t="shared" ref="BD167:BD230" si="138">IF($C167=$AM$23,BB167-BC167,0)</f>
        <v>0</v>
      </c>
      <c r="BE167" s="78">
        <f t="shared" ref="BE167:BE230" si="139">IF($C167=$AM$24,IF($N167&gt;$K167,$N167*$O167*$E167+$N167*$E167,$K167*$E167*$O167+$K167*$E167),0)</f>
        <v>0</v>
      </c>
      <c r="BF167" s="78">
        <f t="shared" ref="BF167:BF230" si="140">BE167*M167</f>
        <v>0</v>
      </c>
      <c r="BG167" s="78">
        <f t="shared" ref="BG167:BG230" si="141">IF($C167=$AM$24,($E167*$F167+$E167*$H167)*$L167,0)</f>
        <v>0</v>
      </c>
      <c r="BH167" s="78">
        <f t="shared" ref="BH167:BH230" si="142">IF($C167=$AM$24,BF167-BG167,0)</f>
        <v>0</v>
      </c>
      <c r="BI167" s="78"/>
      <c r="BJ167" s="91">
        <f t="shared" ref="BJ167:BJ230" si="143">IF($C167=$AM$29,IF($N167&gt;$K167,$N167*$E167,$K167*$O167*$E167+$K167*$E167),0)/(100%-$M167)</f>
        <v>0</v>
      </c>
      <c r="BK167" s="91">
        <f t="shared" ref="BK167:BK230" si="144">BJ167*30%</f>
        <v>0</v>
      </c>
      <c r="BL167" s="78"/>
      <c r="BM167" s="78">
        <f t="shared" ref="BM167:BM230" si="145">IF($C167=$AM$25,IF($N167&gt;$K167,$N167*$E167,$K167*$E167),0)</f>
        <v>0</v>
      </c>
      <c r="BN167" s="78">
        <f t="shared" ref="BN167:BN230" si="146">BM167*M167</f>
        <v>0</v>
      </c>
      <c r="BO167" s="78">
        <f t="shared" ref="BO167:BO230" si="147">IF($C167=$AM$25,($E167*$F167+$E167*$H167)*$L167,0)</f>
        <v>0</v>
      </c>
      <c r="BP167" s="78">
        <f t="shared" ref="BP167:BP230" si="148">IF($C167=$AM$25,BN167-BO167,0)</f>
        <v>0</v>
      </c>
      <c r="BQ167" s="78">
        <f t="shared" ref="BQ167:BQ230" si="149">IF($C167=$AM$26,IF($N167&gt;$K167,$N167*$E167*30%+$N167*$E167,$K167*$E167*30%+$K167*$E167),0)</f>
        <v>0</v>
      </c>
      <c r="BR167" s="78">
        <f t="shared" ref="BR167:BR230" si="150">$BQ167*12%</f>
        <v>0</v>
      </c>
      <c r="BS167" s="78">
        <f t="shared" ref="BS167:BS230" si="151">IF($C167=$AM$26,($E167*$F167+$E167*$H167)*$L167,0)</f>
        <v>0</v>
      </c>
      <c r="BT167" s="78">
        <f t="shared" ref="BT167:BT230" si="152">IF($C167=$AM$26,BR167-BS167,0)</f>
        <v>0</v>
      </c>
      <c r="BU167" s="91">
        <f t="shared" ref="BU167:BU230" si="153">IF($C167=$AM$30,IF($N167&gt;$K167,$N167*$E167,$K167*$O167*$E167+$K167*$E167),0)/(100%-$M167)</f>
        <v>0</v>
      </c>
      <c r="BV167" s="91">
        <f t="shared" ref="BV167:BV230" si="154">BU167*33%</f>
        <v>0</v>
      </c>
      <c r="BW167" s="78"/>
      <c r="BX167" s="78"/>
      <c r="BY167" s="78">
        <f t="shared" ref="BY167:BY230" si="155">IF($C167=$AM$27,IF($N167&gt;$K167,$N167*$E167*$O167+$N167*$E167,$K167*$E167*$O167+$K167*$E167),0)</f>
        <v>0</v>
      </c>
      <c r="BZ167" s="78">
        <f t="shared" ref="BZ167:BZ230" si="156">$BY167*$M167</f>
        <v>0</v>
      </c>
      <c r="CA167" s="78">
        <f t="shared" ref="CA167:CA230" si="157">IF($C167=$AM$27,($E167*$F167+$E167*$H167)*$L167,0)</f>
        <v>0</v>
      </c>
      <c r="CB167" s="78">
        <f t="shared" ref="CB167:CB230" si="158">IF($C167=$AM$27,BZ167-CA167,0)</f>
        <v>0</v>
      </c>
      <c r="CC167" s="78">
        <f t="shared" ref="CC167:CC230" si="159">IF($C167=$AM$28,IF($N167&gt;$K167,$N167*$O167*$E167+$N167*$E167,$K167*$E167*$O167+$K167*$E167),0)</f>
        <v>0</v>
      </c>
      <c r="CD167" s="78">
        <f t="shared" ref="CD167:CD230" si="160">CC167*$M167</f>
        <v>0</v>
      </c>
      <c r="CE167" s="78">
        <f t="shared" ref="CE167:CE230" si="161">IF($C167=$AM$28,($E167*$F167+$E167*$H167)*$L167,0)</f>
        <v>0</v>
      </c>
      <c r="CF167" s="78">
        <f t="shared" ref="CF167:CF230" si="162">IF($C167=$AM$28,CD167-CE167,0)</f>
        <v>0</v>
      </c>
      <c r="CG167" s="78"/>
      <c r="CH167" s="92">
        <f t="shared" ref="CH167:CH230" si="163">SUM(AI167+AM167+AO167+AS167+AW167+BA167+BE167+BI167+BM167+BQ167+BU167+BY167+CC167+BJ167+CL167)</f>
        <v>0</v>
      </c>
      <c r="CI167" s="93">
        <f t="shared" ref="CI167:CI230" si="164">SUM(AJ167+AN167+AP167+AT167+AX167+BB167+BF167+BV167+BN167+BR167+BK167+BZ167+CD167+CM167)</f>
        <v>0</v>
      </c>
      <c r="CJ167" s="94">
        <f t="shared" ref="CJ167:CJ230" si="165">SUM(AK167+AQ167+AY167+BC167+BG167+BO167+BS167+BW167+CA167+CE167+CN167)</f>
        <v>0</v>
      </c>
      <c r="CL167" s="78">
        <f t="shared" ref="CL167:CL230" si="166">IF($C167=$AM$31,IF($N167&gt;$K167,$N167*$E167,$K167*$E167),0)</f>
        <v>0</v>
      </c>
      <c r="CM167" s="78">
        <f t="shared" ref="CM167:CM230" si="167">CL167*$M167</f>
        <v>0</v>
      </c>
      <c r="CN167" s="78">
        <f t="shared" ref="CN167:CN230" si="168">IF($C167=$AM$31,($E167*$F167+$E167*$H167)*$L167,0)</f>
        <v>0</v>
      </c>
      <c r="CO167" s="78">
        <f t="shared" ref="CO167:CO230" si="169">IF($C167=$AM$31,CM167-CN167,0)</f>
        <v>0</v>
      </c>
    </row>
    <row r="168" spans="1:93" ht="13.5" thickBot="1">
      <c r="A168" s="95"/>
      <c r="B168" s="96"/>
      <c r="C168" s="97"/>
      <c r="D168" s="98"/>
      <c r="E168" s="99"/>
      <c r="F168" s="100"/>
      <c r="G168" s="100"/>
      <c r="H168" s="100"/>
      <c r="I168" s="100"/>
      <c r="J168" s="100"/>
      <c r="K168" s="101" t="str">
        <f t="shared" ref="K168:K231" si="170">IF(C168="","",(F168)+(G168)+(H168)+(I168)+(J168))</f>
        <v/>
      </c>
      <c r="L168" s="102"/>
      <c r="M168" s="103"/>
      <c r="N168" s="104"/>
      <c r="O168" s="105"/>
      <c r="P168" s="106">
        <f t="shared" ref="P168:P231" si="171">IF(B168="",CH168,0)</f>
        <v>0</v>
      </c>
      <c r="Q168" s="106">
        <f t="shared" ref="Q168:Q231" si="172">IF(B168="",CI168,0)</f>
        <v>0</v>
      </c>
      <c r="R168" s="106">
        <f t="shared" ref="R168:R231" si="173">IF(B168="",CJ168,0)</f>
        <v>0</v>
      </c>
      <c r="S168" s="106">
        <f t="shared" ref="S168:S231" si="174">IF(B168="",CI168-CJ168,0)</f>
        <v>0</v>
      </c>
      <c r="T168" s="107">
        <f t="shared" ref="T168:T231" si="175">IF(B168="",0,CI168-CJ168)</f>
        <v>0</v>
      </c>
      <c r="U168" s="78"/>
      <c r="AG168" s="108"/>
      <c r="AI168" s="78">
        <f t="shared" si="119"/>
        <v>0</v>
      </c>
      <c r="AJ168" s="78">
        <f t="shared" si="120"/>
        <v>0</v>
      </c>
      <c r="AK168" s="78">
        <f t="shared" si="121"/>
        <v>0</v>
      </c>
      <c r="AL168" s="78">
        <f t="shared" si="122"/>
        <v>0</v>
      </c>
      <c r="AM168" s="78">
        <f t="shared" si="123"/>
        <v>0</v>
      </c>
      <c r="AN168" s="78">
        <f t="shared" si="124"/>
        <v>0</v>
      </c>
      <c r="AO168" s="78">
        <f t="shared" si="125"/>
        <v>0</v>
      </c>
      <c r="AP168" s="78">
        <f t="shared" si="126"/>
        <v>0</v>
      </c>
      <c r="AQ168" s="78">
        <f t="shared" si="127"/>
        <v>0</v>
      </c>
      <c r="AR168" s="78">
        <f t="shared" si="128"/>
        <v>0</v>
      </c>
      <c r="AS168" s="90">
        <f t="shared" si="129"/>
        <v>0</v>
      </c>
      <c r="AT168" s="91">
        <f t="shared" si="130"/>
        <v>0</v>
      </c>
      <c r="AV168" s="91">
        <f t="shared" si="131"/>
        <v>0</v>
      </c>
      <c r="AW168" s="78">
        <f t="shared" si="132"/>
        <v>0</v>
      </c>
      <c r="AX168" s="78">
        <f t="shared" si="133"/>
        <v>0</v>
      </c>
      <c r="AY168" s="78"/>
      <c r="AZ168" s="78">
        <f t="shared" si="134"/>
        <v>0</v>
      </c>
      <c r="BA168" s="78">
        <f t="shared" si="135"/>
        <v>0</v>
      </c>
      <c r="BB168" s="78">
        <f t="shared" si="136"/>
        <v>0</v>
      </c>
      <c r="BC168" s="78">
        <f t="shared" si="137"/>
        <v>0</v>
      </c>
      <c r="BD168" s="78">
        <f t="shared" si="138"/>
        <v>0</v>
      </c>
      <c r="BE168" s="78">
        <f t="shared" si="139"/>
        <v>0</v>
      </c>
      <c r="BF168" s="78">
        <f t="shared" si="140"/>
        <v>0</v>
      </c>
      <c r="BG168" s="78">
        <f t="shared" si="141"/>
        <v>0</v>
      </c>
      <c r="BH168" s="78">
        <f t="shared" si="142"/>
        <v>0</v>
      </c>
      <c r="BI168" s="78"/>
      <c r="BJ168" s="91">
        <f t="shared" si="143"/>
        <v>0</v>
      </c>
      <c r="BK168" s="91">
        <f t="shared" si="144"/>
        <v>0</v>
      </c>
      <c r="BL168" s="78"/>
      <c r="BM168" s="78">
        <f t="shared" si="145"/>
        <v>0</v>
      </c>
      <c r="BN168" s="78">
        <f t="shared" si="146"/>
        <v>0</v>
      </c>
      <c r="BO168" s="78">
        <f t="shared" si="147"/>
        <v>0</v>
      </c>
      <c r="BP168" s="78">
        <f t="shared" si="148"/>
        <v>0</v>
      </c>
      <c r="BQ168" s="78">
        <f t="shared" si="149"/>
        <v>0</v>
      </c>
      <c r="BR168" s="78">
        <f t="shared" si="150"/>
        <v>0</v>
      </c>
      <c r="BS168" s="78">
        <f t="shared" si="151"/>
        <v>0</v>
      </c>
      <c r="BT168" s="78">
        <f t="shared" si="152"/>
        <v>0</v>
      </c>
      <c r="BU168" s="91">
        <f t="shared" si="153"/>
        <v>0</v>
      </c>
      <c r="BV168" s="91">
        <f t="shared" si="154"/>
        <v>0</v>
      </c>
      <c r="BW168" s="78"/>
      <c r="BX168" s="78"/>
      <c r="BY168" s="78">
        <f t="shared" si="155"/>
        <v>0</v>
      </c>
      <c r="BZ168" s="78">
        <f t="shared" si="156"/>
        <v>0</v>
      </c>
      <c r="CA168" s="78">
        <f t="shared" si="157"/>
        <v>0</v>
      </c>
      <c r="CB168" s="78">
        <f t="shared" si="158"/>
        <v>0</v>
      </c>
      <c r="CC168" s="78">
        <f t="shared" si="159"/>
        <v>0</v>
      </c>
      <c r="CD168" s="78">
        <f t="shared" si="160"/>
        <v>0</v>
      </c>
      <c r="CE168" s="78">
        <f t="shared" si="161"/>
        <v>0</v>
      </c>
      <c r="CF168" s="78">
        <f t="shared" si="162"/>
        <v>0</v>
      </c>
      <c r="CG168" s="78"/>
      <c r="CH168" s="92">
        <f t="shared" si="163"/>
        <v>0</v>
      </c>
      <c r="CI168" s="93">
        <f t="shared" si="164"/>
        <v>0</v>
      </c>
      <c r="CJ168" s="94">
        <f t="shared" si="165"/>
        <v>0</v>
      </c>
      <c r="CL168" s="78">
        <f t="shared" si="166"/>
        <v>0</v>
      </c>
      <c r="CM168" s="78">
        <f t="shared" si="167"/>
        <v>0</v>
      </c>
      <c r="CN168" s="78">
        <f t="shared" si="168"/>
        <v>0</v>
      </c>
      <c r="CO168" s="78">
        <f t="shared" si="169"/>
        <v>0</v>
      </c>
    </row>
    <row r="169" spans="1:93" ht="13.5" thickBot="1">
      <c r="A169" s="95"/>
      <c r="B169" s="96"/>
      <c r="C169" s="97"/>
      <c r="D169" s="98"/>
      <c r="E169" s="99"/>
      <c r="F169" s="100"/>
      <c r="G169" s="100"/>
      <c r="H169" s="100"/>
      <c r="I169" s="100"/>
      <c r="J169" s="100"/>
      <c r="K169" s="101" t="str">
        <f t="shared" si="170"/>
        <v/>
      </c>
      <c r="L169" s="102"/>
      <c r="M169" s="103"/>
      <c r="N169" s="104"/>
      <c r="O169" s="105"/>
      <c r="P169" s="106">
        <f t="shared" si="171"/>
        <v>0</v>
      </c>
      <c r="Q169" s="106">
        <f t="shared" si="172"/>
        <v>0</v>
      </c>
      <c r="R169" s="106">
        <f t="shared" si="173"/>
        <v>0</v>
      </c>
      <c r="S169" s="106">
        <f t="shared" si="174"/>
        <v>0</v>
      </c>
      <c r="T169" s="107">
        <f t="shared" si="175"/>
        <v>0</v>
      </c>
      <c r="U169" s="78"/>
      <c r="AG169" s="108"/>
      <c r="AI169" s="78">
        <f t="shared" si="119"/>
        <v>0</v>
      </c>
      <c r="AJ169" s="78">
        <f t="shared" si="120"/>
        <v>0</v>
      </c>
      <c r="AK169" s="78">
        <f t="shared" si="121"/>
        <v>0</v>
      </c>
      <c r="AL169" s="78">
        <f t="shared" si="122"/>
        <v>0</v>
      </c>
      <c r="AM169" s="78">
        <f t="shared" si="123"/>
        <v>0</v>
      </c>
      <c r="AN169" s="78">
        <f t="shared" si="124"/>
        <v>0</v>
      </c>
      <c r="AO169" s="78">
        <f t="shared" si="125"/>
        <v>0</v>
      </c>
      <c r="AP169" s="78">
        <f t="shared" si="126"/>
        <v>0</v>
      </c>
      <c r="AQ169" s="78">
        <f t="shared" si="127"/>
        <v>0</v>
      </c>
      <c r="AR169" s="78">
        <f t="shared" si="128"/>
        <v>0</v>
      </c>
      <c r="AS169" s="90">
        <f t="shared" si="129"/>
        <v>0</v>
      </c>
      <c r="AT169" s="91">
        <f t="shared" si="130"/>
        <v>0</v>
      </c>
      <c r="AV169" s="91">
        <f t="shared" si="131"/>
        <v>0</v>
      </c>
      <c r="AW169" s="78">
        <f t="shared" si="132"/>
        <v>0</v>
      </c>
      <c r="AX169" s="78">
        <f t="shared" si="133"/>
        <v>0</v>
      </c>
      <c r="AY169" s="78"/>
      <c r="AZ169" s="78">
        <f t="shared" si="134"/>
        <v>0</v>
      </c>
      <c r="BA169" s="78">
        <f t="shared" si="135"/>
        <v>0</v>
      </c>
      <c r="BB169" s="78">
        <f t="shared" si="136"/>
        <v>0</v>
      </c>
      <c r="BC169" s="78">
        <f t="shared" si="137"/>
        <v>0</v>
      </c>
      <c r="BD169" s="78">
        <f t="shared" si="138"/>
        <v>0</v>
      </c>
      <c r="BE169" s="78">
        <f t="shared" si="139"/>
        <v>0</v>
      </c>
      <c r="BF169" s="78">
        <f t="shared" si="140"/>
        <v>0</v>
      </c>
      <c r="BG169" s="78">
        <f t="shared" si="141"/>
        <v>0</v>
      </c>
      <c r="BH169" s="78">
        <f t="shared" si="142"/>
        <v>0</v>
      </c>
      <c r="BI169" s="78"/>
      <c r="BJ169" s="91">
        <f t="shared" si="143"/>
        <v>0</v>
      </c>
      <c r="BK169" s="91">
        <f t="shared" si="144"/>
        <v>0</v>
      </c>
      <c r="BL169" s="78"/>
      <c r="BM169" s="78">
        <f t="shared" si="145"/>
        <v>0</v>
      </c>
      <c r="BN169" s="78">
        <f t="shared" si="146"/>
        <v>0</v>
      </c>
      <c r="BO169" s="78">
        <f t="shared" si="147"/>
        <v>0</v>
      </c>
      <c r="BP169" s="78">
        <f t="shared" si="148"/>
        <v>0</v>
      </c>
      <c r="BQ169" s="78">
        <f t="shared" si="149"/>
        <v>0</v>
      </c>
      <c r="BR169" s="78">
        <f t="shared" si="150"/>
        <v>0</v>
      </c>
      <c r="BS169" s="78">
        <f t="shared" si="151"/>
        <v>0</v>
      </c>
      <c r="BT169" s="78">
        <f t="shared" si="152"/>
        <v>0</v>
      </c>
      <c r="BU169" s="91">
        <f t="shared" si="153"/>
        <v>0</v>
      </c>
      <c r="BV169" s="91">
        <f t="shared" si="154"/>
        <v>0</v>
      </c>
      <c r="BW169" s="78"/>
      <c r="BX169" s="78"/>
      <c r="BY169" s="78">
        <f t="shared" si="155"/>
        <v>0</v>
      </c>
      <c r="BZ169" s="78">
        <f t="shared" si="156"/>
        <v>0</v>
      </c>
      <c r="CA169" s="78">
        <f t="shared" si="157"/>
        <v>0</v>
      </c>
      <c r="CB169" s="78">
        <f t="shared" si="158"/>
        <v>0</v>
      </c>
      <c r="CC169" s="78">
        <f t="shared" si="159"/>
        <v>0</v>
      </c>
      <c r="CD169" s="78">
        <f t="shared" si="160"/>
        <v>0</v>
      </c>
      <c r="CE169" s="78">
        <f t="shared" si="161"/>
        <v>0</v>
      </c>
      <c r="CF169" s="78">
        <f t="shared" si="162"/>
        <v>0</v>
      </c>
      <c r="CG169" s="78"/>
      <c r="CH169" s="92">
        <f t="shared" si="163"/>
        <v>0</v>
      </c>
      <c r="CI169" s="93">
        <f t="shared" si="164"/>
        <v>0</v>
      </c>
      <c r="CJ169" s="94">
        <f t="shared" si="165"/>
        <v>0</v>
      </c>
      <c r="CL169" s="78">
        <f t="shared" si="166"/>
        <v>0</v>
      </c>
      <c r="CM169" s="78">
        <f t="shared" si="167"/>
        <v>0</v>
      </c>
      <c r="CN169" s="78">
        <f t="shared" si="168"/>
        <v>0</v>
      </c>
      <c r="CO169" s="78">
        <f t="shared" si="169"/>
        <v>0</v>
      </c>
    </row>
    <row r="170" spans="1:93" ht="13.5" thickBot="1">
      <c r="A170" s="95"/>
      <c r="B170" s="96"/>
      <c r="C170" s="97"/>
      <c r="D170" s="98"/>
      <c r="E170" s="99"/>
      <c r="F170" s="100"/>
      <c r="G170" s="100"/>
      <c r="H170" s="100"/>
      <c r="I170" s="100"/>
      <c r="J170" s="100"/>
      <c r="K170" s="101" t="str">
        <f t="shared" si="170"/>
        <v/>
      </c>
      <c r="L170" s="102"/>
      <c r="M170" s="103"/>
      <c r="N170" s="104"/>
      <c r="O170" s="105"/>
      <c r="P170" s="106">
        <f t="shared" si="171"/>
        <v>0</v>
      </c>
      <c r="Q170" s="106">
        <f t="shared" si="172"/>
        <v>0</v>
      </c>
      <c r="R170" s="106">
        <f t="shared" si="173"/>
        <v>0</v>
      </c>
      <c r="S170" s="106">
        <f t="shared" si="174"/>
        <v>0</v>
      </c>
      <c r="T170" s="107">
        <f t="shared" si="175"/>
        <v>0</v>
      </c>
      <c r="U170" s="78"/>
      <c r="AG170" s="108"/>
      <c r="AI170" s="78">
        <f t="shared" si="119"/>
        <v>0</v>
      </c>
      <c r="AJ170" s="78">
        <f t="shared" si="120"/>
        <v>0</v>
      </c>
      <c r="AK170" s="78">
        <f t="shared" si="121"/>
        <v>0</v>
      </c>
      <c r="AL170" s="78">
        <f t="shared" si="122"/>
        <v>0</v>
      </c>
      <c r="AM170" s="78">
        <f t="shared" si="123"/>
        <v>0</v>
      </c>
      <c r="AN170" s="78">
        <f t="shared" si="124"/>
        <v>0</v>
      </c>
      <c r="AO170" s="78">
        <f t="shared" si="125"/>
        <v>0</v>
      </c>
      <c r="AP170" s="78">
        <f t="shared" si="126"/>
        <v>0</v>
      </c>
      <c r="AQ170" s="78">
        <f t="shared" si="127"/>
        <v>0</v>
      </c>
      <c r="AR170" s="78">
        <f t="shared" si="128"/>
        <v>0</v>
      </c>
      <c r="AS170" s="90">
        <f t="shared" si="129"/>
        <v>0</v>
      </c>
      <c r="AT170" s="91">
        <f t="shared" si="130"/>
        <v>0</v>
      </c>
      <c r="AV170" s="91">
        <f t="shared" si="131"/>
        <v>0</v>
      </c>
      <c r="AW170" s="78">
        <f t="shared" si="132"/>
        <v>0</v>
      </c>
      <c r="AX170" s="78">
        <f t="shared" si="133"/>
        <v>0</v>
      </c>
      <c r="AY170" s="78"/>
      <c r="AZ170" s="78">
        <f t="shared" si="134"/>
        <v>0</v>
      </c>
      <c r="BA170" s="78">
        <f t="shared" si="135"/>
        <v>0</v>
      </c>
      <c r="BB170" s="78">
        <f t="shared" si="136"/>
        <v>0</v>
      </c>
      <c r="BC170" s="78">
        <f t="shared" si="137"/>
        <v>0</v>
      </c>
      <c r="BD170" s="78">
        <f t="shared" si="138"/>
        <v>0</v>
      </c>
      <c r="BE170" s="78">
        <f t="shared" si="139"/>
        <v>0</v>
      </c>
      <c r="BF170" s="78">
        <f t="shared" si="140"/>
        <v>0</v>
      </c>
      <c r="BG170" s="78">
        <f t="shared" si="141"/>
        <v>0</v>
      </c>
      <c r="BH170" s="78">
        <f t="shared" si="142"/>
        <v>0</v>
      </c>
      <c r="BI170" s="78"/>
      <c r="BJ170" s="91">
        <f t="shared" si="143"/>
        <v>0</v>
      </c>
      <c r="BK170" s="91">
        <f t="shared" si="144"/>
        <v>0</v>
      </c>
      <c r="BL170" s="78"/>
      <c r="BM170" s="78">
        <f t="shared" si="145"/>
        <v>0</v>
      </c>
      <c r="BN170" s="78">
        <f t="shared" si="146"/>
        <v>0</v>
      </c>
      <c r="BO170" s="78">
        <f t="shared" si="147"/>
        <v>0</v>
      </c>
      <c r="BP170" s="78">
        <f t="shared" si="148"/>
        <v>0</v>
      </c>
      <c r="BQ170" s="78">
        <f t="shared" si="149"/>
        <v>0</v>
      </c>
      <c r="BR170" s="78">
        <f t="shared" si="150"/>
        <v>0</v>
      </c>
      <c r="BS170" s="78">
        <f t="shared" si="151"/>
        <v>0</v>
      </c>
      <c r="BT170" s="78">
        <f t="shared" si="152"/>
        <v>0</v>
      </c>
      <c r="BU170" s="91">
        <f t="shared" si="153"/>
        <v>0</v>
      </c>
      <c r="BV170" s="91">
        <f t="shared" si="154"/>
        <v>0</v>
      </c>
      <c r="BW170" s="78"/>
      <c r="BX170" s="78"/>
      <c r="BY170" s="78">
        <f t="shared" si="155"/>
        <v>0</v>
      </c>
      <c r="BZ170" s="78">
        <f t="shared" si="156"/>
        <v>0</v>
      </c>
      <c r="CA170" s="78">
        <f t="shared" si="157"/>
        <v>0</v>
      </c>
      <c r="CB170" s="78">
        <f t="shared" si="158"/>
        <v>0</v>
      </c>
      <c r="CC170" s="78">
        <f t="shared" si="159"/>
        <v>0</v>
      </c>
      <c r="CD170" s="78">
        <f t="shared" si="160"/>
        <v>0</v>
      </c>
      <c r="CE170" s="78">
        <f t="shared" si="161"/>
        <v>0</v>
      </c>
      <c r="CF170" s="78">
        <f t="shared" si="162"/>
        <v>0</v>
      </c>
      <c r="CG170" s="78"/>
      <c r="CH170" s="92">
        <f t="shared" si="163"/>
        <v>0</v>
      </c>
      <c r="CI170" s="93">
        <f t="shared" si="164"/>
        <v>0</v>
      </c>
      <c r="CJ170" s="94">
        <f t="shared" si="165"/>
        <v>0</v>
      </c>
      <c r="CL170" s="78">
        <f t="shared" si="166"/>
        <v>0</v>
      </c>
      <c r="CM170" s="78">
        <f t="shared" si="167"/>
        <v>0</v>
      </c>
      <c r="CN170" s="78">
        <f t="shared" si="168"/>
        <v>0</v>
      </c>
      <c r="CO170" s="78">
        <f t="shared" si="169"/>
        <v>0</v>
      </c>
    </row>
    <row r="171" spans="1:93" ht="13.5" thickBot="1">
      <c r="A171" s="95"/>
      <c r="B171" s="96"/>
      <c r="C171" s="97"/>
      <c r="D171" s="98"/>
      <c r="E171" s="99"/>
      <c r="F171" s="100"/>
      <c r="G171" s="100"/>
      <c r="H171" s="100"/>
      <c r="I171" s="100"/>
      <c r="J171" s="100"/>
      <c r="K171" s="101" t="str">
        <f t="shared" si="170"/>
        <v/>
      </c>
      <c r="L171" s="102"/>
      <c r="M171" s="103"/>
      <c r="N171" s="104"/>
      <c r="O171" s="105"/>
      <c r="P171" s="106">
        <f t="shared" si="171"/>
        <v>0</v>
      </c>
      <c r="Q171" s="106">
        <f t="shared" si="172"/>
        <v>0</v>
      </c>
      <c r="R171" s="106">
        <f t="shared" si="173"/>
        <v>0</v>
      </c>
      <c r="S171" s="106">
        <f t="shared" si="174"/>
        <v>0</v>
      </c>
      <c r="T171" s="107">
        <f t="shared" si="175"/>
        <v>0</v>
      </c>
      <c r="U171" s="78"/>
      <c r="AG171" s="108"/>
      <c r="AI171" s="78">
        <f t="shared" si="119"/>
        <v>0</v>
      </c>
      <c r="AJ171" s="78">
        <f t="shared" si="120"/>
        <v>0</v>
      </c>
      <c r="AK171" s="78">
        <f t="shared" si="121"/>
        <v>0</v>
      </c>
      <c r="AL171" s="78">
        <f t="shared" si="122"/>
        <v>0</v>
      </c>
      <c r="AM171" s="78">
        <f t="shared" si="123"/>
        <v>0</v>
      </c>
      <c r="AN171" s="78">
        <f t="shared" si="124"/>
        <v>0</v>
      </c>
      <c r="AO171" s="78">
        <f t="shared" si="125"/>
        <v>0</v>
      </c>
      <c r="AP171" s="78">
        <f t="shared" si="126"/>
        <v>0</v>
      </c>
      <c r="AQ171" s="78">
        <f t="shared" si="127"/>
        <v>0</v>
      </c>
      <c r="AR171" s="78">
        <f t="shared" si="128"/>
        <v>0</v>
      </c>
      <c r="AS171" s="90">
        <f t="shared" si="129"/>
        <v>0</v>
      </c>
      <c r="AT171" s="91">
        <f t="shared" si="130"/>
        <v>0</v>
      </c>
      <c r="AV171" s="91">
        <f t="shared" si="131"/>
        <v>0</v>
      </c>
      <c r="AW171" s="78">
        <f t="shared" si="132"/>
        <v>0</v>
      </c>
      <c r="AX171" s="78">
        <f t="shared" si="133"/>
        <v>0</v>
      </c>
      <c r="AY171" s="78"/>
      <c r="AZ171" s="78">
        <f t="shared" si="134"/>
        <v>0</v>
      </c>
      <c r="BA171" s="78">
        <f t="shared" si="135"/>
        <v>0</v>
      </c>
      <c r="BB171" s="78">
        <f t="shared" si="136"/>
        <v>0</v>
      </c>
      <c r="BC171" s="78">
        <f t="shared" si="137"/>
        <v>0</v>
      </c>
      <c r="BD171" s="78">
        <f t="shared" si="138"/>
        <v>0</v>
      </c>
      <c r="BE171" s="78">
        <f t="shared" si="139"/>
        <v>0</v>
      </c>
      <c r="BF171" s="78">
        <f t="shared" si="140"/>
        <v>0</v>
      </c>
      <c r="BG171" s="78">
        <f t="shared" si="141"/>
        <v>0</v>
      </c>
      <c r="BH171" s="78">
        <f t="shared" si="142"/>
        <v>0</v>
      </c>
      <c r="BI171" s="78"/>
      <c r="BJ171" s="91">
        <f t="shared" si="143"/>
        <v>0</v>
      </c>
      <c r="BK171" s="91">
        <f t="shared" si="144"/>
        <v>0</v>
      </c>
      <c r="BL171" s="78"/>
      <c r="BM171" s="78">
        <f t="shared" si="145"/>
        <v>0</v>
      </c>
      <c r="BN171" s="78">
        <f t="shared" si="146"/>
        <v>0</v>
      </c>
      <c r="BO171" s="78">
        <f t="shared" si="147"/>
        <v>0</v>
      </c>
      <c r="BP171" s="78">
        <f t="shared" si="148"/>
        <v>0</v>
      </c>
      <c r="BQ171" s="78">
        <f t="shared" si="149"/>
        <v>0</v>
      </c>
      <c r="BR171" s="78">
        <f t="shared" si="150"/>
        <v>0</v>
      </c>
      <c r="BS171" s="78">
        <f t="shared" si="151"/>
        <v>0</v>
      </c>
      <c r="BT171" s="78">
        <f t="shared" si="152"/>
        <v>0</v>
      </c>
      <c r="BU171" s="91">
        <f t="shared" si="153"/>
        <v>0</v>
      </c>
      <c r="BV171" s="91">
        <f t="shared" si="154"/>
        <v>0</v>
      </c>
      <c r="BW171" s="78"/>
      <c r="BX171" s="78"/>
      <c r="BY171" s="78">
        <f t="shared" si="155"/>
        <v>0</v>
      </c>
      <c r="BZ171" s="78">
        <f t="shared" si="156"/>
        <v>0</v>
      </c>
      <c r="CA171" s="78">
        <f t="shared" si="157"/>
        <v>0</v>
      </c>
      <c r="CB171" s="78">
        <f t="shared" si="158"/>
        <v>0</v>
      </c>
      <c r="CC171" s="78">
        <f t="shared" si="159"/>
        <v>0</v>
      </c>
      <c r="CD171" s="78">
        <f t="shared" si="160"/>
        <v>0</v>
      </c>
      <c r="CE171" s="78">
        <f t="shared" si="161"/>
        <v>0</v>
      </c>
      <c r="CF171" s="78">
        <f t="shared" si="162"/>
        <v>0</v>
      </c>
      <c r="CG171" s="78"/>
      <c r="CH171" s="92">
        <f t="shared" si="163"/>
        <v>0</v>
      </c>
      <c r="CI171" s="93">
        <f t="shared" si="164"/>
        <v>0</v>
      </c>
      <c r="CJ171" s="94">
        <f t="shared" si="165"/>
        <v>0</v>
      </c>
      <c r="CL171" s="78">
        <f t="shared" si="166"/>
        <v>0</v>
      </c>
      <c r="CM171" s="78">
        <f t="shared" si="167"/>
        <v>0</v>
      </c>
      <c r="CN171" s="78">
        <f t="shared" si="168"/>
        <v>0</v>
      </c>
      <c r="CO171" s="78">
        <f t="shared" si="169"/>
        <v>0</v>
      </c>
    </row>
    <row r="172" spans="1:93" ht="13.5" thickBot="1">
      <c r="A172" s="95"/>
      <c r="B172" s="96"/>
      <c r="C172" s="97"/>
      <c r="D172" s="98"/>
      <c r="E172" s="99"/>
      <c r="F172" s="100"/>
      <c r="G172" s="100"/>
      <c r="H172" s="100"/>
      <c r="I172" s="100"/>
      <c r="J172" s="100"/>
      <c r="K172" s="101" t="str">
        <f t="shared" si="170"/>
        <v/>
      </c>
      <c r="L172" s="102"/>
      <c r="M172" s="103"/>
      <c r="N172" s="104"/>
      <c r="O172" s="105"/>
      <c r="P172" s="106">
        <f t="shared" si="171"/>
        <v>0</v>
      </c>
      <c r="Q172" s="106">
        <f t="shared" si="172"/>
        <v>0</v>
      </c>
      <c r="R172" s="106">
        <f t="shared" si="173"/>
        <v>0</v>
      </c>
      <c r="S172" s="106">
        <f t="shared" si="174"/>
        <v>0</v>
      </c>
      <c r="T172" s="107">
        <f t="shared" si="175"/>
        <v>0</v>
      </c>
      <c r="U172" s="78"/>
      <c r="AG172" s="108"/>
      <c r="AI172" s="78">
        <f t="shared" si="119"/>
        <v>0</v>
      </c>
      <c r="AJ172" s="78">
        <f t="shared" si="120"/>
        <v>0</v>
      </c>
      <c r="AK172" s="78">
        <f t="shared" si="121"/>
        <v>0</v>
      </c>
      <c r="AL172" s="78">
        <f t="shared" si="122"/>
        <v>0</v>
      </c>
      <c r="AM172" s="78">
        <f t="shared" si="123"/>
        <v>0</v>
      </c>
      <c r="AN172" s="78">
        <f t="shared" si="124"/>
        <v>0</v>
      </c>
      <c r="AO172" s="78">
        <f t="shared" si="125"/>
        <v>0</v>
      </c>
      <c r="AP172" s="78">
        <f t="shared" si="126"/>
        <v>0</v>
      </c>
      <c r="AQ172" s="78">
        <f t="shared" si="127"/>
        <v>0</v>
      </c>
      <c r="AR172" s="78">
        <f t="shared" si="128"/>
        <v>0</v>
      </c>
      <c r="AS172" s="90">
        <f t="shared" si="129"/>
        <v>0</v>
      </c>
      <c r="AT172" s="91">
        <f t="shared" si="130"/>
        <v>0</v>
      </c>
      <c r="AV172" s="91">
        <f t="shared" si="131"/>
        <v>0</v>
      </c>
      <c r="AW172" s="78">
        <f t="shared" si="132"/>
        <v>0</v>
      </c>
      <c r="AX172" s="78">
        <f t="shared" si="133"/>
        <v>0</v>
      </c>
      <c r="AY172" s="78"/>
      <c r="AZ172" s="78">
        <f t="shared" si="134"/>
        <v>0</v>
      </c>
      <c r="BA172" s="78">
        <f t="shared" si="135"/>
        <v>0</v>
      </c>
      <c r="BB172" s="78">
        <f t="shared" si="136"/>
        <v>0</v>
      </c>
      <c r="BC172" s="78">
        <f t="shared" si="137"/>
        <v>0</v>
      </c>
      <c r="BD172" s="78">
        <f t="shared" si="138"/>
        <v>0</v>
      </c>
      <c r="BE172" s="78">
        <f t="shared" si="139"/>
        <v>0</v>
      </c>
      <c r="BF172" s="78">
        <f t="shared" si="140"/>
        <v>0</v>
      </c>
      <c r="BG172" s="78">
        <f t="shared" si="141"/>
        <v>0</v>
      </c>
      <c r="BH172" s="78">
        <f t="shared" si="142"/>
        <v>0</v>
      </c>
      <c r="BI172" s="78"/>
      <c r="BJ172" s="91">
        <f t="shared" si="143"/>
        <v>0</v>
      </c>
      <c r="BK172" s="91">
        <f t="shared" si="144"/>
        <v>0</v>
      </c>
      <c r="BL172" s="78"/>
      <c r="BM172" s="78">
        <f t="shared" si="145"/>
        <v>0</v>
      </c>
      <c r="BN172" s="78">
        <f t="shared" si="146"/>
        <v>0</v>
      </c>
      <c r="BO172" s="78">
        <f t="shared" si="147"/>
        <v>0</v>
      </c>
      <c r="BP172" s="78">
        <f t="shared" si="148"/>
        <v>0</v>
      </c>
      <c r="BQ172" s="78">
        <f t="shared" si="149"/>
        <v>0</v>
      </c>
      <c r="BR172" s="78">
        <f t="shared" si="150"/>
        <v>0</v>
      </c>
      <c r="BS172" s="78">
        <f t="shared" si="151"/>
        <v>0</v>
      </c>
      <c r="BT172" s="78">
        <f t="shared" si="152"/>
        <v>0</v>
      </c>
      <c r="BU172" s="91">
        <f t="shared" si="153"/>
        <v>0</v>
      </c>
      <c r="BV172" s="91">
        <f t="shared" si="154"/>
        <v>0</v>
      </c>
      <c r="BW172" s="78"/>
      <c r="BX172" s="78"/>
      <c r="BY172" s="78">
        <f t="shared" si="155"/>
        <v>0</v>
      </c>
      <c r="BZ172" s="78">
        <f t="shared" si="156"/>
        <v>0</v>
      </c>
      <c r="CA172" s="78">
        <f t="shared" si="157"/>
        <v>0</v>
      </c>
      <c r="CB172" s="78">
        <f t="shared" si="158"/>
        <v>0</v>
      </c>
      <c r="CC172" s="78">
        <f t="shared" si="159"/>
        <v>0</v>
      </c>
      <c r="CD172" s="78">
        <f t="shared" si="160"/>
        <v>0</v>
      </c>
      <c r="CE172" s="78">
        <f t="shared" si="161"/>
        <v>0</v>
      </c>
      <c r="CF172" s="78">
        <f t="shared" si="162"/>
        <v>0</v>
      </c>
      <c r="CG172" s="78"/>
      <c r="CH172" s="92">
        <f t="shared" si="163"/>
        <v>0</v>
      </c>
      <c r="CI172" s="93">
        <f t="shared" si="164"/>
        <v>0</v>
      </c>
      <c r="CJ172" s="94">
        <f t="shared" si="165"/>
        <v>0</v>
      </c>
      <c r="CL172" s="78">
        <f t="shared" si="166"/>
        <v>0</v>
      </c>
      <c r="CM172" s="78">
        <f t="shared" si="167"/>
        <v>0</v>
      </c>
      <c r="CN172" s="78">
        <f t="shared" si="168"/>
        <v>0</v>
      </c>
      <c r="CO172" s="78">
        <f t="shared" si="169"/>
        <v>0</v>
      </c>
    </row>
    <row r="173" spans="1:93" ht="13.5" thickBot="1">
      <c r="A173" s="95"/>
      <c r="B173" s="96"/>
      <c r="C173" s="97"/>
      <c r="D173" s="98"/>
      <c r="E173" s="99"/>
      <c r="F173" s="100"/>
      <c r="G173" s="100"/>
      <c r="H173" s="100"/>
      <c r="I173" s="100"/>
      <c r="J173" s="100"/>
      <c r="K173" s="101" t="str">
        <f t="shared" si="170"/>
        <v/>
      </c>
      <c r="L173" s="102"/>
      <c r="M173" s="103"/>
      <c r="N173" s="104"/>
      <c r="O173" s="105"/>
      <c r="P173" s="106">
        <f t="shared" si="171"/>
        <v>0</v>
      </c>
      <c r="Q173" s="106">
        <f t="shared" si="172"/>
        <v>0</v>
      </c>
      <c r="R173" s="106">
        <f t="shared" si="173"/>
        <v>0</v>
      </c>
      <c r="S173" s="106">
        <f t="shared" si="174"/>
        <v>0</v>
      </c>
      <c r="T173" s="107">
        <f t="shared" si="175"/>
        <v>0</v>
      </c>
      <c r="U173" s="78"/>
      <c r="AG173" s="108"/>
      <c r="AI173" s="78">
        <f t="shared" si="119"/>
        <v>0</v>
      </c>
      <c r="AJ173" s="78">
        <f t="shared" si="120"/>
        <v>0</v>
      </c>
      <c r="AK173" s="78">
        <f t="shared" si="121"/>
        <v>0</v>
      </c>
      <c r="AL173" s="78">
        <f t="shared" si="122"/>
        <v>0</v>
      </c>
      <c r="AM173" s="78">
        <f t="shared" si="123"/>
        <v>0</v>
      </c>
      <c r="AN173" s="78">
        <f t="shared" si="124"/>
        <v>0</v>
      </c>
      <c r="AO173" s="78">
        <f t="shared" si="125"/>
        <v>0</v>
      </c>
      <c r="AP173" s="78">
        <f t="shared" si="126"/>
        <v>0</v>
      </c>
      <c r="AQ173" s="78">
        <f t="shared" si="127"/>
        <v>0</v>
      </c>
      <c r="AR173" s="78">
        <f t="shared" si="128"/>
        <v>0</v>
      </c>
      <c r="AS173" s="90">
        <f t="shared" si="129"/>
        <v>0</v>
      </c>
      <c r="AT173" s="91">
        <f t="shared" si="130"/>
        <v>0</v>
      </c>
      <c r="AV173" s="91">
        <f t="shared" si="131"/>
        <v>0</v>
      </c>
      <c r="AW173" s="78">
        <f t="shared" si="132"/>
        <v>0</v>
      </c>
      <c r="AX173" s="78">
        <f t="shared" si="133"/>
        <v>0</v>
      </c>
      <c r="AY173" s="78"/>
      <c r="AZ173" s="78">
        <f t="shared" si="134"/>
        <v>0</v>
      </c>
      <c r="BA173" s="78">
        <f t="shared" si="135"/>
        <v>0</v>
      </c>
      <c r="BB173" s="78">
        <f t="shared" si="136"/>
        <v>0</v>
      </c>
      <c r="BC173" s="78">
        <f t="shared" si="137"/>
        <v>0</v>
      </c>
      <c r="BD173" s="78">
        <f t="shared" si="138"/>
        <v>0</v>
      </c>
      <c r="BE173" s="78">
        <f t="shared" si="139"/>
        <v>0</v>
      </c>
      <c r="BF173" s="78">
        <f t="shared" si="140"/>
        <v>0</v>
      </c>
      <c r="BG173" s="78">
        <f t="shared" si="141"/>
        <v>0</v>
      </c>
      <c r="BH173" s="78">
        <f t="shared" si="142"/>
        <v>0</v>
      </c>
      <c r="BI173" s="78"/>
      <c r="BJ173" s="91">
        <f t="shared" si="143"/>
        <v>0</v>
      </c>
      <c r="BK173" s="91">
        <f t="shared" si="144"/>
        <v>0</v>
      </c>
      <c r="BL173" s="78"/>
      <c r="BM173" s="78">
        <f t="shared" si="145"/>
        <v>0</v>
      </c>
      <c r="BN173" s="78">
        <f t="shared" si="146"/>
        <v>0</v>
      </c>
      <c r="BO173" s="78">
        <f t="shared" si="147"/>
        <v>0</v>
      </c>
      <c r="BP173" s="78">
        <f t="shared" si="148"/>
        <v>0</v>
      </c>
      <c r="BQ173" s="78">
        <f t="shared" si="149"/>
        <v>0</v>
      </c>
      <c r="BR173" s="78">
        <f t="shared" si="150"/>
        <v>0</v>
      </c>
      <c r="BS173" s="78">
        <f t="shared" si="151"/>
        <v>0</v>
      </c>
      <c r="BT173" s="78">
        <f t="shared" si="152"/>
        <v>0</v>
      </c>
      <c r="BU173" s="91">
        <f t="shared" si="153"/>
        <v>0</v>
      </c>
      <c r="BV173" s="91">
        <f t="shared" si="154"/>
        <v>0</v>
      </c>
      <c r="BW173" s="78"/>
      <c r="BX173" s="78"/>
      <c r="BY173" s="78">
        <f t="shared" si="155"/>
        <v>0</v>
      </c>
      <c r="BZ173" s="78">
        <f t="shared" si="156"/>
        <v>0</v>
      </c>
      <c r="CA173" s="78">
        <f t="shared" si="157"/>
        <v>0</v>
      </c>
      <c r="CB173" s="78">
        <f t="shared" si="158"/>
        <v>0</v>
      </c>
      <c r="CC173" s="78">
        <f t="shared" si="159"/>
        <v>0</v>
      </c>
      <c r="CD173" s="78">
        <f t="shared" si="160"/>
        <v>0</v>
      </c>
      <c r="CE173" s="78">
        <f t="shared" si="161"/>
        <v>0</v>
      </c>
      <c r="CF173" s="78">
        <f t="shared" si="162"/>
        <v>0</v>
      </c>
      <c r="CG173" s="78"/>
      <c r="CH173" s="92">
        <f t="shared" si="163"/>
        <v>0</v>
      </c>
      <c r="CI173" s="93">
        <f t="shared" si="164"/>
        <v>0</v>
      </c>
      <c r="CJ173" s="94">
        <f t="shared" si="165"/>
        <v>0</v>
      </c>
      <c r="CL173" s="78">
        <f t="shared" si="166"/>
        <v>0</v>
      </c>
      <c r="CM173" s="78">
        <f t="shared" si="167"/>
        <v>0</v>
      </c>
      <c r="CN173" s="78">
        <f t="shared" si="168"/>
        <v>0</v>
      </c>
      <c r="CO173" s="78">
        <f t="shared" si="169"/>
        <v>0</v>
      </c>
    </row>
    <row r="174" spans="1:93" ht="13.5" thickBot="1">
      <c r="A174" s="95"/>
      <c r="B174" s="96"/>
      <c r="C174" s="97"/>
      <c r="D174" s="98"/>
      <c r="E174" s="99"/>
      <c r="F174" s="100"/>
      <c r="G174" s="100"/>
      <c r="H174" s="100"/>
      <c r="I174" s="100"/>
      <c r="J174" s="100"/>
      <c r="K174" s="101" t="str">
        <f t="shared" si="170"/>
        <v/>
      </c>
      <c r="L174" s="102"/>
      <c r="M174" s="103"/>
      <c r="N174" s="104"/>
      <c r="O174" s="105"/>
      <c r="P174" s="106">
        <f t="shared" si="171"/>
        <v>0</v>
      </c>
      <c r="Q174" s="106">
        <f t="shared" si="172"/>
        <v>0</v>
      </c>
      <c r="R174" s="106">
        <f t="shared" si="173"/>
        <v>0</v>
      </c>
      <c r="S174" s="106">
        <f t="shared" si="174"/>
        <v>0</v>
      </c>
      <c r="T174" s="107">
        <f t="shared" si="175"/>
        <v>0</v>
      </c>
      <c r="U174" s="78"/>
      <c r="AG174" s="108"/>
      <c r="AI174" s="78">
        <f t="shared" si="119"/>
        <v>0</v>
      </c>
      <c r="AJ174" s="78">
        <f t="shared" si="120"/>
        <v>0</v>
      </c>
      <c r="AK174" s="78">
        <f t="shared" si="121"/>
        <v>0</v>
      </c>
      <c r="AL174" s="78">
        <f t="shared" si="122"/>
        <v>0</v>
      </c>
      <c r="AM174" s="78">
        <f t="shared" si="123"/>
        <v>0</v>
      </c>
      <c r="AN174" s="78">
        <f t="shared" si="124"/>
        <v>0</v>
      </c>
      <c r="AO174" s="78">
        <f t="shared" si="125"/>
        <v>0</v>
      </c>
      <c r="AP174" s="78">
        <f t="shared" si="126"/>
        <v>0</v>
      </c>
      <c r="AQ174" s="78">
        <f t="shared" si="127"/>
        <v>0</v>
      </c>
      <c r="AR174" s="78">
        <f t="shared" si="128"/>
        <v>0</v>
      </c>
      <c r="AS174" s="90">
        <f t="shared" si="129"/>
        <v>0</v>
      </c>
      <c r="AT174" s="91">
        <f t="shared" si="130"/>
        <v>0</v>
      </c>
      <c r="AV174" s="91">
        <f t="shared" si="131"/>
        <v>0</v>
      </c>
      <c r="AW174" s="78">
        <f t="shared" si="132"/>
        <v>0</v>
      </c>
      <c r="AX174" s="78">
        <f t="shared" si="133"/>
        <v>0</v>
      </c>
      <c r="AY174" s="78"/>
      <c r="AZ174" s="78">
        <f t="shared" si="134"/>
        <v>0</v>
      </c>
      <c r="BA174" s="78">
        <f t="shared" si="135"/>
        <v>0</v>
      </c>
      <c r="BB174" s="78">
        <f t="shared" si="136"/>
        <v>0</v>
      </c>
      <c r="BC174" s="78">
        <f t="shared" si="137"/>
        <v>0</v>
      </c>
      <c r="BD174" s="78">
        <f t="shared" si="138"/>
        <v>0</v>
      </c>
      <c r="BE174" s="78">
        <f t="shared" si="139"/>
        <v>0</v>
      </c>
      <c r="BF174" s="78">
        <f t="shared" si="140"/>
        <v>0</v>
      </c>
      <c r="BG174" s="78">
        <f t="shared" si="141"/>
        <v>0</v>
      </c>
      <c r="BH174" s="78">
        <f t="shared" si="142"/>
        <v>0</v>
      </c>
      <c r="BI174" s="78"/>
      <c r="BJ174" s="91">
        <f t="shared" si="143"/>
        <v>0</v>
      </c>
      <c r="BK174" s="91">
        <f t="shared" si="144"/>
        <v>0</v>
      </c>
      <c r="BL174" s="78"/>
      <c r="BM174" s="78">
        <f t="shared" si="145"/>
        <v>0</v>
      </c>
      <c r="BN174" s="78">
        <f t="shared" si="146"/>
        <v>0</v>
      </c>
      <c r="BO174" s="78">
        <f t="shared" si="147"/>
        <v>0</v>
      </c>
      <c r="BP174" s="78">
        <f t="shared" si="148"/>
        <v>0</v>
      </c>
      <c r="BQ174" s="78">
        <f t="shared" si="149"/>
        <v>0</v>
      </c>
      <c r="BR174" s="78">
        <f t="shared" si="150"/>
        <v>0</v>
      </c>
      <c r="BS174" s="78">
        <f t="shared" si="151"/>
        <v>0</v>
      </c>
      <c r="BT174" s="78">
        <f t="shared" si="152"/>
        <v>0</v>
      </c>
      <c r="BU174" s="91">
        <f t="shared" si="153"/>
        <v>0</v>
      </c>
      <c r="BV174" s="91">
        <f t="shared" si="154"/>
        <v>0</v>
      </c>
      <c r="BW174" s="78"/>
      <c r="BX174" s="78"/>
      <c r="BY174" s="78">
        <f t="shared" si="155"/>
        <v>0</v>
      </c>
      <c r="BZ174" s="78">
        <f t="shared" si="156"/>
        <v>0</v>
      </c>
      <c r="CA174" s="78">
        <f t="shared" si="157"/>
        <v>0</v>
      </c>
      <c r="CB174" s="78">
        <f t="shared" si="158"/>
        <v>0</v>
      </c>
      <c r="CC174" s="78">
        <f t="shared" si="159"/>
        <v>0</v>
      </c>
      <c r="CD174" s="78">
        <f t="shared" si="160"/>
        <v>0</v>
      </c>
      <c r="CE174" s="78">
        <f t="shared" si="161"/>
        <v>0</v>
      </c>
      <c r="CF174" s="78">
        <f t="shared" si="162"/>
        <v>0</v>
      </c>
      <c r="CG174" s="78"/>
      <c r="CH174" s="92">
        <f t="shared" si="163"/>
        <v>0</v>
      </c>
      <c r="CI174" s="93">
        <f t="shared" si="164"/>
        <v>0</v>
      </c>
      <c r="CJ174" s="94">
        <f t="shared" si="165"/>
        <v>0</v>
      </c>
      <c r="CL174" s="78">
        <f t="shared" si="166"/>
        <v>0</v>
      </c>
      <c r="CM174" s="78">
        <f t="shared" si="167"/>
        <v>0</v>
      </c>
      <c r="CN174" s="78">
        <f t="shared" si="168"/>
        <v>0</v>
      </c>
      <c r="CO174" s="78">
        <f t="shared" si="169"/>
        <v>0</v>
      </c>
    </row>
    <row r="175" spans="1:93" ht="13.5" thickBot="1">
      <c r="A175" s="95"/>
      <c r="B175" s="96"/>
      <c r="C175" s="97"/>
      <c r="D175" s="98"/>
      <c r="E175" s="99"/>
      <c r="F175" s="100"/>
      <c r="G175" s="100"/>
      <c r="H175" s="100"/>
      <c r="I175" s="100"/>
      <c r="J175" s="100"/>
      <c r="K175" s="101" t="str">
        <f t="shared" si="170"/>
        <v/>
      </c>
      <c r="L175" s="102"/>
      <c r="M175" s="103"/>
      <c r="N175" s="104"/>
      <c r="O175" s="105"/>
      <c r="P175" s="106">
        <f t="shared" si="171"/>
        <v>0</v>
      </c>
      <c r="Q175" s="106">
        <f t="shared" si="172"/>
        <v>0</v>
      </c>
      <c r="R175" s="106">
        <f t="shared" si="173"/>
        <v>0</v>
      </c>
      <c r="S175" s="106">
        <f t="shared" si="174"/>
        <v>0</v>
      </c>
      <c r="T175" s="107">
        <f t="shared" si="175"/>
        <v>0</v>
      </c>
      <c r="U175" s="78"/>
      <c r="AG175" s="108"/>
      <c r="AI175" s="78">
        <f t="shared" si="119"/>
        <v>0</v>
      </c>
      <c r="AJ175" s="78">
        <f t="shared" si="120"/>
        <v>0</v>
      </c>
      <c r="AK175" s="78">
        <f t="shared" si="121"/>
        <v>0</v>
      </c>
      <c r="AL175" s="78">
        <f t="shared" si="122"/>
        <v>0</v>
      </c>
      <c r="AM175" s="78">
        <f t="shared" si="123"/>
        <v>0</v>
      </c>
      <c r="AN175" s="78">
        <f t="shared" si="124"/>
        <v>0</v>
      </c>
      <c r="AO175" s="78">
        <f t="shared" si="125"/>
        <v>0</v>
      </c>
      <c r="AP175" s="78">
        <f t="shared" si="126"/>
        <v>0</v>
      </c>
      <c r="AQ175" s="78">
        <f t="shared" si="127"/>
        <v>0</v>
      </c>
      <c r="AR175" s="78">
        <f t="shared" si="128"/>
        <v>0</v>
      </c>
      <c r="AS175" s="90">
        <f t="shared" si="129"/>
        <v>0</v>
      </c>
      <c r="AT175" s="91">
        <f t="shared" si="130"/>
        <v>0</v>
      </c>
      <c r="AV175" s="91">
        <f t="shared" si="131"/>
        <v>0</v>
      </c>
      <c r="AW175" s="78">
        <f t="shared" si="132"/>
        <v>0</v>
      </c>
      <c r="AX175" s="78">
        <f t="shared" si="133"/>
        <v>0</v>
      </c>
      <c r="AY175" s="78"/>
      <c r="AZ175" s="78">
        <f t="shared" si="134"/>
        <v>0</v>
      </c>
      <c r="BA175" s="78">
        <f t="shared" si="135"/>
        <v>0</v>
      </c>
      <c r="BB175" s="78">
        <f t="shared" si="136"/>
        <v>0</v>
      </c>
      <c r="BC175" s="78">
        <f t="shared" si="137"/>
        <v>0</v>
      </c>
      <c r="BD175" s="78">
        <f t="shared" si="138"/>
        <v>0</v>
      </c>
      <c r="BE175" s="78">
        <f t="shared" si="139"/>
        <v>0</v>
      </c>
      <c r="BF175" s="78">
        <f t="shared" si="140"/>
        <v>0</v>
      </c>
      <c r="BG175" s="78">
        <f t="shared" si="141"/>
        <v>0</v>
      </c>
      <c r="BH175" s="78">
        <f t="shared" si="142"/>
        <v>0</v>
      </c>
      <c r="BI175" s="78"/>
      <c r="BJ175" s="91">
        <f t="shared" si="143"/>
        <v>0</v>
      </c>
      <c r="BK175" s="91">
        <f t="shared" si="144"/>
        <v>0</v>
      </c>
      <c r="BL175" s="78"/>
      <c r="BM175" s="78">
        <f t="shared" si="145"/>
        <v>0</v>
      </c>
      <c r="BN175" s="78">
        <f t="shared" si="146"/>
        <v>0</v>
      </c>
      <c r="BO175" s="78">
        <f t="shared" si="147"/>
        <v>0</v>
      </c>
      <c r="BP175" s="78">
        <f t="shared" si="148"/>
        <v>0</v>
      </c>
      <c r="BQ175" s="78">
        <f t="shared" si="149"/>
        <v>0</v>
      </c>
      <c r="BR175" s="78">
        <f t="shared" si="150"/>
        <v>0</v>
      </c>
      <c r="BS175" s="78">
        <f t="shared" si="151"/>
        <v>0</v>
      </c>
      <c r="BT175" s="78">
        <f t="shared" si="152"/>
        <v>0</v>
      </c>
      <c r="BU175" s="91">
        <f t="shared" si="153"/>
        <v>0</v>
      </c>
      <c r="BV175" s="91">
        <f t="shared" si="154"/>
        <v>0</v>
      </c>
      <c r="BW175" s="78"/>
      <c r="BX175" s="78"/>
      <c r="BY175" s="78">
        <f t="shared" si="155"/>
        <v>0</v>
      </c>
      <c r="BZ175" s="78">
        <f t="shared" si="156"/>
        <v>0</v>
      </c>
      <c r="CA175" s="78">
        <f t="shared" si="157"/>
        <v>0</v>
      </c>
      <c r="CB175" s="78">
        <f t="shared" si="158"/>
        <v>0</v>
      </c>
      <c r="CC175" s="78">
        <f t="shared" si="159"/>
        <v>0</v>
      </c>
      <c r="CD175" s="78">
        <f t="shared" si="160"/>
        <v>0</v>
      </c>
      <c r="CE175" s="78">
        <f t="shared" si="161"/>
        <v>0</v>
      </c>
      <c r="CF175" s="78">
        <f t="shared" si="162"/>
        <v>0</v>
      </c>
      <c r="CG175" s="78"/>
      <c r="CH175" s="92">
        <f t="shared" si="163"/>
        <v>0</v>
      </c>
      <c r="CI175" s="93">
        <f t="shared" si="164"/>
        <v>0</v>
      </c>
      <c r="CJ175" s="94">
        <f t="shared" si="165"/>
        <v>0</v>
      </c>
      <c r="CL175" s="78">
        <f t="shared" si="166"/>
        <v>0</v>
      </c>
      <c r="CM175" s="78">
        <f t="shared" si="167"/>
        <v>0</v>
      </c>
      <c r="CN175" s="78">
        <f t="shared" si="168"/>
        <v>0</v>
      </c>
      <c r="CO175" s="78">
        <f t="shared" si="169"/>
        <v>0</v>
      </c>
    </row>
    <row r="176" spans="1:93" ht="13.5" thickBot="1">
      <c r="A176" s="95"/>
      <c r="B176" s="96"/>
      <c r="C176" s="97"/>
      <c r="D176" s="98"/>
      <c r="E176" s="99"/>
      <c r="F176" s="100"/>
      <c r="G176" s="100"/>
      <c r="H176" s="100"/>
      <c r="I176" s="100"/>
      <c r="J176" s="100"/>
      <c r="K176" s="101" t="str">
        <f t="shared" si="170"/>
        <v/>
      </c>
      <c r="L176" s="102"/>
      <c r="M176" s="103"/>
      <c r="N176" s="104"/>
      <c r="O176" s="105"/>
      <c r="P176" s="106">
        <f t="shared" si="171"/>
        <v>0</v>
      </c>
      <c r="Q176" s="106">
        <f t="shared" si="172"/>
        <v>0</v>
      </c>
      <c r="R176" s="106">
        <f t="shared" si="173"/>
        <v>0</v>
      </c>
      <c r="S176" s="106">
        <f t="shared" si="174"/>
        <v>0</v>
      </c>
      <c r="T176" s="107">
        <f t="shared" si="175"/>
        <v>0</v>
      </c>
      <c r="U176" s="78"/>
      <c r="AG176" s="108"/>
      <c r="AI176" s="78">
        <f t="shared" si="119"/>
        <v>0</v>
      </c>
      <c r="AJ176" s="78">
        <f t="shared" si="120"/>
        <v>0</v>
      </c>
      <c r="AK176" s="78">
        <f t="shared" si="121"/>
        <v>0</v>
      </c>
      <c r="AL176" s="78">
        <f t="shared" si="122"/>
        <v>0</v>
      </c>
      <c r="AM176" s="78">
        <f t="shared" si="123"/>
        <v>0</v>
      </c>
      <c r="AN176" s="78">
        <f t="shared" si="124"/>
        <v>0</v>
      </c>
      <c r="AO176" s="78">
        <f t="shared" si="125"/>
        <v>0</v>
      </c>
      <c r="AP176" s="78">
        <f t="shared" si="126"/>
        <v>0</v>
      </c>
      <c r="AQ176" s="78">
        <f t="shared" si="127"/>
        <v>0</v>
      </c>
      <c r="AR176" s="78">
        <f t="shared" si="128"/>
        <v>0</v>
      </c>
      <c r="AS176" s="90">
        <f t="shared" si="129"/>
        <v>0</v>
      </c>
      <c r="AT176" s="91">
        <f t="shared" si="130"/>
        <v>0</v>
      </c>
      <c r="AV176" s="91">
        <f t="shared" si="131"/>
        <v>0</v>
      </c>
      <c r="AW176" s="78">
        <f t="shared" si="132"/>
        <v>0</v>
      </c>
      <c r="AX176" s="78">
        <f t="shared" si="133"/>
        <v>0</v>
      </c>
      <c r="AY176" s="78"/>
      <c r="AZ176" s="78">
        <f t="shared" si="134"/>
        <v>0</v>
      </c>
      <c r="BA176" s="78">
        <f t="shared" si="135"/>
        <v>0</v>
      </c>
      <c r="BB176" s="78">
        <f t="shared" si="136"/>
        <v>0</v>
      </c>
      <c r="BC176" s="78">
        <f t="shared" si="137"/>
        <v>0</v>
      </c>
      <c r="BD176" s="78">
        <f t="shared" si="138"/>
        <v>0</v>
      </c>
      <c r="BE176" s="78">
        <f t="shared" si="139"/>
        <v>0</v>
      </c>
      <c r="BF176" s="78">
        <f t="shared" si="140"/>
        <v>0</v>
      </c>
      <c r="BG176" s="78">
        <f t="shared" si="141"/>
        <v>0</v>
      </c>
      <c r="BH176" s="78">
        <f t="shared" si="142"/>
        <v>0</v>
      </c>
      <c r="BI176" s="78"/>
      <c r="BJ176" s="91">
        <f t="shared" si="143"/>
        <v>0</v>
      </c>
      <c r="BK176" s="91">
        <f t="shared" si="144"/>
        <v>0</v>
      </c>
      <c r="BL176" s="78"/>
      <c r="BM176" s="78">
        <f t="shared" si="145"/>
        <v>0</v>
      </c>
      <c r="BN176" s="78">
        <f t="shared" si="146"/>
        <v>0</v>
      </c>
      <c r="BO176" s="78">
        <f t="shared" si="147"/>
        <v>0</v>
      </c>
      <c r="BP176" s="78">
        <f t="shared" si="148"/>
        <v>0</v>
      </c>
      <c r="BQ176" s="78">
        <f t="shared" si="149"/>
        <v>0</v>
      </c>
      <c r="BR176" s="78">
        <f t="shared" si="150"/>
        <v>0</v>
      </c>
      <c r="BS176" s="78">
        <f t="shared" si="151"/>
        <v>0</v>
      </c>
      <c r="BT176" s="78">
        <f t="shared" si="152"/>
        <v>0</v>
      </c>
      <c r="BU176" s="91">
        <f t="shared" si="153"/>
        <v>0</v>
      </c>
      <c r="BV176" s="91">
        <f t="shared" si="154"/>
        <v>0</v>
      </c>
      <c r="BW176" s="78"/>
      <c r="BX176" s="78"/>
      <c r="BY176" s="78">
        <f t="shared" si="155"/>
        <v>0</v>
      </c>
      <c r="BZ176" s="78">
        <f t="shared" si="156"/>
        <v>0</v>
      </c>
      <c r="CA176" s="78">
        <f t="shared" si="157"/>
        <v>0</v>
      </c>
      <c r="CB176" s="78">
        <f t="shared" si="158"/>
        <v>0</v>
      </c>
      <c r="CC176" s="78">
        <f t="shared" si="159"/>
        <v>0</v>
      </c>
      <c r="CD176" s="78">
        <f t="shared" si="160"/>
        <v>0</v>
      </c>
      <c r="CE176" s="78">
        <f t="shared" si="161"/>
        <v>0</v>
      </c>
      <c r="CF176" s="78">
        <f t="shared" si="162"/>
        <v>0</v>
      </c>
      <c r="CG176" s="78"/>
      <c r="CH176" s="92">
        <f t="shared" si="163"/>
        <v>0</v>
      </c>
      <c r="CI176" s="93">
        <f t="shared" si="164"/>
        <v>0</v>
      </c>
      <c r="CJ176" s="94">
        <f t="shared" si="165"/>
        <v>0</v>
      </c>
      <c r="CL176" s="78">
        <f t="shared" si="166"/>
        <v>0</v>
      </c>
      <c r="CM176" s="78">
        <f t="shared" si="167"/>
        <v>0</v>
      </c>
      <c r="CN176" s="78">
        <f t="shared" si="168"/>
        <v>0</v>
      </c>
      <c r="CO176" s="78">
        <f t="shared" si="169"/>
        <v>0</v>
      </c>
    </row>
    <row r="177" spans="1:93" ht="13.5" thickBot="1">
      <c r="A177" s="95"/>
      <c r="B177" s="96"/>
      <c r="C177" s="97"/>
      <c r="D177" s="98"/>
      <c r="E177" s="99"/>
      <c r="F177" s="100"/>
      <c r="G177" s="100"/>
      <c r="H177" s="100"/>
      <c r="I177" s="100"/>
      <c r="J177" s="100"/>
      <c r="K177" s="101" t="str">
        <f t="shared" si="170"/>
        <v/>
      </c>
      <c r="L177" s="102"/>
      <c r="M177" s="103"/>
      <c r="N177" s="104"/>
      <c r="O177" s="105"/>
      <c r="P177" s="106">
        <f t="shared" si="171"/>
        <v>0</v>
      </c>
      <c r="Q177" s="106">
        <f t="shared" si="172"/>
        <v>0</v>
      </c>
      <c r="R177" s="106">
        <f t="shared" si="173"/>
        <v>0</v>
      </c>
      <c r="S177" s="106">
        <f t="shared" si="174"/>
        <v>0</v>
      </c>
      <c r="T177" s="107">
        <f t="shared" si="175"/>
        <v>0</v>
      </c>
      <c r="U177" s="78"/>
      <c r="AG177" s="108"/>
      <c r="AI177" s="78">
        <f t="shared" si="119"/>
        <v>0</v>
      </c>
      <c r="AJ177" s="78">
        <f t="shared" si="120"/>
        <v>0</v>
      </c>
      <c r="AK177" s="78">
        <f t="shared" si="121"/>
        <v>0</v>
      </c>
      <c r="AL177" s="78">
        <f t="shared" si="122"/>
        <v>0</v>
      </c>
      <c r="AM177" s="78">
        <f t="shared" si="123"/>
        <v>0</v>
      </c>
      <c r="AN177" s="78">
        <f t="shared" si="124"/>
        <v>0</v>
      </c>
      <c r="AO177" s="78">
        <f t="shared" si="125"/>
        <v>0</v>
      </c>
      <c r="AP177" s="78">
        <f t="shared" si="126"/>
        <v>0</v>
      </c>
      <c r="AQ177" s="78">
        <f t="shared" si="127"/>
        <v>0</v>
      </c>
      <c r="AR177" s="78">
        <f t="shared" si="128"/>
        <v>0</v>
      </c>
      <c r="AS177" s="90">
        <f t="shared" si="129"/>
        <v>0</v>
      </c>
      <c r="AT177" s="91">
        <f t="shared" si="130"/>
        <v>0</v>
      </c>
      <c r="AV177" s="91">
        <f t="shared" si="131"/>
        <v>0</v>
      </c>
      <c r="AW177" s="78">
        <f t="shared" si="132"/>
        <v>0</v>
      </c>
      <c r="AX177" s="78">
        <f t="shared" si="133"/>
        <v>0</v>
      </c>
      <c r="AY177" s="78"/>
      <c r="AZ177" s="78">
        <f t="shared" si="134"/>
        <v>0</v>
      </c>
      <c r="BA177" s="78">
        <f t="shared" si="135"/>
        <v>0</v>
      </c>
      <c r="BB177" s="78">
        <f t="shared" si="136"/>
        <v>0</v>
      </c>
      <c r="BC177" s="78">
        <f t="shared" si="137"/>
        <v>0</v>
      </c>
      <c r="BD177" s="78">
        <f t="shared" si="138"/>
        <v>0</v>
      </c>
      <c r="BE177" s="78">
        <f t="shared" si="139"/>
        <v>0</v>
      </c>
      <c r="BF177" s="78">
        <f t="shared" si="140"/>
        <v>0</v>
      </c>
      <c r="BG177" s="78">
        <f t="shared" si="141"/>
        <v>0</v>
      </c>
      <c r="BH177" s="78">
        <f t="shared" si="142"/>
        <v>0</v>
      </c>
      <c r="BI177" s="78"/>
      <c r="BJ177" s="91">
        <f t="shared" si="143"/>
        <v>0</v>
      </c>
      <c r="BK177" s="91">
        <f t="shared" si="144"/>
        <v>0</v>
      </c>
      <c r="BL177" s="78"/>
      <c r="BM177" s="78">
        <f t="shared" si="145"/>
        <v>0</v>
      </c>
      <c r="BN177" s="78">
        <f t="shared" si="146"/>
        <v>0</v>
      </c>
      <c r="BO177" s="78">
        <f t="shared" si="147"/>
        <v>0</v>
      </c>
      <c r="BP177" s="78">
        <f t="shared" si="148"/>
        <v>0</v>
      </c>
      <c r="BQ177" s="78">
        <f t="shared" si="149"/>
        <v>0</v>
      </c>
      <c r="BR177" s="78">
        <f t="shared" si="150"/>
        <v>0</v>
      </c>
      <c r="BS177" s="78">
        <f t="shared" si="151"/>
        <v>0</v>
      </c>
      <c r="BT177" s="78">
        <f t="shared" si="152"/>
        <v>0</v>
      </c>
      <c r="BU177" s="91">
        <f t="shared" si="153"/>
        <v>0</v>
      </c>
      <c r="BV177" s="91">
        <f t="shared" si="154"/>
        <v>0</v>
      </c>
      <c r="BW177" s="78"/>
      <c r="BX177" s="78"/>
      <c r="BY177" s="78">
        <f t="shared" si="155"/>
        <v>0</v>
      </c>
      <c r="BZ177" s="78">
        <f t="shared" si="156"/>
        <v>0</v>
      </c>
      <c r="CA177" s="78">
        <f t="shared" si="157"/>
        <v>0</v>
      </c>
      <c r="CB177" s="78">
        <f t="shared" si="158"/>
        <v>0</v>
      </c>
      <c r="CC177" s="78">
        <f t="shared" si="159"/>
        <v>0</v>
      </c>
      <c r="CD177" s="78">
        <f t="shared" si="160"/>
        <v>0</v>
      </c>
      <c r="CE177" s="78">
        <f t="shared" si="161"/>
        <v>0</v>
      </c>
      <c r="CF177" s="78">
        <f t="shared" si="162"/>
        <v>0</v>
      </c>
      <c r="CG177" s="78"/>
      <c r="CH177" s="92">
        <f t="shared" si="163"/>
        <v>0</v>
      </c>
      <c r="CI177" s="93">
        <f t="shared" si="164"/>
        <v>0</v>
      </c>
      <c r="CJ177" s="94">
        <f t="shared" si="165"/>
        <v>0</v>
      </c>
      <c r="CL177" s="78">
        <f t="shared" si="166"/>
        <v>0</v>
      </c>
      <c r="CM177" s="78">
        <f t="shared" si="167"/>
        <v>0</v>
      </c>
      <c r="CN177" s="78">
        <f t="shared" si="168"/>
        <v>0</v>
      </c>
      <c r="CO177" s="78">
        <f t="shared" si="169"/>
        <v>0</v>
      </c>
    </row>
    <row r="178" spans="1:93" ht="13.5" thickBot="1">
      <c r="A178" s="95"/>
      <c r="B178" s="96"/>
      <c r="C178" s="97"/>
      <c r="D178" s="98"/>
      <c r="E178" s="99"/>
      <c r="F178" s="100"/>
      <c r="G178" s="100"/>
      <c r="H178" s="100"/>
      <c r="I178" s="100"/>
      <c r="J178" s="100"/>
      <c r="K178" s="101" t="str">
        <f t="shared" si="170"/>
        <v/>
      </c>
      <c r="L178" s="102"/>
      <c r="M178" s="103"/>
      <c r="N178" s="104"/>
      <c r="O178" s="105"/>
      <c r="P178" s="106">
        <f t="shared" si="171"/>
        <v>0</v>
      </c>
      <c r="Q178" s="106">
        <f t="shared" si="172"/>
        <v>0</v>
      </c>
      <c r="R178" s="106">
        <f t="shared" si="173"/>
        <v>0</v>
      </c>
      <c r="S178" s="106">
        <f t="shared" si="174"/>
        <v>0</v>
      </c>
      <c r="T178" s="107">
        <f t="shared" si="175"/>
        <v>0</v>
      </c>
      <c r="U178" s="78"/>
      <c r="AG178" s="108"/>
      <c r="AI178" s="78">
        <f t="shared" si="119"/>
        <v>0</v>
      </c>
      <c r="AJ178" s="78">
        <f t="shared" si="120"/>
        <v>0</v>
      </c>
      <c r="AK178" s="78">
        <f t="shared" si="121"/>
        <v>0</v>
      </c>
      <c r="AL178" s="78">
        <f t="shared" si="122"/>
        <v>0</v>
      </c>
      <c r="AM178" s="78">
        <f t="shared" si="123"/>
        <v>0</v>
      </c>
      <c r="AN178" s="78">
        <f t="shared" si="124"/>
        <v>0</v>
      </c>
      <c r="AO178" s="78">
        <f t="shared" si="125"/>
        <v>0</v>
      </c>
      <c r="AP178" s="78">
        <f t="shared" si="126"/>
        <v>0</v>
      </c>
      <c r="AQ178" s="78">
        <f t="shared" si="127"/>
        <v>0</v>
      </c>
      <c r="AR178" s="78">
        <f t="shared" si="128"/>
        <v>0</v>
      </c>
      <c r="AS178" s="90">
        <f t="shared" si="129"/>
        <v>0</v>
      </c>
      <c r="AT178" s="91">
        <f t="shared" si="130"/>
        <v>0</v>
      </c>
      <c r="AV178" s="91">
        <f t="shared" si="131"/>
        <v>0</v>
      </c>
      <c r="AW178" s="78">
        <f t="shared" si="132"/>
        <v>0</v>
      </c>
      <c r="AX178" s="78">
        <f t="shared" si="133"/>
        <v>0</v>
      </c>
      <c r="AY178" s="78"/>
      <c r="AZ178" s="78">
        <f t="shared" si="134"/>
        <v>0</v>
      </c>
      <c r="BA178" s="78">
        <f t="shared" si="135"/>
        <v>0</v>
      </c>
      <c r="BB178" s="78">
        <f t="shared" si="136"/>
        <v>0</v>
      </c>
      <c r="BC178" s="78">
        <f t="shared" si="137"/>
        <v>0</v>
      </c>
      <c r="BD178" s="78">
        <f t="shared" si="138"/>
        <v>0</v>
      </c>
      <c r="BE178" s="78">
        <f t="shared" si="139"/>
        <v>0</v>
      </c>
      <c r="BF178" s="78">
        <f t="shared" si="140"/>
        <v>0</v>
      </c>
      <c r="BG178" s="78">
        <f t="shared" si="141"/>
        <v>0</v>
      </c>
      <c r="BH178" s="78">
        <f t="shared" si="142"/>
        <v>0</v>
      </c>
      <c r="BI178" s="78"/>
      <c r="BJ178" s="91">
        <f t="shared" si="143"/>
        <v>0</v>
      </c>
      <c r="BK178" s="91">
        <f t="shared" si="144"/>
        <v>0</v>
      </c>
      <c r="BL178" s="78"/>
      <c r="BM178" s="78">
        <f t="shared" si="145"/>
        <v>0</v>
      </c>
      <c r="BN178" s="78">
        <f t="shared" si="146"/>
        <v>0</v>
      </c>
      <c r="BO178" s="78">
        <f t="shared" si="147"/>
        <v>0</v>
      </c>
      <c r="BP178" s="78">
        <f t="shared" si="148"/>
        <v>0</v>
      </c>
      <c r="BQ178" s="78">
        <f t="shared" si="149"/>
        <v>0</v>
      </c>
      <c r="BR178" s="78">
        <f t="shared" si="150"/>
        <v>0</v>
      </c>
      <c r="BS178" s="78">
        <f t="shared" si="151"/>
        <v>0</v>
      </c>
      <c r="BT178" s="78">
        <f t="shared" si="152"/>
        <v>0</v>
      </c>
      <c r="BU178" s="91">
        <f t="shared" si="153"/>
        <v>0</v>
      </c>
      <c r="BV178" s="91">
        <f t="shared" si="154"/>
        <v>0</v>
      </c>
      <c r="BW178" s="78"/>
      <c r="BX178" s="78"/>
      <c r="BY178" s="78">
        <f t="shared" si="155"/>
        <v>0</v>
      </c>
      <c r="BZ178" s="78">
        <f t="shared" si="156"/>
        <v>0</v>
      </c>
      <c r="CA178" s="78">
        <f t="shared" si="157"/>
        <v>0</v>
      </c>
      <c r="CB178" s="78">
        <f t="shared" si="158"/>
        <v>0</v>
      </c>
      <c r="CC178" s="78">
        <f t="shared" si="159"/>
        <v>0</v>
      </c>
      <c r="CD178" s="78">
        <f t="shared" si="160"/>
        <v>0</v>
      </c>
      <c r="CE178" s="78">
        <f t="shared" si="161"/>
        <v>0</v>
      </c>
      <c r="CF178" s="78">
        <f t="shared" si="162"/>
        <v>0</v>
      </c>
      <c r="CG178" s="78"/>
      <c r="CH178" s="92">
        <f t="shared" si="163"/>
        <v>0</v>
      </c>
      <c r="CI178" s="93">
        <f t="shared" si="164"/>
        <v>0</v>
      </c>
      <c r="CJ178" s="94">
        <f t="shared" si="165"/>
        <v>0</v>
      </c>
      <c r="CL178" s="78">
        <f t="shared" si="166"/>
        <v>0</v>
      </c>
      <c r="CM178" s="78">
        <f t="shared" si="167"/>
        <v>0</v>
      </c>
      <c r="CN178" s="78">
        <f t="shared" si="168"/>
        <v>0</v>
      </c>
      <c r="CO178" s="78">
        <f t="shared" si="169"/>
        <v>0</v>
      </c>
    </row>
    <row r="179" spans="1:93" ht="13.5" thickBot="1">
      <c r="A179" s="95"/>
      <c r="B179" s="96"/>
      <c r="C179" s="97"/>
      <c r="D179" s="98"/>
      <c r="E179" s="99"/>
      <c r="F179" s="100"/>
      <c r="G179" s="100"/>
      <c r="H179" s="100"/>
      <c r="I179" s="100"/>
      <c r="J179" s="100"/>
      <c r="K179" s="101" t="str">
        <f t="shared" si="170"/>
        <v/>
      </c>
      <c r="L179" s="102"/>
      <c r="M179" s="103"/>
      <c r="N179" s="104"/>
      <c r="O179" s="105"/>
      <c r="P179" s="106">
        <f t="shared" si="171"/>
        <v>0</v>
      </c>
      <c r="Q179" s="106">
        <f t="shared" si="172"/>
        <v>0</v>
      </c>
      <c r="R179" s="106">
        <f t="shared" si="173"/>
        <v>0</v>
      </c>
      <c r="S179" s="106">
        <f t="shared" si="174"/>
        <v>0</v>
      </c>
      <c r="T179" s="107">
        <f t="shared" si="175"/>
        <v>0</v>
      </c>
      <c r="U179" s="78"/>
      <c r="AG179" s="108"/>
      <c r="AI179" s="78">
        <f t="shared" si="119"/>
        <v>0</v>
      </c>
      <c r="AJ179" s="78">
        <f t="shared" si="120"/>
        <v>0</v>
      </c>
      <c r="AK179" s="78">
        <f t="shared" si="121"/>
        <v>0</v>
      </c>
      <c r="AL179" s="78">
        <f t="shared" si="122"/>
        <v>0</v>
      </c>
      <c r="AM179" s="78">
        <f t="shared" si="123"/>
        <v>0</v>
      </c>
      <c r="AN179" s="78">
        <f t="shared" si="124"/>
        <v>0</v>
      </c>
      <c r="AO179" s="78">
        <f t="shared" si="125"/>
        <v>0</v>
      </c>
      <c r="AP179" s="78">
        <f t="shared" si="126"/>
        <v>0</v>
      </c>
      <c r="AQ179" s="78">
        <f t="shared" si="127"/>
        <v>0</v>
      </c>
      <c r="AR179" s="78">
        <f t="shared" si="128"/>
        <v>0</v>
      </c>
      <c r="AS179" s="90">
        <f t="shared" si="129"/>
        <v>0</v>
      </c>
      <c r="AT179" s="91">
        <f t="shared" si="130"/>
        <v>0</v>
      </c>
      <c r="AV179" s="91">
        <f t="shared" si="131"/>
        <v>0</v>
      </c>
      <c r="AW179" s="78">
        <f t="shared" si="132"/>
        <v>0</v>
      </c>
      <c r="AX179" s="78">
        <f t="shared" si="133"/>
        <v>0</v>
      </c>
      <c r="AY179" s="78"/>
      <c r="AZ179" s="78">
        <f t="shared" si="134"/>
        <v>0</v>
      </c>
      <c r="BA179" s="78">
        <f t="shared" si="135"/>
        <v>0</v>
      </c>
      <c r="BB179" s="78">
        <f t="shared" si="136"/>
        <v>0</v>
      </c>
      <c r="BC179" s="78">
        <f t="shared" si="137"/>
        <v>0</v>
      </c>
      <c r="BD179" s="78">
        <f t="shared" si="138"/>
        <v>0</v>
      </c>
      <c r="BE179" s="78">
        <f t="shared" si="139"/>
        <v>0</v>
      </c>
      <c r="BF179" s="78">
        <f t="shared" si="140"/>
        <v>0</v>
      </c>
      <c r="BG179" s="78">
        <f t="shared" si="141"/>
        <v>0</v>
      </c>
      <c r="BH179" s="78">
        <f t="shared" si="142"/>
        <v>0</v>
      </c>
      <c r="BI179" s="78"/>
      <c r="BJ179" s="91">
        <f t="shared" si="143"/>
        <v>0</v>
      </c>
      <c r="BK179" s="91">
        <f t="shared" si="144"/>
        <v>0</v>
      </c>
      <c r="BL179" s="78"/>
      <c r="BM179" s="78">
        <f t="shared" si="145"/>
        <v>0</v>
      </c>
      <c r="BN179" s="78">
        <f t="shared" si="146"/>
        <v>0</v>
      </c>
      <c r="BO179" s="78">
        <f t="shared" si="147"/>
        <v>0</v>
      </c>
      <c r="BP179" s="78">
        <f t="shared" si="148"/>
        <v>0</v>
      </c>
      <c r="BQ179" s="78">
        <f t="shared" si="149"/>
        <v>0</v>
      </c>
      <c r="BR179" s="78">
        <f t="shared" si="150"/>
        <v>0</v>
      </c>
      <c r="BS179" s="78">
        <f t="shared" si="151"/>
        <v>0</v>
      </c>
      <c r="BT179" s="78">
        <f t="shared" si="152"/>
        <v>0</v>
      </c>
      <c r="BU179" s="91">
        <f t="shared" si="153"/>
        <v>0</v>
      </c>
      <c r="BV179" s="91">
        <f t="shared" si="154"/>
        <v>0</v>
      </c>
      <c r="BW179" s="78"/>
      <c r="BX179" s="78"/>
      <c r="BY179" s="78">
        <f t="shared" si="155"/>
        <v>0</v>
      </c>
      <c r="BZ179" s="78">
        <f t="shared" si="156"/>
        <v>0</v>
      </c>
      <c r="CA179" s="78">
        <f t="shared" si="157"/>
        <v>0</v>
      </c>
      <c r="CB179" s="78">
        <f t="shared" si="158"/>
        <v>0</v>
      </c>
      <c r="CC179" s="78">
        <f t="shared" si="159"/>
        <v>0</v>
      </c>
      <c r="CD179" s="78">
        <f t="shared" si="160"/>
        <v>0</v>
      </c>
      <c r="CE179" s="78">
        <f t="shared" si="161"/>
        <v>0</v>
      </c>
      <c r="CF179" s="78">
        <f t="shared" si="162"/>
        <v>0</v>
      </c>
      <c r="CG179" s="78"/>
      <c r="CH179" s="92">
        <f t="shared" si="163"/>
        <v>0</v>
      </c>
      <c r="CI179" s="93">
        <f t="shared" si="164"/>
        <v>0</v>
      </c>
      <c r="CJ179" s="94">
        <f t="shared" si="165"/>
        <v>0</v>
      </c>
      <c r="CL179" s="78">
        <f t="shared" si="166"/>
        <v>0</v>
      </c>
      <c r="CM179" s="78">
        <f t="shared" si="167"/>
        <v>0</v>
      </c>
      <c r="CN179" s="78">
        <f t="shared" si="168"/>
        <v>0</v>
      </c>
      <c r="CO179" s="78">
        <f t="shared" si="169"/>
        <v>0</v>
      </c>
    </row>
    <row r="180" spans="1:93" ht="13.5" thickBot="1">
      <c r="A180" s="95"/>
      <c r="B180" s="96"/>
      <c r="C180" s="97"/>
      <c r="D180" s="98"/>
      <c r="E180" s="99"/>
      <c r="F180" s="100"/>
      <c r="G180" s="100"/>
      <c r="H180" s="100"/>
      <c r="I180" s="100"/>
      <c r="J180" s="100"/>
      <c r="K180" s="101" t="str">
        <f t="shared" si="170"/>
        <v/>
      </c>
      <c r="L180" s="102"/>
      <c r="M180" s="103"/>
      <c r="N180" s="104"/>
      <c r="O180" s="105"/>
      <c r="P180" s="106">
        <f t="shared" si="171"/>
        <v>0</v>
      </c>
      <c r="Q180" s="106">
        <f t="shared" si="172"/>
        <v>0</v>
      </c>
      <c r="R180" s="106">
        <f t="shared" si="173"/>
        <v>0</v>
      </c>
      <c r="S180" s="106">
        <f t="shared" si="174"/>
        <v>0</v>
      </c>
      <c r="T180" s="107">
        <f t="shared" si="175"/>
        <v>0</v>
      </c>
      <c r="U180" s="78"/>
      <c r="AG180" s="108"/>
      <c r="AI180" s="78">
        <f t="shared" si="119"/>
        <v>0</v>
      </c>
      <c r="AJ180" s="78">
        <f t="shared" si="120"/>
        <v>0</v>
      </c>
      <c r="AK180" s="78">
        <f t="shared" si="121"/>
        <v>0</v>
      </c>
      <c r="AL180" s="78">
        <f t="shared" si="122"/>
        <v>0</v>
      </c>
      <c r="AM180" s="78">
        <f t="shared" si="123"/>
        <v>0</v>
      </c>
      <c r="AN180" s="78">
        <f t="shared" si="124"/>
        <v>0</v>
      </c>
      <c r="AO180" s="78">
        <f t="shared" si="125"/>
        <v>0</v>
      </c>
      <c r="AP180" s="78">
        <f t="shared" si="126"/>
        <v>0</v>
      </c>
      <c r="AQ180" s="78">
        <f t="shared" si="127"/>
        <v>0</v>
      </c>
      <c r="AR180" s="78">
        <f t="shared" si="128"/>
        <v>0</v>
      </c>
      <c r="AS180" s="90">
        <f t="shared" si="129"/>
        <v>0</v>
      </c>
      <c r="AT180" s="91">
        <f t="shared" si="130"/>
        <v>0</v>
      </c>
      <c r="AV180" s="91">
        <f t="shared" si="131"/>
        <v>0</v>
      </c>
      <c r="AW180" s="78">
        <f t="shared" si="132"/>
        <v>0</v>
      </c>
      <c r="AX180" s="78">
        <f t="shared" si="133"/>
        <v>0</v>
      </c>
      <c r="AY180" s="78"/>
      <c r="AZ180" s="78">
        <f t="shared" si="134"/>
        <v>0</v>
      </c>
      <c r="BA180" s="78">
        <f t="shared" si="135"/>
        <v>0</v>
      </c>
      <c r="BB180" s="78">
        <f t="shared" si="136"/>
        <v>0</v>
      </c>
      <c r="BC180" s="78">
        <f t="shared" si="137"/>
        <v>0</v>
      </c>
      <c r="BD180" s="78">
        <f t="shared" si="138"/>
        <v>0</v>
      </c>
      <c r="BE180" s="78">
        <f t="shared" si="139"/>
        <v>0</v>
      </c>
      <c r="BF180" s="78">
        <f t="shared" si="140"/>
        <v>0</v>
      </c>
      <c r="BG180" s="78">
        <f t="shared" si="141"/>
        <v>0</v>
      </c>
      <c r="BH180" s="78">
        <f t="shared" si="142"/>
        <v>0</v>
      </c>
      <c r="BI180" s="78"/>
      <c r="BJ180" s="91">
        <f t="shared" si="143"/>
        <v>0</v>
      </c>
      <c r="BK180" s="91">
        <f t="shared" si="144"/>
        <v>0</v>
      </c>
      <c r="BL180" s="78"/>
      <c r="BM180" s="78">
        <f t="shared" si="145"/>
        <v>0</v>
      </c>
      <c r="BN180" s="78">
        <f t="shared" si="146"/>
        <v>0</v>
      </c>
      <c r="BO180" s="78">
        <f t="shared" si="147"/>
        <v>0</v>
      </c>
      <c r="BP180" s="78">
        <f t="shared" si="148"/>
        <v>0</v>
      </c>
      <c r="BQ180" s="78">
        <f t="shared" si="149"/>
        <v>0</v>
      </c>
      <c r="BR180" s="78">
        <f t="shared" si="150"/>
        <v>0</v>
      </c>
      <c r="BS180" s="78">
        <f t="shared" si="151"/>
        <v>0</v>
      </c>
      <c r="BT180" s="78">
        <f t="shared" si="152"/>
        <v>0</v>
      </c>
      <c r="BU180" s="91">
        <f t="shared" si="153"/>
        <v>0</v>
      </c>
      <c r="BV180" s="91">
        <f t="shared" si="154"/>
        <v>0</v>
      </c>
      <c r="BW180" s="78"/>
      <c r="BX180" s="78"/>
      <c r="BY180" s="78">
        <f t="shared" si="155"/>
        <v>0</v>
      </c>
      <c r="BZ180" s="78">
        <f t="shared" si="156"/>
        <v>0</v>
      </c>
      <c r="CA180" s="78">
        <f t="shared" si="157"/>
        <v>0</v>
      </c>
      <c r="CB180" s="78">
        <f t="shared" si="158"/>
        <v>0</v>
      </c>
      <c r="CC180" s="78">
        <f t="shared" si="159"/>
        <v>0</v>
      </c>
      <c r="CD180" s="78">
        <f t="shared" si="160"/>
        <v>0</v>
      </c>
      <c r="CE180" s="78">
        <f t="shared" si="161"/>
        <v>0</v>
      </c>
      <c r="CF180" s="78">
        <f t="shared" si="162"/>
        <v>0</v>
      </c>
      <c r="CG180" s="78"/>
      <c r="CH180" s="92">
        <f t="shared" si="163"/>
        <v>0</v>
      </c>
      <c r="CI180" s="93">
        <f t="shared" si="164"/>
        <v>0</v>
      </c>
      <c r="CJ180" s="94">
        <f t="shared" si="165"/>
        <v>0</v>
      </c>
      <c r="CL180" s="78">
        <f t="shared" si="166"/>
        <v>0</v>
      </c>
      <c r="CM180" s="78">
        <f t="shared" si="167"/>
        <v>0</v>
      </c>
      <c r="CN180" s="78">
        <f t="shared" si="168"/>
        <v>0</v>
      </c>
      <c r="CO180" s="78">
        <f t="shared" si="169"/>
        <v>0</v>
      </c>
    </row>
    <row r="181" spans="1:93" ht="13.5" thickBot="1">
      <c r="A181" s="95"/>
      <c r="B181" s="96"/>
      <c r="C181" s="97"/>
      <c r="D181" s="98"/>
      <c r="E181" s="99"/>
      <c r="F181" s="100"/>
      <c r="G181" s="100"/>
      <c r="H181" s="100"/>
      <c r="I181" s="100"/>
      <c r="J181" s="100"/>
      <c r="K181" s="101" t="str">
        <f t="shared" si="170"/>
        <v/>
      </c>
      <c r="L181" s="102"/>
      <c r="M181" s="103"/>
      <c r="N181" s="104"/>
      <c r="O181" s="105"/>
      <c r="P181" s="106">
        <f t="shared" si="171"/>
        <v>0</v>
      </c>
      <c r="Q181" s="106">
        <f t="shared" si="172"/>
        <v>0</v>
      </c>
      <c r="R181" s="106">
        <f t="shared" si="173"/>
        <v>0</v>
      </c>
      <c r="S181" s="106">
        <f t="shared" si="174"/>
        <v>0</v>
      </c>
      <c r="T181" s="107">
        <f t="shared" si="175"/>
        <v>0</v>
      </c>
      <c r="U181" s="78"/>
      <c r="AG181" s="108"/>
      <c r="AI181" s="78">
        <f t="shared" si="119"/>
        <v>0</v>
      </c>
      <c r="AJ181" s="78">
        <f t="shared" si="120"/>
        <v>0</v>
      </c>
      <c r="AK181" s="78">
        <f t="shared" si="121"/>
        <v>0</v>
      </c>
      <c r="AL181" s="78">
        <f t="shared" si="122"/>
        <v>0</v>
      </c>
      <c r="AM181" s="78">
        <f t="shared" si="123"/>
        <v>0</v>
      </c>
      <c r="AN181" s="78">
        <f t="shared" si="124"/>
        <v>0</v>
      </c>
      <c r="AO181" s="78">
        <f t="shared" si="125"/>
        <v>0</v>
      </c>
      <c r="AP181" s="78">
        <f t="shared" si="126"/>
        <v>0</v>
      </c>
      <c r="AQ181" s="78">
        <f t="shared" si="127"/>
        <v>0</v>
      </c>
      <c r="AR181" s="78">
        <f t="shared" si="128"/>
        <v>0</v>
      </c>
      <c r="AS181" s="90">
        <f t="shared" si="129"/>
        <v>0</v>
      </c>
      <c r="AT181" s="91">
        <f t="shared" si="130"/>
        <v>0</v>
      </c>
      <c r="AV181" s="91">
        <f t="shared" si="131"/>
        <v>0</v>
      </c>
      <c r="AW181" s="78">
        <f t="shared" si="132"/>
        <v>0</v>
      </c>
      <c r="AX181" s="78">
        <f t="shared" si="133"/>
        <v>0</v>
      </c>
      <c r="AY181" s="78"/>
      <c r="AZ181" s="78">
        <f t="shared" si="134"/>
        <v>0</v>
      </c>
      <c r="BA181" s="78">
        <f t="shared" si="135"/>
        <v>0</v>
      </c>
      <c r="BB181" s="78">
        <f t="shared" si="136"/>
        <v>0</v>
      </c>
      <c r="BC181" s="78">
        <f t="shared" si="137"/>
        <v>0</v>
      </c>
      <c r="BD181" s="78">
        <f t="shared" si="138"/>
        <v>0</v>
      </c>
      <c r="BE181" s="78">
        <f t="shared" si="139"/>
        <v>0</v>
      </c>
      <c r="BF181" s="78">
        <f t="shared" si="140"/>
        <v>0</v>
      </c>
      <c r="BG181" s="78">
        <f t="shared" si="141"/>
        <v>0</v>
      </c>
      <c r="BH181" s="78">
        <f t="shared" si="142"/>
        <v>0</v>
      </c>
      <c r="BI181" s="78"/>
      <c r="BJ181" s="91">
        <f t="shared" si="143"/>
        <v>0</v>
      </c>
      <c r="BK181" s="91">
        <f t="shared" si="144"/>
        <v>0</v>
      </c>
      <c r="BL181" s="78"/>
      <c r="BM181" s="78">
        <f t="shared" si="145"/>
        <v>0</v>
      </c>
      <c r="BN181" s="78">
        <f t="shared" si="146"/>
        <v>0</v>
      </c>
      <c r="BO181" s="78">
        <f t="shared" si="147"/>
        <v>0</v>
      </c>
      <c r="BP181" s="78">
        <f t="shared" si="148"/>
        <v>0</v>
      </c>
      <c r="BQ181" s="78">
        <f t="shared" si="149"/>
        <v>0</v>
      </c>
      <c r="BR181" s="78">
        <f t="shared" si="150"/>
        <v>0</v>
      </c>
      <c r="BS181" s="78">
        <f t="shared" si="151"/>
        <v>0</v>
      </c>
      <c r="BT181" s="78">
        <f t="shared" si="152"/>
        <v>0</v>
      </c>
      <c r="BU181" s="91">
        <f t="shared" si="153"/>
        <v>0</v>
      </c>
      <c r="BV181" s="91">
        <f t="shared" si="154"/>
        <v>0</v>
      </c>
      <c r="BW181" s="78"/>
      <c r="BX181" s="78"/>
      <c r="BY181" s="78">
        <f t="shared" si="155"/>
        <v>0</v>
      </c>
      <c r="BZ181" s="78">
        <f t="shared" si="156"/>
        <v>0</v>
      </c>
      <c r="CA181" s="78">
        <f t="shared" si="157"/>
        <v>0</v>
      </c>
      <c r="CB181" s="78">
        <f t="shared" si="158"/>
        <v>0</v>
      </c>
      <c r="CC181" s="78">
        <f t="shared" si="159"/>
        <v>0</v>
      </c>
      <c r="CD181" s="78">
        <f t="shared" si="160"/>
        <v>0</v>
      </c>
      <c r="CE181" s="78">
        <f t="shared" si="161"/>
        <v>0</v>
      </c>
      <c r="CF181" s="78">
        <f t="shared" si="162"/>
        <v>0</v>
      </c>
      <c r="CG181" s="78"/>
      <c r="CH181" s="92">
        <f t="shared" si="163"/>
        <v>0</v>
      </c>
      <c r="CI181" s="93">
        <f t="shared" si="164"/>
        <v>0</v>
      </c>
      <c r="CJ181" s="94">
        <f t="shared" si="165"/>
        <v>0</v>
      </c>
      <c r="CL181" s="78">
        <f t="shared" si="166"/>
        <v>0</v>
      </c>
      <c r="CM181" s="78">
        <f t="shared" si="167"/>
        <v>0</v>
      </c>
      <c r="CN181" s="78">
        <f t="shared" si="168"/>
        <v>0</v>
      </c>
      <c r="CO181" s="78">
        <f t="shared" si="169"/>
        <v>0</v>
      </c>
    </row>
    <row r="182" spans="1:93" ht="13.5" thickBot="1">
      <c r="A182" s="95"/>
      <c r="B182" s="96"/>
      <c r="C182" s="97"/>
      <c r="D182" s="98"/>
      <c r="E182" s="99"/>
      <c r="F182" s="100"/>
      <c r="G182" s="100"/>
      <c r="H182" s="100"/>
      <c r="I182" s="100"/>
      <c r="J182" s="100"/>
      <c r="K182" s="101" t="str">
        <f t="shared" si="170"/>
        <v/>
      </c>
      <c r="L182" s="102"/>
      <c r="M182" s="103"/>
      <c r="N182" s="104"/>
      <c r="O182" s="105"/>
      <c r="P182" s="106">
        <f t="shared" si="171"/>
        <v>0</v>
      </c>
      <c r="Q182" s="106">
        <f t="shared" si="172"/>
        <v>0</v>
      </c>
      <c r="R182" s="106">
        <f t="shared" si="173"/>
        <v>0</v>
      </c>
      <c r="S182" s="106">
        <f t="shared" si="174"/>
        <v>0</v>
      </c>
      <c r="T182" s="107">
        <f t="shared" si="175"/>
        <v>0</v>
      </c>
      <c r="U182" s="78"/>
      <c r="AG182" s="108"/>
      <c r="AI182" s="78">
        <f t="shared" si="119"/>
        <v>0</v>
      </c>
      <c r="AJ182" s="78">
        <f t="shared" si="120"/>
        <v>0</v>
      </c>
      <c r="AK182" s="78">
        <f t="shared" si="121"/>
        <v>0</v>
      </c>
      <c r="AL182" s="78">
        <f t="shared" si="122"/>
        <v>0</v>
      </c>
      <c r="AM182" s="78">
        <f t="shared" si="123"/>
        <v>0</v>
      </c>
      <c r="AN182" s="78">
        <f t="shared" si="124"/>
        <v>0</v>
      </c>
      <c r="AO182" s="78">
        <f t="shared" si="125"/>
        <v>0</v>
      </c>
      <c r="AP182" s="78">
        <f t="shared" si="126"/>
        <v>0</v>
      </c>
      <c r="AQ182" s="78">
        <f t="shared" si="127"/>
        <v>0</v>
      </c>
      <c r="AR182" s="78">
        <f t="shared" si="128"/>
        <v>0</v>
      </c>
      <c r="AS182" s="90">
        <f t="shared" si="129"/>
        <v>0</v>
      </c>
      <c r="AT182" s="91">
        <f t="shared" si="130"/>
        <v>0</v>
      </c>
      <c r="AV182" s="91">
        <f t="shared" si="131"/>
        <v>0</v>
      </c>
      <c r="AW182" s="78">
        <f t="shared" si="132"/>
        <v>0</v>
      </c>
      <c r="AX182" s="78">
        <f t="shared" si="133"/>
        <v>0</v>
      </c>
      <c r="AY182" s="78"/>
      <c r="AZ182" s="78">
        <f t="shared" si="134"/>
        <v>0</v>
      </c>
      <c r="BA182" s="78">
        <f t="shared" si="135"/>
        <v>0</v>
      </c>
      <c r="BB182" s="78">
        <f t="shared" si="136"/>
        <v>0</v>
      </c>
      <c r="BC182" s="78">
        <f t="shared" si="137"/>
        <v>0</v>
      </c>
      <c r="BD182" s="78">
        <f t="shared" si="138"/>
        <v>0</v>
      </c>
      <c r="BE182" s="78">
        <f t="shared" si="139"/>
        <v>0</v>
      </c>
      <c r="BF182" s="78">
        <f t="shared" si="140"/>
        <v>0</v>
      </c>
      <c r="BG182" s="78">
        <f t="shared" si="141"/>
        <v>0</v>
      </c>
      <c r="BH182" s="78">
        <f t="shared" si="142"/>
        <v>0</v>
      </c>
      <c r="BI182" s="78"/>
      <c r="BJ182" s="91">
        <f t="shared" si="143"/>
        <v>0</v>
      </c>
      <c r="BK182" s="91">
        <f t="shared" si="144"/>
        <v>0</v>
      </c>
      <c r="BL182" s="78"/>
      <c r="BM182" s="78">
        <f t="shared" si="145"/>
        <v>0</v>
      </c>
      <c r="BN182" s="78">
        <f t="shared" si="146"/>
        <v>0</v>
      </c>
      <c r="BO182" s="78">
        <f t="shared" si="147"/>
        <v>0</v>
      </c>
      <c r="BP182" s="78">
        <f t="shared" si="148"/>
        <v>0</v>
      </c>
      <c r="BQ182" s="78">
        <f t="shared" si="149"/>
        <v>0</v>
      </c>
      <c r="BR182" s="78">
        <f t="shared" si="150"/>
        <v>0</v>
      </c>
      <c r="BS182" s="78">
        <f t="shared" si="151"/>
        <v>0</v>
      </c>
      <c r="BT182" s="78">
        <f t="shared" si="152"/>
        <v>0</v>
      </c>
      <c r="BU182" s="91">
        <f t="shared" si="153"/>
        <v>0</v>
      </c>
      <c r="BV182" s="91">
        <f t="shared" si="154"/>
        <v>0</v>
      </c>
      <c r="BW182" s="78"/>
      <c r="BX182" s="78"/>
      <c r="BY182" s="78">
        <f t="shared" si="155"/>
        <v>0</v>
      </c>
      <c r="BZ182" s="78">
        <f t="shared" si="156"/>
        <v>0</v>
      </c>
      <c r="CA182" s="78">
        <f t="shared" si="157"/>
        <v>0</v>
      </c>
      <c r="CB182" s="78">
        <f t="shared" si="158"/>
        <v>0</v>
      </c>
      <c r="CC182" s="78">
        <f t="shared" si="159"/>
        <v>0</v>
      </c>
      <c r="CD182" s="78">
        <f t="shared" si="160"/>
        <v>0</v>
      </c>
      <c r="CE182" s="78">
        <f t="shared" si="161"/>
        <v>0</v>
      </c>
      <c r="CF182" s="78">
        <f t="shared" si="162"/>
        <v>0</v>
      </c>
      <c r="CG182" s="78"/>
      <c r="CH182" s="92">
        <f t="shared" si="163"/>
        <v>0</v>
      </c>
      <c r="CI182" s="93">
        <f t="shared" si="164"/>
        <v>0</v>
      </c>
      <c r="CJ182" s="94">
        <f t="shared" si="165"/>
        <v>0</v>
      </c>
      <c r="CL182" s="78">
        <f t="shared" si="166"/>
        <v>0</v>
      </c>
      <c r="CM182" s="78">
        <f t="shared" si="167"/>
        <v>0</v>
      </c>
      <c r="CN182" s="78">
        <f t="shared" si="168"/>
        <v>0</v>
      </c>
      <c r="CO182" s="78">
        <f t="shared" si="169"/>
        <v>0</v>
      </c>
    </row>
    <row r="183" spans="1:93" ht="13.5" thickBot="1">
      <c r="A183" s="95"/>
      <c r="B183" s="96"/>
      <c r="C183" s="97"/>
      <c r="D183" s="98"/>
      <c r="E183" s="99"/>
      <c r="F183" s="100"/>
      <c r="G183" s="100"/>
      <c r="H183" s="100"/>
      <c r="I183" s="100"/>
      <c r="J183" s="100"/>
      <c r="K183" s="101" t="str">
        <f t="shared" si="170"/>
        <v/>
      </c>
      <c r="L183" s="102"/>
      <c r="M183" s="103"/>
      <c r="N183" s="104"/>
      <c r="O183" s="105"/>
      <c r="P183" s="106">
        <f t="shared" si="171"/>
        <v>0</v>
      </c>
      <c r="Q183" s="106">
        <f t="shared" si="172"/>
        <v>0</v>
      </c>
      <c r="R183" s="106">
        <f t="shared" si="173"/>
        <v>0</v>
      </c>
      <c r="S183" s="106">
        <f t="shared" si="174"/>
        <v>0</v>
      </c>
      <c r="T183" s="107">
        <f t="shared" si="175"/>
        <v>0</v>
      </c>
      <c r="U183" s="78"/>
      <c r="AG183" s="108"/>
      <c r="AI183" s="78">
        <f t="shared" si="119"/>
        <v>0</v>
      </c>
      <c r="AJ183" s="78">
        <f t="shared" si="120"/>
        <v>0</v>
      </c>
      <c r="AK183" s="78">
        <f t="shared" si="121"/>
        <v>0</v>
      </c>
      <c r="AL183" s="78">
        <f t="shared" si="122"/>
        <v>0</v>
      </c>
      <c r="AM183" s="78">
        <f t="shared" si="123"/>
        <v>0</v>
      </c>
      <c r="AN183" s="78">
        <f t="shared" si="124"/>
        <v>0</v>
      </c>
      <c r="AO183" s="78">
        <f t="shared" si="125"/>
        <v>0</v>
      </c>
      <c r="AP183" s="78">
        <f t="shared" si="126"/>
        <v>0</v>
      </c>
      <c r="AQ183" s="78">
        <f t="shared" si="127"/>
        <v>0</v>
      </c>
      <c r="AR183" s="78">
        <f t="shared" si="128"/>
        <v>0</v>
      </c>
      <c r="AS183" s="90">
        <f t="shared" si="129"/>
        <v>0</v>
      </c>
      <c r="AT183" s="91">
        <f t="shared" si="130"/>
        <v>0</v>
      </c>
      <c r="AV183" s="91">
        <f t="shared" si="131"/>
        <v>0</v>
      </c>
      <c r="AW183" s="78">
        <f t="shared" si="132"/>
        <v>0</v>
      </c>
      <c r="AX183" s="78">
        <f t="shared" si="133"/>
        <v>0</v>
      </c>
      <c r="AY183" s="78"/>
      <c r="AZ183" s="78">
        <f t="shared" si="134"/>
        <v>0</v>
      </c>
      <c r="BA183" s="78">
        <f t="shared" si="135"/>
        <v>0</v>
      </c>
      <c r="BB183" s="78">
        <f t="shared" si="136"/>
        <v>0</v>
      </c>
      <c r="BC183" s="78">
        <f t="shared" si="137"/>
        <v>0</v>
      </c>
      <c r="BD183" s="78">
        <f t="shared" si="138"/>
        <v>0</v>
      </c>
      <c r="BE183" s="78">
        <f t="shared" si="139"/>
        <v>0</v>
      </c>
      <c r="BF183" s="78">
        <f t="shared" si="140"/>
        <v>0</v>
      </c>
      <c r="BG183" s="78">
        <f t="shared" si="141"/>
        <v>0</v>
      </c>
      <c r="BH183" s="78">
        <f t="shared" si="142"/>
        <v>0</v>
      </c>
      <c r="BI183" s="78"/>
      <c r="BJ183" s="91">
        <f t="shared" si="143"/>
        <v>0</v>
      </c>
      <c r="BK183" s="91">
        <f t="shared" si="144"/>
        <v>0</v>
      </c>
      <c r="BL183" s="78"/>
      <c r="BM183" s="78">
        <f t="shared" si="145"/>
        <v>0</v>
      </c>
      <c r="BN183" s="78">
        <f t="shared" si="146"/>
        <v>0</v>
      </c>
      <c r="BO183" s="78">
        <f t="shared" si="147"/>
        <v>0</v>
      </c>
      <c r="BP183" s="78">
        <f t="shared" si="148"/>
        <v>0</v>
      </c>
      <c r="BQ183" s="78">
        <f t="shared" si="149"/>
        <v>0</v>
      </c>
      <c r="BR183" s="78">
        <f t="shared" si="150"/>
        <v>0</v>
      </c>
      <c r="BS183" s="78">
        <f t="shared" si="151"/>
        <v>0</v>
      </c>
      <c r="BT183" s="78">
        <f t="shared" si="152"/>
        <v>0</v>
      </c>
      <c r="BU183" s="91">
        <f t="shared" si="153"/>
        <v>0</v>
      </c>
      <c r="BV183" s="91">
        <f t="shared" si="154"/>
        <v>0</v>
      </c>
      <c r="BW183" s="78"/>
      <c r="BX183" s="78"/>
      <c r="BY183" s="78">
        <f t="shared" si="155"/>
        <v>0</v>
      </c>
      <c r="BZ183" s="78">
        <f t="shared" si="156"/>
        <v>0</v>
      </c>
      <c r="CA183" s="78">
        <f t="shared" si="157"/>
        <v>0</v>
      </c>
      <c r="CB183" s="78">
        <f t="shared" si="158"/>
        <v>0</v>
      </c>
      <c r="CC183" s="78">
        <f t="shared" si="159"/>
        <v>0</v>
      </c>
      <c r="CD183" s="78">
        <f t="shared" si="160"/>
        <v>0</v>
      </c>
      <c r="CE183" s="78">
        <f t="shared" si="161"/>
        <v>0</v>
      </c>
      <c r="CF183" s="78">
        <f t="shared" si="162"/>
        <v>0</v>
      </c>
      <c r="CG183" s="78"/>
      <c r="CH183" s="92">
        <f t="shared" si="163"/>
        <v>0</v>
      </c>
      <c r="CI183" s="93">
        <f t="shared" si="164"/>
        <v>0</v>
      </c>
      <c r="CJ183" s="94">
        <f t="shared" si="165"/>
        <v>0</v>
      </c>
      <c r="CL183" s="78">
        <f t="shared" si="166"/>
        <v>0</v>
      </c>
      <c r="CM183" s="78">
        <f t="shared" si="167"/>
        <v>0</v>
      </c>
      <c r="CN183" s="78">
        <f t="shared" si="168"/>
        <v>0</v>
      </c>
      <c r="CO183" s="78">
        <f t="shared" si="169"/>
        <v>0</v>
      </c>
    </row>
    <row r="184" spans="1:93" ht="13.5" thickBot="1">
      <c r="A184" s="95"/>
      <c r="B184" s="96"/>
      <c r="C184" s="97"/>
      <c r="D184" s="98"/>
      <c r="E184" s="99"/>
      <c r="F184" s="100"/>
      <c r="G184" s="100"/>
      <c r="H184" s="100"/>
      <c r="I184" s="100"/>
      <c r="J184" s="100"/>
      <c r="K184" s="101" t="str">
        <f t="shared" si="170"/>
        <v/>
      </c>
      <c r="L184" s="102"/>
      <c r="M184" s="103"/>
      <c r="N184" s="104"/>
      <c r="O184" s="105"/>
      <c r="P184" s="106">
        <f t="shared" si="171"/>
        <v>0</v>
      </c>
      <c r="Q184" s="106">
        <f t="shared" si="172"/>
        <v>0</v>
      </c>
      <c r="R184" s="106">
        <f t="shared" si="173"/>
        <v>0</v>
      </c>
      <c r="S184" s="106">
        <f t="shared" si="174"/>
        <v>0</v>
      </c>
      <c r="T184" s="107">
        <f t="shared" si="175"/>
        <v>0</v>
      </c>
      <c r="U184" s="78"/>
      <c r="AG184" s="108"/>
      <c r="AI184" s="78">
        <f t="shared" si="119"/>
        <v>0</v>
      </c>
      <c r="AJ184" s="78">
        <f t="shared" si="120"/>
        <v>0</v>
      </c>
      <c r="AK184" s="78">
        <f t="shared" si="121"/>
        <v>0</v>
      </c>
      <c r="AL184" s="78">
        <f t="shared" si="122"/>
        <v>0</v>
      </c>
      <c r="AM184" s="78">
        <f t="shared" si="123"/>
        <v>0</v>
      </c>
      <c r="AN184" s="78">
        <f t="shared" si="124"/>
        <v>0</v>
      </c>
      <c r="AO184" s="78">
        <f t="shared" si="125"/>
        <v>0</v>
      </c>
      <c r="AP184" s="78">
        <f t="shared" si="126"/>
        <v>0</v>
      </c>
      <c r="AQ184" s="78">
        <f t="shared" si="127"/>
        <v>0</v>
      </c>
      <c r="AR184" s="78">
        <f t="shared" si="128"/>
        <v>0</v>
      </c>
      <c r="AS184" s="90">
        <f t="shared" si="129"/>
        <v>0</v>
      </c>
      <c r="AT184" s="91">
        <f t="shared" si="130"/>
        <v>0</v>
      </c>
      <c r="AV184" s="91">
        <f t="shared" si="131"/>
        <v>0</v>
      </c>
      <c r="AW184" s="78">
        <f t="shared" si="132"/>
        <v>0</v>
      </c>
      <c r="AX184" s="78">
        <f t="shared" si="133"/>
        <v>0</v>
      </c>
      <c r="AY184" s="78"/>
      <c r="AZ184" s="78">
        <f t="shared" si="134"/>
        <v>0</v>
      </c>
      <c r="BA184" s="78">
        <f t="shared" si="135"/>
        <v>0</v>
      </c>
      <c r="BB184" s="78">
        <f t="shared" si="136"/>
        <v>0</v>
      </c>
      <c r="BC184" s="78">
        <f t="shared" si="137"/>
        <v>0</v>
      </c>
      <c r="BD184" s="78">
        <f t="shared" si="138"/>
        <v>0</v>
      </c>
      <c r="BE184" s="78">
        <f t="shared" si="139"/>
        <v>0</v>
      </c>
      <c r="BF184" s="78">
        <f t="shared" si="140"/>
        <v>0</v>
      </c>
      <c r="BG184" s="78">
        <f t="shared" si="141"/>
        <v>0</v>
      </c>
      <c r="BH184" s="78">
        <f t="shared" si="142"/>
        <v>0</v>
      </c>
      <c r="BI184" s="78"/>
      <c r="BJ184" s="91">
        <f t="shared" si="143"/>
        <v>0</v>
      </c>
      <c r="BK184" s="91">
        <f t="shared" si="144"/>
        <v>0</v>
      </c>
      <c r="BL184" s="78"/>
      <c r="BM184" s="78">
        <f t="shared" si="145"/>
        <v>0</v>
      </c>
      <c r="BN184" s="78">
        <f t="shared" si="146"/>
        <v>0</v>
      </c>
      <c r="BO184" s="78">
        <f t="shared" si="147"/>
        <v>0</v>
      </c>
      <c r="BP184" s="78">
        <f t="shared" si="148"/>
        <v>0</v>
      </c>
      <c r="BQ184" s="78">
        <f t="shared" si="149"/>
        <v>0</v>
      </c>
      <c r="BR184" s="78">
        <f t="shared" si="150"/>
        <v>0</v>
      </c>
      <c r="BS184" s="78">
        <f t="shared" si="151"/>
        <v>0</v>
      </c>
      <c r="BT184" s="78">
        <f t="shared" si="152"/>
        <v>0</v>
      </c>
      <c r="BU184" s="91">
        <f t="shared" si="153"/>
        <v>0</v>
      </c>
      <c r="BV184" s="91">
        <f t="shared" si="154"/>
        <v>0</v>
      </c>
      <c r="BW184" s="78"/>
      <c r="BX184" s="78"/>
      <c r="BY184" s="78">
        <f t="shared" si="155"/>
        <v>0</v>
      </c>
      <c r="BZ184" s="78">
        <f t="shared" si="156"/>
        <v>0</v>
      </c>
      <c r="CA184" s="78">
        <f t="shared" si="157"/>
        <v>0</v>
      </c>
      <c r="CB184" s="78">
        <f t="shared" si="158"/>
        <v>0</v>
      </c>
      <c r="CC184" s="78">
        <f t="shared" si="159"/>
        <v>0</v>
      </c>
      <c r="CD184" s="78">
        <f t="shared" si="160"/>
        <v>0</v>
      </c>
      <c r="CE184" s="78">
        <f t="shared" si="161"/>
        <v>0</v>
      </c>
      <c r="CF184" s="78">
        <f t="shared" si="162"/>
        <v>0</v>
      </c>
      <c r="CG184" s="78"/>
      <c r="CH184" s="92">
        <f t="shared" si="163"/>
        <v>0</v>
      </c>
      <c r="CI184" s="93">
        <f t="shared" si="164"/>
        <v>0</v>
      </c>
      <c r="CJ184" s="94">
        <f t="shared" si="165"/>
        <v>0</v>
      </c>
      <c r="CL184" s="78">
        <f t="shared" si="166"/>
        <v>0</v>
      </c>
      <c r="CM184" s="78">
        <f t="shared" si="167"/>
        <v>0</v>
      </c>
      <c r="CN184" s="78">
        <f t="shared" si="168"/>
        <v>0</v>
      </c>
      <c r="CO184" s="78">
        <f t="shared" si="169"/>
        <v>0</v>
      </c>
    </row>
    <row r="185" spans="1:93" ht="13.5" thickBot="1">
      <c r="A185" s="95"/>
      <c r="B185" s="96"/>
      <c r="C185" s="97"/>
      <c r="D185" s="98"/>
      <c r="E185" s="99"/>
      <c r="F185" s="100"/>
      <c r="G185" s="100"/>
      <c r="H185" s="100"/>
      <c r="I185" s="100"/>
      <c r="J185" s="100"/>
      <c r="K185" s="101" t="str">
        <f t="shared" si="170"/>
        <v/>
      </c>
      <c r="L185" s="102"/>
      <c r="M185" s="103"/>
      <c r="N185" s="104"/>
      <c r="O185" s="105"/>
      <c r="P185" s="106">
        <f t="shared" si="171"/>
        <v>0</v>
      </c>
      <c r="Q185" s="106">
        <f t="shared" si="172"/>
        <v>0</v>
      </c>
      <c r="R185" s="106">
        <f t="shared" si="173"/>
        <v>0</v>
      </c>
      <c r="S185" s="106">
        <f t="shared" si="174"/>
        <v>0</v>
      </c>
      <c r="T185" s="107">
        <f t="shared" si="175"/>
        <v>0</v>
      </c>
      <c r="U185" s="78"/>
      <c r="AG185" s="108"/>
      <c r="AI185" s="78">
        <f t="shared" si="119"/>
        <v>0</v>
      </c>
      <c r="AJ185" s="78">
        <f t="shared" si="120"/>
        <v>0</v>
      </c>
      <c r="AK185" s="78">
        <f t="shared" si="121"/>
        <v>0</v>
      </c>
      <c r="AL185" s="78">
        <f t="shared" si="122"/>
        <v>0</v>
      </c>
      <c r="AM185" s="78">
        <f t="shared" si="123"/>
        <v>0</v>
      </c>
      <c r="AN185" s="78">
        <f t="shared" si="124"/>
        <v>0</v>
      </c>
      <c r="AO185" s="78">
        <f t="shared" si="125"/>
        <v>0</v>
      </c>
      <c r="AP185" s="78">
        <f t="shared" si="126"/>
        <v>0</v>
      </c>
      <c r="AQ185" s="78">
        <f t="shared" si="127"/>
        <v>0</v>
      </c>
      <c r="AR185" s="78">
        <f t="shared" si="128"/>
        <v>0</v>
      </c>
      <c r="AS185" s="90">
        <f t="shared" si="129"/>
        <v>0</v>
      </c>
      <c r="AT185" s="91">
        <f t="shared" si="130"/>
        <v>0</v>
      </c>
      <c r="AV185" s="91">
        <f t="shared" si="131"/>
        <v>0</v>
      </c>
      <c r="AW185" s="78">
        <f t="shared" si="132"/>
        <v>0</v>
      </c>
      <c r="AX185" s="78">
        <f t="shared" si="133"/>
        <v>0</v>
      </c>
      <c r="AY185" s="78"/>
      <c r="AZ185" s="78">
        <f t="shared" si="134"/>
        <v>0</v>
      </c>
      <c r="BA185" s="78">
        <f t="shared" si="135"/>
        <v>0</v>
      </c>
      <c r="BB185" s="78">
        <f t="shared" si="136"/>
        <v>0</v>
      </c>
      <c r="BC185" s="78">
        <f t="shared" si="137"/>
        <v>0</v>
      </c>
      <c r="BD185" s="78">
        <f t="shared" si="138"/>
        <v>0</v>
      </c>
      <c r="BE185" s="78">
        <f t="shared" si="139"/>
        <v>0</v>
      </c>
      <c r="BF185" s="78">
        <f t="shared" si="140"/>
        <v>0</v>
      </c>
      <c r="BG185" s="78">
        <f t="shared" si="141"/>
        <v>0</v>
      </c>
      <c r="BH185" s="78">
        <f t="shared" si="142"/>
        <v>0</v>
      </c>
      <c r="BI185" s="78"/>
      <c r="BJ185" s="91">
        <f t="shared" si="143"/>
        <v>0</v>
      </c>
      <c r="BK185" s="91">
        <f t="shared" si="144"/>
        <v>0</v>
      </c>
      <c r="BL185" s="78"/>
      <c r="BM185" s="78">
        <f t="shared" si="145"/>
        <v>0</v>
      </c>
      <c r="BN185" s="78">
        <f t="shared" si="146"/>
        <v>0</v>
      </c>
      <c r="BO185" s="78">
        <f t="shared" si="147"/>
        <v>0</v>
      </c>
      <c r="BP185" s="78">
        <f t="shared" si="148"/>
        <v>0</v>
      </c>
      <c r="BQ185" s="78">
        <f t="shared" si="149"/>
        <v>0</v>
      </c>
      <c r="BR185" s="78">
        <f t="shared" si="150"/>
        <v>0</v>
      </c>
      <c r="BS185" s="78">
        <f t="shared" si="151"/>
        <v>0</v>
      </c>
      <c r="BT185" s="78">
        <f t="shared" si="152"/>
        <v>0</v>
      </c>
      <c r="BU185" s="91">
        <f t="shared" si="153"/>
        <v>0</v>
      </c>
      <c r="BV185" s="91">
        <f t="shared" si="154"/>
        <v>0</v>
      </c>
      <c r="BW185" s="78"/>
      <c r="BX185" s="78"/>
      <c r="BY185" s="78">
        <f t="shared" si="155"/>
        <v>0</v>
      </c>
      <c r="BZ185" s="78">
        <f t="shared" si="156"/>
        <v>0</v>
      </c>
      <c r="CA185" s="78">
        <f t="shared" si="157"/>
        <v>0</v>
      </c>
      <c r="CB185" s="78">
        <f t="shared" si="158"/>
        <v>0</v>
      </c>
      <c r="CC185" s="78">
        <f t="shared" si="159"/>
        <v>0</v>
      </c>
      <c r="CD185" s="78">
        <f t="shared" si="160"/>
        <v>0</v>
      </c>
      <c r="CE185" s="78">
        <f t="shared" si="161"/>
        <v>0</v>
      </c>
      <c r="CF185" s="78">
        <f t="shared" si="162"/>
        <v>0</v>
      </c>
      <c r="CG185" s="78"/>
      <c r="CH185" s="92">
        <f t="shared" si="163"/>
        <v>0</v>
      </c>
      <c r="CI185" s="93">
        <f t="shared" si="164"/>
        <v>0</v>
      </c>
      <c r="CJ185" s="94">
        <f t="shared" si="165"/>
        <v>0</v>
      </c>
      <c r="CL185" s="78">
        <f t="shared" si="166"/>
        <v>0</v>
      </c>
      <c r="CM185" s="78">
        <f t="shared" si="167"/>
        <v>0</v>
      </c>
      <c r="CN185" s="78">
        <f t="shared" si="168"/>
        <v>0</v>
      </c>
      <c r="CO185" s="78">
        <f t="shared" si="169"/>
        <v>0</v>
      </c>
    </row>
    <row r="186" spans="1:93" ht="13.5" thickBot="1">
      <c r="A186" s="95"/>
      <c r="B186" s="96"/>
      <c r="C186" s="97"/>
      <c r="D186" s="98"/>
      <c r="E186" s="99"/>
      <c r="F186" s="100"/>
      <c r="G186" s="100"/>
      <c r="H186" s="100"/>
      <c r="I186" s="100"/>
      <c r="J186" s="100"/>
      <c r="K186" s="101" t="str">
        <f t="shared" si="170"/>
        <v/>
      </c>
      <c r="L186" s="102"/>
      <c r="M186" s="103"/>
      <c r="N186" s="104"/>
      <c r="O186" s="105"/>
      <c r="P186" s="106">
        <f t="shared" si="171"/>
        <v>0</v>
      </c>
      <c r="Q186" s="106">
        <f t="shared" si="172"/>
        <v>0</v>
      </c>
      <c r="R186" s="106">
        <f t="shared" si="173"/>
        <v>0</v>
      </c>
      <c r="S186" s="106">
        <f t="shared" si="174"/>
        <v>0</v>
      </c>
      <c r="T186" s="107">
        <f t="shared" si="175"/>
        <v>0</v>
      </c>
      <c r="U186" s="78"/>
      <c r="AG186" s="108"/>
      <c r="AI186" s="78">
        <f t="shared" si="119"/>
        <v>0</v>
      </c>
      <c r="AJ186" s="78">
        <f t="shared" si="120"/>
        <v>0</v>
      </c>
      <c r="AK186" s="78">
        <f t="shared" si="121"/>
        <v>0</v>
      </c>
      <c r="AL186" s="78">
        <f t="shared" si="122"/>
        <v>0</v>
      </c>
      <c r="AM186" s="78">
        <f t="shared" si="123"/>
        <v>0</v>
      </c>
      <c r="AN186" s="78">
        <f t="shared" si="124"/>
        <v>0</v>
      </c>
      <c r="AO186" s="78">
        <f t="shared" si="125"/>
        <v>0</v>
      </c>
      <c r="AP186" s="78">
        <f t="shared" si="126"/>
        <v>0</v>
      </c>
      <c r="AQ186" s="78">
        <f t="shared" si="127"/>
        <v>0</v>
      </c>
      <c r="AR186" s="78">
        <f t="shared" si="128"/>
        <v>0</v>
      </c>
      <c r="AS186" s="90">
        <f t="shared" si="129"/>
        <v>0</v>
      </c>
      <c r="AT186" s="91">
        <f t="shared" si="130"/>
        <v>0</v>
      </c>
      <c r="AV186" s="91">
        <f t="shared" si="131"/>
        <v>0</v>
      </c>
      <c r="AW186" s="78">
        <f t="shared" si="132"/>
        <v>0</v>
      </c>
      <c r="AX186" s="78">
        <f t="shared" si="133"/>
        <v>0</v>
      </c>
      <c r="AY186" s="78"/>
      <c r="AZ186" s="78">
        <f t="shared" si="134"/>
        <v>0</v>
      </c>
      <c r="BA186" s="78">
        <f t="shared" si="135"/>
        <v>0</v>
      </c>
      <c r="BB186" s="78">
        <f t="shared" si="136"/>
        <v>0</v>
      </c>
      <c r="BC186" s="78">
        <f t="shared" si="137"/>
        <v>0</v>
      </c>
      <c r="BD186" s="78">
        <f t="shared" si="138"/>
        <v>0</v>
      </c>
      <c r="BE186" s="78">
        <f t="shared" si="139"/>
        <v>0</v>
      </c>
      <c r="BF186" s="78">
        <f t="shared" si="140"/>
        <v>0</v>
      </c>
      <c r="BG186" s="78">
        <f t="shared" si="141"/>
        <v>0</v>
      </c>
      <c r="BH186" s="78">
        <f t="shared" si="142"/>
        <v>0</v>
      </c>
      <c r="BI186" s="78"/>
      <c r="BJ186" s="91">
        <f t="shared" si="143"/>
        <v>0</v>
      </c>
      <c r="BK186" s="91">
        <f t="shared" si="144"/>
        <v>0</v>
      </c>
      <c r="BL186" s="78"/>
      <c r="BM186" s="78">
        <f t="shared" si="145"/>
        <v>0</v>
      </c>
      <c r="BN186" s="78">
        <f t="shared" si="146"/>
        <v>0</v>
      </c>
      <c r="BO186" s="78">
        <f t="shared" si="147"/>
        <v>0</v>
      </c>
      <c r="BP186" s="78">
        <f t="shared" si="148"/>
        <v>0</v>
      </c>
      <c r="BQ186" s="78">
        <f t="shared" si="149"/>
        <v>0</v>
      </c>
      <c r="BR186" s="78">
        <f t="shared" si="150"/>
        <v>0</v>
      </c>
      <c r="BS186" s="78">
        <f t="shared" si="151"/>
        <v>0</v>
      </c>
      <c r="BT186" s="78">
        <f t="shared" si="152"/>
        <v>0</v>
      </c>
      <c r="BU186" s="91">
        <f t="shared" si="153"/>
        <v>0</v>
      </c>
      <c r="BV186" s="91">
        <f t="shared" si="154"/>
        <v>0</v>
      </c>
      <c r="BW186" s="78"/>
      <c r="BX186" s="78"/>
      <c r="BY186" s="78">
        <f t="shared" si="155"/>
        <v>0</v>
      </c>
      <c r="BZ186" s="78">
        <f t="shared" si="156"/>
        <v>0</v>
      </c>
      <c r="CA186" s="78">
        <f t="shared" si="157"/>
        <v>0</v>
      </c>
      <c r="CB186" s="78">
        <f t="shared" si="158"/>
        <v>0</v>
      </c>
      <c r="CC186" s="78">
        <f t="shared" si="159"/>
        <v>0</v>
      </c>
      <c r="CD186" s="78">
        <f t="shared" si="160"/>
        <v>0</v>
      </c>
      <c r="CE186" s="78">
        <f t="shared" si="161"/>
        <v>0</v>
      </c>
      <c r="CF186" s="78">
        <f t="shared" si="162"/>
        <v>0</v>
      </c>
      <c r="CG186" s="78"/>
      <c r="CH186" s="92">
        <f t="shared" si="163"/>
        <v>0</v>
      </c>
      <c r="CI186" s="93">
        <f t="shared" si="164"/>
        <v>0</v>
      </c>
      <c r="CJ186" s="94">
        <f t="shared" si="165"/>
        <v>0</v>
      </c>
      <c r="CL186" s="78">
        <f t="shared" si="166"/>
        <v>0</v>
      </c>
      <c r="CM186" s="78">
        <f t="shared" si="167"/>
        <v>0</v>
      </c>
      <c r="CN186" s="78">
        <f t="shared" si="168"/>
        <v>0</v>
      </c>
      <c r="CO186" s="78">
        <f t="shared" si="169"/>
        <v>0</v>
      </c>
    </row>
    <row r="187" spans="1:93" ht="13.5" thickBot="1">
      <c r="A187" s="95"/>
      <c r="B187" s="96"/>
      <c r="C187" s="97"/>
      <c r="D187" s="98"/>
      <c r="E187" s="99"/>
      <c r="F187" s="100"/>
      <c r="G187" s="100"/>
      <c r="H187" s="100"/>
      <c r="I187" s="100"/>
      <c r="J187" s="100"/>
      <c r="K187" s="101" t="str">
        <f t="shared" si="170"/>
        <v/>
      </c>
      <c r="L187" s="102"/>
      <c r="M187" s="103"/>
      <c r="N187" s="104"/>
      <c r="O187" s="105"/>
      <c r="P187" s="106">
        <f t="shared" si="171"/>
        <v>0</v>
      </c>
      <c r="Q187" s="106">
        <f t="shared" si="172"/>
        <v>0</v>
      </c>
      <c r="R187" s="106">
        <f t="shared" si="173"/>
        <v>0</v>
      </c>
      <c r="S187" s="106">
        <f t="shared" si="174"/>
        <v>0</v>
      </c>
      <c r="T187" s="107">
        <f t="shared" si="175"/>
        <v>0</v>
      </c>
      <c r="U187" s="78"/>
      <c r="AG187" s="108"/>
      <c r="AI187" s="78">
        <f t="shared" si="119"/>
        <v>0</v>
      </c>
      <c r="AJ187" s="78">
        <f t="shared" si="120"/>
        <v>0</v>
      </c>
      <c r="AK187" s="78">
        <f t="shared" si="121"/>
        <v>0</v>
      </c>
      <c r="AL187" s="78">
        <f t="shared" si="122"/>
        <v>0</v>
      </c>
      <c r="AM187" s="78">
        <f t="shared" si="123"/>
        <v>0</v>
      </c>
      <c r="AN187" s="78">
        <f t="shared" si="124"/>
        <v>0</v>
      </c>
      <c r="AO187" s="78">
        <f t="shared" si="125"/>
        <v>0</v>
      </c>
      <c r="AP187" s="78">
        <f t="shared" si="126"/>
        <v>0</v>
      </c>
      <c r="AQ187" s="78">
        <f t="shared" si="127"/>
        <v>0</v>
      </c>
      <c r="AR187" s="78">
        <f t="shared" si="128"/>
        <v>0</v>
      </c>
      <c r="AS187" s="90">
        <f t="shared" si="129"/>
        <v>0</v>
      </c>
      <c r="AT187" s="91">
        <f t="shared" si="130"/>
        <v>0</v>
      </c>
      <c r="AV187" s="91">
        <f t="shared" si="131"/>
        <v>0</v>
      </c>
      <c r="AW187" s="78">
        <f t="shared" si="132"/>
        <v>0</v>
      </c>
      <c r="AX187" s="78">
        <f t="shared" si="133"/>
        <v>0</v>
      </c>
      <c r="AY187" s="78"/>
      <c r="AZ187" s="78">
        <f t="shared" si="134"/>
        <v>0</v>
      </c>
      <c r="BA187" s="78">
        <f t="shared" si="135"/>
        <v>0</v>
      </c>
      <c r="BB187" s="78">
        <f t="shared" si="136"/>
        <v>0</v>
      </c>
      <c r="BC187" s="78">
        <f t="shared" si="137"/>
        <v>0</v>
      </c>
      <c r="BD187" s="78">
        <f t="shared" si="138"/>
        <v>0</v>
      </c>
      <c r="BE187" s="78">
        <f t="shared" si="139"/>
        <v>0</v>
      </c>
      <c r="BF187" s="78">
        <f t="shared" si="140"/>
        <v>0</v>
      </c>
      <c r="BG187" s="78">
        <f t="shared" si="141"/>
        <v>0</v>
      </c>
      <c r="BH187" s="78">
        <f t="shared" si="142"/>
        <v>0</v>
      </c>
      <c r="BI187" s="78"/>
      <c r="BJ187" s="91">
        <f t="shared" si="143"/>
        <v>0</v>
      </c>
      <c r="BK187" s="91">
        <f t="shared" si="144"/>
        <v>0</v>
      </c>
      <c r="BL187" s="78"/>
      <c r="BM187" s="78">
        <f t="shared" si="145"/>
        <v>0</v>
      </c>
      <c r="BN187" s="78">
        <f t="shared" si="146"/>
        <v>0</v>
      </c>
      <c r="BO187" s="78">
        <f t="shared" si="147"/>
        <v>0</v>
      </c>
      <c r="BP187" s="78">
        <f t="shared" si="148"/>
        <v>0</v>
      </c>
      <c r="BQ187" s="78">
        <f t="shared" si="149"/>
        <v>0</v>
      </c>
      <c r="BR187" s="78">
        <f t="shared" si="150"/>
        <v>0</v>
      </c>
      <c r="BS187" s="78">
        <f t="shared" si="151"/>
        <v>0</v>
      </c>
      <c r="BT187" s="78">
        <f t="shared" si="152"/>
        <v>0</v>
      </c>
      <c r="BU187" s="91">
        <f t="shared" si="153"/>
        <v>0</v>
      </c>
      <c r="BV187" s="91">
        <f t="shared" si="154"/>
        <v>0</v>
      </c>
      <c r="BW187" s="78"/>
      <c r="BX187" s="78"/>
      <c r="BY187" s="78">
        <f t="shared" si="155"/>
        <v>0</v>
      </c>
      <c r="BZ187" s="78">
        <f t="shared" si="156"/>
        <v>0</v>
      </c>
      <c r="CA187" s="78">
        <f t="shared" si="157"/>
        <v>0</v>
      </c>
      <c r="CB187" s="78">
        <f t="shared" si="158"/>
        <v>0</v>
      </c>
      <c r="CC187" s="78">
        <f t="shared" si="159"/>
        <v>0</v>
      </c>
      <c r="CD187" s="78">
        <f t="shared" si="160"/>
        <v>0</v>
      </c>
      <c r="CE187" s="78">
        <f t="shared" si="161"/>
        <v>0</v>
      </c>
      <c r="CF187" s="78">
        <f t="shared" si="162"/>
        <v>0</v>
      </c>
      <c r="CG187" s="78"/>
      <c r="CH187" s="92">
        <f t="shared" si="163"/>
        <v>0</v>
      </c>
      <c r="CI187" s="93">
        <f t="shared" si="164"/>
        <v>0</v>
      </c>
      <c r="CJ187" s="94">
        <f t="shared" si="165"/>
        <v>0</v>
      </c>
      <c r="CL187" s="78">
        <f t="shared" si="166"/>
        <v>0</v>
      </c>
      <c r="CM187" s="78">
        <f t="shared" si="167"/>
        <v>0</v>
      </c>
      <c r="CN187" s="78">
        <f t="shared" si="168"/>
        <v>0</v>
      </c>
      <c r="CO187" s="78">
        <f t="shared" si="169"/>
        <v>0</v>
      </c>
    </row>
    <row r="188" spans="1:93" ht="13.5" thickBot="1">
      <c r="A188" s="95"/>
      <c r="B188" s="96"/>
      <c r="C188" s="97"/>
      <c r="D188" s="98"/>
      <c r="E188" s="99"/>
      <c r="F188" s="100"/>
      <c r="G188" s="100"/>
      <c r="H188" s="100"/>
      <c r="I188" s="100"/>
      <c r="J188" s="100"/>
      <c r="K188" s="101" t="str">
        <f t="shared" si="170"/>
        <v/>
      </c>
      <c r="L188" s="102"/>
      <c r="M188" s="103"/>
      <c r="N188" s="104"/>
      <c r="O188" s="105"/>
      <c r="P188" s="106">
        <f t="shared" si="171"/>
        <v>0</v>
      </c>
      <c r="Q188" s="106">
        <f t="shared" si="172"/>
        <v>0</v>
      </c>
      <c r="R188" s="106">
        <f t="shared" si="173"/>
        <v>0</v>
      </c>
      <c r="S188" s="106">
        <f t="shared" si="174"/>
        <v>0</v>
      </c>
      <c r="T188" s="107">
        <f t="shared" si="175"/>
        <v>0</v>
      </c>
      <c r="U188" s="78"/>
      <c r="AG188" s="108"/>
      <c r="AI188" s="78">
        <f t="shared" si="119"/>
        <v>0</v>
      </c>
      <c r="AJ188" s="78">
        <f t="shared" si="120"/>
        <v>0</v>
      </c>
      <c r="AK188" s="78">
        <f t="shared" si="121"/>
        <v>0</v>
      </c>
      <c r="AL188" s="78">
        <f t="shared" si="122"/>
        <v>0</v>
      </c>
      <c r="AM188" s="78">
        <f t="shared" si="123"/>
        <v>0</v>
      </c>
      <c r="AN188" s="78">
        <f t="shared" si="124"/>
        <v>0</v>
      </c>
      <c r="AO188" s="78">
        <f t="shared" si="125"/>
        <v>0</v>
      </c>
      <c r="AP188" s="78">
        <f t="shared" si="126"/>
        <v>0</v>
      </c>
      <c r="AQ188" s="78">
        <f t="shared" si="127"/>
        <v>0</v>
      </c>
      <c r="AR188" s="78">
        <f t="shared" si="128"/>
        <v>0</v>
      </c>
      <c r="AS188" s="90">
        <f t="shared" si="129"/>
        <v>0</v>
      </c>
      <c r="AT188" s="91">
        <f t="shared" si="130"/>
        <v>0</v>
      </c>
      <c r="AV188" s="91">
        <f t="shared" si="131"/>
        <v>0</v>
      </c>
      <c r="AW188" s="78">
        <f t="shared" si="132"/>
        <v>0</v>
      </c>
      <c r="AX188" s="78">
        <f t="shared" si="133"/>
        <v>0</v>
      </c>
      <c r="AY188" s="78"/>
      <c r="AZ188" s="78">
        <f t="shared" si="134"/>
        <v>0</v>
      </c>
      <c r="BA188" s="78">
        <f t="shared" si="135"/>
        <v>0</v>
      </c>
      <c r="BB188" s="78">
        <f t="shared" si="136"/>
        <v>0</v>
      </c>
      <c r="BC188" s="78">
        <f t="shared" si="137"/>
        <v>0</v>
      </c>
      <c r="BD188" s="78">
        <f t="shared" si="138"/>
        <v>0</v>
      </c>
      <c r="BE188" s="78">
        <f t="shared" si="139"/>
        <v>0</v>
      </c>
      <c r="BF188" s="78">
        <f t="shared" si="140"/>
        <v>0</v>
      </c>
      <c r="BG188" s="78">
        <f t="shared" si="141"/>
        <v>0</v>
      </c>
      <c r="BH188" s="78">
        <f t="shared" si="142"/>
        <v>0</v>
      </c>
      <c r="BI188" s="78"/>
      <c r="BJ188" s="91">
        <f t="shared" si="143"/>
        <v>0</v>
      </c>
      <c r="BK188" s="91">
        <f t="shared" si="144"/>
        <v>0</v>
      </c>
      <c r="BL188" s="78"/>
      <c r="BM188" s="78">
        <f t="shared" si="145"/>
        <v>0</v>
      </c>
      <c r="BN188" s="78">
        <f t="shared" si="146"/>
        <v>0</v>
      </c>
      <c r="BO188" s="78">
        <f t="shared" si="147"/>
        <v>0</v>
      </c>
      <c r="BP188" s="78">
        <f t="shared" si="148"/>
        <v>0</v>
      </c>
      <c r="BQ188" s="78">
        <f t="shared" si="149"/>
        <v>0</v>
      </c>
      <c r="BR188" s="78">
        <f t="shared" si="150"/>
        <v>0</v>
      </c>
      <c r="BS188" s="78">
        <f t="shared" si="151"/>
        <v>0</v>
      </c>
      <c r="BT188" s="78">
        <f t="shared" si="152"/>
        <v>0</v>
      </c>
      <c r="BU188" s="91">
        <f t="shared" si="153"/>
        <v>0</v>
      </c>
      <c r="BV188" s="91">
        <f t="shared" si="154"/>
        <v>0</v>
      </c>
      <c r="BW188" s="78"/>
      <c r="BX188" s="78"/>
      <c r="BY188" s="78">
        <f t="shared" si="155"/>
        <v>0</v>
      </c>
      <c r="BZ188" s="78">
        <f t="shared" si="156"/>
        <v>0</v>
      </c>
      <c r="CA188" s="78">
        <f t="shared" si="157"/>
        <v>0</v>
      </c>
      <c r="CB188" s="78">
        <f t="shared" si="158"/>
        <v>0</v>
      </c>
      <c r="CC188" s="78">
        <f t="shared" si="159"/>
        <v>0</v>
      </c>
      <c r="CD188" s="78">
        <f t="shared" si="160"/>
        <v>0</v>
      </c>
      <c r="CE188" s="78">
        <f t="shared" si="161"/>
        <v>0</v>
      </c>
      <c r="CF188" s="78">
        <f t="shared" si="162"/>
        <v>0</v>
      </c>
      <c r="CG188" s="78"/>
      <c r="CH188" s="92">
        <f t="shared" si="163"/>
        <v>0</v>
      </c>
      <c r="CI188" s="93">
        <f t="shared" si="164"/>
        <v>0</v>
      </c>
      <c r="CJ188" s="94">
        <f t="shared" si="165"/>
        <v>0</v>
      </c>
      <c r="CL188" s="78">
        <f t="shared" si="166"/>
        <v>0</v>
      </c>
      <c r="CM188" s="78">
        <f t="shared" si="167"/>
        <v>0</v>
      </c>
      <c r="CN188" s="78">
        <f t="shared" si="168"/>
        <v>0</v>
      </c>
      <c r="CO188" s="78">
        <f t="shared" si="169"/>
        <v>0</v>
      </c>
    </row>
    <row r="189" spans="1:93" ht="13.5" thickBot="1">
      <c r="A189" s="95"/>
      <c r="B189" s="96"/>
      <c r="C189" s="97"/>
      <c r="D189" s="98"/>
      <c r="E189" s="99"/>
      <c r="F189" s="100"/>
      <c r="G189" s="100"/>
      <c r="H189" s="100"/>
      <c r="I189" s="100"/>
      <c r="J189" s="100"/>
      <c r="K189" s="101" t="str">
        <f t="shared" si="170"/>
        <v/>
      </c>
      <c r="L189" s="102"/>
      <c r="M189" s="103"/>
      <c r="N189" s="104"/>
      <c r="O189" s="105"/>
      <c r="P189" s="106">
        <f t="shared" si="171"/>
        <v>0</v>
      </c>
      <c r="Q189" s="106">
        <f t="shared" si="172"/>
        <v>0</v>
      </c>
      <c r="R189" s="106">
        <f t="shared" si="173"/>
        <v>0</v>
      </c>
      <c r="S189" s="106">
        <f t="shared" si="174"/>
        <v>0</v>
      </c>
      <c r="T189" s="107">
        <f t="shared" si="175"/>
        <v>0</v>
      </c>
      <c r="U189" s="78"/>
      <c r="AG189" s="108"/>
      <c r="AI189" s="78">
        <f t="shared" si="119"/>
        <v>0</v>
      </c>
      <c r="AJ189" s="78">
        <f t="shared" si="120"/>
        <v>0</v>
      </c>
      <c r="AK189" s="78">
        <f t="shared" si="121"/>
        <v>0</v>
      </c>
      <c r="AL189" s="78">
        <f t="shared" si="122"/>
        <v>0</v>
      </c>
      <c r="AM189" s="78">
        <f t="shared" si="123"/>
        <v>0</v>
      </c>
      <c r="AN189" s="78">
        <f t="shared" si="124"/>
        <v>0</v>
      </c>
      <c r="AO189" s="78">
        <f t="shared" si="125"/>
        <v>0</v>
      </c>
      <c r="AP189" s="78">
        <f t="shared" si="126"/>
        <v>0</v>
      </c>
      <c r="AQ189" s="78">
        <f t="shared" si="127"/>
        <v>0</v>
      </c>
      <c r="AR189" s="78">
        <f t="shared" si="128"/>
        <v>0</v>
      </c>
      <c r="AS189" s="90">
        <f t="shared" si="129"/>
        <v>0</v>
      </c>
      <c r="AT189" s="91">
        <f t="shared" si="130"/>
        <v>0</v>
      </c>
      <c r="AV189" s="91">
        <f t="shared" si="131"/>
        <v>0</v>
      </c>
      <c r="AW189" s="78">
        <f t="shared" si="132"/>
        <v>0</v>
      </c>
      <c r="AX189" s="78">
        <f t="shared" si="133"/>
        <v>0</v>
      </c>
      <c r="AY189" s="78"/>
      <c r="AZ189" s="78">
        <f t="shared" si="134"/>
        <v>0</v>
      </c>
      <c r="BA189" s="78">
        <f t="shared" si="135"/>
        <v>0</v>
      </c>
      <c r="BB189" s="78">
        <f t="shared" si="136"/>
        <v>0</v>
      </c>
      <c r="BC189" s="78">
        <f t="shared" si="137"/>
        <v>0</v>
      </c>
      <c r="BD189" s="78">
        <f t="shared" si="138"/>
        <v>0</v>
      </c>
      <c r="BE189" s="78">
        <f t="shared" si="139"/>
        <v>0</v>
      </c>
      <c r="BF189" s="78">
        <f t="shared" si="140"/>
        <v>0</v>
      </c>
      <c r="BG189" s="78">
        <f t="shared" si="141"/>
        <v>0</v>
      </c>
      <c r="BH189" s="78">
        <f t="shared" si="142"/>
        <v>0</v>
      </c>
      <c r="BI189" s="78"/>
      <c r="BJ189" s="91">
        <f t="shared" si="143"/>
        <v>0</v>
      </c>
      <c r="BK189" s="91">
        <f t="shared" si="144"/>
        <v>0</v>
      </c>
      <c r="BL189" s="78"/>
      <c r="BM189" s="78">
        <f t="shared" si="145"/>
        <v>0</v>
      </c>
      <c r="BN189" s="78">
        <f t="shared" si="146"/>
        <v>0</v>
      </c>
      <c r="BO189" s="78">
        <f t="shared" si="147"/>
        <v>0</v>
      </c>
      <c r="BP189" s="78">
        <f t="shared" si="148"/>
        <v>0</v>
      </c>
      <c r="BQ189" s="78">
        <f t="shared" si="149"/>
        <v>0</v>
      </c>
      <c r="BR189" s="78">
        <f t="shared" si="150"/>
        <v>0</v>
      </c>
      <c r="BS189" s="78">
        <f t="shared" si="151"/>
        <v>0</v>
      </c>
      <c r="BT189" s="78">
        <f t="shared" si="152"/>
        <v>0</v>
      </c>
      <c r="BU189" s="91">
        <f t="shared" si="153"/>
        <v>0</v>
      </c>
      <c r="BV189" s="91">
        <f t="shared" si="154"/>
        <v>0</v>
      </c>
      <c r="BW189" s="78"/>
      <c r="BX189" s="78"/>
      <c r="BY189" s="78">
        <f t="shared" si="155"/>
        <v>0</v>
      </c>
      <c r="BZ189" s="78">
        <f t="shared" si="156"/>
        <v>0</v>
      </c>
      <c r="CA189" s="78">
        <f t="shared" si="157"/>
        <v>0</v>
      </c>
      <c r="CB189" s="78">
        <f t="shared" si="158"/>
        <v>0</v>
      </c>
      <c r="CC189" s="78">
        <f t="shared" si="159"/>
        <v>0</v>
      </c>
      <c r="CD189" s="78">
        <f t="shared" si="160"/>
        <v>0</v>
      </c>
      <c r="CE189" s="78">
        <f t="shared" si="161"/>
        <v>0</v>
      </c>
      <c r="CF189" s="78">
        <f t="shared" si="162"/>
        <v>0</v>
      </c>
      <c r="CG189" s="78"/>
      <c r="CH189" s="92">
        <f t="shared" si="163"/>
        <v>0</v>
      </c>
      <c r="CI189" s="93">
        <f t="shared" si="164"/>
        <v>0</v>
      </c>
      <c r="CJ189" s="94">
        <f t="shared" si="165"/>
        <v>0</v>
      </c>
      <c r="CL189" s="78">
        <f t="shared" si="166"/>
        <v>0</v>
      </c>
      <c r="CM189" s="78">
        <f t="shared" si="167"/>
        <v>0</v>
      </c>
      <c r="CN189" s="78">
        <f t="shared" si="168"/>
        <v>0</v>
      </c>
      <c r="CO189" s="78">
        <f t="shared" si="169"/>
        <v>0</v>
      </c>
    </row>
    <row r="190" spans="1:93" ht="13.5" thickBot="1">
      <c r="A190" s="95"/>
      <c r="B190" s="96"/>
      <c r="C190" s="97"/>
      <c r="D190" s="98"/>
      <c r="E190" s="99"/>
      <c r="F190" s="100"/>
      <c r="G190" s="100"/>
      <c r="H190" s="100"/>
      <c r="I190" s="100"/>
      <c r="J190" s="100"/>
      <c r="K190" s="101" t="str">
        <f t="shared" si="170"/>
        <v/>
      </c>
      <c r="L190" s="102"/>
      <c r="M190" s="103"/>
      <c r="N190" s="104"/>
      <c r="O190" s="105"/>
      <c r="P190" s="106">
        <f t="shared" si="171"/>
        <v>0</v>
      </c>
      <c r="Q190" s="106">
        <f t="shared" si="172"/>
        <v>0</v>
      </c>
      <c r="R190" s="106">
        <f t="shared" si="173"/>
        <v>0</v>
      </c>
      <c r="S190" s="106">
        <f t="shared" si="174"/>
        <v>0</v>
      </c>
      <c r="T190" s="107">
        <f t="shared" si="175"/>
        <v>0</v>
      </c>
      <c r="U190" s="78"/>
      <c r="AG190" s="108"/>
      <c r="AI190" s="78">
        <f t="shared" si="119"/>
        <v>0</v>
      </c>
      <c r="AJ190" s="78">
        <f t="shared" si="120"/>
        <v>0</v>
      </c>
      <c r="AK190" s="78">
        <f t="shared" si="121"/>
        <v>0</v>
      </c>
      <c r="AL190" s="78">
        <f t="shared" si="122"/>
        <v>0</v>
      </c>
      <c r="AM190" s="78">
        <f t="shared" si="123"/>
        <v>0</v>
      </c>
      <c r="AN190" s="78">
        <f t="shared" si="124"/>
        <v>0</v>
      </c>
      <c r="AO190" s="78">
        <f t="shared" si="125"/>
        <v>0</v>
      </c>
      <c r="AP190" s="78">
        <f t="shared" si="126"/>
        <v>0</v>
      </c>
      <c r="AQ190" s="78">
        <f t="shared" si="127"/>
        <v>0</v>
      </c>
      <c r="AR190" s="78">
        <f t="shared" si="128"/>
        <v>0</v>
      </c>
      <c r="AS190" s="90">
        <f t="shared" si="129"/>
        <v>0</v>
      </c>
      <c r="AT190" s="91">
        <f t="shared" si="130"/>
        <v>0</v>
      </c>
      <c r="AV190" s="91">
        <f t="shared" si="131"/>
        <v>0</v>
      </c>
      <c r="AW190" s="78">
        <f t="shared" si="132"/>
        <v>0</v>
      </c>
      <c r="AX190" s="78">
        <f t="shared" si="133"/>
        <v>0</v>
      </c>
      <c r="AY190" s="78"/>
      <c r="AZ190" s="78">
        <f t="shared" si="134"/>
        <v>0</v>
      </c>
      <c r="BA190" s="78">
        <f t="shared" si="135"/>
        <v>0</v>
      </c>
      <c r="BB190" s="78">
        <f t="shared" si="136"/>
        <v>0</v>
      </c>
      <c r="BC190" s="78">
        <f t="shared" si="137"/>
        <v>0</v>
      </c>
      <c r="BD190" s="78">
        <f t="shared" si="138"/>
        <v>0</v>
      </c>
      <c r="BE190" s="78">
        <f t="shared" si="139"/>
        <v>0</v>
      </c>
      <c r="BF190" s="78">
        <f t="shared" si="140"/>
        <v>0</v>
      </c>
      <c r="BG190" s="78">
        <f t="shared" si="141"/>
        <v>0</v>
      </c>
      <c r="BH190" s="78">
        <f t="shared" si="142"/>
        <v>0</v>
      </c>
      <c r="BI190" s="78"/>
      <c r="BJ190" s="91">
        <f t="shared" si="143"/>
        <v>0</v>
      </c>
      <c r="BK190" s="91">
        <f t="shared" si="144"/>
        <v>0</v>
      </c>
      <c r="BL190" s="78"/>
      <c r="BM190" s="78">
        <f t="shared" si="145"/>
        <v>0</v>
      </c>
      <c r="BN190" s="78">
        <f t="shared" si="146"/>
        <v>0</v>
      </c>
      <c r="BO190" s="78">
        <f t="shared" si="147"/>
        <v>0</v>
      </c>
      <c r="BP190" s="78">
        <f t="shared" si="148"/>
        <v>0</v>
      </c>
      <c r="BQ190" s="78">
        <f t="shared" si="149"/>
        <v>0</v>
      </c>
      <c r="BR190" s="78">
        <f t="shared" si="150"/>
        <v>0</v>
      </c>
      <c r="BS190" s="78">
        <f t="shared" si="151"/>
        <v>0</v>
      </c>
      <c r="BT190" s="78">
        <f t="shared" si="152"/>
        <v>0</v>
      </c>
      <c r="BU190" s="91">
        <f t="shared" si="153"/>
        <v>0</v>
      </c>
      <c r="BV190" s="91">
        <f t="shared" si="154"/>
        <v>0</v>
      </c>
      <c r="BW190" s="78"/>
      <c r="BX190" s="78"/>
      <c r="BY190" s="78">
        <f t="shared" si="155"/>
        <v>0</v>
      </c>
      <c r="BZ190" s="78">
        <f t="shared" si="156"/>
        <v>0</v>
      </c>
      <c r="CA190" s="78">
        <f t="shared" si="157"/>
        <v>0</v>
      </c>
      <c r="CB190" s="78">
        <f t="shared" si="158"/>
        <v>0</v>
      </c>
      <c r="CC190" s="78">
        <f t="shared" si="159"/>
        <v>0</v>
      </c>
      <c r="CD190" s="78">
        <f t="shared" si="160"/>
        <v>0</v>
      </c>
      <c r="CE190" s="78">
        <f t="shared" si="161"/>
        <v>0</v>
      </c>
      <c r="CF190" s="78">
        <f t="shared" si="162"/>
        <v>0</v>
      </c>
      <c r="CG190" s="78"/>
      <c r="CH190" s="92">
        <f t="shared" si="163"/>
        <v>0</v>
      </c>
      <c r="CI190" s="93">
        <f t="shared" si="164"/>
        <v>0</v>
      </c>
      <c r="CJ190" s="94">
        <f t="shared" si="165"/>
        <v>0</v>
      </c>
      <c r="CL190" s="78">
        <f t="shared" si="166"/>
        <v>0</v>
      </c>
      <c r="CM190" s="78">
        <f t="shared" si="167"/>
        <v>0</v>
      </c>
      <c r="CN190" s="78">
        <f t="shared" si="168"/>
        <v>0</v>
      </c>
      <c r="CO190" s="78">
        <f t="shared" si="169"/>
        <v>0</v>
      </c>
    </row>
    <row r="191" spans="1:93" ht="13.5" thickBot="1">
      <c r="A191" s="95"/>
      <c r="B191" s="96"/>
      <c r="C191" s="97"/>
      <c r="D191" s="98"/>
      <c r="E191" s="99"/>
      <c r="F191" s="100"/>
      <c r="G191" s="100"/>
      <c r="H191" s="100"/>
      <c r="I191" s="100"/>
      <c r="J191" s="100"/>
      <c r="K191" s="101" t="str">
        <f t="shared" si="170"/>
        <v/>
      </c>
      <c r="L191" s="102"/>
      <c r="M191" s="103"/>
      <c r="N191" s="104"/>
      <c r="O191" s="105"/>
      <c r="P191" s="106">
        <f t="shared" si="171"/>
        <v>0</v>
      </c>
      <c r="Q191" s="106">
        <f t="shared" si="172"/>
        <v>0</v>
      </c>
      <c r="R191" s="106">
        <f t="shared" si="173"/>
        <v>0</v>
      </c>
      <c r="S191" s="106">
        <f t="shared" si="174"/>
        <v>0</v>
      </c>
      <c r="T191" s="107">
        <f t="shared" si="175"/>
        <v>0</v>
      </c>
      <c r="U191" s="78"/>
      <c r="AG191" s="108"/>
      <c r="AI191" s="78">
        <f t="shared" si="119"/>
        <v>0</v>
      </c>
      <c r="AJ191" s="78">
        <f t="shared" si="120"/>
        <v>0</v>
      </c>
      <c r="AK191" s="78">
        <f t="shared" si="121"/>
        <v>0</v>
      </c>
      <c r="AL191" s="78">
        <f t="shared" si="122"/>
        <v>0</v>
      </c>
      <c r="AM191" s="78">
        <f t="shared" si="123"/>
        <v>0</v>
      </c>
      <c r="AN191" s="78">
        <f t="shared" si="124"/>
        <v>0</v>
      </c>
      <c r="AO191" s="78">
        <f t="shared" si="125"/>
        <v>0</v>
      </c>
      <c r="AP191" s="78">
        <f t="shared" si="126"/>
        <v>0</v>
      </c>
      <c r="AQ191" s="78">
        <f t="shared" si="127"/>
        <v>0</v>
      </c>
      <c r="AR191" s="78">
        <f t="shared" si="128"/>
        <v>0</v>
      </c>
      <c r="AS191" s="90">
        <f t="shared" si="129"/>
        <v>0</v>
      </c>
      <c r="AT191" s="91">
        <f t="shared" si="130"/>
        <v>0</v>
      </c>
      <c r="AV191" s="91">
        <f t="shared" si="131"/>
        <v>0</v>
      </c>
      <c r="AW191" s="78">
        <f t="shared" si="132"/>
        <v>0</v>
      </c>
      <c r="AX191" s="78">
        <f t="shared" si="133"/>
        <v>0</v>
      </c>
      <c r="AY191" s="78"/>
      <c r="AZ191" s="78">
        <f t="shared" si="134"/>
        <v>0</v>
      </c>
      <c r="BA191" s="78">
        <f t="shared" si="135"/>
        <v>0</v>
      </c>
      <c r="BB191" s="78">
        <f t="shared" si="136"/>
        <v>0</v>
      </c>
      <c r="BC191" s="78">
        <f t="shared" si="137"/>
        <v>0</v>
      </c>
      <c r="BD191" s="78">
        <f t="shared" si="138"/>
        <v>0</v>
      </c>
      <c r="BE191" s="78">
        <f t="shared" si="139"/>
        <v>0</v>
      </c>
      <c r="BF191" s="78">
        <f t="shared" si="140"/>
        <v>0</v>
      </c>
      <c r="BG191" s="78">
        <f t="shared" si="141"/>
        <v>0</v>
      </c>
      <c r="BH191" s="78">
        <f t="shared" si="142"/>
        <v>0</v>
      </c>
      <c r="BI191" s="78"/>
      <c r="BJ191" s="91">
        <f t="shared" si="143"/>
        <v>0</v>
      </c>
      <c r="BK191" s="91">
        <f t="shared" si="144"/>
        <v>0</v>
      </c>
      <c r="BL191" s="78"/>
      <c r="BM191" s="78">
        <f t="shared" si="145"/>
        <v>0</v>
      </c>
      <c r="BN191" s="78">
        <f t="shared" si="146"/>
        <v>0</v>
      </c>
      <c r="BO191" s="78">
        <f t="shared" si="147"/>
        <v>0</v>
      </c>
      <c r="BP191" s="78">
        <f t="shared" si="148"/>
        <v>0</v>
      </c>
      <c r="BQ191" s="78">
        <f t="shared" si="149"/>
        <v>0</v>
      </c>
      <c r="BR191" s="78">
        <f t="shared" si="150"/>
        <v>0</v>
      </c>
      <c r="BS191" s="78">
        <f t="shared" si="151"/>
        <v>0</v>
      </c>
      <c r="BT191" s="78">
        <f t="shared" si="152"/>
        <v>0</v>
      </c>
      <c r="BU191" s="91">
        <f t="shared" si="153"/>
        <v>0</v>
      </c>
      <c r="BV191" s="91">
        <f t="shared" si="154"/>
        <v>0</v>
      </c>
      <c r="BW191" s="78"/>
      <c r="BX191" s="78"/>
      <c r="BY191" s="78">
        <f t="shared" si="155"/>
        <v>0</v>
      </c>
      <c r="BZ191" s="78">
        <f t="shared" si="156"/>
        <v>0</v>
      </c>
      <c r="CA191" s="78">
        <f t="shared" si="157"/>
        <v>0</v>
      </c>
      <c r="CB191" s="78">
        <f t="shared" si="158"/>
        <v>0</v>
      </c>
      <c r="CC191" s="78">
        <f t="shared" si="159"/>
        <v>0</v>
      </c>
      <c r="CD191" s="78">
        <f t="shared" si="160"/>
        <v>0</v>
      </c>
      <c r="CE191" s="78">
        <f t="shared" si="161"/>
        <v>0</v>
      </c>
      <c r="CF191" s="78">
        <f t="shared" si="162"/>
        <v>0</v>
      </c>
      <c r="CG191" s="78"/>
      <c r="CH191" s="92">
        <f t="shared" si="163"/>
        <v>0</v>
      </c>
      <c r="CI191" s="93">
        <f t="shared" si="164"/>
        <v>0</v>
      </c>
      <c r="CJ191" s="94">
        <f t="shared" si="165"/>
        <v>0</v>
      </c>
      <c r="CL191" s="78">
        <f t="shared" si="166"/>
        <v>0</v>
      </c>
      <c r="CM191" s="78">
        <f t="shared" si="167"/>
        <v>0</v>
      </c>
      <c r="CN191" s="78">
        <f t="shared" si="168"/>
        <v>0</v>
      </c>
      <c r="CO191" s="78">
        <f t="shared" si="169"/>
        <v>0</v>
      </c>
    </row>
    <row r="192" spans="1:93" ht="13.5" thickBot="1">
      <c r="A192" s="95"/>
      <c r="B192" s="96"/>
      <c r="C192" s="97"/>
      <c r="D192" s="98"/>
      <c r="E192" s="99"/>
      <c r="F192" s="100"/>
      <c r="G192" s="100"/>
      <c r="H192" s="100"/>
      <c r="I192" s="100"/>
      <c r="J192" s="100"/>
      <c r="K192" s="101" t="str">
        <f t="shared" si="170"/>
        <v/>
      </c>
      <c r="L192" s="102"/>
      <c r="M192" s="103"/>
      <c r="N192" s="104"/>
      <c r="O192" s="105"/>
      <c r="P192" s="106">
        <f t="shared" si="171"/>
        <v>0</v>
      </c>
      <c r="Q192" s="106">
        <f t="shared" si="172"/>
        <v>0</v>
      </c>
      <c r="R192" s="106">
        <f t="shared" si="173"/>
        <v>0</v>
      </c>
      <c r="S192" s="106">
        <f t="shared" si="174"/>
        <v>0</v>
      </c>
      <c r="T192" s="107">
        <f t="shared" si="175"/>
        <v>0</v>
      </c>
      <c r="U192" s="78"/>
      <c r="AG192" s="108"/>
      <c r="AI192" s="78">
        <f t="shared" si="119"/>
        <v>0</v>
      </c>
      <c r="AJ192" s="78">
        <f t="shared" si="120"/>
        <v>0</v>
      </c>
      <c r="AK192" s="78">
        <f t="shared" si="121"/>
        <v>0</v>
      </c>
      <c r="AL192" s="78">
        <f t="shared" si="122"/>
        <v>0</v>
      </c>
      <c r="AM192" s="78">
        <f t="shared" si="123"/>
        <v>0</v>
      </c>
      <c r="AN192" s="78">
        <f t="shared" si="124"/>
        <v>0</v>
      </c>
      <c r="AO192" s="78">
        <f t="shared" si="125"/>
        <v>0</v>
      </c>
      <c r="AP192" s="78">
        <f t="shared" si="126"/>
        <v>0</v>
      </c>
      <c r="AQ192" s="78">
        <f t="shared" si="127"/>
        <v>0</v>
      </c>
      <c r="AR192" s="78">
        <f t="shared" si="128"/>
        <v>0</v>
      </c>
      <c r="AS192" s="90">
        <f t="shared" si="129"/>
        <v>0</v>
      </c>
      <c r="AT192" s="91">
        <f t="shared" si="130"/>
        <v>0</v>
      </c>
      <c r="AV192" s="91">
        <f t="shared" si="131"/>
        <v>0</v>
      </c>
      <c r="AW192" s="78">
        <f t="shared" si="132"/>
        <v>0</v>
      </c>
      <c r="AX192" s="78">
        <f t="shared" si="133"/>
        <v>0</v>
      </c>
      <c r="AY192" s="78"/>
      <c r="AZ192" s="78">
        <f t="shared" si="134"/>
        <v>0</v>
      </c>
      <c r="BA192" s="78">
        <f t="shared" si="135"/>
        <v>0</v>
      </c>
      <c r="BB192" s="78">
        <f t="shared" si="136"/>
        <v>0</v>
      </c>
      <c r="BC192" s="78">
        <f t="shared" si="137"/>
        <v>0</v>
      </c>
      <c r="BD192" s="78">
        <f t="shared" si="138"/>
        <v>0</v>
      </c>
      <c r="BE192" s="78">
        <f t="shared" si="139"/>
        <v>0</v>
      </c>
      <c r="BF192" s="78">
        <f t="shared" si="140"/>
        <v>0</v>
      </c>
      <c r="BG192" s="78">
        <f t="shared" si="141"/>
        <v>0</v>
      </c>
      <c r="BH192" s="78">
        <f t="shared" si="142"/>
        <v>0</v>
      </c>
      <c r="BI192" s="78"/>
      <c r="BJ192" s="91">
        <f t="shared" si="143"/>
        <v>0</v>
      </c>
      <c r="BK192" s="91">
        <f t="shared" si="144"/>
        <v>0</v>
      </c>
      <c r="BL192" s="78"/>
      <c r="BM192" s="78">
        <f t="shared" si="145"/>
        <v>0</v>
      </c>
      <c r="BN192" s="78">
        <f t="shared" si="146"/>
        <v>0</v>
      </c>
      <c r="BO192" s="78">
        <f t="shared" si="147"/>
        <v>0</v>
      </c>
      <c r="BP192" s="78">
        <f t="shared" si="148"/>
        <v>0</v>
      </c>
      <c r="BQ192" s="78">
        <f t="shared" si="149"/>
        <v>0</v>
      </c>
      <c r="BR192" s="78">
        <f t="shared" si="150"/>
        <v>0</v>
      </c>
      <c r="BS192" s="78">
        <f t="shared" si="151"/>
        <v>0</v>
      </c>
      <c r="BT192" s="78">
        <f t="shared" si="152"/>
        <v>0</v>
      </c>
      <c r="BU192" s="91">
        <f t="shared" si="153"/>
        <v>0</v>
      </c>
      <c r="BV192" s="91">
        <f t="shared" si="154"/>
        <v>0</v>
      </c>
      <c r="BW192" s="78"/>
      <c r="BX192" s="78"/>
      <c r="BY192" s="78">
        <f t="shared" si="155"/>
        <v>0</v>
      </c>
      <c r="BZ192" s="78">
        <f t="shared" si="156"/>
        <v>0</v>
      </c>
      <c r="CA192" s="78">
        <f t="shared" si="157"/>
        <v>0</v>
      </c>
      <c r="CB192" s="78">
        <f t="shared" si="158"/>
        <v>0</v>
      </c>
      <c r="CC192" s="78">
        <f t="shared" si="159"/>
        <v>0</v>
      </c>
      <c r="CD192" s="78">
        <f t="shared" si="160"/>
        <v>0</v>
      </c>
      <c r="CE192" s="78">
        <f t="shared" si="161"/>
        <v>0</v>
      </c>
      <c r="CF192" s="78">
        <f t="shared" si="162"/>
        <v>0</v>
      </c>
      <c r="CG192" s="78"/>
      <c r="CH192" s="92">
        <f t="shared" si="163"/>
        <v>0</v>
      </c>
      <c r="CI192" s="93">
        <f t="shared" si="164"/>
        <v>0</v>
      </c>
      <c r="CJ192" s="94">
        <f t="shared" si="165"/>
        <v>0</v>
      </c>
      <c r="CL192" s="78">
        <f t="shared" si="166"/>
        <v>0</v>
      </c>
      <c r="CM192" s="78">
        <f t="shared" si="167"/>
        <v>0</v>
      </c>
      <c r="CN192" s="78">
        <f t="shared" si="168"/>
        <v>0</v>
      </c>
      <c r="CO192" s="78">
        <f t="shared" si="169"/>
        <v>0</v>
      </c>
    </row>
    <row r="193" spans="1:93" ht="13.5" thickBot="1">
      <c r="A193" s="95"/>
      <c r="B193" s="96"/>
      <c r="C193" s="97"/>
      <c r="D193" s="98"/>
      <c r="E193" s="99"/>
      <c r="F193" s="100"/>
      <c r="G193" s="100"/>
      <c r="H193" s="100"/>
      <c r="I193" s="100"/>
      <c r="J193" s="100"/>
      <c r="K193" s="101" t="str">
        <f t="shared" si="170"/>
        <v/>
      </c>
      <c r="L193" s="102"/>
      <c r="M193" s="103"/>
      <c r="N193" s="104"/>
      <c r="O193" s="105"/>
      <c r="P193" s="106">
        <f t="shared" si="171"/>
        <v>0</v>
      </c>
      <c r="Q193" s="106">
        <f t="shared" si="172"/>
        <v>0</v>
      </c>
      <c r="R193" s="106">
        <f t="shared" si="173"/>
        <v>0</v>
      </c>
      <c r="S193" s="106">
        <f t="shared" si="174"/>
        <v>0</v>
      </c>
      <c r="T193" s="107">
        <f t="shared" si="175"/>
        <v>0</v>
      </c>
      <c r="U193" s="78"/>
      <c r="AG193" s="108"/>
      <c r="AI193" s="78">
        <f t="shared" si="119"/>
        <v>0</v>
      </c>
      <c r="AJ193" s="78">
        <f t="shared" si="120"/>
        <v>0</v>
      </c>
      <c r="AK193" s="78">
        <f t="shared" si="121"/>
        <v>0</v>
      </c>
      <c r="AL193" s="78">
        <f t="shared" si="122"/>
        <v>0</v>
      </c>
      <c r="AM193" s="78">
        <f t="shared" si="123"/>
        <v>0</v>
      </c>
      <c r="AN193" s="78">
        <f t="shared" si="124"/>
        <v>0</v>
      </c>
      <c r="AO193" s="78">
        <f t="shared" si="125"/>
        <v>0</v>
      </c>
      <c r="AP193" s="78">
        <f t="shared" si="126"/>
        <v>0</v>
      </c>
      <c r="AQ193" s="78">
        <f t="shared" si="127"/>
        <v>0</v>
      </c>
      <c r="AR193" s="78">
        <f t="shared" si="128"/>
        <v>0</v>
      </c>
      <c r="AS193" s="90">
        <f t="shared" si="129"/>
        <v>0</v>
      </c>
      <c r="AT193" s="91">
        <f t="shared" si="130"/>
        <v>0</v>
      </c>
      <c r="AV193" s="91">
        <f t="shared" si="131"/>
        <v>0</v>
      </c>
      <c r="AW193" s="78">
        <f t="shared" si="132"/>
        <v>0</v>
      </c>
      <c r="AX193" s="78">
        <f t="shared" si="133"/>
        <v>0</v>
      </c>
      <c r="AY193" s="78"/>
      <c r="AZ193" s="78">
        <f t="shared" si="134"/>
        <v>0</v>
      </c>
      <c r="BA193" s="78">
        <f t="shared" si="135"/>
        <v>0</v>
      </c>
      <c r="BB193" s="78">
        <f t="shared" si="136"/>
        <v>0</v>
      </c>
      <c r="BC193" s="78">
        <f t="shared" si="137"/>
        <v>0</v>
      </c>
      <c r="BD193" s="78">
        <f t="shared" si="138"/>
        <v>0</v>
      </c>
      <c r="BE193" s="78">
        <f t="shared" si="139"/>
        <v>0</v>
      </c>
      <c r="BF193" s="78">
        <f t="shared" si="140"/>
        <v>0</v>
      </c>
      <c r="BG193" s="78">
        <f t="shared" si="141"/>
        <v>0</v>
      </c>
      <c r="BH193" s="78">
        <f t="shared" si="142"/>
        <v>0</v>
      </c>
      <c r="BI193" s="78"/>
      <c r="BJ193" s="91">
        <f t="shared" si="143"/>
        <v>0</v>
      </c>
      <c r="BK193" s="91">
        <f t="shared" si="144"/>
        <v>0</v>
      </c>
      <c r="BL193" s="78"/>
      <c r="BM193" s="78">
        <f t="shared" si="145"/>
        <v>0</v>
      </c>
      <c r="BN193" s="78">
        <f t="shared" si="146"/>
        <v>0</v>
      </c>
      <c r="BO193" s="78">
        <f t="shared" si="147"/>
        <v>0</v>
      </c>
      <c r="BP193" s="78">
        <f t="shared" si="148"/>
        <v>0</v>
      </c>
      <c r="BQ193" s="78">
        <f t="shared" si="149"/>
        <v>0</v>
      </c>
      <c r="BR193" s="78">
        <f t="shared" si="150"/>
        <v>0</v>
      </c>
      <c r="BS193" s="78">
        <f t="shared" si="151"/>
        <v>0</v>
      </c>
      <c r="BT193" s="78">
        <f t="shared" si="152"/>
        <v>0</v>
      </c>
      <c r="BU193" s="91">
        <f t="shared" si="153"/>
        <v>0</v>
      </c>
      <c r="BV193" s="91">
        <f t="shared" si="154"/>
        <v>0</v>
      </c>
      <c r="BW193" s="78"/>
      <c r="BX193" s="78"/>
      <c r="BY193" s="78">
        <f t="shared" si="155"/>
        <v>0</v>
      </c>
      <c r="BZ193" s="78">
        <f t="shared" si="156"/>
        <v>0</v>
      </c>
      <c r="CA193" s="78">
        <f t="shared" si="157"/>
        <v>0</v>
      </c>
      <c r="CB193" s="78">
        <f t="shared" si="158"/>
        <v>0</v>
      </c>
      <c r="CC193" s="78">
        <f t="shared" si="159"/>
        <v>0</v>
      </c>
      <c r="CD193" s="78">
        <f t="shared" si="160"/>
        <v>0</v>
      </c>
      <c r="CE193" s="78">
        <f t="shared" si="161"/>
        <v>0</v>
      </c>
      <c r="CF193" s="78">
        <f t="shared" si="162"/>
        <v>0</v>
      </c>
      <c r="CG193" s="78"/>
      <c r="CH193" s="92">
        <f t="shared" si="163"/>
        <v>0</v>
      </c>
      <c r="CI193" s="93">
        <f t="shared" si="164"/>
        <v>0</v>
      </c>
      <c r="CJ193" s="94">
        <f t="shared" si="165"/>
        <v>0</v>
      </c>
      <c r="CL193" s="78">
        <f t="shared" si="166"/>
        <v>0</v>
      </c>
      <c r="CM193" s="78">
        <f t="shared" si="167"/>
        <v>0</v>
      </c>
      <c r="CN193" s="78">
        <f t="shared" si="168"/>
        <v>0</v>
      </c>
      <c r="CO193" s="78">
        <f t="shared" si="169"/>
        <v>0</v>
      </c>
    </row>
    <row r="194" spans="1:93" ht="13.5" thickBot="1">
      <c r="A194" s="95"/>
      <c r="B194" s="96"/>
      <c r="C194" s="97"/>
      <c r="D194" s="98"/>
      <c r="E194" s="99"/>
      <c r="F194" s="100"/>
      <c r="G194" s="100"/>
      <c r="H194" s="100"/>
      <c r="I194" s="100"/>
      <c r="J194" s="100"/>
      <c r="K194" s="101" t="str">
        <f t="shared" si="170"/>
        <v/>
      </c>
      <c r="L194" s="102"/>
      <c r="M194" s="103"/>
      <c r="N194" s="104"/>
      <c r="O194" s="105"/>
      <c r="P194" s="106">
        <f t="shared" si="171"/>
        <v>0</v>
      </c>
      <c r="Q194" s="106">
        <f t="shared" si="172"/>
        <v>0</v>
      </c>
      <c r="R194" s="106">
        <f t="shared" si="173"/>
        <v>0</v>
      </c>
      <c r="S194" s="106">
        <f t="shared" si="174"/>
        <v>0</v>
      </c>
      <c r="T194" s="107">
        <f t="shared" si="175"/>
        <v>0</v>
      </c>
      <c r="U194" s="78"/>
      <c r="AG194" s="108"/>
      <c r="AI194" s="78">
        <f t="shared" si="119"/>
        <v>0</v>
      </c>
      <c r="AJ194" s="78">
        <f t="shared" si="120"/>
        <v>0</v>
      </c>
      <c r="AK194" s="78">
        <f t="shared" si="121"/>
        <v>0</v>
      </c>
      <c r="AL194" s="78">
        <f t="shared" si="122"/>
        <v>0</v>
      </c>
      <c r="AM194" s="78">
        <f t="shared" si="123"/>
        <v>0</v>
      </c>
      <c r="AN194" s="78">
        <f t="shared" si="124"/>
        <v>0</v>
      </c>
      <c r="AO194" s="78">
        <f t="shared" si="125"/>
        <v>0</v>
      </c>
      <c r="AP194" s="78">
        <f t="shared" si="126"/>
        <v>0</v>
      </c>
      <c r="AQ194" s="78">
        <f t="shared" si="127"/>
        <v>0</v>
      </c>
      <c r="AR194" s="78">
        <f t="shared" si="128"/>
        <v>0</v>
      </c>
      <c r="AS194" s="90">
        <f t="shared" si="129"/>
        <v>0</v>
      </c>
      <c r="AT194" s="91">
        <f t="shared" si="130"/>
        <v>0</v>
      </c>
      <c r="AV194" s="91">
        <f t="shared" si="131"/>
        <v>0</v>
      </c>
      <c r="AW194" s="78">
        <f t="shared" si="132"/>
        <v>0</v>
      </c>
      <c r="AX194" s="78">
        <f t="shared" si="133"/>
        <v>0</v>
      </c>
      <c r="AY194" s="78"/>
      <c r="AZ194" s="78">
        <f t="shared" si="134"/>
        <v>0</v>
      </c>
      <c r="BA194" s="78">
        <f t="shared" si="135"/>
        <v>0</v>
      </c>
      <c r="BB194" s="78">
        <f t="shared" si="136"/>
        <v>0</v>
      </c>
      <c r="BC194" s="78">
        <f t="shared" si="137"/>
        <v>0</v>
      </c>
      <c r="BD194" s="78">
        <f t="shared" si="138"/>
        <v>0</v>
      </c>
      <c r="BE194" s="78">
        <f t="shared" si="139"/>
        <v>0</v>
      </c>
      <c r="BF194" s="78">
        <f t="shared" si="140"/>
        <v>0</v>
      </c>
      <c r="BG194" s="78">
        <f t="shared" si="141"/>
        <v>0</v>
      </c>
      <c r="BH194" s="78">
        <f t="shared" si="142"/>
        <v>0</v>
      </c>
      <c r="BI194" s="78"/>
      <c r="BJ194" s="91">
        <f t="shared" si="143"/>
        <v>0</v>
      </c>
      <c r="BK194" s="91">
        <f t="shared" si="144"/>
        <v>0</v>
      </c>
      <c r="BL194" s="78"/>
      <c r="BM194" s="78">
        <f t="shared" si="145"/>
        <v>0</v>
      </c>
      <c r="BN194" s="78">
        <f t="shared" si="146"/>
        <v>0</v>
      </c>
      <c r="BO194" s="78">
        <f t="shared" si="147"/>
        <v>0</v>
      </c>
      <c r="BP194" s="78">
        <f t="shared" si="148"/>
        <v>0</v>
      </c>
      <c r="BQ194" s="78">
        <f t="shared" si="149"/>
        <v>0</v>
      </c>
      <c r="BR194" s="78">
        <f t="shared" si="150"/>
        <v>0</v>
      </c>
      <c r="BS194" s="78">
        <f t="shared" si="151"/>
        <v>0</v>
      </c>
      <c r="BT194" s="78">
        <f t="shared" si="152"/>
        <v>0</v>
      </c>
      <c r="BU194" s="91">
        <f t="shared" si="153"/>
        <v>0</v>
      </c>
      <c r="BV194" s="91">
        <f t="shared" si="154"/>
        <v>0</v>
      </c>
      <c r="BW194" s="78"/>
      <c r="BX194" s="78"/>
      <c r="BY194" s="78">
        <f t="shared" si="155"/>
        <v>0</v>
      </c>
      <c r="BZ194" s="78">
        <f t="shared" si="156"/>
        <v>0</v>
      </c>
      <c r="CA194" s="78">
        <f t="shared" si="157"/>
        <v>0</v>
      </c>
      <c r="CB194" s="78">
        <f t="shared" si="158"/>
        <v>0</v>
      </c>
      <c r="CC194" s="78">
        <f t="shared" si="159"/>
        <v>0</v>
      </c>
      <c r="CD194" s="78">
        <f t="shared" si="160"/>
        <v>0</v>
      </c>
      <c r="CE194" s="78">
        <f t="shared" si="161"/>
        <v>0</v>
      </c>
      <c r="CF194" s="78">
        <f t="shared" si="162"/>
        <v>0</v>
      </c>
      <c r="CG194" s="78"/>
      <c r="CH194" s="92">
        <f t="shared" si="163"/>
        <v>0</v>
      </c>
      <c r="CI194" s="93">
        <f t="shared" si="164"/>
        <v>0</v>
      </c>
      <c r="CJ194" s="94">
        <f t="shared" si="165"/>
        <v>0</v>
      </c>
      <c r="CL194" s="78">
        <f t="shared" si="166"/>
        <v>0</v>
      </c>
      <c r="CM194" s="78">
        <f t="shared" si="167"/>
        <v>0</v>
      </c>
      <c r="CN194" s="78">
        <f t="shared" si="168"/>
        <v>0</v>
      </c>
      <c r="CO194" s="78">
        <f t="shared" si="169"/>
        <v>0</v>
      </c>
    </row>
    <row r="195" spans="1:93" ht="13.5" thickBot="1">
      <c r="A195" s="95"/>
      <c r="B195" s="96"/>
      <c r="C195" s="97"/>
      <c r="D195" s="98"/>
      <c r="E195" s="99"/>
      <c r="F195" s="100"/>
      <c r="G195" s="100"/>
      <c r="H195" s="100"/>
      <c r="I195" s="100"/>
      <c r="J195" s="100"/>
      <c r="K195" s="101" t="str">
        <f t="shared" si="170"/>
        <v/>
      </c>
      <c r="L195" s="102"/>
      <c r="M195" s="103"/>
      <c r="N195" s="104"/>
      <c r="O195" s="105"/>
      <c r="P195" s="106">
        <f t="shared" si="171"/>
        <v>0</v>
      </c>
      <c r="Q195" s="106">
        <f t="shared" si="172"/>
        <v>0</v>
      </c>
      <c r="R195" s="106">
        <f t="shared" si="173"/>
        <v>0</v>
      </c>
      <c r="S195" s="106">
        <f t="shared" si="174"/>
        <v>0</v>
      </c>
      <c r="T195" s="107">
        <f t="shared" si="175"/>
        <v>0</v>
      </c>
      <c r="U195" s="78"/>
      <c r="AG195" s="108"/>
      <c r="AI195" s="78">
        <f t="shared" si="119"/>
        <v>0</v>
      </c>
      <c r="AJ195" s="78">
        <f t="shared" si="120"/>
        <v>0</v>
      </c>
      <c r="AK195" s="78">
        <f t="shared" si="121"/>
        <v>0</v>
      </c>
      <c r="AL195" s="78">
        <f t="shared" si="122"/>
        <v>0</v>
      </c>
      <c r="AM195" s="78">
        <f t="shared" si="123"/>
        <v>0</v>
      </c>
      <c r="AN195" s="78">
        <f t="shared" si="124"/>
        <v>0</v>
      </c>
      <c r="AO195" s="78">
        <f t="shared" si="125"/>
        <v>0</v>
      </c>
      <c r="AP195" s="78">
        <f t="shared" si="126"/>
        <v>0</v>
      </c>
      <c r="AQ195" s="78">
        <f t="shared" si="127"/>
        <v>0</v>
      </c>
      <c r="AR195" s="78">
        <f t="shared" si="128"/>
        <v>0</v>
      </c>
      <c r="AS195" s="90">
        <f t="shared" si="129"/>
        <v>0</v>
      </c>
      <c r="AT195" s="91">
        <f t="shared" si="130"/>
        <v>0</v>
      </c>
      <c r="AV195" s="91">
        <f t="shared" si="131"/>
        <v>0</v>
      </c>
      <c r="AW195" s="78">
        <f t="shared" si="132"/>
        <v>0</v>
      </c>
      <c r="AX195" s="78">
        <f t="shared" si="133"/>
        <v>0</v>
      </c>
      <c r="AY195" s="78"/>
      <c r="AZ195" s="78">
        <f t="shared" si="134"/>
        <v>0</v>
      </c>
      <c r="BA195" s="78">
        <f t="shared" si="135"/>
        <v>0</v>
      </c>
      <c r="BB195" s="78">
        <f t="shared" si="136"/>
        <v>0</v>
      </c>
      <c r="BC195" s="78">
        <f t="shared" si="137"/>
        <v>0</v>
      </c>
      <c r="BD195" s="78">
        <f t="shared" si="138"/>
        <v>0</v>
      </c>
      <c r="BE195" s="78">
        <f t="shared" si="139"/>
        <v>0</v>
      </c>
      <c r="BF195" s="78">
        <f t="shared" si="140"/>
        <v>0</v>
      </c>
      <c r="BG195" s="78">
        <f t="shared" si="141"/>
        <v>0</v>
      </c>
      <c r="BH195" s="78">
        <f t="shared" si="142"/>
        <v>0</v>
      </c>
      <c r="BI195" s="78"/>
      <c r="BJ195" s="91">
        <f t="shared" si="143"/>
        <v>0</v>
      </c>
      <c r="BK195" s="91">
        <f t="shared" si="144"/>
        <v>0</v>
      </c>
      <c r="BL195" s="78"/>
      <c r="BM195" s="78">
        <f t="shared" si="145"/>
        <v>0</v>
      </c>
      <c r="BN195" s="78">
        <f t="shared" si="146"/>
        <v>0</v>
      </c>
      <c r="BO195" s="78">
        <f t="shared" si="147"/>
        <v>0</v>
      </c>
      <c r="BP195" s="78">
        <f t="shared" si="148"/>
        <v>0</v>
      </c>
      <c r="BQ195" s="78">
        <f t="shared" si="149"/>
        <v>0</v>
      </c>
      <c r="BR195" s="78">
        <f t="shared" si="150"/>
        <v>0</v>
      </c>
      <c r="BS195" s="78">
        <f t="shared" si="151"/>
        <v>0</v>
      </c>
      <c r="BT195" s="78">
        <f t="shared" si="152"/>
        <v>0</v>
      </c>
      <c r="BU195" s="91">
        <f t="shared" si="153"/>
        <v>0</v>
      </c>
      <c r="BV195" s="91">
        <f t="shared" si="154"/>
        <v>0</v>
      </c>
      <c r="BW195" s="78"/>
      <c r="BX195" s="78"/>
      <c r="BY195" s="78">
        <f t="shared" si="155"/>
        <v>0</v>
      </c>
      <c r="BZ195" s="78">
        <f t="shared" si="156"/>
        <v>0</v>
      </c>
      <c r="CA195" s="78">
        <f t="shared" si="157"/>
        <v>0</v>
      </c>
      <c r="CB195" s="78">
        <f t="shared" si="158"/>
        <v>0</v>
      </c>
      <c r="CC195" s="78">
        <f t="shared" si="159"/>
        <v>0</v>
      </c>
      <c r="CD195" s="78">
        <f t="shared" si="160"/>
        <v>0</v>
      </c>
      <c r="CE195" s="78">
        <f t="shared" si="161"/>
        <v>0</v>
      </c>
      <c r="CF195" s="78">
        <f t="shared" si="162"/>
        <v>0</v>
      </c>
      <c r="CG195" s="78"/>
      <c r="CH195" s="92">
        <f t="shared" si="163"/>
        <v>0</v>
      </c>
      <c r="CI195" s="93">
        <f t="shared" si="164"/>
        <v>0</v>
      </c>
      <c r="CJ195" s="94">
        <f t="shared" si="165"/>
        <v>0</v>
      </c>
      <c r="CL195" s="78">
        <f t="shared" si="166"/>
        <v>0</v>
      </c>
      <c r="CM195" s="78">
        <f t="shared" si="167"/>
        <v>0</v>
      </c>
      <c r="CN195" s="78">
        <f t="shared" si="168"/>
        <v>0</v>
      </c>
      <c r="CO195" s="78">
        <f t="shared" si="169"/>
        <v>0</v>
      </c>
    </row>
    <row r="196" spans="1:93" ht="13.5" thickBot="1">
      <c r="A196" s="95"/>
      <c r="B196" s="96"/>
      <c r="C196" s="97"/>
      <c r="D196" s="98"/>
      <c r="E196" s="99"/>
      <c r="F196" s="100"/>
      <c r="G196" s="100"/>
      <c r="H196" s="100"/>
      <c r="I196" s="100"/>
      <c r="J196" s="100"/>
      <c r="K196" s="101" t="str">
        <f t="shared" si="170"/>
        <v/>
      </c>
      <c r="L196" s="102"/>
      <c r="M196" s="103"/>
      <c r="N196" s="104"/>
      <c r="O196" s="105"/>
      <c r="P196" s="106">
        <f t="shared" si="171"/>
        <v>0</v>
      </c>
      <c r="Q196" s="106">
        <f t="shared" si="172"/>
        <v>0</v>
      </c>
      <c r="R196" s="106">
        <f t="shared" si="173"/>
        <v>0</v>
      </c>
      <c r="S196" s="106">
        <f t="shared" si="174"/>
        <v>0</v>
      </c>
      <c r="T196" s="107">
        <f t="shared" si="175"/>
        <v>0</v>
      </c>
      <c r="U196" s="78"/>
      <c r="AG196" s="108"/>
      <c r="AI196" s="78">
        <f t="shared" si="119"/>
        <v>0</v>
      </c>
      <c r="AJ196" s="78">
        <f t="shared" si="120"/>
        <v>0</v>
      </c>
      <c r="AK196" s="78">
        <f t="shared" si="121"/>
        <v>0</v>
      </c>
      <c r="AL196" s="78">
        <f t="shared" si="122"/>
        <v>0</v>
      </c>
      <c r="AM196" s="78">
        <f t="shared" si="123"/>
        <v>0</v>
      </c>
      <c r="AN196" s="78">
        <f t="shared" si="124"/>
        <v>0</v>
      </c>
      <c r="AO196" s="78">
        <f t="shared" si="125"/>
        <v>0</v>
      </c>
      <c r="AP196" s="78">
        <f t="shared" si="126"/>
        <v>0</v>
      </c>
      <c r="AQ196" s="78">
        <f t="shared" si="127"/>
        <v>0</v>
      </c>
      <c r="AR196" s="78">
        <f t="shared" si="128"/>
        <v>0</v>
      </c>
      <c r="AS196" s="90">
        <f t="shared" si="129"/>
        <v>0</v>
      </c>
      <c r="AT196" s="91">
        <f t="shared" si="130"/>
        <v>0</v>
      </c>
      <c r="AV196" s="91">
        <f t="shared" si="131"/>
        <v>0</v>
      </c>
      <c r="AW196" s="78">
        <f t="shared" si="132"/>
        <v>0</v>
      </c>
      <c r="AX196" s="78">
        <f t="shared" si="133"/>
        <v>0</v>
      </c>
      <c r="AY196" s="78"/>
      <c r="AZ196" s="78">
        <f t="shared" si="134"/>
        <v>0</v>
      </c>
      <c r="BA196" s="78">
        <f t="shared" si="135"/>
        <v>0</v>
      </c>
      <c r="BB196" s="78">
        <f t="shared" si="136"/>
        <v>0</v>
      </c>
      <c r="BC196" s="78">
        <f t="shared" si="137"/>
        <v>0</v>
      </c>
      <c r="BD196" s="78">
        <f t="shared" si="138"/>
        <v>0</v>
      </c>
      <c r="BE196" s="78">
        <f t="shared" si="139"/>
        <v>0</v>
      </c>
      <c r="BF196" s="78">
        <f t="shared" si="140"/>
        <v>0</v>
      </c>
      <c r="BG196" s="78">
        <f t="shared" si="141"/>
        <v>0</v>
      </c>
      <c r="BH196" s="78">
        <f t="shared" si="142"/>
        <v>0</v>
      </c>
      <c r="BI196" s="78"/>
      <c r="BJ196" s="91">
        <f t="shared" si="143"/>
        <v>0</v>
      </c>
      <c r="BK196" s="91">
        <f t="shared" si="144"/>
        <v>0</v>
      </c>
      <c r="BL196" s="78"/>
      <c r="BM196" s="78">
        <f t="shared" si="145"/>
        <v>0</v>
      </c>
      <c r="BN196" s="78">
        <f t="shared" si="146"/>
        <v>0</v>
      </c>
      <c r="BO196" s="78">
        <f t="shared" si="147"/>
        <v>0</v>
      </c>
      <c r="BP196" s="78">
        <f t="shared" si="148"/>
        <v>0</v>
      </c>
      <c r="BQ196" s="78">
        <f t="shared" si="149"/>
        <v>0</v>
      </c>
      <c r="BR196" s="78">
        <f t="shared" si="150"/>
        <v>0</v>
      </c>
      <c r="BS196" s="78">
        <f t="shared" si="151"/>
        <v>0</v>
      </c>
      <c r="BT196" s="78">
        <f t="shared" si="152"/>
        <v>0</v>
      </c>
      <c r="BU196" s="91">
        <f t="shared" si="153"/>
        <v>0</v>
      </c>
      <c r="BV196" s="91">
        <f t="shared" si="154"/>
        <v>0</v>
      </c>
      <c r="BW196" s="78"/>
      <c r="BX196" s="78"/>
      <c r="BY196" s="78">
        <f t="shared" si="155"/>
        <v>0</v>
      </c>
      <c r="BZ196" s="78">
        <f t="shared" si="156"/>
        <v>0</v>
      </c>
      <c r="CA196" s="78">
        <f t="shared" si="157"/>
        <v>0</v>
      </c>
      <c r="CB196" s="78">
        <f t="shared" si="158"/>
        <v>0</v>
      </c>
      <c r="CC196" s="78">
        <f t="shared" si="159"/>
        <v>0</v>
      </c>
      <c r="CD196" s="78">
        <f t="shared" si="160"/>
        <v>0</v>
      </c>
      <c r="CE196" s="78">
        <f t="shared" si="161"/>
        <v>0</v>
      </c>
      <c r="CF196" s="78">
        <f t="shared" si="162"/>
        <v>0</v>
      </c>
      <c r="CG196" s="78"/>
      <c r="CH196" s="92">
        <f t="shared" si="163"/>
        <v>0</v>
      </c>
      <c r="CI196" s="93">
        <f t="shared" si="164"/>
        <v>0</v>
      </c>
      <c r="CJ196" s="94">
        <f t="shared" si="165"/>
        <v>0</v>
      </c>
      <c r="CL196" s="78">
        <f t="shared" si="166"/>
        <v>0</v>
      </c>
      <c r="CM196" s="78">
        <f t="shared" si="167"/>
        <v>0</v>
      </c>
      <c r="CN196" s="78">
        <f t="shared" si="168"/>
        <v>0</v>
      </c>
      <c r="CO196" s="78">
        <f t="shared" si="169"/>
        <v>0</v>
      </c>
    </row>
    <row r="197" spans="1:93" ht="13.5" thickBot="1">
      <c r="A197" s="95"/>
      <c r="B197" s="96"/>
      <c r="C197" s="97"/>
      <c r="D197" s="98"/>
      <c r="E197" s="99"/>
      <c r="F197" s="100"/>
      <c r="G197" s="100"/>
      <c r="H197" s="100"/>
      <c r="I197" s="100"/>
      <c r="J197" s="100"/>
      <c r="K197" s="101" t="str">
        <f t="shared" si="170"/>
        <v/>
      </c>
      <c r="L197" s="102"/>
      <c r="M197" s="103"/>
      <c r="N197" s="104"/>
      <c r="O197" s="105"/>
      <c r="P197" s="106">
        <f t="shared" si="171"/>
        <v>0</v>
      </c>
      <c r="Q197" s="106">
        <f t="shared" si="172"/>
        <v>0</v>
      </c>
      <c r="R197" s="106">
        <f t="shared" si="173"/>
        <v>0</v>
      </c>
      <c r="S197" s="106">
        <f t="shared" si="174"/>
        <v>0</v>
      </c>
      <c r="T197" s="107">
        <f t="shared" si="175"/>
        <v>0</v>
      </c>
      <c r="U197" s="78"/>
      <c r="AG197" s="108"/>
      <c r="AI197" s="78">
        <f t="shared" si="119"/>
        <v>0</v>
      </c>
      <c r="AJ197" s="78">
        <f t="shared" si="120"/>
        <v>0</v>
      </c>
      <c r="AK197" s="78">
        <f t="shared" si="121"/>
        <v>0</v>
      </c>
      <c r="AL197" s="78">
        <f t="shared" si="122"/>
        <v>0</v>
      </c>
      <c r="AM197" s="78">
        <f t="shared" si="123"/>
        <v>0</v>
      </c>
      <c r="AN197" s="78">
        <f t="shared" si="124"/>
        <v>0</v>
      </c>
      <c r="AO197" s="78">
        <f t="shared" si="125"/>
        <v>0</v>
      </c>
      <c r="AP197" s="78">
        <f t="shared" si="126"/>
        <v>0</v>
      </c>
      <c r="AQ197" s="78">
        <f t="shared" si="127"/>
        <v>0</v>
      </c>
      <c r="AR197" s="78">
        <f t="shared" si="128"/>
        <v>0</v>
      </c>
      <c r="AS197" s="90">
        <f t="shared" si="129"/>
        <v>0</v>
      </c>
      <c r="AT197" s="91">
        <f t="shared" si="130"/>
        <v>0</v>
      </c>
      <c r="AV197" s="91">
        <f t="shared" si="131"/>
        <v>0</v>
      </c>
      <c r="AW197" s="78">
        <f t="shared" si="132"/>
        <v>0</v>
      </c>
      <c r="AX197" s="78">
        <f t="shared" si="133"/>
        <v>0</v>
      </c>
      <c r="AY197" s="78"/>
      <c r="AZ197" s="78">
        <f t="shared" si="134"/>
        <v>0</v>
      </c>
      <c r="BA197" s="78">
        <f t="shared" si="135"/>
        <v>0</v>
      </c>
      <c r="BB197" s="78">
        <f t="shared" si="136"/>
        <v>0</v>
      </c>
      <c r="BC197" s="78">
        <f t="shared" si="137"/>
        <v>0</v>
      </c>
      <c r="BD197" s="78">
        <f t="shared" si="138"/>
        <v>0</v>
      </c>
      <c r="BE197" s="78">
        <f t="shared" si="139"/>
        <v>0</v>
      </c>
      <c r="BF197" s="78">
        <f t="shared" si="140"/>
        <v>0</v>
      </c>
      <c r="BG197" s="78">
        <f t="shared" si="141"/>
        <v>0</v>
      </c>
      <c r="BH197" s="78">
        <f t="shared" si="142"/>
        <v>0</v>
      </c>
      <c r="BI197" s="78"/>
      <c r="BJ197" s="91">
        <f t="shared" si="143"/>
        <v>0</v>
      </c>
      <c r="BK197" s="91">
        <f t="shared" si="144"/>
        <v>0</v>
      </c>
      <c r="BL197" s="78"/>
      <c r="BM197" s="78">
        <f t="shared" si="145"/>
        <v>0</v>
      </c>
      <c r="BN197" s="78">
        <f t="shared" si="146"/>
        <v>0</v>
      </c>
      <c r="BO197" s="78">
        <f t="shared" si="147"/>
        <v>0</v>
      </c>
      <c r="BP197" s="78">
        <f t="shared" si="148"/>
        <v>0</v>
      </c>
      <c r="BQ197" s="78">
        <f t="shared" si="149"/>
        <v>0</v>
      </c>
      <c r="BR197" s="78">
        <f t="shared" si="150"/>
        <v>0</v>
      </c>
      <c r="BS197" s="78">
        <f t="shared" si="151"/>
        <v>0</v>
      </c>
      <c r="BT197" s="78">
        <f t="shared" si="152"/>
        <v>0</v>
      </c>
      <c r="BU197" s="91">
        <f t="shared" si="153"/>
        <v>0</v>
      </c>
      <c r="BV197" s="91">
        <f t="shared" si="154"/>
        <v>0</v>
      </c>
      <c r="BW197" s="78"/>
      <c r="BX197" s="78"/>
      <c r="BY197" s="78">
        <f t="shared" si="155"/>
        <v>0</v>
      </c>
      <c r="BZ197" s="78">
        <f t="shared" si="156"/>
        <v>0</v>
      </c>
      <c r="CA197" s="78">
        <f t="shared" si="157"/>
        <v>0</v>
      </c>
      <c r="CB197" s="78">
        <f t="shared" si="158"/>
        <v>0</v>
      </c>
      <c r="CC197" s="78">
        <f t="shared" si="159"/>
        <v>0</v>
      </c>
      <c r="CD197" s="78">
        <f t="shared" si="160"/>
        <v>0</v>
      </c>
      <c r="CE197" s="78">
        <f t="shared" si="161"/>
        <v>0</v>
      </c>
      <c r="CF197" s="78">
        <f t="shared" si="162"/>
        <v>0</v>
      </c>
      <c r="CG197" s="78"/>
      <c r="CH197" s="92">
        <f t="shared" si="163"/>
        <v>0</v>
      </c>
      <c r="CI197" s="93">
        <f t="shared" si="164"/>
        <v>0</v>
      </c>
      <c r="CJ197" s="94">
        <f t="shared" si="165"/>
        <v>0</v>
      </c>
      <c r="CL197" s="78">
        <f t="shared" si="166"/>
        <v>0</v>
      </c>
      <c r="CM197" s="78">
        <f t="shared" si="167"/>
        <v>0</v>
      </c>
      <c r="CN197" s="78">
        <f t="shared" si="168"/>
        <v>0</v>
      </c>
      <c r="CO197" s="78">
        <f t="shared" si="169"/>
        <v>0</v>
      </c>
    </row>
    <row r="198" spans="1:93" ht="13.5" thickBot="1">
      <c r="A198" s="95"/>
      <c r="B198" s="96"/>
      <c r="C198" s="97"/>
      <c r="D198" s="98"/>
      <c r="E198" s="99"/>
      <c r="F198" s="100"/>
      <c r="G198" s="100"/>
      <c r="H198" s="100"/>
      <c r="I198" s="100"/>
      <c r="J198" s="100"/>
      <c r="K198" s="101" t="str">
        <f t="shared" si="170"/>
        <v/>
      </c>
      <c r="L198" s="102"/>
      <c r="M198" s="103"/>
      <c r="N198" s="104"/>
      <c r="O198" s="105"/>
      <c r="P198" s="106">
        <f t="shared" si="171"/>
        <v>0</v>
      </c>
      <c r="Q198" s="106">
        <f t="shared" si="172"/>
        <v>0</v>
      </c>
      <c r="R198" s="106">
        <f t="shared" si="173"/>
        <v>0</v>
      </c>
      <c r="S198" s="106">
        <f t="shared" si="174"/>
        <v>0</v>
      </c>
      <c r="T198" s="107">
        <f t="shared" si="175"/>
        <v>0</v>
      </c>
      <c r="U198" s="78"/>
      <c r="AG198" s="108"/>
      <c r="AI198" s="78">
        <f t="shared" si="119"/>
        <v>0</v>
      </c>
      <c r="AJ198" s="78">
        <f t="shared" si="120"/>
        <v>0</v>
      </c>
      <c r="AK198" s="78">
        <f t="shared" si="121"/>
        <v>0</v>
      </c>
      <c r="AL198" s="78">
        <f t="shared" si="122"/>
        <v>0</v>
      </c>
      <c r="AM198" s="78">
        <f t="shared" si="123"/>
        <v>0</v>
      </c>
      <c r="AN198" s="78">
        <f t="shared" si="124"/>
        <v>0</v>
      </c>
      <c r="AO198" s="78">
        <f t="shared" si="125"/>
        <v>0</v>
      </c>
      <c r="AP198" s="78">
        <f t="shared" si="126"/>
        <v>0</v>
      </c>
      <c r="AQ198" s="78">
        <f t="shared" si="127"/>
        <v>0</v>
      </c>
      <c r="AR198" s="78">
        <f t="shared" si="128"/>
        <v>0</v>
      </c>
      <c r="AS198" s="90">
        <f t="shared" si="129"/>
        <v>0</v>
      </c>
      <c r="AT198" s="91">
        <f t="shared" si="130"/>
        <v>0</v>
      </c>
      <c r="AV198" s="91">
        <f t="shared" si="131"/>
        <v>0</v>
      </c>
      <c r="AW198" s="78">
        <f t="shared" si="132"/>
        <v>0</v>
      </c>
      <c r="AX198" s="78">
        <f t="shared" si="133"/>
        <v>0</v>
      </c>
      <c r="AY198" s="78"/>
      <c r="AZ198" s="78">
        <f t="shared" si="134"/>
        <v>0</v>
      </c>
      <c r="BA198" s="78">
        <f t="shared" si="135"/>
        <v>0</v>
      </c>
      <c r="BB198" s="78">
        <f t="shared" si="136"/>
        <v>0</v>
      </c>
      <c r="BC198" s="78">
        <f t="shared" si="137"/>
        <v>0</v>
      </c>
      <c r="BD198" s="78">
        <f t="shared" si="138"/>
        <v>0</v>
      </c>
      <c r="BE198" s="78">
        <f t="shared" si="139"/>
        <v>0</v>
      </c>
      <c r="BF198" s="78">
        <f t="shared" si="140"/>
        <v>0</v>
      </c>
      <c r="BG198" s="78">
        <f t="shared" si="141"/>
        <v>0</v>
      </c>
      <c r="BH198" s="78">
        <f t="shared" si="142"/>
        <v>0</v>
      </c>
      <c r="BI198" s="78"/>
      <c r="BJ198" s="91">
        <f t="shared" si="143"/>
        <v>0</v>
      </c>
      <c r="BK198" s="91">
        <f t="shared" si="144"/>
        <v>0</v>
      </c>
      <c r="BL198" s="78"/>
      <c r="BM198" s="78">
        <f t="shared" si="145"/>
        <v>0</v>
      </c>
      <c r="BN198" s="78">
        <f t="shared" si="146"/>
        <v>0</v>
      </c>
      <c r="BO198" s="78">
        <f t="shared" si="147"/>
        <v>0</v>
      </c>
      <c r="BP198" s="78">
        <f t="shared" si="148"/>
        <v>0</v>
      </c>
      <c r="BQ198" s="78">
        <f t="shared" si="149"/>
        <v>0</v>
      </c>
      <c r="BR198" s="78">
        <f t="shared" si="150"/>
        <v>0</v>
      </c>
      <c r="BS198" s="78">
        <f t="shared" si="151"/>
        <v>0</v>
      </c>
      <c r="BT198" s="78">
        <f t="shared" si="152"/>
        <v>0</v>
      </c>
      <c r="BU198" s="91">
        <f t="shared" si="153"/>
        <v>0</v>
      </c>
      <c r="BV198" s="91">
        <f t="shared" si="154"/>
        <v>0</v>
      </c>
      <c r="BW198" s="78"/>
      <c r="BX198" s="78"/>
      <c r="BY198" s="78">
        <f t="shared" si="155"/>
        <v>0</v>
      </c>
      <c r="BZ198" s="78">
        <f t="shared" si="156"/>
        <v>0</v>
      </c>
      <c r="CA198" s="78">
        <f t="shared" si="157"/>
        <v>0</v>
      </c>
      <c r="CB198" s="78">
        <f t="shared" si="158"/>
        <v>0</v>
      </c>
      <c r="CC198" s="78">
        <f t="shared" si="159"/>
        <v>0</v>
      </c>
      <c r="CD198" s="78">
        <f t="shared" si="160"/>
        <v>0</v>
      </c>
      <c r="CE198" s="78">
        <f t="shared" si="161"/>
        <v>0</v>
      </c>
      <c r="CF198" s="78">
        <f t="shared" si="162"/>
        <v>0</v>
      </c>
      <c r="CG198" s="78"/>
      <c r="CH198" s="92">
        <f t="shared" si="163"/>
        <v>0</v>
      </c>
      <c r="CI198" s="93">
        <f t="shared" si="164"/>
        <v>0</v>
      </c>
      <c r="CJ198" s="94">
        <f t="shared" si="165"/>
        <v>0</v>
      </c>
      <c r="CL198" s="78">
        <f t="shared" si="166"/>
        <v>0</v>
      </c>
      <c r="CM198" s="78">
        <f t="shared" si="167"/>
        <v>0</v>
      </c>
      <c r="CN198" s="78">
        <f t="shared" si="168"/>
        <v>0</v>
      </c>
      <c r="CO198" s="78">
        <f t="shared" si="169"/>
        <v>0</v>
      </c>
    </row>
    <row r="199" spans="1:93" ht="13.5" thickBot="1">
      <c r="A199" s="95"/>
      <c r="B199" s="96"/>
      <c r="C199" s="97"/>
      <c r="D199" s="98"/>
      <c r="E199" s="99"/>
      <c r="F199" s="100"/>
      <c r="G199" s="100"/>
      <c r="H199" s="100"/>
      <c r="I199" s="100"/>
      <c r="J199" s="100"/>
      <c r="K199" s="101" t="str">
        <f t="shared" si="170"/>
        <v/>
      </c>
      <c r="L199" s="102"/>
      <c r="M199" s="103"/>
      <c r="N199" s="104"/>
      <c r="O199" s="105"/>
      <c r="P199" s="106">
        <f t="shared" si="171"/>
        <v>0</v>
      </c>
      <c r="Q199" s="106">
        <f t="shared" si="172"/>
        <v>0</v>
      </c>
      <c r="R199" s="106">
        <f t="shared" si="173"/>
        <v>0</v>
      </c>
      <c r="S199" s="106">
        <f t="shared" si="174"/>
        <v>0</v>
      </c>
      <c r="T199" s="107">
        <f t="shared" si="175"/>
        <v>0</v>
      </c>
      <c r="U199" s="78"/>
      <c r="AG199" s="108"/>
      <c r="AI199" s="78">
        <f t="shared" si="119"/>
        <v>0</v>
      </c>
      <c r="AJ199" s="78">
        <f t="shared" si="120"/>
        <v>0</v>
      </c>
      <c r="AK199" s="78">
        <f t="shared" si="121"/>
        <v>0</v>
      </c>
      <c r="AL199" s="78">
        <f t="shared" si="122"/>
        <v>0</v>
      </c>
      <c r="AM199" s="78">
        <f t="shared" si="123"/>
        <v>0</v>
      </c>
      <c r="AN199" s="78">
        <f t="shared" si="124"/>
        <v>0</v>
      </c>
      <c r="AO199" s="78">
        <f t="shared" si="125"/>
        <v>0</v>
      </c>
      <c r="AP199" s="78">
        <f t="shared" si="126"/>
        <v>0</v>
      </c>
      <c r="AQ199" s="78">
        <f t="shared" si="127"/>
        <v>0</v>
      </c>
      <c r="AR199" s="78">
        <f t="shared" si="128"/>
        <v>0</v>
      </c>
      <c r="AS199" s="90">
        <f t="shared" si="129"/>
        <v>0</v>
      </c>
      <c r="AT199" s="91">
        <f t="shared" si="130"/>
        <v>0</v>
      </c>
      <c r="AV199" s="91">
        <f t="shared" si="131"/>
        <v>0</v>
      </c>
      <c r="AW199" s="78">
        <f t="shared" si="132"/>
        <v>0</v>
      </c>
      <c r="AX199" s="78">
        <f t="shared" si="133"/>
        <v>0</v>
      </c>
      <c r="AY199" s="78"/>
      <c r="AZ199" s="78">
        <f t="shared" si="134"/>
        <v>0</v>
      </c>
      <c r="BA199" s="78">
        <f t="shared" si="135"/>
        <v>0</v>
      </c>
      <c r="BB199" s="78">
        <f t="shared" si="136"/>
        <v>0</v>
      </c>
      <c r="BC199" s="78">
        <f t="shared" si="137"/>
        <v>0</v>
      </c>
      <c r="BD199" s="78">
        <f t="shared" si="138"/>
        <v>0</v>
      </c>
      <c r="BE199" s="78">
        <f t="shared" si="139"/>
        <v>0</v>
      </c>
      <c r="BF199" s="78">
        <f t="shared" si="140"/>
        <v>0</v>
      </c>
      <c r="BG199" s="78">
        <f t="shared" si="141"/>
        <v>0</v>
      </c>
      <c r="BH199" s="78">
        <f t="shared" si="142"/>
        <v>0</v>
      </c>
      <c r="BI199" s="78"/>
      <c r="BJ199" s="91">
        <f t="shared" si="143"/>
        <v>0</v>
      </c>
      <c r="BK199" s="91">
        <f t="shared" si="144"/>
        <v>0</v>
      </c>
      <c r="BL199" s="78"/>
      <c r="BM199" s="78">
        <f t="shared" si="145"/>
        <v>0</v>
      </c>
      <c r="BN199" s="78">
        <f t="shared" si="146"/>
        <v>0</v>
      </c>
      <c r="BO199" s="78">
        <f t="shared" si="147"/>
        <v>0</v>
      </c>
      <c r="BP199" s="78">
        <f t="shared" si="148"/>
        <v>0</v>
      </c>
      <c r="BQ199" s="78">
        <f t="shared" si="149"/>
        <v>0</v>
      </c>
      <c r="BR199" s="78">
        <f t="shared" si="150"/>
        <v>0</v>
      </c>
      <c r="BS199" s="78">
        <f t="shared" si="151"/>
        <v>0</v>
      </c>
      <c r="BT199" s="78">
        <f t="shared" si="152"/>
        <v>0</v>
      </c>
      <c r="BU199" s="91">
        <f t="shared" si="153"/>
        <v>0</v>
      </c>
      <c r="BV199" s="91">
        <f t="shared" si="154"/>
        <v>0</v>
      </c>
      <c r="BW199" s="78"/>
      <c r="BX199" s="78"/>
      <c r="BY199" s="78">
        <f t="shared" si="155"/>
        <v>0</v>
      </c>
      <c r="BZ199" s="78">
        <f t="shared" si="156"/>
        <v>0</v>
      </c>
      <c r="CA199" s="78">
        <f t="shared" si="157"/>
        <v>0</v>
      </c>
      <c r="CB199" s="78">
        <f t="shared" si="158"/>
        <v>0</v>
      </c>
      <c r="CC199" s="78">
        <f t="shared" si="159"/>
        <v>0</v>
      </c>
      <c r="CD199" s="78">
        <f t="shared" si="160"/>
        <v>0</v>
      </c>
      <c r="CE199" s="78">
        <f t="shared" si="161"/>
        <v>0</v>
      </c>
      <c r="CF199" s="78">
        <f t="shared" si="162"/>
        <v>0</v>
      </c>
      <c r="CG199" s="78"/>
      <c r="CH199" s="92">
        <f t="shared" si="163"/>
        <v>0</v>
      </c>
      <c r="CI199" s="93">
        <f t="shared" si="164"/>
        <v>0</v>
      </c>
      <c r="CJ199" s="94">
        <f t="shared" si="165"/>
        <v>0</v>
      </c>
      <c r="CL199" s="78">
        <f t="shared" si="166"/>
        <v>0</v>
      </c>
      <c r="CM199" s="78">
        <f t="shared" si="167"/>
        <v>0</v>
      </c>
      <c r="CN199" s="78">
        <f t="shared" si="168"/>
        <v>0</v>
      </c>
      <c r="CO199" s="78">
        <f t="shared" si="169"/>
        <v>0</v>
      </c>
    </row>
    <row r="200" spans="1:93" ht="13.5" thickBot="1">
      <c r="A200" s="95"/>
      <c r="B200" s="96"/>
      <c r="C200" s="97"/>
      <c r="D200" s="98"/>
      <c r="E200" s="99"/>
      <c r="F200" s="100"/>
      <c r="G200" s="100"/>
      <c r="H200" s="100"/>
      <c r="I200" s="100"/>
      <c r="J200" s="100"/>
      <c r="K200" s="101" t="str">
        <f t="shared" si="170"/>
        <v/>
      </c>
      <c r="L200" s="102"/>
      <c r="M200" s="103"/>
      <c r="N200" s="104"/>
      <c r="O200" s="105"/>
      <c r="P200" s="106">
        <f t="shared" si="171"/>
        <v>0</v>
      </c>
      <c r="Q200" s="106">
        <f t="shared" si="172"/>
        <v>0</v>
      </c>
      <c r="R200" s="106">
        <f t="shared" si="173"/>
        <v>0</v>
      </c>
      <c r="S200" s="106">
        <f t="shared" si="174"/>
        <v>0</v>
      </c>
      <c r="T200" s="107">
        <f t="shared" si="175"/>
        <v>0</v>
      </c>
      <c r="U200" s="78"/>
      <c r="AG200" s="108"/>
      <c r="AI200" s="78">
        <f t="shared" si="119"/>
        <v>0</v>
      </c>
      <c r="AJ200" s="78">
        <f t="shared" si="120"/>
        <v>0</v>
      </c>
      <c r="AK200" s="78">
        <f t="shared" si="121"/>
        <v>0</v>
      </c>
      <c r="AL200" s="78">
        <f t="shared" si="122"/>
        <v>0</v>
      </c>
      <c r="AM200" s="78">
        <f t="shared" si="123"/>
        <v>0</v>
      </c>
      <c r="AN200" s="78">
        <f t="shared" si="124"/>
        <v>0</v>
      </c>
      <c r="AO200" s="78">
        <f t="shared" si="125"/>
        <v>0</v>
      </c>
      <c r="AP200" s="78">
        <f t="shared" si="126"/>
        <v>0</v>
      </c>
      <c r="AQ200" s="78">
        <f t="shared" si="127"/>
        <v>0</v>
      </c>
      <c r="AR200" s="78">
        <f t="shared" si="128"/>
        <v>0</v>
      </c>
      <c r="AS200" s="90">
        <f t="shared" si="129"/>
        <v>0</v>
      </c>
      <c r="AT200" s="91">
        <f t="shared" si="130"/>
        <v>0</v>
      </c>
      <c r="AV200" s="91">
        <f t="shared" si="131"/>
        <v>0</v>
      </c>
      <c r="AW200" s="78">
        <f t="shared" si="132"/>
        <v>0</v>
      </c>
      <c r="AX200" s="78">
        <f t="shared" si="133"/>
        <v>0</v>
      </c>
      <c r="AY200" s="78"/>
      <c r="AZ200" s="78">
        <f t="shared" si="134"/>
        <v>0</v>
      </c>
      <c r="BA200" s="78">
        <f t="shared" si="135"/>
        <v>0</v>
      </c>
      <c r="BB200" s="78">
        <f t="shared" si="136"/>
        <v>0</v>
      </c>
      <c r="BC200" s="78">
        <f t="shared" si="137"/>
        <v>0</v>
      </c>
      <c r="BD200" s="78">
        <f t="shared" si="138"/>
        <v>0</v>
      </c>
      <c r="BE200" s="78">
        <f t="shared" si="139"/>
        <v>0</v>
      </c>
      <c r="BF200" s="78">
        <f t="shared" si="140"/>
        <v>0</v>
      </c>
      <c r="BG200" s="78">
        <f t="shared" si="141"/>
        <v>0</v>
      </c>
      <c r="BH200" s="78">
        <f t="shared" si="142"/>
        <v>0</v>
      </c>
      <c r="BI200" s="78"/>
      <c r="BJ200" s="91">
        <f t="shared" si="143"/>
        <v>0</v>
      </c>
      <c r="BK200" s="91">
        <f t="shared" si="144"/>
        <v>0</v>
      </c>
      <c r="BL200" s="78"/>
      <c r="BM200" s="78">
        <f t="shared" si="145"/>
        <v>0</v>
      </c>
      <c r="BN200" s="78">
        <f t="shared" si="146"/>
        <v>0</v>
      </c>
      <c r="BO200" s="78">
        <f t="shared" si="147"/>
        <v>0</v>
      </c>
      <c r="BP200" s="78">
        <f t="shared" si="148"/>
        <v>0</v>
      </c>
      <c r="BQ200" s="78">
        <f t="shared" si="149"/>
        <v>0</v>
      </c>
      <c r="BR200" s="78">
        <f t="shared" si="150"/>
        <v>0</v>
      </c>
      <c r="BS200" s="78">
        <f t="shared" si="151"/>
        <v>0</v>
      </c>
      <c r="BT200" s="78">
        <f t="shared" si="152"/>
        <v>0</v>
      </c>
      <c r="BU200" s="91">
        <f t="shared" si="153"/>
        <v>0</v>
      </c>
      <c r="BV200" s="91">
        <f t="shared" si="154"/>
        <v>0</v>
      </c>
      <c r="BW200" s="78"/>
      <c r="BX200" s="78"/>
      <c r="BY200" s="78">
        <f t="shared" si="155"/>
        <v>0</v>
      </c>
      <c r="BZ200" s="78">
        <f t="shared" si="156"/>
        <v>0</v>
      </c>
      <c r="CA200" s="78">
        <f t="shared" si="157"/>
        <v>0</v>
      </c>
      <c r="CB200" s="78">
        <f t="shared" si="158"/>
        <v>0</v>
      </c>
      <c r="CC200" s="78">
        <f t="shared" si="159"/>
        <v>0</v>
      </c>
      <c r="CD200" s="78">
        <f t="shared" si="160"/>
        <v>0</v>
      </c>
      <c r="CE200" s="78">
        <f t="shared" si="161"/>
        <v>0</v>
      </c>
      <c r="CF200" s="78">
        <f t="shared" si="162"/>
        <v>0</v>
      </c>
      <c r="CG200" s="78"/>
      <c r="CH200" s="92">
        <f t="shared" si="163"/>
        <v>0</v>
      </c>
      <c r="CI200" s="93">
        <f t="shared" si="164"/>
        <v>0</v>
      </c>
      <c r="CJ200" s="94">
        <f t="shared" si="165"/>
        <v>0</v>
      </c>
      <c r="CL200" s="78">
        <f t="shared" si="166"/>
        <v>0</v>
      </c>
      <c r="CM200" s="78">
        <f t="shared" si="167"/>
        <v>0</v>
      </c>
      <c r="CN200" s="78">
        <f t="shared" si="168"/>
        <v>0</v>
      </c>
      <c r="CO200" s="78">
        <f t="shared" si="169"/>
        <v>0</v>
      </c>
    </row>
    <row r="201" spans="1:93" ht="13.5" thickBot="1">
      <c r="A201" s="95"/>
      <c r="B201" s="96"/>
      <c r="C201" s="97"/>
      <c r="D201" s="98"/>
      <c r="E201" s="99"/>
      <c r="F201" s="100"/>
      <c r="G201" s="100"/>
      <c r="H201" s="100"/>
      <c r="I201" s="100"/>
      <c r="J201" s="100"/>
      <c r="K201" s="101" t="str">
        <f t="shared" si="170"/>
        <v/>
      </c>
      <c r="L201" s="102"/>
      <c r="M201" s="103"/>
      <c r="N201" s="104"/>
      <c r="O201" s="105"/>
      <c r="P201" s="106">
        <f t="shared" si="171"/>
        <v>0</v>
      </c>
      <c r="Q201" s="106">
        <f t="shared" si="172"/>
        <v>0</v>
      </c>
      <c r="R201" s="106">
        <f t="shared" si="173"/>
        <v>0</v>
      </c>
      <c r="S201" s="106">
        <f t="shared" si="174"/>
        <v>0</v>
      </c>
      <c r="T201" s="107">
        <f t="shared" si="175"/>
        <v>0</v>
      </c>
      <c r="U201" s="78"/>
      <c r="AG201" s="108"/>
      <c r="AI201" s="78">
        <f t="shared" si="119"/>
        <v>0</v>
      </c>
      <c r="AJ201" s="78">
        <f t="shared" si="120"/>
        <v>0</v>
      </c>
      <c r="AK201" s="78">
        <f t="shared" si="121"/>
        <v>0</v>
      </c>
      <c r="AL201" s="78">
        <f t="shared" si="122"/>
        <v>0</v>
      </c>
      <c r="AM201" s="78">
        <f t="shared" si="123"/>
        <v>0</v>
      </c>
      <c r="AN201" s="78">
        <f t="shared" si="124"/>
        <v>0</v>
      </c>
      <c r="AO201" s="78">
        <f t="shared" si="125"/>
        <v>0</v>
      </c>
      <c r="AP201" s="78">
        <f t="shared" si="126"/>
        <v>0</v>
      </c>
      <c r="AQ201" s="78">
        <f t="shared" si="127"/>
        <v>0</v>
      </c>
      <c r="AR201" s="78">
        <f t="shared" si="128"/>
        <v>0</v>
      </c>
      <c r="AS201" s="90">
        <f t="shared" si="129"/>
        <v>0</v>
      </c>
      <c r="AT201" s="91">
        <f t="shared" si="130"/>
        <v>0</v>
      </c>
      <c r="AV201" s="91">
        <f t="shared" si="131"/>
        <v>0</v>
      </c>
      <c r="AW201" s="78">
        <f t="shared" si="132"/>
        <v>0</v>
      </c>
      <c r="AX201" s="78">
        <f t="shared" si="133"/>
        <v>0</v>
      </c>
      <c r="AY201" s="78"/>
      <c r="AZ201" s="78">
        <f t="shared" si="134"/>
        <v>0</v>
      </c>
      <c r="BA201" s="78">
        <f t="shared" si="135"/>
        <v>0</v>
      </c>
      <c r="BB201" s="78">
        <f t="shared" si="136"/>
        <v>0</v>
      </c>
      <c r="BC201" s="78">
        <f t="shared" si="137"/>
        <v>0</v>
      </c>
      <c r="BD201" s="78">
        <f t="shared" si="138"/>
        <v>0</v>
      </c>
      <c r="BE201" s="78">
        <f t="shared" si="139"/>
        <v>0</v>
      </c>
      <c r="BF201" s="78">
        <f t="shared" si="140"/>
        <v>0</v>
      </c>
      <c r="BG201" s="78">
        <f t="shared" si="141"/>
        <v>0</v>
      </c>
      <c r="BH201" s="78">
        <f t="shared" si="142"/>
        <v>0</v>
      </c>
      <c r="BI201" s="78"/>
      <c r="BJ201" s="91">
        <f t="shared" si="143"/>
        <v>0</v>
      </c>
      <c r="BK201" s="91">
        <f t="shared" si="144"/>
        <v>0</v>
      </c>
      <c r="BL201" s="78"/>
      <c r="BM201" s="78">
        <f t="shared" si="145"/>
        <v>0</v>
      </c>
      <c r="BN201" s="78">
        <f t="shared" si="146"/>
        <v>0</v>
      </c>
      <c r="BO201" s="78">
        <f t="shared" si="147"/>
        <v>0</v>
      </c>
      <c r="BP201" s="78">
        <f t="shared" si="148"/>
        <v>0</v>
      </c>
      <c r="BQ201" s="78">
        <f t="shared" si="149"/>
        <v>0</v>
      </c>
      <c r="BR201" s="78">
        <f t="shared" si="150"/>
        <v>0</v>
      </c>
      <c r="BS201" s="78">
        <f t="shared" si="151"/>
        <v>0</v>
      </c>
      <c r="BT201" s="78">
        <f t="shared" si="152"/>
        <v>0</v>
      </c>
      <c r="BU201" s="91">
        <f t="shared" si="153"/>
        <v>0</v>
      </c>
      <c r="BV201" s="91">
        <f t="shared" si="154"/>
        <v>0</v>
      </c>
      <c r="BW201" s="78"/>
      <c r="BX201" s="78"/>
      <c r="BY201" s="78">
        <f t="shared" si="155"/>
        <v>0</v>
      </c>
      <c r="BZ201" s="78">
        <f t="shared" si="156"/>
        <v>0</v>
      </c>
      <c r="CA201" s="78">
        <f t="shared" si="157"/>
        <v>0</v>
      </c>
      <c r="CB201" s="78">
        <f t="shared" si="158"/>
        <v>0</v>
      </c>
      <c r="CC201" s="78">
        <f t="shared" si="159"/>
        <v>0</v>
      </c>
      <c r="CD201" s="78">
        <f t="shared" si="160"/>
        <v>0</v>
      </c>
      <c r="CE201" s="78">
        <f t="shared" si="161"/>
        <v>0</v>
      </c>
      <c r="CF201" s="78">
        <f t="shared" si="162"/>
        <v>0</v>
      </c>
      <c r="CG201" s="78"/>
      <c r="CH201" s="92">
        <f t="shared" si="163"/>
        <v>0</v>
      </c>
      <c r="CI201" s="93">
        <f t="shared" si="164"/>
        <v>0</v>
      </c>
      <c r="CJ201" s="94">
        <f t="shared" si="165"/>
        <v>0</v>
      </c>
      <c r="CL201" s="78">
        <f t="shared" si="166"/>
        <v>0</v>
      </c>
      <c r="CM201" s="78">
        <f t="shared" si="167"/>
        <v>0</v>
      </c>
      <c r="CN201" s="78">
        <f t="shared" si="168"/>
        <v>0</v>
      </c>
      <c r="CO201" s="78">
        <f t="shared" si="169"/>
        <v>0</v>
      </c>
    </row>
    <row r="202" spans="1:93" ht="13.5" thickBot="1">
      <c r="A202" s="95"/>
      <c r="B202" s="96"/>
      <c r="C202" s="97"/>
      <c r="D202" s="98"/>
      <c r="E202" s="99"/>
      <c r="F202" s="100"/>
      <c r="G202" s="100"/>
      <c r="H202" s="100"/>
      <c r="I202" s="100"/>
      <c r="J202" s="100"/>
      <c r="K202" s="101" t="str">
        <f t="shared" si="170"/>
        <v/>
      </c>
      <c r="L202" s="102"/>
      <c r="M202" s="103"/>
      <c r="N202" s="104"/>
      <c r="O202" s="105"/>
      <c r="P202" s="106">
        <f t="shared" si="171"/>
        <v>0</v>
      </c>
      <c r="Q202" s="106">
        <f t="shared" si="172"/>
        <v>0</v>
      </c>
      <c r="R202" s="106">
        <f t="shared" si="173"/>
        <v>0</v>
      </c>
      <c r="S202" s="106">
        <f t="shared" si="174"/>
        <v>0</v>
      </c>
      <c r="T202" s="107">
        <f t="shared" si="175"/>
        <v>0</v>
      </c>
      <c r="U202" s="78"/>
      <c r="AG202" s="108"/>
      <c r="AI202" s="78">
        <f t="shared" si="119"/>
        <v>0</v>
      </c>
      <c r="AJ202" s="78">
        <f t="shared" si="120"/>
        <v>0</v>
      </c>
      <c r="AK202" s="78">
        <f t="shared" si="121"/>
        <v>0</v>
      </c>
      <c r="AL202" s="78">
        <f t="shared" si="122"/>
        <v>0</v>
      </c>
      <c r="AM202" s="78">
        <f t="shared" si="123"/>
        <v>0</v>
      </c>
      <c r="AN202" s="78">
        <f t="shared" si="124"/>
        <v>0</v>
      </c>
      <c r="AO202" s="78">
        <f t="shared" si="125"/>
        <v>0</v>
      </c>
      <c r="AP202" s="78">
        <f t="shared" si="126"/>
        <v>0</v>
      </c>
      <c r="AQ202" s="78">
        <f t="shared" si="127"/>
        <v>0</v>
      </c>
      <c r="AR202" s="78">
        <f t="shared" si="128"/>
        <v>0</v>
      </c>
      <c r="AS202" s="90">
        <f t="shared" si="129"/>
        <v>0</v>
      </c>
      <c r="AT202" s="91">
        <f t="shared" si="130"/>
        <v>0</v>
      </c>
      <c r="AV202" s="91">
        <f t="shared" si="131"/>
        <v>0</v>
      </c>
      <c r="AW202" s="78">
        <f t="shared" si="132"/>
        <v>0</v>
      </c>
      <c r="AX202" s="78">
        <f t="shared" si="133"/>
        <v>0</v>
      </c>
      <c r="AY202" s="78"/>
      <c r="AZ202" s="78">
        <f t="shared" si="134"/>
        <v>0</v>
      </c>
      <c r="BA202" s="78">
        <f t="shared" si="135"/>
        <v>0</v>
      </c>
      <c r="BB202" s="78">
        <f t="shared" si="136"/>
        <v>0</v>
      </c>
      <c r="BC202" s="78">
        <f t="shared" si="137"/>
        <v>0</v>
      </c>
      <c r="BD202" s="78">
        <f t="shared" si="138"/>
        <v>0</v>
      </c>
      <c r="BE202" s="78">
        <f t="shared" si="139"/>
        <v>0</v>
      </c>
      <c r="BF202" s="78">
        <f t="shared" si="140"/>
        <v>0</v>
      </c>
      <c r="BG202" s="78">
        <f t="shared" si="141"/>
        <v>0</v>
      </c>
      <c r="BH202" s="78">
        <f t="shared" si="142"/>
        <v>0</v>
      </c>
      <c r="BI202" s="78"/>
      <c r="BJ202" s="91">
        <f t="shared" si="143"/>
        <v>0</v>
      </c>
      <c r="BK202" s="91">
        <f t="shared" si="144"/>
        <v>0</v>
      </c>
      <c r="BL202" s="78"/>
      <c r="BM202" s="78">
        <f t="shared" si="145"/>
        <v>0</v>
      </c>
      <c r="BN202" s="78">
        <f t="shared" si="146"/>
        <v>0</v>
      </c>
      <c r="BO202" s="78">
        <f t="shared" si="147"/>
        <v>0</v>
      </c>
      <c r="BP202" s="78">
        <f t="shared" si="148"/>
        <v>0</v>
      </c>
      <c r="BQ202" s="78">
        <f t="shared" si="149"/>
        <v>0</v>
      </c>
      <c r="BR202" s="78">
        <f t="shared" si="150"/>
        <v>0</v>
      </c>
      <c r="BS202" s="78">
        <f t="shared" si="151"/>
        <v>0</v>
      </c>
      <c r="BT202" s="78">
        <f t="shared" si="152"/>
        <v>0</v>
      </c>
      <c r="BU202" s="91">
        <f t="shared" si="153"/>
        <v>0</v>
      </c>
      <c r="BV202" s="91">
        <f t="shared" si="154"/>
        <v>0</v>
      </c>
      <c r="BW202" s="78"/>
      <c r="BX202" s="78"/>
      <c r="BY202" s="78">
        <f t="shared" si="155"/>
        <v>0</v>
      </c>
      <c r="BZ202" s="78">
        <f t="shared" si="156"/>
        <v>0</v>
      </c>
      <c r="CA202" s="78">
        <f t="shared" si="157"/>
        <v>0</v>
      </c>
      <c r="CB202" s="78">
        <f t="shared" si="158"/>
        <v>0</v>
      </c>
      <c r="CC202" s="78">
        <f t="shared" si="159"/>
        <v>0</v>
      </c>
      <c r="CD202" s="78">
        <f t="shared" si="160"/>
        <v>0</v>
      </c>
      <c r="CE202" s="78">
        <f t="shared" si="161"/>
        <v>0</v>
      </c>
      <c r="CF202" s="78">
        <f t="shared" si="162"/>
        <v>0</v>
      </c>
      <c r="CG202" s="78"/>
      <c r="CH202" s="92">
        <f t="shared" si="163"/>
        <v>0</v>
      </c>
      <c r="CI202" s="93">
        <f t="shared" si="164"/>
        <v>0</v>
      </c>
      <c r="CJ202" s="94">
        <f t="shared" si="165"/>
        <v>0</v>
      </c>
      <c r="CL202" s="78">
        <f t="shared" si="166"/>
        <v>0</v>
      </c>
      <c r="CM202" s="78">
        <f t="shared" si="167"/>
        <v>0</v>
      </c>
      <c r="CN202" s="78">
        <f t="shared" si="168"/>
        <v>0</v>
      </c>
      <c r="CO202" s="78">
        <f t="shared" si="169"/>
        <v>0</v>
      </c>
    </row>
    <row r="203" spans="1:93" ht="13.5" thickBot="1">
      <c r="A203" s="95"/>
      <c r="B203" s="96"/>
      <c r="C203" s="97"/>
      <c r="D203" s="98"/>
      <c r="E203" s="99"/>
      <c r="F203" s="100"/>
      <c r="G203" s="100"/>
      <c r="H203" s="100"/>
      <c r="I203" s="100"/>
      <c r="J203" s="100"/>
      <c r="K203" s="101" t="str">
        <f t="shared" si="170"/>
        <v/>
      </c>
      <c r="L203" s="102"/>
      <c r="M203" s="103"/>
      <c r="N203" s="104"/>
      <c r="O203" s="105"/>
      <c r="P203" s="106">
        <f t="shared" si="171"/>
        <v>0</v>
      </c>
      <c r="Q203" s="106">
        <f t="shared" si="172"/>
        <v>0</v>
      </c>
      <c r="R203" s="106">
        <f t="shared" si="173"/>
        <v>0</v>
      </c>
      <c r="S203" s="106">
        <f t="shared" si="174"/>
        <v>0</v>
      </c>
      <c r="T203" s="107">
        <f t="shared" si="175"/>
        <v>0</v>
      </c>
      <c r="U203" s="78"/>
      <c r="AG203" s="108"/>
      <c r="AI203" s="78">
        <f t="shared" si="119"/>
        <v>0</v>
      </c>
      <c r="AJ203" s="78">
        <f t="shared" si="120"/>
        <v>0</v>
      </c>
      <c r="AK203" s="78">
        <f t="shared" si="121"/>
        <v>0</v>
      </c>
      <c r="AL203" s="78">
        <f t="shared" si="122"/>
        <v>0</v>
      </c>
      <c r="AM203" s="78">
        <f t="shared" si="123"/>
        <v>0</v>
      </c>
      <c r="AN203" s="78">
        <f t="shared" si="124"/>
        <v>0</v>
      </c>
      <c r="AO203" s="78">
        <f t="shared" si="125"/>
        <v>0</v>
      </c>
      <c r="AP203" s="78">
        <f t="shared" si="126"/>
        <v>0</v>
      </c>
      <c r="AQ203" s="78">
        <f t="shared" si="127"/>
        <v>0</v>
      </c>
      <c r="AR203" s="78">
        <f t="shared" si="128"/>
        <v>0</v>
      </c>
      <c r="AS203" s="90">
        <f t="shared" si="129"/>
        <v>0</v>
      </c>
      <c r="AT203" s="91">
        <f t="shared" si="130"/>
        <v>0</v>
      </c>
      <c r="AV203" s="91">
        <f t="shared" si="131"/>
        <v>0</v>
      </c>
      <c r="AW203" s="78">
        <f t="shared" si="132"/>
        <v>0</v>
      </c>
      <c r="AX203" s="78">
        <f t="shared" si="133"/>
        <v>0</v>
      </c>
      <c r="AY203" s="78"/>
      <c r="AZ203" s="78">
        <f t="shared" si="134"/>
        <v>0</v>
      </c>
      <c r="BA203" s="78">
        <f t="shared" si="135"/>
        <v>0</v>
      </c>
      <c r="BB203" s="78">
        <f t="shared" si="136"/>
        <v>0</v>
      </c>
      <c r="BC203" s="78">
        <f t="shared" si="137"/>
        <v>0</v>
      </c>
      <c r="BD203" s="78">
        <f t="shared" si="138"/>
        <v>0</v>
      </c>
      <c r="BE203" s="78">
        <f t="shared" si="139"/>
        <v>0</v>
      </c>
      <c r="BF203" s="78">
        <f t="shared" si="140"/>
        <v>0</v>
      </c>
      <c r="BG203" s="78">
        <f t="shared" si="141"/>
        <v>0</v>
      </c>
      <c r="BH203" s="78">
        <f t="shared" si="142"/>
        <v>0</v>
      </c>
      <c r="BI203" s="78"/>
      <c r="BJ203" s="91">
        <f t="shared" si="143"/>
        <v>0</v>
      </c>
      <c r="BK203" s="91">
        <f t="shared" si="144"/>
        <v>0</v>
      </c>
      <c r="BL203" s="78"/>
      <c r="BM203" s="78">
        <f t="shared" si="145"/>
        <v>0</v>
      </c>
      <c r="BN203" s="78">
        <f t="shared" si="146"/>
        <v>0</v>
      </c>
      <c r="BO203" s="78">
        <f t="shared" si="147"/>
        <v>0</v>
      </c>
      <c r="BP203" s="78">
        <f t="shared" si="148"/>
        <v>0</v>
      </c>
      <c r="BQ203" s="78">
        <f t="shared" si="149"/>
        <v>0</v>
      </c>
      <c r="BR203" s="78">
        <f t="shared" si="150"/>
        <v>0</v>
      </c>
      <c r="BS203" s="78">
        <f t="shared" si="151"/>
        <v>0</v>
      </c>
      <c r="BT203" s="78">
        <f t="shared" si="152"/>
        <v>0</v>
      </c>
      <c r="BU203" s="91">
        <f t="shared" si="153"/>
        <v>0</v>
      </c>
      <c r="BV203" s="91">
        <f t="shared" si="154"/>
        <v>0</v>
      </c>
      <c r="BW203" s="78"/>
      <c r="BX203" s="78"/>
      <c r="BY203" s="78">
        <f t="shared" si="155"/>
        <v>0</v>
      </c>
      <c r="BZ203" s="78">
        <f t="shared" si="156"/>
        <v>0</v>
      </c>
      <c r="CA203" s="78">
        <f t="shared" si="157"/>
        <v>0</v>
      </c>
      <c r="CB203" s="78">
        <f t="shared" si="158"/>
        <v>0</v>
      </c>
      <c r="CC203" s="78">
        <f t="shared" si="159"/>
        <v>0</v>
      </c>
      <c r="CD203" s="78">
        <f t="shared" si="160"/>
        <v>0</v>
      </c>
      <c r="CE203" s="78">
        <f t="shared" si="161"/>
        <v>0</v>
      </c>
      <c r="CF203" s="78">
        <f t="shared" si="162"/>
        <v>0</v>
      </c>
      <c r="CG203" s="78"/>
      <c r="CH203" s="92">
        <f t="shared" si="163"/>
        <v>0</v>
      </c>
      <c r="CI203" s="93">
        <f t="shared" si="164"/>
        <v>0</v>
      </c>
      <c r="CJ203" s="94">
        <f t="shared" si="165"/>
        <v>0</v>
      </c>
      <c r="CL203" s="78">
        <f t="shared" si="166"/>
        <v>0</v>
      </c>
      <c r="CM203" s="78">
        <f t="shared" si="167"/>
        <v>0</v>
      </c>
      <c r="CN203" s="78">
        <f t="shared" si="168"/>
        <v>0</v>
      </c>
      <c r="CO203" s="78">
        <f t="shared" si="169"/>
        <v>0</v>
      </c>
    </row>
    <row r="204" spans="1:93" ht="13.5" thickBot="1">
      <c r="A204" s="95"/>
      <c r="B204" s="96"/>
      <c r="C204" s="97"/>
      <c r="D204" s="98"/>
      <c r="E204" s="99"/>
      <c r="F204" s="100"/>
      <c r="G204" s="100"/>
      <c r="H204" s="100"/>
      <c r="I204" s="100"/>
      <c r="J204" s="100"/>
      <c r="K204" s="101" t="str">
        <f t="shared" si="170"/>
        <v/>
      </c>
      <c r="L204" s="102"/>
      <c r="M204" s="103"/>
      <c r="N204" s="104"/>
      <c r="O204" s="105"/>
      <c r="P204" s="106">
        <f t="shared" si="171"/>
        <v>0</v>
      </c>
      <c r="Q204" s="106">
        <f t="shared" si="172"/>
        <v>0</v>
      </c>
      <c r="R204" s="106">
        <f t="shared" si="173"/>
        <v>0</v>
      </c>
      <c r="S204" s="106">
        <f t="shared" si="174"/>
        <v>0</v>
      </c>
      <c r="T204" s="107">
        <f t="shared" si="175"/>
        <v>0</v>
      </c>
      <c r="U204" s="78"/>
      <c r="AG204" s="108"/>
      <c r="AI204" s="78">
        <f t="shared" si="119"/>
        <v>0</v>
      </c>
      <c r="AJ204" s="78">
        <f t="shared" si="120"/>
        <v>0</v>
      </c>
      <c r="AK204" s="78">
        <f t="shared" si="121"/>
        <v>0</v>
      </c>
      <c r="AL204" s="78">
        <f t="shared" si="122"/>
        <v>0</v>
      </c>
      <c r="AM204" s="78">
        <f t="shared" si="123"/>
        <v>0</v>
      </c>
      <c r="AN204" s="78">
        <f t="shared" si="124"/>
        <v>0</v>
      </c>
      <c r="AO204" s="78">
        <f t="shared" si="125"/>
        <v>0</v>
      </c>
      <c r="AP204" s="78">
        <f t="shared" si="126"/>
        <v>0</v>
      </c>
      <c r="AQ204" s="78">
        <f t="shared" si="127"/>
        <v>0</v>
      </c>
      <c r="AR204" s="78">
        <f t="shared" si="128"/>
        <v>0</v>
      </c>
      <c r="AS204" s="90">
        <f t="shared" si="129"/>
        <v>0</v>
      </c>
      <c r="AT204" s="91">
        <f t="shared" si="130"/>
        <v>0</v>
      </c>
      <c r="AV204" s="91">
        <f t="shared" si="131"/>
        <v>0</v>
      </c>
      <c r="AW204" s="78">
        <f t="shared" si="132"/>
        <v>0</v>
      </c>
      <c r="AX204" s="78">
        <f t="shared" si="133"/>
        <v>0</v>
      </c>
      <c r="AY204" s="78"/>
      <c r="AZ204" s="78">
        <f t="shared" si="134"/>
        <v>0</v>
      </c>
      <c r="BA204" s="78">
        <f t="shared" si="135"/>
        <v>0</v>
      </c>
      <c r="BB204" s="78">
        <f t="shared" si="136"/>
        <v>0</v>
      </c>
      <c r="BC204" s="78">
        <f t="shared" si="137"/>
        <v>0</v>
      </c>
      <c r="BD204" s="78">
        <f t="shared" si="138"/>
        <v>0</v>
      </c>
      <c r="BE204" s="78">
        <f t="shared" si="139"/>
        <v>0</v>
      </c>
      <c r="BF204" s="78">
        <f t="shared" si="140"/>
        <v>0</v>
      </c>
      <c r="BG204" s="78">
        <f t="shared" si="141"/>
        <v>0</v>
      </c>
      <c r="BH204" s="78">
        <f t="shared" si="142"/>
        <v>0</v>
      </c>
      <c r="BI204" s="78"/>
      <c r="BJ204" s="91">
        <f t="shared" si="143"/>
        <v>0</v>
      </c>
      <c r="BK204" s="91">
        <f t="shared" si="144"/>
        <v>0</v>
      </c>
      <c r="BL204" s="78"/>
      <c r="BM204" s="78">
        <f t="shared" si="145"/>
        <v>0</v>
      </c>
      <c r="BN204" s="78">
        <f t="shared" si="146"/>
        <v>0</v>
      </c>
      <c r="BO204" s="78">
        <f t="shared" si="147"/>
        <v>0</v>
      </c>
      <c r="BP204" s="78">
        <f t="shared" si="148"/>
        <v>0</v>
      </c>
      <c r="BQ204" s="78">
        <f t="shared" si="149"/>
        <v>0</v>
      </c>
      <c r="BR204" s="78">
        <f t="shared" si="150"/>
        <v>0</v>
      </c>
      <c r="BS204" s="78">
        <f t="shared" si="151"/>
        <v>0</v>
      </c>
      <c r="BT204" s="78">
        <f t="shared" si="152"/>
        <v>0</v>
      </c>
      <c r="BU204" s="91">
        <f t="shared" si="153"/>
        <v>0</v>
      </c>
      <c r="BV204" s="91">
        <f t="shared" si="154"/>
        <v>0</v>
      </c>
      <c r="BW204" s="78"/>
      <c r="BX204" s="78"/>
      <c r="BY204" s="78">
        <f t="shared" si="155"/>
        <v>0</v>
      </c>
      <c r="BZ204" s="78">
        <f t="shared" si="156"/>
        <v>0</v>
      </c>
      <c r="CA204" s="78">
        <f t="shared" si="157"/>
        <v>0</v>
      </c>
      <c r="CB204" s="78">
        <f t="shared" si="158"/>
        <v>0</v>
      </c>
      <c r="CC204" s="78">
        <f t="shared" si="159"/>
        <v>0</v>
      </c>
      <c r="CD204" s="78">
        <f t="shared" si="160"/>
        <v>0</v>
      </c>
      <c r="CE204" s="78">
        <f t="shared" si="161"/>
        <v>0</v>
      </c>
      <c r="CF204" s="78">
        <f t="shared" si="162"/>
        <v>0</v>
      </c>
      <c r="CG204" s="78"/>
      <c r="CH204" s="92">
        <f t="shared" si="163"/>
        <v>0</v>
      </c>
      <c r="CI204" s="93">
        <f t="shared" si="164"/>
        <v>0</v>
      </c>
      <c r="CJ204" s="94">
        <f t="shared" si="165"/>
        <v>0</v>
      </c>
      <c r="CL204" s="78">
        <f t="shared" si="166"/>
        <v>0</v>
      </c>
      <c r="CM204" s="78">
        <f t="shared" si="167"/>
        <v>0</v>
      </c>
      <c r="CN204" s="78">
        <f t="shared" si="168"/>
        <v>0</v>
      </c>
      <c r="CO204" s="78">
        <f t="shared" si="169"/>
        <v>0</v>
      </c>
    </row>
    <row r="205" spans="1:93" ht="13.5" thickBot="1">
      <c r="A205" s="95"/>
      <c r="B205" s="96"/>
      <c r="C205" s="97"/>
      <c r="D205" s="98"/>
      <c r="E205" s="99"/>
      <c r="F205" s="100"/>
      <c r="G205" s="100"/>
      <c r="H205" s="100"/>
      <c r="I205" s="100"/>
      <c r="J205" s="100"/>
      <c r="K205" s="101" t="str">
        <f t="shared" si="170"/>
        <v/>
      </c>
      <c r="L205" s="102"/>
      <c r="M205" s="103"/>
      <c r="N205" s="104"/>
      <c r="O205" s="105"/>
      <c r="P205" s="106">
        <f t="shared" si="171"/>
        <v>0</v>
      </c>
      <c r="Q205" s="106">
        <f t="shared" si="172"/>
        <v>0</v>
      </c>
      <c r="R205" s="106">
        <f t="shared" si="173"/>
        <v>0</v>
      </c>
      <c r="S205" s="106">
        <f t="shared" si="174"/>
        <v>0</v>
      </c>
      <c r="T205" s="107">
        <f t="shared" si="175"/>
        <v>0</v>
      </c>
      <c r="U205" s="78"/>
      <c r="AG205" s="108"/>
      <c r="AI205" s="78">
        <f t="shared" si="119"/>
        <v>0</v>
      </c>
      <c r="AJ205" s="78">
        <f t="shared" si="120"/>
        <v>0</v>
      </c>
      <c r="AK205" s="78">
        <f t="shared" si="121"/>
        <v>0</v>
      </c>
      <c r="AL205" s="78">
        <f t="shared" si="122"/>
        <v>0</v>
      </c>
      <c r="AM205" s="78">
        <f t="shared" si="123"/>
        <v>0</v>
      </c>
      <c r="AN205" s="78">
        <f t="shared" si="124"/>
        <v>0</v>
      </c>
      <c r="AO205" s="78">
        <f t="shared" si="125"/>
        <v>0</v>
      </c>
      <c r="AP205" s="78">
        <f t="shared" si="126"/>
        <v>0</v>
      </c>
      <c r="AQ205" s="78">
        <f t="shared" si="127"/>
        <v>0</v>
      </c>
      <c r="AR205" s="78">
        <f t="shared" si="128"/>
        <v>0</v>
      </c>
      <c r="AS205" s="90">
        <f t="shared" si="129"/>
        <v>0</v>
      </c>
      <c r="AT205" s="91">
        <f t="shared" si="130"/>
        <v>0</v>
      </c>
      <c r="AV205" s="91">
        <f t="shared" si="131"/>
        <v>0</v>
      </c>
      <c r="AW205" s="78">
        <f t="shared" si="132"/>
        <v>0</v>
      </c>
      <c r="AX205" s="78">
        <f t="shared" si="133"/>
        <v>0</v>
      </c>
      <c r="AY205" s="78"/>
      <c r="AZ205" s="78">
        <f t="shared" si="134"/>
        <v>0</v>
      </c>
      <c r="BA205" s="78">
        <f t="shared" si="135"/>
        <v>0</v>
      </c>
      <c r="BB205" s="78">
        <f t="shared" si="136"/>
        <v>0</v>
      </c>
      <c r="BC205" s="78">
        <f t="shared" si="137"/>
        <v>0</v>
      </c>
      <c r="BD205" s="78">
        <f t="shared" si="138"/>
        <v>0</v>
      </c>
      <c r="BE205" s="78">
        <f t="shared" si="139"/>
        <v>0</v>
      </c>
      <c r="BF205" s="78">
        <f t="shared" si="140"/>
        <v>0</v>
      </c>
      <c r="BG205" s="78">
        <f t="shared" si="141"/>
        <v>0</v>
      </c>
      <c r="BH205" s="78">
        <f t="shared" si="142"/>
        <v>0</v>
      </c>
      <c r="BI205" s="78"/>
      <c r="BJ205" s="91">
        <f t="shared" si="143"/>
        <v>0</v>
      </c>
      <c r="BK205" s="91">
        <f t="shared" si="144"/>
        <v>0</v>
      </c>
      <c r="BL205" s="78"/>
      <c r="BM205" s="78">
        <f t="shared" si="145"/>
        <v>0</v>
      </c>
      <c r="BN205" s="78">
        <f t="shared" si="146"/>
        <v>0</v>
      </c>
      <c r="BO205" s="78">
        <f t="shared" si="147"/>
        <v>0</v>
      </c>
      <c r="BP205" s="78">
        <f t="shared" si="148"/>
        <v>0</v>
      </c>
      <c r="BQ205" s="78">
        <f t="shared" si="149"/>
        <v>0</v>
      </c>
      <c r="BR205" s="78">
        <f t="shared" si="150"/>
        <v>0</v>
      </c>
      <c r="BS205" s="78">
        <f t="shared" si="151"/>
        <v>0</v>
      </c>
      <c r="BT205" s="78">
        <f t="shared" si="152"/>
        <v>0</v>
      </c>
      <c r="BU205" s="91">
        <f t="shared" si="153"/>
        <v>0</v>
      </c>
      <c r="BV205" s="91">
        <f t="shared" si="154"/>
        <v>0</v>
      </c>
      <c r="BW205" s="78"/>
      <c r="BX205" s="78"/>
      <c r="BY205" s="78">
        <f t="shared" si="155"/>
        <v>0</v>
      </c>
      <c r="BZ205" s="78">
        <f t="shared" si="156"/>
        <v>0</v>
      </c>
      <c r="CA205" s="78">
        <f t="shared" si="157"/>
        <v>0</v>
      </c>
      <c r="CB205" s="78">
        <f t="shared" si="158"/>
        <v>0</v>
      </c>
      <c r="CC205" s="78">
        <f t="shared" si="159"/>
        <v>0</v>
      </c>
      <c r="CD205" s="78">
        <f t="shared" si="160"/>
        <v>0</v>
      </c>
      <c r="CE205" s="78">
        <f t="shared" si="161"/>
        <v>0</v>
      </c>
      <c r="CF205" s="78">
        <f t="shared" si="162"/>
        <v>0</v>
      </c>
      <c r="CG205" s="78"/>
      <c r="CH205" s="92">
        <f t="shared" si="163"/>
        <v>0</v>
      </c>
      <c r="CI205" s="93">
        <f t="shared" si="164"/>
        <v>0</v>
      </c>
      <c r="CJ205" s="94">
        <f t="shared" si="165"/>
        <v>0</v>
      </c>
      <c r="CL205" s="78">
        <f t="shared" si="166"/>
        <v>0</v>
      </c>
      <c r="CM205" s="78">
        <f t="shared" si="167"/>
        <v>0</v>
      </c>
      <c r="CN205" s="78">
        <f t="shared" si="168"/>
        <v>0</v>
      </c>
      <c r="CO205" s="78">
        <f t="shared" si="169"/>
        <v>0</v>
      </c>
    </row>
    <row r="206" spans="1:93" ht="13.5" thickBot="1">
      <c r="A206" s="95"/>
      <c r="B206" s="96"/>
      <c r="C206" s="97"/>
      <c r="D206" s="98"/>
      <c r="E206" s="99"/>
      <c r="F206" s="100"/>
      <c r="G206" s="100"/>
      <c r="H206" s="100"/>
      <c r="I206" s="100"/>
      <c r="J206" s="100"/>
      <c r="K206" s="101" t="str">
        <f t="shared" si="170"/>
        <v/>
      </c>
      <c r="L206" s="102"/>
      <c r="M206" s="103"/>
      <c r="N206" s="104"/>
      <c r="O206" s="105"/>
      <c r="P206" s="106">
        <f t="shared" si="171"/>
        <v>0</v>
      </c>
      <c r="Q206" s="106">
        <f t="shared" si="172"/>
        <v>0</v>
      </c>
      <c r="R206" s="106">
        <f t="shared" si="173"/>
        <v>0</v>
      </c>
      <c r="S206" s="106">
        <f t="shared" si="174"/>
        <v>0</v>
      </c>
      <c r="T206" s="107">
        <f t="shared" si="175"/>
        <v>0</v>
      </c>
      <c r="U206" s="78"/>
      <c r="AG206" s="108"/>
      <c r="AI206" s="78">
        <f t="shared" si="119"/>
        <v>0</v>
      </c>
      <c r="AJ206" s="78">
        <f t="shared" si="120"/>
        <v>0</v>
      </c>
      <c r="AK206" s="78">
        <f t="shared" si="121"/>
        <v>0</v>
      </c>
      <c r="AL206" s="78">
        <f t="shared" si="122"/>
        <v>0</v>
      </c>
      <c r="AM206" s="78">
        <f t="shared" si="123"/>
        <v>0</v>
      </c>
      <c r="AN206" s="78">
        <f t="shared" si="124"/>
        <v>0</v>
      </c>
      <c r="AO206" s="78">
        <f t="shared" si="125"/>
        <v>0</v>
      </c>
      <c r="AP206" s="78">
        <f t="shared" si="126"/>
        <v>0</v>
      </c>
      <c r="AQ206" s="78">
        <f t="shared" si="127"/>
        <v>0</v>
      </c>
      <c r="AR206" s="78">
        <f t="shared" si="128"/>
        <v>0</v>
      </c>
      <c r="AS206" s="90">
        <f t="shared" si="129"/>
        <v>0</v>
      </c>
      <c r="AT206" s="91">
        <f t="shared" si="130"/>
        <v>0</v>
      </c>
      <c r="AV206" s="91">
        <f t="shared" si="131"/>
        <v>0</v>
      </c>
      <c r="AW206" s="78">
        <f t="shared" si="132"/>
        <v>0</v>
      </c>
      <c r="AX206" s="78">
        <f t="shared" si="133"/>
        <v>0</v>
      </c>
      <c r="AY206" s="78"/>
      <c r="AZ206" s="78">
        <f t="shared" si="134"/>
        <v>0</v>
      </c>
      <c r="BA206" s="78">
        <f t="shared" si="135"/>
        <v>0</v>
      </c>
      <c r="BB206" s="78">
        <f t="shared" si="136"/>
        <v>0</v>
      </c>
      <c r="BC206" s="78">
        <f t="shared" si="137"/>
        <v>0</v>
      </c>
      <c r="BD206" s="78">
        <f t="shared" si="138"/>
        <v>0</v>
      </c>
      <c r="BE206" s="78">
        <f t="shared" si="139"/>
        <v>0</v>
      </c>
      <c r="BF206" s="78">
        <f t="shared" si="140"/>
        <v>0</v>
      </c>
      <c r="BG206" s="78">
        <f t="shared" si="141"/>
        <v>0</v>
      </c>
      <c r="BH206" s="78">
        <f t="shared" si="142"/>
        <v>0</v>
      </c>
      <c r="BI206" s="78"/>
      <c r="BJ206" s="91">
        <f t="shared" si="143"/>
        <v>0</v>
      </c>
      <c r="BK206" s="91">
        <f t="shared" si="144"/>
        <v>0</v>
      </c>
      <c r="BL206" s="78"/>
      <c r="BM206" s="78">
        <f t="shared" si="145"/>
        <v>0</v>
      </c>
      <c r="BN206" s="78">
        <f t="shared" si="146"/>
        <v>0</v>
      </c>
      <c r="BO206" s="78">
        <f t="shared" si="147"/>
        <v>0</v>
      </c>
      <c r="BP206" s="78">
        <f t="shared" si="148"/>
        <v>0</v>
      </c>
      <c r="BQ206" s="78">
        <f t="shared" si="149"/>
        <v>0</v>
      </c>
      <c r="BR206" s="78">
        <f t="shared" si="150"/>
        <v>0</v>
      </c>
      <c r="BS206" s="78">
        <f t="shared" si="151"/>
        <v>0</v>
      </c>
      <c r="BT206" s="78">
        <f t="shared" si="152"/>
        <v>0</v>
      </c>
      <c r="BU206" s="91">
        <f t="shared" si="153"/>
        <v>0</v>
      </c>
      <c r="BV206" s="91">
        <f t="shared" si="154"/>
        <v>0</v>
      </c>
      <c r="BW206" s="78"/>
      <c r="BX206" s="78"/>
      <c r="BY206" s="78">
        <f t="shared" si="155"/>
        <v>0</v>
      </c>
      <c r="BZ206" s="78">
        <f t="shared" si="156"/>
        <v>0</v>
      </c>
      <c r="CA206" s="78">
        <f t="shared" si="157"/>
        <v>0</v>
      </c>
      <c r="CB206" s="78">
        <f t="shared" si="158"/>
        <v>0</v>
      </c>
      <c r="CC206" s="78">
        <f t="shared" si="159"/>
        <v>0</v>
      </c>
      <c r="CD206" s="78">
        <f t="shared" si="160"/>
        <v>0</v>
      </c>
      <c r="CE206" s="78">
        <f t="shared" si="161"/>
        <v>0</v>
      </c>
      <c r="CF206" s="78">
        <f t="shared" si="162"/>
        <v>0</v>
      </c>
      <c r="CG206" s="78"/>
      <c r="CH206" s="92">
        <f t="shared" si="163"/>
        <v>0</v>
      </c>
      <c r="CI206" s="93">
        <f t="shared" si="164"/>
        <v>0</v>
      </c>
      <c r="CJ206" s="94">
        <f t="shared" si="165"/>
        <v>0</v>
      </c>
      <c r="CL206" s="78">
        <f t="shared" si="166"/>
        <v>0</v>
      </c>
      <c r="CM206" s="78">
        <f t="shared" si="167"/>
        <v>0</v>
      </c>
      <c r="CN206" s="78">
        <f t="shared" si="168"/>
        <v>0</v>
      </c>
      <c r="CO206" s="78">
        <f t="shared" si="169"/>
        <v>0</v>
      </c>
    </row>
    <row r="207" spans="1:93" ht="13.5" thickBot="1">
      <c r="A207" s="95"/>
      <c r="B207" s="96"/>
      <c r="C207" s="97"/>
      <c r="D207" s="98"/>
      <c r="E207" s="99"/>
      <c r="F207" s="100"/>
      <c r="G207" s="100"/>
      <c r="H207" s="100"/>
      <c r="I207" s="100"/>
      <c r="J207" s="100"/>
      <c r="K207" s="101" t="str">
        <f t="shared" si="170"/>
        <v/>
      </c>
      <c r="L207" s="102"/>
      <c r="M207" s="103"/>
      <c r="N207" s="104"/>
      <c r="O207" s="105"/>
      <c r="P207" s="106">
        <f t="shared" si="171"/>
        <v>0</v>
      </c>
      <c r="Q207" s="106">
        <f t="shared" si="172"/>
        <v>0</v>
      </c>
      <c r="R207" s="106">
        <f t="shared" si="173"/>
        <v>0</v>
      </c>
      <c r="S207" s="106">
        <f t="shared" si="174"/>
        <v>0</v>
      </c>
      <c r="T207" s="107">
        <f t="shared" si="175"/>
        <v>0</v>
      </c>
      <c r="U207" s="78"/>
      <c r="AG207" s="108"/>
      <c r="AI207" s="78">
        <f t="shared" si="119"/>
        <v>0</v>
      </c>
      <c r="AJ207" s="78">
        <f t="shared" si="120"/>
        <v>0</v>
      </c>
      <c r="AK207" s="78">
        <f t="shared" si="121"/>
        <v>0</v>
      </c>
      <c r="AL207" s="78">
        <f t="shared" si="122"/>
        <v>0</v>
      </c>
      <c r="AM207" s="78">
        <f t="shared" si="123"/>
        <v>0</v>
      </c>
      <c r="AN207" s="78">
        <f t="shared" si="124"/>
        <v>0</v>
      </c>
      <c r="AO207" s="78">
        <f t="shared" si="125"/>
        <v>0</v>
      </c>
      <c r="AP207" s="78">
        <f t="shared" si="126"/>
        <v>0</v>
      </c>
      <c r="AQ207" s="78">
        <f t="shared" si="127"/>
        <v>0</v>
      </c>
      <c r="AR207" s="78">
        <f t="shared" si="128"/>
        <v>0</v>
      </c>
      <c r="AS207" s="90">
        <f t="shared" si="129"/>
        <v>0</v>
      </c>
      <c r="AT207" s="91">
        <f t="shared" si="130"/>
        <v>0</v>
      </c>
      <c r="AV207" s="91">
        <f t="shared" si="131"/>
        <v>0</v>
      </c>
      <c r="AW207" s="78">
        <f t="shared" si="132"/>
        <v>0</v>
      </c>
      <c r="AX207" s="78">
        <f t="shared" si="133"/>
        <v>0</v>
      </c>
      <c r="AY207" s="78"/>
      <c r="AZ207" s="78">
        <f t="shared" si="134"/>
        <v>0</v>
      </c>
      <c r="BA207" s="78">
        <f t="shared" si="135"/>
        <v>0</v>
      </c>
      <c r="BB207" s="78">
        <f t="shared" si="136"/>
        <v>0</v>
      </c>
      <c r="BC207" s="78">
        <f t="shared" si="137"/>
        <v>0</v>
      </c>
      <c r="BD207" s="78">
        <f t="shared" si="138"/>
        <v>0</v>
      </c>
      <c r="BE207" s="78">
        <f t="shared" si="139"/>
        <v>0</v>
      </c>
      <c r="BF207" s="78">
        <f t="shared" si="140"/>
        <v>0</v>
      </c>
      <c r="BG207" s="78">
        <f t="shared" si="141"/>
        <v>0</v>
      </c>
      <c r="BH207" s="78">
        <f t="shared" si="142"/>
        <v>0</v>
      </c>
      <c r="BI207" s="78"/>
      <c r="BJ207" s="91">
        <f t="shared" si="143"/>
        <v>0</v>
      </c>
      <c r="BK207" s="91">
        <f t="shared" si="144"/>
        <v>0</v>
      </c>
      <c r="BL207" s="78"/>
      <c r="BM207" s="78">
        <f t="shared" si="145"/>
        <v>0</v>
      </c>
      <c r="BN207" s="78">
        <f t="shared" si="146"/>
        <v>0</v>
      </c>
      <c r="BO207" s="78">
        <f t="shared" si="147"/>
        <v>0</v>
      </c>
      <c r="BP207" s="78">
        <f t="shared" si="148"/>
        <v>0</v>
      </c>
      <c r="BQ207" s="78">
        <f t="shared" si="149"/>
        <v>0</v>
      </c>
      <c r="BR207" s="78">
        <f t="shared" si="150"/>
        <v>0</v>
      </c>
      <c r="BS207" s="78">
        <f t="shared" si="151"/>
        <v>0</v>
      </c>
      <c r="BT207" s="78">
        <f t="shared" si="152"/>
        <v>0</v>
      </c>
      <c r="BU207" s="91">
        <f t="shared" si="153"/>
        <v>0</v>
      </c>
      <c r="BV207" s="91">
        <f t="shared" si="154"/>
        <v>0</v>
      </c>
      <c r="BW207" s="78"/>
      <c r="BX207" s="78"/>
      <c r="BY207" s="78">
        <f t="shared" si="155"/>
        <v>0</v>
      </c>
      <c r="BZ207" s="78">
        <f t="shared" si="156"/>
        <v>0</v>
      </c>
      <c r="CA207" s="78">
        <f t="shared" si="157"/>
        <v>0</v>
      </c>
      <c r="CB207" s="78">
        <f t="shared" si="158"/>
        <v>0</v>
      </c>
      <c r="CC207" s="78">
        <f t="shared" si="159"/>
        <v>0</v>
      </c>
      <c r="CD207" s="78">
        <f t="shared" si="160"/>
        <v>0</v>
      </c>
      <c r="CE207" s="78">
        <f t="shared" si="161"/>
        <v>0</v>
      </c>
      <c r="CF207" s="78">
        <f t="shared" si="162"/>
        <v>0</v>
      </c>
      <c r="CG207" s="78"/>
      <c r="CH207" s="92">
        <f t="shared" si="163"/>
        <v>0</v>
      </c>
      <c r="CI207" s="93">
        <f t="shared" si="164"/>
        <v>0</v>
      </c>
      <c r="CJ207" s="94">
        <f t="shared" si="165"/>
        <v>0</v>
      </c>
      <c r="CL207" s="78">
        <f t="shared" si="166"/>
        <v>0</v>
      </c>
      <c r="CM207" s="78">
        <f t="shared" si="167"/>
        <v>0</v>
      </c>
      <c r="CN207" s="78">
        <f t="shared" si="168"/>
        <v>0</v>
      </c>
      <c r="CO207" s="78">
        <f t="shared" si="169"/>
        <v>0</v>
      </c>
    </row>
    <row r="208" spans="1:93" ht="13.5" thickBot="1">
      <c r="A208" s="95"/>
      <c r="B208" s="96"/>
      <c r="C208" s="97"/>
      <c r="D208" s="98"/>
      <c r="E208" s="99"/>
      <c r="F208" s="100"/>
      <c r="G208" s="100"/>
      <c r="H208" s="100"/>
      <c r="I208" s="100"/>
      <c r="J208" s="100"/>
      <c r="K208" s="101" t="str">
        <f t="shared" si="170"/>
        <v/>
      </c>
      <c r="L208" s="102"/>
      <c r="M208" s="103"/>
      <c r="N208" s="104"/>
      <c r="O208" s="105"/>
      <c r="P208" s="106">
        <f t="shared" si="171"/>
        <v>0</v>
      </c>
      <c r="Q208" s="106">
        <f t="shared" si="172"/>
        <v>0</v>
      </c>
      <c r="R208" s="106">
        <f t="shared" si="173"/>
        <v>0</v>
      </c>
      <c r="S208" s="106">
        <f t="shared" si="174"/>
        <v>0</v>
      </c>
      <c r="T208" s="107">
        <f t="shared" si="175"/>
        <v>0</v>
      </c>
      <c r="U208" s="78"/>
      <c r="AG208" s="108"/>
      <c r="AI208" s="78">
        <f t="shared" si="119"/>
        <v>0</v>
      </c>
      <c r="AJ208" s="78">
        <f t="shared" si="120"/>
        <v>0</v>
      </c>
      <c r="AK208" s="78">
        <f t="shared" si="121"/>
        <v>0</v>
      </c>
      <c r="AL208" s="78">
        <f t="shared" si="122"/>
        <v>0</v>
      </c>
      <c r="AM208" s="78">
        <f t="shared" si="123"/>
        <v>0</v>
      </c>
      <c r="AN208" s="78">
        <f t="shared" si="124"/>
        <v>0</v>
      </c>
      <c r="AO208" s="78">
        <f t="shared" si="125"/>
        <v>0</v>
      </c>
      <c r="AP208" s="78">
        <f t="shared" si="126"/>
        <v>0</v>
      </c>
      <c r="AQ208" s="78">
        <f t="shared" si="127"/>
        <v>0</v>
      </c>
      <c r="AR208" s="78">
        <f t="shared" si="128"/>
        <v>0</v>
      </c>
      <c r="AS208" s="90">
        <f t="shared" si="129"/>
        <v>0</v>
      </c>
      <c r="AT208" s="91">
        <f t="shared" si="130"/>
        <v>0</v>
      </c>
      <c r="AV208" s="91">
        <f t="shared" si="131"/>
        <v>0</v>
      </c>
      <c r="AW208" s="78">
        <f t="shared" si="132"/>
        <v>0</v>
      </c>
      <c r="AX208" s="78">
        <f t="shared" si="133"/>
        <v>0</v>
      </c>
      <c r="AY208" s="78"/>
      <c r="AZ208" s="78">
        <f t="shared" si="134"/>
        <v>0</v>
      </c>
      <c r="BA208" s="78">
        <f t="shared" si="135"/>
        <v>0</v>
      </c>
      <c r="BB208" s="78">
        <f t="shared" si="136"/>
        <v>0</v>
      </c>
      <c r="BC208" s="78">
        <f t="shared" si="137"/>
        <v>0</v>
      </c>
      <c r="BD208" s="78">
        <f t="shared" si="138"/>
        <v>0</v>
      </c>
      <c r="BE208" s="78">
        <f t="shared" si="139"/>
        <v>0</v>
      </c>
      <c r="BF208" s="78">
        <f t="shared" si="140"/>
        <v>0</v>
      </c>
      <c r="BG208" s="78">
        <f t="shared" si="141"/>
        <v>0</v>
      </c>
      <c r="BH208" s="78">
        <f t="shared" si="142"/>
        <v>0</v>
      </c>
      <c r="BI208" s="78"/>
      <c r="BJ208" s="91">
        <f t="shared" si="143"/>
        <v>0</v>
      </c>
      <c r="BK208" s="91">
        <f t="shared" si="144"/>
        <v>0</v>
      </c>
      <c r="BL208" s="78"/>
      <c r="BM208" s="78">
        <f t="shared" si="145"/>
        <v>0</v>
      </c>
      <c r="BN208" s="78">
        <f t="shared" si="146"/>
        <v>0</v>
      </c>
      <c r="BO208" s="78">
        <f t="shared" si="147"/>
        <v>0</v>
      </c>
      <c r="BP208" s="78">
        <f t="shared" si="148"/>
        <v>0</v>
      </c>
      <c r="BQ208" s="78">
        <f t="shared" si="149"/>
        <v>0</v>
      </c>
      <c r="BR208" s="78">
        <f t="shared" si="150"/>
        <v>0</v>
      </c>
      <c r="BS208" s="78">
        <f t="shared" si="151"/>
        <v>0</v>
      </c>
      <c r="BT208" s="78">
        <f t="shared" si="152"/>
        <v>0</v>
      </c>
      <c r="BU208" s="91">
        <f t="shared" si="153"/>
        <v>0</v>
      </c>
      <c r="BV208" s="91">
        <f t="shared" si="154"/>
        <v>0</v>
      </c>
      <c r="BW208" s="78"/>
      <c r="BX208" s="78"/>
      <c r="BY208" s="78">
        <f t="shared" si="155"/>
        <v>0</v>
      </c>
      <c r="BZ208" s="78">
        <f t="shared" si="156"/>
        <v>0</v>
      </c>
      <c r="CA208" s="78">
        <f t="shared" si="157"/>
        <v>0</v>
      </c>
      <c r="CB208" s="78">
        <f t="shared" si="158"/>
        <v>0</v>
      </c>
      <c r="CC208" s="78">
        <f t="shared" si="159"/>
        <v>0</v>
      </c>
      <c r="CD208" s="78">
        <f t="shared" si="160"/>
        <v>0</v>
      </c>
      <c r="CE208" s="78">
        <f t="shared" si="161"/>
        <v>0</v>
      </c>
      <c r="CF208" s="78">
        <f t="shared" si="162"/>
        <v>0</v>
      </c>
      <c r="CG208" s="78"/>
      <c r="CH208" s="92">
        <f t="shared" si="163"/>
        <v>0</v>
      </c>
      <c r="CI208" s="93">
        <f t="shared" si="164"/>
        <v>0</v>
      </c>
      <c r="CJ208" s="94">
        <f t="shared" si="165"/>
        <v>0</v>
      </c>
      <c r="CL208" s="78">
        <f t="shared" si="166"/>
        <v>0</v>
      </c>
      <c r="CM208" s="78">
        <f t="shared" si="167"/>
        <v>0</v>
      </c>
      <c r="CN208" s="78">
        <f t="shared" si="168"/>
        <v>0</v>
      </c>
      <c r="CO208" s="78">
        <f t="shared" si="169"/>
        <v>0</v>
      </c>
    </row>
    <row r="209" spans="1:93" ht="13.5" thickBot="1">
      <c r="A209" s="95"/>
      <c r="B209" s="96"/>
      <c r="C209" s="97"/>
      <c r="D209" s="98"/>
      <c r="E209" s="99"/>
      <c r="F209" s="100"/>
      <c r="G209" s="100"/>
      <c r="H209" s="100"/>
      <c r="I209" s="100"/>
      <c r="J209" s="100"/>
      <c r="K209" s="101" t="str">
        <f t="shared" si="170"/>
        <v/>
      </c>
      <c r="L209" s="102"/>
      <c r="M209" s="103"/>
      <c r="N209" s="104"/>
      <c r="O209" s="105"/>
      <c r="P209" s="106">
        <f t="shared" si="171"/>
        <v>0</v>
      </c>
      <c r="Q209" s="106">
        <f t="shared" si="172"/>
        <v>0</v>
      </c>
      <c r="R209" s="106">
        <f t="shared" si="173"/>
        <v>0</v>
      </c>
      <c r="S209" s="106">
        <f t="shared" si="174"/>
        <v>0</v>
      </c>
      <c r="T209" s="107">
        <f t="shared" si="175"/>
        <v>0</v>
      </c>
      <c r="U209" s="78"/>
      <c r="AG209" s="108"/>
      <c r="AI209" s="78">
        <f t="shared" si="119"/>
        <v>0</v>
      </c>
      <c r="AJ209" s="78">
        <f t="shared" si="120"/>
        <v>0</v>
      </c>
      <c r="AK209" s="78">
        <f t="shared" si="121"/>
        <v>0</v>
      </c>
      <c r="AL209" s="78">
        <f t="shared" si="122"/>
        <v>0</v>
      </c>
      <c r="AM209" s="78">
        <f t="shared" si="123"/>
        <v>0</v>
      </c>
      <c r="AN209" s="78">
        <f t="shared" si="124"/>
        <v>0</v>
      </c>
      <c r="AO209" s="78">
        <f t="shared" si="125"/>
        <v>0</v>
      </c>
      <c r="AP209" s="78">
        <f t="shared" si="126"/>
        <v>0</v>
      </c>
      <c r="AQ209" s="78">
        <f t="shared" si="127"/>
        <v>0</v>
      </c>
      <c r="AR209" s="78">
        <f t="shared" si="128"/>
        <v>0</v>
      </c>
      <c r="AS209" s="90">
        <f t="shared" si="129"/>
        <v>0</v>
      </c>
      <c r="AT209" s="91">
        <f t="shared" si="130"/>
        <v>0</v>
      </c>
      <c r="AV209" s="91">
        <f t="shared" si="131"/>
        <v>0</v>
      </c>
      <c r="AW209" s="78">
        <f t="shared" si="132"/>
        <v>0</v>
      </c>
      <c r="AX209" s="78">
        <f t="shared" si="133"/>
        <v>0</v>
      </c>
      <c r="AY209" s="78"/>
      <c r="AZ209" s="78">
        <f t="shared" si="134"/>
        <v>0</v>
      </c>
      <c r="BA209" s="78">
        <f t="shared" si="135"/>
        <v>0</v>
      </c>
      <c r="BB209" s="78">
        <f t="shared" si="136"/>
        <v>0</v>
      </c>
      <c r="BC209" s="78">
        <f t="shared" si="137"/>
        <v>0</v>
      </c>
      <c r="BD209" s="78">
        <f t="shared" si="138"/>
        <v>0</v>
      </c>
      <c r="BE209" s="78">
        <f t="shared" si="139"/>
        <v>0</v>
      </c>
      <c r="BF209" s="78">
        <f t="shared" si="140"/>
        <v>0</v>
      </c>
      <c r="BG209" s="78">
        <f t="shared" si="141"/>
        <v>0</v>
      </c>
      <c r="BH209" s="78">
        <f t="shared" si="142"/>
        <v>0</v>
      </c>
      <c r="BI209" s="78"/>
      <c r="BJ209" s="91">
        <f t="shared" si="143"/>
        <v>0</v>
      </c>
      <c r="BK209" s="91">
        <f t="shared" si="144"/>
        <v>0</v>
      </c>
      <c r="BL209" s="78"/>
      <c r="BM209" s="78">
        <f t="shared" si="145"/>
        <v>0</v>
      </c>
      <c r="BN209" s="78">
        <f t="shared" si="146"/>
        <v>0</v>
      </c>
      <c r="BO209" s="78">
        <f t="shared" si="147"/>
        <v>0</v>
      </c>
      <c r="BP209" s="78">
        <f t="shared" si="148"/>
        <v>0</v>
      </c>
      <c r="BQ209" s="78">
        <f t="shared" si="149"/>
        <v>0</v>
      </c>
      <c r="BR209" s="78">
        <f t="shared" si="150"/>
        <v>0</v>
      </c>
      <c r="BS209" s="78">
        <f t="shared" si="151"/>
        <v>0</v>
      </c>
      <c r="BT209" s="78">
        <f t="shared" si="152"/>
        <v>0</v>
      </c>
      <c r="BU209" s="91">
        <f t="shared" si="153"/>
        <v>0</v>
      </c>
      <c r="BV209" s="91">
        <f t="shared" si="154"/>
        <v>0</v>
      </c>
      <c r="BW209" s="78"/>
      <c r="BX209" s="78"/>
      <c r="BY209" s="78">
        <f t="shared" si="155"/>
        <v>0</v>
      </c>
      <c r="BZ209" s="78">
        <f t="shared" si="156"/>
        <v>0</v>
      </c>
      <c r="CA209" s="78">
        <f t="shared" si="157"/>
        <v>0</v>
      </c>
      <c r="CB209" s="78">
        <f t="shared" si="158"/>
        <v>0</v>
      </c>
      <c r="CC209" s="78">
        <f t="shared" si="159"/>
        <v>0</v>
      </c>
      <c r="CD209" s="78">
        <f t="shared" si="160"/>
        <v>0</v>
      </c>
      <c r="CE209" s="78">
        <f t="shared" si="161"/>
        <v>0</v>
      </c>
      <c r="CF209" s="78">
        <f t="shared" si="162"/>
        <v>0</v>
      </c>
      <c r="CG209" s="78"/>
      <c r="CH209" s="92">
        <f t="shared" si="163"/>
        <v>0</v>
      </c>
      <c r="CI209" s="93">
        <f t="shared" si="164"/>
        <v>0</v>
      </c>
      <c r="CJ209" s="94">
        <f t="shared" si="165"/>
        <v>0</v>
      </c>
      <c r="CL209" s="78">
        <f t="shared" si="166"/>
        <v>0</v>
      </c>
      <c r="CM209" s="78">
        <f t="shared" si="167"/>
        <v>0</v>
      </c>
      <c r="CN209" s="78">
        <f t="shared" si="168"/>
        <v>0</v>
      </c>
      <c r="CO209" s="78">
        <f t="shared" si="169"/>
        <v>0</v>
      </c>
    </row>
    <row r="210" spans="1:93" ht="13.5" thickBot="1">
      <c r="A210" s="95"/>
      <c r="B210" s="96"/>
      <c r="C210" s="97"/>
      <c r="D210" s="98"/>
      <c r="E210" s="99"/>
      <c r="F210" s="100"/>
      <c r="G210" s="100"/>
      <c r="H210" s="100"/>
      <c r="I210" s="100"/>
      <c r="J210" s="100"/>
      <c r="K210" s="101" t="str">
        <f t="shared" si="170"/>
        <v/>
      </c>
      <c r="L210" s="102"/>
      <c r="M210" s="103"/>
      <c r="N210" s="104"/>
      <c r="O210" s="105"/>
      <c r="P210" s="106">
        <f t="shared" si="171"/>
        <v>0</v>
      </c>
      <c r="Q210" s="106">
        <f t="shared" si="172"/>
        <v>0</v>
      </c>
      <c r="R210" s="106">
        <f t="shared" si="173"/>
        <v>0</v>
      </c>
      <c r="S210" s="106">
        <f t="shared" si="174"/>
        <v>0</v>
      </c>
      <c r="T210" s="107">
        <f t="shared" si="175"/>
        <v>0</v>
      </c>
      <c r="U210" s="78"/>
      <c r="AG210" s="108"/>
      <c r="AI210" s="78">
        <f t="shared" si="119"/>
        <v>0</v>
      </c>
      <c r="AJ210" s="78">
        <f t="shared" si="120"/>
        <v>0</v>
      </c>
      <c r="AK210" s="78">
        <f t="shared" si="121"/>
        <v>0</v>
      </c>
      <c r="AL210" s="78">
        <f t="shared" si="122"/>
        <v>0</v>
      </c>
      <c r="AM210" s="78">
        <f t="shared" si="123"/>
        <v>0</v>
      </c>
      <c r="AN210" s="78">
        <f t="shared" si="124"/>
        <v>0</v>
      </c>
      <c r="AO210" s="78">
        <f t="shared" si="125"/>
        <v>0</v>
      </c>
      <c r="AP210" s="78">
        <f t="shared" si="126"/>
        <v>0</v>
      </c>
      <c r="AQ210" s="78">
        <f t="shared" si="127"/>
        <v>0</v>
      </c>
      <c r="AR210" s="78">
        <f t="shared" si="128"/>
        <v>0</v>
      </c>
      <c r="AS210" s="90">
        <f t="shared" si="129"/>
        <v>0</v>
      </c>
      <c r="AT210" s="91">
        <f t="shared" si="130"/>
        <v>0</v>
      </c>
      <c r="AV210" s="91">
        <f t="shared" si="131"/>
        <v>0</v>
      </c>
      <c r="AW210" s="78">
        <f t="shared" si="132"/>
        <v>0</v>
      </c>
      <c r="AX210" s="78">
        <f t="shared" si="133"/>
        <v>0</v>
      </c>
      <c r="AY210" s="78"/>
      <c r="AZ210" s="78">
        <f t="shared" si="134"/>
        <v>0</v>
      </c>
      <c r="BA210" s="78">
        <f t="shared" si="135"/>
        <v>0</v>
      </c>
      <c r="BB210" s="78">
        <f t="shared" si="136"/>
        <v>0</v>
      </c>
      <c r="BC210" s="78">
        <f t="shared" si="137"/>
        <v>0</v>
      </c>
      <c r="BD210" s="78">
        <f t="shared" si="138"/>
        <v>0</v>
      </c>
      <c r="BE210" s="78">
        <f t="shared" si="139"/>
        <v>0</v>
      </c>
      <c r="BF210" s="78">
        <f t="shared" si="140"/>
        <v>0</v>
      </c>
      <c r="BG210" s="78">
        <f t="shared" si="141"/>
        <v>0</v>
      </c>
      <c r="BH210" s="78">
        <f t="shared" si="142"/>
        <v>0</v>
      </c>
      <c r="BI210" s="78"/>
      <c r="BJ210" s="91">
        <f t="shared" si="143"/>
        <v>0</v>
      </c>
      <c r="BK210" s="91">
        <f t="shared" si="144"/>
        <v>0</v>
      </c>
      <c r="BL210" s="78"/>
      <c r="BM210" s="78">
        <f t="shared" si="145"/>
        <v>0</v>
      </c>
      <c r="BN210" s="78">
        <f t="shared" si="146"/>
        <v>0</v>
      </c>
      <c r="BO210" s="78">
        <f t="shared" si="147"/>
        <v>0</v>
      </c>
      <c r="BP210" s="78">
        <f t="shared" si="148"/>
        <v>0</v>
      </c>
      <c r="BQ210" s="78">
        <f t="shared" si="149"/>
        <v>0</v>
      </c>
      <c r="BR210" s="78">
        <f t="shared" si="150"/>
        <v>0</v>
      </c>
      <c r="BS210" s="78">
        <f t="shared" si="151"/>
        <v>0</v>
      </c>
      <c r="BT210" s="78">
        <f t="shared" si="152"/>
        <v>0</v>
      </c>
      <c r="BU210" s="91">
        <f t="shared" si="153"/>
        <v>0</v>
      </c>
      <c r="BV210" s="91">
        <f t="shared" si="154"/>
        <v>0</v>
      </c>
      <c r="BW210" s="78"/>
      <c r="BX210" s="78"/>
      <c r="BY210" s="78">
        <f t="shared" si="155"/>
        <v>0</v>
      </c>
      <c r="BZ210" s="78">
        <f t="shared" si="156"/>
        <v>0</v>
      </c>
      <c r="CA210" s="78">
        <f t="shared" si="157"/>
        <v>0</v>
      </c>
      <c r="CB210" s="78">
        <f t="shared" si="158"/>
        <v>0</v>
      </c>
      <c r="CC210" s="78">
        <f t="shared" si="159"/>
        <v>0</v>
      </c>
      <c r="CD210" s="78">
        <f t="shared" si="160"/>
        <v>0</v>
      </c>
      <c r="CE210" s="78">
        <f t="shared" si="161"/>
        <v>0</v>
      </c>
      <c r="CF210" s="78">
        <f t="shared" si="162"/>
        <v>0</v>
      </c>
      <c r="CG210" s="78"/>
      <c r="CH210" s="92">
        <f t="shared" si="163"/>
        <v>0</v>
      </c>
      <c r="CI210" s="93">
        <f t="shared" si="164"/>
        <v>0</v>
      </c>
      <c r="CJ210" s="94">
        <f t="shared" si="165"/>
        <v>0</v>
      </c>
      <c r="CL210" s="78">
        <f t="shared" si="166"/>
        <v>0</v>
      </c>
      <c r="CM210" s="78">
        <f t="shared" si="167"/>
        <v>0</v>
      </c>
      <c r="CN210" s="78">
        <f t="shared" si="168"/>
        <v>0</v>
      </c>
      <c r="CO210" s="78">
        <f t="shared" si="169"/>
        <v>0</v>
      </c>
    </row>
    <row r="211" spans="1:93" ht="13.5" thickBot="1">
      <c r="A211" s="95"/>
      <c r="B211" s="96"/>
      <c r="C211" s="97"/>
      <c r="D211" s="98"/>
      <c r="E211" s="99"/>
      <c r="F211" s="100"/>
      <c r="G211" s="100"/>
      <c r="H211" s="100"/>
      <c r="I211" s="100"/>
      <c r="J211" s="100"/>
      <c r="K211" s="101" t="str">
        <f t="shared" si="170"/>
        <v/>
      </c>
      <c r="L211" s="102"/>
      <c r="M211" s="103"/>
      <c r="N211" s="104"/>
      <c r="O211" s="105"/>
      <c r="P211" s="106">
        <f t="shared" si="171"/>
        <v>0</v>
      </c>
      <c r="Q211" s="106">
        <f t="shared" si="172"/>
        <v>0</v>
      </c>
      <c r="R211" s="106">
        <f t="shared" si="173"/>
        <v>0</v>
      </c>
      <c r="S211" s="106">
        <f t="shared" si="174"/>
        <v>0</v>
      </c>
      <c r="T211" s="107">
        <f t="shared" si="175"/>
        <v>0</v>
      </c>
      <c r="U211" s="78"/>
      <c r="AG211" s="108"/>
      <c r="AI211" s="78">
        <f t="shared" si="119"/>
        <v>0</v>
      </c>
      <c r="AJ211" s="78">
        <f t="shared" si="120"/>
        <v>0</v>
      </c>
      <c r="AK211" s="78">
        <f t="shared" si="121"/>
        <v>0</v>
      </c>
      <c r="AL211" s="78">
        <f t="shared" si="122"/>
        <v>0</v>
      </c>
      <c r="AM211" s="78">
        <f t="shared" si="123"/>
        <v>0</v>
      </c>
      <c r="AN211" s="78">
        <f t="shared" si="124"/>
        <v>0</v>
      </c>
      <c r="AO211" s="78">
        <f t="shared" si="125"/>
        <v>0</v>
      </c>
      <c r="AP211" s="78">
        <f t="shared" si="126"/>
        <v>0</v>
      </c>
      <c r="AQ211" s="78">
        <f t="shared" si="127"/>
        <v>0</v>
      </c>
      <c r="AR211" s="78">
        <f t="shared" si="128"/>
        <v>0</v>
      </c>
      <c r="AS211" s="90">
        <f t="shared" si="129"/>
        <v>0</v>
      </c>
      <c r="AT211" s="91">
        <f t="shared" si="130"/>
        <v>0</v>
      </c>
      <c r="AV211" s="91">
        <f t="shared" si="131"/>
        <v>0</v>
      </c>
      <c r="AW211" s="78">
        <f t="shared" si="132"/>
        <v>0</v>
      </c>
      <c r="AX211" s="78">
        <f t="shared" si="133"/>
        <v>0</v>
      </c>
      <c r="AY211" s="78"/>
      <c r="AZ211" s="78">
        <f t="shared" si="134"/>
        <v>0</v>
      </c>
      <c r="BA211" s="78">
        <f t="shared" si="135"/>
        <v>0</v>
      </c>
      <c r="BB211" s="78">
        <f t="shared" si="136"/>
        <v>0</v>
      </c>
      <c r="BC211" s="78">
        <f t="shared" si="137"/>
        <v>0</v>
      </c>
      <c r="BD211" s="78">
        <f t="shared" si="138"/>
        <v>0</v>
      </c>
      <c r="BE211" s="78">
        <f t="shared" si="139"/>
        <v>0</v>
      </c>
      <c r="BF211" s="78">
        <f t="shared" si="140"/>
        <v>0</v>
      </c>
      <c r="BG211" s="78">
        <f t="shared" si="141"/>
        <v>0</v>
      </c>
      <c r="BH211" s="78">
        <f t="shared" si="142"/>
        <v>0</v>
      </c>
      <c r="BI211" s="78"/>
      <c r="BJ211" s="91">
        <f t="shared" si="143"/>
        <v>0</v>
      </c>
      <c r="BK211" s="91">
        <f t="shared" si="144"/>
        <v>0</v>
      </c>
      <c r="BL211" s="78"/>
      <c r="BM211" s="78">
        <f t="shared" si="145"/>
        <v>0</v>
      </c>
      <c r="BN211" s="78">
        <f t="shared" si="146"/>
        <v>0</v>
      </c>
      <c r="BO211" s="78">
        <f t="shared" si="147"/>
        <v>0</v>
      </c>
      <c r="BP211" s="78">
        <f t="shared" si="148"/>
        <v>0</v>
      </c>
      <c r="BQ211" s="78">
        <f t="shared" si="149"/>
        <v>0</v>
      </c>
      <c r="BR211" s="78">
        <f t="shared" si="150"/>
        <v>0</v>
      </c>
      <c r="BS211" s="78">
        <f t="shared" si="151"/>
        <v>0</v>
      </c>
      <c r="BT211" s="78">
        <f t="shared" si="152"/>
        <v>0</v>
      </c>
      <c r="BU211" s="91">
        <f t="shared" si="153"/>
        <v>0</v>
      </c>
      <c r="BV211" s="91">
        <f t="shared" si="154"/>
        <v>0</v>
      </c>
      <c r="BW211" s="78"/>
      <c r="BX211" s="78"/>
      <c r="BY211" s="78">
        <f t="shared" si="155"/>
        <v>0</v>
      </c>
      <c r="BZ211" s="78">
        <f t="shared" si="156"/>
        <v>0</v>
      </c>
      <c r="CA211" s="78">
        <f t="shared" si="157"/>
        <v>0</v>
      </c>
      <c r="CB211" s="78">
        <f t="shared" si="158"/>
        <v>0</v>
      </c>
      <c r="CC211" s="78">
        <f t="shared" si="159"/>
        <v>0</v>
      </c>
      <c r="CD211" s="78">
        <f t="shared" si="160"/>
        <v>0</v>
      </c>
      <c r="CE211" s="78">
        <f t="shared" si="161"/>
        <v>0</v>
      </c>
      <c r="CF211" s="78">
        <f t="shared" si="162"/>
        <v>0</v>
      </c>
      <c r="CG211" s="78"/>
      <c r="CH211" s="92">
        <f t="shared" si="163"/>
        <v>0</v>
      </c>
      <c r="CI211" s="93">
        <f t="shared" si="164"/>
        <v>0</v>
      </c>
      <c r="CJ211" s="94">
        <f t="shared" si="165"/>
        <v>0</v>
      </c>
      <c r="CL211" s="78">
        <f t="shared" si="166"/>
        <v>0</v>
      </c>
      <c r="CM211" s="78">
        <f t="shared" si="167"/>
        <v>0</v>
      </c>
      <c r="CN211" s="78">
        <f t="shared" si="168"/>
        <v>0</v>
      </c>
      <c r="CO211" s="78">
        <f t="shared" si="169"/>
        <v>0</v>
      </c>
    </row>
    <row r="212" spans="1:93" ht="13.5" thickBot="1">
      <c r="A212" s="95"/>
      <c r="B212" s="96"/>
      <c r="C212" s="97"/>
      <c r="D212" s="98"/>
      <c r="E212" s="99"/>
      <c r="F212" s="100"/>
      <c r="G212" s="100"/>
      <c r="H212" s="100"/>
      <c r="I212" s="100"/>
      <c r="J212" s="100"/>
      <c r="K212" s="101" t="str">
        <f t="shared" si="170"/>
        <v/>
      </c>
      <c r="L212" s="102"/>
      <c r="M212" s="103"/>
      <c r="N212" s="104"/>
      <c r="O212" s="105"/>
      <c r="P212" s="106">
        <f t="shared" si="171"/>
        <v>0</v>
      </c>
      <c r="Q212" s="106">
        <f t="shared" si="172"/>
        <v>0</v>
      </c>
      <c r="R212" s="106">
        <f t="shared" si="173"/>
        <v>0</v>
      </c>
      <c r="S212" s="106">
        <f t="shared" si="174"/>
        <v>0</v>
      </c>
      <c r="T212" s="107">
        <f t="shared" si="175"/>
        <v>0</v>
      </c>
      <c r="U212" s="78"/>
      <c r="AG212" s="108"/>
      <c r="AI212" s="78">
        <f t="shared" si="119"/>
        <v>0</v>
      </c>
      <c r="AJ212" s="78">
        <f t="shared" si="120"/>
        <v>0</v>
      </c>
      <c r="AK212" s="78">
        <f t="shared" si="121"/>
        <v>0</v>
      </c>
      <c r="AL212" s="78">
        <f t="shared" si="122"/>
        <v>0</v>
      </c>
      <c r="AM212" s="78">
        <f t="shared" si="123"/>
        <v>0</v>
      </c>
      <c r="AN212" s="78">
        <f t="shared" si="124"/>
        <v>0</v>
      </c>
      <c r="AO212" s="78">
        <f t="shared" si="125"/>
        <v>0</v>
      </c>
      <c r="AP212" s="78">
        <f t="shared" si="126"/>
        <v>0</v>
      </c>
      <c r="AQ212" s="78">
        <f t="shared" si="127"/>
        <v>0</v>
      </c>
      <c r="AR212" s="78">
        <f t="shared" si="128"/>
        <v>0</v>
      </c>
      <c r="AS212" s="90">
        <f t="shared" si="129"/>
        <v>0</v>
      </c>
      <c r="AT212" s="91">
        <f t="shared" si="130"/>
        <v>0</v>
      </c>
      <c r="AV212" s="91">
        <f t="shared" si="131"/>
        <v>0</v>
      </c>
      <c r="AW212" s="78">
        <f t="shared" si="132"/>
        <v>0</v>
      </c>
      <c r="AX212" s="78">
        <f t="shared" si="133"/>
        <v>0</v>
      </c>
      <c r="AY212" s="78"/>
      <c r="AZ212" s="78">
        <f t="shared" si="134"/>
        <v>0</v>
      </c>
      <c r="BA212" s="78">
        <f t="shared" si="135"/>
        <v>0</v>
      </c>
      <c r="BB212" s="78">
        <f t="shared" si="136"/>
        <v>0</v>
      </c>
      <c r="BC212" s="78">
        <f t="shared" si="137"/>
        <v>0</v>
      </c>
      <c r="BD212" s="78">
        <f t="shared" si="138"/>
        <v>0</v>
      </c>
      <c r="BE212" s="78">
        <f t="shared" si="139"/>
        <v>0</v>
      </c>
      <c r="BF212" s="78">
        <f t="shared" si="140"/>
        <v>0</v>
      </c>
      <c r="BG212" s="78">
        <f t="shared" si="141"/>
        <v>0</v>
      </c>
      <c r="BH212" s="78">
        <f t="shared" si="142"/>
        <v>0</v>
      </c>
      <c r="BI212" s="78"/>
      <c r="BJ212" s="91">
        <f t="shared" si="143"/>
        <v>0</v>
      </c>
      <c r="BK212" s="91">
        <f t="shared" si="144"/>
        <v>0</v>
      </c>
      <c r="BL212" s="78"/>
      <c r="BM212" s="78">
        <f t="shared" si="145"/>
        <v>0</v>
      </c>
      <c r="BN212" s="78">
        <f t="shared" si="146"/>
        <v>0</v>
      </c>
      <c r="BO212" s="78">
        <f t="shared" si="147"/>
        <v>0</v>
      </c>
      <c r="BP212" s="78">
        <f t="shared" si="148"/>
        <v>0</v>
      </c>
      <c r="BQ212" s="78">
        <f t="shared" si="149"/>
        <v>0</v>
      </c>
      <c r="BR212" s="78">
        <f t="shared" si="150"/>
        <v>0</v>
      </c>
      <c r="BS212" s="78">
        <f t="shared" si="151"/>
        <v>0</v>
      </c>
      <c r="BT212" s="78">
        <f t="shared" si="152"/>
        <v>0</v>
      </c>
      <c r="BU212" s="91">
        <f t="shared" si="153"/>
        <v>0</v>
      </c>
      <c r="BV212" s="91">
        <f t="shared" si="154"/>
        <v>0</v>
      </c>
      <c r="BW212" s="78"/>
      <c r="BX212" s="78"/>
      <c r="BY212" s="78">
        <f t="shared" si="155"/>
        <v>0</v>
      </c>
      <c r="BZ212" s="78">
        <f t="shared" si="156"/>
        <v>0</v>
      </c>
      <c r="CA212" s="78">
        <f t="shared" si="157"/>
        <v>0</v>
      </c>
      <c r="CB212" s="78">
        <f t="shared" si="158"/>
        <v>0</v>
      </c>
      <c r="CC212" s="78">
        <f t="shared" si="159"/>
        <v>0</v>
      </c>
      <c r="CD212" s="78">
        <f t="shared" si="160"/>
        <v>0</v>
      </c>
      <c r="CE212" s="78">
        <f t="shared" si="161"/>
        <v>0</v>
      </c>
      <c r="CF212" s="78">
        <f t="shared" si="162"/>
        <v>0</v>
      </c>
      <c r="CG212" s="78"/>
      <c r="CH212" s="92">
        <f t="shared" si="163"/>
        <v>0</v>
      </c>
      <c r="CI212" s="93">
        <f t="shared" si="164"/>
        <v>0</v>
      </c>
      <c r="CJ212" s="94">
        <f t="shared" si="165"/>
        <v>0</v>
      </c>
      <c r="CL212" s="78">
        <f t="shared" si="166"/>
        <v>0</v>
      </c>
      <c r="CM212" s="78">
        <f t="shared" si="167"/>
        <v>0</v>
      </c>
      <c r="CN212" s="78">
        <f t="shared" si="168"/>
        <v>0</v>
      </c>
      <c r="CO212" s="78">
        <f t="shared" si="169"/>
        <v>0</v>
      </c>
    </row>
    <row r="213" spans="1:93" ht="13.5" thickBot="1">
      <c r="A213" s="95"/>
      <c r="B213" s="96"/>
      <c r="C213" s="97"/>
      <c r="D213" s="98"/>
      <c r="E213" s="99"/>
      <c r="F213" s="100"/>
      <c r="G213" s="100"/>
      <c r="H213" s="100"/>
      <c r="I213" s="100"/>
      <c r="J213" s="100"/>
      <c r="K213" s="101" t="str">
        <f t="shared" si="170"/>
        <v/>
      </c>
      <c r="L213" s="102"/>
      <c r="M213" s="103"/>
      <c r="N213" s="104"/>
      <c r="O213" s="105"/>
      <c r="P213" s="106">
        <f t="shared" si="171"/>
        <v>0</v>
      </c>
      <c r="Q213" s="106">
        <f t="shared" si="172"/>
        <v>0</v>
      </c>
      <c r="R213" s="106">
        <f t="shared" si="173"/>
        <v>0</v>
      </c>
      <c r="S213" s="106">
        <f t="shared" si="174"/>
        <v>0</v>
      </c>
      <c r="T213" s="107">
        <f t="shared" si="175"/>
        <v>0</v>
      </c>
      <c r="U213" s="78"/>
      <c r="AG213" s="108"/>
      <c r="AI213" s="78">
        <f t="shared" si="119"/>
        <v>0</v>
      </c>
      <c r="AJ213" s="78">
        <f t="shared" si="120"/>
        <v>0</v>
      </c>
      <c r="AK213" s="78">
        <f t="shared" si="121"/>
        <v>0</v>
      </c>
      <c r="AL213" s="78">
        <f t="shared" si="122"/>
        <v>0</v>
      </c>
      <c r="AM213" s="78">
        <f t="shared" si="123"/>
        <v>0</v>
      </c>
      <c r="AN213" s="78">
        <f t="shared" si="124"/>
        <v>0</v>
      </c>
      <c r="AO213" s="78">
        <f t="shared" si="125"/>
        <v>0</v>
      </c>
      <c r="AP213" s="78">
        <f t="shared" si="126"/>
        <v>0</v>
      </c>
      <c r="AQ213" s="78">
        <f t="shared" si="127"/>
        <v>0</v>
      </c>
      <c r="AR213" s="78">
        <f t="shared" si="128"/>
        <v>0</v>
      </c>
      <c r="AS213" s="90">
        <f t="shared" si="129"/>
        <v>0</v>
      </c>
      <c r="AT213" s="91">
        <f t="shared" si="130"/>
        <v>0</v>
      </c>
      <c r="AV213" s="91">
        <f t="shared" si="131"/>
        <v>0</v>
      </c>
      <c r="AW213" s="78">
        <f t="shared" si="132"/>
        <v>0</v>
      </c>
      <c r="AX213" s="78">
        <f t="shared" si="133"/>
        <v>0</v>
      </c>
      <c r="AY213" s="78"/>
      <c r="AZ213" s="78">
        <f t="shared" si="134"/>
        <v>0</v>
      </c>
      <c r="BA213" s="78">
        <f t="shared" si="135"/>
        <v>0</v>
      </c>
      <c r="BB213" s="78">
        <f t="shared" si="136"/>
        <v>0</v>
      </c>
      <c r="BC213" s="78">
        <f t="shared" si="137"/>
        <v>0</v>
      </c>
      <c r="BD213" s="78">
        <f t="shared" si="138"/>
        <v>0</v>
      </c>
      <c r="BE213" s="78">
        <f t="shared" si="139"/>
        <v>0</v>
      </c>
      <c r="BF213" s="78">
        <f t="shared" si="140"/>
        <v>0</v>
      </c>
      <c r="BG213" s="78">
        <f t="shared" si="141"/>
        <v>0</v>
      </c>
      <c r="BH213" s="78">
        <f t="shared" si="142"/>
        <v>0</v>
      </c>
      <c r="BI213" s="78"/>
      <c r="BJ213" s="91">
        <f t="shared" si="143"/>
        <v>0</v>
      </c>
      <c r="BK213" s="91">
        <f t="shared" si="144"/>
        <v>0</v>
      </c>
      <c r="BL213" s="78"/>
      <c r="BM213" s="78">
        <f t="shared" si="145"/>
        <v>0</v>
      </c>
      <c r="BN213" s="78">
        <f t="shared" si="146"/>
        <v>0</v>
      </c>
      <c r="BO213" s="78">
        <f t="shared" si="147"/>
        <v>0</v>
      </c>
      <c r="BP213" s="78">
        <f t="shared" si="148"/>
        <v>0</v>
      </c>
      <c r="BQ213" s="78">
        <f t="shared" si="149"/>
        <v>0</v>
      </c>
      <c r="BR213" s="78">
        <f t="shared" si="150"/>
        <v>0</v>
      </c>
      <c r="BS213" s="78">
        <f t="shared" si="151"/>
        <v>0</v>
      </c>
      <c r="BT213" s="78">
        <f t="shared" si="152"/>
        <v>0</v>
      </c>
      <c r="BU213" s="91">
        <f t="shared" si="153"/>
        <v>0</v>
      </c>
      <c r="BV213" s="91">
        <f t="shared" si="154"/>
        <v>0</v>
      </c>
      <c r="BW213" s="78"/>
      <c r="BX213" s="78"/>
      <c r="BY213" s="78">
        <f t="shared" si="155"/>
        <v>0</v>
      </c>
      <c r="BZ213" s="78">
        <f t="shared" si="156"/>
        <v>0</v>
      </c>
      <c r="CA213" s="78">
        <f t="shared" si="157"/>
        <v>0</v>
      </c>
      <c r="CB213" s="78">
        <f t="shared" si="158"/>
        <v>0</v>
      </c>
      <c r="CC213" s="78">
        <f t="shared" si="159"/>
        <v>0</v>
      </c>
      <c r="CD213" s="78">
        <f t="shared" si="160"/>
        <v>0</v>
      </c>
      <c r="CE213" s="78">
        <f t="shared" si="161"/>
        <v>0</v>
      </c>
      <c r="CF213" s="78">
        <f t="shared" si="162"/>
        <v>0</v>
      </c>
      <c r="CG213" s="78"/>
      <c r="CH213" s="92">
        <f t="shared" si="163"/>
        <v>0</v>
      </c>
      <c r="CI213" s="93">
        <f t="shared" si="164"/>
        <v>0</v>
      </c>
      <c r="CJ213" s="94">
        <f t="shared" si="165"/>
        <v>0</v>
      </c>
      <c r="CL213" s="78">
        <f t="shared" si="166"/>
        <v>0</v>
      </c>
      <c r="CM213" s="78">
        <f t="shared" si="167"/>
        <v>0</v>
      </c>
      <c r="CN213" s="78">
        <f t="shared" si="168"/>
        <v>0</v>
      </c>
      <c r="CO213" s="78">
        <f t="shared" si="169"/>
        <v>0</v>
      </c>
    </row>
    <row r="214" spans="1:93" ht="13.5" thickBot="1">
      <c r="A214" s="95"/>
      <c r="B214" s="96"/>
      <c r="C214" s="97"/>
      <c r="D214" s="98"/>
      <c r="E214" s="99"/>
      <c r="F214" s="100"/>
      <c r="G214" s="100"/>
      <c r="H214" s="100"/>
      <c r="I214" s="100"/>
      <c r="J214" s="100"/>
      <c r="K214" s="101" t="str">
        <f t="shared" si="170"/>
        <v/>
      </c>
      <c r="L214" s="102"/>
      <c r="M214" s="103"/>
      <c r="N214" s="104"/>
      <c r="O214" s="105"/>
      <c r="P214" s="106">
        <f t="shared" si="171"/>
        <v>0</v>
      </c>
      <c r="Q214" s="106">
        <f t="shared" si="172"/>
        <v>0</v>
      </c>
      <c r="R214" s="106">
        <f t="shared" si="173"/>
        <v>0</v>
      </c>
      <c r="S214" s="106">
        <f t="shared" si="174"/>
        <v>0</v>
      </c>
      <c r="T214" s="107">
        <f t="shared" si="175"/>
        <v>0</v>
      </c>
      <c r="U214" s="78"/>
      <c r="AG214" s="108"/>
      <c r="AI214" s="78">
        <f t="shared" si="119"/>
        <v>0</v>
      </c>
      <c r="AJ214" s="78">
        <f t="shared" si="120"/>
        <v>0</v>
      </c>
      <c r="AK214" s="78">
        <f t="shared" si="121"/>
        <v>0</v>
      </c>
      <c r="AL214" s="78">
        <f t="shared" si="122"/>
        <v>0</v>
      </c>
      <c r="AM214" s="78">
        <f t="shared" si="123"/>
        <v>0</v>
      </c>
      <c r="AN214" s="78">
        <f t="shared" si="124"/>
        <v>0</v>
      </c>
      <c r="AO214" s="78">
        <f t="shared" si="125"/>
        <v>0</v>
      </c>
      <c r="AP214" s="78">
        <f t="shared" si="126"/>
        <v>0</v>
      </c>
      <c r="AQ214" s="78">
        <f t="shared" si="127"/>
        <v>0</v>
      </c>
      <c r="AR214" s="78">
        <f t="shared" si="128"/>
        <v>0</v>
      </c>
      <c r="AS214" s="90">
        <f t="shared" si="129"/>
        <v>0</v>
      </c>
      <c r="AT214" s="91">
        <f t="shared" si="130"/>
        <v>0</v>
      </c>
      <c r="AV214" s="91">
        <f t="shared" si="131"/>
        <v>0</v>
      </c>
      <c r="AW214" s="78">
        <f t="shared" si="132"/>
        <v>0</v>
      </c>
      <c r="AX214" s="78">
        <f t="shared" si="133"/>
        <v>0</v>
      </c>
      <c r="AY214" s="78"/>
      <c r="AZ214" s="78">
        <f t="shared" si="134"/>
        <v>0</v>
      </c>
      <c r="BA214" s="78">
        <f t="shared" si="135"/>
        <v>0</v>
      </c>
      <c r="BB214" s="78">
        <f t="shared" si="136"/>
        <v>0</v>
      </c>
      <c r="BC214" s="78">
        <f t="shared" si="137"/>
        <v>0</v>
      </c>
      <c r="BD214" s="78">
        <f t="shared" si="138"/>
        <v>0</v>
      </c>
      <c r="BE214" s="78">
        <f t="shared" si="139"/>
        <v>0</v>
      </c>
      <c r="BF214" s="78">
        <f t="shared" si="140"/>
        <v>0</v>
      </c>
      <c r="BG214" s="78">
        <f t="shared" si="141"/>
        <v>0</v>
      </c>
      <c r="BH214" s="78">
        <f t="shared" si="142"/>
        <v>0</v>
      </c>
      <c r="BI214" s="78"/>
      <c r="BJ214" s="91">
        <f t="shared" si="143"/>
        <v>0</v>
      </c>
      <c r="BK214" s="91">
        <f t="shared" si="144"/>
        <v>0</v>
      </c>
      <c r="BL214" s="78"/>
      <c r="BM214" s="78">
        <f t="shared" si="145"/>
        <v>0</v>
      </c>
      <c r="BN214" s="78">
        <f t="shared" si="146"/>
        <v>0</v>
      </c>
      <c r="BO214" s="78">
        <f t="shared" si="147"/>
        <v>0</v>
      </c>
      <c r="BP214" s="78">
        <f t="shared" si="148"/>
        <v>0</v>
      </c>
      <c r="BQ214" s="78">
        <f t="shared" si="149"/>
        <v>0</v>
      </c>
      <c r="BR214" s="78">
        <f t="shared" si="150"/>
        <v>0</v>
      </c>
      <c r="BS214" s="78">
        <f t="shared" si="151"/>
        <v>0</v>
      </c>
      <c r="BT214" s="78">
        <f t="shared" si="152"/>
        <v>0</v>
      </c>
      <c r="BU214" s="91">
        <f t="shared" si="153"/>
        <v>0</v>
      </c>
      <c r="BV214" s="91">
        <f t="shared" si="154"/>
        <v>0</v>
      </c>
      <c r="BW214" s="78"/>
      <c r="BX214" s="78"/>
      <c r="BY214" s="78">
        <f t="shared" si="155"/>
        <v>0</v>
      </c>
      <c r="BZ214" s="78">
        <f t="shared" si="156"/>
        <v>0</v>
      </c>
      <c r="CA214" s="78">
        <f t="shared" si="157"/>
        <v>0</v>
      </c>
      <c r="CB214" s="78">
        <f t="shared" si="158"/>
        <v>0</v>
      </c>
      <c r="CC214" s="78">
        <f t="shared" si="159"/>
        <v>0</v>
      </c>
      <c r="CD214" s="78">
        <f t="shared" si="160"/>
        <v>0</v>
      </c>
      <c r="CE214" s="78">
        <f t="shared" si="161"/>
        <v>0</v>
      </c>
      <c r="CF214" s="78">
        <f t="shared" si="162"/>
        <v>0</v>
      </c>
      <c r="CG214" s="78"/>
      <c r="CH214" s="92">
        <f t="shared" si="163"/>
        <v>0</v>
      </c>
      <c r="CI214" s="93">
        <f t="shared" si="164"/>
        <v>0</v>
      </c>
      <c r="CJ214" s="94">
        <f t="shared" si="165"/>
        <v>0</v>
      </c>
      <c r="CL214" s="78">
        <f t="shared" si="166"/>
        <v>0</v>
      </c>
      <c r="CM214" s="78">
        <f t="shared" si="167"/>
        <v>0</v>
      </c>
      <c r="CN214" s="78">
        <f t="shared" si="168"/>
        <v>0</v>
      </c>
      <c r="CO214" s="78">
        <f t="shared" si="169"/>
        <v>0</v>
      </c>
    </row>
    <row r="215" spans="1:93" ht="13.5" thickBot="1">
      <c r="A215" s="95"/>
      <c r="B215" s="96"/>
      <c r="C215" s="97"/>
      <c r="D215" s="98"/>
      <c r="E215" s="99"/>
      <c r="F215" s="100"/>
      <c r="G215" s="100"/>
      <c r="H215" s="100"/>
      <c r="I215" s="100"/>
      <c r="J215" s="100"/>
      <c r="K215" s="101" t="str">
        <f t="shared" si="170"/>
        <v/>
      </c>
      <c r="L215" s="102"/>
      <c r="M215" s="103"/>
      <c r="N215" s="104"/>
      <c r="O215" s="105"/>
      <c r="P215" s="106">
        <f t="shared" si="171"/>
        <v>0</v>
      </c>
      <c r="Q215" s="106">
        <f t="shared" si="172"/>
        <v>0</v>
      </c>
      <c r="R215" s="106">
        <f t="shared" si="173"/>
        <v>0</v>
      </c>
      <c r="S215" s="106">
        <f t="shared" si="174"/>
        <v>0</v>
      </c>
      <c r="T215" s="107">
        <f t="shared" si="175"/>
        <v>0</v>
      </c>
      <c r="U215" s="78"/>
      <c r="AG215" s="108"/>
      <c r="AI215" s="78">
        <f t="shared" si="119"/>
        <v>0</v>
      </c>
      <c r="AJ215" s="78">
        <f t="shared" si="120"/>
        <v>0</v>
      </c>
      <c r="AK215" s="78">
        <f t="shared" si="121"/>
        <v>0</v>
      </c>
      <c r="AL215" s="78">
        <f t="shared" si="122"/>
        <v>0</v>
      </c>
      <c r="AM215" s="78">
        <f t="shared" si="123"/>
        <v>0</v>
      </c>
      <c r="AN215" s="78">
        <f t="shared" si="124"/>
        <v>0</v>
      </c>
      <c r="AO215" s="78">
        <f t="shared" si="125"/>
        <v>0</v>
      </c>
      <c r="AP215" s="78">
        <f t="shared" si="126"/>
        <v>0</v>
      </c>
      <c r="AQ215" s="78">
        <f t="shared" si="127"/>
        <v>0</v>
      </c>
      <c r="AR215" s="78">
        <f t="shared" si="128"/>
        <v>0</v>
      </c>
      <c r="AS215" s="90">
        <f t="shared" si="129"/>
        <v>0</v>
      </c>
      <c r="AT215" s="91">
        <f t="shared" si="130"/>
        <v>0</v>
      </c>
      <c r="AV215" s="91">
        <f t="shared" si="131"/>
        <v>0</v>
      </c>
      <c r="AW215" s="78">
        <f t="shared" si="132"/>
        <v>0</v>
      </c>
      <c r="AX215" s="78">
        <f t="shared" si="133"/>
        <v>0</v>
      </c>
      <c r="AY215" s="78"/>
      <c r="AZ215" s="78">
        <f t="shared" si="134"/>
        <v>0</v>
      </c>
      <c r="BA215" s="78">
        <f t="shared" si="135"/>
        <v>0</v>
      </c>
      <c r="BB215" s="78">
        <f t="shared" si="136"/>
        <v>0</v>
      </c>
      <c r="BC215" s="78">
        <f t="shared" si="137"/>
        <v>0</v>
      </c>
      <c r="BD215" s="78">
        <f t="shared" si="138"/>
        <v>0</v>
      </c>
      <c r="BE215" s="78">
        <f t="shared" si="139"/>
        <v>0</v>
      </c>
      <c r="BF215" s="78">
        <f t="shared" si="140"/>
        <v>0</v>
      </c>
      <c r="BG215" s="78">
        <f t="shared" si="141"/>
        <v>0</v>
      </c>
      <c r="BH215" s="78">
        <f t="shared" si="142"/>
        <v>0</v>
      </c>
      <c r="BI215" s="78"/>
      <c r="BJ215" s="91">
        <f t="shared" si="143"/>
        <v>0</v>
      </c>
      <c r="BK215" s="91">
        <f t="shared" si="144"/>
        <v>0</v>
      </c>
      <c r="BL215" s="78"/>
      <c r="BM215" s="78">
        <f t="shared" si="145"/>
        <v>0</v>
      </c>
      <c r="BN215" s="78">
        <f t="shared" si="146"/>
        <v>0</v>
      </c>
      <c r="BO215" s="78">
        <f t="shared" si="147"/>
        <v>0</v>
      </c>
      <c r="BP215" s="78">
        <f t="shared" si="148"/>
        <v>0</v>
      </c>
      <c r="BQ215" s="78">
        <f t="shared" si="149"/>
        <v>0</v>
      </c>
      <c r="BR215" s="78">
        <f t="shared" si="150"/>
        <v>0</v>
      </c>
      <c r="BS215" s="78">
        <f t="shared" si="151"/>
        <v>0</v>
      </c>
      <c r="BT215" s="78">
        <f t="shared" si="152"/>
        <v>0</v>
      </c>
      <c r="BU215" s="91">
        <f t="shared" si="153"/>
        <v>0</v>
      </c>
      <c r="BV215" s="91">
        <f t="shared" si="154"/>
        <v>0</v>
      </c>
      <c r="BW215" s="78"/>
      <c r="BX215" s="78"/>
      <c r="BY215" s="78">
        <f t="shared" si="155"/>
        <v>0</v>
      </c>
      <c r="BZ215" s="78">
        <f t="shared" si="156"/>
        <v>0</v>
      </c>
      <c r="CA215" s="78">
        <f t="shared" si="157"/>
        <v>0</v>
      </c>
      <c r="CB215" s="78">
        <f t="shared" si="158"/>
        <v>0</v>
      </c>
      <c r="CC215" s="78">
        <f t="shared" si="159"/>
        <v>0</v>
      </c>
      <c r="CD215" s="78">
        <f t="shared" si="160"/>
        <v>0</v>
      </c>
      <c r="CE215" s="78">
        <f t="shared" si="161"/>
        <v>0</v>
      </c>
      <c r="CF215" s="78">
        <f t="shared" si="162"/>
        <v>0</v>
      </c>
      <c r="CG215" s="78"/>
      <c r="CH215" s="92">
        <f t="shared" si="163"/>
        <v>0</v>
      </c>
      <c r="CI215" s="93">
        <f t="shared" si="164"/>
        <v>0</v>
      </c>
      <c r="CJ215" s="94">
        <f t="shared" si="165"/>
        <v>0</v>
      </c>
      <c r="CL215" s="78">
        <f t="shared" si="166"/>
        <v>0</v>
      </c>
      <c r="CM215" s="78">
        <f t="shared" si="167"/>
        <v>0</v>
      </c>
      <c r="CN215" s="78">
        <f t="shared" si="168"/>
        <v>0</v>
      </c>
      <c r="CO215" s="78">
        <f t="shared" si="169"/>
        <v>0</v>
      </c>
    </row>
    <row r="216" spans="1:93" ht="13.5" thickBot="1">
      <c r="A216" s="95"/>
      <c r="B216" s="96"/>
      <c r="C216" s="97"/>
      <c r="D216" s="98"/>
      <c r="E216" s="99"/>
      <c r="F216" s="100"/>
      <c r="G216" s="100"/>
      <c r="H216" s="100"/>
      <c r="I216" s="100"/>
      <c r="J216" s="100"/>
      <c r="K216" s="101" t="str">
        <f t="shared" si="170"/>
        <v/>
      </c>
      <c r="L216" s="102"/>
      <c r="M216" s="103"/>
      <c r="N216" s="104"/>
      <c r="O216" s="105"/>
      <c r="P216" s="106">
        <f t="shared" si="171"/>
        <v>0</v>
      </c>
      <c r="Q216" s="106">
        <f t="shared" si="172"/>
        <v>0</v>
      </c>
      <c r="R216" s="106">
        <f t="shared" si="173"/>
        <v>0</v>
      </c>
      <c r="S216" s="106">
        <f t="shared" si="174"/>
        <v>0</v>
      </c>
      <c r="T216" s="107">
        <f t="shared" si="175"/>
        <v>0</v>
      </c>
      <c r="U216" s="78"/>
      <c r="AG216" s="108"/>
      <c r="AI216" s="78">
        <f t="shared" si="119"/>
        <v>0</v>
      </c>
      <c r="AJ216" s="78">
        <f t="shared" si="120"/>
        <v>0</v>
      </c>
      <c r="AK216" s="78">
        <f t="shared" si="121"/>
        <v>0</v>
      </c>
      <c r="AL216" s="78">
        <f t="shared" si="122"/>
        <v>0</v>
      </c>
      <c r="AM216" s="78">
        <f t="shared" si="123"/>
        <v>0</v>
      </c>
      <c r="AN216" s="78">
        <f t="shared" si="124"/>
        <v>0</v>
      </c>
      <c r="AO216" s="78">
        <f t="shared" si="125"/>
        <v>0</v>
      </c>
      <c r="AP216" s="78">
        <f t="shared" si="126"/>
        <v>0</v>
      </c>
      <c r="AQ216" s="78">
        <f t="shared" si="127"/>
        <v>0</v>
      </c>
      <c r="AR216" s="78">
        <f t="shared" si="128"/>
        <v>0</v>
      </c>
      <c r="AS216" s="90">
        <f t="shared" si="129"/>
        <v>0</v>
      </c>
      <c r="AT216" s="91">
        <f t="shared" si="130"/>
        <v>0</v>
      </c>
      <c r="AV216" s="91">
        <f t="shared" si="131"/>
        <v>0</v>
      </c>
      <c r="AW216" s="78">
        <f t="shared" si="132"/>
        <v>0</v>
      </c>
      <c r="AX216" s="78">
        <f t="shared" si="133"/>
        <v>0</v>
      </c>
      <c r="AY216" s="78"/>
      <c r="AZ216" s="78">
        <f t="shared" si="134"/>
        <v>0</v>
      </c>
      <c r="BA216" s="78">
        <f t="shared" si="135"/>
        <v>0</v>
      </c>
      <c r="BB216" s="78">
        <f t="shared" si="136"/>
        <v>0</v>
      </c>
      <c r="BC216" s="78">
        <f t="shared" si="137"/>
        <v>0</v>
      </c>
      <c r="BD216" s="78">
        <f t="shared" si="138"/>
        <v>0</v>
      </c>
      <c r="BE216" s="78">
        <f t="shared" si="139"/>
        <v>0</v>
      </c>
      <c r="BF216" s="78">
        <f t="shared" si="140"/>
        <v>0</v>
      </c>
      <c r="BG216" s="78">
        <f t="shared" si="141"/>
        <v>0</v>
      </c>
      <c r="BH216" s="78">
        <f t="shared" si="142"/>
        <v>0</v>
      </c>
      <c r="BI216" s="78"/>
      <c r="BJ216" s="91">
        <f t="shared" si="143"/>
        <v>0</v>
      </c>
      <c r="BK216" s="91">
        <f t="shared" si="144"/>
        <v>0</v>
      </c>
      <c r="BL216" s="78"/>
      <c r="BM216" s="78">
        <f t="shared" si="145"/>
        <v>0</v>
      </c>
      <c r="BN216" s="78">
        <f t="shared" si="146"/>
        <v>0</v>
      </c>
      <c r="BO216" s="78">
        <f t="shared" si="147"/>
        <v>0</v>
      </c>
      <c r="BP216" s="78">
        <f t="shared" si="148"/>
        <v>0</v>
      </c>
      <c r="BQ216" s="78">
        <f t="shared" si="149"/>
        <v>0</v>
      </c>
      <c r="BR216" s="78">
        <f t="shared" si="150"/>
        <v>0</v>
      </c>
      <c r="BS216" s="78">
        <f t="shared" si="151"/>
        <v>0</v>
      </c>
      <c r="BT216" s="78">
        <f t="shared" si="152"/>
        <v>0</v>
      </c>
      <c r="BU216" s="91">
        <f t="shared" si="153"/>
        <v>0</v>
      </c>
      <c r="BV216" s="91">
        <f t="shared" si="154"/>
        <v>0</v>
      </c>
      <c r="BW216" s="78"/>
      <c r="BX216" s="78"/>
      <c r="BY216" s="78">
        <f t="shared" si="155"/>
        <v>0</v>
      </c>
      <c r="BZ216" s="78">
        <f t="shared" si="156"/>
        <v>0</v>
      </c>
      <c r="CA216" s="78">
        <f t="shared" si="157"/>
        <v>0</v>
      </c>
      <c r="CB216" s="78">
        <f t="shared" si="158"/>
        <v>0</v>
      </c>
      <c r="CC216" s="78">
        <f t="shared" si="159"/>
        <v>0</v>
      </c>
      <c r="CD216" s="78">
        <f t="shared" si="160"/>
        <v>0</v>
      </c>
      <c r="CE216" s="78">
        <f t="shared" si="161"/>
        <v>0</v>
      </c>
      <c r="CF216" s="78">
        <f t="shared" si="162"/>
        <v>0</v>
      </c>
      <c r="CG216" s="78"/>
      <c r="CH216" s="92">
        <f t="shared" si="163"/>
        <v>0</v>
      </c>
      <c r="CI216" s="93">
        <f t="shared" si="164"/>
        <v>0</v>
      </c>
      <c r="CJ216" s="94">
        <f t="shared" si="165"/>
        <v>0</v>
      </c>
      <c r="CL216" s="78">
        <f t="shared" si="166"/>
        <v>0</v>
      </c>
      <c r="CM216" s="78">
        <f t="shared" si="167"/>
        <v>0</v>
      </c>
      <c r="CN216" s="78">
        <f t="shared" si="168"/>
        <v>0</v>
      </c>
      <c r="CO216" s="78">
        <f t="shared" si="169"/>
        <v>0</v>
      </c>
    </row>
    <row r="217" spans="1:93" ht="13.5" thickBot="1">
      <c r="A217" s="95"/>
      <c r="B217" s="96"/>
      <c r="C217" s="97"/>
      <c r="D217" s="98"/>
      <c r="E217" s="99"/>
      <c r="F217" s="100"/>
      <c r="G217" s="100"/>
      <c r="H217" s="100"/>
      <c r="I217" s="100"/>
      <c r="J217" s="100"/>
      <c r="K217" s="101" t="str">
        <f t="shared" si="170"/>
        <v/>
      </c>
      <c r="L217" s="102"/>
      <c r="M217" s="103"/>
      <c r="N217" s="104"/>
      <c r="O217" s="105"/>
      <c r="P217" s="106">
        <f t="shared" si="171"/>
        <v>0</v>
      </c>
      <c r="Q217" s="106">
        <f t="shared" si="172"/>
        <v>0</v>
      </c>
      <c r="R217" s="106">
        <f t="shared" si="173"/>
        <v>0</v>
      </c>
      <c r="S217" s="106">
        <f t="shared" si="174"/>
        <v>0</v>
      </c>
      <c r="T217" s="107">
        <f t="shared" si="175"/>
        <v>0</v>
      </c>
      <c r="U217" s="78"/>
      <c r="AG217" s="108"/>
      <c r="AI217" s="78">
        <f t="shared" si="119"/>
        <v>0</v>
      </c>
      <c r="AJ217" s="78">
        <f t="shared" si="120"/>
        <v>0</v>
      </c>
      <c r="AK217" s="78">
        <f t="shared" si="121"/>
        <v>0</v>
      </c>
      <c r="AL217" s="78">
        <f t="shared" si="122"/>
        <v>0</v>
      </c>
      <c r="AM217" s="78">
        <f t="shared" si="123"/>
        <v>0</v>
      </c>
      <c r="AN217" s="78">
        <f t="shared" si="124"/>
        <v>0</v>
      </c>
      <c r="AO217" s="78">
        <f t="shared" si="125"/>
        <v>0</v>
      </c>
      <c r="AP217" s="78">
        <f t="shared" si="126"/>
        <v>0</v>
      </c>
      <c r="AQ217" s="78">
        <f t="shared" si="127"/>
        <v>0</v>
      </c>
      <c r="AR217" s="78">
        <f t="shared" si="128"/>
        <v>0</v>
      </c>
      <c r="AS217" s="90">
        <f t="shared" si="129"/>
        <v>0</v>
      </c>
      <c r="AT217" s="91">
        <f t="shared" si="130"/>
        <v>0</v>
      </c>
      <c r="AV217" s="91">
        <f t="shared" si="131"/>
        <v>0</v>
      </c>
      <c r="AW217" s="78">
        <f t="shared" si="132"/>
        <v>0</v>
      </c>
      <c r="AX217" s="78">
        <f t="shared" si="133"/>
        <v>0</v>
      </c>
      <c r="AY217" s="78"/>
      <c r="AZ217" s="78">
        <f t="shared" si="134"/>
        <v>0</v>
      </c>
      <c r="BA217" s="78">
        <f t="shared" si="135"/>
        <v>0</v>
      </c>
      <c r="BB217" s="78">
        <f t="shared" si="136"/>
        <v>0</v>
      </c>
      <c r="BC217" s="78">
        <f t="shared" si="137"/>
        <v>0</v>
      </c>
      <c r="BD217" s="78">
        <f t="shared" si="138"/>
        <v>0</v>
      </c>
      <c r="BE217" s="78">
        <f t="shared" si="139"/>
        <v>0</v>
      </c>
      <c r="BF217" s="78">
        <f t="shared" si="140"/>
        <v>0</v>
      </c>
      <c r="BG217" s="78">
        <f t="shared" si="141"/>
        <v>0</v>
      </c>
      <c r="BH217" s="78">
        <f t="shared" si="142"/>
        <v>0</v>
      </c>
      <c r="BI217" s="78"/>
      <c r="BJ217" s="91">
        <f t="shared" si="143"/>
        <v>0</v>
      </c>
      <c r="BK217" s="91">
        <f t="shared" si="144"/>
        <v>0</v>
      </c>
      <c r="BL217" s="78"/>
      <c r="BM217" s="78">
        <f t="shared" si="145"/>
        <v>0</v>
      </c>
      <c r="BN217" s="78">
        <f t="shared" si="146"/>
        <v>0</v>
      </c>
      <c r="BO217" s="78">
        <f t="shared" si="147"/>
        <v>0</v>
      </c>
      <c r="BP217" s="78">
        <f t="shared" si="148"/>
        <v>0</v>
      </c>
      <c r="BQ217" s="78">
        <f t="shared" si="149"/>
        <v>0</v>
      </c>
      <c r="BR217" s="78">
        <f t="shared" si="150"/>
        <v>0</v>
      </c>
      <c r="BS217" s="78">
        <f t="shared" si="151"/>
        <v>0</v>
      </c>
      <c r="BT217" s="78">
        <f t="shared" si="152"/>
        <v>0</v>
      </c>
      <c r="BU217" s="91">
        <f t="shared" si="153"/>
        <v>0</v>
      </c>
      <c r="BV217" s="91">
        <f t="shared" si="154"/>
        <v>0</v>
      </c>
      <c r="BW217" s="78"/>
      <c r="BX217" s="78"/>
      <c r="BY217" s="78">
        <f t="shared" si="155"/>
        <v>0</v>
      </c>
      <c r="BZ217" s="78">
        <f t="shared" si="156"/>
        <v>0</v>
      </c>
      <c r="CA217" s="78">
        <f t="shared" si="157"/>
        <v>0</v>
      </c>
      <c r="CB217" s="78">
        <f t="shared" si="158"/>
        <v>0</v>
      </c>
      <c r="CC217" s="78">
        <f t="shared" si="159"/>
        <v>0</v>
      </c>
      <c r="CD217" s="78">
        <f t="shared" si="160"/>
        <v>0</v>
      </c>
      <c r="CE217" s="78">
        <f t="shared" si="161"/>
        <v>0</v>
      </c>
      <c r="CF217" s="78">
        <f t="shared" si="162"/>
        <v>0</v>
      </c>
      <c r="CG217" s="78"/>
      <c r="CH217" s="92">
        <f t="shared" si="163"/>
        <v>0</v>
      </c>
      <c r="CI217" s="93">
        <f t="shared" si="164"/>
        <v>0</v>
      </c>
      <c r="CJ217" s="94">
        <f t="shared" si="165"/>
        <v>0</v>
      </c>
      <c r="CL217" s="78">
        <f t="shared" si="166"/>
        <v>0</v>
      </c>
      <c r="CM217" s="78">
        <f t="shared" si="167"/>
        <v>0</v>
      </c>
      <c r="CN217" s="78">
        <f t="shared" si="168"/>
        <v>0</v>
      </c>
      <c r="CO217" s="78">
        <f t="shared" si="169"/>
        <v>0</v>
      </c>
    </row>
    <row r="218" spans="1:93" ht="13.5" thickBot="1">
      <c r="A218" s="95"/>
      <c r="B218" s="96"/>
      <c r="C218" s="97"/>
      <c r="D218" s="98"/>
      <c r="E218" s="99"/>
      <c r="F218" s="100"/>
      <c r="G218" s="100"/>
      <c r="H218" s="100"/>
      <c r="I218" s="100"/>
      <c r="J218" s="100"/>
      <c r="K218" s="101" t="str">
        <f t="shared" si="170"/>
        <v/>
      </c>
      <c r="L218" s="102"/>
      <c r="M218" s="103"/>
      <c r="N218" s="104"/>
      <c r="O218" s="105"/>
      <c r="P218" s="106">
        <f t="shared" si="171"/>
        <v>0</v>
      </c>
      <c r="Q218" s="106">
        <f t="shared" si="172"/>
        <v>0</v>
      </c>
      <c r="R218" s="106">
        <f t="shared" si="173"/>
        <v>0</v>
      </c>
      <c r="S218" s="106">
        <f t="shared" si="174"/>
        <v>0</v>
      </c>
      <c r="T218" s="107">
        <f t="shared" si="175"/>
        <v>0</v>
      </c>
      <c r="U218" s="78"/>
      <c r="AG218" s="108"/>
      <c r="AI218" s="78">
        <f t="shared" si="119"/>
        <v>0</v>
      </c>
      <c r="AJ218" s="78">
        <f t="shared" si="120"/>
        <v>0</v>
      </c>
      <c r="AK218" s="78">
        <f t="shared" si="121"/>
        <v>0</v>
      </c>
      <c r="AL218" s="78">
        <f t="shared" si="122"/>
        <v>0</v>
      </c>
      <c r="AM218" s="78">
        <f t="shared" si="123"/>
        <v>0</v>
      </c>
      <c r="AN218" s="78">
        <f t="shared" si="124"/>
        <v>0</v>
      </c>
      <c r="AO218" s="78">
        <f t="shared" si="125"/>
        <v>0</v>
      </c>
      <c r="AP218" s="78">
        <f t="shared" si="126"/>
        <v>0</v>
      </c>
      <c r="AQ218" s="78">
        <f t="shared" si="127"/>
        <v>0</v>
      </c>
      <c r="AR218" s="78">
        <f t="shared" si="128"/>
        <v>0</v>
      </c>
      <c r="AS218" s="90">
        <f t="shared" si="129"/>
        <v>0</v>
      </c>
      <c r="AT218" s="91">
        <f t="shared" si="130"/>
        <v>0</v>
      </c>
      <c r="AV218" s="91">
        <f t="shared" si="131"/>
        <v>0</v>
      </c>
      <c r="AW218" s="78">
        <f t="shared" si="132"/>
        <v>0</v>
      </c>
      <c r="AX218" s="78">
        <f t="shared" si="133"/>
        <v>0</v>
      </c>
      <c r="AY218" s="78"/>
      <c r="AZ218" s="78">
        <f t="shared" si="134"/>
        <v>0</v>
      </c>
      <c r="BA218" s="78">
        <f t="shared" si="135"/>
        <v>0</v>
      </c>
      <c r="BB218" s="78">
        <f t="shared" si="136"/>
        <v>0</v>
      </c>
      <c r="BC218" s="78">
        <f t="shared" si="137"/>
        <v>0</v>
      </c>
      <c r="BD218" s="78">
        <f t="shared" si="138"/>
        <v>0</v>
      </c>
      <c r="BE218" s="78">
        <f t="shared" si="139"/>
        <v>0</v>
      </c>
      <c r="BF218" s="78">
        <f t="shared" si="140"/>
        <v>0</v>
      </c>
      <c r="BG218" s="78">
        <f t="shared" si="141"/>
        <v>0</v>
      </c>
      <c r="BH218" s="78">
        <f t="shared" si="142"/>
        <v>0</v>
      </c>
      <c r="BI218" s="78"/>
      <c r="BJ218" s="91">
        <f t="shared" si="143"/>
        <v>0</v>
      </c>
      <c r="BK218" s="91">
        <f t="shared" si="144"/>
        <v>0</v>
      </c>
      <c r="BL218" s="78"/>
      <c r="BM218" s="78">
        <f t="shared" si="145"/>
        <v>0</v>
      </c>
      <c r="BN218" s="78">
        <f t="shared" si="146"/>
        <v>0</v>
      </c>
      <c r="BO218" s="78">
        <f t="shared" si="147"/>
        <v>0</v>
      </c>
      <c r="BP218" s="78">
        <f t="shared" si="148"/>
        <v>0</v>
      </c>
      <c r="BQ218" s="78">
        <f t="shared" si="149"/>
        <v>0</v>
      </c>
      <c r="BR218" s="78">
        <f t="shared" si="150"/>
        <v>0</v>
      </c>
      <c r="BS218" s="78">
        <f t="shared" si="151"/>
        <v>0</v>
      </c>
      <c r="BT218" s="78">
        <f t="shared" si="152"/>
        <v>0</v>
      </c>
      <c r="BU218" s="91">
        <f t="shared" si="153"/>
        <v>0</v>
      </c>
      <c r="BV218" s="91">
        <f t="shared" si="154"/>
        <v>0</v>
      </c>
      <c r="BW218" s="78"/>
      <c r="BX218" s="78"/>
      <c r="BY218" s="78">
        <f t="shared" si="155"/>
        <v>0</v>
      </c>
      <c r="BZ218" s="78">
        <f t="shared" si="156"/>
        <v>0</v>
      </c>
      <c r="CA218" s="78">
        <f t="shared" si="157"/>
        <v>0</v>
      </c>
      <c r="CB218" s="78">
        <f t="shared" si="158"/>
        <v>0</v>
      </c>
      <c r="CC218" s="78">
        <f t="shared" si="159"/>
        <v>0</v>
      </c>
      <c r="CD218" s="78">
        <f t="shared" si="160"/>
        <v>0</v>
      </c>
      <c r="CE218" s="78">
        <f t="shared" si="161"/>
        <v>0</v>
      </c>
      <c r="CF218" s="78">
        <f t="shared" si="162"/>
        <v>0</v>
      </c>
      <c r="CG218" s="78"/>
      <c r="CH218" s="92">
        <f t="shared" si="163"/>
        <v>0</v>
      </c>
      <c r="CI218" s="93">
        <f t="shared" si="164"/>
        <v>0</v>
      </c>
      <c r="CJ218" s="94">
        <f t="shared" si="165"/>
        <v>0</v>
      </c>
      <c r="CL218" s="78">
        <f t="shared" si="166"/>
        <v>0</v>
      </c>
      <c r="CM218" s="78">
        <f t="shared" si="167"/>
        <v>0</v>
      </c>
      <c r="CN218" s="78">
        <f t="shared" si="168"/>
        <v>0</v>
      </c>
      <c r="CO218" s="78">
        <f t="shared" si="169"/>
        <v>0</v>
      </c>
    </row>
    <row r="219" spans="1:93" ht="13.5" thickBot="1">
      <c r="A219" s="95"/>
      <c r="B219" s="96"/>
      <c r="C219" s="97"/>
      <c r="D219" s="98"/>
      <c r="E219" s="99"/>
      <c r="F219" s="100"/>
      <c r="G219" s="100"/>
      <c r="H219" s="100"/>
      <c r="I219" s="100"/>
      <c r="J219" s="100"/>
      <c r="K219" s="101" t="str">
        <f t="shared" si="170"/>
        <v/>
      </c>
      <c r="L219" s="102"/>
      <c r="M219" s="103"/>
      <c r="N219" s="104"/>
      <c r="O219" s="105"/>
      <c r="P219" s="106">
        <f t="shared" si="171"/>
        <v>0</v>
      </c>
      <c r="Q219" s="106">
        <f t="shared" si="172"/>
        <v>0</v>
      </c>
      <c r="R219" s="106">
        <f t="shared" si="173"/>
        <v>0</v>
      </c>
      <c r="S219" s="106">
        <f t="shared" si="174"/>
        <v>0</v>
      </c>
      <c r="T219" s="107">
        <f t="shared" si="175"/>
        <v>0</v>
      </c>
      <c r="U219" s="78"/>
      <c r="AG219" s="108"/>
      <c r="AI219" s="78">
        <f t="shared" si="119"/>
        <v>0</v>
      </c>
      <c r="AJ219" s="78">
        <f t="shared" si="120"/>
        <v>0</v>
      </c>
      <c r="AK219" s="78">
        <f t="shared" si="121"/>
        <v>0</v>
      </c>
      <c r="AL219" s="78">
        <f t="shared" si="122"/>
        <v>0</v>
      </c>
      <c r="AM219" s="78">
        <f t="shared" si="123"/>
        <v>0</v>
      </c>
      <c r="AN219" s="78">
        <f t="shared" si="124"/>
        <v>0</v>
      </c>
      <c r="AO219" s="78">
        <f t="shared" si="125"/>
        <v>0</v>
      </c>
      <c r="AP219" s="78">
        <f t="shared" si="126"/>
        <v>0</v>
      </c>
      <c r="AQ219" s="78">
        <f t="shared" si="127"/>
        <v>0</v>
      </c>
      <c r="AR219" s="78">
        <f t="shared" si="128"/>
        <v>0</v>
      </c>
      <c r="AS219" s="90">
        <f t="shared" si="129"/>
        <v>0</v>
      </c>
      <c r="AT219" s="91">
        <f t="shared" si="130"/>
        <v>0</v>
      </c>
      <c r="AV219" s="91">
        <f t="shared" si="131"/>
        <v>0</v>
      </c>
      <c r="AW219" s="78">
        <f t="shared" si="132"/>
        <v>0</v>
      </c>
      <c r="AX219" s="78">
        <f t="shared" si="133"/>
        <v>0</v>
      </c>
      <c r="AY219" s="78"/>
      <c r="AZ219" s="78">
        <f t="shared" si="134"/>
        <v>0</v>
      </c>
      <c r="BA219" s="78">
        <f t="shared" si="135"/>
        <v>0</v>
      </c>
      <c r="BB219" s="78">
        <f t="shared" si="136"/>
        <v>0</v>
      </c>
      <c r="BC219" s="78">
        <f t="shared" si="137"/>
        <v>0</v>
      </c>
      <c r="BD219" s="78">
        <f t="shared" si="138"/>
        <v>0</v>
      </c>
      <c r="BE219" s="78">
        <f t="shared" si="139"/>
        <v>0</v>
      </c>
      <c r="BF219" s="78">
        <f t="shared" si="140"/>
        <v>0</v>
      </c>
      <c r="BG219" s="78">
        <f t="shared" si="141"/>
        <v>0</v>
      </c>
      <c r="BH219" s="78">
        <f t="shared" si="142"/>
        <v>0</v>
      </c>
      <c r="BI219" s="78"/>
      <c r="BJ219" s="91">
        <f t="shared" si="143"/>
        <v>0</v>
      </c>
      <c r="BK219" s="91">
        <f t="shared" si="144"/>
        <v>0</v>
      </c>
      <c r="BL219" s="78"/>
      <c r="BM219" s="78">
        <f t="shared" si="145"/>
        <v>0</v>
      </c>
      <c r="BN219" s="78">
        <f t="shared" si="146"/>
        <v>0</v>
      </c>
      <c r="BO219" s="78">
        <f t="shared" si="147"/>
        <v>0</v>
      </c>
      <c r="BP219" s="78">
        <f t="shared" si="148"/>
        <v>0</v>
      </c>
      <c r="BQ219" s="78">
        <f t="shared" si="149"/>
        <v>0</v>
      </c>
      <c r="BR219" s="78">
        <f t="shared" si="150"/>
        <v>0</v>
      </c>
      <c r="BS219" s="78">
        <f t="shared" si="151"/>
        <v>0</v>
      </c>
      <c r="BT219" s="78">
        <f t="shared" si="152"/>
        <v>0</v>
      </c>
      <c r="BU219" s="91">
        <f t="shared" si="153"/>
        <v>0</v>
      </c>
      <c r="BV219" s="91">
        <f t="shared" si="154"/>
        <v>0</v>
      </c>
      <c r="BW219" s="78"/>
      <c r="BX219" s="78"/>
      <c r="BY219" s="78">
        <f t="shared" si="155"/>
        <v>0</v>
      </c>
      <c r="BZ219" s="78">
        <f t="shared" si="156"/>
        <v>0</v>
      </c>
      <c r="CA219" s="78">
        <f t="shared" si="157"/>
        <v>0</v>
      </c>
      <c r="CB219" s="78">
        <f t="shared" si="158"/>
        <v>0</v>
      </c>
      <c r="CC219" s="78">
        <f t="shared" si="159"/>
        <v>0</v>
      </c>
      <c r="CD219" s="78">
        <f t="shared" si="160"/>
        <v>0</v>
      </c>
      <c r="CE219" s="78">
        <f t="shared" si="161"/>
        <v>0</v>
      </c>
      <c r="CF219" s="78">
        <f t="shared" si="162"/>
        <v>0</v>
      </c>
      <c r="CG219" s="78"/>
      <c r="CH219" s="92">
        <f t="shared" si="163"/>
        <v>0</v>
      </c>
      <c r="CI219" s="93">
        <f t="shared" si="164"/>
        <v>0</v>
      </c>
      <c r="CJ219" s="94">
        <f t="shared" si="165"/>
        <v>0</v>
      </c>
      <c r="CL219" s="78">
        <f t="shared" si="166"/>
        <v>0</v>
      </c>
      <c r="CM219" s="78">
        <f t="shared" si="167"/>
        <v>0</v>
      </c>
      <c r="CN219" s="78">
        <f t="shared" si="168"/>
        <v>0</v>
      </c>
      <c r="CO219" s="78">
        <f t="shared" si="169"/>
        <v>0</v>
      </c>
    </row>
    <row r="220" spans="1:93" ht="13.5" thickBot="1">
      <c r="A220" s="95"/>
      <c r="B220" s="96"/>
      <c r="C220" s="97"/>
      <c r="D220" s="98"/>
      <c r="E220" s="99"/>
      <c r="F220" s="100"/>
      <c r="G220" s="100"/>
      <c r="H220" s="100"/>
      <c r="I220" s="100"/>
      <c r="J220" s="100"/>
      <c r="K220" s="101" t="str">
        <f t="shared" si="170"/>
        <v/>
      </c>
      <c r="L220" s="102"/>
      <c r="M220" s="103"/>
      <c r="N220" s="104"/>
      <c r="O220" s="105"/>
      <c r="P220" s="106">
        <f t="shared" si="171"/>
        <v>0</v>
      </c>
      <c r="Q220" s="106">
        <f t="shared" si="172"/>
        <v>0</v>
      </c>
      <c r="R220" s="106">
        <f t="shared" si="173"/>
        <v>0</v>
      </c>
      <c r="S220" s="106">
        <f t="shared" si="174"/>
        <v>0</v>
      </c>
      <c r="T220" s="107">
        <f t="shared" si="175"/>
        <v>0</v>
      </c>
      <c r="U220" s="78"/>
      <c r="AG220" s="108"/>
      <c r="AI220" s="78">
        <f t="shared" si="119"/>
        <v>0</v>
      </c>
      <c r="AJ220" s="78">
        <f t="shared" si="120"/>
        <v>0</v>
      </c>
      <c r="AK220" s="78">
        <f t="shared" si="121"/>
        <v>0</v>
      </c>
      <c r="AL220" s="78">
        <f t="shared" si="122"/>
        <v>0</v>
      </c>
      <c r="AM220" s="78">
        <f t="shared" si="123"/>
        <v>0</v>
      </c>
      <c r="AN220" s="78">
        <f t="shared" si="124"/>
        <v>0</v>
      </c>
      <c r="AO220" s="78">
        <f t="shared" si="125"/>
        <v>0</v>
      </c>
      <c r="AP220" s="78">
        <f t="shared" si="126"/>
        <v>0</v>
      </c>
      <c r="AQ220" s="78">
        <f t="shared" si="127"/>
        <v>0</v>
      </c>
      <c r="AR220" s="78">
        <f t="shared" si="128"/>
        <v>0</v>
      </c>
      <c r="AS220" s="90">
        <f t="shared" si="129"/>
        <v>0</v>
      </c>
      <c r="AT220" s="91">
        <f t="shared" si="130"/>
        <v>0</v>
      </c>
      <c r="AV220" s="91">
        <f t="shared" si="131"/>
        <v>0</v>
      </c>
      <c r="AW220" s="78">
        <f t="shared" si="132"/>
        <v>0</v>
      </c>
      <c r="AX220" s="78">
        <f t="shared" si="133"/>
        <v>0</v>
      </c>
      <c r="AY220" s="78"/>
      <c r="AZ220" s="78">
        <f t="shared" si="134"/>
        <v>0</v>
      </c>
      <c r="BA220" s="78">
        <f t="shared" si="135"/>
        <v>0</v>
      </c>
      <c r="BB220" s="78">
        <f t="shared" si="136"/>
        <v>0</v>
      </c>
      <c r="BC220" s="78">
        <f t="shared" si="137"/>
        <v>0</v>
      </c>
      <c r="BD220" s="78">
        <f t="shared" si="138"/>
        <v>0</v>
      </c>
      <c r="BE220" s="78">
        <f t="shared" si="139"/>
        <v>0</v>
      </c>
      <c r="BF220" s="78">
        <f t="shared" si="140"/>
        <v>0</v>
      </c>
      <c r="BG220" s="78">
        <f t="shared" si="141"/>
        <v>0</v>
      </c>
      <c r="BH220" s="78">
        <f t="shared" si="142"/>
        <v>0</v>
      </c>
      <c r="BI220" s="78"/>
      <c r="BJ220" s="91">
        <f t="shared" si="143"/>
        <v>0</v>
      </c>
      <c r="BK220" s="91">
        <f t="shared" si="144"/>
        <v>0</v>
      </c>
      <c r="BL220" s="78"/>
      <c r="BM220" s="78">
        <f t="shared" si="145"/>
        <v>0</v>
      </c>
      <c r="BN220" s="78">
        <f t="shared" si="146"/>
        <v>0</v>
      </c>
      <c r="BO220" s="78">
        <f t="shared" si="147"/>
        <v>0</v>
      </c>
      <c r="BP220" s="78">
        <f t="shared" si="148"/>
        <v>0</v>
      </c>
      <c r="BQ220" s="78">
        <f t="shared" si="149"/>
        <v>0</v>
      </c>
      <c r="BR220" s="78">
        <f t="shared" si="150"/>
        <v>0</v>
      </c>
      <c r="BS220" s="78">
        <f t="shared" si="151"/>
        <v>0</v>
      </c>
      <c r="BT220" s="78">
        <f t="shared" si="152"/>
        <v>0</v>
      </c>
      <c r="BU220" s="91">
        <f t="shared" si="153"/>
        <v>0</v>
      </c>
      <c r="BV220" s="91">
        <f t="shared" si="154"/>
        <v>0</v>
      </c>
      <c r="BW220" s="78"/>
      <c r="BX220" s="78"/>
      <c r="BY220" s="78">
        <f t="shared" si="155"/>
        <v>0</v>
      </c>
      <c r="BZ220" s="78">
        <f t="shared" si="156"/>
        <v>0</v>
      </c>
      <c r="CA220" s="78">
        <f t="shared" si="157"/>
        <v>0</v>
      </c>
      <c r="CB220" s="78">
        <f t="shared" si="158"/>
        <v>0</v>
      </c>
      <c r="CC220" s="78">
        <f t="shared" si="159"/>
        <v>0</v>
      </c>
      <c r="CD220" s="78">
        <f t="shared" si="160"/>
        <v>0</v>
      </c>
      <c r="CE220" s="78">
        <f t="shared" si="161"/>
        <v>0</v>
      </c>
      <c r="CF220" s="78">
        <f t="shared" si="162"/>
        <v>0</v>
      </c>
      <c r="CG220" s="78"/>
      <c r="CH220" s="92">
        <f t="shared" si="163"/>
        <v>0</v>
      </c>
      <c r="CI220" s="93">
        <f t="shared" si="164"/>
        <v>0</v>
      </c>
      <c r="CJ220" s="94">
        <f t="shared" si="165"/>
        <v>0</v>
      </c>
      <c r="CL220" s="78">
        <f t="shared" si="166"/>
        <v>0</v>
      </c>
      <c r="CM220" s="78">
        <f t="shared" si="167"/>
        <v>0</v>
      </c>
      <c r="CN220" s="78">
        <f t="shared" si="168"/>
        <v>0</v>
      </c>
      <c r="CO220" s="78">
        <f t="shared" si="169"/>
        <v>0</v>
      </c>
    </row>
    <row r="221" spans="1:93" ht="13.5" thickBot="1">
      <c r="A221" s="95"/>
      <c r="B221" s="96"/>
      <c r="C221" s="97"/>
      <c r="D221" s="98"/>
      <c r="E221" s="99"/>
      <c r="F221" s="100"/>
      <c r="G221" s="100"/>
      <c r="H221" s="100"/>
      <c r="I221" s="100"/>
      <c r="J221" s="100"/>
      <c r="K221" s="101" t="str">
        <f t="shared" si="170"/>
        <v/>
      </c>
      <c r="L221" s="102"/>
      <c r="M221" s="103"/>
      <c r="N221" s="104"/>
      <c r="O221" s="105"/>
      <c r="P221" s="106">
        <f t="shared" si="171"/>
        <v>0</v>
      </c>
      <c r="Q221" s="106">
        <f t="shared" si="172"/>
        <v>0</v>
      </c>
      <c r="R221" s="106">
        <f t="shared" si="173"/>
        <v>0</v>
      </c>
      <c r="S221" s="106">
        <f t="shared" si="174"/>
        <v>0</v>
      </c>
      <c r="T221" s="107">
        <f t="shared" si="175"/>
        <v>0</v>
      </c>
      <c r="U221" s="78"/>
      <c r="AG221" s="108"/>
      <c r="AI221" s="78">
        <f t="shared" si="119"/>
        <v>0</v>
      </c>
      <c r="AJ221" s="78">
        <f t="shared" si="120"/>
        <v>0</v>
      </c>
      <c r="AK221" s="78">
        <f t="shared" si="121"/>
        <v>0</v>
      </c>
      <c r="AL221" s="78">
        <f t="shared" si="122"/>
        <v>0</v>
      </c>
      <c r="AM221" s="78">
        <f t="shared" si="123"/>
        <v>0</v>
      </c>
      <c r="AN221" s="78">
        <f t="shared" si="124"/>
        <v>0</v>
      </c>
      <c r="AO221" s="78">
        <f t="shared" si="125"/>
        <v>0</v>
      </c>
      <c r="AP221" s="78">
        <f t="shared" si="126"/>
        <v>0</v>
      </c>
      <c r="AQ221" s="78">
        <f t="shared" si="127"/>
        <v>0</v>
      </c>
      <c r="AR221" s="78">
        <f t="shared" si="128"/>
        <v>0</v>
      </c>
      <c r="AS221" s="90">
        <f t="shared" si="129"/>
        <v>0</v>
      </c>
      <c r="AT221" s="91">
        <f t="shared" si="130"/>
        <v>0</v>
      </c>
      <c r="AV221" s="91">
        <f t="shared" si="131"/>
        <v>0</v>
      </c>
      <c r="AW221" s="78">
        <f t="shared" si="132"/>
        <v>0</v>
      </c>
      <c r="AX221" s="78">
        <f t="shared" si="133"/>
        <v>0</v>
      </c>
      <c r="AY221" s="78"/>
      <c r="AZ221" s="78">
        <f t="shared" si="134"/>
        <v>0</v>
      </c>
      <c r="BA221" s="78">
        <f t="shared" si="135"/>
        <v>0</v>
      </c>
      <c r="BB221" s="78">
        <f t="shared" si="136"/>
        <v>0</v>
      </c>
      <c r="BC221" s="78">
        <f t="shared" si="137"/>
        <v>0</v>
      </c>
      <c r="BD221" s="78">
        <f t="shared" si="138"/>
        <v>0</v>
      </c>
      <c r="BE221" s="78">
        <f t="shared" si="139"/>
        <v>0</v>
      </c>
      <c r="BF221" s="78">
        <f t="shared" si="140"/>
        <v>0</v>
      </c>
      <c r="BG221" s="78">
        <f t="shared" si="141"/>
        <v>0</v>
      </c>
      <c r="BH221" s="78">
        <f t="shared" si="142"/>
        <v>0</v>
      </c>
      <c r="BI221" s="78"/>
      <c r="BJ221" s="91">
        <f t="shared" si="143"/>
        <v>0</v>
      </c>
      <c r="BK221" s="91">
        <f t="shared" si="144"/>
        <v>0</v>
      </c>
      <c r="BL221" s="78"/>
      <c r="BM221" s="78">
        <f t="shared" si="145"/>
        <v>0</v>
      </c>
      <c r="BN221" s="78">
        <f t="shared" si="146"/>
        <v>0</v>
      </c>
      <c r="BO221" s="78">
        <f t="shared" si="147"/>
        <v>0</v>
      </c>
      <c r="BP221" s="78">
        <f t="shared" si="148"/>
        <v>0</v>
      </c>
      <c r="BQ221" s="78">
        <f t="shared" si="149"/>
        <v>0</v>
      </c>
      <c r="BR221" s="78">
        <f t="shared" si="150"/>
        <v>0</v>
      </c>
      <c r="BS221" s="78">
        <f t="shared" si="151"/>
        <v>0</v>
      </c>
      <c r="BT221" s="78">
        <f t="shared" si="152"/>
        <v>0</v>
      </c>
      <c r="BU221" s="91">
        <f t="shared" si="153"/>
        <v>0</v>
      </c>
      <c r="BV221" s="91">
        <f t="shared" si="154"/>
        <v>0</v>
      </c>
      <c r="BW221" s="78"/>
      <c r="BX221" s="78"/>
      <c r="BY221" s="78">
        <f t="shared" si="155"/>
        <v>0</v>
      </c>
      <c r="BZ221" s="78">
        <f t="shared" si="156"/>
        <v>0</v>
      </c>
      <c r="CA221" s="78">
        <f t="shared" si="157"/>
        <v>0</v>
      </c>
      <c r="CB221" s="78">
        <f t="shared" si="158"/>
        <v>0</v>
      </c>
      <c r="CC221" s="78">
        <f t="shared" si="159"/>
        <v>0</v>
      </c>
      <c r="CD221" s="78">
        <f t="shared" si="160"/>
        <v>0</v>
      </c>
      <c r="CE221" s="78">
        <f t="shared" si="161"/>
        <v>0</v>
      </c>
      <c r="CF221" s="78">
        <f t="shared" si="162"/>
        <v>0</v>
      </c>
      <c r="CG221" s="78"/>
      <c r="CH221" s="92">
        <f t="shared" si="163"/>
        <v>0</v>
      </c>
      <c r="CI221" s="93">
        <f t="shared" si="164"/>
        <v>0</v>
      </c>
      <c r="CJ221" s="94">
        <f t="shared" si="165"/>
        <v>0</v>
      </c>
      <c r="CL221" s="78">
        <f t="shared" si="166"/>
        <v>0</v>
      </c>
      <c r="CM221" s="78">
        <f t="shared" si="167"/>
        <v>0</v>
      </c>
      <c r="CN221" s="78">
        <f t="shared" si="168"/>
        <v>0</v>
      </c>
      <c r="CO221" s="78">
        <f t="shared" si="169"/>
        <v>0</v>
      </c>
    </row>
    <row r="222" spans="1:93" ht="13.5" thickBot="1">
      <c r="A222" s="95"/>
      <c r="B222" s="96"/>
      <c r="C222" s="97"/>
      <c r="D222" s="98"/>
      <c r="E222" s="99"/>
      <c r="F222" s="100"/>
      <c r="G222" s="100"/>
      <c r="H222" s="100"/>
      <c r="I222" s="100"/>
      <c r="J222" s="100"/>
      <c r="K222" s="101" t="str">
        <f t="shared" si="170"/>
        <v/>
      </c>
      <c r="L222" s="102"/>
      <c r="M222" s="103"/>
      <c r="N222" s="104"/>
      <c r="O222" s="105"/>
      <c r="P222" s="106">
        <f t="shared" si="171"/>
        <v>0</v>
      </c>
      <c r="Q222" s="106">
        <f t="shared" si="172"/>
        <v>0</v>
      </c>
      <c r="R222" s="106">
        <f t="shared" si="173"/>
        <v>0</v>
      </c>
      <c r="S222" s="106">
        <f t="shared" si="174"/>
        <v>0</v>
      </c>
      <c r="T222" s="107">
        <f t="shared" si="175"/>
        <v>0</v>
      </c>
      <c r="U222" s="78"/>
      <c r="AG222" s="108"/>
      <c r="AI222" s="78">
        <f t="shared" si="119"/>
        <v>0</v>
      </c>
      <c r="AJ222" s="78">
        <f t="shared" si="120"/>
        <v>0</v>
      </c>
      <c r="AK222" s="78">
        <f t="shared" si="121"/>
        <v>0</v>
      </c>
      <c r="AL222" s="78">
        <f t="shared" si="122"/>
        <v>0</v>
      </c>
      <c r="AM222" s="78">
        <f t="shared" si="123"/>
        <v>0</v>
      </c>
      <c r="AN222" s="78">
        <f t="shared" si="124"/>
        <v>0</v>
      </c>
      <c r="AO222" s="78">
        <f t="shared" si="125"/>
        <v>0</v>
      </c>
      <c r="AP222" s="78">
        <f t="shared" si="126"/>
        <v>0</v>
      </c>
      <c r="AQ222" s="78">
        <f t="shared" si="127"/>
        <v>0</v>
      </c>
      <c r="AR222" s="78">
        <f t="shared" si="128"/>
        <v>0</v>
      </c>
      <c r="AS222" s="90">
        <f t="shared" si="129"/>
        <v>0</v>
      </c>
      <c r="AT222" s="91">
        <f t="shared" si="130"/>
        <v>0</v>
      </c>
      <c r="AV222" s="91">
        <f t="shared" si="131"/>
        <v>0</v>
      </c>
      <c r="AW222" s="78">
        <f t="shared" si="132"/>
        <v>0</v>
      </c>
      <c r="AX222" s="78">
        <f t="shared" si="133"/>
        <v>0</v>
      </c>
      <c r="AY222" s="78"/>
      <c r="AZ222" s="78">
        <f t="shared" si="134"/>
        <v>0</v>
      </c>
      <c r="BA222" s="78">
        <f t="shared" si="135"/>
        <v>0</v>
      </c>
      <c r="BB222" s="78">
        <f t="shared" si="136"/>
        <v>0</v>
      </c>
      <c r="BC222" s="78">
        <f t="shared" si="137"/>
        <v>0</v>
      </c>
      <c r="BD222" s="78">
        <f t="shared" si="138"/>
        <v>0</v>
      </c>
      <c r="BE222" s="78">
        <f t="shared" si="139"/>
        <v>0</v>
      </c>
      <c r="BF222" s="78">
        <f t="shared" si="140"/>
        <v>0</v>
      </c>
      <c r="BG222" s="78">
        <f t="shared" si="141"/>
        <v>0</v>
      </c>
      <c r="BH222" s="78">
        <f t="shared" si="142"/>
        <v>0</v>
      </c>
      <c r="BI222" s="78"/>
      <c r="BJ222" s="91">
        <f t="shared" si="143"/>
        <v>0</v>
      </c>
      <c r="BK222" s="91">
        <f t="shared" si="144"/>
        <v>0</v>
      </c>
      <c r="BL222" s="78"/>
      <c r="BM222" s="78">
        <f t="shared" si="145"/>
        <v>0</v>
      </c>
      <c r="BN222" s="78">
        <f t="shared" si="146"/>
        <v>0</v>
      </c>
      <c r="BO222" s="78">
        <f t="shared" si="147"/>
        <v>0</v>
      </c>
      <c r="BP222" s="78">
        <f t="shared" si="148"/>
        <v>0</v>
      </c>
      <c r="BQ222" s="78">
        <f t="shared" si="149"/>
        <v>0</v>
      </c>
      <c r="BR222" s="78">
        <f t="shared" si="150"/>
        <v>0</v>
      </c>
      <c r="BS222" s="78">
        <f t="shared" si="151"/>
        <v>0</v>
      </c>
      <c r="BT222" s="78">
        <f t="shared" si="152"/>
        <v>0</v>
      </c>
      <c r="BU222" s="91">
        <f t="shared" si="153"/>
        <v>0</v>
      </c>
      <c r="BV222" s="91">
        <f t="shared" si="154"/>
        <v>0</v>
      </c>
      <c r="BW222" s="78"/>
      <c r="BX222" s="78"/>
      <c r="BY222" s="78">
        <f t="shared" si="155"/>
        <v>0</v>
      </c>
      <c r="BZ222" s="78">
        <f t="shared" si="156"/>
        <v>0</v>
      </c>
      <c r="CA222" s="78">
        <f t="shared" si="157"/>
        <v>0</v>
      </c>
      <c r="CB222" s="78">
        <f t="shared" si="158"/>
        <v>0</v>
      </c>
      <c r="CC222" s="78">
        <f t="shared" si="159"/>
        <v>0</v>
      </c>
      <c r="CD222" s="78">
        <f t="shared" si="160"/>
        <v>0</v>
      </c>
      <c r="CE222" s="78">
        <f t="shared" si="161"/>
        <v>0</v>
      </c>
      <c r="CF222" s="78">
        <f t="shared" si="162"/>
        <v>0</v>
      </c>
      <c r="CG222" s="78"/>
      <c r="CH222" s="92">
        <f t="shared" si="163"/>
        <v>0</v>
      </c>
      <c r="CI222" s="93">
        <f t="shared" si="164"/>
        <v>0</v>
      </c>
      <c r="CJ222" s="94">
        <f t="shared" si="165"/>
        <v>0</v>
      </c>
      <c r="CL222" s="78">
        <f t="shared" si="166"/>
        <v>0</v>
      </c>
      <c r="CM222" s="78">
        <f t="shared" si="167"/>
        <v>0</v>
      </c>
      <c r="CN222" s="78">
        <f t="shared" si="168"/>
        <v>0</v>
      </c>
      <c r="CO222" s="78">
        <f t="shared" si="169"/>
        <v>0</v>
      </c>
    </row>
    <row r="223" spans="1:93" ht="13.5" thickBot="1">
      <c r="A223" s="95"/>
      <c r="B223" s="96"/>
      <c r="C223" s="97"/>
      <c r="D223" s="98"/>
      <c r="E223" s="99"/>
      <c r="F223" s="100"/>
      <c r="G223" s="100"/>
      <c r="H223" s="100"/>
      <c r="I223" s="100"/>
      <c r="J223" s="100"/>
      <c r="K223" s="101" t="str">
        <f t="shared" si="170"/>
        <v/>
      </c>
      <c r="L223" s="102"/>
      <c r="M223" s="103"/>
      <c r="N223" s="104"/>
      <c r="O223" s="105"/>
      <c r="P223" s="106">
        <f t="shared" si="171"/>
        <v>0</v>
      </c>
      <c r="Q223" s="106">
        <f t="shared" si="172"/>
        <v>0</v>
      </c>
      <c r="R223" s="106">
        <f t="shared" si="173"/>
        <v>0</v>
      </c>
      <c r="S223" s="106">
        <f t="shared" si="174"/>
        <v>0</v>
      </c>
      <c r="T223" s="107">
        <f t="shared" si="175"/>
        <v>0</v>
      </c>
      <c r="U223" s="78"/>
      <c r="AG223" s="108"/>
      <c r="AI223" s="78">
        <f t="shared" si="119"/>
        <v>0</v>
      </c>
      <c r="AJ223" s="78">
        <f t="shared" si="120"/>
        <v>0</v>
      </c>
      <c r="AK223" s="78">
        <f t="shared" si="121"/>
        <v>0</v>
      </c>
      <c r="AL223" s="78">
        <f t="shared" si="122"/>
        <v>0</v>
      </c>
      <c r="AM223" s="78">
        <f t="shared" si="123"/>
        <v>0</v>
      </c>
      <c r="AN223" s="78">
        <f t="shared" si="124"/>
        <v>0</v>
      </c>
      <c r="AO223" s="78">
        <f t="shared" si="125"/>
        <v>0</v>
      </c>
      <c r="AP223" s="78">
        <f t="shared" si="126"/>
        <v>0</v>
      </c>
      <c r="AQ223" s="78">
        <f t="shared" si="127"/>
        <v>0</v>
      </c>
      <c r="AR223" s="78">
        <f t="shared" si="128"/>
        <v>0</v>
      </c>
      <c r="AS223" s="90">
        <f t="shared" si="129"/>
        <v>0</v>
      </c>
      <c r="AT223" s="91">
        <f t="shared" si="130"/>
        <v>0</v>
      </c>
      <c r="AV223" s="91">
        <f t="shared" si="131"/>
        <v>0</v>
      </c>
      <c r="AW223" s="78">
        <f t="shared" si="132"/>
        <v>0</v>
      </c>
      <c r="AX223" s="78">
        <f t="shared" si="133"/>
        <v>0</v>
      </c>
      <c r="AY223" s="78"/>
      <c r="AZ223" s="78">
        <f t="shared" si="134"/>
        <v>0</v>
      </c>
      <c r="BA223" s="78">
        <f t="shared" si="135"/>
        <v>0</v>
      </c>
      <c r="BB223" s="78">
        <f t="shared" si="136"/>
        <v>0</v>
      </c>
      <c r="BC223" s="78">
        <f t="shared" si="137"/>
        <v>0</v>
      </c>
      <c r="BD223" s="78">
        <f t="shared" si="138"/>
        <v>0</v>
      </c>
      <c r="BE223" s="78">
        <f t="shared" si="139"/>
        <v>0</v>
      </c>
      <c r="BF223" s="78">
        <f t="shared" si="140"/>
        <v>0</v>
      </c>
      <c r="BG223" s="78">
        <f t="shared" si="141"/>
        <v>0</v>
      </c>
      <c r="BH223" s="78">
        <f t="shared" si="142"/>
        <v>0</v>
      </c>
      <c r="BI223" s="78"/>
      <c r="BJ223" s="91">
        <f t="shared" si="143"/>
        <v>0</v>
      </c>
      <c r="BK223" s="91">
        <f t="shared" si="144"/>
        <v>0</v>
      </c>
      <c r="BL223" s="78"/>
      <c r="BM223" s="78">
        <f t="shared" si="145"/>
        <v>0</v>
      </c>
      <c r="BN223" s="78">
        <f t="shared" si="146"/>
        <v>0</v>
      </c>
      <c r="BO223" s="78">
        <f t="shared" si="147"/>
        <v>0</v>
      </c>
      <c r="BP223" s="78">
        <f t="shared" si="148"/>
        <v>0</v>
      </c>
      <c r="BQ223" s="78">
        <f t="shared" si="149"/>
        <v>0</v>
      </c>
      <c r="BR223" s="78">
        <f t="shared" si="150"/>
        <v>0</v>
      </c>
      <c r="BS223" s="78">
        <f t="shared" si="151"/>
        <v>0</v>
      </c>
      <c r="BT223" s="78">
        <f t="shared" si="152"/>
        <v>0</v>
      </c>
      <c r="BU223" s="91">
        <f t="shared" si="153"/>
        <v>0</v>
      </c>
      <c r="BV223" s="91">
        <f t="shared" si="154"/>
        <v>0</v>
      </c>
      <c r="BW223" s="78"/>
      <c r="BX223" s="78"/>
      <c r="BY223" s="78">
        <f t="shared" si="155"/>
        <v>0</v>
      </c>
      <c r="BZ223" s="78">
        <f t="shared" si="156"/>
        <v>0</v>
      </c>
      <c r="CA223" s="78">
        <f t="shared" si="157"/>
        <v>0</v>
      </c>
      <c r="CB223" s="78">
        <f t="shared" si="158"/>
        <v>0</v>
      </c>
      <c r="CC223" s="78">
        <f t="shared" si="159"/>
        <v>0</v>
      </c>
      <c r="CD223" s="78">
        <f t="shared" si="160"/>
        <v>0</v>
      </c>
      <c r="CE223" s="78">
        <f t="shared" si="161"/>
        <v>0</v>
      </c>
      <c r="CF223" s="78">
        <f t="shared" si="162"/>
        <v>0</v>
      </c>
      <c r="CG223" s="78"/>
      <c r="CH223" s="92">
        <f t="shared" si="163"/>
        <v>0</v>
      </c>
      <c r="CI223" s="93">
        <f t="shared" si="164"/>
        <v>0</v>
      </c>
      <c r="CJ223" s="94">
        <f t="shared" si="165"/>
        <v>0</v>
      </c>
      <c r="CL223" s="78">
        <f t="shared" si="166"/>
        <v>0</v>
      </c>
      <c r="CM223" s="78">
        <f t="shared" si="167"/>
        <v>0</v>
      </c>
      <c r="CN223" s="78">
        <f t="shared" si="168"/>
        <v>0</v>
      </c>
      <c r="CO223" s="78">
        <f t="shared" si="169"/>
        <v>0</v>
      </c>
    </row>
    <row r="224" spans="1:93" ht="13.5" thickBot="1">
      <c r="A224" s="95"/>
      <c r="B224" s="96"/>
      <c r="C224" s="97"/>
      <c r="D224" s="98"/>
      <c r="E224" s="99"/>
      <c r="F224" s="100"/>
      <c r="G224" s="100"/>
      <c r="H224" s="100"/>
      <c r="I224" s="100"/>
      <c r="J224" s="100"/>
      <c r="K224" s="101" t="str">
        <f t="shared" si="170"/>
        <v/>
      </c>
      <c r="L224" s="102"/>
      <c r="M224" s="103"/>
      <c r="N224" s="104"/>
      <c r="O224" s="105"/>
      <c r="P224" s="106">
        <f t="shared" si="171"/>
        <v>0</v>
      </c>
      <c r="Q224" s="106">
        <f t="shared" si="172"/>
        <v>0</v>
      </c>
      <c r="R224" s="106">
        <f t="shared" si="173"/>
        <v>0</v>
      </c>
      <c r="S224" s="106">
        <f t="shared" si="174"/>
        <v>0</v>
      </c>
      <c r="T224" s="107">
        <f t="shared" si="175"/>
        <v>0</v>
      </c>
      <c r="U224" s="78"/>
      <c r="AG224" s="108"/>
      <c r="AI224" s="78">
        <f t="shared" si="119"/>
        <v>0</v>
      </c>
      <c r="AJ224" s="78">
        <f t="shared" si="120"/>
        <v>0</v>
      </c>
      <c r="AK224" s="78">
        <f t="shared" si="121"/>
        <v>0</v>
      </c>
      <c r="AL224" s="78">
        <f t="shared" si="122"/>
        <v>0</v>
      </c>
      <c r="AM224" s="78">
        <f t="shared" si="123"/>
        <v>0</v>
      </c>
      <c r="AN224" s="78">
        <f t="shared" si="124"/>
        <v>0</v>
      </c>
      <c r="AO224" s="78">
        <f t="shared" si="125"/>
        <v>0</v>
      </c>
      <c r="AP224" s="78">
        <f t="shared" si="126"/>
        <v>0</v>
      </c>
      <c r="AQ224" s="78">
        <f t="shared" si="127"/>
        <v>0</v>
      </c>
      <c r="AR224" s="78">
        <f t="shared" si="128"/>
        <v>0</v>
      </c>
      <c r="AS224" s="90">
        <f t="shared" si="129"/>
        <v>0</v>
      </c>
      <c r="AT224" s="91">
        <f t="shared" si="130"/>
        <v>0</v>
      </c>
      <c r="AV224" s="91">
        <f t="shared" si="131"/>
        <v>0</v>
      </c>
      <c r="AW224" s="78">
        <f t="shared" si="132"/>
        <v>0</v>
      </c>
      <c r="AX224" s="78">
        <f t="shared" si="133"/>
        <v>0</v>
      </c>
      <c r="AY224" s="78"/>
      <c r="AZ224" s="78">
        <f t="shared" si="134"/>
        <v>0</v>
      </c>
      <c r="BA224" s="78">
        <f t="shared" si="135"/>
        <v>0</v>
      </c>
      <c r="BB224" s="78">
        <f t="shared" si="136"/>
        <v>0</v>
      </c>
      <c r="BC224" s="78">
        <f t="shared" si="137"/>
        <v>0</v>
      </c>
      <c r="BD224" s="78">
        <f t="shared" si="138"/>
        <v>0</v>
      </c>
      <c r="BE224" s="78">
        <f t="shared" si="139"/>
        <v>0</v>
      </c>
      <c r="BF224" s="78">
        <f t="shared" si="140"/>
        <v>0</v>
      </c>
      <c r="BG224" s="78">
        <f t="shared" si="141"/>
        <v>0</v>
      </c>
      <c r="BH224" s="78">
        <f t="shared" si="142"/>
        <v>0</v>
      </c>
      <c r="BI224" s="78"/>
      <c r="BJ224" s="91">
        <f t="shared" si="143"/>
        <v>0</v>
      </c>
      <c r="BK224" s="91">
        <f t="shared" si="144"/>
        <v>0</v>
      </c>
      <c r="BL224" s="78"/>
      <c r="BM224" s="78">
        <f t="shared" si="145"/>
        <v>0</v>
      </c>
      <c r="BN224" s="78">
        <f t="shared" si="146"/>
        <v>0</v>
      </c>
      <c r="BO224" s="78">
        <f t="shared" si="147"/>
        <v>0</v>
      </c>
      <c r="BP224" s="78">
        <f t="shared" si="148"/>
        <v>0</v>
      </c>
      <c r="BQ224" s="78">
        <f t="shared" si="149"/>
        <v>0</v>
      </c>
      <c r="BR224" s="78">
        <f t="shared" si="150"/>
        <v>0</v>
      </c>
      <c r="BS224" s="78">
        <f t="shared" si="151"/>
        <v>0</v>
      </c>
      <c r="BT224" s="78">
        <f t="shared" si="152"/>
        <v>0</v>
      </c>
      <c r="BU224" s="91">
        <f t="shared" si="153"/>
        <v>0</v>
      </c>
      <c r="BV224" s="91">
        <f t="shared" si="154"/>
        <v>0</v>
      </c>
      <c r="BW224" s="78"/>
      <c r="BX224" s="78"/>
      <c r="BY224" s="78">
        <f t="shared" si="155"/>
        <v>0</v>
      </c>
      <c r="BZ224" s="78">
        <f t="shared" si="156"/>
        <v>0</v>
      </c>
      <c r="CA224" s="78">
        <f t="shared" si="157"/>
        <v>0</v>
      </c>
      <c r="CB224" s="78">
        <f t="shared" si="158"/>
        <v>0</v>
      </c>
      <c r="CC224" s="78">
        <f t="shared" si="159"/>
        <v>0</v>
      </c>
      <c r="CD224" s="78">
        <f t="shared" si="160"/>
        <v>0</v>
      </c>
      <c r="CE224" s="78">
        <f t="shared" si="161"/>
        <v>0</v>
      </c>
      <c r="CF224" s="78">
        <f t="shared" si="162"/>
        <v>0</v>
      </c>
      <c r="CG224" s="78"/>
      <c r="CH224" s="92">
        <f t="shared" si="163"/>
        <v>0</v>
      </c>
      <c r="CI224" s="93">
        <f t="shared" si="164"/>
        <v>0</v>
      </c>
      <c r="CJ224" s="94">
        <f t="shared" si="165"/>
        <v>0</v>
      </c>
      <c r="CL224" s="78">
        <f t="shared" si="166"/>
        <v>0</v>
      </c>
      <c r="CM224" s="78">
        <f t="shared" si="167"/>
        <v>0</v>
      </c>
      <c r="CN224" s="78">
        <f t="shared" si="168"/>
        <v>0</v>
      </c>
      <c r="CO224" s="78">
        <f t="shared" si="169"/>
        <v>0</v>
      </c>
    </row>
    <row r="225" spans="1:93" ht="13.5" thickBot="1">
      <c r="A225" s="95"/>
      <c r="B225" s="96"/>
      <c r="C225" s="97"/>
      <c r="D225" s="98"/>
      <c r="E225" s="99"/>
      <c r="F225" s="100"/>
      <c r="G225" s="100"/>
      <c r="H225" s="100"/>
      <c r="I225" s="100"/>
      <c r="J225" s="100"/>
      <c r="K225" s="101" t="str">
        <f t="shared" si="170"/>
        <v/>
      </c>
      <c r="L225" s="102"/>
      <c r="M225" s="103"/>
      <c r="N225" s="104"/>
      <c r="O225" s="105"/>
      <c r="P225" s="106">
        <f t="shared" si="171"/>
        <v>0</v>
      </c>
      <c r="Q225" s="106">
        <f t="shared" si="172"/>
        <v>0</v>
      </c>
      <c r="R225" s="106">
        <f t="shared" si="173"/>
        <v>0</v>
      </c>
      <c r="S225" s="106">
        <f t="shared" si="174"/>
        <v>0</v>
      </c>
      <c r="T225" s="107">
        <f t="shared" si="175"/>
        <v>0</v>
      </c>
      <c r="U225" s="78"/>
      <c r="AG225" s="108"/>
      <c r="AI225" s="78">
        <f t="shared" si="119"/>
        <v>0</v>
      </c>
      <c r="AJ225" s="78">
        <f t="shared" si="120"/>
        <v>0</v>
      </c>
      <c r="AK225" s="78">
        <f t="shared" si="121"/>
        <v>0</v>
      </c>
      <c r="AL225" s="78">
        <f t="shared" si="122"/>
        <v>0</v>
      </c>
      <c r="AM225" s="78">
        <f t="shared" si="123"/>
        <v>0</v>
      </c>
      <c r="AN225" s="78">
        <f t="shared" si="124"/>
        <v>0</v>
      </c>
      <c r="AO225" s="78">
        <f t="shared" si="125"/>
        <v>0</v>
      </c>
      <c r="AP225" s="78">
        <f t="shared" si="126"/>
        <v>0</v>
      </c>
      <c r="AQ225" s="78">
        <f t="shared" si="127"/>
        <v>0</v>
      </c>
      <c r="AR225" s="78">
        <f t="shared" si="128"/>
        <v>0</v>
      </c>
      <c r="AS225" s="90">
        <f t="shared" si="129"/>
        <v>0</v>
      </c>
      <c r="AT225" s="91">
        <f t="shared" si="130"/>
        <v>0</v>
      </c>
      <c r="AV225" s="91">
        <f t="shared" si="131"/>
        <v>0</v>
      </c>
      <c r="AW225" s="78">
        <f t="shared" si="132"/>
        <v>0</v>
      </c>
      <c r="AX225" s="78">
        <f t="shared" si="133"/>
        <v>0</v>
      </c>
      <c r="AY225" s="78"/>
      <c r="AZ225" s="78">
        <f t="shared" si="134"/>
        <v>0</v>
      </c>
      <c r="BA225" s="78">
        <f t="shared" si="135"/>
        <v>0</v>
      </c>
      <c r="BB225" s="78">
        <f t="shared" si="136"/>
        <v>0</v>
      </c>
      <c r="BC225" s="78">
        <f t="shared" si="137"/>
        <v>0</v>
      </c>
      <c r="BD225" s="78">
        <f t="shared" si="138"/>
        <v>0</v>
      </c>
      <c r="BE225" s="78">
        <f t="shared" si="139"/>
        <v>0</v>
      </c>
      <c r="BF225" s="78">
        <f t="shared" si="140"/>
        <v>0</v>
      </c>
      <c r="BG225" s="78">
        <f t="shared" si="141"/>
        <v>0</v>
      </c>
      <c r="BH225" s="78">
        <f t="shared" si="142"/>
        <v>0</v>
      </c>
      <c r="BI225" s="78"/>
      <c r="BJ225" s="91">
        <f t="shared" si="143"/>
        <v>0</v>
      </c>
      <c r="BK225" s="91">
        <f t="shared" si="144"/>
        <v>0</v>
      </c>
      <c r="BL225" s="78"/>
      <c r="BM225" s="78">
        <f t="shared" si="145"/>
        <v>0</v>
      </c>
      <c r="BN225" s="78">
        <f t="shared" si="146"/>
        <v>0</v>
      </c>
      <c r="BO225" s="78">
        <f t="shared" si="147"/>
        <v>0</v>
      </c>
      <c r="BP225" s="78">
        <f t="shared" si="148"/>
        <v>0</v>
      </c>
      <c r="BQ225" s="78">
        <f t="shared" si="149"/>
        <v>0</v>
      </c>
      <c r="BR225" s="78">
        <f t="shared" si="150"/>
        <v>0</v>
      </c>
      <c r="BS225" s="78">
        <f t="shared" si="151"/>
        <v>0</v>
      </c>
      <c r="BT225" s="78">
        <f t="shared" si="152"/>
        <v>0</v>
      </c>
      <c r="BU225" s="91">
        <f t="shared" si="153"/>
        <v>0</v>
      </c>
      <c r="BV225" s="91">
        <f t="shared" si="154"/>
        <v>0</v>
      </c>
      <c r="BW225" s="78"/>
      <c r="BX225" s="78"/>
      <c r="BY225" s="78">
        <f t="shared" si="155"/>
        <v>0</v>
      </c>
      <c r="BZ225" s="78">
        <f t="shared" si="156"/>
        <v>0</v>
      </c>
      <c r="CA225" s="78">
        <f t="shared" si="157"/>
        <v>0</v>
      </c>
      <c r="CB225" s="78">
        <f t="shared" si="158"/>
        <v>0</v>
      </c>
      <c r="CC225" s="78">
        <f t="shared" si="159"/>
        <v>0</v>
      </c>
      <c r="CD225" s="78">
        <f t="shared" si="160"/>
        <v>0</v>
      </c>
      <c r="CE225" s="78">
        <f t="shared" si="161"/>
        <v>0</v>
      </c>
      <c r="CF225" s="78">
        <f t="shared" si="162"/>
        <v>0</v>
      </c>
      <c r="CG225" s="78"/>
      <c r="CH225" s="92">
        <f t="shared" si="163"/>
        <v>0</v>
      </c>
      <c r="CI225" s="93">
        <f t="shared" si="164"/>
        <v>0</v>
      </c>
      <c r="CJ225" s="94">
        <f t="shared" si="165"/>
        <v>0</v>
      </c>
      <c r="CL225" s="78">
        <f t="shared" si="166"/>
        <v>0</v>
      </c>
      <c r="CM225" s="78">
        <f t="shared" si="167"/>
        <v>0</v>
      </c>
      <c r="CN225" s="78">
        <f t="shared" si="168"/>
        <v>0</v>
      </c>
      <c r="CO225" s="78">
        <f t="shared" si="169"/>
        <v>0</v>
      </c>
    </row>
    <row r="226" spans="1:93" ht="13.5" thickBot="1">
      <c r="A226" s="95"/>
      <c r="B226" s="96"/>
      <c r="C226" s="97"/>
      <c r="D226" s="98"/>
      <c r="E226" s="99"/>
      <c r="F226" s="100"/>
      <c r="G226" s="100"/>
      <c r="H226" s="100"/>
      <c r="I226" s="100"/>
      <c r="J226" s="100"/>
      <c r="K226" s="101" t="str">
        <f t="shared" si="170"/>
        <v/>
      </c>
      <c r="L226" s="102"/>
      <c r="M226" s="103"/>
      <c r="N226" s="104"/>
      <c r="O226" s="105"/>
      <c r="P226" s="106">
        <f t="shared" si="171"/>
        <v>0</v>
      </c>
      <c r="Q226" s="106">
        <f t="shared" si="172"/>
        <v>0</v>
      </c>
      <c r="R226" s="106">
        <f t="shared" si="173"/>
        <v>0</v>
      </c>
      <c r="S226" s="106">
        <f t="shared" si="174"/>
        <v>0</v>
      </c>
      <c r="T226" s="107">
        <f t="shared" si="175"/>
        <v>0</v>
      </c>
      <c r="U226" s="78"/>
      <c r="AG226" s="108"/>
      <c r="AI226" s="78">
        <f t="shared" si="119"/>
        <v>0</v>
      </c>
      <c r="AJ226" s="78">
        <f t="shared" si="120"/>
        <v>0</v>
      </c>
      <c r="AK226" s="78">
        <f t="shared" si="121"/>
        <v>0</v>
      </c>
      <c r="AL226" s="78">
        <f t="shared" si="122"/>
        <v>0</v>
      </c>
      <c r="AM226" s="78">
        <f t="shared" si="123"/>
        <v>0</v>
      </c>
      <c r="AN226" s="78">
        <f t="shared" si="124"/>
        <v>0</v>
      </c>
      <c r="AO226" s="78">
        <f t="shared" si="125"/>
        <v>0</v>
      </c>
      <c r="AP226" s="78">
        <f t="shared" si="126"/>
        <v>0</v>
      </c>
      <c r="AQ226" s="78">
        <f t="shared" si="127"/>
        <v>0</v>
      </c>
      <c r="AR226" s="78">
        <f t="shared" si="128"/>
        <v>0</v>
      </c>
      <c r="AS226" s="90">
        <f t="shared" si="129"/>
        <v>0</v>
      </c>
      <c r="AT226" s="91">
        <f t="shared" si="130"/>
        <v>0</v>
      </c>
      <c r="AV226" s="91">
        <f t="shared" si="131"/>
        <v>0</v>
      </c>
      <c r="AW226" s="78">
        <f t="shared" si="132"/>
        <v>0</v>
      </c>
      <c r="AX226" s="78">
        <f t="shared" si="133"/>
        <v>0</v>
      </c>
      <c r="AY226" s="78"/>
      <c r="AZ226" s="78">
        <f t="shared" si="134"/>
        <v>0</v>
      </c>
      <c r="BA226" s="78">
        <f t="shared" si="135"/>
        <v>0</v>
      </c>
      <c r="BB226" s="78">
        <f t="shared" si="136"/>
        <v>0</v>
      </c>
      <c r="BC226" s="78">
        <f t="shared" si="137"/>
        <v>0</v>
      </c>
      <c r="BD226" s="78">
        <f t="shared" si="138"/>
        <v>0</v>
      </c>
      <c r="BE226" s="78">
        <f t="shared" si="139"/>
        <v>0</v>
      </c>
      <c r="BF226" s="78">
        <f t="shared" si="140"/>
        <v>0</v>
      </c>
      <c r="BG226" s="78">
        <f t="shared" si="141"/>
        <v>0</v>
      </c>
      <c r="BH226" s="78">
        <f t="shared" si="142"/>
        <v>0</v>
      </c>
      <c r="BI226" s="78"/>
      <c r="BJ226" s="91">
        <f t="shared" si="143"/>
        <v>0</v>
      </c>
      <c r="BK226" s="91">
        <f t="shared" si="144"/>
        <v>0</v>
      </c>
      <c r="BL226" s="78"/>
      <c r="BM226" s="78">
        <f t="shared" si="145"/>
        <v>0</v>
      </c>
      <c r="BN226" s="78">
        <f t="shared" si="146"/>
        <v>0</v>
      </c>
      <c r="BO226" s="78">
        <f t="shared" si="147"/>
        <v>0</v>
      </c>
      <c r="BP226" s="78">
        <f t="shared" si="148"/>
        <v>0</v>
      </c>
      <c r="BQ226" s="78">
        <f t="shared" si="149"/>
        <v>0</v>
      </c>
      <c r="BR226" s="78">
        <f t="shared" si="150"/>
        <v>0</v>
      </c>
      <c r="BS226" s="78">
        <f t="shared" si="151"/>
        <v>0</v>
      </c>
      <c r="BT226" s="78">
        <f t="shared" si="152"/>
        <v>0</v>
      </c>
      <c r="BU226" s="91">
        <f t="shared" si="153"/>
        <v>0</v>
      </c>
      <c r="BV226" s="91">
        <f t="shared" si="154"/>
        <v>0</v>
      </c>
      <c r="BW226" s="78"/>
      <c r="BX226" s="78"/>
      <c r="BY226" s="78">
        <f t="shared" si="155"/>
        <v>0</v>
      </c>
      <c r="BZ226" s="78">
        <f t="shared" si="156"/>
        <v>0</v>
      </c>
      <c r="CA226" s="78">
        <f t="shared" si="157"/>
        <v>0</v>
      </c>
      <c r="CB226" s="78">
        <f t="shared" si="158"/>
        <v>0</v>
      </c>
      <c r="CC226" s="78">
        <f t="shared" si="159"/>
        <v>0</v>
      </c>
      <c r="CD226" s="78">
        <f t="shared" si="160"/>
        <v>0</v>
      </c>
      <c r="CE226" s="78">
        <f t="shared" si="161"/>
        <v>0</v>
      </c>
      <c r="CF226" s="78">
        <f t="shared" si="162"/>
        <v>0</v>
      </c>
      <c r="CG226" s="78"/>
      <c r="CH226" s="92">
        <f t="shared" si="163"/>
        <v>0</v>
      </c>
      <c r="CI226" s="93">
        <f t="shared" si="164"/>
        <v>0</v>
      </c>
      <c r="CJ226" s="94">
        <f t="shared" si="165"/>
        <v>0</v>
      </c>
      <c r="CL226" s="78">
        <f t="shared" si="166"/>
        <v>0</v>
      </c>
      <c r="CM226" s="78">
        <f t="shared" si="167"/>
        <v>0</v>
      </c>
      <c r="CN226" s="78">
        <f t="shared" si="168"/>
        <v>0</v>
      </c>
      <c r="CO226" s="78">
        <f t="shared" si="169"/>
        <v>0</v>
      </c>
    </row>
    <row r="227" spans="1:93" ht="13.5" thickBot="1">
      <c r="A227" s="95"/>
      <c r="B227" s="96"/>
      <c r="C227" s="97"/>
      <c r="D227" s="98"/>
      <c r="E227" s="99"/>
      <c r="F227" s="100"/>
      <c r="G227" s="100"/>
      <c r="H227" s="100"/>
      <c r="I227" s="100"/>
      <c r="J227" s="100"/>
      <c r="K227" s="101" t="str">
        <f t="shared" si="170"/>
        <v/>
      </c>
      <c r="L227" s="102"/>
      <c r="M227" s="103"/>
      <c r="N227" s="104"/>
      <c r="O227" s="105"/>
      <c r="P227" s="106">
        <f t="shared" si="171"/>
        <v>0</v>
      </c>
      <c r="Q227" s="106">
        <f t="shared" si="172"/>
        <v>0</v>
      </c>
      <c r="R227" s="106">
        <f t="shared" si="173"/>
        <v>0</v>
      </c>
      <c r="S227" s="106">
        <f t="shared" si="174"/>
        <v>0</v>
      </c>
      <c r="T227" s="107">
        <f t="shared" si="175"/>
        <v>0</v>
      </c>
      <c r="U227" s="78"/>
      <c r="AG227" s="108"/>
      <c r="AI227" s="78">
        <f t="shared" si="119"/>
        <v>0</v>
      </c>
      <c r="AJ227" s="78">
        <f t="shared" si="120"/>
        <v>0</v>
      </c>
      <c r="AK227" s="78">
        <f t="shared" si="121"/>
        <v>0</v>
      </c>
      <c r="AL227" s="78">
        <f t="shared" si="122"/>
        <v>0</v>
      </c>
      <c r="AM227" s="78">
        <f t="shared" si="123"/>
        <v>0</v>
      </c>
      <c r="AN227" s="78">
        <f t="shared" si="124"/>
        <v>0</v>
      </c>
      <c r="AO227" s="78">
        <f t="shared" si="125"/>
        <v>0</v>
      </c>
      <c r="AP227" s="78">
        <f t="shared" si="126"/>
        <v>0</v>
      </c>
      <c r="AQ227" s="78">
        <f t="shared" si="127"/>
        <v>0</v>
      </c>
      <c r="AR227" s="78">
        <f t="shared" si="128"/>
        <v>0</v>
      </c>
      <c r="AS227" s="90">
        <f t="shared" si="129"/>
        <v>0</v>
      </c>
      <c r="AT227" s="91">
        <f t="shared" si="130"/>
        <v>0</v>
      </c>
      <c r="AV227" s="91">
        <f t="shared" si="131"/>
        <v>0</v>
      </c>
      <c r="AW227" s="78">
        <f t="shared" si="132"/>
        <v>0</v>
      </c>
      <c r="AX227" s="78">
        <f t="shared" si="133"/>
        <v>0</v>
      </c>
      <c r="AY227" s="78"/>
      <c r="AZ227" s="78">
        <f t="shared" si="134"/>
        <v>0</v>
      </c>
      <c r="BA227" s="78">
        <f t="shared" si="135"/>
        <v>0</v>
      </c>
      <c r="BB227" s="78">
        <f t="shared" si="136"/>
        <v>0</v>
      </c>
      <c r="BC227" s="78">
        <f t="shared" si="137"/>
        <v>0</v>
      </c>
      <c r="BD227" s="78">
        <f t="shared" si="138"/>
        <v>0</v>
      </c>
      <c r="BE227" s="78">
        <f t="shared" si="139"/>
        <v>0</v>
      </c>
      <c r="BF227" s="78">
        <f t="shared" si="140"/>
        <v>0</v>
      </c>
      <c r="BG227" s="78">
        <f t="shared" si="141"/>
        <v>0</v>
      </c>
      <c r="BH227" s="78">
        <f t="shared" si="142"/>
        <v>0</v>
      </c>
      <c r="BI227" s="78"/>
      <c r="BJ227" s="91">
        <f t="shared" si="143"/>
        <v>0</v>
      </c>
      <c r="BK227" s="91">
        <f t="shared" si="144"/>
        <v>0</v>
      </c>
      <c r="BL227" s="78"/>
      <c r="BM227" s="78">
        <f t="shared" si="145"/>
        <v>0</v>
      </c>
      <c r="BN227" s="78">
        <f t="shared" si="146"/>
        <v>0</v>
      </c>
      <c r="BO227" s="78">
        <f t="shared" si="147"/>
        <v>0</v>
      </c>
      <c r="BP227" s="78">
        <f t="shared" si="148"/>
        <v>0</v>
      </c>
      <c r="BQ227" s="78">
        <f t="shared" si="149"/>
        <v>0</v>
      </c>
      <c r="BR227" s="78">
        <f t="shared" si="150"/>
        <v>0</v>
      </c>
      <c r="BS227" s="78">
        <f t="shared" si="151"/>
        <v>0</v>
      </c>
      <c r="BT227" s="78">
        <f t="shared" si="152"/>
        <v>0</v>
      </c>
      <c r="BU227" s="91">
        <f t="shared" si="153"/>
        <v>0</v>
      </c>
      <c r="BV227" s="91">
        <f t="shared" si="154"/>
        <v>0</v>
      </c>
      <c r="BW227" s="78"/>
      <c r="BX227" s="78"/>
      <c r="BY227" s="78">
        <f t="shared" si="155"/>
        <v>0</v>
      </c>
      <c r="BZ227" s="78">
        <f t="shared" si="156"/>
        <v>0</v>
      </c>
      <c r="CA227" s="78">
        <f t="shared" si="157"/>
        <v>0</v>
      </c>
      <c r="CB227" s="78">
        <f t="shared" si="158"/>
        <v>0</v>
      </c>
      <c r="CC227" s="78">
        <f t="shared" si="159"/>
        <v>0</v>
      </c>
      <c r="CD227" s="78">
        <f t="shared" si="160"/>
        <v>0</v>
      </c>
      <c r="CE227" s="78">
        <f t="shared" si="161"/>
        <v>0</v>
      </c>
      <c r="CF227" s="78">
        <f t="shared" si="162"/>
        <v>0</v>
      </c>
      <c r="CG227" s="78"/>
      <c r="CH227" s="92">
        <f t="shared" si="163"/>
        <v>0</v>
      </c>
      <c r="CI227" s="93">
        <f t="shared" si="164"/>
        <v>0</v>
      </c>
      <c r="CJ227" s="94">
        <f t="shared" si="165"/>
        <v>0</v>
      </c>
      <c r="CL227" s="78">
        <f t="shared" si="166"/>
        <v>0</v>
      </c>
      <c r="CM227" s="78">
        <f t="shared" si="167"/>
        <v>0</v>
      </c>
      <c r="CN227" s="78">
        <f t="shared" si="168"/>
        <v>0</v>
      </c>
      <c r="CO227" s="78">
        <f t="shared" si="169"/>
        <v>0</v>
      </c>
    </row>
    <row r="228" spans="1:93" ht="13.5" thickBot="1">
      <c r="A228" s="95"/>
      <c r="B228" s="96"/>
      <c r="C228" s="97"/>
      <c r="D228" s="98"/>
      <c r="E228" s="99"/>
      <c r="F228" s="100"/>
      <c r="G228" s="100"/>
      <c r="H228" s="100"/>
      <c r="I228" s="100"/>
      <c r="J228" s="100"/>
      <c r="K228" s="101" t="str">
        <f t="shared" si="170"/>
        <v/>
      </c>
      <c r="L228" s="102"/>
      <c r="M228" s="103"/>
      <c r="N228" s="104"/>
      <c r="O228" s="105"/>
      <c r="P228" s="106">
        <f t="shared" si="171"/>
        <v>0</v>
      </c>
      <c r="Q228" s="106">
        <f t="shared" si="172"/>
        <v>0</v>
      </c>
      <c r="R228" s="106">
        <f t="shared" si="173"/>
        <v>0</v>
      </c>
      <c r="S228" s="106">
        <f t="shared" si="174"/>
        <v>0</v>
      </c>
      <c r="T228" s="107">
        <f t="shared" si="175"/>
        <v>0</v>
      </c>
      <c r="U228" s="78"/>
      <c r="AG228" s="108"/>
      <c r="AI228" s="78">
        <f t="shared" si="119"/>
        <v>0</v>
      </c>
      <c r="AJ228" s="78">
        <f t="shared" si="120"/>
        <v>0</v>
      </c>
      <c r="AK228" s="78">
        <f t="shared" si="121"/>
        <v>0</v>
      </c>
      <c r="AL228" s="78">
        <f t="shared" si="122"/>
        <v>0</v>
      </c>
      <c r="AM228" s="78">
        <f t="shared" si="123"/>
        <v>0</v>
      </c>
      <c r="AN228" s="78">
        <f t="shared" si="124"/>
        <v>0</v>
      </c>
      <c r="AO228" s="78">
        <f t="shared" si="125"/>
        <v>0</v>
      </c>
      <c r="AP228" s="78">
        <f t="shared" si="126"/>
        <v>0</v>
      </c>
      <c r="AQ228" s="78">
        <f t="shared" si="127"/>
        <v>0</v>
      </c>
      <c r="AR228" s="78">
        <f t="shared" si="128"/>
        <v>0</v>
      </c>
      <c r="AS228" s="90">
        <f t="shared" si="129"/>
        <v>0</v>
      </c>
      <c r="AT228" s="91">
        <f t="shared" si="130"/>
        <v>0</v>
      </c>
      <c r="AV228" s="91">
        <f t="shared" si="131"/>
        <v>0</v>
      </c>
      <c r="AW228" s="78">
        <f t="shared" si="132"/>
        <v>0</v>
      </c>
      <c r="AX228" s="78">
        <f t="shared" si="133"/>
        <v>0</v>
      </c>
      <c r="AY228" s="78"/>
      <c r="AZ228" s="78">
        <f t="shared" si="134"/>
        <v>0</v>
      </c>
      <c r="BA228" s="78">
        <f t="shared" si="135"/>
        <v>0</v>
      </c>
      <c r="BB228" s="78">
        <f t="shared" si="136"/>
        <v>0</v>
      </c>
      <c r="BC228" s="78">
        <f t="shared" si="137"/>
        <v>0</v>
      </c>
      <c r="BD228" s="78">
        <f t="shared" si="138"/>
        <v>0</v>
      </c>
      <c r="BE228" s="78">
        <f t="shared" si="139"/>
        <v>0</v>
      </c>
      <c r="BF228" s="78">
        <f t="shared" si="140"/>
        <v>0</v>
      </c>
      <c r="BG228" s="78">
        <f t="shared" si="141"/>
        <v>0</v>
      </c>
      <c r="BH228" s="78">
        <f t="shared" si="142"/>
        <v>0</v>
      </c>
      <c r="BI228" s="78"/>
      <c r="BJ228" s="91">
        <f t="shared" si="143"/>
        <v>0</v>
      </c>
      <c r="BK228" s="91">
        <f t="shared" si="144"/>
        <v>0</v>
      </c>
      <c r="BL228" s="78"/>
      <c r="BM228" s="78">
        <f t="shared" si="145"/>
        <v>0</v>
      </c>
      <c r="BN228" s="78">
        <f t="shared" si="146"/>
        <v>0</v>
      </c>
      <c r="BO228" s="78">
        <f t="shared" si="147"/>
        <v>0</v>
      </c>
      <c r="BP228" s="78">
        <f t="shared" si="148"/>
        <v>0</v>
      </c>
      <c r="BQ228" s="78">
        <f t="shared" si="149"/>
        <v>0</v>
      </c>
      <c r="BR228" s="78">
        <f t="shared" si="150"/>
        <v>0</v>
      </c>
      <c r="BS228" s="78">
        <f t="shared" si="151"/>
        <v>0</v>
      </c>
      <c r="BT228" s="78">
        <f t="shared" si="152"/>
        <v>0</v>
      </c>
      <c r="BU228" s="91">
        <f t="shared" si="153"/>
        <v>0</v>
      </c>
      <c r="BV228" s="91">
        <f t="shared" si="154"/>
        <v>0</v>
      </c>
      <c r="BW228" s="78"/>
      <c r="BX228" s="78"/>
      <c r="BY228" s="78">
        <f t="shared" si="155"/>
        <v>0</v>
      </c>
      <c r="BZ228" s="78">
        <f t="shared" si="156"/>
        <v>0</v>
      </c>
      <c r="CA228" s="78">
        <f t="shared" si="157"/>
        <v>0</v>
      </c>
      <c r="CB228" s="78">
        <f t="shared" si="158"/>
        <v>0</v>
      </c>
      <c r="CC228" s="78">
        <f t="shared" si="159"/>
        <v>0</v>
      </c>
      <c r="CD228" s="78">
        <f t="shared" si="160"/>
        <v>0</v>
      </c>
      <c r="CE228" s="78">
        <f t="shared" si="161"/>
        <v>0</v>
      </c>
      <c r="CF228" s="78">
        <f t="shared" si="162"/>
        <v>0</v>
      </c>
      <c r="CG228" s="78"/>
      <c r="CH228" s="92">
        <f t="shared" si="163"/>
        <v>0</v>
      </c>
      <c r="CI228" s="93">
        <f t="shared" si="164"/>
        <v>0</v>
      </c>
      <c r="CJ228" s="94">
        <f t="shared" si="165"/>
        <v>0</v>
      </c>
      <c r="CL228" s="78">
        <f t="shared" si="166"/>
        <v>0</v>
      </c>
      <c r="CM228" s="78">
        <f t="shared" si="167"/>
        <v>0</v>
      </c>
      <c r="CN228" s="78">
        <f t="shared" si="168"/>
        <v>0</v>
      </c>
      <c r="CO228" s="78">
        <f t="shared" si="169"/>
        <v>0</v>
      </c>
    </row>
    <row r="229" spans="1:93" ht="13.5" thickBot="1">
      <c r="A229" s="95"/>
      <c r="B229" s="96"/>
      <c r="C229" s="97"/>
      <c r="D229" s="98"/>
      <c r="E229" s="99"/>
      <c r="F229" s="100"/>
      <c r="G229" s="100"/>
      <c r="H229" s="100"/>
      <c r="I229" s="100"/>
      <c r="J229" s="100"/>
      <c r="K229" s="101" t="str">
        <f t="shared" si="170"/>
        <v/>
      </c>
      <c r="L229" s="102"/>
      <c r="M229" s="103"/>
      <c r="N229" s="104"/>
      <c r="O229" s="105"/>
      <c r="P229" s="106">
        <f t="shared" si="171"/>
        <v>0</v>
      </c>
      <c r="Q229" s="106">
        <f t="shared" si="172"/>
        <v>0</v>
      </c>
      <c r="R229" s="106">
        <f t="shared" si="173"/>
        <v>0</v>
      </c>
      <c r="S229" s="106">
        <f t="shared" si="174"/>
        <v>0</v>
      </c>
      <c r="T229" s="107">
        <f t="shared" si="175"/>
        <v>0</v>
      </c>
      <c r="U229" s="78"/>
      <c r="AG229" s="108"/>
      <c r="AI229" s="78">
        <f t="shared" si="119"/>
        <v>0</v>
      </c>
      <c r="AJ229" s="78">
        <f t="shared" si="120"/>
        <v>0</v>
      </c>
      <c r="AK229" s="78">
        <f t="shared" si="121"/>
        <v>0</v>
      </c>
      <c r="AL229" s="78">
        <f t="shared" si="122"/>
        <v>0</v>
      </c>
      <c r="AM229" s="78">
        <f t="shared" si="123"/>
        <v>0</v>
      </c>
      <c r="AN229" s="78">
        <f t="shared" si="124"/>
        <v>0</v>
      </c>
      <c r="AO229" s="78">
        <f t="shared" si="125"/>
        <v>0</v>
      </c>
      <c r="AP229" s="78">
        <f t="shared" si="126"/>
        <v>0</v>
      </c>
      <c r="AQ229" s="78">
        <f t="shared" si="127"/>
        <v>0</v>
      </c>
      <c r="AR229" s="78">
        <f t="shared" si="128"/>
        <v>0</v>
      </c>
      <c r="AS229" s="90">
        <f t="shared" si="129"/>
        <v>0</v>
      </c>
      <c r="AT229" s="91">
        <f t="shared" si="130"/>
        <v>0</v>
      </c>
      <c r="AV229" s="91">
        <f t="shared" si="131"/>
        <v>0</v>
      </c>
      <c r="AW229" s="78">
        <f t="shared" si="132"/>
        <v>0</v>
      </c>
      <c r="AX229" s="78">
        <f t="shared" si="133"/>
        <v>0</v>
      </c>
      <c r="AY229" s="78"/>
      <c r="AZ229" s="78">
        <f t="shared" si="134"/>
        <v>0</v>
      </c>
      <c r="BA229" s="78">
        <f t="shared" si="135"/>
        <v>0</v>
      </c>
      <c r="BB229" s="78">
        <f t="shared" si="136"/>
        <v>0</v>
      </c>
      <c r="BC229" s="78">
        <f t="shared" si="137"/>
        <v>0</v>
      </c>
      <c r="BD229" s="78">
        <f t="shared" si="138"/>
        <v>0</v>
      </c>
      <c r="BE229" s="78">
        <f t="shared" si="139"/>
        <v>0</v>
      </c>
      <c r="BF229" s="78">
        <f t="shared" si="140"/>
        <v>0</v>
      </c>
      <c r="BG229" s="78">
        <f t="shared" si="141"/>
        <v>0</v>
      </c>
      <c r="BH229" s="78">
        <f t="shared" si="142"/>
        <v>0</v>
      </c>
      <c r="BI229" s="78"/>
      <c r="BJ229" s="91">
        <f t="shared" si="143"/>
        <v>0</v>
      </c>
      <c r="BK229" s="91">
        <f t="shared" si="144"/>
        <v>0</v>
      </c>
      <c r="BL229" s="78"/>
      <c r="BM229" s="78">
        <f t="shared" si="145"/>
        <v>0</v>
      </c>
      <c r="BN229" s="78">
        <f t="shared" si="146"/>
        <v>0</v>
      </c>
      <c r="BO229" s="78">
        <f t="shared" si="147"/>
        <v>0</v>
      </c>
      <c r="BP229" s="78">
        <f t="shared" si="148"/>
        <v>0</v>
      </c>
      <c r="BQ229" s="78">
        <f t="shared" si="149"/>
        <v>0</v>
      </c>
      <c r="BR229" s="78">
        <f t="shared" si="150"/>
        <v>0</v>
      </c>
      <c r="BS229" s="78">
        <f t="shared" si="151"/>
        <v>0</v>
      </c>
      <c r="BT229" s="78">
        <f t="shared" si="152"/>
        <v>0</v>
      </c>
      <c r="BU229" s="91">
        <f t="shared" si="153"/>
        <v>0</v>
      </c>
      <c r="BV229" s="91">
        <f t="shared" si="154"/>
        <v>0</v>
      </c>
      <c r="BW229" s="78"/>
      <c r="BX229" s="78"/>
      <c r="BY229" s="78">
        <f t="shared" si="155"/>
        <v>0</v>
      </c>
      <c r="BZ229" s="78">
        <f t="shared" si="156"/>
        <v>0</v>
      </c>
      <c r="CA229" s="78">
        <f t="shared" si="157"/>
        <v>0</v>
      </c>
      <c r="CB229" s="78">
        <f t="shared" si="158"/>
        <v>0</v>
      </c>
      <c r="CC229" s="78">
        <f t="shared" si="159"/>
        <v>0</v>
      </c>
      <c r="CD229" s="78">
        <f t="shared" si="160"/>
        <v>0</v>
      </c>
      <c r="CE229" s="78">
        <f t="shared" si="161"/>
        <v>0</v>
      </c>
      <c r="CF229" s="78">
        <f t="shared" si="162"/>
        <v>0</v>
      </c>
      <c r="CG229" s="78"/>
      <c r="CH229" s="92">
        <f t="shared" si="163"/>
        <v>0</v>
      </c>
      <c r="CI229" s="93">
        <f t="shared" si="164"/>
        <v>0</v>
      </c>
      <c r="CJ229" s="94">
        <f t="shared" si="165"/>
        <v>0</v>
      </c>
      <c r="CL229" s="78">
        <f t="shared" si="166"/>
        <v>0</v>
      </c>
      <c r="CM229" s="78">
        <f t="shared" si="167"/>
        <v>0</v>
      </c>
      <c r="CN229" s="78">
        <f t="shared" si="168"/>
        <v>0</v>
      </c>
      <c r="CO229" s="78">
        <f t="shared" si="169"/>
        <v>0</v>
      </c>
    </row>
    <row r="230" spans="1:93" ht="13.5" thickBot="1">
      <c r="A230" s="95"/>
      <c r="B230" s="96"/>
      <c r="C230" s="97"/>
      <c r="D230" s="98"/>
      <c r="E230" s="99"/>
      <c r="F230" s="100"/>
      <c r="G230" s="100"/>
      <c r="H230" s="100"/>
      <c r="I230" s="100"/>
      <c r="J230" s="100"/>
      <c r="K230" s="101" t="str">
        <f t="shared" si="170"/>
        <v/>
      </c>
      <c r="L230" s="102"/>
      <c r="M230" s="103"/>
      <c r="N230" s="104"/>
      <c r="O230" s="105"/>
      <c r="P230" s="106">
        <f t="shared" si="171"/>
        <v>0</v>
      </c>
      <c r="Q230" s="106">
        <f t="shared" si="172"/>
        <v>0</v>
      </c>
      <c r="R230" s="106">
        <f t="shared" si="173"/>
        <v>0</v>
      </c>
      <c r="S230" s="106">
        <f t="shared" si="174"/>
        <v>0</v>
      </c>
      <c r="T230" s="107">
        <f t="shared" si="175"/>
        <v>0</v>
      </c>
      <c r="U230" s="78"/>
      <c r="AG230" s="108"/>
      <c r="AI230" s="78">
        <f t="shared" si="119"/>
        <v>0</v>
      </c>
      <c r="AJ230" s="78">
        <f t="shared" si="120"/>
        <v>0</v>
      </c>
      <c r="AK230" s="78">
        <f t="shared" si="121"/>
        <v>0</v>
      </c>
      <c r="AL230" s="78">
        <f t="shared" si="122"/>
        <v>0</v>
      </c>
      <c r="AM230" s="78">
        <f t="shared" si="123"/>
        <v>0</v>
      </c>
      <c r="AN230" s="78">
        <f t="shared" si="124"/>
        <v>0</v>
      </c>
      <c r="AO230" s="78">
        <f t="shared" si="125"/>
        <v>0</v>
      </c>
      <c r="AP230" s="78">
        <f t="shared" si="126"/>
        <v>0</v>
      </c>
      <c r="AQ230" s="78">
        <f t="shared" si="127"/>
        <v>0</v>
      </c>
      <c r="AR230" s="78">
        <f t="shared" si="128"/>
        <v>0</v>
      </c>
      <c r="AS230" s="90">
        <f t="shared" si="129"/>
        <v>0</v>
      </c>
      <c r="AT230" s="91">
        <f t="shared" si="130"/>
        <v>0</v>
      </c>
      <c r="AV230" s="91">
        <f t="shared" si="131"/>
        <v>0</v>
      </c>
      <c r="AW230" s="78">
        <f t="shared" si="132"/>
        <v>0</v>
      </c>
      <c r="AX230" s="78">
        <f t="shared" si="133"/>
        <v>0</v>
      </c>
      <c r="AY230" s="78"/>
      <c r="AZ230" s="78">
        <f t="shared" si="134"/>
        <v>0</v>
      </c>
      <c r="BA230" s="78">
        <f t="shared" si="135"/>
        <v>0</v>
      </c>
      <c r="BB230" s="78">
        <f t="shared" si="136"/>
        <v>0</v>
      </c>
      <c r="BC230" s="78">
        <f t="shared" si="137"/>
        <v>0</v>
      </c>
      <c r="BD230" s="78">
        <f t="shared" si="138"/>
        <v>0</v>
      </c>
      <c r="BE230" s="78">
        <f t="shared" si="139"/>
        <v>0</v>
      </c>
      <c r="BF230" s="78">
        <f t="shared" si="140"/>
        <v>0</v>
      </c>
      <c r="BG230" s="78">
        <f t="shared" si="141"/>
        <v>0</v>
      </c>
      <c r="BH230" s="78">
        <f t="shared" si="142"/>
        <v>0</v>
      </c>
      <c r="BI230" s="78"/>
      <c r="BJ230" s="91">
        <f t="shared" si="143"/>
        <v>0</v>
      </c>
      <c r="BK230" s="91">
        <f t="shared" si="144"/>
        <v>0</v>
      </c>
      <c r="BL230" s="78"/>
      <c r="BM230" s="78">
        <f t="shared" si="145"/>
        <v>0</v>
      </c>
      <c r="BN230" s="78">
        <f t="shared" si="146"/>
        <v>0</v>
      </c>
      <c r="BO230" s="78">
        <f t="shared" si="147"/>
        <v>0</v>
      </c>
      <c r="BP230" s="78">
        <f t="shared" si="148"/>
        <v>0</v>
      </c>
      <c r="BQ230" s="78">
        <f t="shared" si="149"/>
        <v>0</v>
      </c>
      <c r="BR230" s="78">
        <f t="shared" si="150"/>
        <v>0</v>
      </c>
      <c r="BS230" s="78">
        <f t="shared" si="151"/>
        <v>0</v>
      </c>
      <c r="BT230" s="78">
        <f t="shared" si="152"/>
        <v>0</v>
      </c>
      <c r="BU230" s="91">
        <f t="shared" si="153"/>
        <v>0</v>
      </c>
      <c r="BV230" s="91">
        <f t="shared" si="154"/>
        <v>0</v>
      </c>
      <c r="BW230" s="78"/>
      <c r="BX230" s="78"/>
      <c r="BY230" s="78">
        <f t="shared" si="155"/>
        <v>0</v>
      </c>
      <c r="BZ230" s="78">
        <f t="shared" si="156"/>
        <v>0</v>
      </c>
      <c r="CA230" s="78">
        <f t="shared" si="157"/>
        <v>0</v>
      </c>
      <c r="CB230" s="78">
        <f t="shared" si="158"/>
        <v>0</v>
      </c>
      <c r="CC230" s="78">
        <f t="shared" si="159"/>
        <v>0</v>
      </c>
      <c r="CD230" s="78">
        <f t="shared" si="160"/>
        <v>0</v>
      </c>
      <c r="CE230" s="78">
        <f t="shared" si="161"/>
        <v>0</v>
      </c>
      <c r="CF230" s="78">
        <f t="shared" si="162"/>
        <v>0</v>
      </c>
      <c r="CG230" s="78"/>
      <c r="CH230" s="92">
        <f t="shared" si="163"/>
        <v>0</v>
      </c>
      <c r="CI230" s="93">
        <f t="shared" si="164"/>
        <v>0</v>
      </c>
      <c r="CJ230" s="94">
        <f t="shared" si="165"/>
        <v>0</v>
      </c>
      <c r="CL230" s="78">
        <f t="shared" si="166"/>
        <v>0</v>
      </c>
      <c r="CM230" s="78">
        <f t="shared" si="167"/>
        <v>0</v>
      </c>
      <c r="CN230" s="78">
        <f t="shared" si="168"/>
        <v>0</v>
      </c>
      <c r="CO230" s="78">
        <f t="shared" si="169"/>
        <v>0</v>
      </c>
    </row>
    <row r="231" spans="1:93" ht="13.5" thickBot="1">
      <c r="A231" s="95"/>
      <c r="B231" s="96"/>
      <c r="C231" s="97"/>
      <c r="D231" s="98"/>
      <c r="E231" s="99"/>
      <c r="F231" s="100"/>
      <c r="G231" s="100"/>
      <c r="H231" s="100"/>
      <c r="I231" s="100"/>
      <c r="J231" s="100"/>
      <c r="K231" s="101" t="str">
        <f t="shared" si="170"/>
        <v/>
      </c>
      <c r="L231" s="102"/>
      <c r="M231" s="103"/>
      <c r="N231" s="104"/>
      <c r="O231" s="105"/>
      <c r="P231" s="106">
        <f t="shared" si="171"/>
        <v>0</v>
      </c>
      <c r="Q231" s="106">
        <f t="shared" si="172"/>
        <v>0</v>
      </c>
      <c r="R231" s="106">
        <f t="shared" si="173"/>
        <v>0</v>
      </c>
      <c r="S231" s="106">
        <f t="shared" si="174"/>
        <v>0</v>
      </c>
      <c r="T231" s="107">
        <f t="shared" si="175"/>
        <v>0</v>
      </c>
      <c r="U231" s="78"/>
      <c r="AG231" s="108"/>
      <c r="AI231" s="78">
        <f t="shared" ref="AI231:AI299" si="176">IF($C231=$AM$19,IF($N231&gt;$K231,$N231*$E231,$K231*$E231),0)</f>
        <v>0</v>
      </c>
      <c r="AJ231" s="78">
        <f t="shared" ref="AJ231:AJ294" si="177">AI231*M231</f>
        <v>0</v>
      </c>
      <c r="AK231" s="78">
        <f t="shared" ref="AK231:AK299" si="178">IF(C231=$AM$19,($E231*$F231+$E231*$H231)*$L231,0)</f>
        <v>0</v>
      </c>
      <c r="AL231" s="78">
        <f t="shared" ref="AL231:AL294" si="179">IF(C231=$AM$19,AJ231-AK231,0)</f>
        <v>0</v>
      </c>
      <c r="AM231" s="78">
        <f t="shared" ref="AM231:AM299" si="180">IF($C231=$AM$18,IF($N231&gt;$K231,$N231*$E231,$K231*$E231),0)</f>
        <v>0</v>
      </c>
      <c r="AN231" s="78">
        <f t="shared" ref="AN231:AN294" si="181">AM231*2.1%</f>
        <v>0</v>
      </c>
      <c r="AO231" s="78">
        <f t="shared" ref="AO231:AO299" si="182">IF($C231=$AM$20,IF($N231&gt;$K231,$N231*$E231*$O231+$N231*$E231,$K231*$E231*$O231+$K231*$E231),0)</f>
        <v>0</v>
      </c>
      <c r="AP231" s="78">
        <f t="shared" ref="AP231:AP299" si="183">$AO231*$M231</f>
        <v>0</v>
      </c>
      <c r="AQ231" s="78">
        <f t="shared" ref="AQ231:AQ299" si="184">IF(C231=$AM$20,($E231*$F231+$E231*$H231)*$L231,0)</f>
        <v>0</v>
      </c>
      <c r="AR231" s="78">
        <f t="shared" ref="AR231:AR299" si="185">IF($C231=$AM$20,$AP231-$AQ231,0)</f>
        <v>0</v>
      </c>
      <c r="AS231" s="90">
        <f t="shared" ref="AS231:AS299" si="186">IF($C231=$AM$21,IF(N231&gt;K231,N231*E231,$K231*$O231*$E231+$K231*$E231),0)/(100%-M231)</f>
        <v>0</v>
      </c>
      <c r="AT231" s="91">
        <f t="shared" ref="AT231:AT294" si="187">AS231*M231</f>
        <v>0</v>
      </c>
      <c r="AV231" s="91">
        <f t="shared" ref="AV231:AV299" si="188">IF($C231=$AM$21,$AT231,0)</f>
        <v>0</v>
      </c>
      <c r="AW231" s="78">
        <f t="shared" ref="AW231:AW299" si="189">IF($C231=$AM$22,IF($N231&gt;$K231,$N231*$E231,$K231*$E231),0)</f>
        <v>0</v>
      </c>
      <c r="AX231" s="78">
        <f t="shared" ref="AX231:AX294" si="190">AW231*12%</f>
        <v>0</v>
      </c>
      <c r="AY231" s="78"/>
      <c r="AZ231" s="78">
        <f t="shared" ref="AZ231:AZ299" si="191">IF($C231=$AM$22,$AX231-$AY231,0)</f>
        <v>0</v>
      </c>
      <c r="BA231" s="78">
        <f t="shared" ref="BA231:BA299" si="192">IF($C231=$AM$23,IF($N231&gt;$K231,$N231*$E231,$K231*$E231),0)</f>
        <v>0</v>
      </c>
      <c r="BB231" s="78">
        <f t="shared" ref="BB231:BB294" si="193">BA231*30%</f>
        <v>0</v>
      </c>
      <c r="BC231" s="78">
        <f t="shared" ref="BC231:BC299" si="194">IF(C231=$AM$23,($E231*$F231+$E231*$H231)*$L231,0)</f>
        <v>0</v>
      </c>
      <c r="BD231" s="78">
        <f t="shared" ref="BD231:BD294" si="195">IF($C231=$AM$23,BB231-BC231,0)</f>
        <v>0</v>
      </c>
      <c r="BE231" s="78">
        <f t="shared" ref="BE231:BE299" si="196">IF($C231=$AM$24,IF($N231&gt;$K231,$N231*$O231*$E231+$N231*$E231,$K231*$E231*$O231+$K231*$E231),0)</f>
        <v>0</v>
      </c>
      <c r="BF231" s="78">
        <f t="shared" ref="BF231:BF294" si="197">BE231*M231</f>
        <v>0</v>
      </c>
      <c r="BG231" s="78">
        <f t="shared" ref="BG231:BG299" si="198">IF($C231=$AM$24,($E231*$F231+$E231*$H231)*$L231,0)</f>
        <v>0</v>
      </c>
      <c r="BH231" s="78">
        <f t="shared" ref="BH231:BH294" si="199">IF($C231=$AM$24,BF231-BG231,0)</f>
        <v>0</v>
      </c>
      <c r="BI231" s="78"/>
      <c r="BJ231" s="91">
        <f t="shared" ref="BJ231:BJ299" si="200">IF($C231=$AM$29,IF($N231&gt;$K231,$N231*$E231,$K231*$O231*$E231+$K231*$E231),0)/(100%-$M231)</f>
        <v>0</v>
      </c>
      <c r="BK231" s="91">
        <f t="shared" ref="BK231:BK294" si="201">BJ231*30%</f>
        <v>0</v>
      </c>
      <c r="BL231" s="78"/>
      <c r="BM231" s="78">
        <f t="shared" ref="BM231:BM299" si="202">IF($C231=$AM$25,IF($N231&gt;$K231,$N231*$E231,$K231*$E231),0)</f>
        <v>0</v>
      </c>
      <c r="BN231" s="78">
        <f t="shared" ref="BN231:BN294" si="203">BM231*M231</f>
        <v>0</v>
      </c>
      <c r="BO231" s="78">
        <f t="shared" ref="BO231:BO299" si="204">IF($C231=$AM$25,($E231*$F231+$E231*$H231)*$L231,0)</f>
        <v>0</v>
      </c>
      <c r="BP231" s="78">
        <f t="shared" ref="BP231:BP294" si="205">IF($C231=$AM$25,BN231-BO231,0)</f>
        <v>0</v>
      </c>
      <c r="BQ231" s="78">
        <f t="shared" ref="BQ231:BQ299" si="206">IF($C231=$AM$26,IF($N231&gt;$K231,$N231*$E231*30%+$N231*$E231,$K231*$E231*30%+$K231*$E231),0)</f>
        <v>0</v>
      </c>
      <c r="BR231" s="78">
        <f t="shared" ref="BR231:BR299" si="207">$BQ231*12%</f>
        <v>0</v>
      </c>
      <c r="BS231" s="78">
        <f t="shared" ref="BS231:BS299" si="208">IF($C231=$AM$26,($E231*$F231+$E231*$H231)*$L231,0)</f>
        <v>0</v>
      </c>
      <c r="BT231" s="78">
        <f t="shared" ref="BT231:BT294" si="209">IF($C231=$AM$26,BR231-BS231,0)</f>
        <v>0</v>
      </c>
      <c r="BU231" s="91">
        <f t="shared" ref="BU231:BU299" si="210">IF($C231=$AM$30,IF($N231&gt;$K231,$N231*$E231,$K231*$O231*$E231+$K231*$E231),0)/(100%-$M231)</f>
        <v>0</v>
      </c>
      <c r="BV231" s="91">
        <f t="shared" ref="BV231:BV294" si="211">BU231*33%</f>
        <v>0</v>
      </c>
      <c r="BW231" s="78"/>
      <c r="BX231" s="78"/>
      <c r="BY231" s="78">
        <f t="shared" ref="BY231:BY299" si="212">IF($C231=$AM$27,IF($N231&gt;$K231,$N231*$E231*$O231+$N231*$E231,$K231*$E231*$O231+$K231*$E231),0)</f>
        <v>0</v>
      </c>
      <c r="BZ231" s="78">
        <f t="shared" ref="BZ231:BZ299" si="213">$BY231*$M231</f>
        <v>0</v>
      </c>
      <c r="CA231" s="78">
        <f t="shared" ref="CA231:CA299" si="214">IF($C231=$AM$27,($E231*$F231+$E231*$H231)*$L231,0)</f>
        <v>0</v>
      </c>
      <c r="CB231" s="78">
        <f t="shared" ref="CB231:CB294" si="215">IF($C231=$AM$27,BZ231-CA231,0)</f>
        <v>0</v>
      </c>
      <c r="CC231" s="78">
        <f t="shared" ref="CC231:CC299" si="216">IF($C231=$AM$28,IF($N231&gt;$K231,$N231*$O231*$E231+$N231*$E231,$K231*$E231*$O231+$K231*$E231),0)</f>
        <v>0</v>
      </c>
      <c r="CD231" s="78">
        <f t="shared" ref="CD231:CD294" si="217">CC231*$M231</f>
        <v>0</v>
      </c>
      <c r="CE231" s="78">
        <f t="shared" ref="CE231:CE299" si="218">IF($C231=$AM$28,($E231*$F231+$E231*$H231)*$L231,0)</f>
        <v>0</v>
      </c>
      <c r="CF231" s="78">
        <f t="shared" ref="CF231:CF294" si="219">IF($C231=$AM$28,CD231-CE231,0)</f>
        <v>0</v>
      </c>
      <c r="CG231" s="78"/>
      <c r="CH231" s="92">
        <f t="shared" ref="CH231:CH299" si="220">SUM(AI231+AM231+AO231+AS231+AW231+BA231+BE231+BI231+BM231+BQ231+BU231+BY231+CC231+BJ231+CL231)</f>
        <v>0</v>
      </c>
      <c r="CI231" s="93">
        <f t="shared" ref="CI231:CI299" si="221">SUM(AJ231+AN231+AP231+AT231+AX231+BB231+BF231+BV231+BN231+BR231+BK231+BZ231+CD231+CM231)</f>
        <v>0</v>
      </c>
      <c r="CJ231" s="94">
        <f t="shared" ref="CJ231:CJ299" si="222">SUM(AK231+AQ231+AY231+BC231+BG231+BO231+BS231+BW231+CA231+CE231+CN231)</f>
        <v>0</v>
      </c>
      <c r="CL231" s="78">
        <f t="shared" ref="CL231:CL299" si="223">IF($C231=$AM$31,IF($N231&gt;$K231,$N231*$E231,$K231*$E231),0)</f>
        <v>0</v>
      </c>
      <c r="CM231" s="78">
        <f t="shared" ref="CM231:CM294" si="224">CL231*$M231</f>
        <v>0</v>
      </c>
      <c r="CN231" s="78">
        <f t="shared" ref="CN231:CN299" si="225">IF($C231=$AM$31,($E231*$F231+$E231*$H231)*$L231,0)</f>
        <v>0</v>
      </c>
      <c r="CO231" s="78">
        <f t="shared" ref="CO231:CO294" si="226">IF($C231=$AM$31,CM231-CN231,0)</f>
        <v>0</v>
      </c>
    </row>
    <row r="232" spans="1:93" ht="13.5" thickBot="1">
      <c r="A232" s="95"/>
      <c r="B232" s="96"/>
      <c r="C232" s="97"/>
      <c r="D232" s="98"/>
      <c r="E232" s="99"/>
      <c r="F232" s="100"/>
      <c r="G232" s="100"/>
      <c r="H232" s="100"/>
      <c r="I232" s="100"/>
      <c r="J232" s="100"/>
      <c r="K232" s="101" t="str">
        <f t="shared" ref="K232:K295" si="227">IF(C232="","",(F232)+(G232)+(H232)+(I232)+(J232))</f>
        <v/>
      </c>
      <c r="L232" s="102"/>
      <c r="M232" s="103"/>
      <c r="N232" s="104"/>
      <c r="O232" s="105"/>
      <c r="P232" s="106">
        <f t="shared" ref="P232:P299" si="228">IF(B232="",CH232,0)</f>
        <v>0</v>
      </c>
      <c r="Q232" s="106">
        <f t="shared" ref="Q232:Q299" si="229">IF(B232="",CI232,0)</f>
        <v>0</v>
      </c>
      <c r="R232" s="106">
        <f t="shared" ref="R232:R299" si="230">IF(B232="",CJ232,0)</f>
        <v>0</v>
      </c>
      <c r="S232" s="106">
        <f t="shared" ref="S232:S299" si="231">IF(B232="",CI232-CJ232,0)</f>
        <v>0</v>
      </c>
      <c r="T232" s="107">
        <f t="shared" ref="T232:T299" si="232">IF(B232="",0,CI232-CJ232)</f>
        <v>0</v>
      </c>
      <c r="U232" s="78"/>
      <c r="AG232" s="108"/>
      <c r="AI232" s="78">
        <f t="shared" si="176"/>
        <v>0</v>
      </c>
      <c r="AJ232" s="78">
        <f t="shared" si="177"/>
        <v>0</v>
      </c>
      <c r="AK232" s="78">
        <f t="shared" si="178"/>
        <v>0</v>
      </c>
      <c r="AL232" s="78">
        <f t="shared" si="179"/>
        <v>0</v>
      </c>
      <c r="AM232" s="78">
        <f t="shared" si="180"/>
        <v>0</v>
      </c>
      <c r="AN232" s="78">
        <f t="shared" si="181"/>
        <v>0</v>
      </c>
      <c r="AO232" s="78">
        <f t="shared" si="182"/>
        <v>0</v>
      </c>
      <c r="AP232" s="78">
        <f t="shared" si="183"/>
        <v>0</v>
      </c>
      <c r="AQ232" s="78">
        <f t="shared" si="184"/>
        <v>0</v>
      </c>
      <c r="AR232" s="78">
        <f t="shared" si="185"/>
        <v>0</v>
      </c>
      <c r="AS232" s="90">
        <f t="shared" si="186"/>
        <v>0</v>
      </c>
      <c r="AT232" s="91">
        <f t="shared" si="187"/>
        <v>0</v>
      </c>
      <c r="AV232" s="91">
        <f t="shared" si="188"/>
        <v>0</v>
      </c>
      <c r="AW232" s="78">
        <f t="shared" si="189"/>
        <v>0</v>
      </c>
      <c r="AX232" s="78">
        <f t="shared" si="190"/>
        <v>0</v>
      </c>
      <c r="AY232" s="78"/>
      <c r="AZ232" s="78">
        <f t="shared" si="191"/>
        <v>0</v>
      </c>
      <c r="BA232" s="78">
        <f t="shared" si="192"/>
        <v>0</v>
      </c>
      <c r="BB232" s="78">
        <f t="shared" si="193"/>
        <v>0</v>
      </c>
      <c r="BC232" s="78">
        <f t="shared" si="194"/>
        <v>0</v>
      </c>
      <c r="BD232" s="78">
        <f t="shared" si="195"/>
        <v>0</v>
      </c>
      <c r="BE232" s="78">
        <f t="shared" si="196"/>
        <v>0</v>
      </c>
      <c r="BF232" s="78">
        <f t="shared" si="197"/>
        <v>0</v>
      </c>
      <c r="BG232" s="78">
        <f t="shared" si="198"/>
        <v>0</v>
      </c>
      <c r="BH232" s="78">
        <f t="shared" si="199"/>
        <v>0</v>
      </c>
      <c r="BI232" s="78"/>
      <c r="BJ232" s="91">
        <f t="shared" si="200"/>
        <v>0</v>
      </c>
      <c r="BK232" s="91">
        <f t="shared" si="201"/>
        <v>0</v>
      </c>
      <c r="BL232" s="78"/>
      <c r="BM232" s="78">
        <f t="shared" si="202"/>
        <v>0</v>
      </c>
      <c r="BN232" s="78">
        <f t="shared" si="203"/>
        <v>0</v>
      </c>
      <c r="BO232" s="78">
        <f t="shared" si="204"/>
        <v>0</v>
      </c>
      <c r="BP232" s="78">
        <f t="shared" si="205"/>
        <v>0</v>
      </c>
      <c r="BQ232" s="78">
        <f t="shared" si="206"/>
        <v>0</v>
      </c>
      <c r="BR232" s="78">
        <f t="shared" si="207"/>
        <v>0</v>
      </c>
      <c r="BS232" s="78">
        <f t="shared" si="208"/>
        <v>0</v>
      </c>
      <c r="BT232" s="78">
        <f t="shared" si="209"/>
        <v>0</v>
      </c>
      <c r="BU232" s="91">
        <f t="shared" si="210"/>
        <v>0</v>
      </c>
      <c r="BV232" s="91">
        <f t="shared" si="211"/>
        <v>0</v>
      </c>
      <c r="BW232" s="78"/>
      <c r="BX232" s="78"/>
      <c r="BY232" s="78">
        <f t="shared" si="212"/>
        <v>0</v>
      </c>
      <c r="BZ232" s="78">
        <f t="shared" si="213"/>
        <v>0</v>
      </c>
      <c r="CA232" s="78">
        <f t="shared" si="214"/>
        <v>0</v>
      </c>
      <c r="CB232" s="78">
        <f t="shared" si="215"/>
        <v>0</v>
      </c>
      <c r="CC232" s="78">
        <f t="shared" si="216"/>
        <v>0</v>
      </c>
      <c r="CD232" s="78">
        <f t="shared" si="217"/>
        <v>0</v>
      </c>
      <c r="CE232" s="78">
        <f t="shared" si="218"/>
        <v>0</v>
      </c>
      <c r="CF232" s="78">
        <f t="shared" si="219"/>
        <v>0</v>
      </c>
      <c r="CG232" s="78"/>
      <c r="CH232" s="92">
        <f t="shared" si="220"/>
        <v>0</v>
      </c>
      <c r="CI232" s="93">
        <f t="shared" si="221"/>
        <v>0</v>
      </c>
      <c r="CJ232" s="94">
        <f t="shared" si="222"/>
        <v>0</v>
      </c>
      <c r="CL232" s="78">
        <f t="shared" si="223"/>
        <v>0</v>
      </c>
      <c r="CM232" s="78">
        <f t="shared" si="224"/>
        <v>0</v>
      </c>
      <c r="CN232" s="78">
        <f t="shared" si="225"/>
        <v>0</v>
      </c>
      <c r="CO232" s="78">
        <f t="shared" si="226"/>
        <v>0</v>
      </c>
    </row>
    <row r="233" spans="1:93" ht="13.5" thickBot="1">
      <c r="A233" s="95"/>
      <c r="B233" s="96"/>
      <c r="C233" s="97"/>
      <c r="D233" s="98"/>
      <c r="E233" s="99"/>
      <c r="F233" s="100"/>
      <c r="G233" s="100"/>
      <c r="H233" s="100"/>
      <c r="I233" s="100"/>
      <c r="J233" s="100"/>
      <c r="K233" s="101" t="str">
        <f t="shared" si="227"/>
        <v/>
      </c>
      <c r="L233" s="102"/>
      <c r="M233" s="103"/>
      <c r="N233" s="104"/>
      <c r="O233" s="105"/>
      <c r="P233" s="106">
        <f t="shared" si="228"/>
        <v>0</v>
      </c>
      <c r="Q233" s="106">
        <f t="shared" si="229"/>
        <v>0</v>
      </c>
      <c r="R233" s="106">
        <f t="shared" si="230"/>
        <v>0</v>
      </c>
      <c r="S233" s="106">
        <f t="shared" si="231"/>
        <v>0</v>
      </c>
      <c r="T233" s="107">
        <f t="shared" si="232"/>
        <v>0</v>
      </c>
      <c r="U233" s="78"/>
      <c r="AG233" s="108"/>
      <c r="AI233" s="78">
        <f t="shared" si="176"/>
        <v>0</v>
      </c>
      <c r="AJ233" s="78">
        <f t="shared" si="177"/>
        <v>0</v>
      </c>
      <c r="AK233" s="78">
        <f t="shared" si="178"/>
        <v>0</v>
      </c>
      <c r="AL233" s="78">
        <f t="shared" si="179"/>
        <v>0</v>
      </c>
      <c r="AM233" s="78">
        <f t="shared" si="180"/>
        <v>0</v>
      </c>
      <c r="AN233" s="78">
        <f t="shared" si="181"/>
        <v>0</v>
      </c>
      <c r="AO233" s="78">
        <f t="shared" si="182"/>
        <v>0</v>
      </c>
      <c r="AP233" s="78">
        <f t="shared" si="183"/>
        <v>0</v>
      </c>
      <c r="AQ233" s="78">
        <f t="shared" si="184"/>
        <v>0</v>
      </c>
      <c r="AR233" s="78">
        <f t="shared" si="185"/>
        <v>0</v>
      </c>
      <c r="AS233" s="90">
        <f t="shared" si="186"/>
        <v>0</v>
      </c>
      <c r="AT233" s="91">
        <f t="shared" si="187"/>
        <v>0</v>
      </c>
      <c r="AV233" s="91">
        <f t="shared" si="188"/>
        <v>0</v>
      </c>
      <c r="AW233" s="78">
        <f t="shared" si="189"/>
        <v>0</v>
      </c>
      <c r="AX233" s="78">
        <f t="shared" si="190"/>
        <v>0</v>
      </c>
      <c r="AY233" s="78"/>
      <c r="AZ233" s="78">
        <f t="shared" si="191"/>
        <v>0</v>
      </c>
      <c r="BA233" s="78">
        <f t="shared" si="192"/>
        <v>0</v>
      </c>
      <c r="BB233" s="78">
        <f t="shared" si="193"/>
        <v>0</v>
      </c>
      <c r="BC233" s="78">
        <f t="shared" si="194"/>
        <v>0</v>
      </c>
      <c r="BD233" s="78">
        <f t="shared" si="195"/>
        <v>0</v>
      </c>
      <c r="BE233" s="78">
        <f t="shared" si="196"/>
        <v>0</v>
      </c>
      <c r="BF233" s="78">
        <f t="shared" si="197"/>
        <v>0</v>
      </c>
      <c r="BG233" s="78">
        <f t="shared" si="198"/>
        <v>0</v>
      </c>
      <c r="BH233" s="78">
        <f t="shared" si="199"/>
        <v>0</v>
      </c>
      <c r="BI233" s="78"/>
      <c r="BJ233" s="91">
        <f t="shared" si="200"/>
        <v>0</v>
      </c>
      <c r="BK233" s="91">
        <f t="shared" si="201"/>
        <v>0</v>
      </c>
      <c r="BL233" s="78"/>
      <c r="BM233" s="78">
        <f t="shared" si="202"/>
        <v>0</v>
      </c>
      <c r="BN233" s="78">
        <f t="shared" si="203"/>
        <v>0</v>
      </c>
      <c r="BO233" s="78">
        <f t="shared" si="204"/>
        <v>0</v>
      </c>
      <c r="BP233" s="78">
        <f t="shared" si="205"/>
        <v>0</v>
      </c>
      <c r="BQ233" s="78">
        <f t="shared" si="206"/>
        <v>0</v>
      </c>
      <c r="BR233" s="78">
        <f t="shared" si="207"/>
        <v>0</v>
      </c>
      <c r="BS233" s="78">
        <f t="shared" si="208"/>
        <v>0</v>
      </c>
      <c r="BT233" s="78">
        <f t="shared" si="209"/>
        <v>0</v>
      </c>
      <c r="BU233" s="91">
        <f t="shared" si="210"/>
        <v>0</v>
      </c>
      <c r="BV233" s="91">
        <f t="shared" si="211"/>
        <v>0</v>
      </c>
      <c r="BW233" s="78"/>
      <c r="BX233" s="78"/>
      <c r="BY233" s="78">
        <f t="shared" si="212"/>
        <v>0</v>
      </c>
      <c r="BZ233" s="78">
        <f t="shared" si="213"/>
        <v>0</v>
      </c>
      <c r="CA233" s="78">
        <f t="shared" si="214"/>
        <v>0</v>
      </c>
      <c r="CB233" s="78">
        <f t="shared" si="215"/>
        <v>0</v>
      </c>
      <c r="CC233" s="78">
        <f t="shared" si="216"/>
        <v>0</v>
      </c>
      <c r="CD233" s="78">
        <f t="shared" si="217"/>
        <v>0</v>
      </c>
      <c r="CE233" s="78">
        <f t="shared" si="218"/>
        <v>0</v>
      </c>
      <c r="CF233" s="78">
        <f t="shared" si="219"/>
        <v>0</v>
      </c>
      <c r="CG233" s="78"/>
      <c r="CH233" s="92">
        <f t="shared" si="220"/>
        <v>0</v>
      </c>
      <c r="CI233" s="93">
        <f t="shared" si="221"/>
        <v>0</v>
      </c>
      <c r="CJ233" s="94">
        <f t="shared" si="222"/>
        <v>0</v>
      </c>
      <c r="CL233" s="78">
        <f t="shared" si="223"/>
        <v>0</v>
      </c>
      <c r="CM233" s="78">
        <f t="shared" si="224"/>
        <v>0</v>
      </c>
      <c r="CN233" s="78">
        <f t="shared" si="225"/>
        <v>0</v>
      </c>
      <c r="CO233" s="78">
        <f t="shared" si="226"/>
        <v>0</v>
      </c>
    </row>
    <row r="234" spans="1:93" ht="13.5" thickBot="1">
      <c r="A234" s="95"/>
      <c r="B234" s="96"/>
      <c r="C234" s="97"/>
      <c r="D234" s="98"/>
      <c r="E234" s="99"/>
      <c r="F234" s="100"/>
      <c r="G234" s="100"/>
      <c r="H234" s="100"/>
      <c r="I234" s="100"/>
      <c r="J234" s="100"/>
      <c r="K234" s="101" t="str">
        <f t="shared" si="227"/>
        <v/>
      </c>
      <c r="L234" s="102"/>
      <c r="M234" s="103"/>
      <c r="N234" s="104"/>
      <c r="O234" s="105"/>
      <c r="P234" s="106">
        <f t="shared" si="228"/>
        <v>0</v>
      </c>
      <c r="Q234" s="106">
        <f t="shared" si="229"/>
        <v>0</v>
      </c>
      <c r="R234" s="106">
        <f t="shared" si="230"/>
        <v>0</v>
      </c>
      <c r="S234" s="106">
        <f t="shared" si="231"/>
        <v>0</v>
      </c>
      <c r="T234" s="107">
        <f t="shared" si="232"/>
        <v>0</v>
      </c>
      <c r="U234" s="78"/>
      <c r="AG234" s="108"/>
      <c r="AI234" s="78">
        <f t="shared" si="176"/>
        <v>0</v>
      </c>
      <c r="AJ234" s="78">
        <f t="shared" si="177"/>
        <v>0</v>
      </c>
      <c r="AK234" s="78">
        <f t="shared" si="178"/>
        <v>0</v>
      </c>
      <c r="AL234" s="78">
        <f t="shared" si="179"/>
        <v>0</v>
      </c>
      <c r="AM234" s="78">
        <f t="shared" si="180"/>
        <v>0</v>
      </c>
      <c r="AN234" s="78">
        <f t="shared" si="181"/>
        <v>0</v>
      </c>
      <c r="AO234" s="78">
        <f t="shared" si="182"/>
        <v>0</v>
      </c>
      <c r="AP234" s="78">
        <f t="shared" si="183"/>
        <v>0</v>
      </c>
      <c r="AQ234" s="78">
        <f t="shared" si="184"/>
        <v>0</v>
      </c>
      <c r="AR234" s="78">
        <f t="shared" si="185"/>
        <v>0</v>
      </c>
      <c r="AS234" s="90">
        <f t="shared" si="186"/>
        <v>0</v>
      </c>
      <c r="AT234" s="91">
        <f t="shared" si="187"/>
        <v>0</v>
      </c>
      <c r="AV234" s="91">
        <f t="shared" si="188"/>
        <v>0</v>
      </c>
      <c r="AW234" s="78">
        <f t="shared" si="189"/>
        <v>0</v>
      </c>
      <c r="AX234" s="78">
        <f t="shared" si="190"/>
        <v>0</v>
      </c>
      <c r="AY234" s="78"/>
      <c r="AZ234" s="78">
        <f t="shared" si="191"/>
        <v>0</v>
      </c>
      <c r="BA234" s="78">
        <f t="shared" si="192"/>
        <v>0</v>
      </c>
      <c r="BB234" s="78">
        <f t="shared" si="193"/>
        <v>0</v>
      </c>
      <c r="BC234" s="78">
        <f t="shared" si="194"/>
        <v>0</v>
      </c>
      <c r="BD234" s="78">
        <f t="shared" si="195"/>
        <v>0</v>
      </c>
      <c r="BE234" s="78">
        <f t="shared" si="196"/>
        <v>0</v>
      </c>
      <c r="BF234" s="78">
        <f t="shared" si="197"/>
        <v>0</v>
      </c>
      <c r="BG234" s="78">
        <f t="shared" si="198"/>
        <v>0</v>
      </c>
      <c r="BH234" s="78">
        <f t="shared" si="199"/>
        <v>0</v>
      </c>
      <c r="BI234" s="78"/>
      <c r="BJ234" s="91">
        <f t="shared" si="200"/>
        <v>0</v>
      </c>
      <c r="BK234" s="91">
        <f t="shared" si="201"/>
        <v>0</v>
      </c>
      <c r="BL234" s="78"/>
      <c r="BM234" s="78">
        <f t="shared" si="202"/>
        <v>0</v>
      </c>
      <c r="BN234" s="78">
        <f t="shared" si="203"/>
        <v>0</v>
      </c>
      <c r="BO234" s="78">
        <f t="shared" si="204"/>
        <v>0</v>
      </c>
      <c r="BP234" s="78">
        <f t="shared" si="205"/>
        <v>0</v>
      </c>
      <c r="BQ234" s="78">
        <f t="shared" si="206"/>
        <v>0</v>
      </c>
      <c r="BR234" s="78">
        <f t="shared" si="207"/>
        <v>0</v>
      </c>
      <c r="BS234" s="78">
        <f t="shared" si="208"/>
        <v>0</v>
      </c>
      <c r="BT234" s="78">
        <f t="shared" si="209"/>
        <v>0</v>
      </c>
      <c r="BU234" s="91">
        <f t="shared" si="210"/>
        <v>0</v>
      </c>
      <c r="BV234" s="91">
        <f t="shared" si="211"/>
        <v>0</v>
      </c>
      <c r="BW234" s="78"/>
      <c r="BX234" s="78"/>
      <c r="BY234" s="78">
        <f t="shared" si="212"/>
        <v>0</v>
      </c>
      <c r="BZ234" s="78">
        <f t="shared" si="213"/>
        <v>0</v>
      </c>
      <c r="CA234" s="78">
        <f t="shared" si="214"/>
        <v>0</v>
      </c>
      <c r="CB234" s="78">
        <f t="shared" si="215"/>
        <v>0</v>
      </c>
      <c r="CC234" s="78">
        <f t="shared" si="216"/>
        <v>0</v>
      </c>
      <c r="CD234" s="78">
        <f t="shared" si="217"/>
        <v>0</v>
      </c>
      <c r="CE234" s="78">
        <f t="shared" si="218"/>
        <v>0</v>
      </c>
      <c r="CF234" s="78">
        <f t="shared" si="219"/>
        <v>0</v>
      </c>
      <c r="CG234" s="78"/>
      <c r="CH234" s="92">
        <f t="shared" si="220"/>
        <v>0</v>
      </c>
      <c r="CI234" s="93">
        <f t="shared" si="221"/>
        <v>0</v>
      </c>
      <c r="CJ234" s="94">
        <f t="shared" si="222"/>
        <v>0</v>
      </c>
      <c r="CL234" s="78">
        <f t="shared" si="223"/>
        <v>0</v>
      </c>
      <c r="CM234" s="78">
        <f t="shared" si="224"/>
        <v>0</v>
      </c>
      <c r="CN234" s="78">
        <f t="shared" si="225"/>
        <v>0</v>
      </c>
      <c r="CO234" s="78">
        <f t="shared" si="226"/>
        <v>0</v>
      </c>
    </row>
    <row r="235" spans="1:93" ht="13.5" thickBot="1">
      <c r="A235" s="95"/>
      <c r="B235" s="96"/>
      <c r="C235" s="97"/>
      <c r="D235" s="98"/>
      <c r="E235" s="99"/>
      <c r="F235" s="100"/>
      <c r="G235" s="100"/>
      <c r="H235" s="100"/>
      <c r="I235" s="100"/>
      <c r="J235" s="100"/>
      <c r="K235" s="101" t="str">
        <f t="shared" si="227"/>
        <v/>
      </c>
      <c r="L235" s="102"/>
      <c r="M235" s="103"/>
      <c r="N235" s="104"/>
      <c r="O235" s="105"/>
      <c r="P235" s="106">
        <f t="shared" si="228"/>
        <v>0</v>
      </c>
      <c r="Q235" s="106">
        <f t="shared" si="229"/>
        <v>0</v>
      </c>
      <c r="R235" s="106">
        <f t="shared" si="230"/>
        <v>0</v>
      </c>
      <c r="S235" s="106">
        <f t="shared" si="231"/>
        <v>0</v>
      </c>
      <c r="T235" s="107">
        <f t="shared" si="232"/>
        <v>0</v>
      </c>
      <c r="U235" s="78"/>
      <c r="AG235" s="108"/>
      <c r="AI235" s="78">
        <f t="shared" si="176"/>
        <v>0</v>
      </c>
      <c r="AJ235" s="78">
        <f t="shared" si="177"/>
        <v>0</v>
      </c>
      <c r="AK235" s="78">
        <f t="shared" si="178"/>
        <v>0</v>
      </c>
      <c r="AL235" s="78">
        <f t="shared" si="179"/>
        <v>0</v>
      </c>
      <c r="AM235" s="78">
        <f t="shared" si="180"/>
        <v>0</v>
      </c>
      <c r="AN235" s="78">
        <f t="shared" si="181"/>
        <v>0</v>
      </c>
      <c r="AO235" s="78">
        <f t="shared" si="182"/>
        <v>0</v>
      </c>
      <c r="AP235" s="78">
        <f t="shared" si="183"/>
        <v>0</v>
      </c>
      <c r="AQ235" s="78">
        <f t="shared" si="184"/>
        <v>0</v>
      </c>
      <c r="AR235" s="78">
        <f t="shared" si="185"/>
        <v>0</v>
      </c>
      <c r="AS235" s="90">
        <f t="shared" si="186"/>
        <v>0</v>
      </c>
      <c r="AT235" s="91">
        <f t="shared" si="187"/>
        <v>0</v>
      </c>
      <c r="AV235" s="91">
        <f t="shared" si="188"/>
        <v>0</v>
      </c>
      <c r="AW235" s="78">
        <f t="shared" si="189"/>
        <v>0</v>
      </c>
      <c r="AX235" s="78">
        <f t="shared" si="190"/>
        <v>0</v>
      </c>
      <c r="AY235" s="78"/>
      <c r="AZ235" s="78">
        <f t="shared" si="191"/>
        <v>0</v>
      </c>
      <c r="BA235" s="78">
        <f t="shared" si="192"/>
        <v>0</v>
      </c>
      <c r="BB235" s="78">
        <f t="shared" si="193"/>
        <v>0</v>
      </c>
      <c r="BC235" s="78">
        <f t="shared" si="194"/>
        <v>0</v>
      </c>
      <c r="BD235" s="78">
        <f t="shared" si="195"/>
        <v>0</v>
      </c>
      <c r="BE235" s="78">
        <f t="shared" si="196"/>
        <v>0</v>
      </c>
      <c r="BF235" s="78">
        <f t="shared" si="197"/>
        <v>0</v>
      </c>
      <c r="BG235" s="78">
        <f t="shared" si="198"/>
        <v>0</v>
      </c>
      <c r="BH235" s="78">
        <f t="shared" si="199"/>
        <v>0</v>
      </c>
      <c r="BI235" s="78"/>
      <c r="BJ235" s="91">
        <f t="shared" si="200"/>
        <v>0</v>
      </c>
      <c r="BK235" s="91">
        <f t="shared" si="201"/>
        <v>0</v>
      </c>
      <c r="BL235" s="78"/>
      <c r="BM235" s="78">
        <f t="shared" si="202"/>
        <v>0</v>
      </c>
      <c r="BN235" s="78">
        <f t="shared" si="203"/>
        <v>0</v>
      </c>
      <c r="BO235" s="78">
        <f t="shared" si="204"/>
        <v>0</v>
      </c>
      <c r="BP235" s="78">
        <f t="shared" si="205"/>
        <v>0</v>
      </c>
      <c r="BQ235" s="78">
        <f t="shared" si="206"/>
        <v>0</v>
      </c>
      <c r="BR235" s="78">
        <f t="shared" si="207"/>
        <v>0</v>
      </c>
      <c r="BS235" s="78">
        <f t="shared" si="208"/>
        <v>0</v>
      </c>
      <c r="BT235" s="78">
        <f t="shared" si="209"/>
        <v>0</v>
      </c>
      <c r="BU235" s="91">
        <f t="shared" si="210"/>
        <v>0</v>
      </c>
      <c r="BV235" s="91">
        <f t="shared" si="211"/>
        <v>0</v>
      </c>
      <c r="BW235" s="78"/>
      <c r="BX235" s="78"/>
      <c r="BY235" s="78">
        <f t="shared" si="212"/>
        <v>0</v>
      </c>
      <c r="BZ235" s="78">
        <f t="shared" si="213"/>
        <v>0</v>
      </c>
      <c r="CA235" s="78">
        <f t="shared" si="214"/>
        <v>0</v>
      </c>
      <c r="CB235" s="78">
        <f t="shared" si="215"/>
        <v>0</v>
      </c>
      <c r="CC235" s="78">
        <f t="shared" si="216"/>
        <v>0</v>
      </c>
      <c r="CD235" s="78">
        <f t="shared" si="217"/>
        <v>0</v>
      </c>
      <c r="CE235" s="78">
        <f t="shared" si="218"/>
        <v>0</v>
      </c>
      <c r="CF235" s="78">
        <f t="shared" si="219"/>
        <v>0</v>
      </c>
      <c r="CG235" s="78"/>
      <c r="CH235" s="92">
        <f t="shared" si="220"/>
        <v>0</v>
      </c>
      <c r="CI235" s="93">
        <f t="shared" si="221"/>
        <v>0</v>
      </c>
      <c r="CJ235" s="94">
        <f t="shared" si="222"/>
        <v>0</v>
      </c>
      <c r="CL235" s="78">
        <f t="shared" si="223"/>
        <v>0</v>
      </c>
      <c r="CM235" s="78">
        <f t="shared" si="224"/>
        <v>0</v>
      </c>
      <c r="CN235" s="78">
        <f t="shared" si="225"/>
        <v>0</v>
      </c>
      <c r="CO235" s="78">
        <f t="shared" si="226"/>
        <v>0</v>
      </c>
    </row>
    <row r="236" spans="1:93" ht="13.5" thickBot="1">
      <c r="A236" s="95"/>
      <c r="B236" s="96"/>
      <c r="C236" s="97"/>
      <c r="D236" s="98"/>
      <c r="E236" s="99"/>
      <c r="F236" s="100"/>
      <c r="G236" s="100"/>
      <c r="H236" s="100"/>
      <c r="I236" s="100"/>
      <c r="J236" s="100"/>
      <c r="K236" s="101" t="str">
        <f t="shared" si="227"/>
        <v/>
      </c>
      <c r="L236" s="102"/>
      <c r="M236" s="103"/>
      <c r="N236" s="104"/>
      <c r="O236" s="105"/>
      <c r="P236" s="106">
        <f t="shared" si="228"/>
        <v>0</v>
      </c>
      <c r="Q236" s="106">
        <f t="shared" si="229"/>
        <v>0</v>
      </c>
      <c r="R236" s="106">
        <f t="shared" si="230"/>
        <v>0</v>
      </c>
      <c r="S236" s="106">
        <f t="shared" si="231"/>
        <v>0</v>
      </c>
      <c r="T236" s="107">
        <f t="shared" si="232"/>
        <v>0</v>
      </c>
      <c r="U236" s="78"/>
      <c r="AG236" s="108"/>
      <c r="AI236" s="78">
        <f t="shared" si="176"/>
        <v>0</v>
      </c>
      <c r="AJ236" s="78">
        <f t="shared" si="177"/>
        <v>0</v>
      </c>
      <c r="AK236" s="78">
        <f t="shared" si="178"/>
        <v>0</v>
      </c>
      <c r="AL236" s="78">
        <f t="shared" si="179"/>
        <v>0</v>
      </c>
      <c r="AM236" s="78">
        <f t="shared" si="180"/>
        <v>0</v>
      </c>
      <c r="AN236" s="78">
        <f t="shared" si="181"/>
        <v>0</v>
      </c>
      <c r="AO236" s="78">
        <f t="shared" si="182"/>
        <v>0</v>
      </c>
      <c r="AP236" s="78">
        <f t="shared" si="183"/>
        <v>0</v>
      </c>
      <c r="AQ236" s="78">
        <f t="shared" si="184"/>
        <v>0</v>
      </c>
      <c r="AR236" s="78">
        <f t="shared" si="185"/>
        <v>0</v>
      </c>
      <c r="AS236" s="90">
        <f t="shared" si="186"/>
        <v>0</v>
      </c>
      <c r="AT236" s="91">
        <f t="shared" si="187"/>
        <v>0</v>
      </c>
      <c r="AV236" s="91">
        <f t="shared" si="188"/>
        <v>0</v>
      </c>
      <c r="AW236" s="78">
        <f t="shared" si="189"/>
        <v>0</v>
      </c>
      <c r="AX236" s="78">
        <f t="shared" si="190"/>
        <v>0</v>
      </c>
      <c r="AY236" s="78"/>
      <c r="AZ236" s="78">
        <f t="shared" si="191"/>
        <v>0</v>
      </c>
      <c r="BA236" s="78">
        <f t="shared" si="192"/>
        <v>0</v>
      </c>
      <c r="BB236" s="78">
        <f t="shared" si="193"/>
        <v>0</v>
      </c>
      <c r="BC236" s="78">
        <f t="shared" si="194"/>
        <v>0</v>
      </c>
      <c r="BD236" s="78">
        <f t="shared" si="195"/>
        <v>0</v>
      </c>
      <c r="BE236" s="78">
        <f t="shared" si="196"/>
        <v>0</v>
      </c>
      <c r="BF236" s="78">
        <f t="shared" si="197"/>
        <v>0</v>
      </c>
      <c r="BG236" s="78">
        <f t="shared" si="198"/>
        <v>0</v>
      </c>
      <c r="BH236" s="78">
        <f t="shared" si="199"/>
        <v>0</v>
      </c>
      <c r="BI236" s="78"/>
      <c r="BJ236" s="91">
        <f t="shared" si="200"/>
        <v>0</v>
      </c>
      <c r="BK236" s="91">
        <f t="shared" si="201"/>
        <v>0</v>
      </c>
      <c r="BL236" s="78"/>
      <c r="BM236" s="78">
        <f t="shared" si="202"/>
        <v>0</v>
      </c>
      <c r="BN236" s="78">
        <f t="shared" si="203"/>
        <v>0</v>
      </c>
      <c r="BO236" s="78">
        <f t="shared" si="204"/>
        <v>0</v>
      </c>
      <c r="BP236" s="78">
        <f t="shared" si="205"/>
        <v>0</v>
      </c>
      <c r="BQ236" s="78">
        <f t="shared" si="206"/>
        <v>0</v>
      </c>
      <c r="BR236" s="78">
        <f t="shared" si="207"/>
        <v>0</v>
      </c>
      <c r="BS236" s="78">
        <f t="shared" si="208"/>
        <v>0</v>
      </c>
      <c r="BT236" s="78">
        <f t="shared" si="209"/>
        <v>0</v>
      </c>
      <c r="BU236" s="91">
        <f t="shared" si="210"/>
        <v>0</v>
      </c>
      <c r="BV236" s="91">
        <f t="shared" si="211"/>
        <v>0</v>
      </c>
      <c r="BW236" s="78"/>
      <c r="BX236" s="78"/>
      <c r="BY236" s="78">
        <f t="shared" si="212"/>
        <v>0</v>
      </c>
      <c r="BZ236" s="78">
        <f t="shared" si="213"/>
        <v>0</v>
      </c>
      <c r="CA236" s="78">
        <f t="shared" si="214"/>
        <v>0</v>
      </c>
      <c r="CB236" s="78">
        <f t="shared" si="215"/>
        <v>0</v>
      </c>
      <c r="CC236" s="78">
        <f t="shared" si="216"/>
        <v>0</v>
      </c>
      <c r="CD236" s="78">
        <f t="shared" si="217"/>
        <v>0</v>
      </c>
      <c r="CE236" s="78">
        <f t="shared" si="218"/>
        <v>0</v>
      </c>
      <c r="CF236" s="78">
        <f t="shared" si="219"/>
        <v>0</v>
      </c>
      <c r="CG236" s="78"/>
      <c r="CH236" s="92">
        <f t="shared" si="220"/>
        <v>0</v>
      </c>
      <c r="CI236" s="93">
        <f t="shared" si="221"/>
        <v>0</v>
      </c>
      <c r="CJ236" s="94">
        <f t="shared" si="222"/>
        <v>0</v>
      </c>
      <c r="CL236" s="78">
        <f t="shared" si="223"/>
        <v>0</v>
      </c>
      <c r="CM236" s="78">
        <f t="shared" si="224"/>
        <v>0</v>
      </c>
      <c r="CN236" s="78">
        <f t="shared" si="225"/>
        <v>0</v>
      </c>
      <c r="CO236" s="78">
        <f t="shared" si="226"/>
        <v>0</v>
      </c>
    </row>
    <row r="237" spans="1:93" ht="13.5" thickBot="1">
      <c r="A237" s="95"/>
      <c r="B237" s="96"/>
      <c r="C237" s="97"/>
      <c r="D237" s="98"/>
      <c r="E237" s="99"/>
      <c r="F237" s="100"/>
      <c r="G237" s="100"/>
      <c r="H237" s="100"/>
      <c r="I237" s="100"/>
      <c r="J237" s="100"/>
      <c r="K237" s="101" t="str">
        <f t="shared" si="227"/>
        <v/>
      </c>
      <c r="L237" s="102"/>
      <c r="M237" s="103"/>
      <c r="N237" s="104"/>
      <c r="O237" s="105"/>
      <c r="P237" s="106">
        <f t="shared" si="228"/>
        <v>0</v>
      </c>
      <c r="Q237" s="106">
        <f t="shared" si="229"/>
        <v>0</v>
      </c>
      <c r="R237" s="106">
        <f t="shared" si="230"/>
        <v>0</v>
      </c>
      <c r="S237" s="106">
        <f t="shared" si="231"/>
        <v>0</v>
      </c>
      <c r="T237" s="107">
        <f t="shared" si="232"/>
        <v>0</v>
      </c>
      <c r="U237" s="78"/>
      <c r="AG237" s="108"/>
      <c r="AI237" s="78">
        <f t="shared" si="176"/>
        <v>0</v>
      </c>
      <c r="AJ237" s="78">
        <f t="shared" si="177"/>
        <v>0</v>
      </c>
      <c r="AK237" s="78">
        <f t="shared" si="178"/>
        <v>0</v>
      </c>
      <c r="AL237" s="78">
        <f t="shared" si="179"/>
        <v>0</v>
      </c>
      <c r="AM237" s="78">
        <f t="shared" si="180"/>
        <v>0</v>
      </c>
      <c r="AN237" s="78">
        <f t="shared" si="181"/>
        <v>0</v>
      </c>
      <c r="AO237" s="78">
        <f t="shared" si="182"/>
        <v>0</v>
      </c>
      <c r="AP237" s="78">
        <f t="shared" si="183"/>
        <v>0</v>
      </c>
      <c r="AQ237" s="78">
        <f t="shared" si="184"/>
        <v>0</v>
      </c>
      <c r="AR237" s="78">
        <f t="shared" si="185"/>
        <v>0</v>
      </c>
      <c r="AS237" s="90">
        <f t="shared" si="186"/>
        <v>0</v>
      </c>
      <c r="AT237" s="91">
        <f t="shared" si="187"/>
        <v>0</v>
      </c>
      <c r="AV237" s="91">
        <f t="shared" si="188"/>
        <v>0</v>
      </c>
      <c r="AW237" s="78">
        <f t="shared" si="189"/>
        <v>0</v>
      </c>
      <c r="AX237" s="78">
        <f t="shared" si="190"/>
        <v>0</v>
      </c>
      <c r="AY237" s="78"/>
      <c r="AZ237" s="78">
        <f t="shared" si="191"/>
        <v>0</v>
      </c>
      <c r="BA237" s="78">
        <f t="shared" si="192"/>
        <v>0</v>
      </c>
      <c r="BB237" s="78">
        <f t="shared" si="193"/>
        <v>0</v>
      </c>
      <c r="BC237" s="78">
        <f t="shared" si="194"/>
        <v>0</v>
      </c>
      <c r="BD237" s="78">
        <f t="shared" si="195"/>
        <v>0</v>
      </c>
      <c r="BE237" s="78">
        <f t="shared" si="196"/>
        <v>0</v>
      </c>
      <c r="BF237" s="78">
        <f t="shared" si="197"/>
        <v>0</v>
      </c>
      <c r="BG237" s="78">
        <f t="shared" si="198"/>
        <v>0</v>
      </c>
      <c r="BH237" s="78">
        <f t="shared" si="199"/>
        <v>0</v>
      </c>
      <c r="BI237" s="78"/>
      <c r="BJ237" s="91">
        <f t="shared" si="200"/>
        <v>0</v>
      </c>
      <c r="BK237" s="91">
        <f t="shared" si="201"/>
        <v>0</v>
      </c>
      <c r="BL237" s="78"/>
      <c r="BM237" s="78">
        <f t="shared" si="202"/>
        <v>0</v>
      </c>
      <c r="BN237" s="78">
        <f t="shared" si="203"/>
        <v>0</v>
      </c>
      <c r="BO237" s="78">
        <f t="shared" si="204"/>
        <v>0</v>
      </c>
      <c r="BP237" s="78">
        <f t="shared" si="205"/>
        <v>0</v>
      </c>
      <c r="BQ237" s="78">
        <f t="shared" si="206"/>
        <v>0</v>
      </c>
      <c r="BR237" s="78">
        <f t="shared" si="207"/>
        <v>0</v>
      </c>
      <c r="BS237" s="78">
        <f t="shared" si="208"/>
        <v>0</v>
      </c>
      <c r="BT237" s="78">
        <f t="shared" si="209"/>
        <v>0</v>
      </c>
      <c r="BU237" s="91">
        <f t="shared" si="210"/>
        <v>0</v>
      </c>
      <c r="BV237" s="91">
        <f t="shared" si="211"/>
        <v>0</v>
      </c>
      <c r="BW237" s="78"/>
      <c r="BX237" s="78"/>
      <c r="BY237" s="78">
        <f t="shared" si="212"/>
        <v>0</v>
      </c>
      <c r="BZ237" s="78">
        <f t="shared" si="213"/>
        <v>0</v>
      </c>
      <c r="CA237" s="78">
        <f t="shared" si="214"/>
        <v>0</v>
      </c>
      <c r="CB237" s="78">
        <f t="shared" si="215"/>
        <v>0</v>
      </c>
      <c r="CC237" s="78">
        <f t="shared" si="216"/>
        <v>0</v>
      </c>
      <c r="CD237" s="78">
        <f t="shared" si="217"/>
        <v>0</v>
      </c>
      <c r="CE237" s="78">
        <f t="shared" si="218"/>
        <v>0</v>
      </c>
      <c r="CF237" s="78">
        <f t="shared" si="219"/>
        <v>0</v>
      </c>
      <c r="CG237" s="78"/>
      <c r="CH237" s="92">
        <f t="shared" si="220"/>
        <v>0</v>
      </c>
      <c r="CI237" s="93">
        <f t="shared" si="221"/>
        <v>0</v>
      </c>
      <c r="CJ237" s="94">
        <f t="shared" si="222"/>
        <v>0</v>
      </c>
      <c r="CL237" s="78">
        <f t="shared" si="223"/>
        <v>0</v>
      </c>
      <c r="CM237" s="78">
        <f t="shared" si="224"/>
        <v>0</v>
      </c>
      <c r="CN237" s="78">
        <f t="shared" si="225"/>
        <v>0</v>
      </c>
      <c r="CO237" s="78">
        <f t="shared" si="226"/>
        <v>0</v>
      </c>
    </row>
    <row r="238" spans="1:93" ht="13.5" thickBot="1">
      <c r="A238" s="95"/>
      <c r="B238" s="96"/>
      <c r="C238" s="97"/>
      <c r="D238" s="98"/>
      <c r="E238" s="99"/>
      <c r="F238" s="100"/>
      <c r="G238" s="100"/>
      <c r="H238" s="100"/>
      <c r="I238" s="100"/>
      <c r="J238" s="100"/>
      <c r="K238" s="101" t="str">
        <f t="shared" si="227"/>
        <v/>
      </c>
      <c r="L238" s="102"/>
      <c r="M238" s="103"/>
      <c r="N238" s="104"/>
      <c r="O238" s="105"/>
      <c r="P238" s="106">
        <f t="shared" si="228"/>
        <v>0</v>
      </c>
      <c r="Q238" s="106">
        <f t="shared" si="229"/>
        <v>0</v>
      </c>
      <c r="R238" s="106">
        <f t="shared" si="230"/>
        <v>0</v>
      </c>
      <c r="S238" s="106">
        <f t="shared" si="231"/>
        <v>0</v>
      </c>
      <c r="T238" s="107">
        <f t="shared" si="232"/>
        <v>0</v>
      </c>
      <c r="U238" s="78"/>
      <c r="AG238" s="108"/>
      <c r="AI238" s="78">
        <f t="shared" si="176"/>
        <v>0</v>
      </c>
      <c r="AJ238" s="78">
        <f t="shared" si="177"/>
        <v>0</v>
      </c>
      <c r="AK238" s="78">
        <f t="shared" si="178"/>
        <v>0</v>
      </c>
      <c r="AL238" s="78">
        <f t="shared" si="179"/>
        <v>0</v>
      </c>
      <c r="AM238" s="78">
        <f t="shared" si="180"/>
        <v>0</v>
      </c>
      <c r="AN238" s="78">
        <f t="shared" si="181"/>
        <v>0</v>
      </c>
      <c r="AO238" s="78">
        <f t="shared" si="182"/>
        <v>0</v>
      </c>
      <c r="AP238" s="78">
        <f t="shared" si="183"/>
        <v>0</v>
      </c>
      <c r="AQ238" s="78">
        <f t="shared" si="184"/>
        <v>0</v>
      </c>
      <c r="AR238" s="78">
        <f t="shared" si="185"/>
        <v>0</v>
      </c>
      <c r="AS238" s="90">
        <f t="shared" si="186"/>
        <v>0</v>
      </c>
      <c r="AT238" s="91">
        <f t="shared" si="187"/>
        <v>0</v>
      </c>
      <c r="AV238" s="91">
        <f t="shared" si="188"/>
        <v>0</v>
      </c>
      <c r="AW238" s="78">
        <f t="shared" si="189"/>
        <v>0</v>
      </c>
      <c r="AX238" s="78">
        <f t="shared" si="190"/>
        <v>0</v>
      </c>
      <c r="AY238" s="78"/>
      <c r="AZ238" s="78">
        <f t="shared" si="191"/>
        <v>0</v>
      </c>
      <c r="BA238" s="78">
        <f t="shared" si="192"/>
        <v>0</v>
      </c>
      <c r="BB238" s="78">
        <f t="shared" si="193"/>
        <v>0</v>
      </c>
      <c r="BC238" s="78">
        <f t="shared" si="194"/>
        <v>0</v>
      </c>
      <c r="BD238" s="78">
        <f t="shared" si="195"/>
        <v>0</v>
      </c>
      <c r="BE238" s="78">
        <f t="shared" si="196"/>
        <v>0</v>
      </c>
      <c r="BF238" s="78">
        <f t="shared" si="197"/>
        <v>0</v>
      </c>
      <c r="BG238" s="78">
        <f t="shared" si="198"/>
        <v>0</v>
      </c>
      <c r="BH238" s="78">
        <f t="shared" si="199"/>
        <v>0</v>
      </c>
      <c r="BI238" s="78"/>
      <c r="BJ238" s="91">
        <f t="shared" si="200"/>
        <v>0</v>
      </c>
      <c r="BK238" s="91">
        <f t="shared" si="201"/>
        <v>0</v>
      </c>
      <c r="BL238" s="78"/>
      <c r="BM238" s="78">
        <f t="shared" si="202"/>
        <v>0</v>
      </c>
      <c r="BN238" s="78">
        <f t="shared" si="203"/>
        <v>0</v>
      </c>
      <c r="BO238" s="78">
        <f t="shared" si="204"/>
        <v>0</v>
      </c>
      <c r="BP238" s="78">
        <f t="shared" si="205"/>
        <v>0</v>
      </c>
      <c r="BQ238" s="78">
        <f t="shared" si="206"/>
        <v>0</v>
      </c>
      <c r="BR238" s="78">
        <f t="shared" si="207"/>
        <v>0</v>
      </c>
      <c r="BS238" s="78">
        <f t="shared" si="208"/>
        <v>0</v>
      </c>
      <c r="BT238" s="78">
        <f t="shared" si="209"/>
        <v>0</v>
      </c>
      <c r="BU238" s="91">
        <f t="shared" si="210"/>
        <v>0</v>
      </c>
      <c r="BV238" s="91">
        <f t="shared" si="211"/>
        <v>0</v>
      </c>
      <c r="BW238" s="78"/>
      <c r="BX238" s="78"/>
      <c r="BY238" s="78">
        <f t="shared" si="212"/>
        <v>0</v>
      </c>
      <c r="BZ238" s="78">
        <f t="shared" si="213"/>
        <v>0</v>
      </c>
      <c r="CA238" s="78">
        <f t="shared" si="214"/>
        <v>0</v>
      </c>
      <c r="CB238" s="78">
        <f t="shared" si="215"/>
        <v>0</v>
      </c>
      <c r="CC238" s="78">
        <f t="shared" si="216"/>
        <v>0</v>
      </c>
      <c r="CD238" s="78">
        <f t="shared" si="217"/>
        <v>0</v>
      </c>
      <c r="CE238" s="78">
        <f t="shared" si="218"/>
        <v>0</v>
      </c>
      <c r="CF238" s="78">
        <f t="shared" si="219"/>
        <v>0</v>
      </c>
      <c r="CG238" s="78"/>
      <c r="CH238" s="92">
        <f t="shared" si="220"/>
        <v>0</v>
      </c>
      <c r="CI238" s="93">
        <f t="shared" si="221"/>
        <v>0</v>
      </c>
      <c r="CJ238" s="94">
        <f t="shared" si="222"/>
        <v>0</v>
      </c>
      <c r="CL238" s="78">
        <f t="shared" si="223"/>
        <v>0</v>
      </c>
      <c r="CM238" s="78">
        <f t="shared" si="224"/>
        <v>0</v>
      </c>
      <c r="CN238" s="78">
        <f t="shared" si="225"/>
        <v>0</v>
      </c>
      <c r="CO238" s="78">
        <f t="shared" si="226"/>
        <v>0</v>
      </c>
    </row>
    <row r="239" spans="1:93" ht="13.5" thickBot="1">
      <c r="A239" s="95"/>
      <c r="B239" s="96"/>
      <c r="C239" s="97"/>
      <c r="D239" s="98"/>
      <c r="E239" s="99"/>
      <c r="F239" s="100"/>
      <c r="G239" s="100"/>
      <c r="H239" s="100"/>
      <c r="I239" s="100"/>
      <c r="J239" s="100"/>
      <c r="K239" s="101" t="str">
        <f t="shared" si="227"/>
        <v/>
      </c>
      <c r="L239" s="102"/>
      <c r="M239" s="103"/>
      <c r="N239" s="104"/>
      <c r="O239" s="105"/>
      <c r="P239" s="106">
        <f t="shared" si="228"/>
        <v>0</v>
      </c>
      <c r="Q239" s="106">
        <f t="shared" si="229"/>
        <v>0</v>
      </c>
      <c r="R239" s="106">
        <f t="shared" si="230"/>
        <v>0</v>
      </c>
      <c r="S239" s="106">
        <f t="shared" si="231"/>
        <v>0</v>
      </c>
      <c r="T239" s="107">
        <f t="shared" si="232"/>
        <v>0</v>
      </c>
      <c r="U239" s="78"/>
      <c r="AG239" s="108"/>
      <c r="AI239" s="78">
        <f t="shared" si="176"/>
        <v>0</v>
      </c>
      <c r="AJ239" s="78">
        <f t="shared" si="177"/>
        <v>0</v>
      </c>
      <c r="AK239" s="78">
        <f t="shared" si="178"/>
        <v>0</v>
      </c>
      <c r="AL239" s="78">
        <f t="shared" si="179"/>
        <v>0</v>
      </c>
      <c r="AM239" s="78">
        <f t="shared" si="180"/>
        <v>0</v>
      </c>
      <c r="AN239" s="78">
        <f t="shared" si="181"/>
        <v>0</v>
      </c>
      <c r="AO239" s="78">
        <f t="shared" si="182"/>
        <v>0</v>
      </c>
      <c r="AP239" s="78">
        <f t="shared" si="183"/>
        <v>0</v>
      </c>
      <c r="AQ239" s="78">
        <f t="shared" si="184"/>
        <v>0</v>
      </c>
      <c r="AR239" s="78">
        <f t="shared" si="185"/>
        <v>0</v>
      </c>
      <c r="AS239" s="90">
        <f t="shared" si="186"/>
        <v>0</v>
      </c>
      <c r="AT239" s="91">
        <f t="shared" si="187"/>
        <v>0</v>
      </c>
      <c r="AV239" s="91">
        <f t="shared" si="188"/>
        <v>0</v>
      </c>
      <c r="AW239" s="78">
        <f t="shared" si="189"/>
        <v>0</v>
      </c>
      <c r="AX239" s="78">
        <f t="shared" si="190"/>
        <v>0</v>
      </c>
      <c r="AY239" s="78"/>
      <c r="AZ239" s="78">
        <f t="shared" si="191"/>
        <v>0</v>
      </c>
      <c r="BA239" s="78">
        <f t="shared" si="192"/>
        <v>0</v>
      </c>
      <c r="BB239" s="78">
        <f t="shared" si="193"/>
        <v>0</v>
      </c>
      <c r="BC239" s="78">
        <f t="shared" si="194"/>
        <v>0</v>
      </c>
      <c r="BD239" s="78">
        <f t="shared" si="195"/>
        <v>0</v>
      </c>
      <c r="BE239" s="78">
        <f t="shared" si="196"/>
        <v>0</v>
      </c>
      <c r="BF239" s="78">
        <f t="shared" si="197"/>
        <v>0</v>
      </c>
      <c r="BG239" s="78">
        <f t="shared" si="198"/>
        <v>0</v>
      </c>
      <c r="BH239" s="78">
        <f t="shared" si="199"/>
        <v>0</v>
      </c>
      <c r="BI239" s="78"/>
      <c r="BJ239" s="91">
        <f t="shared" si="200"/>
        <v>0</v>
      </c>
      <c r="BK239" s="91">
        <f t="shared" si="201"/>
        <v>0</v>
      </c>
      <c r="BL239" s="78"/>
      <c r="BM239" s="78">
        <f t="shared" si="202"/>
        <v>0</v>
      </c>
      <c r="BN239" s="78">
        <f t="shared" si="203"/>
        <v>0</v>
      </c>
      <c r="BO239" s="78">
        <f t="shared" si="204"/>
        <v>0</v>
      </c>
      <c r="BP239" s="78">
        <f t="shared" si="205"/>
        <v>0</v>
      </c>
      <c r="BQ239" s="78">
        <f t="shared" si="206"/>
        <v>0</v>
      </c>
      <c r="BR239" s="78">
        <f t="shared" si="207"/>
        <v>0</v>
      </c>
      <c r="BS239" s="78">
        <f t="shared" si="208"/>
        <v>0</v>
      </c>
      <c r="BT239" s="78">
        <f t="shared" si="209"/>
        <v>0</v>
      </c>
      <c r="BU239" s="91">
        <f t="shared" si="210"/>
        <v>0</v>
      </c>
      <c r="BV239" s="91">
        <f t="shared" si="211"/>
        <v>0</v>
      </c>
      <c r="BW239" s="78"/>
      <c r="BX239" s="78"/>
      <c r="BY239" s="78">
        <f t="shared" si="212"/>
        <v>0</v>
      </c>
      <c r="BZ239" s="78">
        <f t="shared" si="213"/>
        <v>0</v>
      </c>
      <c r="CA239" s="78">
        <f t="shared" si="214"/>
        <v>0</v>
      </c>
      <c r="CB239" s="78">
        <f t="shared" si="215"/>
        <v>0</v>
      </c>
      <c r="CC239" s="78">
        <f t="shared" si="216"/>
        <v>0</v>
      </c>
      <c r="CD239" s="78">
        <f t="shared" si="217"/>
        <v>0</v>
      </c>
      <c r="CE239" s="78">
        <f t="shared" si="218"/>
        <v>0</v>
      </c>
      <c r="CF239" s="78">
        <f t="shared" si="219"/>
        <v>0</v>
      </c>
      <c r="CG239" s="78"/>
      <c r="CH239" s="92">
        <f t="shared" si="220"/>
        <v>0</v>
      </c>
      <c r="CI239" s="93">
        <f t="shared" si="221"/>
        <v>0</v>
      </c>
      <c r="CJ239" s="94">
        <f t="shared" si="222"/>
        <v>0</v>
      </c>
      <c r="CL239" s="78">
        <f t="shared" si="223"/>
        <v>0</v>
      </c>
      <c r="CM239" s="78">
        <f t="shared" si="224"/>
        <v>0</v>
      </c>
      <c r="CN239" s="78">
        <f t="shared" si="225"/>
        <v>0</v>
      </c>
      <c r="CO239" s="78">
        <f t="shared" si="226"/>
        <v>0</v>
      </c>
    </row>
    <row r="240" spans="1:93" ht="13.5" thickBot="1">
      <c r="A240" s="95"/>
      <c r="B240" s="96"/>
      <c r="C240" s="97"/>
      <c r="D240" s="98"/>
      <c r="E240" s="99"/>
      <c r="F240" s="100"/>
      <c r="G240" s="100"/>
      <c r="H240" s="100"/>
      <c r="I240" s="100"/>
      <c r="J240" s="100"/>
      <c r="K240" s="101" t="str">
        <f t="shared" si="227"/>
        <v/>
      </c>
      <c r="L240" s="102"/>
      <c r="M240" s="103"/>
      <c r="N240" s="104"/>
      <c r="O240" s="105"/>
      <c r="P240" s="106">
        <f t="shared" si="228"/>
        <v>0</v>
      </c>
      <c r="Q240" s="106">
        <f t="shared" si="229"/>
        <v>0</v>
      </c>
      <c r="R240" s="106">
        <f t="shared" si="230"/>
        <v>0</v>
      </c>
      <c r="S240" s="106">
        <f t="shared" si="231"/>
        <v>0</v>
      </c>
      <c r="T240" s="107">
        <f t="shared" si="232"/>
        <v>0</v>
      </c>
      <c r="U240" s="78"/>
      <c r="AG240" s="108"/>
      <c r="AI240" s="78">
        <f t="shared" si="176"/>
        <v>0</v>
      </c>
      <c r="AJ240" s="78">
        <f t="shared" si="177"/>
        <v>0</v>
      </c>
      <c r="AK240" s="78">
        <f t="shared" si="178"/>
        <v>0</v>
      </c>
      <c r="AL240" s="78">
        <f t="shared" si="179"/>
        <v>0</v>
      </c>
      <c r="AM240" s="78">
        <f t="shared" si="180"/>
        <v>0</v>
      </c>
      <c r="AN240" s="78">
        <f t="shared" si="181"/>
        <v>0</v>
      </c>
      <c r="AO240" s="78">
        <f t="shared" si="182"/>
        <v>0</v>
      </c>
      <c r="AP240" s="78">
        <f t="shared" si="183"/>
        <v>0</v>
      </c>
      <c r="AQ240" s="78">
        <f t="shared" si="184"/>
        <v>0</v>
      </c>
      <c r="AR240" s="78">
        <f t="shared" si="185"/>
        <v>0</v>
      </c>
      <c r="AS240" s="90">
        <f t="shared" si="186"/>
        <v>0</v>
      </c>
      <c r="AT240" s="91">
        <f t="shared" si="187"/>
        <v>0</v>
      </c>
      <c r="AV240" s="91">
        <f t="shared" si="188"/>
        <v>0</v>
      </c>
      <c r="AW240" s="78">
        <f t="shared" si="189"/>
        <v>0</v>
      </c>
      <c r="AX240" s="78">
        <f t="shared" si="190"/>
        <v>0</v>
      </c>
      <c r="AY240" s="78"/>
      <c r="AZ240" s="78">
        <f t="shared" si="191"/>
        <v>0</v>
      </c>
      <c r="BA240" s="78">
        <f t="shared" si="192"/>
        <v>0</v>
      </c>
      <c r="BB240" s="78">
        <f t="shared" si="193"/>
        <v>0</v>
      </c>
      <c r="BC240" s="78">
        <f t="shared" si="194"/>
        <v>0</v>
      </c>
      <c r="BD240" s="78">
        <f t="shared" si="195"/>
        <v>0</v>
      </c>
      <c r="BE240" s="78">
        <f t="shared" si="196"/>
        <v>0</v>
      </c>
      <c r="BF240" s="78">
        <f t="shared" si="197"/>
        <v>0</v>
      </c>
      <c r="BG240" s="78">
        <f t="shared" si="198"/>
        <v>0</v>
      </c>
      <c r="BH240" s="78">
        <f t="shared" si="199"/>
        <v>0</v>
      </c>
      <c r="BI240" s="78"/>
      <c r="BJ240" s="91">
        <f t="shared" si="200"/>
        <v>0</v>
      </c>
      <c r="BK240" s="91">
        <f t="shared" si="201"/>
        <v>0</v>
      </c>
      <c r="BL240" s="78"/>
      <c r="BM240" s="78">
        <f t="shared" si="202"/>
        <v>0</v>
      </c>
      <c r="BN240" s="78">
        <f t="shared" si="203"/>
        <v>0</v>
      </c>
      <c r="BO240" s="78">
        <f t="shared" si="204"/>
        <v>0</v>
      </c>
      <c r="BP240" s="78">
        <f t="shared" si="205"/>
        <v>0</v>
      </c>
      <c r="BQ240" s="78">
        <f t="shared" si="206"/>
        <v>0</v>
      </c>
      <c r="BR240" s="78">
        <f t="shared" si="207"/>
        <v>0</v>
      </c>
      <c r="BS240" s="78">
        <f t="shared" si="208"/>
        <v>0</v>
      </c>
      <c r="BT240" s="78">
        <f t="shared" si="209"/>
        <v>0</v>
      </c>
      <c r="BU240" s="91">
        <f t="shared" si="210"/>
        <v>0</v>
      </c>
      <c r="BV240" s="91">
        <f t="shared" si="211"/>
        <v>0</v>
      </c>
      <c r="BW240" s="78"/>
      <c r="BX240" s="78"/>
      <c r="BY240" s="78">
        <f t="shared" si="212"/>
        <v>0</v>
      </c>
      <c r="BZ240" s="78">
        <f t="shared" si="213"/>
        <v>0</v>
      </c>
      <c r="CA240" s="78">
        <f t="shared" si="214"/>
        <v>0</v>
      </c>
      <c r="CB240" s="78">
        <f t="shared" si="215"/>
        <v>0</v>
      </c>
      <c r="CC240" s="78">
        <f t="shared" si="216"/>
        <v>0</v>
      </c>
      <c r="CD240" s="78">
        <f t="shared" si="217"/>
        <v>0</v>
      </c>
      <c r="CE240" s="78">
        <f t="shared" si="218"/>
        <v>0</v>
      </c>
      <c r="CF240" s="78">
        <f t="shared" si="219"/>
        <v>0</v>
      </c>
      <c r="CG240" s="78"/>
      <c r="CH240" s="92">
        <f t="shared" si="220"/>
        <v>0</v>
      </c>
      <c r="CI240" s="93">
        <f t="shared" si="221"/>
        <v>0</v>
      </c>
      <c r="CJ240" s="94">
        <f t="shared" si="222"/>
        <v>0</v>
      </c>
      <c r="CL240" s="78">
        <f t="shared" si="223"/>
        <v>0</v>
      </c>
      <c r="CM240" s="78">
        <f t="shared" si="224"/>
        <v>0</v>
      </c>
      <c r="CN240" s="78">
        <f t="shared" si="225"/>
        <v>0</v>
      </c>
      <c r="CO240" s="78">
        <f t="shared" si="226"/>
        <v>0</v>
      </c>
    </row>
    <row r="241" spans="1:93" ht="13.5" thickBot="1">
      <c r="A241" s="95"/>
      <c r="B241" s="96"/>
      <c r="C241" s="97"/>
      <c r="D241" s="98"/>
      <c r="E241" s="99"/>
      <c r="F241" s="100"/>
      <c r="G241" s="100"/>
      <c r="H241" s="100"/>
      <c r="I241" s="100"/>
      <c r="J241" s="100"/>
      <c r="K241" s="101" t="str">
        <f t="shared" si="227"/>
        <v/>
      </c>
      <c r="L241" s="102"/>
      <c r="M241" s="103"/>
      <c r="N241" s="104"/>
      <c r="O241" s="105"/>
      <c r="P241" s="106">
        <f t="shared" si="228"/>
        <v>0</v>
      </c>
      <c r="Q241" s="106">
        <f t="shared" si="229"/>
        <v>0</v>
      </c>
      <c r="R241" s="106">
        <f t="shared" si="230"/>
        <v>0</v>
      </c>
      <c r="S241" s="106">
        <f t="shared" si="231"/>
        <v>0</v>
      </c>
      <c r="T241" s="107">
        <f t="shared" si="232"/>
        <v>0</v>
      </c>
      <c r="U241" s="78"/>
      <c r="AG241" s="108"/>
      <c r="AI241" s="78">
        <f t="shared" si="176"/>
        <v>0</v>
      </c>
      <c r="AJ241" s="78">
        <f t="shared" si="177"/>
        <v>0</v>
      </c>
      <c r="AK241" s="78">
        <f t="shared" si="178"/>
        <v>0</v>
      </c>
      <c r="AL241" s="78">
        <f t="shared" si="179"/>
        <v>0</v>
      </c>
      <c r="AM241" s="78">
        <f t="shared" si="180"/>
        <v>0</v>
      </c>
      <c r="AN241" s="78">
        <f t="shared" si="181"/>
        <v>0</v>
      </c>
      <c r="AO241" s="78">
        <f t="shared" si="182"/>
        <v>0</v>
      </c>
      <c r="AP241" s="78">
        <f t="shared" si="183"/>
        <v>0</v>
      </c>
      <c r="AQ241" s="78">
        <f t="shared" si="184"/>
        <v>0</v>
      </c>
      <c r="AR241" s="78">
        <f t="shared" si="185"/>
        <v>0</v>
      </c>
      <c r="AS241" s="90">
        <f t="shared" si="186"/>
        <v>0</v>
      </c>
      <c r="AT241" s="91">
        <f t="shared" si="187"/>
        <v>0</v>
      </c>
      <c r="AV241" s="91">
        <f t="shared" si="188"/>
        <v>0</v>
      </c>
      <c r="AW241" s="78">
        <f t="shared" si="189"/>
        <v>0</v>
      </c>
      <c r="AX241" s="78">
        <f t="shared" si="190"/>
        <v>0</v>
      </c>
      <c r="AY241" s="78"/>
      <c r="AZ241" s="78">
        <f t="shared" si="191"/>
        <v>0</v>
      </c>
      <c r="BA241" s="78">
        <f t="shared" si="192"/>
        <v>0</v>
      </c>
      <c r="BB241" s="78">
        <f t="shared" si="193"/>
        <v>0</v>
      </c>
      <c r="BC241" s="78">
        <f t="shared" si="194"/>
        <v>0</v>
      </c>
      <c r="BD241" s="78">
        <f t="shared" si="195"/>
        <v>0</v>
      </c>
      <c r="BE241" s="78">
        <f t="shared" si="196"/>
        <v>0</v>
      </c>
      <c r="BF241" s="78">
        <f t="shared" si="197"/>
        <v>0</v>
      </c>
      <c r="BG241" s="78">
        <f t="shared" si="198"/>
        <v>0</v>
      </c>
      <c r="BH241" s="78">
        <f t="shared" si="199"/>
        <v>0</v>
      </c>
      <c r="BI241" s="78"/>
      <c r="BJ241" s="91">
        <f t="shared" si="200"/>
        <v>0</v>
      </c>
      <c r="BK241" s="91">
        <f t="shared" si="201"/>
        <v>0</v>
      </c>
      <c r="BL241" s="78"/>
      <c r="BM241" s="78">
        <f t="shared" si="202"/>
        <v>0</v>
      </c>
      <c r="BN241" s="78">
        <f t="shared" si="203"/>
        <v>0</v>
      </c>
      <c r="BO241" s="78">
        <f t="shared" si="204"/>
        <v>0</v>
      </c>
      <c r="BP241" s="78">
        <f t="shared" si="205"/>
        <v>0</v>
      </c>
      <c r="BQ241" s="78">
        <f t="shared" si="206"/>
        <v>0</v>
      </c>
      <c r="BR241" s="78">
        <f t="shared" si="207"/>
        <v>0</v>
      </c>
      <c r="BS241" s="78">
        <f t="shared" si="208"/>
        <v>0</v>
      </c>
      <c r="BT241" s="78">
        <f t="shared" si="209"/>
        <v>0</v>
      </c>
      <c r="BU241" s="91">
        <f t="shared" si="210"/>
        <v>0</v>
      </c>
      <c r="BV241" s="91">
        <f t="shared" si="211"/>
        <v>0</v>
      </c>
      <c r="BW241" s="78"/>
      <c r="BX241" s="78"/>
      <c r="BY241" s="78">
        <f t="shared" si="212"/>
        <v>0</v>
      </c>
      <c r="BZ241" s="78">
        <f t="shared" si="213"/>
        <v>0</v>
      </c>
      <c r="CA241" s="78">
        <f t="shared" si="214"/>
        <v>0</v>
      </c>
      <c r="CB241" s="78">
        <f t="shared" si="215"/>
        <v>0</v>
      </c>
      <c r="CC241" s="78">
        <f t="shared" si="216"/>
        <v>0</v>
      </c>
      <c r="CD241" s="78">
        <f t="shared" si="217"/>
        <v>0</v>
      </c>
      <c r="CE241" s="78">
        <f t="shared" si="218"/>
        <v>0</v>
      </c>
      <c r="CF241" s="78">
        <f t="shared" si="219"/>
        <v>0</v>
      </c>
      <c r="CG241" s="78"/>
      <c r="CH241" s="92">
        <f t="shared" si="220"/>
        <v>0</v>
      </c>
      <c r="CI241" s="93">
        <f t="shared" si="221"/>
        <v>0</v>
      </c>
      <c r="CJ241" s="94">
        <f t="shared" si="222"/>
        <v>0</v>
      </c>
      <c r="CL241" s="78">
        <f t="shared" si="223"/>
        <v>0</v>
      </c>
      <c r="CM241" s="78">
        <f t="shared" si="224"/>
        <v>0</v>
      </c>
      <c r="CN241" s="78">
        <f t="shared" si="225"/>
        <v>0</v>
      </c>
      <c r="CO241" s="78">
        <f t="shared" si="226"/>
        <v>0</v>
      </c>
    </row>
    <row r="242" spans="1:93" ht="13.5" thickBot="1">
      <c r="A242" s="95"/>
      <c r="B242" s="96"/>
      <c r="C242" s="97"/>
      <c r="D242" s="98"/>
      <c r="E242" s="99"/>
      <c r="F242" s="100"/>
      <c r="G242" s="100"/>
      <c r="H242" s="100"/>
      <c r="I242" s="100"/>
      <c r="J242" s="100"/>
      <c r="K242" s="101" t="str">
        <f t="shared" si="227"/>
        <v/>
      </c>
      <c r="L242" s="102"/>
      <c r="M242" s="103"/>
      <c r="N242" s="104"/>
      <c r="O242" s="105"/>
      <c r="P242" s="106">
        <f t="shared" si="228"/>
        <v>0</v>
      </c>
      <c r="Q242" s="106">
        <f t="shared" si="229"/>
        <v>0</v>
      </c>
      <c r="R242" s="106">
        <f t="shared" si="230"/>
        <v>0</v>
      </c>
      <c r="S242" s="106">
        <f t="shared" si="231"/>
        <v>0</v>
      </c>
      <c r="T242" s="107">
        <f t="shared" si="232"/>
        <v>0</v>
      </c>
      <c r="U242" s="78"/>
      <c r="AG242" s="108"/>
      <c r="AI242" s="78">
        <f t="shared" si="176"/>
        <v>0</v>
      </c>
      <c r="AJ242" s="78">
        <f t="shared" si="177"/>
        <v>0</v>
      </c>
      <c r="AK242" s="78">
        <f t="shared" si="178"/>
        <v>0</v>
      </c>
      <c r="AL242" s="78">
        <f t="shared" si="179"/>
        <v>0</v>
      </c>
      <c r="AM242" s="78">
        <f t="shared" si="180"/>
        <v>0</v>
      </c>
      <c r="AN242" s="78">
        <f t="shared" si="181"/>
        <v>0</v>
      </c>
      <c r="AO242" s="78">
        <f t="shared" si="182"/>
        <v>0</v>
      </c>
      <c r="AP242" s="78">
        <f t="shared" si="183"/>
        <v>0</v>
      </c>
      <c r="AQ242" s="78">
        <f t="shared" si="184"/>
        <v>0</v>
      </c>
      <c r="AR242" s="78">
        <f t="shared" si="185"/>
        <v>0</v>
      </c>
      <c r="AS242" s="90">
        <f t="shared" si="186"/>
        <v>0</v>
      </c>
      <c r="AT242" s="91">
        <f t="shared" si="187"/>
        <v>0</v>
      </c>
      <c r="AV242" s="91">
        <f t="shared" si="188"/>
        <v>0</v>
      </c>
      <c r="AW242" s="78">
        <f t="shared" si="189"/>
        <v>0</v>
      </c>
      <c r="AX242" s="78">
        <f t="shared" si="190"/>
        <v>0</v>
      </c>
      <c r="AY242" s="78"/>
      <c r="AZ242" s="78">
        <f t="shared" si="191"/>
        <v>0</v>
      </c>
      <c r="BA242" s="78">
        <f t="shared" si="192"/>
        <v>0</v>
      </c>
      <c r="BB242" s="78">
        <f t="shared" si="193"/>
        <v>0</v>
      </c>
      <c r="BC242" s="78">
        <f t="shared" si="194"/>
        <v>0</v>
      </c>
      <c r="BD242" s="78">
        <f t="shared" si="195"/>
        <v>0</v>
      </c>
      <c r="BE242" s="78">
        <f t="shared" si="196"/>
        <v>0</v>
      </c>
      <c r="BF242" s="78">
        <f t="shared" si="197"/>
        <v>0</v>
      </c>
      <c r="BG242" s="78">
        <f t="shared" si="198"/>
        <v>0</v>
      </c>
      <c r="BH242" s="78">
        <f t="shared" si="199"/>
        <v>0</v>
      </c>
      <c r="BI242" s="78"/>
      <c r="BJ242" s="91">
        <f t="shared" si="200"/>
        <v>0</v>
      </c>
      <c r="BK242" s="91">
        <f t="shared" si="201"/>
        <v>0</v>
      </c>
      <c r="BL242" s="78"/>
      <c r="BM242" s="78">
        <f t="shared" si="202"/>
        <v>0</v>
      </c>
      <c r="BN242" s="78">
        <f t="shared" si="203"/>
        <v>0</v>
      </c>
      <c r="BO242" s="78">
        <f t="shared" si="204"/>
        <v>0</v>
      </c>
      <c r="BP242" s="78">
        <f t="shared" si="205"/>
        <v>0</v>
      </c>
      <c r="BQ242" s="78">
        <f t="shared" si="206"/>
        <v>0</v>
      </c>
      <c r="BR242" s="78">
        <f t="shared" si="207"/>
        <v>0</v>
      </c>
      <c r="BS242" s="78">
        <f t="shared" si="208"/>
        <v>0</v>
      </c>
      <c r="BT242" s="78">
        <f t="shared" si="209"/>
        <v>0</v>
      </c>
      <c r="BU242" s="91">
        <f t="shared" si="210"/>
        <v>0</v>
      </c>
      <c r="BV242" s="91">
        <f t="shared" si="211"/>
        <v>0</v>
      </c>
      <c r="BW242" s="78"/>
      <c r="BX242" s="78"/>
      <c r="BY242" s="78">
        <f t="shared" si="212"/>
        <v>0</v>
      </c>
      <c r="BZ242" s="78">
        <f t="shared" si="213"/>
        <v>0</v>
      </c>
      <c r="CA242" s="78">
        <f t="shared" si="214"/>
        <v>0</v>
      </c>
      <c r="CB242" s="78">
        <f t="shared" si="215"/>
        <v>0</v>
      </c>
      <c r="CC242" s="78">
        <f t="shared" si="216"/>
        <v>0</v>
      </c>
      <c r="CD242" s="78">
        <f t="shared" si="217"/>
        <v>0</v>
      </c>
      <c r="CE242" s="78">
        <f t="shared" si="218"/>
        <v>0</v>
      </c>
      <c r="CF242" s="78">
        <f t="shared" si="219"/>
        <v>0</v>
      </c>
      <c r="CG242" s="78"/>
      <c r="CH242" s="92">
        <f t="shared" si="220"/>
        <v>0</v>
      </c>
      <c r="CI242" s="93">
        <f t="shared" si="221"/>
        <v>0</v>
      </c>
      <c r="CJ242" s="94">
        <f t="shared" si="222"/>
        <v>0</v>
      </c>
      <c r="CL242" s="78">
        <f t="shared" si="223"/>
        <v>0</v>
      </c>
      <c r="CM242" s="78">
        <f t="shared" si="224"/>
        <v>0</v>
      </c>
      <c r="CN242" s="78">
        <f t="shared" si="225"/>
        <v>0</v>
      </c>
      <c r="CO242" s="78">
        <f t="shared" si="226"/>
        <v>0</v>
      </c>
    </row>
    <row r="243" spans="1:93" ht="13.5" thickBot="1">
      <c r="A243" s="95"/>
      <c r="B243" s="96"/>
      <c r="C243" s="97"/>
      <c r="D243" s="98"/>
      <c r="E243" s="99"/>
      <c r="F243" s="100"/>
      <c r="G243" s="100"/>
      <c r="H243" s="100"/>
      <c r="I243" s="100"/>
      <c r="J243" s="100"/>
      <c r="K243" s="101" t="str">
        <f t="shared" si="227"/>
        <v/>
      </c>
      <c r="L243" s="102"/>
      <c r="M243" s="103"/>
      <c r="N243" s="104"/>
      <c r="O243" s="105"/>
      <c r="P243" s="106">
        <f t="shared" si="228"/>
        <v>0</v>
      </c>
      <c r="Q243" s="106">
        <f t="shared" si="229"/>
        <v>0</v>
      </c>
      <c r="R243" s="106">
        <f t="shared" si="230"/>
        <v>0</v>
      </c>
      <c r="S243" s="106">
        <f t="shared" si="231"/>
        <v>0</v>
      </c>
      <c r="T243" s="107">
        <f t="shared" si="232"/>
        <v>0</v>
      </c>
      <c r="U243" s="78"/>
      <c r="AG243" s="108"/>
      <c r="AI243" s="78">
        <f t="shared" si="176"/>
        <v>0</v>
      </c>
      <c r="AJ243" s="78">
        <f t="shared" si="177"/>
        <v>0</v>
      </c>
      <c r="AK243" s="78">
        <f t="shared" si="178"/>
        <v>0</v>
      </c>
      <c r="AL243" s="78">
        <f t="shared" si="179"/>
        <v>0</v>
      </c>
      <c r="AM243" s="78">
        <f t="shared" si="180"/>
        <v>0</v>
      </c>
      <c r="AN243" s="78">
        <f t="shared" si="181"/>
        <v>0</v>
      </c>
      <c r="AO243" s="78">
        <f t="shared" si="182"/>
        <v>0</v>
      </c>
      <c r="AP243" s="78">
        <f t="shared" si="183"/>
        <v>0</v>
      </c>
      <c r="AQ243" s="78">
        <f t="shared" si="184"/>
        <v>0</v>
      </c>
      <c r="AR243" s="78">
        <f t="shared" si="185"/>
        <v>0</v>
      </c>
      <c r="AS243" s="90">
        <f t="shared" si="186"/>
        <v>0</v>
      </c>
      <c r="AT243" s="91">
        <f t="shared" si="187"/>
        <v>0</v>
      </c>
      <c r="AV243" s="91">
        <f t="shared" si="188"/>
        <v>0</v>
      </c>
      <c r="AW243" s="78">
        <f t="shared" si="189"/>
        <v>0</v>
      </c>
      <c r="AX243" s="78">
        <f t="shared" si="190"/>
        <v>0</v>
      </c>
      <c r="AY243" s="78"/>
      <c r="AZ243" s="78">
        <f t="shared" si="191"/>
        <v>0</v>
      </c>
      <c r="BA243" s="78">
        <f t="shared" si="192"/>
        <v>0</v>
      </c>
      <c r="BB243" s="78">
        <f t="shared" si="193"/>
        <v>0</v>
      </c>
      <c r="BC243" s="78">
        <f t="shared" si="194"/>
        <v>0</v>
      </c>
      <c r="BD243" s="78">
        <f t="shared" si="195"/>
        <v>0</v>
      </c>
      <c r="BE243" s="78">
        <f t="shared" si="196"/>
        <v>0</v>
      </c>
      <c r="BF243" s="78">
        <f t="shared" si="197"/>
        <v>0</v>
      </c>
      <c r="BG243" s="78">
        <f t="shared" si="198"/>
        <v>0</v>
      </c>
      <c r="BH243" s="78">
        <f t="shared" si="199"/>
        <v>0</v>
      </c>
      <c r="BI243" s="78"/>
      <c r="BJ243" s="91">
        <f t="shared" si="200"/>
        <v>0</v>
      </c>
      <c r="BK243" s="91">
        <f t="shared" si="201"/>
        <v>0</v>
      </c>
      <c r="BL243" s="78"/>
      <c r="BM243" s="78">
        <f t="shared" si="202"/>
        <v>0</v>
      </c>
      <c r="BN243" s="78">
        <f t="shared" si="203"/>
        <v>0</v>
      </c>
      <c r="BO243" s="78">
        <f t="shared" si="204"/>
        <v>0</v>
      </c>
      <c r="BP243" s="78">
        <f t="shared" si="205"/>
        <v>0</v>
      </c>
      <c r="BQ243" s="78">
        <f t="shared" si="206"/>
        <v>0</v>
      </c>
      <c r="BR243" s="78">
        <f t="shared" si="207"/>
        <v>0</v>
      </c>
      <c r="BS243" s="78">
        <f t="shared" si="208"/>
        <v>0</v>
      </c>
      <c r="BT243" s="78">
        <f t="shared" si="209"/>
        <v>0</v>
      </c>
      <c r="BU243" s="91">
        <f t="shared" si="210"/>
        <v>0</v>
      </c>
      <c r="BV243" s="91">
        <f t="shared" si="211"/>
        <v>0</v>
      </c>
      <c r="BW243" s="78"/>
      <c r="BX243" s="78"/>
      <c r="BY243" s="78">
        <f t="shared" si="212"/>
        <v>0</v>
      </c>
      <c r="BZ243" s="78">
        <f t="shared" si="213"/>
        <v>0</v>
      </c>
      <c r="CA243" s="78">
        <f t="shared" si="214"/>
        <v>0</v>
      </c>
      <c r="CB243" s="78">
        <f t="shared" si="215"/>
        <v>0</v>
      </c>
      <c r="CC243" s="78">
        <f t="shared" si="216"/>
        <v>0</v>
      </c>
      <c r="CD243" s="78">
        <f t="shared" si="217"/>
        <v>0</v>
      </c>
      <c r="CE243" s="78">
        <f t="shared" si="218"/>
        <v>0</v>
      </c>
      <c r="CF243" s="78">
        <f t="shared" si="219"/>
        <v>0</v>
      </c>
      <c r="CG243" s="78"/>
      <c r="CH243" s="92">
        <f t="shared" si="220"/>
        <v>0</v>
      </c>
      <c r="CI243" s="93">
        <f t="shared" si="221"/>
        <v>0</v>
      </c>
      <c r="CJ243" s="94">
        <f t="shared" si="222"/>
        <v>0</v>
      </c>
      <c r="CL243" s="78">
        <f t="shared" si="223"/>
        <v>0</v>
      </c>
      <c r="CM243" s="78">
        <f t="shared" si="224"/>
        <v>0</v>
      </c>
      <c r="CN243" s="78">
        <f t="shared" si="225"/>
        <v>0</v>
      </c>
      <c r="CO243" s="78">
        <f t="shared" si="226"/>
        <v>0</v>
      </c>
    </row>
    <row r="244" spans="1:93" ht="13.5" thickBot="1">
      <c r="A244" s="95"/>
      <c r="B244" s="96"/>
      <c r="C244" s="97"/>
      <c r="D244" s="98"/>
      <c r="E244" s="99"/>
      <c r="F244" s="100"/>
      <c r="G244" s="100"/>
      <c r="H244" s="100"/>
      <c r="I244" s="100"/>
      <c r="J244" s="100"/>
      <c r="K244" s="101" t="str">
        <f t="shared" si="227"/>
        <v/>
      </c>
      <c r="L244" s="102"/>
      <c r="M244" s="103"/>
      <c r="N244" s="104"/>
      <c r="O244" s="105"/>
      <c r="P244" s="106">
        <f t="shared" si="228"/>
        <v>0</v>
      </c>
      <c r="Q244" s="106">
        <f t="shared" si="229"/>
        <v>0</v>
      </c>
      <c r="R244" s="106">
        <f t="shared" si="230"/>
        <v>0</v>
      </c>
      <c r="S244" s="106">
        <f t="shared" si="231"/>
        <v>0</v>
      </c>
      <c r="T244" s="107">
        <f t="shared" si="232"/>
        <v>0</v>
      </c>
      <c r="U244" s="78"/>
      <c r="AG244" s="108"/>
      <c r="AI244" s="78">
        <f t="shared" si="176"/>
        <v>0</v>
      </c>
      <c r="AJ244" s="78">
        <f t="shared" si="177"/>
        <v>0</v>
      </c>
      <c r="AK244" s="78">
        <f t="shared" si="178"/>
        <v>0</v>
      </c>
      <c r="AL244" s="78">
        <f t="shared" si="179"/>
        <v>0</v>
      </c>
      <c r="AM244" s="78">
        <f t="shared" si="180"/>
        <v>0</v>
      </c>
      <c r="AN244" s="78">
        <f t="shared" si="181"/>
        <v>0</v>
      </c>
      <c r="AO244" s="78">
        <f t="shared" si="182"/>
        <v>0</v>
      </c>
      <c r="AP244" s="78">
        <f t="shared" si="183"/>
        <v>0</v>
      </c>
      <c r="AQ244" s="78">
        <f t="shared" si="184"/>
        <v>0</v>
      </c>
      <c r="AR244" s="78">
        <f t="shared" si="185"/>
        <v>0</v>
      </c>
      <c r="AS244" s="90">
        <f t="shared" si="186"/>
        <v>0</v>
      </c>
      <c r="AT244" s="91">
        <f t="shared" si="187"/>
        <v>0</v>
      </c>
      <c r="AV244" s="91">
        <f t="shared" si="188"/>
        <v>0</v>
      </c>
      <c r="AW244" s="78">
        <f t="shared" si="189"/>
        <v>0</v>
      </c>
      <c r="AX244" s="78">
        <f t="shared" si="190"/>
        <v>0</v>
      </c>
      <c r="AY244" s="78"/>
      <c r="AZ244" s="78">
        <f t="shared" si="191"/>
        <v>0</v>
      </c>
      <c r="BA244" s="78">
        <f t="shared" si="192"/>
        <v>0</v>
      </c>
      <c r="BB244" s="78">
        <f t="shared" si="193"/>
        <v>0</v>
      </c>
      <c r="BC244" s="78">
        <f t="shared" si="194"/>
        <v>0</v>
      </c>
      <c r="BD244" s="78">
        <f t="shared" si="195"/>
        <v>0</v>
      </c>
      <c r="BE244" s="78">
        <f t="shared" si="196"/>
        <v>0</v>
      </c>
      <c r="BF244" s="78">
        <f t="shared" si="197"/>
        <v>0</v>
      </c>
      <c r="BG244" s="78">
        <f t="shared" si="198"/>
        <v>0</v>
      </c>
      <c r="BH244" s="78">
        <f t="shared" si="199"/>
        <v>0</v>
      </c>
      <c r="BI244" s="78"/>
      <c r="BJ244" s="91">
        <f t="shared" si="200"/>
        <v>0</v>
      </c>
      <c r="BK244" s="91">
        <f t="shared" si="201"/>
        <v>0</v>
      </c>
      <c r="BL244" s="78"/>
      <c r="BM244" s="78">
        <f t="shared" si="202"/>
        <v>0</v>
      </c>
      <c r="BN244" s="78">
        <f t="shared" si="203"/>
        <v>0</v>
      </c>
      <c r="BO244" s="78">
        <f t="shared" si="204"/>
        <v>0</v>
      </c>
      <c r="BP244" s="78">
        <f t="shared" si="205"/>
        <v>0</v>
      </c>
      <c r="BQ244" s="78">
        <f t="shared" si="206"/>
        <v>0</v>
      </c>
      <c r="BR244" s="78">
        <f t="shared" si="207"/>
        <v>0</v>
      </c>
      <c r="BS244" s="78">
        <f t="shared" si="208"/>
        <v>0</v>
      </c>
      <c r="BT244" s="78">
        <f t="shared" si="209"/>
        <v>0</v>
      </c>
      <c r="BU244" s="91">
        <f t="shared" si="210"/>
        <v>0</v>
      </c>
      <c r="BV244" s="91">
        <f t="shared" si="211"/>
        <v>0</v>
      </c>
      <c r="BW244" s="78"/>
      <c r="BX244" s="78"/>
      <c r="BY244" s="78">
        <f t="shared" si="212"/>
        <v>0</v>
      </c>
      <c r="BZ244" s="78">
        <f t="shared" si="213"/>
        <v>0</v>
      </c>
      <c r="CA244" s="78">
        <f t="shared" si="214"/>
        <v>0</v>
      </c>
      <c r="CB244" s="78">
        <f t="shared" si="215"/>
        <v>0</v>
      </c>
      <c r="CC244" s="78">
        <f t="shared" si="216"/>
        <v>0</v>
      </c>
      <c r="CD244" s="78">
        <f t="shared" si="217"/>
        <v>0</v>
      </c>
      <c r="CE244" s="78">
        <f t="shared" si="218"/>
        <v>0</v>
      </c>
      <c r="CF244" s="78">
        <f t="shared" si="219"/>
        <v>0</v>
      </c>
      <c r="CG244" s="78"/>
      <c r="CH244" s="92">
        <f t="shared" si="220"/>
        <v>0</v>
      </c>
      <c r="CI244" s="93">
        <f t="shared" si="221"/>
        <v>0</v>
      </c>
      <c r="CJ244" s="94">
        <f t="shared" si="222"/>
        <v>0</v>
      </c>
      <c r="CL244" s="78">
        <f t="shared" si="223"/>
        <v>0</v>
      </c>
      <c r="CM244" s="78">
        <f t="shared" si="224"/>
        <v>0</v>
      </c>
      <c r="CN244" s="78">
        <f t="shared" si="225"/>
        <v>0</v>
      </c>
      <c r="CO244" s="78">
        <f t="shared" si="226"/>
        <v>0</v>
      </c>
    </row>
    <row r="245" spans="1:93" ht="13.5" thickBot="1">
      <c r="A245" s="95"/>
      <c r="B245" s="96"/>
      <c r="C245" s="97"/>
      <c r="D245" s="98"/>
      <c r="E245" s="99"/>
      <c r="F245" s="100"/>
      <c r="G245" s="100"/>
      <c r="H245" s="100"/>
      <c r="I245" s="100"/>
      <c r="J245" s="100"/>
      <c r="K245" s="101" t="str">
        <f t="shared" si="227"/>
        <v/>
      </c>
      <c r="L245" s="102"/>
      <c r="M245" s="103"/>
      <c r="N245" s="104"/>
      <c r="O245" s="105"/>
      <c r="P245" s="106">
        <f t="shared" si="228"/>
        <v>0</v>
      </c>
      <c r="Q245" s="106">
        <f t="shared" si="229"/>
        <v>0</v>
      </c>
      <c r="R245" s="106">
        <f t="shared" si="230"/>
        <v>0</v>
      </c>
      <c r="S245" s="106">
        <f t="shared" si="231"/>
        <v>0</v>
      </c>
      <c r="T245" s="107">
        <f t="shared" si="232"/>
        <v>0</v>
      </c>
      <c r="U245" s="78"/>
      <c r="AG245" s="108"/>
      <c r="AI245" s="78">
        <f t="shared" si="176"/>
        <v>0</v>
      </c>
      <c r="AJ245" s="78">
        <f t="shared" si="177"/>
        <v>0</v>
      </c>
      <c r="AK245" s="78">
        <f t="shared" si="178"/>
        <v>0</v>
      </c>
      <c r="AL245" s="78">
        <f t="shared" si="179"/>
        <v>0</v>
      </c>
      <c r="AM245" s="78">
        <f t="shared" si="180"/>
        <v>0</v>
      </c>
      <c r="AN245" s="78">
        <f t="shared" si="181"/>
        <v>0</v>
      </c>
      <c r="AO245" s="78">
        <f t="shared" si="182"/>
        <v>0</v>
      </c>
      <c r="AP245" s="78">
        <f t="shared" si="183"/>
        <v>0</v>
      </c>
      <c r="AQ245" s="78">
        <f t="shared" si="184"/>
        <v>0</v>
      </c>
      <c r="AR245" s="78">
        <f t="shared" si="185"/>
        <v>0</v>
      </c>
      <c r="AS245" s="90">
        <f t="shared" si="186"/>
        <v>0</v>
      </c>
      <c r="AT245" s="91">
        <f t="shared" si="187"/>
        <v>0</v>
      </c>
      <c r="AV245" s="91">
        <f t="shared" si="188"/>
        <v>0</v>
      </c>
      <c r="AW245" s="78">
        <f t="shared" si="189"/>
        <v>0</v>
      </c>
      <c r="AX245" s="78">
        <f t="shared" si="190"/>
        <v>0</v>
      </c>
      <c r="AY245" s="78"/>
      <c r="AZ245" s="78">
        <f t="shared" si="191"/>
        <v>0</v>
      </c>
      <c r="BA245" s="78">
        <f t="shared" si="192"/>
        <v>0</v>
      </c>
      <c r="BB245" s="78">
        <f t="shared" si="193"/>
        <v>0</v>
      </c>
      <c r="BC245" s="78">
        <f t="shared" si="194"/>
        <v>0</v>
      </c>
      <c r="BD245" s="78">
        <f t="shared" si="195"/>
        <v>0</v>
      </c>
      <c r="BE245" s="78">
        <f t="shared" si="196"/>
        <v>0</v>
      </c>
      <c r="BF245" s="78">
        <f t="shared" si="197"/>
        <v>0</v>
      </c>
      <c r="BG245" s="78">
        <f t="shared" si="198"/>
        <v>0</v>
      </c>
      <c r="BH245" s="78">
        <f t="shared" si="199"/>
        <v>0</v>
      </c>
      <c r="BI245" s="78"/>
      <c r="BJ245" s="91">
        <f t="shared" si="200"/>
        <v>0</v>
      </c>
      <c r="BK245" s="91">
        <f t="shared" si="201"/>
        <v>0</v>
      </c>
      <c r="BL245" s="78"/>
      <c r="BM245" s="78">
        <f t="shared" si="202"/>
        <v>0</v>
      </c>
      <c r="BN245" s="78">
        <f t="shared" si="203"/>
        <v>0</v>
      </c>
      <c r="BO245" s="78">
        <f t="shared" si="204"/>
        <v>0</v>
      </c>
      <c r="BP245" s="78">
        <f t="shared" si="205"/>
        <v>0</v>
      </c>
      <c r="BQ245" s="78">
        <f t="shared" si="206"/>
        <v>0</v>
      </c>
      <c r="BR245" s="78">
        <f t="shared" si="207"/>
        <v>0</v>
      </c>
      <c r="BS245" s="78">
        <f t="shared" si="208"/>
        <v>0</v>
      </c>
      <c r="BT245" s="78">
        <f t="shared" si="209"/>
        <v>0</v>
      </c>
      <c r="BU245" s="91">
        <f t="shared" si="210"/>
        <v>0</v>
      </c>
      <c r="BV245" s="91">
        <f t="shared" si="211"/>
        <v>0</v>
      </c>
      <c r="BW245" s="78"/>
      <c r="BX245" s="78"/>
      <c r="BY245" s="78">
        <f t="shared" si="212"/>
        <v>0</v>
      </c>
      <c r="BZ245" s="78">
        <f t="shared" si="213"/>
        <v>0</v>
      </c>
      <c r="CA245" s="78">
        <f t="shared" si="214"/>
        <v>0</v>
      </c>
      <c r="CB245" s="78">
        <f t="shared" si="215"/>
        <v>0</v>
      </c>
      <c r="CC245" s="78">
        <f t="shared" si="216"/>
        <v>0</v>
      </c>
      <c r="CD245" s="78">
        <f t="shared" si="217"/>
        <v>0</v>
      </c>
      <c r="CE245" s="78">
        <f t="shared" si="218"/>
        <v>0</v>
      </c>
      <c r="CF245" s="78">
        <f t="shared" si="219"/>
        <v>0</v>
      </c>
      <c r="CG245" s="78"/>
      <c r="CH245" s="92">
        <f t="shared" si="220"/>
        <v>0</v>
      </c>
      <c r="CI245" s="93">
        <f t="shared" si="221"/>
        <v>0</v>
      </c>
      <c r="CJ245" s="94">
        <f t="shared" si="222"/>
        <v>0</v>
      </c>
      <c r="CL245" s="78">
        <f t="shared" si="223"/>
        <v>0</v>
      </c>
      <c r="CM245" s="78">
        <f t="shared" si="224"/>
        <v>0</v>
      </c>
      <c r="CN245" s="78">
        <f t="shared" si="225"/>
        <v>0</v>
      </c>
      <c r="CO245" s="78">
        <f t="shared" si="226"/>
        <v>0</v>
      </c>
    </row>
    <row r="246" spans="1:93" ht="13.5" thickBot="1">
      <c r="A246" s="95"/>
      <c r="B246" s="96"/>
      <c r="C246" s="97"/>
      <c r="D246" s="98"/>
      <c r="E246" s="99"/>
      <c r="F246" s="100"/>
      <c r="G246" s="100"/>
      <c r="H246" s="100"/>
      <c r="I246" s="100"/>
      <c r="J246" s="100"/>
      <c r="K246" s="101" t="str">
        <f t="shared" si="227"/>
        <v/>
      </c>
      <c r="L246" s="102"/>
      <c r="M246" s="103"/>
      <c r="N246" s="104"/>
      <c r="O246" s="105"/>
      <c r="P246" s="106">
        <f t="shared" si="228"/>
        <v>0</v>
      </c>
      <c r="Q246" s="106">
        <f t="shared" si="229"/>
        <v>0</v>
      </c>
      <c r="R246" s="106">
        <f t="shared" si="230"/>
        <v>0</v>
      </c>
      <c r="S246" s="106">
        <f t="shared" si="231"/>
        <v>0</v>
      </c>
      <c r="T246" s="107">
        <f t="shared" si="232"/>
        <v>0</v>
      </c>
      <c r="U246" s="78"/>
      <c r="AG246" s="108"/>
      <c r="AI246" s="78">
        <f t="shared" si="176"/>
        <v>0</v>
      </c>
      <c r="AJ246" s="78">
        <f t="shared" si="177"/>
        <v>0</v>
      </c>
      <c r="AK246" s="78">
        <f t="shared" si="178"/>
        <v>0</v>
      </c>
      <c r="AL246" s="78">
        <f t="shared" si="179"/>
        <v>0</v>
      </c>
      <c r="AM246" s="78">
        <f t="shared" si="180"/>
        <v>0</v>
      </c>
      <c r="AN246" s="78">
        <f t="shared" si="181"/>
        <v>0</v>
      </c>
      <c r="AO246" s="78">
        <f t="shared" si="182"/>
        <v>0</v>
      </c>
      <c r="AP246" s="78">
        <f t="shared" si="183"/>
        <v>0</v>
      </c>
      <c r="AQ246" s="78">
        <f t="shared" si="184"/>
        <v>0</v>
      </c>
      <c r="AR246" s="78">
        <f t="shared" si="185"/>
        <v>0</v>
      </c>
      <c r="AS246" s="90">
        <f t="shared" si="186"/>
        <v>0</v>
      </c>
      <c r="AT246" s="91">
        <f t="shared" si="187"/>
        <v>0</v>
      </c>
      <c r="AV246" s="91">
        <f t="shared" si="188"/>
        <v>0</v>
      </c>
      <c r="AW246" s="78">
        <f t="shared" si="189"/>
        <v>0</v>
      </c>
      <c r="AX246" s="78">
        <f t="shared" si="190"/>
        <v>0</v>
      </c>
      <c r="AY246" s="78"/>
      <c r="AZ246" s="78">
        <f t="shared" si="191"/>
        <v>0</v>
      </c>
      <c r="BA246" s="78">
        <f t="shared" si="192"/>
        <v>0</v>
      </c>
      <c r="BB246" s="78">
        <f t="shared" si="193"/>
        <v>0</v>
      </c>
      <c r="BC246" s="78">
        <f t="shared" si="194"/>
        <v>0</v>
      </c>
      <c r="BD246" s="78">
        <f t="shared" si="195"/>
        <v>0</v>
      </c>
      <c r="BE246" s="78">
        <f t="shared" si="196"/>
        <v>0</v>
      </c>
      <c r="BF246" s="78">
        <f t="shared" si="197"/>
        <v>0</v>
      </c>
      <c r="BG246" s="78">
        <f t="shared" si="198"/>
        <v>0</v>
      </c>
      <c r="BH246" s="78">
        <f t="shared" si="199"/>
        <v>0</v>
      </c>
      <c r="BI246" s="78"/>
      <c r="BJ246" s="91">
        <f t="shared" si="200"/>
        <v>0</v>
      </c>
      <c r="BK246" s="91">
        <f t="shared" si="201"/>
        <v>0</v>
      </c>
      <c r="BL246" s="78"/>
      <c r="BM246" s="78">
        <f t="shared" si="202"/>
        <v>0</v>
      </c>
      <c r="BN246" s="78">
        <f t="shared" si="203"/>
        <v>0</v>
      </c>
      <c r="BO246" s="78">
        <f t="shared" si="204"/>
        <v>0</v>
      </c>
      <c r="BP246" s="78">
        <f t="shared" si="205"/>
        <v>0</v>
      </c>
      <c r="BQ246" s="78">
        <f t="shared" si="206"/>
        <v>0</v>
      </c>
      <c r="BR246" s="78">
        <f t="shared" si="207"/>
        <v>0</v>
      </c>
      <c r="BS246" s="78">
        <f t="shared" si="208"/>
        <v>0</v>
      </c>
      <c r="BT246" s="78">
        <f t="shared" si="209"/>
        <v>0</v>
      </c>
      <c r="BU246" s="91">
        <f t="shared" si="210"/>
        <v>0</v>
      </c>
      <c r="BV246" s="91">
        <f t="shared" si="211"/>
        <v>0</v>
      </c>
      <c r="BW246" s="78"/>
      <c r="BX246" s="78"/>
      <c r="BY246" s="78">
        <f t="shared" si="212"/>
        <v>0</v>
      </c>
      <c r="BZ246" s="78">
        <f t="shared" si="213"/>
        <v>0</v>
      </c>
      <c r="CA246" s="78">
        <f t="shared" si="214"/>
        <v>0</v>
      </c>
      <c r="CB246" s="78">
        <f t="shared" si="215"/>
        <v>0</v>
      </c>
      <c r="CC246" s="78">
        <f t="shared" si="216"/>
        <v>0</v>
      </c>
      <c r="CD246" s="78">
        <f t="shared" si="217"/>
        <v>0</v>
      </c>
      <c r="CE246" s="78">
        <f t="shared" si="218"/>
        <v>0</v>
      </c>
      <c r="CF246" s="78">
        <f t="shared" si="219"/>
        <v>0</v>
      </c>
      <c r="CG246" s="78"/>
      <c r="CH246" s="92">
        <f t="shared" si="220"/>
        <v>0</v>
      </c>
      <c r="CI246" s="93">
        <f t="shared" si="221"/>
        <v>0</v>
      </c>
      <c r="CJ246" s="94">
        <f t="shared" si="222"/>
        <v>0</v>
      </c>
      <c r="CL246" s="78">
        <f t="shared" si="223"/>
        <v>0</v>
      </c>
      <c r="CM246" s="78">
        <f t="shared" si="224"/>
        <v>0</v>
      </c>
      <c r="CN246" s="78">
        <f t="shared" si="225"/>
        <v>0</v>
      </c>
      <c r="CO246" s="78">
        <f t="shared" si="226"/>
        <v>0</v>
      </c>
    </row>
    <row r="247" spans="1:93" ht="13.5" thickBot="1">
      <c r="A247" s="95"/>
      <c r="B247" s="96"/>
      <c r="C247" s="97"/>
      <c r="D247" s="98"/>
      <c r="E247" s="99"/>
      <c r="F247" s="100"/>
      <c r="G247" s="100"/>
      <c r="H247" s="100"/>
      <c r="I247" s="100"/>
      <c r="J247" s="100"/>
      <c r="K247" s="101" t="str">
        <f t="shared" si="227"/>
        <v/>
      </c>
      <c r="L247" s="102"/>
      <c r="M247" s="103"/>
      <c r="N247" s="104"/>
      <c r="O247" s="105"/>
      <c r="P247" s="106">
        <f t="shared" si="228"/>
        <v>0</v>
      </c>
      <c r="Q247" s="106">
        <f t="shared" si="229"/>
        <v>0</v>
      </c>
      <c r="R247" s="106">
        <f t="shared" si="230"/>
        <v>0</v>
      </c>
      <c r="S247" s="106">
        <f t="shared" si="231"/>
        <v>0</v>
      </c>
      <c r="T247" s="107">
        <f t="shared" si="232"/>
        <v>0</v>
      </c>
      <c r="U247" s="78"/>
      <c r="AG247" s="108"/>
      <c r="AI247" s="78">
        <f t="shared" si="176"/>
        <v>0</v>
      </c>
      <c r="AJ247" s="78">
        <f t="shared" si="177"/>
        <v>0</v>
      </c>
      <c r="AK247" s="78">
        <f t="shared" si="178"/>
        <v>0</v>
      </c>
      <c r="AL247" s="78">
        <f t="shared" si="179"/>
        <v>0</v>
      </c>
      <c r="AM247" s="78">
        <f t="shared" si="180"/>
        <v>0</v>
      </c>
      <c r="AN247" s="78">
        <f t="shared" si="181"/>
        <v>0</v>
      </c>
      <c r="AO247" s="78">
        <f t="shared" si="182"/>
        <v>0</v>
      </c>
      <c r="AP247" s="78">
        <f t="shared" si="183"/>
        <v>0</v>
      </c>
      <c r="AQ247" s="78">
        <f t="shared" si="184"/>
        <v>0</v>
      </c>
      <c r="AR247" s="78">
        <f t="shared" si="185"/>
        <v>0</v>
      </c>
      <c r="AS247" s="90">
        <f t="shared" si="186"/>
        <v>0</v>
      </c>
      <c r="AT247" s="91">
        <f t="shared" si="187"/>
        <v>0</v>
      </c>
      <c r="AV247" s="91">
        <f t="shared" si="188"/>
        <v>0</v>
      </c>
      <c r="AW247" s="78">
        <f t="shared" si="189"/>
        <v>0</v>
      </c>
      <c r="AX247" s="78">
        <f t="shared" si="190"/>
        <v>0</v>
      </c>
      <c r="AY247" s="78"/>
      <c r="AZ247" s="78">
        <f t="shared" si="191"/>
        <v>0</v>
      </c>
      <c r="BA247" s="78">
        <f t="shared" si="192"/>
        <v>0</v>
      </c>
      <c r="BB247" s="78">
        <f t="shared" si="193"/>
        <v>0</v>
      </c>
      <c r="BC247" s="78">
        <f t="shared" si="194"/>
        <v>0</v>
      </c>
      <c r="BD247" s="78">
        <f t="shared" si="195"/>
        <v>0</v>
      </c>
      <c r="BE247" s="78">
        <f t="shared" si="196"/>
        <v>0</v>
      </c>
      <c r="BF247" s="78">
        <f t="shared" si="197"/>
        <v>0</v>
      </c>
      <c r="BG247" s="78">
        <f t="shared" si="198"/>
        <v>0</v>
      </c>
      <c r="BH247" s="78">
        <f t="shared" si="199"/>
        <v>0</v>
      </c>
      <c r="BI247" s="78"/>
      <c r="BJ247" s="91">
        <f t="shared" si="200"/>
        <v>0</v>
      </c>
      <c r="BK247" s="91">
        <f t="shared" si="201"/>
        <v>0</v>
      </c>
      <c r="BL247" s="78"/>
      <c r="BM247" s="78">
        <f t="shared" si="202"/>
        <v>0</v>
      </c>
      <c r="BN247" s="78">
        <f t="shared" si="203"/>
        <v>0</v>
      </c>
      <c r="BO247" s="78">
        <f t="shared" si="204"/>
        <v>0</v>
      </c>
      <c r="BP247" s="78">
        <f t="shared" si="205"/>
        <v>0</v>
      </c>
      <c r="BQ247" s="78">
        <f t="shared" si="206"/>
        <v>0</v>
      </c>
      <c r="BR247" s="78">
        <f t="shared" si="207"/>
        <v>0</v>
      </c>
      <c r="BS247" s="78">
        <f t="shared" si="208"/>
        <v>0</v>
      </c>
      <c r="BT247" s="78">
        <f t="shared" si="209"/>
        <v>0</v>
      </c>
      <c r="BU247" s="91">
        <f t="shared" si="210"/>
        <v>0</v>
      </c>
      <c r="BV247" s="91">
        <f t="shared" si="211"/>
        <v>0</v>
      </c>
      <c r="BW247" s="78"/>
      <c r="BX247" s="78"/>
      <c r="BY247" s="78">
        <f t="shared" si="212"/>
        <v>0</v>
      </c>
      <c r="BZ247" s="78">
        <f t="shared" si="213"/>
        <v>0</v>
      </c>
      <c r="CA247" s="78">
        <f t="shared" si="214"/>
        <v>0</v>
      </c>
      <c r="CB247" s="78">
        <f t="shared" si="215"/>
        <v>0</v>
      </c>
      <c r="CC247" s="78">
        <f t="shared" si="216"/>
        <v>0</v>
      </c>
      <c r="CD247" s="78">
        <f t="shared" si="217"/>
        <v>0</v>
      </c>
      <c r="CE247" s="78">
        <f t="shared" si="218"/>
        <v>0</v>
      </c>
      <c r="CF247" s="78">
        <f t="shared" si="219"/>
        <v>0</v>
      </c>
      <c r="CG247" s="78"/>
      <c r="CH247" s="92">
        <f t="shared" si="220"/>
        <v>0</v>
      </c>
      <c r="CI247" s="93">
        <f t="shared" si="221"/>
        <v>0</v>
      </c>
      <c r="CJ247" s="94">
        <f t="shared" si="222"/>
        <v>0</v>
      </c>
      <c r="CL247" s="78">
        <f t="shared" si="223"/>
        <v>0</v>
      </c>
      <c r="CM247" s="78">
        <f t="shared" si="224"/>
        <v>0</v>
      </c>
      <c r="CN247" s="78">
        <f t="shared" si="225"/>
        <v>0</v>
      </c>
      <c r="CO247" s="78">
        <f t="shared" si="226"/>
        <v>0</v>
      </c>
    </row>
    <row r="248" spans="1:93" ht="13.5" thickBot="1">
      <c r="A248" s="95"/>
      <c r="B248" s="96"/>
      <c r="C248" s="97"/>
      <c r="D248" s="98"/>
      <c r="E248" s="99"/>
      <c r="F248" s="100"/>
      <c r="G248" s="100"/>
      <c r="H248" s="100"/>
      <c r="I248" s="100"/>
      <c r="J248" s="100"/>
      <c r="K248" s="101" t="str">
        <f t="shared" si="227"/>
        <v/>
      </c>
      <c r="L248" s="102"/>
      <c r="M248" s="103"/>
      <c r="N248" s="104"/>
      <c r="O248" s="105"/>
      <c r="P248" s="106">
        <f t="shared" si="228"/>
        <v>0</v>
      </c>
      <c r="Q248" s="106">
        <f t="shared" si="229"/>
        <v>0</v>
      </c>
      <c r="R248" s="106">
        <f t="shared" si="230"/>
        <v>0</v>
      </c>
      <c r="S248" s="106">
        <f t="shared" si="231"/>
        <v>0</v>
      </c>
      <c r="T248" s="107">
        <f t="shared" si="232"/>
        <v>0</v>
      </c>
      <c r="U248" s="78"/>
      <c r="AG248" s="108"/>
      <c r="AI248" s="78">
        <f t="shared" si="176"/>
        <v>0</v>
      </c>
      <c r="AJ248" s="78">
        <f t="shared" si="177"/>
        <v>0</v>
      </c>
      <c r="AK248" s="78">
        <f t="shared" si="178"/>
        <v>0</v>
      </c>
      <c r="AL248" s="78">
        <f t="shared" si="179"/>
        <v>0</v>
      </c>
      <c r="AM248" s="78">
        <f t="shared" si="180"/>
        <v>0</v>
      </c>
      <c r="AN248" s="78">
        <f t="shared" si="181"/>
        <v>0</v>
      </c>
      <c r="AO248" s="78">
        <f t="shared" si="182"/>
        <v>0</v>
      </c>
      <c r="AP248" s="78">
        <f t="shared" si="183"/>
        <v>0</v>
      </c>
      <c r="AQ248" s="78">
        <f t="shared" si="184"/>
        <v>0</v>
      </c>
      <c r="AR248" s="78">
        <f t="shared" si="185"/>
        <v>0</v>
      </c>
      <c r="AS248" s="90">
        <f t="shared" si="186"/>
        <v>0</v>
      </c>
      <c r="AT248" s="91">
        <f t="shared" si="187"/>
        <v>0</v>
      </c>
      <c r="AV248" s="91">
        <f t="shared" si="188"/>
        <v>0</v>
      </c>
      <c r="AW248" s="78">
        <f t="shared" si="189"/>
        <v>0</v>
      </c>
      <c r="AX248" s="78">
        <f t="shared" si="190"/>
        <v>0</v>
      </c>
      <c r="AY248" s="78"/>
      <c r="AZ248" s="78">
        <f t="shared" si="191"/>
        <v>0</v>
      </c>
      <c r="BA248" s="78">
        <f t="shared" si="192"/>
        <v>0</v>
      </c>
      <c r="BB248" s="78">
        <f t="shared" si="193"/>
        <v>0</v>
      </c>
      <c r="BC248" s="78">
        <f t="shared" si="194"/>
        <v>0</v>
      </c>
      <c r="BD248" s="78">
        <f t="shared" si="195"/>
        <v>0</v>
      </c>
      <c r="BE248" s="78">
        <f t="shared" si="196"/>
        <v>0</v>
      </c>
      <c r="BF248" s="78">
        <f t="shared" si="197"/>
        <v>0</v>
      </c>
      <c r="BG248" s="78">
        <f t="shared" si="198"/>
        <v>0</v>
      </c>
      <c r="BH248" s="78">
        <f t="shared" si="199"/>
        <v>0</v>
      </c>
      <c r="BI248" s="78"/>
      <c r="BJ248" s="91">
        <f t="shared" si="200"/>
        <v>0</v>
      </c>
      <c r="BK248" s="91">
        <f t="shared" si="201"/>
        <v>0</v>
      </c>
      <c r="BL248" s="78"/>
      <c r="BM248" s="78">
        <f t="shared" si="202"/>
        <v>0</v>
      </c>
      <c r="BN248" s="78">
        <f t="shared" si="203"/>
        <v>0</v>
      </c>
      <c r="BO248" s="78">
        <f t="shared" si="204"/>
        <v>0</v>
      </c>
      <c r="BP248" s="78">
        <f t="shared" si="205"/>
        <v>0</v>
      </c>
      <c r="BQ248" s="78">
        <f t="shared" si="206"/>
        <v>0</v>
      </c>
      <c r="BR248" s="78">
        <f t="shared" si="207"/>
        <v>0</v>
      </c>
      <c r="BS248" s="78">
        <f t="shared" si="208"/>
        <v>0</v>
      </c>
      <c r="BT248" s="78">
        <f t="shared" si="209"/>
        <v>0</v>
      </c>
      <c r="BU248" s="91">
        <f t="shared" si="210"/>
        <v>0</v>
      </c>
      <c r="BV248" s="91">
        <f t="shared" si="211"/>
        <v>0</v>
      </c>
      <c r="BW248" s="78"/>
      <c r="BX248" s="78"/>
      <c r="BY248" s="78">
        <f t="shared" si="212"/>
        <v>0</v>
      </c>
      <c r="BZ248" s="78">
        <f t="shared" si="213"/>
        <v>0</v>
      </c>
      <c r="CA248" s="78">
        <f t="shared" si="214"/>
        <v>0</v>
      </c>
      <c r="CB248" s="78">
        <f t="shared" si="215"/>
        <v>0</v>
      </c>
      <c r="CC248" s="78">
        <f t="shared" si="216"/>
        <v>0</v>
      </c>
      <c r="CD248" s="78">
        <f t="shared" si="217"/>
        <v>0</v>
      </c>
      <c r="CE248" s="78">
        <f t="shared" si="218"/>
        <v>0</v>
      </c>
      <c r="CF248" s="78">
        <f t="shared" si="219"/>
        <v>0</v>
      </c>
      <c r="CG248" s="78"/>
      <c r="CH248" s="92">
        <f t="shared" si="220"/>
        <v>0</v>
      </c>
      <c r="CI248" s="93">
        <f t="shared" si="221"/>
        <v>0</v>
      </c>
      <c r="CJ248" s="94">
        <f t="shared" si="222"/>
        <v>0</v>
      </c>
      <c r="CL248" s="78">
        <f t="shared" si="223"/>
        <v>0</v>
      </c>
      <c r="CM248" s="78">
        <f t="shared" si="224"/>
        <v>0</v>
      </c>
      <c r="CN248" s="78">
        <f t="shared" si="225"/>
        <v>0</v>
      </c>
      <c r="CO248" s="78">
        <f t="shared" si="226"/>
        <v>0</v>
      </c>
    </row>
    <row r="249" spans="1:93" ht="13.5" thickBot="1">
      <c r="A249" s="95"/>
      <c r="B249" s="96"/>
      <c r="C249" s="97"/>
      <c r="D249" s="98"/>
      <c r="E249" s="99"/>
      <c r="F249" s="100"/>
      <c r="G249" s="100"/>
      <c r="H249" s="100"/>
      <c r="I249" s="100"/>
      <c r="J249" s="100"/>
      <c r="K249" s="101" t="str">
        <f t="shared" si="227"/>
        <v/>
      </c>
      <c r="L249" s="102"/>
      <c r="M249" s="103"/>
      <c r="N249" s="104"/>
      <c r="O249" s="105"/>
      <c r="P249" s="106">
        <f t="shared" si="228"/>
        <v>0</v>
      </c>
      <c r="Q249" s="106">
        <f t="shared" si="229"/>
        <v>0</v>
      </c>
      <c r="R249" s="106">
        <f t="shared" si="230"/>
        <v>0</v>
      </c>
      <c r="S249" s="106">
        <f t="shared" si="231"/>
        <v>0</v>
      </c>
      <c r="T249" s="107">
        <f t="shared" si="232"/>
        <v>0</v>
      </c>
      <c r="U249" s="78"/>
      <c r="AG249" s="108"/>
      <c r="AI249" s="78">
        <f t="shared" si="176"/>
        <v>0</v>
      </c>
      <c r="AJ249" s="78">
        <f t="shared" si="177"/>
        <v>0</v>
      </c>
      <c r="AK249" s="78">
        <f t="shared" si="178"/>
        <v>0</v>
      </c>
      <c r="AL249" s="78">
        <f t="shared" si="179"/>
        <v>0</v>
      </c>
      <c r="AM249" s="78">
        <f t="shared" si="180"/>
        <v>0</v>
      </c>
      <c r="AN249" s="78">
        <f t="shared" si="181"/>
        <v>0</v>
      </c>
      <c r="AO249" s="78">
        <f t="shared" si="182"/>
        <v>0</v>
      </c>
      <c r="AP249" s="78">
        <f t="shared" si="183"/>
        <v>0</v>
      </c>
      <c r="AQ249" s="78">
        <f t="shared" si="184"/>
        <v>0</v>
      </c>
      <c r="AR249" s="78">
        <f t="shared" si="185"/>
        <v>0</v>
      </c>
      <c r="AS249" s="90">
        <f t="shared" si="186"/>
        <v>0</v>
      </c>
      <c r="AT249" s="91">
        <f t="shared" si="187"/>
        <v>0</v>
      </c>
      <c r="AV249" s="91">
        <f t="shared" si="188"/>
        <v>0</v>
      </c>
      <c r="AW249" s="78">
        <f t="shared" si="189"/>
        <v>0</v>
      </c>
      <c r="AX249" s="78">
        <f t="shared" si="190"/>
        <v>0</v>
      </c>
      <c r="AY249" s="78"/>
      <c r="AZ249" s="78">
        <f t="shared" si="191"/>
        <v>0</v>
      </c>
      <c r="BA249" s="78">
        <f t="shared" si="192"/>
        <v>0</v>
      </c>
      <c r="BB249" s="78">
        <f t="shared" si="193"/>
        <v>0</v>
      </c>
      <c r="BC249" s="78">
        <f t="shared" si="194"/>
        <v>0</v>
      </c>
      <c r="BD249" s="78">
        <f t="shared" si="195"/>
        <v>0</v>
      </c>
      <c r="BE249" s="78">
        <f t="shared" si="196"/>
        <v>0</v>
      </c>
      <c r="BF249" s="78">
        <f t="shared" si="197"/>
        <v>0</v>
      </c>
      <c r="BG249" s="78">
        <f t="shared" si="198"/>
        <v>0</v>
      </c>
      <c r="BH249" s="78">
        <f t="shared" si="199"/>
        <v>0</v>
      </c>
      <c r="BI249" s="78"/>
      <c r="BJ249" s="91">
        <f t="shared" si="200"/>
        <v>0</v>
      </c>
      <c r="BK249" s="91">
        <f t="shared" si="201"/>
        <v>0</v>
      </c>
      <c r="BL249" s="78"/>
      <c r="BM249" s="78">
        <f t="shared" si="202"/>
        <v>0</v>
      </c>
      <c r="BN249" s="78">
        <f t="shared" si="203"/>
        <v>0</v>
      </c>
      <c r="BO249" s="78">
        <f t="shared" si="204"/>
        <v>0</v>
      </c>
      <c r="BP249" s="78">
        <f t="shared" si="205"/>
        <v>0</v>
      </c>
      <c r="BQ249" s="78">
        <f t="shared" si="206"/>
        <v>0</v>
      </c>
      <c r="BR249" s="78">
        <f t="shared" si="207"/>
        <v>0</v>
      </c>
      <c r="BS249" s="78">
        <f t="shared" si="208"/>
        <v>0</v>
      </c>
      <c r="BT249" s="78">
        <f t="shared" si="209"/>
        <v>0</v>
      </c>
      <c r="BU249" s="91">
        <f t="shared" si="210"/>
        <v>0</v>
      </c>
      <c r="BV249" s="91">
        <f t="shared" si="211"/>
        <v>0</v>
      </c>
      <c r="BW249" s="78"/>
      <c r="BX249" s="78"/>
      <c r="BY249" s="78">
        <f t="shared" si="212"/>
        <v>0</v>
      </c>
      <c r="BZ249" s="78">
        <f t="shared" si="213"/>
        <v>0</v>
      </c>
      <c r="CA249" s="78">
        <f t="shared" si="214"/>
        <v>0</v>
      </c>
      <c r="CB249" s="78">
        <f t="shared" si="215"/>
        <v>0</v>
      </c>
      <c r="CC249" s="78">
        <f t="shared" si="216"/>
        <v>0</v>
      </c>
      <c r="CD249" s="78">
        <f t="shared" si="217"/>
        <v>0</v>
      </c>
      <c r="CE249" s="78">
        <f t="shared" si="218"/>
        <v>0</v>
      </c>
      <c r="CF249" s="78">
        <f t="shared" si="219"/>
        <v>0</v>
      </c>
      <c r="CG249" s="78"/>
      <c r="CH249" s="92">
        <f t="shared" si="220"/>
        <v>0</v>
      </c>
      <c r="CI249" s="93">
        <f t="shared" si="221"/>
        <v>0</v>
      </c>
      <c r="CJ249" s="94">
        <f t="shared" si="222"/>
        <v>0</v>
      </c>
      <c r="CL249" s="78">
        <f t="shared" si="223"/>
        <v>0</v>
      </c>
      <c r="CM249" s="78">
        <f t="shared" si="224"/>
        <v>0</v>
      </c>
      <c r="CN249" s="78">
        <f t="shared" si="225"/>
        <v>0</v>
      </c>
      <c r="CO249" s="78">
        <f t="shared" si="226"/>
        <v>0</v>
      </c>
    </row>
    <row r="250" spans="1:93" ht="13.5" thickBot="1">
      <c r="A250" s="95"/>
      <c r="B250" s="96"/>
      <c r="C250" s="97"/>
      <c r="D250" s="98"/>
      <c r="E250" s="99"/>
      <c r="F250" s="100"/>
      <c r="G250" s="100"/>
      <c r="H250" s="100"/>
      <c r="I250" s="100"/>
      <c r="J250" s="100"/>
      <c r="K250" s="101" t="str">
        <f t="shared" si="227"/>
        <v/>
      </c>
      <c r="L250" s="102"/>
      <c r="M250" s="103"/>
      <c r="N250" s="104"/>
      <c r="O250" s="105"/>
      <c r="P250" s="106">
        <f t="shared" si="228"/>
        <v>0</v>
      </c>
      <c r="Q250" s="106">
        <f t="shared" si="229"/>
        <v>0</v>
      </c>
      <c r="R250" s="106">
        <f t="shared" si="230"/>
        <v>0</v>
      </c>
      <c r="S250" s="106">
        <f t="shared" si="231"/>
        <v>0</v>
      </c>
      <c r="T250" s="107">
        <f t="shared" si="232"/>
        <v>0</v>
      </c>
      <c r="U250" s="78"/>
      <c r="AG250" s="108"/>
      <c r="AI250" s="78">
        <f t="shared" si="176"/>
        <v>0</v>
      </c>
      <c r="AJ250" s="78">
        <f t="shared" si="177"/>
        <v>0</v>
      </c>
      <c r="AK250" s="78">
        <f t="shared" si="178"/>
        <v>0</v>
      </c>
      <c r="AL250" s="78">
        <f t="shared" si="179"/>
        <v>0</v>
      </c>
      <c r="AM250" s="78">
        <f t="shared" si="180"/>
        <v>0</v>
      </c>
      <c r="AN250" s="78">
        <f t="shared" si="181"/>
        <v>0</v>
      </c>
      <c r="AO250" s="78">
        <f t="shared" si="182"/>
        <v>0</v>
      </c>
      <c r="AP250" s="78">
        <f t="shared" si="183"/>
        <v>0</v>
      </c>
      <c r="AQ250" s="78">
        <f t="shared" si="184"/>
        <v>0</v>
      </c>
      <c r="AR250" s="78">
        <f t="shared" si="185"/>
        <v>0</v>
      </c>
      <c r="AS250" s="90">
        <f t="shared" si="186"/>
        <v>0</v>
      </c>
      <c r="AT250" s="91">
        <f t="shared" si="187"/>
        <v>0</v>
      </c>
      <c r="AV250" s="91">
        <f t="shared" si="188"/>
        <v>0</v>
      </c>
      <c r="AW250" s="78">
        <f t="shared" si="189"/>
        <v>0</v>
      </c>
      <c r="AX250" s="78">
        <f t="shared" si="190"/>
        <v>0</v>
      </c>
      <c r="AY250" s="78"/>
      <c r="AZ250" s="78">
        <f t="shared" si="191"/>
        <v>0</v>
      </c>
      <c r="BA250" s="78">
        <f t="shared" si="192"/>
        <v>0</v>
      </c>
      <c r="BB250" s="78">
        <f t="shared" si="193"/>
        <v>0</v>
      </c>
      <c r="BC250" s="78">
        <f t="shared" si="194"/>
        <v>0</v>
      </c>
      <c r="BD250" s="78">
        <f t="shared" si="195"/>
        <v>0</v>
      </c>
      <c r="BE250" s="78">
        <f t="shared" si="196"/>
        <v>0</v>
      </c>
      <c r="BF250" s="78">
        <f t="shared" si="197"/>
        <v>0</v>
      </c>
      <c r="BG250" s="78">
        <f t="shared" si="198"/>
        <v>0</v>
      </c>
      <c r="BH250" s="78">
        <f t="shared" si="199"/>
        <v>0</v>
      </c>
      <c r="BI250" s="78"/>
      <c r="BJ250" s="91">
        <f t="shared" si="200"/>
        <v>0</v>
      </c>
      <c r="BK250" s="91">
        <f t="shared" si="201"/>
        <v>0</v>
      </c>
      <c r="BL250" s="78"/>
      <c r="BM250" s="78">
        <f t="shared" si="202"/>
        <v>0</v>
      </c>
      <c r="BN250" s="78">
        <f t="shared" si="203"/>
        <v>0</v>
      </c>
      <c r="BO250" s="78">
        <f t="shared" si="204"/>
        <v>0</v>
      </c>
      <c r="BP250" s="78">
        <f t="shared" si="205"/>
        <v>0</v>
      </c>
      <c r="BQ250" s="78">
        <f t="shared" si="206"/>
        <v>0</v>
      </c>
      <c r="BR250" s="78">
        <f t="shared" si="207"/>
        <v>0</v>
      </c>
      <c r="BS250" s="78">
        <f t="shared" si="208"/>
        <v>0</v>
      </c>
      <c r="BT250" s="78">
        <f t="shared" si="209"/>
        <v>0</v>
      </c>
      <c r="BU250" s="91">
        <f t="shared" si="210"/>
        <v>0</v>
      </c>
      <c r="BV250" s="91">
        <f t="shared" si="211"/>
        <v>0</v>
      </c>
      <c r="BW250" s="78"/>
      <c r="BX250" s="78"/>
      <c r="BY250" s="78">
        <f t="shared" si="212"/>
        <v>0</v>
      </c>
      <c r="BZ250" s="78">
        <f t="shared" si="213"/>
        <v>0</v>
      </c>
      <c r="CA250" s="78">
        <f t="shared" si="214"/>
        <v>0</v>
      </c>
      <c r="CB250" s="78">
        <f t="shared" si="215"/>
        <v>0</v>
      </c>
      <c r="CC250" s="78">
        <f t="shared" si="216"/>
        <v>0</v>
      </c>
      <c r="CD250" s="78">
        <f t="shared" si="217"/>
        <v>0</v>
      </c>
      <c r="CE250" s="78">
        <f t="shared" si="218"/>
        <v>0</v>
      </c>
      <c r="CF250" s="78">
        <f t="shared" si="219"/>
        <v>0</v>
      </c>
      <c r="CG250" s="78"/>
      <c r="CH250" s="92">
        <f t="shared" si="220"/>
        <v>0</v>
      </c>
      <c r="CI250" s="93">
        <f t="shared" si="221"/>
        <v>0</v>
      </c>
      <c r="CJ250" s="94">
        <f t="shared" si="222"/>
        <v>0</v>
      </c>
      <c r="CL250" s="78">
        <f t="shared" si="223"/>
        <v>0</v>
      </c>
      <c r="CM250" s="78">
        <f t="shared" si="224"/>
        <v>0</v>
      </c>
      <c r="CN250" s="78">
        <f t="shared" si="225"/>
        <v>0</v>
      </c>
      <c r="CO250" s="78">
        <f t="shared" si="226"/>
        <v>0</v>
      </c>
    </row>
    <row r="251" spans="1:93" ht="13.5" thickBot="1">
      <c r="A251" s="95"/>
      <c r="B251" s="96"/>
      <c r="C251" s="97"/>
      <c r="D251" s="98"/>
      <c r="E251" s="99"/>
      <c r="F251" s="100"/>
      <c r="G251" s="100"/>
      <c r="H251" s="100"/>
      <c r="I251" s="100"/>
      <c r="J251" s="100"/>
      <c r="K251" s="101" t="str">
        <f t="shared" si="227"/>
        <v/>
      </c>
      <c r="L251" s="102"/>
      <c r="M251" s="103"/>
      <c r="N251" s="104"/>
      <c r="O251" s="105"/>
      <c r="P251" s="106">
        <f t="shared" si="228"/>
        <v>0</v>
      </c>
      <c r="Q251" s="106">
        <f t="shared" si="229"/>
        <v>0</v>
      </c>
      <c r="R251" s="106">
        <f t="shared" si="230"/>
        <v>0</v>
      </c>
      <c r="S251" s="106">
        <f t="shared" si="231"/>
        <v>0</v>
      </c>
      <c r="T251" s="107">
        <f t="shared" si="232"/>
        <v>0</v>
      </c>
      <c r="U251" s="78"/>
      <c r="AG251" s="108"/>
      <c r="AI251" s="78">
        <f t="shared" si="176"/>
        <v>0</v>
      </c>
      <c r="AJ251" s="78">
        <f t="shared" si="177"/>
        <v>0</v>
      </c>
      <c r="AK251" s="78">
        <f t="shared" si="178"/>
        <v>0</v>
      </c>
      <c r="AL251" s="78">
        <f t="shared" si="179"/>
        <v>0</v>
      </c>
      <c r="AM251" s="78">
        <f t="shared" si="180"/>
        <v>0</v>
      </c>
      <c r="AN251" s="78">
        <f t="shared" si="181"/>
        <v>0</v>
      </c>
      <c r="AO251" s="78">
        <f t="shared" si="182"/>
        <v>0</v>
      </c>
      <c r="AP251" s="78">
        <f t="shared" si="183"/>
        <v>0</v>
      </c>
      <c r="AQ251" s="78">
        <f t="shared" si="184"/>
        <v>0</v>
      </c>
      <c r="AR251" s="78">
        <f t="shared" si="185"/>
        <v>0</v>
      </c>
      <c r="AS251" s="90">
        <f t="shared" si="186"/>
        <v>0</v>
      </c>
      <c r="AT251" s="91">
        <f t="shared" si="187"/>
        <v>0</v>
      </c>
      <c r="AV251" s="91">
        <f t="shared" si="188"/>
        <v>0</v>
      </c>
      <c r="AW251" s="78">
        <f t="shared" si="189"/>
        <v>0</v>
      </c>
      <c r="AX251" s="78">
        <f t="shared" si="190"/>
        <v>0</v>
      </c>
      <c r="AY251" s="78"/>
      <c r="AZ251" s="78">
        <f t="shared" si="191"/>
        <v>0</v>
      </c>
      <c r="BA251" s="78">
        <f t="shared" si="192"/>
        <v>0</v>
      </c>
      <c r="BB251" s="78">
        <f t="shared" si="193"/>
        <v>0</v>
      </c>
      <c r="BC251" s="78">
        <f t="shared" si="194"/>
        <v>0</v>
      </c>
      <c r="BD251" s="78">
        <f t="shared" si="195"/>
        <v>0</v>
      </c>
      <c r="BE251" s="78">
        <f t="shared" si="196"/>
        <v>0</v>
      </c>
      <c r="BF251" s="78">
        <f t="shared" si="197"/>
        <v>0</v>
      </c>
      <c r="BG251" s="78">
        <f t="shared" si="198"/>
        <v>0</v>
      </c>
      <c r="BH251" s="78">
        <f t="shared" si="199"/>
        <v>0</v>
      </c>
      <c r="BI251" s="78"/>
      <c r="BJ251" s="91">
        <f t="shared" si="200"/>
        <v>0</v>
      </c>
      <c r="BK251" s="91">
        <f t="shared" si="201"/>
        <v>0</v>
      </c>
      <c r="BL251" s="78"/>
      <c r="BM251" s="78">
        <f t="shared" si="202"/>
        <v>0</v>
      </c>
      <c r="BN251" s="78">
        <f t="shared" si="203"/>
        <v>0</v>
      </c>
      <c r="BO251" s="78">
        <f t="shared" si="204"/>
        <v>0</v>
      </c>
      <c r="BP251" s="78">
        <f t="shared" si="205"/>
        <v>0</v>
      </c>
      <c r="BQ251" s="78">
        <f t="shared" si="206"/>
        <v>0</v>
      </c>
      <c r="BR251" s="78">
        <f t="shared" si="207"/>
        <v>0</v>
      </c>
      <c r="BS251" s="78">
        <f t="shared" si="208"/>
        <v>0</v>
      </c>
      <c r="BT251" s="78">
        <f t="shared" si="209"/>
        <v>0</v>
      </c>
      <c r="BU251" s="91">
        <f t="shared" si="210"/>
        <v>0</v>
      </c>
      <c r="BV251" s="91">
        <f t="shared" si="211"/>
        <v>0</v>
      </c>
      <c r="BW251" s="78"/>
      <c r="BX251" s="78"/>
      <c r="BY251" s="78">
        <f t="shared" si="212"/>
        <v>0</v>
      </c>
      <c r="BZ251" s="78">
        <f t="shared" si="213"/>
        <v>0</v>
      </c>
      <c r="CA251" s="78">
        <f t="shared" si="214"/>
        <v>0</v>
      </c>
      <c r="CB251" s="78">
        <f t="shared" si="215"/>
        <v>0</v>
      </c>
      <c r="CC251" s="78">
        <f t="shared" si="216"/>
        <v>0</v>
      </c>
      <c r="CD251" s="78">
        <f t="shared" si="217"/>
        <v>0</v>
      </c>
      <c r="CE251" s="78">
        <f t="shared" si="218"/>
        <v>0</v>
      </c>
      <c r="CF251" s="78">
        <f t="shared" si="219"/>
        <v>0</v>
      </c>
      <c r="CG251" s="78"/>
      <c r="CH251" s="92">
        <f t="shared" si="220"/>
        <v>0</v>
      </c>
      <c r="CI251" s="93">
        <f t="shared" si="221"/>
        <v>0</v>
      </c>
      <c r="CJ251" s="94">
        <f t="shared" si="222"/>
        <v>0</v>
      </c>
      <c r="CL251" s="78">
        <f t="shared" si="223"/>
        <v>0</v>
      </c>
      <c r="CM251" s="78">
        <f t="shared" si="224"/>
        <v>0</v>
      </c>
      <c r="CN251" s="78">
        <f t="shared" si="225"/>
        <v>0</v>
      </c>
      <c r="CO251" s="78">
        <f t="shared" si="226"/>
        <v>0</v>
      </c>
    </row>
    <row r="252" spans="1:93" ht="13.5" thickBot="1">
      <c r="A252" s="95"/>
      <c r="B252" s="96"/>
      <c r="C252" s="97"/>
      <c r="D252" s="98"/>
      <c r="E252" s="99"/>
      <c r="F252" s="100"/>
      <c r="G252" s="100"/>
      <c r="H252" s="100"/>
      <c r="I252" s="100"/>
      <c r="J252" s="100"/>
      <c r="K252" s="101" t="str">
        <f t="shared" si="227"/>
        <v/>
      </c>
      <c r="L252" s="102"/>
      <c r="M252" s="103"/>
      <c r="N252" s="104"/>
      <c r="O252" s="105"/>
      <c r="P252" s="106">
        <f t="shared" si="228"/>
        <v>0</v>
      </c>
      <c r="Q252" s="106">
        <f t="shared" si="229"/>
        <v>0</v>
      </c>
      <c r="R252" s="106">
        <f t="shared" si="230"/>
        <v>0</v>
      </c>
      <c r="S252" s="106">
        <f t="shared" si="231"/>
        <v>0</v>
      </c>
      <c r="T252" s="107">
        <f t="shared" si="232"/>
        <v>0</v>
      </c>
      <c r="U252" s="78"/>
      <c r="AG252" s="108"/>
      <c r="AI252" s="78">
        <f t="shared" si="176"/>
        <v>0</v>
      </c>
      <c r="AJ252" s="78">
        <f t="shared" si="177"/>
        <v>0</v>
      </c>
      <c r="AK252" s="78">
        <f t="shared" si="178"/>
        <v>0</v>
      </c>
      <c r="AL252" s="78">
        <f t="shared" si="179"/>
        <v>0</v>
      </c>
      <c r="AM252" s="78">
        <f t="shared" si="180"/>
        <v>0</v>
      </c>
      <c r="AN252" s="78">
        <f t="shared" si="181"/>
        <v>0</v>
      </c>
      <c r="AO252" s="78">
        <f t="shared" si="182"/>
        <v>0</v>
      </c>
      <c r="AP252" s="78">
        <f t="shared" si="183"/>
        <v>0</v>
      </c>
      <c r="AQ252" s="78">
        <f t="shared" si="184"/>
        <v>0</v>
      </c>
      <c r="AR252" s="78">
        <f t="shared" si="185"/>
        <v>0</v>
      </c>
      <c r="AS252" s="90">
        <f t="shared" si="186"/>
        <v>0</v>
      </c>
      <c r="AT252" s="91">
        <f t="shared" si="187"/>
        <v>0</v>
      </c>
      <c r="AV252" s="91">
        <f t="shared" si="188"/>
        <v>0</v>
      </c>
      <c r="AW252" s="78">
        <f t="shared" si="189"/>
        <v>0</v>
      </c>
      <c r="AX252" s="78">
        <f t="shared" si="190"/>
        <v>0</v>
      </c>
      <c r="AY252" s="78"/>
      <c r="AZ252" s="78">
        <f t="shared" si="191"/>
        <v>0</v>
      </c>
      <c r="BA252" s="78">
        <f t="shared" si="192"/>
        <v>0</v>
      </c>
      <c r="BB252" s="78">
        <f t="shared" si="193"/>
        <v>0</v>
      </c>
      <c r="BC252" s="78">
        <f t="shared" si="194"/>
        <v>0</v>
      </c>
      <c r="BD252" s="78">
        <f t="shared" si="195"/>
        <v>0</v>
      </c>
      <c r="BE252" s="78">
        <f t="shared" si="196"/>
        <v>0</v>
      </c>
      <c r="BF252" s="78">
        <f t="shared" si="197"/>
        <v>0</v>
      </c>
      <c r="BG252" s="78">
        <f t="shared" si="198"/>
        <v>0</v>
      </c>
      <c r="BH252" s="78">
        <f t="shared" si="199"/>
        <v>0</v>
      </c>
      <c r="BI252" s="78"/>
      <c r="BJ252" s="91">
        <f t="shared" si="200"/>
        <v>0</v>
      </c>
      <c r="BK252" s="91">
        <f t="shared" si="201"/>
        <v>0</v>
      </c>
      <c r="BL252" s="78"/>
      <c r="BM252" s="78">
        <f t="shared" si="202"/>
        <v>0</v>
      </c>
      <c r="BN252" s="78">
        <f t="shared" si="203"/>
        <v>0</v>
      </c>
      <c r="BO252" s="78">
        <f t="shared" si="204"/>
        <v>0</v>
      </c>
      <c r="BP252" s="78">
        <f t="shared" si="205"/>
        <v>0</v>
      </c>
      <c r="BQ252" s="78">
        <f t="shared" si="206"/>
        <v>0</v>
      </c>
      <c r="BR252" s="78">
        <f t="shared" si="207"/>
        <v>0</v>
      </c>
      <c r="BS252" s="78">
        <f t="shared" si="208"/>
        <v>0</v>
      </c>
      <c r="BT252" s="78">
        <f t="shared" si="209"/>
        <v>0</v>
      </c>
      <c r="BU252" s="91">
        <f t="shared" si="210"/>
        <v>0</v>
      </c>
      <c r="BV252" s="91">
        <f t="shared" si="211"/>
        <v>0</v>
      </c>
      <c r="BW252" s="78"/>
      <c r="BX252" s="78"/>
      <c r="BY252" s="78">
        <f t="shared" si="212"/>
        <v>0</v>
      </c>
      <c r="BZ252" s="78">
        <f t="shared" si="213"/>
        <v>0</v>
      </c>
      <c r="CA252" s="78">
        <f t="shared" si="214"/>
        <v>0</v>
      </c>
      <c r="CB252" s="78">
        <f t="shared" si="215"/>
        <v>0</v>
      </c>
      <c r="CC252" s="78">
        <f t="shared" si="216"/>
        <v>0</v>
      </c>
      <c r="CD252" s="78">
        <f t="shared" si="217"/>
        <v>0</v>
      </c>
      <c r="CE252" s="78">
        <f t="shared" si="218"/>
        <v>0</v>
      </c>
      <c r="CF252" s="78">
        <f t="shared" si="219"/>
        <v>0</v>
      </c>
      <c r="CG252" s="78"/>
      <c r="CH252" s="92">
        <f t="shared" si="220"/>
        <v>0</v>
      </c>
      <c r="CI252" s="93">
        <f t="shared" si="221"/>
        <v>0</v>
      </c>
      <c r="CJ252" s="94">
        <f t="shared" si="222"/>
        <v>0</v>
      </c>
      <c r="CL252" s="78">
        <f t="shared" si="223"/>
        <v>0</v>
      </c>
      <c r="CM252" s="78">
        <f t="shared" si="224"/>
        <v>0</v>
      </c>
      <c r="CN252" s="78">
        <f t="shared" si="225"/>
        <v>0</v>
      </c>
      <c r="CO252" s="78">
        <f t="shared" si="226"/>
        <v>0</v>
      </c>
    </row>
    <row r="253" spans="1:93" ht="13.5" thickBot="1">
      <c r="A253" s="95"/>
      <c r="B253" s="96"/>
      <c r="C253" s="97"/>
      <c r="D253" s="98"/>
      <c r="E253" s="99"/>
      <c r="F253" s="100"/>
      <c r="G253" s="100"/>
      <c r="H253" s="100"/>
      <c r="I253" s="100"/>
      <c r="J253" s="100"/>
      <c r="K253" s="101" t="str">
        <f t="shared" si="227"/>
        <v/>
      </c>
      <c r="L253" s="102"/>
      <c r="M253" s="103"/>
      <c r="N253" s="104"/>
      <c r="O253" s="105"/>
      <c r="P253" s="106">
        <f t="shared" si="228"/>
        <v>0</v>
      </c>
      <c r="Q253" s="106">
        <f t="shared" si="229"/>
        <v>0</v>
      </c>
      <c r="R253" s="106">
        <f t="shared" si="230"/>
        <v>0</v>
      </c>
      <c r="S253" s="106">
        <f t="shared" si="231"/>
        <v>0</v>
      </c>
      <c r="T253" s="107">
        <f t="shared" si="232"/>
        <v>0</v>
      </c>
      <c r="U253" s="78"/>
      <c r="AG253" s="108"/>
      <c r="AI253" s="78">
        <f t="shared" si="176"/>
        <v>0</v>
      </c>
      <c r="AJ253" s="78">
        <f t="shared" si="177"/>
        <v>0</v>
      </c>
      <c r="AK253" s="78">
        <f t="shared" si="178"/>
        <v>0</v>
      </c>
      <c r="AL253" s="78">
        <f t="shared" si="179"/>
        <v>0</v>
      </c>
      <c r="AM253" s="78">
        <f t="shared" si="180"/>
        <v>0</v>
      </c>
      <c r="AN253" s="78">
        <f t="shared" si="181"/>
        <v>0</v>
      </c>
      <c r="AO253" s="78">
        <f t="shared" si="182"/>
        <v>0</v>
      </c>
      <c r="AP253" s="78">
        <f t="shared" si="183"/>
        <v>0</v>
      </c>
      <c r="AQ253" s="78">
        <f t="shared" si="184"/>
        <v>0</v>
      </c>
      <c r="AR253" s="78">
        <f t="shared" si="185"/>
        <v>0</v>
      </c>
      <c r="AS253" s="90">
        <f t="shared" si="186"/>
        <v>0</v>
      </c>
      <c r="AT253" s="91">
        <f t="shared" si="187"/>
        <v>0</v>
      </c>
      <c r="AV253" s="91">
        <f t="shared" si="188"/>
        <v>0</v>
      </c>
      <c r="AW253" s="78">
        <f t="shared" si="189"/>
        <v>0</v>
      </c>
      <c r="AX253" s="78">
        <f t="shared" si="190"/>
        <v>0</v>
      </c>
      <c r="AY253" s="78"/>
      <c r="AZ253" s="78">
        <f t="shared" si="191"/>
        <v>0</v>
      </c>
      <c r="BA253" s="78">
        <f t="shared" si="192"/>
        <v>0</v>
      </c>
      <c r="BB253" s="78">
        <f t="shared" si="193"/>
        <v>0</v>
      </c>
      <c r="BC253" s="78">
        <f t="shared" si="194"/>
        <v>0</v>
      </c>
      <c r="BD253" s="78">
        <f t="shared" si="195"/>
        <v>0</v>
      </c>
      <c r="BE253" s="78">
        <f t="shared" si="196"/>
        <v>0</v>
      </c>
      <c r="BF253" s="78">
        <f t="shared" si="197"/>
        <v>0</v>
      </c>
      <c r="BG253" s="78">
        <f t="shared" si="198"/>
        <v>0</v>
      </c>
      <c r="BH253" s="78">
        <f t="shared" si="199"/>
        <v>0</v>
      </c>
      <c r="BI253" s="78"/>
      <c r="BJ253" s="91">
        <f t="shared" si="200"/>
        <v>0</v>
      </c>
      <c r="BK253" s="91">
        <f t="shared" si="201"/>
        <v>0</v>
      </c>
      <c r="BL253" s="78"/>
      <c r="BM253" s="78">
        <f t="shared" si="202"/>
        <v>0</v>
      </c>
      <c r="BN253" s="78">
        <f t="shared" si="203"/>
        <v>0</v>
      </c>
      <c r="BO253" s="78">
        <f t="shared" si="204"/>
        <v>0</v>
      </c>
      <c r="BP253" s="78">
        <f t="shared" si="205"/>
        <v>0</v>
      </c>
      <c r="BQ253" s="78">
        <f t="shared" si="206"/>
        <v>0</v>
      </c>
      <c r="BR253" s="78">
        <f t="shared" si="207"/>
        <v>0</v>
      </c>
      <c r="BS253" s="78">
        <f t="shared" si="208"/>
        <v>0</v>
      </c>
      <c r="BT253" s="78">
        <f t="shared" si="209"/>
        <v>0</v>
      </c>
      <c r="BU253" s="91">
        <f t="shared" si="210"/>
        <v>0</v>
      </c>
      <c r="BV253" s="91">
        <f t="shared" si="211"/>
        <v>0</v>
      </c>
      <c r="BW253" s="78"/>
      <c r="BX253" s="78"/>
      <c r="BY253" s="78">
        <f t="shared" si="212"/>
        <v>0</v>
      </c>
      <c r="BZ253" s="78">
        <f t="shared" si="213"/>
        <v>0</v>
      </c>
      <c r="CA253" s="78">
        <f t="shared" si="214"/>
        <v>0</v>
      </c>
      <c r="CB253" s="78">
        <f t="shared" si="215"/>
        <v>0</v>
      </c>
      <c r="CC253" s="78">
        <f t="shared" si="216"/>
        <v>0</v>
      </c>
      <c r="CD253" s="78">
        <f t="shared" si="217"/>
        <v>0</v>
      </c>
      <c r="CE253" s="78">
        <f t="shared" si="218"/>
        <v>0</v>
      </c>
      <c r="CF253" s="78">
        <f t="shared" si="219"/>
        <v>0</v>
      </c>
      <c r="CG253" s="78"/>
      <c r="CH253" s="92">
        <f t="shared" si="220"/>
        <v>0</v>
      </c>
      <c r="CI253" s="93">
        <f t="shared" si="221"/>
        <v>0</v>
      </c>
      <c r="CJ253" s="94">
        <f t="shared" si="222"/>
        <v>0</v>
      </c>
      <c r="CL253" s="78">
        <f t="shared" si="223"/>
        <v>0</v>
      </c>
      <c r="CM253" s="78">
        <f t="shared" si="224"/>
        <v>0</v>
      </c>
      <c r="CN253" s="78">
        <f t="shared" si="225"/>
        <v>0</v>
      </c>
      <c r="CO253" s="78">
        <f t="shared" si="226"/>
        <v>0</v>
      </c>
    </row>
    <row r="254" spans="1:93" ht="13.5" thickBot="1">
      <c r="A254" s="95"/>
      <c r="B254" s="96"/>
      <c r="C254" s="97"/>
      <c r="D254" s="98"/>
      <c r="E254" s="99"/>
      <c r="F254" s="100"/>
      <c r="G254" s="100"/>
      <c r="H254" s="100"/>
      <c r="I254" s="100"/>
      <c r="J254" s="100"/>
      <c r="K254" s="101" t="str">
        <f t="shared" si="227"/>
        <v/>
      </c>
      <c r="L254" s="102"/>
      <c r="M254" s="103"/>
      <c r="N254" s="104"/>
      <c r="O254" s="105"/>
      <c r="P254" s="106">
        <f t="shared" si="228"/>
        <v>0</v>
      </c>
      <c r="Q254" s="106">
        <f t="shared" si="229"/>
        <v>0</v>
      </c>
      <c r="R254" s="106">
        <f t="shared" si="230"/>
        <v>0</v>
      </c>
      <c r="S254" s="106">
        <f t="shared" si="231"/>
        <v>0</v>
      </c>
      <c r="T254" s="107">
        <f t="shared" si="232"/>
        <v>0</v>
      </c>
      <c r="U254" s="78"/>
      <c r="AG254" s="108"/>
      <c r="AI254" s="78">
        <f t="shared" si="176"/>
        <v>0</v>
      </c>
      <c r="AJ254" s="78">
        <f t="shared" si="177"/>
        <v>0</v>
      </c>
      <c r="AK254" s="78">
        <f t="shared" si="178"/>
        <v>0</v>
      </c>
      <c r="AL254" s="78">
        <f t="shared" si="179"/>
        <v>0</v>
      </c>
      <c r="AM254" s="78">
        <f t="shared" si="180"/>
        <v>0</v>
      </c>
      <c r="AN254" s="78">
        <f t="shared" si="181"/>
        <v>0</v>
      </c>
      <c r="AO254" s="78">
        <f t="shared" si="182"/>
        <v>0</v>
      </c>
      <c r="AP254" s="78">
        <f t="shared" si="183"/>
        <v>0</v>
      </c>
      <c r="AQ254" s="78">
        <f t="shared" si="184"/>
        <v>0</v>
      </c>
      <c r="AR254" s="78">
        <f t="shared" si="185"/>
        <v>0</v>
      </c>
      <c r="AS254" s="90">
        <f t="shared" si="186"/>
        <v>0</v>
      </c>
      <c r="AT254" s="91">
        <f t="shared" si="187"/>
        <v>0</v>
      </c>
      <c r="AV254" s="91">
        <f t="shared" si="188"/>
        <v>0</v>
      </c>
      <c r="AW254" s="78">
        <f t="shared" si="189"/>
        <v>0</v>
      </c>
      <c r="AX254" s="78">
        <f t="shared" si="190"/>
        <v>0</v>
      </c>
      <c r="AY254" s="78"/>
      <c r="AZ254" s="78">
        <f t="shared" si="191"/>
        <v>0</v>
      </c>
      <c r="BA254" s="78">
        <f t="shared" si="192"/>
        <v>0</v>
      </c>
      <c r="BB254" s="78">
        <f t="shared" si="193"/>
        <v>0</v>
      </c>
      <c r="BC254" s="78">
        <f t="shared" si="194"/>
        <v>0</v>
      </c>
      <c r="BD254" s="78">
        <f t="shared" si="195"/>
        <v>0</v>
      </c>
      <c r="BE254" s="78">
        <f t="shared" si="196"/>
        <v>0</v>
      </c>
      <c r="BF254" s="78">
        <f t="shared" si="197"/>
        <v>0</v>
      </c>
      <c r="BG254" s="78">
        <f t="shared" si="198"/>
        <v>0</v>
      </c>
      <c r="BH254" s="78">
        <f t="shared" si="199"/>
        <v>0</v>
      </c>
      <c r="BI254" s="78"/>
      <c r="BJ254" s="91">
        <f t="shared" si="200"/>
        <v>0</v>
      </c>
      <c r="BK254" s="91">
        <f t="shared" si="201"/>
        <v>0</v>
      </c>
      <c r="BL254" s="78"/>
      <c r="BM254" s="78">
        <f t="shared" si="202"/>
        <v>0</v>
      </c>
      <c r="BN254" s="78">
        <f t="shared" si="203"/>
        <v>0</v>
      </c>
      <c r="BO254" s="78">
        <f t="shared" si="204"/>
        <v>0</v>
      </c>
      <c r="BP254" s="78">
        <f t="shared" si="205"/>
        <v>0</v>
      </c>
      <c r="BQ254" s="78">
        <f t="shared" si="206"/>
        <v>0</v>
      </c>
      <c r="BR254" s="78">
        <f t="shared" si="207"/>
        <v>0</v>
      </c>
      <c r="BS254" s="78">
        <f t="shared" si="208"/>
        <v>0</v>
      </c>
      <c r="BT254" s="78">
        <f t="shared" si="209"/>
        <v>0</v>
      </c>
      <c r="BU254" s="91">
        <f t="shared" si="210"/>
        <v>0</v>
      </c>
      <c r="BV254" s="91">
        <f t="shared" si="211"/>
        <v>0</v>
      </c>
      <c r="BW254" s="78"/>
      <c r="BX254" s="78"/>
      <c r="BY254" s="78">
        <f t="shared" si="212"/>
        <v>0</v>
      </c>
      <c r="BZ254" s="78">
        <f t="shared" si="213"/>
        <v>0</v>
      </c>
      <c r="CA254" s="78">
        <f t="shared" si="214"/>
        <v>0</v>
      </c>
      <c r="CB254" s="78">
        <f t="shared" si="215"/>
        <v>0</v>
      </c>
      <c r="CC254" s="78">
        <f t="shared" si="216"/>
        <v>0</v>
      </c>
      <c r="CD254" s="78">
        <f t="shared" si="217"/>
        <v>0</v>
      </c>
      <c r="CE254" s="78">
        <f t="shared" si="218"/>
        <v>0</v>
      </c>
      <c r="CF254" s="78">
        <f t="shared" si="219"/>
        <v>0</v>
      </c>
      <c r="CG254" s="78"/>
      <c r="CH254" s="92">
        <f t="shared" si="220"/>
        <v>0</v>
      </c>
      <c r="CI254" s="93">
        <f t="shared" si="221"/>
        <v>0</v>
      </c>
      <c r="CJ254" s="94">
        <f t="shared" si="222"/>
        <v>0</v>
      </c>
      <c r="CL254" s="78">
        <f t="shared" si="223"/>
        <v>0</v>
      </c>
      <c r="CM254" s="78">
        <f t="shared" si="224"/>
        <v>0</v>
      </c>
      <c r="CN254" s="78">
        <f t="shared" si="225"/>
        <v>0</v>
      </c>
      <c r="CO254" s="78">
        <f t="shared" si="226"/>
        <v>0</v>
      </c>
    </row>
    <row r="255" spans="1:93" ht="13.5" thickBot="1">
      <c r="A255" s="95"/>
      <c r="B255" s="96"/>
      <c r="C255" s="97"/>
      <c r="D255" s="98"/>
      <c r="E255" s="99"/>
      <c r="F255" s="100"/>
      <c r="G255" s="100"/>
      <c r="H255" s="100"/>
      <c r="I255" s="100"/>
      <c r="J255" s="100"/>
      <c r="K255" s="101" t="str">
        <f t="shared" si="227"/>
        <v/>
      </c>
      <c r="L255" s="102"/>
      <c r="M255" s="103"/>
      <c r="N255" s="104"/>
      <c r="O255" s="105"/>
      <c r="P255" s="106">
        <f t="shared" si="228"/>
        <v>0</v>
      </c>
      <c r="Q255" s="106">
        <f t="shared" si="229"/>
        <v>0</v>
      </c>
      <c r="R255" s="106">
        <f t="shared" si="230"/>
        <v>0</v>
      </c>
      <c r="S255" s="106">
        <f t="shared" si="231"/>
        <v>0</v>
      </c>
      <c r="T255" s="107">
        <f t="shared" si="232"/>
        <v>0</v>
      </c>
      <c r="U255" s="78"/>
      <c r="AG255" s="108"/>
      <c r="AI255" s="78">
        <f t="shared" si="176"/>
        <v>0</v>
      </c>
      <c r="AJ255" s="78">
        <f t="shared" si="177"/>
        <v>0</v>
      </c>
      <c r="AK255" s="78">
        <f t="shared" si="178"/>
        <v>0</v>
      </c>
      <c r="AL255" s="78">
        <f t="shared" si="179"/>
        <v>0</v>
      </c>
      <c r="AM255" s="78">
        <f t="shared" si="180"/>
        <v>0</v>
      </c>
      <c r="AN255" s="78">
        <f t="shared" si="181"/>
        <v>0</v>
      </c>
      <c r="AO255" s="78">
        <f t="shared" si="182"/>
        <v>0</v>
      </c>
      <c r="AP255" s="78">
        <f t="shared" si="183"/>
        <v>0</v>
      </c>
      <c r="AQ255" s="78">
        <f t="shared" si="184"/>
        <v>0</v>
      </c>
      <c r="AR255" s="78">
        <f t="shared" si="185"/>
        <v>0</v>
      </c>
      <c r="AS255" s="90">
        <f t="shared" si="186"/>
        <v>0</v>
      </c>
      <c r="AT255" s="91">
        <f t="shared" si="187"/>
        <v>0</v>
      </c>
      <c r="AV255" s="91">
        <f t="shared" si="188"/>
        <v>0</v>
      </c>
      <c r="AW255" s="78">
        <f t="shared" si="189"/>
        <v>0</v>
      </c>
      <c r="AX255" s="78">
        <f t="shared" si="190"/>
        <v>0</v>
      </c>
      <c r="AY255" s="78"/>
      <c r="AZ255" s="78">
        <f t="shared" si="191"/>
        <v>0</v>
      </c>
      <c r="BA255" s="78">
        <f t="shared" si="192"/>
        <v>0</v>
      </c>
      <c r="BB255" s="78">
        <f t="shared" si="193"/>
        <v>0</v>
      </c>
      <c r="BC255" s="78">
        <f t="shared" si="194"/>
        <v>0</v>
      </c>
      <c r="BD255" s="78">
        <f t="shared" si="195"/>
        <v>0</v>
      </c>
      <c r="BE255" s="78">
        <f t="shared" si="196"/>
        <v>0</v>
      </c>
      <c r="BF255" s="78">
        <f t="shared" si="197"/>
        <v>0</v>
      </c>
      <c r="BG255" s="78">
        <f t="shared" si="198"/>
        <v>0</v>
      </c>
      <c r="BH255" s="78">
        <f t="shared" si="199"/>
        <v>0</v>
      </c>
      <c r="BI255" s="78"/>
      <c r="BJ255" s="91">
        <f t="shared" si="200"/>
        <v>0</v>
      </c>
      <c r="BK255" s="91">
        <f t="shared" si="201"/>
        <v>0</v>
      </c>
      <c r="BL255" s="78"/>
      <c r="BM255" s="78">
        <f t="shared" si="202"/>
        <v>0</v>
      </c>
      <c r="BN255" s="78">
        <f t="shared" si="203"/>
        <v>0</v>
      </c>
      <c r="BO255" s="78">
        <f t="shared" si="204"/>
        <v>0</v>
      </c>
      <c r="BP255" s="78">
        <f t="shared" si="205"/>
        <v>0</v>
      </c>
      <c r="BQ255" s="78">
        <f t="shared" si="206"/>
        <v>0</v>
      </c>
      <c r="BR255" s="78">
        <f t="shared" si="207"/>
        <v>0</v>
      </c>
      <c r="BS255" s="78">
        <f t="shared" si="208"/>
        <v>0</v>
      </c>
      <c r="BT255" s="78">
        <f t="shared" si="209"/>
        <v>0</v>
      </c>
      <c r="BU255" s="91">
        <f t="shared" si="210"/>
        <v>0</v>
      </c>
      <c r="BV255" s="91">
        <f t="shared" si="211"/>
        <v>0</v>
      </c>
      <c r="BW255" s="78"/>
      <c r="BX255" s="78"/>
      <c r="BY255" s="78">
        <f t="shared" si="212"/>
        <v>0</v>
      </c>
      <c r="BZ255" s="78">
        <f t="shared" si="213"/>
        <v>0</v>
      </c>
      <c r="CA255" s="78">
        <f t="shared" si="214"/>
        <v>0</v>
      </c>
      <c r="CB255" s="78">
        <f t="shared" si="215"/>
        <v>0</v>
      </c>
      <c r="CC255" s="78">
        <f t="shared" si="216"/>
        <v>0</v>
      </c>
      <c r="CD255" s="78">
        <f t="shared" si="217"/>
        <v>0</v>
      </c>
      <c r="CE255" s="78">
        <f t="shared" si="218"/>
        <v>0</v>
      </c>
      <c r="CF255" s="78">
        <f t="shared" si="219"/>
        <v>0</v>
      </c>
      <c r="CG255" s="78"/>
      <c r="CH255" s="92">
        <f t="shared" si="220"/>
        <v>0</v>
      </c>
      <c r="CI255" s="93">
        <f t="shared" si="221"/>
        <v>0</v>
      </c>
      <c r="CJ255" s="94">
        <f t="shared" si="222"/>
        <v>0</v>
      </c>
      <c r="CL255" s="78">
        <f t="shared" si="223"/>
        <v>0</v>
      </c>
      <c r="CM255" s="78">
        <f t="shared" si="224"/>
        <v>0</v>
      </c>
      <c r="CN255" s="78">
        <f t="shared" si="225"/>
        <v>0</v>
      </c>
      <c r="CO255" s="78">
        <f t="shared" si="226"/>
        <v>0</v>
      </c>
    </row>
    <row r="256" spans="1:93" ht="13.5" thickBot="1">
      <c r="A256" s="95"/>
      <c r="B256" s="96"/>
      <c r="C256" s="97"/>
      <c r="D256" s="98"/>
      <c r="E256" s="99"/>
      <c r="F256" s="100"/>
      <c r="G256" s="100"/>
      <c r="H256" s="100"/>
      <c r="I256" s="100"/>
      <c r="J256" s="100"/>
      <c r="K256" s="101" t="str">
        <f t="shared" si="227"/>
        <v/>
      </c>
      <c r="L256" s="102"/>
      <c r="M256" s="103"/>
      <c r="N256" s="104"/>
      <c r="O256" s="105"/>
      <c r="P256" s="106">
        <f t="shared" si="228"/>
        <v>0</v>
      </c>
      <c r="Q256" s="106">
        <f t="shared" si="229"/>
        <v>0</v>
      </c>
      <c r="R256" s="106">
        <f t="shared" si="230"/>
        <v>0</v>
      </c>
      <c r="S256" s="106">
        <f t="shared" si="231"/>
        <v>0</v>
      </c>
      <c r="T256" s="107">
        <f t="shared" si="232"/>
        <v>0</v>
      </c>
      <c r="U256" s="78"/>
      <c r="AG256" s="108"/>
      <c r="AI256" s="78">
        <f t="shared" si="176"/>
        <v>0</v>
      </c>
      <c r="AJ256" s="78">
        <f t="shared" si="177"/>
        <v>0</v>
      </c>
      <c r="AK256" s="78">
        <f t="shared" si="178"/>
        <v>0</v>
      </c>
      <c r="AL256" s="78">
        <f t="shared" si="179"/>
        <v>0</v>
      </c>
      <c r="AM256" s="78">
        <f t="shared" si="180"/>
        <v>0</v>
      </c>
      <c r="AN256" s="78">
        <f t="shared" si="181"/>
        <v>0</v>
      </c>
      <c r="AO256" s="78">
        <f t="shared" si="182"/>
        <v>0</v>
      </c>
      <c r="AP256" s="78">
        <f t="shared" si="183"/>
        <v>0</v>
      </c>
      <c r="AQ256" s="78">
        <f t="shared" si="184"/>
        <v>0</v>
      </c>
      <c r="AR256" s="78">
        <f t="shared" si="185"/>
        <v>0</v>
      </c>
      <c r="AS256" s="90">
        <f t="shared" si="186"/>
        <v>0</v>
      </c>
      <c r="AT256" s="91">
        <f t="shared" si="187"/>
        <v>0</v>
      </c>
      <c r="AV256" s="91">
        <f t="shared" si="188"/>
        <v>0</v>
      </c>
      <c r="AW256" s="78">
        <f t="shared" si="189"/>
        <v>0</v>
      </c>
      <c r="AX256" s="78">
        <f t="shared" si="190"/>
        <v>0</v>
      </c>
      <c r="AY256" s="78"/>
      <c r="AZ256" s="78">
        <f t="shared" si="191"/>
        <v>0</v>
      </c>
      <c r="BA256" s="78">
        <f t="shared" si="192"/>
        <v>0</v>
      </c>
      <c r="BB256" s="78">
        <f t="shared" si="193"/>
        <v>0</v>
      </c>
      <c r="BC256" s="78">
        <f t="shared" si="194"/>
        <v>0</v>
      </c>
      <c r="BD256" s="78">
        <f t="shared" si="195"/>
        <v>0</v>
      </c>
      <c r="BE256" s="78">
        <f t="shared" si="196"/>
        <v>0</v>
      </c>
      <c r="BF256" s="78">
        <f t="shared" si="197"/>
        <v>0</v>
      </c>
      <c r="BG256" s="78">
        <f t="shared" si="198"/>
        <v>0</v>
      </c>
      <c r="BH256" s="78">
        <f t="shared" si="199"/>
        <v>0</v>
      </c>
      <c r="BI256" s="78"/>
      <c r="BJ256" s="91">
        <f t="shared" si="200"/>
        <v>0</v>
      </c>
      <c r="BK256" s="91">
        <f t="shared" si="201"/>
        <v>0</v>
      </c>
      <c r="BL256" s="78"/>
      <c r="BM256" s="78">
        <f t="shared" si="202"/>
        <v>0</v>
      </c>
      <c r="BN256" s="78">
        <f t="shared" si="203"/>
        <v>0</v>
      </c>
      <c r="BO256" s="78">
        <f t="shared" si="204"/>
        <v>0</v>
      </c>
      <c r="BP256" s="78">
        <f t="shared" si="205"/>
        <v>0</v>
      </c>
      <c r="BQ256" s="78">
        <f t="shared" si="206"/>
        <v>0</v>
      </c>
      <c r="BR256" s="78">
        <f t="shared" si="207"/>
        <v>0</v>
      </c>
      <c r="BS256" s="78">
        <f t="shared" si="208"/>
        <v>0</v>
      </c>
      <c r="BT256" s="78">
        <f t="shared" si="209"/>
        <v>0</v>
      </c>
      <c r="BU256" s="91">
        <f t="shared" si="210"/>
        <v>0</v>
      </c>
      <c r="BV256" s="91">
        <f t="shared" si="211"/>
        <v>0</v>
      </c>
      <c r="BW256" s="78"/>
      <c r="BX256" s="78"/>
      <c r="BY256" s="78">
        <f t="shared" si="212"/>
        <v>0</v>
      </c>
      <c r="BZ256" s="78">
        <f t="shared" si="213"/>
        <v>0</v>
      </c>
      <c r="CA256" s="78">
        <f t="shared" si="214"/>
        <v>0</v>
      </c>
      <c r="CB256" s="78">
        <f t="shared" si="215"/>
        <v>0</v>
      </c>
      <c r="CC256" s="78">
        <f t="shared" si="216"/>
        <v>0</v>
      </c>
      <c r="CD256" s="78">
        <f t="shared" si="217"/>
        <v>0</v>
      </c>
      <c r="CE256" s="78">
        <f t="shared" si="218"/>
        <v>0</v>
      </c>
      <c r="CF256" s="78">
        <f t="shared" si="219"/>
        <v>0</v>
      </c>
      <c r="CG256" s="78"/>
      <c r="CH256" s="92">
        <f t="shared" si="220"/>
        <v>0</v>
      </c>
      <c r="CI256" s="93">
        <f t="shared" si="221"/>
        <v>0</v>
      </c>
      <c r="CJ256" s="94">
        <f t="shared" si="222"/>
        <v>0</v>
      </c>
      <c r="CL256" s="78">
        <f t="shared" si="223"/>
        <v>0</v>
      </c>
      <c r="CM256" s="78">
        <f t="shared" si="224"/>
        <v>0</v>
      </c>
      <c r="CN256" s="78">
        <f t="shared" si="225"/>
        <v>0</v>
      </c>
      <c r="CO256" s="78">
        <f t="shared" si="226"/>
        <v>0</v>
      </c>
    </row>
    <row r="257" spans="1:93" ht="13.5" thickBot="1">
      <c r="A257" s="95"/>
      <c r="B257" s="96"/>
      <c r="C257" s="97"/>
      <c r="D257" s="98"/>
      <c r="E257" s="99"/>
      <c r="F257" s="100"/>
      <c r="G257" s="100"/>
      <c r="H257" s="100"/>
      <c r="I257" s="100"/>
      <c r="J257" s="100"/>
      <c r="K257" s="101" t="str">
        <f t="shared" si="227"/>
        <v/>
      </c>
      <c r="L257" s="102"/>
      <c r="M257" s="103"/>
      <c r="N257" s="104"/>
      <c r="O257" s="105"/>
      <c r="P257" s="106">
        <f t="shared" si="228"/>
        <v>0</v>
      </c>
      <c r="Q257" s="106">
        <f t="shared" si="229"/>
        <v>0</v>
      </c>
      <c r="R257" s="106">
        <f t="shared" si="230"/>
        <v>0</v>
      </c>
      <c r="S257" s="106">
        <f t="shared" si="231"/>
        <v>0</v>
      </c>
      <c r="T257" s="107">
        <f t="shared" si="232"/>
        <v>0</v>
      </c>
      <c r="U257" s="78"/>
      <c r="AG257" s="108"/>
      <c r="AI257" s="78">
        <f t="shared" si="176"/>
        <v>0</v>
      </c>
      <c r="AJ257" s="78">
        <f t="shared" si="177"/>
        <v>0</v>
      </c>
      <c r="AK257" s="78">
        <f t="shared" si="178"/>
        <v>0</v>
      </c>
      <c r="AL257" s="78">
        <f t="shared" si="179"/>
        <v>0</v>
      </c>
      <c r="AM257" s="78">
        <f t="shared" si="180"/>
        <v>0</v>
      </c>
      <c r="AN257" s="78">
        <f t="shared" si="181"/>
        <v>0</v>
      </c>
      <c r="AO257" s="78">
        <f t="shared" si="182"/>
        <v>0</v>
      </c>
      <c r="AP257" s="78">
        <f t="shared" si="183"/>
        <v>0</v>
      </c>
      <c r="AQ257" s="78">
        <f t="shared" si="184"/>
        <v>0</v>
      </c>
      <c r="AR257" s="78">
        <f t="shared" si="185"/>
        <v>0</v>
      </c>
      <c r="AS257" s="90">
        <f t="shared" si="186"/>
        <v>0</v>
      </c>
      <c r="AT257" s="91">
        <f t="shared" si="187"/>
        <v>0</v>
      </c>
      <c r="AV257" s="91">
        <f t="shared" si="188"/>
        <v>0</v>
      </c>
      <c r="AW257" s="78">
        <f t="shared" si="189"/>
        <v>0</v>
      </c>
      <c r="AX257" s="78">
        <f t="shared" si="190"/>
        <v>0</v>
      </c>
      <c r="AY257" s="78"/>
      <c r="AZ257" s="78">
        <f t="shared" si="191"/>
        <v>0</v>
      </c>
      <c r="BA257" s="78">
        <f t="shared" si="192"/>
        <v>0</v>
      </c>
      <c r="BB257" s="78">
        <f t="shared" si="193"/>
        <v>0</v>
      </c>
      <c r="BC257" s="78">
        <f t="shared" si="194"/>
        <v>0</v>
      </c>
      <c r="BD257" s="78">
        <f t="shared" si="195"/>
        <v>0</v>
      </c>
      <c r="BE257" s="78">
        <f t="shared" si="196"/>
        <v>0</v>
      </c>
      <c r="BF257" s="78">
        <f t="shared" si="197"/>
        <v>0</v>
      </c>
      <c r="BG257" s="78">
        <f t="shared" si="198"/>
        <v>0</v>
      </c>
      <c r="BH257" s="78">
        <f t="shared" si="199"/>
        <v>0</v>
      </c>
      <c r="BI257" s="78"/>
      <c r="BJ257" s="91">
        <f t="shared" si="200"/>
        <v>0</v>
      </c>
      <c r="BK257" s="91">
        <f t="shared" si="201"/>
        <v>0</v>
      </c>
      <c r="BL257" s="78"/>
      <c r="BM257" s="78">
        <f t="shared" si="202"/>
        <v>0</v>
      </c>
      <c r="BN257" s="78">
        <f t="shared" si="203"/>
        <v>0</v>
      </c>
      <c r="BO257" s="78">
        <f t="shared" si="204"/>
        <v>0</v>
      </c>
      <c r="BP257" s="78">
        <f t="shared" si="205"/>
        <v>0</v>
      </c>
      <c r="BQ257" s="78">
        <f t="shared" si="206"/>
        <v>0</v>
      </c>
      <c r="BR257" s="78">
        <f t="shared" si="207"/>
        <v>0</v>
      </c>
      <c r="BS257" s="78">
        <f t="shared" si="208"/>
        <v>0</v>
      </c>
      <c r="BT257" s="78">
        <f t="shared" si="209"/>
        <v>0</v>
      </c>
      <c r="BU257" s="91">
        <f t="shared" si="210"/>
        <v>0</v>
      </c>
      <c r="BV257" s="91">
        <f t="shared" si="211"/>
        <v>0</v>
      </c>
      <c r="BW257" s="78"/>
      <c r="BX257" s="78"/>
      <c r="BY257" s="78">
        <f t="shared" si="212"/>
        <v>0</v>
      </c>
      <c r="BZ257" s="78">
        <f t="shared" si="213"/>
        <v>0</v>
      </c>
      <c r="CA257" s="78">
        <f t="shared" si="214"/>
        <v>0</v>
      </c>
      <c r="CB257" s="78">
        <f t="shared" si="215"/>
        <v>0</v>
      </c>
      <c r="CC257" s="78">
        <f t="shared" si="216"/>
        <v>0</v>
      </c>
      <c r="CD257" s="78">
        <f t="shared" si="217"/>
        <v>0</v>
      </c>
      <c r="CE257" s="78">
        <f t="shared" si="218"/>
        <v>0</v>
      </c>
      <c r="CF257" s="78">
        <f t="shared" si="219"/>
        <v>0</v>
      </c>
      <c r="CG257" s="78"/>
      <c r="CH257" s="92">
        <f t="shared" si="220"/>
        <v>0</v>
      </c>
      <c r="CI257" s="93">
        <f t="shared" si="221"/>
        <v>0</v>
      </c>
      <c r="CJ257" s="94">
        <f t="shared" si="222"/>
        <v>0</v>
      </c>
      <c r="CL257" s="78">
        <f t="shared" si="223"/>
        <v>0</v>
      </c>
      <c r="CM257" s="78">
        <f t="shared" si="224"/>
        <v>0</v>
      </c>
      <c r="CN257" s="78">
        <f t="shared" si="225"/>
        <v>0</v>
      </c>
      <c r="CO257" s="78">
        <f t="shared" si="226"/>
        <v>0</v>
      </c>
    </row>
    <row r="258" spans="1:93" ht="13.5" thickBot="1">
      <c r="A258" s="95"/>
      <c r="B258" s="96"/>
      <c r="C258" s="97"/>
      <c r="D258" s="98"/>
      <c r="E258" s="99"/>
      <c r="F258" s="100"/>
      <c r="G258" s="100"/>
      <c r="H258" s="100"/>
      <c r="I258" s="100"/>
      <c r="J258" s="100"/>
      <c r="K258" s="101" t="str">
        <f t="shared" si="227"/>
        <v/>
      </c>
      <c r="L258" s="102"/>
      <c r="M258" s="103"/>
      <c r="N258" s="104"/>
      <c r="O258" s="105"/>
      <c r="P258" s="106">
        <f t="shared" si="228"/>
        <v>0</v>
      </c>
      <c r="Q258" s="106">
        <f t="shared" si="229"/>
        <v>0</v>
      </c>
      <c r="R258" s="106">
        <f t="shared" si="230"/>
        <v>0</v>
      </c>
      <c r="S258" s="106">
        <f t="shared" si="231"/>
        <v>0</v>
      </c>
      <c r="T258" s="107">
        <f t="shared" si="232"/>
        <v>0</v>
      </c>
      <c r="U258" s="78"/>
      <c r="AG258" s="108"/>
      <c r="AI258" s="78">
        <f t="shared" si="176"/>
        <v>0</v>
      </c>
      <c r="AJ258" s="78">
        <f t="shared" si="177"/>
        <v>0</v>
      </c>
      <c r="AK258" s="78">
        <f t="shared" si="178"/>
        <v>0</v>
      </c>
      <c r="AL258" s="78">
        <f t="shared" si="179"/>
        <v>0</v>
      </c>
      <c r="AM258" s="78">
        <f t="shared" si="180"/>
        <v>0</v>
      </c>
      <c r="AN258" s="78">
        <f t="shared" si="181"/>
        <v>0</v>
      </c>
      <c r="AO258" s="78">
        <f t="shared" si="182"/>
        <v>0</v>
      </c>
      <c r="AP258" s="78">
        <f t="shared" si="183"/>
        <v>0</v>
      </c>
      <c r="AQ258" s="78">
        <f t="shared" si="184"/>
        <v>0</v>
      </c>
      <c r="AR258" s="78">
        <f t="shared" si="185"/>
        <v>0</v>
      </c>
      <c r="AS258" s="90">
        <f t="shared" si="186"/>
        <v>0</v>
      </c>
      <c r="AT258" s="91">
        <f t="shared" si="187"/>
        <v>0</v>
      </c>
      <c r="AV258" s="91">
        <f t="shared" si="188"/>
        <v>0</v>
      </c>
      <c r="AW258" s="78">
        <f t="shared" si="189"/>
        <v>0</v>
      </c>
      <c r="AX258" s="78">
        <f t="shared" si="190"/>
        <v>0</v>
      </c>
      <c r="AY258" s="78"/>
      <c r="AZ258" s="78">
        <f t="shared" si="191"/>
        <v>0</v>
      </c>
      <c r="BA258" s="78">
        <f t="shared" si="192"/>
        <v>0</v>
      </c>
      <c r="BB258" s="78">
        <f t="shared" si="193"/>
        <v>0</v>
      </c>
      <c r="BC258" s="78">
        <f t="shared" si="194"/>
        <v>0</v>
      </c>
      <c r="BD258" s="78">
        <f t="shared" si="195"/>
        <v>0</v>
      </c>
      <c r="BE258" s="78">
        <f t="shared" si="196"/>
        <v>0</v>
      </c>
      <c r="BF258" s="78">
        <f t="shared" si="197"/>
        <v>0</v>
      </c>
      <c r="BG258" s="78">
        <f t="shared" si="198"/>
        <v>0</v>
      </c>
      <c r="BH258" s="78">
        <f t="shared" si="199"/>
        <v>0</v>
      </c>
      <c r="BI258" s="78"/>
      <c r="BJ258" s="91">
        <f t="shared" si="200"/>
        <v>0</v>
      </c>
      <c r="BK258" s="91">
        <f t="shared" si="201"/>
        <v>0</v>
      </c>
      <c r="BL258" s="78"/>
      <c r="BM258" s="78">
        <f t="shared" si="202"/>
        <v>0</v>
      </c>
      <c r="BN258" s="78">
        <f t="shared" si="203"/>
        <v>0</v>
      </c>
      <c r="BO258" s="78">
        <f t="shared" si="204"/>
        <v>0</v>
      </c>
      <c r="BP258" s="78">
        <f t="shared" si="205"/>
        <v>0</v>
      </c>
      <c r="BQ258" s="78">
        <f t="shared" si="206"/>
        <v>0</v>
      </c>
      <c r="BR258" s="78">
        <f t="shared" si="207"/>
        <v>0</v>
      </c>
      <c r="BS258" s="78">
        <f t="shared" si="208"/>
        <v>0</v>
      </c>
      <c r="BT258" s="78">
        <f t="shared" si="209"/>
        <v>0</v>
      </c>
      <c r="BU258" s="91">
        <f t="shared" si="210"/>
        <v>0</v>
      </c>
      <c r="BV258" s="91">
        <f t="shared" si="211"/>
        <v>0</v>
      </c>
      <c r="BW258" s="78"/>
      <c r="BX258" s="78"/>
      <c r="BY258" s="78">
        <f t="shared" si="212"/>
        <v>0</v>
      </c>
      <c r="BZ258" s="78">
        <f t="shared" si="213"/>
        <v>0</v>
      </c>
      <c r="CA258" s="78">
        <f t="shared" si="214"/>
        <v>0</v>
      </c>
      <c r="CB258" s="78">
        <f t="shared" si="215"/>
        <v>0</v>
      </c>
      <c r="CC258" s="78">
        <f t="shared" si="216"/>
        <v>0</v>
      </c>
      <c r="CD258" s="78">
        <f t="shared" si="217"/>
        <v>0</v>
      </c>
      <c r="CE258" s="78">
        <f t="shared" si="218"/>
        <v>0</v>
      </c>
      <c r="CF258" s="78">
        <f t="shared" si="219"/>
        <v>0</v>
      </c>
      <c r="CG258" s="78"/>
      <c r="CH258" s="92">
        <f t="shared" si="220"/>
        <v>0</v>
      </c>
      <c r="CI258" s="93">
        <f t="shared" si="221"/>
        <v>0</v>
      </c>
      <c r="CJ258" s="94">
        <f t="shared" si="222"/>
        <v>0</v>
      </c>
      <c r="CL258" s="78">
        <f t="shared" si="223"/>
        <v>0</v>
      </c>
      <c r="CM258" s="78">
        <f t="shared" si="224"/>
        <v>0</v>
      </c>
      <c r="CN258" s="78">
        <f t="shared" si="225"/>
        <v>0</v>
      </c>
      <c r="CO258" s="78">
        <f t="shared" si="226"/>
        <v>0</v>
      </c>
    </row>
    <row r="259" spans="1:93" ht="13.5" thickBot="1">
      <c r="A259" s="95"/>
      <c r="B259" s="96"/>
      <c r="C259" s="97"/>
      <c r="D259" s="98"/>
      <c r="E259" s="99"/>
      <c r="F259" s="100"/>
      <c r="G259" s="100"/>
      <c r="H259" s="100"/>
      <c r="I259" s="100"/>
      <c r="J259" s="100"/>
      <c r="K259" s="101" t="str">
        <f t="shared" si="227"/>
        <v/>
      </c>
      <c r="L259" s="102"/>
      <c r="M259" s="103"/>
      <c r="N259" s="104"/>
      <c r="O259" s="105"/>
      <c r="P259" s="106">
        <f t="shared" si="228"/>
        <v>0</v>
      </c>
      <c r="Q259" s="106">
        <f t="shared" si="229"/>
        <v>0</v>
      </c>
      <c r="R259" s="106">
        <f t="shared" si="230"/>
        <v>0</v>
      </c>
      <c r="S259" s="106">
        <f t="shared" si="231"/>
        <v>0</v>
      </c>
      <c r="T259" s="107">
        <f t="shared" si="232"/>
        <v>0</v>
      </c>
      <c r="U259" s="78"/>
      <c r="AG259" s="108"/>
      <c r="AI259" s="78">
        <f t="shared" si="176"/>
        <v>0</v>
      </c>
      <c r="AJ259" s="78">
        <f t="shared" si="177"/>
        <v>0</v>
      </c>
      <c r="AK259" s="78">
        <f t="shared" si="178"/>
        <v>0</v>
      </c>
      <c r="AL259" s="78">
        <f t="shared" si="179"/>
        <v>0</v>
      </c>
      <c r="AM259" s="78">
        <f t="shared" si="180"/>
        <v>0</v>
      </c>
      <c r="AN259" s="78">
        <f t="shared" si="181"/>
        <v>0</v>
      </c>
      <c r="AO259" s="78">
        <f t="shared" si="182"/>
        <v>0</v>
      </c>
      <c r="AP259" s="78">
        <f t="shared" si="183"/>
        <v>0</v>
      </c>
      <c r="AQ259" s="78">
        <f t="shared" si="184"/>
        <v>0</v>
      </c>
      <c r="AR259" s="78">
        <f t="shared" si="185"/>
        <v>0</v>
      </c>
      <c r="AS259" s="90">
        <f t="shared" si="186"/>
        <v>0</v>
      </c>
      <c r="AT259" s="91">
        <f t="shared" si="187"/>
        <v>0</v>
      </c>
      <c r="AV259" s="91">
        <f t="shared" si="188"/>
        <v>0</v>
      </c>
      <c r="AW259" s="78">
        <f t="shared" si="189"/>
        <v>0</v>
      </c>
      <c r="AX259" s="78">
        <f t="shared" si="190"/>
        <v>0</v>
      </c>
      <c r="AY259" s="78"/>
      <c r="AZ259" s="78">
        <f t="shared" si="191"/>
        <v>0</v>
      </c>
      <c r="BA259" s="78">
        <f t="shared" si="192"/>
        <v>0</v>
      </c>
      <c r="BB259" s="78">
        <f t="shared" si="193"/>
        <v>0</v>
      </c>
      <c r="BC259" s="78">
        <f t="shared" si="194"/>
        <v>0</v>
      </c>
      <c r="BD259" s="78">
        <f t="shared" si="195"/>
        <v>0</v>
      </c>
      <c r="BE259" s="78">
        <f t="shared" si="196"/>
        <v>0</v>
      </c>
      <c r="BF259" s="78">
        <f t="shared" si="197"/>
        <v>0</v>
      </c>
      <c r="BG259" s="78">
        <f t="shared" si="198"/>
        <v>0</v>
      </c>
      <c r="BH259" s="78">
        <f t="shared" si="199"/>
        <v>0</v>
      </c>
      <c r="BI259" s="78"/>
      <c r="BJ259" s="91">
        <f t="shared" si="200"/>
        <v>0</v>
      </c>
      <c r="BK259" s="91">
        <f t="shared" si="201"/>
        <v>0</v>
      </c>
      <c r="BL259" s="78"/>
      <c r="BM259" s="78">
        <f t="shared" si="202"/>
        <v>0</v>
      </c>
      <c r="BN259" s="78">
        <f t="shared" si="203"/>
        <v>0</v>
      </c>
      <c r="BO259" s="78">
        <f t="shared" si="204"/>
        <v>0</v>
      </c>
      <c r="BP259" s="78">
        <f t="shared" si="205"/>
        <v>0</v>
      </c>
      <c r="BQ259" s="78">
        <f t="shared" si="206"/>
        <v>0</v>
      </c>
      <c r="BR259" s="78">
        <f t="shared" si="207"/>
        <v>0</v>
      </c>
      <c r="BS259" s="78">
        <f t="shared" si="208"/>
        <v>0</v>
      </c>
      <c r="BT259" s="78">
        <f t="shared" si="209"/>
        <v>0</v>
      </c>
      <c r="BU259" s="91">
        <f t="shared" si="210"/>
        <v>0</v>
      </c>
      <c r="BV259" s="91">
        <f t="shared" si="211"/>
        <v>0</v>
      </c>
      <c r="BW259" s="78"/>
      <c r="BX259" s="78"/>
      <c r="BY259" s="78">
        <f t="shared" si="212"/>
        <v>0</v>
      </c>
      <c r="BZ259" s="78">
        <f t="shared" si="213"/>
        <v>0</v>
      </c>
      <c r="CA259" s="78">
        <f t="shared" si="214"/>
        <v>0</v>
      </c>
      <c r="CB259" s="78">
        <f t="shared" si="215"/>
        <v>0</v>
      </c>
      <c r="CC259" s="78">
        <f t="shared" si="216"/>
        <v>0</v>
      </c>
      <c r="CD259" s="78">
        <f t="shared" si="217"/>
        <v>0</v>
      </c>
      <c r="CE259" s="78">
        <f t="shared" si="218"/>
        <v>0</v>
      </c>
      <c r="CF259" s="78">
        <f t="shared" si="219"/>
        <v>0</v>
      </c>
      <c r="CG259" s="78"/>
      <c r="CH259" s="92">
        <f t="shared" si="220"/>
        <v>0</v>
      </c>
      <c r="CI259" s="93">
        <f t="shared" si="221"/>
        <v>0</v>
      </c>
      <c r="CJ259" s="94">
        <f t="shared" si="222"/>
        <v>0</v>
      </c>
      <c r="CL259" s="78">
        <f t="shared" si="223"/>
        <v>0</v>
      </c>
      <c r="CM259" s="78">
        <f t="shared" si="224"/>
        <v>0</v>
      </c>
      <c r="CN259" s="78">
        <f t="shared" si="225"/>
        <v>0</v>
      </c>
      <c r="CO259" s="78">
        <f t="shared" si="226"/>
        <v>0</v>
      </c>
    </row>
    <row r="260" spans="1:93" ht="13.5" thickBot="1">
      <c r="A260" s="95"/>
      <c r="B260" s="96"/>
      <c r="C260" s="97"/>
      <c r="D260" s="98"/>
      <c r="E260" s="99"/>
      <c r="F260" s="100"/>
      <c r="G260" s="100"/>
      <c r="H260" s="100"/>
      <c r="I260" s="100"/>
      <c r="J260" s="100"/>
      <c r="K260" s="101" t="str">
        <f t="shared" si="227"/>
        <v/>
      </c>
      <c r="L260" s="102"/>
      <c r="M260" s="103"/>
      <c r="N260" s="104"/>
      <c r="O260" s="105"/>
      <c r="P260" s="106">
        <f t="shared" si="228"/>
        <v>0</v>
      </c>
      <c r="Q260" s="106">
        <f t="shared" si="229"/>
        <v>0</v>
      </c>
      <c r="R260" s="106">
        <f t="shared" si="230"/>
        <v>0</v>
      </c>
      <c r="S260" s="106">
        <f t="shared" si="231"/>
        <v>0</v>
      </c>
      <c r="T260" s="107">
        <f t="shared" si="232"/>
        <v>0</v>
      </c>
      <c r="U260" s="78"/>
      <c r="AG260" s="108"/>
      <c r="AI260" s="78">
        <f t="shared" si="176"/>
        <v>0</v>
      </c>
      <c r="AJ260" s="78">
        <f t="shared" si="177"/>
        <v>0</v>
      </c>
      <c r="AK260" s="78">
        <f t="shared" si="178"/>
        <v>0</v>
      </c>
      <c r="AL260" s="78">
        <f t="shared" si="179"/>
        <v>0</v>
      </c>
      <c r="AM260" s="78">
        <f t="shared" si="180"/>
        <v>0</v>
      </c>
      <c r="AN260" s="78">
        <f t="shared" si="181"/>
        <v>0</v>
      </c>
      <c r="AO260" s="78">
        <f t="shared" si="182"/>
        <v>0</v>
      </c>
      <c r="AP260" s="78">
        <f t="shared" si="183"/>
        <v>0</v>
      </c>
      <c r="AQ260" s="78">
        <f t="shared" si="184"/>
        <v>0</v>
      </c>
      <c r="AR260" s="78">
        <f t="shared" si="185"/>
        <v>0</v>
      </c>
      <c r="AS260" s="90">
        <f t="shared" si="186"/>
        <v>0</v>
      </c>
      <c r="AT260" s="91">
        <f t="shared" si="187"/>
        <v>0</v>
      </c>
      <c r="AV260" s="91">
        <f t="shared" si="188"/>
        <v>0</v>
      </c>
      <c r="AW260" s="78">
        <f t="shared" si="189"/>
        <v>0</v>
      </c>
      <c r="AX260" s="78">
        <f t="shared" si="190"/>
        <v>0</v>
      </c>
      <c r="AY260" s="78"/>
      <c r="AZ260" s="78">
        <f t="shared" si="191"/>
        <v>0</v>
      </c>
      <c r="BA260" s="78">
        <f t="shared" si="192"/>
        <v>0</v>
      </c>
      <c r="BB260" s="78">
        <f t="shared" si="193"/>
        <v>0</v>
      </c>
      <c r="BC260" s="78">
        <f t="shared" si="194"/>
        <v>0</v>
      </c>
      <c r="BD260" s="78">
        <f t="shared" si="195"/>
        <v>0</v>
      </c>
      <c r="BE260" s="78">
        <f t="shared" si="196"/>
        <v>0</v>
      </c>
      <c r="BF260" s="78">
        <f t="shared" si="197"/>
        <v>0</v>
      </c>
      <c r="BG260" s="78">
        <f t="shared" si="198"/>
        <v>0</v>
      </c>
      <c r="BH260" s="78">
        <f t="shared" si="199"/>
        <v>0</v>
      </c>
      <c r="BI260" s="78"/>
      <c r="BJ260" s="91">
        <f t="shared" si="200"/>
        <v>0</v>
      </c>
      <c r="BK260" s="91">
        <f t="shared" si="201"/>
        <v>0</v>
      </c>
      <c r="BL260" s="78"/>
      <c r="BM260" s="78">
        <f t="shared" si="202"/>
        <v>0</v>
      </c>
      <c r="BN260" s="78">
        <f t="shared" si="203"/>
        <v>0</v>
      </c>
      <c r="BO260" s="78">
        <f t="shared" si="204"/>
        <v>0</v>
      </c>
      <c r="BP260" s="78">
        <f t="shared" si="205"/>
        <v>0</v>
      </c>
      <c r="BQ260" s="78">
        <f t="shared" si="206"/>
        <v>0</v>
      </c>
      <c r="BR260" s="78">
        <f t="shared" si="207"/>
        <v>0</v>
      </c>
      <c r="BS260" s="78">
        <f t="shared" si="208"/>
        <v>0</v>
      </c>
      <c r="BT260" s="78">
        <f t="shared" si="209"/>
        <v>0</v>
      </c>
      <c r="BU260" s="91">
        <f t="shared" si="210"/>
        <v>0</v>
      </c>
      <c r="BV260" s="91">
        <f t="shared" si="211"/>
        <v>0</v>
      </c>
      <c r="BW260" s="78"/>
      <c r="BX260" s="78"/>
      <c r="BY260" s="78">
        <f t="shared" si="212"/>
        <v>0</v>
      </c>
      <c r="BZ260" s="78">
        <f t="shared" si="213"/>
        <v>0</v>
      </c>
      <c r="CA260" s="78">
        <f t="shared" si="214"/>
        <v>0</v>
      </c>
      <c r="CB260" s="78">
        <f t="shared" si="215"/>
        <v>0</v>
      </c>
      <c r="CC260" s="78">
        <f t="shared" si="216"/>
        <v>0</v>
      </c>
      <c r="CD260" s="78">
        <f t="shared" si="217"/>
        <v>0</v>
      </c>
      <c r="CE260" s="78">
        <f t="shared" si="218"/>
        <v>0</v>
      </c>
      <c r="CF260" s="78">
        <f t="shared" si="219"/>
        <v>0</v>
      </c>
      <c r="CG260" s="78"/>
      <c r="CH260" s="92">
        <f t="shared" si="220"/>
        <v>0</v>
      </c>
      <c r="CI260" s="93">
        <f t="shared" si="221"/>
        <v>0</v>
      </c>
      <c r="CJ260" s="94">
        <f t="shared" si="222"/>
        <v>0</v>
      </c>
      <c r="CL260" s="78">
        <f t="shared" si="223"/>
        <v>0</v>
      </c>
      <c r="CM260" s="78">
        <f t="shared" si="224"/>
        <v>0</v>
      </c>
      <c r="CN260" s="78">
        <f t="shared" si="225"/>
        <v>0</v>
      </c>
      <c r="CO260" s="78">
        <f t="shared" si="226"/>
        <v>0</v>
      </c>
    </row>
    <row r="261" spans="1:93" ht="13.5" thickBot="1">
      <c r="A261" s="95"/>
      <c r="B261" s="96"/>
      <c r="C261" s="97"/>
      <c r="D261" s="98"/>
      <c r="E261" s="99"/>
      <c r="F261" s="100"/>
      <c r="G261" s="100"/>
      <c r="H261" s="100"/>
      <c r="I261" s="100"/>
      <c r="J261" s="100"/>
      <c r="K261" s="101" t="str">
        <f t="shared" si="227"/>
        <v/>
      </c>
      <c r="L261" s="102"/>
      <c r="M261" s="103"/>
      <c r="N261" s="104"/>
      <c r="O261" s="105"/>
      <c r="P261" s="106">
        <f t="shared" si="228"/>
        <v>0</v>
      </c>
      <c r="Q261" s="106">
        <f t="shared" si="229"/>
        <v>0</v>
      </c>
      <c r="R261" s="106">
        <f t="shared" si="230"/>
        <v>0</v>
      </c>
      <c r="S261" s="106">
        <f t="shared" si="231"/>
        <v>0</v>
      </c>
      <c r="T261" s="107">
        <f t="shared" si="232"/>
        <v>0</v>
      </c>
      <c r="U261" s="78"/>
      <c r="AG261" s="108"/>
      <c r="AI261" s="78">
        <f t="shared" si="176"/>
        <v>0</v>
      </c>
      <c r="AJ261" s="78">
        <f t="shared" si="177"/>
        <v>0</v>
      </c>
      <c r="AK261" s="78">
        <f t="shared" si="178"/>
        <v>0</v>
      </c>
      <c r="AL261" s="78">
        <f t="shared" si="179"/>
        <v>0</v>
      </c>
      <c r="AM261" s="78">
        <f t="shared" si="180"/>
        <v>0</v>
      </c>
      <c r="AN261" s="78">
        <f t="shared" si="181"/>
        <v>0</v>
      </c>
      <c r="AO261" s="78">
        <f t="shared" si="182"/>
        <v>0</v>
      </c>
      <c r="AP261" s="78">
        <f t="shared" si="183"/>
        <v>0</v>
      </c>
      <c r="AQ261" s="78">
        <f t="shared" si="184"/>
        <v>0</v>
      </c>
      <c r="AR261" s="78">
        <f t="shared" si="185"/>
        <v>0</v>
      </c>
      <c r="AS261" s="90">
        <f t="shared" si="186"/>
        <v>0</v>
      </c>
      <c r="AT261" s="91">
        <f t="shared" si="187"/>
        <v>0</v>
      </c>
      <c r="AV261" s="91">
        <f t="shared" si="188"/>
        <v>0</v>
      </c>
      <c r="AW261" s="78">
        <f t="shared" si="189"/>
        <v>0</v>
      </c>
      <c r="AX261" s="78">
        <f t="shared" si="190"/>
        <v>0</v>
      </c>
      <c r="AY261" s="78"/>
      <c r="AZ261" s="78">
        <f t="shared" si="191"/>
        <v>0</v>
      </c>
      <c r="BA261" s="78">
        <f t="shared" si="192"/>
        <v>0</v>
      </c>
      <c r="BB261" s="78">
        <f t="shared" si="193"/>
        <v>0</v>
      </c>
      <c r="BC261" s="78">
        <f t="shared" si="194"/>
        <v>0</v>
      </c>
      <c r="BD261" s="78">
        <f t="shared" si="195"/>
        <v>0</v>
      </c>
      <c r="BE261" s="78">
        <f t="shared" si="196"/>
        <v>0</v>
      </c>
      <c r="BF261" s="78">
        <f t="shared" si="197"/>
        <v>0</v>
      </c>
      <c r="BG261" s="78">
        <f t="shared" si="198"/>
        <v>0</v>
      </c>
      <c r="BH261" s="78">
        <f t="shared" si="199"/>
        <v>0</v>
      </c>
      <c r="BI261" s="78"/>
      <c r="BJ261" s="91">
        <f t="shared" si="200"/>
        <v>0</v>
      </c>
      <c r="BK261" s="91">
        <f t="shared" si="201"/>
        <v>0</v>
      </c>
      <c r="BL261" s="78"/>
      <c r="BM261" s="78">
        <f t="shared" si="202"/>
        <v>0</v>
      </c>
      <c r="BN261" s="78">
        <f t="shared" si="203"/>
        <v>0</v>
      </c>
      <c r="BO261" s="78">
        <f t="shared" si="204"/>
        <v>0</v>
      </c>
      <c r="BP261" s="78">
        <f t="shared" si="205"/>
        <v>0</v>
      </c>
      <c r="BQ261" s="78">
        <f t="shared" si="206"/>
        <v>0</v>
      </c>
      <c r="BR261" s="78">
        <f t="shared" si="207"/>
        <v>0</v>
      </c>
      <c r="BS261" s="78">
        <f t="shared" si="208"/>
        <v>0</v>
      </c>
      <c r="BT261" s="78">
        <f t="shared" si="209"/>
        <v>0</v>
      </c>
      <c r="BU261" s="91">
        <f t="shared" si="210"/>
        <v>0</v>
      </c>
      <c r="BV261" s="91">
        <f t="shared" si="211"/>
        <v>0</v>
      </c>
      <c r="BW261" s="78"/>
      <c r="BX261" s="78"/>
      <c r="BY261" s="78">
        <f t="shared" si="212"/>
        <v>0</v>
      </c>
      <c r="BZ261" s="78">
        <f t="shared" si="213"/>
        <v>0</v>
      </c>
      <c r="CA261" s="78">
        <f t="shared" si="214"/>
        <v>0</v>
      </c>
      <c r="CB261" s="78">
        <f t="shared" si="215"/>
        <v>0</v>
      </c>
      <c r="CC261" s="78">
        <f t="shared" si="216"/>
        <v>0</v>
      </c>
      <c r="CD261" s="78">
        <f t="shared" si="217"/>
        <v>0</v>
      </c>
      <c r="CE261" s="78">
        <f t="shared" si="218"/>
        <v>0</v>
      </c>
      <c r="CF261" s="78">
        <f t="shared" si="219"/>
        <v>0</v>
      </c>
      <c r="CG261" s="78"/>
      <c r="CH261" s="92">
        <f t="shared" si="220"/>
        <v>0</v>
      </c>
      <c r="CI261" s="93">
        <f t="shared" si="221"/>
        <v>0</v>
      </c>
      <c r="CJ261" s="94">
        <f t="shared" si="222"/>
        <v>0</v>
      </c>
      <c r="CL261" s="78">
        <f t="shared" si="223"/>
        <v>0</v>
      </c>
      <c r="CM261" s="78">
        <f t="shared" si="224"/>
        <v>0</v>
      </c>
      <c r="CN261" s="78">
        <f t="shared" si="225"/>
        <v>0</v>
      </c>
      <c r="CO261" s="78">
        <f t="shared" si="226"/>
        <v>0</v>
      </c>
    </row>
    <row r="262" spans="1:93" ht="13.5" thickBot="1">
      <c r="A262" s="95"/>
      <c r="B262" s="96"/>
      <c r="C262" s="97"/>
      <c r="D262" s="98"/>
      <c r="E262" s="99"/>
      <c r="F262" s="100"/>
      <c r="G262" s="100"/>
      <c r="H262" s="100"/>
      <c r="I262" s="100"/>
      <c r="J262" s="100"/>
      <c r="K262" s="101" t="str">
        <f t="shared" si="227"/>
        <v/>
      </c>
      <c r="L262" s="102"/>
      <c r="M262" s="103"/>
      <c r="N262" s="104"/>
      <c r="O262" s="105"/>
      <c r="P262" s="106">
        <f t="shared" si="228"/>
        <v>0</v>
      </c>
      <c r="Q262" s="106">
        <f t="shared" si="229"/>
        <v>0</v>
      </c>
      <c r="R262" s="106">
        <f t="shared" si="230"/>
        <v>0</v>
      </c>
      <c r="S262" s="106">
        <f t="shared" si="231"/>
        <v>0</v>
      </c>
      <c r="T262" s="107">
        <f t="shared" si="232"/>
        <v>0</v>
      </c>
      <c r="U262" s="78"/>
      <c r="AG262" s="108"/>
      <c r="AI262" s="78">
        <f t="shared" si="176"/>
        <v>0</v>
      </c>
      <c r="AJ262" s="78">
        <f t="shared" si="177"/>
        <v>0</v>
      </c>
      <c r="AK262" s="78">
        <f t="shared" si="178"/>
        <v>0</v>
      </c>
      <c r="AL262" s="78">
        <f t="shared" si="179"/>
        <v>0</v>
      </c>
      <c r="AM262" s="78">
        <f t="shared" si="180"/>
        <v>0</v>
      </c>
      <c r="AN262" s="78">
        <f t="shared" si="181"/>
        <v>0</v>
      </c>
      <c r="AO262" s="78">
        <f t="shared" si="182"/>
        <v>0</v>
      </c>
      <c r="AP262" s="78">
        <f t="shared" si="183"/>
        <v>0</v>
      </c>
      <c r="AQ262" s="78">
        <f t="shared" si="184"/>
        <v>0</v>
      </c>
      <c r="AR262" s="78">
        <f t="shared" si="185"/>
        <v>0</v>
      </c>
      <c r="AS262" s="90">
        <f t="shared" si="186"/>
        <v>0</v>
      </c>
      <c r="AT262" s="91">
        <f t="shared" si="187"/>
        <v>0</v>
      </c>
      <c r="AV262" s="91">
        <f t="shared" si="188"/>
        <v>0</v>
      </c>
      <c r="AW262" s="78">
        <f t="shared" si="189"/>
        <v>0</v>
      </c>
      <c r="AX262" s="78">
        <f t="shared" si="190"/>
        <v>0</v>
      </c>
      <c r="AY262" s="78"/>
      <c r="AZ262" s="78">
        <f t="shared" si="191"/>
        <v>0</v>
      </c>
      <c r="BA262" s="78">
        <f t="shared" si="192"/>
        <v>0</v>
      </c>
      <c r="BB262" s="78">
        <f t="shared" si="193"/>
        <v>0</v>
      </c>
      <c r="BC262" s="78">
        <f t="shared" si="194"/>
        <v>0</v>
      </c>
      <c r="BD262" s="78">
        <f t="shared" si="195"/>
        <v>0</v>
      </c>
      <c r="BE262" s="78">
        <f t="shared" si="196"/>
        <v>0</v>
      </c>
      <c r="BF262" s="78">
        <f t="shared" si="197"/>
        <v>0</v>
      </c>
      <c r="BG262" s="78">
        <f t="shared" si="198"/>
        <v>0</v>
      </c>
      <c r="BH262" s="78">
        <f t="shared" si="199"/>
        <v>0</v>
      </c>
      <c r="BI262" s="78"/>
      <c r="BJ262" s="91">
        <f t="shared" si="200"/>
        <v>0</v>
      </c>
      <c r="BK262" s="91">
        <f t="shared" si="201"/>
        <v>0</v>
      </c>
      <c r="BL262" s="78"/>
      <c r="BM262" s="78">
        <f t="shared" si="202"/>
        <v>0</v>
      </c>
      <c r="BN262" s="78">
        <f t="shared" si="203"/>
        <v>0</v>
      </c>
      <c r="BO262" s="78">
        <f t="shared" si="204"/>
        <v>0</v>
      </c>
      <c r="BP262" s="78">
        <f t="shared" si="205"/>
        <v>0</v>
      </c>
      <c r="BQ262" s="78">
        <f t="shared" si="206"/>
        <v>0</v>
      </c>
      <c r="BR262" s="78">
        <f t="shared" si="207"/>
        <v>0</v>
      </c>
      <c r="BS262" s="78">
        <f t="shared" si="208"/>
        <v>0</v>
      </c>
      <c r="BT262" s="78">
        <f t="shared" si="209"/>
        <v>0</v>
      </c>
      <c r="BU262" s="91">
        <f t="shared" si="210"/>
        <v>0</v>
      </c>
      <c r="BV262" s="91">
        <f t="shared" si="211"/>
        <v>0</v>
      </c>
      <c r="BW262" s="78"/>
      <c r="BX262" s="78"/>
      <c r="BY262" s="78">
        <f t="shared" si="212"/>
        <v>0</v>
      </c>
      <c r="BZ262" s="78">
        <f t="shared" si="213"/>
        <v>0</v>
      </c>
      <c r="CA262" s="78">
        <f t="shared" si="214"/>
        <v>0</v>
      </c>
      <c r="CB262" s="78">
        <f t="shared" si="215"/>
        <v>0</v>
      </c>
      <c r="CC262" s="78">
        <f t="shared" si="216"/>
        <v>0</v>
      </c>
      <c r="CD262" s="78">
        <f t="shared" si="217"/>
        <v>0</v>
      </c>
      <c r="CE262" s="78">
        <f t="shared" si="218"/>
        <v>0</v>
      </c>
      <c r="CF262" s="78">
        <f t="shared" si="219"/>
        <v>0</v>
      </c>
      <c r="CG262" s="78"/>
      <c r="CH262" s="92">
        <f t="shared" si="220"/>
        <v>0</v>
      </c>
      <c r="CI262" s="93">
        <f t="shared" si="221"/>
        <v>0</v>
      </c>
      <c r="CJ262" s="94">
        <f t="shared" si="222"/>
        <v>0</v>
      </c>
      <c r="CL262" s="78">
        <f t="shared" si="223"/>
        <v>0</v>
      </c>
      <c r="CM262" s="78">
        <f t="shared" si="224"/>
        <v>0</v>
      </c>
      <c r="CN262" s="78">
        <f t="shared" si="225"/>
        <v>0</v>
      </c>
      <c r="CO262" s="78">
        <f t="shared" si="226"/>
        <v>0</v>
      </c>
    </row>
    <row r="263" spans="1:93" ht="13.5" thickBot="1">
      <c r="A263" s="95"/>
      <c r="B263" s="96"/>
      <c r="C263" s="97"/>
      <c r="D263" s="98"/>
      <c r="E263" s="99"/>
      <c r="F263" s="100"/>
      <c r="G263" s="100"/>
      <c r="H263" s="100"/>
      <c r="I263" s="100"/>
      <c r="J263" s="100"/>
      <c r="K263" s="101" t="str">
        <f t="shared" si="227"/>
        <v/>
      </c>
      <c r="L263" s="102"/>
      <c r="M263" s="103"/>
      <c r="N263" s="104"/>
      <c r="O263" s="105"/>
      <c r="P263" s="106">
        <f t="shared" si="228"/>
        <v>0</v>
      </c>
      <c r="Q263" s="106">
        <f t="shared" si="229"/>
        <v>0</v>
      </c>
      <c r="R263" s="106">
        <f t="shared" si="230"/>
        <v>0</v>
      </c>
      <c r="S263" s="106">
        <f t="shared" si="231"/>
        <v>0</v>
      </c>
      <c r="T263" s="107">
        <f t="shared" si="232"/>
        <v>0</v>
      </c>
      <c r="U263" s="78"/>
      <c r="AG263" s="108"/>
      <c r="AI263" s="78">
        <f t="shared" si="176"/>
        <v>0</v>
      </c>
      <c r="AJ263" s="78">
        <f t="shared" si="177"/>
        <v>0</v>
      </c>
      <c r="AK263" s="78">
        <f t="shared" si="178"/>
        <v>0</v>
      </c>
      <c r="AL263" s="78">
        <f t="shared" si="179"/>
        <v>0</v>
      </c>
      <c r="AM263" s="78">
        <f t="shared" si="180"/>
        <v>0</v>
      </c>
      <c r="AN263" s="78">
        <f t="shared" si="181"/>
        <v>0</v>
      </c>
      <c r="AO263" s="78">
        <f t="shared" si="182"/>
        <v>0</v>
      </c>
      <c r="AP263" s="78">
        <f t="shared" si="183"/>
        <v>0</v>
      </c>
      <c r="AQ263" s="78">
        <f t="shared" si="184"/>
        <v>0</v>
      </c>
      <c r="AR263" s="78">
        <f t="shared" si="185"/>
        <v>0</v>
      </c>
      <c r="AS263" s="90">
        <f t="shared" si="186"/>
        <v>0</v>
      </c>
      <c r="AT263" s="91">
        <f t="shared" si="187"/>
        <v>0</v>
      </c>
      <c r="AV263" s="91">
        <f t="shared" si="188"/>
        <v>0</v>
      </c>
      <c r="AW263" s="78">
        <f t="shared" si="189"/>
        <v>0</v>
      </c>
      <c r="AX263" s="78">
        <f t="shared" si="190"/>
        <v>0</v>
      </c>
      <c r="AY263" s="78"/>
      <c r="AZ263" s="78">
        <f t="shared" si="191"/>
        <v>0</v>
      </c>
      <c r="BA263" s="78">
        <f t="shared" si="192"/>
        <v>0</v>
      </c>
      <c r="BB263" s="78">
        <f t="shared" si="193"/>
        <v>0</v>
      </c>
      <c r="BC263" s="78">
        <f t="shared" si="194"/>
        <v>0</v>
      </c>
      <c r="BD263" s="78">
        <f t="shared" si="195"/>
        <v>0</v>
      </c>
      <c r="BE263" s="78">
        <f t="shared" si="196"/>
        <v>0</v>
      </c>
      <c r="BF263" s="78">
        <f t="shared" si="197"/>
        <v>0</v>
      </c>
      <c r="BG263" s="78">
        <f t="shared" si="198"/>
        <v>0</v>
      </c>
      <c r="BH263" s="78">
        <f t="shared" si="199"/>
        <v>0</v>
      </c>
      <c r="BI263" s="78"/>
      <c r="BJ263" s="91">
        <f t="shared" si="200"/>
        <v>0</v>
      </c>
      <c r="BK263" s="91">
        <f t="shared" si="201"/>
        <v>0</v>
      </c>
      <c r="BL263" s="78"/>
      <c r="BM263" s="78">
        <f t="shared" si="202"/>
        <v>0</v>
      </c>
      <c r="BN263" s="78">
        <f t="shared" si="203"/>
        <v>0</v>
      </c>
      <c r="BO263" s="78">
        <f t="shared" si="204"/>
        <v>0</v>
      </c>
      <c r="BP263" s="78">
        <f t="shared" si="205"/>
        <v>0</v>
      </c>
      <c r="BQ263" s="78">
        <f t="shared" si="206"/>
        <v>0</v>
      </c>
      <c r="BR263" s="78">
        <f t="shared" si="207"/>
        <v>0</v>
      </c>
      <c r="BS263" s="78">
        <f t="shared" si="208"/>
        <v>0</v>
      </c>
      <c r="BT263" s="78">
        <f t="shared" si="209"/>
        <v>0</v>
      </c>
      <c r="BU263" s="91">
        <f t="shared" si="210"/>
        <v>0</v>
      </c>
      <c r="BV263" s="91">
        <f t="shared" si="211"/>
        <v>0</v>
      </c>
      <c r="BW263" s="78"/>
      <c r="BX263" s="78"/>
      <c r="BY263" s="78">
        <f t="shared" si="212"/>
        <v>0</v>
      </c>
      <c r="BZ263" s="78">
        <f t="shared" si="213"/>
        <v>0</v>
      </c>
      <c r="CA263" s="78">
        <f t="shared" si="214"/>
        <v>0</v>
      </c>
      <c r="CB263" s="78">
        <f t="shared" si="215"/>
        <v>0</v>
      </c>
      <c r="CC263" s="78">
        <f t="shared" si="216"/>
        <v>0</v>
      </c>
      <c r="CD263" s="78">
        <f t="shared" si="217"/>
        <v>0</v>
      </c>
      <c r="CE263" s="78">
        <f t="shared" si="218"/>
        <v>0</v>
      </c>
      <c r="CF263" s="78">
        <f t="shared" si="219"/>
        <v>0</v>
      </c>
      <c r="CG263" s="78"/>
      <c r="CH263" s="92">
        <f t="shared" si="220"/>
        <v>0</v>
      </c>
      <c r="CI263" s="93">
        <f t="shared" si="221"/>
        <v>0</v>
      </c>
      <c r="CJ263" s="94">
        <f t="shared" si="222"/>
        <v>0</v>
      </c>
      <c r="CL263" s="78">
        <f t="shared" si="223"/>
        <v>0</v>
      </c>
      <c r="CM263" s="78">
        <f t="shared" si="224"/>
        <v>0</v>
      </c>
      <c r="CN263" s="78">
        <f t="shared" si="225"/>
        <v>0</v>
      </c>
      <c r="CO263" s="78">
        <f t="shared" si="226"/>
        <v>0</v>
      </c>
    </row>
    <row r="264" spans="1:93" ht="13.5" thickBot="1">
      <c r="A264" s="95"/>
      <c r="B264" s="96"/>
      <c r="C264" s="97"/>
      <c r="D264" s="98"/>
      <c r="E264" s="99"/>
      <c r="F264" s="100"/>
      <c r="G264" s="100"/>
      <c r="H264" s="100"/>
      <c r="I264" s="100"/>
      <c r="J264" s="100"/>
      <c r="K264" s="101" t="str">
        <f t="shared" si="227"/>
        <v/>
      </c>
      <c r="L264" s="102"/>
      <c r="M264" s="103"/>
      <c r="N264" s="104"/>
      <c r="O264" s="105"/>
      <c r="P264" s="106">
        <f t="shared" si="228"/>
        <v>0</v>
      </c>
      <c r="Q264" s="106">
        <f t="shared" si="229"/>
        <v>0</v>
      </c>
      <c r="R264" s="106">
        <f t="shared" si="230"/>
        <v>0</v>
      </c>
      <c r="S264" s="106">
        <f t="shared" si="231"/>
        <v>0</v>
      </c>
      <c r="T264" s="107">
        <f t="shared" si="232"/>
        <v>0</v>
      </c>
      <c r="U264" s="78"/>
      <c r="AG264" s="108"/>
      <c r="AI264" s="78">
        <f t="shared" si="176"/>
        <v>0</v>
      </c>
      <c r="AJ264" s="78">
        <f t="shared" si="177"/>
        <v>0</v>
      </c>
      <c r="AK264" s="78">
        <f t="shared" si="178"/>
        <v>0</v>
      </c>
      <c r="AL264" s="78">
        <f t="shared" si="179"/>
        <v>0</v>
      </c>
      <c r="AM264" s="78">
        <f t="shared" si="180"/>
        <v>0</v>
      </c>
      <c r="AN264" s="78">
        <f t="shared" si="181"/>
        <v>0</v>
      </c>
      <c r="AO264" s="78">
        <f t="shared" si="182"/>
        <v>0</v>
      </c>
      <c r="AP264" s="78">
        <f t="shared" si="183"/>
        <v>0</v>
      </c>
      <c r="AQ264" s="78">
        <f t="shared" si="184"/>
        <v>0</v>
      </c>
      <c r="AR264" s="78">
        <f t="shared" si="185"/>
        <v>0</v>
      </c>
      <c r="AS264" s="90">
        <f t="shared" si="186"/>
        <v>0</v>
      </c>
      <c r="AT264" s="91">
        <f t="shared" si="187"/>
        <v>0</v>
      </c>
      <c r="AV264" s="91">
        <f t="shared" si="188"/>
        <v>0</v>
      </c>
      <c r="AW264" s="78">
        <f t="shared" si="189"/>
        <v>0</v>
      </c>
      <c r="AX264" s="78">
        <f t="shared" si="190"/>
        <v>0</v>
      </c>
      <c r="AY264" s="78"/>
      <c r="AZ264" s="78">
        <f t="shared" si="191"/>
        <v>0</v>
      </c>
      <c r="BA264" s="78">
        <f t="shared" si="192"/>
        <v>0</v>
      </c>
      <c r="BB264" s="78">
        <f t="shared" si="193"/>
        <v>0</v>
      </c>
      <c r="BC264" s="78">
        <f t="shared" si="194"/>
        <v>0</v>
      </c>
      <c r="BD264" s="78">
        <f t="shared" si="195"/>
        <v>0</v>
      </c>
      <c r="BE264" s="78">
        <f t="shared" si="196"/>
        <v>0</v>
      </c>
      <c r="BF264" s="78">
        <f t="shared" si="197"/>
        <v>0</v>
      </c>
      <c r="BG264" s="78">
        <f t="shared" si="198"/>
        <v>0</v>
      </c>
      <c r="BH264" s="78">
        <f t="shared" si="199"/>
        <v>0</v>
      </c>
      <c r="BI264" s="78"/>
      <c r="BJ264" s="91">
        <f t="shared" si="200"/>
        <v>0</v>
      </c>
      <c r="BK264" s="91">
        <f t="shared" si="201"/>
        <v>0</v>
      </c>
      <c r="BL264" s="78"/>
      <c r="BM264" s="78">
        <f t="shared" si="202"/>
        <v>0</v>
      </c>
      <c r="BN264" s="78">
        <f t="shared" si="203"/>
        <v>0</v>
      </c>
      <c r="BO264" s="78">
        <f t="shared" si="204"/>
        <v>0</v>
      </c>
      <c r="BP264" s="78">
        <f t="shared" si="205"/>
        <v>0</v>
      </c>
      <c r="BQ264" s="78">
        <f t="shared" si="206"/>
        <v>0</v>
      </c>
      <c r="BR264" s="78">
        <f t="shared" si="207"/>
        <v>0</v>
      </c>
      <c r="BS264" s="78">
        <f t="shared" si="208"/>
        <v>0</v>
      </c>
      <c r="BT264" s="78">
        <f t="shared" si="209"/>
        <v>0</v>
      </c>
      <c r="BU264" s="91">
        <f t="shared" si="210"/>
        <v>0</v>
      </c>
      <c r="BV264" s="91">
        <f t="shared" si="211"/>
        <v>0</v>
      </c>
      <c r="BW264" s="78"/>
      <c r="BX264" s="78"/>
      <c r="BY264" s="78">
        <f t="shared" si="212"/>
        <v>0</v>
      </c>
      <c r="BZ264" s="78">
        <f t="shared" si="213"/>
        <v>0</v>
      </c>
      <c r="CA264" s="78">
        <f t="shared" si="214"/>
        <v>0</v>
      </c>
      <c r="CB264" s="78">
        <f t="shared" si="215"/>
        <v>0</v>
      </c>
      <c r="CC264" s="78">
        <f t="shared" si="216"/>
        <v>0</v>
      </c>
      <c r="CD264" s="78">
        <f t="shared" si="217"/>
        <v>0</v>
      </c>
      <c r="CE264" s="78">
        <f t="shared" si="218"/>
        <v>0</v>
      </c>
      <c r="CF264" s="78">
        <f t="shared" si="219"/>
        <v>0</v>
      </c>
      <c r="CG264" s="78"/>
      <c r="CH264" s="92">
        <f t="shared" si="220"/>
        <v>0</v>
      </c>
      <c r="CI264" s="93">
        <f t="shared" si="221"/>
        <v>0</v>
      </c>
      <c r="CJ264" s="94">
        <f t="shared" si="222"/>
        <v>0</v>
      </c>
      <c r="CL264" s="78">
        <f t="shared" si="223"/>
        <v>0</v>
      </c>
      <c r="CM264" s="78">
        <f t="shared" si="224"/>
        <v>0</v>
      </c>
      <c r="CN264" s="78">
        <f t="shared" si="225"/>
        <v>0</v>
      </c>
      <c r="CO264" s="78">
        <f t="shared" si="226"/>
        <v>0</v>
      </c>
    </row>
    <row r="265" spans="1:93" ht="13.5" thickBot="1">
      <c r="A265" s="95"/>
      <c r="B265" s="96"/>
      <c r="C265" s="97"/>
      <c r="D265" s="98"/>
      <c r="E265" s="99"/>
      <c r="F265" s="100"/>
      <c r="G265" s="100"/>
      <c r="H265" s="100"/>
      <c r="I265" s="100"/>
      <c r="J265" s="100"/>
      <c r="K265" s="101" t="str">
        <f t="shared" si="227"/>
        <v/>
      </c>
      <c r="L265" s="102"/>
      <c r="M265" s="103"/>
      <c r="N265" s="104"/>
      <c r="O265" s="105"/>
      <c r="P265" s="106">
        <f t="shared" si="228"/>
        <v>0</v>
      </c>
      <c r="Q265" s="106">
        <f t="shared" si="229"/>
        <v>0</v>
      </c>
      <c r="R265" s="106">
        <f t="shared" si="230"/>
        <v>0</v>
      </c>
      <c r="S265" s="106">
        <f t="shared" si="231"/>
        <v>0</v>
      </c>
      <c r="T265" s="107">
        <f t="shared" si="232"/>
        <v>0</v>
      </c>
      <c r="U265" s="78"/>
      <c r="AG265" s="108"/>
      <c r="AI265" s="78">
        <f t="shared" si="176"/>
        <v>0</v>
      </c>
      <c r="AJ265" s="78">
        <f t="shared" si="177"/>
        <v>0</v>
      </c>
      <c r="AK265" s="78">
        <f t="shared" si="178"/>
        <v>0</v>
      </c>
      <c r="AL265" s="78">
        <f t="shared" si="179"/>
        <v>0</v>
      </c>
      <c r="AM265" s="78">
        <f t="shared" si="180"/>
        <v>0</v>
      </c>
      <c r="AN265" s="78">
        <f t="shared" si="181"/>
        <v>0</v>
      </c>
      <c r="AO265" s="78">
        <f t="shared" si="182"/>
        <v>0</v>
      </c>
      <c r="AP265" s="78">
        <f t="shared" si="183"/>
        <v>0</v>
      </c>
      <c r="AQ265" s="78">
        <f t="shared" si="184"/>
        <v>0</v>
      </c>
      <c r="AR265" s="78">
        <f t="shared" si="185"/>
        <v>0</v>
      </c>
      <c r="AS265" s="90">
        <f t="shared" si="186"/>
        <v>0</v>
      </c>
      <c r="AT265" s="91">
        <f t="shared" si="187"/>
        <v>0</v>
      </c>
      <c r="AV265" s="91">
        <f t="shared" si="188"/>
        <v>0</v>
      </c>
      <c r="AW265" s="78">
        <f t="shared" si="189"/>
        <v>0</v>
      </c>
      <c r="AX265" s="78">
        <f t="shared" si="190"/>
        <v>0</v>
      </c>
      <c r="AY265" s="78"/>
      <c r="AZ265" s="78">
        <f t="shared" si="191"/>
        <v>0</v>
      </c>
      <c r="BA265" s="78">
        <f t="shared" si="192"/>
        <v>0</v>
      </c>
      <c r="BB265" s="78">
        <f t="shared" si="193"/>
        <v>0</v>
      </c>
      <c r="BC265" s="78">
        <f t="shared" si="194"/>
        <v>0</v>
      </c>
      <c r="BD265" s="78">
        <f t="shared" si="195"/>
        <v>0</v>
      </c>
      <c r="BE265" s="78">
        <f t="shared" si="196"/>
        <v>0</v>
      </c>
      <c r="BF265" s="78">
        <f t="shared" si="197"/>
        <v>0</v>
      </c>
      <c r="BG265" s="78">
        <f t="shared" si="198"/>
        <v>0</v>
      </c>
      <c r="BH265" s="78">
        <f t="shared" si="199"/>
        <v>0</v>
      </c>
      <c r="BI265" s="78"/>
      <c r="BJ265" s="91">
        <f t="shared" si="200"/>
        <v>0</v>
      </c>
      <c r="BK265" s="91">
        <f t="shared" si="201"/>
        <v>0</v>
      </c>
      <c r="BL265" s="78"/>
      <c r="BM265" s="78">
        <f t="shared" si="202"/>
        <v>0</v>
      </c>
      <c r="BN265" s="78">
        <f t="shared" si="203"/>
        <v>0</v>
      </c>
      <c r="BO265" s="78">
        <f t="shared" si="204"/>
        <v>0</v>
      </c>
      <c r="BP265" s="78">
        <f t="shared" si="205"/>
        <v>0</v>
      </c>
      <c r="BQ265" s="78">
        <f t="shared" si="206"/>
        <v>0</v>
      </c>
      <c r="BR265" s="78">
        <f t="shared" si="207"/>
        <v>0</v>
      </c>
      <c r="BS265" s="78">
        <f t="shared" si="208"/>
        <v>0</v>
      </c>
      <c r="BT265" s="78">
        <f t="shared" si="209"/>
        <v>0</v>
      </c>
      <c r="BU265" s="91">
        <f t="shared" si="210"/>
        <v>0</v>
      </c>
      <c r="BV265" s="91">
        <f t="shared" si="211"/>
        <v>0</v>
      </c>
      <c r="BW265" s="78"/>
      <c r="BX265" s="78"/>
      <c r="BY265" s="78">
        <f t="shared" si="212"/>
        <v>0</v>
      </c>
      <c r="BZ265" s="78">
        <f t="shared" si="213"/>
        <v>0</v>
      </c>
      <c r="CA265" s="78">
        <f t="shared" si="214"/>
        <v>0</v>
      </c>
      <c r="CB265" s="78">
        <f t="shared" si="215"/>
        <v>0</v>
      </c>
      <c r="CC265" s="78">
        <f t="shared" si="216"/>
        <v>0</v>
      </c>
      <c r="CD265" s="78">
        <f t="shared" si="217"/>
        <v>0</v>
      </c>
      <c r="CE265" s="78">
        <f t="shared" si="218"/>
        <v>0</v>
      </c>
      <c r="CF265" s="78">
        <f t="shared" si="219"/>
        <v>0</v>
      </c>
      <c r="CG265" s="78"/>
      <c r="CH265" s="92">
        <f t="shared" si="220"/>
        <v>0</v>
      </c>
      <c r="CI265" s="93">
        <f t="shared" si="221"/>
        <v>0</v>
      </c>
      <c r="CJ265" s="94">
        <f t="shared" si="222"/>
        <v>0</v>
      </c>
      <c r="CL265" s="78">
        <f t="shared" si="223"/>
        <v>0</v>
      </c>
      <c r="CM265" s="78">
        <f t="shared" si="224"/>
        <v>0</v>
      </c>
      <c r="CN265" s="78">
        <f t="shared" si="225"/>
        <v>0</v>
      </c>
      <c r="CO265" s="78">
        <f t="shared" si="226"/>
        <v>0</v>
      </c>
    </row>
    <row r="266" spans="1:93" ht="13.5" thickBot="1">
      <c r="A266" s="95"/>
      <c r="B266" s="96"/>
      <c r="C266" s="97"/>
      <c r="D266" s="98"/>
      <c r="E266" s="99"/>
      <c r="F266" s="100"/>
      <c r="G266" s="100"/>
      <c r="H266" s="100"/>
      <c r="I266" s="100"/>
      <c r="J266" s="100"/>
      <c r="K266" s="101" t="str">
        <f t="shared" si="227"/>
        <v/>
      </c>
      <c r="L266" s="102"/>
      <c r="M266" s="103"/>
      <c r="N266" s="104"/>
      <c r="O266" s="105"/>
      <c r="P266" s="106">
        <f t="shared" si="228"/>
        <v>0</v>
      </c>
      <c r="Q266" s="106">
        <f t="shared" si="229"/>
        <v>0</v>
      </c>
      <c r="R266" s="106">
        <f t="shared" si="230"/>
        <v>0</v>
      </c>
      <c r="S266" s="106">
        <f t="shared" si="231"/>
        <v>0</v>
      </c>
      <c r="T266" s="107">
        <f t="shared" si="232"/>
        <v>0</v>
      </c>
      <c r="U266" s="78"/>
      <c r="AG266" s="108"/>
      <c r="AI266" s="78">
        <f t="shared" si="176"/>
        <v>0</v>
      </c>
      <c r="AJ266" s="78">
        <f t="shared" si="177"/>
        <v>0</v>
      </c>
      <c r="AK266" s="78">
        <f t="shared" si="178"/>
        <v>0</v>
      </c>
      <c r="AL266" s="78">
        <f t="shared" si="179"/>
        <v>0</v>
      </c>
      <c r="AM266" s="78">
        <f t="shared" si="180"/>
        <v>0</v>
      </c>
      <c r="AN266" s="78">
        <f t="shared" si="181"/>
        <v>0</v>
      </c>
      <c r="AO266" s="78">
        <f t="shared" si="182"/>
        <v>0</v>
      </c>
      <c r="AP266" s="78">
        <f t="shared" si="183"/>
        <v>0</v>
      </c>
      <c r="AQ266" s="78">
        <f t="shared" si="184"/>
        <v>0</v>
      </c>
      <c r="AR266" s="78">
        <f t="shared" si="185"/>
        <v>0</v>
      </c>
      <c r="AS266" s="90">
        <f t="shared" si="186"/>
        <v>0</v>
      </c>
      <c r="AT266" s="91">
        <f t="shared" si="187"/>
        <v>0</v>
      </c>
      <c r="AV266" s="91">
        <f t="shared" si="188"/>
        <v>0</v>
      </c>
      <c r="AW266" s="78">
        <f t="shared" si="189"/>
        <v>0</v>
      </c>
      <c r="AX266" s="78">
        <f t="shared" si="190"/>
        <v>0</v>
      </c>
      <c r="AY266" s="78"/>
      <c r="AZ266" s="78">
        <f t="shared" si="191"/>
        <v>0</v>
      </c>
      <c r="BA266" s="78">
        <f t="shared" si="192"/>
        <v>0</v>
      </c>
      <c r="BB266" s="78">
        <f t="shared" si="193"/>
        <v>0</v>
      </c>
      <c r="BC266" s="78">
        <f t="shared" si="194"/>
        <v>0</v>
      </c>
      <c r="BD266" s="78">
        <f t="shared" si="195"/>
        <v>0</v>
      </c>
      <c r="BE266" s="78">
        <f t="shared" si="196"/>
        <v>0</v>
      </c>
      <c r="BF266" s="78">
        <f t="shared" si="197"/>
        <v>0</v>
      </c>
      <c r="BG266" s="78">
        <f t="shared" si="198"/>
        <v>0</v>
      </c>
      <c r="BH266" s="78">
        <f t="shared" si="199"/>
        <v>0</v>
      </c>
      <c r="BI266" s="78"/>
      <c r="BJ266" s="91">
        <f t="shared" si="200"/>
        <v>0</v>
      </c>
      <c r="BK266" s="91">
        <f t="shared" si="201"/>
        <v>0</v>
      </c>
      <c r="BL266" s="78"/>
      <c r="BM266" s="78">
        <f t="shared" si="202"/>
        <v>0</v>
      </c>
      <c r="BN266" s="78">
        <f t="shared" si="203"/>
        <v>0</v>
      </c>
      <c r="BO266" s="78">
        <f t="shared" si="204"/>
        <v>0</v>
      </c>
      <c r="BP266" s="78">
        <f t="shared" si="205"/>
        <v>0</v>
      </c>
      <c r="BQ266" s="78">
        <f t="shared" si="206"/>
        <v>0</v>
      </c>
      <c r="BR266" s="78">
        <f t="shared" si="207"/>
        <v>0</v>
      </c>
      <c r="BS266" s="78">
        <f t="shared" si="208"/>
        <v>0</v>
      </c>
      <c r="BT266" s="78">
        <f t="shared" si="209"/>
        <v>0</v>
      </c>
      <c r="BU266" s="91">
        <f t="shared" si="210"/>
        <v>0</v>
      </c>
      <c r="BV266" s="91">
        <f t="shared" si="211"/>
        <v>0</v>
      </c>
      <c r="BW266" s="78"/>
      <c r="BX266" s="78"/>
      <c r="BY266" s="78">
        <f t="shared" si="212"/>
        <v>0</v>
      </c>
      <c r="BZ266" s="78">
        <f t="shared" si="213"/>
        <v>0</v>
      </c>
      <c r="CA266" s="78">
        <f t="shared" si="214"/>
        <v>0</v>
      </c>
      <c r="CB266" s="78">
        <f t="shared" si="215"/>
        <v>0</v>
      </c>
      <c r="CC266" s="78">
        <f t="shared" si="216"/>
        <v>0</v>
      </c>
      <c r="CD266" s="78">
        <f t="shared" si="217"/>
        <v>0</v>
      </c>
      <c r="CE266" s="78">
        <f t="shared" si="218"/>
        <v>0</v>
      </c>
      <c r="CF266" s="78">
        <f t="shared" si="219"/>
        <v>0</v>
      </c>
      <c r="CG266" s="78"/>
      <c r="CH266" s="92">
        <f t="shared" si="220"/>
        <v>0</v>
      </c>
      <c r="CI266" s="93">
        <f t="shared" si="221"/>
        <v>0</v>
      </c>
      <c r="CJ266" s="94">
        <f t="shared" si="222"/>
        <v>0</v>
      </c>
      <c r="CL266" s="78">
        <f t="shared" si="223"/>
        <v>0</v>
      </c>
      <c r="CM266" s="78">
        <f t="shared" si="224"/>
        <v>0</v>
      </c>
      <c r="CN266" s="78">
        <f t="shared" si="225"/>
        <v>0</v>
      </c>
      <c r="CO266" s="78">
        <f t="shared" si="226"/>
        <v>0</v>
      </c>
    </row>
    <row r="267" spans="1:93" ht="13.5" thickBot="1">
      <c r="A267" s="95"/>
      <c r="B267" s="96"/>
      <c r="C267" s="97"/>
      <c r="D267" s="98"/>
      <c r="E267" s="99"/>
      <c r="F267" s="100"/>
      <c r="G267" s="100"/>
      <c r="H267" s="100"/>
      <c r="I267" s="100"/>
      <c r="J267" s="100"/>
      <c r="K267" s="101" t="str">
        <f t="shared" si="227"/>
        <v/>
      </c>
      <c r="L267" s="102"/>
      <c r="M267" s="103"/>
      <c r="N267" s="104"/>
      <c r="O267" s="105"/>
      <c r="P267" s="106">
        <f t="shared" si="228"/>
        <v>0</v>
      </c>
      <c r="Q267" s="106">
        <f t="shared" si="229"/>
        <v>0</v>
      </c>
      <c r="R267" s="106">
        <f t="shared" si="230"/>
        <v>0</v>
      </c>
      <c r="S267" s="106">
        <f t="shared" si="231"/>
        <v>0</v>
      </c>
      <c r="T267" s="107">
        <f t="shared" si="232"/>
        <v>0</v>
      </c>
      <c r="U267" s="78"/>
      <c r="AG267" s="108"/>
      <c r="AI267" s="78">
        <f t="shared" si="176"/>
        <v>0</v>
      </c>
      <c r="AJ267" s="78">
        <f t="shared" si="177"/>
        <v>0</v>
      </c>
      <c r="AK267" s="78">
        <f t="shared" si="178"/>
        <v>0</v>
      </c>
      <c r="AL267" s="78">
        <f t="shared" si="179"/>
        <v>0</v>
      </c>
      <c r="AM267" s="78">
        <f t="shared" si="180"/>
        <v>0</v>
      </c>
      <c r="AN267" s="78">
        <f t="shared" si="181"/>
        <v>0</v>
      </c>
      <c r="AO267" s="78">
        <f t="shared" si="182"/>
        <v>0</v>
      </c>
      <c r="AP267" s="78">
        <f t="shared" si="183"/>
        <v>0</v>
      </c>
      <c r="AQ267" s="78">
        <f t="shared" si="184"/>
        <v>0</v>
      </c>
      <c r="AR267" s="78">
        <f t="shared" si="185"/>
        <v>0</v>
      </c>
      <c r="AS267" s="90">
        <f t="shared" si="186"/>
        <v>0</v>
      </c>
      <c r="AT267" s="91">
        <f t="shared" si="187"/>
        <v>0</v>
      </c>
      <c r="AV267" s="91">
        <f t="shared" si="188"/>
        <v>0</v>
      </c>
      <c r="AW267" s="78">
        <f t="shared" si="189"/>
        <v>0</v>
      </c>
      <c r="AX267" s="78">
        <f t="shared" si="190"/>
        <v>0</v>
      </c>
      <c r="AY267" s="78"/>
      <c r="AZ267" s="78">
        <f t="shared" si="191"/>
        <v>0</v>
      </c>
      <c r="BA267" s="78">
        <f t="shared" si="192"/>
        <v>0</v>
      </c>
      <c r="BB267" s="78">
        <f t="shared" si="193"/>
        <v>0</v>
      </c>
      <c r="BC267" s="78">
        <f t="shared" si="194"/>
        <v>0</v>
      </c>
      <c r="BD267" s="78">
        <f t="shared" si="195"/>
        <v>0</v>
      </c>
      <c r="BE267" s="78">
        <f t="shared" si="196"/>
        <v>0</v>
      </c>
      <c r="BF267" s="78">
        <f t="shared" si="197"/>
        <v>0</v>
      </c>
      <c r="BG267" s="78">
        <f t="shared" si="198"/>
        <v>0</v>
      </c>
      <c r="BH267" s="78">
        <f t="shared" si="199"/>
        <v>0</v>
      </c>
      <c r="BI267" s="78"/>
      <c r="BJ267" s="91">
        <f t="shared" si="200"/>
        <v>0</v>
      </c>
      <c r="BK267" s="91">
        <f t="shared" si="201"/>
        <v>0</v>
      </c>
      <c r="BL267" s="78"/>
      <c r="BM267" s="78">
        <f t="shared" si="202"/>
        <v>0</v>
      </c>
      <c r="BN267" s="78">
        <f t="shared" si="203"/>
        <v>0</v>
      </c>
      <c r="BO267" s="78">
        <f t="shared" si="204"/>
        <v>0</v>
      </c>
      <c r="BP267" s="78">
        <f t="shared" si="205"/>
        <v>0</v>
      </c>
      <c r="BQ267" s="78">
        <f t="shared" si="206"/>
        <v>0</v>
      </c>
      <c r="BR267" s="78">
        <f t="shared" si="207"/>
        <v>0</v>
      </c>
      <c r="BS267" s="78">
        <f t="shared" si="208"/>
        <v>0</v>
      </c>
      <c r="BT267" s="78">
        <f t="shared" si="209"/>
        <v>0</v>
      </c>
      <c r="BU267" s="91">
        <f t="shared" si="210"/>
        <v>0</v>
      </c>
      <c r="BV267" s="91">
        <f t="shared" si="211"/>
        <v>0</v>
      </c>
      <c r="BW267" s="78"/>
      <c r="BX267" s="78"/>
      <c r="BY267" s="78">
        <f t="shared" si="212"/>
        <v>0</v>
      </c>
      <c r="BZ267" s="78">
        <f t="shared" si="213"/>
        <v>0</v>
      </c>
      <c r="CA267" s="78">
        <f t="shared" si="214"/>
        <v>0</v>
      </c>
      <c r="CB267" s="78">
        <f t="shared" si="215"/>
        <v>0</v>
      </c>
      <c r="CC267" s="78">
        <f t="shared" si="216"/>
        <v>0</v>
      </c>
      <c r="CD267" s="78">
        <f t="shared" si="217"/>
        <v>0</v>
      </c>
      <c r="CE267" s="78">
        <f t="shared" si="218"/>
        <v>0</v>
      </c>
      <c r="CF267" s="78">
        <f t="shared" si="219"/>
        <v>0</v>
      </c>
      <c r="CG267" s="78"/>
      <c r="CH267" s="92">
        <f t="shared" si="220"/>
        <v>0</v>
      </c>
      <c r="CI267" s="93">
        <f t="shared" si="221"/>
        <v>0</v>
      </c>
      <c r="CJ267" s="94">
        <f t="shared" si="222"/>
        <v>0</v>
      </c>
      <c r="CL267" s="78">
        <f t="shared" si="223"/>
        <v>0</v>
      </c>
      <c r="CM267" s="78">
        <f t="shared" si="224"/>
        <v>0</v>
      </c>
      <c r="CN267" s="78">
        <f t="shared" si="225"/>
        <v>0</v>
      </c>
      <c r="CO267" s="78">
        <f t="shared" si="226"/>
        <v>0</v>
      </c>
    </row>
    <row r="268" spans="1:93" ht="13.5" thickBot="1">
      <c r="A268" s="95"/>
      <c r="B268" s="96"/>
      <c r="C268" s="97"/>
      <c r="D268" s="98"/>
      <c r="E268" s="99"/>
      <c r="F268" s="100"/>
      <c r="G268" s="100"/>
      <c r="H268" s="100"/>
      <c r="I268" s="100"/>
      <c r="J268" s="100"/>
      <c r="K268" s="101" t="str">
        <f t="shared" si="227"/>
        <v/>
      </c>
      <c r="L268" s="102"/>
      <c r="M268" s="103"/>
      <c r="N268" s="104"/>
      <c r="O268" s="105"/>
      <c r="P268" s="106">
        <f t="shared" si="228"/>
        <v>0</v>
      </c>
      <c r="Q268" s="106">
        <f t="shared" si="229"/>
        <v>0</v>
      </c>
      <c r="R268" s="106">
        <f t="shared" si="230"/>
        <v>0</v>
      </c>
      <c r="S268" s="106">
        <f t="shared" si="231"/>
        <v>0</v>
      </c>
      <c r="T268" s="107">
        <f t="shared" si="232"/>
        <v>0</v>
      </c>
      <c r="U268" s="78"/>
      <c r="AG268" s="108"/>
      <c r="AI268" s="78">
        <f t="shared" si="176"/>
        <v>0</v>
      </c>
      <c r="AJ268" s="78">
        <f t="shared" si="177"/>
        <v>0</v>
      </c>
      <c r="AK268" s="78">
        <f t="shared" si="178"/>
        <v>0</v>
      </c>
      <c r="AL268" s="78">
        <f t="shared" si="179"/>
        <v>0</v>
      </c>
      <c r="AM268" s="78">
        <f t="shared" si="180"/>
        <v>0</v>
      </c>
      <c r="AN268" s="78">
        <f t="shared" si="181"/>
        <v>0</v>
      </c>
      <c r="AO268" s="78">
        <f t="shared" si="182"/>
        <v>0</v>
      </c>
      <c r="AP268" s="78">
        <f t="shared" si="183"/>
        <v>0</v>
      </c>
      <c r="AQ268" s="78">
        <f t="shared" si="184"/>
        <v>0</v>
      </c>
      <c r="AR268" s="78">
        <f t="shared" si="185"/>
        <v>0</v>
      </c>
      <c r="AS268" s="90">
        <f t="shared" si="186"/>
        <v>0</v>
      </c>
      <c r="AT268" s="91">
        <f t="shared" si="187"/>
        <v>0</v>
      </c>
      <c r="AV268" s="91">
        <f t="shared" si="188"/>
        <v>0</v>
      </c>
      <c r="AW268" s="78">
        <f t="shared" si="189"/>
        <v>0</v>
      </c>
      <c r="AX268" s="78">
        <f t="shared" si="190"/>
        <v>0</v>
      </c>
      <c r="AY268" s="78"/>
      <c r="AZ268" s="78">
        <f t="shared" si="191"/>
        <v>0</v>
      </c>
      <c r="BA268" s="78">
        <f t="shared" si="192"/>
        <v>0</v>
      </c>
      <c r="BB268" s="78">
        <f t="shared" si="193"/>
        <v>0</v>
      </c>
      <c r="BC268" s="78">
        <f t="shared" si="194"/>
        <v>0</v>
      </c>
      <c r="BD268" s="78">
        <f t="shared" si="195"/>
        <v>0</v>
      </c>
      <c r="BE268" s="78">
        <f t="shared" si="196"/>
        <v>0</v>
      </c>
      <c r="BF268" s="78">
        <f t="shared" si="197"/>
        <v>0</v>
      </c>
      <c r="BG268" s="78">
        <f t="shared" si="198"/>
        <v>0</v>
      </c>
      <c r="BH268" s="78">
        <f t="shared" si="199"/>
        <v>0</v>
      </c>
      <c r="BI268" s="78"/>
      <c r="BJ268" s="91">
        <f t="shared" si="200"/>
        <v>0</v>
      </c>
      <c r="BK268" s="91">
        <f t="shared" si="201"/>
        <v>0</v>
      </c>
      <c r="BL268" s="78"/>
      <c r="BM268" s="78">
        <f t="shared" si="202"/>
        <v>0</v>
      </c>
      <c r="BN268" s="78">
        <f t="shared" si="203"/>
        <v>0</v>
      </c>
      <c r="BO268" s="78">
        <f t="shared" si="204"/>
        <v>0</v>
      </c>
      <c r="BP268" s="78">
        <f t="shared" si="205"/>
        <v>0</v>
      </c>
      <c r="BQ268" s="78">
        <f t="shared" si="206"/>
        <v>0</v>
      </c>
      <c r="BR268" s="78">
        <f t="shared" si="207"/>
        <v>0</v>
      </c>
      <c r="BS268" s="78">
        <f t="shared" si="208"/>
        <v>0</v>
      </c>
      <c r="BT268" s="78">
        <f t="shared" si="209"/>
        <v>0</v>
      </c>
      <c r="BU268" s="91">
        <f t="shared" si="210"/>
        <v>0</v>
      </c>
      <c r="BV268" s="91">
        <f t="shared" si="211"/>
        <v>0</v>
      </c>
      <c r="BW268" s="78"/>
      <c r="BX268" s="78"/>
      <c r="BY268" s="78">
        <f t="shared" si="212"/>
        <v>0</v>
      </c>
      <c r="BZ268" s="78">
        <f t="shared" si="213"/>
        <v>0</v>
      </c>
      <c r="CA268" s="78">
        <f t="shared" si="214"/>
        <v>0</v>
      </c>
      <c r="CB268" s="78">
        <f t="shared" si="215"/>
        <v>0</v>
      </c>
      <c r="CC268" s="78">
        <f t="shared" si="216"/>
        <v>0</v>
      </c>
      <c r="CD268" s="78">
        <f t="shared" si="217"/>
        <v>0</v>
      </c>
      <c r="CE268" s="78">
        <f t="shared" si="218"/>
        <v>0</v>
      </c>
      <c r="CF268" s="78">
        <f t="shared" si="219"/>
        <v>0</v>
      </c>
      <c r="CG268" s="78"/>
      <c r="CH268" s="92">
        <f t="shared" si="220"/>
        <v>0</v>
      </c>
      <c r="CI268" s="93">
        <f t="shared" si="221"/>
        <v>0</v>
      </c>
      <c r="CJ268" s="94">
        <f t="shared" si="222"/>
        <v>0</v>
      </c>
      <c r="CL268" s="78">
        <f t="shared" si="223"/>
        <v>0</v>
      </c>
      <c r="CM268" s="78">
        <f t="shared" si="224"/>
        <v>0</v>
      </c>
      <c r="CN268" s="78">
        <f t="shared" si="225"/>
        <v>0</v>
      </c>
      <c r="CO268" s="78">
        <f t="shared" si="226"/>
        <v>0</v>
      </c>
    </row>
    <row r="269" spans="1:93" ht="13.5" thickBot="1">
      <c r="A269" s="95"/>
      <c r="B269" s="96"/>
      <c r="C269" s="97"/>
      <c r="D269" s="98"/>
      <c r="E269" s="99"/>
      <c r="F269" s="100"/>
      <c r="G269" s="100"/>
      <c r="H269" s="100"/>
      <c r="I269" s="100"/>
      <c r="J269" s="100"/>
      <c r="K269" s="101" t="str">
        <f t="shared" si="227"/>
        <v/>
      </c>
      <c r="L269" s="102"/>
      <c r="M269" s="103"/>
      <c r="N269" s="104"/>
      <c r="O269" s="105"/>
      <c r="P269" s="106">
        <f t="shared" si="228"/>
        <v>0</v>
      </c>
      <c r="Q269" s="106">
        <f t="shared" si="229"/>
        <v>0</v>
      </c>
      <c r="R269" s="106">
        <f t="shared" si="230"/>
        <v>0</v>
      </c>
      <c r="S269" s="106">
        <f t="shared" si="231"/>
        <v>0</v>
      </c>
      <c r="T269" s="107">
        <f t="shared" si="232"/>
        <v>0</v>
      </c>
      <c r="U269" s="78"/>
      <c r="AG269" s="108"/>
      <c r="AI269" s="78">
        <f t="shared" si="176"/>
        <v>0</v>
      </c>
      <c r="AJ269" s="78">
        <f t="shared" si="177"/>
        <v>0</v>
      </c>
      <c r="AK269" s="78">
        <f t="shared" si="178"/>
        <v>0</v>
      </c>
      <c r="AL269" s="78">
        <f t="shared" si="179"/>
        <v>0</v>
      </c>
      <c r="AM269" s="78">
        <f t="shared" si="180"/>
        <v>0</v>
      </c>
      <c r="AN269" s="78">
        <f t="shared" si="181"/>
        <v>0</v>
      </c>
      <c r="AO269" s="78">
        <f t="shared" si="182"/>
        <v>0</v>
      </c>
      <c r="AP269" s="78">
        <f t="shared" si="183"/>
        <v>0</v>
      </c>
      <c r="AQ269" s="78">
        <f t="shared" si="184"/>
        <v>0</v>
      </c>
      <c r="AR269" s="78">
        <f t="shared" si="185"/>
        <v>0</v>
      </c>
      <c r="AS269" s="90">
        <f t="shared" si="186"/>
        <v>0</v>
      </c>
      <c r="AT269" s="91">
        <f t="shared" si="187"/>
        <v>0</v>
      </c>
      <c r="AV269" s="91">
        <f t="shared" si="188"/>
        <v>0</v>
      </c>
      <c r="AW269" s="78">
        <f t="shared" si="189"/>
        <v>0</v>
      </c>
      <c r="AX269" s="78">
        <f t="shared" si="190"/>
        <v>0</v>
      </c>
      <c r="AY269" s="78"/>
      <c r="AZ269" s="78">
        <f t="shared" si="191"/>
        <v>0</v>
      </c>
      <c r="BA269" s="78">
        <f t="shared" si="192"/>
        <v>0</v>
      </c>
      <c r="BB269" s="78">
        <f t="shared" si="193"/>
        <v>0</v>
      </c>
      <c r="BC269" s="78">
        <f t="shared" si="194"/>
        <v>0</v>
      </c>
      <c r="BD269" s="78">
        <f t="shared" si="195"/>
        <v>0</v>
      </c>
      <c r="BE269" s="78">
        <f t="shared" si="196"/>
        <v>0</v>
      </c>
      <c r="BF269" s="78">
        <f t="shared" si="197"/>
        <v>0</v>
      </c>
      <c r="BG269" s="78">
        <f t="shared" si="198"/>
        <v>0</v>
      </c>
      <c r="BH269" s="78">
        <f t="shared" si="199"/>
        <v>0</v>
      </c>
      <c r="BI269" s="78"/>
      <c r="BJ269" s="91">
        <f t="shared" si="200"/>
        <v>0</v>
      </c>
      <c r="BK269" s="91">
        <f t="shared" si="201"/>
        <v>0</v>
      </c>
      <c r="BL269" s="78"/>
      <c r="BM269" s="78">
        <f t="shared" si="202"/>
        <v>0</v>
      </c>
      <c r="BN269" s="78">
        <f t="shared" si="203"/>
        <v>0</v>
      </c>
      <c r="BO269" s="78">
        <f t="shared" si="204"/>
        <v>0</v>
      </c>
      <c r="BP269" s="78">
        <f t="shared" si="205"/>
        <v>0</v>
      </c>
      <c r="BQ269" s="78">
        <f t="shared" si="206"/>
        <v>0</v>
      </c>
      <c r="BR269" s="78">
        <f t="shared" si="207"/>
        <v>0</v>
      </c>
      <c r="BS269" s="78">
        <f t="shared" si="208"/>
        <v>0</v>
      </c>
      <c r="BT269" s="78">
        <f t="shared" si="209"/>
        <v>0</v>
      </c>
      <c r="BU269" s="91">
        <f t="shared" si="210"/>
        <v>0</v>
      </c>
      <c r="BV269" s="91">
        <f t="shared" si="211"/>
        <v>0</v>
      </c>
      <c r="BW269" s="78"/>
      <c r="BX269" s="78"/>
      <c r="BY269" s="78">
        <f t="shared" si="212"/>
        <v>0</v>
      </c>
      <c r="BZ269" s="78">
        <f t="shared" si="213"/>
        <v>0</v>
      </c>
      <c r="CA269" s="78">
        <f t="shared" si="214"/>
        <v>0</v>
      </c>
      <c r="CB269" s="78">
        <f t="shared" si="215"/>
        <v>0</v>
      </c>
      <c r="CC269" s="78">
        <f t="shared" si="216"/>
        <v>0</v>
      </c>
      <c r="CD269" s="78">
        <f t="shared" si="217"/>
        <v>0</v>
      </c>
      <c r="CE269" s="78">
        <f t="shared" si="218"/>
        <v>0</v>
      </c>
      <c r="CF269" s="78">
        <f t="shared" si="219"/>
        <v>0</v>
      </c>
      <c r="CG269" s="78"/>
      <c r="CH269" s="92">
        <f t="shared" si="220"/>
        <v>0</v>
      </c>
      <c r="CI269" s="93">
        <f t="shared" si="221"/>
        <v>0</v>
      </c>
      <c r="CJ269" s="94">
        <f t="shared" si="222"/>
        <v>0</v>
      </c>
      <c r="CL269" s="78">
        <f t="shared" si="223"/>
        <v>0</v>
      </c>
      <c r="CM269" s="78">
        <f t="shared" si="224"/>
        <v>0</v>
      </c>
      <c r="CN269" s="78">
        <f t="shared" si="225"/>
        <v>0</v>
      </c>
      <c r="CO269" s="78">
        <f t="shared" si="226"/>
        <v>0</v>
      </c>
    </row>
    <row r="270" spans="1:93" ht="13.5" thickBot="1">
      <c r="A270" s="95"/>
      <c r="B270" s="96"/>
      <c r="C270" s="97"/>
      <c r="D270" s="98"/>
      <c r="E270" s="99"/>
      <c r="F270" s="100"/>
      <c r="G270" s="100"/>
      <c r="H270" s="100"/>
      <c r="I270" s="100"/>
      <c r="J270" s="100"/>
      <c r="K270" s="101" t="str">
        <f t="shared" si="227"/>
        <v/>
      </c>
      <c r="L270" s="102"/>
      <c r="M270" s="103"/>
      <c r="N270" s="104"/>
      <c r="O270" s="105"/>
      <c r="P270" s="106">
        <f t="shared" si="228"/>
        <v>0</v>
      </c>
      <c r="Q270" s="106">
        <f t="shared" si="229"/>
        <v>0</v>
      </c>
      <c r="R270" s="106">
        <f t="shared" si="230"/>
        <v>0</v>
      </c>
      <c r="S270" s="106">
        <f t="shared" si="231"/>
        <v>0</v>
      </c>
      <c r="T270" s="107">
        <f t="shared" si="232"/>
        <v>0</v>
      </c>
      <c r="U270" s="78"/>
      <c r="AG270" s="108"/>
      <c r="AI270" s="78">
        <f t="shared" si="176"/>
        <v>0</v>
      </c>
      <c r="AJ270" s="78">
        <f t="shared" si="177"/>
        <v>0</v>
      </c>
      <c r="AK270" s="78">
        <f t="shared" si="178"/>
        <v>0</v>
      </c>
      <c r="AL270" s="78">
        <f t="shared" si="179"/>
        <v>0</v>
      </c>
      <c r="AM270" s="78">
        <f t="shared" si="180"/>
        <v>0</v>
      </c>
      <c r="AN270" s="78">
        <f t="shared" si="181"/>
        <v>0</v>
      </c>
      <c r="AO270" s="78">
        <f t="shared" si="182"/>
        <v>0</v>
      </c>
      <c r="AP270" s="78">
        <f t="shared" si="183"/>
        <v>0</v>
      </c>
      <c r="AQ270" s="78">
        <f t="shared" si="184"/>
        <v>0</v>
      </c>
      <c r="AR270" s="78">
        <f t="shared" si="185"/>
        <v>0</v>
      </c>
      <c r="AS270" s="90">
        <f t="shared" si="186"/>
        <v>0</v>
      </c>
      <c r="AT270" s="91">
        <f t="shared" si="187"/>
        <v>0</v>
      </c>
      <c r="AV270" s="91">
        <f t="shared" si="188"/>
        <v>0</v>
      </c>
      <c r="AW270" s="78">
        <f t="shared" si="189"/>
        <v>0</v>
      </c>
      <c r="AX270" s="78">
        <f t="shared" si="190"/>
        <v>0</v>
      </c>
      <c r="AY270" s="78"/>
      <c r="AZ270" s="78">
        <f t="shared" si="191"/>
        <v>0</v>
      </c>
      <c r="BA270" s="78">
        <f t="shared" si="192"/>
        <v>0</v>
      </c>
      <c r="BB270" s="78">
        <f t="shared" si="193"/>
        <v>0</v>
      </c>
      <c r="BC270" s="78">
        <f t="shared" si="194"/>
        <v>0</v>
      </c>
      <c r="BD270" s="78">
        <f t="shared" si="195"/>
        <v>0</v>
      </c>
      <c r="BE270" s="78">
        <f t="shared" si="196"/>
        <v>0</v>
      </c>
      <c r="BF270" s="78">
        <f t="shared" si="197"/>
        <v>0</v>
      </c>
      <c r="BG270" s="78">
        <f t="shared" si="198"/>
        <v>0</v>
      </c>
      <c r="BH270" s="78">
        <f t="shared" si="199"/>
        <v>0</v>
      </c>
      <c r="BI270" s="78"/>
      <c r="BJ270" s="91">
        <f t="shared" si="200"/>
        <v>0</v>
      </c>
      <c r="BK270" s="91">
        <f t="shared" si="201"/>
        <v>0</v>
      </c>
      <c r="BL270" s="78"/>
      <c r="BM270" s="78">
        <f t="shared" si="202"/>
        <v>0</v>
      </c>
      <c r="BN270" s="78">
        <f t="shared" si="203"/>
        <v>0</v>
      </c>
      <c r="BO270" s="78">
        <f t="shared" si="204"/>
        <v>0</v>
      </c>
      <c r="BP270" s="78">
        <f t="shared" si="205"/>
        <v>0</v>
      </c>
      <c r="BQ270" s="78">
        <f t="shared" si="206"/>
        <v>0</v>
      </c>
      <c r="BR270" s="78">
        <f t="shared" si="207"/>
        <v>0</v>
      </c>
      <c r="BS270" s="78">
        <f t="shared" si="208"/>
        <v>0</v>
      </c>
      <c r="BT270" s="78">
        <f t="shared" si="209"/>
        <v>0</v>
      </c>
      <c r="BU270" s="91">
        <f t="shared" si="210"/>
        <v>0</v>
      </c>
      <c r="BV270" s="91">
        <f t="shared" si="211"/>
        <v>0</v>
      </c>
      <c r="BW270" s="78"/>
      <c r="BX270" s="78"/>
      <c r="BY270" s="78">
        <f t="shared" si="212"/>
        <v>0</v>
      </c>
      <c r="BZ270" s="78">
        <f t="shared" si="213"/>
        <v>0</v>
      </c>
      <c r="CA270" s="78">
        <f t="shared" si="214"/>
        <v>0</v>
      </c>
      <c r="CB270" s="78">
        <f t="shared" si="215"/>
        <v>0</v>
      </c>
      <c r="CC270" s="78">
        <f t="shared" si="216"/>
        <v>0</v>
      </c>
      <c r="CD270" s="78">
        <f t="shared" si="217"/>
        <v>0</v>
      </c>
      <c r="CE270" s="78">
        <f t="shared" si="218"/>
        <v>0</v>
      </c>
      <c r="CF270" s="78">
        <f t="shared" si="219"/>
        <v>0</v>
      </c>
      <c r="CG270" s="78"/>
      <c r="CH270" s="92">
        <f t="shared" si="220"/>
        <v>0</v>
      </c>
      <c r="CI270" s="93">
        <f t="shared" si="221"/>
        <v>0</v>
      </c>
      <c r="CJ270" s="94">
        <f t="shared" si="222"/>
        <v>0</v>
      </c>
      <c r="CL270" s="78">
        <f t="shared" si="223"/>
        <v>0</v>
      </c>
      <c r="CM270" s="78">
        <f t="shared" si="224"/>
        <v>0</v>
      </c>
      <c r="CN270" s="78">
        <f t="shared" si="225"/>
        <v>0</v>
      </c>
      <c r="CO270" s="78">
        <f t="shared" si="226"/>
        <v>0</v>
      </c>
    </row>
    <row r="271" spans="1:93" ht="13.5" thickBot="1">
      <c r="A271" s="95"/>
      <c r="B271" s="96"/>
      <c r="C271" s="97"/>
      <c r="D271" s="98"/>
      <c r="E271" s="99"/>
      <c r="F271" s="100"/>
      <c r="G271" s="100"/>
      <c r="H271" s="100"/>
      <c r="I271" s="100"/>
      <c r="J271" s="100"/>
      <c r="K271" s="101" t="str">
        <f t="shared" si="227"/>
        <v/>
      </c>
      <c r="L271" s="102"/>
      <c r="M271" s="103"/>
      <c r="N271" s="104"/>
      <c r="O271" s="105"/>
      <c r="P271" s="106">
        <f t="shared" si="228"/>
        <v>0</v>
      </c>
      <c r="Q271" s="106">
        <f t="shared" si="229"/>
        <v>0</v>
      </c>
      <c r="R271" s="106">
        <f t="shared" si="230"/>
        <v>0</v>
      </c>
      <c r="S271" s="106">
        <f t="shared" si="231"/>
        <v>0</v>
      </c>
      <c r="T271" s="107">
        <f t="shared" si="232"/>
        <v>0</v>
      </c>
      <c r="U271" s="78"/>
      <c r="AG271" s="108"/>
      <c r="AI271" s="78">
        <f t="shared" si="176"/>
        <v>0</v>
      </c>
      <c r="AJ271" s="78">
        <f t="shared" si="177"/>
        <v>0</v>
      </c>
      <c r="AK271" s="78">
        <f t="shared" si="178"/>
        <v>0</v>
      </c>
      <c r="AL271" s="78">
        <f t="shared" si="179"/>
        <v>0</v>
      </c>
      <c r="AM271" s="78">
        <f t="shared" si="180"/>
        <v>0</v>
      </c>
      <c r="AN271" s="78">
        <f t="shared" si="181"/>
        <v>0</v>
      </c>
      <c r="AO271" s="78">
        <f t="shared" si="182"/>
        <v>0</v>
      </c>
      <c r="AP271" s="78">
        <f t="shared" si="183"/>
        <v>0</v>
      </c>
      <c r="AQ271" s="78">
        <f t="shared" si="184"/>
        <v>0</v>
      </c>
      <c r="AR271" s="78">
        <f t="shared" si="185"/>
        <v>0</v>
      </c>
      <c r="AS271" s="90">
        <f t="shared" si="186"/>
        <v>0</v>
      </c>
      <c r="AT271" s="91">
        <f t="shared" si="187"/>
        <v>0</v>
      </c>
      <c r="AV271" s="91">
        <f t="shared" si="188"/>
        <v>0</v>
      </c>
      <c r="AW271" s="78">
        <f t="shared" si="189"/>
        <v>0</v>
      </c>
      <c r="AX271" s="78">
        <f t="shared" si="190"/>
        <v>0</v>
      </c>
      <c r="AY271" s="78"/>
      <c r="AZ271" s="78">
        <f t="shared" si="191"/>
        <v>0</v>
      </c>
      <c r="BA271" s="78">
        <f t="shared" si="192"/>
        <v>0</v>
      </c>
      <c r="BB271" s="78">
        <f t="shared" si="193"/>
        <v>0</v>
      </c>
      <c r="BC271" s="78">
        <f t="shared" si="194"/>
        <v>0</v>
      </c>
      <c r="BD271" s="78">
        <f t="shared" si="195"/>
        <v>0</v>
      </c>
      <c r="BE271" s="78">
        <f t="shared" si="196"/>
        <v>0</v>
      </c>
      <c r="BF271" s="78">
        <f t="shared" si="197"/>
        <v>0</v>
      </c>
      <c r="BG271" s="78">
        <f t="shared" si="198"/>
        <v>0</v>
      </c>
      <c r="BH271" s="78">
        <f t="shared" si="199"/>
        <v>0</v>
      </c>
      <c r="BI271" s="78"/>
      <c r="BJ271" s="91">
        <f t="shared" si="200"/>
        <v>0</v>
      </c>
      <c r="BK271" s="91">
        <f t="shared" si="201"/>
        <v>0</v>
      </c>
      <c r="BL271" s="78"/>
      <c r="BM271" s="78">
        <f t="shared" si="202"/>
        <v>0</v>
      </c>
      <c r="BN271" s="78">
        <f t="shared" si="203"/>
        <v>0</v>
      </c>
      <c r="BO271" s="78">
        <f t="shared" si="204"/>
        <v>0</v>
      </c>
      <c r="BP271" s="78">
        <f t="shared" si="205"/>
        <v>0</v>
      </c>
      <c r="BQ271" s="78">
        <f t="shared" si="206"/>
        <v>0</v>
      </c>
      <c r="BR271" s="78">
        <f t="shared" si="207"/>
        <v>0</v>
      </c>
      <c r="BS271" s="78">
        <f t="shared" si="208"/>
        <v>0</v>
      </c>
      <c r="BT271" s="78">
        <f t="shared" si="209"/>
        <v>0</v>
      </c>
      <c r="BU271" s="91">
        <f t="shared" si="210"/>
        <v>0</v>
      </c>
      <c r="BV271" s="91">
        <f t="shared" si="211"/>
        <v>0</v>
      </c>
      <c r="BW271" s="78"/>
      <c r="BX271" s="78"/>
      <c r="BY271" s="78">
        <f t="shared" si="212"/>
        <v>0</v>
      </c>
      <c r="BZ271" s="78">
        <f t="shared" si="213"/>
        <v>0</v>
      </c>
      <c r="CA271" s="78">
        <f t="shared" si="214"/>
        <v>0</v>
      </c>
      <c r="CB271" s="78">
        <f t="shared" si="215"/>
        <v>0</v>
      </c>
      <c r="CC271" s="78">
        <f t="shared" si="216"/>
        <v>0</v>
      </c>
      <c r="CD271" s="78">
        <f t="shared" si="217"/>
        <v>0</v>
      </c>
      <c r="CE271" s="78">
        <f t="shared" si="218"/>
        <v>0</v>
      </c>
      <c r="CF271" s="78">
        <f t="shared" si="219"/>
        <v>0</v>
      </c>
      <c r="CG271" s="78"/>
      <c r="CH271" s="92">
        <f t="shared" si="220"/>
        <v>0</v>
      </c>
      <c r="CI271" s="93">
        <f t="shared" si="221"/>
        <v>0</v>
      </c>
      <c r="CJ271" s="94">
        <f t="shared" si="222"/>
        <v>0</v>
      </c>
      <c r="CL271" s="78">
        <f t="shared" si="223"/>
        <v>0</v>
      </c>
      <c r="CM271" s="78">
        <f t="shared" si="224"/>
        <v>0</v>
      </c>
      <c r="CN271" s="78">
        <f t="shared" si="225"/>
        <v>0</v>
      </c>
      <c r="CO271" s="78">
        <f t="shared" si="226"/>
        <v>0</v>
      </c>
    </row>
    <row r="272" spans="1:93" ht="13.5" thickBot="1">
      <c r="A272" s="95"/>
      <c r="B272" s="96"/>
      <c r="C272" s="97"/>
      <c r="D272" s="98"/>
      <c r="E272" s="99"/>
      <c r="F272" s="100"/>
      <c r="G272" s="100"/>
      <c r="H272" s="100"/>
      <c r="I272" s="100"/>
      <c r="J272" s="100"/>
      <c r="K272" s="101" t="str">
        <f t="shared" si="227"/>
        <v/>
      </c>
      <c r="L272" s="102"/>
      <c r="M272" s="103"/>
      <c r="N272" s="104"/>
      <c r="O272" s="105"/>
      <c r="P272" s="106">
        <f t="shared" si="228"/>
        <v>0</v>
      </c>
      <c r="Q272" s="106">
        <f t="shared" si="229"/>
        <v>0</v>
      </c>
      <c r="R272" s="106">
        <f t="shared" si="230"/>
        <v>0</v>
      </c>
      <c r="S272" s="106">
        <f t="shared" si="231"/>
        <v>0</v>
      </c>
      <c r="T272" s="107">
        <f t="shared" si="232"/>
        <v>0</v>
      </c>
      <c r="U272" s="78"/>
      <c r="AG272" s="108"/>
      <c r="AI272" s="78">
        <f t="shared" si="176"/>
        <v>0</v>
      </c>
      <c r="AJ272" s="78">
        <f t="shared" si="177"/>
        <v>0</v>
      </c>
      <c r="AK272" s="78">
        <f t="shared" si="178"/>
        <v>0</v>
      </c>
      <c r="AL272" s="78">
        <f t="shared" si="179"/>
        <v>0</v>
      </c>
      <c r="AM272" s="78">
        <f t="shared" si="180"/>
        <v>0</v>
      </c>
      <c r="AN272" s="78">
        <f t="shared" si="181"/>
        <v>0</v>
      </c>
      <c r="AO272" s="78">
        <f t="shared" si="182"/>
        <v>0</v>
      </c>
      <c r="AP272" s="78">
        <f t="shared" si="183"/>
        <v>0</v>
      </c>
      <c r="AQ272" s="78">
        <f t="shared" si="184"/>
        <v>0</v>
      </c>
      <c r="AR272" s="78">
        <f t="shared" si="185"/>
        <v>0</v>
      </c>
      <c r="AS272" s="90">
        <f t="shared" si="186"/>
        <v>0</v>
      </c>
      <c r="AT272" s="91">
        <f t="shared" si="187"/>
        <v>0</v>
      </c>
      <c r="AV272" s="91">
        <f t="shared" si="188"/>
        <v>0</v>
      </c>
      <c r="AW272" s="78">
        <f t="shared" si="189"/>
        <v>0</v>
      </c>
      <c r="AX272" s="78">
        <f t="shared" si="190"/>
        <v>0</v>
      </c>
      <c r="AY272" s="78"/>
      <c r="AZ272" s="78">
        <f t="shared" si="191"/>
        <v>0</v>
      </c>
      <c r="BA272" s="78">
        <f t="shared" si="192"/>
        <v>0</v>
      </c>
      <c r="BB272" s="78">
        <f t="shared" si="193"/>
        <v>0</v>
      </c>
      <c r="BC272" s="78">
        <f t="shared" si="194"/>
        <v>0</v>
      </c>
      <c r="BD272" s="78">
        <f t="shared" si="195"/>
        <v>0</v>
      </c>
      <c r="BE272" s="78">
        <f t="shared" si="196"/>
        <v>0</v>
      </c>
      <c r="BF272" s="78">
        <f t="shared" si="197"/>
        <v>0</v>
      </c>
      <c r="BG272" s="78">
        <f t="shared" si="198"/>
        <v>0</v>
      </c>
      <c r="BH272" s="78">
        <f t="shared" si="199"/>
        <v>0</v>
      </c>
      <c r="BI272" s="78"/>
      <c r="BJ272" s="91">
        <f t="shared" si="200"/>
        <v>0</v>
      </c>
      <c r="BK272" s="91">
        <f t="shared" si="201"/>
        <v>0</v>
      </c>
      <c r="BL272" s="78"/>
      <c r="BM272" s="78">
        <f t="shared" si="202"/>
        <v>0</v>
      </c>
      <c r="BN272" s="78">
        <f t="shared" si="203"/>
        <v>0</v>
      </c>
      <c r="BO272" s="78">
        <f t="shared" si="204"/>
        <v>0</v>
      </c>
      <c r="BP272" s="78">
        <f t="shared" si="205"/>
        <v>0</v>
      </c>
      <c r="BQ272" s="78">
        <f t="shared" si="206"/>
        <v>0</v>
      </c>
      <c r="BR272" s="78">
        <f t="shared" si="207"/>
        <v>0</v>
      </c>
      <c r="BS272" s="78">
        <f t="shared" si="208"/>
        <v>0</v>
      </c>
      <c r="BT272" s="78">
        <f t="shared" si="209"/>
        <v>0</v>
      </c>
      <c r="BU272" s="91">
        <f t="shared" si="210"/>
        <v>0</v>
      </c>
      <c r="BV272" s="91">
        <f t="shared" si="211"/>
        <v>0</v>
      </c>
      <c r="BW272" s="78"/>
      <c r="BX272" s="78"/>
      <c r="BY272" s="78">
        <f t="shared" si="212"/>
        <v>0</v>
      </c>
      <c r="BZ272" s="78">
        <f t="shared" si="213"/>
        <v>0</v>
      </c>
      <c r="CA272" s="78">
        <f t="shared" si="214"/>
        <v>0</v>
      </c>
      <c r="CB272" s="78">
        <f t="shared" si="215"/>
        <v>0</v>
      </c>
      <c r="CC272" s="78">
        <f t="shared" si="216"/>
        <v>0</v>
      </c>
      <c r="CD272" s="78">
        <f t="shared" si="217"/>
        <v>0</v>
      </c>
      <c r="CE272" s="78">
        <f t="shared" si="218"/>
        <v>0</v>
      </c>
      <c r="CF272" s="78">
        <f t="shared" si="219"/>
        <v>0</v>
      </c>
      <c r="CG272" s="78"/>
      <c r="CH272" s="92">
        <f t="shared" si="220"/>
        <v>0</v>
      </c>
      <c r="CI272" s="93">
        <f t="shared" si="221"/>
        <v>0</v>
      </c>
      <c r="CJ272" s="94">
        <f t="shared" si="222"/>
        <v>0</v>
      </c>
      <c r="CL272" s="78">
        <f t="shared" si="223"/>
        <v>0</v>
      </c>
      <c r="CM272" s="78">
        <f t="shared" si="224"/>
        <v>0</v>
      </c>
      <c r="CN272" s="78">
        <f t="shared" si="225"/>
        <v>0</v>
      </c>
      <c r="CO272" s="78">
        <f t="shared" si="226"/>
        <v>0</v>
      </c>
    </row>
    <row r="273" spans="1:93" ht="13.5" thickBot="1">
      <c r="A273" s="95"/>
      <c r="B273" s="96"/>
      <c r="C273" s="97"/>
      <c r="D273" s="98"/>
      <c r="E273" s="99"/>
      <c r="F273" s="100"/>
      <c r="G273" s="100"/>
      <c r="H273" s="100"/>
      <c r="I273" s="100"/>
      <c r="J273" s="100"/>
      <c r="K273" s="101" t="str">
        <f t="shared" si="227"/>
        <v/>
      </c>
      <c r="L273" s="102"/>
      <c r="M273" s="103"/>
      <c r="N273" s="104"/>
      <c r="O273" s="105"/>
      <c r="P273" s="106">
        <f t="shared" si="228"/>
        <v>0</v>
      </c>
      <c r="Q273" s="106">
        <f t="shared" si="229"/>
        <v>0</v>
      </c>
      <c r="R273" s="106">
        <f t="shared" si="230"/>
        <v>0</v>
      </c>
      <c r="S273" s="106">
        <f t="shared" si="231"/>
        <v>0</v>
      </c>
      <c r="T273" s="107">
        <f t="shared" si="232"/>
        <v>0</v>
      </c>
      <c r="U273" s="78"/>
      <c r="AG273" s="108"/>
      <c r="AI273" s="78">
        <f t="shared" si="176"/>
        <v>0</v>
      </c>
      <c r="AJ273" s="78">
        <f t="shared" si="177"/>
        <v>0</v>
      </c>
      <c r="AK273" s="78">
        <f t="shared" si="178"/>
        <v>0</v>
      </c>
      <c r="AL273" s="78">
        <f t="shared" si="179"/>
        <v>0</v>
      </c>
      <c r="AM273" s="78">
        <f t="shared" si="180"/>
        <v>0</v>
      </c>
      <c r="AN273" s="78">
        <f t="shared" si="181"/>
        <v>0</v>
      </c>
      <c r="AO273" s="78">
        <f t="shared" si="182"/>
        <v>0</v>
      </c>
      <c r="AP273" s="78">
        <f t="shared" si="183"/>
        <v>0</v>
      </c>
      <c r="AQ273" s="78">
        <f t="shared" si="184"/>
        <v>0</v>
      </c>
      <c r="AR273" s="78">
        <f t="shared" si="185"/>
        <v>0</v>
      </c>
      <c r="AS273" s="90">
        <f t="shared" si="186"/>
        <v>0</v>
      </c>
      <c r="AT273" s="91">
        <f t="shared" si="187"/>
        <v>0</v>
      </c>
      <c r="AV273" s="91">
        <f t="shared" si="188"/>
        <v>0</v>
      </c>
      <c r="AW273" s="78">
        <f t="shared" si="189"/>
        <v>0</v>
      </c>
      <c r="AX273" s="78">
        <f t="shared" si="190"/>
        <v>0</v>
      </c>
      <c r="AY273" s="78"/>
      <c r="AZ273" s="78">
        <f t="shared" si="191"/>
        <v>0</v>
      </c>
      <c r="BA273" s="78">
        <f t="shared" si="192"/>
        <v>0</v>
      </c>
      <c r="BB273" s="78">
        <f t="shared" si="193"/>
        <v>0</v>
      </c>
      <c r="BC273" s="78">
        <f t="shared" si="194"/>
        <v>0</v>
      </c>
      <c r="BD273" s="78">
        <f t="shared" si="195"/>
        <v>0</v>
      </c>
      <c r="BE273" s="78">
        <f t="shared" si="196"/>
        <v>0</v>
      </c>
      <c r="BF273" s="78">
        <f t="shared" si="197"/>
        <v>0</v>
      </c>
      <c r="BG273" s="78">
        <f t="shared" si="198"/>
        <v>0</v>
      </c>
      <c r="BH273" s="78">
        <f t="shared" si="199"/>
        <v>0</v>
      </c>
      <c r="BI273" s="78"/>
      <c r="BJ273" s="91">
        <f t="shared" si="200"/>
        <v>0</v>
      </c>
      <c r="BK273" s="91">
        <f t="shared" si="201"/>
        <v>0</v>
      </c>
      <c r="BL273" s="78"/>
      <c r="BM273" s="78">
        <f t="shared" si="202"/>
        <v>0</v>
      </c>
      <c r="BN273" s="78">
        <f t="shared" si="203"/>
        <v>0</v>
      </c>
      <c r="BO273" s="78">
        <f t="shared" si="204"/>
        <v>0</v>
      </c>
      <c r="BP273" s="78">
        <f t="shared" si="205"/>
        <v>0</v>
      </c>
      <c r="BQ273" s="78">
        <f t="shared" si="206"/>
        <v>0</v>
      </c>
      <c r="BR273" s="78">
        <f t="shared" si="207"/>
        <v>0</v>
      </c>
      <c r="BS273" s="78">
        <f t="shared" si="208"/>
        <v>0</v>
      </c>
      <c r="BT273" s="78">
        <f t="shared" si="209"/>
        <v>0</v>
      </c>
      <c r="BU273" s="91">
        <f t="shared" si="210"/>
        <v>0</v>
      </c>
      <c r="BV273" s="91">
        <f t="shared" si="211"/>
        <v>0</v>
      </c>
      <c r="BW273" s="78"/>
      <c r="BX273" s="78"/>
      <c r="BY273" s="78">
        <f t="shared" si="212"/>
        <v>0</v>
      </c>
      <c r="BZ273" s="78">
        <f t="shared" si="213"/>
        <v>0</v>
      </c>
      <c r="CA273" s="78">
        <f t="shared" si="214"/>
        <v>0</v>
      </c>
      <c r="CB273" s="78">
        <f t="shared" si="215"/>
        <v>0</v>
      </c>
      <c r="CC273" s="78">
        <f t="shared" si="216"/>
        <v>0</v>
      </c>
      <c r="CD273" s="78">
        <f t="shared" si="217"/>
        <v>0</v>
      </c>
      <c r="CE273" s="78">
        <f t="shared" si="218"/>
        <v>0</v>
      </c>
      <c r="CF273" s="78">
        <f t="shared" si="219"/>
        <v>0</v>
      </c>
      <c r="CG273" s="78"/>
      <c r="CH273" s="92">
        <f t="shared" si="220"/>
        <v>0</v>
      </c>
      <c r="CI273" s="93">
        <f t="shared" si="221"/>
        <v>0</v>
      </c>
      <c r="CJ273" s="94">
        <f t="shared" si="222"/>
        <v>0</v>
      </c>
      <c r="CL273" s="78">
        <f t="shared" si="223"/>
        <v>0</v>
      </c>
      <c r="CM273" s="78">
        <f t="shared" si="224"/>
        <v>0</v>
      </c>
      <c r="CN273" s="78">
        <f t="shared" si="225"/>
        <v>0</v>
      </c>
      <c r="CO273" s="78">
        <f t="shared" si="226"/>
        <v>0</v>
      </c>
    </row>
    <row r="274" spans="1:93" ht="13.5" thickBot="1">
      <c r="A274" s="95"/>
      <c r="B274" s="96"/>
      <c r="C274" s="97"/>
      <c r="D274" s="98"/>
      <c r="E274" s="99"/>
      <c r="F274" s="100"/>
      <c r="G274" s="100"/>
      <c r="H274" s="100"/>
      <c r="I274" s="100"/>
      <c r="J274" s="100"/>
      <c r="K274" s="101" t="str">
        <f t="shared" si="227"/>
        <v/>
      </c>
      <c r="L274" s="102"/>
      <c r="M274" s="103"/>
      <c r="N274" s="104"/>
      <c r="O274" s="105"/>
      <c r="P274" s="106">
        <f t="shared" si="228"/>
        <v>0</v>
      </c>
      <c r="Q274" s="106">
        <f t="shared" si="229"/>
        <v>0</v>
      </c>
      <c r="R274" s="106">
        <f t="shared" si="230"/>
        <v>0</v>
      </c>
      <c r="S274" s="106">
        <f t="shared" si="231"/>
        <v>0</v>
      </c>
      <c r="T274" s="107">
        <f t="shared" si="232"/>
        <v>0</v>
      </c>
      <c r="U274" s="78"/>
      <c r="AG274" s="108"/>
      <c r="AI274" s="78">
        <f t="shared" si="176"/>
        <v>0</v>
      </c>
      <c r="AJ274" s="78">
        <f t="shared" si="177"/>
        <v>0</v>
      </c>
      <c r="AK274" s="78">
        <f t="shared" si="178"/>
        <v>0</v>
      </c>
      <c r="AL274" s="78">
        <f t="shared" si="179"/>
        <v>0</v>
      </c>
      <c r="AM274" s="78">
        <f t="shared" si="180"/>
        <v>0</v>
      </c>
      <c r="AN274" s="78">
        <f t="shared" si="181"/>
        <v>0</v>
      </c>
      <c r="AO274" s="78">
        <f t="shared" si="182"/>
        <v>0</v>
      </c>
      <c r="AP274" s="78">
        <f t="shared" si="183"/>
        <v>0</v>
      </c>
      <c r="AQ274" s="78">
        <f t="shared" si="184"/>
        <v>0</v>
      </c>
      <c r="AR274" s="78">
        <f t="shared" si="185"/>
        <v>0</v>
      </c>
      <c r="AS274" s="90">
        <f t="shared" si="186"/>
        <v>0</v>
      </c>
      <c r="AT274" s="91">
        <f t="shared" si="187"/>
        <v>0</v>
      </c>
      <c r="AV274" s="91">
        <f t="shared" si="188"/>
        <v>0</v>
      </c>
      <c r="AW274" s="78">
        <f t="shared" si="189"/>
        <v>0</v>
      </c>
      <c r="AX274" s="78">
        <f t="shared" si="190"/>
        <v>0</v>
      </c>
      <c r="AY274" s="78"/>
      <c r="AZ274" s="78">
        <f t="shared" si="191"/>
        <v>0</v>
      </c>
      <c r="BA274" s="78">
        <f t="shared" si="192"/>
        <v>0</v>
      </c>
      <c r="BB274" s="78">
        <f t="shared" si="193"/>
        <v>0</v>
      </c>
      <c r="BC274" s="78">
        <f t="shared" si="194"/>
        <v>0</v>
      </c>
      <c r="BD274" s="78">
        <f t="shared" si="195"/>
        <v>0</v>
      </c>
      <c r="BE274" s="78">
        <f t="shared" si="196"/>
        <v>0</v>
      </c>
      <c r="BF274" s="78">
        <f t="shared" si="197"/>
        <v>0</v>
      </c>
      <c r="BG274" s="78">
        <f t="shared" si="198"/>
        <v>0</v>
      </c>
      <c r="BH274" s="78">
        <f t="shared" si="199"/>
        <v>0</v>
      </c>
      <c r="BI274" s="78"/>
      <c r="BJ274" s="91">
        <f t="shared" si="200"/>
        <v>0</v>
      </c>
      <c r="BK274" s="91">
        <f t="shared" si="201"/>
        <v>0</v>
      </c>
      <c r="BL274" s="78"/>
      <c r="BM274" s="78">
        <f t="shared" si="202"/>
        <v>0</v>
      </c>
      <c r="BN274" s="78">
        <f t="shared" si="203"/>
        <v>0</v>
      </c>
      <c r="BO274" s="78">
        <f t="shared" si="204"/>
        <v>0</v>
      </c>
      <c r="BP274" s="78">
        <f t="shared" si="205"/>
        <v>0</v>
      </c>
      <c r="BQ274" s="78">
        <f t="shared" si="206"/>
        <v>0</v>
      </c>
      <c r="BR274" s="78">
        <f t="shared" si="207"/>
        <v>0</v>
      </c>
      <c r="BS274" s="78">
        <f t="shared" si="208"/>
        <v>0</v>
      </c>
      <c r="BT274" s="78">
        <f t="shared" si="209"/>
        <v>0</v>
      </c>
      <c r="BU274" s="91">
        <f t="shared" si="210"/>
        <v>0</v>
      </c>
      <c r="BV274" s="91">
        <f t="shared" si="211"/>
        <v>0</v>
      </c>
      <c r="BW274" s="78"/>
      <c r="BX274" s="78"/>
      <c r="BY274" s="78">
        <f t="shared" si="212"/>
        <v>0</v>
      </c>
      <c r="BZ274" s="78">
        <f t="shared" si="213"/>
        <v>0</v>
      </c>
      <c r="CA274" s="78">
        <f t="shared" si="214"/>
        <v>0</v>
      </c>
      <c r="CB274" s="78">
        <f t="shared" si="215"/>
        <v>0</v>
      </c>
      <c r="CC274" s="78">
        <f t="shared" si="216"/>
        <v>0</v>
      </c>
      <c r="CD274" s="78">
        <f t="shared" si="217"/>
        <v>0</v>
      </c>
      <c r="CE274" s="78">
        <f t="shared" si="218"/>
        <v>0</v>
      </c>
      <c r="CF274" s="78">
        <f t="shared" si="219"/>
        <v>0</v>
      </c>
      <c r="CG274" s="78"/>
      <c r="CH274" s="92">
        <f t="shared" si="220"/>
        <v>0</v>
      </c>
      <c r="CI274" s="93">
        <f t="shared" si="221"/>
        <v>0</v>
      </c>
      <c r="CJ274" s="94">
        <f t="shared" si="222"/>
        <v>0</v>
      </c>
      <c r="CL274" s="78">
        <f t="shared" si="223"/>
        <v>0</v>
      </c>
      <c r="CM274" s="78">
        <f t="shared" si="224"/>
        <v>0</v>
      </c>
      <c r="CN274" s="78">
        <f t="shared" si="225"/>
        <v>0</v>
      </c>
      <c r="CO274" s="78">
        <f t="shared" si="226"/>
        <v>0</v>
      </c>
    </row>
    <row r="275" spans="1:93" ht="13.5" thickBot="1">
      <c r="A275" s="95"/>
      <c r="B275" s="96"/>
      <c r="C275" s="97"/>
      <c r="D275" s="98"/>
      <c r="E275" s="99"/>
      <c r="F275" s="100"/>
      <c r="G275" s="100"/>
      <c r="H275" s="100"/>
      <c r="I275" s="100"/>
      <c r="J275" s="100"/>
      <c r="K275" s="101" t="str">
        <f t="shared" si="227"/>
        <v/>
      </c>
      <c r="L275" s="102"/>
      <c r="M275" s="103"/>
      <c r="N275" s="104"/>
      <c r="O275" s="105"/>
      <c r="P275" s="106">
        <f t="shared" si="228"/>
        <v>0</v>
      </c>
      <c r="Q275" s="106">
        <f t="shared" si="229"/>
        <v>0</v>
      </c>
      <c r="R275" s="106">
        <f t="shared" si="230"/>
        <v>0</v>
      </c>
      <c r="S275" s="106">
        <f t="shared" si="231"/>
        <v>0</v>
      </c>
      <c r="T275" s="107">
        <f t="shared" si="232"/>
        <v>0</v>
      </c>
      <c r="U275" s="78"/>
      <c r="AG275" s="108"/>
      <c r="AI275" s="78">
        <f t="shared" si="176"/>
        <v>0</v>
      </c>
      <c r="AJ275" s="78">
        <f t="shared" si="177"/>
        <v>0</v>
      </c>
      <c r="AK275" s="78">
        <f t="shared" si="178"/>
        <v>0</v>
      </c>
      <c r="AL275" s="78">
        <f t="shared" si="179"/>
        <v>0</v>
      </c>
      <c r="AM275" s="78">
        <f t="shared" si="180"/>
        <v>0</v>
      </c>
      <c r="AN275" s="78">
        <f t="shared" si="181"/>
        <v>0</v>
      </c>
      <c r="AO275" s="78">
        <f t="shared" si="182"/>
        <v>0</v>
      </c>
      <c r="AP275" s="78">
        <f t="shared" si="183"/>
        <v>0</v>
      </c>
      <c r="AQ275" s="78">
        <f t="shared" si="184"/>
        <v>0</v>
      </c>
      <c r="AR275" s="78">
        <f t="shared" si="185"/>
        <v>0</v>
      </c>
      <c r="AS275" s="90">
        <f t="shared" si="186"/>
        <v>0</v>
      </c>
      <c r="AT275" s="91">
        <f t="shared" si="187"/>
        <v>0</v>
      </c>
      <c r="AV275" s="91">
        <f t="shared" si="188"/>
        <v>0</v>
      </c>
      <c r="AW275" s="78">
        <f t="shared" si="189"/>
        <v>0</v>
      </c>
      <c r="AX275" s="78">
        <f t="shared" si="190"/>
        <v>0</v>
      </c>
      <c r="AY275" s="78"/>
      <c r="AZ275" s="78">
        <f t="shared" si="191"/>
        <v>0</v>
      </c>
      <c r="BA275" s="78">
        <f t="shared" si="192"/>
        <v>0</v>
      </c>
      <c r="BB275" s="78">
        <f t="shared" si="193"/>
        <v>0</v>
      </c>
      <c r="BC275" s="78">
        <f t="shared" si="194"/>
        <v>0</v>
      </c>
      <c r="BD275" s="78">
        <f t="shared" si="195"/>
        <v>0</v>
      </c>
      <c r="BE275" s="78">
        <f t="shared" si="196"/>
        <v>0</v>
      </c>
      <c r="BF275" s="78">
        <f t="shared" si="197"/>
        <v>0</v>
      </c>
      <c r="BG275" s="78">
        <f t="shared" si="198"/>
        <v>0</v>
      </c>
      <c r="BH275" s="78">
        <f t="shared" si="199"/>
        <v>0</v>
      </c>
      <c r="BI275" s="78"/>
      <c r="BJ275" s="91">
        <f t="shared" si="200"/>
        <v>0</v>
      </c>
      <c r="BK275" s="91">
        <f t="shared" si="201"/>
        <v>0</v>
      </c>
      <c r="BL275" s="78"/>
      <c r="BM275" s="78">
        <f t="shared" si="202"/>
        <v>0</v>
      </c>
      <c r="BN275" s="78">
        <f t="shared" si="203"/>
        <v>0</v>
      </c>
      <c r="BO275" s="78">
        <f t="shared" si="204"/>
        <v>0</v>
      </c>
      <c r="BP275" s="78">
        <f t="shared" si="205"/>
        <v>0</v>
      </c>
      <c r="BQ275" s="78">
        <f t="shared" si="206"/>
        <v>0</v>
      </c>
      <c r="BR275" s="78">
        <f t="shared" si="207"/>
        <v>0</v>
      </c>
      <c r="BS275" s="78">
        <f t="shared" si="208"/>
        <v>0</v>
      </c>
      <c r="BT275" s="78">
        <f t="shared" si="209"/>
        <v>0</v>
      </c>
      <c r="BU275" s="91">
        <f t="shared" si="210"/>
        <v>0</v>
      </c>
      <c r="BV275" s="91">
        <f t="shared" si="211"/>
        <v>0</v>
      </c>
      <c r="BW275" s="78"/>
      <c r="BX275" s="78"/>
      <c r="BY275" s="78">
        <f t="shared" si="212"/>
        <v>0</v>
      </c>
      <c r="BZ275" s="78">
        <f t="shared" si="213"/>
        <v>0</v>
      </c>
      <c r="CA275" s="78">
        <f t="shared" si="214"/>
        <v>0</v>
      </c>
      <c r="CB275" s="78">
        <f t="shared" si="215"/>
        <v>0</v>
      </c>
      <c r="CC275" s="78">
        <f t="shared" si="216"/>
        <v>0</v>
      </c>
      <c r="CD275" s="78">
        <f t="shared" si="217"/>
        <v>0</v>
      </c>
      <c r="CE275" s="78">
        <f t="shared" si="218"/>
        <v>0</v>
      </c>
      <c r="CF275" s="78">
        <f t="shared" si="219"/>
        <v>0</v>
      </c>
      <c r="CG275" s="78"/>
      <c r="CH275" s="92">
        <f t="shared" si="220"/>
        <v>0</v>
      </c>
      <c r="CI275" s="93">
        <f t="shared" si="221"/>
        <v>0</v>
      </c>
      <c r="CJ275" s="94">
        <f t="shared" si="222"/>
        <v>0</v>
      </c>
      <c r="CL275" s="78">
        <f t="shared" si="223"/>
        <v>0</v>
      </c>
      <c r="CM275" s="78">
        <f t="shared" si="224"/>
        <v>0</v>
      </c>
      <c r="CN275" s="78">
        <f t="shared" si="225"/>
        <v>0</v>
      </c>
      <c r="CO275" s="78">
        <f t="shared" si="226"/>
        <v>0</v>
      </c>
    </row>
    <row r="276" spans="1:93" ht="13.5" thickBot="1">
      <c r="A276" s="95"/>
      <c r="B276" s="96"/>
      <c r="C276" s="97"/>
      <c r="D276" s="98"/>
      <c r="E276" s="99"/>
      <c r="F276" s="100"/>
      <c r="G276" s="100"/>
      <c r="H276" s="100"/>
      <c r="I276" s="100"/>
      <c r="J276" s="100"/>
      <c r="K276" s="101" t="str">
        <f t="shared" si="227"/>
        <v/>
      </c>
      <c r="L276" s="102"/>
      <c r="M276" s="103"/>
      <c r="N276" s="104"/>
      <c r="O276" s="105"/>
      <c r="P276" s="106">
        <f t="shared" si="228"/>
        <v>0</v>
      </c>
      <c r="Q276" s="106">
        <f t="shared" si="229"/>
        <v>0</v>
      </c>
      <c r="R276" s="106">
        <f t="shared" si="230"/>
        <v>0</v>
      </c>
      <c r="S276" s="106">
        <f t="shared" si="231"/>
        <v>0</v>
      </c>
      <c r="T276" s="107">
        <f t="shared" si="232"/>
        <v>0</v>
      </c>
      <c r="U276" s="78"/>
      <c r="AG276" s="108"/>
      <c r="AI276" s="78">
        <f t="shared" si="176"/>
        <v>0</v>
      </c>
      <c r="AJ276" s="78">
        <f t="shared" si="177"/>
        <v>0</v>
      </c>
      <c r="AK276" s="78">
        <f t="shared" si="178"/>
        <v>0</v>
      </c>
      <c r="AL276" s="78">
        <f t="shared" si="179"/>
        <v>0</v>
      </c>
      <c r="AM276" s="78">
        <f t="shared" si="180"/>
        <v>0</v>
      </c>
      <c r="AN276" s="78">
        <f t="shared" si="181"/>
        <v>0</v>
      </c>
      <c r="AO276" s="78">
        <f t="shared" si="182"/>
        <v>0</v>
      </c>
      <c r="AP276" s="78">
        <f t="shared" si="183"/>
        <v>0</v>
      </c>
      <c r="AQ276" s="78">
        <f t="shared" si="184"/>
        <v>0</v>
      </c>
      <c r="AR276" s="78">
        <f t="shared" si="185"/>
        <v>0</v>
      </c>
      <c r="AS276" s="90">
        <f t="shared" si="186"/>
        <v>0</v>
      </c>
      <c r="AT276" s="91">
        <f t="shared" si="187"/>
        <v>0</v>
      </c>
      <c r="AV276" s="91">
        <f t="shared" si="188"/>
        <v>0</v>
      </c>
      <c r="AW276" s="78">
        <f t="shared" si="189"/>
        <v>0</v>
      </c>
      <c r="AX276" s="78">
        <f t="shared" si="190"/>
        <v>0</v>
      </c>
      <c r="AY276" s="78"/>
      <c r="AZ276" s="78">
        <f t="shared" si="191"/>
        <v>0</v>
      </c>
      <c r="BA276" s="78">
        <f t="shared" si="192"/>
        <v>0</v>
      </c>
      <c r="BB276" s="78">
        <f t="shared" si="193"/>
        <v>0</v>
      </c>
      <c r="BC276" s="78">
        <f t="shared" si="194"/>
        <v>0</v>
      </c>
      <c r="BD276" s="78">
        <f t="shared" si="195"/>
        <v>0</v>
      </c>
      <c r="BE276" s="78">
        <f t="shared" si="196"/>
        <v>0</v>
      </c>
      <c r="BF276" s="78">
        <f t="shared" si="197"/>
        <v>0</v>
      </c>
      <c r="BG276" s="78">
        <f t="shared" si="198"/>
        <v>0</v>
      </c>
      <c r="BH276" s="78">
        <f t="shared" si="199"/>
        <v>0</v>
      </c>
      <c r="BI276" s="78"/>
      <c r="BJ276" s="91">
        <f t="shared" si="200"/>
        <v>0</v>
      </c>
      <c r="BK276" s="91">
        <f t="shared" si="201"/>
        <v>0</v>
      </c>
      <c r="BL276" s="78"/>
      <c r="BM276" s="78">
        <f t="shared" si="202"/>
        <v>0</v>
      </c>
      <c r="BN276" s="78">
        <f t="shared" si="203"/>
        <v>0</v>
      </c>
      <c r="BO276" s="78">
        <f t="shared" si="204"/>
        <v>0</v>
      </c>
      <c r="BP276" s="78">
        <f t="shared" si="205"/>
        <v>0</v>
      </c>
      <c r="BQ276" s="78">
        <f t="shared" si="206"/>
        <v>0</v>
      </c>
      <c r="BR276" s="78">
        <f t="shared" si="207"/>
        <v>0</v>
      </c>
      <c r="BS276" s="78">
        <f t="shared" si="208"/>
        <v>0</v>
      </c>
      <c r="BT276" s="78">
        <f t="shared" si="209"/>
        <v>0</v>
      </c>
      <c r="BU276" s="91">
        <f t="shared" si="210"/>
        <v>0</v>
      </c>
      <c r="BV276" s="91">
        <f t="shared" si="211"/>
        <v>0</v>
      </c>
      <c r="BW276" s="78"/>
      <c r="BX276" s="78"/>
      <c r="BY276" s="78">
        <f t="shared" si="212"/>
        <v>0</v>
      </c>
      <c r="BZ276" s="78">
        <f t="shared" si="213"/>
        <v>0</v>
      </c>
      <c r="CA276" s="78">
        <f t="shared" si="214"/>
        <v>0</v>
      </c>
      <c r="CB276" s="78">
        <f t="shared" si="215"/>
        <v>0</v>
      </c>
      <c r="CC276" s="78">
        <f t="shared" si="216"/>
        <v>0</v>
      </c>
      <c r="CD276" s="78">
        <f t="shared" si="217"/>
        <v>0</v>
      </c>
      <c r="CE276" s="78">
        <f t="shared" si="218"/>
        <v>0</v>
      </c>
      <c r="CF276" s="78">
        <f t="shared" si="219"/>
        <v>0</v>
      </c>
      <c r="CG276" s="78"/>
      <c r="CH276" s="92">
        <f t="shared" si="220"/>
        <v>0</v>
      </c>
      <c r="CI276" s="93">
        <f t="shared" si="221"/>
        <v>0</v>
      </c>
      <c r="CJ276" s="94">
        <f t="shared" si="222"/>
        <v>0</v>
      </c>
      <c r="CL276" s="78">
        <f t="shared" si="223"/>
        <v>0</v>
      </c>
      <c r="CM276" s="78">
        <f t="shared" si="224"/>
        <v>0</v>
      </c>
      <c r="CN276" s="78">
        <f t="shared" si="225"/>
        <v>0</v>
      </c>
      <c r="CO276" s="78">
        <f t="shared" si="226"/>
        <v>0</v>
      </c>
    </row>
    <row r="277" spans="1:93" ht="13.5" thickBot="1">
      <c r="A277" s="95"/>
      <c r="B277" s="96"/>
      <c r="C277" s="97"/>
      <c r="D277" s="98"/>
      <c r="E277" s="99"/>
      <c r="F277" s="100"/>
      <c r="G277" s="100"/>
      <c r="H277" s="100"/>
      <c r="I277" s="100"/>
      <c r="J277" s="100"/>
      <c r="K277" s="101" t="str">
        <f t="shared" si="227"/>
        <v/>
      </c>
      <c r="L277" s="102"/>
      <c r="M277" s="103"/>
      <c r="N277" s="104"/>
      <c r="O277" s="105"/>
      <c r="P277" s="106">
        <f t="shared" si="228"/>
        <v>0</v>
      </c>
      <c r="Q277" s="106">
        <f t="shared" si="229"/>
        <v>0</v>
      </c>
      <c r="R277" s="106">
        <f t="shared" si="230"/>
        <v>0</v>
      </c>
      <c r="S277" s="106">
        <f t="shared" si="231"/>
        <v>0</v>
      </c>
      <c r="T277" s="107">
        <f t="shared" si="232"/>
        <v>0</v>
      </c>
      <c r="U277" s="78"/>
      <c r="AG277" s="108"/>
      <c r="AI277" s="78">
        <f t="shared" si="176"/>
        <v>0</v>
      </c>
      <c r="AJ277" s="78">
        <f t="shared" si="177"/>
        <v>0</v>
      </c>
      <c r="AK277" s="78">
        <f t="shared" si="178"/>
        <v>0</v>
      </c>
      <c r="AL277" s="78">
        <f t="shared" si="179"/>
        <v>0</v>
      </c>
      <c r="AM277" s="78">
        <f t="shared" si="180"/>
        <v>0</v>
      </c>
      <c r="AN277" s="78">
        <f t="shared" si="181"/>
        <v>0</v>
      </c>
      <c r="AO277" s="78">
        <f t="shared" si="182"/>
        <v>0</v>
      </c>
      <c r="AP277" s="78">
        <f t="shared" si="183"/>
        <v>0</v>
      </c>
      <c r="AQ277" s="78">
        <f t="shared" si="184"/>
        <v>0</v>
      </c>
      <c r="AR277" s="78">
        <f t="shared" si="185"/>
        <v>0</v>
      </c>
      <c r="AS277" s="90">
        <f t="shared" si="186"/>
        <v>0</v>
      </c>
      <c r="AT277" s="91">
        <f t="shared" si="187"/>
        <v>0</v>
      </c>
      <c r="AV277" s="91">
        <f t="shared" si="188"/>
        <v>0</v>
      </c>
      <c r="AW277" s="78">
        <f t="shared" si="189"/>
        <v>0</v>
      </c>
      <c r="AX277" s="78">
        <f t="shared" si="190"/>
        <v>0</v>
      </c>
      <c r="AY277" s="78"/>
      <c r="AZ277" s="78">
        <f t="shared" si="191"/>
        <v>0</v>
      </c>
      <c r="BA277" s="78">
        <f t="shared" si="192"/>
        <v>0</v>
      </c>
      <c r="BB277" s="78">
        <f t="shared" si="193"/>
        <v>0</v>
      </c>
      <c r="BC277" s="78">
        <f t="shared" si="194"/>
        <v>0</v>
      </c>
      <c r="BD277" s="78">
        <f t="shared" si="195"/>
        <v>0</v>
      </c>
      <c r="BE277" s="78">
        <f t="shared" si="196"/>
        <v>0</v>
      </c>
      <c r="BF277" s="78">
        <f t="shared" si="197"/>
        <v>0</v>
      </c>
      <c r="BG277" s="78">
        <f t="shared" si="198"/>
        <v>0</v>
      </c>
      <c r="BH277" s="78">
        <f t="shared" si="199"/>
        <v>0</v>
      </c>
      <c r="BI277" s="78"/>
      <c r="BJ277" s="91">
        <f t="shared" si="200"/>
        <v>0</v>
      </c>
      <c r="BK277" s="91">
        <f t="shared" si="201"/>
        <v>0</v>
      </c>
      <c r="BL277" s="78"/>
      <c r="BM277" s="78">
        <f t="shared" si="202"/>
        <v>0</v>
      </c>
      <c r="BN277" s="78">
        <f t="shared" si="203"/>
        <v>0</v>
      </c>
      <c r="BO277" s="78">
        <f t="shared" si="204"/>
        <v>0</v>
      </c>
      <c r="BP277" s="78">
        <f t="shared" si="205"/>
        <v>0</v>
      </c>
      <c r="BQ277" s="78">
        <f t="shared" si="206"/>
        <v>0</v>
      </c>
      <c r="BR277" s="78">
        <f t="shared" si="207"/>
        <v>0</v>
      </c>
      <c r="BS277" s="78">
        <f t="shared" si="208"/>
        <v>0</v>
      </c>
      <c r="BT277" s="78">
        <f t="shared" si="209"/>
        <v>0</v>
      </c>
      <c r="BU277" s="91">
        <f t="shared" si="210"/>
        <v>0</v>
      </c>
      <c r="BV277" s="91">
        <f t="shared" si="211"/>
        <v>0</v>
      </c>
      <c r="BW277" s="78"/>
      <c r="BX277" s="78"/>
      <c r="BY277" s="78">
        <f t="shared" si="212"/>
        <v>0</v>
      </c>
      <c r="BZ277" s="78">
        <f t="shared" si="213"/>
        <v>0</v>
      </c>
      <c r="CA277" s="78">
        <f t="shared" si="214"/>
        <v>0</v>
      </c>
      <c r="CB277" s="78">
        <f t="shared" si="215"/>
        <v>0</v>
      </c>
      <c r="CC277" s="78">
        <f t="shared" si="216"/>
        <v>0</v>
      </c>
      <c r="CD277" s="78">
        <f t="shared" si="217"/>
        <v>0</v>
      </c>
      <c r="CE277" s="78">
        <f t="shared" si="218"/>
        <v>0</v>
      </c>
      <c r="CF277" s="78">
        <f t="shared" si="219"/>
        <v>0</v>
      </c>
      <c r="CG277" s="78"/>
      <c r="CH277" s="92">
        <f t="shared" si="220"/>
        <v>0</v>
      </c>
      <c r="CI277" s="93">
        <f t="shared" si="221"/>
        <v>0</v>
      </c>
      <c r="CJ277" s="94">
        <f t="shared" si="222"/>
        <v>0</v>
      </c>
      <c r="CL277" s="78">
        <f t="shared" si="223"/>
        <v>0</v>
      </c>
      <c r="CM277" s="78">
        <f t="shared" si="224"/>
        <v>0</v>
      </c>
      <c r="CN277" s="78">
        <f t="shared" si="225"/>
        <v>0</v>
      </c>
      <c r="CO277" s="78">
        <f t="shared" si="226"/>
        <v>0</v>
      </c>
    </row>
    <row r="278" spans="1:93" ht="13.5" thickBot="1">
      <c r="A278" s="95"/>
      <c r="B278" s="96"/>
      <c r="C278" s="97"/>
      <c r="D278" s="98"/>
      <c r="E278" s="99"/>
      <c r="F278" s="100"/>
      <c r="G278" s="100"/>
      <c r="H278" s="100"/>
      <c r="I278" s="100"/>
      <c r="J278" s="100"/>
      <c r="K278" s="101" t="str">
        <f t="shared" si="227"/>
        <v/>
      </c>
      <c r="L278" s="102"/>
      <c r="M278" s="103"/>
      <c r="N278" s="104"/>
      <c r="O278" s="105"/>
      <c r="P278" s="106">
        <f t="shared" si="228"/>
        <v>0</v>
      </c>
      <c r="Q278" s="106">
        <f t="shared" si="229"/>
        <v>0</v>
      </c>
      <c r="R278" s="106">
        <f t="shared" si="230"/>
        <v>0</v>
      </c>
      <c r="S278" s="106">
        <f t="shared" si="231"/>
        <v>0</v>
      </c>
      <c r="T278" s="107">
        <f t="shared" si="232"/>
        <v>0</v>
      </c>
      <c r="U278" s="78"/>
      <c r="AG278" s="108"/>
      <c r="AI278" s="78">
        <f t="shared" si="176"/>
        <v>0</v>
      </c>
      <c r="AJ278" s="78">
        <f t="shared" si="177"/>
        <v>0</v>
      </c>
      <c r="AK278" s="78">
        <f t="shared" si="178"/>
        <v>0</v>
      </c>
      <c r="AL278" s="78">
        <f t="shared" si="179"/>
        <v>0</v>
      </c>
      <c r="AM278" s="78">
        <f t="shared" si="180"/>
        <v>0</v>
      </c>
      <c r="AN278" s="78">
        <f t="shared" si="181"/>
        <v>0</v>
      </c>
      <c r="AO278" s="78">
        <f t="shared" si="182"/>
        <v>0</v>
      </c>
      <c r="AP278" s="78">
        <f t="shared" si="183"/>
        <v>0</v>
      </c>
      <c r="AQ278" s="78">
        <f t="shared" si="184"/>
        <v>0</v>
      </c>
      <c r="AR278" s="78">
        <f t="shared" si="185"/>
        <v>0</v>
      </c>
      <c r="AS278" s="90">
        <f t="shared" si="186"/>
        <v>0</v>
      </c>
      <c r="AT278" s="91">
        <f t="shared" si="187"/>
        <v>0</v>
      </c>
      <c r="AV278" s="91">
        <f t="shared" si="188"/>
        <v>0</v>
      </c>
      <c r="AW278" s="78">
        <f t="shared" si="189"/>
        <v>0</v>
      </c>
      <c r="AX278" s="78">
        <f t="shared" si="190"/>
        <v>0</v>
      </c>
      <c r="AY278" s="78"/>
      <c r="AZ278" s="78">
        <f t="shared" si="191"/>
        <v>0</v>
      </c>
      <c r="BA278" s="78">
        <f t="shared" si="192"/>
        <v>0</v>
      </c>
      <c r="BB278" s="78">
        <f t="shared" si="193"/>
        <v>0</v>
      </c>
      <c r="BC278" s="78">
        <f t="shared" si="194"/>
        <v>0</v>
      </c>
      <c r="BD278" s="78">
        <f t="shared" si="195"/>
        <v>0</v>
      </c>
      <c r="BE278" s="78">
        <f t="shared" si="196"/>
        <v>0</v>
      </c>
      <c r="BF278" s="78">
        <f t="shared" si="197"/>
        <v>0</v>
      </c>
      <c r="BG278" s="78">
        <f t="shared" si="198"/>
        <v>0</v>
      </c>
      <c r="BH278" s="78">
        <f t="shared" si="199"/>
        <v>0</v>
      </c>
      <c r="BI278" s="78"/>
      <c r="BJ278" s="91">
        <f t="shared" si="200"/>
        <v>0</v>
      </c>
      <c r="BK278" s="91">
        <f t="shared" si="201"/>
        <v>0</v>
      </c>
      <c r="BL278" s="78"/>
      <c r="BM278" s="78">
        <f t="shared" si="202"/>
        <v>0</v>
      </c>
      <c r="BN278" s="78">
        <f t="shared" si="203"/>
        <v>0</v>
      </c>
      <c r="BO278" s="78">
        <f t="shared" si="204"/>
        <v>0</v>
      </c>
      <c r="BP278" s="78">
        <f t="shared" si="205"/>
        <v>0</v>
      </c>
      <c r="BQ278" s="78">
        <f t="shared" si="206"/>
        <v>0</v>
      </c>
      <c r="BR278" s="78">
        <f t="shared" si="207"/>
        <v>0</v>
      </c>
      <c r="BS278" s="78">
        <f t="shared" si="208"/>
        <v>0</v>
      </c>
      <c r="BT278" s="78">
        <f t="shared" si="209"/>
        <v>0</v>
      </c>
      <c r="BU278" s="91">
        <f t="shared" si="210"/>
        <v>0</v>
      </c>
      <c r="BV278" s="91">
        <f t="shared" si="211"/>
        <v>0</v>
      </c>
      <c r="BW278" s="78"/>
      <c r="BX278" s="78"/>
      <c r="BY278" s="78">
        <f t="shared" si="212"/>
        <v>0</v>
      </c>
      <c r="BZ278" s="78">
        <f t="shared" si="213"/>
        <v>0</v>
      </c>
      <c r="CA278" s="78">
        <f t="shared" si="214"/>
        <v>0</v>
      </c>
      <c r="CB278" s="78">
        <f t="shared" si="215"/>
        <v>0</v>
      </c>
      <c r="CC278" s="78">
        <f t="shared" si="216"/>
        <v>0</v>
      </c>
      <c r="CD278" s="78">
        <f t="shared" si="217"/>
        <v>0</v>
      </c>
      <c r="CE278" s="78">
        <f t="shared" si="218"/>
        <v>0</v>
      </c>
      <c r="CF278" s="78">
        <f t="shared" si="219"/>
        <v>0</v>
      </c>
      <c r="CG278" s="78"/>
      <c r="CH278" s="92">
        <f t="shared" si="220"/>
        <v>0</v>
      </c>
      <c r="CI278" s="93">
        <f t="shared" si="221"/>
        <v>0</v>
      </c>
      <c r="CJ278" s="94">
        <f t="shared" si="222"/>
        <v>0</v>
      </c>
      <c r="CL278" s="78">
        <f t="shared" si="223"/>
        <v>0</v>
      </c>
      <c r="CM278" s="78">
        <f t="shared" si="224"/>
        <v>0</v>
      </c>
      <c r="CN278" s="78">
        <f t="shared" si="225"/>
        <v>0</v>
      </c>
      <c r="CO278" s="78">
        <f t="shared" si="226"/>
        <v>0</v>
      </c>
    </row>
    <row r="279" spans="1:93" ht="13.5" thickBot="1">
      <c r="A279" s="95"/>
      <c r="B279" s="96"/>
      <c r="C279" s="97"/>
      <c r="D279" s="98"/>
      <c r="E279" s="99"/>
      <c r="F279" s="100"/>
      <c r="G279" s="100"/>
      <c r="H279" s="100"/>
      <c r="I279" s="100"/>
      <c r="J279" s="100"/>
      <c r="K279" s="101" t="str">
        <f t="shared" si="227"/>
        <v/>
      </c>
      <c r="L279" s="102"/>
      <c r="M279" s="103"/>
      <c r="N279" s="104"/>
      <c r="O279" s="105"/>
      <c r="P279" s="106">
        <f t="shared" si="228"/>
        <v>0</v>
      </c>
      <c r="Q279" s="106">
        <f t="shared" si="229"/>
        <v>0</v>
      </c>
      <c r="R279" s="106">
        <f t="shared" si="230"/>
        <v>0</v>
      </c>
      <c r="S279" s="106">
        <f t="shared" si="231"/>
        <v>0</v>
      </c>
      <c r="T279" s="107">
        <f t="shared" si="232"/>
        <v>0</v>
      </c>
      <c r="U279" s="78"/>
      <c r="AG279" s="108"/>
      <c r="AI279" s="78">
        <f t="shared" si="176"/>
        <v>0</v>
      </c>
      <c r="AJ279" s="78">
        <f t="shared" si="177"/>
        <v>0</v>
      </c>
      <c r="AK279" s="78">
        <f t="shared" si="178"/>
        <v>0</v>
      </c>
      <c r="AL279" s="78">
        <f t="shared" si="179"/>
        <v>0</v>
      </c>
      <c r="AM279" s="78">
        <f t="shared" si="180"/>
        <v>0</v>
      </c>
      <c r="AN279" s="78">
        <f t="shared" si="181"/>
        <v>0</v>
      </c>
      <c r="AO279" s="78">
        <f t="shared" si="182"/>
        <v>0</v>
      </c>
      <c r="AP279" s="78">
        <f t="shared" si="183"/>
        <v>0</v>
      </c>
      <c r="AQ279" s="78">
        <f t="shared" si="184"/>
        <v>0</v>
      </c>
      <c r="AR279" s="78">
        <f t="shared" si="185"/>
        <v>0</v>
      </c>
      <c r="AS279" s="90">
        <f t="shared" si="186"/>
        <v>0</v>
      </c>
      <c r="AT279" s="91">
        <f t="shared" si="187"/>
        <v>0</v>
      </c>
      <c r="AV279" s="91">
        <f t="shared" si="188"/>
        <v>0</v>
      </c>
      <c r="AW279" s="78">
        <f t="shared" si="189"/>
        <v>0</v>
      </c>
      <c r="AX279" s="78">
        <f t="shared" si="190"/>
        <v>0</v>
      </c>
      <c r="AY279" s="78"/>
      <c r="AZ279" s="78">
        <f t="shared" si="191"/>
        <v>0</v>
      </c>
      <c r="BA279" s="78">
        <f t="shared" si="192"/>
        <v>0</v>
      </c>
      <c r="BB279" s="78">
        <f t="shared" si="193"/>
        <v>0</v>
      </c>
      <c r="BC279" s="78">
        <f t="shared" si="194"/>
        <v>0</v>
      </c>
      <c r="BD279" s="78">
        <f t="shared" si="195"/>
        <v>0</v>
      </c>
      <c r="BE279" s="78">
        <f t="shared" si="196"/>
        <v>0</v>
      </c>
      <c r="BF279" s="78">
        <f t="shared" si="197"/>
        <v>0</v>
      </c>
      <c r="BG279" s="78">
        <f t="shared" si="198"/>
        <v>0</v>
      </c>
      <c r="BH279" s="78">
        <f t="shared" si="199"/>
        <v>0</v>
      </c>
      <c r="BI279" s="78"/>
      <c r="BJ279" s="91">
        <f t="shared" si="200"/>
        <v>0</v>
      </c>
      <c r="BK279" s="91">
        <f t="shared" si="201"/>
        <v>0</v>
      </c>
      <c r="BL279" s="78"/>
      <c r="BM279" s="78">
        <f t="shared" si="202"/>
        <v>0</v>
      </c>
      <c r="BN279" s="78">
        <f t="shared" si="203"/>
        <v>0</v>
      </c>
      <c r="BO279" s="78">
        <f t="shared" si="204"/>
        <v>0</v>
      </c>
      <c r="BP279" s="78">
        <f t="shared" si="205"/>
        <v>0</v>
      </c>
      <c r="BQ279" s="78">
        <f t="shared" si="206"/>
        <v>0</v>
      </c>
      <c r="BR279" s="78">
        <f t="shared" si="207"/>
        <v>0</v>
      </c>
      <c r="BS279" s="78">
        <f t="shared" si="208"/>
        <v>0</v>
      </c>
      <c r="BT279" s="78">
        <f t="shared" si="209"/>
        <v>0</v>
      </c>
      <c r="BU279" s="91">
        <f t="shared" si="210"/>
        <v>0</v>
      </c>
      <c r="BV279" s="91">
        <f t="shared" si="211"/>
        <v>0</v>
      </c>
      <c r="BW279" s="78"/>
      <c r="BX279" s="78"/>
      <c r="BY279" s="78">
        <f t="shared" si="212"/>
        <v>0</v>
      </c>
      <c r="BZ279" s="78">
        <f t="shared" si="213"/>
        <v>0</v>
      </c>
      <c r="CA279" s="78">
        <f t="shared" si="214"/>
        <v>0</v>
      </c>
      <c r="CB279" s="78">
        <f t="shared" si="215"/>
        <v>0</v>
      </c>
      <c r="CC279" s="78">
        <f t="shared" si="216"/>
        <v>0</v>
      </c>
      <c r="CD279" s="78">
        <f t="shared" si="217"/>
        <v>0</v>
      </c>
      <c r="CE279" s="78">
        <f t="shared" si="218"/>
        <v>0</v>
      </c>
      <c r="CF279" s="78">
        <f t="shared" si="219"/>
        <v>0</v>
      </c>
      <c r="CG279" s="78"/>
      <c r="CH279" s="92">
        <f t="shared" si="220"/>
        <v>0</v>
      </c>
      <c r="CI279" s="93">
        <f t="shared" si="221"/>
        <v>0</v>
      </c>
      <c r="CJ279" s="94">
        <f t="shared" si="222"/>
        <v>0</v>
      </c>
      <c r="CL279" s="78">
        <f t="shared" si="223"/>
        <v>0</v>
      </c>
      <c r="CM279" s="78">
        <f t="shared" si="224"/>
        <v>0</v>
      </c>
      <c r="CN279" s="78">
        <f t="shared" si="225"/>
        <v>0</v>
      </c>
      <c r="CO279" s="78">
        <f t="shared" si="226"/>
        <v>0</v>
      </c>
    </row>
    <row r="280" spans="1:93" ht="13.5" thickBot="1">
      <c r="A280" s="95"/>
      <c r="B280" s="96"/>
      <c r="C280" s="97"/>
      <c r="D280" s="98"/>
      <c r="E280" s="99"/>
      <c r="F280" s="100"/>
      <c r="G280" s="100"/>
      <c r="H280" s="100"/>
      <c r="I280" s="100"/>
      <c r="J280" s="100"/>
      <c r="K280" s="101" t="str">
        <f t="shared" si="227"/>
        <v/>
      </c>
      <c r="L280" s="102"/>
      <c r="M280" s="103"/>
      <c r="N280" s="104"/>
      <c r="O280" s="105"/>
      <c r="P280" s="106">
        <f t="shared" si="228"/>
        <v>0</v>
      </c>
      <c r="Q280" s="106">
        <f t="shared" si="229"/>
        <v>0</v>
      </c>
      <c r="R280" s="106">
        <f t="shared" si="230"/>
        <v>0</v>
      </c>
      <c r="S280" s="106">
        <f t="shared" si="231"/>
        <v>0</v>
      </c>
      <c r="T280" s="107">
        <f t="shared" si="232"/>
        <v>0</v>
      </c>
      <c r="U280" s="78"/>
      <c r="AG280" s="108"/>
      <c r="AI280" s="78">
        <f t="shared" si="176"/>
        <v>0</v>
      </c>
      <c r="AJ280" s="78">
        <f t="shared" si="177"/>
        <v>0</v>
      </c>
      <c r="AK280" s="78">
        <f t="shared" si="178"/>
        <v>0</v>
      </c>
      <c r="AL280" s="78">
        <f t="shared" si="179"/>
        <v>0</v>
      </c>
      <c r="AM280" s="78">
        <f t="shared" si="180"/>
        <v>0</v>
      </c>
      <c r="AN280" s="78">
        <f t="shared" si="181"/>
        <v>0</v>
      </c>
      <c r="AO280" s="78">
        <f t="shared" si="182"/>
        <v>0</v>
      </c>
      <c r="AP280" s="78">
        <f t="shared" si="183"/>
        <v>0</v>
      </c>
      <c r="AQ280" s="78">
        <f t="shared" si="184"/>
        <v>0</v>
      </c>
      <c r="AR280" s="78">
        <f t="shared" si="185"/>
        <v>0</v>
      </c>
      <c r="AS280" s="90">
        <f t="shared" si="186"/>
        <v>0</v>
      </c>
      <c r="AT280" s="91">
        <f t="shared" si="187"/>
        <v>0</v>
      </c>
      <c r="AV280" s="91">
        <f t="shared" si="188"/>
        <v>0</v>
      </c>
      <c r="AW280" s="78">
        <f t="shared" si="189"/>
        <v>0</v>
      </c>
      <c r="AX280" s="78">
        <f t="shared" si="190"/>
        <v>0</v>
      </c>
      <c r="AY280" s="78"/>
      <c r="AZ280" s="78">
        <f t="shared" si="191"/>
        <v>0</v>
      </c>
      <c r="BA280" s="78">
        <f t="shared" si="192"/>
        <v>0</v>
      </c>
      <c r="BB280" s="78">
        <f t="shared" si="193"/>
        <v>0</v>
      </c>
      <c r="BC280" s="78">
        <f t="shared" si="194"/>
        <v>0</v>
      </c>
      <c r="BD280" s="78">
        <f t="shared" si="195"/>
        <v>0</v>
      </c>
      <c r="BE280" s="78">
        <f t="shared" si="196"/>
        <v>0</v>
      </c>
      <c r="BF280" s="78">
        <f t="shared" si="197"/>
        <v>0</v>
      </c>
      <c r="BG280" s="78">
        <f t="shared" si="198"/>
        <v>0</v>
      </c>
      <c r="BH280" s="78">
        <f t="shared" si="199"/>
        <v>0</v>
      </c>
      <c r="BI280" s="78"/>
      <c r="BJ280" s="91">
        <f t="shared" si="200"/>
        <v>0</v>
      </c>
      <c r="BK280" s="91">
        <f t="shared" si="201"/>
        <v>0</v>
      </c>
      <c r="BL280" s="78"/>
      <c r="BM280" s="78">
        <f t="shared" si="202"/>
        <v>0</v>
      </c>
      <c r="BN280" s="78">
        <f t="shared" si="203"/>
        <v>0</v>
      </c>
      <c r="BO280" s="78">
        <f t="shared" si="204"/>
        <v>0</v>
      </c>
      <c r="BP280" s="78">
        <f t="shared" si="205"/>
        <v>0</v>
      </c>
      <c r="BQ280" s="78">
        <f t="shared" si="206"/>
        <v>0</v>
      </c>
      <c r="BR280" s="78">
        <f t="shared" si="207"/>
        <v>0</v>
      </c>
      <c r="BS280" s="78">
        <f t="shared" si="208"/>
        <v>0</v>
      </c>
      <c r="BT280" s="78">
        <f t="shared" si="209"/>
        <v>0</v>
      </c>
      <c r="BU280" s="91">
        <f t="shared" si="210"/>
        <v>0</v>
      </c>
      <c r="BV280" s="91">
        <f t="shared" si="211"/>
        <v>0</v>
      </c>
      <c r="BW280" s="78"/>
      <c r="BX280" s="78"/>
      <c r="BY280" s="78">
        <f t="shared" si="212"/>
        <v>0</v>
      </c>
      <c r="BZ280" s="78">
        <f t="shared" si="213"/>
        <v>0</v>
      </c>
      <c r="CA280" s="78">
        <f t="shared" si="214"/>
        <v>0</v>
      </c>
      <c r="CB280" s="78">
        <f t="shared" si="215"/>
        <v>0</v>
      </c>
      <c r="CC280" s="78">
        <f t="shared" si="216"/>
        <v>0</v>
      </c>
      <c r="CD280" s="78">
        <f t="shared" si="217"/>
        <v>0</v>
      </c>
      <c r="CE280" s="78">
        <f t="shared" si="218"/>
        <v>0</v>
      </c>
      <c r="CF280" s="78">
        <f t="shared" si="219"/>
        <v>0</v>
      </c>
      <c r="CG280" s="78"/>
      <c r="CH280" s="92">
        <f t="shared" si="220"/>
        <v>0</v>
      </c>
      <c r="CI280" s="93">
        <f t="shared" si="221"/>
        <v>0</v>
      </c>
      <c r="CJ280" s="94">
        <f t="shared" si="222"/>
        <v>0</v>
      </c>
      <c r="CL280" s="78">
        <f t="shared" si="223"/>
        <v>0</v>
      </c>
      <c r="CM280" s="78">
        <f t="shared" si="224"/>
        <v>0</v>
      </c>
      <c r="CN280" s="78">
        <f t="shared" si="225"/>
        <v>0</v>
      </c>
      <c r="CO280" s="78">
        <f t="shared" si="226"/>
        <v>0</v>
      </c>
    </row>
    <row r="281" spans="1:93" ht="13.5" thickBot="1">
      <c r="A281" s="95"/>
      <c r="B281" s="96"/>
      <c r="C281" s="97"/>
      <c r="D281" s="98"/>
      <c r="E281" s="99"/>
      <c r="F281" s="100"/>
      <c r="G281" s="100"/>
      <c r="H281" s="100"/>
      <c r="I281" s="100"/>
      <c r="J281" s="100"/>
      <c r="K281" s="101" t="str">
        <f t="shared" si="227"/>
        <v/>
      </c>
      <c r="L281" s="102"/>
      <c r="M281" s="103"/>
      <c r="N281" s="104"/>
      <c r="O281" s="105"/>
      <c r="P281" s="106">
        <f t="shared" si="228"/>
        <v>0</v>
      </c>
      <c r="Q281" s="106">
        <f t="shared" si="229"/>
        <v>0</v>
      </c>
      <c r="R281" s="106">
        <f t="shared" si="230"/>
        <v>0</v>
      </c>
      <c r="S281" s="106">
        <f t="shared" si="231"/>
        <v>0</v>
      </c>
      <c r="T281" s="107">
        <f t="shared" si="232"/>
        <v>0</v>
      </c>
      <c r="U281" s="78"/>
      <c r="AG281" s="108"/>
      <c r="AI281" s="78">
        <f t="shared" si="176"/>
        <v>0</v>
      </c>
      <c r="AJ281" s="78">
        <f t="shared" si="177"/>
        <v>0</v>
      </c>
      <c r="AK281" s="78">
        <f t="shared" si="178"/>
        <v>0</v>
      </c>
      <c r="AL281" s="78">
        <f t="shared" si="179"/>
        <v>0</v>
      </c>
      <c r="AM281" s="78">
        <f t="shared" si="180"/>
        <v>0</v>
      </c>
      <c r="AN281" s="78">
        <f t="shared" si="181"/>
        <v>0</v>
      </c>
      <c r="AO281" s="78">
        <f t="shared" si="182"/>
        <v>0</v>
      </c>
      <c r="AP281" s="78">
        <f t="shared" si="183"/>
        <v>0</v>
      </c>
      <c r="AQ281" s="78">
        <f t="shared" si="184"/>
        <v>0</v>
      </c>
      <c r="AR281" s="78">
        <f t="shared" si="185"/>
        <v>0</v>
      </c>
      <c r="AS281" s="90">
        <f t="shared" si="186"/>
        <v>0</v>
      </c>
      <c r="AT281" s="91">
        <f t="shared" si="187"/>
        <v>0</v>
      </c>
      <c r="AV281" s="91">
        <f t="shared" si="188"/>
        <v>0</v>
      </c>
      <c r="AW281" s="78">
        <f t="shared" si="189"/>
        <v>0</v>
      </c>
      <c r="AX281" s="78">
        <f t="shared" si="190"/>
        <v>0</v>
      </c>
      <c r="AY281" s="78"/>
      <c r="AZ281" s="78">
        <f t="shared" si="191"/>
        <v>0</v>
      </c>
      <c r="BA281" s="78">
        <f t="shared" si="192"/>
        <v>0</v>
      </c>
      <c r="BB281" s="78">
        <f t="shared" si="193"/>
        <v>0</v>
      </c>
      <c r="BC281" s="78">
        <f t="shared" si="194"/>
        <v>0</v>
      </c>
      <c r="BD281" s="78">
        <f t="shared" si="195"/>
        <v>0</v>
      </c>
      <c r="BE281" s="78">
        <f t="shared" si="196"/>
        <v>0</v>
      </c>
      <c r="BF281" s="78">
        <f t="shared" si="197"/>
        <v>0</v>
      </c>
      <c r="BG281" s="78">
        <f t="shared" si="198"/>
        <v>0</v>
      </c>
      <c r="BH281" s="78">
        <f t="shared" si="199"/>
        <v>0</v>
      </c>
      <c r="BI281" s="78"/>
      <c r="BJ281" s="91">
        <f t="shared" si="200"/>
        <v>0</v>
      </c>
      <c r="BK281" s="91">
        <f t="shared" si="201"/>
        <v>0</v>
      </c>
      <c r="BL281" s="78"/>
      <c r="BM281" s="78">
        <f t="shared" si="202"/>
        <v>0</v>
      </c>
      <c r="BN281" s="78">
        <f t="shared" si="203"/>
        <v>0</v>
      </c>
      <c r="BO281" s="78">
        <f t="shared" si="204"/>
        <v>0</v>
      </c>
      <c r="BP281" s="78">
        <f t="shared" si="205"/>
        <v>0</v>
      </c>
      <c r="BQ281" s="78">
        <f t="shared" si="206"/>
        <v>0</v>
      </c>
      <c r="BR281" s="78">
        <f t="shared" si="207"/>
        <v>0</v>
      </c>
      <c r="BS281" s="78">
        <f t="shared" si="208"/>
        <v>0</v>
      </c>
      <c r="BT281" s="78">
        <f t="shared" si="209"/>
        <v>0</v>
      </c>
      <c r="BU281" s="91">
        <f t="shared" si="210"/>
        <v>0</v>
      </c>
      <c r="BV281" s="91">
        <f t="shared" si="211"/>
        <v>0</v>
      </c>
      <c r="BW281" s="78"/>
      <c r="BX281" s="78"/>
      <c r="BY281" s="78">
        <f t="shared" si="212"/>
        <v>0</v>
      </c>
      <c r="BZ281" s="78">
        <f t="shared" si="213"/>
        <v>0</v>
      </c>
      <c r="CA281" s="78">
        <f t="shared" si="214"/>
        <v>0</v>
      </c>
      <c r="CB281" s="78">
        <f t="shared" si="215"/>
        <v>0</v>
      </c>
      <c r="CC281" s="78">
        <f t="shared" si="216"/>
        <v>0</v>
      </c>
      <c r="CD281" s="78">
        <f t="shared" si="217"/>
        <v>0</v>
      </c>
      <c r="CE281" s="78">
        <f t="shared" si="218"/>
        <v>0</v>
      </c>
      <c r="CF281" s="78">
        <f t="shared" si="219"/>
        <v>0</v>
      </c>
      <c r="CG281" s="78"/>
      <c r="CH281" s="92">
        <f t="shared" si="220"/>
        <v>0</v>
      </c>
      <c r="CI281" s="93">
        <f t="shared" si="221"/>
        <v>0</v>
      </c>
      <c r="CJ281" s="94">
        <f t="shared" si="222"/>
        <v>0</v>
      </c>
      <c r="CL281" s="78">
        <f t="shared" si="223"/>
        <v>0</v>
      </c>
      <c r="CM281" s="78">
        <f t="shared" si="224"/>
        <v>0</v>
      </c>
      <c r="CN281" s="78">
        <f t="shared" si="225"/>
        <v>0</v>
      </c>
      <c r="CO281" s="78">
        <f t="shared" si="226"/>
        <v>0</v>
      </c>
    </row>
    <row r="282" spans="1:93" ht="13.5" thickBot="1">
      <c r="A282" s="95"/>
      <c r="B282" s="96"/>
      <c r="C282" s="97"/>
      <c r="D282" s="98"/>
      <c r="E282" s="99"/>
      <c r="F282" s="100"/>
      <c r="G282" s="100"/>
      <c r="H282" s="100"/>
      <c r="I282" s="100"/>
      <c r="J282" s="100"/>
      <c r="K282" s="101" t="str">
        <f t="shared" si="227"/>
        <v/>
      </c>
      <c r="L282" s="102"/>
      <c r="M282" s="103"/>
      <c r="N282" s="104"/>
      <c r="O282" s="105"/>
      <c r="P282" s="106">
        <f t="shared" si="228"/>
        <v>0</v>
      </c>
      <c r="Q282" s="106">
        <f t="shared" si="229"/>
        <v>0</v>
      </c>
      <c r="R282" s="106">
        <f t="shared" si="230"/>
        <v>0</v>
      </c>
      <c r="S282" s="106">
        <f t="shared" si="231"/>
        <v>0</v>
      </c>
      <c r="T282" s="107">
        <f t="shared" si="232"/>
        <v>0</v>
      </c>
      <c r="U282" s="78"/>
      <c r="AG282" s="108"/>
      <c r="AI282" s="78">
        <f t="shared" si="176"/>
        <v>0</v>
      </c>
      <c r="AJ282" s="78">
        <f t="shared" si="177"/>
        <v>0</v>
      </c>
      <c r="AK282" s="78">
        <f t="shared" si="178"/>
        <v>0</v>
      </c>
      <c r="AL282" s="78">
        <f t="shared" si="179"/>
        <v>0</v>
      </c>
      <c r="AM282" s="78">
        <f t="shared" si="180"/>
        <v>0</v>
      </c>
      <c r="AN282" s="78">
        <f t="shared" si="181"/>
        <v>0</v>
      </c>
      <c r="AO282" s="78">
        <f t="shared" si="182"/>
        <v>0</v>
      </c>
      <c r="AP282" s="78">
        <f t="shared" si="183"/>
        <v>0</v>
      </c>
      <c r="AQ282" s="78">
        <f t="shared" si="184"/>
        <v>0</v>
      </c>
      <c r="AR282" s="78">
        <f t="shared" si="185"/>
        <v>0</v>
      </c>
      <c r="AS282" s="90">
        <f t="shared" si="186"/>
        <v>0</v>
      </c>
      <c r="AT282" s="91">
        <f t="shared" si="187"/>
        <v>0</v>
      </c>
      <c r="AV282" s="91">
        <f t="shared" si="188"/>
        <v>0</v>
      </c>
      <c r="AW282" s="78">
        <f t="shared" si="189"/>
        <v>0</v>
      </c>
      <c r="AX282" s="78">
        <f t="shared" si="190"/>
        <v>0</v>
      </c>
      <c r="AY282" s="78"/>
      <c r="AZ282" s="78">
        <f t="shared" si="191"/>
        <v>0</v>
      </c>
      <c r="BA282" s="78">
        <f t="shared" si="192"/>
        <v>0</v>
      </c>
      <c r="BB282" s="78">
        <f t="shared" si="193"/>
        <v>0</v>
      </c>
      <c r="BC282" s="78">
        <f t="shared" si="194"/>
        <v>0</v>
      </c>
      <c r="BD282" s="78">
        <f t="shared" si="195"/>
        <v>0</v>
      </c>
      <c r="BE282" s="78">
        <f t="shared" si="196"/>
        <v>0</v>
      </c>
      <c r="BF282" s="78">
        <f t="shared" si="197"/>
        <v>0</v>
      </c>
      <c r="BG282" s="78">
        <f t="shared" si="198"/>
        <v>0</v>
      </c>
      <c r="BH282" s="78">
        <f t="shared" si="199"/>
        <v>0</v>
      </c>
      <c r="BI282" s="78"/>
      <c r="BJ282" s="91">
        <f t="shared" si="200"/>
        <v>0</v>
      </c>
      <c r="BK282" s="91">
        <f t="shared" si="201"/>
        <v>0</v>
      </c>
      <c r="BL282" s="78"/>
      <c r="BM282" s="78">
        <f t="shared" si="202"/>
        <v>0</v>
      </c>
      <c r="BN282" s="78">
        <f t="shared" si="203"/>
        <v>0</v>
      </c>
      <c r="BO282" s="78">
        <f t="shared" si="204"/>
        <v>0</v>
      </c>
      <c r="BP282" s="78">
        <f t="shared" si="205"/>
        <v>0</v>
      </c>
      <c r="BQ282" s="78">
        <f t="shared" si="206"/>
        <v>0</v>
      </c>
      <c r="BR282" s="78">
        <f t="shared" si="207"/>
        <v>0</v>
      </c>
      <c r="BS282" s="78">
        <f t="shared" si="208"/>
        <v>0</v>
      </c>
      <c r="BT282" s="78">
        <f t="shared" si="209"/>
        <v>0</v>
      </c>
      <c r="BU282" s="91">
        <f t="shared" si="210"/>
        <v>0</v>
      </c>
      <c r="BV282" s="91">
        <f t="shared" si="211"/>
        <v>0</v>
      </c>
      <c r="BW282" s="78"/>
      <c r="BX282" s="78"/>
      <c r="BY282" s="78">
        <f t="shared" si="212"/>
        <v>0</v>
      </c>
      <c r="BZ282" s="78">
        <f t="shared" si="213"/>
        <v>0</v>
      </c>
      <c r="CA282" s="78">
        <f t="shared" si="214"/>
        <v>0</v>
      </c>
      <c r="CB282" s="78">
        <f t="shared" si="215"/>
        <v>0</v>
      </c>
      <c r="CC282" s="78">
        <f t="shared" si="216"/>
        <v>0</v>
      </c>
      <c r="CD282" s="78">
        <f t="shared" si="217"/>
        <v>0</v>
      </c>
      <c r="CE282" s="78">
        <f t="shared" si="218"/>
        <v>0</v>
      </c>
      <c r="CF282" s="78">
        <f t="shared" si="219"/>
        <v>0</v>
      </c>
      <c r="CG282" s="78"/>
      <c r="CH282" s="92">
        <f t="shared" si="220"/>
        <v>0</v>
      </c>
      <c r="CI282" s="93">
        <f t="shared" si="221"/>
        <v>0</v>
      </c>
      <c r="CJ282" s="94">
        <f t="shared" si="222"/>
        <v>0</v>
      </c>
      <c r="CL282" s="78">
        <f t="shared" si="223"/>
        <v>0</v>
      </c>
      <c r="CM282" s="78">
        <f t="shared" si="224"/>
        <v>0</v>
      </c>
      <c r="CN282" s="78">
        <f t="shared" si="225"/>
        <v>0</v>
      </c>
      <c r="CO282" s="78">
        <f t="shared" si="226"/>
        <v>0</v>
      </c>
    </row>
    <row r="283" spans="1:93" ht="13.5" thickBot="1">
      <c r="A283" s="95"/>
      <c r="B283" s="96"/>
      <c r="C283" s="97"/>
      <c r="D283" s="98"/>
      <c r="E283" s="99"/>
      <c r="F283" s="100"/>
      <c r="G283" s="100"/>
      <c r="H283" s="100"/>
      <c r="I283" s="100"/>
      <c r="J283" s="100"/>
      <c r="K283" s="101" t="str">
        <f t="shared" si="227"/>
        <v/>
      </c>
      <c r="L283" s="102"/>
      <c r="M283" s="103"/>
      <c r="N283" s="104"/>
      <c r="O283" s="105"/>
      <c r="P283" s="106">
        <f t="shared" si="228"/>
        <v>0</v>
      </c>
      <c r="Q283" s="106">
        <f t="shared" si="229"/>
        <v>0</v>
      </c>
      <c r="R283" s="106">
        <f t="shared" si="230"/>
        <v>0</v>
      </c>
      <c r="S283" s="106">
        <f t="shared" si="231"/>
        <v>0</v>
      </c>
      <c r="T283" s="107">
        <f t="shared" si="232"/>
        <v>0</v>
      </c>
      <c r="U283" s="78"/>
      <c r="AG283" s="108"/>
      <c r="AI283" s="78">
        <f t="shared" si="176"/>
        <v>0</v>
      </c>
      <c r="AJ283" s="78">
        <f t="shared" si="177"/>
        <v>0</v>
      </c>
      <c r="AK283" s="78">
        <f t="shared" si="178"/>
        <v>0</v>
      </c>
      <c r="AL283" s="78">
        <f t="shared" si="179"/>
        <v>0</v>
      </c>
      <c r="AM283" s="78">
        <f t="shared" si="180"/>
        <v>0</v>
      </c>
      <c r="AN283" s="78">
        <f t="shared" si="181"/>
        <v>0</v>
      </c>
      <c r="AO283" s="78">
        <f t="shared" si="182"/>
        <v>0</v>
      </c>
      <c r="AP283" s="78">
        <f t="shared" si="183"/>
        <v>0</v>
      </c>
      <c r="AQ283" s="78">
        <f t="shared" si="184"/>
        <v>0</v>
      </c>
      <c r="AR283" s="78">
        <f t="shared" si="185"/>
        <v>0</v>
      </c>
      <c r="AS283" s="90">
        <f t="shared" si="186"/>
        <v>0</v>
      </c>
      <c r="AT283" s="91">
        <f t="shared" si="187"/>
        <v>0</v>
      </c>
      <c r="AV283" s="91">
        <f t="shared" si="188"/>
        <v>0</v>
      </c>
      <c r="AW283" s="78">
        <f t="shared" si="189"/>
        <v>0</v>
      </c>
      <c r="AX283" s="78">
        <f t="shared" si="190"/>
        <v>0</v>
      </c>
      <c r="AY283" s="78"/>
      <c r="AZ283" s="78">
        <f t="shared" si="191"/>
        <v>0</v>
      </c>
      <c r="BA283" s="78">
        <f t="shared" si="192"/>
        <v>0</v>
      </c>
      <c r="BB283" s="78">
        <f t="shared" si="193"/>
        <v>0</v>
      </c>
      <c r="BC283" s="78">
        <f t="shared" si="194"/>
        <v>0</v>
      </c>
      <c r="BD283" s="78">
        <f t="shared" si="195"/>
        <v>0</v>
      </c>
      <c r="BE283" s="78">
        <f t="shared" si="196"/>
        <v>0</v>
      </c>
      <c r="BF283" s="78">
        <f t="shared" si="197"/>
        <v>0</v>
      </c>
      <c r="BG283" s="78">
        <f t="shared" si="198"/>
        <v>0</v>
      </c>
      <c r="BH283" s="78">
        <f t="shared" si="199"/>
        <v>0</v>
      </c>
      <c r="BI283" s="78"/>
      <c r="BJ283" s="91">
        <f t="shared" si="200"/>
        <v>0</v>
      </c>
      <c r="BK283" s="91">
        <f t="shared" si="201"/>
        <v>0</v>
      </c>
      <c r="BL283" s="78"/>
      <c r="BM283" s="78">
        <f t="shared" si="202"/>
        <v>0</v>
      </c>
      <c r="BN283" s="78">
        <f t="shared" si="203"/>
        <v>0</v>
      </c>
      <c r="BO283" s="78">
        <f t="shared" si="204"/>
        <v>0</v>
      </c>
      <c r="BP283" s="78">
        <f t="shared" si="205"/>
        <v>0</v>
      </c>
      <c r="BQ283" s="78">
        <f t="shared" si="206"/>
        <v>0</v>
      </c>
      <c r="BR283" s="78">
        <f t="shared" si="207"/>
        <v>0</v>
      </c>
      <c r="BS283" s="78">
        <f t="shared" si="208"/>
        <v>0</v>
      </c>
      <c r="BT283" s="78">
        <f t="shared" si="209"/>
        <v>0</v>
      </c>
      <c r="BU283" s="91">
        <f t="shared" si="210"/>
        <v>0</v>
      </c>
      <c r="BV283" s="91">
        <f t="shared" si="211"/>
        <v>0</v>
      </c>
      <c r="BW283" s="78"/>
      <c r="BX283" s="78"/>
      <c r="BY283" s="78">
        <f t="shared" si="212"/>
        <v>0</v>
      </c>
      <c r="BZ283" s="78">
        <f t="shared" si="213"/>
        <v>0</v>
      </c>
      <c r="CA283" s="78">
        <f t="shared" si="214"/>
        <v>0</v>
      </c>
      <c r="CB283" s="78">
        <f t="shared" si="215"/>
        <v>0</v>
      </c>
      <c r="CC283" s="78">
        <f t="shared" si="216"/>
        <v>0</v>
      </c>
      <c r="CD283" s="78">
        <f t="shared" si="217"/>
        <v>0</v>
      </c>
      <c r="CE283" s="78">
        <f t="shared" si="218"/>
        <v>0</v>
      </c>
      <c r="CF283" s="78">
        <f t="shared" si="219"/>
        <v>0</v>
      </c>
      <c r="CG283" s="78"/>
      <c r="CH283" s="92">
        <f t="shared" si="220"/>
        <v>0</v>
      </c>
      <c r="CI283" s="93">
        <f t="shared" si="221"/>
        <v>0</v>
      </c>
      <c r="CJ283" s="94">
        <f t="shared" si="222"/>
        <v>0</v>
      </c>
      <c r="CL283" s="78">
        <f t="shared" si="223"/>
        <v>0</v>
      </c>
      <c r="CM283" s="78">
        <f t="shared" si="224"/>
        <v>0</v>
      </c>
      <c r="CN283" s="78">
        <f t="shared" si="225"/>
        <v>0</v>
      </c>
      <c r="CO283" s="78">
        <f t="shared" si="226"/>
        <v>0</v>
      </c>
    </row>
    <row r="284" spans="1:93" ht="13.5" thickBot="1">
      <c r="A284" s="95"/>
      <c r="B284" s="96"/>
      <c r="C284" s="97"/>
      <c r="D284" s="98"/>
      <c r="E284" s="99"/>
      <c r="F284" s="100"/>
      <c r="G284" s="100"/>
      <c r="H284" s="100"/>
      <c r="I284" s="100"/>
      <c r="J284" s="100"/>
      <c r="K284" s="101" t="str">
        <f t="shared" si="227"/>
        <v/>
      </c>
      <c r="L284" s="102"/>
      <c r="M284" s="103"/>
      <c r="N284" s="104"/>
      <c r="O284" s="105"/>
      <c r="P284" s="106">
        <f t="shared" si="228"/>
        <v>0</v>
      </c>
      <c r="Q284" s="106">
        <f t="shared" si="229"/>
        <v>0</v>
      </c>
      <c r="R284" s="106">
        <f t="shared" si="230"/>
        <v>0</v>
      </c>
      <c r="S284" s="106">
        <f t="shared" si="231"/>
        <v>0</v>
      </c>
      <c r="T284" s="107">
        <f t="shared" si="232"/>
        <v>0</v>
      </c>
      <c r="U284" s="78"/>
      <c r="AG284" s="108"/>
      <c r="AI284" s="78">
        <f t="shared" si="176"/>
        <v>0</v>
      </c>
      <c r="AJ284" s="78">
        <f t="shared" si="177"/>
        <v>0</v>
      </c>
      <c r="AK284" s="78">
        <f t="shared" si="178"/>
        <v>0</v>
      </c>
      <c r="AL284" s="78">
        <f t="shared" si="179"/>
        <v>0</v>
      </c>
      <c r="AM284" s="78">
        <f t="shared" si="180"/>
        <v>0</v>
      </c>
      <c r="AN284" s="78">
        <f t="shared" si="181"/>
        <v>0</v>
      </c>
      <c r="AO284" s="78">
        <f t="shared" si="182"/>
        <v>0</v>
      </c>
      <c r="AP284" s="78">
        <f t="shared" si="183"/>
        <v>0</v>
      </c>
      <c r="AQ284" s="78">
        <f t="shared" si="184"/>
        <v>0</v>
      </c>
      <c r="AR284" s="78">
        <f t="shared" si="185"/>
        <v>0</v>
      </c>
      <c r="AS284" s="90">
        <f t="shared" si="186"/>
        <v>0</v>
      </c>
      <c r="AT284" s="91">
        <f t="shared" si="187"/>
        <v>0</v>
      </c>
      <c r="AV284" s="91">
        <f t="shared" si="188"/>
        <v>0</v>
      </c>
      <c r="AW284" s="78">
        <f t="shared" si="189"/>
        <v>0</v>
      </c>
      <c r="AX284" s="78">
        <f t="shared" si="190"/>
        <v>0</v>
      </c>
      <c r="AY284" s="78"/>
      <c r="AZ284" s="78">
        <f t="shared" si="191"/>
        <v>0</v>
      </c>
      <c r="BA284" s="78">
        <f t="shared" si="192"/>
        <v>0</v>
      </c>
      <c r="BB284" s="78">
        <f t="shared" si="193"/>
        <v>0</v>
      </c>
      <c r="BC284" s="78">
        <f t="shared" si="194"/>
        <v>0</v>
      </c>
      <c r="BD284" s="78">
        <f t="shared" si="195"/>
        <v>0</v>
      </c>
      <c r="BE284" s="78">
        <f t="shared" si="196"/>
        <v>0</v>
      </c>
      <c r="BF284" s="78">
        <f t="shared" si="197"/>
        <v>0</v>
      </c>
      <c r="BG284" s="78">
        <f t="shared" si="198"/>
        <v>0</v>
      </c>
      <c r="BH284" s="78">
        <f t="shared" si="199"/>
        <v>0</v>
      </c>
      <c r="BI284" s="78"/>
      <c r="BJ284" s="91">
        <f t="shared" si="200"/>
        <v>0</v>
      </c>
      <c r="BK284" s="91">
        <f t="shared" si="201"/>
        <v>0</v>
      </c>
      <c r="BL284" s="78"/>
      <c r="BM284" s="78">
        <f t="shared" si="202"/>
        <v>0</v>
      </c>
      <c r="BN284" s="78">
        <f t="shared" si="203"/>
        <v>0</v>
      </c>
      <c r="BO284" s="78">
        <f t="shared" si="204"/>
        <v>0</v>
      </c>
      <c r="BP284" s="78">
        <f t="shared" si="205"/>
        <v>0</v>
      </c>
      <c r="BQ284" s="78">
        <f t="shared" si="206"/>
        <v>0</v>
      </c>
      <c r="BR284" s="78">
        <f t="shared" si="207"/>
        <v>0</v>
      </c>
      <c r="BS284" s="78">
        <f t="shared" si="208"/>
        <v>0</v>
      </c>
      <c r="BT284" s="78">
        <f t="shared" si="209"/>
        <v>0</v>
      </c>
      <c r="BU284" s="91">
        <f t="shared" si="210"/>
        <v>0</v>
      </c>
      <c r="BV284" s="91">
        <f t="shared" si="211"/>
        <v>0</v>
      </c>
      <c r="BW284" s="78"/>
      <c r="BX284" s="78"/>
      <c r="BY284" s="78">
        <f t="shared" si="212"/>
        <v>0</v>
      </c>
      <c r="BZ284" s="78">
        <f t="shared" si="213"/>
        <v>0</v>
      </c>
      <c r="CA284" s="78">
        <f t="shared" si="214"/>
        <v>0</v>
      </c>
      <c r="CB284" s="78">
        <f t="shared" si="215"/>
        <v>0</v>
      </c>
      <c r="CC284" s="78">
        <f t="shared" si="216"/>
        <v>0</v>
      </c>
      <c r="CD284" s="78">
        <f t="shared" si="217"/>
        <v>0</v>
      </c>
      <c r="CE284" s="78">
        <f t="shared" si="218"/>
        <v>0</v>
      </c>
      <c r="CF284" s="78">
        <f t="shared" si="219"/>
        <v>0</v>
      </c>
      <c r="CG284" s="78"/>
      <c r="CH284" s="92">
        <f t="shared" si="220"/>
        <v>0</v>
      </c>
      <c r="CI284" s="93">
        <f t="shared" si="221"/>
        <v>0</v>
      </c>
      <c r="CJ284" s="94">
        <f t="shared" si="222"/>
        <v>0</v>
      </c>
      <c r="CL284" s="78">
        <f t="shared" si="223"/>
        <v>0</v>
      </c>
      <c r="CM284" s="78">
        <f t="shared" si="224"/>
        <v>0</v>
      </c>
      <c r="CN284" s="78">
        <f t="shared" si="225"/>
        <v>0</v>
      </c>
      <c r="CO284" s="78">
        <f t="shared" si="226"/>
        <v>0</v>
      </c>
    </row>
    <row r="285" spans="1:93" ht="13.5" thickBot="1">
      <c r="A285" s="95"/>
      <c r="B285" s="96"/>
      <c r="C285" s="97"/>
      <c r="D285" s="98"/>
      <c r="E285" s="99"/>
      <c r="F285" s="100"/>
      <c r="G285" s="100"/>
      <c r="H285" s="100"/>
      <c r="I285" s="100"/>
      <c r="J285" s="100"/>
      <c r="K285" s="101" t="str">
        <f t="shared" si="227"/>
        <v/>
      </c>
      <c r="L285" s="102"/>
      <c r="M285" s="103"/>
      <c r="N285" s="104"/>
      <c r="O285" s="105"/>
      <c r="P285" s="106">
        <f t="shared" si="228"/>
        <v>0</v>
      </c>
      <c r="Q285" s="106">
        <f t="shared" si="229"/>
        <v>0</v>
      </c>
      <c r="R285" s="106">
        <f t="shared" si="230"/>
        <v>0</v>
      </c>
      <c r="S285" s="106">
        <f t="shared" si="231"/>
        <v>0</v>
      </c>
      <c r="T285" s="107">
        <f t="shared" si="232"/>
        <v>0</v>
      </c>
      <c r="U285" s="78"/>
      <c r="AG285" s="108"/>
      <c r="AI285" s="78">
        <f t="shared" si="176"/>
        <v>0</v>
      </c>
      <c r="AJ285" s="78">
        <f t="shared" si="177"/>
        <v>0</v>
      </c>
      <c r="AK285" s="78">
        <f t="shared" si="178"/>
        <v>0</v>
      </c>
      <c r="AL285" s="78">
        <f t="shared" si="179"/>
        <v>0</v>
      </c>
      <c r="AM285" s="78">
        <f t="shared" si="180"/>
        <v>0</v>
      </c>
      <c r="AN285" s="78">
        <f t="shared" si="181"/>
        <v>0</v>
      </c>
      <c r="AO285" s="78">
        <f t="shared" si="182"/>
        <v>0</v>
      </c>
      <c r="AP285" s="78">
        <f t="shared" si="183"/>
        <v>0</v>
      </c>
      <c r="AQ285" s="78">
        <f t="shared" si="184"/>
        <v>0</v>
      </c>
      <c r="AR285" s="78">
        <f t="shared" si="185"/>
        <v>0</v>
      </c>
      <c r="AS285" s="90">
        <f t="shared" si="186"/>
        <v>0</v>
      </c>
      <c r="AT285" s="91">
        <f t="shared" si="187"/>
        <v>0</v>
      </c>
      <c r="AV285" s="91">
        <f t="shared" si="188"/>
        <v>0</v>
      </c>
      <c r="AW285" s="78">
        <f t="shared" si="189"/>
        <v>0</v>
      </c>
      <c r="AX285" s="78">
        <f t="shared" si="190"/>
        <v>0</v>
      </c>
      <c r="AY285" s="78"/>
      <c r="AZ285" s="78">
        <f t="shared" si="191"/>
        <v>0</v>
      </c>
      <c r="BA285" s="78">
        <f t="shared" si="192"/>
        <v>0</v>
      </c>
      <c r="BB285" s="78">
        <f t="shared" si="193"/>
        <v>0</v>
      </c>
      <c r="BC285" s="78">
        <f t="shared" si="194"/>
        <v>0</v>
      </c>
      <c r="BD285" s="78">
        <f t="shared" si="195"/>
        <v>0</v>
      </c>
      <c r="BE285" s="78">
        <f t="shared" si="196"/>
        <v>0</v>
      </c>
      <c r="BF285" s="78">
        <f t="shared" si="197"/>
        <v>0</v>
      </c>
      <c r="BG285" s="78">
        <f t="shared" si="198"/>
        <v>0</v>
      </c>
      <c r="BH285" s="78">
        <f t="shared" si="199"/>
        <v>0</v>
      </c>
      <c r="BI285" s="78"/>
      <c r="BJ285" s="91">
        <f t="shared" si="200"/>
        <v>0</v>
      </c>
      <c r="BK285" s="91">
        <f t="shared" si="201"/>
        <v>0</v>
      </c>
      <c r="BL285" s="78"/>
      <c r="BM285" s="78">
        <f t="shared" si="202"/>
        <v>0</v>
      </c>
      <c r="BN285" s="78">
        <f t="shared" si="203"/>
        <v>0</v>
      </c>
      <c r="BO285" s="78">
        <f t="shared" si="204"/>
        <v>0</v>
      </c>
      <c r="BP285" s="78">
        <f t="shared" si="205"/>
        <v>0</v>
      </c>
      <c r="BQ285" s="78">
        <f t="shared" si="206"/>
        <v>0</v>
      </c>
      <c r="BR285" s="78">
        <f t="shared" si="207"/>
        <v>0</v>
      </c>
      <c r="BS285" s="78">
        <f t="shared" si="208"/>
        <v>0</v>
      </c>
      <c r="BT285" s="78">
        <f t="shared" si="209"/>
        <v>0</v>
      </c>
      <c r="BU285" s="91">
        <f t="shared" si="210"/>
        <v>0</v>
      </c>
      <c r="BV285" s="91">
        <f t="shared" si="211"/>
        <v>0</v>
      </c>
      <c r="BW285" s="78"/>
      <c r="BX285" s="78"/>
      <c r="BY285" s="78">
        <f t="shared" si="212"/>
        <v>0</v>
      </c>
      <c r="BZ285" s="78">
        <f t="shared" si="213"/>
        <v>0</v>
      </c>
      <c r="CA285" s="78">
        <f t="shared" si="214"/>
        <v>0</v>
      </c>
      <c r="CB285" s="78">
        <f t="shared" si="215"/>
        <v>0</v>
      </c>
      <c r="CC285" s="78">
        <f t="shared" si="216"/>
        <v>0</v>
      </c>
      <c r="CD285" s="78">
        <f t="shared" si="217"/>
        <v>0</v>
      </c>
      <c r="CE285" s="78">
        <f t="shared" si="218"/>
        <v>0</v>
      </c>
      <c r="CF285" s="78">
        <f t="shared" si="219"/>
        <v>0</v>
      </c>
      <c r="CG285" s="78"/>
      <c r="CH285" s="92">
        <f t="shared" si="220"/>
        <v>0</v>
      </c>
      <c r="CI285" s="93">
        <f t="shared" si="221"/>
        <v>0</v>
      </c>
      <c r="CJ285" s="94">
        <f t="shared" si="222"/>
        <v>0</v>
      </c>
      <c r="CL285" s="78">
        <f t="shared" si="223"/>
        <v>0</v>
      </c>
      <c r="CM285" s="78">
        <f t="shared" si="224"/>
        <v>0</v>
      </c>
      <c r="CN285" s="78">
        <f t="shared" si="225"/>
        <v>0</v>
      </c>
      <c r="CO285" s="78">
        <f t="shared" si="226"/>
        <v>0</v>
      </c>
    </row>
    <row r="286" spans="1:93" ht="13.5" thickBot="1">
      <c r="A286" s="95"/>
      <c r="B286" s="96"/>
      <c r="C286" s="97"/>
      <c r="D286" s="98"/>
      <c r="E286" s="99"/>
      <c r="F286" s="100"/>
      <c r="G286" s="100"/>
      <c r="H286" s="100"/>
      <c r="I286" s="100"/>
      <c r="J286" s="100"/>
      <c r="K286" s="101" t="str">
        <f t="shared" si="227"/>
        <v/>
      </c>
      <c r="L286" s="102"/>
      <c r="M286" s="103"/>
      <c r="N286" s="104"/>
      <c r="O286" s="105"/>
      <c r="P286" s="106">
        <f t="shared" si="228"/>
        <v>0</v>
      </c>
      <c r="Q286" s="106">
        <f t="shared" si="229"/>
        <v>0</v>
      </c>
      <c r="R286" s="106">
        <f t="shared" si="230"/>
        <v>0</v>
      </c>
      <c r="S286" s="106">
        <f t="shared" si="231"/>
        <v>0</v>
      </c>
      <c r="T286" s="107">
        <f t="shared" si="232"/>
        <v>0</v>
      </c>
      <c r="U286" s="78"/>
      <c r="AG286" s="108"/>
      <c r="AI286" s="78">
        <f t="shared" si="176"/>
        <v>0</v>
      </c>
      <c r="AJ286" s="78">
        <f t="shared" si="177"/>
        <v>0</v>
      </c>
      <c r="AK286" s="78">
        <f t="shared" si="178"/>
        <v>0</v>
      </c>
      <c r="AL286" s="78">
        <f t="shared" si="179"/>
        <v>0</v>
      </c>
      <c r="AM286" s="78">
        <f t="shared" si="180"/>
        <v>0</v>
      </c>
      <c r="AN286" s="78">
        <f t="shared" si="181"/>
        <v>0</v>
      </c>
      <c r="AO286" s="78">
        <f t="shared" si="182"/>
        <v>0</v>
      </c>
      <c r="AP286" s="78">
        <f t="shared" si="183"/>
        <v>0</v>
      </c>
      <c r="AQ286" s="78">
        <f t="shared" si="184"/>
        <v>0</v>
      </c>
      <c r="AR286" s="78">
        <f t="shared" si="185"/>
        <v>0</v>
      </c>
      <c r="AS286" s="90">
        <f t="shared" si="186"/>
        <v>0</v>
      </c>
      <c r="AT286" s="91">
        <f t="shared" si="187"/>
        <v>0</v>
      </c>
      <c r="AV286" s="91">
        <f t="shared" si="188"/>
        <v>0</v>
      </c>
      <c r="AW286" s="78">
        <f t="shared" si="189"/>
        <v>0</v>
      </c>
      <c r="AX286" s="78">
        <f t="shared" si="190"/>
        <v>0</v>
      </c>
      <c r="AY286" s="78"/>
      <c r="AZ286" s="78">
        <f t="shared" si="191"/>
        <v>0</v>
      </c>
      <c r="BA286" s="78">
        <f t="shared" si="192"/>
        <v>0</v>
      </c>
      <c r="BB286" s="78">
        <f t="shared" si="193"/>
        <v>0</v>
      </c>
      <c r="BC286" s="78">
        <f t="shared" si="194"/>
        <v>0</v>
      </c>
      <c r="BD286" s="78">
        <f t="shared" si="195"/>
        <v>0</v>
      </c>
      <c r="BE286" s="78">
        <f t="shared" si="196"/>
        <v>0</v>
      </c>
      <c r="BF286" s="78">
        <f t="shared" si="197"/>
        <v>0</v>
      </c>
      <c r="BG286" s="78">
        <f t="shared" si="198"/>
        <v>0</v>
      </c>
      <c r="BH286" s="78">
        <f t="shared" si="199"/>
        <v>0</v>
      </c>
      <c r="BI286" s="78"/>
      <c r="BJ286" s="91">
        <f t="shared" si="200"/>
        <v>0</v>
      </c>
      <c r="BK286" s="91">
        <f t="shared" si="201"/>
        <v>0</v>
      </c>
      <c r="BL286" s="78"/>
      <c r="BM286" s="78">
        <f t="shared" si="202"/>
        <v>0</v>
      </c>
      <c r="BN286" s="78">
        <f t="shared" si="203"/>
        <v>0</v>
      </c>
      <c r="BO286" s="78">
        <f t="shared" si="204"/>
        <v>0</v>
      </c>
      <c r="BP286" s="78">
        <f t="shared" si="205"/>
        <v>0</v>
      </c>
      <c r="BQ286" s="78">
        <f t="shared" si="206"/>
        <v>0</v>
      </c>
      <c r="BR286" s="78">
        <f t="shared" si="207"/>
        <v>0</v>
      </c>
      <c r="BS286" s="78">
        <f t="shared" si="208"/>
        <v>0</v>
      </c>
      <c r="BT286" s="78">
        <f t="shared" si="209"/>
        <v>0</v>
      </c>
      <c r="BU286" s="91">
        <f t="shared" si="210"/>
        <v>0</v>
      </c>
      <c r="BV286" s="91">
        <f t="shared" si="211"/>
        <v>0</v>
      </c>
      <c r="BW286" s="78"/>
      <c r="BX286" s="78"/>
      <c r="BY286" s="78">
        <f t="shared" si="212"/>
        <v>0</v>
      </c>
      <c r="BZ286" s="78">
        <f t="shared" si="213"/>
        <v>0</v>
      </c>
      <c r="CA286" s="78">
        <f t="shared" si="214"/>
        <v>0</v>
      </c>
      <c r="CB286" s="78">
        <f t="shared" si="215"/>
        <v>0</v>
      </c>
      <c r="CC286" s="78">
        <f t="shared" si="216"/>
        <v>0</v>
      </c>
      <c r="CD286" s="78">
        <f t="shared" si="217"/>
        <v>0</v>
      </c>
      <c r="CE286" s="78">
        <f t="shared" si="218"/>
        <v>0</v>
      </c>
      <c r="CF286" s="78">
        <f t="shared" si="219"/>
        <v>0</v>
      </c>
      <c r="CG286" s="78"/>
      <c r="CH286" s="92">
        <f t="shared" si="220"/>
        <v>0</v>
      </c>
      <c r="CI286" s="93">
        <f t="shared" si="221"/>
        <v>0</v>
      </c>
      <c r="CJ286" s="94">
        <f t="shared" si="222"/>
        <v>0</v>
      </c>
      <c r="CL286" s="78">
        <f t="shared" si="223"/>
        <v>0</v>
      </c>
      <c r="CM286" s="78">
        <f t="shared" si="224"/>
        <v>0</v>
      </c>
      <c r="CN286" s="78">
        <f t="shared" si="225"/>
        <v>0</v>
      </c>
      <c r="CO286" s="78">
        <f t="shared" si="226"/>
        <v>0</v>
      </c>
    </row>
    <row r="287" spans="1:93" ht="13.5" thickBot="1">
      <c r="A287" s="95"/>
      <c r="B287" s="96"/>
      <c r="C287" s="97"/>
      <c r="D287" s="98"/>
      <c r="E287" s="99"/>
      <c r="F287" s="100"/>
      <c r="G287" s="100"/>
      <c r="H287" s="100"/>
      <c r="I287" s="100"/>
      <c r="J287" s="100"/>
      <c r="K287" s="101" t="str">
        <f t="shared" si="227"/>
        <v/>
      </c>
      <c r="L287" s="102"/>
      <c r="M287" s="103"/>
      <c r="N287" s="104"/>
      <c r="O287" s="105"/>
      <c r="P287" s="106">
        <f t="shared" si="228"/>
        <v>0</v>
      </c>
      <c r="Q287" s="106">
        <f t="shared" si="229"/>
        <v>0</v>
      </c>
      <c r="R287" s="106">
        <f t="shared" si="230"/>
        <v>0</v>
      </c>
      <c r="S287" s="106">
        <f t="shared" si="231"/>
        <v>0</v>
      </c>
      <c r="T287" s="107">
        <f t="shared" si="232"/>
        <v>0</v>
      </c>
      <c r="U287" s="78"/>
      <c r="AG287" s="108"/>
      <c r="AI287" s="78">
        <f t="shared" si="176"/>
        <v>0</v>
      </c>
      <c r="AJ287" s="78">
        <f t="shared" si="177"/>
        <v>0</v>
      </c>
      <c r="AK287" s="78">
        <f t="shared" si="178"/>
        <v>0</v>
      </c>
      <c r="AL287" s="78">
        <f t="shared" si="179"/>
        <v>0</v>
      </c>
      <c r="AM287" s="78">
        <f t="shared" si="180"/>
        <v>0</v>
      </c>
      <c r="AN287" s="78">
        <f t="shared" si="181"/>
        <v>0</v>
      </c>
      <c r="AO287" s="78">
        <f t="shared" si="182"/>
        <v>0</v>
      </c>
      <c r="AP287" s="78">
        <f t="shared" si="183"/>
        <v>0</v>
      </c>
      <c r="AQ287" s="78">
        <f t="shared" si="184"/>
        <v>0</v>
      </c>
      <c r="AR287" s="78">
        <f t="shared" si="185"/>
        <v>0</v>
      </c>
      <c r="AS287" s="90">
        <f t="shared" si="186"/>
        <v>0</v>
      </c>
      <c r="AT287" s="91">
        <f t="shared" si="187"/>
        <v>0</v>
      </c>
      <c r="AV287" s="91">
        <f t="shared" si="188"/>
        <v>0</v>
      </c>
      <c r="AW287" s="78">
        <f t="shared" si="189"/>
        <v>0</v>
      </c>
      <c r="AX287" s="78">
        <f t="shared" si="190"/>
        <v>0</v>
      </c>
      <c r="AY287" s="78"/>
      <c r="AZ287" s="78">
        <f t="shared" si="191"/>
        <v>0</v>
      </c>
      <c r="BA287" s="78">
        <f t="shared" si="192"/>
        <v>0</v>
      </c>
      <c r="BB287" s="78">
        <f t="shared" si="193"/>
        <v>0</v>
      </c>
      <c r="BC287" s="78">
        <f t="shared" si="194"/>
        <v>0</v>
      </c>
      <c r="BD287" s="78">
        <f t="shared" si="195"/>
        <v>0</v>
      </c>
      <c r="BE287" s="78">
        <f t="shared" si="196"/>
        <v>0</v>
      </c>
      <c r="BF287" s="78">
        <f t="shared" si="197"/>
        <v>0</v>
      </c>
      <c r="BG287" s="78">
        <f t="shared" si="198"/>
        <v>0</v>
      </c>
      <c r="BH287" s="78">
        <f t="shared" si="199"/>
        <v>0</v>
      </c>
      <c r="BI287" s="78"/>
      <c r="BJ287" s="91">
        <f t="shared" si="200"/>
        <v>0</v>
      </c>
      <c r="BK287" s="91">
        <f t="shared" si="201"/>
        <v>0</v>
      </c>
      <c r="BL287" s="78"/>
      <c r="BM287" s="78">
        <f t="shared" si="202"/>
        <v>0</v>
      </c>
      <c r="BN287" s="78">
        <f t="shared" si="203"/>
        <v>0</v>
      </c>
      <c r="BO287" s="78">
        <f t="shared" si="204"/>
        <v>0</v>
      </c>
      <c r="BP287" s="78">
        <f t="shared" si="205"/>
        <v>0</v>
      </c>
      <c r="BQ287" s="78">
        <f t="shared" si="206"/>
        <v>0</v>
      </c>
      <c r="BR287" s="78">
        <f t="shared" si="207"/>
        <v>0</v>
      </c>
      <c r="BS287" s="78">
        <f t="shared" si="208"/>
        <v>0</v>
      </c>
      <c r="BT287" s="78">
        <f t="shared" si="209"/>
        <v>0</v>
      </c>
      <c r="BU287" s="91">
        <f t="shared" si="210"/>
        <v>0</v>
      </c>
      <c r="BV287" s="91">
        <f t="shared" si="211"/>
        <v>0</v>
      </c>
      <c r="BW287" s="78"/>
      <c r="BX287" s="78"/>
      <c r="BY287" s="78">
        <f t="shared" si="212"/>
        <v>0</v>
      </c>
      <c r="BZ287" s="78">
        <f t="shared" si="213"/>
        <v>0</v>
      </c>
      <c r="CA287" s="78">
        <f t="shared" si="214"/>
        <v>0</v>
      </c>
      <c r="CB287" s="78">
        <f t="shared" si="215"/>
        <v>0</v>
      </c>
      <c r="CC287" s="78">
        <f t="shared" si="216"/>
        <v>0</v>
      </c>
      <c r="CD287" s="78">
        <f t="shared" si="217"/>
        <v>0</v>
      </c>
      <c r="CE287" s="78">
        <f t="shared" si="218"/>
        <v>0</v>
      </c>
      <c r="CF287" s="78">
        <f t="shared" si="219"/>
        <v>0</v>
      </c>
      <c r="CG287" s="78"/>
      <c r="CH287" s="92">
        <f t="shared" si="220"/>
        <v>0</v>
      </c>
      <c r="CI287" s="93">
        <f t="shared" si="221"/>
        <v>0</v>
      </c>
      <c r="CJ287" s="94">
        <f t="shared" si="222"/>
        <v>0</v>
      </c>
      <c r="CL287" s="78">
        <f t="shared" si="223"/>
        <v>0</v>
      </c>
      <c r="CM287" s="78">
        <f t="shared" si="224"/>
        <v>0</v>
      </c>
      <c r="CN287" s="78">
        <f t="shared" si="225"/>
        <v>0</v>
      </c>
      <c r="CO287" s="78">
        <f t="shared" si="226"/>
        <v>0</v>
      </c>
    </row>
    <row r="288" spans="1:93" ht="13.5" thickBot="1">
      <c r="A288" s="95"/>
      <c r="B288" s="96"/>
      <c r="C288" s="97"/>
      <c r="D288" s="98"/>
      <c r="E288" s="99"/>
      <c r="F288" s="100"/>
      <c r="G288" s="100"/>
      <c r="H288" s="100"/>
      <c r="I288" s="100"/>
      <c r="J288" s="100"/>
      <c r="K288" s="101" t="str">
        <f t="shared" si="227"/>
        <v/>
      </c>
      <c r="L288" s="102"/>
      <c r="M288" s="103"/>
      <c r="N288" s="104"/>
      <c r="O288" s="105"/>
      <c r="P288" s="106">
        <f t="shared" si="228"/>
        <v>0</v>
      </c>
      <c r="Q288" s="106">
        <f t="shared" si="229"/>
        <v>0</v>
      </c>
      <c r="R288" s="106">
        <f t="shared" si="230"/>
        <v>0</v>
      </c>
      <c r="S288" s="106">
        <f t="shared" si="231"/>
        <v>0</v>
      </c>
      <c r="T288" s="107">
        <f t="shared" si="232"/>
        <v>0</v>
      </c>
      <c r="U288" s="78"/>
      <c r="AG288" s="108"/>
      <c r="AI288" s="78">
        <f t="shared" si="176"/>
        <v>0</v>
      </c>
      <c r="AJ288" s="78">
        <f t="shared" si="177"/>
        <v>0</v>
      </c>
      <c r="AK288" s="78">
        <f t="shared" si="178"/>
        <v>0</v>
      </c>
      <c r="AL288" s="78">
        <f t="shared" si="179"/>
        <v>0</v>
      </c>
      <c r="AM288" s="78">
        <f t="shared" si="180"/>
        <v>0</v>
      </c>
      <c r="AN288" s="78">
        <f t="shared" si="181"/>
        <v>0</v>
      </c>
      <c r="AO288" s="78">
        <f t="shared" si="182"/>
        <v>0</v>
      </c>
      <c r="AP288" s="78">
        <f t="shared" si="183"/>
        <v>0</v>
      </c>
      <c r="AQ288" s="78">
        <f t="shared" si="184"/>
        <v>0</v>
      </c>
      <c r="AR288" s="78">
        <f t="shared" si="185"/>
        <v>0</v>
      </c>
      <c r="AS288" s="90">
        <f t="shared" si="186"/>
        <v>0</v>
      </c>
      <c r="AT288" s="91">
        <f t="shared" si="187"/>
        <v>0</v>
      </c>
      <c r="AV288" s="91">
        <f t="shared" si="188"/>
        <v>0</v>
      </c>
      <c r="AW288" s="78">
        <f t="shared" si="189"/>
        <v>0</v>
      </c>
      <c r="AX288" s="78">
        <f t="shared" si="190"/>
        <v>0</v>
      </c>
      <c r="AY288" s="78"/>
      <c r="AZ288" s="78">
        <f t="shared" si="191"/>
        <v>0</v>
      </c>
      <c r="BA288" s="78">
        <f t="shared" si="192"/>
        <v>0</v>
      </c>
      <c r="BB288" s="78">
        <f t="shared" si="193"/>
        <v>0</v>
      </c>
      <c r="BC288" s="78">
        <f t="shared" si="194"/>
        <v>0</v>
      </c>
      <c r="BD288" s="78">
        <f t="shared" si="195"/>
        <v>0</v>
      </c>
      <c r="BE288" s="78">
        <f t="shared" si="196"/>
        <v>0</v>
      </c>
      <c r="BF288" s="78">
        <f t="shared" si="197"/>
        <v>0</v>
      </c>
      <c r="BG288" s="78">
        <f t="shared" si="198"/>
        <v>0</v>
      </c>
      <c r="BH288" s="78">
        <f t="shared" si="199"/>
        <v>0</v>
      </c>
      <c r="BI288" s="78"/>
      <c r="BJ288" s="91">
        <f t="shared" si="200"/>
        <v>0</v>
      </c>
      <c r="BK288" s="91">
        <f t="shared" si="201"/>
        <v>0</v>
      </c>
      <c r="BL288" s="78"/>
      <c r="BM288" s="78">
        <f t="shared" si="202"/>
        <v>0</v>
      </c>
      <c r="BN288" s="78">
        <f t="shared" si="203"/>
        <v>0</v>
      </c>
      <c r="BO288" s="78">
        <f t="shared" si="204"/>
        <v>0</v>
      </c>
      <c r="BP288" s="78">
        <f t="shared" si="205"/>
        <v>0</v>
      </c>
      <c r="BQ288" s="78">
        <f t="shared" si="206"/>
        <v>0</v>
      </c>
      <c r="BR288" s="78">
        <f t="shared" si="207"/>
        <v>0</v>
      </c>
      <c r="BS288" s="78">
        <f t="shared" si="208"/>
        <v>0</v>
      </c>
      <c r="BT288" s="78">
        <f t="shared" si="209"/>
        <v>0</v>
      </c>
      <c r="BU288" s="91">
        <f t="shared" si="210"/>
        <v>0</v>
      </c>
      <c r="BV288" s="91">
        <f t="shared" si="211"/>
        <v>0</v>
      </c>
      <c r="BW288" s="78"/>
      <c r="BX288" s="78"/>
      <c r="BY288" s="78">
        <f t="shared" si="212"/>
        <v>0</v>
      </c>
      <c r="BZ288" s="78">
        <f t="shared" si="213"/>
        <v>0</v>
      </c>
      <c r="CA288" s="78">
        <f t="shared" si="214"/>
        <v>0</v>
      </c>
      <c r="CB288" s="78">
        <f t="shared" si="215"/>
        <v>0</v>
      </c>
      <c r="CC288" s="78">
        <f t="shared" si="216"/>
        <v>0</v>
      </c>
      <c r="CD288" s="78">
        <f t="shared" si="217"/>
        <v>0</v>
      </c>
      <c r="CE288" s="78">
        <f t="shared" si="218"/>
        <v>0</v>
      </c>
      <c r="CF288" s="78">
        <f t="shared" si="219"/>
        <v>0</v>
      </c>
      <c r="CG288" s="78"/>
      <c r="CH288" s="92">
        <f t="shared" si="220"/>
        <v>0</v>
      </c>
      <c r="CI288" s="93">
        <f t="shared" si="221"/>
        <v>0</v>
      </c>
      <c r="CJ288" s="94">
        <f t="shared" si="222"/>
        <v>0</v>
      </c>
      <c r="CL288" s="78">
        <f t="shared" si="223"/>
        <v>0</v>
      </c>
      <c r="CM288" s="78">
        <f t="shared" si="224"/>
        <v>0</v>
      </c>
      <c r="CN288" s="78">
        <f t="shared" si="225"/>
        <v>0</v>
      </c>
      <c r="CO288" s="78">
        <f t="shared" si="226"/>
        <v>0</v>
      </c>
    </row>
    <row r="289" spans="1:93" ht="13.5" thickBot="1">
      <c r="A289" s="95"/>
      <c r="B289" s="96"/>
      <c r="C289" s="97"/>
      <c r="D289" s="98"/>
      <c r="E289" s="99"/>
      <c r="F289" s="100"/>
      <c r="G289" s="100"/>
      <c r="H289" s="100"/>
      <c r="I289" s="100"/>
      <c r="J289" s="100"/>
      <c r="K289" s="101" t="str">
        <f t="shared" si="227"/>
        <v/>
      </c>
      <c r="L289" s="102"/>
      <c r="M289" s="103"/>
      <c r="N289" s="104"/>
      <c r="O289" s="105"/>
      <c r="P289" s="106">
        <f t="shared" si="228"/>
        <v>0</v>
      </c>
      <c r="Q289" s="106">
        <f t="shared" si="229"/>
        <v>0</v>
      </c>
      <c r="R289" s="106">
        <f t="shared" si="230"/>
        <v>0</v>
      </c>
      <c r="S289" s="106">
        <f t="shared" si="231"/>
        <v>0</v>
      </c>
      <c r="T289" s="107">
        <f t="shared" si="232"/>
        <v>0</v>
      </c>
      <c r="U289" s="78"/>
      <c r="AG289" s="108"/>
      <c r="AI289" s="78">
        <f t="shared" si="176"/>
        <v>0</v>
      </c>
      <c r="AJ289" s="78">
        <f t="shared" si="177"/>
        <v>0</v>
      </c>
      <c r="AK289" s="78">
        <f t="shared" si="178"/>
        <v>0</v>
      </c>
      <c r="AL289" s="78">
        <f t="shared" si="179"/>
        <v>0</v>
      </c>
      <c r="AM289" s="78">
        <f t="shared" si="180"/>
        <v>0</v>
      </c>
      <c r="AN289" s="78">
        <f t="shared" si="181"/>
        <v>0</v>
      </c>
      <c r="AO289" s="78">
        <f t="shared" si="182"/>
        <v>0</v>
      </c>
      <c r="AP289" s="78">
        <f t="shared" si="183"/>
        <v>0</v>
      </c>
      <c r="AQ289" s="78">
        <f t="shared" si="184"/>
        <v>0</v>
      </c>
      <c r="AR289" s="78">
        <f t="shared" si="185"/>
        <v>0</v>
      </c>
      <c r="AS289" s="90">
        <f t="shared" si="186"/>
        <v>0</v>
      </c>
      <c r="AT289" s="91">
        <f t="shared" si="187"/>
        <v>0</v>
      </c>
      <c r="AV289" s="91">
        <f t="shared" si="188"/>
        <v>0</v>
      </c>
      <c r="AW289" s="78">
        <f t="shared" si="189"/>
        <v>0</v>
      </c>
      <c r="AX289" s="78">
        <f t="shared" si="190"/>
        <v>0</v>
      </c>
      <c r="AY289" s="78"/>
      <c r="AZ289" s="78">
        <f t="shared" si="191"/>
        <v>0</v>
      </c>
      <c r="BA289" s="78">
        <f t="shared" si="192"/>
        <v>0</v>
      </c>
      <c r="BB289" s="78">
        <f t="shared" si="193"/>
        <v>0</v>
      </c>
      <c r="BC289" s="78">
        <f t="shared" si="194"/>
        <v>0</v>
      </c>
      <c r="BD289" s="78">
        <f t="shared" si="195"/>
        <v>0</v>
      </c>
      <c r="BE289" s="78">
        <f t="shared" si="196"/>
        <v>0</v>
      </c>
      <c r="BF289" s="78">
        <f t="shared" si="197"/>
        <v>0</v>
      </c>
      <c r="BG289" s="78">
        <f t="shared" si="198"/>
        <v>0</v>
      </c>
      <c r="BH289" s="78">
        <f t="shared" si="199"/>
        <v>0</v>
      </c>
      <c r="BI289" s="78"/>
      <c r="BJ289" s="91">
        <f t="shared" si="200"/>
        <v>0</v>
      </c>
      <c r="BK289" s="91">
        <f t="shared" si="201"/>
        <v>0</v>
      </c>
      <c r="BL289" s="78"/>
      <c r="BM289" s="78">
        <f t="shared" si="202"/>
        <v>0</v>
      </c>
      <c r="BN289" s="78">
        <f t="shared" si="203"/>
        <v>0</v>
      </c>
      <c r="BO289" s="78">
        <f t="shared" si="204"/>
        <v>0</v>
      </c>
      <c r="BP289" s="78">
        <f t="shared" si="205"/>
        <v>0</v>
      </c>
      <c r="BQ289" s="78">
        <f t="shared" si="206"/>
        <v>0</v>
      </c>
      <c r="BR289" s="78">
        <f t="shared" si="207"/>
        <v>0</v>
      </c>
      <c r="BS289" s="78">
        <f t="shared" si="208"/>
        <v>0</v>
      </c>
      <c r="BT289" s="78">
        <f t="shared" si="209"/>
        <v>0</v>
      </c>
      <c r="BU289" s="91">
        <f t="shared" si="210"/>
        <v>0</v>
      </c>
      <c r="BV289" s="91">
        <f t="shared" si="211"/>
        <v>0</v>
      </c>
      <c r="BW289" s="78"/>
      <c r="BX289" s="78"/>
      <c r="BY289" s="78">
        <f t="shared" si="212"/>
        <v>0</v>
      </c>
      <c r="BZ289" s="78">
        <f t="shared" si="213"/>
        <v>0</v>
      </c>
      <c r="CA289" s="78">
        <f t="shared" si="214"/>
        <v>0</v>
      </c>
      <c r="CB289" s="78">
        <f t="shared" si="215"/>
        <v>0</v>
      </c>
      <c r="CC289" s="78">
        <f t="shared" si="216"/>
        <v>0</v>
      </c>
      <c r="CD289" s="78">
        <f t="shared" si="217"/>
        <v>0</v>
      </c>
      <c r="CE289" s="78">
        <f t="shared" si="218"/>
        <v>0</v>
      </c>
      <c r="CF289" s="78">
        <f t="shared" si="219"/>
        <v>0</v>
      </c>
      <c r="CG289" s="78"/>
      <c r="CH289" s="92">
        <f t="shared" si="220"/>
        <v>0</v>
      </c>
      <c r="CI289" s="93">
        <f t="shared" si="221"/>
        <v>0</v>
      </c>
      <c r="CJ289" s="94">
        <f t="shared" si="222"/>
        <v>0</v>
      </c>
      <c r="CL289" s="78">
        <f t="shared" si="223"/>
        <v>0</v>
      </c>
      <c r="CM289" s="78">
        <f t="shared" si="224"/>
        <v>0</v>
      </c>
      <c r="CN289" s="78">
        <f t="shared" si="225"/>
        <v>0</v>
      </c>
      <c r="CO289" s="78">
        <f t="shared" si="226"/>
        <v>0</v>
      </c>
    </row>
    <row r="290" spans="1:93" ht="13.5" thickBot="1">
      <c r="A290" s="95"/>
      <c r="B290" s="96"/>
      <c r="C290" s="97"/>
      <c r="D290" s="98"/>
      <c r="E290" s="99"/>
      <c r="F290" s="100"/>
      <c r="G290" s="100"/>
      <c r="H290" s="100"/>
      <c r="I290" s="100"/>
      <c r="J290" s="100"/>
      <c r="K290" s="101" t="str">
        <f t="shared" si="227"/>
        <v/>
      </c>
      <c r="L290" s="102"/>
      <c r="M290" s="103"/>
      <c r="N290" s="104"/>
      <c r="O290" s="105"/>
      <c r="P290" s="106">
        <f t="shared" si="228"/>
        <v>0</v>
      </c>
      <c r="Q290" s="106">
        <f t="shared" si="229"/>
        <v>0</v>
      </c>
      <c r="R290" s="106">
        <f t="shared" si="230"/>
        <v>0</v>
      </c>
      <c r="S290" s="106">
        <f t="shared" si="231"/>
        <v>0</v>
      </c>
      <c r="T290" s="107">
        <f t="shared" si="232"/>
        <v>0</v>
      </c>
      <c r="U290" s="78"/>
      <c r="AG290" s="108"/>
      <c r="AI290" s="78">
        <f t="shared" si="176"/>
        <v>0</v>
      </c>
      <c r="AJ290" s="78">
        <f t="shared" si="177"/>
        <v>0</v>
      </c>
      <c r="AK290" s="78">
        <f t="shared" si="178"/>
        <v>0</v>
      </c>
      <c r="AL290" s="78">
        <f t="shared" si="179"/>
        <v>0</v>
      </c>
      <c r="AM290" s="78">
        <f t="shared" si="180"/>
        <v>0</v>
      </c>
      <c r="AN290" s="78">
        <f t="shared" si="181"/>
        <v>0</v>
      </c>
      <c r="AO290" s="78">
        <f t="shared" si="182"/>
        <v>0</v>
      </c>
      <c r="AP290" s="78">
        <f t="shared" si="183"/>
        <v>0</v>
      </c>
      <c r="AQ290" s="78">
        <f t="shared" si="184"/>
        <v>0</v>
      </c>
      <c r="AR290" s="78">
        <f t="shared" si="185"/>
        <v>0</v>
      </c>
      <c r="AS290" s="90">
        <f t="shared" si="186"/>
        <v>0</v>
      </c>
      <c r="AT290" s="91">
        <f t="shared" si="187"/>
        <v>0</v>
      </c>
      <c r="AV290" s="91">
        <f t="shared" si="188"/>
        <v>0</v>
      </c>
      <c r="AW290" s="78">
        <f t="shared" si="189"/>
        <v>0</v>
      </c>
      <c r="AX290" s="78">
        <f t="shared" si="190"/>
        <v>0</v>
      </c>
      <c r="AY290" s="78"/>
      <c r="AZ290" s="78">
        <f t="shared" si="191"/>
        <v>0</v>
      </c>
      <c r="BA290" s="78">
        <f t="shared" si="192"/>
        <v>0</v>
      </c>
      <c r="BB290" s="78">
        <f t="shared" si="193"/>
        <v>0</v>
      </c>
      <c r="BC290" s="78">
        <f t="shared" si="194"/>
        <v>0</v>
      </c>
      <c r="BD290" s="78">
        <f t="shared" si="195"/>
        <v>0</v>
      </c>
      <c r="BE290" s="78">
        <f t="shared" si="196"/>
        <v>0</v>
      </c>
      <c r="BF290" s="78">
        <f t="shared" si="197"/>
        <v>0</v>
      </c>
      <c r="BG290" s="78">
        <f t="shared" si="198"/>
        <v>0</v>
      </c>
      <c r="BH290" s="78">
        <f t="shared" si="199"/>
        <v>0</v>
      </c>
      <c r="BI290" s="78"/>
      <c r="BJ290" s="91">
        <f t="shared" si="200"/>
        <v>0</v>
      </c>
      <c r="BK290" s="91">
        <f t="shared" si="201"/>
        <v>0</v>
      </c>
      <c r="BL290" s="78"/>
      <c r="BM290" s="78">
        <f t="shared" si="202"/>
        <v>0</v>
      </c>
      <c r="BN290" s="78">
        <f t="shared" si="203"/>
        <v>0</v>
      </c>
      <c r="BO290" s="78">
        <f t="shared" si="204"/>
        <v>0</v>
      </c>
      <c r="BP290" s="78">
        <f t="shared" si="205"/>
        <v>0</v>
      </c>
      <c r="BQ290" s="78">
        <f t="shared" si="206"/>
        <v>0</v>
      </c>
      <c r="BR290" s="78">
        <f t="shared" si="207"/>
        <v>0</v>
      </c>
      <c r="BS290" s="78">
        <f t="shared" si="208"/>
        <v>0</v>
      </c>
      <c r="BT290" s="78">
        <f t="shared" si="209"/>
        <v>0</v>
      </c>
      <c r="BU290" s="91">
        <f t="shared" si="210"/>
        <v>0</v>
      </c>
      <c r="BV290" s="91">
        <f t="shared" si="211"/>
        <v>0</v>
      </c>
      <c r="BW290" s="78"/>
      <c r="BX290" s="78"/>
      <c r="BY290" s="78">
        <f t="shared" si="212"/>
        <v>0</v>
      </c>
      <c r="BZ290" s="78">
        <f t="shared" si="213"/>
        <v>0</v>
      </c>
      <c r="CA290" s="78">
        <f t="shared" si="214"/>
        <v>0</v>
      </c>
      <c r="CB290" s="78">
        <f t="shared" si="215"/>
        <v>0</v>
      </c>
      <c r="CC290" s="78">
        <f t="shared" si="216"/>
        <v>0</v>
      </c>
      <c r="CD290" s="78">
        <f t="shared" si="217"/>
        <v>0</v>
      </c>
      <c r="CE290" s="78">
        <f t="shared" si="218"/>
        <v>0</v>
      </c>
      <c r="CF290" s="78">
        <f t="shared" si="219"/>
        <v>0</v>
      </c>
      <c r="CG290" s="78"/>
      <c r="CH290" s="92">
        <f t="shared" si="220"/>
        <v>0</v>
      </c>
      <c r="CI290" s="93">
        <f t="shared" si="221"/>
        <v>0</v>
      </c>
      <c r="CJ290" s="94">
        <f t="shared" si="222"/>
        <v>0</v>
      </c>
      <c r="CL290" s="78">
        <f t="shared" si="223"/>
        <v>0</v>
      </c>
      <c r="CM290" s="78">
        <f t="shared" si="224"/>
        <v>0</v>
      </c>
      <c r="CN290" s="78">
        <f t="shared" si="225"/>
        <v>0</v>
      </c>
      <c r="CO290" s="78">
        <f t="shared" si="226"/>
        <v>0</v>
      </c>
    </row>
    <row r="291" spans="1:93" ht="13.5" thickBot="1">
      <c r="A291" s="95"/>
      <c r="B291" s="96"/>
      <c r="C291" s="97"/>
      <c r="D291" s="98"/>
      <c r="E291" s="99"/>
      <c r="F291" s="100"/>
      <c r="G291" s="100"/>
      <c r="H291" s="100"/>
      <c r="I291" s="100"/>
      <c r="J291" s="100"/>
      <c r="K291" s="101" t="str">
        <f t="shared" si="227"/>
        <v/>
      </c>
      <c r="L291" s="102"/>
      <c r="M291" s="103"/>
      <c r="N291" s="104"/>
      <c r="O291" s="105"/>
      <c r="P291" s="106">
        <f t="shared" si="228"/>
        <v>0</v>
      </c>
      <c r="Q291" s="106">
        <f t="shared" si="229"/>
        <v>0</v>
      </c>
      <c r="R291" s="106">
        <f t="shared" si="230"/>
        <v>0</v>
      </c>
      <c r="S291" s="106">
        <f t="shared" si="231"/>
        <v>0</v>
      </c>
      <c r="T291" s="107">
        <f t="shared" si="232"/>
        <v>0</v>
      </c>
      <c r="U291" s="78"/>
      <c r="AG291" s="108"/>
      <c r="AI291" s="78">
        <f t="shared" si="176"/>
        <v>0</v>
      </c>
      <c r="AJ291" s="78">
        <f t="shared" si="177"/>
        <v>0</v>
      </c>
      <c r="AK291" s="78">
        <f t="shared" si="178"/>
        <v>0</v>
      </c>
      <c r="AL291" s="78">
        <f t="shared" si="179"/>
        <v>0</v>
      </c>
      <c r="AM291" s="78">
        <f t="shared" si="180"/>
        <v>0</v>
      </c>
      <c r="AN291" s="78">
        <f t="shared" si="181"/>
        <v>0</v>
      </c>
      <c r="AO291" s="78">
        <f t="shared" si="182"/>
        <v>0</v>
      </c>
      <c r="AP291" s="78">
        <f t="shared" si="183"/>
        <v>0</v>
      </c>
      <c r="AQ291" s="78">
        <f t="shared" si="184"/>
        <v>0</v>
      </c>
      <c r="AR291" s="78">
        <f t="shared" si="185"/>
        <v>0</v>
      </c>
      <c r="AS291" s="90">
        <f t="shared" si="186"/>
        <v>0</v>
      </c>
      <c r="AT291" s="91">
        <f t="shared" si="187"/>
        <v>0</v>
      </c>
      <c r="AV291" s="91">
        <f t="shared" si="188"/>
        <v>0</v>
      </c>
      <c r="AW291" s="78">
        <f t="shared" si="189"/>
        <v>0</v>
      </c>
      <c r="AX291" s="78">
        <f t="shared" si="190"/>
        <v>0</v>
      </c>
      <c r="AY291" s="78"/>
      <c r="AZ291" s="78">
        <f t="shared" si="191"/>
        <v>0</v>
      </c>
      <c r="BA291" s="78">
        <f t="shared" si="192"/>
        <v>0</v>
      </c>
      <c r="BB291" s="78">
        <f t="shared" si="193"/>
        <v>0</v>
      </c>
      <c r="BC291" s="78">
        <f t="shared" si="194"/>
        <v>0</v>
      </c>
      <c r="BD291" s="78">
        <f t="shared" si="195"/>
        <v>0</v>
      </c>
      <c r="BE291" s="78">
        <f t="shared" si="196"/>
        <v>0</v>
      </c>
      <c r="BF291" s="78">
        <f t="shared" si="197"/>
        <v>0</v>
      </c>
      <c r="BG291" s="78">
        <f t="shared" si="198"/>
        <v>0</v>
      </c>
      <c r="BH291" s="78">
        <f t="shared" si="199"/>
        <v>0</v>
      </c>
      <c r="BI291" s="78"/>
      <c r="BJ291" s="91">
        <f t="shared" si="200"/>
        <v>0</v>
      </c>
      <c r="BK291" s="91">
        <f t="shared" si="201"/>
        <v>0</v>
      </c>
      <c r="BL291" s="78"/>
      <c r="BM291" s="78">
        <f t="shared" si="202"/>
        <v>0</v>
      </c>
      <c r="BN291" s="78">
        <f t="shared" si="203"/>
        <v>0</v>
      </c>
      <c r="BO291" s="78">
        <f t="shared" si="204"/>
        <v>0</v>
      </c>
      <c r="BP291" s="78">
        <f t="shared" si="205"/>
        <v>0</v>
      </c>
      <c r="BQ291" s="78">
        <f t="shared" si="206"/>
        <v>0</v>
      </c>
      <c r="BR291" s="78">
        <f t="shared" si="207"/>
        <v>0</v>
      </c>
      <c r="BS291" s="78">
        <f t="shared" si="208"/>
        <v>0</v>
      </c>
      <c r="BT291" s="78">
        <f t="shared" si="209"/>
        <v>0</v>
      </c>
      <c r="BU291" s="91">
        <f t="shared" si="210"/>
        <v>0</v>
      </c>
      <c r="BV291" s="91">
        <f t="shared" si="211"/>
        <v>0</v>
      </c>
      <c r="BW291" s="78"/>
      <c r="BX291" s="78"/>
      <c r="BY291" s="78">
        <f t="shared" si="212"/>
        <v>0</v>
      </c>
      <c r="BZ291" s="78">
        <f t="shared" si="213"/>
        <v>0</v>
      </c>
      <c r="CA291" s="78">
        <f t="shared" si="214"/>
        <v>0</v>
      </c>
      <c r="CB291" s="78">
        <f t="shared" si="215"/>
        <v>0</v>
      </c>
      <c r="CC291" s="78">
        <f t="shared" si="216"/>
        <v>0</v>
      </c>
      <c r="CD291" s="78">
        <f t="shared" si="217"/>
        <v>0</v>
      </c>
      <c r="CE291" s="78">
        <f t="shared" si="218"/>
        <v>0</v>
      </c>
      <c r="CF291" s="78">
        <f t="shared" si="219"/>
        <v>0</v>
      </c>
      <c r="CG291" s="78"/>
      <c r="CH291" s="92">
        <f t="shared" si="220"/>
        <v>0</v>
      </c>
      <c r="CI291" s="93">
        <f t="shared" si="221"/>
        <v>0</v>
      </c>
      <c r="CJ291" s="94">
        <f t="shared" si="222"/>
        <v>0</v>
      </c>
      <c r="CL291" s="78">
        <f t="shared" si="223"/>
        <v>0</v>
      </c>
      <c r="CM291" s="78">
        <f t="shared" si="224"/>
        <v>0</v>
      </c>
      <c r="CN291" s="78">
        <f t="shared" si="225"/>
        <v>0</v>
      </c>
      <c r="CO291" s="78">
        <f t="shared" si="226"/>
        <v>0</v>
      </c>
    </row>
    <row r="292" spans="1:93" ht="13.5" thickBot="1">
      <c r="A292" s="95"/>
      <c r="B292" s="96"/>
      <c r="C292" s="97"/>
      <c r="D292" s="98"/>
      <c r="E292" s="99"/>
      <c r="F292" s="100"/>
      <c r="G292" s="100"/>
      <c r="H292" s="100"/>
      <c r="I292" s="100"/>
      <c r="J292" s="100"/>
      <c r="K292" s="101" t="str">
        <f t="shared" si="227"/>
        <v/>
      </c>
      <c r="L292" s="102"/>
      <c r="M292" s="103"/>
      <c r="N292" s="104"/>
      <c r="O292" s="105"/>
      <c r="P292" s="106">
        <f t="shared" si="228"/>
        <v>0</v>
      </c>
      <c r="Q292" s="106">
        <f t="shared" si="229"/>
        <v>0</v>
      </c>
      <c r="R292" s="106">
        <f t="shared" si="230"/>
        <v>0</v>
      </c>
      <c r="S292" s="106">
        <f t="shared" si="231"/>
        <v>0</v>
      </c>
      <c r="T292" s="107">
        <f t="shared" si="232"/>
        <v>0</v>
      </c>
      <c r="U292" s="78"/>
      <c r="AG292" s="108"/>
      <c r="AI292" s="78">
        <f t="shared" si="176"/>
        <v>0</v>
      </c>
      <c r="AJ292" s="78">
        <f t="shared" si="177"/>
        <v>0</v>
      </c>
      <c r="AK292" s="78">
        <f t="shared" si="178"/>
        <v>0</v>
      </c>
      <c r="AL292" s="78">
        <f t="shared" si="179"/>
        <v>0</v>
      </c>
      <c r="AM292" s="78">
        <f t="shared" si="180"/>
        <v>0</v>
      </c>
      <c r="AN292" s="78">
        <f t="shared" si="181"/>
        <v>0</v>
      </c>
      <c r="AO292" s="78">
        <f t="shared" si="182"/>
        <v>0</v>
      </c>
      <c r="AP292" s="78">
        <f t="shared" si="183"/>
        <v>0</v>
      </c>
      <c r="AQ292" s="78">
        <f t="shared" si="184"/>
        <v>0</v>
      </c>
      <c r="AR292" s="78">
        <f t="shared" si="185"/>
        <v>0</v>
      </c>
      <c r="AS292" s="90">
        <f t="shared" si="186"/>
        <v>0</v>
      </c>
      <c r="AT292" s="91">
        <f t="shared" si="187"/>
        <v>0</v>
      </c>
      <c r="AV292" s="91">
        <f t="shared" si="188"/>
        <v>0</v>
      </c>
      <c r="AW292" s="78">
        <f t="shared" si="189"/>
        <v>0</v>
      </c>
      <c r="AX292" s="78">
        <f t="shared" si="190"/>
        <v>0</v>
      </c>
      <c r="AY292" s="78"/>
      <c r="AZ292" s="78">
        <f t="shared" si="191"/>
        <v>0</v>
      </c>
      <c r="BA292" s="78">
        <f t="shared" si="192"/>
        <v>0</v>
      </c>
      <c r="BB292" s="78">
        <f t="shared" si="193"/>
        <v>0</v>
      </c>
      <c r="BC292" s="78">
        <f t="shared" si="194"/>
        <v>0</v>
      </c>
      <c r="BD292" s="78">
        <f t="shared" si="195"/>
        <v>0</v>
      </c>
      <c r="BE292" s="78">
        <f t="shared" si="196"/>
        <v>0</v>
      </c>
      <c r="BF292" s="78">
        <f t="shared" si="197"/>
        <v>0</v>
      </c>
      <c r="BG292" s="78">
        <f t="shared" si="198"/>
        <v>0</v>
      </c>
      <c r="BH292" s="78">
        <f t="shared" si="199"/>
        <v>0</v>
      </c>
      <c r="BI292" s="78"/>
      <c r="BJ292" s="91">
        <f t="shared" si="200"/>
        <v>0</v>
      </c>
      <c r="BK292" s="91">
        <f t="shared" si="201"/>
        <v>0</v>
      </c>
      <c r="BL292" s="78"/>
      <c r="BM292" s="78">
        <f t="shared" si="202"/>
        <v>0</v>
      </c>
      <c r="BN292" s="78">
        <f t="shared" si="203"/>
        <v>0</v>
      </c>
      <c r="BO292" s="78">
        <f t="shared" si="204"/>
        <v>0</v>
      </c>
      <c r="BP292" s="78">
        <f t="shared" si="205"/>
        <v>0</v>
      </c>
      <c r="BQ292" s="78">
        <f t="shared" si="206"/>
        <v>0</v>
      </c>
      <c r="BR292" s="78">
        <f t="shared" si="207"/>
        <v>0</v>
      </c>
      <c r="BS292" s="78">
        <f t="shared" si="208"/>
        <v>0</v>
      </c>
      <c r="BT292" s="78">
        <f t="shared" si="209"/>
        <v>0</v>
      </c>
      <c r="BU292" s="91">
        <f t="shared" si="210"/>
        <v>0</v>
      </c>
      <c r="BV292" s="91">
        <f t="shared" si="211"/>
        <v>0</v>
      </c>
      <c r="BW292" s="78"/>
      <c r="BX292" s="78"/>
      <c r="BY292" s="78">
        <f t="shared" si="212"/>
        <v>0</v>
      </c>
      <c r="BZ292" s="78">
        <f t="shared" si="213"/>
        <v>0</v>
      </c>
      <c r="CA292" s="78">
        <f t="shared" si="214"/>
        <v>0</v>
      </c>
      <c r="CB292" s="78">
        <f t="shared" si="215"/>
        <v>0</v>
      </c>
      <c r="CC292" s="78">
        <f t="shared" si="216"/>
        <v>0</v>
      </c>
      <c r="CD292" s="78">
        <f t="shared" si="217"/>
        <v>0</v>
      </c>
      <c r="CE292" s="78">
        <f t="shared" si="218"/>
        <v>0</v>
      </c>
      <c r="CF292" s="78">
        <f t="shared" si="219"/>
        <v>0</v>
      </c>
      <c r="CG292" s="78"/>
      <c r="CH292" s="92">
        <f t="shared" si="220"/>
        <v>0</v>
      </c>
      <c r="CI292" s="93">
        <f t="shared" si="221"/>
        <v>0</v>
      </c>
      <c r="CJ292" s="94">
        <f t="shared" si="222"/>
        <v>0</v>
      </c>
      <c r="CL292" s="78">
        <f t="shared" si="223"/>
        <v>0</v>
      </c>
      <c r="CM292" s="78">
        <f t="shared" si="224"/>
        <v>0</v>
      </c>
      <c r="CN292" s="78">
        <f t="shared" si="225"/>
        <v>0</v>
      </c>
      <c r="CO292" s="78">
        <f t="shared" si="226"/>
        <v>0</v>
      </c>
    </row>
    <row r="293" spans="1:93" ht="13.5" thickBot="1">
      <c r="A293" s="95"/>
      <c r="B293" s="96"/>
      <c r="C293" s="97"/>
      <c r="D293" s="98"/>
      <c r="E293" s="99"/>
      <c r="F293" s="100"/>
      <c r="G293" s="100"/>
      <c r="H293" s="100"/>
      <c r="I293" s="100"/>
      <c r="J293" s="100"/>
      <c r="K293" s="101" t="str">
        <f t="shared" si="227"/>
        <v/>
      </c>
      <c r="L293" s="102"/>
      <c r="M293" s="103"/>
      <c r="N293" s="104"/>
      <c r="O293" s="105"/>
      <c r="P293" s="106">
        <f t="shared" si="228"/>
        <v>0</v>
      </c>
      <c r="Q293" s="106">
        <f t="shared" si="229"/>
        <v>0</v>
      </c>
      <c r="R293" s="106">
        <f t="shared" si="230"/>
        <v>0</v>
      </c>
      <c r="S293" s="106">
        <f t="shared" si="231"/>
        <v>0</v>
      </c>
      <c r="T293" s="107">
        <f t="shared" si="232"/>
        <v>0</v>
      </c>
      <c r="U293" s="78"/>
      <c r="AG293" s="108"/>
      <c r="AI293" s="78">
        <f t="shared" si="176"/>
        <v>0</v>
      </c>
      <c r="AJ293" s="78">
        <f t="shared" si="177"/>
        <v>0</v>
      </c>
      <c r="AK293" s="78">
        <f t="shared" si="178"/>
        <v>0</v>
      </c>
      <c r="AL293" s="78">
        <f t="shared" si="179"/>
        <v>0</v>
      </c>
      <c r="AM293" s="78">
        <f t="shared" si="180"/>
        <v>0</v>
      </c>
      <c r="AN293" s="78">
        <f t="shared" si="181"/>
        <v>0</v>
      </c>
      <c r="AO293" s="78">
        <f t="shared" si="182"/>
        <v>0</v>
      </c>
      <c r="AP293" s="78">
        <f t="shared" si="183"/>
        <v>0</v>
      </c>
      <c r="AQ293" s="78">
        <f t="shared" si="184"/>
        <v>0</v>
      </c>
      <c r="AR293" s="78">
        <f t="shared" si="185"/>
        <v>0</v>
      </c>
      <c r="AS293" s="90">
        <f t="shared" si="186"/>
        <v>0</v>
      </c>
      <c r="AT293" s="91">
        <f t="shared" si="187"/>
        <v>0</v>
      </c>
      <c r="AV293" s="91">
        <f t="shared" si="188"/>
        <v>0</v>
      </c>
      <c r="AW293" s="78">
        <f t="shared" si="189"/>
        <v>0</v>
      </c>
      <c r="AX293" s="78">
        <f t="shared" si="190"/>
        <v>0</v>
      </c>
      <c r="AY293" s="78"/>
      <c r="AZ293" s="78">
        <f t="shared" si="191"/>
        <v>0</v>
      </c>
      <c r="BA293" s="78">
        <f t="shared" si="192"/>
        <v>0</v>
      </c>
      <c r="BB293" s="78">
        <f t="shared" si="193"/>
        <v>0</v>
      </c>
      <c r="BC293" s="78">
        <f t="shared" si="194"/>
        <v>0</v>
      </c>
      <c r="BD293" s="78">
        <f t="shared" si="195"/>
        <v>0</v>
      </c>
      <c r="BE293" s="78">
        <f t="shared" si="196"/>
        <v>0</v>
      </c>
      <c r="BF293" s="78">
        <f t="shared" si="197"/>
        <v>0</v>
      </c>
      <c r="BG293" s="78">
        <f t="shared" si="198"/>
        <v>0</v>
      </c>
      <c r="BH293" s="78">
        <f t="shared" si="199"/>
        <v>0</v>
      </c>
      <c r="BI293" s="78"/>
      <c r="BJ293" s="91">
        <f t="shared" si="200"/>
        <v>0</v>
      </c>
      <c r="BK293" s="91">
        <f t="shared" si="201"/>
        <v>0</v>
      </c>
      <c r="BL293" s="78"/>
      <c r="BM293" s="78">
        <f t="shared" si="202"/>
        <v>0</v>
      </c>
      <c r="BN293" s="78">
        <f t="shared" si="203"/>
        <v>0</v>
      </c>
      <c r="BO293" s="78">
        <f t="shared" si="204"/>
        <v>0</v>
      </c>
      <c r="BP293" s="78">
        <f t="shared" si="205"/>
        <v>0</v>
      </c>
      <c r="BQ293" s="78">
        <f t="shared" si="206"/>
        <v>0</v>
      </c>
      <c r="BR293" s="78">
        <f t="shared" si="207"/>
        <v>0</v>
      </c>
      <c r="BS293" s="78">
        <f t="shared" si="208"/>
        <v>0</v>
      </c>
      <c r="BT293" s="78">
        <f t="shared" si="209"/>
        <v>0</v>
      </c>
      <c r="BU293" s="91">
        <f t="shared" si="210"/>
        <v>0</v>
      </c>
      <c r="BV293" s="91">
        <f t="shared" si="211"/>
        <v>0</v>
      </c>
      <c r="BW293" s="78"/>
      <c r="BX293" s="78"/>
      <c r="BY293" s="78">
        <f t="shared" si="212"/>
        <v>0</v>
      </c>
      <c r="BZ293" s="78">
        <f t="shared" si="213"/>
        <v>0</v>
      </c>
      <c r="CA293" s="78">
        <f t="shared" si="214"/>
        <v>0</v>
      </c>
      <c r="CB293" s="78">
        <f t="shared" si="215"/>
        <v>0</v>
      </c>
      <c r="CC293" s="78">
        <f t="shared" si="216"/>
        <v>0</v>
      </c>
      <c r="CD293" s="78">
        <f t="shared" si="217"/>
        <v>0</v>
      </c>
      <c r="CE293" s="78">
        <f t="shared" si="218"/>
        <v>0</v>
      </c>
      <c r="CF293" s="78">
        <f t="shared" si="219"/>
        <v>0</v>
      </c>
      <c r="CG293" s="78"/>
      <c r="CH293" s="92">
        <f t="shared" si="220"/>
        <v>0</v>
      </c>
      <c r="CI293" s="93">
        <f t="shared" si="221"/>
        <v>0</v>
      </c>
      <c r="CJ293" s="94">
        <f t="shared" si="222"/>
        <v>0</v>
      </c>
      <c r="CL293" s="78">
        <f t="shared" si="223"/>
        <v>0</v>
      </c>
      <c r="CM293" s="78">
        <f t="shared" si="224"/>
        <v>0</v>
      </c>
      <c r="CN293" s="78">
        <f t="shared" si="225"/>
        <v>0</v>
      </c>
      <c r="CO293" s="78">
        <f t="shared" si="226"/>
        <v>0</v>
      </c>
    </row>
    <row r="294" spans="1:93" ht="13.5" thickBot="1">
      <c r="A294" s="95"/>
      <c r="B294" s="96"/>
      <c r="C294" s="97"/>
      <c r="D294" s="98"/>
      <c r="E294" s="99"/>
      <c r="F294" s="100"/>
      <c r="G294" s="100"/>
      <c r="H294" s="100"/>
      <c r="I294" s="100"/>
      <c r="J294" s="100"/>
      <c r="K294" s="101" t="str">
        <f t="shared" si="227"/>
        <v/>
      </c>
      <c r="L294" s="102"/>
      <c r="M294" s="103"/>
      <c r="N294" s="104"/>
      <c r="O294" s="105"/>
      <c r="P294" s="106">
        <f t="shared" si="228"/>
        <v>0</v>
      </c>
      <c r="Q294" s="106">
        <f t="shared" si="229"/>
        <v>0</v>
      </c>
      <c r="R294" s="106">
        <f t="shared" si="230"/>
        <v>0</v>
      </c>
      <c r="S294" s="106">
        <f t="shared" si="231"/>
        <v>0</v>
      </c>
      <c r="T294" s="107">
        <f t="shared" si="232"/>
        <v>0</v>
      </c>
      <c r="U294" s="78"/>
      <c r="AG294" s="108"/>
      <c r="AI294" s="78">
        <f t="shared" si="176"/>
        <v>0</v>
      </c>
      <c r="AJ294" s="78">
        <f t="shared" si="177"/>
        <v>0</v>
      </c>
      <c r="AK294" s="78">
        <f t="shared" si="178"/>
        <v>0</v>
      </c>
      <c r="AL294" s="78">
        <f t="shared" si="179"/>
        <v>0</v>
      </c>
      <c r="AM294" s="78">
        <f t="shared" si="180"/>
        <v>0</v>
      </c>
      <c r="AN294" s="78">
        <f t="shared" si="181"/>
        <v>0</v>
      </c>
      <c r="AO294" s="78">
        <f t="shared" si="182"/>
        <v>0</v>
      </c>
      <c r="AP294" s="78">
        <f t="shared" si="183"/>
        <v>0</v>
      </c>
      <c r="AQ294" s="78">
        <f t="shared" si="184"/>
        <v>0</v>
      </c>
      <c r="AR294" s="78">
        <f t="shared" si="185"/>
        <v>0</v>
      </c>
      <c r="AS294" s="90">
        <f t="shared" si="186"/>
        <v>0</v>
      </c>
      <c r="AT294" s="91">
        <f t="shared" si="187"/>
        <v>0</v>
      </c>
      <c r="AV294" s="91">
        <f t="shared" si="188"/>
        <v>0</v>
      </c>
      <c r="AW294" s="78">
        <f t="shared" si="189"/>
        <v>0</v>
      </c>
      <c r="AX294" s="78">
        <f t="shared" si="190"/>
        <v>0</v>
      </c>
      <c r="AY294" s="78"/>
      <c r="AZ294" s="78">
        <f t="shared" si="191"/>
        <v>0</v>
      </c>
      <c r="BA294" s="78">
        <f t="shared" si="192"/>
        <v>0</v>
      </c>
      <c r="BB294" s="78">
        <f t="shared" si="193"/>
        <v>0</v>
      </c>
      <c r="BC294" s="78">
        <f t="shared" si="194"/>
        <v>0</v>
      </c>
      <c r="BD294" s="78">
        <f t="shared" si="195"/>
        <v>0</v>
      </c>
      <c r="BE294" s="78">
        <f t="shared" si="196"/>
        <v>0</v>
      </c>
      <c r="BF294" s="78">
        <f t="shared" si="197"/>
        <v>0</v>
      </c>
      <c r="BG294" s="78">
        <f t="shared" si="198"/>
        <v>0</v>
      </c>
      <c r="BH294" s="78">
        <f t="shared" si="199"/>
        <v>0</v>
      </c>
      <c r="BI294" s="78"/>
      <c r="BJ294" s="91">
        <f t="shared" si="200"/>
        <v>0</v>
      </c>
      <c r="BK294" s="91">
        <f t="shared" si="201"/>
        <v>0</v>
      </c>
      <c r="BL294" s="78"/>
      <c r="BM294" s="78">
        <f t="shared" si="202"/>
        <v>0</v>
      </c>
      <c r="BN294" s="78">
        <f t="shared" si="203"/>
        <v>0</v>
      </c>
      <c r="BO294" s="78">
        <f t="shared" si="204"/>
        <v>0</v>
      </c>
      <c r="BP294" s="78">
        <f t="shared" si="205"/>
        <v>0</v>
      </c>
      <c r="BQ294" s="78">
        <f t="shared" si="206"/>
        <v>0</v>
      </c>
      <c r="BR294" s="78">
        <f t="shared" si="207"/>
        <v>0</v>
      </c>
      <c r="BS294" s="78">
        <f t="shared" si="208"/>
        <v>0</v>
      </c>
      <c r="BT294" s="78">
        <f t="shared" si="209"/>
        <v>0</v>
      </c>
      <c r="BU294" s="91">
        <f t="shared" si="210"/>
        <v>0</v>
      </c>
      <c r="BV294" s="91">
        <f t="shared" si="211"/>
        <v>0</v>
      </c>
      <c r="BW294" s="78"/>
      <c r="BX294" s="78"/>
      <c r="BY294" s="78">
        <f t="shared" si="212"/>
        <v>0</v>
      </c>
      <c r="BZ294" s="78">
        <f t="shared" si="213"/>
        <v>0</v>
      </c>
      <c r="CA294" s="78">
        <f t="shared" si="214"/>
        <v>0</v>
      </c>
      <c r="CB294" s="78">
        <f t="shared" si="215"/>
        <v>0</v>
      </c>
      <c r="CC294" s="78">
        <f t="shared" si="216"/>
        <v>0</v>
      </c>
      <c r="CD294" s="78">
        <f t="shared" si="217"/>
        <v>0</v>
      </c>
      <c r="CE294" s="78">
        <f t="shared" si="218"/>
        <v>0</v>
      </c>
      <c r="CF294" s="78">
        <f t="shared" si="219"/>
        <v>0</v>
      </c>
      <c r="CG294" s="78"/>
      <c r="CH294" s="92">
        <f t="shared" si="220"/>
        <v>0</v>
      </c>
      <c r="CI294" s="93">
        <f t="shared" si="221"/>
        <v>0</v>
      </c>
      <c r="CJ294" s="94">
        <f t="shared" si="222"/>
        <v>0</v>
      </c>
      <c r="CL294" s="78">
        <f t="shared" si="223"/>
        <v>0</v>
      </c>
      <c r="CM294" s="78">
        <f t="shared" si="224"/>
        <v>0</v>
      </c>
      <c r="CN294" s="78">
        <f t="shared" si="225"/>
        <v>0</v>
      </c>
      <c r="CO294" s="78">
        <f t="shared" si="226"/>
        <v>0</v>
      </c>
    </row>
    <row r="295" spans="1:93" ht="13.5" thickBot="1">
      <c r="A295" s="95"/>
      <c r="B295" s="96"/>
      <c r="C295" s="97"/>
      <c r="D295" s="98"/>
      <c r="E295" s="99"/>
      <c r="F295" s="100"/>
      <c r="G295" s="100"/>
      <c r="H295" s="100"/>
      <c r="I295" s="100"/>
      <c r="J295" s="100"/>
      <c r="K295" s="101" t="str">
        <f t="shared" si="227"/>
        <v/>
      </c>
      <c r="L295" s="102"/>
      <c r="M295" s="103"/>
      <c r="N295" s="104"/>
      <c r="O295" s="105"/>
      <c r="P295" s="106">
        <f t="shared" si="228"/>
        <v>0</v>
      </c>
      <c r="Q295" s="106">
        <f t="shared" si="229"/>
        <v>0</v>
      </c>
      <c r="R295" s="106">
        <f t="shared" si="230"/>
        <v>0</v>
      </c>
      <c r="S295" s="106">
        <f t="shared" si="231"/>
        <v>0</v>
      </c>
      <c r="T295" s="107">
        <f t="shared" si="232"/>
        <v>0</v>
      </c>
      <c r="U295" s="78"/>
      <c r="AG295" s="108"/>
      <c r="AI295" s="78">
        <f t="shared" si="176"/>
        <v>0</v>
      </c>
      <c r="AJ295" s="78">
        <f t="shared" ref="AJ295:AJ299" si="233">AI295*M295</f>
        <v>0</v>
      </c>
      <c r="AK295" s="78">
        <f t="shared" si="178"/>
        <v>0</v>
      </c>
      <c r="AL295" s="78">
        <f t="shared" ref="AL295:AL299" si="234">IF(C295=$AM$19,AJ295-AK295,0)</f>
        <v>0</v>
      </c>
      <c r="AM295" s="78">
        <f t="shared" si="180"/>
        <v>0</v>
      </c>
      <c r="AN295" s="78">
        <f t="shared" ref="AN295:AN299" si="235">AM295*2.1%</f>
        <v>0</v>
      </c>
      <c r="AO295" s="78">
        <f t="shared" si="182"/>
        <v>0</v>
      </c>
      <c r="AP295" s="78">
        <f t="shared" si="183"/>
        <v>0</v>
      </c>
      <c r="AQ295" s="78">
        <f t="shared" si="184"/>
        <v>0</v>
      </c>
      <c r="AR295" s="78">
        <f t="shared" si="185"/>
        <v>0</v>
      </c>
      <c r="AS295" s="90">
        <f t="shared" si="186"/>
        <v>0</v>
      </c>
      <c r="AT295" s="91">
        <f t="shared" ref="AT295:AT299" si="236">AS295*M295</f>
        <v>0</v>
      </c>
      <c r="AV295" s="91">
        <f t="shared" si="188"/>
        <v>0</v>
      </c>
      <c r="AW295" s="78">
        <f t="shared" si="189"/>
        <v>0</v>
      </c>
      <c r="AX295" s="78">
        <f t="shared" ref="AX295:AX299" si="237">AW295*12%</f>
        <v>0</v>
      </c>
      <c r="AY295" s="78"/>
      <c r="AZ295" s="78">
        <f t="shared" si="191"/>
        <v>0</v>
      </c>
      <c r="BA295" s="78">
        <f t="shared" si="192"/>
        <v>0</v>
      </c>
      <c r="BB295" s="78">
        <f t="shared" ref="BB295:BB299" si="238">BA295*30%</f>
        <v>0</v>
      </c>
      <c r="BC295" s="78">
        <f t="shared" si="194"/>
        <v>0</v>
      </c>
      <c r="BD295" s="78">
        <f t="shared" ref="BD295:BD299" si="239">IF($C295=$AM$23,BB295-BC295,0)</f>
        <v>0</v>
      </c>
      <c r="BE295" s="78">
        <f t="shared" si="196"/>
        <v>0</v>
      </c>
      <c r="BF295" s="78">
        <f t="shared" ref="BF295:BF299" si="240">BE295*M295</f>
        <v>0</v>
      </c>
      <c r="BG295" s="78">
        <f t="shared" si="198"/>
        <v>0</v>
      </c>
      <c r="BH295" s="78">
        <f t="shared" ref="BH295:BH299" si="241">IF($C295=$AM$24,BF295-BG295,0)</f>
        <v>0</v>
      </c>
      <c r="BI295" s="78"/>
      <c r="BJ295" s="91">
        <f t="shared" si="200"/>
        <v>0</v>
      </c>
      <c r="BK295" s="91">
        <f t="shared" ref="BK295:BK299" si="242">BJ295*30%</f>
        <v>0</v>
      </c>
      <c r="BL295" s="78"/>
      <c r="BM295" s="78">
        <f t="shared" si="202"/>
        <v>0</v>
      </c>
      <c r="BN295" s="78">
        <f t="shared" ref="BN295:BN299" si="243">BM295*M295</f>
        <v>0</v>
      </c>
      <c r="BO295" s="78">
        <f t="shared" si="204"/>
        <v>0</v>
      </c>
      <c r="BP295" s="78">
        <f t="shared" ref="BP295:BP299" si="244">IF($C295=$AM$25,BN295-BO295,0)</f>
        <v>0</v>
      </c>
      <c r="BQ295" s="78">
        <f t="shared" si="206"/>
        <v>0</v>
      </c>
      <c r="BR295" s="78">
        <f t="shared" si="207"/>
        <v>0</v>
      </c>
      <c r="BS295" s="78">
        <f t="shared" si="208"/>
        <v>0</v>
      </c>
      <c r="BT295" s="78">
        <f t="shared" ref="BT295:BT299" si="245">IF($C295=$AM$26,BR295-BS295,0)</f>
        <v>0</v>
      </c>
      <c r="BU295" s="91">
        <f t="shared" si="210"/>
        <v>0</v>
      </c>
      <c r="BV295" s="91">
        <f t="shared" ref="BV295:BV299" si="246">BU295*33%</f>
        <v>0</v>
      </c>
      <c r="BW295" s="78"/>
      <c r="BX295" s="78"/>
      <c r="BY295" s="78">
        <f t="shared" si="212"/>
        <v>0</v>
      </c>
      <c r="BZ295" s="78">
        <f t="shared" si="213"/>
        <v>0</v>
      </c>
      <c r="CA295" s="78">
        <f t="shared" si="214"/>
        <v>0</v>
      </c>
      <c r="CB295" s="78">
        <f t="shared" ref="CB295:CB299" si="247">IF($C295=$AM$27,BZ295-CA295,0)</f>
        <v>0</v>
      </c>
      <c r="CC295" s="78">
        <f t="shared" si="216"/>
        <v>0</v>
      </c>
      <c r="CD295" s="78">
        <f t="shared" ref="CD295:CD299" si="248">CC295*$M295</f>
        <v>0</v>
      </c>
      <c r="CE295" s="78">
        <f t="shared" si="218"/>
        <v>0</v>
      </c>
      <c r="CF295" s="78">
        <f t="shared" ref="CF295:CF299" si="249">IF($C295=$AM$28,CD295-CE295,0)</f>
        <v>0</v>
      </c>
      <c r="CG295" s="78"/>
      <c r="CH295" s="92">
        <f t="shared" si="220"/>
        <v>0</v>
      </c>
      <c r="CI295" s="93">
        <f t="shared" si="221"/>
        <v>0</v>
      </c>
      <c r="CJ295" s="94">
        <f t="shared" si="222"/>
        <v>0</v>
      </c>
      <c r="CL295" s="78">
        <f t="shared" si="223"/>
        <v>0</v>
      </c>
      <c r="CM295" s="78">
        <f t="shared" ref="CM295:CM299" si="250">CL295*$M295</f>
        <v>0</v>
      </c>
      <c r="CN295" s="78">
        <f t="shared" si="225"/>
        <v>0</v>
      </c>
      <c r="CO295" s="78">
        <f t="shared" ref="CO295:CO299" si="251">IF($C295=$AM$31,CM295-CN295,0)</f>
        <v>0</v>
      </c>
    </row>
    <row r="296" spans="1:93" ht="13.5" thickBot="1">
      <c r="A296" s="95"/>
      <c r="B296" s="96"/>
      <c r="C296" s="97"/>
      <c r="D296" s="98"/>
      <c r="E296" s="99"/>
      <c r="F296" s="100"/>
      <c r="G296" s="100"/>
      <c r="H296" s="100"/>
      <c r="I296" s="100"/>
      <c r="J296" s="100"/>
      <c r="K296" s="101" t="str">
        <f t="shared" ref="K296:K299" si="252">IF(C296="","",(F296)+(G296)+(H296)+(I296)+(J296))</f>
        <v/>
      </c>
      <c r="L296" s="102"/>
      <c r="M296" s="103"/>
      <c r="N296" s="104"/>
      <c r="O296" s="105"/>
      <c r="P296" s="106">
        <f t="shared" si="228"/>
        <v>0</v>
      </c>
      <c r="Q296" s="106">
        <f t="shared" si="229"/>
        <v>0</v>
      </c>
      <c r="R296" s="106">
        <f t="shared" si="230"/>
        <v>0</v>
      </c>
      <c r="S296" s="106">
        <f t="shared" si="231"/>
        <v>0</v>
      </c>
      <c r="T296" s="107">
        <f t="shared" si="232"/>
        <v>0</v>
      </c>
      <c r="U296" s="78"/>
      <c r="AG296" s="108"/>
      <c r="AI296" s="78">
        <f t="shared" si="176"/>
        <v>0</v>
      </c>
      <c r="AJ296" s="78">
        <f t="shared" si="233"/>
        <v>0</v>
      </c>
      <c r="AK296" s="78">
        <f t="shared" si="178"/>
        <v>0</v>
      </c>
      <c r="AL296" s="78">
        <f t="shared" si="234"/>
        <v>0</v>
      </c>
      <c r="AM296" s="78">
        <f t="shared" si="180"/>
        <v>0</v>
      </c>
      <c r="AN296" s="78">
        <f t="shared" si="235"/>
        <v>0</v>
      </c>
      <c r="AO296" s="78">
        <f t="shared" si="182"/>
        <v>0</v>
      </c>
      <c r="AP296" s="78">
        <f t="shared" si="183"/>
        <v>0</v>
      </c>
      <c r="AQ296" s="78">
        <f t="shared" si="184"/>
        <v>0</v>
      </c>
      <c r="AR296" s="78">
        <f t="shared" si="185"/>
        <v>0</v>
      </c>
      <c r="AS296" s="90">
        <f t="shared" si="186"/>
        <v>0</v>
      </c>
      <c r="AT296" s="91">
        <f t="shared" si="236"/>
        <v>0</v>
      </c>
      <c r="AV296" s="91">
        <f t="shared" si="188"/>
        <v>0</v>
      </c>
      <c r="AW296" s="78">
        <f t="shared" si="189"/>
        <v>0</v>
      </c>
      <c r="AX296" s="78">
        <f t="shared" si="237"/>
        <v>0</v>
      </c>
      <c r="AY296" s="78"/>
      <c r="AZ296" s="78">
        <f t="shared" si="191"/>
        <v>0</v>
      </c>
      <c r="BA296" s="78">
        <f t="shared" si="192"/>
        <v>0</v>
      </c>
      <c r="BB296" s="78">
        <f t="shared" si="238"/>
        <v>0</v>
      </c>
      <c r="BC296" s="78">
        <f t="shared" si="194"/>
        <v>0</v>
      </c>
      <c r="BD296" s="78">
        <f t="shared" si="239"/>
        <v>0</v>
      </c>
      <c r="BE296" s="78">
        <f t="shared" si="196"/>
        <v>0</v>
      </c>
      <c r="BF296" s="78">
        <f t="shared" si="240"/>
        <v>0</v>
      </c>
      <c r="BG296" s="78">
        <f t="shared" si="198"/>
        <v>0</v>
      </c>
      <c r="BH296" s="78">
        <f t="shared" si="241"/>
        <v>0</v>
      </c>
      <c r="BI296" s="78"/>
      <c r="BJ296" s="91">
        <f t="shared" si="200"/>
        <v>0</v>
      </c>
      <c r="BK296" s="91">
        <f t="shared" si="242"/>
        <v>0</v>
      </c>
      <c r="BL296" s="78"/>
      <c r="BM296" s="78">
        <f t="shared" si="202"/>
        <v>0</v>
      </c>
      <c r="BN296" s="78">
        <f t="shared" si="243"/>
        <v>0</v>
      </c>
      <c r="BO296" s="78">
        <f t="shared" si="204"/>
        <v>0</v>
      </c>
      <c r="BP296" s="78">
        <f t="shared" si="244"/>
        <v>0</v>
      </c>
      <c r="BQ296" s="78">
        <f t="shared" si="206"/>
        <v>0</v>
      </c>
      <c r="BR296" s="78">
        <f t="shared" si="207"/>
        <v>0</v>
      </c>
      <c r="BS296" s="78">
        <f t="shared" si="208"/>
        <v>0</v>
      </c>
      <c r="BT296" s="78">
        <f t="shared" si="245"/>
        <v>0</v>
      </c>
      <c r="BU296" s="91">
        <f t="shared" si="210"/>
        <v>0</v>
      </c>
      <c r="BV296" s="91">
        <f t="shared" si="246"/>
        <v>0</v>
      </c>
      <c r="BW296" s="78"/>
      <c r="BX296" s="78"/>
      <c r="BY296" s="78">
        <f t="shared" si="212"/>
        <v>0</v>
      </c>
      <c r="BZ296" s="78">
        <f t="shared" si="213"/>
        <v>0</v>
      </c>
      <c r="CA296" s="78">
        <f t="shared" si="214"/>
        <v>0</v>
      </c>
      <c r="CB296" s="78">
        <f t="shared" si="247"/>
        <v>0</v>
      </c>
      <c r="CC296" s="78">
        <f t="shared" si="216"/>
        <v>0</v>
      </c>
      <c r="CD296" s="78">
        <f t="shared" si="248"/>
        <v>0</v>
      </c>
      <c r="CE296" s="78">
        <f t="shared" si="218"/>
        <v>0</v>
      </c>
      <c r="CF296" s="78">
        <f t="shared" si="249"/>
        <v>0</v>
      </c>
      <c r="CG296" s="78"/>
      <c r="CH296" s="92">
        <f t="shared" si="220"/>
        <v>0</v>
      </c>
      <c r="CI296" s="93">
        <f t="shared" si="221"/>
        <v>0</v>
      </c>
      <c r="CJ296" s="94">
        <f t="shared" si="222"/>
        <v>0</v>
      </c>
      <c r="CL296" s="78">
        <f t="shared" si="223"/>
        <v>0</v>
      </c>
      <c r="CM296" s="78">
        <f t="shared" si="250"/>
        <v>0</v>
      </c>
      <c r="CN296" s="78">
        <f t="shared" si="225"/>
        <v>0</v>
      </c>
      <c r="CO296" s="78">
        <f t="shared" si="251"/>
        <v>0</v>
      </c>
    </row>
    <row r="297" spans="1:93" ht="13.5" thickBot="1">
      <c r="A297" s="95"/>
      <c r="B297" s="96"/>
      <c r="C297" s="97"/>
      <c r="D297" s="98"/>
      <c r="E297" s="99"/>
      <c r="F297" s="100"/>
      <c r="G297" s="100"/>
      <c r="H297" s="100"/>
      <c r="I297" s="100"/>
      <c r="J297" s="100"/>
      <c r="K297" s="101" t="str">
        <f t="shared" si="252"/>
        <v/>
      </c>
      <c r="L297" s="102"/>
      <c r="M297" s="103"/>
      <c r="N297" s="104"/>
      <c r="O297" s="105"/>
      <c r="P297" s="106">
        <f t="shared" si="228"/>
        <v>0</v>
      </c>
      <c r="Q297" s="106">
        <f t="shared" si="229"/>
        <v>0</v>
      </c>
      <c r="R297" s="106">
        <f t="shared" si="230"/>
        <v>0</v>
      </c>
      <c r="S297" s="106">
        <f t="shared" si="231"/>
        <v>0</v>
      </c>
      <c r="T297" s="107">
        <f t="shared" si="232"/>
        <v>0</v>
      </c>
      <c r="U297" s="78"/>
      <c r="AG297" s="108"/>
      <c r="AI297" s="78">
        <f t="shared" si="176"/>
        <v>0</v>
      </c>
      <c r="AJ297" s="78">
        <f t="shared" si="233"/>
        <v>0</v>
      </c>
      <c r="AK297" s="78">
        <f t="shared" si="178"/>
        <v>0</v>
      </c>
      <c r="AL297" s="78">
        <f t="shared" si="234"/>
        <v>0</v>
      </c>
      <c r="AM297" s="78">
        <f t="shared" si="180"/>
        <v>0</v>
      </c>
      <c r="AN297" s="78">
        <f t="shared" si="235"/>
        <v>0</v>
      </c>
      <c r="AO297" s="78">
        <f t="shared" si="182"/>
        <v>0</v>
      </c>
      <c r="AP297" s="78">
        <f t="shared" si="183"/>
        <v>0</v>
      </c>
      <c r="AQ297" s="78">
        <f t="shared" si="184"/>
        <v>0</v>
      </c>
      <c r="AR297" s="78">
        <f t="shared" si="185"/>
        <v>0</v>
      </c>
      <c r="AS297" s="90">
        <f t="shared" si="186"/>
        <v>0</v>
      </c>
      <c r="AT297" s="91">
        <f t="shared" si="236"/>
        <v>0</v>
      </c>
      <c r="AV297" s="91">
        <f t="shared" si="188"/>
        <v>0</v>
      </c>
      <c r="AW297" s="78">
        <f t="shared" si="189"/>
        <v>0</v>
      </c>
      <c r="AX297" s="78">
        <f t="shared" si="237"/>
        <v>0</v>
      </c>
      <c r="AY297" s="78"/>
      <c r="AZ297" s="78">
        <f t="shared" si="191"/>
        <v>0</v>
      </c>
      <c r="BA297" s="78">
        <f t="shared" si="192"/>
        <v>0</v>
      </c>
      <c r="BB297" s="78">
        <f t="shared" si="238"/>
        <v>0</v>
      </c>
      <c r="BC297" s="78">
        <f t="shared" si="194"/>
        <v>0</v>
      </c>
      <c r="BD297" s="78">
        <f t="shared" si="239"/>
        <v>0</v>
      </c>
      <c r="BE297" s="78">
        <f t="shared" si="196"/>
        <v>0</v>
      </c>
      <c r="BF297" s="78">
        <f t="shared" si="240"/>
        <v>0</v>
      </c>
      <c r="BG297" s="78">
        <f t="shared" si="198"/>
        <v>0</v>
      </c>
      <c r="BH297" s="78">
        <f t="shared" si="241"/>
        <v>0</v>
      </c>
      <c r="BI297" s="78"/>
      <c r="BJ297" s="91">
        <f t="shared" si="200"/>
        <v>0</v>
      </c>
      <c r="BK297" s="91">
        <f t="shared" si="242"/>
        <v>0</v>
      </c>
      <c r="BL297" s="78"/>
      <c r="BM297" s="78">
        <f t="shared" si="202"/>
        <v>0</v>
      </c>
      <c r="BN297" s="78">
        <f t="shared" si="243"/>
        <v>0</v>
      </c>
      <c r="BO297" s="78">
        <f t="shared" si="204"/>
        <v>0</v>
      </c>
      <c r="BP297" s="78">
        <f t="shared" si="244"/>
        <v>0</v>
      </c>
      <c r="BQ297" s="78">
        <f t="shared" si="206"/>
        <v>0</v>
      </c>
      <c r="BR297" s="78">
        <f t="shared" si="207"/>
        <v>0</v>
      </c>
      <c r="BS297" s="78">
        <f t="shared" si="208"/>
        <v>0</v>
      </c>
      <c r="BT297" s="78">
        <f t="shared" si="245"/>
        <v>0</v>
      </c>
      <c r="BU297" s="91">
        <f t="shared" si="210"/>
        <v>0</v>
      </c>
      <c r="BV297" s="91">
        <f t="shared" si="246"/>
        <v>0</v>
      </c>
      <c r="BW297" s="78"/>
      <c r="BX297" s="78"/>
      <c r="BY297" s="78">
        <f t="shared" si="212"/>
        <v>0</v>
      </c>
      <c r="BZ297" s="78">
        <f t="shared" si="213"/>
        <v>0</v>
      </c>
      <c r="CA297" s="78">
        <f t="shared" si="214"/>
        <v>0</v>
      </c>
      <c r="CB297" s="78">
        <f t="shared" si="247"/>
        <v>0</v>
      </c>
      <c r="CC297" s="78">
        <f t="shared" si="216"/>
        <v>0</v>
      </c>
      <c r="CD297" s="78">
        <f t="shared" si="248"/>
        <v>0</v>
      </c>
      <c r="CE297" s="78">
        <f t="shared" si="218"/>
        <v>0</v>
      </c>
      <c r="CF297" s="78">
        <f t="shared" si="249"/>
        <v>0</v>
      </c>
      <c r="CG297" s="78"/>
      <c r="CH297" s="92">
        <f t="shared" si="220"/>
        <v>0</v>
      </c>
      <c r="CI297" s="93">
        <f t="shared" si="221"/>
        <v>0</v>
      </c>
      <c r="CJ297" s="94">
        <f t="shared" si="222"/>
        <v>0</v>
      </c>
      <c r="CL297" s="78">
        <f t="shared" si="223"/>
        <v>0</v>
      </c>
      <c r="CM297" s="78">
        <f t="shared" si="250"/>
        <v>0</v>
      </c>
      <c r="CN297" s="78">
        <f t="shared" si="225"/>
        <v>0</v>
      </c>
      <c r="CO297" s="78">
        <f t="shared" si="251"/>
        <v>0</v>
      </c>
    </row>
    <row r="298" spans="1:93" ht="13.5" thickBot="1">
      <c r="A298" s="95"/>
      <c r="B298" s="96"/>
      <c r="C298" s="97"/>
      <c r="D298" s="98"/>
      <c r="E298" s="99"/>
      <c r="F298" s="100"/>
      <c r="G298" s="100"/>
      <c r="H298" s="100"/>
      <c r="I298" s="100"/>
      <c r="J298" s="100"/>
      <c r="K298" s="101" t="str">
        <f t="shared" si="252"/>
        <v/>
      </c>
      <c r="L298" s="102"/>
      <c r="M298" s="103"/>
      <c r="N298" s="104"/>
      <c r="O298" s="105"/>
      <c r="P298" s="106">
        <f t="shared" si="228"/>
        <v>0</v>
      </c>
      <c r="Q298" s="106">
        <f t="shared" si="229"/>
        <v>0</v>
      </c>
      <c r="R298" s="106">
        <f t="shared" si="230"/>
        <v>0</v>
      </c>
      <c r="S298" s="106">
        <f t="shared" si="231"/>
        <v>0</v>
      </c>
      <c r="T298" s="107">
        <f t="shared" si="232"/>
        <v>0</v>
      </c>
      <c r="U298" s="78"/>
      <c r="AG298" s="108"/>
      <c r="AI298" s="78">
        <f t="shared" si="176"/>
        <v>0</v>
      </c>
      <c r="AJ298" s="78">
        <f t="shared" si="233"/>
        <v>0</v>
      </c>
      <c r="AK298" s="78">
        <f t="shared" si="178"/>
        <v>0</v>
      </c>
      <c r="AL298" s="78">
        <f t="shared" si="234"/>
        <v>0</v>
      </c>
      <c r="AM298" s="78">
        <f t="shared" si="180"/>
        <v>0</v>
      </c>
      <c r="AN298" s="78">
        <f t="shared" si="235"/>
        <v>0</v>
      </c>
      <c r="AO298" s="78">
        <f t="shared" si="182"/>
        <v>0</v>
      </c>
      <c r="AP298" s="78">
        <f t="shared" si="183"/>
        <v>0</v>
      </c>
      <c r="AQ298" s="78">
        <f t="shared" si="184"/>
        <v>0</v>
      </c>
      <c r="AR298" s="78">
        <f t="shared" si="185"/>
        <v>0</v>
      </c>
      <c r="AS298" s="90">
        <f t="shared" si="186"/>
        <v>0</v>
      </c>
      <c r="AT298" s="91">
        <f t="shared" si="236"/>
        <v>0</v>
      </c>
      <c r="AV298" s="91">
        <f t="shared" si="188"/>
        <v>0</v>
      </c>
      <c r="AW298" s="78">
        <f t="shared" si="189"/>
        <v>0</v>
      </c>
      <c r="AX298" s="78">
        <f t="shared" si="237"/>
        <v>0</v>
      </c>
      <c r="AY298" s="78"/>
      <c r="AZ298" s="78">
        <f t="shared" si="191"/>
        <v>0</v>
      </c>
      <c r="BA298" s="78">
        <f t="shared" si="192"/>
        <v>0</v>
      </c>
      <c r="BB298" s="78">
        <f t="shared" si="238"/>
        <v>0</v>
      </c>
      <c r="BC298" s="78">
        <f t="shared" si="194"/>
        <v>0</v>
      </c>
      <c r="BD298" s="78">
        <f t="shared" si="239"/>
        <v>0</v>
      </c>
      <c r="BE298" s="78">
        <f t="shared" si="196"/>
        <v>0</v>
      </c>
      <c r="BF298" s="78">
        <f t="shared" si="240"/>
        <v>0</v>
      </c>
      <c r="BG298" s="78">
        <f t="shared" si="198"/>
        <v>0</v>
      </c>
      <c r="BH298" s="78">
        <f t="shared" si="241"/>
        <v>0</v>
      </c>
      <c r="BI298" s="78"/>
      <c r="BJ298" s="91">
        <f t="shared" si="200"/>
        <v>0</v>
      </c>
      <c r="BK298" s="91">
        <f t="shared" si="242"/>
        <v>0</v>
      </c>
      <c r="BL298" s="78"/>
      <c r="BM298" s="78">
        <f t="shared" si="202"/>
        <v>0</v>
      </c>
      <c r="BN298" s="78">
        <f t="shared" si="243"/>
        <v>0</v>
      </c>
      <c r="BO298" s="78">
        <f t="shared" si="204"/>
        <v>0</v>
      </c>
      <c r="BP298" s="78">
        <f t="shared" si="244"/>
        <v>0</v>
      </c>
      <c r="BQ298" s="78">
        <f t="shared" si="206"/>
        <v>0</v>
      </c>
      <c r="BR298" s="78">
        <f t="shared" si="207"/>
        <v>0</v>
      </c>
      <c r="BS298" s="78">
        <f t="shared" si="208"/>
        <v>0</v>
      </c>
      <c r="BT298" s="78">
        <f t="shared" si="245"/>
        <v>0</v>
      </c>
      <c r="BU298" s="91">
        <f t="shared" si="210"/>
        <v>0</v>
      </c>
      <c r="BV298" s="91">
        <f t="shared" si="246"/>
        <v>0</v>
      </c>
      <c r="BW298" s="78"/>
      <c r="BX298" s="78"/>
      <c r="BY298" s="78">
        <f t="shared" si="212"/>
        <v>0</v>
      </c>
      <c r="BZ298" s="78">
        <f t="shared" si="213"/>
        <v>0</v>
      </c>
      <c r="CA298" s="78">
        <f t="shared" si="214"/>
        <v>0</v>
      </c>
      <c r="CB298" s="78">
        <f t="shared" si="247"/>
        <v>0</v>
      </c>
      <c r="CC298" s="78">
        <f t="shared" si="216"/>
        <v>0</v>
      </c>
      <c r="CD298" s="78">
        <f t="shared" si="248"/>
        <v>0</v>
      </c>
      <c r="CE298" s="78">
        <f t="shared" si="218"/>
        <v>0</v>
      </c>
      <c r="CF298" s="78">
        <f t="shared" si="249"/>
        <v>0</v>
      </c>
      <c r="CG298" s="78"/>
      <c r="CH298" s="92">
        <f t="shared" si="220"/>
        <v>0</v>
      </c>
      <c r="CI298" s="93">
        <f t="shared" si="221"/>
        <v>0</v>
      </c>
      <c r="CJ298" s="94">
        <f t="shared" si="222"/>
        <v>0</v>
      </c>
      <c r="CL298" s="78">
        <f t="shared" si="223"/>
        <v>0</v>
      </c>
      <c r="CM298" s="78">
        <f t="shared" si="250"/>
        <v>0</v>
      </c>
      <c r="CN298" s="78">
        <f t="shared" si="225"/>
        <v>0</v>
      </c>
      <c r="CO298" s="78">
        <f t="shared" si="251"/>
        <v>0</v>
      </c>
    </row>
    <row r="299" spans="1:93" ht="12.75">
      <c r="A299" s="95"/>
      <c r="B299" s="96"/>
      <c r="C299" s="97"/>
      <c r="D299" s="98"/>
      <c r="E299" s="99"/>
      <c r="F299" s="100"/>
      <c r="G299" s="100"/>
      <c r="H299" s="100"/>
      <c r="I299" s="100"/>
      <c r="J299" s="100"/>
      <c r="K299" s="101" t="str">
        <f t="shared" si="252"/>
        <v/>
      </c>
      <c r="L299" s="102"/>
      <c r="M299" s="103"/>
      <c r="N299" s="104"/>
      <c r="O299" s="105"/>
      <c r="P299" s="106">
        <f t="shared" si="228"/>
        <v>0</v>
      </c>
      <c r="Q299" s="106">
        <f t="shared" si="229"/>
        <v>0</v>
      </c>
      <c r="R299" s="106">
        <f t="shared" si="230"/>
        <v>0</v>
      </c>
      <c r="S299" s="106">
        <f t="shared" si="231"/>
        <v>0</v>
      </c>
      <c r="T299" s="107">
        <f t="shared" si="232"/>
        <v>0</v>
      </c>
      <c r="U299" s="78"/>
      <c r="AG299" s="108"/>
      <c r="AI299" s="78">
        <f t="shared" si="176"/>
        <v>0</v>
      </c>
      <c r="AJ299" s="78">
        <f t="shared" si="233"/>
        <v>0</v>
      </c>
      <c r="AK299" s="78">
        <f t="shared" si="178"/>
        <v>0</v>
      </c>
      <c r="AL299" s="78">
        <f t="shared" si="234"/>
        <v>0</v>
      </c>
      <c r="AM299" s="78">
        <f t="shared" si="180"/>
        <v>0</v>
      </c>
      <c r="AN299" s="78">
        <f t="shared" si="235"/>
        <v>0</v>
      </c>
      <c r="AO299" s="78">
        <f t="shared" si="182"/>
        <v>0</v>
      </c>
      <c r="AP299" s="78">
        <f t="shared" si="183"/>
        <v>0</v>
      </c>
      <c r="AQ299" s="78">
        <f t="shared" si="184"/>
        <v>0</v>
      </c>
      <c r="AR299" s="78">
        <f t="shared" si="185"/>
        <v>0</v>
      </c>
      <c r="AS299" s="90">
        <f t="shared" si="186"/>
        <v>0</v>
      </c>
      <c r="AT299" s="91">
        <f t="shared" si="236"/>
        <v>0</v>
      </c>
      <c r="AV299" s="91">
        <f t="shared" si="188"/>
        <v>0</v>
      </c>
      <c r="AW299" s="78">
        <f t="shared" si="189"/>
        <v>0</v>
      </c>
      <c r="AX299" s="78">
        <f t="shared" si="237"/>
        <v>0</v>
      </c>
      <c r="AY299" s="78"/>
      <c r="AZ299" s="78">
        <f t="shared" si="191"/>
        <v>0</v>
      </c>
      <c r="BA299" s="78">
        <f t="shared" si="192"/>
        <v>0</v>
      </c>
      <c r="BB299" s="78">
        <f t="shared" si="238"/>
        <v>0</v>
      </c>
      <c r="BC299" s="78">
        <f t="shared" si="194"/>
        <v>0</v>
      </c>
      <c r="BD299" s="78">
        <f t="shared" si="239"/>
        <v>0</v>
      </c>
      <c r="BE299" s="78">
        <f t="shared" si="196"/>
        <v>0</v>
      </c>
      <c r="BF299" s="78">
        <f t="shared" si="240"/>
        <v>0</v>
      </c>
      <c r="BG299" s="78">
        <f t="shared" si="198"/>
        <v>0</v>
      </c>
      <c r="BH299" s="78">
        <f t="shared" si="241"/>
        <v>0</v>
      </c>
      <c r="BI299" s="78"/>
      <c r="BJ299" s="91">
        <f t="shared" si="200"/>
        <v>0</v>
      </c>
      <c r="BK299" s="91">
        <f t="shared" si="242"/>
        <v>0</v>
      </c>
      <c r="BL299" s="78"/>
      <c r="BM299" s="78">
        <f t="shared" si="202"/>
        <v>0</v>
      </c>
      <c r="BN299" s="78">
        <f t="shared" si="243"/>
        <v>0</v>
      </c>
      <c r="BO299" s="78">
        <f t="shared" si="204"/>
        <v>0</v>
      </c>
      <c r="BP299" s="78">
        <f t="shared" si="244"/>
        <v>0</v>
      </c>
      <c r="BQ299" s="78">
        <f t="shared" si="206"/>
        <v>0</v>
      </c>
      <c r="BR299" s="78">
        <f t="shared" si="207"/>
        <v>0</v>
      </c>
      <c r="BS299" s="78">
        <f t="shared" si="208"/>
        <v>0</v>
      </c>
      <c r="BT299" s="78">
        <f t="shared" si="245"/>
        <v>0</v>
      </c>
      <c r="BU299" s="91">
        <f t="shared" si="210"/>
        <v>0</v>
      </c>
      <c r="BV299" s="91">
        <f t="shared" si="246"/>
        <v>0</v>
      </c>
      <c r="BW299" s="78"/>
      <c r="BX299" s="78"/>
      <c r="BY299" s="78">
        <f t="shared" si="212"/>
        <v>0</v>
      </c>
      <c r="BZ299" s="78">
        <f t="shared" si="213"/>
        <v>0</v>
      </c>
      <c r="CA299" s="78">
        <f t="shared" si="214"/>
        <v>0</v>
      </c>
      <c r="CB299" s="78">
        <f t="shared" si="247"/>
        <v>0</v>
      </c>
      <c r="CC299" s="78">
        <f t="shared" si="216"/>
        <v>0</v>
      </c>
      <c r="CD299" s="78">
        <f t="shared" si="248"/>
        <v>0</v>
      </c>
      <c r="CE299" s="78">
        <f t="shared" si="218"/>
        <v>0</v>
      </c>
      <c r="CF299" s="78">
        <f t="shared" si="249"/>
        <v>0</v>
      </c>
      <c r="CG299" s="78"/>
      <c r="CH299" s="92">
        <f t="shared" si="220"/>
        <v>0</v>
      </c>
      <c r="CI299" s="93">
        <f t="shared" si="221"/>
        <v>0</v>
      </c>
      <c r="CJ299" s="94">
        <f t="shared" si="222"/>
        <v>0</v>
      </c>
      <c r="CL299" s="78">
        <f t="shared" si="223"/>
        <v>0</v>
      </c>
      <c r="CM299" s="78">
        <f t="shared" si="250"/>
        <v>0</v>
      </c>
      <c r="CN299" s="78">
        <f t="shared" si="225"/>
        <v>0</v>
      </c>
      <c r="CO299" s="78">
        <f t="shared" si="251"/>
        <v>0</v>
      </c>
    </row>
    <row r="300" spans="1:93" ht="12.75" hidden="1">
      <c r="S300" s="111"/>
      <c r="U300" s="112"/>
      <c r="AG300" s="108"/>
    </row>
    <row r="301" spans="1:93" ht="12.75" hidden="1">
      <c r="S301" s="111"/>
      <c r="U301" s="112"/>
      <c r="AG301" s="108"/>
    </row>
    <row r="302" spans="1:93" ht="12.75" hidden="1">
      <c r="S302" s="111"/>
      <c r="U302" s="112"/>
      <c r="AG302" s="108"/>
    </row>
    <row r="303" spans="1:93" ht="12.75" hidden="1">
      <c r="S303" s="111"/>
      <c r="U303" s="112"/>
      <c r="AG303" s="108"/>
    </row>
    <row r="304" spans="1:93" ht="12.75" hidden="1">
      <c r="S304" s="111"/>
      <c r="U304" s="112"/>
      <c r="AG304" s="108"/>
    </row>
    <row r="305" spans="19:33" customFormat="1" ht="12.75" hidden="1">
      <c r="S305" s="111"/>
      <c r="T305" s="110"/>
      <c r="U305" s="112"/>
      <c r="AG305" s="108"/>
    </row>
    <row r="306" spans="19:33" customFormat="1" ht="12.75" hidden="1">
      <c r="S306" s="111"/>
      <c r="T306" s="110"/>
      <c r="U306" s="112"/>
      <c r="AG306" s="108"/>
    </row>
    <row r="307" spans="19:33" customFormat="1" ht="12.75" hidden="1">
      <c r="S307" s="111"/>
      <c r="T307" s="110"/>
      <c r="U307" s="112"/>
      <c r="AG307" s="108"/>
    </row>
    <row r="308" spans="19:33" customFormat="1" ht="12.75" hidden="1">
      <c r="S308" s="111"/>
      <c r="T308" s="110"/>
      <c r="U308" s="112"/>
      <c r="AG308" s="108"/>
    </row>
    <row r="309" spans="19:33" customFormat="1" ht="12.75" hidden="1">
      <c r="S309" s="111"/>
      <c r="T309" s="110"/>
      <c r="U309" s="112"/>
      <c r="AG309" s="108"/>
    </row>
    <row r="310" spans="19:33" customFormat="1" ht="12.75" hidden="1">
      <c r="S310" s="111"/>
      <c r="T310" s="110"/>
      <c r="U310" s="112"/>
      <c r="AG310" s="108"/>
    </row>
    <row r="311" spans="19:33" customFormat="1" ht="12.75" hidden="1">
      <c r="S311" s="111"/>
      <c r="T311" s="110"/>
      <c r="U311" s="112"/>
      <c r="AG311" s="108"/>
    </row>
    <row r="312" spans="19:33" customFormat="1" ht="12.75" hidden="1">
      <c r="S312" s="111"/>
      <c r="T312" s="110"/>
      <c r="U312" s="112"/>
      <c r="AG312" s="108"/>
    </row>
    <row r="313" spans="19:33" customFormat="1" ht="12.75" hidden="1">
      <c r="S313" s="111"/>
      <c r="T313" s="110"/>
      <c r="U313" s="112"/>
      <c r="AG313" s="108"/>
    </row>
    <row r="314" spans="19:33" customFormat="1" ht="12.75" hidden="1">
      <c r="S314" s="111"/>
      <c r="T314" s="110"/>
      <c r="U314" s="112"/>
      <c r="AG314" s="108"/>
    </row>
    <row r="315" spans="19:33" customFormat="1" ht="12.75" hidden="1">
      <c r="S315" s="111"/>
      <c r="T315" s="110"/>
      <c r="U315" s="112"/>
      <c r="AG315" s="108"/>
    </row>
    <row r="316" spans="19:33" customFormat="1" ht="12.75" hidden="1">
      <c r="S316" s="111"/>
      <c r="T316" s="110"/>
      <c r="U316" s="112"/>
      <c r="AG316" s="108"/>
    </row>
    <row r="317" spans="19:33" customFormat="1" ht="12.75" hidden="1">
      <c r="S317" s="111"/>
      <c r="T317" s="110"/>
      <c r="U317" s="112"/>
      <c r="AG317" s="108"/>
    </row>
    <row r="318" spans="19:33" customFormat="1" ht="12.75" hidden="1">
      <c r="S318" s="111"/>
      <c r="T318" s="110"/>
      <c r="U318" s="112"/>
      <c r="AG318" s="108"/>
    </row>
    <row r="319" spans="19:33" customFormat="1" ht="12.75" hidden="1">
      <c r="S319" s="111"/>
      <c r="T319" s="110"/>
      <c r="U319" s="112"/>
      <c r="AG319" s="108"/>
    </row>
    <row r="320" spans="19:33" customFormat="1" ht="12.75" hidden="1">
      <c r="S320" s="111"/>
      <c r="T320" s="110"/>
      <c r="U320" s="112"/>
      <c r="AG320" s="108"/>
    </row>
    <row r="321" spans="19:33" customFormat="1" ht="12.75" hidden="1">
      <c r="S321" s="111"/>
      <c r="T321" s="110"/>
      <c r="U321" s="112"/>
      <c r="AG321" s="108"/>
    </row>
    <row r="322" spans="19:33" customFormat="1" ht="12.75" hidden="1">
      <c r="S322" s="111"/>
      <c r="T322" s="110"/>
      <c r="U322" s="112"/>
      <c r="AG322" s="108"/>
    </row>
    <row r="323" spans="19:33" customFormat="1" ht="12.75" hidden="1">
      <c r="S323" s="111"/>
      <c r="T323" s="110"/>
      <c r="U323" s="112"/>
      <c r="AG323" s="108"/>
    </row>
    <row r="324" spans="19:33" customFormat="1" ht="12.75" hidden="1">
      <c r="S324" s="111"/>
      <c r="T324" s="110"/>
      <c r="U324" s="112"/>
      <c r="AG324" s="108"/>
    </row>
    <row r="325" spans="19:33" customFormat="1" ht="12.75" hidden="1">
      <c r="S325" s="111"/>
      <c r="T325" s="110"/>
      <c r="U325" s="112"/>
      <c r="AG325" s="108"/>
    </row>
    <row r="326" spans="19:33" customFormat="1" ht="12.75" hidden="1">
      <c r="S326" s="111"/>
      <c r="T326" s="110"/>
      <c r="U326" s="112"/>
      <c r="AG326" s="108"/>
    </row>
    <row r="327" spans="19:33" customFormat="1" ht="12.75" hidden="1">
      <c r="S327" s="111"/>
      <c r="T327" s="110"/>
      <c r="U327" s="112"/>
      <c r="AG327" s="108"/>
    </row>
    <row r="328" spans="19:33" customFormat="1" ht="12.75" hidden="1">
      <c r="S328" s="111"/>
      <c r="T328" s="110"/>
      <c r="U328" s="112"/>
      <c r="AG328" s="108"/>
    </row>
    <row r="329" spans="19:33" customFormat="1" ht="12.75" hidden="1">
      <c r="S329" s="111"/>
      <c r="T329" s="110"/>
      <c r="U329" s="112"/>
      <c r="AG329" s="108"/>
    </row>
    <row r="330" spans="19:33" customFormat="1" ht="12.75" hidden="1">
      <c r="S330" s="111"/>
      <c r="T330" s="110"/>
      <c r="U330" s="112"/>
      <c r="AG330" s="108"/>
    </row>
    <row r="331" spans="19:33" customFormat="1" ht="12.75" hidden="1">
      <c r="S331" s="111"/>
      <c r="T331" s="110"/>
      <c r="U331" s="112"/>
      <c r="AG331" s="108"/>
    </row>
    <row r="332" spans="19:33" customFormat="1" ht="12.75" hidden="1">
      <c r="S332" s="111"/>
      <c r="T332" s="110"/>
      <c r="U332" s="112"/>
      <c r="AG332" s="108"/>
    </row>
    <row r="333" spans="19:33" customFormat="1" ht="12.75" hidden="1">
      <c r="S333" s="111"/>
      <c r="T333" s="110"/>
      <c r="U333" s="112"/>
      <c r="AG333" s="108"/>
    </row>
    <row r="334" spans="19:33" customFormat="1" ht="12.75" hidden="1">
      <c r="S334" s="111"/>
      <c r="T334" s="110"/>
      <c r="U334" s="112"/>
      <c r="AG334" s="108"/>
    </row>
    <row r="335" spans="19:33" customFormat="1" ht="12.75" hidden="1">
      <c r="S335" s="111"/>
      <c r="T335" s="110"/>
      <c r="U335" s="112"/>
      <c r="AG335" s="108"/>
    </row>
    <row r="336" spans="19:33" customFormat="1" ht="12.75" hidden="1">
      <c r="S336" s="111"/>
      <c r="T336" s="110"/>
      <c r="U336" s="112"/>
      <c r="AG336" s="108"/>
    </row>
    <row r="337" spans="19:33" customFormat="1" ht="12.75" hidden="1">
      <c r="S337" s="111"/>
      <c r="T337" s="110"/>
      <c r="U337" s="112"/>
      <c r="AG337" s="108"/>
    </row>
    <row r="338" spans="19:33" customFormat="1" ht="12.75" hidden="1">
      <c r="S338" s="111"/>
      <c r="T338" s="110"/>
      <c r="U338" s="112"/>
      <c r="AG338" s="108"/>
    </row>
    <row r="339" spans="19:33" customFormat="1" ht="12.75" hidden="1">
      <c r="S339" s="111"/>
      <c r="T339" s="110"/>
      <c r="U339" s="112"/>
      <c r="AG339" s="108"/>
    </row>
    <row r="340" spans="19:33" customFormat="1" ht="12.75" hidden="1">
      <c r="S340" s="111"/>
      <c r="T340" s="110"/>
      <c r="U340" s="112"/>
      <c r="AG340" s="108"/>
    </row>
    <row r="341" spans="19:33" customFormat="1" ht="12.75" hidden="1">
      <c r="S341" s="111"/>
      <c r="T341" s="110"/>
      <c r="U341" s="112"/>
      <c r="AG341" s="108"/>
    </row>
    <row r="342" spans="19:33" customFormat="1" ht="12.75" hidden="1">
      <c r="S342" s="111"/>
      <c r="T342" s="110"/>
      <c r="U342" s="112"/>
      <c r="AG342" s="108"/>
    </row>
    <row r="343" spans="19:33" customFormat="1" ht="12.75" hidden="1">
      <c r="S343" s="111"/>
      <c r="T343" s="110"/>
      <c r="U343" s="112"/>
      <c r="AG343" s="108"/>
    </row>
    <row r="344" spans="19:33" customFormat="1" ht="12.75" hidden="1">
      <c r="S344" s="111"/>
      <c r="T344" s="110"/>
      <c r="U344" s="112"/>
      <c r="AG344" s="108"/>
    </row>
    <row r="345" spans="19:33" customFormat="1" ht="12.75" hidden="1">
      <c r="S345" s="111"/>
      <c r="T345" s="110"/>
      <c r="U345" s="112"/>
      <c r="AG345" s="108"/>
    </row>
    <row r="346" spans="19:33" customFormat="1" ht="12.75" hidden="1">
      <c r="S346" s="111"/>
      <c r="T346" s="110"/>
      <c r="U346" s="112"/>
      <c r="AG346" s="108"/>
    </row>
    <row r="347" spans="19:33" customFormat="1" ht="12.75" hidden="1">
      <c r="S347" s="111"/>
      <c r="T347" s="110"/>
      <c r="U347" s="112"/>
      <c r="AG347" s="108"/>
    </row>
    <row r="348" spans="19:33" customFormat="1" ht="12.75" hidden="1">
      <c r="S348" s="111"/>
      <c r="T348" s="110"/>
      <c r="U348" s="112"/>
      <c r="AG348" s="108"/>
    </row>
    <row r="349" spans="19:33" customFormat="1" ht="12.75" hidden="1">
      <c r="S349" s="111"/>
      <c r="T349" s="110"/>
      <c r="U349" s="112"/>
      <c r="AG349" s="108"/>
    </row>
    <row r="350" spans="19:33" customFormat="1" ht="12.75" hidden="1">
      <c r="S350" s="111"/>
      <c r="T350" s="110"/>
      <c r="U350" s="112"/>
      <c r="AG350" s="108"/>
    </row>
    <row r="351" spans="19:33" customFormat="1" ht="12.75" hidden="1">
      <c r="S351" s="111"/>
      <c r="T351" s="110"/>
      <c r="U351" s="112"/>
      <c r="AG351" s="108"/>
    </row>
    <row r="352" spans="19:33" customFormat="1" ht="12.75" hidden="1">
      <c r="S352" s="111"/>
      <c r="T352" s="110"/>
      <c r="U352" s="112"/>
      <c r="AG352" s="108"/>
    </row>
    <row r="353" spans="19:33" customFormat="1" ht="12.75" hidden="1">
      <c r="S353" s="111"/>
      <c r="T353" s="110"/>
      <c r="U353" s="112"/>
      <c r="AG353" s="108"/>
    </row>
    <row r="354" spans="19:33" customFormat="1" ht="12.75" hidden="1">
      <c r="S354" s="111"/>
      <c r="T354" s="110"/>
      <c r="U354" s="112"/>
      <c r="AG354" s="108"/>
    </row>
    <row r="355" spans="19:33" customFormat="1" ht="12.75" hidden="1">
      <c r="S355" s="111"/>
      <c r="T355" s="110"/>
      <c r="U355" s="112"/>
      <c r="AG355" s="108"/>
    </row>
    <row r="356" spans="19:33" customFormat="1" ht="12.75" hidden="1">
      <c r="S356" s="111"/>
      <c r="T356" s="110"/>
      <c r="U356" s="112"/>
      <c r="AG356" s="108"/>
    </row>
    <row r="357" spans="19:33" customFormat="1" ht="12.75" hidden="1">
      <c r="S357" s="111"/>
      <c r="T357" s="110"/>
      <c r="U357" s="112"/>
      <c r="AG357" s="108"/>
    </row>
    <row r="358" spans="19:33" customFormat="1" ht="12.75" hidden="1">
      <c r="S358" s="111"/>
      <c r="T358" s="110"/>
      <c r="U358" s="112"/>
      <c r="AG358" s="108"/>
    </row>
    <row r="359" spans="19:33" customFormat="1" ht="12.75" hidden="1">
      <c r="S359" s="111"/>
      <c r="T359" s="110"/>
      <c r="U359" s="112"/>
      <c r="AG359" s="108"/>
    </row>
    <row r="360" spans="19:33" customFormat="1" ht="12.75" hidden="1">
      <c r="S360" s="111"/>
      <c r="T360" s="110"/>
      <c r="U360" s="112"/>
      <c r="AG360" s="108"/>
    </row>
    <row r="361" spans="19:33" customFormat="1" ht="12.75" hidden="1">
      <c r="S361" s="111"/>
      <c r="T361" s="110"/>
      <c r="U361" s="112"/>
      <c r="AG361" s="108"/>
    </row>
    <row r="362" spans="19:33" customFormat="1" ht="12.75" hidden="1">
      <c r="S362" s="111"/>
      <c r="T362" s="110"/>
      <c r="U362" s="112"/>
      <c r="AG362" s="108"/>
    </row>
    <row r="363" spans="19:33" customFormat="1" ht="12.75" hidden="1">
      <c r="S363" s="111"/>
      <c r="T363" s="110"/>
      <c r="U363" s="112"/>
      <c r="AG363" s="108"/>
    </row>
    <row r="364" spans="19:33" customFormat="1" ht="12.75" hidden="1">
      <c r="S364" s="111"/>
      <c r="T364" s="110"/>
      <c r="U364" s="112"/>
      <c r="AG364" s="108"/>
    </row>
    <row r="365" spans="19:33" customFormat="1" ht="12.75" hidden="1">
      <c r="S365" s="111"/>
      <c r="T365" s="110"/>
      <c r="U365" s="112"/>
      <c r="AG365" s="108"/>
    </row>
    <row r="366" spans="19:33" customFormat="1" ht="12.75" hidden="1">
      <c r="S366" s="111"/>
      <c r="T366" s="110"/>
      <c r="U366" s="112"/>
      <c r="AG366" s="108"/>
    </row>
    <row r="367" spans="19:33" customFormat="1" ht="12.75" hidden="1">
      <c r="S367" s="111"/>
      <c r="T367" s="110"/>
      <c r="U367" s="112"/>
      <c r="AG367" s="108"/>
    </row>
    <row r="368" spans="19:33" customFormat="1" ht="12.75" hidden="1">
      <c r="S368" s="111"/>
      <c r="T368" s="110"/>
      <c r="U368" s="112"/>
      <c r="AG368" s="108"/>
    </row>
    <row r="369" spans="19:33" customFormat="1" ht="12.75" hidden="1">
      <c r="S369" s="111"/>
      <c r="T369" s="110"/>
      <c r="U369" s="112"/>
      <c r="AG369" s="108"/>
    </row>
    <row r="370" spans="19:33" customFormat="1" ht="12.75" hidden="1">
      <c r="S370" s="111"/>
      <c r="T370" s="110"/>
      <c r="U370" s="112"/>
      <c r="AG370" s="108"/>
    </row>
    <row r="371" spans="19:33" customFormat="1" ht="12.75" hidden="1">
      <c r="S371" s="111"/>
      <c r="T371" s="110"/>
      <c r="U371" s="112"/>
      <c r="AG371" s="108"/>
    </row>
    <row r="372" spans="19:33" customFormat="1" ht="12.75" hidden="1">
      <c r="S372" s="111"/>
      <c r="T372" s="110"/>
      <c r="U372" s="112"/>
      <c r="AG372" s="108"/>
    </row>
    <row r="373" spans="19:33" customFormat="1" ht="12.75" hidden="1">
      <c r="S373" s="111"/>
      <c r="T373" s="110"/>
      <c r="U373" s="112"/>
      <c r="AG373" s="108"/>
    </row>
    <row r="374" spans="19:33" customFormat="1" ht="12.75" hidden="1">
      <c r="S374" s="111"/>
      <c r="T374" s="110"/>
      <c r="U374" s="112"/>
      <c r="AG374" s="108"/>
    </row>
    <row r="375" spans="19:33" customFormat="1" ht="12.75" hidden="1">
      <c r="S375" s="111"/>
      <c r="T375" s="110"/>
      <c r="U375" s="112"/>
      <c r="AG375" s="108"/>
    </row>
    <row r="376" spans="19:33" customFormat="1" ht="12.75" hidden="1">
      <c r="S376" s="111"/>
      <c r="T376" s="110"/>
      <c r="U376" s="112"/>
      <c r="AG376" s="108"/>
    </row>
    <row r="377" spans="19:33" customFormat="1" ht="12.75" hidden="1">
      <c r="S377" s="111"/>
      <c r="T377" s="110"/>
      <c r="U377" s="112"/>
      <c r="AG377" s="108"/>
    </row>
    <row r="378" spans="19:33" customFormat="1" ht="12.75" hidden="1">
      <c r="S378" s="111"/>
      <c r="T378" s="110"/>
      <c r="U378" s="112"/>
      <c r="AG378" s="108"/>
    </row>
    <row r="379" spans="19:33" customFormat="1" ht="12.75" hidden="1">
      <c r="S379" s="111"/>
      <c r="T379" s="110"/>
      <c r="U379" s="112"/>
      <c r="AG379" s="108"/>
    </row>
    <row r="380" spans="19:33" customFormat="1" ht="12.75" hidden="1">
      <c r="S380" s="111"/>
      <c r="T380" s="110"/>
      <c r="U380" s="112"/>
      <c r="AG380" s="108"/>
    </row>
    <row r="381" spans="19:33" customFormat="1" ht="12.75" hidden="1">
      <c r="S381" s="111"/>
      <c r="T381" s="110"/>
      <c r="U381" s="112"/>
      <c r="AG381" s="108"/>
    </row>
    <row r="382" spans="19:33" customFormat="1" ht="12.75" hidden="1">
      <c r="S382" s="111"/>
      <c r="T382" s="110"/>
      <c r="U382" s="112"/>
      <c r="AG382" s="108"/>
    </row>
    <row r="383" spans="19:33" customFormat="1" ht="12.75" hidden="1">
      <c r="S383" s="111"/>
      <c r="T383" s="110"/>
      <c r="U383" s="112"/>
      <c r="AG383" s="108"/>
    </row>
    <row r="384" spans="19:33" customFormat="1" ht="12.75" hidden="1">
      <c r="S384" s="111"/>
      <c r="T384" s="110"/>
      <c r="U384" s="112"/>
      <c r="AG384" s="108"/>
    </row>
    <row r="385" spans="19:33" customFormat="1" ht="12.75" hidden="1">
      <c r="S385" s="111"/>
      <c r="T385" s="110"/>
      <c r="U385" s="112"/>
      <c r="AG385" s="108"/>
    </row>
    <row r="386" spans="19:33" customFormat="1" ht="12.75" hidden="1">
      <c r="S386" s="111"/>
      <c r="T386" s="110"/>
      <c r="U386" s="112"/>
      <c r="AG386" s="108"/>
    </row>
    <row r="387" spans="19:33" customFormat="1" ht="12.75" hidden="1">
      <c r="S387" s="111"/>
      <c r="T387" s="110"/>
      <c r="U387" s="112"/>
      <c r="AG387" s="108"/>
    </row>
    <row r="388" spans="19:33" customFormat="1" ht="12.75" hidden="1">
      <c r="S388" s="111"/>
      <c r="T388" s="110"/>
      <c r="U388" s="112"/>
      <c r="AG388" s="108"/>
    </row>
    <row r="389" spans="19:33" customFormat="1" ht="12.75" hidden="1">
      <c r="S389" s="111"/>
      <c r="T389" s="110"/>
      <c r="U389" s="112"/>
      <c r="AG389" s="108"/>
    </row>
    <row r="390" spans="19:33" customFormat="1" ht="12.75" hidden="1">
      <c r="S390" s="111"/>
      <c r="T390" s="110"/>
      <c r="U390" s="112"/>
      <c r="AG390" s="108"/>
    </row>
    <row r="391" spans="19:33" customFormat="1" ht="12.75" hidden="1">
      <c r="S391" s="111"/>
      <c r="T391" s="110"/>
      <c r="U391" s="112"/>
      <c r="AG391" s="108"/>
    </row>
    <row r="392" spans="19:33" customFormat="1" ht="12.75" hidden="1">
      <c r="S392" s="111"/>
      <c r="T392" s="110"/>
      <c r="U392" s="112"/>
      <c r="AG392" s="108"/>
    </row>
    <row r="393" spans="19:33" customFormat="1" ht="12.75" hidden="1">
      <c r="S393" s="111"/>
      <c r="T393" s="110"/>
      <c r="U393" s="112"/>
      <c r="AG393" s="108"/>
    </row>
    <row r="394" spans="19:33" customFormat="1" ht="12.75" hidden="1">
      <c r="S394" s="111"/>
      <c r="T394" s="110"/>
      <c r="U394" s="112"/>
      <c r="AG394" s="108"/>
    </row>
    <row r="395" spans="19:33" customFormat="1" ht="12.75" hidden="1">
      <c r="S395" s="111"/>
      <c r="T395" s="110"/>
      <c r="U395" s="112"/>
      <c r="AG395" s="108"/>
    </row>
    <row r="396" spans="19:33" customFormat="1" ht="12.75" hidden="1">
      <c r="S396" s="111"/>
      <c r="T396" s="110"/>
      <c r="U396" s="112"/>
      <c r="AG396" s="108"/>
    </row>
    <row r="397" spans="19:33" customFormat="1" ht="12.75" hidden="1">
      <c r="S397" s="111"/>
      <c r="T397" s="110"/>
      <c r="U397" s="112"/>
      <c r="AG397" s="108"/>
    </row>
    <row r="398" spans="19:33" customFormat="1" ht="12.75" hidden="1">
      <c r="S398" s="111"/>
      <c r="T398" s="110"/>
      <c r="U398" s="112"/>
      <c r="AG398" s="108"/>
    </row>
    <row r="399" spans="19:33" customFormat="1" ht="12.75" hidden="1">
      <c r="S399" s="111"/>
      <c r="T399" s="110"/>
      <c r="U399" s="112"/>
      <c r="AG399" s="108"/>
    </row>
    <row r="400" spans="19:33" customFormat="1" ht="12.75" hidden="1">
      <c r="S400" s="111"/>
      <c r="T400" s="110"/>
      <c r="U400" s="112"/>
      <c r="AG400" s="108"/>
    </row>
    <row r="401" spans="19:33" customFormat="1" ht="12.75" hidden="1">
      <c r="S401" s="111"/>
      <c r="T401" s="110"/>
      <c r="U401" s="112"/>
      <c r="AG401" s="108"/>
    </row>
    <row r="402" spans="19:33" customFormat="1" ht="12.75" hidden="1">
      <c r="S402" s="111"/>
      <c r="T402" s="110"/>
      <c r="U402" s="112"/>
      <c r="AG402" s="108"/>
    </row>
    <row r="403" spans="19:33" customFormat="1" ht="12.75" hidden="1">
      <c r="S403" s="111"/>
      <c r="T403" s="110"/>
      <c r="U403" s="112"/>
      <c r="AG403" s="108"/>
    </row>
    <row r="404" spans="19:33" customFormat="1" ht="12.75" hidden="1">
      <c r="S404" s="111"/>
      <c r="T404" s="110"/>
      <c r="U404" s="112"/>
      <c r="AG404" s="108"/>
    </row>
    <row r="405" spans="19:33" customFormat="1" ht="12.75" hidden="1">
      <c r="S405" s="111"/>
      <c r="T405" s="110"/>
      <c r="U405" s="112"/>
      <c r="AG405" s="108"/>
    </row>
    <row r="406" spans="19:33" customFormat="1" ht="12.75" hidden="1">
      <c r="S406" s="111"/>
      <c r="T406" s="110"/>
      <c r="U406" s="112"/>
      <c r="AG406" s="108"/>
    </row>
    <row r="407" spans="19:33" customFormat="1" ht="12.75" hidden="1">
      <c r="S407" s="111"/>
      <c r="T407" s="110"/>
      <c r="U407" s="112"/>
      <c r="AG407" s="108"/>
    </row>
    <row r="408" spans="19:33" customFormat="1" ht="12.75" hidden="1">
      <c r="S408" s="111"/>
      <c r="T408" s="110"/>
      <c r="U408" s="112"/>
      <c r="AG408" s="108"/>
    </row>
    <row r="409" spans="19:33" customFormat="1" ht="12.75" hidden="1">
      <c r="S409" s="111"/>
      <c r="T409" s="110"/>
      <c r="U409" s="112"/>
      <c r="AG409" s="108"/>
    </row>
    <row r="410" spans="19:33" customFormat="1" ht="12.75" hidden="1">
      <c r="S410" s="111"/>
      <c r="T410" s="110"/>
      <c r="U410" s="112"/>
      <c r="AG410" s="108"/>
    </row>
    <row r="411" spans="19:33" customFormat="1" ht="12.75" hidden="1">
      <c r="S411" s="111"/>
      <c r="T411" s="110"/>
      <c r="U411" s="112"/>
      <c r="AG411" s="108"/>
    </row>
    <row r="412" spans="19:33" customFormat="1" ht="12.75" hidden="1">
      <c r="S412" s="111"/>
      <c r="T412" s="110"/>
      <c r="U412" s="112"/>
      <c r="AG412" s="108"/>
    </row>
    <row r="413" spans="19:33" customFormat="1" ht="12.75" hidden="1">
      <c r="S413" s="111"/>
      <c r="T413" s="110"/>
      <c r="U413" s="112"/>
      <c r="AG413" s="108"/>
    </row>
    <row r="414" spans="19:33" customFormat="1" ht="12.75" hidden="1">
      <c r="S414" s="111"/>
      <c r="T414" s="110"/>
      <c r="U414" s="112"/>
      <c r="AG414" s="108"/>
    </row>
    <row r="415" spans="19:33" customFormat="1" ht="12.75" hidden="1">
      <c r="S415" s="111"/>
      <c r="T415" s="110"/>
      <c r="U415" s="112"/>
      <c r="AG415" s="108"/>
    </row>
    <row r="416" spans="19:33" customFormat="1" ht="12.75" hidden="1">
      <c r="S416" s="111"/>
      <c r="T416" s="110"/>
      <c r="U416" s="112"/>
      <c r="AG416" s="108"/>
    </row>
    <row r="417" spans="19:33" customFormat="1" ht="12.75" hidden="1">
      <c r="S417" s="111"/>
      <c r="T417" s="110"/>
      <c r="U417" s="112"/>
      <c r="AG417" s="108"/>
    </row>
    <row r="418" spans="19:33" customFormat="1" ht="12.75" hidden="1">
      <c r="S418" s="111"/>
      <c r="T418" s="110"/>
      <c r="U418" s="112"/>
      <c r="AG418" s="108"/>
    </row>
    <row r="419" spans="19:33" customFormat="1" ht="12.75" hidden="1">
      <c r="S419" s="111"/>
      <c r="T419" s="110"/>
      <c r="U419" s="112"/>
      <c r="AG419" s="108"/>
    </row>
    <row r="420" spans="19:33" customFormat="1" ht="12.75" hidden="1">
      <c r="S420" s="111"/>
      <c r="T420" s="110"/>
      <c r="U420" s="112"/>
      <c r="AG420" s="108"/>
    </row>
    <row r="421" spans="19:33" customFormat="1" ht="12.75" hidden="1">
      <c r="S421" s="111"/>
      <c r="T421" s="110"/>
      <c r="U421" s="112"/>
      <c r="AG421" s="108"/>
    </row>
    <row r="422" spans="19:33" customFormat="1" ht="12.75" hidden="1">
      <c r="S422" s="111"/>
      <c r="T422" s="110"/>
      <c r="U422" s="112"/>
      <c r="AG422" s="108"/>
    </row>
    <row r="423" spans="19:33" customFormat="1" ht="12.75" hidden="1">
      <c r="S423" s="111"/>
      <c r="T423" s="110"/>
      <c r="U423" s="112"/>
      <c r="AG423" s="108"/>
    </row>
    <row r="424" spans="19:33" customFormat="1" ht="12.75" hidden="1">
      <c r="S424" s="111"/>
      <c r="T424" s="110"/>
      <c r="U424" s="112"/>
      <c r="AG424" s="108"/>
    </row>
    <row r="425" spans="19:33" customFormat="1" ht="12.75" hidden="1">
      <c r="S425" s="111"/>
      <c r="T425" s="110"/>
      <c r="U425" s="112"/>
      <c r="AG425" s="108"/>
    </row>
    <row r="426" spans="19:33" customFormat="1" ht="12.75" hidden="1">
      <c r="S426" s="111"/>
      <c r="T426" s="110"/>
      <c r="U426" s="112"/>
      <c r="AG426" s="108"/>
    </row>
    <row r="427" spans="19:33" customFormat="1" ht="12.75" hidden="1">
      <c r="S427" s="111"/>
      <c r="T427" s="110"/>
      <c r="U427" s="112"/>
      <c r="AG427" s="108"/>
    </row>
    <row r="428" spans="19:33" customFormat="1" ht="12.75" hidden="1">
      <c r="S428" s="111"/>
      <c r="T428" s="110"/>
      <c r="U428" s="112"/>
      <c r="AG428" s="108"/>
    </row>
    <row r="429" spans="19:33" customFormat="1" ht="12.75" hidden="1">
      <c r="S429" s="111"/>
      <c r="T429" s="110"/>
      <c r="U429" s="112"/>
      <c r="AG429" s="108"/>
    </row>
    <row r="430" spans="19:33" customFormat="1" ht="12.75" hidden="1">
      <c r="S430" s="111"/>
      <c r="T430" s="110"/>
      <c r="U430" s="112"/>
      <c r="AG430" s="108"/>
    </row>
    <row r="431" spans="19:33" customFormat="1" ht="12.75" hidden="1">
      <c r="S431" s="111"/>
      <c r="T431" s="110"/>
      <c r="U431" s="112"/>
      <c r="AG431" s="108"/>
    </row>
    <row r="432" spans="19:33" customFormat="1" ht="12.75" hidden="1">
      <c r="S432" s="111"/>
      <c r="T432" s="110"/>
      <c r="U432" s="112"/>
      <c r="AG432" s="108"/>
    </row>
    <row r="433" spans="19:33" customFormat="1" ht="12.75" hidden="1">
      <c r="S433" s="111"/>
      <c r="T433" s="110"/>
      <c r="U433" s="112"/>
      <c r="AG433" s="108"/>
    </row>
    <row r="434" spans="19:33" customFormat="1" ht="12.75" hidden="1">
      <c r="S434" s="111"/>
      <c r="T434" s="110"/>
      <c r="U434" s="112"/>
      <c r="AG434" s="108"/>
    </row>
    <row r="435" spans="19:33" customFormat="1" ht="12.75" hidden="1">
      <c r="S435" s="111"/>
      <c r="T435" s="110"/>
      <c r="U435" s="112"/>
      <c r="AG435" s="108"/>
    </row>
    <row r="436" spans="19:33" customFormat="1" ht="12.75" hidden="1">
      <c r="S436" s="111"/>
      <c r="T436" s="110"/>
      <c r="U436" s="112"/>
      <c r="AG436" s="108"/>
    </row>
    <row r="437" spans="19:33" customFormat="1" ht="12.75" hidden="1">
      <c r="S437" s="111"/>
      <c r="T437" s="110"/>
      <c r="U437" s="112"/>
      <c r="AG437" s="108"/>
    </row>
    <row r="438" spans="19:33" customFormat="1" ht="12.75" hidden="1">
      <c r="S438" s="111"/>
      <c r="T438" s="110"/>
      <c r="U438" s="112"/>
      <c r="AG438" s="108"/>
    </row>
    <row r="439" spans="19:33" customFormat="1" ht="12.75" hidden="1">
      <c r="S439" s="111"/>
      <c r="T439" s="110"/>
      <c r="U439" s="112"/>
      <c r="AG439" s="108"/>
    </row>
    <row r="440" spans="19:33" customFormat="1" ht="12.75" hidden="1">
      <c r="S440" s="111"/>
      <c r="T440" s="110"/>
      <c r="U440" s="112"/>
      <c r="AG440" s="108"/>
    </row>
    <row r="441" spans="19:33" customFormat="1" ht="12.75" hidden="1">
      <c r="S441" s="111"/>
      <c r="T441" s="110"/>
      <c r="U441" s="112"/>
      <c r="AG441" s="108"/>
    </row>
    <row r="442" spans="19:33" customFormat="1" ht="12.75" hidden="1">
      <c r="S442" s="111"/>
      <c r="T442" s="110"/>
      <c r="U442" s="112"/>
      <c r="AG442" s="108"/>
    </row>
    <row r="443" spans="19:33" customFormat="1" ht="12.75" hidden="1">
      <c r="S443" s="111"/>
      <c r="T443" s="110"/>
      <c r="U443" s="112"/>
      <c r="AG443" s="108"/>
    </row>
    <row r="444" spans="19:33" customFormat="1" ht="12.75" hidden="1">
      <c r="S444" s="111"/>
      <c r="T444" s="110"/>
      <c r="U444" s="112"/>
      <c r="AG444" s="108"/>
    </row>
    <row r="445" spans="19:33" customFormat="1" ht="12.75" hidden="1">
      <c r="S445" s="111"/>
      <c r="T445" s="110"/>
      <c r="U445" s="112"/>
      <c r="AG445" s="108"/>
    </row>
    <row r="446" spans="19:33" customFormat="1" ht="12.75" hidden="1">
      <c r="S446" s="111"/>
      <c r="T446" s="110"/>
      <c r="U446" s="112"/>
      <c r="AG446" s="108"/>
    </row>
    <row r="447" spans="19:33" customFormat="1" ht="12.75" hidden="1">
      <c r="S447" s="111"/>
      <c r="T447" s="110"/>
      <c r="U447" s="112"/>
      <c r="AG447" s="108"/>
    </row>
    <row r="448" spans="19:33" customFormat="1" ht="12.75" hidden="1">
      <c r="S448" s="111"/>
      <c r="T448" s="110"/>
      <c r="U448" s="112"/>
      <c r="AG448" s="108"/>
    </row>
    <row r="449" spans="19:33" customFormat="1" ht="12.75" hidden="1">
      <c r="S449" s="111"/>
      <c r="T449" s="110"/>
      <c r="U449" s="112"/>
      <c r="AG449" s="108"/>
    </row>
    <row r="450" spans="19:33" customFormat="1" ht="12.75" hidden="1">
      <c r="S450" s="111"/>
      <c r="T450" s="110"/>
      <c r="U450" s="112"/>
      <c r="AG450" s="108"/>
    </row>
    <row r="451" spans="19:33" customFormat="1" ht="12.75" hidden="1">
      <c r="S451" s="111"/>
      <c r="T451" s="110"/>
      <c r="U451" s="112"/>
      <c r="AG451" s="108"/>
    </row>
    <row r="452" spans="19:33" customFormat="1" ht="12.75" hidden="1">
      <c r="S452" s="111"/>
      <c r="T452" s="110"/>
      <c r="U452" s="112"/>
      <c r="AG452" s="108"/>
    </row>
    <row r="453" spans="19:33" customFormat="1" ht="12.75" hidden="1">
      <c r="S453" s="111"/>
      <c r="T453" s="110"/>
      <c r="U453" s="112"/>
      <c r="AG453" s="108"/>
    </row>
    <row r="454" spans="19:33" customFormat="1" ht="12.75" hidden="1">
      <c r="S454" s="111"/>
      <c r="T454" s="110"/>
      <c r="U454" s="112"/>
      <c r="AG454" s="108"/>
    </row>
    <row r="455" spans="19:33" customFormat="1" ht="12.75" hidden="1">
      <c r="S455" s="111"/>
      <c r="T455" s="110"/>
      <c r="U455" s="112"/>
      <c r="AG455" s="108"/>
    </row>
    <row r="456" spans="19:33" customFormat="1" ht="12.75" hidden="1">
      <c r="S456" s="111"/>
      <c r="T456" s="110"/>
      <c r="U456" s="112"/>
      <c r="AG456" s="108"/>
    </row>
    <row r="457" spans="19:33" customFormat="1" ht="12.75" hidden="1">
      <c r="S457" s="111"/>
      <c r="T457" s="110"/>
      <c r="U457" s="112"/>
      <c r="AG457" s="108"/>
    </row>
    <row r="458" spans="19:33" customFormat="1" ht="12.75" hidden="1">
      <c r="S458" s="111"/>
      <c r="T458" s="110"/>
      <c r="U458" s="112"/>
      <c r="AG458" s="108"/>
    </row>
    <row r="459" spans="19:33" customFormat="1" ht="12.75" hidden="1">
      <c r="S459" s="111"/>
      <c r="T459" s="110"/>
      <c r="U459" s="112"/>
      <c r="AG459" s="108"/>
    </row>
    <row r="460" spans="19:33" customFormat="1" ht="12.75" hidden="1">
      <c r="S460" s="111"/>
      <c r="T460" s="110"/>
      <c r="U460" s="112"/>
      <c r="AG460" s="108"/>
    </row>
    <row r="461" spans="19:33" customFormat="1" ht="12.75" hidden="1">
      <c r="S461" s="111"/>
      <c r="T461" s="110"/>
      <c r="U461" s="112"/>
      <c r="AG461" s="108"/>
    </row>
    <row r="462" spans="19:33" customFormat="1" ht="12.75" hidden="1">
      <c r="S462" s="111"/>
      <c r="T462" s="110"/>
      <c r="U462" s="112"/>
      <c r="AG462" s="108"/>
    </row>
    <row r="463" spans="19:33" customFormat="1" ht="12.75" hidden="1">
      <c r="S463" s="111"/>
      <c r="T463" s="110"/>
      <c r="U463" s="112"/>
      <c r="AG463" s="108"/>
    </row>
    <row r="464" spans="19:33" customFormat="1" ht="12.75" hidden="1">
      <c r="S464" s="111"/>
      <c r="T464" s="110"/>
      <c r="U464" s="112"/>
      <c r="AG464" s="108"/>
    </row>
    <row r="465" spans="19:33" customFormat="1" ht="12.75" hidden="1">
      <c r="S465" s="111"/>
      <c r="T465" s="110"/>
      <c r="U465" s="112"/>
      <c r="AG465" s="108"/>
    </row>
    <row r="466" spans="19:33" customFormat="1" ht="12.75" hidden="1">
      <c r="S466" s="111"/>
      <c r="T466" s="110"/>
      <c r="U466" s="112"/>
      <c r="AG466" s="108"/>
    </row>
    <row r="467" spans="19:33" customFormat="1" ht="12.75" hidden="1">
      <c r="S467" s="111"/>
      <c r="T467" s="110"/>
      <c r="U467" s="112"/>
      <c r="AG467" s="108"/>
    </row>
    <row r="468" spans="19:33" customFormat="1" ht="12.75" hidden="1">
      <c r="S468" s="111"/>
      <c r="T468" s="110"/>
      <c r="U468" s="112"/>
      <c r="AG468" s="108"/>
    </row>
    <row r="469" spans="19:33" customFormat="1" ht="12.75" hidden="1">
      <c r="S469" s="111"/>
      <c r="T469" s="110"/>
      <c r="U469" s="112"/>
      <c r="AG469" s="108"/>
    </row>
    <row r="470" spans="19:33" customFormat="1" ht="12.75" hidden="1">
      <c r="S470" s="111"/>
      <c r="T470" s="110"/>
      <c r="U470" s="112"/>
      <c r="AG470" s="108"/>
    </row>
    <row r="471" spans="19:33" customFormat="1" ht="12.75" hidden="1">
      <c r="S471" s="111"/>
      <c r="T471" s="110"/>
      <c r="U471" s="112"/>
      <c r="AG471" s="108"/>
    </row>
    <row r="472" spans="19:33" customFormat="1" ht="12.75" hidden="1">
      <c r="S472" s="111"/>
      <c r="T472" s="110"/>
      <c r="U472" s="112"/>
      <c r="AG472" s="108"/>
    </row>
    <row r="473" spans="19:33" customFormat="1" ht="12.75" hidden="1">
      <c r="S473" s="111"/>
      <c r="T473" s="110"/>
      <c r="U473" s="112"/>
      <c r="AG473" s="108"/>
    </row>
    <row r="474" spans="19:33" customFormat="1" ht="12.75" hidden="1">
      <c r="S474" s="111"/>
      <c r="T474" s="110"/>
      <c r="U474" s="112"/>
      <c r="AG474" s="108"/>
    </row>
    <row r="475" spans="19:33" customFormat="1" ht="12.75" hidden="1">
      <c r="S475" s="111"/>
      <c r="T475" s="110"/>
      <c r="U475" s="112"/>
      <c r="AG475" s="108"/>
    </row>
    <row r="476" spans="19:33" customFormat="1" ht="12.75" hidden="1">
      <c r="S476" s="111"/>
      <c r="T476" s="110"/>
      <c r="U476" s="112"/>
      <c r="AG476" s="108"/>
    </row>
    <row r="477" spans="19:33" customFormat="1" ht="12.75" hidden="1">
      <c r="S477" s="111"/>
      <c r="T477" s="110"/>
      <c r="U477" s="112"/>
      <c r="AG477" s="108"/>
    </row>
    <row r="478" spans="19:33" customFormat="1" ht="12.75" hidden="1">
      <c r="S478" s="111"/>
      <c r="T478" s="110"/>
      <c r="U478" s="112"/>
      <c r="AG478" s="108"/>
    </row>
    <row r="479" spans="19:33" customFormat="1" ht="12.75" hidden="1">
      <c r="S479" s="111"/>
      <c r="T479" s="110"/>
      <c r="U479" s="112"/>
      <c r="AG479" s="108"/>
    </row>
    <row r="480" spans="19:33" customFormat="1" ht="12.75" hidden="1">
      <c r="S480" s="111"/>
      <c r="T480" s="110"/>
      <c r="U480" s="112"/>
      <c r="AG480" s="108"/>
    </row>
    <row r="481" spans="19:33" customFormat="1" ht="12.75" hidden="1">
      <c r="S481" s="111"/>
      <c r="T481" s="110"/>
      <c r="U481" s="112"/>
      <c r="AG481" s="108"/>
    </row>
    <row r="482" spans="19:33" customFormat="1" ht="12.75" hidden="1">
      <c r="S482" s="111"/>
      <c r="T482" s="110"/>
      <c r="U482" s="112"/>
      <c r="AG482" s="108"/>
    </row>
    <row r="483" spans="19:33" customFormat="1" ht="12.75" hidden="1">
      <c r="S483" s="111"/>
      <c r="T483" s="110"/>
      <c r="U483" s="112"/>
      <c r="AG483" s="108"/>
    </row>
    <row r="484" spans="19:33" customFormat="1" ht="12.75" hidden="1">
      <c r="S484" s="111"/>
      <c r="T484" s="110"/>
      <c r="U484" s="112"/>
      <c r="AG484" s="108"/>
    </row>
    <row r="485" spans="19:33" customFormat="1" ht="12.75" hidden="1">
      <c r="S485" s="111"/>
      <c r="T485" s="110"/>
      <c r="U485" s="112"/>
      <c r="AG485" s="108"/>
    </row>
    <row r="486" spans="19:33" customFormat="1" ht="12.75" hidden="1">
      <c r="S486" s="111"/>
      <c r="T486" s="110"/>
      <c r="U486" s="112"/>
      <c r="AG486" s="108"/>
    </row>
    <row r="487" spans="19:33" customFormat="1" ht="12.75" hidden="1">
      <c r="S487" s="111"/>
      <c r="T487" s="110"/>
      <c r="U487" s="112"/>
      <c r="AG487" s="108"/>
    </row>
    <row r="488" spans="19:33" customFormat="1" ht="12.75" hidden="1">
      <c r="S488" s="111"/>
      <c r="T488" s="110"/>
      <c r="U488" s="112"/>
      <c r="AG488" s="108"/>
    </row>
    <row r="489" spans="19:33" customFormat="1" ht="12.75" hidden="1">
      <c r="S489" s="111"/>
      <c r="T489" s="110"/>
      <c r="U489" s="112"/>
      <c r="AG489" s="108"/>
    </row>
    <row r="490" spans="19:33" customFormat="1" ht="12.75" hidden="1">
      <c r="S490" s="111"/>
      <c r="T490" s="110"/>
      <c r="U490" s="112"/>
      <c r="AG490" s="108"/>
    </row>
    <row r="491" spans="19:33" customFormat="1" ht="12.75" hidden="1">
      <c r="S491" s="111"/>
      <c r="T491" s="110"/>
      <c r="U491" s="112"/>
      <c r="AG491" s="108"/>
    </row>
    <row r="492" spans="19:33" customFormat="1" ht="12.75" hidden="1">
      <c r="S492" s="111"/>
      <c r="T492" s="110"/>
      <c r="U492" s="112"/>
      <c r="AG492" s="108"/>
    </row>
    <row r="493" spans="19:33" customFormat="1" ht="12.75" hidden="1">
      <c r="S493" s="111"/>
      <c r="T493" s="110"/>
      <c r="U493" s="112"/>
      <c r="AG493" s="108"/>
    </row>
    <row r="494" spans="19:33" customFormat="1" ht="12.75" hidden="1">
      <c r="S494" s="111"/>
      <c r="T494" s="110"/>
      <c r="U494" s="112"/>
      <c r="AG494" s="108"/>
    </row>
    <row r="495" spans="19:33" customFormat="1" ht="12.75" hidden="1">
      <c r="S495" s="111"/>
      <c r="T495" s="110"/>
      <c r="U495" s="112"/>
      <c r="AG495" s="108"/>
    </row>
    <row r="496" spans="19:33" customFormat="1" ht="12.75" hidden="1">
      <c r="S496" s="111"/>
      <c r="T496" s="110"/>
      <c r="U496" s="112"/>
      <c r="AG496" s="108"/>
    </row>
    <row r="497" spans="19:33" customFormat="1" ht="12.75" hidden="1">
      <c r="S497" s="111"/>
      <c r="T497" s="110"/>
      <c r="U497" s="112"/>
      <c r="AG497" s="108"/>
    </row>
    <row r="498" spans="19:33" customFormat="1" ht="12.75" hidden="1">
      <c r="S498" s="111"/>
      <c r="T498" s="110"/>
      <c r="U498" s="112"/>
      <c r="AG498" s="108"/>
    </row>
    <row r="499" spans="19:33" customFormat="1" ht="12.75" hidden="1">
      <c r="S499" s="111"/>
      <c r="T499" s="110"/>
      <c r="U499" s="112"/>
      <c r="AG499" s="108"/>
    </row>
    <row r="500" spans="19:33" customFormat="1" ht="12.75" hidden="1">
      <c r="S500" s="111"/>
      <c r="T500" s="110"/>
      <c r="U500" s="112"/>
      <c r="AG500" s="108"/>
    </row>
    <row r="501" spans="19:33" customFormat="1" ht="12.75" hidden="1">
      <c r="S501" s="111"/>
      <c r="T501" s="110"/>
      <c r="U501" s="112"/>
      <c r="AG501" s="108"/>
    </row>
    <row r="502" spans="19:33" customFormat="1" ht="12.75" hidden="1">
      <c r="S502" s="111"/>
      <c r="T502" s="110"/>
      <c r="U502" s="112"/>
      <c r="AG502" s="108"/>
    </row>
    <row r="503" spans="19:33" customFormat="1" ht="12.75" hidden="1">
      <c r="S503" s="111"/>
      <c r="T503" s="110"/>
      <c r="U503" s="112"/>
      <c r="AG503" s="108"/>
    </row>
    <row r="504" spans="19:33" customFormat="1" ht="12.75" hidden="1">
      <c r="S504" s="111"/>
      <c r="T504" s="110"/>
      <c r="U504" s="112"/>
      <c r="AG504" s="108"/>
    </row>
    <row r="505" spans="19:33" customFormat="1" ht="12.75" hidden="1">
      <c r="S505" s="111"/>
      <c r="T505" s="110"/>
      <c r="U505" s="112"/>
      <c r="AG505" s="108"/>
    </row>
    <row r="506" spans="19:33" customFormat="1" ht="12.75" hidden="1">
      <c r="S506" s="111"/>
      <c r="T506" s="110"/>
      <c r="U506" s="112"/>
      <c r="AG506" s="108"/>
    </row>
    <row r="507" spans="19:33" customFormat="1" ht="12.75" hidden="1">
      <c r="S507" s="111"/>
      <c r="T507" s="110"/>
      <c r="U507" s="112"/>
      <c r="AG507" s="108"/>
    </row>
    <row r="508" spans="19:33" customFormat="1" ht="12.75" hidden="1">
      <c r="S508" s="111"/>
      <c r="T508" s="110"/>
      <c r="U508" s="112"/>
      <c r="AG508" s="108"/>
    </row>
    <row r="509" spans="19:33" customFormat="1" ht="12.75" hidden="1">
      <c r="S509" s="111"/>
      <c r="T509" s="110"/>
      <c r="U509" s="112"/>
      <c r="AG509" s="108"/>
    </row>
    <row r="510" spans="19:33" customFormat="1" ht="12.75" hidden="1">
      <c r="S510" s="111"/>
      <c r="T510" s="110"/>
      <c r="U510" s="112"/>
      <c r="AG510" s="108"/>
    </row>
    <row r="511" spans="19:33" customFormat="1" ht="12.75" hidden="1">
      <c r="S511" s="111"/>
      <c r="T511" s="110"/>
      <c r="U511" s="112"/>
      <c r="AG511" s="108"/>
    </row>
    <row r="512" spans="19:33" customFormat="1" ht="12.75" hidden="1">
      <c r="S512" s="111"/>
      <c r="T512" s="110"/>
      <c r="U512" s="112"/>
      <c r="AG512" s="108"/>
    </row>
    <row r="513" spans="19:33" customFormat="1" ht="12.75" hidden="1">
      <c r="S513" s="111"/>
      <c r="T513" s="110"/>
      <c r="U513" s="112"/>
      <c r="AG513" s="108"/>
    </row>
    <row r="514" spans="19:33" customFormat="1" ht="12.75" hidden="1">
      <c r="S514" s="111"/>
      <c r="T514" s="110"/>
      <c r="U514" s="112"/>
      <c r="AG514" s="108"/>
    </row>
    <row r="515" spans="19:33" customFormat="1" ht="12.75" hidden="1">
      <c r="S515" s="111"/>
      <c r="T515" s="110"/>
      <c r="U515" s="112"/>
      <c r="AG515" s="108"/>
    </row>
    <row r="516" spans="19:33" customFormat="1" ht="12.75" hidden="1">
      <c r="S516" s="111"/>
      <c r="T516" s="110"/>
      <c r="U516" s="112"/>
      <c r="AG516" s="108"/>
    </row>
    <row r="517" spans="19:33" customFormat="1" ht="12.75" hidden="1">
      <c r="S517" s="111"/>
      <c r="T517" s="110"/>
      <c r="U517" s="112"/>
      <c r="AG517" s="108"/>
    </row>
    <row r="518" spans="19:33" customFormat="1" ht="12.75" hidden="1">
      <c r="S518" s="111"/>
      <c r="T518" s="110"/>
      <c r="U518" s="112"/>
      <c r="AG518" s="108"/>
    </row>
    <row r="519" spans="19:33" customFormat="1" ht="12.75" hidden="1">
      <c r="S519" s="111"/>
      <c r="T519" s="110"/>
      <c r="U519" s="112"/>
      <c r="AG519" s="108"/>
    </row>
    <row r="520" spans="19:33" customFormat="1" ht="12.75" hidden="1">
      <c r="S520" s="111"/>
      <c r="T520" s="110"/>
      <c r="U520" s="112"/>
      <c r="AG520" s="108"/>
    </row>
    <row r="521" spans="19:33" customFormat="1" ht="12.75" hidden="1">
      <c r="S521" s="111"/>
      <c r="T521" s="110"/>
      <c r="U521" s="112"/>
      <c r="AG521" s="108"/>
    </row>
    <row r="522" spans="19:33" customFormat="1" ht="12.75" hidden="1">
      <c r="S522" s="111"/>
      <c r="T522" s="110"/>
      <c r="U522" s="112"/>
      <c r="AG522" s="108"/>
    </row>
    <row r="523" spans="19:33" customFormat="1" ht="12.75" hidden="1">
      <c r="S523" s="111"/>
      <c r="T523" s="110"/>
      <c r="U523" s="112"/>
      <c r="AG523" s="108"/>
    </row>
    <row r="524" spans="19:33" customFormat="1" ht="12.75" hidden="1">
      <c r="S524" s="111"/>
      <c r="T524" s="110"/>
      <c r="U524" s="112"/>
      <c r="AG524" s="108"/>
    </row>
    <row r="525" spans="19:33" customFormat="1" ht="12.75" hidden="1">
      <c r="S525" s="111"/>
      <c r="T525" s="110"/>
      <c r="U525" s="112"/>
      <c r="AG525" s="108"/>
    </row>
    <row r="526" spans="19:33" customFormat="1" ht="12.75" hidden="1">
      <c r="S526" s="111"/>
      <c r="T526" s="110"/>
      <c r="U526" s="112"/>
      <c r="AG526" s="108"/>
    </row>
    <row r="527" spans="19:33" customFormat="1" ht="12.75" hidden="1">
      <c r="S527" s="111"/>
      <c r="T527" s="110"/>
      <c r="U527" s="112"/>
      <c r="AG527" s="108"/>
    </row>
    <row r="528" spans="19:33" customFormat="1" ht="12.75" hidden="1">
      <c r="S528" s="111"/>
      <c r="T528" s="110"/>
      <c r="U528" s="112"/>
      <c r="AG528" s="108"/>
    </row>
    <row r="529" spans="19:33" customFormat="1" ht="12.75" hidden="1">
      <c r="S529" s="111"/>
      <c r="T529" s="110"/>
      <c r="U529" s="112"/>
      <c r="AG529" s="108"/>
    </row>
    <row r="530" spans="19:33" customFormat="1" ht="12.75" hidden="1">
      <c r="S530" s="111"/>
      <c r="T530" s="110"/>
      <c r="U530" s="112"/>
      <c r="AG530" s="108"/>
    </row>
    <row r="531" spans="19:33" customFormat="1" ht="12.75" hidden="1">
      <c r="S531" s="111"/>
      <c r="T531" s="110"/>
      <c r="U531" s="112"/>
      <c r="AG531" s="108"/>
    </row>
    <row r="532" spans="19:33" customFormat="1" ht="12.75" hidden="1">
      <c r="S532" s="111"/>
      <c r="T532" s="110"/>
      <c r="U532" s="112"/>
      <c r="AG532" s="108"/>
    </row>
    <row r="533" spans="19:33" customFormat="1" ht="12.75" hidden="1">
      <c r="S533" s="111"/>
      <c r="T533" s="110"/>
      <c r="U533" s="112"/>
      <c r="AG533" s="108"/>
    </row>
    <row r="534" spans="19:33" customFormat="1" ht="12.75" hidden="1">
      <c r="S534" s="111"/>
      <c r="T534" s="110"/>
      <c r="U534" s="112"/>
      <c r="AG534" s="108"/>
    </row>
    <row r="535" spans="19:33" customFormat="1" ht="12.75" hidden="1">
      <c r="S535" s="111"/>
      <c r="T535" s="110"/>
      <c r="U535" s="112"/>
      <c r="AG535" s="108"/>
    </row>
    <row r="536" spans="19:33" customFormat="1" ht="12.75" hidden="1">
      <c r="S536" s="111"/>
      <c r="T536" s="110"/>
      <c r="U536" s="112"/>
      <c r="AG536" s="108"/>
    </row>
    <row r="537" spans="19:33" customFormat="1" ht="12.75" hidden="1">
      <c r="S537" s="111"/>
      <c r="T537" s="110"/>
      <c r="U537" s="112"/>
      <c r="AG537" s="108"/>
    </row>
    <row r="538" spans="19:33" customFormat="1" ht="12.75" hidden="1">
      <c r="S538" s="111"/>
      <c r="T538" s="110"/>
      <c r="U538" s="112"/>
      <c r="AG538" s="108"/>
    </row>
    <row r="539" spans="19:33" customFormat="1" ht="12.75" hidden="1">
      <c r="S539" s="111"/>
      <c r="T539" s="110"/>
      <c r="U539" s="112"/>
      <c r="AG539" s="108"/>
    </row>
    <row r="540" spans="19:33" customFormat="1" ht="12.75" hidden="1">
      <c r="S540" s="111"/>
      <c r="T540" s="110"/>
      <c r="U540" s="112"/>
      <c r="AG540" s="108"/>
    </row>
    <row r="541" spans="19:33" customFormat="1" ht="12.75" hidden="1">
      <c r="S541" s="111"/>
      <c r="T541" s="110"/>
      <c r="U541" s="112"/>
      <c r="AG541" s="108"/>
    </row>
    <row r="542" spans="19:33" customFormat="1" ht="12.75" hidden="1">
      <c r="S542" s="111"/>
      <c r="T542" s="110"/>
      <c r="U542" s="112"/>
      <c r="AG542" s="108"/>
    </row>
    <row r="543" spans="19:33" customFormat="1" ht="12.75" hidden="1">
      <c r="S543" s="111"/>
      <c r="T543" s="110"/>
      <c r="U543" s="112"/>
      <c r="AG543" s="108"/>
    </row>
    <row r="544" spans="19:33" customFormat="1" ht="12.75" hidden="1">
      <c r="S544" s="111"/>
      <c r="T544" s="110"/>
      <c r="U544" s="112"/>
      <c r="AG544" s="108"/>
    </row>
    <row r="545" spans="19:33" customFormat="1" ht="12.75" hidden="1">
      <c r="S545" s="111"/>
      <c r="T545" s="110"/>
      <c r="U545" s="112"/>
      <c r="AG545" s="108"/>
    </row>
    <row r="546" spans="19:33" customFormat="1" ht="12.75" hidden="1">
      <c r="S546" s="111"/>
      <c r="T546" s="110"/>
      <c r="U546" s="112"/>
      <c r="AG546" s="108"/>
    </row>
    <row r="547" spans="19:33" customFormat="1" ht="12.75" hidden="1">
      <c r="S547" s="111"/>
      <c r="T547" s="110"/>
      <c r="U547" s="112"/>
      <c r="AG547" s="108"/>
    </row>
    <row r="548" spans="19:33" customFormat="1" ht="12.75" hidden="1">
      <c r="S548" s="111"/>
      <c r="T548" s="110"/>
      <c r="U548" s="112"/>
      <c r="AG548" s="108"/>
    </row>
    <row r="549" spans="19:33" customFormat="1" ht="12.75" hidden="1">
      <c r="S549" s="111"/>
      <c r="T549" s="110"/>
      <c r="U549" s="112"/>
      <c r="AG549" s="108"/>
    </row>
    <row r="550" spans="19:33" customFormat="1" ht="12.75" hidden="1">
      <c r="S550" s="111"/>
      <c r="T550" s="110"/>
      <c r="U550" s="112"/>
      <c r="AG550" s="108"/>
    </row>
    <row r="551" spans="19:33" customFormat="1" ht="12.75" hidden="1">
      <c r="S551" s="111"/>
      <c r="T551" s="110"/>
      <c r="U551" s="112"/>
      <c r="AG551" s="108"/>
    </row>
    <row r="552" spans="19:33" customFormat="1" ht="12.75" hidden="1">
      <c r="S552" s="111"/>
      <c r="T552" s="110"/>
      <c r="U552" s="112"/>
      <c r="AG552" s="108"/>
    </row>
    <row r="553" spans="19:33" customFormat="1" ht="12.75" hidden="1">
      <c r="S553" s="111"/>
      <c r="T553" s="110"/>
      <c r="U553" s="112"/>
      <c r="AG553" s="108"/>
    </row>
    <row r="554" spans="19:33" customFormat="1" ht="12.75" hidden="1">
      <c r="S554" s="111"/>
      <c r="T554" s="110"/>
      <c r="U554" s="112"/>
      <c r="AG554" s="108"/>
    </row>
    <row r="555" spans="19:33" customFormat="1" ht="12.75" hidden="1">
      <c r="S555" s="111"/>
      <c r="T555" s="110"/>
      <c r="U555" s="112"/>
      <c r="AG555" s="108"/>
    </row>
    <row r="556" spans="19:33" customFormat="1" ht="12.75" hidden="1">
      <c r="S556" s="111"/>
      <c r="T556" s="110"/>
      <c r="U556" s="112"/>
      <c r="AG556" s="108"/>
    </row>
    <row r="557" spans="19:33" customFormat="1" ht="12.75" hidden="1">
      <c r="S557" s="111"/>
      <c r="T557" s="110"/>
      <c r="U557" s="112"/>
      <c r="AG557" s="108"/>
    </row>
    <row r="558" spans="19:33" customFormat="1" ht="12.75" hidden="1">
      <c r="S558" s="111"/>
      <c r="T558" s="110"/>
      <c r="U558" s="112"/>
      <c r="AG558" s="108"/>
    </row>
    <row r="559" spans="19:33" customFormat="1" ht="12.75" hidden="1">
      <c r="S559" s="111"/>
      <c r="T559" s="110"/>
      <c r="U559" s="112"/>
      <c r="AG559" s="108"/>
    </row>
    <row r="560" spans="19:33" customFormat="1" ht="12.75" hidden="1">
      <c r="S560" s="111"/>
      <c r="T560" s="110"/>
      <c r="U560" s="112"/>
      <c r="AG560" s="108"/>
    </row>
    <row r="561" spans="19:33" customFormat="1" ht="12.75" hidden="1">
      <c r="S561" s="111"/>
      <c r="T561" s="110"/>
      <c r="U561" s="112"/>
      <c r="AG561" s="108"/>
    </row>
    <row r="562" spans="19:33" customFormat="1" ht="12.75" hidden="1">
      <c r="S562" s="111"/>
      <c r="T562" s="110"/>
      <c r="U562" s="112"/>
      <c r="AG562" s="108"/>
    </row>
    <row r="563" spans="19:33" customFormat="1" ht="12.75" hidden="1">
      <c r="S563" s="111"/>
      <c r="T563" s="110"/>
      <c r="U563" s="112"/>
      <c r="AG563" s="108"/>
    </row>
    <row r="564" spans="19:33" customFormat="1" ht="12.75" hidden="1">
      <c r="S564" s="111"/>
      <c r="T564" s="110"/>
      <c r="U564" s="112"/>
      <c r="AG564" s="108"/>
    </row>
    <row r="565" spans="19:33" customFormat="1" ht="12.75" hidden="1">
      <c r="S565" s="111"/>
      <c r="T565" s="110"/>
      <c r="U565" s="112"/>
      <c r="AG565" s="108"/>
    </row>
    <row r="566" spans="19:33" customFormat="1" ht="12.75" hidden="1">
      <c r="S566" s="111"/>
      <c r="T566" s="110"/>
      <c r="U566" s="112"/>
      <c r="AG566" s="108"/>
    </row>
    <row r="567" spans="19:33" customFormat="1" ht="12.75" hidden="1">
      <c r="S567" s="111"/>
      <c r="T567" s="110"/>
      <c r="U567" s="112"/>
      <c r="AG567" s="108"/>
    </row>
    <row r="568" spans="19:33" customFormat="1" ht="12.75" hidden="1">
      <c r="S568" s="111"/>
      <c r="T568" s="110"/>
      <c r="U568" s="112"/>
      <c r="AG568" s="108"/>
    </row>
    <row r="569" spans="19:33" customFormat="1" ht="12.75" hidden="1">
      <c r="S569" s="111"/>
      <c r="T569" s="110"/>
      <c r="U569" s="112"/>
      <c r="AG569" s="108"/>
    </row>
    <row r="570" spans="19:33" customFormat="1" ht="12.75" hidden="1">
      <c r="S570" s="111"/>
      <c r="T570" s="110"/>
      <c r="U570" s="112"/>
      <c r="AG570" s="108"/>
    </row>
    <row r="571" spans="19:33" customFormat="1" ht="12.75" hidden="1">
      <c r="S571" s="111"/>
      <c r="T571" s="110"/>
      <c r="U571" s="112"/>
      <c r="AG571" s="108"/>
    </row>
    <row r="572" spans="19:33" customFormat="1" ht="12.75" hidden="1">
      <c r="S572" s="111"/>
      <c r="T572" s="110"/>
      <c r="U572" s="112"/>
      <c r="AG572" s="108"/>
    </row>
    <row r="573" spans="19:33" customFormat="1" ht="12.75" hidden="1">
      <c r="S573" s="111"/>
      <c r="T573" s="110"/>
      <c r="U573" s="112"/>
      <c r="AG573" s="108"/>
    </row>
    <row r="574" spans="19:33" customFormat="1" ht="12.75" hidden="1">
      <c r="S574" s="111"/>
      <c r="T574" s="110"/>
      <c r="U574" s="112"/>
      <c r="AG574" s="108"/>
    </row>
    <row r="575" spans="19:33" customFormat="1" ht="12.75" hidden="1">
      <c r="S575" s="111"/>
      <c r="T575" s="110"/>
      <c r="U575" s="112"/>
      <c r="AG575" s="108"/>
    </row>
    <row r="576" spans="19:33" customFormat="1" ht="12.75" hidden="1">
      <c r="S576" s="111"/>
      <c r="T576" s="110"/>
      <c r="U576" s="112"/>
      <c r="AG576" s="108"/>
    </row>
    <row r="577" spans="19:33" customFormat="1" ht="12.75" hidden="1">
      <c r="S577" s="111"/>
      <c r="T577" s="110"/>
      <c r="U577" s="112"/>
      <c r="AG577" s="108"/>
    </row>
    <row r="578" spans="19:33" customFormat="1" ht="12.75" hidden="1">
      <c r="S578" s="111"/>
      <c r="T578" s="110"/>
      <c r="U578" s="112"/>
      <c r="AG578" s="108"/>
    </row>
    <row r="579" spans="19:33" customFormat="1" ht="12.75" hidden="1">
      <c r="S579" s="111"/>
      <c r="T579" s="110"/>
      <c r="U579" s="112"/>
      <c r="AG579" s="108"/>
    </row>
    <row r="580" spans="19:33" customFormat="1" ht="12.75" hidden="1">
      <c r="S580" s="111"/>
      <c r="T580" s="110"/>
      <c r="U580" s="112"/>
      <c r="AG580" s="108"/>
    </row>
    <row r="581" spans="19:33" customFormat="1" ht="12.75" hidden="1">
      <c r="S581" s="111"/>
      <c r="T581" s="110"/>
      <c r="U581" s="112"/>
      <c r="AG581" s="108"/>
    </row>
    <row r="582" spans="19:33" customFormat="1" ht="12.75" hidden="1">
      <c r="S582" s="111"/>
      <c r="T582" s="110"/>
      <c r="U582" s="112"/>
      <c r="AG582" s="108"/>
    </row>
    <row r="583" spans="19:33" customFormat="1" ht="12.75" hidden="1">
      <c r="S583" s="111"/>
      <c r="T583" s="110"/>
      <c r="U583" s="112"/>
      <c r="AG583" s="108"/>
    </row>
    <row r="584" spans="19:33" customFormat="1" ht="12.75" hidden="1">
      <c r="S584" s="111"/>
      <c r="T584" s="110"/>
      <c r="U584" s="112"/>
      <c r="AG584" s="108"/>
    </row>
    <row r="585" spans="19:33" customFormat="1" ht="12.75" hidden="1">
      <c r="S585" s="111"/>
      <c r="T585" s="110"/>
      <c r="U585" s="112"/>
      <c r="AG585" s="108"/>
    </row>
    <row r="586" spans="19:33" customFormat="1" ht="12.75" hidden="1">
      <c r="S586" s="111"/>
      <c r="T586" s="110"/>
      <c r="U586" s="112"/>
      <c r="AG586" s="108"/>
    </row>
    <row r="587" spans="19:33" customFormat="1" ht="12.75" hidden="1">
      <c r="S587" s="111"/>
      <c r="T587" s="110"/>
      <c r="U587" s="112"/>
      <c r="AG587" s="108"/>
    </row>
    <row r="588" spans="19:33" customFormat="1" ht="12.75" hidden="1">
      <c r="S588" s="111"/>
      <c r="T588" s="110"/>
      <c r="U588" s="112"/>
      <c r="AG588" s="108"/>
    </row>
    <row r="589" spans="19:33" customFormat="1" ht="12.75" hidden="1">
      <c r="S589" s="111"/>
      <c r="T589" s="110"/>
      <c r="U589" s="112"/>
      <c r="AG589" s="108"/>
    </row>
    <row r="590" spans="19:33" customFormat="1" ht="12.75" hidden="1">
      <c r="S590" s="111"/>
      <c r="T590" s="110"/>
      <c r="U590" s="112"/>
      <c r="AG590" s="108"/>
    </row>
    <row r="591" spans="19:33" customFormat="1" ht="12.75" hidden="1">
      <c r="S591" s="111"/>
      <c r="T591" s="110"/>
      <c r="U591" s="112"/>
      <c r="AG591" s="108"/>
    </row>
    <row r="592" spans="19:33" customFormat="1" ht="12.75" hidden="1">
      <c r="S592" s="111"/>
      <c r="T592" s="110"/>
      <c r="U592" s="112"/>
      <c r="AG592" s="108"/>
    </row>
    <row r="593" spans="19:33" customFormat="1" ht="12.75" hidden="1">
      <c r="S593" s="111"/>
      <c r="T593" s="110"/>
      <c r="U593" s="112"/>
      <c r="AG593" s="108"/>
    </row>
    <row r="594" spans="19:33" customFormat="1" ht="12.75" hidden="1">
      <c r="S594" s="111"/>
      <c r="T594" s="110"/>
      <c r="U594" s="112"/>
      <c r="AG594" s="108"/>
    </row>
    <row r="595" spans="19:33" customFormat="1" ht="12.75" hidden="1">
      <c r="S595" s="111"/>
      <c r="T595" s="110"/>
      <c r="U595" s="112"/>
      <c r="AG595" s="108"/>
    </row>
    <row r="596" spans="19:33" customFormat="1" ht="12.75" hidden="1">
      <c r="S596" s="111"/>
      <c r="T596" s="110"/>
      <c r="U596" s="112"/>
      <c r="AG596" s="108"/>
    </row>
    <row r="597" spans="19:33" customFormat="1" ht="12.75" hidden="1">
      <c r="S597" s="111"/>
      <c r="T597" s="110"/>
      <c r="U597" s="112"/>
      <c r="AG597" s="108"/>
    </row>
    <row r="598" spans="19:33" customFormat="1" ht="12.75" hidden="1">
      <c r="S598" s="111"/>
      <c r="T598" s="110"/>
      <c r="U598" s="112"/>
      <c r="AG598" s="108"/>
    </row>
    <row r="599" spans="19:33" customFormat="1" ht="12.75" hidden="1">
      <c r="S599" s="111"/>
      <c r="T599" s="110"/>
      <c r="U599" s="112"/>
      <c r="AG599" s="108"/>
    </row>
    <row r="600" spans="19:33" customFormat="1" ht="12.75" hidden="1">
      <c r="S600" s="111"/>
      <c r="T600" s="110"/>
      <c r="U600" s="112"/>
      <c r="AG600" s="108"/>
    </row>
    <row r="601" spans="19:33" customFormat="1" ht="12.75" hidden="1">
      <c r="S601" s="111"/>
      <c r="T601" s="110"/>
      <c r="U601" s="112"/>
      <c r="AG601" s="108"/>
    </row>
    <row r="602" spans="19:33" customFormat="1" ht="12.75" hidden="1">
      <c r="S602" s="111"/>
      <c r="T602" s="110"/>
      <c r="U602" s="112"/>
      <c r="AG602" s="108"/>
    </row>
    <row r="603" spans="19:33" customFormat="1" ht="12.75" hidden="1">
      <c r="S603" s="111"/>
      <c r="T603" s="110"/>
      <c r="U603" s="112"/>
      <c r="AG603" s="108"/>
    </row>
    <row r="604" spans="19:33" customFormat="1" ht="12.75" hidden="1">
      <c r="S604" s="111"/>
      <c r="T604" s="110"/>
      <c r="U604" s="112"/>
      <c r="AG604" s="108"/>
    </row>
    <row r="605" spans="19:33" customFormat="1" ht="12.75" hidden="1">
      <c r="S605" s="111"/>
      <c r="T605" s="110"/>
      <c r="U605" s="112"/>
      <c r="AG605" s="108"/>
    </row>
    <row r="606" spans="19:33" customFormat="1" ht="12.75" hidden="1">
      <c r="S606" s="111"/>
      <c r="T606" s="110"/>
      <c r="U606" s="112"/>
      <c r="AG606" s="108"/>
    </row>
    <row r="607" spans="19:33" customFormat="1" ht="12.75" hidden="1">
      <c r="S607" s="111"/>
      <c r="T607" s="110"/>
      <c r="U607" s="112"/>
      <c r="AG607" s="108"/>
    </row>
    <row r="608" spans="19:33" customFormat="1" ht="12.75" hidden="1">
      <c r="S608" s="111"/>
      <c r="T608" s="110"/>
      <c r="U608" s="112"/>
      <c r="AG608" s="108"/>
    </row>
    <row r="609" spans="19:33" customFormat="1" ht="12.75" hidden="1">
      <c r="S609" s="111"/>
      <c r="T609" s="110"/>
      <c r="U609" s="112"/>
      <c r="AG609" s="108"/>
    </row>
    <row r="610" spans="19:33" customFormat="1" ht="12.75" hidden="1">
      <c r="S610" s="111"/>
      <c r="T610" s="110"/>
      <c r="U610" s="112"/>
      <c r="AG610" s="108"/>
    </row>
    <row r="611" spans="19:33" customFormat="1" ht="12.75" hidden="1">
      <c r="S611" s="111"/>
      <c r="T611" s="110"/>
      <c r="U611" s="112"/>
      <c r="AG611" s="108"/>
    </row>
    <row r="612" spans="19:33" customFormat="1" ht="12.75" hidden="1">
      <c r="S612" s="111"/>
      <c r="T612" s="110"/>
      <c r="U612" s="112"/>
      <c r="AG612" s="108"/>
    </row>
    <row r="613" spans="19:33" customFormat="1" ht="12.75" hidden="1">
      <c r="S613" s="111"/>
      <c r="T613" s="110"/>
      <c r="U613" s="112"/>
      <c r="AG613" s="108"/>
    </row>
    <row r="614" spans="19:33" customFormat="1" ht="12.75" hidden="1">
      <c r="S614" s="111"/>
      <c r="T614" s="110"/>
      <c r="U614" s="112"/>
      <c r="AG614" s="108"/>
    </row>
    <row r="615" spans="19:33" customFormat="1" ht="12.75" hidden="1">
      <c r="S615" s="111"/>
      <c r="T615" s="110"/>
      <c r="U615" s="112"/>
      <c r="AG615" s="108"/>
    </row>
    <row r="616" spans="19:33" customFormat="1" ht="12.75" hidden="1">
      <c r="S616" s="111"/>
      <c r="T616" s="110"/>
      <c r="U616" s="112"/>
      <c r="AG616" s="108"/>
    </row>
    <row r="617" spans="19:33" customFormat="1" ht="12.75" hidden="1">
      <c r="S617" s="111"/>
      <c r="T617" s="110"/>
      <c r="U617" s="112"/>
      <c r="AG617" s="108"/>
    </row>
    <row r="618" spans="19:33" customFormat="1" ht="12.75" hidden="1">
      <c r="S618" s="111"/>
      <c r="T618" s="110"/>
      <c r="U618" s="112"/>
      <c r="AG618" s="108"/>
    </row>
    <row r="619" spans="19:33" customFormat="1" ht="12.75" hidden="1">
      <c r="S619" s="111"/>
      <c r="T619" s="110"/>
      <c r="U619" s="112"/>
      <c r="AG619" s="108"/>
    </row>
    <row r="620" spans="19:33" customFormat="1" ht="12.75" hidden="1">
      <c r="S620" s="111"/>
      <c r="T620" s="110"/>
      <c r="U620" s="112"/>
      <c r="AG620" s="108"/>
    </row>
    <row r="621" spans="19:33" customFormat="1" ht="12.75" hidden="1">
      <c r="S621" s="111"/>
      <c r="T621" s="110"/>
      <c r="U621" s="112"/>
      <c r="AG621" s="108"/>
    </row>
    <row r="622" spans="19:33" customFormat="1" ht="12.75" hidden="1">
      <c r="S622" s="111"/>
      <c r="T622" s="110"/>
      <c r="U622" s="112"/>
      <c r="AG622" s="108"/>
    </row>
    <row r="623" spans="19:33" customFormat="1" ht="12.75" hidden="1">
      <c r="S623" s="111"/>
      <c r="T623" s="110"/>
      <c r="U623" s="112"/>
      <c r="AG623" s="108"/>
    </row>
    <row r="624" spans="19:33" customFormat="1" ht="12.75" hidden="1">
      <c r="S624" s="111"/>
      <c r="T624" s="110"/>
      <c r="U624" s="112"/>
      <c r="AG624" s="108"/>
    </row>
    <row r="625" spans="19:33" customFormat="1" ht="12.75" hidden="1">
      <c r="S625" s="111"/>
      <c r="T625" s="110"/>
      <c r="U625" s="112"/>
      <c r="AG625" s="108"/>
    </row>
    <row r="626" spans="19:33" customFormat="1" ht="12.75" hidden="1">
      <c r="S626" s="111"/>
      <c r="T626" s="110"/>
      <c r="U626" s="112"/>
      <c r="AG626" s="108"/>
    </row>
    <row r="627" spans="19:33" customFormat="1" ht="12.75" hidden="1">
      <c r="S627" s="111"/>
      <c r="T627" s="110"/>
      <c r="U627" s="112"/>
      <c r="AG627" s="108"/>
    </row>
    <row r="628" spans="19:33" customFormat="1" ht="12.75" hidden="1">
      <c r="S628" s="111"/>
      <c r="T628" s="110"/>
      <c r="U628" s="112"/>
      <c r="AG628" s="108"/>
    </row>
    <row r="629" spans="19:33" customFormat="1" ht="12.75" hidden="1">
      <c r="S629" s="111"/>
      <c r="T629" s="110"/>
      <c r="U629" s="112"/>
      <c r="AG629" s="108"/>
    </row>
    <row r="630" spans="19:33" customFormat="1" ht="12.75" hidden="1">
      <c r="S630" s="111"/>
      <c r="T630" s="110"/>
      <c r="U630" s="112"/>
      <c r="AG630" s="108"/>
    </row>
    <row r="631" spans="19:33" customFormat="1" ht="12.75" hidden="1">
      <c r="S631" s="111"/>
      <c r="T631" s="110"/>
      <c r="U631" s="112"/>
      <c r="AG631" s="108"/>
    </row>
    <row r="632" spans="19:33" customFormat="1" ht="12.75" hidden="1">
      <c r="S632" s="111"/>
      <c r="T632" s="110"/>
      <c r="U632" s="112"/>
      <c r="AG632" s="108"/>
    </row>
    <row r="633" spans="19:33" customFormat="1" ht="12.75" hidden="1">
      <c r="S633" s="111"/>
      <c r="T633" s="110"/>
      <c r="U633" s="112"/>
      <c r="AG633" s="108"/>
    </row>
    <row r="634" spans="19:33" customFormat="1" ht="12.75" hidden="1">
      <c r="S634" s="111"/>
      <c r="T634" s="110"/>
      <c r="U634" s="112"/>
      <c r="AG634" s="108"/>
    </row>
    <row r="635" spans="19:33" customFormat="1" ht="12.75" hidden="1">
      <c r="S635" s="111"/>
      <c r="T635" s="110"/>
      <c r="U635" s="112"/>
      <c r="AG635" s="108"/>
    </row>
    <row r="636" spans="19:33" customFormat="1" ht="12.75" hidden="1">
      <c r="S636" s="111"/>
      <c r="T636" s="110"/>
      <c r="U636" s="112"/>
      <c r="AG636" s="108"/>
    </row>
    <row r="637" spans="19:33" customFormat="1" ht="12.75" hidden="1">
      <c r="S637" s="111"/>
      <c r="T637" s="110"/>
      <c r="U637" s="112"/>
      <c r="AG637" s="108"/>
    </row>
    <row r="638" spans="19:33" customFormat="1" ht="12.75" hidden="1">
      <c r="S638" s="111"/>
      <c r="T638" s="110"/>
      <c r="U638" s="112"/>
      <c r="AG638" s="108"/>
    </row>
    <row r="639" spans="19:33" customFormat="1" ht="12.75" hidden="1">
      <c r="S639" s="111"/>
      <c r="T639" s="110"/>
      <c r="U639" s="112"/>
      <c r="AG639" s="108"/>
    </row>
    <row r="640" spans="19:33" customFormat="1" ht="12.75" hidden="1">
      <c r="S640" s="111"/>
      <c r="T640" s="110"/>
      <c r="U640" s="112"/>
      <c r="AG640" s="108"/>
    </row>
    <row r="641" spans="19:33" customFormat="1" ht="12.75" hidden="1">
      <c r="S641" s="111"/>
      <c r="T641" s="110"/>
      <c r="U641" s="112"/>
      <c r="AG641" s="108"/>
    </row>
    <row r="642" spans="19:33" customFormat="1" ht="12.75" hidden="1">
      <c r="S642" s="111"/>
      <c r="T642" s="110"/>
      <c r="U642" s="112"/>
      <c r="AG642" s="108"/>
    </row>
    <row r="643" spans="19:33" customFormat="1" ht="12.75" hidden="1">
      <c r="S643" s="111"/>
      <c r="T643" s="110"/>
      <c r="U643" s="112"/>
      <c r="AG643" s="108"/>
    </row>
    <row r="644" spans="19:33" customFormat="1" ht="12.75" hidden="1">
      <c r="S644" s="111"/>
      <c r="T644" s="110"/>
      <c r="U644" s="112"/>
      <c r="AG644" s="108"/>
    </row>
    <row r="645" spans="19:33" customFormat="1" ht="12.75" hidden="1">
      <c r="S645" s="111"/>
      <c r="T645" s="110"/>
      <c r="U645" s="112"/>
      <c r="AG645" s="108"/>
    </row>
    <row r="646" spans="19:33" customFormat="1" ht="12.75" hidden="1">
      <c r="S646" s="111"/>
      <c r="T646" s="110"/>
      <c r="U646" s="112"/>
      <c r="AG646" s="108"/>
    </row>
    <row r="647" spans="19:33" customFormat="1" ht="12.75" hidden="1">
      <c r="S647" s="111"/>
      <c r="T647" s="110"/>
      <c r="U647" s="112"/>
      <c r="AG647" s="108"/>
    </row>
    <row r="648" spans="19:33" customFormat="1" ht="12.75" hidden="1">
      <c r="S648" s="111"/>
      <c r="T648" s="110"/>
      <c r="U648" s="112"/>
      <c r="AG648" s="108"/>
    </row>
    <row r="649" spans="19:33" customFormat="1" ht="12.75" hidden="1">
      <c r="S649" s="111"/>
      <c r="T649" s="110"/>
      <c r="U649" s="112"/>
      <c r="AG649" s="108"/>
    </row>
    <row r="650" spans="19:33" customFormat="1" ht="12.75" hidden="1">
      <c r="S650" s="111"/>
      <c r="T650" s="110"/>
      <c r="U650" s="112"/>
      <c r="AG650" s="108"/>
    </row>
    <row r="651" spans="19:33" customFormat="1" ht="12.75" hidden="1">
      <c r="S651" s="111"/>
      <c r="T651" s="110"/>
      <c r="U651" s="112"/>
      <c r="AG651" s="108"/>
    </row>
    <row r="652" spans="19:33" customFormat="1" ht="12.75" hidden="1">
      <c r="S652" s="111"/>
      <c r="T652" s="110"/>
      <c r="U652" s="112"/>
      <c r="AG652" s="108"/>
    </row>
    <row r="653" spans="19:33" customFormat="1" ht="12.75" hidden="1">
      <c r="S653" s="111"/>
      <c r="T653" s="110"/>
      <c r="U653" s="112"/>
      <c r="AG653" s="108"/>
    </row>
    <row r="654" spans="19:33" customFormat="1" ht="12.75" hidden="1">
      <c r="S654" s="111"/>
      <c r="T654" s="110"/>
      <c r="U654" s="112"/>
      <c r="AG654" s="108"/>
    </row>
    <row r="655" spans="19:33" customFormat="1" ht="12.75" hidden="1">
      <c r="S655" s="111"/>
      <c r="T655" s="110"/>
      <c r="U655" s="112"/>
      <c r="AG655" s="108"/>
    </row>
    <row r="656" spans="19:33" customFormat="1" ht="12.75" hidden="1">
      <c r="S656" s="111"/>
      <c r="T656" s="110"/>
      <c r="U656" s="112"/>
      <c r="AG656" s="108"/>
    </row>
    <row r="657" spans="19:33" customFormat="1" ht="12.75" hidden="1">
      <c r="S657" s="111"/>
      <c r="T657" s="110"/>
      <c r="U657" s="112"/>
      <c r="AG657" s="108"/>
    </row>
    <row r="658" spans="19:33" customFormat="1" ht="12.75" hidden="1">
      <c r="S658" s="111"/>
      <c r="T658" s="110"/>
      <c r="U658" s="112"/>
      <c r="AG658" s="108"/>
    </row>
    <row r="659" spans="19:33" customFormat="1" ht="12.75" hidden="1">
      <c r="S659" s="111"/>
      <c r="T659" s="110"/>
      <c r="U659" s="112"/>
      <c r="AG659" s="108"/>
    </row>
    <row r="660" spans="19:33" customFormat="1" ht="12.75" hidden="1">
      <c r="S660" s="111"/>
      <c r="T660" s="110"/>
      <c r="U660" s="112"/>
      <c r="AG660" s="108"/>
    </row>
    <row r="661" spans="19:33" customFormat="1" ht="12.75" hidden="1">
      <c r="S661" s="111"/>
      <c r="T661" s="110"/>
      <c r="U661" s="112"/>
      <c r="AG661" s="108"/>
    </row>
    <row r="662" spans="19:33" customFormat="1" ht="12.75" hidden="1">
      <c r="S662" s="111"/>
      <c r="T662" s="110"/>
      <c r="U662" s="112"/>
      <c r="AG662" s="108"/>
    </row>
    <row r="663" spans="19:33" customFormat="1" ht="12.75" hidden="1">
      <c r="S663" s="111"/>
      <c r="T663" s="110"/>
      <c r="U663" s="112"/>
      <c r="AG663" s="108"/>
    </row>
    <row r="664" spans="19:33" customFormat="1" ht="12.75" hidden="1">
      <c r="S664" s="111"/>
      <c r="T664" s="110"/>
      <c r="U664" s="112"/>
      <c r="AG664" s="108"/>
    </row>
    <row r="665" spans="19:33" customFormat="1" ht="12.75" hidden="1">
      <c r="S665" s="111"/>
      <c r="T665" s="110"/>
      <c r="U665" s="112"/>
      <c r="AG665" s="108"/>
    </row>
    <row r="666" spans="19:33" customFormat="1" ht="12.75" hidden="1">
      <c r="S666" s="111"/>
      <c r="T666" s="110"/>
      <c r="U666" s="112"/>
      <c r="AG666" s="108"/>
    </row>
    <row r="667" spans="19:33" customFormat="1" ht="12.75" hidden="1">
      <c r="S667" s="111"/>
      <c r="T667" s="110"/>
      <c r="U667" s="112"/>
      <c r="AG667" s="108"/>
    </row>
    <row r="668" spans="19:33" customFormat="1" ht="12.75" hidden="1">
      <c r="S668" s="111"/>
      <c r="T668" s="110"/>
      <c r="U668" s="112"/>
      <c r="AG668" s="108"/>
    </row>
    <row r="669" spans="19:33" customFormat="1" ht="12.75" hidden="1">
      <c r="S669" s="111"/>
      <c r="T669" s="110"/>
      <c r="U669" s="112"/>
      <c r="AG669" s="108"/>
    </row>
    <row r="670" spans="19:33" customFormat="1" ht="12.75" hidden="1">
      <c r="S670" s="111"/>
      <c r="T670" s="110"/>
      <c r="U670" s="112"/>
      <c r="AG670" s="108"/>
    </row>
    <row r="671" spans="19:33" customFormat="1" ht="12.75" hidden="1">
      <c r="S671" s="111"/>
      <c r="T671" s="110"/>
      <c r="U671" s="112"/>
      <c r="AG671" s="108"/>
    </row>
    <row r="672" spans="19:33" customFormat="1" ht="12.75" hidden="1">
      <c r="S672" s="111"/>
      <c r="T672" s="110"/>
      <c r="U672" s="112"/>
      <c r="AG672" s="108"/>
    </row>
    <row r="673" spans="19:33" customFormat="1" ht="12.75" hidden="1">
      <c r="S673" s="111"/>
      <c r="T673" s="110"/>
      <c r="U673" s="112"/>
      <c r="AG673" s="108"/>
    </row>
    <row r="674" spans="19:33" customFormat="1" ht="12.75" hidden="1">
      <c r="S674" s="111"/>
      <c r="T674" s="110"/>
      <c r="U674" s="112"/>
      <c r="AG674" s="108"/>
    </row>
    <row r="675" spans="19:33" customFormat="1" ht="12.75" hidden="1">
      <c r="S675" s="111"/>
      <c r="T675" s="110"/>
      <c r="U675" s="112"/>
      <c r="AG675" s="108"/>
    </row>
    <row r="676" spans="19:33" customFormat="1" ht="12.75" hidden="1">
      <c r="S676" s="111"/>
      <c r="T676" s="110"/>
      <c r="U676" s="112"/>
      <c r="AG676" s="108"/>
    </row>
    <row r="677" spans="19:33" customFormat="1" ht="12.75" hidden="1">
      <c r="S677" s="111"/>
      <c r="T677" s="110"/>
      <c r="U677" s="112"/>
      <c r="AG677" s="108"/>
    </row>
    <row r="678" spans="19:33" customFormat="1" ht="12.75" hidden="1">
      <c r="S678" s="111"/>
      <c r="T678" s="110"/>
      <c r="U678" s="112"/>
      <c r="AG678" s="108"/>
    </row>
    <row r="679" spans="19:33" customFormat="1" ht="12.75" hidden="1">
      <c r="S679" s="111"/>
      <c r="T679" s="110"/>
      <c r="U679" s="112"/>
      <c r="AG679" s="108"/>
    </row>
    <row r="680" spans="19:33" customFormat="1" ht="12.75" hidden="1">
      <c r="S680" s="111"/>
      <c r="T680" s="110"/>
      <c r="U680" s="112"/>
      <c r="AG680" s="108"/>
    </row>
    <row r="681" spans="19:33" customFormat="1" ht="12.75" hidden="1">
      <c r="S681" s="111"/>
      <c r="T681" s="110"/>
      <c r="U681" s="112"/>
      <c r="AG681" s="108"/>
    </row>
    <row r="682" spans="19:33" customFormat="1" ht="12.75" hidden="1">
      <c r="S682" s="111"/>
      <c r="T682" s="110"/>
      <c r="U682" s="112"/>
      <c r="AG682" s="108"/>
    </row>
    <row r="683" spans="19:33" customFormat="1" ht="12.75" hidden="1">
      <c r="S683" s="111"/>
      <c r="T683" s="110"/>
      <c r="U683" s="112"/>
      <c r="AG683" s="108"/>
    </row>
    <row r="684" spans="19:33" customFormat="1" ht="12.75" hidden="1">
      <c r="S684" s="111"/>
      <c r="T684" s="110"/>
      <c r="U684" s="112"/>
      <c r="AG684" s="108"/>
    </row>
    <row r="685" spans="19:33" customFormat="1" ht="12.75" hidden="1">
      <c r="S685" s="111"/>
      <c r="T685" s="110"/>
      <c r="U685" s="112"/>
      <c r="AG685" s="108"/>
    </row>
    <row r="686" spans="19:33" customFormat="1" ht="12.75" hidden="1">
      <c r="S686" s="111"/>
      <c r="T686" s="110"/>
      <c r="U686" s="112"/>
      <c r="AG686" s="108"/>
    </row>
    <row r="687" spans="19:33" customFormat="1" ht="12.75" hidden="1">
      <c r="S687" s="111"/>
      <c r="T687" s="110"/>
      <c r="U687" s="112"/>
      <c r="AG687" s="108"/>
    </row>
    <row r="688" spans="19:33" customFormat="1" ht="12.75" hidden="1">
      <c r="S688" s="111"/>
      <c r="T688" s="110"/>
      <c r="U688" s="112"/>
      <c r="AG688" s="108"/>
    </row>
    <row r="689" spans="19:33" customFormat="1" ht="12.75" hidden="1">
      <c r="S689" s="111"/>
      <c r="T689" s="110"/>
      <c r="U689" s="112"/>
      <c r="AG689" s="108"/>
    </row>
    <row r="690" spans="19:33" customFormat="1" ht="12.75" hidden="1">
      <c r="S690" s="111"/>
      <c r="T690" s="110"/>
      <c r="U690" s="112"/>
      <c r="AG690" s="108"/>
    </row>
    <row r="691" spans="19:33" customFormat="1" ht="12.75" hidden="1">
      <c r="S691" s="111"/>
      <c r="T691" s="110"/>
      <c r="U691" s="112"/>
      <c r="AG691" s="108"/>
    </row>
    <row r="692" spans="19:33" customFormat="1" ht="12.75" hidden="1">
      <c r="S692" s="111"/>
      <c r="T692" s="110"/>
      <c r="U692" s="112"/>
      <c r="AG692" s="108"/>
    </row>
    <row r="693" spans="19:33" customFormat="1" ht="12.75" hidden="1">
      <c r="S693" s="111"/>
      <c r="T693" s="110"/>
      <c r="U693" s="112"/>
      <c r="AG693" s="108"/>
    </row>
    <row r="694" spans="19:33" customFormat="1" ht="12.75" hidden="1">
      <c r="S694" s="111"/>
      <c r="T694" s="110"/>
      <c r="U694" s="112"/>
      <c r="AG694" s="108"/>
    </row>
    <row r="695" spans="19:33" customFormat="1" ht="12.75" hidden="1">
      <c r="S695" s="111"/>
      <c r="T695" s="110"/>
      <c r="U695" s="112"/>
      <c r="AG695" s="108"/>
    </row>
    <row r="696" spans="19:33" customFormat="1" ht="12.75" hidden="1">
      <c r="S696" s="111"/>
      <c r="T696" s="110"/>
      <c r="U696" s="112"/>
      <c r="AG696" s="108"/>
    </row>
    <row r="697" spans="19:33" customFormat="1" ht="12.75" hidden="1">
      <c r="S697" s="111"/>
      <c r="T697" s="110"/>
      <c r="U697" s="112"/>
      <c r="AG697" s="108"/>
    </row>
    <row r="698" spans="19:33" customFormat="1" ht="12.75" hidden="1">
      <c r="S698" s="111"/>
      <c r="T698" s="110"/>
      <c r="U698" s="112"/>
      <c r="AG698" s="108"/>
    </row>
    <row r="699" spans="19:33" customFormat="1" ht="12.75" hidden="1">
      <c r="S699" s="111"/>
      <c r="T699" s="110"/>
      <c r="U699" s="112"/>
      <c r="AG699" s="108"/>
    </row>
    <row r="700" spans="19:33" customFormat="1" ht="12.75" hidden="1">
      <c r="S700" s="111"/>
      <c r="T700" s="110"/>
      <c r="U700" s="112"/>
      <c r="AG700" s="108"/>
    </row>
    <row r="701" spans="19:33" customFormat="1" ht="12.75" hidden="1">
      <c r="S701" s="111"/>
      <c r="T701" s="110"/>
      <c r="U701" s="112"/>
      <c r="AG701" s="108"/>
    </row>
    <row r="702" spans="19:33" customFormat="1" ht="12.75" hidden="1">
      <c r="S702" s="111"/>
      <c r="T702" s="110"/>
      <c r="U702" s="112"/>
      <c r="AG702" s="108"/>
    </row>
    <row r="703" spans="19:33" customFormat="1" ht="12.75" hidden="1">
      <c r="S703" s="111"/>
      <c r="T703" s="110"/>
      <c r="U703" s="112"/>
      <c r="AG703" s="108"/>
    </row>
    <row r="704" spans="19:33" customFormat="1" ht="12.75" hidden="1">
      <c r="S704" s="111"/>
      <c r="T704" s="110"/>
      <c r="U704" s="112"/>
      <c r="AG704" s="108"/>
    </row>
    <row r="705" spans="19:33" customFormat="1" ht="12.75" hidden="1">
      <c r="S705" s="111"/>
      <c r="T705" s="110"/>
      <c r="U705" s="112"/>
      <c r="AG705" s="108"/>
    </row>
    <row r="706" spans="19:33" customFormat="1" ht="12.75" hidden="1">
      <c r="S706" s="111"/>
      <c r="T706" s="110"/>
      <c r="U706" s="112"/>
      <c r="AG706" s="108"/>
    </row>
    <row r="707" spans="19:33" customFormat="1" ht="12.75" hidden="1">
      <c r="S707" s="111"/>
      <c r="T707" s="110"/>
      <c r="U707" s="112"/>
      <c r="AG707" s="108"/>
    </row>
    <row r="708" spans="19:33" customFormat="1" ht="12.75" hidden="1">
      <c r="S708" s="111"/>
      <c r="T708" s="110"/>
      <c r="U708" s="112"/>
      <c r="AG708" s="108"/>
    </row>
    <row r="709" spans="19:33" customFormat="1" ht="12.75" hidden="1">
      <c r="S709" s="111"/>
      <c r="T709" s="110"/>
      <c r="U709" s="112"/>
      <c r="AG709" s="108"/>
    </row>
    <row r="710" spans="19:33" customFormat="1" ht="12.75" hidden="1">
      <c r="S710" s="111"/>
      <c r="T710" s="110"/>
      <c r="U710" s="112"/>
      <c r="AG710" s="108"/>
    </row>
    <row r="711" spans="19:33" customFormat="1" ht="12.75" hidden="1">
      <c r="S711" s="111"/>
      <c r="T711" s="110"/>
      <c r="U711" s="112"/>
      <c r="AG711" s="108"/>
    </row>
    <row r="712" spans="19:33" customFormat="1" ht="12.75" hidden="1">
      <c r="S712" s="111"/>
      <c r="T712" s="110"/>
      <c r="U712" s="112"/>
      <c r="AG712" s="108"/>
    </row>
    <row r="713" spans="19:33" customFormat="1" ht="12.75" hidden="1">
      <c r="S713" s="111"/>
      <c r="T713" s="110"/>
      <c r="U713" s="112"/>
      <c r="AG713" s="108"/>
    </row>
    <row r="714" spans="19:33" customFormat="1" ht="12.75" hidden="1">
      <c r="S714" s="111"/>
      <c r="T714" s="110"/>
      <c r="U714" s="112"/>
      <c r="AG714" s="108"/>
    </row>
    <row r="715" spans="19:33" customFormat="1" ht="12.75" hidden="1">
      <c r="S715" s="111"/>
      <c r="T715" s="110"/>
      <c r="U715" s="112"/>
      <c r="AG715" s="108"/>
    </row>
    <row r="716" spans="19:33" customFormat="1" ht="12.75" hidden="1">
      <c r="S716" s="111"/>
      <c r="T716" s="110"/>
      <c r="U716" s="112"/>
      <c r="AG716" s="108"/>
    </row>
    <row r="717" spans="19:33" customFormat="1" ht="12.75" hidden="1">
      <c r="S717" s="111"/>
      <c r="T717" s="110"/>
      <c r="U717" s="112"/>
      <c r="AG717" s="108"/>
    </row>
    <row r="718" spans="19:33" customFormat="1" ht="12.75" hidden="1">
      <c r="S718" s="111"/>
      <c r="T718" s="110"/>
      <c r="U718" s="112"/>
      <c r="AG718" s="108"/>
    </row>
    <row r="719" spans="19:33" customFormat="1" ht="12.75" hidden="1">
      <c r="S719" s="111"/>
      <c r="T719" s="110"/>
      <c r="U719" s="112"/>
      <c r="AG719" s="108"/>
    </row>
    <row r="720" spans="19:33" customFormat="1" ht="12.75" hidden="1">
      <c r="S720" s="111"/>
      <c r="T720" s="110"/>
      <c r="U720" s="112"/>
      <c r="AG720" s="108"/>
    </row>
    <row r="721" spans="19:33" customFormat="1" ht="12.75" hidden="1">
      <c r="S721" s="111"/>
      <c r="T721" s="110"/>
      <c r="U721" s="112"/>
      <c r="AG721" s="108"/>
    </row>
    <row r="722" spans="19:33" customFormat="1" ht="12.75" hidden="1">
      <c r="S722" s="111"/>
      <c r="T722" s="110"/>
      <c r="U722" s="112"/>
      <c r="AG722" s="108"/>
    </row>
    <row r="723" spans="19:33" customFormat="1" ht="12.75" hidden="1">
      <c r="S723" s="111"/>
      <c r="T723" s="110"/>
      <c r="U723" s="112"/>
      <c r="AG723" s="108"/>
    </row>
    <row r="724" spans="19:33" customFormat="1" ht="12.75" hidden="1">
      <c r="S724" s="111"/>
      <c r="T724" s="110"/>
      <c r="U724" s="112"/>
      <c r="AG724" s="108"/>
    </row>
    <row r="725" spans="19:33" customFormat="1" ht="12.75" hidden="1">
      <c r="S725" s="111"/>
      <c r="T725" s="110"/>
      <c r="U725" s="112"/>
      <c r="AG725" s="108"/>
    </row>
    <row r="726" spans="19:33" customFormat="1" ht="12.75" hidden="1">
      <c r="S726" s="111"/>
      <c r="T726" s="110"/>
      <c r="U726" s="112"/>
      <c r="AG726" s="108"/>
    </row>
    <row r="727" spans="19:33" customFormat="1" ht="12.75" hidden="1">
      <c r="S727" s="111"/>
      <c r="T727" s="110"/>
      <c r="U727" s="112"/>
      <c r="AG727" s="108"/>
    </row>
    <row r="728" spans="19:33" customFormat="1" ht="12.75" hidden="1">
      <c r="S728" s="111"/>
      <c r="T728" s="110"/>
      <c r="U728" s="112"/>
      <c r="AG728" s="108"/>
    </row>
    <row r="729" spans="19:33" customFormat="1" ht="12.75" hidden="1">
      <c r="S729" s="111"/>
      <c r="T729" s="110"/>
      <c r="U729" s="112"/>
      <c r="AG729" s="108"/>
    </row>
    <row r="730" spans="19:33" customFormat="1" ht="12.75" hidden="1">
      <c r="S730" s="111"/>
      <c r="T730" s="110"/>
      <c r="U730" s="112"/>
      <c r="AG730" s="108"/>
    </row>
    <row r="731" spans="19:33" customFormat="1" ht="12.75" hidden="1">
      <c r="S731" s="111"/>
      <c r="T731" s="110"/>
      <c r="U731" s="112"/>
      <c r="AG731" s="108"/>
    </row>
    <row r="732" spans="19:33" customFormat="1" ht="12.75" hidden="1">
      <c r="S732" s="111"/>
      <c r="T732" s="110"/>
      <c r="U732" s="112"/>
      <c r="AG732" s="108"/>
    </row>
    <row r="733" spans="19:33" customFormat="1" ht="12.75" hidden="1">
      <c r="S733" s="111"/>
      <c r="T733" s="110"/>
      <c r="U733" s="112"/>
      <c r="AG733" s="108"/>
    </row>
    <row r="734" spans="19:33" customFormat="1" ht="12.75" hidden="1">
      <c r="S734" s="111"/>
      <c r="T734" s="110"/>
      <c r="U734" s="112"/>
      <c r="AG734" s="108"/>
    </row>
    <row r="735" spans="19:33" customFormat="1" ht="12.75" hidden="1">
      <c r="S735" s="111"/>
      <c r="T735" s="110"/>
      <c r="U735" s="112"/>
      <c r="AG735" s="108"/>
    </row>
    <row r="736" spans="19:33" customFormat="1" ht="12.75" hidden="1">
      <c r="S736" s="111"/>
      <c r="T736" s="110"/>
      <c r="U736" s="112"/>
      <c r="AG736" s="108"/>
    </row>
    <row r="737" spans="19:33" customFormat="1" ht="12.75" hidden="1">
      <c r="S737" s="111"/>
      <c r="T737" s="110"/>
      <c r="U737" s="112"/>
      <c r="AG737" s="108"/>
    </row>
    <row r="738" spans="19:33" customFormat="1" ht="12.75" hidden="1">
      <c r="S738" s="111"/>
      <c r="T738" s="110"/>
      <c r="U738" s="112"/>
      <c r="AG738" s="108"/>
    </row>
    <row r="739" spans="19:33" customFormat="1" ht="12.75" hidden="1">
      <c r="S739" s="111"/>
      <c r="T739" s="110"/>
      <c r="U739" s="112"/>
      <c r="AG739" s="108"/>
    </row>
    <row r="740" spans="19:33" customFormat="1" ht="12.75" hidden="1">
      <c r="S740" s="111"/>
      <c r="T740" s="110"/>
      <c r="U740" s="112"/>
      <c r="AG740" s="108"/>
    </row>
    <row r="741" spans="19:33" customFormat="1" ht="12.75" hidden="1">
      <c r="S741" s="111"/>
      <c r="T741" s="110"/>
      <c r="U741" s="112"/>
      <c r="AG741" s="108"/>
    </row>
    <row r="742" spans="19:33" customFormat="1" ht="12.75" hidden="1">
      <c r="S742" s="111"/>
      <c r="T742" s="110"/>
      <c r="U742" s="112"/>
      <c r="AG742" s="108"/>
    </row>
    <row r="743" spans="19:33" customFormat="1" ht="12.75" hidden="1">
      <c r="S743" s="111"/>
      <c r="T743" s="110"/>
      <c r="U743" s="112"/>
      <c r="AG743" s="108"/>
    </row>
    <row r="744" spans="19:33" customFormat="1" ht="12.75" hidden="1">
      <c r="S744" s="111"/>
      <c r="T744" s="110"/>
      <c r="U744" s="112"/>
      <c r="AG744" s="108"/>
    </row>
    <row r="745" spans="19:33" customFormat="1" ht="12.75" hidden="1">
      <c r="S745" s="111"/>
      <c r="T745" s="110"/>
      <c r="U745" s="112"/>
      <c r="AG745" s="108"/>
    </row>
    <row r="746" spans="19:33" customFormat="1" ht="12.75" hidden="1">
      <c r="S746" s="111"/>
      <c r="T746" s="110"/>
      <c r="U746" s="112"/>
      <c r="AG746" s="108"/>
    </row>
    <row r="747" spans="19:33" customFormat="1" ht="12.75" hidden="1">
      <c r="S747" s="111"/>
      <c r="T747" s="110"/>
      <c r="U747" s="112"/>
      <c r="AG747" s="108"/>
    </row>
    <row r="748" spans="19:33" customFormat="1" ht="12.75" hidden="1">
      <c r="S748" s="111"/>
      <c r="T748" s="110"/>
      <c r="U748" s="112"/>
      <c r="AG748" s="108"/>
    </row>
    <row r="749" spans="19:33" customFormat="1" ht="12.75" hidden="1">
      <c r="S749" s="111"/>
      <c r="T749" s="110"/>
      <c r="U749" s="112"/>
      <c r="AG749" s="108"/>
    </row>
    <row r="750" spans="19:33" customFormat="1" ht="12.75" hidden="1">
      <c r="S750" s="111"/>
      <c r="T750" s="110"/>
      <c r="U750" s="112"/>
      <c r="AG750" s="108"/>
    </row>
    <row r="751" spans="19:33" customFormat="1" ht="12.75" hidden="1">
      <c r="S751" s="111"/>
      <c r="T751" s="110"/>
      <c r="U751" s="112"/>
      <c r="AG751" s="108"/>
    </row>
    <row r="752" spans="19:33" customFormat="1" ht="12.75" hidden="1">
      <c r="S752" s="111"/>
      <c r="T752" s="110"/>
      <c r="U752" s="112"/>
      <c r="AG752" s="108"/>
    </row>
    <row r="753" spans="19:33" customFormat="1" ht="12.75" hidden="1">
      <c r="S753" s="111"/>
      <c r="T753" s="110"/>
      <c r="U753" s="112"/>
      <c r="AG753" s="108"/>
    </row>
    <row r="754" spans="19:33" customFormat="1" ht="12.75" hidden="1">
      <c r="S754" s="111"/>
      <c r="T754" s="110"/>
      <c r="U754" s="112"/>
      <c r="AG754" s="108"/>
    </row>
    <row r="755" spans="19:33" customFormat="1" ht="12.75" hidden="1">
      <c r="S755" s="111"/>
      <c r="T755" s="110"/>
      <c r="U755" s="112"/>
      <c r="AG755" s="108"/>
    </row>
    <row r="756" spans="19:33" customFormat="1" ht="12.75" hidden="1">
      <c r="S756" s="111"/>
      <c r="T756" s="110"/>
      <c r="U756" s="112"/>
      <c r="AG756" s="108"/>
    </row>
    <row r="757" spans="19:33" customFormat="1" ht="12.75" hidden="1">
      <c r="S757" s="111"/>
      <c r="T757" s="110"/>
      <c r="U757" s="112"/>
      <c r="AG757" s="108"/>
    </row>
    <row r="758" spans="19:33" customFormat="1" ht="12.75" hidden="1">
      <c r="S758" s="111"/>
      <c r="T758" s="110"/>
      <c r="U758" s="112"/>
      <c r="AG758" s="108"/>
    </row>
    <row r="759" spans="19:33" customFormat="1" ht="12.75" hidden="1">
      <c r="S759" s="111"/>
      <c r="T759" s="110"/>
      <c r="U759" s="112"/>
      <c r="AG759" s="108"/>
    </row>
    <row r="760" spans="19:33" customFormat="1" ht="12.75" hidden="1">
      <c r="S760" s="111"/>
      <c r="T760" s="110"/>
      <c r="U760" s="112"/>
      <c r="AG760" s="108"/>
    </row>
    <row r="761" spans="19:33" customFormat="1" ht="12.75" hidden="1">
      <c r="S761" s="111"/>
      <c r="T761" s="110"/>
      <c r="U761" s="112"/>
      <c r="AG761" s="108"/>
    </row>
    <row r="762" spans="19:33" customFormat="1" ht="12.75" hidden="1">
      <c r="S762" s="111"/>
      <c r="T762" s="110"/>
      <c r="U762" s="112"/>
      <c r="AG762" s="108"/>
    </row>
    <row r="763" spans="19:33" customFormat="1" ht="12.75" hidden="1">
      <c r="S763" s="111"/>
      <c r="T763" s="110"/>
      <c r="U763" s="112"/>
      <c r="AG763" s="108"/>
    </row>
    <row r="764" spans="19:33" customFormat="1" ht="12.75" hidden="1">
      <c r="S764" s="111"/>
      <c r="T764" s="110"/>
      <c r="U764" s="112"/>
      <c r="AG764" s="108"/>
    </row>
    <row r="765" spans="19:33" customFormat="1" ht="12.75" hidden="1">
      <c r="S765" s="111"/>
      <c r="T765" s="110"/>
      <c r="U765" s="112"/>
      <c r="AG765" s="108"/>
    </row>
    <row r="766" spans="19:33" customFormat="1" ht="12.75" hidden="1">
      <c r="S766" s="111"/>
      <c r="T766" s="110"/>
      <c r="U766" s="112"/>
      <c r="AG766" s="108"/>
    </row>
    <row r="767" spans="19:33" customFormat="1" ht="12.75" hidden="1">
      <c r="S767" s="111"/>
      <c r="T767" s="110"/>
      <c r="U767" s="112"/>
      <c r="AG767" s="108"/>
    </row>
    <row r="768" spans="19:33" customFormat="1" ht="12.75" hidden="1">
      <c r="S768" s="111"/>
      <c r="T768" s="110"/>
      <c r="U768" s="112"/>
      <c r="AG768" s="108"/>
    </row>
    <row r="769" spans="19:33" customFormat="1" ht="12.75" hidden="1">
      <c r="S769" s="111"/>
      <c r="T769" s="110"/>
      <c r="U769" s="112"/>
      <c r="AG769" s="108"/>
    </row>
    <row r="770" spans="19:33" customFormat="1" ht="12.75" hidden="1">
      <c r="S770" s="111"/>
      <c r="T770" s="110"/>
      <c r="U770" s="112"/>
      <c r="AG770" s="108"/>
    </row>
    <row r="771" spans="19:33" customFormat="1" ht="12.75" hidden="1">
      <c r="S771" s="111"/>
      <c r="T771" s="110"/>
      <c r="U771" s="112"/>
      <c r="AG771" s="108"/>
    </row>
    <row r="772" spans="19:33" customFormat="1" ht="12.75" hidden="1">
      <c r="S772" s="111"/>
      <c r="T772" s="110"/>
      <c r="U772" s="112"/>
      <c r="AG772" s="108"/>
    </row>
    <row r="773" spans="19:33" customFormat="1" ht="12.75" hidden="1">
      <c r="S773" s="111"/>
      <c r="T773" s="110"/>
      <c r="U773" s="112"/>
      <c r="AG773" s="108"/>
    </row>
    <row r="774" spans="19:33" customFormat="1" ht="12.75" hidden="1">
      <c r="S774" s="111"/>
      <c r="T774" s="110"/>
      <c r="U774" s="112"/>
      <c r="AG774" s="108"/>
    </row>
    <row r="775" spans="19:33" customFormat="1" ht="12.75" hidden="1">
      <c r="S775" s="111"/>
      <c r="T775" s="110"/>
      <c r="U775" s="112"/>
      <c r="AG775" s="108"/>
    </row>
    <row r="776" spans="19:33" customFormat="1" ht="12.75" hidden="1">
      <c r="S776" s="111"/>
      <c r="T776" s="110"/>
      <c r="U776" s="112"/>
      <c r="AG776" s="108"/>
    </row>
    <row r="777" spans="19:33" customFormat="1" ht="12.75" hidden="1">
      <c r="S777" s="111"/>
      <c r="T777" s="110"/>
      <c r="U777" s="112"/>
      <c r="AG777" s="108"/>
    </row>
    <row r="778" spans="19:33" customFormat="1" ht="12.75" hidden="1">
      <c r="S778" s="111"/>
      <c r="T778" s="110"/>
      <c r="U778" s="112"/>
      <c r="AG778" s="108"/>
    </row>
    <row r="779" spans="19:33" customFormat="1" ht="12.75" hidden="1">
      <c r="S779" s="111"/>
      <c r="T779" s="110"/>
      <c r="U779" s="112"/>
      <c r="AG779" s="108"/>
    </row>
    <row r="780" spans="19:33" customFormat="1" ht="12.75" hidden="1">
      <c r="S780" s="111"/>
      <c r="T780" s="110"/>
      <c r="U780" s="112"/>
      <c r="AG780" s="108"/>
    </row>
    <row r="781" spans="19:33" customFormat="1" ht="12.75" hidden="1">
      <c r="S781" s="111"/>
      <c r="T781" s="110"/>
      <c r="U781" s="112"/>
      <c r="AG781" s="108"/>
    </row>
    <row r="782" spans="19:33" customFormat="1" ht="12.75" hidden="1">
      <c r="S782" s="111"/>
      <c r="T782" s="110"/>
      <c r="U782" s="112"/>
      <c r="AG782" s="108"/>
    </row>
    <row r="783" spans="19:33" customFormat="1" ht="12.75" hidden="1">
      <c r="S783" s="111"/>
      <c r="T783" s="110"/>
      <c r="U783" s="112"/>
      <c r="AG783" s="108"/>
    </row>
    <row r="784" spans="19:33" customFormat="1" ht="12.75" hidden="1">
      <c r="S784" s="111"/>
      <c r="T784" s="110"/>
      <c r="U784" s="112"/>
      <c r="AG784" s="108"/>
    </row>
    <row r="785" spans="19:33" customFormat="1" ht="12.75" hidden="1">
      <c r="S785" s="111"/>
      <c r="T785" s="110"/>
      <c r="U785" s="112"/>
      <c r="AG785" s="108"/>
    </row>
    <row r="786" spans="19:33" customFormat="1" ht="12.75" hidden="1">
      <c r="S786" s="111"/>
      <c r="T786" s="110"/>
      <c r="U786" s="112"/>
      <c r="AG786" s="108"/>
    </row>
    <row r="787" spans="19:33" customFormat="1" ht="12.75" hidden="1">
      <c r="S787" s="111"/>
      <c r="T787" s="110"/>
      <c r="U787" s="112"/>
      <c r="AG787" s="108"/>
    </row>
    <row r="788" spans="19:33" customFormat="1" ht="12.75" hidden="1">
      <c r="S788" s="111"/>
      <c r="T788" s="110"/>
      <c r="U788" s="112"/>
      <c r="AG788" s="108"/>
    </row>
    <row r="789" spans="19:33" customFormat="1" ht="12.75" hidden="1">
      <c r="S789" s="111"/>
      <c r="T789" s="110"/>
      <c r="U789" s="112"/>
      <c r="AG789" s="108"/>
    </row>
    <row r="790" spans="19:33" customFormat="1" ht="12.75" hidden="1">
      <c r="S790" s="111"/>
      <c r="T790" s="110"/>
      <c r="U790" s="112"/>
      <c r="AG790" s="108"/>
    </row>
    <row r="791" spans="19:33" customFormat="1" ht="12.75" hidden="1">
      <c r="S791" s="111"/>
      <c r="T791" s="110"/>
      <c r="U791" s="112"/>
      <c r="AG791" s="108"/>
    </row>
    <row r="792" spans="19:33" customFormat="1" ht="12.75" hidden="1">
      <c r="S792" s="111"/>
      <c r="T792" s="110"/>
      <c r="U792" s="112"/>
      <c r="AG792" s="108"/>
    </row>
    <row r="793" spans="19:33" customFormat="1" ht="12.75" hidden="1">
      <c r="S793" s="111"/>
      <c r="T793" s="110"/>
      <c r="U793" s="112"/>
      <c r="AG793" s="108"/>
    </row>
    <row r="794" spans="19:33" customFormat="1" ht="12.75" hidden="1">
      <c r="S794" s="111"/>
      <c r="T794" s="110"/>
      <c r="U794" s="112"/>
      <c r="AG794" s="108"/>
    </row>
    <row r="795" spans="19:33" customFormat="1" ht="12.75" hidden="1">
      <c r="S795" s="111"/>
      <c r="T795" s="110"/>
      <c r="U795" s="112"/>
      <c r="AG795" s="108"/>
    </row>
    <row r="796" spans="19:33" customFormat="1" ht="12.75" hidden="1">
      <c r="S796" s="111"/>
      <c r="T796" s="110"/>
      <c r="U796" s="112"/>
      <c r="AG796" s="108"/>
    </row>
    <row r="797" spans="19:33" customFormat="1" ht="12.75" hidden="1">
      <c r="S797" s="111"/>
      <c r="T797" s="110"/>
      <c r="U797" s="112"/>
      <c r="AG797" s="108"/>
    </row>
    <row r="798" spans="19:33" customFormat="1" ht="12.75" hidden="1">
      <c r="S798" s="111"/>
      <c r="T798" s="110"/>
      <c r="U798" s="112"/>
      <c r="AG798" s="108"/>
    </row>
    <row r="799" spans="19:33" customFormat="1" ht="12.75" hidden="1">
      <c r="S799" s="111"/>
      <c r="T799" s="110"/>
      <c r="U799" s="112"/>
      <c r="AG799" s="108"/>
    </row>
    <row r="800" spans="19:33" customFormat="1" ht="12.75" hidden="1">
      <c r="S800" s="111"/>
      <c r="T800" s="110"/>
      <c r="U800" s="112"/>
      <c r="AG800" s="108"/>
    </row>
    <row r="801" spans="19:33" customFormat="1" ht="12.75" hidden="1">
      <c r="S801" s="111"/>
      <c r="T801" s="110"/>
      <c r="U801" s="112"/>
      <c r="AG801" s="108"/>
    </row>
    <row r="802" spans="19:33" customFormat="1" ht="12.75" hidden="1">
      <c r="S802" s="111"/>
      <c r="T802" s="110"/>
      <c r="U802" s="112"/>
      <c r="AG802" s="108"/>
    </row>
    <row r="803" spans="19:33" customFormat="1" ht="12.75" hidden="1">
      <c r="S803" s="111"/>
      <c r="T803" s="110"/>
      <c r="U803" s="112"/>
      <c r="AG803" s="108"/>
    </row>
    <row r="804" spans="19:33" customFormat="1" ht="12.75" hidden="1">
      <c r="S804" s="111"/>
      <c r="T804" s="110"/>
      <c r="U804" s="112"/>
      <c r="AG804" s="108"/>
    </row>
    <row r="805" spans="19:33" customFormat="1" ht="12.75" hidden="1">
      <c r="S805" s="111"/>
      <c r="T805" s="110"/>
      <c r="U805" s="112"/>
      <c r="AG805" s="108"/>
    </row>
    <row r="806" spans="19:33" customFormat="1" ht="12.75" hidden="1">
      <c r="S806" s="111"/>
      <c r="T806" s="110"/>
      <c r="U806" s="112"/>
      <c r="AG806" s="108"/>
    </row>
    <row r="807" spans="19:33" customFormat="1" ht="12.75" hidden="1">
      <c r="S807" s="111"/>
      <c r="T807" s="110"/>
      <c r="U807" s="112"/>
      <c r="AG807" s="108"/>
    </row>
    <row r="808" spans="19:33" customFormat="1" ht="12.75" hidden="1">
      <c r="S808" s="111"/>
      <c r="T808" s="110"/>
      <c r="U808" s="112"/>
      <c r="AG808" s="108"/>
    </row>
    <row r="809" spans="19:33" customFormat="1" ht="12.75" hidden="1">
      <c r="S809" s="111"/>
      <c r="T809" s="110"/>
      <c r="U809" s="112"/>
      <c r="AG809" s="108"/>
    </row>
    <row r="810" spans="19:33" customFormat="1" ht="12.75" hidden="1">
      <c r="S810" s="111"/>
      <c r="T810" s="110"/>
      <c r="U810" s="112"/>
      <c r="AG810" s="108"/>
    </row>
    <row r="811" spans="19:33" customFormat="1" ht="12.75" hidden="1">
      <c r="S811" s="111"/>
      <c r="T811" s="110"/>
      <c r="U811" s="112"/>
      <c r="AG811" s="108"/>
    </row>
    <row r="812" spans="19:33" customFormat="1" ht="12.75" hidden="1">
      <c r="S812" s="111"/>
      <c r="T812" s="110"/>
      <c r="U812" s="112"/>
      <c r="AG812" s="108"/>
    </row>
    <row r="813" spans="19:33" customFormat="1" ht="12.75" hidden="1">
      <c r="S813" s="111"/>
      <c r="T813" s="110"/>
      <c r="U813" s="112"/>
      <c r="AG813" s="108"/>
    </row>
    <row r="814" spans="19:33" customFormat="1" ht="12.75" hidden="1">
      <c r="S814" s="111"/>
      <c r="T814" s="110"/>
      <c r="U814" s="112"/>
      <c r="AG814" s="108"/>
    </row>
    <row r="815" spans="19:33" customFormat="1" ht="12.75" hidden="1">
      <c r="S815" s="111"/>
      <c r="T815" s="110"/>
      <c r="U815" s="112"/>
      <c r="AG815" s="108"/>
    </row>
    <row r="816" spans="19:33" customFormat="1" ht="12.75" hidden="1">
      <c r="S816" s="111"/>
      <c r="T816" s="110"/>
      <c r="U816" s="112"/>
      <c r="AG816" s="108"/>
    </row>
    <row r="817" spans="19:33" customFormat="1" ht="12.75" hidden="1">
      <c r="S817" s="111"/>
      <c r="T817" s="110"/>
      <c r="U817" s="112"/>
      <c r="AG817" s="108"/>
    </row>
    <row r="818" spans="19:33" customFormat="1" ht="12.75" hidden="1">
      <c r="S818" s="111"/>
      <c r="T818" s="110"/>
      <c r="U818" s="112"/>
      <c r="AG818" s="108"/>
    </row>
    <row r="819" spans="19:33" customFormat="1" ht="12.75" hidden="1">
      <c r="S819" s="111"/>
      <c r="T819" s="110"/>
      <c r="U819" s="112"/>
      <c r="AG819" s="108"/>
    </row>
    <row r="820" spans="19:33" customFormat="1" ht="12.75" hidden="1">
      <c r="S820" s="111"/>
      <c r="T820" s="110"/>
      <c r="U820" s="112"/>
      <c r="AG820" s="108"/>
    </row>
    <row r="821" spans="19:33" customFormat="1" ht="12.75" hidden="1">
      <c r="S821" s="111"/>
      <c r="T821" s="110"/>
      <c r="U821" s="112"/>
      <c r="AG821" s="108"/>
    </row>
    <row r="822" spans="19:33" customFormat="1" ht="12.75" hidden="1">
      <c r="S822" s="111"/>
      <c r="T822" s="110"/>
      <c r="U822" s="112"/>
      <c r="AG822" s="108"/>
    </row>
    <row r="823" spans="19:33" customFormat="1" ht="12.75" hidden="1">
      <c r="S823" s="111"/>
      <c r="T823" s="110"/>
      <c r="U823" s="112"/>
      <c r="AG823" s="108"/>
    </row>
    <row r="824" spans="19:33" customFormat="1" ht="12.75" hidden="1">
      <c r="S824" s="111"/>
      <c r="T824" s="110"/>
      <c r="U824" s="112"/>
      <c r="AG824" s="108"/>
    </row>
    <row r="825" spans="19:33" customFormat="1" ht="12.75" hidden="1">
      <c r="S825" s="111"/>
      <c r="T825" s="110"/>
      <c r="U825" s="112"/>
      <c r="AG825" s="108"/>
    </row>
    <row r="826" spans="19:33" customFormat="1" ht="12.75" hidden="1">
      <c r="S826" s="111"/>
      <c r="T826" s="110"/>
      <c r="U826" s="112"/>
      <c r="AG826" s="108"/>
    </row>
    <row r="827" spans="19:33" customFormat="1" ht="12.75" hidden="1">
      <c r="S827" s="111"/>
      <c r="T827" s="110"/>
      <c r="U827" s="112"/>
      <c r="AG827" s="108"/>
    </row>
    <row r="828" spans="19:33" customFormat="1" ht="12.75" hidden="1">
      <c r="S828" s="111"/>
      <c r="T828" s="110"/>
      <c r="U828" s="112"/>
      <c r="AG828" s="108"/>
    </row>
    <row r="829" spans="19:33" customFormat="1" ht="12.75" hidden="1">
      <c r="S829" s="111"/>
      <c r="T829" s="110"/>
      <c r="U829" s="112"/>
      <c r="AG829" s="108"/>
    </row>
    <row r="830" spans="19:33" customFormat="1" ht="12.75" hidden="1">
      <c r="S830" s="111"/>
      <c r="T830" s="110"/>
      <c r="U830" s="112"/>
      <c r="AG830" s="108"/>
    </row>
    <row r="831" spans="19:33" customFormat="1" ht="12.75" hidden="1">
      <c r="S831" s="111"/>
      <c r="T831" s="110"/>
      <c r="U831" s="112"/>
      <c r="AG831" s="108"/>
    </row>
    <row r="832" spans="19:33" customFormat="1" ht="12.75" hidden="1">
      <c r="S832" s="111"/>
      <c r="T832" s="110"/>
      <c r="U832" s="112"/>
      <c r="AG832" s="108"/>
    </row>
    <row r="833" spans="19:33" customFormat="1" ht="12.75" hidden="1">
      <c r="S833" s="111"/>
      <c r="T833" s="110"/>
      <c r="U833" s="112"/>
      <c r="AG833" s="108"/>
    </row>
    <row r="834" spans="19:33" customFormat="1" ht="12.75" hidden="1">
      <c r="S834" s="111"/>
      <c r="T834" s="110"/>
      <c r="U834" s="112"/>
      <c r="AG834" s="108"/>
    </row>
    <row r="835" spans="19:33" customFormat="1" ht="12.75" hidden="1">
      <c r="S835" s="111"/>
      <c r="T835" s="110"/>
      <c r="U835" s="112"/>
      <c r="AG835" s="108"/>
    </row>
    <row r="836" spans="19:33" customFormat="1" ht="12.75" hidden="1">
      <c r="S836" s="111"/>
      <c r="T836" s="110"/>
      <c r="U836" s="112"/>
      <c r="AG836" s="108"/>
    </row>
    <row r="837" spans="19:33" customFormat="1" ht="12.75" hidden="1">
      <c r="S837" s="111"/>
      <c r="T837" s="110"/>
      <c r="U837" s="112"/>
      <c r="AG837" s="108"/>
    </row>
    <row r="838" spans="19:33" customFormat="1" ht="12.75" hidden="1">
      <c r="S838" s="111"/>
      <c r="T838" s="110"/>
      <c r="U838" s="112"/>
      <c r="AG838" s="108"/>
    </row>
    <row r="839" spans="19:33" customFormat="1" ht="12.75" hidden="1">
      <c r="S839" s="111"/>
      <c r="T839" s="110"/>
      <c r="U839" s="112"/>
      <c r="AG839" s="108"/>
    </row>
    <row r="840" spans="19:33" customFormat="1" ht="12.75" hidden="1">
      <c r="S840" s="111"/>
      <c r="T840" s="110"/>
      <c r="U840" s="112"/>
      <c r="AG840" s="108"/>
    </row>
    <row r="841" spans="19:33" customFormat="1" ht="12.75" hidden="1">
      <c r="S841" s="111"/>
      <c r="T841" s="110"/>
      <c r="U841" s="112"/>
      <c r="AG841" s="108"/>
    </row>
    <row r="842" spans="19:33" customFormat="1" ht="12.75" hidden="1">
      <c r="S842" s="111"/>
      <c r="T842" s="110"/>
      <c r="U842" s="112"/>
      <c r="AG842" s="108"/>
    </row>
    <row r="843" spans="19:33" customFormat="1" ht="12.75" hidden="1">
      <c r="S843" s="111"/>
      <c r="T843" s="110"/>
      <c r="U843" s="112"/>
      <c r="AG843" s="108"/>
    </row>
    <row r="844" spans="19:33" customFormat="1" ht="12.75" hidden="1">
      <c r="S844" s="111"/>
      <c r="T844" s="110"/>
      <c r="U844" s="112"/>
      <c r="AG844" s="108"/>
    </row>
    <row r="845" spans="19:33" customFormat="1" ht="12.75" hidden="1">
      <c r="S845" s="111"/>
      <c r="T845" s="110"/>
      <c r="U845" s="112"/>
      <c r="AG845" s="108"/>
    </row>
    <row r="846" spans="19:33" customFormat="1" ht="12.75" hidden="1">
      <c r="S846" s="111"/>
      <c r="T846" s="110"/>
      <c r="U846" s="112"/>
      <c r="AG846" s="108"/>
    </row>
    <row r="847" spans="19:33" customFormat="1" ht="12.75" hidden="1">
      <c r="S847" s="111"/>
      <c r="T847" s="110"/>
      <c r="U847" s="112"/>
      <c r="AG847" s="108"/>
    </row>
    <row r="848" spans="19:33" customFormat="1" ht="12.75" hidden="1">
      <c r="S848" s="111"/>
      <c r="T848" s="110"/>
      <c r="U848" s="112"/>
      <c r="AG848" s="108"/>
    </row>
    <row r="849" spans="19:33" customFormat="1" ht="12.75" hidden="1">
      <c r="S849" s="111"/>
      <c r="T849" s="110"/>
      <c r="U849" s="112"/>
      <c r="AG849" s="108"/>
    </row>
    <row r="850" spans="19:33" customFormat="1" ht="12.75" hidden="1">
      <c r="S850" s="111"/>
      <c r="T850" s="110"/>
      <c r="U850" s="112"/>
      <c r="AG850" s="108"/>
    </row>
    <row r="851" spans="19:33" customFormat="1" ht="12.75" hidden="1">
      <c r="S851" s="111"/>
      <c r="T851" s="110"/>
      <c r="U851" s="112"/>
      <c r="AG851" s="108"/>
    </row>
    <row r="852" spans="19:33" customFormat="1" ht="12.75" hidden="1">
      <c r="S852" s="111"/>
      <c r="T852" s="110"/>
      <c r="U852" s="112"/>
      <c r="AG852" s="108"/>
    </row>
    <row r="853" spans="19:33" customFormat="1" ht="12.75" hidden="1">
      <c r="S853" s="111"/>
      <c r="T853" s="110"/>
      <c r="U853" s="112"/>
      <c r="AG853" s="108"/>
    </row>
    <row r="854" spans="19:33" customFormat="1" ht="12.75" hidden="1">
      <c r="S854" s="111"/>
      <c r="T854" s="110"/>
      <c r="U854" s="112"/>
      <c r="AG854" s="108"/>
    </row>
    <row r="855" spans="19:33" customFormat="1" ht="12.75" hidden="1">
      <c r="S855" s="111"/>
      <c r="T855" s="110"/>
      <c r="U855" s="112"/>
      <c r="AG855" s="108"/>
    </row>
    <row r="856" spans="19:33" customFormat="1" ht="12.75" hidden="1">
      <c r="S856" s="111"/>
      <c r="T856" s="110"/>
      <c r="U856" s="112"/>
      <c r="AG856" s="108"/>
    </row>
    <row r="857" spans="19:33" customFormat="1" ht="12.75" hidden="1">
      <c r="S857" s="111"/>
      <c r="T857" s="110"/>
      <c r="U857" s="112"/>
      <c r="AG857" s="108"/>
    </row>
    <row r="858" spans="19:33" customFormat="1" ht="12.75" hidden="1">
      <c r="S858" s="111"/>
      <c r="T858" s="110"/>
      <c r="U858" s="112"/>
      <c r="AG858" s="108"/>
    </row>
    <row r="859" spans="19:33" customFormat="1" ht="12.75" hidden="1">
      <c r="S859" s="111"/>
      <c r="T859" s="110"/>
      <c r="U859" s="112"/>
      <c r="AG859" s="108"/>
    </row>
    <row r="860" spans="19:33" customFormat="1" ht="12.75" hidden="1">
      <c r="S860" s="111"/>
      <c r="T860" s="110"/>
      <c r="U860" s="112"/>
      <c r="AG860" s="108"/>
    </row>
    <row r="861" spans="19:33" customFormat="1" ht="12.75" hidden="1">
      <c r="S861" s="111"/>
      <c r="T861" s="110"/>
      <c r="U861" s="112"/>
      <c r="AG861" s="108"/>
    </row>
    <row r="862" spans="19:33" customFormat="1" ht="12.75" hidden="1">
      <c r="S862" s="111"/>
      <c r="T862" s="110"/>
      <c r="U862" s="112"/>
      <c r="AG862" s="108"/>
    </row>
    <row r="863" spans="19:33" customFormat="1" ht="12.75" hidden="1">
      <c r="S863" s="111"/>
      <c r="T863" s="110"/>
      <c r="U863" s="112"/>
      <c r="AG863" s="108"/>
    </row>
    <row r="864" spans="19:33" customFormat="1" ht="12.75" hidden="1">
      <c r="S864" s="111"/>
      <c r="T864" s="110"/>
      <c r="U864" s="112"/>
      <c r="AG864" s="108"/>
    </row>
    <row r="865" spans="19:33" customFormat="1" ht="12.75" hidden="1">
      <c r="S865" s="111"/>
      <c r="T865" s="110"/>
      <c r="U865" s="112"/>
      <c r="AG865" s="108"/>
    </row>
    <row r="866" spans="19:33" customFormat="1" ht="12.75" hidden="1">
      <c r="S866" s="111"/>
      <c r="T866" s="110"/>
      <c r="U866" s="112"/>
      <c r="AG866" s="108"/>
    </row>
    <row r="867" spans="19:33" customFormat="1" ht="12.75" hidden="1">
      <c r="S867" s="111"/>
      <c r="T867" s="110"/>
      <c r="U867" s="112"/>
      <c r="AG867" s="108"/>
    </row>
    <row r="868" spans="19:33" customFormat="1" ht="12.75" hidden="1">
      <c r="S868" s="111"/>
      <c r="T868" s="110"/>
      <c r="U868" s="112"/>
      <c r="AG868" s="108"/>
    </row>
    <row r="869" spans="19:33" customFormat="1" ht="12.75" hidden="1">
      <c r="S869" s="111"/>
      <c r="T869" s="110"/>
      <c r="U869" s="112"/>
      <c r="AG869" s="108"/>
    </row>
    <row r="870" spans="19:33" customFormat="1" ht="12.75" hidden="1">
      <c r="S870" s="111"/>
      <c r="T870" s="110"/>
      <c r="U870" s="112"/>
      <c r="AG870" s="108"/>
    </row>
    <row r="871" spans="19:33" customFormat="1" ht="12.75" hidden="1">
      <c r="S871" s="111"/>
      <c r="T871" s="110"/>
      <c r="U871" s="112"/>
      <c r="AG871" s="108"/>
    </row>
    <row r="872" spans="19:33" customFormat="1" ht="12.75" hidden="1">
      <c r="S872" s="111"/>
      <c r="T872" s="110"/>
      <c r="U872" s="112"/>
      <c r="AG872" s="108"/>
    </row>
    <row r="873" spans="19:33" customFormat="1" ht="12.75" hidden="1">
      <c r="S873" s="111"/>
      <c r="T873" s="110"/>
      <c r="U873" s="112"/>
      <c r="AG873" s="108"/>
    </row>
    <row r="874" spans="19:33" customFormat="1" ht="12.75" hidden="1">
      <c r="S874" s="111"/>
      <c r="T874" s="110"/>
      <c r="U874" s="112"/>
      <c r="AG874" s="108"/>
    </row>
    <row r="875" spans="19:33" customFormat="1" ht="12.75" hidden="1">
      <c r="S875" s="111"/>
      <c r="T875" s="110"/>
      <c r="U875" s="112"/>
      <c r="AG875" s="108"/>
    </row>
    <row r="876" spans="19:33" customFormat="1" ht="12.75" hidden="1">
      <c r="S876" s="111"/>
      <c r="T876" s="110"/>
      <c r="U876" s="112"/>
      <c r="AG876" s="108"/>
    </row>
    <row r="877" spans="19:33" customFormat="1" ht="12.75" hidden="1">
      <c r="S877" s="111"/>
      <c r="T877" s="110"/>
      <c r="U877" s="112"/>
      <c r="AG877" s="108"/>
    </row>
    <row r="878" spans="19:33" customFormat="1" ht="12.75" hidden="1">
      <c r="S878" s="111"/>
      <c r="T878" s="110"/>
      <c r="U878" s="112"/>
      <c r="AG878" s="108"/>
    </row>
    <row r="879" spans="19:33" customFormat="1" ht="12.75" hidden="1">
      <c r="S879" s="111"/>
      <c r="T879" s="110"/>
      <c r="U879" s="112"/>
      <c r="AG879" s="108"/>
    </row>
    <row r="880" spans="19:33" customFormat="1" ht="12.75" hidden="1">
      <c r="S880" s="111"/>
      <c r="T880" s="110"/>
      <c r="U880" s="112"/>
      <c r="AG880" s="108"/>
    </row>
    <row r="881" spans="19:33" customFormat="1" ht="12.75" hidden="1">
      <c r="S881" s="111"/>
      <c r="T881" s="110"/>
      <c r="U881" s="112"/>
      <c r="AG881" s="108"/>
    </row>
    <row r="882" spans="19:33" customFormat="1" ht="12.75" hidden="1">
      <c r="S882" s="111"/>
      <c r="T882" s="110"/>
      <c r="U882" s="112"/>
      <c r="AG882" s="108"/>
    </row>
    <row r="883" spans="19:33" customFormat="1" ht="12.75" hidden="1">
      <c r="S883" s="111"/>
      <c r="T883" s="110"/>
      <c r="U883" s="112"/>
      <c r="AG883" s="108"/>
    </row>
    <row r="884" spans="19:33" customFormat="1" ht="12.75" hidden="1">
      <c r="S884" s="111"/>
      <c r="T884" s="110"/>
      <c r="U884" s="112"/>
      <c r="AG884" s="108"/>
    </row>
    <row r="885" spans="19:33" customFormat="1" ht="12.75" hidden="1">
      <c r="S885" s="111"/>
      <c r="T885" s="110"/>
      <c r="U885" s="112"/>
      <c r="AG885" s="108"/>
    </row>
    <row r="886" spans="19:33" customFormat="1" ht="12.75" hidden="1">
      <c r="S886" s="111"/>
      <c r="T886" s="110"/>
      <c r="U886" s="112"/>
      <c r="AG886" s="108"/>
    </row>
    <row r="887" spans="19:33" customFormat="1" ht="12.75" hidden="1">
      <c r="S887" s="111"/>
      <c r="T887" s="110"/>
      <c r="U887" s="112"/>
      <c r="AG887" s="108"/>
    </row>
    <row r="888" spans="19:33" customFormat="1" ht="12.75" hidden="1">
      <c r="S888" s="111"/>
      <c r="T888" s="110"/>
      <c r="U888" s="112"/>
      <c r="AG888" s="108"/>
    </row>
    <row r="889" spans="19:33" customFormat="1" ht="12.75" hidden="1">
      <c r="S889" s="111"/>
      <c r="T889" s="110"/>
      <c r="U889" s="112"/>
      <c r="AG889" s="108"/>
    </row>
    <row r="890" spans="19:33" customFormat="1" ht="12.75" hidden="1">
      <c r="S890" s="111"/>
      <c r="T890" s="110"/>
      <c r="U890" s="112"/>
      <c r="AG890" s="108"/>
    </row>
    <row r="891" spans="19:33" customFormat="1" ht="12.75" hidden="1">
      <c r="S891" s="111"/>
      <c r="T891" s="110"/>
      <c r="U891" s="112"/>
      <c r="AG891" s="108"/>
    </row>
    <row r="892" spans="19:33" customFormat="1" ht="12.75" hidden="1">
      <c r="S892" s="111"/>
      <c r="T892" s="110"/>
      <c r="U892" s="112"/>
      <c r="AG892" s="108"/>
    </row>
    <row r="893" spans="19:33" customFormat="1" ht="12.75" hidden="1">
      <c r="S893" s="111"/>
      <c r="T893" s="110"/>
      <c r="U893" s="112"/>
      <c r="AG893" s="108"/>
    </row>
    <row r="894" spans="19:33" customFormat="1" ht="12.75" hidden="1">
      <c r="S894" s="111"/>
      <c r="T894" s="110"/>
      <c r="U894" s="112"/>
      <c r="AG894" s="108"/>
    </row>
    <row r="895" spans="19:33" customFormat="1" ht="12.75" hidden="1">
      <c r="S895" s="111"/>
      <c r="T895" s="110"/>
      <c r="U895" s="112"/>
      <c r="AG895" s="108"/>
    </row>
    <row r="896" spans="19:33" customFormat="1" ht="12.75" hidden="1">
      <c r="S896" s="111"/>
      <c r="T896" s="110"/>
      <c r="U896" s="112"/>
      <c r="AG896" s="108"/>
    </row>
    <row r="897" spans="19:33" customFormat="1" ht="12.75" hidden="1">
      <c r="S897" s="111"/>
      <c r="T897" s="110"/>
      <c r="U897" s="112"/>
      <c r="AG897" s="108"/>
    </row>
    <row r="898" spans="19:33" customFormat="1" ht="12.75" hidden="1">
      <c r="S898" s="111"/>
      <c r="T898" s="110"/>
      <c r="U898" s="112"/>
      <c r="AG898" s="108"/>
    </row>
    <row r="899" spans="19:33" customFormat="1" ht="12.75" hidden="1">
      <c r="S899" s="111"/>
      <c r="T899" s="110"/>
      <c r="U899" s="112"/>
      <c r="AG899" s="108"/>
    </row>
    <row r="900" spans="19:33" customFormat="1" ht="12.75" hidden="1">
      <c r="S900" s="111"/>
      <c r="T900" s="110"/>
      <c r="U900" s="112"/>
      <c r="AG900" s="108"/>
    </row>
    <row r="901" spans="19:33" customFormat="1" ht="12.75" hidden="1">
      <c r="S901" s="111"/>
      <c r="T901" s="110"/>
      <c r="U901" s="112"/>
      <c r="AG901" s="108"/>
    </row>
    <row r="902" spans="19:33" customFormat="1" ht="12.75" hidden="1">
      <c r="S902" s="111"/>
      <c r="T902" s="110"/>
      <c r="U902" s="112"/>
      <c r="AG902" s="108"/>
    </row>
    <row r="903" spans="19:33" customFormat="1" ht="12.75" hidden="1">
      <c r="S903" s="111"/>
      <c r="T903" s="110"/>
      <c r="U903" s="112"/>
      <c r="AG903" s="108"/>
    </row>
    <row r="904" spans="19:33" customFormat="1" ht="12.75" hidden="1">
      <c r="S904" s="111"/>
      <c r="T904" s="110"/>
      <c r="U904" s="112"/>
      <c r="AG904" s="108"/>
    </row>
    <row r="905" spans="19:33" customFormat="1" ht="12.75" hidden="1">
      <c r="S905" s="111"/>
      <c r="T905" s="110"/>
      <c r="U905" s="112"/>
      <c r="AG905" s="108"/>
    </row>
    <row r="906" spans="19:33" customFormat="1" ht="12.75" hidden="1">
      <c r="S906" s="111"/>
      <c r="T906" s="110"/>
      <c r="U906" s="112"/>
      <c r="AG906" s="108"/>
    </row>
    <row r="907" spans="19:33" customFormat="1" ht="12.75" hidden="1">
      <c r="S907" s="111"/>
      <c r="T907" s="110"/>
      <c r="U907" s="112"/>
      <c r="AG907" s="108"/>
    </row>
    <row r="908" spans="19:33" customFormat="1" ht="12.75" hidden="1">
      <c r="S908" s="111"/>
      <c r="T908" s="110"/>
      <c r="U908" s="112"/>
      <c r="AG908" s="108"/>
    </row>
    <row r="909" spans="19:33" customFormat="1" ht="12.75" hidden="1">
      <c r="S909" s="111"/>
      <c r="T909" s="110"/>
      <c r="U909" s="112"/>
      <c r="AG909" s="108"/>
    </row>
    <row r="910" spans="19:33" customFormat="1" ht="12.75" hidden="1">
      <c r="S910" s="111"/>
      <c r="T910" s="110"/>
      <c r="U910" s="112"/>
      <c r="AG910" s="108"/>
    </row>
    <row r="911" spans="19:33" customFormat="1" ht="12.75" hidden="1">
      <c r="S911" s="111"/>
      <c r="T911" s="110"/>
      <c r="U911" s="112"/>
      <c r="AG911" s="108"/>
    </row>
    <row r="912" spans="19:33" customFormat="1" ht="12.75" hidden="1">
      <c r="S912" s="111"/>
      <c r="T912" s="110"/>
      <c r="U912" s="112"/>
      <c r="AG912" s="108"/>
    </row>
    <row r="913" spans="19:33" customFormat="1" ht="12.75" hidden="1">
      <c r="S913" s="111"/>
      <c r="T913" s="110"/>
      <c r="U913" s="112"/>
      <c r="AG913" s="108"/>
    </row>
    <row r="914" spans="19:33" customFormat="1" ht="12.75" hidden="1">
      <c r="S914" s="111"/>
      <c r="T914" s="110"/>
      <c r="U914" s="112"/>
      <c r="AG914" s="108"/>
    </row>
    <row r="915" spans="19:33" customFormat="1" ht="12.75" hidden="1">
      <c r="S915" s="111"/>
      <c r="T915" s="110"/>
      <c r="U915" s="112"/>
      <c r="AG915" s="108"/>
    </row>
    <row r="916" spans="19:33" customFormat="1" ht="12.75" hidden="1">
      <c r="S916" s="111"/>
      <c r="T916" s="110"/>
      <c r="U916" s="112"/>
      <c r="AG916" s="108"/>
    </row>
    <row r="917" spans="19:33" customFormat="1" ht="12.75" hidden="1">
      <c r="S917" s="111"/>
      <c r="T917" s="110"/>
      <c r="U917" s="112"/>
      <c r="AG917" s="108"/>
    </row>
    <row r="918" spans="19:33" customFormat="1" ht="12.75" hidden="1">
      <c r="S918" s="111"/>
      <c r="T918" s="110"/>
      <c r="U918" s="112"/>
      <c r="AG918" s="108"/>
    </row>
    <row r="919" spans="19:33" customFormat="1" ht="12.75" hidden="1">
      <c r="S919" s="111"/>
      <c r="T919" s="110"/>
      <c r="U919" s="112"/>
      <c r="AG919" s="108"/>
    </row>
    <row r="920" spans="19:33" customFormat="1" ht="12.75" hidden="1">
      <c r="S920" s="111"/>
      <c r="T920" s="110"/>
      <c r="U920" s="112"/>
      <c r="AG920" s="108"/>
    </row>
    <row r="921" spans="19:33" customFormat="1" ht="12.75" hidden="1">
      <c r="S921" s="111"/>
      <c r="T921" s="110"/>
      <c r="U921" s="112"/>
      <c r="AG921" s="108"/>
    </row>
    <row r="922" spans="19:33" customFormat="1" ht="12.75" hidden="1">
      <c r="S922" s="111"/>
      <c r="T922" s="110"/>
      <c r="U922" s="112"/>
      <c r="AG922" s="108"/>
    </row>
    <row r="923" spans="19:33" customFormat="1" ht="12.75" hidden="1">
      <c r="S923" s="111"/>
      <c r="T923" s="110"/>
      <c r="U923" s="112"/>
      <c r="AG923" s="108"/>
    </row>
    <row r="924" spans="19:33" customFormat="1" ht="12.75" hidden="1">
      <c r="S924" s="111"/>
      <c r="T924" s="110"/>
      <c r="U924" s="112"/>
      <c r="AG924" s="108"/>
    </row>
    <row r="925" spans="19:33" customFormat="1" ht="12.75" hidden="1">
      <c r="S925" s="111"/>
      <c r="T925" s="110"/>
      <c r="U925" s="112"/>
      <c r="AG925" s="108"/>
    </row>
    <row r="926" spans="19:33" customFormat="1" ht="12.75" hidden="1">
      <c r="S926" s="111"/>
      <c r="T926" s="110"/>
      <c r="U926" s="112"/>
      <c r="AG926" s="108"/>
    </row>
    <row r="927" spans="19:33" customFormat="1" ht="12.75" hidden="1">
      <c r="S927" s="111"/>
      <c r="T927" s="110"/>
      <c r="U927" s="112"/>
      <c r="AG927" s="108"/>
    </row>
    <row r="928" spans="19:33" customFormat="1" ht="12.75" hidden="1">
      <c r="S928" s="111"/>
      <c r="T928" s="110"/>
      <c r="U928" s="112"/>
      <c r="AG928" s="108"/>
    </row>
    <row r="929" spans="19:33" customFormat="1" ht="12.75" hidden="1">
      <c r="S929" s="111"/>
      <c r="T929" s="110"/>
      <c r="U929" s="112"/>
      <c r="AG929" s="108"/>
    </row>
    <row r="930" spans="19:33" customFormat="1" ht="12.75" hidden="1">
      <c r="S930" s="111"/>
      <c r="T930" s="110"/>
      <c r="U930" s="112"/>
      <c r="AG930" s="108"/>
    </row>
    <row r="931" spans="19:33" customFormat="1" ht="12.75" hidden="1">
      <c r="S931" s="111"/>
      <c r="T931" s="110"/>
      <c r="U931" s="112"/>
      <c r="AG931" s="108"/>
    </row>
    <row r="932" spans="19:33" customFormat="1" ht="12.75" hidden="1">
      <c r="S932" s="111"/>
      <c r="T932" s="110"/>
      <c r="U932" s="112"/>
      <c r="AG932" s="108"/>
    </row>
    <row r="933" spans="19:33" customFormat="1" ht="12.75" hidden="1">
      <c r="S933" s="111"/>
      <c r="T933" s="110"/>
      <c r="U933" s="112"/>
      <c r="AG933" s="108"/>
    </row>
    <row r="934" spans="19:33" customFormat="1" ht="12.75" hidden="1">
      <c r="S934" s="111"/>
      <c r="T934" s="110"/>
      <c r="U934" s="112"/>
      <c r="AG934" s="108"/>
    </row>
    <row r="935" spans="19:33" customFormat="1" ht="12.75" hidden="1">
      <c r="S935" s="111"/>
      <c r="T935" s="110"/>
      <c r="U935" s="112"/>
      <c r="AG935" s="108"/>
    </row>
    <row r="936" spans="19:33" customFormat="1" ht="12.75" hidden="1">
      <c r="S936" s="111"/>
      <c r="T936" s="110"/>
      <c r="U936" s="112"/>
      <c r="AG936" s="108"/>
    </row>
    <row r="937" spans="19:33" customFormat="1" ht="12.75" hidden="1">
      <c r="S937" s="111"/>
      <c r="T937" s="110"/>
      <c r="U937" s="112"/>
      <c r="AG937" s="108"/>
    </row>
    <row r="938" spans="19:33" customFormat="1" ht="12.75" hidden="1">
      <c r="S938" s="111"/>
      <c r="T938" s="110"/>
      <c r="U938" s="112"/>
      <c r="AG938" s="108"/>
    </row>
    <row r="939" spans="19:33" customFormat="1" ht="12.75" hidden="1">
      <c r="S939" s="111"/>
      <c r="T939" s="110"/>
      <c r="U939" s="112"/>
      <c r="AG939" s="108"/>
    </row>
    <row r="940" spans="19:33" customFormat="1" ht="12.75" hidden="1">
      <c r="S940" s="111"/>
      <c r="T940" s="110"/>
      <c r="U940" s="112"/>
      <c r="AG940" s="108"/>
    </row>
    <row r="941" spans="19:33" customFormat="1" ht="12.75" hidden="1">
      <c r="S941" s="111"/>
      <c r="T941" s="110"/>
      <c r="U941" s="112"/>
      <c r="AG941" s="108"/>
    </row>
    <row r="942" spans="19:33" customFormat="1" ht="12.75" hidden="1">
      <c r="S942" s="111"/>
      <c r="T942" s="110"/>
      <c r="U942" s="112"/>
      <c r="AG942" s="108"/>
    </row>
    <row r="943" spans="19:33" customFormat="1" ht="12.75" hidden="1">
      <c r="S943" s="111"/>
      <c r="T943" s="110"/>
      <c r="U943" s="112"/>
      <c r="AG943" s="108"/>
    </row>
    <row r="944" spans="19:33" customFormat="1" ht="12.75" hidden="1">
      <c r="S944" s="111"/>
      <c r="T944" s="110"/>
      <c r="U944" s="112"/>
      <c r="AG944" s="108"/>
    </row>
    <row r="945" spans="19:33" customFormat="1" ht="12.75" hidden="1">
      <c r="S945" s="111"/>
      <c r="T945" s="110"/>
      <c r="U945" s="112"/>
      <c r="AG945" s="108"/>
    </row>
    <row r="946" spans="19:33" customFormat="1" ht="12.75" hidden="1">
      <c r="S946" s="111"/>
      <c r="T946" s="110"/>
      <c r="U946" s="112"/>
      <c r="AG946" s="108"/>
    </row>
    <row r="947" spans="19:33" customFormat="1" ht="12.75" hidden="1">
      <c r="S947" s="111"/>
      <c r="T947" s="110"/>
      <c r="U947" s="112"/>
      <c r="AG947" s="108"/>
    </row>
    <row r="948" spans="19:33" customFormat="1" ht="12.75" hidden="1">
      <c r="S948" s="111"/>
      <c r="T948" s="110"/>
      <c r="U948" s="112"/>
      <c r="AG948" s="108"/>
    </row>
    <row r="949" spans="19:33" customFormat="1" ht="12.75" hidden="1">
      <c r="S949" s="111"/>
      <c r="T949" s="110"/>
      <c r="U949" s="112"/>
      <c r="AG949" s="108"/>
    </row>
    <row r="950" spans="19:33" customFormat="1" ht="12.75" hidden="1">
      <c r="S950" s="111"/>
      <c r="T950" s="110"/>
      <c r="U950" s="112"/>
      <c r="AG950" s="108"/>
    </row>
    <row r="951" spans="19:33" customFormat="1" ht="12.75" hidden="1">
      <c r="S951" s="111"/>
      <c r="T951" s="110"/>
      <c r="U951" s="112"/>
      <c r="AG951" s="108"/>
    </row>
    <row r="952" spans="19:33" customFormat="1" ht="12.75" hidden="1">
      <c r="S952" s="111"/>
      <c r="T952" s="110"/>
      <c r="U952" s="112"/>
      <c r="AG952" s="108"/>
    </row>
    <row r="953" spans="19:33" customFormat="1" ht="12.75" hidden="1">
      <c r="S953" s="111"/>
      <c r="T953" s="110"/>
      <c r="U953" s="112"/>
      <c r="AG953" s="108"/>
    </row>
    <row r="954" spans="19:33" customFormat="1" ht="12.75" hidden="1">
      <c r="S954" s="111"/>
      <c r="T954" s="110"/>
      <c r="U954" s="112"/>
      <c r="AG954" s="108"/>
    </row>
    <row r="955" spans="19:33" customFormat="1" ht="12.75" hidden="1">
      <c r="S955" s="111"/>
      <c r="T955" s="110"/>
      <c r="U955" s="112"/>
      <c r="AG955" s="108"/>
    </row>
    <row r="956" spans="19:33" customFormat="1" ht="12.75" hidden="1">
      <c r="S956" s="111"/>
      <c r="T956" s="110"/>
      <c r="U956" s="112"/>
      <c r="AG956" s="108"/>
    </row>
    <row r="957" spans="19:33" customFormat="1" ht="12.75" hidden="1">
      <c r="S957" s="111"/>
      <c r="T957" s="110"/>
      <c r="U957" s="112"/>
      <c r="AG957" s="108"/>
    </row>
    <row r="958" spans="19:33" customFormat="1" ht="12.75" hidden="1">
      <c r="S958" s="111"/>
      <c r="T958" s="110"/>
      <c r="U958" s="112"/>
      <c r="AG958" s="108"/>
    </row>
    <row r="959" spans="19:33" customFormat="1" ht="12.75" hidden="1">
      <c r="S959" s="111"/>
      <c r="T959" s="110"/>
      <c r="U959" s="112"/>
      <c r="AG959" s="108"/>
    </row>
    <row r="960" spans="19:33" customFormat="1" ht="12.75" hidden="1">
      <c r="S960" s="111"/>
      <c r="T960" s="110"/>
      <c r="U960" s="112"/>
      <c r="AG960" s="108"/>
    </row>
    <row r="961" spans="19:33" customFormat="1" ht="12.75" hidden="1">
      <c r="S961" s="111"/>
      <c r="T961" s="110"/>
      <c r="U961" s="112"/>
      <c r="AG961" s="108"/>
    </row>
    <row r="962" spans="19:33" customFormat="1" ht="12.75" hidden="1">
      <c r="S962" s="111"/>
      <c r="T962" s="110"/>
      <c r="U962" s="112"/>
      <c r="AG962" s="108"/>
    </row>
    <row r="963" spans="19:33" customFormat="1" ht="12.75" hidden="1">
      <c r="S963" s="111"/>
      <c r="T963" s="110"/>
      <c r="U963" s="112"/>
      <c r="AG963" s="108"/>
    </row>
    <row r="964" spans="19:33" customFormat="1" ht="12.75" hidden="1">
      <c r="S964" s="111"/>
      <c r="T964" s="110"/>
      <c r="U964" s="112"/>
      <c r="AG964" s="108"/>
    </row>
    <row r="965" spans="19:33" customFormat="1" ht="12.75" hidden="1">
      <c r="S965" s="111"/>
      <c r="T965" s="110"/>
      <c r="U965" s="112"/>
      <c r="AG965" s="108"/>
    </row>
    <row r="966" spans="19:33" customFormat="1" ht="12.75" hidden="1">
      <c r="S966" s="111"/>
      <c r="T966" s="110"/>
      <c r="U966" s="112"/>
      <c r="AG966" s="108"/>
    </row>
    <row r="967" spans="19:33" customFormat="1" ht="12.75" hidden="1">
      <c r="S967" s="111"/>
      <c r="T967" s="110"/>
      <c r="U967" s="112"/>
      <c r="AG967" s="108"/>
    </row>
    <row r="968" spans="19:33" customFormat="1" ht="12.75" hidden="1">
      <c r="S968" s="111"/>
      <c r="T968" s="110"/>
      <c r="U968" s="112"/>
      <c r="AG968" s="108"/>
    </row>
    <row r="969" spans="19:33" customFormat="1" ht="12.75" hidden="1">
      <c r="S969" s="111"/>
      <c r="T969" s="110"/>
      <c r="U969" s="112"/>
      <c r="AG969" s="108"/>
    </row>
    <row r="970" spans="19:33" customFormat="1" ht="12.75" hidden="1">
      <c r="S970" s="111"/>
      <c r="T970" s="110"/>
      <c r="U970" s="112"/>
      <c r="AG970" s="108"/>
    </row>
    <row r="971" spans="19:33" customFormat="1" ht="12.75" hidden="1">
      <c r="S971" s="111"/>
      <c r="T971" s="110"/>
      <c r="U971" s="112"/>
      <c r="AG971" s="108"/>
    </row>
    <row r="972" spans="19:33" customFormat="1" ht="12.75" hidden="1">
      <c r="S972" s="111"/>
      <c r="T972" s="110"/>
      <c r="U972" s="112"/>
      <c r="AG972" s="108"/>
    </row>
    <row r="973" spans="19:33" customFormat="1" ht="12.75" hidden="1">
      <c r="S973" s="111"/>
      <c r="T973" s="110"/>
      <c r="U973" s="112"/>
      <c r="AG973" s="108"/>
    </row>
    <row r="974" spans="19:33" customFormat="1" ht="12.75" hidden="1">
      <c r="S974" s="111"/>
      <c r="T974" s="110"/>
      <c r="U974" s="112"/>
      <c r="AG974" s="108"/>
    </row>
    <row r="975" spans="19:33" customFormat="1" ht="12.75" hidden="1">
      <c r="S975" s="111"/>
      <c r="T975" s="110"/>
      <c r="U975" s="112"/>
      <c r="AG975" s="108"/>
    </row>
    <row r="976" spans="19:33" customFormat="1" ht="12.75" hidden="1">
      <c r="S976" s="111"/>
      <c r="T976" s="110"/>
      <c r="U976" s="112"/>
      <c r="AG976" s="108"/>
    </row>
    <row r="977" spans="19:33" customFormat="1" ht="12.75" hidden="1">
      <c r="S977" s="111"/>
      <c r="T977" s="110"/>
      <c r="U977" s="112"/>
      <c r="AG977" s="108"/>
    </row>
    <row r="978" spans="19:33" customFormat="1" ht="12.75" hidden="1">
      <c r="S978" s="111"/>
      <c r="T978" s="110"/>
      <c r="U978" s="112"/>
      <c r="AG978" s="108"/>
    </row>
    <row r="979" spans="19:33" customFormat="1" ht="12.75" hidden="1">
      <c r="S979" s="111"/>
      <c r="T979" s="110"/>
      <c r="U979" s="112"/>
      <c r="AG979" s="108"/>
    </row>
    <row r="980" spans="19:33" customFormat="1" ht="12.75" hidden="1">
      <c r="S980" s="111"/>
      <c r="T980" s="110"/>
      <c r="U980" s="112"/>
      <c r="AG980" s="108"/>
    </row>
    <row r="981" spans="19:33" customFormat="1" ht="12.75" hidden="1">
      <c r="S981" s="111"/>
      <c r="T981" s="110"/>
      <c r="U981" s="112"/>
      <c r="AG981" s="108"/>
    </row>
    <row r="982" spans="19:33" customFormat="1" ht="12.75" hidden="1">
      <c r="S982" s="111"/>
      <c r="T982" s="110"/>
      <c r="U982" s="112"/>
      <c r="AG982" s="108"/>
    </row>
    <row r="983" spans="19:33" customFormat="1" ht="12.75" hidden="1">
      <c r="S983" s="111"/>
      <c r="T983" s="110"/>
      <c r="U983" s="112"/>
      <c r="AG983" s="108"/>
    </row>
    <row r="984" spans="19:33" customFormat="1" ht="12.75" hidden="1">
      <c r="S984" s="111"/>
      <c r="T984" s="110"/>
      <c r="U984" s="112"/>
      <c r="AG984" s="108"/>
    </row>
    <row r="985" spans="19:33" customFormat="1" ht="12.75" hidden="1">
      <c r="S985" s="111"/>
      <c r="T985" s="110"/>
      <c r="U985" s="112"/>
      <c r="AG985" s="108"/>
    </row>
    <row r="986" spans="19:33" customFormat="1" ht="12.75" hidden="1">
      <c r="S986" s="111"/>
      <c r="T986" s="110"/>
      <c r="U986" s="112"/>
      <c r="AG986" s="108"/>
    </row>
    <row r="987" spans="19:33" customFormat="1" ht="12.75" hidden="1">
      <c r="S987" s="111"/>
      <c r="T987" s="110"/>
      <c r="U987" s="112"/>
      <c r="AG987" s="108"/>
    </row>
    <row r="988" spans="19:33" customFormat="1" ht="12.75" hidden="1">
      <c r="S988" s="111"/>
      <c r="T988" s="110"/>
      <c r="U988" s="112"/>
      <c r="AG988" s="108"/>
    </row>
    <row r="989" spans="19:33" customFormat="1" ht="12.75" hidden="1">
      <c r="S989" s="111"/>
      <c r="T989" s="110"/>
      <c r="U989" s="112"/>
      <c r="AG989" s="108"/>
    </row>
    <row r="990" spans="19:33" customFormat="1" ht="12.75" hidden="1">
      <c r="S990" s="111"/>
      <c r="T990" s="110"/>
      <c r="U990" s="112"/>
      <c r="AG990" s="108"/>
    </row>
    <row r="991" spans="19:33" customFormat="1" ht="12.75" hidden="1">
      <c r="S991" s="111"/>
      <c r="T991" s="110"/>
      <c r="U991" s="112"/>
      <c r="AG991" s="108"/>
    </row>
    <row r="992" spans="19:33" customFormat="1" ht="12.75" hidden="1">
      <c r="S992" s="111"/>
      <c r="T992" s="110"/>
      <c r="U992" s="112"/>
      <c r="AG992" s="108"/>
    </row>
    <row r="993" spans="19:33" customFormat="1" ht="12.75" hidden="1">
      <c r="S993" s="111"/>
      <c r="T993" s="110"/>
      <c r="U993" s="112"/>
      <c r="AG993" s="108"/>
    </row>
    <row r="994" spans="19:33" customFormat="1" ht="12.75" hidden="1">
      <c r="S994" s="111"/>
      <c r="T994" s="110"/>
      <c r="U994" s="112"/>
      <c r="AG994" s="108"/>
    </row>
    <row r="995" spans="19:33" customFormat="1" ht="12.75" hidden="1">
      <c r="S995" s="111"/>
      <c r="T995" s="110"/>
      <c r="U995" s="112"/>
      <c r="AG995" s="108"/>
    </row>
    <row r="996" spans="19:33" customFormat="1" ht="12.75" hidden="1">
      <c r="S996" s="111"/>
      <c r="T996" s="110"/>
      <c r="U996" s="112"/>
      <c r="AG996" s="108"/>
    </row>
    <row r="997" spans="19:33" customFormat="1" ht="12.75" hidden="1">
      <c r="S997" s="111"/>
      <c r="T997" s="110"/>
      <c r="U997" s="112"/>
      <c r="AG997" s="108"/>
    </row>
    <row r="998" spans="19:33" customFormat="1" ht="12.75" hidden="1">
      <c r="S998" s="111"/>
      <c r="T998" s="110"/>
      <c r="U998" s="112"/>
      <c r="AG998" s="108"/>
    </row>
    <row r="999" spans="19:33" customFormat="1" ht="12.75" hidden="1">
      <c r="S999" s="111"/>
      <c r="T999" s="110"/>
      <c r="U999" s="112"/>
      <c r="AG999" s="108"/>
    </row>
    <row r="1000" spans="19:33" customFormat="1" ht="12.75" hidden="1">
      <c r="S1000" s="111"/>
      <c r="T1000" s="110"/>
      <c r="U1000" s="112"/>
      <c r="AG1000" s="108"/>
    </row>
    <row r="1001" spans="19:33" customFormat="1" ht="12.75" hidden="1">
      <c r="S1001" s="111"/>
      <c r="T1001" s="110"/>
      <c r="U1001" s="112"/>
      <c r="AG1001" s="108"/>
    </row>
    <row r="1002" spans="19:33" customFormat="1" ht="12.75" hidden="1">
      <c r="S1002" s="111"/>
      <c r="T1002" s="110"/>
      <c r="U1002" s="112"/>
      <c r="AG1002" s="108"/>
    </row>
    <row r="1003" spans="19:33" customFormat="1" ht="12.75" hidden="1">
      <c r="S1003" s="111"/>
      <c r="T1003" s="110"/>
      <c r="U1003" s="112"/>
      <c r="AG1003" s="108"/>
    </row>
    <row r="1004" spans="19:33" customFormat="1" ht="12.75" hidden="1">
      <c r="S1004" s="111"/>
      <c r="T1004" s="110"/>
      <c r="U1004" s="112"/>
      <c r="AG1004" s="108"/>
    </row>
    <row r="1005" spans="19:33" customFormat="1" ht="12.75" hidden="1">
      <c r="S1005" s="111"/>
      <c r="T1005" s="110"/>
      <c r="U1005" s="112"/>
      <c r="AG1005" s="108"/>
    </row>
    <row r="1006" spans="19:33" customFormat="1" ht="12.75" hidden="1">
      <c r="S1006" s="111"/>
      <c r="T1006" s="110"/>
      <c r="U1006" s="112"/>
      <c r="AG1006" s="108"/>
    </row>
    <row r="1007" spans="19:33" customFormat="1" ht="12.75" hidden="1">
      <c r="S1007" s="111"/>
      <c r="T1007" s="110"/>
      <c r="U1007" s="112"/>
      <c r="AG1007" s="108"/>
    </row>
    <row r="1008" spans="19:33" customFormat="1" ht="12.75" hidden="1">
      <c r="S1008" s="111"/>
      <c r="T1008" s="110"/>
      <c r="U1008" s="112"/>
      <c r="AG1008" s="108"/>
    </row>
    <row r="1009" spans="19:33" customFormat="1" ht="12.75" hidden="1">
      <c r="S1009" s="111"/>
      <c r="T1009" s="110"/>
      <c r="U1009" s="112"/>
      <c r="AG1009" s="108"/>
    </row>
    <row r="1010" spans="19:33" customFormat="1" ht="12.75" hidden="1">
      <c r="S1010" s="111"/>
      <c r="T1010" s="110"/>
      <c r="U1010" s="112"/>
      <c r="AG1010" s="108"/>
    </row>
    <row r="1011" spans="19:33" customFormat="1" ht="12.75" hidden="1">
      <c r="S1011" s="111"/>
      <c r="T1011" s="110"/>
      <c r="U1011" s="112"/>
      <c r="AG1011" s="108"/>
    </row>
    <row r="1012" spans="19:33" customFormat="1" ht="12.75" hidden="1">
      <c r="S1012" s="111"/>
      <c r="T1012" s="110"/>
      <c r="U1012" s="112"/>
      <c r="AG1012" s="108"/>
    </row>
    <row r="1013" spans="19:33" customFormat="1" ht="12.75" hidden="1">
      <c r="S1013" s="111"/>
      <c r="T1013" s="110"/>
      <c r="U1013" s="112"/>
      <c r="AG1013" s="108"/>
    </row>
    <row r="1014" spans="19:33" customFormat="1" ht="12.75" hidden="1">
      <c r="S1014" s="111"/>
      <c r="T1014" s="110"/>
      <c r="U1014" s="112"/>
      <c r="AG1014" s="108"/>
    </row>
    <row r="1015" spans="19:33" customFormat="1" ht="12.75" hidden="1">
      <c r="S1015" s="111"/>
      <c r="T1015" s="110"/>
      <c r="U1015" s="112"/>
      <c r="AG1015" s="108"/>
    </row>
    <row r="1016" spans="19:33" customFormat="1" ht="12.75" hidden="1">
      <c r="S1016" s="111"/>
      <c r="T1016" s="110"/>
      <c r="U1016" s="112"/>
      <c r="AG1016" s="108"/>
    </row>
    <row r="1017" spans="19:33" customFormat="1" ht="12.75" hidden="1">
      <c r="S1017" s="111"/>
      <c r="T1017" s="110"/>
      <c r="U1017" s="112"/>
      <c r="AG1017" s="108"/>
    </row>
    <row r="1018" spans="19:33" customFormat="1" ht="12.75" hidden="1">
      <c r="S1018" s="111"/>
      <c r="T1018" s="110"/>
      <c r="U1018" s="112"/>
      <c r="AG1018" s="108"/>
    </row>
    <row r="1019" spans="19:33" customFormat="1" ht="12.75" hidden="1">
      <c r="S1019" s="111"/>
      <c r="T1019" s="110"/>
      <c r="U1019" s="112"/>
      <c r="AG1019" s="108"/>
    </row>
    <row r="1020" spans="19:33" customFormat="1" ht="12.75" hidden="1">
      <c r="S1020" s="111"/>
      <c r="T1020" s="110"/>
      <c r="U1020" s="112"/>
      <c r="AG1020" s="108"/>
    </row>
    <row r="1021" spans="19:33" customFormat="1" ht="12.75" hidden="1">
      <c r="S1021" s="111"/>
      <c r="T1021" s="110"/>
      <c r="U1021" s="112"/>
      <c r="AG1021" s="108"/>
    </row>
    <row r="1022" spans="19:33" customFormat="1" ht="12.75" hidden="1">
      <c r="S1022" s="111"/>
      <c r="T1022" s="110"/>
      <c r="U1022" s="112"/>
      <c r="AG1022" s="108"/>
    </row>
    <row r="1023" spans="19:33" customFormat="1" ht="12.75" hidden="1">
      <c r="S1023" s="111"/>
      <c r="T1023" s="110"/>
      <c r="U1023" s="112"/>
      <c r="AG1023" s="108"/>
    </row>
    <row r="1024" spans="19:33" customFormat="1" ht="12.75" hidden="1">
      <c r="S1024" s="111"/>
      <c r="T1024" s="110"/>
      <c r="U1024" s="112"/>
      <c r="AG1024" s="108"/>
    </row>
    <row r="1025" spans="1:33" ht="12.75" hidden="1">
      <c r="S1025" s="111"/>
      <c r="U1025" s="112"/>
      <c r="AG1025" s="108"/>
    </row>
    <row r="1026" spans="1:33" ht="12.75" hidden="1">
      <c r="S1026" s="111"/>
      <c r="U1026" s="112"/>
      <c r="AG1026" s="108"/>
    </row>
    <row r="1027" spans="1:33" ht="12.75" hidden="1">
      <c r="S1027" s="111"/>
      <c r="U1027" s="112"/>
      <c r="AG1027" s="108"/>
    </row>
    <row r="1028" spans="1:33" ht="12.75" hidden="1">
      <c r="S1028" s="111"/>
      <c r="U1028" s="112"/>
      <c r="AG1028" s="108"/>
    </row>
    <row r="1029" spans="1:33" ht="12.75" hidden="1">
      <c r="S1029" s="111"/>
      <c r="U1029" s="112"/>
      <c r="AG1029" s="108"/>
    </row>
    <row r="1030" spans="1:33" ht="12.75" hidden="1">
      <c r="S1030" s="111"/>
      <c r="U1030" s="112"/>
      <c r="AG1030" s="108"/>
    </row>
    <row r="1031" spans="1:33" ht="12.75" hidden="1">
      <c r="S1031" s="111"/>
      <c r="U1031" s="112"/>
      <c r="AG1031" s="108"/>
    </row>
    <row r="1032" spans="1:33" ht="12.75" hidden="1">
      <c r="S1032" s="111"/>
      <c r="U1032" s="112"/>
      <c r="AG1032" s="108"/>
    </row>
    <row r="1033" spans="1:33" ht="12.75" hidden="1">
      <c r="S1033" s="111"/>
      <c r="U1033" s="112"/>
      <c r="AG1033" s="108"/>
    </row>
    <row r="1034" spans="1:33" ht="12.75" hidden="1">
      <c r="S1034" s="111"/>
      <c r="U1034" s="112"/>
      <c r="AG1034" s="108"/>
    </row>
    <row r="1035" spans="1:33" s="45" customFormat="1" ht="12.75" hidden="1">
      <c r="A1035"/>
      <c r="B1035"/>
      <c r="C1035"/>
      <c r="D1035"/>
      <c r="E1035"/>
      <c r="F1035"/>
      <c r="G1035"/>
      <c r="H1035"/>
      <c r="I1035"/>
      <c r="J1035"/>
      <c r="K1035"/>
      <c r="L1035"/>
      <c r="M1035"/>
      <c r="N1035"/>
      <c r="O1035" s="109"/>
      <c r="P1035" s="110"/>
      <c r="Q1035" s="110"/>
      <c r="R1035" s="110"/>
      <c r="S1035" s="113"/>
      <c r="T1035" s="113"/>
      <c r="V1035"/>
      <c r="W1035"/>
      <c r="Y1035"/>
      <c r="Z1035"/>
      <c r="AA1035"/>
      <c r="AB1035"/>
      <c r="AC1035"/>
      <c r="AD1035"/>
      <c r="AE1035"/>
      <c r="AF1035"/>
    </row>
    <row r="1036" spans="1:33" s="45" customFormat="1" ht="12.75" hidden="1">
      <c r="A1036"/>
      <c r="B1036"/>
      <c r="C1036"/>
      <c r="D1036"/>
      <c r="E1036"/>
      <c r="F1036"/>
      <c r="G1036"/>
      <c r="H1036"/>
      <c r="I1036"/>
      <c r="J1036"/>
      <c r="K1036"/>
      <c r="L1036"/>
      <c r="M1036"/>
      <c r="N1036"/>
      <c r="O1036" s="109"/>
      <c r="P1036" s="110"/>
      <c r="Q1036" s="110"/>
      <c r="R1036" s="110"/>
      <c r="S1036" s="113"/>
      <c r="T1036" s="113"/>
      <c r="V1036"/>
      <c r="W1036"/>
      <c r="Y1036"/>
      <c r="Z1036"/>
      <c r="AA1036"/>
      <c r="AB1036"/>
      <c r="AC1036"/>
      <c r="AD1036"/>
      <c r="AE1036"/>
      <c r="AF1036"/>
    </row>
    <row r="1037" spans="1:33" s="45" customFormat="1" ht="12.75" hidden="1">
      <c r="A1037"/>
      <c r="B1037"/>
      <c r="C1037"/>
      <c r="D1037"/>
      <c r="E1037"/>
      <c r="F1037"/>
      <c r="G1037"/>
      <c r="H1037"/>
      <c r="I1037"/>
      <c r="J1037"/>
      <c r="K1037"/>
      <c r="L1037"/>
      <c r="M1037"/>
      <c r="N1037"/>
      <c r="O1037" s="109"/>
      <c r="P1037" s="110"/>
      <c r="Q1037" s="110"/>
      <c r="R1037" s="110"/>
      <c r="S1037" s="113"/>
      <c r="T1037" s="113"/>
      <c r="V1037"/>
      <c r="W1037"/>
      <c r="Y1037"/>
      <c r="Z1037"/>
      <c r="AA1037"/>
      <c r="AB1037"/>
      <c r="AC1037"/>
      <c r="AD1037"/>
      <c r="AE1037"/>
      <c r="AF1037"/>
    </row>
    <row r="1038" spans="1:33" s="45" customFormat="1" ht="12.75" hidden="1">
      <c r="A1038"/>
      <c r="B1038"/>
      <c r="C1038"/>
      <c r="D1038"/>
      <c r="E1038"/>
      <c r="F1038"/>
      <c r="G1038"/>
      <c r="H1038"/>
      <c r="I1038"/>
      <c r="J1038"/>
      <c r="K1038"/>
      <c r="L1038"/>
      <c r="M1038"/>
      <c r="N1038"/>
      <c r="O1038" s="109"/>
      <c r="P1038" s="110"/>
      <c r="Q1038" s="110"/>
      <c r="R1038" s="110"/>
      <c r="S1038" s="113"/>
      <c r="T1038" s="113"/>
      <c r="V1038"/>
      <c r="W1038"/>
      <c r="Y1038"/>
      <c r="Z1038"/>
      <c r="AA1038"/>
      <c r="AB1038"/>
      <c r="AC1038"/>
      <c r="AD1038"/>
      <c r="AE1038"/>
      <c r="AF1038"/>
    </row>
    <row r="1039" spans="1:33" s="45" customFormat="1" ht="12.75" hidden="1">
      <c r="A1039"/>
      <c r="B1039"/>
      <c r="C1039"/>
      <c r="D1039"/>
      <c r="E1039"/>
      <c r="F1039"/>
      <c r="G1039"/>
      <c r="H1039"/>
      <c r="I1039"/>
      <c r="J1039"/>
      <c r="K1039"/>
      <c r="L1039"/>
      <c r="M1039"/>
      <c r="N1039"/>
      <c r="O1039" s="109"/>
      <c r="P1039" s="110"/>
      <c r="Q1039" s="110"/>
      <c r="R1039" s="110"/>
      <c r="S1039" s="113"/>
      <c r="T1039" s="113"/>
      <c r="V1039"/>
      <c r="W1039"/>
      <c r="Y1039"/>
      <c r="Z1039"/>
      <c r="AA1039"/>
      <c r="AB1039"/>
      <c r="AC1039"/>
      <c r="AD1039"/>
      <c r="AE1039"/>
      <c r="AF1039"/>
    </row>
    <row r="1040" spans="1:33" s="45" customFormat="1" ht="12.75" hidden="1">
      <c r="A1040"/>
      <c r="B1040"/>
      <c r="C1040"/>
      <c r="D1040"/>
      <c r="E1040"/>
      <c r="F1040"/>
      <c r="G1040"/>
      <c r="H1040"/>
      <c r="I1040"/>
      <c r="J1040"/>
      <c r="K1040"/>
      <c r="L1040"/>
      <c r="M1040"/>
      <c r="N1040"/>
      <c r="O1040" s="109"/>
      <c r="P1040" s="110"/>
      <c r="Q1040" s="110"/>
      <c r="R1040" s="110"/>
      <c r="S1040" s="113"/>
      <c r="T1040" s="113"/>
      <c r="V1040"/>
      <c r="W1040"/>
      <c r="Y1040"/>
      <c r="Z1040"/>
      <c r="AA1040"/>
      <c r="AB1040"/>
      <c r="AC1040"/>
      <c r="AD1040"/>
      <c r="AE1040"/>
      <c r="AF1040"/>
    </row>
    <row r="1041" spans="1:32" s="45" customFormat="1" ht="12.75" hidden="1">
      <c r="A1041"/>
      <c r="B1041"/>
      <c r="C1041"/>
      <c r="D1041"/>
      <c r="E1041"/>
      <c r="F1041"/>
      <c r="G1041"/>
      <c r="H1041"/>
      <c r="I1041"/>
      <c r="J1041"/>
      <c r="K1041"/>
      <c r="L1041"/>
      <c r="M1041"/>
      <c r="N1041"/>
      <c r="O1041" s="109"/>
      <c r="P1041" s="110"/>
      <c r="Q1041" s="110"/>
      <c r="R1041" s="110"/>
      <c r="S1041" s="113"/>
      <c r="T1041" s="113"/>
      <c r="V1041"/>
      <c r="W1041"/>
      <c r="Y1041"/>
      <c r="Z1041"/>
      <c r="AA1041"/>
      <c r="AB1041"/>
      <c r="AC1041"/>
      <c r="AD1041"/>
      <c r="AE1041"/>
      <c r="AF1041"/>
    </row>
    <row r="1042" spans="1:32" s="45" customFormat="1" ht="12.75" hidden="1">
      <c r="A1042"/>
      <c r="B1042"/>
      <c r="C1042"/>
      <c r="D1042"/>
      <c r="E1042"/>
      <c r="F1042"/>
      <c r="G1042"/>
      <c r="H1042"/>
      <c r="I1042"/>
      <c r="J1042"/>
      <c r="K1042"/>
      <c r="L1042"/>
      <c r="M1042"/>
      <c r="N1042"/>
      <c r="O1042" s="109"/>
      <c r="P1042" s="110"/>
      <c r="Q1042" s="110"/>
      <c r="R1042" s="110"/>
      <c r="S1042" s="113"/>
      <c r="T1042" s="113"/>
      <c r="V1042"/>
      <c r="W1042"/>
      <c r="Y1042"/>
      <c r="Z1042"/>
      <c r="AA1042"/>
      <c r="AB1042"/>
      <c r="AC1042"/>
      <c r="AD1042"/>
      <c r="AE1042"/>
      <c r="AF1042"/>
    </row>
    <row r="1043" spans="1:32" s="45" customFormat="1" ht="12.75" hidden="1">
      <c r="A1043"/>
      <c r="B1043"/>
      <c r="C1043"/>
      <c r="D1043"/>
      <c r="E1043"/>
      <c r="F1043"/>
      <c r="G1043"/>
      <c r="H1043"/>
      <c r="I1043"/>
      <c r="J1043"/>
      <c r="K1043"/>
      <c r="L1043"/>
      <c r="M1043"/>
      <c r="N1043"/>
      <c r="O1043" s="109"/>
      <c r="P1043" s="110"/>
      <c r="Q1043" s="110"/>
      <c r="R1043" s="110"/>
      <c r="S1043" s="113"/>
      <c r="T1043" s="113"/>
      <c r="V1043"/>
      <c r="W1043"/>
      <c r="Y1043"/>
      <c r="Z1043"/>
      <c r="AA1043"/>
      <c r="AB1043"/>
      <c r="AC1043"/>
      <c r="AD1043"/>
      <c r="AE1043"/>
      <c r="AF1043"/>
    </row>
    <row r="1044" spans="1:32" s="45" customFormat="1" ht="12.75" hidden="1">
      <c r="A1044"/>
      <c r="B1044"/>
      <c r="C1044"/>
      <c r="D1044"/>
      <c r="E1044"/>
      <c r="F1044"/>
      <c r="G1044"/>
      <c r="H1044"/>
      <c r="I1044"/>
      <c r="J1044"/>
      <c r="K1044"/>
      <c r="L1044"/>
      <c r="M1044"/>
      <c r="N1044"/>
      <c r="O1044" s="109"/>
      <c r="P1044" s="110"/>
      <c r="Q1044" s="110"/>
      <c r="R1044" s="110"/>
      <c r="S1044" s="113"/>
      <c r="T1044" s="113"/>
      <c r="V1044"/>
      <c r="W1044"/>
      <c r="Y1044"/>
      <c r="Z1044"/>
      <c r="AA1044"/>
      <c r="AB1044"/>
      <c r="AC1044"/>
      <c r="AD1044"/>
      <c r="AE1044"/>
      <c r="AF1044"/>
    </row>
    <row r="1045" spans="1:32" s="45" customFormat="1" ht="12.75" hidden="1">
      <c r="A1045"/>
      <c r="B1045"/>
      <c r="C1045"/>
      <c r="D1045"/>
      <c r="E1045"/>
      <c r="F1045"/>
      <c r="G1045"/>
      <c r="H1045"/>
      <c r="I1045"/>
      <c r="J1045"/>
      <c r="K1045"/>
      <c r="L1045"/>
      <c r="M1045"/>
      <c r="N1045"/>
      <c r="O1045" s="109"/>
      <c r="P1045" s="110"/>
      <c r="Q1045" s="110"/>
      <c r="R1045" s="110"/>
      <c r="S1045" s="113"/>
      <c r="T1045" s="113"/>
      <c r="V1045"/>
      <c r="W1045"/>
      <c r="Y1045"/>
      <c r="Z1045"/>
      <c r="AA1045"/>
      <c r="AB1045"/>
      <c r="AC1045"/>
      <c r="AD1045"/>
      <c r="AE1045"/>
      <c r="AF1045"/>
    </row>
    <row r="1046" spans="1:32" s="45" customFormat="1" ht="12.75" hidden="1">
      <c r="A1046"/>
      <c r="B1046"/>
      <c r="C1046"/>
      <c r="D1046"/>
      <c r="E1046"/>
      <c r="F1046"/>
      <c r="G1046"/>
      <c r="H1046"/>
      <c r="I1046"/>
      <c r="J1046"/>
      <c r="K1046"/>
      <c r="L1046"/>
      <c r="M1046"/>
      <c r="N1046"/>
      <c r="O1046" s="109"/>
      <c r="P1046" s="110"/>
      <c r="Q1046" s="110"/>
      <c r="R1046" s="110"/>
      <c r="S1046" s="113"/>
      <c r="T1046" s="113"/>
      <c r="V1046"/>
      <c r="W1046"/>
      <c r="Y1046"/>
      <c r="Z1046"/>
      <c r="AA1046"/>
      <c r="AB1046"/>
      <c r="AC1046"/>
      <c r="AD1046"/>
      <c r="AE1046"/>
      <c r="AF1046"/>
    </row>
    <row r="1047" spans="1:32" s="45" customFormat="1" ht="12.75" hidden="1">
      <c r="A1047"/>
      <c r="B1047"/>
      <c r="C1047"/>
      <c r="D1047"/>
      <c r="E1047"/>
      <c r="F1047"/>
      <c r="G1047"/>
      <c r="H1047"/>
      <c r="I1047"/>
      <c r="J1047"/>
      <c r="K1047"/>
      <c r="L1047"/>
      <c r="M1047"/>
      <c r="N1047"/>
      <c r="O1047" s="109"/>
      <c r="P1047" s="110"/>
      <c r="Q1047" s="110"/>
      <c r="R1047" s="110"/>
      <c r="S1047" s="113"/>
      <c r="T1047" s="113"/>
      <c r="V1047"/>
      <c r="W1047"/>
      <c r="Y1047"/>
      <c r="Z1047"/>
      <c r="AA1047"/>
      <c r="AB1047"/>
      <c r="AC1047"/>
      <c r="AD1047"/>
      <c r="AE1047"/>
      <c r="AF1047"/>
    </row>
    <row r="1048" spans="1:32" s="45" customFormat="1" ht="12.75" hidden="1">
      <c r="A1048"/>
      <c r="B1048"/>
      <c r="C1048"/>
      <c r="D1048"/>
      <c r="E1048"/>
      <c r="F1048"/>
      <c r="G1048"/>
      <c r="H1048"/>
      <c r="I1048"/>
      <c r="J1048"/>
      <c r="K1048"/>
      <c r="L1048"/>
      <c r="M1048"/>
      <c r="N1048"/>
      <c r="O1048" s="109"/>
      <c r="P1048" s="110"/>
      <c r="Q1048" s="110"/>
      <c r="R1048" s="110"/>
      <c r="S1048" s="113"/>
      <c r="T1048" s="113"/>
      <c r="V1048"/>
      <c r="W1048"/>
      <c r="Y1048"/>
      <c r="Z1048"/>
      <c r="AA1048"/>
      <c r="AB1048"/>
      <c r="AC1048"/>
      <c r="AD1048"/>
      <c r="AE1048"/>
      <c r="AF1048"/>
    </row>
    <row r="1049" spans="1:32" s="45" customFormat="1" ht="12.75" hidden="1">
      <c r="A1049"/>
      <c r="B1049"/>
      <c r="C1049"/>
      <c r="D1049"/>
      <c r="E1049"/>
      <c r="F1049"/>
      <c r="G1049"/>
      <c r="H1049"/>
      <c r="I1049"/>
      <c r="J1049"/>
      <c r="K1049"/>
      <c r="L1049"/>
      <c r="M1049"/>
      <c r="N1049"/>
      <c r="O1049" s="109"/>
      <c r="P1049" s="110"/>
      <c r="Q1049" s="110"/>
      <c r="R1049" s="110"/>
      <c r="S1049" s="113"/>
      <c r="T1049" s="113"/>
      <c r="V1049"/>
      <c r="W1049"/>
      <c r="Y1049"/>
      <c r="Z1049"/>
      <c r="AA1049"/>
      <c r="AB1049"/>
      <c r="AC1049"/>
      <c r="AD1049"/>
      <c r="AE1049"/>
      <c r="AF1049"/>
    </row>
    <row r="1050" spans="1:32" s="45" customFormat="1" ht="12.75" hidden="1">
      <c r="A1050"/>
      <c r="B1050"/>
      <c r="C1050"/>
      <c r="D1050"/>
      <c r="E1050"/>
      <c r="F1050"/>
      <c r="G1050"/>
      <c r="H1050"/>
      <c r="I1050"/>
      <c r="J1050"/>
      <c r="K1050"/>
      <c r="L1050"/>
      <c r="M1050"/>
      <c r="N1050"/>
      <c r="O1050" s="109"/>
      <c r="P1050" s="110"/>
      <c r="Q1050" s="110"/>
      <c r="R1050" s="110"/>
      <c r="S1050" s="113"/>
      <c r="T1050" s="113"/>
      <c r="V1050"/>
      <c r="W1050"/>
      <c r="Y1050"/>
      <c r="Z1050"/>
      <c r="AA1050"/>
      <c r="AB1050"/>
      <c r="AC1050"/>
      <c r="AD1050"/>
      <c r="AE1050"/>
      <c r="AF1050"/>
    </row>
    <row r="1051" spans="1:32" s="45" customFormat="1" ht="12.75" hidden="1">
      <c r="A1051"/>
      <c r="B1051"/>
      <c r="C1051"/>
      <c r="D1051"/>
      <c r="E1051"/>
      <c r="F1051"/>
      <c r="G1051"/>
      <c r="H1051"/>
      <c r="I1051"/>
      <c r="J1051"/>
      <c r="K1051"/>
      <c r="L1051"/>
      <c r="M1051"/>
      <c r="N1051"/>
      <c r="O1051" s="109"/>
      <c r="P1051" s="110"/>
      <c r="Q1051" s="110"/>
      <c r="R1051" s="110"/>
      <c r="S1051" s="113"/>
      <c r="T1051" s="113"/>
      <c r="V1051"/>
      <c r="W1051"/>
      <c r="Y1051"/>
      <c r="Z1051"/>
      <c r="AA1051"/>
      <c r="AB1051"/>
      <c r="AC1051"/>
      <c r="AD1051"/>
      <c r="AE1051"/>
      <c r="AF1051"/>
    </row>
    <row r="1052" spans="1:32" s="45" customFormat="1" ht="12.75" hidden="1">
      <c r="A1052"/>
      <c r="B1052"/>
      <c r="C1052"/>
      <c r="D1052"/>
      <c r="E1052"/>
      <c r="F1052"/>
      <c r="G1052"/>
      <c r="H1052"/>
      <c r="I1052"/>
      <c r="J1052"/>
      <c r="K1052"/>
      <c r="L1052"/>
      <c r="M1052"/>
      <c r="N1052"/>
      <c r="O1052" s="109"/>
      <c r="P1052" s="110"/>
      <c r="Q1052" s="110"/>
      <c r="R1052" s="110"/>
      <c r="S1052" s="113"/>
      <c r="T1052" s="113"/>
      <c r="V1052"/>
      <c r="W1052"/>
      <c r="Y1052"/>
      <c r="Z1052"/>
      <c r="AA1052"/>
      <c r="AB1052"/>
      <c r="AC1052"/>
      <c r="AD1052"/>
      <c r="AE1052"/>
      <c r="AF1052"/>
    </row>
    <row r="1053" spans="1:32" s="45" customFormat="1" ht="12.75" hidden="1">
      <c r="A1053"/>
      <c r="B1053"/>
      <c r="C1053"/>
      <c r="D1053"/>
      <c r="E1053"/>
      <c r="F1053"/>
      <c r="G1053"/>
      <c r="H1053"/>
      <c r="I1053"/>
      <c r="J1053"/>
      <c r="K1053"/>
      <c r="L1053"/>
      <c r="M1053"/>
      <c r="N1053"/>
      <c r="O1053" s="109"/>
      <c r="P1053" s="110"/>
      <c r="Q1053" s="110"/>
      <c r="R1053" s="110"/>
      <c r="S1053" s="113"/>
      <c r="T1053" s="113"/>
      <c r="V1053"/>
      <c r="W1053"/>
      <c r="Y1053"/>
      <c r="Z1053"/>
      <c r="AA1053"/>
      <c r="AB1053"/>
      <c r="AC1053"/>
      <c r="AD1053"/>
      <c r="AE1053"/>
      <c r="AF1053"/>
    </row>
    <row r="1054" spans="1:32" s="45" customFormat="1" ht="12.75" hidden="1">
      <c r="A1054"/>
      <c r="B1054"/>
      <c r="C1054"/>
      <c r="D1054"/>
      <c r="E1054"/>
      <c r="F1054"/>
      <c r="G1054"/>
      <c r="H1054"/>
      <c r="I1054"/>
      <c r="J1054"/>
      <c r="K1054"/>
      <c r="L1054"/>
      <c r="M1054"/>
      <c r="N1054"/>
      <c r="O1054" s="109"/>
      <c r="P1054" s="110"/>
      <c r="Q1054" s="110"/>
      <c r="R1054" s="110"/>
      <c r="S1054" s="113"/>
      <c r="T1054" s="113"/>
      <c r="V1054"/>
      <c r="W1054"/>
      <c r="Y1054"/>
      <c r="Z1054"/>
      <c r="AA1054"/>
      <c r="AB1054"/>
      <c r="AC1054"/>
      <c r="AD1054"/>
      <c r="AE1054"/>
      <c r="AF1054"/>
    </row>
    <row r="1055" spans="1:32" s="45" customFormat="1" ht="12.75" hidden="1">
      <c r="A1055"/>
      <c r="B1055"/>
      <c r="C1055"/>
      <c r="D1055"/>
      <c r="E1055"/>
      <c r="F1055"/>
      <c r="G1055"/>
      <c r="H1055"/>
      <c r="I1055"/>
      <c r="J1055"/>
      <c r="K1055"/>
      <c r="L1055"/>
      <c r="M1055"/>
      <c r="N1055"/>
      <c r="O1055" s="109"/>
      <c r="P1055" s="110"/>
      <c r="Q1055" s="110"/>
      <c r="R1055" s="110"/>
      <c r="S1055" s="113"/>
      <c r="T1055" s="113"/>
      <c r="V1055"/>
      <c r="W1055"/>
      <c r="Y1055"/>
      <c r="Z1055"/>
      <c r="AA1055"/>
      <c r="AB1055"/>
      <c r="AC1055"/>
      <c r="AD1055"/>
      <c r="AE1055"/>
      <c r="AF1055"/>
    </row>
    <row r="1056" spans="1:32" s="45" customFormat="1" ht="12.75" hidden="1">
      <c r="A1056"/>
      <c r="B1056"/>
      <c r="C1056"/>
      <c r="D1056"/>
      <c r="E1056"/>
      <c r="F1056"/>
      <c r="G1056"/>
      <c r="H1056"/>
      <c r="I1056"/>
      <c r="J1056"/>
      <c r="K1056"/>
      <c r="L1056"/>
      <c r="M1056"/>
      <c r="N1056"/>
      <c r="O1056" s="109"/>
      <c r="P1056" s="110"/>
      <c r="Q1056" s="110"/>
      <c r="R1056" s="110"/>
      <c r="S1056" s="113"/>
      <c r="T1056" s="113"/>
      <c r="V1056"/>
      <c r="W1056"/>
      <c r="Y1056"/>
      <c r="Z1056"/>
      <c r="AA1056"/>
      <c r="AB1056"/>
      <c r="AC1056"/>
      <c r="AD1056"/>
      <c r="AE1056"/>
      <c r="AF1056"/>
    </row>
    <row r="1057" spans="1:32" s="45" customFormat="1" ht="12.75" hidden="1">
      <c r="A1057"/>
      <c r="B1057"/>
      <c r="C1057"/>
      <c r="D1057"/>
      <c r="E1057"/>
      <c r="F1057"/>
      <c r="G1057"/>
      <c r="H1057"/>
      <c r="I1057"/>
      <c r="J1057"/>
      <c r="K1057"/>
      <c r="L1057"/>
      <c r="M1057"/>
      <c r="N1057"/>
      <c r="O1057" s="109"/>
      <c r="P1057" s="110"/>
      <c r="Q1057" s="110"/>
      <c r="R1057" s="110"/>
      <c r="S1057" s="113"/>
      <c r="T1057" s="113"/>
      <c r="V1057"/>
      <c r="W1057"/>
      <c r="Y1057"/>
      <c r="Z1057"/>
      <c r="AA1057"/>
      <c r="AB1057"/>
      <c r="AC1057"/>
      <c r="AD1057"/>
      <c r="AE1057"/>
      <c r="AF1057"/>
    </row>
    <row r="1058" spans="1:32" s="45" customFormat="1" ht="12.75" hidden="1">
      <c r="A1058"/>
      <c r="B1058"/>
      <c r="C1058"/>
      <c r="D1058"/>
      <c r="E1058"/>
      <c r="F1058"/>
      <c r="G1058"/>
      <c r="H1058"/>
      <c r="I1058"/>
      <c r="J1058"/>
      <c r="K1058"/>
      <c r="L1058"/>
      <c r="M1058"/>
      <c r="N1058"/>
      <c r="O1058" s="109"/>
      <c r="P1058" s="110"/>
      <c r="Q1058" s="110"/>
      <c r="R1058" s="110"/>
      <c r="S1058" s="113"/>
      <c r="T1058" s="113"/>
      <c r="V1058"/>
      <c r="W1058"/>
      <c r="Y1058"/>
      <c r="Z1058"/>
      <c r="AA1058"/>
      <c r="AB1058"/>
      <c r="AC1058"/>
      <c r="AD1058"/>
      <c r="AE1058"/>
      <c r="AF1058"/>
    </row>
    <row r="1059" spans="1:32" s="45" customFormat="1" ht="12.75" hidden="1">
      <c r="A1059"/>
      <c r="B1059"/>
      <c r="C1059"/>
      <c r="D1059"/>
      <c r="E1059"/>
      <c r="F1059"/>
      <c r="G1059"/>
      <c r="H1059"/>
      <c r="I1059"/>
      <c r="J1059"/>
      <c r="K1059"/>
      <c r="L1059"/>
      <c r="M1059"/>
      <c r="N1059"/>
      <c r="O1059" s="109"/>
      <c r="P1059" s="110"/>
      <c r="Q1059" s="110"/>
      <c r="R1059" s="110"/>
      <c r="S1059" s="113"/>
      <c r="T1059" s="113"/>
      <c r="V1059"/>
      <c r="W1059"/>
      <c r="Y1059"/>
      <c r="Z1059"/>
      <c r="AA1059"/>
      <c r="AB1059"/>
      <c r="AC1059"/>
      <c r="AD1059"/>
      <c r="AE1059"/>
      <c r="AF1059"/>
    </row>
    <row r="1060" spans="1:32" s="45" customFormat="1" ht="12.75" hidden="1">
      <c r="A1060"/>
      <c r="B1060"/>
      <c r="C1060"/>
      <c r="D1060"/>
      <c r="E1060"/>
      <c r="F1060"/>
      <c r="G1060"/>
      <c r="H1060"/>
      <c r="I1060"/>
      <c r="J1060"/>
      <c r="K1060"/>
      <c r="L1060"/>
      <c r="M1060"/>
      <c r="N1060"/>
      <c r="O1060" s="109"/>
      <c r="P1060" s="110"/>
      <c r="Q1060" s="110"/>
      <c r="R1060" s="110"/>
      <c r="S1060" s="113"/>
      <c r="T1060" s="113"/>
      <c r="V1060"/>
      <c r="W1060"/>
      <c r="Y1060"/>
      <c r="Z1060"/>
      <c r="AA1060"/>
      <c r="AB1060"/>
      <c r="AC1060"/>
      <c r="AD1060"/>
      <c r="AE1060"/>
      <c r="AF1060"/>
    </row>
    <row r="1061" spans="1:32" s="45" customFormat="1" ht="12.75" hidden="1">
      <c r="A1061"/>
      <c r="B1061"/>
      <c r="C1061"/>
      <c r="D1061"/>
      <c r="E1061"/>
      <c r="F1061"/>
      <c r="G1061"/>
      <c r="H1061"/>
      <c r="I1061"/>
      <c r="J1061"/>
      <c r="K1061"/>
      <c r="L1061"/>
      <c r="M1061"/>
      <c r="N1061"/>
      <c r="O1061" s="109"/>
      <c r="P1061" s="110"/>
      <c r="Q1061" s="110"/>
      <c r="R1061" s="110"/>
      <c r="S1061" s="113"/>
      <c r="T1061" s="113"/>
      <c r="V1061"/>
      <c r="W1061"/>
      <c r="Y1061"/>
      <c r="Z1061"/>
      <c r="AA1061"/>
      <c r="AB1061"/>
      <c r="AC1061"/>
      <c r="AD1061"/>
      <c r="AE1061"/>
      <c r="AF1061"/>
    </row>
    <row r="1062" spans="1:32" s="45" customFormat="1" ht="12.75" hidden="1">
      <c r="A1062"/>
      <c r="B1062"/>
      <c r="C1062"/>
      <c r="D1062"/>
      <c r="E1062"/>
      <c r="F1062"/>
      <c r="G1062"/>
      <c r="H1062"/>
      <c r="I1062"/>
      <c r="J1062"/>
      <c r="K1062"/>
      <c r="L1062"/>
      <c r="M1062"/>
      <c r="N1062"/>
      <c r="O1062" s="109"/>
      <c r="P1062" s="110"/>
      <c r="Q1062" s="110"/>
      <c r="R1062" s="110"/>
      <c r="S1062" s="113"/>
      <c r="T1062" s="113"/>
      <c r="V1062"/>
      <c r="W1062"/>
      <c r="Y1062"/>
      <c r="Z1062"/>
      <c r="AA1062"/>
      <c r="AB1062"/>
      <c r="AC1062"/>
      <c r="AD1062"/>
      <c r="AE1062"/>
      <c r="AF1062"/>
    </row>
    <row r="1063" spans="1:32" s="45" customFormat="1" ht="12.75" hidden="1">
      <c r="A1063"/>
      <c r="B1063"/>
      <c r="C1063"/>
      <c r="D1063"/>
      <c r="E1063"/>
      <c r="F1063"/>
      <c r="G1063"/>
      <c r="H1063"/>
      <c r="I1063"/>
      <c r="J1063"/>
      <c r="K1063"/>
      <c r="L1063"/>
      <c r="M1063"/>
      <c r="N1063"/>
      <c r="O1063" s="109"/>
      <c r="P1063" s="110"/>
      <c r="Q1063" s="110"/>
      <c r="R1063" s="110"/>
      <c r="S1063" s="113"/>
      <c r="T1063" s="113"/>
      <c r="V1063"/>
      <c r="W1063"/>
      <c r="Y1063"/>
      <c r="Z1063"/>
      <c r="AA1063"/>
      <c r="AB1063"/>
      <c r="AC1063"/>
      <c r="AD1063"/>
      <c r="AE1063"/>
      <c r="AF1063"/>
    </row>
    <row r="1064" spans="1:32" s="45" customFormat="1" ht="12.75" hidden="1">
      <c r="A1064"/>
      <c r="B1064"/>
      <c r="C1064"/>
      <c r="D1064"/>
      <c r="E1064"/>
      <c r="F1064"/>
      <c r="G1064"/>
      <c r="H1064"/>
      <c r="I1064"/>
      <c r="J1064"/>
      <c r="K1064"/>
      <c r="L1064"/>
      <c r="M1064"/>
      <c r="N1064"/>
      <c r="O1064" s="109"/>
      <c r="P1064" s="110"/>
      <c r="Q1064" s="110"/>
      <c r="R1064" s="110"/>
      <c r="S1064" s="113"/>
      <c r="T1064" s="113"/>
      <c r="V1064"/>
      <c r="W1064"/>
      <c r="Y1064"/>
      <c r="Z1064"/>
      <c r="AA1064"/>
      <c r="AB1064"/>
      <c r="AC1064"/>
      <c r="AD1064"/>
      <c r="AE1064"/>
      <c r="AF1064"/>
    </row>
    <row r="1065" spans="1:32" s="45" customFormat="1" ht="12.75" hidden="1">
      <c r="A1065"/>
      <c r="B1065"/>
      <c r="C1065"/>
      <c r="D1065"/>
      <c r="E1065"/>
      <c r="F1065"/>
      <c r="G1065"/>
      <c r="H1065"/>
      <c r="I1065"/>
      <c r="J1065"/>
      <c r="K1065"/>
      <c r="L1065"/>
      <c r="M1065"/>
      <c r="N1065"/>
      <c r="O1065" s="109"/>
      <c r="P1065" s="110"/>
      <c r="Q1065" s="110"/>
      <c r="R1065" s="110"/>
      <c r="S1065" s="113"/>
      <c r="T1065" s="113"/>
      <c r="V1065"/>
      <c r="W1065"/>
      <c r="Y1065"/>
      <c r="Z1065"/>
      <c r="AA1065"/>
      <c r="AB1065"/>
      <c r="AC1065"/>
      <c r="AD1065"/>
      <c r="AE1065"/>
      <c r="AF1065"/>
    </row>
    <row r="1066" spans="1:32" s="45" customFormat="1" ht="12.75" hidden="1">
      <c r="A1066"/>
      <c r="B1066"/>
      <c r="C1066"/>
      <c r="D1066"/>
      <c r="E1066"/>
      <c r="F1066"/>
      <c r="G1066"/>
      <c r="H1066"/>
      <c r="I1066"/>
      <c r="J1066"/>
      <c r="K1066"/>
      <c r="L1066"/>
      <c r="M1066"/>
      <c r="N1066"/>
      <c r="O1066" s="109"/>
      <c r="P1066" s="110"/>
      <c r="Q1066" s="110"/>
      <c r="R1066" s="110"/>
      <c r="S1066" s="113"/>
      <c r="T1066" s="113"/>
      <c r="V1066"/>
      <c r="W1066"/>
      <c r="Y1066"/>
      <c r="Z1066"/>
      <c r="AA1066"/>
      <c r="AB1066"/>
      <c r="AC1066"/>
      <c r="AD1066"/>
      <c r="AE1066"/>
      <c r="AF1066"/>
    </row>
    <row r="1067" spans="1:32" s="45" customFormat="1" ht="12.75" hidden="1">
      <c r="A1067"/>
      <c r="B1067"/>
      <c r="C1067"/>
      <c r="D1067"/>
      <c r="E1067"/>
      <c r="F1067"/>
      <c r="G1067"/>
      <c r="H1067"/>
      <c r="I1067"/>
      <c r="J1067"/>
      <c r="K1067"/>
      <c r="L1067"/>
      <c r="M1067"/>
      <c r="N1067"/>
      <c r="O1067" s="109"/>
      <c r="P1067" s="110"/>
      <c r="Q1067" s="110"/>
      <c r="R1067" s="110"/>
      <c r="S1067" s="113"/>
      <c r="T1067" s="113"/>
      <c r="V1067"/>
      <c r="W1067"/>
      <c r="Y1067"/>
      <c r="Z1067"/>
      <c r="AA1067"/>
      <c r="AB1067"/>
      <c r="AC1067"/>
      <c r="AD1067"/>
      <c r="AE1067"/>
      <c r="AF1067"/>
    </row>
    <row r="1068" spans="1:32" s="45" customFormat="1" ht="12.75" hidden="1">
      <c r="A1068"/>
      <c r="B1068"/>
      <c r="C1068"/>
      <c r="D1068"/>
      <c r="E1068"/>
      <c r="F1068"/>
      <c r="G1068"/>
      <c r="H1068"/>
      <c r="I1068"/>
      <c r="J1068"/>
      <c r="K1068"/>
      <c r="L1068"/>
      <c r="M1068"/>
      <c r="N1068"/>
      <c r="O1068" s="109"/>
      <c r="P1068" s="110"/>
      <c r="Q1068" s="110"/>
      <c r="R1068" s="110"/>
      <c r="S1068" s="113"/>
      <c r="T1068" s="113"/>
      <c r="V1068"/>
      <c r="W1068"/>
      <c r="Y1068"/>
      <c r="Z1068"/>
      <c r="AA1068"/>
      <c r="AB1068"/>
      <c r="AC1068"/>
      <c r="AD1068"/>
      <c r="AE1068"/>
      <c r="AF1068"/>
    </row>
    <row r="1069" spans="1:32" s="45" customFormat="1" ht="12.75" hidden="1">
      <c r="A1069"/>
      <c r="B1069"/>
      <c r="C1069"/>
      <c r="D1069"/>
      <c r="E1069"/>
      <c r="F1069"/>
      <c r="G1069"/>
      <c r="H1069"/>
      <c r="I1069"/>
      <c r="J1069"/>
      <c r="K1069"/>
      <c r="L1069"/>
      <c r="M1069"/>
      <c r="N1069"/>
      <c r="O1069" s="109"/>
      <c r="P1069" s="110"/>
      <c r="Q1069" s="110"/>
      <c r="R1069" s="110"/>
      <c r="S1069" s="113"/>
      <c r="T1069" s="113"/>
      <c r="V1069"/>
      <c r="W1069"/>
      <c r="Y1069"/>
      <c r="Z1069"/>
      <c r="AA1069"/>
      <c r="AB1069"/>
      <c r="AC1069"/>
      <c r="AD1069"/>
      <c r="AE1069"/>
      <c r="AF1069"/>
    </row>
    <row r="1070" spans="1:32" s="45" customFormat="1" ht="12.75" hidden="1">
      <c r="A1070"/>
      <c r="B1070"/>
      <c r="C1070"/>
      <c r="D1070"/>
      <c r="E1070"/>
      <c r="F1070"/>
      <c r="G1070"/>
      <c r="H1070"/>
      <c r="I1070"/>
      <c r="J1070"/>
      <c r="K1070"/>
      <c r="L1070"/>
      <c r="M1070"/>
      <c r="N1070"/>
      <c r="O1070" s="109"/>
      <c r="P1070" s="110"/>
      <c r="Q1070" s="110"/>
      <c r="R1070" s="110"/>
      <c r="S1070" s="113"/>
      <c r="T1070" s="113"/>
      <c r="V1070"/>
      <c r="W1070"/>
      <c r="Y1070"/>
      <c r="Z1070"/>
      <c r="AA1070"/>
      <c r="AB1070"/>
      <c r="AC1070"/>
      <c r="AD1070"/>
      <c r="AE1070"/>
      <c r="AF1070"/>
    </row>
    <row r="1071" spans="1:32" s="45" customFormat="1" ht="12.75" hidden="1">
      <c r="A1071"/>
      <c r="B1071"/>
      <c r="C1071"/>
      <c r="D1071"/>
      <c r="E1071"/>
      <c r="F1071"/>
      <c r="G1071"/>
      <c r="H1071"/>
      <c r="I1071"/>
      <c r="J1071"/>
      <c r="K1071"/>
      <c r="L1071"/>
      <c r="M1071"/>
      <c r="N1071"/>
      <c r="O1071" s="109"/>
      <c r="P1071" s="110"/>
      <c r="Q1071" s="110"/>
      <c r="R1071" s="110"/>
      <c r="S1071" s="113"/>
      <c r="T1071" s="113"/>
      <c r="V1071"/>
      <c r="W1071"/>
      <c r="Y1071"/>
      <c r="Z1071"/>
      <c r="AA1071"/>
      <c r="AB1071"/>
      <c r="AC1071"/>
      <c r="AD1071"/>
      <c r="AE1071"/>
      <c r="AF1071"/>
    </row>
    <row r="1072" spans="1:32" s="45" customFormat="1" ht="12.75" hidden="1">
      <c r="A1072"/>
      <c r="B1072"/>
      <c r="C1072"/>
      <c r="D1072"/>
      <c r="E1072"/>
      <c r="F1072"/>
      <c r="G1072"/>
      <c r="H1072"/>
      <c r="I1072"/>
      <c r="J1072"/>
      <c r="K1072"/>
      <c r="L1072"/>
      <c r="M1072"/>
      <c r="N1072"/>
      <c r="O1072" s="109"/>
      <c r="P1072" s="110"/>
      <c r="Q1072" s="110"/>
      <c r="R1072" s="110"/>
      <c r="S1072" s="113"/>
      <c r="T1072" s="113"/>
      <c r="V1072"/>
      <c r="W1072"/>
      <c r="Y1072"/>
      <c r="Z1072"/>
      <c r="AA1072"/>
      <c r="AB1072"/>
      <c r="AC1072"/>
      <c r="AD1072"/>
      <c r="AE1072"/>
      <c r="AF1072"/>
    </row>
    <row r="1073" spans="1:32" s="45" customFormat="1" ht="12.75" hidden="1">
      <c r="A1073"/>
      <c r="B1073"/>
      <c r="C1073"/>
      <c r="D1073"/>
      <c r="E1073"/>
      <c r="F1073"/>
      <c r="G1073"/>
      <c r="H1073"/>
      <c r="I1073"/>
      <c r="J1073"/>
      <c r="K1073"/>
      <c r="L1073"/>
      <c r="M1073"/>
      <c r="N1073"/>
      <c r="O1073" s="109"/>
      <c r="P1073" s="110"/>
      <c r="Q1073" s="110"/>
      <c r="R1073" s="110"/>
      <c r="S1073" s="113"/>
      <c r="T1073" s="113"/>
      <c r="V1073"/>
      <c r="W1073"/>
      <c r="Y1073"/>
      <c r="Z1073"/>
      <c r="AA1073"/>
      <c r="AB1073"/>
      <c r="AC1073"/>
      <c r="AD1073"/>
      <c r="AE1073"/>
      <c r="AF1073"/>
    </row>
    <row r="1074" spans="1:32" s="45" customFormat="1" ht="12.75" hidden="1">
      <c r="A1074"/>
      <c r="B1074"/>
      <c r="C1074"/>
      <c r="D1074"/>
      <c r="E1074"/>
      <c r="F1074"/>
      <c r="G1074"/>
      <c r="H1074"/>
      <c r="I1074"/>
      <c r="J1074"/>
      <c r="K1074"/>
      <c r="L1074"/>
      <c r="M1074"/>
      <c r="N1074"/>
      <c r="O1074" s="109"/>
      <c r="P1074" s="110"/>
      <c r="Q1074" s="110"/>
      <c r="R1074" s="110"/>
      <c r="S1074" s="113"/>
      <c r="T1074" s="113"/>
      <c r="V1074"/>
      <c r="W1074"/>
      <c r="Y1074"/>
      <c r="Z1074"/>
      <c r="AA1074"/>
      <c r="AB1074"/>
      <c r="AC1074"/>
      <c r="AD1074"/>
      <c r="AE1074"/>
      <c r="AF1074"/>
    </row>
    <row r="1075" spans="1:32" s="45" customFormat="1" ht="12.75" hidden="1">
      <c r="A1075"/>
      <c r="B1075"/>
      <c r="C1075"/>
      <c r="D1075"/>
      <c r="E1075"/>
      <c r="F1075"/>
      <c r="G1075"/>
      <c r="H1075"/>
      <c r="I1075"/>
      <c r="J1075"/>
      <c r="K1075"/>
      <c r="L1075"/>
      <c r="M1075"/>
      <c r="N1075"/>
      <c r="O1075" s="109"/>
      <c r="P1075" s="110"/>
      <c r="Q1075" s="110"/>
      <c r="R1075" s="110"/>
      <c r="S1075" s="113"/>
      <c r="T1075" s="113"/>
      <c r="V1075"/>
      <c r="W1075"/>
      <c r="Y1075"/>
      <c r="Z1075"/>
      <c r="AA1075"/>
      <c r="AB1075"/>
      <c r="AC1075"/>
      <c r="AD1075"/>
      <c r="AE1075"/>
      <c r="AF1075"/>
    </row>
    <row r="1076" spans="1:32" s="45" customFormat="1" ht="12.75" hidden="1">
      <c r="A1076"/>
      <c r="B1076"/>
      <c r="C1076"/>
      <c r="D1076"/>
      <c r="E1076"/>
      <c r="F1076"/>
      <c r="G1076"/>
      <c r="H1076"/>
      <c r="I1076"/>
      <c r="J1076"/>
      <c r="K1076"/>
      <c r="L1076"/>
      <c r="M1076"/>
      <c r="N1076"/>
      <c r="O1076" s="109"/>
      <c r="P1076" s="110"/>
      <c r="Q1076" s="110"/>
      <c r="R1076" s="110"/>
      <c r="S1076" s="113"/>
      <c r="T1076" s="113"/>
      <c r="V1076"/>
      <c r="W1076"/>
      <c r="Y1076"/>
      <c r="Z1076"/>
      <c r="AA1076"/>
      <c r="AB1076"/>
      <c r="AC1076"/>
      <c r="AD1076"/>
      <c r="AE1076"/>
      <c r="AF1076"/>
    </row>
    <row r="1077" spans="1:32" s="45" customFormat="1" ht="12.75" hidden="1">
      <c r="A1077"/>
      <c r="B1077"/>
      <c r="C1077"/>
      <c r="D1077"/>
      <c r="E1077"/>
      <c r="F1077"/>
      <c r="G1077"/>
      <c r="H1077"/>
      <c r="I1077"/>
      <c r="J1077"/>
      <c r="K1077"/>
      <c r="L1077"/>
      <c r="M1077"/>
      <c r="N1077"/>
      <c r="O1077" s="109"/>
      <c r="P1077" s="110"/>
      <c r="Q1077" s="110"/>
      <c r="R1077" s="110"/>
      <c r="S1077" s="113"/>
      <c r="T1077" s="113"/>
      <c r="V1077"/>
      <c r="W1077"/>
      <c r="Y1077"/>
      <c r="Z1077"/>
      <c r="AA1077"/>
      <c r="AB1077"/>
      <c r="AC1077"/>
      <c r="AD1077"/>
      <c r="AE1077"/>
      <c r="AF1077"/>
    </row>
    <row r="1078" spans="1:32" s="45" customFormat="1" ht="12.75" hidden="1">
      <c r="A1078"/>
      <c r="B1078"/>
      <c r="C1078"/>
      <c r="D1078"/>
      <c r="E1078"/>
      <c r="F1078"/>
      <c r="G1078"/>
      <c r="H1078"/>
      <c r="I1078"/>
      <c r="J1078"/>
      <c r="K1078"/>
      <c r="L1078"/>
      <c r="M1078"/>
      <c r="N1078"/>
      <c r="O1078" s="109"/>
      <c r="P1078" s="110"/>
      <c r="Q1078" s="110"/>
      <c r="R1078" s="110"/>
      <c r="S1078" s="113"/>
      <c r="T1078" s="113"/>
      <c r="V1078"/>
      <c r="W1078"/>
      <c r="Y1078"/>
      <c r="Z1078"/>
      <c r="AA1078"/>
      <c r="AB1078"/>
      <c r="AC1078"/>
      <c r="AD1078"/>
      <c r="AE1078"/>
      <c r="AF1078"/>
    </row>
    <row r="1079" spans="1:32" s="45" customFormat="1" ht="12.75" hidden="1">
      <c r="A1079"/>
      <c r="B1079"/>
      <c r="C1079"/>
      <c r="D1079"/>
      <c r="E1079"/>
      <c r="F1079"/>
      <c r="G1079"/>
      <c r="H1079"/>
      <c r="I1079"/>
      <c r="J1079"/>
      <c r="K1079"/>
      <c r="L1079"/>
      <c r="M1079"/>
      <c r="N1079"/>
      <c r="O1079" s="109"/>
      <c r="P1079" s="110"/>
      <c r="Q1079" s="110"/>
      <c r="R1079" s="110"/>
      <c r="S1079" s="113"/>
      <c r="T1079" s="113"/>
      <c r="V1079"/>
      <c r="W1079"/>
      <c r="Y1079"/>
      <c r="Z1079"/>
      <c r="AA1079"/>
      <c r="AB1079"/>
      <c r="AC1079"/>
      <c r="AD1079"/>
      <c r="AE1079"/>
      <c r="AF1079"/>
    </row>
    <row r="1080" spans="1:32" s="45" customFormat="1" ht="12.75" hidden="1">
      <c r="A1080"/>
      <c r="B1080"/>
      <c r="C1080"/>
      <c r="D1080"/>
      <c r="E1080"/>
      <c r="F1080"/>
      <c r="G1080"/>
      <c r="H1080"/>
      <c r="I1080"/>
      <c r="J1080"/>
      <c r="K1080"/>
      <c r="L1080"/>
      <c r="M1080"/>
      <c r="N1080"/>
      <c r="O1080" s="109"/>
      <c r="P1080" s="110"/>
      <c r="Q1080" s="110"/>
      <c r="R1080" s="110"/>
      <c r="S1080" s="113"/>
      <c r="T1080" s="113"/>
      <c r="V1080"/>
      <c r="W1080"/>
      <c r="Y1080"/>
      <c r="Z1080"/>
      <c r="AA1080"/>
      <c r="AB1080"/>
      <c r="AC1080"/>
      <c r="AD1080"/>
      <c r="AE1080"/>
      <c r="AF1080"/>
    </row>
    <row r="1081" spans="1:32" s="45" customFormat="1" ht="12.75" hidden="1">
      <c r="A1081"/>
      <c r="B1081"/>
      <c r="C1081"/>
      <c r="D1081"/>
      <c r="E1081"/>
      <c r="F1081"/>
      <c r="G1081"/>
      <c r="H1081"/>
      <c r="I1081"/>
      <c r="J1081"/>
      <c r="K1081"/>
      <c r="L1081"/>
      <c r="M1081"/>
      <c r="N1081"/>
      <c r="O1081" s="109"/>
      <c r="P1081" s="110"/>
      <c r="Q1081" s="110"/>
      <c r="R1081" s="110"/>
      <c r="S1081" s="113"/>
      <c r="T1081" s="113"/>
      <c r="V1081"/>
      <c r="W1081"/>
      <c r="Y1081"/>
      <c r="Z1081"/>
      <c r="AA1081"/>
      <c r="AB1081"/>
      <c r="AC1081"/>
      <c r="AD1081"/>
      <c r="AE1081"/>
      <c r="AF1081"/>
    </row>
    <row r="1082" spans="1:32" s="45" customFormat="1" ht="12.75" hidden="1">
      <c r="A1082"/>
      <c r="B1082"/>
      <c r="C1082"/>
      <c r="D1082"/>
      <c r="E1082"/>
      <c r="F1082"/>
      <c r="G1082"/>
      <c r="H1082"/>
      <c r="I1082"/>
      <c r="J1082"/>
      <c r="K1082"/>
      <c r="L1082"/>
      <c r="M1082"/>
      <c r="N1082"/>
      <c r="O1082" s="109"/>
      <c r="P1082" s="110"/>
      <c r="Q1082" s="110"/>
      <c r="R1082" s="110"/>
      <c r="S1082" s="113"/>
      <c r="T1082" s="113"/>
      <c r="V1082"/>
      <c r="W1082"/>
      <c r="Y1082"/>
      <c r="Z1082"/>
      <c r="AA1082"/>
      <c r="AB1082"/>
      <c r="AC1082"/>
      <c r="AD1082"/>
      <c r="AE1082"/>
      <c r="AF1082"/>
    </row>
    <row r="1083" spans="1:32" s="45" customFormat="1" ht="12.75" hidden="1">
      <c r="A1083"/>
      <c r="B1083"/>
      <c r="C1083"/>
      <c r="D1083"/>
      <c r="E1083"/>
      <c r="F1083"/>
      <c r="G1083"/>
      <c r="H1083"/>
      <c r="I1083"/>
      <c r="J1083"/>
      <c r="K1083"/>
      <c r="L1083"/>
      <c r="M1083"/>
      <c r="N1083"/>
      <c r="O1083" s="109"/>
      <c r="P1083" s="110"/>
      <c r="Q1083" s="110"/>
      <c r="R1083" s="110"/>
      <c r="S1083" s="113"/>
      <c r="T1083" s="113"/>
      <c r="V1083"/>
      <c r="W1083"/>
      <c r="Y1083"/>
      <c r="Z1083"/>
      <c r="AA1083"/>
      <c r="AB1083"/>
      <c r="AC1083"/>
      <c r="AD1083"/>
      <c r="AE1083"/>
      <c r="AF1083"/>
    </row>
    <row r="1084" spans="1:32" s="45" customFormat="1" ht="12.75" hidden="1">
      <c r="A1084"/>
      <c r="B1084"/>
      <c r="C1084"/>
      <c r="D1084"/>
      <c r="E1084"/>
      <c r="F1084"/>
      <c r="G1084"/>
      <c r="H1084"/>
      <c r="I1084"/>
      <c r="J1084"/>
      <c r="K1084"/>
      <c r="L1084"/>
      <c r="M1084"/>
      <c r="N1084"/>
      <c r="O1084" s="109"/>
      <c r="P1084" s="110"/>
      <c r="Q1084" s="110"/>
      <c r="R1084" s="110"/>
      <c r="S1084" s="113"/>
      <c r="T1084" s="113"/>
      <c r="V1084"/>
      <c r="W1084"/>
      <c r="Y1084"/>
      <c r="Z1084"/>
      <c r="AA1084"/>
      <c r="AB1084"/>
      <c r="AC1084"/>
      <c r="AD1084"/>
      <c r="AE1084"/>
      <c r="AF1084"/>
    </row>
    <row r="1085" spans="1:32" s="45" customFormat="1" ht="12.75" hidden="1">
      <c r="A1085"/>
      <c r="B1085"/>
      <c r="C1085"/>
      <c r="D1085"/>
      <c r="E1085"/>
      <c r="F1085"/>
      <c r="G1085"/>
      <c r="H1085"/>
      <c r="I1085"/>
      <c r="J1085"/>
      <c r="K1085"/>
      <c r="L1085"/>
      <c r="M1085"/>
      <c r="N1085"/>
      <c r="O1085" s="109"/>
      <c r="P1085" s="110"/>
      <c r="Q1085" s="110"/>
      <c r="R1085" s="110"/>
      <c r="S1085" s="113"/>
      <c r="T1085" s="113"/>
      <c r="V1085"/>
      <c r="W1085"/>
      <c r="Y1085"/>
      <c r="Z1085"/>
      <c r="AA1085"/>
      <c r="AB1085"/>
      <c r="AC1085"/>
      <c r="AD1085"/>
      <c r="AE1085"/>
      <c r="AF1085"/>
    </row>
    <row r="1086" spans="1:32" s="45" customFormat="1" ht="12.75" hidden="1">
      <c r="A1086"/>
      <c r="B1086"/>
      <c r="C1086"/>
      <c r="D1086"/>
      <c r="E1086"/>
      <c r="F1086"/>
      <c r="G1086"/>
      <c r="H1086"/>
      <c r="I1086"/>
      <c r="J1086"/>
      <c r="K1086"/>
      <c r="L1086"/>
      <c r="M1086"/>
      <c r="N1086"/>
      <c r="O1086" s="109"/>
      <c r="P1086" s="110"/>
      <c r="Q1086" s="110"/>
      <c r="R1086" s="110"/>
      <c r="S1086" s="113"/>
      <c r="T1086" s="113"/>
      <c r="V1086"/>
      <c r="W1086"/>
      <c r="Y1086"/>
      <c r="Z1086"/>
      <c r="AA1086"/>
      <c r="AB1086"/>
      <c r="AC1086"/>
      <c r="AD1086"/>
      <c r="AE1086"/>
      <c r="AF1086"/>
    </row>
    <row r="1087" spans="1:32" s="45" customFormat="1" ht="12.75" hidden="1">
      <c r="A1087"/>
      <c r="B1087"/>
      <c r="C1087"/>
      <c r="D1087"/>
      <c r="E1087"/>
      <c r="F1087"/>
      <c r="G1087"/>
      <c r="H1087"/>
      <c r="I1087"/>
      <c r="J1087"/>
      <c r="K1087"/>
      <c r="L1087"/>
      <c r="M1087"/>
      <c r="N1087"/>
      <c r="O1087" s="109"/>
      <c r="P1087" s="110"/>
      <c r="Q1087" s="110"/>
      <c r="R1087" s="110"/>
      <c r="S1087" s="113"/>
      <c r="T1087" s="113"/>
      <c r="V1087"/>
      <c r="W1087"/>
      <c r="Y1087"/>
      <c r="Z1087"/>
      <c r="AA1087"/>
      <c r="AB1087"/>
      <c r="AC1087"/>
      <c r="AD1087"/>
      <c r="AE1087"/>
      <c r="AF1087"/>
    </row>
    <row r="1088" spans="1:32" s="45" customFormat="1" ht="12.75" hidden="1">
      <c r="A1088"/>
      <c r="B1088"/>
      <c r="C1088"/>
      <c r="D1088"/>
      <c r="E1088"/>
      <c r="F1088"/>
      <c r="G1088"/>
      <c r="H1088"/>
      <c r="I1088"/>
      <c r="J1088"/>
      <c r="K1088"/>
      <c r="L1088"/>
      <c r="M1088"/>
      <c r="N1088"/>
      <c r="O1088" s="109"/>
      <c r="P1088" s="110"/>
      <c r="Q1088" s="110"/>
      <c r="R1088" s="110"/>
      <c r="S1088" s="113"/>
      <c r="T1088" s="113"/>
      <c r="V1088"/>
      <c r="W1088"/>
      <c r="Y1088"/>
      <c r="Z1088"/>
      <c r="AA1088"/>
      <c r="AB1088"/>
      <c r="AC1088"/>
      <c r="AD1088"/>
      <c r="AE1088"/>
      <c r="AF1088"/>
    </row>
    <row r="1089" spans="1:32" s="45" customFormat="1" ht="12.75" hidden="1">
      <c r="A1089"/>
      <c r="B1089"/>
      <c r="C1089"/>
      <c r="D1089"/>
      <c r="E1089"/>
      <c r="F1089"/>
      <c r="G1089"/>
      <c r="H1089"/>
      <c r="I1089"/>
      <c r="J1089"/>
      <c r="K1089"/>
      <c r="L1089"/>
      <c r="M1089"/>
      <c r="N1089"/>
      <c r="O1089" s="109"/>
      <c r="P1089" s="110"/>
      <c r="Q1089" s="110"/>
      <c r="R1089" s="110"/>
      <c r="S1089" s="113"/>
      <c r="T1089" s="113"/>
      <c r="V1089"/>
      <c r="W1089"/>
      <c r="Y1089"/>
      <c r="Z1089"/>
      <c r="AA1089"/>
      <c r="AB1089"/>
      <c r="AC1089"/>
      <c r="AD1089"/>
      <c r="AE1089"/>
      <c r="AF1089"/>
    </row>
    <row r="1090" spans="1:32" s="45" customFormat="1" ht="12.75" hidden="1">
      <c r="A1090"/>
      <c r="B1090"/>
      <c r="C1090"/>
      <c r="D1090"/>
      <c r="E1090"/>
      <c r="F1090"/>
      <c r="G1090"/>
      <c r="H1090"/>
      <c r="I1090"/>
      <c r="J1090"/>
      <c r="K1090"/>
      <c r="L1090"/>
      <c r="M1090"/>
      <c r="N1090"/>
      <c r="O1090" s="109"/>
      <c r="P1090" s="110"/>
      <c r="Q1090" s="110"/>
      <c r="R1090" s="110"/>
      <c r="S1090" s="113"/>
      <c r="T1090" s="113"/>
      <c r="V1090"/>
      <c r="W1090"/>
      <c r="Y1090"/>
      <c r="Z1090"/>
      <c r="AA1090"/>
      <c r="AB1090"/>
      <c r="AC1090"/>
      <c r="AD1090"/>
      <c r="AE1090"/>
      <c r="AF1090"/>
    </row>
    <row r="1091" spans="1:32" s="45" customFormat="1" ht="12.75" hidden="1">
      <c r="A1091"/>
      <c r="B1091"/>
      <c r="C1091"/>
      <c r="D1091"/>
      <c r="E1091"/>
      <c r="F1091"/>
      <c r="G1091"/>
      <c r="H1091"/>
      <c r="I1091"/>
      <c r="J1091"/>
      <c r="K1091"/>
      <c r="L1091"/>
      <c r="M1091"/>
      <c r="N1091"/>
      <c r="O1091" s="109"/>
      <c r="P1091" s="110"/>
      <c r="Q1091" s="110"/>
      <c r="R1091" s="110"/>
      <c r="S1091" s="113"/>
      <c r="T1091" s="113"/>
      <c r="V1091"/>
      <c r="W1091"/>
      <c r="Y1091"/>
      <c r="Z1091"/>
      <c r="AA1091"/>
      <c r="AB1091"/>
      <c r="AC1091"/>
      <c r="AD1091"/>
      <c r="AE1091"/>
      <c r="AF1091"/>
    </row>
    <row r="1092" spans="1:32" s="45" customFormat="1" ht="12.75" hidden="1">
      <c r="A1092"/>
      <c r="B1092"/>
      <c r="C1092"/>
      <c r="D1092"/>
      <c r="E1092"/>
      <c r="F1092"/>
      <c r="G1092"/>
      <c r="H1092"/>
      <c r="I1092"/>
      <c r="J1092"/>
      <c r="K1092"/>
      <c r="L1092"/>
      <c r="M1092"/>
      <c r="N1092"/>
      <c r="O1092" s="109"/>
      <c r="P1092" s="110"/>
      <c r="Q1092" s="110"/>
      <c r="R1092" s="110"/>
      <c r="S1092" s="113"/>
      <c r="T1092" s="113"/>
      <c r="V1092"/>
      <c r="W1092"/>
      <c r="Y1092"/>
      <c r="Z1092"/>
      <c r="AA1092"/>
      <c r="AB1092"/>
      <c r="AC1092"/>
      <c r="AD1092"/>
      <c r="AE1092"/>
      <c r="AF1092"/>
    </row>
    <row r="1093" spans="1:32" s="45" customFormat="1" ht="12.75" hidden="1">
      <c r="A1093"/>
      <c r="B1093"/>
      <c r="C1093"/>
      <c r="D1093"/>
      <c r="E1093"/>
      <c r="F1093"/>
      <c r="G1093"/>
      <c r="H1093"/>
      <c r="I1093"/>
      <c r="J1093"/>
      <c r="K1093"/>
      <c r="L1093"/>
      <c r="M1093"/>
      <c r="N1093"/>
      <c r="O1093" s="109"/>
      <c r="P1093" s="110"/>
      <c r="Q1093" s="110"/>
      <c r="R1093" s="110"/>
      <c r="S1093" s="113"/>
      <c r="T1093" s="113"/>
      <c r="V1093"/>
      <c r="W1093"/>
      <c r="Y1093"/>
      <c r="Z1093"/>
      <c r="AA1093"/>
      <c r="AB1093"/>
      <c r="AC1093"/>
      <c r="AD1093"/>
      <c r="AE1093"/>
      <c r="AF1093"/>
    </row>
    <row r="1094" spans="1:32" s="45" customFormat="1" ht="12.75" hidden="1">
      <c r="A1094"/>
      <c r="B1094"/>
      <c r="C1094"/>
      <c r="D1094"/>
      <c r="E1094"/>
      <c r="F1094"/>
      <c r="G1094"/>
      <c r="H1094"/>
      <c r="I1094"/>
      <c r="J1094"/>
      <c r="K1094"/>
      <c r="L1094"/>
      <c r="M1094"/>
      <c r="N1094"/>
      <c r="O1094" s="109"/>
      <c r="P1094" s="110"/>
      <c r="Q1094" s="110"/>
      <c r="R1094" s="110"/>
      <c r="S1094" s="113"/>
      <c r="T1094" s="113"/>
      <c r="V1094"/>
      <c r="W1094"/>
      <c r="Y1094"/>
      <c r="Z1094"/>
      <c r="AA1094"/>
      <c r="AB1094"/>
      <c r="AC1094"/>
      <c r="AD1094"/>
      <c r="AE1094"/>
      <c r="AF1094"/>
    </row>
    <row r="1095" spans="1:32" s="45" customFormat="1" ht="12.75" hidden="1">
      <c r="A1095"/>
      <c r="B1095"/>
      <c r="C1095"/>
      <c r="D1095"/>
      <c r="E1095"/>
      <c r="F1095"/>
      <c r="G1095"/>
      <c r="H1095"/>
      <c r="I1095"/>
      <c r="J1095"/>
      <c r="K1095"/>
      <c r="L1095"/>
      <c r="M1095"/>
      <c r="N1095"/>
      <c r="O1095" s="109"/>
      <c r="P1095" s="110"/>
      <c r="Q1095" s="110"/>
      <c r="R1095" s="110"/>
      <c r="S1095" s="113"/>
      <c r="T1095" s="113"/>
      <c r="V1095"/>
      <c r="W1095"/>
      <c r="Y1095"/>
      <c r="Z1095"/>
      <c r="AA1095"/>
      <c r="AB1095"/>
      <c r="AC1095"/>
      <c r="AD1095"/>
      <c r="AE1095"/>
      <c r="AF1095"/>
    </row>
    <row r="1096" spans="1:32" s="45" customFormat="1" ht="12.75" hidden="1">
      <c r="A1096"/>
      <c r="B1096"/>
      <c r="C1096"/>
      <c r="D1096"/>
      <c r="E1096"/>
      <c r="F1096"/>
      <c r="G1096"/>
      <c r="H1096"/>
      <c r="I1096"/>
      <c r="J1096"/>
      <c r="K1096"/>
      <c r="L1096"/>
      <c r="M1096"/>
      <c r="N1096"/>
      <c r="O1096" s="109"/>
      <c r="P1096" s="110"/>
      <c r="Q1096" s="110"/>
      <c r="R1096" s="110"/>
      <c r="S1096" s="113"/>
      <c r="T1096" s="113"/>
      <c r="V1096"/>
      <c r="W1096"/>
      <c r="Y1096"/>
      <c r="Z1096"/>
      <c r="AA1096"/>
      <c r="AB1096"/>
      <c r="AC1096"/>
      <c r="AD1096"/>
      <c r="AE1096"/>
      <c r="AF1096"/>
    </row>
    <row r="1097" spans="1:32" s="45" customFormat="1" ht="12.75" hidden="1">
      <c r="A1097"/>
      <c r="B1097"/>
      <c r="C1097"/>
      <c r="D1097"/>
      <c r="E1097"/>
      <c r="F1097"/>
      <c r="G1097"/>
      <c r="H1097"/>
      <c r="I1097"/>
      <c r="J1097"/>
      <c r="K1097"/>
      <c r="L1097"/>
      <c r="M1097"/>
      <c r="N1097"/>
      <c r="O1097" s="109"/>
      <c r="P1097" s="110"/>
      <c r="Q1097" s="110"/>
      <c r="R1097" s="110"/>
      <c r="S1097" s="113"/>
      <c r="T1097" s="113"/>
      <c r="V1097"/>
      <c r="W1097"/>
      <c r="Y1097"/>
      <c r="Z1097"/>
      <c r="AA1097"/>
      <c r="AB1097"/>
      <c r="AC1097"/>
      <c r="AD1097"/>
      <c r="AE1097"/>
      <c r="AF1097"/>
    </row>
    <row r="1098" spans="1:32" s="45" customFormat="1" ht="12.75" hidden="1">
      <c r="A1098"/>
      <c r="B1098"/>
      <c r="C1098"/>
      <c r="D1098"/>
      <c r="E1098"/>
      <c r="F1098"/>
      <c r="G1098"/>
      <c r="H1098"/>
      <c r="I1098"/>
      <c r="J1098"/>
      <c r="K1098"/>
      <c r="L1098"/>
      <c r="M1098"/>
      <c r="N1098"/>
      <c r="O1098" s="109"/>
      <c r="P1098" s="110"/>
      <c r="Q1098" s="110"/>
      <c r="R1098" s="110"/>
      <c r="S1098" s="113"/>
      <c r="T1098" s="113"/>
      <c r="V1098"/>
      <c r="W1098"/>
      <c r="Y1098"/>
      <c r="Z1098"/>
      <c r="AA1098"/>
      <c r="AB1098"/>
      <c r="AC1098"/>
      <c r="AD1098"/>
      <c r="AE1098"/>
      <c r="AF1098"/>
    </row>
    <row r="1099" spans="1:32" s="45" customFormat="1" ht="12.75" hidden="1">
      <c r="A1099"/>
      <c r="B1099"/>
      <c r="C1099"/>
      <c r="D1099"/>
      <c r="E1099"/>
      <c r="F1099"/>
      <c r="G1099"/>
      <c r="H1099"/>
      <c r="I1099"/>
      <c r="J1099"/>
      <c r="K1099"/>
      <c r="L1099"/>
      <c r="M1099"/>
      <c r="N1099"/>
      <c r="O1099" s="109"/>
      <c r="P1099" s="110"/>
      <c r="Q1099" s="110"/>
      <c r="R1099" s="110"/>
      <c r="S1099" s="113"/>
      <c r="T1099" s="113"/>
      <c r="V1099"/>
      <c r="W1099"/>
      <c r="Y1099"/>
      <c r="Z1099"/>
      <c r="AA1099"/>
      <c r="AB1099"/>
      <c r="AC1099"/>
      <c r="AD1099"/>
      <c r="AE1099"/>
      <c r="AF1099"/>
    </row>
    <row r="1100" spans="1:32" s="45" customFormat="1" ht="12.75" hidden="1">
      <c r="A1100"/>
      <c r="B1100"/>
      <c r="C1100"/>
      <c r="D1100"/>
      <c r="E1100"/>
      <c r="F1100"/>
      <c r="G1100"/>
      <c r="H1100"/>
      <c r="I1100"/>
      <c r="J1100"/>
      <c r="K1100"/>
      <c r="L1100"/>
      <c r="M1100"/>
      <c r="N1100"/>
      <c r="O1100" s="109"/>
      <c r="P1100" s="110"/>
      <c r="Q1100" s="110"/>
      <c r="R1100" s="110"/>
      <c r="S1100" s="113"/>
      <c r="T1100" s="113"/>
      <c r="V1100"/>
      <c r="W1100"/>
      <c r="Y1100"/>
      <c r="Z1100"/>
      <c r="AA1100"/>
      <c r="AB1100"/>
      <c r="AC1100"/>
      <c r="AD1100"/>
      <c r="AE1100"/>
      <c r="AF1100"/>
    </row>
    <row r="1101" spans="1:32" s="45" customFormat="1" ht="12.75" hidden="1">
      <c r="A1101"/>
      <c r="B1101"/>
      <c r="C1101"/>
      <c r="D1101"/>
      <c r="E1101"/>
      <c r="F1101"/>
      <c r="G1101"/>
      <c r="H1101"/>
      <c r="I1101"/>
      <c r="J1101"/>
      <c r="K1101"/>
      <c r="L1101"/>
      <c r="M1101"/>
      <c r="N1101"/>
      <c r="O1101" s="109"/>
      <c r="P1101" s="110"/>
      <c r="Q1101" s="110"/>
      <c r="R1101" s="110"/>
      <c r="S1101" s="113"/>
      <c r="T1101" s="113"/>
      <c r="V1101"/>
      <c r="W1101"/>
      <c r="Y1101"/>
      <c r="Z1101"/>
      <c r="AA1101"/>
      <c r="AB1101"/>
      <c r="AC1101"/>
      <c r="AD1101"/>
      <c r="AE1101"/>
      <c r="AF1101"/>
    </row>
    <row r="1102" spans="1:32" s="45" customFormat="1" ht="12.75" hidden="1">
      <c r="A1102"/>
      <c r="B1102"/>
      <c r="C1102"/>
      <c r="D1102"/>
      <c r="E1102"/>
      <c r="F1102"/>
      <c r="G1102"/>
      <c r="H1102"/>
      <c r="I1102"/>
      <c r="J1102"/>
      <c r="K1102"/>
      <c r="L1102"/>
      <c r="M1102"/>
      <c r="N1102"/>
      <c r="O1102" s="109"/>
      <c r="P1102" s="110"/>
      <c r="Q1102" s="110"/>
      <c r="R1102" s="110"/>
      <c r="S1102" s="113"/>
      <c r="T1102" s="113"/>
      <c r="V1102"/>
      <c r="W1102"/>
      <c r="Y1102"/>
      <c r="Z1102"/>
      <c r="AA1102"/>
      <c r="AB1102"/>
      <c r="AC1102"/>
      <c r="AD1102"/>
      <c r="AE1102"/>
      <c r="AF1102"/>
    </row>
    <row r="1103" spans="1:32" s="45" customFormat="1" ht="12.75" hidden="1">
      <c r="A1103"/>
      <c r="B1103"/>
      <c r="C1103"/>
      <c r="D1103"/>
      <c r="E1103"/>
      <c r="F1103"/>
      <c r="G1103"/>
      <c r="H1103"/>
      <c r="I1103"/>
      <c r="J1103"/>
      <c r="K1103"/>
      <c r="L1103"/>
      <c r="M1103"/>
      <c r="N1103"/>
      <c r="O1103" s="109"/>
      <c r="P1103" s="110"/>
      <c r="Q1103" s="110"/>
      <c r="R1103" s="110"/>
      <c r="S1103" s="113"/>
      <c r="T1103" s="113"/>
      <c r="V1103"/>
      <c r="W1103"/>
      <c r="Y1103"/>
      <c r="Z1103"/>
      <c r="AA1103"/>
      <c r="AB1103"/>
      <c r="AC1103"/>
      <c r="AD1103"/>
      <c r="AE1103"/>
      <c r="AF1103"/>
    </row>
    <row r="1104" spans="1:32" s="45" customFormat="1" ht="12.75" hidden="1">
      <c r="A1104"/>
      <c r="B1104"/>
      <c r="C1104"/>
      <c r="D1104"/>
      <c r="E1104"/>
      <c r="F1104"/>
      <c r="G1104"/>
      <c r="H1104"/>
      <c r="I1104"/>
      <c r="J1104"/>
      <c r="K1104"/>
      <c r="L1104"/>
      <c r="M1104"/>
      <c r="N1104"/>
      <c r="O1104" s="109"/>
      <c r="P1104" s="110"/>
      <c r="Q1104" s="110"/>
      <c r="R1104" s="110"/>
      <c r="S1104" s="113"/>
      <c r="T1104" s="113"/>
      <c r="V1104"/>
      <c r="W1104"/>
      <c r="Y1104"/>
      <c r="Z1104"/>
      <c r="AA1104"/>
      <c r="AB1104"/>
      <c r="AC1104"/>
      <c r="AD1104"/>
      <c r="AE1104"/>
      <c r="AF1104"/>
    </row>
    <row r="1105" spans="1:32" s="45" customFormat="1" ht="12.75" hidden="1">
      <c r="A1105"/>
      <c r="B1105"/>
      <c r="C1105"/>
      <c r="D1105"/>
      <c r="E1105"/>
      <c r="F1105"/>
      <c r="G1105"/>
      <c r="H1105"/>
      <c r="I1105"/>
      <c r="J1105"/>
      <c r="K1105"/>
      <c r="L1105"/>
      <c r="M1105"/>
      <c r="N1105"/>
      <c r="O1105" s="109"/>
      <c r="P1105" s="110"/>
      <c r="Q1105" s="110"/>
      <c r="R1105" s="110"/>
      <c r="S1105" s="113"/>
      <c r="T1105" s="113"/>
      <c r="V1105"/>
      <c r="W1105"/>
      <c r="Y1105"/>
      <c r="Z1105"/>
      <c r="AA1105"/>
      <c r="AB1105"/>
      <c r="AC1105"/>
      <c r="AD1105"/>
      <c r="AE1105"/>
      <c r="AF1105"/>
    </row>
    <row r="1106" spans="1:32" s="45" customFormat="1" ht="12.75" hidden="1">
      <c r="A1106"/>
      <c r="B1106"/>
      <c r="C1106"/>
      <c r="D1106"/>
      <c r="E1106"/>
      <c r="F1106"/>
      <c r="G1106"/>
      <c r="H1106"/>
      <c r="I1106"/>
      <c r="J1106"/>
      <c r="K1106"/>
      <c r="L1106"/>
      <c r="M1106"/>
      <c r="N1106"/>
      <c r="O1106" s="109"/>
      <c r="P1106" s="110"/>
      <c r="Q1106" s="110"/>
      <c r="R1106" s="110"/>
      <c r="S1106" s="113"/>
      <c r="T1106" s="113"/>
      <c r="V1106"/>
      <c r="W1106"/>
      <c r="Y1106"/>
      <c r="Z1106"/>
      <c r="AA1106"/>
      <c r="AB1106"/>
      <c r="AC1106"/>
      <c r="AD1106"/>
      <c r="AE1106"/>
      <c r="AF1106"/>
    </row>
    <row r="1107" spans="1:32" s="45" customFormat="1" ht="12.75" hidden="1">
      <c r="A1107"/>
      <c r="B1107"/>
      <c r="C1107"/>
      <c r="D1107"/>
      <c r="E1107"/>
      <c r="F1107"/>
      <c r="G1107"/>
      <c r="H1107"/>
      <c r="I1107"/>
      <c r="J1107"/>
      <c r="K1107"/>
      <c r="L1107"/>
      <c r="M1107"/>
      <c r="N1107"/>
      <c r="O1107" s="109"/>
      <c r="P1107" s="110"/>
      <c r="Q1107" s="110"/>
      <c r="R1107" s="110"/>
      <c r="S1107" s="113"/>
      <c r="T1107" s="113"/>
      <c r="V1107"/>
      <c r="W1107"/>
      <c r="Y1107"/>
      <c r="Z1107"/>
      <c r="AA1107"/>
      <c r="AB1107"/>
      <c r="AC1107"/>
      <c r="AD1107"/>
      <c r="AE1107"/>
      <c r="AF1107"/>
    </row>
    <row r="1108" spans="1:32" s="45" customFormat="1" ht="12.75" hidden="1">
      <c r="A1108"/>
      <c r="B1108"/>
      <c r="C1108"/>
      <c r="D1108"/>
      <c r="E1108"/>
      <c r="F1108"/>
      <c r="G1108"/>
      <c r="H1108"/>
      <c r="I1108"/>
      <c r="J1108"/>
      <c r="K1108"/>
      <c r="L1108"/>
      <c r="M1108"/>
      <c r="N1108"/>
      <c r="O1108" s="109"/>
      <c r="P1108" s="110"/>
      <c r="Q1108" s="110"/>
      <c r="R1108" s="110"/>
      <c r="S1108" s="113"/>
      <c r="T1108" s="113"/>
      <c r="V1108"/>
      <c r="W1108"/>
      <c r="Y1108"/>
      <c r="Z1108"/>
      <c r="AA1108"/>
      <c r="AB1108"/>
      <c r="AC1108"/>
      <c r="AD1108"/>
      <c r="AE1108"/>
      <c r="AF1108"/>
    </row>
    <row r="1109" spans="1:32" s="45" customFormat="1" ht="12.75" hidden="1">
      <c r="A1109"/>
      <c r="B1109"/>
      <c r="C1109"/>
      <c r="D1109"/>
      <c r="E1109"/>
      <c r="F1109"/>
      <c r="G1109"/>
      <c r="H1109"/>
      <c r="I1109"/>
      <c r="J1109"/>
      <c r="K1109"/>
      <c r="L1109"/>
      <c r="M1109"/>
      <c r="N1109"/>
      <c r="O1109" s="109"/>
      <c r="P1109" s="110"/>
      <c r="Q1109" s="110"/>
      <c r="R1109" s="110"/>
      <c r="S1109" s="113"/>
      <c r="T1109" s="113"/>
      <c r="V1109"/>
      <c r="W1109"/>
      <c r="Y1109"/>
      <c r="Z1109"/>
      <c r="AA1109"/>
      <c r="AB1109"/>
      <c r="AC1109"/>
      <c r="AD1109"/>
      <c r="AE1109"/>
      <c r="AF1109"/>
    </row>
    <row r="1110" spans="1:32" s="45" customFormat="1" ht="12.75" hidden="1">
      <c r="A1110"/>
      <c r="B1110"/>
      <c r="C1110"/>
      <c r="D1110"/>
      <c r="E1110"/>
      <c r="F1110"/>
      <c r="G1110"/>
      <c r="H1110"/>
      <c r="I1110"/>
      <c r="J1110"/>
      <c r="K1110"/>
      <c r="L1110"/>
      <c r="M1110"/>
      <c r="N1110"/>
      <c r="O1110" s="109"/>
      <c r="P1110" s="110"/>
      <c r="Q1110" s="110"/>
      <c r="R1110" s="110"/>
      <c r="S1110" s="113"/>
      <c r="T1110" s="113"/>
      <c r="V1110"/>
      <c r="W1110"/>
      <c r="Y1110"/>
      <c r="Z1110"/>
      <c r="AA1110"/>
      <c r="AB1110"/>
      <c r="AC1110"/>
      <c r="AD1110"/>
      <c r="AE1110"/>
      <c r="AF1110"/>
    </row>
    <row r="1111" spans="1:32" s="45" customFormat="1" ht="12.75" hidden="1">
      <c r="A1111"/>
      <c r="B1111"/>
      <c r="C1111"/>
      <c r="D1111"/>
      <c r="E1111"/>
      <c r="F1111"/>
      <c r="G1111"/>
      <c r="H1111"/>
      <c r="I1111"/>
      <c r="J1111"/>
      <c r="K1111"/>
      <c r="L1111"/>
      <c r="M1111"/>
      <c r="N1111"/>
      <c r="O1111" s="109"/>
      <c r="P1111" s="110"/>
      <c r="Q1111" s="110"/>
      <c r="R1111" s="110"/>
      <c r="S1111" s="113"/>
      <c r="T1111" s="113"/>
      <c r="V1111"/>
      <c r="W1111"/>
      <c r="Y1111"/>
      <c r="Z1111"/>
      <c r="AA1111"/>
      <c r="AB1111"/>
      <c r="AC1111"/>
      <c r="AD1111"/>
      <c r="AE1111"/>
      <c r="AF1111"/>
    </row>
    <row r="1112" spans="1:32" s="45" customFormat="1" ht="12.75" hidden="1">
      <c r="A1112"/>
      <c r="B1112"/>
      <c r="C1112"/>
      <c r="D1112"/>
      <c r="E1112"/>
      <c r="F1112"/>
      <c r="G1112"/>
      <c r="H1112"/>
      <c r="I1112"/>
      <c r="J1112"/>
      <c r="K1112"/>
      <c r="L1112"/>
      <c r="M1112"/>
      <c r="N1112"/>
      <c r="O1112" s="109"/>
      <c r="P1112" s="110"/>
      <c r="Q1112" s="110"/>
      <c r="R1112" s="110"/>
      <c r="S1112" s="113"/>
      <c r="T1112" s="113"/>
      <c r="V1112"/>
      <c r="W1112"/>
      <c r="Y1112"/>
      <c r="Z1112"/>
      <c r="AA1112"/>
      <c r="AB1112"/>
      <c r="AC1112"/>
      <c r="AD1112"/>
      <c r="AE1112"/>
      <c r="AF1112"/>
    </row>
    <row r="1113" spans="1:32" s="45" customFormat="1" ht="12.75" hidden="1">
      <c r="A1113"/>
      <c r="B1113"/>
      <c r="C1113"/>
      <c r="D1113"/>
      <c r="E1113"/>
      <c r="F1113"/>
      <c r="G1113"/>
      <c r="H1113"/>
      <c r="I1113"/>
      <c r="J1113"/>
      <c r="K1113"/>
      <c r="L1113"/>
      <c r="M1113"/>
      <c r="N1113"/>
      <c r="O1113" s="109"/>
      <c r="P1113" s="110"/>
      <c r="Q1113" s="110"/>
      <c r="R1113" s="110"/>
      <c r="S1113" s="113"/>
      <c r="T1113" s="113"/>
      <c r="V1113"/>
      <c r="W1113"/>
      <c r="Y1113"/>
      <c r="Z1113"/>
      <c r="AA1113"/>
      <c r="AB1113"/>
      <c r="AC1113"/>
      <c r="AD1113"/>
      <c r="AE1113"/>
      <c r="AF1113"/>
    </row>
    <row r="1114" spans="1:32" s="45" customFormat="1" ht="12.75" hidden="1">
      <c r="A1114"/>
      <c r="B1114"/>
      <c r="C1114"/>
      <c r="D1114"/>
      <c r="E1114"/>
      <c r="F1114"/>
      <c r="G1114"/>
      <c r="H1114"/>
      <c r="I1114"/>
      <c r="J1114"/>
      <c r="K1114"/>
      <c r="L1114"/>
      <c r="M1114"/>
      <c r="N1114"/>
      <c r="O1114" s="109"/>
      <c r="P1114" s="110"/>
      <c r="Q1114" s="110"/>
      <c r="R1114" s="110"/>
      <c r="S1114" s="113"/>
      <c r="T1114" s="113"/>
      <c r="V1114"/>
      <c r="W1114"/>
      <c r="Y1114"/>
      <c r="Z1114"/>
      <c r="AA1114"/>
      <c r="AB1114"/>
      <c r="AC1114"/>
      <c r="AD1114"/>
      <c r="AE1114"/>
      <c r="AF1114"/>
    </row>
    <row r="1115" spans="1:32" s="45" customFormat="1" ht="12.75" hidden="1">
      <c r="A1115"/>
      <c r="B1115"/>
      <c r="C1115"/>
      <c r="D1115"/>
      <c r="E1115"/>
      <c r="F1115"/>
      <c r="G1115"/>
      <c r="H1115"/>
      <c r="I1115"/>
      <c r="J1115"/>
      <c r="K1115"/>
      <c r="L1115"/>
      <c r="M1115"/>
      <c r="N1115"/>
      <c r="O1115" s="109"/>
      <c r="P1115" s="110"/>
      <c r="Q1115" s="110"/>
      <c r="R1115" s="110"/>
      <c r="S1115" s="113"/>
      <c r="T1115" s="113"/>
      <c r="V1115"/>
      <c r="W1115"/>
      <c r="Y1115"/>
      <c r="Z1115"/>
      <c r="AA1115"/>
      <c r="AB1115"/>
      <c r="AC1115"/>
      <c r="AD1115"/>
      <c r="AE1115"/>
      <c r="AF1115"/>
    </row>
    <row r="1116" spans="1:32" s="45" customFormat="1" ht="12.75" hidden="1">
      <c r="A1116"/>
      <c r="B1116"/>
      <c r="C1116"/>
      <c r="D1116"/>
      <c r="E1116"/>
      <c r="F1116"/>
      <c r="G1116"/>
      <c r="H1116"/>
      <c r="I1116"/>
      <c r="J1116"/>
      <c r="K1116"/>
      <c r="L1116"/>
      <c r="M1116"/>
      <c r="N1116"/>
      <c r="O1116" s="109"/>
      <c r="P1116" s="110"/>
      <c r="Q1116" s="110"/>
      <c r="R1116" s="110"/>
      <c r="S1116" s="113"/>
      <c r="T1116" s="113"/>
      <c r="V1116"/>
      <c r="W1116"/>
      <c r="Y1116"/>
      <c r="Z1116"/>
      <c r="AA1116"/>
      <c r="AB1116"/>
      <c r="AC1116"/>
      <c r="AD1116"/>
      <c r="AE1116"/>
      <c r="AF1116"/>
    </row>
    <row r="1117" spans="1:32" s="45" customFormat="1" ht="12.75" hidden="1">
      <c r="A1117"/>
      <c r="B1117"/>
      <c r="C1117"/>
      <c r="D1117"/>
      <c r="E1117"/>
      <c r="F1117"/>
      <c r="G1117"/>
      <c r="H1117"/>
      <c r="I1117"/>
      <c r="J1117"/>
      <c r="K1117"/>
      <c r="L1117"/>
      <c r="M1117"/>
      <c r="N1117"/>
      <c r="O1117" s="109"/>
      <c r="P1117" s="110"/>
      <c r="Q1117" s="110"/>
      <c r="R1117" s="110"/>
      <c r="S1117" s="113"/>
      <c r="T1117" s="113"/>
      <c r="V1117"/>
      <c r="W1117"/>
      <c r="Y1117"/>
      <c r="Z1117"/>
      <c r="AA1117"/>
      <c r="AB1117"/>
      <c r="AC1117"/>
      <c r="AD1117"/>
      <c r="AE1117"/>
      <c r="AF1117"/>
    </row>
    <row r="1118" spans="1:32" s="45" customFormat="1" ht="12.75" hidden="1">
      <c r="A1118"/>
      <c r="B1118"/>
      <c r="C1118"/>
      <c r="D1118"/>
      <c r="E1118"/>
      <c r="F1118"/>
      <c r="G1118"/>
      <c r="H1118"/>
      <c r="I1118"/>
      <c r="J1118"/>
      <c r="K1118"/>
      <c r="L1118"/>
      <c r="M1118"/>
      <c r="N1118"/>
      <c r="O1118" s="109"/>
      <c r="P1118" s="110"/>
      <c r="Q1118" s="110"/>
      <c r="R1118" s="110"/>
      <c r="S1118" s="113"/>
      <c r="T1118" s="113"/>
      <c r="V1118"/>
      <c r="W1118"/>
      <c r="Y1118"/>
      <c r="Z1118"/>
      <c r="AA1118"/>
      <c r="AB1118"/>
      <c r="AC1118"/>
      <c r="AD1118"/>
      <c r="AE1118"/>
      <c r="AF1118"/>
    </row>
    <row r="1119" spans="1:32" s="45" customFormat="1" ht="12.75" hidden="1">
      <c r="A1119"/>
      <c r="B1119"/>
      <c r="C1119"/>
      <c r="D1119"/>
      <c r="E1119"/>
      <c r="F1119"/>
      <c r="G1119"/>
      <c r="H1119"/>
      <c r="I1119"/>
      <c r="J1119"/>
      <c r="K1119"/>
      <c r="L1119"/>
      <c r="M1119"/>
      <c r="N1119"/>
      <c r="O1119" s="109"/>
      <c r="P1119" s="110"/>
      <c r="Q1119" s="110"/>
      <c r="R1119" s="110"/>
      <c r="S1119" s="113"/>
      <c r="T1119" s="113"/>
      <c r="V1119"/>
      <c r="W1119"/>
      <c r="Y1119"/>
      <c r="Z1119"/>
      <c r="AA1119"/>
      <c r="AB1119"/>
      <c r="AC1119"/>
      <c r="AD1119"/>
      <c r="AE1119"/>
      <c r="AF1119"/>
    </row>
    <row r="1120" spans="1:32" s="45" customFormat="1" ht="12.75" hidden="1">
      <c r="A1120"/>
      <c r="B1120"/>
      <c r="C1120"/>
      <c r="D1120"/>
      <c r="E1120"/>
      <c r="F1120"/>
      <c r="G1120"/>
      <c r="H1120"/>
      <c r="I1120"/>
      <c r="J1120"/>
      <c r="K1120"/>
      <c r="L1120"/>
      <c r="M1120"/>
      <c r="N1120"/>
      <c r="O1120" s="109"/>
      <c r="P1120" s="110"/>
      <c r="Q1120" s="110"/>
      <c r="R1120" s="110"/>
      <c r="S1120" s="113"/>
      <c r="T1120" s="113"/>
      <c r="V1120"/>
      <c r="W1120"/>
      <c r="Y1120"/>
      <c r="Z1120"/>
      <c r="AA1120"/>
      <c r="AB1120"/>
      <c r="AC1120"/>
      <c r="AD1120"/>
      <c r="AE1120"/>
      <c r="AF1120"/>
    </row>
    <row r="1121" spans="1:32" s="45" customFormat="1" ht="12.75" hidden="1">
      <c r="A1121"/>
      <c r="B1121"/>
      <c r="C1121"/>
      <c r="D1121"/>
      <c r="E1121"/>
      <c r="F1121"/>
      <c r="G1121"/>
      <c r="H1121"/>
      <c r="I1121"/>
      <c r="J1121"/>
      <c r="K1121"/>
      <c r="L1121"/>
      <c r="M1121"/>
      <c r="N1121"/>
      <c r="O1121" s="109"/>
      <c r="P1121" s="110"/>
      <c r="Q1121" s="110"/>
      <c r="R1121" s="110"/>
      <c r="S1121" s="113"/>
      <c r="T1121" s="113"/>
      <c r="V1121"/>
      <c r="W1121"/>
      <c r="Y1121"/>
      <c r="Z1121"/>
      <c r="AA1121"/>
      <c r="AB1121"/>
      <c r="AC1121"/>
      <c r="AD1121"/>
      <c r="AE1121"/>
      <c r="AF1121"/>
    </row>
    <row r="1122" spans="1:32" s="45" customFormat="1" ht="12.75" hidden="1">
      <c r="A1122"/>
      <c r="B1122"/>
      <c r="C1122"/>
      <c r="D1122"/>
      <c r="E1122"/>
      <c r="F1122"/>
      <c r="G1122"/>
      <c r="H1122"/>
      <c r="I1122"/>
      <c r="J1122"/>
      <c r="K1122"/>
      <c r="L1122"/>
      <c r="M1122"/>
      <c r="N1122"/>
      <c r="O1122" s="109"/>
      <c r="P1122" s="110"/>
      <c r="Q1122" s="110"/>
      <c r="R1122" s="110"/>
      <c r="S1122" s="113"/>
      <c r="T1122" s="113"/>
      <c r="V1122"/>
      <c r="W1122"/>
      <c r="Y1122"/>
      <c r="Z1122"/>
      <c r="AA1122"/>
      <c r="AB1122"/>
      <c r="AC1122"/>
      <c r="AD1122"/>
      <c r="AE1122"/>
      <c r="AF1122"/>
    </row>
    <row r="1123" spans="1:32" s="45" customFormat="1" ht="12.75" hidden="1">
      <c r="A1123"/>
      <c r="B1123"/>
      <c r="C1123"/>
      <c r="D1123"/>
      <c r="E1123"/>
      <c r="F1123"/>
      <c r="G1123"/>
      <c r="H1123"/>
      <c r="I1123"/>
      <c r="J1123"/>
      <c r="K1123"/>
      <c r="L1123"/>
      <c r="M1123"/>
      <c r="N1123"/>
      <c r="O1123" s="109"/>
      <c r="P1123" s="110"/>
      <c r="Q1123" s="110"/>
      <c r="R1123" s="110"/>
      <c r="S1123" s="113"/>
      <c r="T1123" s="113"/>
      <c r="V1123"/>
      <c r="W1123"/>
      <c r="Y1123"/>
      <c r="Z1123"/>
      <c r="AA1123"/>
      <c r="AB1123"/>
      <c r="AC1123"/>
      <c r="AD1123"/>
      <c r="AE1123"/>
      <c r="AF1123"/>
    </row>
    <row r="1124" spans="1:32" s="45" customFormat="1" ht="12.75" hidden="1">
      <c r="A1124"/>
      <c r="B1124"/>
      <c r="C1124"/>
      <c r="D1124"/>
      <c r="E1124"/>
      <c r="F1124"/>
      <c r="G1124"/>
      <c r="H1124"/>
      <c r="I1124"/>
      <c r="J1124"/>
      <c r="K1124"/>
      <c r="L1124"/>
      <c r="M1124"/>
      <c r="N1124"/>
      <c r="O1124" s="109"/>
      <c r="P1124" s="110"/>
      <c r="Q1124" s="110"/>
      <c r="R1124" s="110"/>
      <c r="S1124" s="113"/>
      <c r="T1124" s="113"/>
      <c r="V1124"/>
      <c r="W1124"/>
      <c r="Y1124"/>
      <c r="Z1124"/>
      <c r="AA1124"/>
      <c r="AB1124"/>
      <c r="AC1124"/>
      <c r="AD1124"/>
      <c r="AE1124"/>
      <c r="AF1124"/>
    </row>
    <row r="1125" spans="1:32" s="45" customFormat="1" ht="12.75" hidden="1">
      <c r="A1125"/>
      <c r="B1125"/>
      <c r="C1125"/>
      <c r="D1125"/>
      <c r="E1125"/>
      <c r="F1125"/>
      <c r="G1125"/>
      <c r="H1125"/>
      <c r="I1125"/>
      <c r="J1125"/>
      <c r="K1125"/>
      <c r="L1125"/>
      <c r="M1125"/>
      <c r="N1125"/>
      <c r="O1125" s="109"/>
      <c r="P1125" s="110"/>
      <c r="Q1125" s="110"/>
      <c r="R1125" s="110"/>
      <c r="S1125" s="113"/>
      <c r="T1125" s="113"/>
      <c r="V1125"/>
      <c r="W1125"/>
      <c r="Y1125"/>
      <c r="Z1125"/>
      <c r="AA1125"/>
      <c r="AB1125"/>
      <c r="AC1125"/>
      <c r="AD1125"/>
      <c r="AE1125"/>
      <c r="AF1125"/>
    </row>
    <row r="1126" spans="1:32" s="45" customFormat="1" ht="12.75" hidden="1">
      <c r="A1126"/>
      <c r="B1126"/>
      <c r="C1126"/>
      <c r="D1126"/>
      <c r="E1126"/>
      <c r="F1126"/>
      <c r="G1126"/>
      <c r="H1126"/>
      <c r="I1126"/>
      <c r="J1126"/>
      <c r="K1126"/>
      <c r="L1126"/>
      <c r="M1126"/>
      <c r="N1126"/>
      <c r="O1126" s="109"/>
      <c r="P1126" s="110"/>
      <c r="Q1126" s="110"/>
      <c r="R1126" s="110"/>
      <c r="S1126" s="113"/>
      <c r="T1126" s="113"/>
      <c r="V1126"/>
      <c r="W1126"/>
      <c r="Y1126"/>
      <c r="Z1126"/>
      <c r="AA1126"/>
      <c r="AB1126"/>
      <c r="AC1126"/>
      <c r="AD1126"/>
      <c r="AE1126"/>
      <c r="AF1126"/>
    </row>
    <row r="1127" spans="1:32" s="45" customFormat="1" ht="12.75" hidden="1">
      <c r="A1127"/>
      <c r="B1127"/>
      <c r="C1127"/>
      <c r="D1127"/>
      <c r="E1127"/>
      <c r="F1127"/>
      <c r="G1127"/>
      <c r="H1127"/>
      <c r="I1127"/>
      <c r="J1127"/>
      <c r="K1127"/>
      <c r="L1127"/>
      <c r="M1127"/>
      <c r="N1127"/>
      <c r="O1127" s="109"/>
      <c r="P1127" s="110"/>
      <c r="Q1127" s="110"/>
      <c r="R1127" s="110"/>
      <c r="S1127" s="113"/>
      <c r="T1127" s="113"/>
      <c r="V1127"/>
      <c r="W1127"/>
      <c r="Y1127"/>
      <c r="Z1127"/>
      <c r="AA1127"/>
      <c r="AB1127"/>
      <c r="AC1127"/>
      <c r="AD1127"/>
      <c r="AE1127"/>
      <c r="AF1127"/>
    </row>
    <row r="1128" spans="1:32" s="45" customFormat="1" ht="12.75" hidden="1">
      <c r="A1128"/>
      <c r="B1128"/>
      <c r="C1128"/>
      <c r="D1128"/>
      <c r="E1128"/>
      <c r="F1128"/>
      <c r="G1128"/>
      <c r="H1128"/>
      <c r="I1128"/>
      <c r="J1128"/>
      <c r="K1128"/>
      <c r="L1128"/>
      <c r="M1128"/>
      <c r="N1128"/>
      <c r="O1128" s="109"/>
      <c r="P1128" s="110"/>
      <c r="Q1128" s="110"/>
      <c r="R1128" s="110"/>
      <c r="S1128" s="113"/>
      <c r="T1128" s="113"/>
      <c r="V1128"/>
      <c r="W1128"/>
      <c r="Y1128"/>
      <c r="Z1128"/>
      <c r="AA1128"/>
      <c r="AB1128"/>
      <c r="AC1128"/>
      <c r="AD1128"/>
      <c r="AE1128"/>
      <c r="AF1128"/>
    </row>
    <row r="1129" spans="1:32" s="45" customFormat="1" ht="12.75" hidden="1">
      <c r="A1129"/>
      <c r="B1129"/>
      <c r="C1129"/>
      <c r="D1129"/>
      <c r="E1129"/>
      <c r="F1129"/>
      <c r="G1129"/>
      <c r="H1129"/>
      <c r="I1129"/>
      <c r="J1129"/>
      <c r="K1129"/>
      <c r="L1129"/>
      <c r="M1129"/>
      <c r="N1129"/>
      <c r="O1129" s="109"/>
      <c r="P1129" s="110"/>
      <c r="Q1129" s="110"/>
      <c r="R1129" s="110"/>
      <c r="S1129" s="113"/>
      <c r="T1129" s="113"/>
      <c r="V1129"/>
      <c r="W1129"/>
      <c r="Y1129"/>
      <c r="Z1129"/>
      <c r="AA1129"/>
      <c r="AB1129"/>
      <c r="AC1129"/>
      <c r="AD1129"/>
      <c r="AE1129"/>
      <c r="AF1129"/>
    </row>
    <row r="1130" spans="1:32" s="45" customFormat="1" ht="12.75" hidden="1">
      <c r="A1130"/>
      <c r="B1130"/>
      <c r="C1130"/>
      <c r="D1130"/>
      <c r="E1130"/>
      <c r="F1130"/>
      <c r="G1130"/>
      <c r="H1130"/>
      <c r="I1130"/>
      <c r="J1130"/>
      <c r="K1130"/>
      <c r="L1130"/>
      <c r="M1130"/>
      <c r="N1130"/>
      <c r="O1130" s="109"/>
      <c r="P1130" s="110"/>
      <c r="Q1130" s="110"/>
      <c r="R1130" s="110"/>
      <c r="S1130" s="113"/>
      <c r="T1130" s="113"/>
      <c r="V1130"/>
      <c r="W1130"/>
      <c r="Y1130"/>
      <c r="Z1130"/>
      <c r="AA1130"/>
      <c r="AB1130"/>
      <c r="AC1130"/>
      <c r="AD1130"/>
      <c r="AE1130"/>
      <c r="AF1130"/>
    </row>
    <row r="1131" spans="1:32" s="45" customFormat="1" ht="12.75" hidden="1">
      <c r="A1131"/>
      <c r="B1131"/>
      <c r="C1131"/>
      <c r="D1131"/>
      <c r="E1131"/>
      <c r="F1131"/>
      <c r="G1131"/>
      <c r="H1131"/>
      <c r="I1131"/>
      <c r="J1131"/>
      <c r="K1131"/>
      <c r="L1131"/>
      <c r="M1131"/>
      <c r="N1131"/>
      <c r="O1131" s="109"/>
      <c r="P1131" s="110"/>
      <c r="Q1131" s="110"/>
      <c r="R1131" s="110"/>
      <c r="S1131" s="113"/>
      <c r="T1131" s="113"/>
      <c r="V1131"/>
      <c r="W1131"/>
      <c r="Y1131"/>
      <c r="Z1131"/>
      <c r="AA1131"/>
      <c r="AB1131"/>
      <c r="AC1131"/>
      <c r="AD1131"/>
      <c r="AE1131"/>
      <c r="AF1131"/>
    </row>
    <row r="1132" spans="1:32" s="45" customFormat="1" ht="12.75" hidden="1">
      <c r="A1132"/>
      <c r="B1132"/>
      <c r="C1132"/>
      <c r="D1132"/>
      <c r="E1132"/>
      <c r="F1132"/>
      <c r="G1132"/>
      <c r="H1132"/>
      <c r="I1132"/>
      <c r="J1132"/>
      <c r="K1132"/>
      <c r="L1132"/>
      <c r="M1132"/>
      <c r="N1132"/>
      <c r="O1132" s="109"/>
      <c r="P1132" s="110"/>
      <c r="Q1132" s="110"/>
      <c r="R1132" s="110"/>
      <c r="S1132" s="113"/>
      <c r="T1132" s="113"/>
      <c r="V1132"/>
      <c r="W1132"/>
      <c r="Y1132"/>
      <c r="Z1132"/>
      <c r="AA1132"/>
      <c r="AB1132"/>
      <c r="AC1132"/>
      <c r="AD1132"/>
      <c r="AE1132"/>
      <c r="AF1132"/>
    </row>
    <row r="1133" spans="1:32" s="45" customFormat="1" ht="12.75" hidden="1">
      <c r="A1133"/>
      <c r="B1133"/>
      <c r="C1133"/>
      <c r="D1133"/>
      <c r="E1133"/>
      <c r="F1133"/>
      <c r="G1133"/>
      <c r="H1133"/>
      <c r="I1133"/>
      <c r="J1133"/>
      <c r="K1133"/>
      <c r="L1133"/>
      <c r="M1133"/>
      <c r="N1133"/>
      <c r="O1133" s="109"/>
      <c r="P1133" s="110"/>
      <c r="Q1133" s="110"/>
      <c r="R1133" s="110"/>
      <c r="S1133" s="113"/>
      <c r="T1133" s="113"/>
      <c r="V1133"/>
      <c r="W1133"/>
      <c r="Y1133"/>
      <c r="Z1133"/>
      <c r="AA1133"/>
      <c r="AB1133"/>
      <c r="AC1133"/>
      <c r="AD1133"/>
      <c r="AE1133"/>
      <c r="AF1133"/>
    </row>
    <row r="1134" spans="1:32" s="45" customFormat="1" ht="12.75" hidden="1">
      <c r="A1134"/>
      <c r="B1134"/>
      <c r="C1134"/>
      <c r="D1134"/>
      <c r="E1134"/>
      <c r="F1134"/>
      <c r="G1134"/>
      <c r="H1134"/>
      <c r="I1134"/>
      <c r="J1134"/>
      <c r="K1134"/>
      <c r="L1134"/>
      <c r="M1134"/>
      <c r="N1134"/>
      <c r="O1134" s="109"/>
      <c r="P1134" s="110"/>
      <c r="Q1134" s="110"/>
      <c r="R1134" s="110"/>
      <c r="S1134" s="113"/>
      <c r="T1134" s="113"/>
      <c r="V1134"/>
      <c r="W1134"/>
      <c r="Y1134"/>
      <c r="Z1134"/>
      <c r="AA1134"/>
      <c r="AB1134"/>
      <c r="AC1134"/>
      <c r="AD1134"/>
      <c r="AE1134"/>
      <c r="AF1134"/>
    </row>
    <row r="1135" spans="1:32" s="45" customFormat="1" ht="12.75" hidden="1">
      <c r="A1135"/>
      <c r="B1135"/>
      <c r="C1135"/>
      <c r="D1135"/>
      <c r="E1135"/>
      <c r="F1135"/>
      <c r="G1135"/>
      <c r="H1135"/>
      <c r="I1135"/>
      <c r="J1135"/>
      <c r="K1135"/>
      <c r="L1135"/>
      <c r="M1135"/>
      <c r="N1135"/>
      <c r="O1135" s="109"/>
      <c r="P1135" s="110"/>
      <c r="Q1135" s="110"/>
      <c r="R1135" s="110"/>
      <c r="S1135" s="113"/>
      <c r="T1135" s="113"/>
      <c r="V1135"/>
      <c r="W1135"/>
      <c r="Y1135"/>
      <c r="Z1135"/>
      <c r="AA1135"/>
      <c r="AB1135"/>
      <c r="AC1135"/>
      <c r="AD1135"/>
      <c r="AE1135"/>
      <c r="AF1135"/>
    </row>
    <row r="1136" spans="1:32" s="45" customFormat="1" ht="12.75" hidden="1">
      <c r="A1136"/>
      <c r="B1136"/>
      <c r="C1136"/>
      <c r="D1136"/>
      <c r="E1136"/>
      <c r="F1136"/>
      <c r="G1136"/>
      <c r="H1136"/>
      <c r="I1136"/>
      <c r="J1136"/>
      <c r="K1136"/>
      <c r="L1136"/>
      <c r="M1136"/>
      <c r="N1136"/>
      <c r="O1136" s="109"/>
      <c r="P1136" s="110"/>
      <c r="Q1136" s="110"/>
      <c r="R1136" s="110"/>
      <c r="S1136" s="113"/>
      <c r="T1136" s="113"/>
      <c r="V1136"/>
      <c r="W1136"/>
      <c r="Y1136"/>
      <c r="Z1136"/>
      <c r="AA1136"/>
      <c r="AB1136"/>
      <c r="AC1136"/>
      <c r="AD1136"/>
      <c r="AE1136"/>
      <c r="AF1136"/>
    </row>
    <row r="1137" spans="1:32" s="45" customFormat="1" ht="12.75" hidden="1">
      <c r="A1137"/>
      <c r="B1137"/>
      <c r="C1137"/>
      <c r="D1137"/>
      <c r="E1137"/>
      <c r="F1137"/>
      <c r="G1137"/>
      <c r="H1137"/>
      <c r="I1137"/>
      <c r="J1137"/>
      <c r="K1137"/>
      <c r="L1137"/>
      <c r="M1137"/>
      <c r="N1137"/>
      <c r="O1137" s="109"/>
      <c r="P1137" s="110"/>
      <c r="Q1137" s="110"/>
      <c r="R1137" s="110"/>
      <c r="S1137" s="113"/>
      <c r="T1137" s="113"/>
      <c r="V1137"/>
      <c r="W1137"/>
      <c r="Y1137"/>
      <c r="Z1137"/>
      <c r="AA1137"/>
      <c r="AB1137"/>
      <c r="AC1137"/>
      <c r="AD1137"/>
      <c r="AE1137"/>
      <c r="AF1137"/>
    </row>
    <row r="1138" spans="1:32" s="45" customFormat="1" ht="12.75" hidden="1">
      <c r="A1138"/>
      <c r="B1138"/>
      <c r="C1138"/>
      <c r="D1138"/>
      <c r="E1138"/>
      <c r="F1138"/>
      <c r="G1138"/>
      <c r="H1138"/>
      <c r="I1138"/>
      <c r="J1138"/>
      <c r="K1138"/>
      <c r="L1138"/>
      <c r="M1138"/>
      <c r="N1138"/>
      <c r="O1138" s="109"/>
      <c r="P1138" s="110"/>
      <c r="Q1138" s="110"/>
      <c r="R1138" s="110"/>
      <c r="S1138" s="113"/>
      <c r="T1138" s="113"/>
      <c r="V1138"/>
      <c r="W1138"/>
      <c r="Y1138"/>
      <c r="Z1138"/>
      <c r="AA1138"/>
      <c r="AB1138"/>
      <c r="AC1138"/>
      <c r="AD1138"/>
      <c r="AE1138"/>
      <c r="AF1138"/>
    </row>
    <row r="1139" spans="1:32" s="45" customFormat="1" ht="12.75" hidden="1">
      <c r="A1139"/>
      <c r="B1139"/>
      <c r="C1139"/>
      <c r="D1139"/>
      <c r="E1139"/>
      <c r="F1139"/>
      <c r="G1139"/>
      <c r="H1139"/>
      <c r="I1139"/>
      <c r="J1139"/>
      <c r="K1139"/>
      <c r="L1139"/>
      <c r="M1139"/>
      <c r="N1139"/>
      <c r="O1139" s="109"/>
      <c r="P1139" s="110"/>
      <c r="Q1139" s="110"/>
      <c r="R1139" s="110"/>
      <c r="S1139" s="113"/>
      <c r="T1139" s="113"/>
      <c r="V1139"/>
      <c r="W1139"/>
      <c r="Y1139"/>
      <c r="Z1139"/>
      <c r="AA1139"/>
      <c r="AB1139"/>
      <c r="AC1139"/>
      <c r="AD1139"/>
      <c r="AE1139"/>
      <c r="AF1139"/>
    </row>
    <row r="1140" spans="1:32" s="45" customFormat="1" ht="12.75" hidden="1">
      <c r="A1140"/>
      <c r="B1140"/>
      <c r="C1140"/>
      <c r="D1140"/>
      <c r="E1140"/>
      <c r="F1140"/>
      <c r="G1140"/>
      <c r="H1140"/>
      <c r="I1140"/>
      <c r="J1140"/>
      <c r="K1140"/>
      <c r="L1140"/>
      <c r="M1140"/>
      <c r="N1140"/>
      <c r="O1140" s="109"/>
      <c r="P1140" s="110"/>
      <c r="Q1140" s="110"/>
      <c r="R1140" s="110"/>
      <c r="S1140" s="113"/>
      <c r="T1140" s="113"/>
      <c r="V1140"/>
      <c r="W1140"/>
      <c r="Y1140"/>
      <c r="Z1140"/>
      <c r="AA1140"/>
      <c r="AB1140"/>
      <c r="AC1140"/>
      <c r="AD1140"/>
      <c r="AE1140"/>
      <c r="AF1140"/>
    </row>
    <row r="1141" spans="1:32" s="45" customFormat="1" ht="12.75" hidden="1">
      <c r="A1141"/>
      <c r="B1141"/>
      <c r="C1141"/>
      <c r="D1141"/>
      <c r="E1141"/>
      <c r="F1141"/>
      <c r="G1141"/>
      <c r="H1141"/>
      <c r="I1141"/>
      <c r="J1141"/>
      <c r="K1141"/>
      <c r="L1141"/>
      <c r="M1141"/>
      <c r="N1141"/>
      <c r="O1141" s="109"/>
      <c r="P1141" s="110"/>
      <c r="Q1141" s="110"/>
      <c r="R1141" s="110"/>
      <c r="S1141" s="113"/>
      <c r="T1141" s="113"/>
      <c r="V1141"/>
      <c r="W1141"/>
      <c r="Y1141"/>
      <c r="Z1141"/>
      <c r="AA1141"/>
      <c r="AB1141"/>
      <c r="AC1141"/>
      <c r="AD1141"/>
      <c r="AE1141"/>
      <c r="AF1141"/>
    </row>
    <row r="1142" spans="1:32" s="45" customFormat="1" ht="12.75" hidden="1">
      <c r="A1142"/>
      <c r="B1142"/>
      <c r="C1142"/>
      <c r="D1142"/>
      <c r="E1142"/>
      <c r="F1142"/>
      <c r="G1142"/>
      <c r="H1142"/>
      <c r="I1142"/>
      <c r="J1142"/>
      <c r="K1142"/>
      <c r="L1142"/>
      <c r="M1142"/>
      <c r="N1142"/>
      <c r="O1142" s="109"/>
      <c r="P1142" s="110"/>
      <c r="Q1142" s="110"/>
      <c r="R1142" s="110"/>
      <c r="S1142" s="113"/>
      <c r="T1142" s="113"/>
      <c r="V1142"/>
      <c r="W1142"/>
      <c r="Y1142"/>
      <c r="Z1142"/>
      <c r="AA1142"/>
      <c r="AB1142"/>
      <c r="AC1142"/>
      <c r="AD1142"/>
      <c r="AE1142"/>
      <c r="AF1142"/>
    </row>
    <row r="1143" spans="1:32" s="45" customFormat="1" ht="12.75" hidden="1">
      <c r="A1143"/>
      <c r="B1143"/>
      <c r="C1143"/>
      <c r="D1143"/>
      <c r="E1143"/>
      <c r="F1143"/>
      <c r="G1143"/>
      <c r="H1143"/>
      <c r="I1143"/>
      <c r="J1143"/>
      <c r="K1143"/>
      <c r="L1143"/>
      <c r="M1143"/>
      <c r="N1143"/>
      <c r="O1143" s="109"/>
      <c r="P1143" s="110"/>
      <c r="Q1143" s="110"/>
      <c r="R1143" s="110"/>
      <c r="S1143" s="113"/>
      <c r="T1143" s="113"/>
      <c r="V1143"/>
      <c r="W1143"/>
      <c r="Y1143"/>
      <c r="Z1143"/>
      <c r="AA1143"/>
      <c r="AB1143"/>
      <c r="AC1143"/>
      <c r="AD1143"/>
      <c r="AE1143"/>
      <c r="AF1143"/>
    </row>
    <row r="1144" spans="1:32" s="45" customFormat="1" ht="12.75" hidden="1">
      <c r="A1144"/>
      <c r="B1144"/>
      <c r="C1144"/>
      <c r="D1144"/>
      <c r="E1144"/>
      <c r="F1144"/>
      <c r="G1144"/>
      <c r="H1144"/>
      <c r="I1144"/>
      <c r="J1144"/>
      <c r="K1144"/>
      <c r="L1144"/>
      <c r="M1144"/>
      <c r="N1144"/>
      <c r="O1144" s="109"/>
      <c r="P1144" s="110"/>
      <c r="Q1144" s="110"/>
      <c r="R1144" s="110"/>
      <c r="S1144" s="113"/>
      <c r="T1144" s="113"/>
      <c r="V1144"/>
      <c r="W1144"/>
      <c r="Y1144"/>
      <c r="Z1144"/>
      <c r="AA1144"/>
      <c r="AB1144"/>
      <c r="AC1144"/>
      <c r="AD1144"/>
      <c r="AE1144"/>
      <c r="AF1144"/>
    </row>
    <row r="1145" spans="1:32" s="45" customFormat="1" ht="12.75" hidden="1">
      <c r="A1145"/>
      <c r="B1145"/>
      <c r="C1145"/>
      <c r="D1145"/>
      <c r="E1145"/>
      <c r="F1145"/>
      <c r="G1145"/>
      <c r="H1145"/>
      <c r="I1145"/>
      <c r="J1145"/>
      <c r="K1145"/>
      <c r="L1145"/>
      <c r="M1145"/>
      <c r="N1145"/>
      <c r="O1145" s="109"/>
      <c r="P1145" s="110"/>
      <c r="Q1145" s="110"/>
      <c r="R1145" s="110"/>
      <c r="S1145" s="113"/>
      <c r="T1145" s="113"/>
      <c r="V1145"/>
      <c r="W1145"/>
      <c r="Y1145"/>
      <c r="Z1145"/>
      <c r="AA1145"/>
      <c r="AB1145"/>
      <c r="AC1145"/>
      <c r="AD1145"/>
      <c r="AE1145"/>
      <c r="AF1145"/>
    </row>
    <row r="1146" spans="1:32" s="45" customFormat="1" ht="12.75" hidden="1">
      <c r="A1146"/>
      <c r="B1146"/>
      <c r="C1146"/>
      <c r="D1146"/>
      <c r="E1146"/>
      <c r="F1146"/>
      <c r="G1146"/>
      <c r="H1146"/>
      <c r="I1146"/>
      <c r="J1146"/>
      <c r="K1146"/>
      <c r="L1146"/>
      <c r="M1146"/>
      <c r="N1146"/>
      <c r="O1146" s="109"/>
      <c r="P1146" s="110"/>
      <c r="Q1146" s="110"/>
      <c r="R1146" s="110"/>
      <c r="S1146" s="113"/>
      <c r="T1146" s="113"/>
      <c r="V1146"/>
      <c r="W1146"/>
      <c r="Y1146"/>
      <c r="Z1146"/>
      <c r="AA1146"/>
      <c r="AB1146"/>
      <c r="AC1146"/>
      <c r="AD1146"/>
      <c r="AE1146"/>
      <c r="AF1146"/>
    </row>
    <row r="1147" spans="1:32" s="45" customFormat="1" ht="12.75" hidden="1">
      <c r="A1147"/>
      <c r="B1147"/>
      <c r="C1147"/>
      <c r="D1147"/>
      <c r="E1147"/>
      <c r="F1147"/>
      <c r="G1147"/>
      <c r="H1147"/>
      <c r="I1147"/>
      <c r="J1147"/>
      <c r="K1147"/>
      <c r="L1147"/>
      <c r="M1147"/>
      <c r="N1147"/>
      <c r="O1147" s="109"/>
      <c r="P1147" s="110"/>
      <c r="Q1147" s="110"/>
      <c r="R1147" s="110"/>
      <c r="S1147" s="113"/>
      <c r="T1147" s="113"/>
      <c r="V1147"/>
      <c r="W1147"/>
      <c r="Y1147"/>
      <c r="Z1147"/>
      <c r="AA1147"/>
      <c r="AB1147"/>
      <c r="AC1147"/>
      <c r="AD1147"/>
      <c r="AE1147"/>
      <c r="AF1147"/>
    </row>
    <row r="1148" spans="1:32" s="45" customFormat="1" ht="12.75" hidden="1">
      <c r="A1148"/>
      <c r="B1148"/>
      <c r="C1148"/>
      <c r="D1148"/>
      <c r="E1148"/>
      <c r="F1148"/>
      <c r="G1148"/>
      <c r="H1148"/>
      <c r="I1148"/>
      <c r="J1148"/>
      <c r="K1148"/>
      <c r="L1148"/>
      <c r="M1148"/>
      <c r="N1148"/>
      <c r="O1148" s="109"/>
      <c r="P1148" s="110"/>
      <c r="Q1148" s="110"/>
      <c r="R1148" s="110"/>
      <c r="S1148" s="113"/>
      <c r="T1148" s="113"/>
      <c r="V1148"/>
      <c r="W1148"/>
      <c r="Y1148"/>
      <c r="Z1148"/>
      <c r="AA1148"/>
      <c r="AB1148"/>
      <c r="AC1148"/>
      <c r="AD1148"/>
      <c r="AE1148"/>
      <c r="AF1148"/>
    </row>
    <row r="1149" spans="1:32" s="45" customFormat="1" ht="12.75" hidden="1">
      <c r="A1149"/>
      <c r="B1149"/>
      <c r="C1149"/>
      <c r="D1149"/>
      <c r="E1149"/>
      <c r="F1149"/>
      <c r="G1149"/>
      <c r="H1149"/>
      <c r="I1149"/>
      <c r="J1149"/>
      <c r="K1149"/>
      <c r="L1149"/>
      <c r="M1149"/>
      <c r="N1149"/>
      <c r="O1149" s="109"/>
      <c r="P1149" s="110"/>
      <c r="Q1149" s="110"/>
      <c r="R1149" s="110"/>
      <c r="S1149" s="113"/>
      <c r="T1149" s="113"/>
      <c r="V1149"/>
      <c r="W1149"/>
      <c r="Y1149"/>
      <c r="Z1149"/>
      <c r="AA1149"/>
      <c r="AB1149"/>
      <c r="AC1149"/>
      <c r="AD1149"/>
      <c r="AE1149"/>
      <c r="AF1149"/>
    </row>
    <row r="1150" spans="1:32" s="45" customFormat="1" ht="12.75" hidden="1">
      <c r="A1150"/>
      <c r="B1150"/>
      <c r="C1150"/>
      <c r="D1150"/>
      <c r="E1150"/>
      <c r="F1150"/>
      <c r="G1150"/>
      <c r="H1150"/>
      <c r="I1150"/>
      <c r="J1150"/>
      <c r="K1150"/>
      <c r="L1150"/>
      <c r="M1150"/>
      <c r="N1150"/>
      <c r="O1150" s="109"/>
      <c r="P1150" s="110"/>
      <c r="Q1150" s="110"/>
      <c r="R1150" s="110"/>
      <c r="S1150" s="113"/>
      <c r="T1150" s="113"/>
      <c r="V1150"/>
      <c r="W1150"/>
      <c r="Y1150"/>
      <c r="Z1150"/>
      <c r="AA1150"/>
      <c r="AB1150"/>
      <c r="AC1150"/>
      <c r="AD1150"/>
      <c r="AE1150"/>
      <c r="AF1150"/>
    </row>
    <row r="1151" spans="1:32" s="45" customFormat="1" ht="12.75" hidden="1">
      <c r="A1151"/>
      <c r="B1151"/>
      <c r="C1151"/>
      <c r="D1151"/>
      <c r="E1151"/>
      <c r="F1151"/>
      <c r="G1151"/>
      <c r="H1151"/>
      <c r="I1151"/>
      <c r="J1151"/>
      <c r="K1151"/>
      <c r="L1151"/>
      <c r="M1151"/>
      <c r="N1151"/>
      <c r="O1151" s="109"/>
      <c r="P1151" s="110"/>
      <c r="Q1151" s="110"/>
      <c r="R1151" s="110"/>
      <c r="S1151" s="113"/>
      <c r="T1151" s="113"/>
      <c r="V1151"/>
      <c r="W1151"/>
      <c r="Y1151"/>
      <c r="Z1151"/>
      <c r="AA1151"/>
      <c r="AB1151"/>
      <c r="AC1151"/>
      <c r="AD1151"/>
      <c r="AE1151"/>
      <c r="AF1151"/>
    </row>
    <row r="1152" spans="1:32" s="45" customFormat="1" ht="12.75" hidden="1">
      <c r="A1152"/>
      <c r="B1152"/>
      <c r="C1152"/>
      <c r="D1152"/>
      <c r="E1152"/>
      <c r="F1152"/>
      <c r="G1152"/>
      <c r="H1152"/>
      <c r="I1152"/>
      <c r="J1152"/>
      <c r="K1152"/>
      <c r="L1152"/>
      <c r="M1152"/>
      <c r="N1152"/>
      <c r="O1152" s="109"/>
      <c r="P1152" s="110"/>
      <c r="Q1152" s="110"/>
      <c r="R1152" s="110"/>
      <c r="S1152" s="113"/>
      <c r="T1152" s="113"/>
      <c r="V1152"/>
      <c r="W1152"/>
      <c r="Y1152"/>
      <c r="Z1152"/>
      <c r="AA1152"/>
      <c r="AB1152"/>
      <c r="AC1152"/>
      <c r="AD1152"/>
      <c r="AE1152"/>
      <c r="AF1152"/>
    </row>
    <row r="1153" spans="1:32" s="45" customFormat="1" ht="12.75" hidden="1">
      <c r="A1153"/>
      <c r="B1153"/>
      <c r="C1153"/>
      <c r="D1153"/>
      <c r="E1153"/>
      <c r="F1153"/>
      <c r="G1153"/>
      <c r="H1153"/>
      <c r="I1153"/>
      <c r="J1153"/>
      <c r="K1153"/>
      <c r="L1153"/>
      <c r="M1153"/>
      <c r="N1153"/>
      <c r="O1153" s="109"/>
      <c r="P1153" s="110"/>
      <c r="Q1153" s="110"/>
      <c r="R1153" s="110"/>
      <c r="S1153" s="113"/>
      <c r="T1153" s="113"/>
      <c r="V1153"/>
      <c r="W1153"/>
      <c r="Y1153"/>
      <c r="Z1153"/>
      <c r="AA1153"/>
      <c r="AB1153"/>
      <c r="AC1153"/>
      <c r="AD1153"/>
      <c r="AE1153"/>
      <c r="AF1153"/>
    </row>
    <row r="1154" spans="1:32" s="45" customFormat="1" ht="12.75" hidden="1">
      <c r="A1154"/>
      <c r="B1154"/>
      <c r="C1154"/>
      <c r="D1154"/>
      <c r="E1154"/>
      <c r="F1154"/>
      <c r="G1154"/>
      <c r="H1154"/>
      <c r="I1154"/>
      <c r="J1154"/>
      <c r="K1154"/>
      <c r="L1154"/>
      <c r="M1154"/>
      <c r="N1154"/>
      <c r="O1154" s="109"/>
      <c r="P1154" s="110"/>
      <c r="Q1154" s="110"/>
      <c r="R1154" s="110"/>
      <c r="S1154" s="113"/>
      <c r="T1154" s="113"/>
      <c r="V1154"/>
      <c r="W1154"/>
      <c r="Y1154"/>
      <c r="Z1154"/>
      <c r="AA1154"/>
      <c r="AB1154"/>
      <c r="AC1154"/>
      <c r="AD1154"/>
      <c r="AE1154"/>
      <c r="AF1154"/>
    </row>
    <row r="1155" spans="1:32" s="45" customFormat="1" ht="12.75" hidden="1">
      <c r="A1155"/>
      <c r="B1155"/>
      <c r="C1155"/>
      <c r="D1155"/>
      <c r="E1155"/>
      <c r="F1155"/>
      <c r="G1155"/>
      <c r="H1155"/>
      <c r="I1155"/>
      <c r="J1155"/>
      <c r="K1155"/>
      <c r="L1155"/>
      <c r="M1155"/>
      <c r="N1155"/>
      <c r="O1155" s="109"/>
      <c r="P1155" s="110"/>
      <c r="Q1155" s="110"/>
      <c r="R1155" s="110"/>
      <c r="S1155" s="113"/>
      <c r="T1155" s="113"/>
      <c r="V1155"/>
      <c r="W1155"/>
      <c r="Y1155"/>
      <c r="Z1155"/>
      <c r="AA1155"/>
      <c r="AB1155"/>
      <c r="AC1155"/>
      <c r="AD1155"/>
      <c r="AE1155"/>
      <c r="AF1155"/>
    </row>
    <row r="1156" spans="1:32" s="45" customFormat="1" ht="12.75" hidden="1">
      <c r="A1156"/>
      <c r="B1156"/>
      <c r="C1156"/>
      <c r="D1156"/>
      <c r="E1156"/>
      <c r="F1156"/>
      <c r="G1156"/>
      <c r="H1156"/>
      <c r="I1156"/>
      <c r="J1156"/>
      <c r="K1156"/>
      <c r="L1156"/>
      <c r="M1156"/>
      <c r="N1156"/>
      <c r="O1156" s="109"/>
      <c r="P1156" s="110"/>
      <c r="Q1156" s="110"/>
      <c r="R1156" s="110"/>
      <c r="S1156" s="113"/>
      <c r="T1156" s="113"/>
      <c r="V1156"/>
      <c r="W1156"/>
      <c r="Y1156"/>
      <c r="Z1156"/>
      <c r="AA1156"/>
      <c r="AB1156"/>
      <c r="AC1156"/>
      <c r="AD1156"/>
      <c r="AE1156"/>
      <c r="AF1156"/>
    </row>
    <row r="1157" spans="1:32" s="45" customFormat="1" ht="12.75" hidden="1">
      <c r="A1157"/>
      <c r="B1157"/>
      <c r="C1157"/>
      <c r="D1157"/>
      <c r="E1157"/>
      <c r="F1157"/>
      <c r="G1157"/>
      <c r="H1157"/>
      <c r="I1157"/>
      <c r="J1157"/>
      <c r="K1157"/>
      <c r="L1157"/>
      <c r="M1157"/>
      <c r="N1157"/>
      <c r="O1157" s="109"/>
      <c r="P1157" s="110"/>
      <c r="Q1157" s="110"/>
      <c r="R1157" s="110"/>
      <c r="S1157" s="113"/>
      <c r="T1157" s="113"/>
      <c r="V1157"/>
      <c r="W1157"/>
      <c r="Y1157"/>
      <c r="Z1157"/>
      <c r="AA1157"/>
      <c r="AB1157"/>
      <c r="AC1157"/>
      <c r="AD1157"/>
      <c r="AE1157"/>
      <c r="AF1157"/>
    </row>
    <row r="1158" spans="1:32" s="45" customFormat="1" ht="12.75" hidden="1">
      <c r="A1158"/>
      <c r="B1158"/>
      <c r="C1158"/>
      <c r="D1158"/>
      <c r="E1158"/>
      <c r="F1158"/>
      <c r="G1158"/>
      <c r="H1158"/>
      <c r="I1158"/>
      <c r="J1158"/>
      <c r="K1158"/>
      <c r="L1158"/>
      <c r="M1158"/>
      <c r="N1158"/>
      <c r="O1158" s="109"/>
      <c r="P1158" s="110"/>
      <c r="Q1158" s="110"/>
      <c r="R1158" s="110"/>
      <c r="S1158" s="113"/>
      <c r="T1158" s="113"/>
      <c r="V1158"/>
      <c r="W1158"/>
      <c r="Y1158"/>
      <c r="Z1158"/>
      <c r="AA1158"/>
      <c r="AB1158"/>
      <c r="AC1158"/>
      <c r="AD1158"/>
      <c r="AE1158"/>
      <c r="AF1158"/>
    </row>
    <row r="1159" spans="1:32" s="45" customFormat="1" ht="12.75" hidden="1">
      <c r="A1159"/>
      <c r="B1159"/>
      <c r="C1159"/>
      <c r="D1159"/>
      <c r="E1159"/>
      <c r="F1159"/>
      <c r="G1159"/>
      <c r="H1159"/>
      <c r="I1159"/>
      <c r="J1159"/>
      <c r="K1159"/>
      <c r="L1159"/>
      <c r="M1159"/>
      <c r="N1159"/>
      <c r="O1159" s="109"/>
      <c r="P1159" s="110"/>
      <c r="Q1159" s="110"/>
      <c r="R1159" s="110"/>
      <c r="S1159" s="113"/>
      <c r="T1159" s="113"/>
      <c r="V1159"/>
      <c r="W1159"/>
      <c r="Y1159"/>
      <c r="Z1159"/>
      <c r="AA1159"/>
      <c r="AB1159"/>
      <c r="AC1159"/>
      <c r="AD1159"/>
      <c r="AE1159"/>
      <c r="AF1159"/>
    </row>
    <row r="1160" spans="1:32" s="45" customFormat="1" ht="12.75" hidden="1">
      <c r="A1160"/>
      <c r="B1160"/>
      <c r="C1160"/>
      <c r="D1160"/>
      <c r="E1160"/>
      <c r="F1160"/>
      <c r="G1160"/>
      <c r="H1160"/>
      <c r="I1160"/>
      <c r="J1160"/>
      <c r="K1160"/>
      <c r="L1160"/>
      <c r="M1160"/>
      <c r="N1160"/>
      <c r="O1160" s="109"/>
      <c r="P1160" s="110"/>
      <c r="Q1160" s="110"/>
      <c r="R1160" s="110"/>
      <c r="S1160" s="113"/>
      <c r="T1160" s="113"/>
      <c r="V1160"/>
      <c r="W1160"/>
      <c r="Y1160"/>
      <c r="Z1160"/>
      <c r="AA1160"/>
      <c r="AB1160"/>
      <c r="AC1160"/>
      <c r="AD1160"/>
      <c r="AE1160"/>
      <c r="AF1160"/>
    </row>
    <row r="1161" spans="1:32" s="45" customFormat="1" ht="12.75" hidden="1">
      <c r="A1161"/>
      <c r="B1161"/>
      <c r="C1161"/>
      <c r="D1161"/>
      <c r="E1161"/>
      <c r="F1161"/>
      <c r="G1161"/>
      <c r="H1161"/>
      <c r="I1161"/>
      <c r="J1161"/>
      <c r="K1161"/>
      <c r="L1161"/>
      <c r="M1161"/>
      <c r="N1161"/>
      <c r="O1161" s="109"/>
      <c r="P1161" s="110"/>
      <c r="Q1161" s="110"/>
      <c r="R1161" s="110"/>
      <c r="S1161" s="113"/>
      <c r="T1161" s="113"/>
      <c r="V1161"/>
      <c r="W1161"/>
      <c r="Y1161"/>
      <c r="Z1161"/>
      <c r="AA1161"/>
      <c r="AB1161"/>
      <c r="AC1161"/>
      <c r="AD1161"/>
      <c r="AE1161"/>
      <c r="AF1161"/>
    </row>
    <row r="1162" spans="1:32" s="45" customFormat="1" ht="12.75" hidden="1">
      <c r="A1162"/>
      <c r="B1162"/>
      <c r="C1162"/>
      <c r="D1162"/>
      <c r="E1162"/>
      <c r="F1162"/>
      <c r="G1162"/>
      <c r="H1162"/>
      <c r="I1162"/>
      <c r="J1162"/>
      <c r="K1162"/>
      <c r="L1162"/>
      <c r="M1162"/>
      <c r="N1162"/>
      <c r="O1162" s="109"/>
      <c r="P1162" s="110"/>
      <c r="Q1162" s="110"/>
      <c r="R1162" s="110"/>
      <c r="S1162" s="113"/>
      <c r="T1162" s="113"/>
      <c r="V1162"/>
      <c r="W1162"/>
      <c r="Y1162"/>
      <c r="Z1162"/>
      <c r="AA1162"/>
      <c r="AB1162"/>
      <c r="AC1162"/>
      <c r="AD1162"/>
      <c r="AE1162"/>
      <c r="AF1162"/>
    </row>
    <row r="1163" spans="1:32" s="45" customFormat="1" ht="12.75" hidden="1">
      <c r="A1163"/>
      <c r="B1163"/>
      <c r="C1163"/>
      <c r="D1163"/>
      <c r="E1163"/>
      <c r="F1163"/>
      <c r="G1163"/>
      <c r="H1163"/>
      <c r="I1163"/>
      <c r="J1163"/>
      <c r="K1163"/>
      <c r="L1163"/>
      <c r="M1163"/>
      <c r="N1163"/>
      <c r="O1163" s="109"/>
      <c r="P1163" s="110"/>
      <c r="Q1163" s="110"/>
      <c r="R1163" s="110"/>
      <c r="S1163" s="113"/>
      <c r="T1163" s="113"/>
      <c r="V1163"/>
      <c r="W1163"/>
      <c r="Y1163"/>
      <c r="Z1163"/>
      <c r="AA1163"/>
      <c r="AB1163"/>
      <c r="AC1163"/>
      <c r="AD1163"/>
      <c r="AE1163"/>
      <c r="AF1163"/>
    </row>
    <row r="1164" spans="1:32" s="45" customFormat="1" ht="12.75" hidden="1">
      <c r="A1164"/>
      <c r="B1164"/>
      <c r="C1164"/>
      <c r="D1164"/>
      <c r="E1164"/>
      <c r="F1164"/>
      <c r="G1164"/>
      <c r="H1164"/>
      <c r="I1164"/>
      <c r="J1164"/>
      <c r="K1164"/>
      <c r="L1164"/>
      <c r="M1164"/>
      <c r="N1164"/>
      <c r="O1164" s="109"/>
      <c r="P1164" s="110"/>
      <c r="Q1164" s="110"/>
      <c r="R1164" s="110"/>
      <c r="S1164" s="113"/>
      <c r="T1164" s="113"/>
      <c r="V1164"/>
      <c r="W1164"/>
      <c r="Y1164"/>
      <c r="Z1164"/>
      <c r="AA1164"/>
      <c r="AB1164"/>
      <c r="AC1164"/>
      <c r="AD1164"/>
      <c r="AE1164"/>
      <c r="AF1164"/>
    </row>
    <row r="1165" spans="1:32" s="45" customFormat="1" ht="12.75" hidden="1">
      <c r="A1165"/>
      <c r="B1165"/>
      <c r="C1165"/>
      <c r="D1165"/>
      <c r="E1165"/>
      <c r="F1165"/>
      <c r="G1165"/>
      <c r="H1165"/>
      <c r="I1165"/>
      <c r="J1165"/>
      <c r="K1165"/>
      <c r="L1165"/>
      <c r="M1165"/>
      <c r="N1165"/>
      <c r="O1165" s="109"/>
      <c r="P1165" s="110"/>
      <c r="Q1165" s="110"/>
      <c r="R1165" s="110"/>
      <c r="S1165" s="113"/>
      <c r="T1165" s="113"/>
      <c r="V1165"/>
      <c r="W1165"/>
      <c r="Y1165"/>
      <c r="Z1165"/>
      <c r="AA1165"/>
      <c r="AB1165"/>
      <c r="AC1165"/>
      <c r="AD1165"/>
      <c r="AE1165"/>
      <c r="AF1165"/>
    </row>
    <row r="1166" spans="1:32" s="45" customFormat="1" ht="12.75" hidden="1">
      <c r="A1166"/>
      <c r="B1166"/>
      <c r="C1166"/>
      <c r="D1166"/>
      <c r="E1166"/>
      <c r="F1166"/>
      <c r="G1166"/>
      <c r="H1166"/>
      <c r="I1166"/>
      <c r="J1166"/>
      <c r="K1166"/>
      <c r="L1166"/>
      <c r="M1166"/>
      <c r="N1166"/>
      <c r="O1166" s="109"/>
      <c r="P1166" s="110"/>
      <c r="Q1166" s="110"/>
      <c r="R1166" s="110"/>
      <c r="S1166" s="113"/>
      <c r="T1166" s="113"/>
      <c r="V1166"/>
      <c r="W1166"/>
      <c r="Y1166"/>
      <c r="Z1166"/>
      <c r="AA1166"/>
      <c r="AB1166"/>
      <c r="AC1166"/>
      <c r="AD1166"/>
      <c r="AE1166"/>
      <c r="AF1166"/>
    </row>
    <row r="1167" spans="1:32" s="45" customFormat="1" ht="12.75" hidden="1">
      <c r="A1167"/>
      <c r="B1167"/>
      <c r="C1167"/>
      <c r="D1167"/>
      <c r="E1167"/>
      <c r="F1167"/>
      <c r="G1167"/>
      <c r="H1167"/>
      <c r="I1167"/>
      <c r="J1167"/>
      <c r="K1167"/>
      <c r="L1167"/>
      <c r="M1167"/>
      <c r="N1167"/>
      <c r="O1167" s="109"/>
      <c r="P1167" s="110"/>
      <c r="Q1167" s="110"/>
      <c r="R1167" s="110"/>
      <c r="S1167" s="113"/>
      <c r="T1167" s="113"/>
      <c r="V1167"/>
      <c r="W1167"/>
      <c r="Y1167"/>
      <c r="Z1167"/>
      <c r="AA1167"/>
      <c r="AB1167"/>
      <c r="AC1167"/>
      <c r="AD1167"/>
      <c r="AE1167"/>
      <c r="AF1167"/>
    </row>
    <row r="1168" spans="1:32" s="45" customFormat="1" ht="12.75" hidden="1">
      <c r="A1168"/>
      <c r="B1168"/>
      <c r="C1168"/>
      <c r="D1168"/>
      <c r="E1168"/>
      <c r="F1168"/>
      <c r="G1168"/>
      <c r="H1168"/>
      <c r="I1168"/>
      <c r="J1168"/>
      <c r="K1168"/>
      <c r="L1168"/>
      <c r="M1168"/>
      <c r="N1168"/>
      <c r="O1168" s="109"/>
      <c r="P1168" s="110"/>
      <c r="Q1168" s="110"/>
      <c r="R1168" s="110"/>
      <c r="S1168" s="113"/>
      <c r="T1168" s="113"/>
      <c r="V1168"/>
      <c r="W1168"/>
      <c r="Y1168"/>
      <c r="Z1168"/>
      <c r="AA1168"/>
      <c r="AB1168"/>
      <c r="AC1168"/>
      <c r="AD1168"/>
      <c r="AE1168"/>
      <c r="AF1168"/>
    </row>
    <row r="1169" spans="1:32" s="45" customFormat="1" ht="12.75" hidden="1">
      <c r="A1169"/>
      <c r="B1169"/>
      <c r="C1169"/>
      <c r="D1169"/>
      <c r="E1169"/>
      <c r="F1169"/>
      <c r="G1169"/>
      <c r="H1169"/>
      <c r="I1169"/>
      <c r="J1169"/>
      <c r="K1169"/>
      <c r="L1169"/>
      <c r="M1169"/>
      <c r="N1169"/>
      <c r="O1169" s="109"/>
      <c r="P1169" s="110"/>
      <c r="Q1169" s="110"/>
      <c r="R1169" s="110"/>
      <c r="S1169" s="113"/>
      <c r="T1169" s="113"/>
      <c r="V1169"/>
      <c r="W1169"/>
      <c r="Y1169"/>
      <c r="Z1169"/>
      <c r="AA1169"/>
      <c r="AB1169"/>
      <c r="AC1169"/>
      <c r="AD1169"/>
      <c r="AE1169"/>
      <c r="AF1169"/>
    </row>
    <row r="1170" spans="1:32" s="45" customFormat="1" ht="12.75" hidden="1">
      <c r="A1170"/>
      <c r="B1170"/>
      <c r="C1170"/>
      <c r="D1170"/>
      <c r="E1170"/>
      <c r="F1170"/>
      <c r="G1170"/>
      <c r="H1170"/>
      <c r="I1170"/>
      <c r="J1170"/>
      <c r="K1170"/>
      <c r="L1170"/>
      <c r="M1170"/>
      <c r="N1170"/>
      <c r="O1170" s="109"/>
      <c r="P1170" s="110"/>
      <c r="Q1170" s="110"/>
      <c r="R1170" s="110"/>
      <c r="S1170" s="113"/>
      <c r="T1170" s="113"/>
      <c r="V1170"/>
      <c r="W1170"/>
      <c r="Y1170"/>
      <c r="Z1170"/>
      <c r="AA1170"/>
      <c r="AB1170"/>
      <c r="AC1170"/>
      <c r="AD1170"/>
      <c r="AE1170"/>
      <c r="AF1170"/>
    </row>
    <row r="1171" spans="1:32" s="45" customFormat="1" ht="12.75" hidden="1">
      <c r="A1171"/>
      <c r="B1171"/>
      <c r="C1171"/>
      <c r="D1171"/>
      <c r="E1171"/>
      <c r="F1171"/>
      <c r="G1171"/>
      <c r="H1171"/>
      <c r="I1171"/>
      <c r="J1171"/>
      <c r="K1171"/>
      <c r="L1171"/>
      <c r="M1171"/>
      <c r="N1171"/>
      <c r="O1171" s="109"/>
      <c r="P1171" s="110"/>
      <c r="Q1171" s="110"/>
      <c r="R1171" s="110"/>
      <c r="S1171" s="113"/>
      <c r="T1171" s="113"/>
      <c r="V1171"/>
      <c r="W1171"/>
      <c r="Y1171"/>
      <c r="Z1171"/>
      <c r="AA1171"/>
      <c r="AB1171"/>
      <c r="AC1171"/>
      <c r="AD1171"/>
      <c r="AE1171"/>
      <c r="AF1171"/>
    </row>
    <row r="1172" spans="1:32" s="45" customFormat="1" ht="12.75" hidden="1">
      <c r="A1172"/>
      <c r="B1172"/>
      <c r="C1172"/>
      <c r="D1172"/>
      <c r="E1172"/>
      <c r="F1172"/>
      <c r="G1172"/>
      <c r="H1172"/>
      <c r="I1172"/>
      <c r="J1172"/>
      <c r="K1172"/>
      <c r="L1172"/>
      <c r="M1172"/>
      <c r="N1172"/>
      <c r="O1172" s="109"/>
      <c r="P1172" s="110"/>
      <c r="Q1172" s="110"/>
      <c r="R1172" s="110"/>
      <c r="S1172" s="113"/>
      <c r="T1172" s="113"/>
      <c r="V1172"/>
      <c r="W1172"/>
      <c r="Y1172"/>
      <c r="Z1172"/>
      <c r="AA1172"/>
      <c r="AB1172"/>
      <c r="AC1172"/>
      <c r="AD1172"/>
      <c r="AE1172"/>
      <c r="AF1172"/>
    </row>
    <row r="1173" spans="1:32" s="45" customFormat="1" ht="12.75" hidden="1">
      <c r="A1173"/>
      <c r="B1173"/>
      <c r="C1173"/>
      <c r="D1173"/>
      <c r="E1173"/>
      <c r="F1173"/>
      <c r="G1173"/>
      <c r="H1173"/>
      <c r="I1173"/>
      <c r="J1173"/>
      <c r="K1173"/>
      <c r="L1173"/>
      <c r="M1173"/>
      <c r="N1173"/>
      <c r="O1173" s="109"/>
      <c r="P1173" s="110"/>
      <c r="Q1173" s="110"/>
      <c r="R1173" s="110"/>
      <c r="S1173" s="113"/>
      <c r="T1173" s="113"/>
      <c r="V1173"/>
      <c r="W1173"/>
      <c r="Y1173"/>
      <c r="Z1173"/>
      <c r="AA1173"/>
      <c r="AB1173"/>
      <c r="AC1173"/>
      <c r="AD1173"/>
      <c r="AE1173"/>
      <c r="AF1173"/>
    </row>
    <row r="1174" spans="1:32" s="45" customFormat="1" ht="12.75" hidden="1">
      <c r="A1174"/>
      <c r="B1174"/>
      <c r="C1174"/>
      <c r="D1174"/>
      <c r="E1174"/>
      <c r="F1174"/>
      <c r="G1174"/>
      <c r="H1174"/>
      <c r="I1174"/>
      <c r="J1174"/>
      <c r="K1174"/>
      <c r="L1174"/>
      <c r="M1174"/>
      <c r="N1174"/>
      <c r="O1174" s="109"/>
      <c r="P1174" s="110"/>
      <c r="Q1174" s="110"/>
      <c r="R1174" s="110"/>
      <c r="S1174" s="113"/>
      <c r="T1174" s="113"/>
      <c r="V1174"/>
      <c r="W1174"/>
      <c r="Y1174"/>
      <c r="Z1174"/>
      <c r="AA1174"/>
      <c r="AB1174"/>
      <c r="AC1174"/>
      <c r="AD1174"/>
      <c r="AE1174"/>
      <c r="AF1174"/>
    </row>
    <row r="1175" spans="1:32" s="45" customFormat="1" ht="12.75" hidden="1">
      <c r="A1175"/>
      <c r="B1175"/>
      <c r="C1175"/>
      <c r="D1175"/>
      <c r="E1175"/>
      <c r="F1175"/>
      <c r="G1175"/>
      <c r="H1175"/>
      <c r="I1175"/>
      <c r="J1175"/>
      <c r="K1175"/>
      <c r="L1175"/>
      <c r="M1175"/>
      <c r="N1175"/>
      <c r="O1175" s="109"/>
      <c r="P1175" s="110"/>
      <c r="Q1175" s="110"/>
      <c r="R1175" s="110"/>
      <c r="S1175" s="113"/>
      <c r="T1175" s="113"/>
      <c r="V1175"/>
      <c r="W1175"/>
      <c r="Y1175"/>
      <c r="Z1175"/>
      <c r="AA1175"/>
      <c r="AB1175"/>
      <c r="AC1175"/>
      <c r="AD1175"/>
      <c r="AE1175"/>
      <c r="AF1175"/>
    </row>
    <row r="1176" spans="1:32" s="45" customFormat="1" ht="12.75" hidden="1">
      <c r="A1176"/>
      <c r="B1176"/>
      <c r="C1176"/>
      <c r="D1176"/>
      <c r="E1176"/>
      <c r="F1176"/>
      <c r="G1176"/>
      <c r="H1176"/>
      <c r="I1176"/>
      <c r="J1176"/>
      <c r="K1176"/>
      <c r="L1176"/>
      <c r="M1176"/>
      <c r="N1176"/>
      <c r="O1176" s="109"/>
      <c r="P1176" s="110"/>
      <c r="Q1176" s="110"/>
      <c r="R1176" s="110"/>
      <c r="S1176" s="113"/>
      <c r="T1176" s="113"/>
      <c r="V1176"/>
      <c r="W1176"/>
      <c r="Y1176"/>
      <c r="Z1176"/>
      <c r="AA1176"/>
      <c r="AB1176"/>
      <c r="AC1176"/>
      <c r="AD1176"/>
      <c r="AE1176"/>
      <c r="AF1176"/>
    </row>
    <row r="1177" spans="1:32" s="45" customFormat="1" ht="12.75" hidden="1">
      <c r="A1177"/>
      <c r="B1177"/>
      <c r="C1177"/>
      <c r="D1177"/>
      <c r="E1177"/>
      <c r="F1177"/>
      <c r="G1177"/>
      <c r="H1177"/>
      <c r="I1177"/>
      <c r="J1177"/>
      <c r="K1177"/>
      <c r="L1177"/>
      <c r="M1177"/>
      <c r="N1177"/>
      <c r="O1177" s="109"/>
      <c r="P1177" s="110"/>
      <c r="Q1177" s="110"/>
      <c r="R1177" s="110"/>
      <c r="S1177" s="113"/>
      <c r="T1177" s="113"/>
      <c r="V1177"/>
      <c r="W1177"/>
      <c r="Y1177"/>
      <c r="Z1177"/>
      <c r="AA1177"/>
      <c r="AB1177"/>
      <c r="AC1177"/>
      <c r="AD1177"/>
      <c r="AE1177"/>
      <c r="AF1177"/>
    </row>
    <row r="1178" spans="1:32" s="45" customFormat="1" ht="12.75" hidden="1">
      <c r="A1178"/>
      <c r="B1178"/>
      <c r="C1178"/>
      <c r="D1178"/>
      <c r="E1178"/>
      <c r="F1178"/>
      <c r="G1178"/>
      <c r="H1178"/>
      <c r="I1178"/>
      <c r="J1178"/>
      <c r="K1178"/>
      <c r="L1178"/>
      <c r="M1178"/>
      <c r="N1178"/>
      <c r="O1178" s="109"/>
      <c r="P1178" s="110"/>
      <c r="Q1178" s="110"/>
      <c r="R1178" s="110"/>
      <c r="S1178" s="113"/>
      <c r="T1178" s="113"/>
      <c r="V1178"/>
      <c r="W1178"/>
      <c r="Y1178"/>
      <c r="Z1178"/>
      <c r="AA1178"/>
      <c r="AB1178"/>
      <c r="AC1178"/>
      <c r="AD1178"/>
      <c r="AE1178"/>
      <c r="AF1178"/>
    </row>
    <row r="1179" spans="1:32" s="45" customFormat="1" ht="12.75" hidden="1">
      <c r="A1179"/>
      <c r="B1179"/>
      <c r="C1179"/>
      <c r="D1179"/>
      <c r="E1179"/>
      <c r="F1179"/>
      <c r="G1179"/>
      <c r="H1179"/>
      <c r="I1179"/>
      <c r="J1179"/>
      <c r="K1179"/>
      <c r="L1179"/>
      <c r="M1179"/>
      <c r="N1179"/>
      <c r="O1179" s="109"/>
      <c r="P1179" s="110"/>
      <c r="Q1179" s="110"/>
      <c r="R1179" s="110"/>
      <c r="S1179" s="113"/>
      <c r="T1179" s="113"/>
      <c r="V1179"/>
      <c r="W1179"/>
      <c r="Y1179"/>
      <c r="Z1179"/>
      <c r="AA1179"/>
      <c r="AB1179"/>
      <c r="AC1179"/>
      <c r="AD1179"/>
      <c r="AE1179"/>
      <c r="AF1179"/>
    </row>
    <row r="1180" spans="1:32" s="45" customFormat="1" ht="12.75" hidden="1">
      <c r="A1180"/>
      <c r="B1180"/>
      <c r="C1180"/>
      <c r="D1180"/>
      <c r="E1180"/>
      <c r="F1180"/>
      <c r="G1180"/>
      <c r="H1180"/>
      <c r="I1180"/>
      <c r="J1180"/>
      <c r="K1180"/>
      <c r="L1180"/>
      <c r="M1180"/>
      <c r="N1180"/>
      <c r="O1180" s="109"/>
      <c r="P1180" s="110"/>
      <c r="Q1180" s="110"/>
      <c r="R1180" s="110"/>
      <c r="S1180" s="113"/>
      <c r="T1180" s="113"/>
      <c r="V1180"/>
      <c r="W1180"/>
      <c r="Y1180"/>
      <c r="Z1180"/>
      <c r="AA1180"/>
      <c r="AB1180"/>
      <c r="AC1180"/>
      <c r="AD1180"/>
      <c r="AE1180"/>
      <c r="AF1180"/>
    </row>
    <row r="1181" spans="1:32" s="45" customFormat="1" ht="12.75" hidden="1">
      <c r="A1181"/>
      <c r="B1181"/>
      <c r="C1181"/>
      <c r="D1181"/>
      <c r="E1181"/>
      <c r="F1181"/>
      <c r="G1181"/>
      <c r="H1181"/>
      <c r="I1181"/>
      <c r="J1181"/>
      <c r="K1181"/>
      <c r="L1181"/>
      <c r="M1181"/>
      <c r="N1181"/>
      <c r="O1181" s="109"/>
      <c r="P1181" s="110"/>
      <c r="Q1181" s="110"/>
      <c r="R1181" s="110"/>
      <c r="S1181" s="113"/>
      <c r="T1181" s="113"/>
      <c r="V1181"/>
      <c r="W1181"/>
      <c r="Y1181"/>
      <c r="Z1181"/>
      <c r="AA1181"/>
      <c r="AB1181"/>
      <c r="AC1181"/>
      <c r="AD1181"/>
      <c r="AE1181"/>
      <c r="AF1181"/>
    </row>
    <row r="1182" spans="1:32" s="45" customFormat="1" ht="12.75" hidden="1">
      <c r="A1182"/>
      <c r="B1182"/>
      <c r="C1182"/>
      <c r="D1182"/>
      <c r="E1182"/>
      <c r="F1182"/>
      <c r="G1182"/>
      <c r="H1182"/>
      <c r="I1182"/>
      <c r="J1182"/>
      <c r="K1182"/>
      <c r="L1182"/>
      <c r="M1182"/>
      <c r="N1182"/>
      <c r="O1182" s="109"/>
      <c r="P1182" s="110"/>
      <c r="Q1182" s="110"/>
      <c r="R1182" s="110"/>
      <c r="S1182" s="113"/>
      <c r="T1182" s="113"/>
      <c r="V1182"/>
      <c r="W1182"/>
      <c r="Y1182"/>
      <c r="Z1182"/>
      <c r="AA1182"/>
      <c r="AB1182"/>
      <c r="AC1182"/>
      <c r="AD1182"/>
      <c r="AE1182"/>
      <c r="AF1182"/>
    </row>
    <row r="1183" spans="1:32" s="45" customFormat="1" ht="12.75" hidden="1">
      <c r="A1183"/>
      <c r="B1183"/>
      <c r="C1183"/>
      <c r="D1183"/>
      <c r="E1183"/>
      <c r="F1183"/>
      <c r="G1183"/>
      <c r="H1183"/>
      <c r="I1183"/>
      <c r="J1183"/>
      <c r="K1183"/>
      <c r="L1183"/>
      <c r="M1183"/>
      <c r="N1183"/>
      <c r="O1183" s="109"/>
      <c r="P1183" s="110"/>
      <c r="Q1183" s="110"/>
      <c r="R1183" s="110"/>
      <c r="S1183" s="113"/>
      <c r="T1183" s="113"/>
      <c r="V1183"/>
      <c r="W1183"/>
      <c r="Y1183"/>
      <c r="Z1183"/>
      <c r="AA1183"/>
      <c r="AB1183"/>
      <c r="AC1183"/>
      <c r="AD1183"/>
      <c r="AE1183"/>
      <c r="AF1183"/>
    </row>
    <row r="1184" spans="1:32" s="45" customFormat="1" ht="12.75" hidden="1">
      <c r="A1184"/>
      <c r="B1184"/>
      <c r="C1184"/>
      <c r="D1184"/>
      <c r="E1184"/>
      <c r="F1184"/>
      <c r="G1184"/>
      <c r="H1184"/>
      <c r="I1184"/>
      <c r="J1184"/>
      <c r="K1184"/>
      <c r="L1184"/>
      <c r="M1184"/>
      <c r="N1184"/>
      <c r="O1184" s="109"/>
      <c r="P1184" s="110"/>
      <c r="Q1184" s="110"/>
      <c r="R1184" s="110"/>
      <c r="S1184" s="113"/>
      <c r="T1184" s="113"/>
      <c r="V1184"/>
      <c r="W1184"/>
      <c r="Y1184"/>
      <c r="Z1184"/>
      <c r="AA1184"/>
      <c r="AB1184"/>
      <c r="AC1184"/>
      <c r="AD1184"/>
      <c r="AE1184"/>
      <c r="AF1184"/>
    </row>
    <row r="1185" spans="1:32" s="45" customFormat="1" ht="12.75" hidden="1">
      <c r="A1185"/>
      <c r="B1185"/>
      <c r="C1185"/>
      <c r="D1185"/>
      <c r="E1185"/>
      <c r="F1185"/>
      <c r="G1185"/>
      <c r="H1185"/>
      <c r="I1185"/>
      <c r="J1185"/>
      <c r="K1185"/>
      <c r="L1185"/>
      <c r="M1185"/>
      <c r="N1185"/>
      <c r="O1185" s="109"/>
      <c r="P1185" s="110"/>
      <c r="Q1185" s="110"/>
      <c r="R1185" s="110"/>
      <c r="S1185" s="113"/>
      <c r="T1185" s="113"/>
      <c r="V1185"/>
      <c r="W1185"/>
      <c r="Y1185"/>
      <c r="Z1185"/>
      <c r="AA1185"/>
      <c r="AB1185"/>
      <c r="AC1185"/>
      <c r="AD1185"/>
      <c r="AE1185"/>
      <c r="AF1185"/>
    </row>
    <row r="1186" spans="1:32" s="45" customFormat="1" ht="12.75" hidden="1">
      <c r="A1186"/>
      <c r="B1186"/>
      <c r="C1186"/>
      <c r="D1186"/>
      <c r="E1186"/>
      <c r="F1186"/>
      <c r="G1186"/>
      <c r="H1186"/>
      <c r="I1186"/>
      <c r="J1186"/>
      <c r="K1186"/>
      <c r="L1186"/>
      <c r="M1186"/>
      <c r="N1186"/>
      <c r="O1186" s="109"/>
      <c r="P1186" s="110"/>
      <c r="Q1186" s="110"/>
      <c r="R1186" s="110"/>
      <c r="S1186" s="113"/>
      <c r="T1186" s="113"/>
      <c r="V1186"/>
      <c r="W1186"/>
      <c r="Y1186"/>
      <c r="Z1186"/>
      <c r="AA1186"/>
      <c r="AB1186"/>
      <c r="AC1186"/>
      <c r="AD1186"/>
      <c r="AE1186"/>
      <c r="AF1186"/>
    </row>
    <row r="1187" spans="1:32" s="45" customFormat="1" ht="12.75" hidden="1">
      <c r="A1187"/>
      <c r="B1187"/>
      <c r="C1187"/>
      <c r="D1187"/>
      <c r="E1187"/>
      <c r="F1187"/>
      <c r="G1187"/>
      <c r="H1187"/>
      <c r="I1187"/>
      <c r="J1187"/>
      <c r="K1187"/>
      <c r="L1187"/>
      <c r="M1187"/>
      <c r="N1187"/>
      <c r="O1187" s="109"/>
      <c r="P1187" s="110"/>
      <c r="Q1187" s="110"/>
      <c r="R1187" s="110"/>
      <c r="S1187" s="113"/>
      <c r="T1187" s="113"/>
      <c r="V1187"/>
      <c r="W1187"/>
      <c r="Y1187"/>
      <c r="Z1187"/>
      <c r="AA1187"/>
      <c r="AB1187"/>
      <c r="AC1187"/>
      <c r="AD1187"/>
      <c r="AE1187"/>
      <c r="AF1187"/>
    </row>
    <row r="1188" spans="1:32" s="45" customFormat="1" ht="12.75" hidden="1">
      <c r="A1188"/>
      <c r="B1188"/>
      <c r="C1188"/>
      <c r="D1188"/>
      <c r="E1188"/>
      <c r="F1188"/>
      <c r="G1188"/>
      <c r="H1188"/>
      <c r="I1188"/>
      <c r="J1188"/>
      <c r="K1188"/>
      <c r="L1188"/>
      <c r="M1188"/>
      <c r="N1188"/>
      <c r="O1188" s="109"/>
      <c r="P1188" s="110"/>
      <c r="Q1188" s="110"/>
      <c r="R1188" s="110"/>
      <c r="S1188" s="113"/>
      <c r="T1188" s="113"/>
      <c r="V1188"/>
      <c r="W1188"/>
      <c r="Y1188"/>
      <c r="Z1188"/>
      <c r="AA1188"/>
      <c r="AB1188"/>
      <c r="AC1188"/>
      <c r="AD1188"/>
      <c r="AE1188"/>
      <c r="AF1188"/>
    </row>
    <row r="1189" spans="1:32" s="45" customFormat="1" ht="12.75" hidden="1">
      <c r="A1189"/>
      <c r="B1189"/>
      <c r="C1189"/>
      <c r="D1189"/>
      <c r="E1189"/>
      <c r="F1189"/>
      <c r="G1189"/>
      <c r="H1189"/>
      <c r="I1189"/>
      <c r="J1189"/>
      <c r="K1189"/>
      <c r="L1189"/>
      <c r="M1189"/>
      <c r="N1189"/>
      <c r="O1189" s="109"/>
      <c r="P1189" s="110"/>
      <c r="Q1189" s="110"/>
      <c r="R1189" s="110"/>
      <c r="S1189" s="113"/>
      <c r="T1189" s="113"/>
      <c r="V1189"/>
      <c r="W1189"/>
      <c r="Y1189"/>
      <c r="Z1189"/>
      <c r="AA1189"/>
      <c r="AB1189"/>
      <c r="AC1189"/>
      <c r="AD1189"/>
      <c r="AE1189"/>
      <c r="AF1189"/>
    </row>
    <row r="1190" spans="1:32" s="45" customFormat="1" ht="12.75" hidden="1">
      <c r="A1190"/>
      <c r="B1190"/>
      <c r="C1190"/>
      <c r="D1190"/>
      <c r="E1190"/>
      <c r="F1190"/>
      <c r="G1190"/>
      <c r="H1190"/>
      <c r="I1190"/>
      <c r="J1190"/>
      <c r="K1190"/>
      <c r="L1190"/>
      <c r="M1190"/>
      <c r="N1190"/>
      <c r="O1190" s="109"/>
      <c r="P1190" s="110"/>
      <c r="Q1190" s="110"/>
      <c r="R1190" s="110"/>
      <c r="S1190" s="113"/>
      <c r="T1190" s="113"/>
      <c r="V1190"/>
      <c r="W1190"/>
      <c r="Y1190"/>
      <c r="Z1190"/>
      <c r="AA1190"/>
      <c r="AB1190"/>
      <c r="AC1190"/>
      <c r="AD1190"/>
      <c r="AE1190"/>
      <c r="AF1190"/>
    </row>
    <row r="1191" spans="1:32" s="45" customFormat="1" ht="12.75" hidden="1">
      <c r="A1191"/>
      <c r="B1191"/>
      <c r="C1191"/>
      <c r="D1191"/>
      <c r="E1191"/>
      <c r="F1191"/>
      <c r="G1191"/>
      <c r="H1191"/>
      <c r="I1191"/>
      <c r="J1191"/>
      <c r="K1191"/>
      <c r="L1191"/>
      <c r="M1191"/>
      <c r="N1191"/>
      <c r="O1191" s="109"/>
      <c r="P1191" s="110"/>
      <c r="Q1191" s="110"/>
      <c r="R1191" s="110"/>
      <c r="S1191" s="113"/>
      <c r="T1191" s="113"/>
      <c r="V1191"/>
      <c r="W1191"/>
      <c r="Y1191"/>
      <c r="Z1191"/>
      <c r="AA1191"/>
      <c r="AB1191"/>
      <c r="AC1191"/>
      <c r="AD1191"/>
      <c r="AE1191"/>
      <c r="AF1191"/>
    </row>
    <row r="1192" spans="1:32" s="45" customFormat="1" ht="12.75" hidden="1">
      <c r="A1192"/>
      <c r="B1192"/>
      <c r="C1192"/>
      <c r="D1192"/>
      <c r="E1192"/>
      <c r="F1192"/>
      <c r="G1192"/>
      <c r="H1192"/>
      <c r="I1192"/>
      <c r="J1192"/>
      <c r="K1192"/>
      <c r="L1192"/>
      <c r="M1192"/>
      <c r="N1192"/>
      <c r="O1192" s="109"/>
      <c r="P1192" s="110"/>
      <c r="Q1192" s="110"/>
      <c r="R1192" s="110"/>
      <c r="S1192" s="113"/>
      <c r="T1192" s="113"/>
      <c r="V1192"/>
      <c r="W1192"/>
      <c r="Y1192"/>
      <c r="Z1192"/>
      <c r="AA1192"/>
      <c r="AB1192"/>
      <c r="AC1192"/>
      <c r="AD1192"/>
      <c r="AE1192"/>
      <c r="AF1192"/>
    </row>
    <row r="1193" spans="1:32" s="45" customFormat="1" ht="12.75" hidden="1">
      <c r="A1193"/>
      <c r="B1193"/>
      <c r="C1193"/>
      <c r="D1193"/>
      <c r="E1193"/>
      <c r="F1193"/>
      <c r="G1193"/>
      <c r="H1193"/>
      <c r="I1193"/>
      <c r="J1193"/>
      <c r="K1193"/>
      <c r="L1193"/>
      <c r="M1193"/>
      <c r="N1193"/>
      <c r="O1193" s="109"/>
      <c r="P1193" s="110"/>
      <c r="Q1193" s="110"/>
      <c r="R1193" s="110"/>
      <c r="S1193" s="113"/>
      <c r="T1193" s="113"/>
      <c r="V1193"/>
      <c r="W1193"/>
      <c r="Y1193"/>
      <c r="Z1193"/>
      <c r="AA1193"/>
      <c r="AB1193"/>
      <c r="AC1193"/>
      <c r="AD1193"/>
      <c r="AE1193"/>
      <c r="AF1193"/>
    </row>
    <row r="1194" spans="1:32" s="45" customFormat="1" ht="12.75" hidden="1">
      <c r="A1194"/>
      <c r="B1194"/>
      <c r="C1194"/>
      <c r="D1194"/>
      <c r="E1194"/>
      <c r="F1194"/>
      <c r="G1194"/>
      <c r="H1194"/>
      <c r="I1194"/>
      <c r="J1194"/>
      <c r="K1194"/>
      <c r="L1194"/>
      <c r="M1194"/>
      <c r="N1194"/>
      <c r="O1194" s="109"/>
      <c r="P1194" s="110"/>
      <c r="Q1194" s="110"/>
      <c r="R1194" s="110"/>
      <c r="S1194" s="113"/>
      <c r="T1194" s="113"/>
      <c r="V1194"/>
      <c r="W1194"/>
      <c r="Y1194"/>
      <c r="Z1194"/>
      <c r="AA1194"/>
      <c r="AB1194"/>
      <c r="AC1194"/>
      <c r="AD1194"/>
      <c r="AE1194"/>
      <c r="AF1194"/>
    </row>
    <row r="1195" spans="1:32" s="45" customFormat="1" ht="12.75" hidden="1">
      <c r="A1195"/>
      <c r="B1195"/>
      <c r="C1195"/>
      <c r="D1195"/>
      <c r="E1195"/>
      <c r="F1195"/>
      <c r="G1195"/>
      <c r="H1195"/>
      <c r="I1195"/>
      <c r="J1195"/>
      <c r="K1195"/>
      <c r="L1195"/>
      <c r="M1195"/>
      <c r="N1195"/>
      <c r="O1195" s="109"/>
      <c r="P1195" s="110"/>
      <c r="Q1195" s="110"/>
      <c r="R1195" s="110"/>
      <c r="S1195" s="113"/>
      <c r="T1195" s="113"/>
      <c r="V1195"/>
      <c r="W1195"/>
      <c r="Y1195"/>
      <c r="Z1195"/>
      <c r="AA1195"/>
      <c r="AB1195"/>
      <c r="AC1195"/>
      <c r="AD1195"/>
      <c r="AE1195"/>
      <c r="AF1195"/>
    </row>
    <row r="1196" spans="1:32" s="45" customFormat="1" ht="12.75" hidden="1">
      <c r="A1196"/>
      <c r="B1196"/>
      <c r="C1196"/>
      <c r="D1196"/>
      <c r="E1196"/>
      <c r="F1196"/>
      <c r="G1196"/>
      <c r="H1196"/>
      <c r="I1196"/>
      <c r="J1196"/>
      <c r="K1196"/>
      <c r="L1196"/>
      <c r="M1196"/>
      <c r="N1196"/>
      <c r="O1196" s="109"/>
      <c r="P1196" s="110"/>
      <c r="Q1196" s="110"/>
      <c r="R1196" s="110"/>
      <c r="S1196" s="113"/>
      <c r="T1196" s="113"/>
      <c r="V1196"/>
      <c r="W1196"/>
      <c r="Y1196"/>
      <c r="Z1196"/>
      <c r="AA1196"/>
      <c r="AB1196"/>
      <c r="AC1196"/>
      <c r="AD1196"/>
      <c r="AE1196"/>
      <c r="AF1196"/>
    </row>
    <row r="1197" spans="1:32" s="45" customFormat="1" ht="12.75" hidden="1">
      <c r="A1197"/>
      <c r="B1197"/>
      <c r="C1197"/>
      <c r="D1197"/>
      <c r="E1197"/>
      <c r="F1197"/>
      <c r="G1197"/>
      <c r="H1197"/>
      <c r="I1197"/>
      <c r="J1197"/>
      <c r="K1197"/>
      <c r="L1197"/>
      <c r="M1197"/>
      <c r="N1197"/>
      <c r="O1197" s="109"/>
      <c r="P1197" s="110"/>
      <c r="Q1197" s="110"/>
      <c r="R1197" s="110"/>
      <c r="S1197" s="113"/>
      <c r="T1197" s="113"/>
      <c r="V1197"/>
      <c r="W1197"/>
      <c r="Y1197"/>
      <c r="Z1197"/>
      <c r="AA1197"/>
      <c r="AB1197"/>
      <c r="AC1197"/>
      <c r="AD1197"/>
      <c r="AE1197"/>
      <c r="AF1197"/>
    </row>
    <row r="1198" spans="1:32" s="45" customFormat="1" ht="12.75" hidden="1">
      <c r="A1198"/>
      <c r="B1198"/>
      <c r="C1198"/>
      <c r="D1198"/>
      <c r="E1198"/>
      <c r="F1198"/>
      <c r="G1198"/>
      <c r="H1198"/>
      <c r="I1198"/>
      <c r="J1198"/>
      <c r="K1198"/>
      <c r="L1198"/>
      <c r="M1198"/>
      <c r="N1198"/>
      <c r="O1198" s="109"/>
      <c r="P1198" s="110"/>
      <c r="Q1198" s="110"/>
      <c r="R1198" s="110"/>
      <c r="S1198" s="113"/>
      <c r="T1198" s="113"/>
      <c r="V1198"/>
      <c r="W1198"/>
      <c r="Y1198"/>
      <c r="Z1198"/>
      <c r="AA1198"/>
      <c r="AB1198"/>
      <c r="AC1198"/>
      <c r="AD1198"/>
      <c r="AE1198"/>
      <c r="AF1198"/>
    </row>
    <row r="1199" spans="1:32" s="45" customFormat="1" ht="12.75" hidden="1">
      <c r="A1199"/>
      <c r="B1199"/>
      <c r="C1199"/>
      <c r="D1199"/>
      <c r="E1199"/>
      <c r="F1199"/>
      <c r="G1199"/>
      <c r="H1199"/>
      <c r="I1199"/>
      <c r="J1199"/>
      <c r="K1199"/>
      <c r="L1199"/>
      <c r="M1199"/>
      <c r="N1199"/>
      <c r="O1199" s="109"/>
      <c r="P1199" s="110"/>
      <c r="Q1199" s="110"/>
      <c r="R1199" s="110"/>
      <c r="S1199" s="113"/>
      <c r="T1199" s="113"/>
      <c r="V1199"/>
      <c r="W1199"/>
      <c r="Y1199"/>
      <c r="Z1199"/>
      <c r="AA1199"/>
      <c r="AB1199"/>
      <c r="AC1199"/>
      <c r="AD1199"/>
      <c r="AE1199"/>
      <c r="AF1199"/>
    </row>
    <row r="1200" spans="1:32" s="45" customFormat="1" ht="12.75" hidden="1">
      <c r="A1200"/>
      <c r="B1200"/>
      <c r="C1200"/>
      <c r="D1200"/>
      <c r="E1200"/>
      <c r="F1200"/>
      <c r="G1200"/>
      <c r="H1200"/>
      <c r="I1200"/>
      <c r="J1200"/>
      <c r="K1200"/>
      <c r="L1200"/>
      <c r="M1200"/>
      <c r="N1200"/>
      <c r="O1200" s="109"/>
      <c r="P1200" s="110"/>
      <c r="Q1200" s="110"/>
      <c r="R1200" s="110"/>
      <c r="S1200" s="113"/>
      <c r="T1200" s="113"/>
      <c r="V1200"/>
      <c r="W1200"/>
      <c r="Y1200"/>
      <c r="Z1200"/>
      <c r="AA1200"/>
      <c r="AB1200"/>
      <c r="AC1200"/>
      <c r="AD1200"/>
      <c r="AE1200"/>
      <c r="AF1200"/>
    </row>
    <row r="1201" spans="1:32" s="45" customFormat="1" ht="12.75" hidden="1">
      <c r="A1201"/>
      <c r="B1201"/>
      <c r="C1201"/>
      <c r="D1201"/>
      <c r="E1201"/>
      <c r="F1201"/>
      <c r="G1201"/>
      <c r="H1201"/>
      <c r="I1201"/>
      <c r="J1201"/>
      <c r="K1201"/>
      <c r="L1201"/>
      <c r="M1201"/>
      <c r="N1201"/>
      <c r="O1201" s="109"/>
      <c r="P1201" s="110"/>
      <c r="Q1201" s="110"/>
      <c r="R1201" s="110"/>
      <c r="S1201" s="113"/>
      <c r="T1201" s="113"/>
      <c r="V1201"/>
      <c r="W1201"/>
      <c r="Y1201"/>
      <c r="Z1201"/>
      <c r="AA1201"/>
      <c r="AB1201"/>
      <c r="AC1201"/>
      <c r="AD1201"/>
      <c r="AE1201"/>
      <c r="AF1201"/>
    </row>
    <row r="1202" spans="1:32" s="45" customFormat="1" ht="12.75" hidden="1">
      <c r="A1202"/>
      <c r="B1202"/>
      <c r="C1202"/>
      <c r="D1202"/>
      <c r="E1202"/>
      <c r="F1202"/>
      <c r="G1202"/>
      <c r="H1202"/>
      <c r="I1202"/>
      <c r="J1202"/>
      <c r="K1202"/>
      <c r="L1202"/>
      <c r="M1202"/>
      <c r="N1202"/>
      <c r="O1202" s="109"/>
      <c r="P1202" s="110"/>
      <c r="Q1202" s="110"/>
      <c r="R1202" s="110"/>
      <c r="S1202" s="113"/>
      <c r="T1202" s="113"/>
      <c r="V1202"/>
      <c r="W1202"/>
      <c r="Y1202"/>
      <c r="Z1202"/>
      <c r="AA1202"/>
      <c r="AB1202"/>
      <c r="AC1202"/>
      <c r="AD1202"/>
      <c r="AE1202"/>
      <c r="AF1202"/>
    </row>
    <row r="1203" spans="1:32" s="45" customFormat="1" ht="12.75" hidden="1">
      <c r="A1203"/>
      <c r="B1203"/>
      <c r="C1203"/>
      <c r="D1203"/>
      <c r="E1203"/>
      <c r="F1203"/>
      <c r="G1203"/>
      <c r="H1203"/>
      <c r="I1203"/>
      <c r="J1203"/>
      <c r="K1203"/>
      <c r="L1203"/>
      <c r="M1203"/>
      <c r="N1203"/>
      <c r="O1203" s="109"/>
      <c r="P1203" s="110"/>
      <c r="Q1203" s="110"/>
      <c r="R1203" s="110"/>
      <c r="S1203" s="113"/>
      <c r="T1203" s="113"/>
      <c r="V1203"/>
      <c r="W1203"/>
      <c r="Y1203"/>
      <c r="Z1203"/>
      <c r="AA1203"/>
      <c r="AB1203"/>
      <c r="AC1203"/>
      <c r="AD1203"/>
      <c r="AE1203"/>
      <c r="AF1203"/>
    </row>
    <row r="1204" spans="1:32" s="45" customFormat="1" ht="12.75" hidden="1">
      <c r="A1204"/>
      <c r="B1204"/>
      <c r="C1204"/>
      <c r="D1204"/>
      <c r="E1204"/>
      <c r="F1204"/>
      <c r="G1204"/>
      <c r="H1204"/>
      <c r="I1204"/>
      <c r="J1204"/>
      <c r="K1204"/>
      <c r="L1204"/>
      <c r="M1204"/>
      <c r="N1204"/>
      <c r="O1204" s="109"/>
      <c r="P1204" s="110"/>
      <c r="Q1204" s="110"/>
      <c r="R1204" s="110"/>
      <c r="S1204" s="113"/>
      <c r="T1204" s="113"/>
      <c r="V1204"/>
      <c r="W1204"/>
      <c r="Y1204"/>
      <c r="Z1204"/>
      <c r="AA1204"/>
      <c r="AB1204"/>
      <c r="AC1204"/>
      <c r="AD1204"/>
      <c r="AE1204"/>
      <c r="AF1204"/>
    </row>
    <row r="1205" spans="1:32" s="45" customFormat="1" ht="12.75" hidden="1">
      <c r="A1205"/>
      <c r="B1205"/>
      <c r="C1205"/>
      <c r="D1205"/>
      <c r="E1205"/>
      <c r="F1205"/>
      <c r="G1205"/>
      <c r="H1205"/>
      <c r="I1205"/>
      <c r="J1205"/>
      <c r="K1205"/>
      <c r="L1205"/>
      <c r="M1205"/>
      <c r="N1205"/>
      <c r="O1205" s="109"/>
      <c r="P1205" s="110"/>
      <c r="Q1205" s="110"/>
      <c r="R1205" s="110"/>
      <c r="S1205" s="113"/>
      <c r="T1205" s="113"/>
      <c r="V1205"/>
      <c r="W1205"/>
      <c r="Y1205"/>
      <c r="Z1205"/>
      <c r="AA1205"/>
      <c r="AB1205"/>
      <c r="AC1205"/>
      <c r="AD1205"/>
      <c r="AE1205"/>
      <c r="AF1205"/>
    </row>
    <row r="1206" spans="1:32" s="45" customFormat="1" ht="12.75" hidden="1">
      <c r="A1206"/>
      <c r="B1206"/>
      <c r="C1206"/>
      <c r="D1206"/>
      <c r="E1206"/>
      <c r="F1206"/>
      <c r="G1206"/>
      <c r="H1206"/>
      <c r="I1206"/>
      <c r="J1206"/>
      <c r="K1206"/>
      <c r="L1206"/>
      <c r="M1206"/>
      <c r="N1206"/>
      <c r="O1206" s="109"/>
      <c r="P1206" s="110"/>
      <c r="Q1206" s="110"/>
      <c r="R1206" s="110"/>
      <c r="S1206" s="113"/>
      <c r="T1206" s="113"/>
      <c r="V1206"/>
      <c r="W1206"/>
      <c r="Y1206"/>
      <c r="Z1206"/>
      <c r="AA1206"/>
      <c r="AB1206"/>
      <c r="AC1206"/>
      <c r="AD1206"/>
      <c r="AE1206"/>
      <c r="AF1206"/>
    </row>
    <row r="1207" spans="1:32" s="45" customFormat="1" ht="12.75" hidden="1">
      <c r="A1207"/>
      <c r="B1207"/>
      <c r="C1207"/>
      <c r="D1207"/>
      <c r="E1207"/>
      <c r="F1207"/>
      <c r="G1207"/>
      <c r="H1207"/>
      <c r="I1207"/>
      <c r="J1207"/>
      <c r="K1207"/>
      <c r="L1207"/>
      <c r="M1207"/>
      <c r="N1207"/>
      <c r="O1207" s="109"/>
      <c r="P1207" s="110"/>
      <c r="Q1207" s="110"/>
      <c r="R1207" s="110"/>
      <c r="S1207" s="113"/>
      <c r="T1207" s="113"/>
      <c r="V1207"/>
      <c r="W1207"/>
      <c r="Y1207"/>
      <c r="Z1207"/>
      <c r="AA1207"/>
      <c r="AB1207"/>
      <c r="AC1207"/>
      <c r="AD1207"/>
      <c r="AE1207"/>
      <c r="AF1207"/>
    </row>
    <row r="1208" spans="1:32" s="45" customFormat="1" ht="12.75" hidden="1">
      <c r="A1208"/>
      <c r="B1208"/>
      <c r="C1208"/>
      <c r="D1208"/>
      <c r="E1208"/>
      <c r="F1208"/>
      <c r="G1208"/>
      <c r="H1208"/>
      <c r="I1208"/>
      <c r="J1208"/>
      <c r="K1208"/>
      <c r="L1208"/>
      <c r="M1208"/>
      <c r="N1208"/>
      <c r="O1208" s="109"/>
      <c r="P1208" s="110"/>
      <c r="Q1208" s="110"/>
      <c r="R1208" s="110"/>
      <c r="S1208" s="113"/>
      <c r="T1208" s="113"/>
      <c r="V1208"/>
      <c r="W1208"/>
      <c r="Y1208"/>
      <c r="Z1208"/>
      <c r="AA1208"/>
      <c r="AB1208"/>
      <c r="AC1208"/>
      <c r="AD1208"/>
      <c r="AE1208"/>
      <c r="AF1208"/>
    </row>
    <row r="1209" spans="1:32" s="45" customFormat="1" ht="12.75" hidden="1">
      <c r="A1209"/>
      <c r="B1209"/>
      <c r="C1209"/>
      <c r="D1209"/>
      <c r="E1209"/>
      <c r="F1209"/>
      <c r="G1209"/>
      <c r="H1209"/>
      <c r="I1209"/>
      <c r="J1209"/>
      <c r="K1209"/>
      <c r="L1209"/>
      <c r="M1209"/>
      <c r="N1209"/>
      <c r="O1209" s="109"/>
      <c r="P1209" s="110"/>
      <c r="Q1209" s="110"/>
      <c r="R1209" s="110"/>
      <c r="S1209" s="113"/>
      <c r="T1209" s="113"/>
      <c r="V1209"/>
      <c r="W1209"/>
      <c r="Y1209"/>
      <c r="Z1209"/>
      <c r="AA1209"/>
      <c r="AB1209"/>
      <c r="AC1209"/>
      <c r="AD1209"/>
      <c r="AE1209"/>
      <c r="AF1209"/>
    </row>
    <row r="1210" spans="1:32" s="45" customFormat="1" ht="12.75" hidden="1">
      <c r="A1210"/>
      <c r="B1210"/>
      <c r="C1210"/>
      <c r="D1210"/>
      <c r="E1210"/>
      <c r="F1210"/>
      <c r="G1210"/>
      <c r="H1210"/>
      <c r="I1210"/>
      <c r="J1210"/>
      <c r="K1210"/>
      <c r="L1210"/>
      <c r="M1210"/>
      <c r="N1210"/>
      <c r="O1210" s="109"/>
      <c r="P1210" s="110"/>
      <c r="Q1210" s="110"/>
      <c r="R1210" s="110"/>
      <c r="S1210" s="113"/>
      <c r="T1210" s="113"/>
      <c r="V1210"/>
      <c r="W1210"/>
      <c r="Y1210"/>
      <c r="Z1210"/>
      <c r="AA1210"/>
      <c r="AB1210"/>
      <c r="AC1210"/>
      <c r="AD1210"/>
      <c r="AE1210"/>
      <c r="AF1210"/>
    </row>
    <row r="1211" spans="1:32" s="45" customFormat="1" ht="12.75" hidden="1">
      <c r="A1211"/>
      <c r="B1211"/>
      <c r="C1211"/>
      <c r="D1211"/>
      <c r="E1211"/>
      <c r="F1211"/>
      <c r="G1211"/>
      <c r="H1211"/>
      <c r="I1211"/>
      <c r="J1211"/>
      <c r="K1211"/>
      <c r="L1211"/>
      <c r="M1211"/>
      <c r="N1211"/>
      <c r="O1211" s="109"/>
      <c r="P1211" s="110"/>
      <c r="Q1211" s="110"/>
      <c r="R1211" s="110"/>
      <c r="S1211" s="113"/>
      <c r="T1211" s="113"/>
      <c r="V1211"/>
      <c r="W1211"/>
      <c r="Y1211"/>
      <c r="Z1211"/>
      <c r="AA1211"/>
      <c r="AB1211"/>
      <c r="AC1211"/>
      <c r="AD1211"/>
      <c r="AE1211"/>
      <c r="AF1211"/>
    </row>
    <row r="1212" spans="1:32" s="45" customFormat="1" ht="12.75" hidden="1">
      <c r="A1212"/>
      <c r="B1212"/>
      <c r="C1212"/>
      <c r="D1212"/>
      <c r="E1212"/>
      <c r="F1212"/>
      <c r="G1212"/>
      <c r="H1212"/>
      <c r="I1212"/>
      <c r="J1212"/>
      <c r="K1212"/>
      <c r="L1212"/>
      <c r="M1212"/>
      <c r="N1212"/>
      <c r="O1212" s="109"/>
      <c r="P1212" s="110"/>
      <c r="Q1212" s="110"/>
      <c r="R1212" s="110"/>
      <c r="S1212" s="113"/>
      <c r="T1212" s="113"/>
      <c r="V1212"/>
      <c r="W1212"/>
      <c r="Y1212"/>
      <c r="Z1212"/>
      <c r="AA1212"/>
      <c r="AB1212"/>
      <c r="AC1212"/>
      <c r="AD1212"/>
      <c r="AE1212"/>
      <c r="AF1212"/>
    </row>
    <row r="1213" spans="1:32" s="45" customFormat="1" ht="12.75" hidden="1">
      <c r="A1213"/>
      <c r="B1213"/>
      <c r="C1213"/>
      <c r="D1213"/>
      <c r="E1213"/>
      <c r="F1213"/>
      <c r="G1213"/>
      <c r="H1213"/>
      <c r="I1213"/>
      <c r="J1213"/>
      <c r="K1213"/>
      <c r="L1213"/>
      <c r="M1213"/>
      <c r="N1213"/>
      <c r="O1213" s="109"/>
      <c r="P1213" s="110"/>
      <c r="Q1213" s="110"/>
      <c r="R1213" s="110"/>
      <c r="S1213" s="113"/>
      <c r="T1213" s="113"/>
      <c r="V1213"/>
      <c r="W1213"/>
      <c r="Y1213"/>
      <c r="Z1213"/>
      <c r="AA1213"/>
      <c r="AB1213"/>
      <c r="AC1213"/>
      <c r="AD1213"/>
      <c r="AE1213"/>
      <c r="AF1213"/>
    </row>
    <row r="1214" spans="1:32" s="45" customFormat="1" ht="12.75" hidden="1">
      <c r="A1214"/>
      <c r="B1214"/>
      <c r="C1214"/>
      <c r="D1214"/>
      <c r="E1214"/>
      <c r="F1214"/>
      <c r="G1214"/>
      <c r="H1214"/>
      <c r="I1214"/>
      <c r="J1214"/>
      <c r="K1214"/>
      <c r="L1214"/>
      <c r="M1214"/>
      <c r="N1214"/>
      <c r="O1214" s="109"/>
      <c r="P1214" s="110"/>
      <c r="Q1214" s="110"/>
      <c r="R1214" s="110"/>
      <c r="S1214" s="113"/>
      <c r="T1214" s="113"/>
      <c r="V1214"/>
      <c r="W1214"/>
      <c r="Y1214"/>
      <c r="Z1214"/>
      <c r="AA1214"/>
      <c r="AB1214"/>
      <c r="AC1214"/>
      <c r="AD1214"/>
      <c r="AE1214"/>
      <c r="AF1214"/>
    </row>
    <row r="1215" spans="1:32" s="45" customFormat="1" ht="12.75" hidden="1">
      <c r="A1215"/>
      <c r="B1215"/>
      <c r="C1215"/>
      <c r="D1215"/>
      <c r="E1215"/>
      <c r="F1215"/>
      <c r="G1215"/>
      <c r="H1215"/>
      <c r="I1215"/>
      <c r="J1215"/>
      <c r="K1215"/>
      <c r="L1215"/>
      <c r="M1215"/>
      <c r="N1215"/>
      <c r="O1215" s="109"/>
      <c r="P1215" s="110"/>
      <c r="Q1215" s="110"/>
      <c r="R1215" s="110"/>
      <c r="S1215" s="113"/>
      <c r="T1215" s="113"/>
      <c r="V1215"/>
      <c r="W1215"/>
      <c r="Y1215"/>
      <c r="Z1215"/>
      <c r="AA1215"/>
      <c r="AB1215"/>
      <c r="AC1215"/>
      <c r="AD1215"/>
      <c r="AE1215"/>
      <c r="AF1215"/>
    </row>
    <row r="1216" spans="1:32" s="45" customFormat="1" ht="12.75" hidden="1">
      <c r="A1216"/>
      <c r="B1216"/>
      <c r="C1216"/>
      <c r="D1216"/>
      <c r="E1216"/>
      <c r="F1216"/>
      <c r="G1216"/>
      <c r="H1216"/>
      <c r="I1216"/>
      <c r="J1216"/>
      <c r="K1216"/>
      <c r="L1216"/>
      <c r="M1216"/>
      <c r="N1216"/>
      <c r="O1216" s="109"/>
      <c r="P1216" s="110"/>
      <c r="Q1216" s="110"/>
      <c r="R1216" s="110"/>
      <c r="S1216" s="113"/>
      <c r="T1216" s="113"/>
      <c r="V1216"/>
      <c r="W1216"/>
      <c r="Y1216"/>
      <c r="Z1216"/>
      <c r="AA1216"/>
      <c r="AB1216"/>
      <c r="AC1216"/>
      <c r="AD1216"/>
      <c r="AE1216"/>
      <c r="AF1216"/>
    </row>
    <row r="1217" spans="1:32" s="45" customFormat="1" ht="12.75" hidden="1">
      <c r="A1217"/>
      <c r="B1217"/>
      <c r="C1217"/>
      <c r="D1217"/>
      <c r="E1217"/>
      <c r="F1217"/>
      <c r="G1217"/>
      <c r="H1217"/>
      <c r="I1217"/>
      <c r="J1217"/>
      <c r="K1217"/>
      <c r="L1217"/>
      <c r="M1217"/>
      <c r="N1217"/>
      <c r="O1217" s="109"/>
      <c r="P1217" s="110"/>
      <c r="Q1217" s="110"/>
      <c r="R1217" s="110"/>
      <c r="S1217" s="113"/>
      <c r="T1217" s="113"/>
      <c r="V1217"/>
      <c r="W1217"/>
      <c r="Y1217"/>
      <c r="Z1217"/>
      <c r="AA1217"/>
      <c r="AB1217"/>
      <c r="AC1217"/>
      <c r="AD1217"/>
      <c r="AE1217"/>
      <c r="AF1217"/>
    </row>
    <row r="1218" spans="1:32" s="45" customFormat="1" ht="12.75" hidden="1">
      <c r="A1218"/>
      <c r="B1218"/>
      <c r="C1218"/>
      <c r="D1218"/>
      <c r="E1218"/>
      <c r="F1218"/>
      <c r="G1218"/>
      <c r="H1218"/>
      <c r="I1218"/>
      <c r="J1218"/>
      <c r="K1218"/>
      <c r="L1218"/>
      <c r="M1218"/>
      <c r="N1218"/>
      <c r="O1218" s="109"/>
      <c r="P1218" s="110"/>
      <c r="Q1218" s="110"/>
      <c r="R1218" s="110"/>
      <c r="S1218" s="113"/>
      <c r="T1218" s="113"/>
      <c r="V1218"/>
      <c r="W1218"/>
      <c r="Y1218"/>
      <c r="Z1218"/>
      <c r="AA1218"/>
      <c r="AB1218"/>
      <c r="AC1218"/>
      <c r="AD1218"/>
      <c r="AE1218"/>
      <c r="AF1218"/>
    </row>
    <row r="1219" spans="1:32" s="45" customFormat="1" ht="12.75" hidden="1">
      <c r="A1219"/>
      <c r="B1219"/>
      <c r="C1219"/>
      <c r="D1219"/>
      <c r="E1219"/>
      <c r="F1219"/>
      <c r="G1219"/>
      <c r="H1219"/>
      <c r="I1219"/>
      <c r="J1219"/>
      <c r="K1219"/>
      <c r="L1219"/>
      <c r="M1219"/>
      <c r="N1219"/>
      <c r="O1219" s="109"/>
      <c r="P1219" s="110"/>
      <c r="Q1219" s="110"/>
      <c r="R1219" s="110"/>
      <c r="S1219" s="113"/>
      <c r="T1219" s="113"/>
      <c r="V1219"/>
      <c r="W1219"/>
      <c r="Y1219"/>
      <c r="Z1219"/>
      <c r="AA1219"/>
      <c r="AB1219"/>
      <c r="AC1219"/>
      <c r="AD1219"/>
      <c r="AE1219"/>
      <c r="AF1219"/>
    </row>
    <row r="1220" spans="1:32" s="45" customFormat="1" ht="12.75" hidden="1">
      <c r="A1220"/>
      <c r="B1220"/>
      <c r="C1220"/>
      <c r="D1220"/>
      <c r="E1220"/>
      <c r="F1220"/>
      <c r="G1220"/>
      <c r="H1220"/>
      <c r="I1220"/>
      <c r="J1220"/>
      <c r="K1220"/>
      <c r="L1220"/>
      <c r="M1220"/>
      <c r="N1220"/>
      <c r="O1220" s="109"/>
      <c r="P1220" s="110"/>
      <c r="Q1220" s="110"/>
      <c r="R1220" s="110"/>
      <c r="S1220" s="113"/>
      <c r="T1220" s="113"/>
      <c r="V1220"/>
      <c r="W1220"/>
      <c r="Y1220"/>
      <c r="Z1220"/>
      <c r="AA1220"/>
      <c r="AB1220"/>
      <c r="AC1220"/>
      <c r="AD1220"/>
      <c r="AE1220"/>
      <c r="AF1220"/>
    </row>
    <row r="1221" spans="1:32" s="45" customFormat="1" ht="12.75" hidden="1">
      <c r="A1221"/>
      <c r="B1221"/>
      <c r="C1221"/>
      <c r="D1221"/>
      <c r="E1221"/>
      <c r="F1221"/>
      <c r="G1221"/>
      <c r="H1221"/>
      <c r="I1221"/>
      <c r="J1221"/>
      <c r="K1221"/>
      <c r="L1221"/>
      <c r="M1221"/>
      <c r="N1221"/>
      <c r="O1221" s="109"/>
      <c r="P1221" s="110"/>
      <c r="Q1221" s="110"/>
      <c r="R1221" s="110"/>
      <c r="S1221" s="113"/>
      <c r="T1221" s="113"/>
      <c r="V1221"/>
      <c r="W1221"/>
      <c r="Y1221"/>
      <c r="Z1221"/>
      <c r="AA1221"/>
      <c r="AB1221"/>
      <c r="AC1221"/>
      <c r="AD1221"/>
      <c r="AE1221"/>
      <c r="AF1221"/>
    </row>
    <row r="1222" spans="1:32" s="45" customFormat="1" ht="12.75" hidden="1">
      <c r="A1222"/>
      <c r="B1222"/>
      <c r="C1222"/>
      <c r="D1222"/>
      <c r="E1222"/>
      <c r="F1222"/>
      <c r="G1222"/>
      <c r="H1222"/>
      <c r="I1222"/>
      <c r="J1222"/>
      <c r="K1222"/>
      <c r="L1222"/>
      <c r="M1222"/>
      <c r="N1222"/>
      <c r="O1222" s="109"/>
      <c r="P1222" s="110"/>
      <c r="Q1222" s="110"/>
      <c r="R1222" s="110"/>
      <c r="S1222" s="113"/>
      <c r="T1222" s="113"/>
      <c r="V1222"/>
      <c r="W1222"/>
      <c r="Y1222"/>
      <c r="Z1222"/>
      <c r="AA1222"/>
      <c r="AB1222"/>
      <c r="AC1222"/>
      <c r="AD1222"/>
      <c r="AE1222"/>
      <c r="AF1222"/>
    </row>
    <row r="1223" spans="1:32" s="45" customFormat="1" ht="12.75" hidden="1">
      <c r="A1223"/>
      <c r="B1223"/>
      <c r="C1223"/>
      <c r="D1223"/>
      <c r="E1223"/>
      <c r="F1223"/>
      <c r="G1223"/>
      <c r="H1223"/>
      <c r="I1223"/>
      <c r="J1223"/>
      <c r="K1223"/>
      <c r="L1223"/>
      <c r="M1223"/>
      <c r="N1223"/>
      <c r="O1223" s="109"/>
      <c r="P1223" s="110"/>
      <c r="Q1223" s="110"/>
      <c r="R1223" s="110"/>
      <c r="S1223" s="113"/>
      <c r="T1223" s="113"/>
      <c r="V1223"/>
      <c r="W1223"/>
      <c r="Y1223"/>
      <c r="Z1223"/>
      <c r="AA1223"/>
      <c r="AB1223"/>
      <c r="AC1223"/>
      <c r="AD1223"/>
      <c r="AE1223"/>
      <c r="AF1223"/>
    </row>
    <row r="1224" spans="1:32" s="45" customFormat="1" ht="12.75" hidden="1">
      <c r="A1224"/>
      <c r="B1224"/>
      <c r="C1224"/>
      <c r="D1224"/>
      <c r="E1224"/>
      <c r="F1224"/>
      <c r="G1224"/>
      <c r="H1224"/>
      <c r="I1224"/>
      <c r="J1224"/>
      <c r="K1224"/>
      <c r="L1224"/>
      <c r="M1224"/>
      <c r="N1224"/>
      <c r="O1224" s="109"/>
      <c r="P1224" s="110"/>
      <c r="Q1224" s="110"/>
      <c r="R1224" s="110"/>
      <c r="S1224" s="113"/>
      <c r="T1224" s="113"/>
      <c r="V1224"/>
      <c r="W1224"/>
      <c r="Y1224"/>
      <c r="Z1224"/>
      <c r="AA1224"/>
      <c r="AB1224"/>
      <c r="AC1224"/>
      <c r="AD1224"/>
      <c r="AE1224"/>
      <c r="AF1224"/>
    </row>
    <row r="1225" spans="1:32" s="45" customFormat="1" ht="12.75" hidden="1">
      <c r="A1225"/>
      <c r="B1225"/>
      <c r="C1225"/>
      <c r="D1225"/>
      <c r="E1225"/>
      <c r="F1225"/>
      <c r="G1225"/>
      <c r="H1225"/>
      <c r="I1225"/>
      <c r="J1225"/>
      <c r="K1225"/>
      <c r="L1225"/>
      <c r="M1225"/>
      <c r="N1225"/>
      <c r="O1225" s="109"/>
      <c r="P1225" s="110"/>
      <c r="Q1225" s="110"/>
      <c r="R1225" s="110"/>
      <c r="S1225" s="113"/>
      <c r="T1225" s="113"/>
      <c r="V1225"/>
      <c r="W1225"/>
      <c r="Y1225"/>
      <c r="Z1225"/>
      <c r="AA1225"/>
      <c r="AB1225"/>
      <c r="AC1225"/>
      <c r="AD1225"/>
      <c r="AE1225"/>
      <c r="AF1225"/>
    </row>
    <row r="1226" spans="1:32" s="45" customFormat="1" ht="12.75" hidden="1">
      <c r="A1226"/>
      <c r="B1226"/>
      <c r="C1226"/>
      <c r="D1226"/>
      <c r="E1226"/>
      <c r="F1226"/>
      <c r="G1226"/>
      <c r="H1226"/>
      <c r="I1226"/>
      <c r="J1226"/>
      <c r="K1226"/>
      <c r="L1226"/>
      <c r="M1226"/>
      <c r="N1226"/>
      <c r="O1226" s="109"/>
      <c r="P1226" s="110"/>
      <c r="Q1226" s="110"/>
      <c r="R1226" s="110"/>
      <c r="S1226" s="113"/>
      <c r="T1226" s="113"/>
      <c r="V1226"/>
      <c r="W1226"/>
      <c r="Y1226"/>
      <c r="Z1226"/>
      <c r="AA1226"/>
      <c r="AB1226"/>
      <c r="AC1226"/>
      <c r="AD1226"/>
      <c r="AE1226"/>
      <c r="AF1226"/>
    </row>
    <row r="1227" spans="1:32" s="45" customFormat="1" ht="12.75" hidden="1">
      <c r="A1227"/>
      <c r="B1227"/>
      <c r="C1227"/>
      <c r="D1227"/>
      <c r="E1227"/>
      <c r="F1227"/>
      <c r="G1227"/>
      <c r="H1227"/>
      <c r="I1227"/>
      <c r="J1227"/>
      <c r="K1227"/>
      <c r="L1227"/>
      <c r="M1227"/>
      <c r="N1227"/>
      <c r="O1227" s="109"/>
      <c r="P1227" s="110"/>
      <c r="Q1227" s="110"/>
      <c r="R1227" s="110"/>
      <c r="S1227" s="113"/>
      <c r="T1227" s="113"/>
      <c r="V1227"/>
      <c r="W1227"/>
      <c r="Y1227"/>
      <c r="Z1227"/>
      <c r="AA1227"/>
      <c r="AB1227"/>
      <c r="AC1227"/>
      <c r="AD1227"/>
      <c r="AE1227"/>
      <c r="AF1227"/>
    </row>
    <row r="1228" spans="1:32" s="45" customFormat="1" ht="12.75" hidden="1">
      <c r="A1228"/>
      <c r="B1228"/>
      <c r="C1228"/>
      <c r="D1228"/>
      <c r="E1228"/>
      <c r="F1228"/>
      <c r="G1228"/>
      <c r="H1228"/>
      <c r="I1228"/>
      <c r="J1228"/>
      <c r="K1228"/>
      <c r="L1228"/>
      <c r="M1228"/>
      <c r="N1228"/>
      <c r="O1228" s="109"/>
      <c r="P1228" s="110"/>
      <c r="Q1228" s="110"/>
      <c r="R1228" s="110"/>
      <c r="S1228" s="113"/>
      <c r="T1228" s="113"/>
      <c r="V1228"/>
      <c r="W1228"/>
      <c r="Y1228"/>
      <c r="Z1228"/>
      <c r="AA1228"/>
      <c r="AB1228"/>
      <c r="AC1228"/>
      <c r="AD1228"/>
      <c r="AE1228"/>
      <c r="AF1228"/>
    </row>
    <row r="1229" spans="1:32" s="45" customFormat="1" ht="12.75" hidden="1">
      <c r="A1229"/>
      <c r="B1229"/>
      <c r="C1229"/>
      <c r="D1229"/>
      <c r="E1229"/>
      <c r="F1229"/>
      <c r="G1229"/>
      <c r="H1229"/>
      <c r="I1229"/>
      <c r="J1229"/>
      <c r="K1229"/>
      <c r="L1229"/>
      <c r="M1229"/>
      <c r="N1229"/>
      <c r="O1229" s="109"/>
      <c r="P1229" s="110"/>
      <c r="Q1229" s="110"/>
      <c r="R1229" s="110"/>
      <c r="S1229" s="113"/>
      <c r="T1229" s="113"/>
      <c r="V1229"/>
      <c r="W1229"/>
      <c r="Y1229"/>
      <c r="Z1229"/>
      <c r="AA1229"/>
      <c r="AB1229"/>
      <c r="AC1229"/>
      <c r="AD1229"/>
      <c r="AE1229"/>
      <c r="AF1229"/>
    </row>
    <row r="1230" spans="1:32" s="45" customFormat="1" ht="12.75" hidden="1">
      <c r="A1230"/>
      <c r="B1230"/>
      <c r="C1230"/>
      <c r="D1230"/>
      <c r="E1230"/>
      <c r="F1230"/>
      <c r="G1230"/>
      <c r="H1230"/>
      <c r="I1230"/>
      <c r="J1230"/>
      <c r="K1230"/>
      <c r="L1230"/>
      <c r="M1230"/>
      <c r="N1230"/>
      <c r="O1230" s="109"/>
      <c r="P1230" s="110"/>
      <c r="Q1230" s="110"/>
      <c r="R1230" s="110"/>
      <c r="S1230" s="113"/>
      <c r="T1230" s="113"/>
      <c r="V1230"/>
      <c r="W1230"/>
      <c r="Y1230"/>
      <c r="Z1230"/>
      <c r="AA1230"/>
      <c r="AB1230"/>
      <c r="AC1230"/>
      <c r="AD1230"/>
      <c r="AE1230"/>
      <c r="AF1230"/>
    </row>
    <row r="1231" spans="1:32" s="45" customFormat="1" ht="12.75" hidden="1">
      <c r="A1231"/>
      <c r="B1231"/>
      <c r="C1231"/>
      <c r="D1231"/>
      <c r="E1231"/>
      <c r="F1231"/>
      <c r="G1231"/>
      <c r="H1231"/>
      <c r="I1231"/>
      <c r="J1231"/>
      <c r="K1231"/>
      <c r="L1231"/>
      <c r="M1231"/>
      <c r="N1231"/>
      <c r="O1231" s="109"/>
      <c r="P1231" s="110"/>
      <c r="Q1231" s="110"/>
      <c r="R1231" s="110"/>
      <c r="S1231" s="113"/>
      <c r="T1231" s="113"/>
      <c r="V1231"/>
      <c r="W1231"/>
      <c r="Y1231"/>
      <c r="Z1231"/>
      <c r="AA1231"/>
      <c r="AB1231"/>
      <c r="AC1231"/>
      <c r="AD1231"/>
      <c r="AE1231"/>
      <c r="AF1231"/>
    </row>
    <row r="1232" spans="1:32" s="45" customFormat="1" ht="12.75" hidden="1">
      <c r="A1232"/>
      <c r="B1232"/>
      <c r="C1232"/>
      <c r="D1232"/>
      <c r="E1232"/>
      <c r="F1232"/>
      <c r="G1232"/>
      <c r="H1232"/>
      <c r="I1232"/>
      <c r="J1232"/>
      <c r="K1232"/>
      <c r="L1232"/>
      <c r="M1232"/>
      <c r="N1232"/>
      <c r="O1232" s="109"/>
      <c r="P1232" s="110"/>
      <c r="Q1232" s="110"/>
      <c r="R1232" s="110"/>
      <c r="S1232" s="113"/>
      <c r="T1232" s="113"/>
      <c r="V1232"/>
      <c r="W1232"/>
      <c r="Y1232"/>
      <c r="Z1232"/>
      <c r="AA1232"/>
      <c r="AB1232"/>
      <c r="AC1232"/>
      <c r="AD1232"/>
      <c r="AE1232"/>
      <c r="AF1232"/>
    </row>
    <row r="1233" spans="1:32" s="45" customFormat="1" ht="12.75" hidden="1">
      <c r="A1233"/>
      <c r="B1233"/>
      <c r="C1233"/>
      <c r="D1233"/>
      <c r="E1233"/>
      <c r="F1233"/>
      <c r="G1233"/>
      <c r="H1233"/>
      <c r="I1233"/>
      <c r="J1233"/>
      <c r="K1233"/>
      <c r="L1233"/>
      <c r="M1233"/>
      <c r="N1233"/>
      <c r="O1233" s="109"/>
      <c r="P1233" s="110"/>
      <c r="Q1233" s="110"/>
      <c r="R1233" s="110"/>
      <c r="S1233" s="113"/>
      <c r="T1233" s="113"/>
      <c r="V1233"/>
      <c r="W1233"/>
      <c r="Y1233"/>
      <c r="Z1233"/>
      <c r="AA1233"/>
      <c r="AB1233"/>
      <c r="AC1233"/>
      <c r="AD1233"/>
      <c r="AE1233"/>
      <c r="AF1233"/>
    </row>
    <row r="1234" spans="1:32" s="45" customFormat="1" ht="12.75" hidden="1">
      <c r="A1234"/>
      <c r="B1234"/>
      <c r="C1234"/>
      <c r="D1234"/>
      <c r="E1234"/>
      <c r="F1234"/>
      <c r="G1234"/>
      <c r="H1234"/>
      <c r="I1234"/>
      <c r="J1234"/>
      <c r="K1234"/>
      <c r="L1234"/>
      <c r="M1234"/>
      <c r="N1234"/>
      <c r="O1234" s="109"/>
      <c r="P1234" s="110"/>
      <c r="Q1234" s="110"/>
      <c r="R1234" s="110"/>
      <c r="S1234" s="113"/>
      <c r="T1234" s="113"/>
      <c r="V1234"/>
      <c r="W1234"/>
      <c r="Y1234"/>
      <c r="Z1234"/>
      <c r="AA1234"/>
      <c r="AB1234"/>
      <c r="AC1234"/>
      <c r="AD1234"/>
      <c r="AE1234"/>
      <c r="AF1234"/>
    </row>
    <row r="1235" spans="1:32" s="45" customFormat="1" ht="12.75" hidden="1">
      <c r="A1235"/>
      <c r="B1235"/>
      <c r="C1235"/>
      <c r="D1235"/>
      <c r="E1235"/>
      <c r="F1235"/>
      <c r="G1235"/>
      <c r="H1235"/>
      <c r="I1235"/>
      <c r="J1235"/>
      <c r="K1235"/>
      <c r="L1235"/>
      <c r="M1235"/>
      <c r="N1235"/>
      <c r="O1235" s="109"/>
      <c r="P1235" s="110"/>
      <c r="Q1235" s="110"/>
      <c r="R1235" s="110"/>
      <c r="S1235" s="113"/>
      <c r="T1235" s="113"/>
      <c r="V1235"/>
      <c r="W1235"/>
      <c r="Y1235"/>
      <c r="Z1235"/>
      <c r="AA1235"/>
      <c r="AB1235"/>
      <c r="AC1235"/>
      <c r="AD1235"/>
      <c r="AE1235"/>
      <c r="AF1235"/>
    </row>
    <row r="1236" spans="1:32" s="45" customFormat="1" ht="12.75" hidden="1">
      <c r="A1236"/>
      <c r="B1236"/>
      <c r="C1236"/>
      <c r="D1236"/>
      <c r="E1236"/>
      <c r="F1236"/>
      <c r="G1236"/>
      <c r="H1236"/>
      <c r="I1236"/>
      <c r="J1236"/>
      <c r="K1236"/>
      <c r="L1236"/>
      <c r="M1236"/>
      <c r="N1236"/>
      <c r="O1236" s="109"/>
      <c r="P1236" s="110"/>
      <c r="Q1236" s="110"/>
      <c r="R1236" s="110"/>
      <c r="S1236" s="113"/>
      <c r="T1236" s="113"/>
      <c r="V1236"/>
      <c r="W1236"/>
      <c r="Y1236"/>
      <c r="Z1236"/>
      <c r="AA1236"/>
      <c r="AB1236"/>
      <c r="AC1236"/>
      <c r="AD1236"/>
      <c r="AE1236"/>
      <c r="AF1236"/>
    </row>
    <row r="1237" spans="1:32" s="45" customFormat="1" ht="12.75" hidden="1">
      <c r="A1237"/>
      <c r="B1237"/>
      <c r="C1237"/>
      <c r="D1237"/>
      <c r="E1237"/>
      <c r="F1237"/>
      <c r="G1237"/>
      <c r="H1237"/>
      <c r="I1237"/>
      <c r="J1237"/>
      <c r="K1237"/>
      <c r="L1237"/>
      <c r="M1237"/>
      <c r="N1237"/>
      <c r="O1237" s="109"/>
      <c r="P1237" s="110"/>
      <c r="Q1237" s="110"/>
      <c r="R1237" s="110"/>
      <c r="S1237" s="113"/>
      <c r="T1237" s="113"/>
      <c r="V1237"/>
      <c r="W1237"/>
      <c r="Y1237"/>
      <c r="Z1237"/>
      <c r="AA1237"/>
      <c r="AB1237"/>
      <c r="AC1237"/>
      <c r="AD1237"/>
      <c r="AE1237"/>
      <c r="AF1237"/>
    </row>
    <row r="1238" spans="1:32" s="45" customFormat="1" ht="12.75" hidden="1">
      <c r="A1238"/>
      <c r="B1238"/>
      <c r="C1238"/>
      <c r="D1238"/>
      <c r="E1238"/>
      <c r="F1238"/>
      <c r="G1238"/>
      <c r="H1238"/>
      <c r="I1238"/>
      <c r="J1238"/>
      <c r="K1238"/>
      <c r="L1238"/>
      <c r="M1238"/>
      <c r="N1238"/>
      <c r="O1238" s="109"/>
      <c r="P1238" s="110"/>
      <c r="Q1238" s="110"/>
      <c r="R1238" s="110"/>
      <c r="S1238" s="113"/>
      <c r="T1238" s="113"/>
      <c r="V1238"/>
      <c r="W1238"/>
      <c r="Y1238"/>
      <c r="Z1238"/>
      <c r="AA1238"/>
      <c r="AB1238"/>
      <c r="AC1238"/>
      <c r="AD1238"/>
      <c r="AE1238"/>
      <c r="AF1238"/>
    </row>
    <row r="1239" spans="1:32" s="45" customFormat="1" ht="12.75" hidden="1">
      <c r="A1239"/>
      <c r="B1239"/>
      <c r="C1239"/>
      <c r="D1239"/>
      <c r="E1239"/>
      <c r="F1239"/>
      <c r="G1239"/>
      <c r="H1239"/>
      <c r="I1239"/>
      <c r="J1239"/>
      <c r="K1239"/>
      <c r="L1239"/>
      <c r="M1239"/>
      <c r="N1239"/>
      <c r="O1239" s="109"/>
      <c r="P1239" s="110"/>
      <c r="Q1239" s="110"/>
      <c r="R1239" s="110"/>
      <c r="S1239" s="113"/>
      <c r="T1239" s="113"/>
      <c r="V1239"/>
      <c r="W1239"/>
      <c r="Y1239"/>
      <c r="Z1239"/>
      <c r="AA1239"/>
      <c r="AB1239"/>
      <c r="AC1239"/>
      <c r="AD1239"/>
      <c r="AE1239"/>
      <c r="AF1239"/>
    </row>
    <row r="1240" spans="1:32" s="45" customFormat="1" ht="12.75" hidden="1">
      <c r="A1240"/>
      <c r="B1240"/>
      <c r="C1240"/>
      <c r="D1240"/>
      <c r="E1240"/>
      <c r="F1240"/>
      <c r="G1240"/>
      <c r="H1240"/>
      <c r="I1240"/>
      <c r="J1240"/>
      <c r="K1240"/>
      <c r="L1240"/>
      <c r="M1240"/>
      <c r="N1240"/>
      <c r="O1240" s="109"/>
      <c r="P1240" s="110"/>
      <c r="Q1240" s="110"/>
      <c r="R1240" s="110"/>
      <c r="S1240" s="113"/>
      <c r="T1240" s="113"/>
      <c r="V1240"/>
      <c r="W1240"/>
      <c r="Y1240"/>
      <c r="Z1240"/>
      <c r="AA1240"/>
      <c r="AB1240"/>
      <c r="AC1240"/>
      <c r="AD1240"/>
      <c r="AE1240"/>
      <c r="AF1240"/>
    </row>
    <row r="1241" spans="1:32" s="45" customFormat="1" ht="12.75" hidden="1">
      <c r="A1241"/>
      <c r="B1241"/>
      <c r="C1241"/>
      <c r="D1241"/>
      <c r="E1241"/>
      <c r="F1241"/>
      <c r="G1241"/>
      <c r="H1241"/>
      <c r="I1241"/>
      <c r="J1241"/>
      <c r="K1241"/>
      <c r="L1241"/>
      <c r="M1241"/>
      <c r="N1241"/>
      <c r="O1241" s="109"/>
      <c r="P1241" s="110"/>
      <c r="Q1241" s="110"/>
      <c r="R1241" s="110"/>
      <c r="S1241" s="113"/>
      <c r="T1241" s="113"/>
      <c r="V1241"/>
      <c r="W1241"/>
      <c r="Y1241"/>
      <c r="Z1241"/>
      <c r="AA1241"/>
      <c r="AB1241"/>
      <c r="AC1241"/>
      <c r="AD1241"/>
      <c r="AE1241"/>
      <c r="AF1241"/>
    </row>
    <row r="1242" spans="1:32" s="45" customFormat="1" ht="12.75" hidden="1">
      <c r="A1242"/>
      <c r="B1242"/>
      <c r="C1242"/>
      <c r="D1242"/>
      <c r="E1242"/>
      <c r="F1242"/>
      <c r="G1242"/>
      <c r="H1242"/>
      <c r="I1242"/>
      <c r="J1242"/>
      <c r="K1242"/>
      <c r="L1242"/>
      <c r="M1242"/>
      <c r="N1242"/>
      <c r="O1242" s="109"/>
      <c r="P1242" s="110"/>
      <c r="Q1242" s="110"/>
      <c r="R1242" s="110"/>
      <c r="S1242" s="113"/>
      <c r="T1242" s="113"/>
      <c r="V1242"/>
      <c r="W1242"/>
      <c r="Y1242"/>
      <c r="Z1242"/>
      <c r="AA1242"/>
      <c r="AB1242"/>
      <c r="AC1242"/>
      <c r="AD1242"/>
      <c r="AE1242"/>
      <c r="AF1242"/>
    </row>
    <row r="1243" spans="1:32" s="45" customFormat="1" ht="12.75" hidden="1">
      <c r="A1243"/>
      <c r="B1243"/>
      <c r="C1243"/>
      <c r="D1243"/>
      <c r="E1243"/>
      <c r="F1243"/>
      <c r="G1243"/>
      <c r="H1243"/>
      <c r="I1243"/>
      <c r="J1243"/>
      <c r="K1243"/>
      <c r="L1243"/>
      <c r="M1243"/>
      <c r="N1243"/>
      <c r="O1243" s="109"/>
      <c r="P1243" s="110"/>
      <c r="Q1243" s="110"/>
      <c r="R1243" s="110"/>
      <c r="S1243" s="113"/>
      <c r="T1243" s="113"/>
      <c r="V1243"/>
      <c r="W1243"/>
      <c r="Y1243"/>
      <c r="Z1243"/>
      <c r="AA1243"/>
      <c r="AB1243"/>
      <c r="AC1243"/>
      <c r="AD1243"/>
      <c r="AE1243"/>
      <c r="AF1243"/>
    </row>
    <row r="1244" spans="1:32" s="45" customFormat="1" ht="12.75" hidden="1">
      <c r="A1244"/>
      <c r="B1244"/>
      <c r="C1244"/>
      <c r="D1244"/>
      <c r="E1244"/>
      <c r="F1244"/>
      <c r="G1244"/>
      <c r="H1244"/>
      <c r="I1244"/>
      <c r="J1244"/>
      <c r="K1244"/>
      <c r="L1244"/>
      <c r="M1244"/>
      <c r="N1244"/>
      <c r="O1244" s="109"/>
      <c r="P1244" s="110"/>
      <c r="Q1244" s="110"/>
      <c r="R1244" s="110"/>
      <c r="S1244" s="113"/>
      <c r="T1244" s="113"/>
      <c r="V1244"/>
      <c r="W1244"/>
      <c r="Y1244"/>
      <c r="Z1244"/>
      <c r="AA1244"/>
      <c r="AB1244"/>
      <c r="AC1244"/>
      <c r="AD1244"/>
      <c r="AE1244"/>
      <c r="AF1244"/>
    </row>
    <row r="1245" spans="1:32" s="45" customFormat="1" ht="12.75" hidden="1">
      <c r="A1245"/>
      <c r="B1245"/>
      <c r="C1245"/>
      <c r="D1245"/>
      <c r="E1245"/>
      <c r="F1245"/>
      <c r="G1245"/>
      <c r="H1245"/>
      <c r="I1245"/>
      <c r="J1245"/>
      <c r="K1245"/>
      <c r="L1245"/>
      <c r="M1245"/>
      <c r="N1245"/>
      <c r="O1245" s="109"/>
      <c r="P1245" s="110"/>
      <c r="Q1245" s="110"/>
      <c r="R1245" s="110"/>
      <c r="S1245" s="113"/>
      <c r="T1245" s="113"/>
      <c r="V1245"/>
      <c r="W1245"/>
      <c r="Y1245"/>
      <c r="Z1245"/>
      <c r="AA1245"/>
      <c r="AB1245"/>
      <c r="AC1245"/>
      <c r="AD1245"/>
      <c r="AE1245"/>
      <c r="AF1245"/>
    </row>
    <row r="1246" spans="1:32" s="45" customFormat="1" ht="12.75" hidden="1">
      <c r="A1246"/>
      <c r="B1246"/>
      <c r="C1246"/>
      <c r="D1246"/>
      <c r="E1246"/>
      <c r="F1246"/>
      <c r="G1246"/>
      <c r="H1246"/>
      <c r="I1246"/>
      <c r="J1246"/>
      <c r="K1246"/>
      <c r="L1246"/>
      <c r="M1246"/>
      <c r="N1246"/>
      <c r="O1246" s="109"/>
      <c r="P1246" s="110"/>
      <c r="Q1246" s="110"/>
      <c r="R1246" s="110"/>
      <c r="S1246" s="113"/>
      <c r="T1246" s="113"/>
      <c r="V1246"/>
      <c r="W1246"/>
      <c r="Y1246"/>
      <c r="Z1246"/>
      <c r="AA1246"/>
      <c r="AB1246"/>
      <c r="AC1246"/>
      <c r="AD1246"/>
      <c r="AE1246"/>
      <c r="AF1246"/>
    </row>
    <row r="1247" spans="1:32" s="45" customFormat="1" ht="12.75" hidden="1">
      <c r="A1247"/>
      <c r="B1247"/>
      <c r="C1247"/>
      <c r="D1247"/>
      <c r="E1247"/>
      <c r="F1247"/>
      <c r="G1247"/>
      <c r="H1247"/>
      <c r="I1247"/>
      <c r="J1247"/>
      <c r="K1247"/>
      <c r="L1247"/>
      <c r="M1247"/>
      <c r="N1247"/>
      <c r="O1247" s="109"/>
      <c r="P1247" s="110"/>
      <c r="Q1247" s="110"/>
      <c r="R1247" s="110"/>
      <c r="S1247" s="113"/>
      <c r="T1247" s="113"/>
      <c r="V1247"/>
      <c r="W1247"/>
      <c r="Y1247"/>
      <c r="Z1247"/>
      <c r="AA1247"/>
      <c r="AB1247"/>
      <c r="AC1247"/>
      <c r="AD1247"/>
      <c r="AE1247"/>
      <c r="AF1247"/>
    </row>
    <row r="1248" spans="1:32" s="45" customFormat="1" ht="12.75" hidden="1">
      <c r="A1248"/>
      <c r="B1248"/>
      <c r="C1248"/>
      <c r="D1248"/>
      <c r="E1248"/>
      <c r="F1248"/>
      <c r="G1248"/>
      <c r="H1248"/>
      <c r="I1248"/>
      <c r="J1248"/>
      <c r="K1248"/>
      <c r="L1248"/>
      <c r="M1248"/>
      <c r="N1248"/>
      <c r="O1248" s="109"/>
      <c r="P1248" s="110"/>
      <c r="Q1248" s="110"/>
      <c r="R1248" s="110"/>
      <c r="S1248" s="113"/>
      <c r="T1248" s="113"/>
      <c r="V1248"/>
      <c r="W1248"/>
      <c r="Y1248"/>
      <c r="Z1248"/>
      <c r="AA1248"/>
      <c r="AB1248"/>
      <c r="AC1248"/>
      <c r="AD1248"/>
      <c r="AE1248"/>
      <c r="AF1248"/>
    </row>
    <row r="1249" spans="1:32" s="45" customFormat="1" ht="12.75" hidden="1">
      <c r="A1249"/>
      <c r="B1249"/>
      <c r="C1249"/>
      <c r="D1249"/>
      <c r="E1249"/>
      <c r="F1249"/>
      <c r="G1249"/>
      <c r="H1249"/>
      <c r="I1249"/>
      <c r="J1249"/>
      <c r="K1249"/>
      <c r="L1249"/>
      <c r="M1249"/>
      <c r="N1249"/>
      <c r="O1249" s="109"/>
      <c r="P1249" s="110"/>
      <c r="Q1249" s="110"/>
      <c r="R1249" s="110"/>
      <c r="S1249" s="113"/>
      <c r="T1249" s="113"/>
      <c r="V1249"/>
      <c r="W1249"/>
      <c r="Y1249"/>
      <c r="Z1249"/>
      <c r="AA1249"/>
      <c r="AB1249"/>
      <c r="AC1249"/>
      <c r="AD1249"/>
      <c r="AE1249"/>
      <c r="AF1249"/>
    </row>
    <row r="1250" spans="1:32" s="45" customFormat="1" ht="12.75" hidden="1">
      <c r="A1250"/>
      <c r="B1250"/>
      <c r="C1250"/>
      <c r="D1250"/>
      <c r="E1250"/>
      <c r="F1250"/>
      <c r="G1250"/>
      <c r="H1250"/>
      <c r="I1250"/>
      <c r="J1250"/>
      <c r="K1250"/>
      <c r="L1250"/>
      <c r="M1250"/>
      <c r="N1250"/>
      <c r="O1250" s="109"/>
      <c r="P1250" s="110"/>
      <c r="Q1250" s="110"/>
      <c r="R1250" s="110"/>
      <c r="S1250" s="113"/>
      <c r="T1250" s="113"/>
      <c r="V1250"/>
      <c r="W1250"/>
      <c r="Y1250"/>
      <c r="Z1250"/>
      <c r="AA1250"/>
      <c r="AB1250"/>
      <c r="AC1250"/>
      <c r="AD1250"/>
      <c r="AE1250"/>
      <c r="AF1250"/>
    </row>
    <row r="1251" spans="1:32" s="45" customFormat="1" ht="12.75" hidden="1">
      <c r="A1251"/>
      <c r="B1251"/>
      <c r="C1251"/>
      <c r="D1251"/>
      <c r="E1251"/>
      <c r="F1251"/>
      <c r="G1251"/>
      <c r="H1251"/>
      <c r="I1251"/>
      <c r="J1251"/>
      <c r="K1251"/>
      <c r="L1251"/>
      <c r="M1251"/>
      <c r="N1251"/>
      <c r="O1251" s="109"/>
      <c r="P1251" s="110"/>
      <c r="Q1251" s="110"/>
      <c r="R1251" s="110"/>
      <c r="S1251" s="113"/>
      <c r="T1251" s="113"/>
      <c r="V1251"/>
      <c r="W1251"/>
      <c r="Y1251"/>
      <c r="Z1251"/>
      <c r="AA1251"/>
      <c r="AB1251"/>
      <c r="AC1251"/>
      <c r="AD1251"/>
      <c r="AE1251"/>
      <c r="AF1251"/>
    </row>
    <row r="1252" spans="1:32" s="45" customFormat="1" ht="12.75" hidden="1">
      <c r="A1252"/>
      <c r="B1252"/>
      <c r="C1252"/>
      <c r="D1252"/>
      <c r="E1252"/>
      <c r="F1252"/>
      <c r="G1252"/>
      <c r="H1252"/>
      <c r="I1252"/>
      <c r="J1252"/>
      <c r="K1252"/>
      <c r="L1252"/>
      <c r="M1252"/>
      <c r="N1252"/>
      <c r="O1252" s="109"/>
      <c r="P1252" s="110"/>
      <c r="Q1252" s="110"/>
      <c r="R1252" s="110"/>
      <c r="S1252" s="113"/>
      <c r="T1252" s="113"/>
      <c r="V1252"/>
      <c r="W1252"/>
      <c r="Y1252"/>
      <c r="Z1252"/>
      <c r="AA1252"/>
      <c r="AB1252"/>
      <c r="AC1252"/>
      <c r="AD1252"/>
      <c r="AE1252"/>
      <c r="AF1252"/>
    </row>
    <row r="1253" spans="1:32" s="45" customFormat="1" ht="12.75" hidden="1">
      <c r="A1253"/>
      <c r="B1253"/>
      <c r="C1253"/>
      <c r="D1253"/>
      <c r="E1253"/>
      <c r="F1253"/>
      <c r="G1253"/>
      <c r="H1253"/>
      <c r="I1253"/>
      <c r="J1253"/>
      <c r="K1253"/>
      <c r="L1253"/>
      <c r="M1253"/>
      <c r="N1253"/>
      <c r="O1253" s="109"/>
      <c r="P1253" s="110"/>
      <c r="Q1253" s="110"/>
      <c r="R1253" s="110"/>
      <c r="S1253" s="113"/>
      <c r="T1253" s="113"/>
      <c r="V1253"/>
      <c r="W1253"/>
      <c r="Y1253"/>
      <c r="Z1253"/>
      <c r="AA1253"/>
      <c r="AB1253"/>
      <c r="AC1253"/>
      <c r="AD1253"/>
      <c r="AE1253"/>
      <c r="AF1253"/>
    </row>
    <row r="1254" spans="1:32" s="45" customFormat="1" ht="12.75" hidden="1">
      <c r="A1254"/>
      <c r="B1254"/>
      <c r="C1254"/>
      <c r="D1254"/>
      <c r="E1254"/>
      <c r="F1254"/>
      <c r="G1254"/>
      <c r="H1254"/>
      <c r="I1254"/>
      <c r="J1254"/>
      <c r="K1254"/>
      <c r="L1254"/>
      <c r="M1254"/>
      <c r="N1254"/>
      <c r="O1254" s="109"/>
      <c r="P1254" s="110"/>
      <c r="Q1254" s="110"/>
      <c r="R1254" s="110"/>
      <c r="S1254" s="113"/>
      <c r="T1254" s="113"/>
      <c r="V1254"/>
      <c r="W1254"/>
      <c r="Y1254"/>
      <c r="Z1254"/>
      <c r="AA1254"/>
      <c r="AB1254"/>
      <c r="AC1254"/>
      <c r="AD1254"/>
      <c r="AE1254"/>
      <c r="AF1254"/>
    </row>
    <row r="1255" spans="1:32" s="45" customFormat="1" ht="12.75" hidden="1">
      <c r="A1255"/>
      <c r="B1255"/>
      <c r="C1255"/>
      <c r="D1255"/>
      <c r="E1255"/>
      <c r="F1255"/>
      <c r="G1255"/>
      <c r="H1255"/>
      <c r="I1255"/>
      <c r="J1255"/>
      <c r="K1255"/>
      <c r="L1255"/>
      <c r="M1255"/>
      <c r="N1255"/>
      <c r="O1255" s="109"/>
      <c r="P1255" s="110"/>
      <c r="Q1255" s="110"/>
      <c r="R1255" s="110"/>
      <c r="S1255" s="113"/>
      <c r="T1255" s="113"/>
      <c r="V1255"/>
      <c r="W1255"/>
      <c r="Y1255"/>
      <c r="Z1255"/>
      <c r="AA1255"/>
      <c r="AB1255"/>
      <c r="AC1255"/>
      <c r="AD1255"/>
      <c r="AE1255"/>
      <c r="AF1255"/>
    </row>
    <row r="1256" spans="1:32" s="45" customFormat="1" ht="12.75" hidden="1">
      <c r="A1256"/>
      <c r="B1256"/>
      <c r="C1256"/>
      <c r="D1256"/>
      <c r="E1256"/>
      <c r="F1256"/>
      <c r="G1256"/>
      <c r="H1256"/>
      <c r="I1256"/>
      <c r="J1256"/>
      <c r="K1256"/>
      <c r="L1256"/>
      <c r="M1256"/>
      <c r="N1256"/>
      <c r="O1256" s="109"/>
      <c r="P1256" s="110"/>
      <c r="Q1256" s="110"/>
      <c r="R1256" s="110"/>
      <c r="S1256" s="113"/>
      <c r="T1256" s="113"/>
      <c r="V1256"/>
      <c r="W1256"/>
      <c r="Y1256"/>
      <c r="Z1256"/>
      <c r="AA1256"/>
      <c r="AB1256"/>
      <c r="AC1256"/>
      <c r="AD1256"/>
      <c r="AE1256"/>
      <c r="AF1256"/>
    </row>
    <row r="1257" spans="1:32" s="45" customFormat="1" ht="12.75" hidden="1">
      <c r="A1257"/>
      <c r="B1257"/>
      <c r="C1257"/>
      <c r="D1257"/>
      <c r="E1257"/>
      <c r="F1257"/>
      <c r="G1257"/>
      <c r="H1257"/>
      <c r="I1257"/>
      <c r="J1257"/>
      <c r="K1257"/>
      <c r="L1257"/>
      <c r="M1257"/>
      <c r="N1257"/>
      <c r="O1257" s="109"/>
      <c r="P1257" s="110"/>
      <c r="Q1257" s="110"/>
      <c r="R1257" s="110"/>
      <c r="S1257" s="113"/>
      <c r="T1257" s="113"/>
      <c r="V1257"/>
      <c r="W1257"/>
      <c r="Y1257"/>
      <c r="Z1257"/>
      <c r="AA1257"/>
      <c r="AB1257"/>
      <c r="AC1257"/>
      <c r="AD1257"/>
      <c r="AE1257"/>
      <c r="AF1257"/>
    </row>
    <row r="1258" spans="1:32" s="45" customFormat="1" ht="12.75" hidden="1">
      <c r="A1258"/>
      <c r="B1258"/>
      <c r="C1258"/>
      <c r="D1258"/>
      <c r="E1258"/>
      <c r="F1258"/>
      <c r="G1258"/>
      <c r="H1258"/>
      <c r="I1258"/>
      <c r="J1258"/>
      <c r="K1258"/>
      <c r="L1258"/>
      <c r="M1258"/>
      <c r="N1258"/>
      <c r="O1258" s="109"/>
      <c r="P1258" s="110"/>
      <c r="Q1258" s="110"/>
      <c r="R1258" s="110"/>
      <c r="S1258" s="113"/>
      <c r="T1258" s="113"/>
      <c r="V1258"/>
      <c r="W1258"/>
      <c r="Y1258"/>
      <c r="Z1258"/>
      <c r="AA1258"/>
      <c r="AB1258"/>
      <c r="AC1258"/>
      <c r="AD1258"/>
      <c r="AE1258"/>
      <c r="AF1258"/>
    </row>
    <row r="1259" spans="1:32" s="45" customFormat="1" ht="12.75" hidden="1">
      <c r="A1259"/>
      <c r="B1259"/>
      <c r="C1259"/>
      <c r="D1259"/>
      <c r="E1259"/>
      <c r="F1259"/>
      <c r="G1259"/>
      <c r="H1259"/>
      <c r="I1259"/>
      <c r="J1259"/>
      <c r="K1259"/>
      <c r="L1259"/>
      <c r="M1259"/>
      <c r="N1259"/>
      <c r="O1259" s="109"/>
      <c r="P1259" s="110"/>
      <c r="Q1259" s="110"/>
      <c r="R1259" s="110"/>
      <c r="S1259" s="113"/>
      <c r="T1259" s="113"/>
      <c r="V1259"/>
      <c r="W1259"/>
      <c r="Y1259"/>
      <c r="Z1259"/>
      <c r="AA1259"/>
      <c r="AB1259"/>
      <c r="AC1259"/>
      <c r="AD1259"/>
      <c r="AE1259"/>
      <c r="AF1259"/>
    </row>
    <row r="1260" spans="1:32" s="45" customFormat="1" ht="12.75" hidden="1">
      <c r="A1260"/>
      <c r="B1260"/>
      <c r="C1260"/>
      <c r="D1260"/>
      <c r="E1260"/>
      <c r="F1260"/>
      <c r="G1260"/>
      <c r="H1260"/>
      <c r="I1260"/>
      <c r="J1260"/>
      <c r="K1260"/>
      <c r="L1260"/>
      <c r="M1260"/>
      <c r="N1260"/>
      <c r="O1260" s="109"/>
      <c r="P1260" s="110"/>
      <c r="Q1260" s="110"/>
      <c r="R1260" s="110"/>
      <c r="S1260" s="113"/>
      <c r="T1260" s="113"/>
      <c r="V1260"/>
      <c r="W1260"/>
      <c r="Y1260"/>
      <c r="Z1260"/>
      <c r="AA1260"/>
      <c r="AB1260"/>
      <c r="AC1260"/>
      <c r="AD1260"/>
      <c r="AE1260"/>
      <c r="AF1260"/>
    </row>
    <row r="1261" spans="1:32" s="45" customFormat="1" ht="12.75" hidden="1">
      <c r="A1261"/>
      <c r="B1261"/>
      <c r="C1261"/>
      <c r="D1261"/>
      <c r="E1261"/>
      <c r="F1261"/>
      <c r="G1261"/>
      <c r="H1261"/>
      <c r="I1261"/>
      <c r="J1261"/>
      <c r="K1261"/>
      <c r="L1261"/>
      <c r="M1261"/>
      <c r="N1261"/>
      <c r="O1261" s="109"/>
      <c r="P1261" s="110"/>
      <c r="Q1261" s="110"/>
      <c r="R1261" s="110"/>
      <c r="S1261" s="113"/>
      <c r="T1261" s="113"/>
      <c r="V1261"/>
      <c r="W1261"/>
      <c r="Y1261"/>
      <c r="Z1261"/>
      <c r="AA1261"/>
      <c r="AB1261"/>
      <c r="AC1261"/>
      <c r="AD1261"/>
      <c r="AE1261"/>
      <c r="AF1261"/>
    </row>
    <row r="1262" spans="1:32" s="45" customFormat="1" ht="12.75" hidden="1">
      <c r="A1262"/>
      <c r="B1262"/>
      <c r="C1262"/>
      <c r="D1262"/>
      <c r="E1262"/>
      <c r="F1262"/>
      <c r="G1262"/>
      <c r="H1262"/>
      <c r="I1262"/>
      <c r="J1262"/>
      <c r="K1262"/>
      <c r="L1262"/>
      <c r="M1262"/>
      <c r="N1262"/>
      <c r="O1262" s="109"/>
      <c r="P1262" s="110"/>
      <c r="Q1262" s="110"/>
      <c r="R1262" s="110"/>
      <c r="S1262" s="113"/>
      <c r="T1262" s="113"/>
      <c r="V1262"/>
      <c r="W1262"/>
      <c r="Y1262"/>
      <c r="Z1262"/>
      <c r="AA1262"/>
      <c r="AB1262"/>
      <c r="AC1262"/>
      <c r="AD1262"/>
      <c r="AE1262"/>
      <c r="AF1262"/>
    </row>
    <row r="1263" spans="1:32" s="45" customFormat="1" ht="12.75" hidden="1">
      <c r="A1263"/>
      <c r="B1263"/>
      <c r="C1263"/>
      <c r="D1263"/>
      <c r="E1263"/>
      <c r="F1263"/>
      <c r="G1263"/>
      <c r="H1263"/>
      <c r="I1263"/>
      <c r="J1263"/>
      <c r="K1263"/>
      <c r="L1263"/>
      <c r="M1263"/>
      <c r="N1263"/>
      <c r="O1263" s="109"/>
      <c r="P1263" s="110"/>
      <c r="Q1263" s="110"/>
      <c r="R1263" s="110"/>
      <c r="S1263" s="113"/>
      <c r="T1263" s="113"/>
      <c r="V1263"/>
      <c r="W1263"/>
      <c r="Y1263"/>
      <c r="Z1263"/>
      <c r="AA1263"/>
      <c r="AB1263"/>
      <c r="AC1263"/>
      <c r="AD1263"/>
      <c r="AE1263"/>
      <c r="AF1263"/>
    </row>
    <row r="1264" spans="1:32" s="45" customFormat="1" ht="12.75" hidden="1">
      <c r="A1264"/>
      <c r="B1264"/>
      <c r="C1264"/>
      <c r="D1264"/>
      <c r="E1264"/>
      <c r="F1264"/>
      <c r="G1264"/>
      <c r="H1264"/>
      <c r="I1264"/>
      <c r="J1264"/>
      <c r="K1264"/>
      <c r="L1264"/>
      <c r="M1264"/>
      <c r="N1264"/>
      <c r="O1264" s="109"/>
      <c r="P1264" s="110"/>
      <c r="Q1264" s="110"/>
      <c r="R1264" s="110"/>
      <c r="S1264" s="113"/>
      <c r="T1264" s="113"/>
      <c r="V1264"/>
      <c r="W1264"/>
      <c r="Y1264"/>
      <c r="Z1264"/>
      <c r="AA1264"/>
      <c r="AB1264"/>
      <c r="AC1264"/>
      <c r="AD1264"/>
      <c r="AE1264"/>
      <c r="AF1264"/>
    </row>
    <row r="1265" spans="1:32" s="45" customFormat="1" ht="12.75" hidden="1">
      <c r="A1265"/>
      <c r="B1265"/>
      <c r="C1265"/>
      <c r="D1265"/>
      <c r="E1265"/>
      <c r="F1265"/>
      <c r="G1265"/>
      <c r="H1265"/>
      <c r="I1265"/>
      <c r="J1265"/>
      <c r="K1265"/>
      <c r="L1265"/>
      <c r="M1265"/>
      <c r="N1265"/>
      <c r="O1265" s="109"/>
      <c r="P1265" s="110"/>
      <c r="Q1265" s="110"/>
      <c r="R1265" s="110"/>
      <c r="S1265" s="113"/>
      <c r="T1265" s="113"/>
      <c r="V1265"/>
      <c r="W1265"/>
      <c r="Y1265"/>
      <c r="Z1265"/>
      <c r="AA1265"/>
      <c r="AB1265"/>
      <c r="AC1265"/>
      <c r="AD1265"/>
      <c r="AE1265"/>
      <c r="AF1265"/>
    </row>
    <row r="1266" spans="1:32" s="45" customFormat="1" ht="12.75" hidden="1">
      <c r="A1266"/>
      <c r="B1266"/>
      <c r="C1266"/>
      <c r="D1266"/>
      <c r="E1266"/>
      <c r="F1266"/>
      <c r="G1266"/>
      <c r="H1266"/>
      <c r="I1266"/>
      <c r="J1266"/>
      <c r="K1266"/>
      <c r="L1266"/>
      <c r="M1266"/>
      <c r="N1266"/>
      <c r="O1266" s="109"/>
      <c r="P1266" s="110"/>
      <c r="Q1266" s="110"/>
      <c r="R1266" s="110"/>
      <c r="S1266" s="113"/>
      <c r="T1266" s="113"/>
      <c r="V1266"/>
      <c r="W1266"/>
      <c r="Y1266"/>
      <c r="Z1266"/>
      <c r="AA1266"/>
      <c r="AB1266"/>
      <c r="AC1266"/>
      <c r="AD1266"/>
      <c r="AE1266"/>
      <c r="AF1266"/>
    </row>
    <row r="1267" spans="1:32" s="45" customFormat="1" ht="12.75" hidden="1">
      <c r="A1267"/>
      <c r="B1267"/>
      <c r="C1267"/>
      <c r="D1267"/>
      <c r="E1267"/>
      <c r="F1267"/>
      <c r="G1267"/>
      <c r="H1267"/>
      <c r="I1267"/>
      <c r="J1267"/>
      <c r="K1267"/>
      <c r="L1267"/>
      <c r="M1267"/>
      <c r="N1267"/>
      <c r="O1267" s="109"/>
      <c r="P1267" s="110"/>
      <c r="Q1267" s="110"/>
      <c r="R1267" s="110"/>
      <c r="S1267" s="113"/>
      <c r="T1267" s="113"/>
      <c r="V1267"/>
      <c r="W1267"/>
      <c r="Y1267"/>
      <c r="Z1267"/>
      <c r="AA1267"/>
      <c r="AB1267"/>
      <c r="AC1267"/>
      <c r="AD1267"/>
      <c r="AE1267"/>
      <c r="AF1267"/>
    </row>
    <row r="1268" spans="1:32" s="45" customFormat="1" ht="12.75" hidden="1">
      <c r="A1268"/>
      <c r="B1268"/>
      <c r="C1268"/>
      <c r="D1268"/>
      <c r="E1268"/>
      <c r="F1268"/>
      <c r="G1268"/>
      <c r="H1268"/>
      <c r="I1268"/>
      <c r="J1268"/>
      <c r="K1268"/>
      <c r="L1268"/>
      <c r="M1268"/>
      <c r="N1268"/>
      <c r="O1268" s="109"/>
      <c r="P1268" s="110"/>
      <c r="Q1268" s="110"/>
      <c r="R1268" s="110"/>
      <c r="S1268" s="113"/>
      <c r="T1268" s="113"/>
      <c r="V1268"/>
      <c r="W1268"/>
      <c r="Y1268"/>
      <c r="Z1268"/>
      <c r="AA1268"/>
      <c r="AB1268"/>
      <c r="AC1268"/>
      <c r="AD1268"/>
      <c r="AE1268"/>
      <c r="AF1268"/>
    </row>
    <row r="1269" spans="1:32" s="45" customFormat="1" ht="12.75" hidden="1">
      <c r="A1269"/>
      <c r="B1269"/>
      <c r="C1269"/>
      <c r="D1269"/>
      <c r="E1269"/>
      <c r="F1269"/>
      <c r="G1269"/>
      <c r="H1269"/>
      <c r="I1269"/>
      <c r="J1269"/>
      <c r="K1269"/>
      <c r="L1269"/>
      <c r="M1269"/>
      <c r="N1269"/>
      <c r="O1269" s="109"/>
      <c r="P1269" s="110"/>
      <c r="Q1269" s="110"/>
      <c r="R1269" s="110"/>
      <c r="S1269" s="113"/>
      <c r="T1269" s="113"/>
      <c r="V1269"/>
      <c r="W1269"/>
      <c r="Y1269"/>
      <c r="Z1269"/>
      <c r="AA1269"/>
      <c r="AB1269"/>
      <c r="AC1269"/>
      <c r="AD1269"/>
      <c r="AE1269"/>
      <c r="AF1269"/>
    </row>
    <row r="1270" spans="1:32" s="45" customFormat="1" ht="12.75" hidden="1">
      <c r="A1270"/>
      <c r="B1270"/>
      <c r="C1270"/>
      <c r="D1270"/>
      <c r="E1270"/>
      <c r="F1270"/>
      <c r="G1270"/>
      <c r="H1270"/>
      <c r="I1270"/>
      <c r="J1270"/>
      <c r="K1270"/>
      <c r="L1270"/>
      <c r="M1270"/>
      <c r="N1270"/>
      <c r="O1270" s="109"/>
      <c r="P1270" s="110"/>
      <c r="Q1270" s="110"/>
      <c r="R1270" s="110"/>
      <c r="S1270" s="113"/>
      <c r="T1270" s="113"/>
      <c r="V1270"/>
      <c r="W1270"/>
      <c r="Y1270"/>
      <c r="Z1270"/>
      <c r="AA1270"/>
      <c r="AB1270"/>
      <c r="AC1270"/>
      <c r="AD1270"/>
      <c r="AE1270"/>
      <c r="AF1270"/>
    </row>
    <row r="1271" spans="1:32" s="45" customFormat="1" ht="12.75" hidden="1">
      <c r="A1271"/>
      <c r="B1271"/>
      <c r="C1271"/>
      <c r="D1271"/>
      <c r="E1271"/>
      <c r="F1271"/>
      <c r="G1271"/>
      <c r="H1271"/>
      <c r="I1271"/>
      <c r="J1271"/>
      <c r="K1271"/>
      <c r="L1271"/>
      <c r="M1271"/>
      <c r="N1271"/>
      <c r="O1271" s="109"/>
      <c r="P1271" s="110"/>
      <c r="Q1271" s="110"/>
      <c r="R1271" s="110"/>
      <c r="S1271" s="113"/>
      <c r="T1271" s="113"/>
      <c r="V1271"/>
      <c r="W1271"/>
      <c r="Y1271"/>
      <c r="Z1271"/>
      <c r="AA1271"/>
      <c r="AB1271"/>
      <c r="AC1271"/>
      <c r="AD1271"/>
      <c r="AE1271"/>
      <c r="AF1271"/>
    </row>
    <row r="1272" spans="1:32" s="45" customFormat="1" ht="12.75" hidden="1">
      <c r="A1272"/>
      <c r="B1272"/>
      <c r="C1272"/>
      <c r="D1272"/>
      <c r="E1272"/>
      <c r="F1272"/>
      <c r="G1272"/>
      <c r="H1272"/>
      <c r="I1272"/>
      <c r="J1272"/>
      <c r="K1272"/>
      <c r="L1272"/>
      <c r="M1272"/>
      <c r="N1272"/>
      <c r="O1272" s="109"/>
      <c r="P1272" s="110"/>
      <c r="Q1272" s="110"/>
      <c r="R1272" s="110"/>
      <c r="S1272" s="113"/>
      <c r="T1272" s="113"/>
      <c r="V1272"/>
      <c r="W1272"/>
      <c r="Y1272"/>
      <c r="Z1272"/>
      <c r="AA1272"/>
      <c r="AB1272"/>
      <c r="AC1272"/>
      <c r="AD1272"/>
      <c r="AE1272"/>
      <c r="AF1272"/>
    </row>
    <row r="1273" spans="1:32" s="45" customFormat="1" ht="12.75" hidden="1">
      <c r="A1273"/>
      <c r="B1273"/>
      <c r="C1273"/>
      <c r="D1273"/>
      <c r="E1273"/>
      <c r="F1273"/>
      <c r="G1273"/>
      <c r="H1273"/>
      <c r="I1273"/>
      <c r="J1273"/>
      <c r="K1273"/>
      <c r="L1273"/>
      <c r="M1273"/>
      <c r="N1273"/>
      <c r="O1273" s="109"/>
      <c r="P1273" s="110"/>
      <c r="Q1273" s="110"/>
      <c r="R1273" s="110"/>
      <c r="S1273" s="113"/>
      <c r="T1273" s="113"/>
      <c r="V1273"/>
      <c r="W1273"/>
      <c r="Y1273"/>
      <c r="Z1273"/>
      <c r="AA1273"/>
      <c r="AB1273"/>
      <c r="AC1273"/>
      <c r="AD1273"/>
      <c r="AE1273"/>
      <c r="AF1273"/>
    </row>
    <row r="1274" spans="1:32" s="45" customFormat="1" ht="12.75" hidden="1">
      <c r="A1274"/>
      <c r="B1274"/>
      <c r="C1274"/>
      <c r="D1274"/>
      <c r="E1274"/>
      <c r="F1274"/>
      <c r="G1274"/>
      <c r="H1274"/>
      <c r="I1274"/>
      <c r="J1274"/>
      <c r="K1274"/>
      <c r="L1274"/>
      <c r="M1274"/>
      <c r="N1274"/>
      <c r="O1274" s="109"/>
      <c r="P1274" s="110"/>
      <c r="Q1274" s="110"/>
      <c r="R1274" s="110"/>
      <c r="S1274" s="113"/>
      <c r="T1274" s="113"/>
      <c r="V1274"/>
      <c r="W1274"/>
      <c r="Y1274"/>
      <c r="Z1274"/>
      <c r="AA1274"/>
      <c r="AB1274"/>
      <c r="AC1274"/>
      <c r="AD1274"/>
      <c r="AE1274"/>
      <c r="AF1274"/>
    </row>
    <row r="1275" spans="1:32" s="45" customFormat="1" ht="12.75" hidden="1">
      <c r="A1275"/>
      <c r="B1275"/>
      <c r="C1275"/>
      <c r="D1275"/>
      <c r="E1275"/>
      <c r="F1275"/>
      <c r="G1275"/>
      <c r="H1275"/>
      <c r="I1275"/>
      <c r="J1275"/>
      <c r="K1275"/>
      <c r="L1275"/>
      <c r="M1275"/>
      <c r="N1275"/>
      <c r="O1275" s="109"/>
      <c r="P1275" s="110"/>
      <c r="Q1275" s="110"/>
      <c r="R1275" s="110"/>
      <c r="S1275" s="113"/>
      <c r="T1275" s="113"/>
      <c r="V1275"/>
      <c r="W1275"/>
      <c r="Y1275"/>
      <c r="Z1275"/>
      <c r="AA1275"/>
      <c r="AB1275"/>
      <c r="AC1275"/>
      <c r="AD1275"/>
      <c r="AE1275"/>
      <c r="AF1275"/>
    </row>
    <row r="1276" spans="1:32" s="45" customFormat="1" ht="12.75" hidden="1">
      <c r="A1276"/>
      <c r="B1276"/>
      <c r="C1276"/>
      <c r="D1276"/>
      <c r="E1276"/>
      <c r="F1276"/>
      <c r="G1276"/>
      <c r="H1276"/>
      <c r="I1276"/>
      <c r="J1276"/>
      <c r="K1276"/>
      <c r="L1276"/>
      <c r="M1276"/>
      <c r="N1276"/>
      <c r="O1276" s="109"/>
      <c r="P1276" s="110"/>
      <c r="Q1276" s="110"/>
      <c r="R1276" s="110"/>
      <c r="S1276" s="113"/>
      <c r="T1276" s="113"/>
      <c r="V1276"/>
      <c r="W1276"/>
      <c r="Y1276"/>
      <c r="Z1276"/>
      <c r="AA1276"/>
      <c r="AB1276"/>
      <c r="AC1276"/>
      <c r="AD1276"/>
      <c r="AE1276"/>
      <c r="AF1276"/>
    </row>
    <row r="1277" spans="1:32" s="45" customFormat="1" ht="12.75" hidden="1">
      <c r="A1277"/>
      <c r="B1277"/>
      <c r="C1277"/>
      <c r="D1277"/>
      <c r="E1277"/>
      <c r="F1277"/>
      <c r="G1277"/>
      <c r="H1277"/>
      <c r="I1277"/>
      <c r="J1277"/>
      <c r="K1277"/>
      <c r="L1277"/>
      <c r="M1277"/>
      <c r="N1277"/>
      <c r="O1277" s="109"/>
      <c r="P1277" s="110"/>
      <c r="Q1277" s="110"/>
      <c r="R1277" s="110"/>
      <c r="S1277" s="113"/>
      <c r="T1277" s="113"/>
      <c r="V1277"/>
      <c r="W1277"/>
      <c r="Y1277"/>
      <c r="Z1277"/>
      <c r="AA1277"/>
      <c r="AB1277"/>
      <c r="AC1277"/>
      <c r="AD1277"/>
      <c r="AE1277"/>
      <c r="AF1277"/>
    </row>
    <row r="1278" spans="1:32" s="45" customFormat="1" ht="12.75" hidden="1">
      <c r="A1278"/>
      <c r="B1278"/>
      <c r="C1278"/>
      <c r="D1278"/>
      <c r="E1278"/>
      <c r="F1278"/>
      <c r="G1278"/>
      <c r="H1278"/>
      <c r="I1278"/>
      <c r="J1278"/>
      <c r="K1278"/>
      <c r="L1278"/>
      <c r="M1278"/>
      <c r="N1278"/>
      <c r="O1278" s="109"/>
      <c r="P1278" s="110"/>
      <c r="Q1278" s="110"/>
      <c r="R1278" s="110"/>
      <c r="S1278" s="113"/>
      <c r="T1278" s="113"/>
      <c r="V1278"/>
      <c r="W1278"/>
      <c r="Y1278"/>
      <c r="Z1278"/>
      <c r="AA1278"/>
      <c r="AB1278"/>
      <c r="AC1278"/>
      <c r="AD1278"/>
      <c r="AE1278"/>
      <c r="AF1278"/>
    </row>
    <row r="1279" spans="1:32" s="45" customFormat="1" ht="12.75" hidden="1">
      <c r="A1279"/>
      <c r="B1279"/>
      <c r="C1279"/>
      <c r="D1279"/>
      <c r="E1279"/>
      <c r="F1279"/>
      <c r="G1279"/>
      <c r="H1279"/>
      <c r="I1279"/>
      <c r="J1279"/>
      <c r="K1279"/>
      <c r="L1279"/>
      <c r="M1279"/>
      <c r="N1279"/>
      <c r="O1279" s="109"/>
      <c r="P1279" s="110"/>
      <c r="Q1279" s="110"/>
      <c r="R1279" s="110"/>
      <c r="S1279" s="113"/>
      <c r="T1279" s="113"/>
      <c r="V1279"/>
      <c r="W1279"/>
      <c r="Y1279"/>
      <c r="Z1279"/>
      <c r="AA1279"/>
      <c r="AB1279"/>
      <c r="AC1279"/>
      <c r="AD1279"/>
      <c r="AE1279"/>
      <c r="AF1279"/>
    </row>
    <row r="1280" spans="1:32" s="45" customFormat="1" ht="12.75" hidden="1">
      <c r="A1280"/>
      <c r="B1280"/>
      <c r="C1280"/>
      <c r="D1280"/>
      <c r="E1280"/>
      <c r="F1280"/>
      <c r="G1280"/>
      <c r="H1280"/>
      <c r="I1280"/>
      <c r="J1280"/>
      <c r="K1280"/>
      <c r="L1280"/>
      <c r="M1280"/>
      <c r="N1280"/>
      <c r="O1280" s="109"/>
      <c r="P1280" s="110"/>
      <c r="Q1280" s="110"/>
      <c r="R1280" s="110"/>
      <c r="S1280" s="113"/>
      <c r="T1280" s="113"/>
      <c r="V1280"/>
      <c r="W1280"/>
      <c r="Y1280"/>
      <c r="Z1280"/>
      <c r="AA1280"/>
      <c r="AB1280"/>
      <c r="AC1280"/>
      <c r="AD1280"/>
      <c r="AE1280"/>
      <c r="AF1280"/>
    </row>
    <row r="1281" spans="1:32" s="45" customFormat="1" ht="12.75" hidden="1">
      <c r="A1281"/>
      <c r="B1281"/>
      <c r="C1281"/>
      <c r="D1281"/>
      <c r="E1281"/>
      <c r="F1281"/>
      <c r="G1281"/>
      <c r="H1281"/>
      <c r="I1281"/>
      <c r="J1281"/>
      <c r="K1281"/>
      <c r="L1281"/>
      <c r="M1281"/>
      <c r="N1281"/>
      <c r="O1281" s="109"/>
      <c r="P1281" s="110"/>
      <c r="Q1281" s="110"/>
      <c r="R1281" s="110"/>
      <c r="S1281" s="113"/>
      <c r="T1281" s="113"/>
      <c r="V1281"/>
      <c r="W1281"/>
      <c r="Y1281"/>
      <c r="Z1281"/>
      <c r="AA1281"/>
      <c r="AB1281"/>
      <c r="AC1281"/>
      <c r="AD1281"/>
      <c r="AE1281"/>
      <c r="AF1281"/>
    </row>
    <row r="1282" spans="1:32" s="45" customFormat="1" ht="12.75" hidden="1">
      <c r="A1282"/>
      <c r="B1282"/>
      <c r="C1282"/>
      <c r="D1282"/>
      <c r="E1282"/>
      <c r="F1282"/>
      <c r="G1282"/>
      <c r="H1282"/>
      <c r="I1282"/>
      <c r="J1282"/>
      <c r="K1282"/>
      <c r="L1282"/>
      <c r="M1282"/>
      <c r="N1282"/>
      <c r="O1282" s="109"/>
      <c r="P1282" s="110"/>
      <c r="Q1282" s="110"/>
      <c r="R1282" s="110"/>
      <c r="S1282" s="113"/>
      <c r="T1282" s="113"/>
      <c r="V1282"/>
      <c r="W1282"/>
      <c r="Y1282"/>
      <c r="Z1282"/>
      <c r="AA1282"/>
      <c r="AB1282"/>
      <c r="AC1282"/>
      <c r="AD1282"/>
      <c r="AE1282"/>
      <c r="AF1282"/>
    </row>
    <row r="1283" spans="1:32" s="45" customFormat="1" ht="12.75" hidden="1">
      <c r="A1283"/>
      <c r="B1283"/>
      <c r="C1283"/>
      <c r="D1283"/>
      <c r="E1283"/>
      <c r="F1283"/>
      <c r="G1283"/>
      <c r="H1283"/>
      <c r="I1283"/>
      <c r="J1283"/>
      <c r="K1283"/>
      <c r="L1283"/>
      <c r="M1283"/>
      <c r="N1283"/>
      <c r="O1283" s="109"/>
      <c r="P1283" s="110"/>
      <c r="Q1283" s="110"/>
      <c r="R1283" s="110"/>
      <c r="S1283" s="113"/>
      <c r="T1283" s="113"/>
      <c r="V1283"/>
      <c r="W1283"/>
      <c r="Y1283"/>
      <c r="Z1283"/>
      <c r="AA1283"/>
      <c r="AB1283"/>
      <c r="AC1283"/>
      <c r="AD1283"/>
      <c r="AE1283"/>
      <c r="AF1283"/>
    </row>
    <row r="1284" spans="1:32" s="45" customFormat="1" ht="12.75" hidden="1">
      <c r="A1284"/>
      <c r="B1284"/>
      <c r="C1284"/>
      <c r="D1284"/>
      <c r="E1284"/>
      <c r="F1284"/>
      <c r="G1284"/>
      <c r="H1284"/>
      <c r="I1284"/>
      <c r="J1284"/>
      <c r="K1284"/>
      <c r="L1284"/>
      <c r="M1284"/>
      <c r="N1284"/>
      <c r="O1284" s="109"/>
      <c r="P1284" s="110"/>
      <c r="Q1284" s="110"/>
      <c r="R1284" s="110"/>
      <c r="S1284" s="113"/>
      <c r="T1284" s="113"/>
      <c r="V1284"/>
      <c r="W1284"/>
      <c r="Y1284"/>
      <c r="Z1284"/>
      <c r="AA1284"/>
      <c r="AB1284"/>
      <c r="AC1284"/>
      <c r="AD1284"/>
      <c r="AE1284"/>
      <c r="AF1284"/>
    </row>
    <row r="1285" spans="1:32" s="45" customFormat="1" ht="12.75" hidden="1">
      <c r="A1285"/>
      <c r="B1285"/>
      <c r="C1285"/>
      <c r="D1285"/>
      <c r="E1285"/>
      <c r="F1285"/>
      <c r="G1285"/>
      <c r="H1285"/>
      <c r="I1285"/>
      <c r="J1285"/>
      <c r="K1285"/>
      <c r="L1285"/>
      <c r="M1285"/>
      <c r="N1285"/>
      <c r="O1285" s="109"/>
      <c r="P1285" s="110"/>
      <c r="Q1285" s="110"/>
      <c r="R1285" s="110"/>
      <c r="S1285" s="113"/>
      <c r="T1285" s="113"/>
      <c r="V1285"/>
      <c r="W1285"/>
      <c r="Y1285"/>
      <c r="Z1285"/>
      <c r="AA1285"/>
      <c r="AB1285"/>
      <c r="AC1285"/>
      <c r="AD1285"/>
      <c r="AE1285"/>
      <c r="AF1285"/>
    </row>
    <row r="1286" spans="1:32" s="45" customFormat="1" ht="12.75" hidden="1">
      <c r="A1286"/>
      <c r="B1286"/>
      <c r="C1286"/>
      <c r="D1286"/>
      <c r="E1286"/>
      <c r="F1286"/>
      <c r="G1286"/>
      <c r="H1286"/>
      <c r="I1286"/>
      <c r="J1286"/>
      <c r="K1286"/>
      <c r="L1286"/>
      <c r="M1286"/>
      <c r="N1286"/>
      <c r="O1286" s="109"/>
      <c r="P1286" s="110"/>
      <c r="Q1286" s="110"/>
      <c r="R1286" s="110"/>
      <c r="S1286" s="113"/>
      <c r="T1286" s="113"/>
      <c r="V1286"/>
      <c r="W1286"/>
      <c r="Y1286"/>
      <c r="Z1286"/>
      <c r="AA1286"/>
      <c r="AB1286"/>
      <c r="AC1286"/>
      <c r="AD1286"/>
      <c r="AE1286"/>
      <c r="AF1286"/>
    </row>
    <row r="1287" spans="1:32" s="45" customFormat="1" ht="12.75" hidden="1">
      <c r="A1287"/>
      <c r="B1287"/>
      <c r="C1287"/>
      <c r="D1287"/>
      <c r="E1287"/>
      <c r="F1287"/>
      <c r="G1287"/>
      <c r="H1287"/>
      <c r="I1287"/>
      <c r="J1287"/>
      <c r="K1287"/>
      <c r="L1287"/>
      <c r="M1287"/>
      <c r="N1287"/>
      <c r="O1287" s="109"/>
      <c r="P1287" s="110"/>
      <c r="Q1287" s="110"/>
      <c r="R1287" s="110"/>
      <c r="S1287" s="113"/>
      <c r="T1287" s="113"/>
      <c r="V1287"/>
      <c r="W1287"/>
      <c r="Y1287"/>
      <c r="Z1287"/>
      <c r="AA1287"/>
      <c r="AB1287"/>
      <c r="AC1287"/>
      <c r="AD1287"/>
      <c r="AE1287"/>
      <c r="AF1287"/>
    </row>
    <row r="1288" spans="1:32" s="45" customFormat="1" ht="12.75" hidden="1">
      <c r="A1288"/>
      <c r="B1288"/>
      <c r="C1288"/>
      <c r="D1288"/>
      <c r="E1288"/>
      <c r="F1288"/>
      <c r="G1288"/>
      <c r="H1288"/>
      <c r="I1288"/>
      <c r="J1288"/>
      <c r="K1288"/>
      <c r="L1288"/>
      <c r="M1288"/>
      <c r="N1288"/>
      <c r="O1288" s="109"/>
      <c r="P1288" s="110"/>
      <c r="Q1288" s="110"/>
      <c r="R1288" s="110"/>
      <c r="S1288" s="113"/>
      <c r="T1288" s="113"/>
      <c r="V1288"/>
      <c r="W1288"/>
      <c r="Y1288"/>
      <c r="Z1288"/>
      <c r="AA1288"/>
      <c r="AB1288"/>
      <c r="AC1288"/>
      <c r="AD1288"/>
      <c r="AE1288"/>
      <c r="AF1288"/>
    </row>
    <row r="1289" spans="1:32" s="45" customFormat="1" ht="12.75" hidden="1">
      <c r="A1289"/>
      <c r="B1289"/>
      <c r="C1289"/>
      <c r="D1289"/>
      <c r="E1289"/>
      <c r="F1289"/>
      <c r="G1289"/>
      <c r="H1289"/>
      <c r="I1289"/>
      <c r="J1289"/>
      <c r="K1289"/>
      <c r="L1289"/>
      <c r="M1289"/>
      <c r="N1289"/>
      <c r="O1289" s="109"/>
      <c r="P1289" s="110"/>
      <c r="Q1289" s="110"/>
      <c r="R1289" s="110"/>
      <c r="S1289" s="113"/>
      <c r="T1289" s="113"/>
      <c r="V1289"/>
      <c r="W1289"/>
      <c r="Y1289"/>
      <c r="Z1289"/>
      <c r="AA1289"/>
      <c r="AB1289"/>
      <c r="AC1289"/>
      <c r="AD1289"/>
      <c r="AE1289"/>
      <c r="AF1289"/>
    </row>
    <row r="1290" spans="1:32" s="45" customFormat="1" ht="12.75" hidden="1">
      <c r="A1290"/>
      <c r="B1290"/>
      <c r="C1290"/>
      <c r="D1290"/>
      <c r="E1290"/>
      <c r="F1290"/>
      <c r="G1290"/>
      <c r="H1290"/>
      <c r="I1290"/>
      <c r="J1290"/>
      <c r="K1290"/>
      <c r="L1290"/>
      <c r="M1290"/>
      <c r="N1290"/>
      <c r="O1290" s="109"/>
      <c r="P1290" s="110"/>
      <c r="Q1290" s="110"/>
      <c r="R1290" s="110"/>
      <c r="S1290" s="113"/>
      <c r="T1290" s="113"/>
      <c r="V1290"/>
      <c r="W1290"/>
      <c r="Y1290"/>
      <c r="Z1290"/>
      <c r="AA1290"/>
      <c r="AB1290"/>
      <c r="AC1290"/>
      <c r="AD1290"/>
      <c r="AE1290"/>
      <c r="AF1290"/>
    </row>
    <row r="1291" spans="1:32" s="45" customFormat="1" ht="12.75" hidden="1">
      <c r="A1291"/>
      <c r="B1291"/>
      <c r="C1291"/>
      <c r="D1291"/>
      <c r="E1291"/>
      <c r="F1291"/>
      <c r="G1291"/>
      <c r="H1291"/>
      <c r="I1291"/>
      <c r="J1291"/>
      <c r="K1291"/>
      <c r="L1291"/>
      <c r="M1291"/>
      <c r="N1291"/>
      <c r="O1291" s="109"/>
      <c r="P1291" s="110"/>
      <c r="Q1291" s="110"/>
      <c r="R1291" s="110"/>
      <c r="S1291" s="113"/>
      <c r="T1291" s="113"/>
      <c r="V1291"/>
      <c r="W1291"/>
      <c r="Y1291"/>
      <c r="Z1291"/>
      <c r="AA1291"/>
      <c r="AB1291"/>
      <c r="AC1291"/>
      <c r="AD1291"/>
      <c r="AE1291"/>
      <c r="AF1291"/>
    </row>
    <row r="1292" spans="1:32" s="45" customFormat="1" ht="12.75" hidden="1">
      <c r="A1292"/>
      <c r="B1292"/>
      <c r="C1292"/>
      <c r="D1292"/>
      <c r="E1292"/>
      <c r="F1292"/>
      <c r="G1292"/>
      <c r="H1292"/>
      <c r="I1292"/>
      <c r="J1292"/>
      <c r="K1292"/>
      <c r="L1292"/>
      <c r="M1292"/>
      <c r="N1292"/>
      <c r="O1292" s="109"/>
      <c r="P1292" s="110"/>
      <c r="Q1292" s="110"/>
      <c r="R1292" s="110"/>
      <c r="S1292" s="113"/>
      <c r="T1292" s="113"/>
      <c r="V1292"/>
      <c r="W1292"/>
      <c r="Y1292"/>
      <c r="Z1292"/>
      <c r="AA1292"/>
      <c r="AB1292"/>
      <c r="AC1292"/>
      <c r="AD1292"/>
      <c r="AE1292"/>
      <c r="AF1292"/>
    </row>
    <row r="1293" spans="1:32" s="45" customFormat="1" ht="12.75" hidden="1">
      <c r="A1293"/>
      <c r="B1293"/>
      <c r="C1293"/>
      <c r="D1293"/>
      <c r="E1293"/>
      <c r="F1293"/>
      <c r="G1293"/>
      <c r="H1293"/>
      <c r="I1293"/>
      <c r="J1293"/>
      <c r="K1293"/>
      <c r="L1293"/>
      <c r="M1293"/>
      <c r="N1293"/>
      <c r="O1293" s="109"/>
      <c r="P1293" s="110"/>
      <c r="Q1293" s="110"/>
      <c r="R1293" s="110"/>
      <c r="S1293" s="113"/>
      <c r="T1293" s="113"/>
      <c r="V1293"/>
      <c r="W1293"/>
      <c r="Y1293"/>
      <c r="Z1293"/>
      <c r="AA1293"/>
      <c r="AB1293"/>
      <c r="AC1293"/>
      <c r="AD1293"/>
      <c r="AE1293"/>
      <c r="AF1293"/>
    </row>
    <row r="1294" spans="1:32" s="45" customFormat="1" ht="12.75" hidden="1">
      <c r="A1294"/>
      <c r="B1294"/>
      <c r="C1294"/>
      <c r="D1294"/>
      <c r="E1294"/>
      <c r="F1294"/>
      <c r="G1294"/>
      <c r="H1294"/>
      <c r="I1294"/>
      <c r="J1294"/>
      <c r="K1294"/>
      <c r="L1294"/>
      <c r="M1294"/>
      <c r="N1294"/>
      <c r="O1294" s="109"/>
      <c r="P1294" s="110"/>
      <c r="Q1294" s="110"/>
      <c r="R1294" s="110"/>
      <c r="S1294" s="113"/>
      <c r="T1294" s="113"/>
      <c r="V1294"/>
      <c r="W1294"/>
      <c r="Y1294"/>
      <c r="Z1294"/>
      <c r="AA1294"/>
      <c r="AB1294"/>
      <c r="AC1294"/>
      <c r="AD1294"/>
      <c r="AE1294"/>
      <c r="AF1294"/>
    </row>
    <row r="1295" spans="1:32" s="45" customFormat="1" ht="12.75" hidden="1">
      <c r="A1295"/>
      <c r="B1295"/>
      <c r="C1295"/>
      <c r="D1295"/>
      <c r="E1295"/>
      <c r="F1295"/>
      <c r="G1295"/>
      <c r="H1295"/>
      <c r="I1295"/>
      <c r="J1295"/>
      <c r="K1295"/>
      <c r="L1295"/>
      <c r="M1295"/>
      <c r="N1295"/>
      <c r="O1295" s="109"/>
      <c r="P1295" s="110"/>
      <c r="Q1295" s="110"/>
      <c r="R1295" s="110"/>
      <c r="S1295" s="113"/>
      <c r="T1295" s="113"/>
      <c r="V1295"/>
      <c r="W1295"/>
      <c r="Y1295"/>
      <c r="Z1295"/>
      <c r="AA1295"/>
      <c r="AB1295"/>
      <c r="AC1295"/>
      <c r="AD1295"/>
      <c r="AE1295"/>
      <c r="AF1295"/>
    </row>
    <row r="1296" spans="1:32" s="45" customFormat="1" ht="12.75" hidden="1">
      <c r="A1296"/>
      <c r="B1296"/>
      <c r="C1296"/>
      <c r="D1296"/>
      <c r="E1296"/>
      <c r="F1296"/>
      <c r="G1296"/>
      <c r="H1296"/>
      <c r="I1296"/>
      <c r="J1296"/>
      <c r="K1296"/>
      <c r="L1296"/>
      <c r="M1296"/>
      <c r="N1296"/>
      <c r="O1296" s="109"/>
      <c r="P1296" s="110"/>
      <c r="Q1296" s="110"/>
      <c r="R1296" s="110"/>
      <c r="S1296" s="113"/>
      <c r="T1296" s="113"/>
      <c r="V1296"/>
      <c r="W1296"/>
      <c r="Y1296"/>
      <c r="Z1296"/>
      <c r="AA1296"/>
      <c r="AB1296"/>
      <c r="AC1296"/>
      <c r="AD1296"/>
      <c r="AE1296"/>
      <c r="AF1296"/>
    </row>
    <row r="1297" spans="1:32" s="45" customFormat="1" ht="12.75" hidden="1">
      <c r="A1297"/>
      <c r="B1297"/>
      <c r="C1297"/>
      <c r="D1297"/>
      <c r="E1297"/>
      <c r="F1297"/>
      <c r="G1297"/>
      <c r="H1297"/>
      <c r="I1297"/>
      <c r="J1297"/>
      <c r="K1297"/>
      <c r="L1297"/>
      <c r="M1297"/>
      <c r="N1297"/>
      <c r="O1297" s="109"/>
      <c r="P1297" s="110"/>
      <c r="Q1297" s="110"/>
      <c r="R1297" s="110"/>
      <c r="S1297" s="113"/>
      <c r="T1297" s="113"/>
      <c r="V1297"/>
      <c r="W1297"/>
      <c r="Y1297"/>
      <c r="Z1297"/>
      <c r="AA1297"/>
      <c r="AB1297"/>
      <c r="AC1297"/>
      <c r="AD1297"/>
      <c r="AE1297"/>
      <c r="AF1297"/>
    </row>
    <row r="1298" spans="1:32" s="45" customFormat="1" ht="12.75" hidden="1">
      <c r="A1298"/>
      <c r="B1298"/>
      <c r="C1298"/>
      <c r="D1298"/>
      <c r="E1298"/>
      <c r="F1298"/>
      <c r="G1298"/>
      <c r="H1298"/>
      <c r="I1298"/>
      <c r="J1298"/>
      <c r="K1298"/>
      <c r="L1298"/>
      <c r="M1298"/>
      <c r="N1298"/>
      <c r="O1298" s="109"/>
      <c r="P1298" s="110"/>
      <c r="Q1298" s="110"/>
      <c r="R1298" s="110"/>
      <c r="S1298" s="113"/>
      <c r="T1298" s="113"/>
      <c r="V1298"/>
      <c r="W1298"/>
      <c r="Y1298"/>
      <c r="Z1298"/>
      <c r="AA1298"/>
      <c r="AB1298"/>
      <c r="AC1298"/>
      <c r="AD1298"/>
      <c r="AE1298"/>
      <c r="AF1298"/>
    </row>
    <row r="1299" spans="1:32" s="45" customFormat="1" ht="12.75" hidden="1">
      <c r="A1299"/>
      <c r="B1299"/>
      <c r="C1299"/>
      <c r="D1299"/>
      <c r="E1299"/>
      <c r="F1299"/>
      <c r="G1299"/>
      <c r="H1299"/>
      <c r="I1299"/>
      <c r="J1299"/>
      <c r="K1299"/>
      <c r="L1299"/>
      <c r="M1299"/>
      <c r="N1299"/>
      <c r="O1299" s="109"/>
      <c r="P1299" s="110"/>
      <c r="Q1299" s="110"/>
      <c r="R1299" s="110"/>
      <c r="S1299" s="113"/>
      <c r="T1299" s="113"/>
      <c r="V1299"/>
      <c r="W1299"/>
      <c r="Y1299"/>
      <c r="Z1299"/>
      <c r="AA1299"/>
      <c r="AB1299"/>
      <c r="AC1299"/>
      <c r="AD1299"/>
      <c r="AE1299"/>
      <c r="AF1299"/>
    </row>
    <row r="1300" spans="1:32" s="45" customFormat="1" ht="12.75" hidden="1">
      <c r="A1300"/>
      <c r="B1300"/>
      <c r="C1300"/>
      <c r="D1300"/>
      <c r="E1300"/>
      <c r="F1300"/>
      <c r="G1300"/>
      <c r="H1300"/>
      <c r="I1300"/>
      <c r="J1300"/>
      <c r="K1300"/>
      <c r="L1300"/>
      <c r="M1300"/>
      <c r="N1300"/>
      <c r="O1300" s="109"/>
      <c r="P1300" s="110"/>
      <c r="Q1300" s="110"/>
      <c r="R1300" s="110"/>
      <c r="S1300" s="113"/>
      <c r="T1300" s="113"/>
      <c r="V1300"/>
      <c r="W1300"/>
      <c r="Y1300"/>
      <c r="Z1300"/>
      <c r="AA1300"/>
      <c r="AB1300"/>
      <c r="AC1300"/>
      <c r="AD1300"/>
      <c r="AE1300"/>
      <c r="AF1300"/>
    </row>
    <row r="1301" spans="1:32" s="45" customFormat="1" ht="12.75" hidden="1">
      <c r="A1301"/>
      <c r="B1301"/>
      <c r="C1301"/>
      <c r="D1301"/>
      <c r="E1301"/>
      <c r="F1301"/>
      <c r="G1301"/>
      <c r="H1301"/>
      <c r="I1301"/>
      <c r="J1301"/>
      <c r="K1301"/>
      <c r="L1301"/>
      <c r="M1301"/>
      <c r="N1301"/>
      <c r="O1301" s="109"/>
      <c r="P1301" s="110"/>
      <c r="Q1301" s="110"/>
      <c r="R1301" s="110"/>
      <c r="S1301" s="113"/>
      <c r="T1301" s="113"/>
      <c r="V1301"/>
      <c r="W1301"/>
      <c r="Y1301"/>
      <c r="Z1301"/>
      <c r="AA1301"/>
      <c r="AB1301"/>
      <c r="AC1301"/>
      <c r="AD1301"/>
      <c r="AE1301"/>
      <c r="AF1301"/>
    </row>
    <row r="1302" spans="1:32" s="45" customFormat="1" ht="12.75" hidden="1">
      <c r="A1302"/>
      <c r="B1302"/>
      <c r="C1302"/>
      <c r="D1302"/>
      <c r="E1302"/>
      <c r="F1302"/>
      <c r="G1302"/>
      <c r="H1302"/>
      <c r="I1302"/>
      <c r="J1302"/>
      <c r="K1302"/>
      <c r="L1302"/>
      <c r="M1302"/>
      <c r="N1302"/>
      <c r="O1302" s="109"/>
      <c r="P1302" s="110"/>
      <c r="Q1302" s="110"/>
      <c r="R1302" s="110"/>
      <c r="S1302" s="113"/>
      <c r="T1302" s="113"/>
      <c r="V1302"/>
      <c r="W1302"/>
      <c r="Y1302"/>
      <c r="Z1302"/>
      <c r="AA1302"/>
      <c r="AB1302"/>
      <c r="AC1302"/>
      <c r="AD1302"/>
      <c r="AE1302"/>
      <c r="AF1302"/>
    </row>
    <row r="1303" spans="1:32" s="45" customFormat="1" ht="12.75" hidden="1">
      <c r="A1303"/>
      <c r="B1303"/>
      <c r="C1303"/>
      <c r="D1303"/>
      <c r="E1303"/>
      <c r="F1303"/>
      <c r="G1303"/>
      <c r="H1303"/>
      <c r="I1303"/>
      <c r="J1303"/>
      <c r="K1303"/>
      <c r="L1303"/>
      <c r="M1303"/>
      <c r="N1303"/>
      <c r="O1303" s="109"/>
      <c r="P1303" s="110"/>
      <c r="Q1303" s="110"/>
      <c r="R1303" s="110"/>
      <c r="S1303" s="113"/>
      <c r="T1303" s="113"/>
      <c r="V1303"/>
      <c r="W1303"/>
      <c r="Y1303"/>
      <c r="Z1303"/>
      <c r="AA1303"/>
      <c r="AB1303"/>
      <c r="AC1303"/>
      <c r="AD1303"/>
      <c r="AE1303"/>
      <c r="AF1303"/>
    </row>
    <row r="1304" spans="1:32" s="45" customFormat="1" ht="12.75" hidden="1">
      <c r="A1304"/>
      <c r="B1304"/>
      <c r="C1304"/>
      <c r="D1304"/>
      <c r="E1304"/>
      <c r="F1304"/>
      <c r="G1304"/>
      <c r="H1304"/>
      <c r="I1304"/>
      <c r="J1304"/>
      <c r="K1304"/>
      <c r="L1304"/>
      <c r="M1304"/>
      <c r="N1304"/>
      <c r="O1304" s="109"/>
      <c r="P1304" s="110"/>
      <c r="Q1304" s="110"/>
      <c r="R1304" s="110"/>
      <c r="S1304" s="113"/>
      <c r="T1304" s="113"/>
      <c r="V1304"/>
      <c r="W1304"/>
      <c r="Y1304"/>
      <c r="Z1304"/>
      <c r="AA1304"/>
      <c r="AB1304"/>
      <c r="AC1304"/>
      <c r="AD1304"/>
      <c r="AE1304"/>
      <c r="AF1304"/>
    </row>
    <row r="1305" spans="1:32" s="45" customFormat="1" ht="12.75" hidden="1">
      <c r="A1305"/>
      <c r="B1305"/>
      <c r="C1305"/>
      <c r="D1305"/>
      <c r="E1305"/>
      <c r="F1305"/>
      <c r="G1305"/>
      <c r="H1305"/>
      <c r="I1305"/>
      <c r="J1305"/>
      <c r="K1305"/>
      <c r="L1305"/>
      <c r="M1305"/>
      <c r="N1305"/>
      <c r="O1305" s="109"/>
      <c r="P1305" s="110"/>
      <c r="Q1305" s="110"/>
      <c r="R1305" s="110"/>
      <c r="S1305" s="113"/>
      <c r="T1305" s="113"/>
      <c r="V1305"/>
      <c r="W1305"/>
      <c r="Y1305"/>
      <c r="Z1305"/>
      <c r="AA1305"/>
      <c r="AB1305"/>
      <c r="AC1305"/>
      <c r="AD1305"/>
      <c r="AE1305"/>
      <c r="AF1305"/>
    </row>
    <row r="1306" spans="1:32" s="45" customFormat="1" ht="12.75" hidden="1">
      <c r="A1306"/>
      <c r="B1306"/>
      <c r="C1306"/>
      <c r="D1306"/>
      <c r="E1306"/>
      <c r="F1306"/>
      <c r="G1306"/>
      <c r="H1306"/>
      <c r="I1306"/>
      <c r="J1306"/>
      <c r="K1306"/>
      <c r="L1306"/>
      <c r="M1306"/>
      <c r="N1306"/>
      <c r="O1306" s="109"/>
      <c r="P1306" s="110"/>
      <c r="Q1306" s="110"/>
      <c r="R1306" s="110"/>
      <c r="S1306" s="113"/>
      <c r="T1306" s="113"/>
      <c r="V1306"/>
      <c r="W1306"/>
      <c r="Y1306"/>
      <c r="Z1306"/>
      <c r="AA1306"/>
      <c r="AB1306"/>
      <c r="AC1306"/>
      <c r="AD1306"/>
      <c r="AE1306"/>
      <c r="AF1306"/>
    </row>
    <row r="1307" spans="1:32" s="45" customFormat="1" ht="12.75" hidden="1">
      <c r="A1307"/>
      <c r="B1307"/>
      <c r="C1307"/>
      <c r="D1307"/>
      <c r="E1307"/>
      <c r="F1307"/>
      <c r="G1307"/>
      <c r="H1307"/>
      <c r="I1307"/>
      <c r="J1307"/>
      <c r="K1307"/>
      <c r="L1307"/>
      <c r="M1307"/>
      <c r="N1307"/>
      <c r="O1307" s="109"/>
      <c r="P1307" s="110"/>
      <c r="Q1307" s="110"/>
      <c r="R1307" s="110"/>
      <c r="S1307" s="113"/>
      <c r="T1307" s="113"/>
      <c r="V1307"/>
      <c r="W1307"/>
      <c r="Y1307"/>
      <c r="Z1307"/>
      <c r="AA1307"/>
      <c r="AB1307"/>
      <c r="AC1307"/>
      <c r="AD1307"/>
      <c r="AE1307"/>
      <c r="AF1307"/>
    </row>
    <row r="1308" spans="1:32" s="45" customFormat="1" ht="12.75" hidden="1">
      <c r="A1308"/>
      <c r="B1308"/>
      <c r="C1308"/>
      <c r="D1308"/>
      <c r="E1308"/>
      <c r="F1308"/>
      <c r="G1308"/>
      <c r="H1308"/>
      <c r="I1308"/>
      <c r="J1308"/>
      <c r="K1308"/>
      <c r="L1308"/>
      <c r="M1308"/>
      <c r="N1308"/>
      <c r="O1308" s="109"/>
      <c r="P1308" s="110"/>
      <c r="Q1308" s="110"/>
      <c r="R1308" s="110"/>
      <c r="S1308" s="113"/>
      <c r="T1308" s="113"/>
      <c r="V1308"/>
      <c r="W1308"/>
      <c r="Y1308"/>
      <c r="Z1308"/>
      <c r="AA1308"/>
      <c r="AB1308"/>
      <c r="AC1308"/>
      <c r="AD1308"/>
      <c r="AE1308"/>
      <c r="AF1308"/>
    </row>
    <row r="1309" spans="1:32" s="45" customFormat="1" ht="12.75" hidden="1">
      <c r="A1309"/>
      <c r="B1309"/>
      <c r="C1309"/>
      <c r="D1309"/>
      <c r="E1309"/>
      <c r="F1309"/>
      <c r="G1309"/>
      <c r="H1309"/>
      <c r="I1309"/>
      <c r="J1309"/>
      <c r="K1309"/>
      <c r="L1309"/>
      <c r="M1309"/>
      <c r="N1309"/>
      <c r="O1309" s="109"/>
      <c r="P1309" s="110"/>
      <c r="Q1309" s="110"/>
      <c r="R1309" s="110"/>
      <c r="S1309" s="113"/>
      <c r="T1309" s="113"/>
      <c r="V1309"/>
      <c r="W1309"/>
      <c r="Y1309"/>
      <c r="Z1309"/>
      <c r="AA1309"/>
      <c r="AB1309"/>
      <c r="AC1309"/>
      <c r="AD1309"/>
      <c r="AE1309"/>
      <c r="AF1309"/>
    </row>
    <row r="1310" spans="1:32" s="45" customFormat="1" ht="12.75" hidden="1">
      <c r="A1310"/>
      <c r="B1310"/>
      <c r="C1310"/>
      <c r="D1310"/>
      <c r="E1310"/>
      <c r="F1310"/>
      <c r="G1310"/>
      <c r="H1310"/>
      <c r="I1310"/>
      <c r="J1310"/>
      <c r="K1310"/>
      <c r="L1310"/>
      <c r="M1310"/>
      <c r="N1310"/>
      <c r="O1310" s="109"/>
      <c r="P1310" s="110"/>
      <c r="Q1310" s="110"/>
      <c r="R1310" s="110"/>
      <c r="S1310" s="113"/>
      <c r="T1310" s="113"/>
      <c r="V1310"/>
      <c r="W1310"/>
      <c r="Y1310"/>
      <c r="Z1310"/>
      <c r="AA1310"/>
      <c r="AB1310"/>
      <c r="AC1310"/>
      <c r="AD1310"/>
      <c r="AE1310"/>
      <c r="AF1310"/>
    </row>
    <row r="1311" spans="1:32" s="45" customFormat="1" ht="12.75" hidden="1">
      <c r="A1311"/>
      <c r="B1311"/>
      <c r="C1311"/>
      <c r="D1311"/>
      <c r="E1311"/>
      <c r="F1311"/>
      <c r="G1311"/>
      <c r="H1311"/>
      <c r="I1311"/>
      <c r="J1311"/>
      <c r="K1311"/>
      <c r="L1311"/>
      <c r="M1311"/>
      <c r="N1311"/>
      <c r="O1311" s="109"/>
      <c r="P1311" s="110"/>
      <c r="Q1311" s="110"/>
      <c r="R1311" s="110"/>
      <c r="S1311" s="113"/>
      <c r="T1311" s="113"/>
      <c r="V1311"/>
      <c r="W1311"/>
      <c r="Y1311"/>
      <c r="Z1311"/>
      <c r="AA1311"/>
      <c r="AB1311"/>
      <c r="AC1311"/>
      <c r="AD1311"/>
      <c r="AE1311"/>
      <c r="AF1311"/>
    </row>
    <row r="1312" spans="1:32" s="45" customFormat="1" ht="12.75" hidden="1">
      <c r="A1312"/>
      <c r="B1312"/>
      <c r="C1312"/>
      <c r="D1312"/>
      <c r="E1312"/>
      <c r="F1312"/>
      <c r="G1312"/>
      <c r="H1312"/>
      <c r="I1312"/>
      <c r="J1312"/>
      <c r="K1312"/>
      <c r="L1312"/>
      <c r="M1312"/>
      <c r="N1312"/>
      <c r="O1312" s="109"/>
      <c r="P1312" s="110"/>
      <c r="Q1312" s="110"/>
      <c r="R1312" s="110"/>
      <c r="S1312" s="113"/>
      <c r="T1312" s="113"/>
      <c r="V1312"/>
      <c r="W1312"/>
      <c r="Y1312"/>
      <c r="Z1312"/>
      <c r="AA1312"/>
      <c r="AB1312"/>
      <c r="AC1312"/>
      <c r="AD1312"/>
      <c r="AE1312"/>
      <c r="AF1312"/>
    </row>
    <row r="1313" spans="1:32" s="45" customFormat="1" ht="12.75" hidden="1">
      <c r="A1313"/>
      <c r="B1313"/>
      <c r="C1313"/>
      <c r="D1313"/>
      <c r="E1313"/>
      <c r="F1313"/>
      <c r="G1313"/>
      <c r="H1313"/>
      <c r="I1313"/>
      <c r="J1313"/>
      <c r="K1313"/>
      <c r="L1313"/>
      <c r="M1313"/>
      <c r="N1313"/>
      <c r="O1313" s="109"/>
      <c r="P1313" s="110"/>
      <c r="Q1313" s="110"/>
      <c r="R1313" s="110"/>
      <c r="S1313" s="113"/>
      <c r="T1313" s="113"/>
      <c r="V1313"/>
      <c r="W1313"/>
      <c r="Y1313"/>
      <c r="Z1313"/>
      <c r="AA1313"/>
      <c r="AB1313"/>
      <c r="AC1313"/>
      <c r="AD1313"/>
      <c r="AE1313"/>
      <c r="AF1313"/>
    </row>
    <row r="1314" spans="1:32" s="45" customFormat="1" ht="12.75" hidden="1">
      <c r="A1314"/>
      <c r="B1314"/>
      <c r="C1314"/>
      <c r="D1314"/>
      <c r="E1314"/>
      <c r="F1314"/>
      <c r="G1314"/>
      <c r="H1314"/>
      <c r="I1314"/>
      <c r="J1314"/>
      <c r="K1314"/>
      <c r="L1314"/>
      <c r="M1314"/>
      <c r="N1314"/>
      <c r="O1314" s="109"/>
      <c r="P1314" s="110"/>
      <c r="Q1314" s="110"/>
      <c r="R1314" s="110"/>
      <c r="S1314" s="113"/>
      <c r="T1314" s="113"/>
      <c r="V1314"/>
      <c r="W1314"/>
      <c r="Y1314"/>
      <c r="Z1314"/>
      <c r="AA1314"/>
      <c r="AB1314"/>
      <c r="AC1314"/>
      <c r="AD1314"/>
      <c r="AE1314"/>
      <c r="AF1314"/>
    </row>
    <row r="1315" spans="1:32" s="45" customFormat="1" ht="12.75" hidden="1">
      <c r="A1315"/>
      <c r="B1315"/>
      <c r="C1315"/>
      <c r="D1315"/>
      <c r="E1315"/>
      <c r="F1315"/>
      <c r="G1315"/>
      <c r="H1315"/>
      <c r="I1315"/>
      <c r="J1315"/>
      <c r="K1315"/>
      <c r="L1315"/>
      <c r="M1315"/>
      <c r="N1315"/>
      <c r="O1315" s="109"/>
      <c r="P1315" s="110"/>
      <c r="Q1315" s="110"/>
      <c r="R1315" s="110"/>
      <c r="S1315" s="113"/>
      <c r="T1315" s="113"/>
      <c r="V1315"/>
      <c r="W1315"/>
      <c r="Y1315"/>
      <c r="Z1315"/>
      <c r="AA1315"/>
      <c r="AB1315"/>
      <c r="AC1315"/>
      <c r="AD1315"/>
      <c r="AE1315"/>
      <c r="AF1315"/>
    </row>
    <row r="1316" spans="1:32" s="45" customFormat="1" ht="12.75" hidden="1">
      <c r="A1316"/>
      <c r="B1316"/>
      <c r="C1316"/>
      <c r="D1316"/>
      <c r="E1316"/>
      <c r="F1316"/>
      <c r="G1316"/>
      <c r="H1316"/>
      <c r="I1316"/>
      <c r="J1316"/>
      <c r="K1316"/>
      <c r="L1316"/>
      <c r="M1316"/>
      <c r="N1316"/>
      <c r="O1316" s="109"/>
      <c r="P1316" s="110"/>
      <c r="Q1316" s="110"/>
      <c r="R1316" s="110"/>
      <c r="S1316" s="113"/>
      <c r="T1316" s="113"/>
      <c r="V1316"/>
      <c r="W1316"/>
      <c r="Y1316"/>
      <c r="Z1316"/>
      <c r="AA1316"/>
      <c r="AB1316"/>
      <c r="AC1316"/>
      <c r="AD1316"/>
      <c r="AE1316"/>
      <c r="AF1316"/>
    </row>
    <row r="1317" spans="1:32" s="45" customFormat="1" ht="12.75" hidden="1">
      <c r="A1317"/>
      <c r="B1317"/>
      <c r="C1317"/>
      <c r="D1317"/>
      <c r="E1317"/>
      <c r="F1317"/>
      <c r="G1317"/>
      <c r="H1317"/>
      <c r="I1317"/>
      <c r="J1317"/>
      <c r="K1317"/>
      <c r="L1317"/>
      <c r="M1317"/>
      <c r="N1317"/>
      <c r="O1317" s="109"/>
      <c r="P1317" s="110"/>
      <c r="Q1317" s="110"/>
      <c r="R1317" s="110"/>
      <c r="S1317" s="113"/>
      <c r="T1317" s="113"/>
      <c r="V1317"/>
      <c r="W1317"/>
      <c r="Y1317"/>
      <c r="Z1317"/>
      <c r="AA1317"/>
      <c r="AB1317"/>
      <c r="AC1317"/>
      <c r="AD1317"/>
      <c r="AE1317"/>
      <c r="AF1317"/>
    </row>
    <row r="1318" spans="1:32" s="45" customFormat="1" ht="12.75" hidden="1">
      <c r="A1318"/>
      <c r="B1318"/>
      <c r="C1318"/>
      <c r="D1318"/>
      <c r="E1318"/>
      <c r="F1318"/>
      <c r="G1318"/>
      <c r="H1318"/>
      <c r="I1318"/>
      <c r="J1318"/>
      <c r="K1318"/>
      <c r="L1318"/>
      <c r="M1318"/>
      <c r="N1318"/>
      <c r="O1318" s="109"/>
      <c r="P1318" s="110"/>
      <c r="Q1318" s="110"/>
      <c r="R1318" s="110"/>
      <c r="S1318" s="113"/>
      <c r="T1318" s="113"/>
      <c r="V1318"/>
      <c r="W1318"/>
      <c r="Y1318"/>
      <c r="Z1318"/>
      <c r="AA1318"/>
      <c r="AB1318"/>
      <c r="AC1318"/>
      <c r="AD1318"/>
      <c r="AE1318"/>
      <c r="AF1318"/>
    </row>
    <row r="1319" spans="1:32" s="45" customFormat="1" ht="12.75" hidden="1">
      <c r="A1319"/>
      <c r="B1319"/>
      <c r="C1319"/>
      <c r="D1319"/>
      <c r="E1319"/>
      <c r="F1319"/>
      <c r="G1319"/>
      <c r="H1319"/>
      <c r="I1319"/>
      <c r="J1319"/>
      <c r="K1319"/>
      <c r="L1319"/>
      <c r="M1319"/>
      <c r="N1319"/>
      <c r="O1319" s="109"/>
      <c r="P1319" s="110"/>
      <c r="Q1319" s="110"/>
      <c r="R1319" s="110"/>
      <c r="S1319" s="113"/>
      <c r="T1319" s="113"/>
      <c r="V1319"/>
      <c r="W1319"/>
      <c r="Y1319"/>
      <c r="Z1319"/>
      <c r="AA1319"/>
      <c r="AB1319"/>
      <c r="AC1319"/>
      <c r="AD1319"/>
      <c r="AE1319"/>
      <c r="AF1319"/>
    </row>
    <row r="1320" spans="1:32" s="45" customFormat="1" ht="12.75" hidden="1">
      <c r="A1320"/>
      <c r="B1320"/>
      <c r="C1320"/>
      <c r="D1320"/>
      <c r="E1320"/>
      <c r="F1320"/>
      <c r="G1320"/>
      <c r="H1320"/>
      <c r="I1320"/>
      <c r="J1320"/>
      <c r="K1320"/>
      <c r="L1320"/>
      <c r="M1320"/>
      <c r="N1320"/>
      <c r="O1320" s="109"/>
      <c r="P1320" s="110"/>
      <c r="Q1320" s="110"/>
      <c r="R1320" s="110"/>
      <c r="S1320" s="113"/>
      <c r="T1320" s="113"/>
      <c r="V1320"/>
      <c r="W1320"/>
      <c r="Y1320"/>
      <c r="Z1320"/>
      <c r="AA1320"/>
      <c r="AB1320"/>
      <c r="AC1320"/>
      <c r="AD1320"/>
      <c r="AE1320"/>
      <c r="AF1320"/>
    </row>
    <row r="1321" spans="1:32" s="45" customFormat="1" ht="12.75" hidden="1">
      <c r="A1321"/>
      <c r="B1321"/>
      <c r="C1321"/>
      <c r="D1321"/>
      <c r="E1321"/>
      <c r="F1321"/>
      <c r="G1321"/>
      <c r="H1321"/>
      <c r="I1321"/>
      <c r="J1321"/>
      <c r="K1321"/>
      <c r="L1321"/>
      <c r="M1321"/>
      <c r="N1321"/>
      <c r="O1321" s="109"/>
      <c r="P1321" s="110"/>
      <c r="Q1321" s="110"/>
      <c r="R1321" s="110"/>
      <c r="S1321" s="113"/>
      <c r="T1321" s="113"/>
      <c r="V1321"/>
      <c r="W1321"/>
      <c r="Y1321"/>
      <c r="Z1321"/>
      <c r="AA1321"/>
      <c r="AB1321"/>
      <c r="AC1321"/>
      <c r="AD1321"/>
      <c r="AE1321"/>
      <c r="AF1321"/>
    </row>
    <row r="1322" spans="1:32" s="45" customFormat="1" ht="12.75" hidden="1">
      <c r="A1322"/>
      <c r="B1322"/>
      <c r="C1322"/>
      <c r="D1322"/>
      <c r="E1322"/>
      <c r="F1322"/>
      <c r="G1322"/>
      <c r="H1322"/>
      <c r="I1322"/>
      <c r="J1322"/>
      <c r="K1322"/>
      <c r="L1322"/>
      <c r="M1322"/>
      <c r="N1322"/>
      <c r="O1322" s="109"/>
      <c r="P1322" s="110"/>
      <c r="Q1322" s="110"/>
      <c r="R1322" s="110"/>
      <c r="S1322" s="113"/>
      <c r="T1322" s="113"/>
      <c r="V1322"/>
      <c r="W1322"/>
      <c r="Y1322"/>
      <c r="Z1322"/>
      <c r="AA1322"/>
      <c r="AB1322"/>
      <c r="AC1322"/>
      <c r="AD1322"/>
      <c r="AE1322"/>
      <c r="AF1322"/>
    </row>
    <row r="1323" spans="1:32" s="45" customFormat="1" ht="12.75" hidden="1">
      <c r="A1323"/>
      <c r="B1323"/>
      <c r="C1323"/>
      <c r="D1323"/>
      <c r="E1323"/>
      <c r="F1323"/>
      <c r="G1323"/>
      <c r="H1323"/>
      <c r="I1323"/>
      <c r="J1323"/>
      <c r="K1323"/>
      <c r="L1323"/>
      <c r="M1323"/>
      <c r="N1323"/>
      <c r="O1323" s="109"/>
      <c r="P1323" s="110"/>
      <c r="Q1323" s="110"/>
      <c r="R1323" s="110"/>
      <c r="S1323" s="113"/>
      <c r="T1323" s="113"/>
      <c r="V1323"/>
      <c r="W1323"/>
      <c r="Y1323"/>
      <c r="Z1323"/>
      <c r="AA1323"/>
      <c r="AB1323"/>
      <c r="AC1323"/>
      <c r="AD1323"/>
      <c r="AE1323"/>
      <c r="AF1323"/>
    </row>
    <row r="1324" spans="1:32" s="45" customFormat="1" ht="12.75" hidden="1">
      <c r="A1324"/>
      <c r="B1324"/>
      <c r="C1324"/>
      <c r="D1324"/>
      <c r="E1324"/>
      <c r="F1324"/>
      <c r="G1324"/>
      <c r="H1324"/>
      <c r="I1324"/>
      <c r="J1324"/>
      <c r="K1324"/>
      <c r="L1324"/>
      <c r="M1324"/>
      <c r="N1324"/>
      <c r="O1324" s="109"/>
      <c r="P1324" s="110"/>
      <c r="Q1324" s="110"/>
      <c r="R1324" s="110"/>
      <c r="S1324" s="113"/>
      <c r="T1324" s="113"/>
      <c r="V1324"/>
      <c r="W1324"/>
      <c r="Y1324"/>
      <c r="Z1324"/>
      <c r="AA1324"/>
      <c r="AB1324"/>
      <c r="AC1324"/>
      <c r="AD1324"/>
      <c r="AE1324"/>
      <c r="AF1324"/>
    </row>
    <row r="1325" spans="1:32" s="45" customFormat="1" ht="12.75" hidden="1">
      <c r="A1325"/>
      <c r="B1325"/>
      <c r="C1325"/>
      <c r="D1325"/>
      <c r="E1325"/>
      <c r="F1325"/>
      <c r="G1325"/>
      <c r="H1325"/>
      <c r="I1325"/>
      <c r="J1325"/>
      <c r="K1325"/>
      <c r="L1325"/>
      <c r="M1325"/>
      <c r="N1325"/>
      <c r="O1325" s="109"/>
      <c r="P1325" s="110"/>
      <c r="Q1325" s="110"/>
      <c r="R1325" s="110"/>
      <c r="S1325" s="113"/>
      <c r="T1325" s="113"/>
      <c r="V1325"/>
      <c r="W1325"/>
      <c r="Y1325"/>
      <c r="Z1325"/>
      <c r="AA1325"/>
      <c r="AB1325"/>
      <c r="AC1325"/>
      <c r="AD1325"/>
      <c r="AE1325"/>
      <c r="AF1325"/>
    </row>
    <row r="1326" spans="1:32" s="45" customFormat="1" ht="12.75" hidden="1">
      <c r="A1326"/>
      <c r="B1326"/>
      <c r="C1326"/>
      <c r="D1326"/>
      <c r="E1326"/>
      <c r="F1326"/>
      <c r="G1326"/>
      <c r="H1326"/>
      <c r="I1326"/>
      <c r="J1326"/>
      <c r="K1326"/>
      <c r="L1326"/>
      <c r="M1326"/>
      <c r="N1326"/>
      <c r="O1326" s="109"/>
      <c r="P1326" s="110"/>
      <c r="Q1326" s="110"/>
      <c r="R1326" s="110"/>
      <c r="S1326" s="113"/>
      <c r="T1326" s="113"/>
      <c r="V1326"/>
      <c r="W1326"/>
      <c r="Y1326"/>
      <c r="Z1326"/>
      <c r="AA1326"/>
      <c r="AB1326"/>
      <c r="AC1326"/>
      <c r="AD1326"/>
      <c r="AE1326"/>
      <c r="AF1326"/>
    </row>
    <row r="1327" spans="1:32" s="45" customFormat="1" ht="12.75" hidden="1">
      <c r="A1327"/>
      <c r="B1327"/>
      <c r="C1327"/>
      <c r="D1327"/>
      <c r="E1327"/>
      <c r="F1327"/>
      <c r="G1327"/>
      <c r="H1327"/>
      <c r="I1327"/>
      <c r="J1327"/>
      <c r="K1327"/>
      <c r="L1327"/>
      <c r="M1327"/>
      <c r="N1327"/>
      <c r="O1327" s="109"/>
      <c r="P1327" s="110"/>
      <c r="Q1327" s="110"/>
      <c r="R1327" s="110"/>
      <c r="S1327" s="113"/>
      <c r="T1327" s="113"/>
      <c r="V1327"/>
      <c r="W1327"/>
      <c r="Y1327"/>
      <c r="Z1327"/>
      <c r="AA1327"/>
      <c r="AB1327"/>
      <c r="AC1327"/>
      <c r="AD1327"/>
      <c r="AE1327"/>
      <c r="AF1327"/>
    </row>
    <row r="1328" spans="1:32" s="45" customFormat="1" ht="12.75" hidden="1">
      <c r="A1328"/>
      <c r="B1328"/>
      <c r="C1328"/>
      <c r="D1328"/>
      <c r="E1328"/>
      <c r="F1328"/>
      <c r="G1328"/>
      <c r="H1328"/>
      <c r="I1328"/>
      <c r="J1328"/>
      <c r="K1328"/>
      <c r="L1328"/>
      <c r="M1328"/>
      <c r="N1328"/>
      <c r="O1328" s="109"/>
      <c r="P1328" s="110"/>
      <c r="Q1328" s="110"/>
      <c r="R1328" s="110"/>
      <c r="S1328" s="113"/>
      <c r="T1328" s="113"/>
      <c r="V1328"/>
      <c r="W1328"/>
      <c r="Y1328"/>
      <c r="Z1328"/>
      <c r="AA1328"/>
      <c r="AB1328"/>
      <c r="AC1328"/>
      <c r="AD1328"/>
      <c r="AE1328"/>
      <c r="AF1328"/>
    </row>
    <row r="1329" spans="1:32" s="45" customFormat="1" ht="12.75" hidden="1">
      <c r="A1329"/>
      <c r="B1329"/>
      <c r="C1329"/>
      <c r="D1329"/>
      <c r="E1329"/>
      <c r="F1329"/>
      <c r="G1329"/>
      <c r="H1329"/>
      <c r="I1329"/>
      <c r="J1329"/>
      <c r="K1329"/>
      <c r="L1329"/>
      <c r="M1329"/>
      <c r="N1329"/>
      <c r="O1329" s="109"/>
      <c r="P1329" s="110"/>
      <c r="Q1329" s="110"/>
      <c r="R1329" s="110"/>
      <c r="S1329" s="113"/>
      <c r="T1329" s="113"/>
      <c r="V1329"/>
      <c r="W1329"/>
      <c r="Y1329"/>
      <c r="Z1329"/>
      <c r="AA1329"/>
      <c r="AB1329"/>
      <c r="AC1329"/>
      <c r="AD1329"/>
      <c r="AE1329"/>
      <c r="AF1329"/>
    </row>
    <row r="1330" spans="1:32" s="45" customFormat="1" ht="12.75" hidden="1">
      <c r="A1330"/>
      <c r="B1330"/>
      <c r="C1330"/>
      <c r="D1330"/>
      <c r="E1330"/>
      <c r="F1330"/>
      <c r="G1330"/>
      <c r="H1330"/>
      <c r="I1330"/>
      <c r="J1330"/>
      <c r="K1330"/>
      <c r="L1330"/>
      <c r="M1330"/>
      <c r="N1330"/>
      <c r="O1330" s="109"/>
      <c r="P1330" s="110"/>
      <c r="Q1330" s="110"/>
      <c r="R1330" s="110"/>
      <c r="S1330" s="113"/>
      <c r="T1330" s="113"/>
      <c r="V1330"/>
      <c r="W1330"/>
      <c r="Y1330"/>
      <c r="Z1330"/>
      <c r="AA1330"/>
      <c r="AB1330"/>
      <c r="AC1330"/>
      <c r="AD1330"/>
      <c r="AE1330"/>
      <c r="AF1330"/>
    </row>
    <row r="1331" spans="1:32" s="45" customFormat="1" ht="12.75" hidden="1">
      <c r="A1331"/>
      <c r="B1331"/>
      <c r="C1331"/>
      <c r="D1331"/>
      <c r="E1331"/>
      <c r="F1331"/>
      <c r="G1331"/>
      <c r="H1331"/>
      <c r="I1331"/>
      <c r="J1331"/>
      <c r="K1331"/>
      <c r="L1331"/>
      <c r="M1331"/>
      <c r="N1331"/>
      <c r="O1331" s="109"/>
      <c r="P1331" s="110"/>
      <c r="Q1331" s="110"/>
      <c r="R1331" s="110"/>
      <c r="S1331" s="113"/>
      <c r="T1331" s="113"/>
      <c r="V1331"/>
      <c r="W1331"/>
      <c r="Y1331"/>
      <c r="Z1331"/>
      <c r="AA1331"/>
      <c r="AB1331"/>
      <c r="AC1331"/>
      <c r="AD1331"/>
      <c r="AE1331"/>
      <c r="AF1331"/>
    </row>
    <row r="1332" spans="1:32" s="45" customFormat="1" ht="12.75" hidden="1">
      <c r="A1332"/>
      <c r="B1332"/>
      <c r="C1332"/>
      <c r="D1332"/>
      <c r="E1332"/>
      <c r="F1332"/>
      <c r="G1332"/>
      <c r="H1332"/>
      <c r="I1332"/>
      <c r="J1332"/>
      <c r="K1332"/>
      <c r="L1332"/>
      <c r="M1332"/>
      <c r="N1332"/>
      <c r="O1332" s="109"/>
      <c r="P1332" s="110"/>
      <c r="Q1332" s="110"/>
      <c r="R1332" s="110"/>
      <c r="S1332" s="113"/>
      <c r="T1332" s="113"/>
      <c r="V1332"/>
      <c r="W1332"/>
      <c r="Y1332"/>
      <c r="Z1332"/>
      <c r="AA1332"/>
      <c r="AB1332"/>
      <c r="AC1332"/>
      <c r="AD1332"/>
      <c r="AE1332"/>
      <c r="AF1332"/>
    </row>
    <row r="1333" spans="1:32" s="45" customFormat="1" ht="12.75" hidden="1">
      <c r="A1333"/>
      <c r="B1333"/>
      <c r="C1333"/>
      <c r="D1333"/>
      <c r="E1333"/>
      <c r="F1333"/>
      <c r="G1333"/>
      <c r="H1333"/>
      <c r="I1333"/>
      <c r="J1333"/>
      <c r="K1333"/>
      <c r="L1333"/>
      <c r="M1333"/>
      <c r="N1333"/>
      <c r="O1333" s="109"/>
      <c r="P1333" s="110"/>
      <c r="Q1333" s="110"/>
      <c r="R1333" s="110"/>
      <c r="S1333" s="113"/>
      <c r="T1333" s="113"/>
      <c r="V1333"/>
      <c r="W1333"/>
      <c r="Y1333"/>
      <c r="Z1333"/>
      <c r="AA1333"/>
      <c r="AB1333"/>
      <c r="AC1333"/>
      <c r="AD1333"/>
      <c r="AE1333"/>
      <c r="AF1333"/>
    </row>
    <row r="1334" spans="1:32" s="45" customFormat="1" ht="12.75" hidden="1">
      <c r="A1334"/>
      <c r="B1334"/>
      <c r="C1334"/>
      <c r="D1334"/>
      <c r="E1334"/>
      <c r="F1334"/>
      <c r="G1334"/>
      <c r="H1334"/>
      <c r="I1334"/>
      <c r="J1334"/>
      <c r="K1334"/>
      <c r="L1334"/>
      <c r="M1334"/>
      <c r="N1334"/>
      <c r="O1334" s="109"/>
      <c r="P1334" s="110"/>
      <c r="Q1334" s="110"/>
      <c r="R1334" s="110"/>
      <c r="S1334" s="113"/>
      <c r="T1334" s="113"/>
      <c r="V1334"/>
      <c r="W1334"/>
      <c r="Y1334"/>
      <c r="Z1334"/>
      <c r="AA1334"/>
      <c r="AB1334"/>
      <c r="AC1334"/>
      <c r="AD1334"/>
      <c r="AE1334"/>
      <c r="AF1334"/>
    </row>
    <row r="1335" spans="1:32" s="45" customFormat="1" ht="12.75" hidden="1">
      <c r="A1335"/>
      <c r="B1335"/>
      <c r="C1335"/>
      <c r="D1335"/>
      <c r="E1335"/>
      <c r="F1335"/>
      <c r="G1335"/>
      <c r="H1335"/>
      <c r="I1335"/>
      <c r="J1335"/>
      <c r="K1335"/>
      <c r="L1335"/>
      <c r="M1335"/>
      <c r="N1335"/>
      <c r="O1335" s="109"/>
      <c r="P1335" s="110"/>
      <c r="Q1335" s="110"/>
      <c r="R1335" s="110"/>
      <c r="S1335" s="113"/>
      <c r="T1335" s="113"/>
      <c r="V1335"/>
      <c r="W1335"/>
      <c r="Y1335"/>
      <c r="Z1335"/>
      <c r="AA1335"/>
      <c r="AB1335"/>
      <c r="AC1335"/>
      <c r="AD1335"/>
      <c r="AE1335"/>
      <c r="AF1335"/>
    </row>
    <row r="1336" spans="1:32" s="45" customFormat="1" ht="12.75" hidden="1">
      <c r="A1336"/>
      <c r="B1336"/>
      <c r="C1336"/>
      <c r="D1336"/>
      <c r="E1336"/>
      <c r="F1336"/>
      <c r="G1336"/>
      <c r="H1336"/>
      <c r="I1336"/>
      <c r="J1336"/>
      <c r="K1336"/>
      <c r="L1336"/>
      <c r="M1336"/>
      <c r="N1336"/>
      <c r="O1336" s="109"/>
      <c r="P1336" s="110"/>
      <c r="Q1336" s="110"/>
      <c r="R1336" s="110"/>
      <c r="S1336" s="113"/>
      <c r="T1336" s="113"/>
      <c r="V1336"/>
      <c r="W1336"/>
      <c r="Y1336"/>
      <c r="Z1336"/>
      <c r="AA1336"/>
      <c r="AB1336"/>
      <c r="AC1336"/>
      <c r="AD1336"/>
      <c r="AE1336"/>
      <c r="AF1336"/>
    </row>
    <row r="1337" spans="1:32" s="45" customFormat="1" ht="12.75" hidden="1">
      <c r="A1337"/>
      <c r="B1337"/>
      <c r="C1337"/>
      <c r="D1337"/>
      <c r="E1337"/>
      <c r="F1337"/>
      <c r="G1337"/>
      <c r="H1337"/>
      <c r="I1337"/>
      <c r="J1337"/>
      <c r="K1337"/>
      <c r="L1337"/>
      <c r="M1337"/>
      <c r="N1337"/>
      <c r="O1337" s="109"/>
      <c r="P1337" s="110"/>
      <c r="Q1337" s="110"/>
      <c r="R1337" s="110"/>
      <c r="S1337" s="113"/>
      <c r="T1337" s="113"/>
      <c r="V1337"/>
      <c r="W1337"/>
      <c r="Y1337"/>
      <c r="Z1337"/>
      <c r="AA1337"/>
      <c r="AB1337"/>
      <c r="AC1337"/>
      <c r="AD1337"/>
      <c r="AE1337"/>
      <c r="AF1337"/>
    </row>
    <row r="1338" spans="1:32" s="45" customFormat="1" ht="12.75" hidden="1">
      <c r="A1338"/>
      <c r="B1338"/>
      <c r="C1338"/>
      <c r="D1338"/>
      <c r="E1338"/>
      <c r="F1338"/>
      <c r="G1338"/>
      <c r="H1338"/>
      <c r="I1338"/>
      <c r="J1338"/>
      <c r="K1338"/>
      <c r="L1338"/>
      <c r="M1338"/>
      <c r="N1338"/>
      <c r="O1338" s="109"/>
      <c r="P1338" s="110"/>
      <c r="Q1338" s="110"/>
      <c r="R1338" s="110"/>
      <c r="S1338" s="113"/>
      <c r="T1338" s="113"/>
      <c r="V1338"/>
      <c r="W1338"/>
      <c r="Y1338"/>
      <c r="Z1338"/>
      <c r="AA1338"/>
      <c r="AB1338"/>
      <c r="AC1338"/>
      <c r="AD1338"/>
      <c r="AE1338"/>
      <c r="AF1338"/>
    </row>
    <row r="1339" spans="1:32" s="45" customFormat="1" ht="12.75" hidden="1">
      <c r="A1339"/>
      <c r="B1339"/>
      <c r="C1339"/>
      <c r="D1339"/>
      <c r="E1339"/>
      <c r="F1339"/>
      <c r="G1339"/>
      <c r="H1339"/>
      <c r="I1339"/>
      <c r="J1339"/>
      <c r="K1339"/>
      <c r="L1339"/>
      <c r="M1339"/>
      <c r="N1339"/>
      <c r="O1339" s="109"/>
      <c r="P1339" s="110"/>
      <c r="Q1339" s="110"/>
      <c r="R1339" s="110"/>
      <c r="S1339" s="113"/>
      <c r="T1339" s="113"/>
      <c r="V1339"/>
      <c r="W1339"/>
      <c r="Y1339"/>
      <c r="Z1339"/>
      <c r="AA1339"/>
      <c r="AB1339"/>
      <c r="AC1339"/>
      <c r="AD1339"/>
      <c r="AE1339"/>
      <c r="AF1339"/>
    </row>
    <row r="1340" spans="1:32" s="45" customFormat="1" ht="12.75" hidden="1">
      <c r="A1340"/>
      <c r="B1340"/>
      <c r="C1340"/>
      <c r="D1340"/>
      <c r="E1340"/>
      <c r="F1340"/>
      <c r="G1340"/>
      <c r="H1340"/>
      <c r="I1340"/>
      <c r="J1340"/>
      <c r="K1340"/>
      <c r="L1340"/>
      <c r="M1340"/>
      <c r="N1340"/>
      <c r="O1340" s="109"/>
      <c r="P1340" s="110"/>
      <c r="Q1340" s="110"/>
      <c r="R1340" s="110"/>
      <c r="S1340" s="113"/>
      <c r="T1340" s="113"/>
      <c r="V1340"/>
      <c r="W1340"/>
      <c r="Y1340"/>
      <c r="Z1340"/>
      <c r="AA1340"/>
      <c r="AB1340"/>
      <c r="AC1340"/>
      <c r="AD1340"/>
      <c r="AE1340"/>
      <c r="AF1340"/>
    </row>
    <row r="1341" spans="1:32" s="45" customFormat="1" ht="12.75" hidden="1">
      <c r="A1341"/>
      <c r="B1341"/>
      <c r="C1341"/>
      <c r="D1341"/>
      <c r="E1341"/>
      <c r="F1341"/>
      <c r="G1341"/>
      <c r="H1341"/>
      <c r="I1341"/>
      <c r="J1341"/>
      <c r="K1341"/>
      <c r="L1341"/>
      <c r="M1341"/>
      <c r="N1341"/>
      <c r="O1341" s="109"/>
      <c r="P1341" s="110"/>
      <c r="Q1341" s="110"/>
      <c r="R1341" s="110"/>
      <c r="S1341" s="113"/>
      <c r="T1341" s="113"/>
      <c r="V1341"/>
      <c r="W1341"/>
      <c r="Y1341"/>
      <c r="Z1341"/>
      <c r="AA1341"/>
      <c r="AB1341"/>
      <c r="AC1341"/>
      <c r="AD1341"/>
      <c r="AE1341"/>
      <c r="AF1341"/>
    </row>
    <row r="1342" spans="1:32" s="45" customFormat="1" ht="12.75" hidden="1">
      <c r="A1342"/>
      <c r="B1342"/>
      <c r="C1342"/>
      <c r="D1342"/>
      <c r="E1342"/>
      <c r="F1342"/>
      <c r="G1342"/>
      <c r="H1342"/>
      <c r="I1342"/>
      <c r="J1342"/>
      <c r="K1342"/>
      <c r="L1342"/>
      <c r="M1342"/>
      <c r="N1342"/>
      <c r="O1342" s="109"/>
      <c r="P1342" s="110"/>
      <c r="Q1342" s="110"/>
      <c r="R1342" s="110"/>
      <c r="S1342" s="113"/>
      <c r="T1342" s="113"/>
      <c r="V1342"/>
      <c r="W1342"/>
      <c r="Y1342"/>
      <c r="Z1342"/>
      <c r="AA1342"/>
      <c r="AB1342"/>
      <c r="AC1342"/>
      <c r="AD1342"/>
      <c r="AE1342"/>
      <c r="AF1342"/>
    </row>
    <row r="1343" spans="1:32" s="45" customFormat="1" ht="12.75" hidden="1">
      <c r="A1343"/>
      <c r="B1343"/>
      <c r="C1343"/>
      <c r="D1343"/>
      <c r="E1343"/>
      <c r="F1343"/>
      <c r="G1343"/>
      <c r="H1343"/>
      <c r="I1343"/>
      <c r="J1343"/>
      <c r="K1343"/>
      <c r="L1343"/>
      <c r="M1343"/>
      <c r="N1343"/>
      <c r="O1343" s="109"/>
      <c r="P1343" s="110"/>
      <c r="Q1343" s="110"/>
      <c r="R1343" s="110"/>
      <c r="S1343" s="113"/>
      <c r="T1343" s="113"/>
      <c r="V1343"/>
      <c r="W1343"/>
      <c r="Y1343"/>
      <c r="Z1343"/>
      <c r="AA1343"/>
      <c r="AB1343"/>
      <c r="AC1343"/>
      <c r="AD1343"/>
      <c r="AE1343"/>
      <c r="AF1343"/>
    </row>
    <row r="1344" spans="1:32" s="45" customFormat="1" ht="12.75" hidden="1">
      <c r="A1344"/>
      <c r="B1344"/>
      <c r="C1344"/>
      <c r="D1344"/>
      <c r="E1344"/>
      <c r="F1344"/>
      <c r="G1344"/>
      <c r="H1344"/>
      <c r="I1344"/>
      <c r="J1344"/>
      <c r="K1344"/>
      <c r="L1344"/>
      <c r="M1344"/>
      <c r="N1344"/>
      <c r="O1344" s="109"/>
      <c r="P1344" s="110"/>
      <c r="Q1344" s="110"/>
      <c r="R1344" s="110"/>
      <c r="S1344" s="113"/>
      <c r="T1344" s="113"/>
      <c r="V1344"/>
      <c r="W1344"/>
      <c r="Y1344"/>
      <c r="Z1344"/>
      <c r="AA1344"/>
      <c r="AB1344"/>
      <c r="AC1344"/>
      <c r="AD1344"/>
      <c r="AE1344"/>
      <c r="AF1344"/>
    </row>
    <row r="1345" spans="1:32" s="45" customFormat="1" ht="12.75" hidden="1">
      <c r="A1345"/>
      <c r="B1345"/>
      <c r="C1345"/>
      <c r="D1345"/>
      <c r="E1345"/>
      <c r="F1345"/>
      <c r="G1345"/>
      <c r="H1345"/>
      <c r="I1345"/>
      <c r="J1345"/>
      <c r="K1345"/>
      <c r="L1345"/>
      <c r="M1345"/>
      <c r="N1345"/>
      <c r="O1345" s="109"/>
      <c r="P1345" s="110"/>
      <c r="Q1345" s="110"/>
      <c r="R1345" s="110"/>
      <c r="S1345" s="113"/>
      <c r="T1345" s="113"/>
      <c r="V1345"/>
      <c r="W1345"/>
      <c r="Y1345"/>
      <c r="Z1345"/>
      <c r="AA1345"/>
      <c r="AB1345"/>
      <c r="AC1345"/>
      <c r="AD1345"/>
      <c r="AE1345"/>
      <c r="AF1345"/>
    </row>
    <row r="1346" spans="1:32" s="45" customFormat="1" ht="12.75" hidden="1">
      <c r="A1346"/>
      <c r="B1346"/>
      <c r="C1346"/>
      <c r="D1346"/>
      <c r="E1346"/>
      <c r="F1346"/>
      <c r="G1346"/>
      <c r="H1346"/>
      <c r="I1346"/>
      <c r="J1346"/>
      <c r="K1346"/>
      <c r="L1346"/>
      <c r="M1346"/>
      <c r="N1346"/>
      <c r="O1346" s="109"/>
      <c r="P1346" s="110"/>
      <c r="Q1346" s="110"/>
      <c r="R1346" s="110"/>
      <c r="S1346" s="113"/>
      <c r="T1346" s="113"/>
      <c r="V1346"/>
      <c r="W1346"/>
      <c r="Y1346"/>
      <c r="Z1346"/>
      <c r="AA1346"/>
      <c r="AB1346"/>
      <c r="AC1346"/>
      <c r="AD1346"/>
      <c r="AE1346"/>
      <c r="AF1346"/>
    </row>
    <row r="1347" spans="1:32" s="45" customFormat="1" ht="12.75" hidden="1">
      <c r="A1347"/>
      <c r="B1347"/>
      <c r="C1347"/>
      <c r="D1347"/>
      <c r="E1347"/>
      <c r="F1347"/>
      <c r="G1347"/>
      <c r="H1347"/>
      <c r="I1347"/>
      <c r="J1347"/>
      <c r="K1347"/>
      <c r="L1347"/>
      <c r="M1347"/>
      <c r="N1347"/>
      <c r="O1347" s="109"/>
      <c r="P1347" s="110"/>
      <c r="Q1347" s="110"/>
      <c r="R1347" s="110"/>
      <c r="S1347" s="113"/>
      <c r="T1347" s="113"/>
      <c r="V1347"/>
      <c r="W1347"/>
      <c r="Y1347"/>
      <c r="Z1347"/>
      <c r="AA1347"/>
      <c r="AB1347"/>
      <c r="AC1347"/>
      <c r="AD1347"/>
      <c r="AE1347"/>
      <c r="AF1347"/>
    </row>
    <row r="1348" spans="1:32" s="45" customFormat="1" ht="12.75" hidden="1">
      <c r="A1348"/>
      <c r="B1348"/>
      <c r="C1348"/>
      <c r="D1348"/>
      <c r="E1348"/>
      <c r="F1348"/>
      <c r="G1348"/>
      <c r="H1348"/>
      <c r="I1348"/>
      <c r="J1348"/>
      <c r="K1348"/>
      <c r="L1348"/>
      <c r="M1348"/>
      <c r="N1348"/>
      <c r="O1348" s="109"/>
      <c r="P1348" s="110"/>
      <c r="Q1348" s="110"/>
      <c r="R1348" s="110"/>
      <c r="S1348" s="113"/>
      <c r="T1348" s="113"/>
      <c r="V1348"/>
      <c r="W1348"/>
      <c r="Y1348"/>
      <c r="Z1348"/>
      <c r="AA1348"/>
      <c r="AB1348"/>
      <c r="AC1348"/>
      <c r="AD1348"/>
      <c r="AE1348"/>
      <c r="AF1348"/>
    </row>
    <row r="1349" spans="1:32" s="45" customFormat="1" ht="12.75" hidden="1">
      <c r="A1349"/>
      <c r="B1349"/>
      <c r="C1349"/>
      <c r="D1349"/>
      <c r="E1349"/>
      <c r="F1349"/>
      <c r="G1349"/>
      <c r="H1349"/>
      <c r="I1349"/>
      <c r="J1349"/>
      <c r="K1349"/>
      <c r="L1349"/>
      <c r="M1349"/>
      <c r="N1349"/>
      <c r="O1349" s="109"/>
      <c r="P1349" s="110"/>
      <c r="Q1349" s="110"/>
      <c r="R1349" s="110"/>
      <c r="S1349" s="113"/>
      <c r="T1349" s="113"/>
      <c r="V1349"/>
      <c r="W1349"/>
      <c r="Y1349"/>
      <c r="Z1349"/>
      <c r="AA1349"/>
      <c r="AB1349"/>
      <c r="AC1349"/>
      <c r="AD1349"/>
      <c r="AE1349"/>
      <c r="AF1349"/>
    </row>
    <row r="1350" spans="1:32" s="45" customFormat="1" ht="12.75" hidden="1">
      <c r="A1350"/>
      <c r="B1350"/>
      <c r="C1350"/>
      <c r="D1350"/>
      <c r="E1350"/>
      <c r="F1350"/>
      <c r="G1350"/>
      <c r="H1350"/>
      <c r="I1350"/>
      <c r="J1350"/>
      <c r="K1350"/>
      <c r="L1350"/>
      <c r="M1350"/>
      <c r="N1350"/>
      <c r="O1350" s="109"/>
      <c r="P1350" s="110"/>
      <c r="Q1350" s="110"/>
      <c r="R1350" s="110"/>
      <c r="S1350" s="113"/>
      <c r="T1350" s="113"/>
      <c r="V1350"/>
      <c r="W1350"/>
      <c r="Y1350"/>
      <c r="Z1350"/>
      <c r="AA1350"/>
      <c r="AB1350"/>
      <c r="AC1350"/>
      <c r="AD1350"/>
      <c r="AE1350"/>
      <c r="AF1350"/>
    </row>
    <row r="1351" spans="1:32" s="45" customFormat="1" ht="12.75" hidden="1">
      <c r="A1351"/>
      <c r="B1351"/>
      <c r="C1351"/>
      <c r="D1351"/>
      <c r="E1351"/>
      <c r="F1351"/>
      <c r="G1351"/>
      <c r="H1351"/>
      <c r="I1351"/>
      <c r="J1351"/>
      <c r="K1351"/>
      <c r="L1351"/>
      <c r="M1351"/>
      <c r="N1351"/>
      <c r="O1351" s="109"/>
      <c r="P1351" s="110"/>
      <c r="Q1351" s="110"/>
      <c r="R1351" s="110"/>
      <c r="S1351" s="113"/>
      <c r="T1351" s="113"/>
      <c r="V1351"/>
      <c r="W1351"/>
      <c r="Y1351"/>
      <c r="Z1351"/>
      <c r="AA1351"/>
      <c r="AB1351"/>
      <c r="AC1351"/>
      <c r="AD1351"/>
      <c r="AE1351"/>
      <c r="AF1351"/>
    </row>
    <row r="1352" spans="1:32" s="45" customFormat="1" ht="12.75" hidden="1">
      <c r="A1352"/>
      <c r="B1352"/>
      <c r="C1352"/>
      <c r="D1352"/>
      <c r="E1352"/>
      <c r="F1352"/>
      <c r="G1352"/>
      <c r="H1352"/>
      <c r="I1352"/>
      <c r="J1352"/>
      <c r="K1352"/>
      <c r="L1352"/>
      <c r="M1352"/>
      <c r="N1352"/>
      <c r="O1352" s="109"/>
      <c r="P1352" s="110"/>
      <c r="Q1352" s="110"/>
      <c r="R1352" s="110"/>
      <c r="S1352" s="113"/>
      <c r="T1352" s="113"/>
      <c r="V1352"/>
      <c r="W1352"/>
      <c r="Y1352"/>
      <c r="Z1352"/>
      <c r="AA1352"/>
      <c r="AB1352"/>
      <c r="AC1352"/>
      <c r="AD1352"/>
      <c r="AE1352"/>
      <c r="AF1352"/>
    </row>
    <row r="1353" spans="1:32" s="45" customFormat="1" ht="12.75" hidden="1">
      <c r="A1353"/>
      <c r="B1353"/>
      <c r="C1353"/>
      <c r="D1353"/>
      <c r="E1353"/>
      <c r="F1353"/>
      <c r="G1353"/>
      <c r="H1353"/>
      <c r="I1353"/>
      <c r="J1353"/>
      <c r="K1353"/>
      <c r="L1353"/>
      <c r="M1353"/>
      <c r="N1353"/>
      <c r="O1353" s="109"/>
      <c r="P1353" s="110"/>
      <c r="Q1353" s="110"/>
      <c r="R1353" s="110"/>
      <c r="S1353" s="113"/>
      <c r="T1353" s="113"/>
      <c r="V1353"/>
      <c r="W1353"/>
      <c r="Y1353"/>
      <c r="Z1353"/>
      <c r="AA1353"/>
      <c r="AB1353"/>
      <c r="AC1353"/>
      <c r="AD1353"/>
      <c r="AE1353"/>
      <c r="AF1353"/>
    </row>
    <row r="1354" spans="1:32" s="45" customFormat="1" ht="12.75" hidden="1">
      <c r="C1354" s="114"/>
      <c r="O1354" s="115"/>
      <c r="P1354" s="113"/>
      <c r="Q1354" s="113"/>
      <c r="R1354" s="113"/>
      <c r="S1354" s="113"/>
      <c r="T1354" s="113"/>
      <c r="V1354"/>
      <c r="W1354"/>
      <c r="Y1354"/>
      <c r="Z1354"/>
      <c r="AA1354"/>
      <c r="AB1354"/>
      <c r="AC1354"/>
      <c r="AD1354"/>
      <c r="AE1354"/>
      <c r="AF1354"/>
    </row>
    <row r="1355" spans="1:32" s="45" customFormat="1" ht="12.75" hidden="1">
      <c r="C1355" s="114"/>
      <c r="O1355" s="115"/>
      <c r="P1355" s="113"/>
      <c r="Q1355" s="113"/>
      <c r="R1355" s="113"/>
      <c r="S1355" s="113"/>
      <c r="T1355" s="113"/>
      <c r="V1355"/>
      <c r="W1355"/>
      <c r="Y1355"/>
      <c r="Z1355"/>
      <c r="AA1355"/>
      <c r="AB1355"/>
      <c r="AC1355"/>
      <c r="AD1355"/>
      <c r="AE1355"/>
      <c r="AF1355"/>
    </row>
    <row r="1356" spans="1:32" s="45" customFormat="1" ht="12.75" hidden="1">
      <c r="C1356" s="114"/>
      <c r="O1356" s="115"/>
      <c r="P1356" s="113"/>
      <c r="Q1356" s="113"/>
      <c r="R1356" s="113"/>
      <c r="S1356" s="113"/>
      <c r="T1356" s="113"/>
      <c r="V1356"/>
      <c r="W1356"/>
      <c r="Y1356"/>
      <c r="Z1356"/>
      <c r="AA1356"/>
      <c r="AB1356"/>
      <c r="AC1356"/>
      <c r="AD1356"/>
      <c r="AE1356"/>
      <c r="AF1356"/>
    </row>
    <row r="1357" spans="1:32" s="45" customFormat="1" ht="12.75" hidden="1">
      <c r="C1357" s="114"/>
      <c r="O1357" s="115"/>
      <c r="P1357" s="113"/>
      <c r="Q1357" s="113"/>
      <c r="R1357" s="113"/>
      <c r="S1357" s="113"/>
      <c r="T1357" s="113"/>
      <c r="V1357"/>
      <c r="W1357"/>
      <c r="Y1357"/>
      <c r="Z1357"/>
      <c r="AA1357"/>
      <c r="AB1357"/>
      <c r="AC1357"/>
      <c r="AD1357"/>
      <c r="AE1357"/>
      <c r="AF1357"/>
    </row>
    <row r="1358" spans="1:32" s="45" customFormat="1" ht="12.75" hidden="1">
      <c r="C1358" s="114"/>
      <c r="O1358" s="115"/>
      <c r="P1358" s="113"/>
      <c r="Q1358" s="113"/>
      <c r="R1358" s="113"/>
      <c r="S1358" s="113"/>
      <c r="T1358" s="113"/>
      <c r="V1358"/>
      <c r="W1358"/>
      <c r="Y1358"/>
      <c r="Z1358"/>
      <c r="AA1358"/>
      <c r="AB1358"/>
      <c r="AC1358"/>
      <c r="AD1358"/>
      <c r="AE1358"/>
      <c r="AF1358"/>
    </row>
    <row r="1359" spans="1:32" s="45" customFormat="1" ht="12.75" hidden="1">
      <c r="C1359" s="114"/>
      <c r="O1359" s="115"/>
      <c r="P1359" s="113"/>
      <c r="Q1359" s="113"/>
      <c r="R1359" s="113"/>
      <c r="S1359" s="113"/>
      <c r="T1359" s="113"/>
      <c r="V1359"/>
      <c r="W1359"/>
      <c r="Y1359"/>
      <c r="Z1359"/>
      <c r="AA1359"/>
      <c r="AB1359"/>
      <c r="AC1359"/>
      <c r="AD1359"/>
      <c r="AE1359"/>
      <c r="AF1359"/>
    </row>
    <row r="1360" spans="1:32" s="45" customFormat="1" ht="12.75" hidden="1">
      <c r="C1360" s="114"/>
      <c r="O1360" s="115"/>
      <c r="P1360" s="113"/>
      <c r="Q1360" s="113"/>
      <c r="R1360" s="113"/>
      <c r="S1360" s="113"/>
      <c r="T1360" s="113"/>
      <c r="V1360"/>
      <c r="W1360"/>
      <c r="Y1360"/>
      <c r="Z1360"/>
      <c r="AA1360"/>
      <c r="AB1360"/>
      <c r="AC1360"/>
      <c r="AD1360"/>
      <c r="AE1360"/>
      <c r="AF1360"/>
    </row>
    <row r="1361" spans="3:32" s="45" customFormat="1" ht="12.75" hidden="1">
      <c r="C1361" s="114"/>
      <c r="O1361" s="115"/>
      <c r="P1361" s="113"/>
      <c r="Q1361" s="113"/>
      <c r="R1361" s="113"/>
      <c r="S1361" s="113"/>
      <c r="T1361" s="113"/>
      <c r="V1361"/>
      <c r="W1361"/>
      <c r="Y1361"/>
      <c r="Z1361"/>
      <c r="AA1361"/>
      <c r="AB1361"/>
      <c r="AC1361"/>
      <c r="AD1361"/>
      <c r="AE1361"/>
      <c r="AF1361"/>
    </row>
    <row r="1362" spans="3:32" s="45" customFormat="1" ht="12.75" hidden="1">
      <c r="C1362" s="114"/>
      <c r="O1362" s="115"/>
      <c r="P1362" s="113"/>
      <c r="Q1362" s="113"/>
      <c r="R1362" s="113"/>
      <c r="S1362" s="113"/>
      <c r="T1362" s="113"/>
      <c r="V1362"/>
      <c r="W1362"/>
      <c r="Y1362"/>
      <c r="Z1362"/>
      <c r="AA1362"/>
      <c r="AB1362"/>
      <c r="AC1362"/>
      <c r="AD1362"/>
      <c r="AE1362"/>
      <c r="AF1362"/>
    </row>
    <row r="1363" spans="3:32" s="45" customFormat="1" ht="12.75" hidden="1">
      <c r="C1363" s="114"/>
      <c r="O1363" s="115"/>
      <c r="P1363" s="113"/>
      <c r="Q1363" s="113"/>
      <c r="R1363" s="113"/>
      <c r="S1363" s="113"/>
      <c r="T1363" s="113"/>
      <c r="V1363"/>
      <c r="W1363"/>
      <c r="Y1363"/>
      <c r="Z1363"/>
      <c r="AA1363"/>
      <c r="AB1363"/>
      <c r="AC1363"/>
      <c r="AD1363"/>
      <c r="AE1363"/>
      <c r="AF1363"/>
    </row>
    <row r="1364" spans="3:32" s="45" customFormat="1" ht="12.75" hidden="1">
      <c r="C1364" s="114"/>
      <c r="O1364" s="115"/>
      <c r="P1364" s="113"/>
      <c r="Q1364" s="113"/>
      <c r="R1364" s="113"/>
      <c r="S1364" s="113"/>
      <c r="T1364" s="113"/>
      <c r="V1364"/>
      <c r="W1364"/>
      <c r="Y1364"/>
      <c r="Z1364"/>
      <c r="AA1364"/>
      <c r="AB1364"/>
      <c r="AC1364"/>
      <c r="AD1364"/>
      <c r="AE1364"/>
      <c r="AF1364"/>
    </row>
    <row r="1365" spans="3:32" s="45" customFormat="1" ht="12.75" hidden="1">
      <c r="C1365" s="114"/>
      <c r="O1365" s="115"/>
      <c r="P1365" s="113"/>
      <c r="Q1365" s="113"/>
      <c r="R1365" s="113"/>
      <c r="S1365" s="113"/>
      <c r="T1365" s="113"/>
      <c r="V1365"/>
      <c r="W1365"/>
      <c r="Y1365"/>
      <c r="Z1365"/>
      <c r="AA1365"/>
      <c r="AB1365"/>
      <c r="AC1365"/>
      <c r="AD1365"/>
      <c r="AE1365"/>
      <c r="AF1365"/>
    </row>
    <row r="1366" spans="3:32" s="45" customFormat="1" ht="12.75" hidden="1">
      <c r="C1366" s="114"/>
      <c r="O1366" s="115"/>
      <c r="P1366" s="113"/>
      <c r="Q1366" s="113"/>
      <c r="R1366" s="113"/>
      <c r="S1366" s="113"/>
      <c r="T1366" s="113"/>
      <c r="V1366"/>
      <c r="W1366"/>
      <c r="Y1366"/>
      <c r="Z1366"/>
      <c r="AA1366"/>
      <c r="AB1366"/>
      <c r="AC1366"/>
      <c r="AD1366"/>
      <c r="AE1366"/>
      <c r="AF1366"/>
    </row>
    <row r="1367" spans="3:32" s="45" customFormat="1" ht="12.75" hidden="1">
      <c r="C1367" s="114"/>
      <c r="O1367" s="115"/>
      <c r="P1367" s="113"/>
      <c r="Q1367" s="113"/>
      <c r="R1367" s="113"/>
      <c r="S1367" s="113"/>
      <c r="T1367" s="113"/>
      <c r="V1367"/>
      <c r="W1367"/>
      <c r="Y1367"/>
      <c r="Z1367"/>
      <c r="AA1367"/>
      <c r="AB1367"/>
      <c r="AC1367"/>
      <c r="AD1367"/>
      <c r="AE1367"/>
      <c r="AF1367"/>
    </row>
    <row r="1368" spans="3:32" s="45" customFormat="1" ht="12.75" hidden="1">
      <c r="C1368" s="114"/>
      <c r="O1368" s="115"/>
      <c r="P1368" s="113"/>
      <c r="Q1368" s="113"/>
      <c r="R1368" s="113"/>
      <c r="S1368" s="113"/>
      <c r="T1368" s="113"/>
      <c r="V1368"/>
      <c r="W1368"/>
      <c r="Y1368"/>
      <c r="Z1368"/>
      <c r="AA1368"/>
      <c r="AB1368"/>
      <c r="AC1368"/>
      <c r="AD1368"/>
      <c r="AE1368"/>
      <c r="AF1368"/>
    </row>
    <row r="1369" spans="3:32" s="45" customFormat="1" ht="12.75" hidden="1">
      <c r="C1369" s="114"/>
      <c r="O1369" s="115"/>
      <c r="P1369" s="113"/>
      <c r="Q1369" s="113"/>
      <c r="R1369" s="113"/>
      <c r="S1369" s="113"/>
      <c r="T1369" s="113"/>
      <c r="V1369"/>
      <c r="W1369"/>
      <c r="Y1369"/>
      <c r="Z1369"/>
      <c r="AA1369"/>
      <c r="AB1369"/>
      <c r="AC1369"/>
      <c r="AD1369"/>
      <c r="AE1369"/>
      <c r="AF1369"/>
    </row>
    <row r="1370" spans="3:32" s="45" customFormat="1" ht="12.75" hidden="1">
      <c r="C1370" s="114"/>
      <c r="O1370" s="115"/>
      <c r="P1370" s="113"/>
      <c r="Q1370" s="113"/>
      <c r="R1370" s="113"/>
      <c r="S1370" s="113"/>
      <c r="T1370" s="113"/>
      <c r="V1370"/>
      <c r="W1370"/>
      <c r="Y1370"/>
      <c r="Z1370"/>
      <c r="AA1370"/>
      <c r="AB1370"/>
      <c r="AC1370"/>
      <c r="AD1370"/>
      <c r="AE1370"/>
      <c r="AF1370"/>
    </row>
    <row r="1371" spans="3:32" s="45" customFormat="1" ht="12.75" hidden="1">
      <c r="C1371" s="114"/>
      <c r="O1371" s="115"/>
      <c r="P1371" s="113"/>
      <c r="Q1371" s="113"/>
      <c r="R1371" s="113"/>
      <c r="S1371" s="113"/>
      <c r="T1371" s="113"/>
      <c r="V1371"/>
      <c r="W1371"/>
      <c r="Y1371"/>
      <c r="Z1371"/>
      <c r="AA1371"/>
      <c r="AB1371"/>
      <c r="AC1371"/>
      <c r="AD1371"/>
      <c r="AE1371"/>
      <c r="AF1371"/>
    </row>
    <row r="1372" spans="3:32" s="45" customFormat="1" ht="12.75" hidden="1">
      <c r="C1372" s="114"/>
      <c r="O1372" s="115"/>
      <c r="P1372" s="113"/>
      <c r="Q1372" s="113"/>
      <c r="R1372" s="113"/>
      <c r="S1372" s="113"/>
      <c r="T1372" s="113"/>
      <c r="V1372"/>
      <c r="W1372"/>
      <c r="Y1372"/>
      <c r="Z1372"/>
      <c r="AA1372"/>
      <c r="AB1372"/>
      <c r="AC1372"/>
      <c r="AD1372"/>
      <c r="AE1372"/>
      <c r="AF1372"/>
    </row>
    <row r="1373" spans="3:32" s="45" customFormat="1" ht="12.75" hidden="1">
      <c r="C1373" s="114"/>
      <c r="O1373" s="115"/>
      <c r="P1373" s="113"/>
      <c r="Q1373" s="113"/>
      <c r="R1373" s="113"/>
      <c r="S1373" s="113"/>
      <c r="T1373" s="113"/>
      <c r="V1373"/>
      <c r="W1373"/>
      <c r="Y1373"/>
      <c r="Z1373"/>
      <c r="AA1373"/>
      <c r="AB1373"/>
      <c r="AC1373"/>
      <c r="AD1373"/>
      <c r="AE1373"/>
      <c r="AF1373"/>
    </row>
    <row r="1374" spans="3:32" s="45" customFormat="1" ht="12.75" hidden="1">
      <c r="C1374" s="114"/>
      <c r="O1374" s="115"/>
      <c r="P1374" s="113"/>
      <c r="Q1374" s="113"/>
      <c r="R1374" s="113"/>
      <c r="S1374" s="113"/>
      <c r="T1374" s="113"/>
      <c r="V1374"/>
      <c r="W1374"/>
      <c r="Y1374"/>
      <c r="Z1374"/>
      <c r="AA1374"/>
      <c r="AB1374"/>
      <c r="AC1374"/>
      <c r="AD1374"/>
      <c r="AE1374"/>
      <c r="AF1374"/>
    </row>
    <row r="1375" spans="3:32" s="45" customFormat="1" ht="12.75" hidden="1">
      <c r="C1375" s="114"/>
      <c r="O1375" s="115"/>
      <c r="P1375" s="113"/>
      <c r="Q1375" s="113"/>
      <c r="R1375" s="113"/>
      <c r="S1375" s="113"/>
      <c r="T1375" s="113"/>
      <c r="V1375"/>
      <c r="W1375"/>
      <c r="Y1375"/>
      <c r="Z1375"/>
      <c r="AA1375"/>
      <c r="AB1375"/>
      <c r="AC1375"/>
      <c r="AD1375"/>
      <c r="AE1375"/>
      <c r="AF1375"/>
    </row>
    <row r="1376" spans="3:32" s="45" customFormat="1" ht="12.75" hidden="1">
      <c r="C1376" s="114"/>
      <c r="O1376" s="115"/>
      <c r="P1376" s="113"/>
      <c r="Q1376" s="113"/>
      <c r="R1376" s="113"/>
      <c r="S1376" s="113"/>
      <c r="T1376" s="113"/>
      <c r="V1376"/>
      <c r="W1376"/>
      <c r="Y1376"/>
      <c r="Z1376"/>
      <c r="AA1376"/>
      <c r="AB1376"/>
      <c r="AC1376"/>
      <c r="AD1376"/>
      <c r="AE1376"/>
      <c r="AF1376"/>
    </row>
    <row r="1377" spans="3:32" s="45" customFormat="1" ht="12.75" hidden="1">
      <c r="C1377" s="114"/>
      <c r="O1377" s="115"/>
      <c r="P1377" s="113"/>
      <c r="Q1377" s="113"/>
      <c r="R1377" s="113"/>
      <c r="S1377" s="113"/>
      <c r="T1377" s="113"/>
      <c r="V1377"/>
      <c r="W1377"/>
      <c r="Y1377"/>
      <c r="Z1377"/>
      <c r="AA1377"/>
      <c r="AB1377"/>
      <c r="AC1377"/>
      <c r="AD1377"/>
      <c r="AE1377"/>
      <c r="AF1377"/>
    </row>
    <row r="1378" spans="3:32" s="45" customFormat="1" ht="12.75" hidden="1">
      <c r="C1378" s="114"/>
      <c r="O1378" s="115"/>
      <c r="P1378" s="113"/>
      <c r="Q1378" s="113"/>
      <c r="R1378" s="113"/>
      <c r="S1378" s="113"/>
      <c r="T1378" s="113"/>
      <c r="V1378"/>
      <c r="W1378"/>
      <c r="Y1378"/>
      <c r="Z1378"/>
      <c r="AA1378"/>
      <c r="AB1378"/>
      <c r="AC1378"/>
      <c r="AD1378"/>
      <c r="AE1378"/>
      <c r="AF1378"/>
    </row>
    <row r="1379" spans="3:32" s="45" customFormat="1" ht="12.75" hidden="1">
      <c r="C1379" s="114"/>
      <c r="O1379" s="115"/>
      <c r="P1379" s="113"/>
      <c r="Q1379" s="113"/>
      <c r="R1379" s="113"/>
      <c r="S1379" s="113"/>
      <c r="T1379" s="113"/>
      <c r="V1379"/>
      <c r="W1379"/>
      <c r="Y1379"/>
      <c r="Z1379"/>
      <c r="AA1379"/>
      <c r="AB1379"/>
      <c r="AC1379"/>
      <c r="AD1379"/>
      <c r="AE1379"/>
      <c r="AF1379"/>
    </row>
    <row r="1380" spans="3:32" s="45" customFormat="1" ht="12.75" hidden="1">
      <c r="C1380" s="114"/>
      <c r="O1380" s="115"/>
      <c r="P1380" s="113"/>
      <c r="Q1380" s="113"/>
      <c r="R1380" s="113"/>
      <c r="S1380" s="113"/>
      <c r="T1380" s="113"/>
      <c r="V1380"/>
      <c r="W1380"/>
      <c r="Y1380"/>
      <c r="Z1380"/>
      <c r="AA1380"/>
      <c r="AB1380"/>
      <c r="AC1380"/>
      <c r="AD1380"/>
      <c r="AE1380"/>
      <c r="AF1380"/>
    </row>
    <row r="1381" spans="3:32" s="45" customFormat="1" ht="12.75" hidden="1">
      <c r="C1381" s="114"/>
      <c r="O1381" s="115"/>
      <c r="P1381" s="113"/>
      <c r="Q1381" s="113"/>
      <c r="R1381" s="113"/>
      <c r="S1381" s="113"/>
      <c r="T1381" s="113"/>
      <c r="V1381"/>
      <c r="W1381"/>
      <c r="Y1381"/>
      <c r="Z1381"/>
      <c r="AA1381"/>
      <c r="AB1381"/>
      <c r="AC1381"/>
      <c r="AD1381"/>
      <c r="AE1381"/>
      <c r="AF1381"/>
    </row>
    <row r="1382" spans="3:32" s="45" customFormat="1" ht="12.75" hidden="1">
      <c r="C1382" s="114"/>
      <c r="O1382" s="115"/>
      <c r="P1382" s="113"/>
      <c r="Q1382" s="113"/>
      <c r="R1382" s="113"/>
      <c r="S1382" s="113"/>
      <c r="T1382" s="113"/>
      <c r="V1382"/>
      <c r="W1382"/>
      <c r="Y1382"/>
      <c r="Z1382"/>
      <c r="AA1382"/>
      <c r="AB1382"/>
      <c r="AC1382"/>
      <c r="AD1382"/>
      <c r="AE1382"/>
      <c r="AF1382"/>
    </row>
    <row r="1383" spans="3:32" s="45" customFormat="1" ht="12.75" hidden="1">
      <c r="C1383" s="114"/>
      <c r="O1383" s="115"/>
      <c r="P1383" s="113"/>
      <c r="Q1383" s="113"/>
      <c r="R1383" s="113"/>
      <c r="S1383" s="113"/>
      <c r="T1383" s="113"/>
      <c r="V1383"/>
      <c r="W1383"/>
      <c r="Y1383"/>
      <c r="Z1383"/>
      <c r="AA1383"/>
      <c r="AB1383"/>
      <c r="AC1383"/>
      <c r="AD1383"/>
      <c r="AE1383"/>
      <c r="AF1383"/>
    </row>
    <row r="1384" spans="3:32" s="45" customFormat="1" ht="12.75" hidden="1">
      <c r="C1384" s="114"/>
      <c r="O1384" s="115"/>
      <c r="P1384" s="113"/>
      <c r="Q1384" s="113"/>
      <c r="R1384" s="113"/>
      <c r="S1384" s="113"/>
      <c r="T1384" s="113"/>
      <c r="V1384"/>
      <c r="W1384"/>
      <c r="Y1384"/>
      <c r="Z1384"/>
      <c r="AA1384"/>
      <c r="AB1384"/>
      <c r="AC1384"/>
      <c r="AD1384"/>
      <c r="AE1384"/>
      <c r="AF1384"/>
    </row>
    <row r="1385" spans="3:32" s="45" customFormat="1" ht="12.75" hidden="1">
      <c r="C1385" s="114"/>
      <c r="O1385" s="115"/>
      <c r="P1385" s="113"/>
      <c r="Q1385" s="113"/>
      <c r="R1385" s="113"/>
      <c r="S1385" s="113"/>
      <c r="T1385" s="113"/>
      <c r="V1385"/>
      <c r="W1385"/>
      <c r="Y1385"/>
      <c r="Z1385"/>
      <c r="AA1385"/>
      <c r="AB1385"/>
      <c r="AC1385"/>
      <c r="AD1385"/>
      <c r="AE1385"/>
      <c r="AF1385"/>
    </row>
    <row r="1386" spans="3:32" s="45" customFormat="1" ht="12.75" hidden="1">
      <c r="C1386" s="114"/>
      <c r="O1386" s="115"/>
      <c r="P1386" s="113"/>
      <c r="Q1386" s="113"/>
      <c r="R1386" s="113"/>
      <c r="S1386" s="113"/>
      <c r="T1386" s="113"/>
      <c r="V1386"/>
      <c r="W1386"/>
      <c r="Y1386"/>
      <c r="Z1386"/>
      <c r="AA1386"/>
      <c r="AB1386"/>
      <c r="AC1386"/>
      <c r="AD1386"/>
      <c r="AE1386"/>
      <c r="AF1386"/>
    </row>
    <row r="1387" spans="3:32" s="45" customFormat="1" ht="12.75" hidden="1">
      <c r="C1387" s="114"/>
      <c r="O1387" s="115"/>
      <c r="P1387" s="113"/>
      <c r="Q1387" s="113"/>
      <c r="R1387" s="113"/>
      <c r="S1387" s="113"/>
      <c r="T1387" s="113"/>
      <c r="V1387"/>
      <c r="W1387"/>
      <c r="Y1387"/>
      <c r="Z1387"/>
      <c r="AA1387"/>
      <c r="AB1387"/>
      <c r="AC1387"/>
      <c r="AD1387"/>
      <c r="AE1387"/>
      <c r="AF1387"/>
    </row>
    <row r="1388" spans="3:32" s="45" customFormat="1" ht="12.75" hidden="1">
      <c r="C1388" s="114"/>
      <c r="O1388" s="115"/>
      <c r="P1388" s="113"/>
      <c r="Q1388" s="113"/>
      <c r="R1388" s="113"/>
      <c r="S1388" s="113"/>
      <c r="T1388" s="113"/>
      <c r="V1388"/>
      <c r="W1388"/>
      <c r="Y1388"/>
      <c r="Z1388"/>
      <c r="AA1388"/>
      <c r="AB1388"/>
      <c r="AC1388"/>
      <c r="AD1388"/>
      <c r="AE1388"/>
      <c r="AF1388"/>
    </row>
    <row r="1389" spans="3:32" s="45" customFormat="1" ht="12.75" hidden="1">
      <c r="C1389" s="114"/>
      <c r="O1389" s="115"/>
      <c r="P1389" s="113"/>
      <c r="Q1389" s="113"/>
      <c r="R1389" s="113"/>
      <c r="S1389" s="113"/>
      <c r="T1389" s="113"/>
      <c r="V1389"/>
      <c r="W1389"/>
      <c r="Y1389"/>
      <c r="Z1389"/>
      <c r="AA1389"/>
      <c r="AB1389"/>
      <c r="AC1389"/>
      <c r="AD1389"/>
      <c r="AE1389"/>
      <c r="AF1389"/>
    </row>
    <row r="1390" spans="3:32" s="45" customFormat="1" ht="12.75" hidden="1">
      <c r="C1390" s="114"/>
      <c r="O1390" s="115"/>
      <c r="P1390" s="113"/>
      <c r="Q1390" s="113"/>
      <c r="R1390" s="113"/>
      <c r="S1390" s="113"/>
      <c r="T1390" s="113"/>
      <c r="V1390"/>
      <c r="W1390"/>
      <c r="Y1390"/>
      <c r="Z1390"/>
      <c r="AA1390"/>
      <c r="AB1390"/>
      <c r="AC1390"/>
      <c r="AD1390"/>
      <c r="AE1390"/>
      <c r="AF1390"/>
    </row>
    <row r="1391" spans="3:32" s="45" customFormat="1" ht="12.75" hidden="1">
      <c r="C1391" s="114"/>
      <c r="O1391" s="115"/>
      <c r="P1391" s="113"/>
      <c r="Q1391" s="113"/>
      <c r="R1391" s="113"/>
      <c r="S1391" s="113"/>
      <c r="T1391" s="113"/>
      <c r="V1391"/>
      <c r="W1391"/>
      <c r="Y1391"/>
      <c r="Z1391"/>
      <c r="AA1391"/>
      <c r="AB1391"/>
      <c r="AC1391"/>
      <c r="AD1391"/>
      <c r="AE1391"/>
      <c r="AF1391"/>
    </row>
    <row r="1392" spans="3:32" s="45" customFormat="1" ht="12.75" hidden="1">
      <c r="C1392" s="114"/>
      <c r="O1392" s="115"/>
      <c r="P1392" s="113"/>
      <c r="Q1392" s="113"/>
      <c r="R1392" s="113"/>
      <c r="S1392" s="113"/>
      <c r="T1392" s="113"/>
      <c r="V1392"/>
      <c r="W1392"/>
      <c r="Y1392"/>
      <c r="Z1392"/>
      <c r="AA1392"/>
      <c r="AB1392"/>
      <c r="AC1392"/>
      <c r="AD1392"/>
      <c r="AE1392"/>
      <c r="AF1392"/>
    </row>
    <row r="1393" spans="3:32" s="45" customFormat="1" ht="12.75" hidden="1">
      <c r="C1393" s="114"/>
      <c r="O1393" s="115"/>
      <c r="P1393" s="113"/>
      <c r="Q1393" s="113"/>
      <c r="R1393" s="113"/>
      <c r="S1393" s="113"/>
      <c r="T1393" s="113"/>
      <c r="V1393"/>
      <c r="W1393"/>
      <c r="Y1393"/>
      <c r="Z1393"/>
      <c r="AA1393"/>
      <c r="AB1393"/>
      <c r="AC1393"/>
      <c r="AD1393"/>
      <c r="AE1393"/>
      <c r="AF1393"/>
    </row>
    <row r="1394" spans="3:32" s="45" customFormat="1" ht="12.75" hidden="1">
      <c r="C1394" s="114"/>
      <c r="O1394" s="115"/>
      <c r="P1394" s="113"/>
      <c r="Q1394" s="113"/>
      <c r="R1394" s="113"/>
      <c r="S1394" s="113"/>
      <c r="T1394" s="113"/>
      <c r="V1394"/>
      <c r="W1394"/>
      <c r="Y1394"/>
      <c r="Z1394"/>
      <c r="AA1394"/>
      <c r="AB1394"/>
      <c r="AC1394"/>
      <c r="AD1394"/>
      <c r="AE1394"/>
      <c r="AF1394"/>
    </row>
    <row r="1395" spans="3:32" s="45" customFormat="1" ht="12.75" hidden="1">
      <c r="C1395" s="114"/>
      <c r="O1395" s="115"/>
      <c r="P1395" s="113"/>
      <c r="Q1395" s="113"/>
      <c r="R1395" s="113"/>
      <c r="S1395" s="113"/>
      <c r="T1395" s="113"/>
      <c r="V1395"/>
      <c r="W1395"/>
      <c r="Y1395"/>
      <c r="Z1395"/>
      <c r="AA1395"/>
      <c r="AB1395"/>
      <c r="AC1395"/>
      <c r="AD1395"/>
      <c r="AE1395"/>
      <c r="AF1395"/>
    </row>
    <row r="1396" spans="3:32" s="45" customFormat="1" ht="12.75" hidden="1">
      <c r="C1396" s="114"/>
      <c r="O1396" s="115"/>
      <c r="P1396" s="113"/>
      <c r="Q1396" s="113"/>
      <c r="R1396" s="113"/>
      <c r="S1396" s="113"/>
      <c r="T1396" s="113"/>
      <c r="V1396"/>
      <c r="W1396"/>
      <c r="Y1396"/>
      <c r="Z1396"/>
      <c r="AA1396"/>
      <c r="AB1396"/>
      <c r="AC1396"/>
      <c r="AD1396"/>
      <c r="AE1396"/>
      <c r="AF1396"/>
    </row>
    <row r="1397" spans="3:32" s="45" customFormat="1" ht="12.75" hidden="1">
      <c r="C1397" s="114"/>
      <c r="O1397" s="115"/>
      <c r="P1397" s="113"/>
      <c r="Q1397" s="113"/>
      <c r="R1397" s="113"/>
      <c r="S1397" s="113"/>
      <c r="T1397" s="113"/>
      <c r="V1397"/>
      <c r="W1397"/>
      <c r="Y1397"/>
      <c r="Z1397"/>
      <c r="AA1397"/>
      <c r="AB1397"/>
      <c r="AC1397"/>
      <c r="AD1397"/>
      <c r="AE1397"/>
      <c r="AF1397"/>
    </row>
    <row r="1398" spans="3:32" s="45" customFormat="1" ht="12.75" hidden="1">
      <c r="C1398" s="114"/>
      <c r="O1398" s="115"/>
      <c r="P1398" s="113"/>
      <c r="Q1398" s="113"/>
      <c r="R1398" s="113"/>
      <c r="S1398" s="113"/>
      <c r="T1398" s="113"/>
      <c r="V1398"/>
      <c r="W1398"/>
      <c r="Y1398"/>
      <c r="Z1398"/>
      <c r="AA1398"/>
      <c r="AB1398"/>
      <c r="AC1398"/>
      <c r="AD1398"/>
      <c r="AE1398"/>
      <c r="AF1398"/>
    </row>
    <row r="1399" spans="3:32" s="45" customFormat="1" ht="12.75" hidden="1">
      <c r="C1399" s="114"/>
      <c r="O1399" s="115"/>
      <c r="P1399" s="113"/>
      <c r="Q1399" s="113"/>
      <c r="R1399" s="113"/>
      <c r="S1399" s="113"/>
      <c r="T1399" s="113"/>
      <c r="V1399"/>
      <c r="W1399"/>
      <c r="Y1399"/>
      <c r="Z1399"/>
      <c r="AA1399"/>
      <c r="AB1399"/>
      <c r="AC1399"/>
      <c r="AD1399"/>
      <c r="AE1399"/>
      <c r="AF1399"/>
    </row>
    <row r="1400" spans="3:32" s="45" customFormat="1" ht="12.75" hidden="1">
      <c r="C1400" s="114"/>
      <c r="O1400" s="115"/>
      <c r="P1400" s="113"/>
      <c r="Q1400" s="113"/>
      <c r="R1400" s="113"/>
      <c r="S1400" s="113"/>
      <c r="T1400" s="113"/>
      <c r="V1400"/>
      <c r="W1400"/>
      <c r="Y1400"/>
      <c r="Z1400"/>
      <c r="AA1400"/>
      <c r="AB1400"/>
      <c r="AC1400"/>
      <c r="AD1400"/>
      <c r="AE1400"/>
      <c r="AF1400"/>
    </row>
    <row r="1401" spans="3:32" s="45" customFormat="1" ht="12.75" hidden="1">
      <c r="C1401" s="114"/>
      <c r="O1401" s="115"/>
      <c r="P1401" s="113"/>
      <c r="Q1401" s="113"/>
      <c r="R1401" s="113"/>
      <c r="S1401" s="113"/>
      <c r="T1401" s="113"/>
      <c r="V1401"/>
      <c r="W1401"/>
      <c r="Y1401"/>
      <c r="Z1401"/>
      <c r="AA1401"/>
      <c r="AB1401"/>
      <c r="AC1401"/>
      <c r="AD1401"/>
      <c r="AE1401"/>
      <c r="AF1401"/>
    </row>
    <row r="1402" spans="3:32" s="45" customFormat="1" ht="12.75" hidden="1">
      <c r="C1402" s="114"/>
      <c r="O1402" s="115"/>
      <c r="P1402" s="113"/>
      <c r="Q1402" s="113"/>
      <c r="R1402" s="113"/>
      <c r="S1402" s="113"/>
      <c r="T1402" s="113"/>
      <c r="V1402"/>
      <c r="W1402"/>
      <c r="Y1402"/>
      <c r="Z1402"/>
      <c r="AA1402"/>
      <c r="AB1402"/>
      <c r="AC1402"/>
      <c r="AD1402"/>
      <c r="AE1402"/>
      <c r="AF1402"/>
    </row>
    <row r="1403" spans="3:32" s="45" customFormat="1" ht="12.75" hidden="1">
      <c r="C1403" s="114"/>
      <c r="O1403" s="115"/>
      <c r="P1403" s="113"/>
      <c r="Q1403" s="113"/>
      <c r="R1403" s="113"/>
      <c r="S1403" s="113"/>
      <c r="T1403" s="113"/>
      <c r="V1403"/>
      <c r="W1403"/>
      <c r="Y1403"/>
      <c r="Z1403"/>
      <c r="AA1403"/>
      <c r="AB1403"/>
      <c r="AC1403"/>
      <c r="AD1403"/>
      <c r="AE1403"/>
      <c r="AF1403"/>
    </row>
    <row r="1404" spans="3:32" s="45" customFormat="1" ht="12.75" hidden="1">
      <c r="C1404" s="114"/>
      <c r="O1404" s="115"/>
      <c r="P1404" s="113"/>
      <c r="Q1404" s="113"/>
      <c r="R1404" s="113"/>
      <c r="S1404" s="113"/>
      <c r="T1404" s="113"/>
      <c r="V1404"/>
      <c r="W1404"/>
      <c r="Y1404"/>
      <c r="Z1404"/>
      <c r="AA1404"/>
      <c r="AB1404"/>
      <c r="AC1404"/>
      <c r="AD1404"/>
      <c r="AE1404"/>
      <c r="AF1404"/>
    </row>
    <row r="1405" spans="3:32" s="45" customFormat="1" ht="12.75" hidden="1">
      <c r="C1405" s="114"/>
      <c r="O1405" s="115"/>
      <c r="P1405" s="113"/>
      <c r="Q1405" s="113"/>
      <c r="R1405" s="113"/>
      <c r="S1405" s="113"/>
      <c r="T1405" s="113"/>
      <c r="V1405"/>
      <c r="W1405"/>
      <c r="Y1405"/>
      <c r="Z1405"/>
      <c r="AA1405"/>
      <c r="AB1405"/>
      <c r="AC1405"/>
      <c r="AD1405"/>
      <c r="AE1405"/>
      <c r="AF1405"/>
    </row>
    <row r="1406" spans="3:32" s="45" customFormat="1" ht="12.75" hidden="1">
      <c r="C1406" s="114"/>
      <c r="O1406" s="115"/>
      <c r="P1406" s="113"/>
      <c r="Q1406" s="113"/>
      <c r="R1406" s="113"/>
      <c r="S1406" s="113"/>
      <c r="T1406" s="113"/>
      <c r="V1406"/>
      <c r="W1406"/>
      <c r="Y1406"/>
      <c r="Z1406"/>
      <c r="AA1406"/>
      <c r="AB1406"/>
      <c r="AC1406"/>
      <c r="AD1406"/>
      <c r="AE1406"/>
      <c r="AF1406"/>
    </row>
    <row r="1407" spans="3:32" s="45" customFormat="1" ht="12.75" hidden="1">
      <c r="C1407" s="114"/>
      <c r="O1407" s="115"/>
      <c r="P1407" s="113"/>
      <c r="Q1407" s="113"/>
      <c r="R1407" s="113"/>
      <c r="S1407" s="113"/>
      <c r="T1407" s="113"/>
      <c r="V1407"/>
      <c r="W1407"/>
      <c r="Y1407"/>
      <c r="Z1407"/>
      <c r="AA1407"/>
      <c r="AB1407"/>
      <c r="AC1407"/>
      <c r="AD1407"/>
      <c r="AE1407"/>
      <c r="AF1407"/>
    </row>
    <row r="1408" spans="3:32" s="45" customFormat="1" ht="12.75" hidden="1">
      <c r="C1408" s="114"/>
      <c r="O1408" s="115"/>
      <c r="P1408" s="113"/>
      <c r="Q1408" s="113"/>
      <c r="R1408" s="113"/>
      <c r="S1408" s="113"/>
      <c r="T1408" s="113"/>
      <c r="V1408"/>
      <c r="W1408"/>
      <c r="Y1408"/>
      <c r="Z1408"/>
      <c r="AA1408"/>
      <c r="AB1408"/>
      <c r="AC1408"/>
      <c r="AD1408"/>
      <c r="AE1408"/>
      <c r="AF1408"/>
    </row>
    <row r="1409" spans="3:32" s="45" customFormat="1" ht="12.75" hidden="1">
      <c r="C1409" s="114"/>
      <c r="O1409" s="115"/>
      <c r="P1409" s="113"/>
      <c r="Q1409" s="113"/>
      <c r="R1409" s="113"/>
      <c r="S1409" s="113"/>
      <c r="T1409" s="113"/>
      <c r="V1409"/>
      <c r="W1409"/>
      <c r="Y1409"/>
      <c r="Z1409"/>
      <c r="AA1409"/>
      <c r="AB1409"/>
      <c r="AC1409"/>
      <c r="AD1409"/>
      <c r="AE1409"/>
      <c r="AF1409"/>
    </row>
    <row r="1410" spans="3:32" s="45" customFormat="1" ht="12.75" hidden="1">
      <c r="C1410" s="114"/>
      <c r="O1410" s="115"/>
      <c r="P1410" s="113"/>
      <c r="Q1410" s="113"/>
      <c r="R1410" s="113"/>
      <c r="S1410" s="113"/>
      <c r="T1410" s="113"/>
      <c r="V1410"/>
      <c r="W1410"/>
      <c r="Y1410"/>
      <c r="Z1410"/>
      <c r="AA1410"/>
      <c r="AB1410"/>
      <c r="AC1410"/>
      <c r="AD1410"/>
      <c r="AE1410"/>
      <c r="AF1410"/>
    </row>
    <row r="1411" spans="3:32" s="45" customFormat="1" ht="12.75" hidden="1">
      <c r="C1411" s="114"/>
      <c r="O1411" s="115"/>
      <c r="P1411" s="113"/>
      <c r="Q1411" s="113"/>
      <c r="R1411" s="113"/>
      <c r="S1411" s="113"/>
      <c r="T1411" s="113"/>
      <c r="V1411"/>
      <c r="W1411"/>
      <c r="Y1411"/>
      <c r="Z1411"/>
      <c r="AA1411"/>
      <c r="AB1411"/>
      <c r="AC1411"/>
      <c r="AD1411"/>
      <c r="AE1411"/>
      <c r="AF1411"/>
    </row>
    <row r="1412" spans="3:32" s="45" customFormat="1" ht="12.75" hidden="1">
      <c r="C1412" s="114"/>
      <c r="O1412" s="115"/>
      <c r="P1412" s="113"/>
      <c r="Q1412" s="113"/>
      <c r="R1412" s="113"/>
      <c r="S1412" s="113"/>
      <c r="T1412" s="113"/>
      <c r="V1412"/>
      <c r="W1412"/>
      <c r="Y1412"/>
      <c r="Z1412"/>
      <c r="AA1412"/>
      <c r="AB1412"/>
      <c r="AC1412"/>
      <c r="AD1412"/>
      <c r="AE1412"/>
      <c r="AF1412"/>
    </row>
    <row r="1413" spans="3:32" s="45" customFormat="1" ht="12.75" hidden="1">
      <c r="C1413" s="114"/>
      <c r="O1413" s="115"/>
      <c r="P1413" s="113"/>
      <c r="Q1413" s="113"/>
      <c r="R1413" s="113"/>
      <c r="S1413" s="113"/>
      <c r="T1413" s="113"/>
      <c r="V1413"/>
      <c r="W1413"/>
      <c r="Y1413"/>
      <c r="Z1413"/>
      <c r="AA1413"/>
      <c r="AB1413"/>
      <c r="AC1413"/>
      <c r="AD1413"/>
      <c r="AE1413"/>
      <c r="AF1413"/>
    </row>
    <row r="1414" spans="3:32" s="45" customFormat="1" ht="12.75" hidden="1">
      <c r="C1414" s="114"/>
      <c r="O1414" s="115"/>
      <c r="P1414" s="113"/>
      <c r="Q1414" s="113"/>
      <c r="R1414" s="113"/>
      <c r="S1414" s="113"/>
      <c r="T1414" s="113"/>
      <c r="V1414"/>
      <c r="W1414"/>
      <c r="Y1414"/>
      <c r="Z1414"/>
      <c r="AA1414"/>
      <c r="AB1414"/>
      <c r="AC1414"/>
      <c r="AD1414"/>
      <c r="AE1414"/>
      <c r="AF1414"/>
    </row>
    <row r="1415" spans="3:32" s="45" customFormat="1" ht="12.75" hidden="1">
      <c r="C1415" s="114"/>
      <c r="O1415" s="115"/>
      <c r="P1415" s="113"/>
      <c r="Q1415" s="113"/>
      <c r="R1415" s="113"/>
      <c r="S1415" s="113"/>
      <c r="T1415" s="113"/>
      <c r="V1415"/>
      <c r="W1415"/>
      <c r="Y1415"/>
      <c r="Z1415"/>
      <c r="AA1415"/>
      <c r="AB1415"/>
      <c r="AC1415"/>
      <c r="AD1415"/>
      <c r="AE1415"/>
      <c r="AF1415"/>
    </row>
    <row r="1416" spans="3:32" s="45" customFormat="1" ht="12.75" hidden="1">
      <c r="C1416" s="114"/>
      <c r="O1416" s="115"/>
      <c r="P1416" s="113"/>
      <c r="Q1416" s="113"/>
      <c r="R1416" s="113"/>
      <c r="S1416" s="113"/>
      <c r="T1416" s="113"/>
      <c r="V1416"/>
      <c r="W1416"/>
      <c r="Y1416"/>
      <c r="Z1416"/>
      <c r="AA1416"/>
      <c r="AB1416"/>
      <c r="AC1416"/>
      <c r="AD1416"/>
      <c r="AE1416"/>
      <c r="AF1416"/>
    </row>
    <row r="1417" spans="3:32" s="45" customFormat="1" ht="12.75" hidden="1">
      <c r="C1417" s="114"/>
      <c r="O1417" s="115"/>
      <c r="P1417" s="113"/>
      <c r="Q1417" s="113"/>
      <c r="R1417" s="113"/>
      <c r="S1417" s="113"/>
      <c r="T1417" s="113"/>
      <c r="V1417"/>
      <c r="W1417"/>
      <c r="Y1417"/>
      <c r="Z1417"/>
      <c r="AA1417"/>
      <c r="AB1417"/>
      <c r="AC1417"/>
      <c r="AD1417"/>
      <c r="AE1417"/>
      <c r="AF1417"/>
    </row>
    <row r="1418" spans="3:32" s="45" customFormat="1" ht="12.75" hidden="1">
      <c r="C1418" s="114"/>
      <c r="O1418" s="115"/>
      <c r="P1418" s="113"/>
      <c r="Q1418" s="113"/>
      <c r="R1418" s="113"/>
      <c r="S1418" s="113"/>
      <c r="T1418" s="113"/>
      <c r="V1418"/>
      <c r="W1418"/>
      <c r="Y1418"/>
      <c r="Z1418"/>
      <c r="AA1418"/>
      <c r="AB1418"/>
      <c r="AC1418"/>
      <c r="AD1418"/>
      <c r="AE1418"/>
      <c r="AF1418"/>
    </row>
    <row r="1419" spans="3:32" s="45" customFormat="1" ht="12.75" hidden="1">
      <c r="C1419" s="114"/>
      <c r="O1419" s="115"/>
      <c r="P1419" s="113"/>
      <c r="Q1419" s="113"/>
      <c r="R1419" s="113"/>
      <c r="S1419" s="113"/>
      <c r="T1419" s="113"/>
      <c r="V1419"/>
      <c r="W1419"/>
      <c r="Y1419"/>
      <c r="Z1419"/>
      <c r="AA1419"/>
      <c r="AB1419"/>
      <c r="AC1419"/>
      <c r="AD1419"/>
      <c r="AE1419"/>
      <c r="AF1419"/>
    </row>
    <row r="1420" spans="3:32" s="45" customFormat="1" ht="12.75" hidden="1">
      <c r="C1420" s="114"/>
      <c r="O1420" s="115"/>
      <c r="P1420" s="113"/>
      <c r="Q1420" s="113"/>
      <c r="R1420" s="113"/>
      <c r="S1420" s="113"/>
      <c r="T1420" s="113"/>
      <c r="V1420"/>
      <c r="W1420"/>
      <c r="Y1420"/>
      <c r="Z1420"/>
      <c r="AA1420"/>
      <c r="AB1420"/>
      <c r="AC1420"/>
      <c r="AD1420"/>
      <c r="AE1420"/>
      <c r="AF1420"/>
    </row>
    <row r="1421" spans="3:32" s="45" customFormat="1" ht="12.75" hidden="1">
      <c r="C1421" s="114"/>
      <c r="O1421" s="115"/>
      <c r="P1421" s="113"/>
      <c r="Q1421" s="113"/>
      <c r="R1421" s="113"/>
      <c r="S1421" s="113"/>
      <c r="T1421" s="113"/>
      <c r="V1421"/>
      <c r="W1421"/>
      <c r="Y1421"/>
      <c r="Z1421"/>
      <c r="AA1421"/>
      <c r="AB1421"/>
      <c r="AC1421"/>
      <c r="AD1421"/>
      <c r="AE1421"/>
      <c r="AF1421"/>
    </row>
    <row r="1422" spans="3:32" s="45" customFormat="1" ht="12.75" hidden="1">
      <c r="C1422" s="114"/>
      <c r="O1422" s="115"/>
      <c r="P1422" s="113"/>
      <c r="Q1422" s="113"/>
      <c r="R1422" s="113"/>
      <c r="S1422" s="113"/>
      <c r="T1422" s="113"/>
      <c r="V1422"/>
      <c r="W1422"/>
      <c r="Y1422"/>
      <c r="Z1422"/>
      <c r="AA1422"/>
      <c r="AB1422"/>
      <c r="AC1422"/>
      <c r="AD1422"/>
      <c r="AE1422"/>
      <c r="AF1422"/>
    </row>
    <row r="1423" spans="3:32" s="45" customFormat="1" ht="12.75" hidden="1">
      <c r="C1423" s="114"/>
      <c r="O1423" s="115"/>
      <c r="P1423" s="113"/>
      <c r="Q1423" s="113"/>
      <c r="R1423" s="113"/>
      <c r="S1423" s="113"/>
      <c r="T1423" s="113"/>
      <c r="V1423"/>
      <c r="W1423"/>
      <c r="Y1423"/>
      <c r="Z1423"/>
      <c r="AA1423"/>
      <c r="AB1423"/>
      <c r="AC1423"/>
      <c r="AD1423"/>
      <c r="AE1423"/>
      <c r="AF1423"/>
    </row>
    <row r="1424" spans="3:32" s="45" customFormat="1" ht="12.75" hidden="1">
      <c r="C1424" s="114"/>
      <c r="O1424" s="115"/>
      <c r="P1424" s="113"/>
      <c r="Q1424" s="113"/>
      <c r="R1424" s="113"/>
      <c r="S1424" s="113"/>
      <c r="T1424" s="113"/>
      <c r="V1424"/>
      <c r="W1424"/>
      <c r="Y1424"/>
      <c r="Z1424"/>
      <c r="AA1424"/>
      <c r="AB1424"/>
      <c r="AC1424"/>
      <c r="AD1424"/>
      <c r="AE1424"/>
      <c r="AF1424"/>
    </row>
    <row r="1425" spans="3:32" s="45" customFormat="1" ht="12.75" hidden="1">
      <c r="C1425" s="114"/>
      <c r="O1425" s="115"/>
      <c r="P1425" s="113"/>
      <c r="Q1425" s="113"/>
      <c r="R1425" s="113"/>
      <c r="S1425" s="113"/>
      <c r="T1425" s="113"/>
      <c r="V1425"/>
      <c r="W1425"/>
      <c r="Y1425"/>
      <c r="Z1425"/>
      <c r="AA1425"/>
      <c r="AB1425"/>
      <c r="AC1425"/>
      <c r="AD1425"/>
      <c r="AE1425"/>
      <c r="AF1425"/>
    </row>
    <row r="1426" spans="3:32" s="45" customFormat="1" ht="12.75" hidden="1">
      <c r="C1426" s="114"/>
      <c r="O1426" s="115"/>
      <c r="P1426" s="113"/>
      <c r="Q1426" s="113"/>
      <c r="R1426" s="113"/>
      <c r="S1426" s="113"/>
      <c r="T1426" s="113"/>
      <c r="V1426"/>
      <c r="W1426"/>
      <c r="Y1426"/>
      <c r="Z1426"/>
      <c r="AA1426"/>
      <c r="AB1426"/>
      <c r="AC1426"/>
      <c r="AD1426"/>
      <c r="AE1426"/>
      <c r="AF1426"/>
    </row>
    <row r="1427" spans="3:32" s="45" customFormat="1" ht="12.75" hidden="1">
      <c r="C1427" s="114"/>
      <c r="O1427" s="115"/>
      <c r="P1427" s="113"/>
      <c r="Q1427" s="113"/>
      <c r="R1427" s="113"/>
      <c r="S1427" s="113"/>
      <c r="T1427" s="113"/>
      <c r="V1427"/>
      <c r="W1427"/>
      <c r="Y1427"/>
      <c r="Z1427"/>
      <c r="AA1427"/>
      <c r="AB1427"/>
      <c r="AC1427"/>
      <c r="AD1427"/>
      <c r="AE1427"/>
      <c r="AF1427"/>
    </row>
    <row r="1428" spans="3:32" s="45" customFormat="1" ht="12.75" hidden="1">
      <c r="C1428" s="114"/>
      <c r="O1428" s="115"/>
      <c r="P1428" s="113"/>
      <c r="Q1428" s="113"/>
      <c r="R1428" s="113"/>
      <c r="S1428" s="113"/>
      <c r="T1428" s="113"/>
      <c r="V1428"/>
      <c r="W1428"/>
      <c r="Y1428"/>
      <c r="Z1428"/>
      <c r="AA1428"/>
      <c r="AB1428"/>
      <c r="AC1428"/>
      <c r="AD1428"/>
      <c r="AE1428"/>
      <c r="AF1428"/>
    </row>
    <row r="1429" spans="3:32" s="45" customFormat="1" ht="12.75" hidden="1">
      <c r="C1429" s="114"/>
      <c r="O1429" s="115"/>
      <c r="P1429" s="113"/>
      <c r="Q1429" s="113"/>
      <c r="R1429" s="113"/>
      <c r="S1429" s="113"/>
      <c r="T1429" s="113"/>
      <c r="V1429"/>
      <c r="W1429"/>
      <c r="Y1429"/>
      <c r="Z1429"/>
      <c r="AA1429"/>
      <c r="AB1429"/>
      <c r="AC1429"/>
      <c r="AD1429"/>
      <c r="AE1429"/>
      <c r="AF1429"/>
    </row>
    <row r="1430" spans="3:32" s="45" customFormat="1" ht="12.75" hidden="1">
      <c r="C1430" s="114"/>
      <c r="O1430" s="115"/>
      <c r="P1430" s="113"/>
      <c r="Q1430" s="113"/>
      <c r="R1430" s="113"/>
      <c r="S1430" s="113"/>
      <c r="T1430" s="113"/>
      <c r="V1430"/>
      <c r="W1430"/>
      <c r="Y1430"/>
      <c r="Z1430"/>
      <c r="AA1430"/>
      <c r="AB1430"/>
      <c r="AC1430"/>
      <c r="AD1430"/>
      <c r="AE1430"/>
      <c r="AF1430"/>
    </row>
    <row r="1431" spans="3:32" s="45" customFormat="1" ht="12.75" hidden="1">
      <c r="C1431" s="114"/>
      <c r="O1431" s="115"/>
      <c r="P1431" s="113"/>
      <c r="Q1431" s="113"/>
      <c r="R1431" s="113"/>
      <c r="S1431" s="113"/>
      <c r="T1431" s="113"/>
      <c r="V1431"/>
      <c r="W1431"/>
      <c r="Y1431"/>
      <c r="Z1431"/>
      <c r="AA1431"/>
      <c r="AB1431"/>
      <c r="AC1431"/>
      <c r="AD1431"/>
      <c r="AE1431"/>
      <c r="AF1431"/>
    </row>
    <row r="1432" spans="3:32" s="45" customFormat="1" ht="12.75" hidden="1">
      <c r="C1432" s="114"/>
      <c r="O1432" s="115"/>
      <c r="P1432" s="113"/>
      <c r="Q1432" s="113"/>
      <c r="R1432" s="113"/>
      <c r="S1432" s="113"/>
      <c r="T1432" s="113"/>
      <c r="V1432"/>
      <c r="W1432"/>
      <c r="Y1432"/>
      <c r="Z1432"/>
      <c r="AA1432"/>
      <c r="AB1432"/>
      <c r="AC1432"/>
      <c r="AD1432"/>
      <c r="AE1432"/>
      <c r="AF1432"/>
    </row>
    <row r="1433" spans="3:32" s="45" customFormat="1" ht="12.75" hidden="1">
      <c r="C1433" s="114"/>
      <c r="O1433" s="115"/>
      <c r="P1433" s="113"/>
      <c r="Q1433" s="113"/>
      <c r="R1433" s="113"/>
      <c r="S1433" s="113"/>
      <c r="T1433" s="113"/>
      <c r="V1433"/>
      <c r="W1433"/>
      <c r="Y1433"/>
      <c r="Z1433"/>
      <c r="AA1433"/>
      <c r="AB1433"/>
      <c r="AC1433"/>
      <c r="AD1433"/>
      <c r="AE1433"/>
      <c r="AF1433"/>
    </row>
    <row r="1434" spans="3:32" s="45" customFormat="1" ht="12.75" hidden="1">
      <c r="C1434" s="114"/>
      <c r="O1434" s="115"/>
      <c r="P1434" s="113"/>
      <c r="Q1434" s="113"/>
      <c r="R1434" s="113"/>
      <c r="S1434" s="113"/>
      <c r="T1434" s="113"/>
      <c r="V1434"/>
      <c r="W1434"/>
      <c r="Y1434"/>
      <c r="Z1434"/>
      <c r="AA1434"/>
      <c r="AB1434"/>
      <c r="AC1434"/>
      <c r="AD1434"/>
      <c r="AE1434"/>
      <c r="AF1434"/>
    </row>
    <row r="1435" spans="3:32" s="45" customFormat="1" ht="12.75" hidden="1">
      <c r="C1435" s="114"/>
      <c r="O1435" s="115"/>
      <c r="P1435" s="113"/>
      <c r="Q1435" s="113"/>
      <c r="R1435" s="113"/>
      <c r="S1435" s="113"/>
      <c r="T1435" s="113"/>
      <c r="V1435"/>
      <c r="W1435"/>
      <c r="Y1435"/>
      <c r="Z1435"/>
      <c r="AA1435"/>
      <c r="AB1435"/>
      <c r="AC1435"/>
      <c r="AD1435"/>
      <c r="AE1435"/>
      <c r="AF1435"/>
    </row>
    <row r="1436" spans="3:32" s="45" customFormat="1" ht="12.75" hidden="1">
      <c r="C1436" s="114"/>
      <c r="O1436" s="115"/>
      <c r="P1436" s="113"/>
      <c r="Q1436" s="113"/>
      <c r="R1436" s="113"/>
      <c r="S1436" s="113"/>
      <c r="T1436" s="113"/>
      <c r="V1436"/>
      <c r="W1436"/>
      <c r="Y1436"/>
      <c r="Z1436"/>
      <c r="AA1436"/>
      <c r="AB1436"/>
      <c r="AC1436"/>
      <c r="AD1436"/>
      <c r="AE1436"/>
      <c r="AF1436"/>
    </row>
    <row r="1437" spans="3:32" s="45" customFormat="1" ht="12.75" hidden="1">
      <c r="C1437" s="114"/>
      <c r="O1437" s="115"/>
      <c r="P1437" s="113"/>
      <c r="Q1437" s="113"/>
      <c r="R1437" s="113"/>
      <c r="S1437" s="113"/>
      <c r="T1437" s="113"/>
      <c r="V1437"/>
      <c r="W1437"/>
      <c r="Y1437"/>
      <c r="Z1437"/>
      <c r="AA1437"/>
      <c r="AB1437"/>
      <c r="AC1437"/>
      <c r="AD1437"/>
      <c r="AE1437"/>
      <c r="AF1437"/>
    </row>
    <row r="1438" spans="3:32" s="45" customFormat="1" ht="12.75" hidden="1">
      <c r="C1438" s="114"/>
      <c r="O1438" s="115"/>
      <c r="P1438" s="113"/>
      <c r="Q1438" s="113"/>
      <c r="R1438" s="113"/>
      <c r="S1438" s="113"/>
      <c r="T1438" s="113"/>
      <c r="V1438"/>
      <c r="W1438"/>
      <c r="Y1438"/>
      <c r="Z1438"/>
      <c r="AA1438"/>
      <c r="AB1438"/>
      <c r="AC1438"/>
      <c r="AD1438"/>
      <c r="AE1438"/>
      <c r="AF1438"/>
    </row>
    <row r="1439" spans="3:32" s="45" customFormat="1" ht="12.75" hidden="1">
      <c r="C1439" s="114"/>
      <c r="O1439" s="115"/>
      <c r="P1439" s="113"/>
      <c r="Q1439" s="113"/>
      <c r="R1439" s="113"/>
      <c r="S1439" s="113"/>
      <c r="T1439" s="113"/>
      <c r="V1439"/>
      <c r="W1439"/>
      <c r="Y1439"/>
      <c r="Z1439"/>
      <c r="AA1439"/>
      <c r="AB1439"/>
      <c r="AC1439"/>
      <c r="AD1439"/>
      <c r="AE1439"/>
      <c r="AF1439"/>
    </row>
    <row r="1440" spans="3:32" s="45" customFormat="1" ht="12.75" hidden="1">
      <c r="C1440" s="114"/>
      <c r="O1440" s="115"/>
      <c r="P1440" s="113"/>
      <c r="Q1440" s="113"/>
      <c r="R1440" s="113"/>
      <c r="S1440" s="113"/>
      <c r="T1440" s="113"/>
      <c r="V1440"/>
      <c r="W1440"/>
      <c r="Y1440"/>
      <c r="Z1440"/>
      <c r="AA1440"/>
      <c r="AB1440"/>
      <c r="AC1440"/>
      <c r="AD1440"/>
      <c r="AE1440"/>
      <c r="AF1440"/>
    </row>
    <row r="1441" spans="3:32" s="45" customFormat="1" ht="12.75" hidden="1">
      <c r="C1441" s="114"/>
      <c r="O1441" s="115"/>
      <c r="P1441" s="113"/>
      <c r="Q1441" s="113"/>
      <c r="R1441" s="113"/>
      <c r="S1441" s="113"/>
      <c r="T1441" s="113"/>
      <c r="V1441"/>
      <c r="W1441"/>
      <c r="Y1441"/>
      <c r="Z1441"/>
      <c r="AA1441"/>
      <c r="AB1441"/>
      <c r="AC1441"/>
      <c r="AD1441"/>
      <c r="AE1441"/>
      <c r="AF1441"/>
    </row>
    <row r="1442" spans="3:32" s="45" customFormat="1" ht="12.75" hidden="1">
      <c r="C1442" s="114"/>
      <c r="O1442" s="115"/>
      <c r="P1442" s="113"/>
      <c r="Q1442" s="113"/>
      <c r="R1442" s="113"/>
      <c r="S1442" s="113"/>
      <c r="T1442" s="113"/>
      <c r="V1442"/>
      <c r="W1442"/>
      <c r="Y1442"/>
      <c r="Z1442"/>
      <c r="AA1442"/>
      <c r="AB1442"/>
      <c r="AC1442"/>
      <c r="AD1442"/>
      <c r="AE1442"/>
      <c r="AF1442"/>
    </row>
    <row r="1443" spans="3:32" s="45" customFormat="1" ht="12.75" hidden="1">
      <c r="C1443" s="114"/>
      <c r="O1443" s="115"/>
      <c r="P1443" s="113"/>
      <c r="Q1443" s="113"/>
      <c r="R1443" s="113"/>
      <c r="S1443" s="113"/>
      <c r="T1443" s="113"/>
      <c r="V1443"/>
      <c r="W1443"/>
      <c r="Y1443"/>
      <c r="Z1443"/>
      <c r="AA1443"/>
      <c r="AB1443"/>
      <c r="AC1443"/>
      <c r="AD1443"/>
      <c r="AE1443"/>
      <c r="AF1443"/>
    </row>
    <row r="1444" spans="3:32" s="45" customFormat="1" ht="12.75" hidden="1">
      <c r="C1444" s="114"/>
      <c r="O1444" s="115"/>
      <c r="P1444" s="113"/>
      <c r="Q1444" s="113"/>
      <c r="R1444" s="113"/>
      <c r="S1444" s="113"/>
      <c r="T1444" s="113"/>
      <c r="V1444"/>
      <c r="W1444"/>
      <c r="Y1444"/>
      <c r="Z1444"/>
      <c r="AA1444"/>
      <c r="AB1444"/>
      <c r="AC1444"/>
      <c r="AD1444"/>
      <c r="AE1444"/>
      <c r="AF1444"/>
    </row>
    <row r="1445" spans="3:32" s="45" customFormat="1" ht="12.75" hidden="1">
      <c r="C1445" s="114"/>
      <c r="O1445" s="115"/>
      <c r="P1445" s="113"/>
      <c r="Q1445" s="113"/>
      <c r="R1445" s="113"/>
      <c r="S1445" s="113"/>
      <c r="T1445" s="113"/>
      <c r="V1445"/>
      <c r="W1445"/>
      <c r="Y1445"/>
      <c r="Z1445"/>
      <c r="AA1445"/>
      <c r="AB1445"/>
      <c r="AC1445"/>
      <c r="AD1445"/>
      <c r="AE1445"/>
      <c r="AF1445"/>
    </row>
    <row r="1446" spans="3:32" s="45" customFormat="1" ht="12.75" hidden="1">
      <c r="C1446" s="114"/>
      <c r="O1446" s="115"/>
      <c r="P1446" s="113"/>
      <c r="Q1446" s="113"/>
      <c r="R1446" s="113"/>
      <c r="S1446" s="113"/>
      <c r="T1446" s="113"/>
      <c r="V1446"/>
      <c r="W1446"/>
      <c r="Y1446"/>
      <c r="Z1446"/>
      <c r="AA1446"/>
      <c r="AB1446"/>
      <c r="AC1446"/>
      <c r="AD1446"/>
      <c r="AE1446"/>
      <c r="AF1446"/>
    </row>
    <row r="1447" spans="3:32" s="45" customFormat="1" ht="12.75" hidden="1">
      <c r="C1447" s="114"/>
      <c r="O1447" s="115"/>
      <c r="P1447" s="113"/>
      <c r="Q1447" s="113"/>
      <c r="R1447" s="113"/>
      <c r="S1447" s="113"/>
      <c r="T1447" s="113"/>
      <c r="V1447"/>
      <c r="W1447"/>
      <c r="Y1447"/>
      <c r="Z1447"/>
      <c r="AA1447"/>
      <c r="AB1447"/>
      <c r="AC1447"/>
      <c r="AD1447"/>
      <c r="AE1447"/>
      <c r="AF1447"/>
    </row>
    <row r="1448" spans="3:32" s="45" customFormat="1" ht="12.75" hidden="1">
      <c r="C1448" s="114"/>
      <c r="O1448" s="115"/>
      <c r="P1448" s="113"/>
      <c r="Q1448" s="113"/>
      <c r="R1448" s="113"/>
      <c r="S1448" s="113"/>
      <c r="T1448" s="113"/>
      <c r="V1448"/>
      <c r="W1448"/>
      <c r="Y1448"/>
      <c r="Z1448"/>
      <c r="AA1448"/>
      <c r="AB1448"/>
      <c r="AC1448"/>
      <c r="AD1448"/>
      <c r="AE1448"/>
      <c r="AF1448"/>
    </row>
    <row r="1449" spans="3:32" s="45" customFormat="1" ht="12.75" hidden="1">
      <c r="C1449" s="114"/>
      <c r="O1449" s="115"/>
      <c r="P1449" s="113"/>
      <c r="Q1449" s="113"/>
      <c r="R1449" s="113"/>
      <c r="S1449" s="113"/>
      <c r="T1449" s="113"/>
      <c r="V1449"/>
      <c r="W1449"/>
      <c r="Y1449"/>
      <c r="Z1449"/>
      <c r="AA1449"/>
      <c r="AB1449"/>
      <c r="AC1449"/>
      <c r="AD1449"/>
      <c r="AE1449"/>
      <c r="AF1449"/>
    </row>
    <row r="1450" spans="3:32" s="45" customFormat="1" ht="12.75" hidden="1">
      <c r="C1450" s="114"/>
      <c r="O1450" s="115"/>
      <c r="P1450" s="113"/>
      <c r="Q1450" s="113"/>
      <c r="R1450" s="113"/>
      <c r="S1450" s="113"/>
      <c r="T1450" s="113"/>
      <c r="V1450"/>
      <c r="W1450"/>
      <c r="Y1450"/>
      <c r="Z1450"/>
      <c r="AA1450"/>
      <c r="AB1450"/>
      <c r="AC1450"/>
      <c r="AD1450"/>
      <c r="AE1450"/>
      <c r="AF1450"/>
    </row>
    <row r="1451" spans="3:32" s="45" customFormat="1" ht="12.75" hidden="1">
      <c r="C1451" s="114"/>
      <c r="O1451" s="115"/>
      <c r="P1451" s="113"/>
      <c r="Q1451" s="113"/>
      <c r="R1451" s="113"/>
      <c r="S1451" s="113"/>
      <c r="T1451" s="113"/>
      <c r="V1451"/>
      <c r="W1451"/>
      <c r="Y1451"/>
      <c r="Z1451"/>
      <c r="AA1451"/>
      <c r="AB1451"/>
      <c r="AC1451"/>
      <c r="AD1451"/>
      <c r="AE1451"/>
      <c r="AF1451"/>
    </row>
    <row r="1452" spans="3:32" s="45" customFormat="1" ht="12.75" hidden="1">
      <c r="C1452" s="114"/>
      <c r="O1452" s="115"/>
      <c r="P1452" s="113"/>
      <c r="Q1452" s="113"/>
      <c r="R1452" s="113"/>
      <c r="S1452" s="113"/>
      <c r="T1452" s="113"/>
      <c r="V1452"/>
      <c r="W1452"/>
      <c r="Y1452"/>
      <c r="Z1452"/>
      <c r="AA1452"/>
      <c r="AB1452"/>
      <c r="AC1452"/>
      <c r="AD1452"/>
      <c r="AE1452"/>
      <c r="AF1452"/>
    </row>
    <row r="1453" spans="3:32" s="45" customFormat="1" ht="12.75" hidden="1">
      <c r="C1453" s="114"/>
      <c r="O1453" s="115"/>
      <c r="P1453" s="113"/>
      <c r="Q1453" s="113"/>
      <c r="R1453" s="113"/>
      <c r="S1453" s="113"/>
      <c r="T1453" s="113"/>
      <c r="V1453"/>
      <c r="W1453"/>
      <c r="Y1453"/>
      <c r="Z1453"/>
      <c r="AA1453"/>
      <c r="AB1453"/>
      <c r="AC1453"/>
      <c r="AD1453"/>
      <c r="AE1453"/>
      <c r="AF1453"/>
    </row>
    <row r="1454" spans="3:32" s="45" customFormat="1" ht="12.75" hidden="1">
      <c r="C1454" s="114"/>
      <c r="O1454" s="115"/>
      <c r="P1454" s="113"/>
      <c r="Q1454" s="113"/>
      <c r="R1454" s="113"/>
      <c r="S1454" s="113"/>
      <c r="T1454" s="113"/>
      <c r="V1454"/>
      <c r="W1454"/>
      <c r="Y1454"/>
      <c r="Z1454"/>
      <c r="AA1454"/>
      <c r="AB1454"/>
      <c r="AC1454"/>
      <c r="AD1454"/>
      <c r="AE1454"/>
      <c r="AF1454"/>
    </row>
    <row r="1455" spans="3:32" s="45" customFormat="1" ht="12.75" hidden="1">
      <c r="C1455" s="114"/>
      <c r="O1455" s="115"/>
      <c r="P1455" s="113"/>
      <c r="Q1455" s="113"/>
      <c r="R1455" s="113"/>
      <c r="S1455" s="113"/>
      <c r="T1455" s="113"/>
      <c r="V1455"/>
      <c r="W1455"/>
      <c r="Y1455"/>
      <c r="Z1455"/>
      <c r="AA1455"/>
      <c r="AB1455"/>
      <c r="AC1455"/>
      <c r="AD1455"/>
      <c r="AE1455"/>
      <c r="AF1455"/>
    </row>
    <row r="1456" spans="3:32" s="45" customFormat="1" ht="12.75" hidden="1">
      <c r="C1456" s="114"/>
      <c r="O1456" s="115"/>
      <c r="P1456" s="113"/>
      <c r="Q1456" s="113"/>
      <c r="R1456" s="113"/>
      <c r="S1456" s="113"/>
      <c r="T1456" s="113"/>
      <c r="V1456"/>
      <c r="W1456"/>
      <c r="Y1456"/>
      <c r="Z1456"/>
      <c r="AA1456"/>
      <c r="AB1456"/>
      <c r="AC1456"/>
      <c r="AD1456"/>
      <c r="AE1456"/>
      <c r="AF1456"/>
    </row>
    <row r="1457" spans="3:32" s="45" customFormat="1" ht="12.75" hidden="1">
      <c r="C1457" s="114"/>
      <c r="O1457" s="115"/>
      <c r="P1457" s="113"/>
      <c r="Q1457" s="113"/>
      <c r="R1457" s="113"/>
      <c r="S1457" s="113"/>
      <c r="T1457" s="113"/>
      <c r="V1457"/>
      <c r="W1457"/>
      <c r="Y1457"/>
      <c r="Z1457"/>
      <c r="AA1457"/>
      <c r="AB1457"/>
      <c r="AC1457"/>
      <c r="AD1457"/>
      <c r="AE1457"/>
      <c r="AF1457"/>
    </row>
    <row r="1458" spans="3:32" s="45" customFormat="1" ht="12.75" hidden="1">
      <c r="C1458" s="114"/>
      <c r="O1458" s="115"/>
      <c r="P1458" s="113"/>
      <c r="Q1458" s="113"/>
      <c r="R1458" s="113"/>
      <c r="S1458" s="113"/>
      <c r="T1458" s="113"/>
      <c r="V1458"/>
      <c r="W1458"/>
      <c r="Y1458"/>
      <c r="Z1458"/>
      <c r="AA1458"/>
      <c r="AB1458"/>
      <c r="AC1458"/>
      <c r="AD1458"/>
      <c r="AE1458"/>
      <c r="AF1458"/>
    </row>
    <row r="1459" spans="3:32" s="45" customFormat="1" ht="12.75" hidden="1">
      <c r="C1459" s="114"/>
      <c r="O1459" s="115"/>
      <c r="P1459" s="113"/>
      <c r="Q1459" s="113"/>
      <c r="R1459" s="113"/>
      <c r="S1459" s="113"/>
      <c r="T1459" s="113"/>
      <c r="V1459"/>
      <c r="W1459"/>
      <c r="Y1459"/>
      <c r="Z1459"/>
      <c r="AA1459"/>
      <c r="AB1459"/>
      <c r="AC1459"/>
      <c r="AD1459"/>
      <c r="AE1459"/>
      <c r="AF1459"/>
    </row>
    <row r="1460" spans="3:32" s="45" customFormat="1" ht="12.75" hidden="1">
      <c r="C1460" s="114"/>
      <c r="O1460" s="115"/>
      <c r="P1460" s="113"/>
      <c r="Q1460" s="113"/>
      <c r="R1460" s="113"/>
      <c r="S1460" s="113"/>
      <c r="T1460" s="113"/>
      <c r="V1460"/>
      <c r="W1460"/>
      <c r="Y1460"/>
      <c r="Z1460"/>
      <c r="AA1460"/>
      <c r="AB1460"/>
      <c r="AC1460"/>
      <c r="AD1460"/>
      <c r="AE1460"/>
      <c r="AF1460"/>
    </row>
    <row r="1461" spans="3:32" s="45" customFormat="1" ht="12.75" hidden="1">
      <c r="C1461" s="114"/>
      <c r="O1461" s="115"/>
      <c r="P1461" s="113"/>
      <c r="Q1461" s="113"/>
      <c r="R1461" s="113"/>
      <c r="S1461" s="113"/>
      <c r="T1461" s="113"/>
      <c r="V1461"/>
      <c r="W1461"/>
      <c r="Y1461"/>
      <c r="Z1461"/>
      <c r="AA1461"/>
      <c r="AB1461"/>
      <c r="AC1461"/>
      <c r="AD1461"/>
      <c r="AE1461"/>
      <c r="AF1461"/>
    </row>
    <row r="1462" spans="3:32" s="45" customFormat="1" ht="12.75" hidden="1">
      <c r="C1462" s="114"/>
      <c r="O1462" s="115"/>
      <c r="P1462" s="113"/>
      <c r="Q1462" s="113"/>
      <c r="R1462" s="113"/>
      <c r="S1462" s="113"/>
      <c r="T1462" s="113"/>
      <c r="V1462"/>
      <c r="W1462"/>
      <c r="Y1462"/>
      <c r="Z1462"/>
      <c r="AA1462"/>
      <c r="AB1462"/>
      <c r="AC1462"/>
      <c r="AD1462"/>
      <c r="AE1462"/>
      <c r="AF1462"/>
    </row>
    <row r="1463" spans="3:32" s="45" customFormat="1" ht="12.75" hidden="1">
      <c r="C1463" s="114"/>
      <c r="O1463" s="115"/>
      <c r="P1463" s="113"/>
      <c r="Q1463" s="113"/>
      <c r="R1463" s="113"/>
      <c r="S1463" s="113"/>
      <c r="T1463" s="113"/>
      <c r="V1463"/>
      <c r="W1463"/>
      <c r="Y1463"/>
      <c r="Z1463"/>
      <c r="AA1463"/>
      <c r="AB1463"/>
      <c r="AC1463"/>
      <c r="AD1463"/>
      <c r="AE1463"/>
      <c r="AF1463"/>
    </row>
    <row r="1464" spans="3:32" s="45" customFormat="1" ht="12.75" hidden="1">
      <c r="C1464" s="114"/>
      <c r="O1464" s="115"/>
      <c r="P1464" s="113"/>
      <c r="Q1464" s="113"/>
      <c r="R1464" s="113"/>
      <c r="S1464" s="113"/>
      <c r="T1464" s="113"/>
      <c r="V1464"/>
      <c r="W1464"/>
      <c r="Y1464"/>
      <c r="Z1464"/>
      <c r="AA1464"/>
      <c r="AB1464"/>
      <c r="AC1464"/>
      <c r="AD1464"/>
      <c r="AE1464"/>
      <c r="AF1464"/>
    </row>
    <row r="1465" spans="3:32" s="45" customFormat="1" ht="12.75" hidden="1">
      <c r="C1465" s="114"/>
      <c r="O1465" s="115"/>
      <c r="P1465" s="113"/>
      <c r="Q1465" s="113"/>
      <c r="R1465" s="113"/>
      <c r="S1465" s="113"/>
      <c r="T1465" s="113"/>
      <c r="V1465"/>
      <c r="W1465"/>
      <c r="Y1465"/>
      <c r="Z1465"/>
      <c r="AA1465"/>
      <c r="AB1465"/>
      <c r="AC1465"/>
      <c r="AD1465"/>
      <c r="AE1465"/>
      <c r="AF1465"/>
    </row>
    <row r="1466" spans="3:32" s="45" customFormat="1" ht="12.75" hidden="1">
      <c r="C1466" s="114"/>
      <c r="O1466" s="115"/>
      <c r="P1466" s="113"/>
      <c r="Q1466" s="113"/>
      <c r="R1466" s="113"/>
      <c r="S1466" s="113"/>
      <c r="T1466" s="113"/>
      <c r="V1466"/>
      <c r="W1466"/>
      <c r="Y1466"/>
      <c r="Z1466"/>
      <c r="AA1466"/>
      <c r="AB1466"/>
      <c r="AC1466"/>
      <c r="AD1466"/>
      <c r="AE1466"/>
      <c r="AF1466"/>
    </row>
    <row r="1467" spans="3:32" s="45" customFormat="1" ht="12.75" hidden="1">
      <c r="C1467" s="114"/>
      <c r="O1467" s="115"/>
      <c r="P1467" s="113"/>
      <c r="Q1467" s="113"/>
      <c r="R1467" s="113"/>
      <c r="S1467" s="113"/>
      <c r="T1467" s="113"/>
      <c r="V1467"/>
      <c r="W1467"/>
      <c r="Y1467"/>
      <c r="Z1467"/>
      <c r="AA1467"/>
      <c r="AB1467"/>
      <c r="AC1467"/>
      <c r="AD1467"/>
      <c r="AE1467"/>
      <c r="AF1467"/>
    </row>
    <row r="1468" spans="3:32" s="45" customFormat="1" ht="12.75" hidden="1">
      <c r="C1468" s="114"/>
      <c r="O1468" s="115"/>
      <c r="P1468" s="113"/>
      <c r="Q1468" s="113"/>
      <c r="R1468" s="113"/>
      <c r="S1468" s="113"/>
      <c r="T1468" s="113"/>
      <c r="V1468"/>
      <c r="W1468"/>
      <c r="Y1468"/>
      <c r="Z1468"/>
      <c r="AA1468"/>
      <c r="AB1468"/>
      <c r="AC1468"/>
      <c r="AD1468"/>
      <c r="AE1468"/>
      <c r="AF1468"/>
    </row>
    <row r="1469" spans="3:32" s="45" customFormat="1" ht="12.75" hidden="1">
      <c r="C1469" s="114"/>
      <c r="O1469" s="115"/>
      <c r="P1469" s="113"/>
      <c r="Q1469" s="113"/>
      <c r="R1469" s="113"/>
      <c r="S1469" s="113"/>
      <c r="T1469" s="113"/>
      <c r="V1469"/>
      <c r="W1469"/>
      <c r="Y1469"/>
      <c r="Z1469"/>
      <c r="AA1469"/>
      <c r="AB1469"/>
      <c r="AC1469"/>
      <c r="AD1469"/>
      <c r="AE1469"/>
      <c r="AF1469"/>
    </row>
    <row r="1470" spans="3:32" s="45" customFormat="1" ht="12.75" hidden="1">
      <c r="C1470" s="114"/>
      <c r="O1470" s="115"/>
      <c r="P1470" s="113"/>
      <c r="Q1470" s="113"/>
      <c r="R1470" s="113"/>
      <c r="S1470" s="113"/>
      <c r="T1470" s="113"/>
      <c r="V1470"/>
      <c r="W1470"/>
      <c r="Y1470"/>
      <c r="Z1470"/>
      <c r="AA1470"/>
      <c r="AB1470"/>
      <c r="AC1470"/>
      <c r="AD1470"/>
      <c r="AE1470"/>
      <c r="AF1470"/>
    </row>
    <row r="1471" spans="3:32" s="45" customFormat="1" ht="12.75" hidden="1">
      <c r="C1471" s="114"/>
      <c r="O1471" s="115"/>
      <c r="P1471" s="113"/>
      <c r="Q1471" s="113"/>
      <c r="R1471" s="113"/>
      <c r="S1471" s="113"/>
      <c r="T1471" s="113"/>
      <c r="V1471"/>
      <c r="W1471"/>
      <c r="Y1471"/>
      <c r="Z1471"/>
      <c r="AA1471"/>
      <c r="AB1471"/>
      <c r="AC1471"/>
      <c r="AD1471"/>
      <c r="AE1471"/>
      <c r="AF1471"/>
    </row>
    <row r="1472" spans="3:32" s="45" customFormat="1" ht="12.75" hidden="1">
      <c r="C1472" s="114"/>
      <c r="O1472" s="115"/>
      <c r="P1472" s="113"/>
      <c r="Q1472" s="113"/>
      <c r="R1472" s="113"/>
      <c r="S1472" s="113"/>
      <c r="T1472" s="113"/>
      <c r="V1472"/>
      <c r="W1472"/>
      <c r="Y1472"/>
      <c r="Z1472"/>
      <c r="AA1472"/>
      <c r="AB1472"/>
      <c r="AC1472"/>
      <c r="AD1472"/>
      <c r="AE1472"/>
      <c r="AF1472"/>
    </row>
    <row r="1473" spans="3:32" s="45" customFormat="1" ht="12.75" hidden="1">
      <c r="C1473" s="114"/>
      <c r="O1473" s="115"/>
      <c r="P1473" s="113"/>
      <c r="Q1473" s="113"/>
      <c r="R1473" s="113"/>
      <c r="S1473" s="113"/>
      <c r="T1473" s="113"/>
      <c r="V1473"/>
      <c r="W1473"/>
      <c r="Y1473"/>
      <c r="Z1473"/>
      <c r="AA1473"/>
      <c r="AB1473"/>
      <c r="AC1473"/>
      <c r="AD1473"/>
      <c r="AE1473"/>
      <c r="AF1473"/>
    </row>
    <row r="1474" spans="3:32" s="45" customFormat="1" ht="12.75" hidden="1">
      <c r="C1474" s="114"/>
      <c r="O1474" s="115"/>
      <c r="P1474" s="113"/>
      <c r="Q1474" s="113"/>
      <c r="R1474" s="113"/>
      <c r="S1474" s="113"/>
      <c r="T1474" s="113"/>
      <c r="V1474"/>
      <c r="W1474"/>
      <c r="Y1474"/>
      <c r="Z1474"/>
      <c r="AA1474"/>
      <c r="AB1474"/>
      <c r="AC1474"/>
      <c r="AD1474"/>
      <c r="AE1474"/>
      <c r="AF1474"/>
    </row>
    <row r="1475" spans="3:32" s="45" customFormat="1" ht="12.75" hidden="1">
      <c r="C1475" s="114"/>
      <c r="O1475" s="115"/>
      <c r="P1475" s="113"/>
      <c r="Q1475" s="113"/>
      <c r="R1475" s="113"/>
      <c r="S1475" s="113"/>
      <c r="T1475" s="113"/>
      <c r="V1475"/>
      <c r="W1475"/>
      <c r="Y1475"/>
      <c r="Z1475"/>
      <c r="AA1475"/>
      <c r="AB1475"/>
      <c r="AC1475"/>
      <c r="AD1475"/>
      <c r="AE1475"/>
      <c r="AF1475"/>
    </row>
    <row r="1476" spans="3:32" s="45" customFormat="1" ht="12.75" hidden="1">
      <c r="C1476" s="114"/>
      <c r="O1476" s="115"/>
      <c r="P1476" s="113"/>
      <c r="Q1476" s="113"/>
      <c r="R1476" s="113"/>
      <c r="S1476" s="113"/>
      <c r="T1476" s="113"/>
      <c r="V1476"/>
      <c r="W1476"/>
      <c r="Y1476"/>
      <c r="Z1476"/>
      <c r="AA1476"/>
      <c r="AB1476"/>
      <c r="AC1476"/>
      <c r="AD1476"/>
      <c r="AE1476"/>
      <c r="AF1476"/>
    </row>
    <row r="1477" spans="3:32" s="45" customFormat="1" ht="12.75" hidden="1">
      <c r="C1477" s="114"/>
      <c r="O1477" s="115"/>
      <c r="P1477" s="113"/>
      <c r="Q1477" s="113"/>
      <c r="R1477" s="113"/>
      <c r="S1477" s="113"/>
      <c r="T1477" s="113"/>
      <c r="V1477"/>
      <c r="W1477"/>
      <c r="Y1477"/>
      <c r="Z1477"/>
      <c r="AA1477"/>
      <c r="AB1477"/>
      <c r="AC1477"/>
      <c r="AD1477"/>
      <c r="AE1477"/>
      <c r="AF1477"/>
    </row>
    <row r="1478" spans="3:32" s="45" customFormat="1" ht="12.75" hidden="1">
      <c r="C1478" s="114"/>
      <c r="O1478" s="115"/>
      <c r="P1478" s="113"/>
      <c r="Q1478" s="113"/>
      <c r="R1478" s="113"/>
      <c r="S1478" s="113"/>
      <c r="T1478" s="113"/>
      <c r="V1478"/>
      <c r="W1478"/>
      <c r="Y1478"/>
      <c r="Z1478"/>
      <c r="AA1478"/>
      <c r="AB1478"/>
      <c r="AC1478"/>
      <c r="AD1478"/>
      <c r="AE1478"/>
      <c r="AF1478"/>
    </row>
    <row r="1479" spans="3:32" s="45" customFormat="1" ht="12.75" hidden="1">
      <c r="C1479" s="114"/>
      <c r="O1479" s="115"/>
      <c r="P1479" s="113"/>
      <c r="Q1479" s="113"/>
      <c r="R1479" s="113"/>
      <c r="S1479" s="113"/>
      <c r="T1479" s="113"/>
      <c r="V1479"/>
      <c r="W1479"/>
      <c r="Y1479"/>
      <c r="Z1479"/>
      <c r="AA1479"/>
      <c r="AB1479"/>
      <c r="AC1479"/>
      <c r="AD1479"/>
      <c r="AE1479"/>
      <c r="AF1479"/>
    </row>
    <row r="1480" spans="3:32" s="45" customFormat="1" ht="12.75" hidden="1">
      <c r="C1480" s="114"/>
      <c r="O1480" s="115"/>
      <c r="P1480" s="113"/>
      <c r="Q1480" s="113"/>
      <c r="R1480" s="113"/>
      <c r="S1480" s="113"/>
      <c r="T1480" s="113"/>
      <c r="V1480"/>
      <c r="W1480"/>
      <c r="Y1480"/>
      <c r="Z1480"/>
      <c r="AA1480"/>
      <c r="AB1480"/>
      <c r="AC1480"/>
      <c r="AD1480"/>
      <c r="AE1480"/>
      <c r="AF1480"/>
    </row>
    <row r="1481" spans="3:32" s="45" customFormat="1" ht="12.75" hidden="1">
      <c r="C1481" s="114"/>
      <c r="O1481" s="115"/>
      <c r="P1481" s="113"/>
      <c r="Q1481" s="113"/>
      <c r="R1481" s="113"/>
      <c r="S1481" s="113"/>
      <c r="T1481" s="113"/>
      <c r="V1481"/>
      <c r="W1481"/>
      <c r="Y1481"/>
      <c r="Z1481"/>
      <c r="AA1481"/>
      <c r="AB1481"/>
      <c r="AC1481"/>
      <c r="AD1481"/>
      <c r="AE1481"/>
      <c r="AF1481"/>
    </row>
    <row r="1482" spans="3:32" s="45" customFormat="1" ht="12.75" hidden="1">
      <c r="C1482" s="114"/>
      <c r="O1482" s="115"/>
      <c r="P1482" s="113"/>
      <c r="Q1482" s="113"/>
      <c r="R1482" s="113"/>
      <c r="S1482" s="113"/>
      <c r="T1482" s="113"/>
      <c r="V1482"/>
      <c r="W1482"/>
      <c r="Y1482"/>
      <c r="Z1482"/>
      <c r="AA1482"/>
      <c r="AB1482"/>
      <c r="AC1482"/>
      <c r="AD1482"/>
      <c r="AE1482"/>
      <c r="AF1482"/>
    </row>
    <row r="1483" spans="3:32" s="45" customFormat="1" ht="12.75" hidden="1">
      <c r="C1483" s="114"/>
      <c r="O1483" s="115"/>
      <c r="P1483" s="113"/>
      <c r="Q1483" s="113"/>
      <c r="R1483" s="113"/>
      <c r="S1483" s="113"/>
      <c r="T1483" s="113"/>
      <c r="V1483"/>
      <c r="W1483"/>
      <c r="Y1483"/>
      <c r="Z1483"/>
      <c r="AA1483"/>
      <c r="AB1483"/>
      <c r="AC1483"/>
      <c r="AD1483"/>
      <c r="AE1483"/>
      <c r="AF1483"/>
    </row>
    <row r="1484" spans="3:32" s="45" customFormat="1" ht="12.75" hidden="1">
      <c r="C1484" s="114"/>
      <c r="O1484" s="115"/>
      <c r="P1484" s="113"/>
      <c r="Q1484" s="113"/>
      <c r="R1484" s="113"/>
      <c r="S1484" s="113"/>
      <c r="T1484" s="113"/>
      <c r="V1484"/>
      <c r="W1484"/>
      <c r="Y1484"/>
      <c r="Z1484"/>
      <c r="AA1484"/>
      <c r="AB1484"/>
      <c r="AC1484"/>
      <c r="AD1484"/>
      <c r="AE1484"/>
      <c r="AF1484"/>
    </row>
    <row r="1485" spans="3:32" s="45" customFormat="1" ht="12.75" hidden="1">
      <c r="C1485" s="114"/>
      <c r="O1485" s="115"/>
      <c r="P1485" s="113"/>
      <c r="Q1485" s="113"/>
      <c r="R1485" s="113"/>
      <c r="S1485" s="113"/>
      <c r="T1485" s="113"/>
      <c r="V1485"/>
      <c r="W1485"/>
      <c r="Y1485"/>
      <c r="Z1485"/>
      <c r="AA1485"/>
      <c r="AB1485"/>
      <c r="AC1485"/>
      <c r="AD1485"/>
      <c r="AE1485"/>
      <c r="AF1485"/>
    </row>
    <row r="1486" spans="3:32" s="45" customFormat="1" ht="12.75" hidden="1">
      <c r="C1486" s="114"/>
      <c r="O1486" s="115"/>
      <c r="P1486" s="113"/>
      <c r="Q1486" s="113"/>
      <c r="R1486" s="113"/>
      <c r="S1486" s="113"/>
      <c r="T1486" s="113"/>
      <c r="V1486"/>
      <c r="W1486"/>
      <c r="Y1486"/>
      <c r="Z1486"/>
      <c r="AA1486"/>
      <c r="AB1486"/>
      <c r="AC1486"/>
      <c r="AD1486"/>
      <c r="AE1486"/>
      <c r="AF1486"/>
    </row>
    <row r="1487" spans="3:32" s="45" customFormat="1" ht="12.75" hidden="1">
      <c r="C1487" s="114"/>
      <c r="O1487" s="115"/>
      <c r="P1487" s="113"/>
      <c r="Q1487" s="113"/>
      <c r="R1487" s="113"/>
      <c r="S1487" s="113"/>
      <c r="T1487" s="113"/>
      <c r="V1487"/>
      <c r="W1487"/>
      <c r="Y1487"/>
      <c r="Z1487"/>
      <c r="AA1487"/>
      <c r="AB1487"/>
      <c r="AC1487"/>
      <c r="AD1487"/>
      <c r="AE1487"/>
      <c r="AF1487"/>
    </row>
    <row r="1488" spans="3:32" s="45" customFormat="1" ht="12.75" hidden="1">
      <c r="C1488" s="114"/>
      <c r="O1488" s="115"/>
      <c r="P1488" s="113"/>
      <c r="Q1488" s="113"/>
      <c r="R1488" s="113"/>
      <c r="S1488" s="113"/>
      <c r="T1488" s="113"/>
      <c r="V1488"/>
      <c r="W1488"/>
      <c r="Y1488"/>
      <c r="Z1488"/>
      <c r="AA1488"/>
      <c r="AB1488"/>
      <c r="AC1488"/>
      <c r="AD1488"/>
      <c r="AE1488"/>
      <c r="AF1488"/>
    </row>
    <row r="1489" spans="3:32" s="45" customFormat="1" ht="12.75" hidden="1">
      <c r="C1489" s="114"/>
      <c r="O1489" s="115"/>
      <c r="P1489" s="113"/>
      <c r="Q1489" s="113"/>
      <c r="R1489" s="113"/>
      <c r="S1489" s="113"/>
      <c r="T1489" s="113"/>
      <c r="V1489"/>
      <c r="W1489"/>
      <c r="Y1489"/>
      <c r="Z1489"/>
      <c r="AA1489"/>
      <c r="AB1489"/>
      <c r="AC1489"/>
      <c r="AD1489"/>
      <c r="AE1489"/>
      <c r="AF1489"/>
    </row>
    <row r="1490" spans="3:32" s="45" customFormat="1" ht="12.75" hidden="1">
      <c r="C1490" s="114"/>
      <c r="O1490" s="115"/>
      <c r="P1490" s="113"/>
      <c r="Q1490" s="113"/>
      <c r="R1490" s="113"/>
      <c r="S1490" s="113"/>
      <c r="T1490" s="113"/>
      <c r="V1490"/>
      <c r="W1490"/>
      <c r="Y1490"/>
      <c r="Z1490"/>
      <c r="AA1490"/>
      <c r="AB1490"/>
      <c r="AC1490"/>
      <c r="AD1490"/>
      <c r="AE1490"/>
      <c r="AF1490"/>
    </row>
    <row r="1491" spans="3:32" s="45" customFormat="1" ht="12.75" hidden="1">
      <c r="C1491" s="114"/>
      <c r="O1491" s="115"/>
      <c r="P1491" s="113"/>
      <c r="Q1491" s="113"/>
      <c r="R1491" s="113"/>
      <c r="S1491" s="113"/>
      <c r="T1491" s="113"/>
      <c r="V1491"/>
      <c r="W1491"/>
      <c r="Y1491"/>
      <c r="Z1491"/>
      <c r="AA1491"/>
      <c r="AB1491"/>
      <c r="AC1491"/>
      <c r="AD1491"/>
      <c r="AE1491"/>
      <c r="AF1491"/>
    </row>
    <row r="1492" spans="3:32" s="45" customFormat="1" ht="12.75" hidden="1">
      <c r="C1492" s="114"/>
      <c r="O1492" s="115"/>
      <c r="P1492" s="113"/>
      <c r="Q1492" s="113"/>
      <c r="R1492" s="113"/>
      <c r="S1492" s="113"/>
      <c r="T1492" s="113"/>
      <c r="V1492"/>
      <c r="W1492"/>
      <c r="Y1492"/>
      <c r="Z1492"/>
      <c r="AA1492"/>
      <c r="AB1492"/>
      <c r="AC1492"/>
      <c r="AD1492"/>
      <c r="AE1492"/>
      <c r="AF1492"/>
    </row>
    <row r="1493" spans="3:32" s="45" customFormat="1" ht="12.75" hidden="1">
      <c r="C1493" s="114"/>
      <c r="O1493" s="115"/>
      <c r="P1493" s="113"/>
      <c r="Q1493" s="113"/>
      <c r="R1493" s="113"/>
      <c r="S1493" s="113"/>
      <c r="T1493" s="113"/>
      <c r="V1493"/>
      <c r="W1493"/>
      <c r="Y1493"/>
      <c r="Z1493"/>
      <c r="AA1493"/>
      <c r="AB1493"/>
      <c r="AC1493"/>
      <c r="AD1493"/>
      <c r="AE1493"/>
      <c r="AF1493"/>
    </row>
    <row r="1494" spans="3:32" s="45" customFormat="1" ht="12.75" hidden="1">
      <c r="C1494" s="114"/>
      <c r="O1494" s="115"/>
      <c r="P1494" s="113"/>
      <c r="Q1494" s="113"/>
      <c r="R1494" s="113"/>
      <c r="S1494" s="113"/>
      <c r="T1494" s="113"/>
      <c r="V1494"/>
      <c r="W1494"/>
      <c r="Y1494"/>
      <c r="Z1494"/>
      <c r="AA1494"/>
      <c r="AB1494"/>
      <c r="AC1494"/>
      <c r="AD1494"/>
      <c r="AE1494"/>
      <c r="AF1494"/>
    </row>
    <row r="1495" spans="3:32" s="45" customFormat="1" ht="12.75" hidden="1">
      <c r="C1495" s="114"/>
      <c r="O1495" s="115"/>
      <c r="P1495" s="113"/>
      <c r="Q1495" s="113"/>
      <c r="R1495" s="113"/>
      <c r="S1495" s="113"/>
      <c r="T1495" s="113"/>
      <c r="V1495"/>
      <c r="W1495"/>
      <c r="Y1495"/>
      <c r="Z1495"/>
      <c r="AA1495"/>
      <c r="AB1495"/>
      <c r="AC1495"/>
      <c r="AD1495"/>
      <c r="AE1495"/>
      <c r="AF1495"/>
    </row>
    <row r="1496" spans="3:32" s="45" customFormat="1" ht="12.75" hidden="1">
      <c r="C1496" s="114"/>
      <c r="O1496" s="115"/>
      <c r="P1496" s="113"/>
      <c r="Q1496" s="113"/>
      <c r="R1496" s="113"/>
      <c r="S1496" s="113"/>
      <c r="T1496" s="113"/>
      <c r="V1496"/>
      <c r="W1496"/>
      <c r="Y1496"/>
      <c r="Z1496"/>
      <c r="AA1496"/>
      <c r="AB1496"/>
      <c r="AC1496"/>
      <c r="AD1496"/>
      <c r="AE1496"/>
      <c r="AF1496"/>
    </row>
    <row r="1497" spans="3:32" s="45" customFormat="1" ht="12.75" hidden="1">
      <c r="C1497" s="114"/>
      <c r="O1497" s="115"/>
      <c r="P1497" s="113"/>
      <c r="Q1497" s="113"/>
      <c r="R1497" s="113"/>
      <c r="S1497" s="113"/>
      <c r="T1497" s="113"/>
      <c r="V1497"/>
      <c r="W1497"/>
      <c r="Y1497"/>
      <c r="Z1497"/>
      <c r="AA1497"/>
      <c r="AB1497"/>
      <c r="AC1497"/>
      <c r="AD1497"/>
      <c r="AE1497"/>
      <c r="AF1497"/>
    </row>
    <row r="1498" spans="3:32" s="45" customFormat="1" ht="12.75" hidden="1">
      <c r="C1498" s="114"/>
      <c r="O1498" s="115"/>
      <c r="P1498" s="113"/>
      <c r="Q1498" s="113"/>
      <c r="R1498" s="113"/>
      <c r="S1498" s="113"/>
      <c r="T1498" s="113"/>
      <c r="V1498"/>
      <c r="W1498"/>
      <c r="Y1498"/>
      <c r="Z1498"/>
      <c r="AA1498"/>
      <c r="AB1498"/>
      <c r="AC1498"/>
      <c r="AD1498"/>
      <c r="AE1498"/>
      <c r="AF1498"/>
    </row>
    <row r="1499" spans="3:32" s="45" customFormat="1" ht="12.75" hidden="1">
      <c r="C1499" s="114"/>
      <c r="O1499" s="115"/>
      <c r="P1499" s="113"/>
      <c r="Q1499" s="113"/>
      <c r="R1499" s="113"/>
      <c r="S1499" s="113"/>
      <c r="T1499" s="113"/>
      <c r="V1499"/>
      <c r="W1499"/>
      <c r="Y1499"/>
      <c r="Z1499"/>
      <c r="AA1499"/>
      <c r="AB1499"/>
      <c r="AC1499"/>
      <c r="AD1499"/>
      <c r="AE1499"/>
      <c r="AF1499"/>
    </row>
    <row r="1500" spans="3:32" s="45" customFormat="1" ht="12.75" hidden="1">
      <c r="C1500" s="114"/>
      <c r="O1500" s="115"/>
      <c r="P1500" s="113"/>
      <c r="Q1500" s="113"/>
      <c r="R1500" s="113"/>
      <c r="S1500" s="113"/>
      <c r="T1500" s="113"/>
      <c r="V1500"/>
      <c r="W1500"/>
      <c r="Y1500"/>
      <c r="Z1500"/>
      <c r="AA1500"/>
      <c r="AB1500"/>
      <c r="AC1500"/>
      <c r="AD1500"/>
      <c r="AE1500"/>
      <c r="AF1500"/>
    </row>
    <row r="1501" spans="3:32" s="45" customFormat="1" ht="12.75" hidden="1">
      <c r="C1501" s="114"/>
      <c r="O1501" s="115"/>
      <c r="P1501" s="113"/>
      <c r="Q1501" s="113"/>
      <c r="R1501" s="113"/>
      <c r="S1501" s="113"/>
      <c r="T1501" s="113"/>
      <c r="V1501"/>
      <c r="W1501"/>
      <c r="Y1501"/>
      <c r="Z1501"/>
      <c r="AA1501"/>
      <c r="AB1501"/>
      <c r="AC1501"/>
      <c r="AD1501"/>
      <c r="AE1501"/>
      <c r="AF1501"/>
    </row>
    <row r="1502" spans="3:32" s="45" customFormat="1" ht="12.75" hidden="1">
      <c r="C1502" s="114"/>
      <c r="O1502" s="115"/>
      <c r="P1502" s="113"/>
      <c r="Q1502" s="113"/>
      <c r="R1502" s="113"/>
      <c r="S1502" s="113"/>
      <c r="T1502" s="113"/>
      <c r="V1502"/>
      <c r="W1502"/>
      <c r="Y1502"/>
      <c r="Z1502"/>
      <c r="AA1502"/>
      <c r="AB1502"/>
      <c r="AC1502"/>
      <c r="AD1502"/>
      <c r="AE1502"/>
      <c r="AF1502"/>
    </row>
    <row r="1503" spans="3:32" s="45" customFormat="1" ht="12.75" hidden="1">
      <c r="C1503" s="114"/>
      <c r="O1503" s="115"/>
      <c r="P1503" s="113"/>
      <c r="Q1503" s="113"/>
      <c r="R1503" s="113"/>
      <c r="S1503" s="113"/>
      <c r="T1503" s="113"/>
      <c r="V1503"/>
      <c r="W1503"/>
      <c r="Y1503"/>
      <c r="Z1503"/>
      <c r="AA1503"/>
      <c r="AB1503"/>
      <c r="AC1503"/>
      <c r="AD1503"/>
      <c r="AE1503"/>
      <c r="AF1503"/>
    </row>
    <row r="1504" spans="3:32" s="45" customFormat="1" ht="12.75" hidden="1">
      <c r="C1504" s="114"/>
      <c r="O1504" s="115"/>
      <c r="P1504" s="113"/>
      <c r="Q1504" s="113"/>
      <c r="R1504" s="113"/>
      <c r="S1504" s="113"/>
      <c r="T1504" s="113"/>
      <c r="V1504"/>
      <c r="W1504"/>
      <c r="Y1504"/>
      <c r="Z1504"/>
      <c r="AA1504"/>
      <c r="AB1504"/>
      <c r="AC1504"/>
      <c r="AD1504"/>
      <c r="AE1504"/>
      <c r="AF1504"/>
    </row>
    <row r="1505" spans="3:32" s="45" customFormat="1" ht="12.75" hidden="1">
      <c r="C1505" s="114"/>
      <c r="O1505" s="115"/>
      <c r="P1505" s="113"/>
      <c r="Q1505" s="113"/>
      <c r="R1505" s="113"/>
      <c r="S1505" s="113"/>
      <c r="T1505" s="113"/>
      <c r="V1505"/>
      <c r="W1505"/>
      <c r="Y1505"/>
      <c r="Z1505"/>
      <c r="AA1505"/>
      <c r="AB1505"/>
      <c r="AC1505"/>
      <c r="AD1505"/>
      <c r="AE1505"/>
      <c r="AF1505"/>
    </row>
    <row r="1506" spans="3:32" s="45" customFormat="1" ht="12.75" hidden="1">
      <c r="C1506" s="114"/>
      <c r="O1506" s="115"/>
      <c r="P1506" s="113"/>
      <c r="Q1506" s="113"/>
      <c r="R1506" s="113"/>
      <c r="S1506" s="113"/>
      <c r="T1506" s="113"/>
      <c r="V1506"/>
      <c r="W1506"/>
      <c r="Y1506"/>
      <c r="Z1506"/>
      <c r="AA1506"/>
      <c r="AB1506"/>
      <c r="AC1506"/>
      <c r="AD1506"/>
      <c r="AE1506"/>
      <c r="AF1506"/>
    </row>
    <row r="1507" spans="3:32" s="45" customFormat="1" ht="12.75" hidden="1">
      <c r="C1507" s="114"/>
      <c r="O1507" s="115"/>
      <c r="P1507" s="113"/>
      <c r="Q1507" s="113"/>
      <c r="R1507" s="113"/>
      <c r="S1507" s="113"/>
      <c r="T1507" s="113"/>
      <c r="V1507"/>
      <c r="W1507"/>
      <c r="Y1507"/>
      <c r="Z1507"/>
      <c r="AA1507"/>
      <c r="AB1507"/>
      <c r="AC1507"/>
      <c r="AD1507"/>
      <c r="AE1507"/>
      <c r="AF1507"/>
    </row>
    <row r="1508" spans="3:32" s="45" customFormat="1" ht="12.75" hidden="1">
      <c r="C1508" s="114"/>
      <c r="O1508" s="115"/>
      <c r="P1508" s="113"/>
      <c r="Q1508" s="113"/>
      <c r="R1508" s="113"/>
      <c r="S1508" s="113"/>
      <c r="T1508" s="113"/>
      <c r="V1508"/>
      <c r="W1508"/>
      <c r="Y1508"/>
      <c r="Z1508"/>
      <c r="AA1508"/>
      <c r="AB1508"/>
      <c r="AC1508"/>
      <c r="AD1508"/>
      <c r="AE1508"/>
      <c r="AF1508"/>
    </row>
    <row r="1509" spans="3:32" s="45" customFormat="1" ht="12.75" hidden="1">
      <c r="C1509" s="114"/>
      <c r="O1509" s="115"/>
      <c r="P1509" s="113"/>
      <c r="Q1509" s="113"/>
      <c r="R1509" s="113"/>
      <c r="S1509" s="113"/>
      <c r="T1509" s="113"/>
      <c r="V1509"/>
      <c r="W1509"/>
      <c r="Y1509"/>
      <c r="Z1509"/>
      <c r="AA1509"/>
      <c r="AB1509"/>
      <c r="AC1509"/>
      <c r="AD1509"/>
      <c r="AE1509"/>
      <c r="AF1509"/>
    </row>
    <row r="1510" spans="3:32" s="45" customFormat="1" ht="12.75" hidden="1">
      <c r="C1510" s="114"/>
      <c r="O1510" s="115"/>
      <c r="P1510" s="113"/>
      <c r="Q1510" s="113"/>
      <c r="R1510" s="113"/>
      <c r="S1510" s="113"/>
      <c r="T1510" s="113"/>
      <c r="V1510"/>
      <c r="W1510"/>
      <c r="Y1510"/>
      <c r="Z1510"/>
      <c r="AA1510"/>
      <c r="AB1510"/>
      <c r="AC1510"/>
      <c r="AD1510"/>
      <c r="AE1510"/>
      <c r="AF1510"/>
    </row>
    <row r="1511" spans="3:32" s="45" customFormat="1" ht="12.75" hidden="1">
      <c r="C1511" s="114"/>
      <c r="O1511" s="115"/>
      <c r="P1511" s="113"/>
      <c r="Q1511" s="113"/>
      <c r="R1511" s="113"/>
      <c r="S1511" s="113"/>
      <c r="T1511" s="113"/>
      <c r="V1511"/>
      <c r="W1511"/>
      <c r="Y1511"/>
      <c r="Z1511"/>
      <c r="AA1511"/>
      <c r="AB1511"/>
      <c r="AC1511"/>
      <c r="AD1511"/>
      <c r="AE1511"/>
      <c r="AF1511"/>
    </row>
    <row r="1512" spans="3:32" s="45" customFormat="1" ht="12.75" hidden="1">
      <c r="C1512" s="114"/>
      <c r="O1512" s="115"/>
      <c r="P1512" s="113"/>
      <c r="Q1512" s="113"/>
      <c r="R1512" s="113"/>
      <c r="S1512" s="113"/>
      <c r="T1512" s="113"/>
      <c r="V1512"/>
      <c r="W1512"/>
      <c r="Y1512"/>
      <c r="Z1512"/>
      <c r="AA1512"/>
      <c r="AB1512"/>
      <c r="AC1512"/>
      <c r="AD1512"/>
      <c r="AE1512"/>
      <c r="AF1512"/>
    </row>
    <row r="1513" spans="3:32" s="45" customFormat="1" ht="12.75" hidden="1">
      <c r="C1513" s="114"/>
      <c r="O1513" s="115"/>
      <c r="P1513" s="113"/>
      <c r="Q1513" s="113"/>
      <c r="R1513" s="113"/>
      <c r="S1513" s="113"/>
      <c r="T1513" s="113"/>
      <c r="V1513"/>
      <c r="W1513"/>
      <c r="Y1513"/>
      <c r="Z1513"/>
      <c r="AA1513"/>
      <c r="AB1513"/>
      <c r="AC1513"/>
      <c r="AD1513"/>
      <c r="AE1513"/>
      <c r="AF1513"/>
    </row>
    <row r="1514" spans="3:32" s="45" customFormat="1" ht="12.75" hidden="1">
      <c r="C1514" s="114"/>
      <c r="O1514" s="115"/>
      <c r="P1514" s="113"/>
      <c r="Q1514" s="113"/>
      <c r="R1514" s="113"/>
      <c r="S1514" s="113"/>
      <c r="T1514" s="113"/>
      <c r="V1514"/>
      <c r="W1514"/>
      <c r="Y1514"/>
      <c r="Z1514"/>
      <c r="AA1514"/>
      <c r="AB1514"/>
      <c r="AC1514"/>
      <c r="AD1514"/>
      <c r="AE1514"/>
      <c r="AF1514"/>
    </row>
    <row r="1515" spans="3:32" s="45" customFormat="1" ht="12.75" hidden="1">
      <c r="C1515" s="114"/>
      <c r="O1515" s="115"/>
      <c r="P1515" s="113"/>
      <c r="Q1515" s="113"/>
      <c r="R1515" s="113"/>
      <c r="S1515" s="113"/>
      <c r="T1515" s="113"/>
      <c r="V1515"/>
      <c r="W1515"/>
      <c r="Y1515"/>
      <c r="Z1515"/>
      <c r="AA1515"/>
      <c r="AB1515"/>
      <c r="AC1515"/>
      <c r="AD1515"/>
      <c r="AE1515"/>
      <c r="AF1515"/>
    </row>
    <row r="1516" spans="3:32" s="45" customFormat="1" ht="12.75" hidden="1">
      <c r="C1516" s="114"/>
      <c r="O1516" s="115"/>
      <c r="P1516" s="113"/>
      <c r="Q1516" s="113"/>
      <c r="R1516" s="113"/>
      <c r="S1516" s="113"/>
      <c r="T1516" s="113"/>
      <c r="V1516"/>
      <c r="W1516"/>
      <c r="Y1516"/>
      <c r="Z1516"/>
      <c r="AA1516"/>
      <c r="AB1516"/>
      <c r="AC1516"/>
      <c r="AD1516"/>
      <c r="AE1516"/>
      <c r="AF1516"/>
    </row>
    <row r="1517" spans="3:32" s="45" customFormat="1" ht="12.75" hidden="1">
      <c r="C1517" s="114"/>
      <c r="O1517" s="115"/>
      <c r="P1517" s="113"/>
      <c r="Q1517" s="113"/>
      <c r="R1517" s="113"/>
      <c r="S1517" s="113"/>
      <c r="T1517" s="113"/>
      <c r="V1517"/>
      <c r="W1517"/>
      <c r="Y1517"/>
      <c r="Z1517"/>
      <c r="AA1517"/>
      <c r="AB1517"/>
      <c r="AC1517"/>
      <c r="AD1517"/>
      <c r="AE1517"/>
      <c r="AF1517"/>
    </row>
    <row r="1518" spans="3:32" s="45" customFormat="1" ht="12.75" hidden="1">
      <c r="C1518" s="114"/>
      <c r="O1518" s="115"/>
      <c r="P1518" s="113"/>
      <c r="Q1518" s="113"/>
      <c r="R1518" s="113"/>
      <c r="S1518" s="113"/>
      <c r="T1518" s="113"/>
      <c r="V1518"/>
      <c r="W1518"/>
      <c r="Y1518"/>
      <c r="Z1518"/>
      <c r="AA1518"/>
      <c r="AB1518"/>
      <c r="AC1518"/>
      <c r="AD1518"/>
      <c r="AE1518"/>
      <c r="AF1518"/>
    </row>
    <row r="1519" spans="3:32" s="45" customFormat="1" ht="12.75" hidden="1">
      <c r="C1519" s="114"/>
      <c r="O1519" s="115"/>
      <c r="P1519" s="113"/>
      <c r="Q1519" s="113"/>
      <c r="R1519" s="113"/>
      <c r="S1519" s="113"/>
      <c r="T1519" s="113"/>
      <c r="V1519"/>
      <c r="W1519"/>
      <c r="Y1519"/>
      <c r="Z1519"/>
      <c r="AA1519"/>
      <c r="AB1519"/>
      <c r="AC1519"/>
      <c r="AD1519"/>
      <c r="AE1519"/>
      <c r="AF1519"/>
    </row>
    <row r="1520" spans="3:32" s="45" customFormat="1" ht="12.75" hidden="1">
      <c r="C1520" s="114"/>
      <c r="O1520" s="115"/>
      <c r="P1520" s="113"/>
      <c r="Q1520" s="113"/>
      <c r="R1520" s="113"/>
      <c r="S1520" s="113"/>
      <c r="T1520" s="113"/>
      <c r="V1520"/>
      <c r="W1520"/>
      <c r="Y1520"/>
      <c r="Z1520"/>
      <c r="AA1520"/>
      <c r="AB1520"/>
      <c r="AC1520"/>
      <c r="AD1520"/>
      <c r="AE1520"/>
      <c r="AF1520"/>
    </row>
    <row r="1521" spans="3:32" s="45" customFormat="1" ht="12.75" hidden="1">
      <c r="C1521" s="114"/>
      <c r="O1521" s="115"/>
      <c r="P1521" s="113"/>
      <c r="Q1521" s="113"/>
      <c r="R1521" s="113"/>
      <c r="S1521" s="113"/>
      <c r="T1521" s="113"/>
      <c r="V1521"/>
      <c r="W1521"/>
      <c r="Y1521"/>
      <c r="Z1521"/>
      <c r="AA1521"/>
      <c r="AB1521"/>
      <c r="AC1521"/>
      <c r="AD1521"/>
      <c r="AE1521"/>
      <c r="AF1521"/>
    </row>
    <row r="1522" spans="3:32" s="45" customFormat="1" ht="12.75" hidden="1">
      <c r="C1522" s="114"/>
      <c r="O1522" s="115"/>
      <c r="P1522" s="113"/>
      <c r="Q1522" s="113"/>
      <c r="R1522" s="113"/>
      <c r="S1522" s="113"/>
      <c r="T1522" s="113"/>
      <c r="V1522"/>
      <c r="W1522"/>
      <c r="Y1522"/>
      <c r="Z1522"/>
      <c r="AA1522"/>
      <c r="AB1522"/>
      <c r="AC1522"/>
      <c r="AD1522"/>
      <c r="AE1522"/>
      <c r="AF1522"/>
    </row>
    <row r="1523" spans="3:32" s="45" customFormat="1" ht="12.75" hidden="1">
      <c r="C1523" s="114"/>
      <c r="O1523" s="115"/>
      <c r="P1523" s="113"/>
      <c r="Q1523" s="113"/>
      <c r="R1523" s="113"/>
      <c r="S1523" s="113"/>
      <c r="T1523" s="113"/>
      <c r="V1523"/>
      <c r="W1523"/>
      <c r="Y1523"/>
      <c r="Z1523"/>
      <c r="AA1523"/>
      <c r="AB1523"/>
      <c r="AC1523"/>
      <c r="AD1523"/>
      <c r="AE1523"/>
      <c r="AF1523"/>
    </row>
    <row r="1524" spans="3:32" s="45" customFormat="1" ht="12.75" hidden="1">
      <c r="C1524" s="114"/>
      <c r="O1524" s="115"/>
      <c r="P1524" s="113"/>
      <c r="Q1524" s="113"/>
      <c r="R1524" s="113"/>
      <c r="S1524" s="113"/>
      <c r="T1524" s="113"/>
      <c r="V1524"/>
      <c r="W1524"/>
      <c r="Y1524"/>
      <c r="Z1524"/>
      <c r="AA1524"/>
      <c r="AB1524"/>
      <c r="AC1524"/>
      <c r="AD1524"/>
      <c r="AE1524"/>
      <c r="AF1524"/>
    </row>
    <row r="1525" spans="3:32" s="45" customFormat="1" ht="12.75" hidden="1">
      <c r="C1525" s="114"/>
      <c r="O1525" s="115"/>
      <c r="P1525" s="113"/>
      <c r="Q1525" s="113"/>
      <c r="R1525" s="113"/>
      <c r="S1525" s="113"/>
      <c r="T1525" s="113"/>
      <c r="V1525"/>
      <c r="W1525"/>
      <c r="Y1525"/>
      <c r="Z1525"/>
      <c r="AA1525"/>
      <c r="AB1525"/>
      <c r="AC1525"/>
      <c r="AD1525"/>
      <c r="AE1525"/>
      <c r="AF1525"/>
    </row>
    <row r="1526" spans="3:32" s="45" customFormat="1" ht="12.75" hidden="1">
      <c r="C1526" s="114"/>
      <c r="O1526" s="115"/>
      <c r="P1526" s="113"/>
      <c r="Q1526" s="113"/>
      <c r="R1526" s="113"/>
      <c r="S1526" s="113"/>
      <c r="T1526" s="113"/>
      <c r="V1526"/>
      <c r="W1526"/>
      <c r="Y1526"/>
      <c r="Z1526"/>
      <c r="AA1526"/>
      <c r="AB1526"/>
      <c r="AC1526"/>
      <c r="AD1526"/>
      <c r="AE1526"/>
      <c r="AF1526"/>
    </row>
    <row r="1527" spans="3:32" s="45" customFormat="1" ht="12.75" hidden="1">
      <c r="C1527" s="114"/>
      <c r="O1527" s="115"/>
      <c r="P1527" s="113"/>
      <c r="Q1527" s="113"/>
      <c r="R1527" s="113"/>
      <c r="S1527" s="113"/>
      <c r="T1527" s="113"/>
      <c r="V1527"/>
      <c r="W1527"/>
      <c r="Y1527"/>
      <c r="Z1527"/>
      <c r="AA1527"/>
      <c r="AB1527"/>
      <c r="AC1527"/>
      <c r="AD1527"/>
      <c r="AE1527"/>
      <c r="AF1527"/>
    </row>
    <row r="1528" spans="3:32" s="45" customFormat="1" ht="12.75" hidden="1">
      <c r="C1528" s="114"/>
      <c r="O1528" s="115"/>
      <c r="P1528" s="113"/>
      <c r="Q1528" s="113"/>
      <c r="R1528" s="113"/>
      <c r="S1528" s="113"/>
      <c r="T1528" s="113"/>
      <c r="V1528"/>
      <c r="W1528"/>
      <c r="Y1528"/>
      <c r="Z1528"/>
      <c r="AA1528"/>
      <c r="AB1528"/>
      <c r="AC1528"/>
      <c r="AD1528"/>
      <c r="AE1528"/>
      <c r="AF1528"/>
    </row>
    <row r="1529" spans="3:32" s="45" customFormat="1" ht="12.75" hidden="1">
      <c r="C1529" s="114"/>
      <c r="O1529" s="115"/>
      <c r="P1529" s="113"/>
      <c r="Q1529" s="113"/>
      <c r="R1529" s="113"/>
      <c r="S1529" s="113"/>
      <c r="T1529" s="113"/>
      <c r="V1529"/>
      <c r="W1529"/>
      <c r="Y1529"/>
      <c r="Z1529"/>
      <c r="AA1529"/>
      <c r="AB1529"/>
      <c r="AC1529"/>
      <c r="AD1529"/>
      <c r="AE1529"/>
      <c r="AF1529"/>
    </row>
    <row r="1530" spans="3:32" s="45" customFormat="1" ht="12.75" hidden="1">
      <c r="C1530" s="114"/>
      <c r="O1530" s="115"/>
      <c r="P1530" s="113"/>
      <c r="Q1530" s="113"/>
      <c r="R1530" s="113"/>
      <c r="S1530" s="113"/>
      <c r="T1530" s="113"/>
      <c r="V1530"/>
      <c r="W1530"/>
      <c r="Y1530"/>
      <c r="Z1530"/>
      <c r="AA1530"/>
      <c r="AB1530"/>
      <c r="AC1530"/>
      <c r="AD1530"/>
      <c r="AE1530"/>
      <c r="AF1530"/>
    </row>
    <row r="1531" spans="3:32" s="45" customFormat="1" ht="12.75" hidden="1">
      <c r="C1531" s="114"/>
      <c r="O1531" s="115"/>
      <c r="P1531" s="113"/>
      <c r="Q1531" s="113"/>
      <c r="R1531" s="113"/>
      <c r="S1531" s="113"/>
      <c r="T1531" s="113"/>
      <c r="V1531"/>
      <c r="W1531"/>
      <c r="Y1531"/>
      <c r="Z1531"/>
      <c r="AA1531"/>
      <c r="AB1531"/>
      <c r="AC1531"/>
      <c r="AD1531"/>
      <c r="AE1531"/>
      <c r="AF1531"/>
    </row>
    <row r="1532" spans="3:32" s="45" customFormat="1" ht="12.75" hidden="1">
      <c r="C1532" s="114"/>
      <c r="O1532" s="115"/>
      <c r="P1532" s="113"/>
      <c r="Q1532" s="113"/>
      <c r="R1532" s="113"/>
      <c r="S1532" s="113"/>
      <c r="T1532" s="113"/>
      <c r="V1532"/>
      <c r="W1532"/>
      <c r="Y1532"/>
      <c r="Z1532"/>
      <c r="AA1532"/>
      <c r="AB1532"/>
      <c r="AC1532"/>
      <c r="AD1532"/>
      <c r="AE1532"/>
      <c r="AF1532"/>
    </row>
    <row r="1533" spans="3:32" s="45" customFormat="1" ht="12.75" hidden="1">
      <c r="C1533" s="114"/>
      <c r="O1533" s="115"/>
      <c r="P1533" s="113"/>
      <c r="Q1533" s="113"/>
      <c r="R1533" s="113"/>
      <c r="S1533" s="113"/>
      <c r="T1533" s="113"/>
      <c r="V1533"/>
      <c r="W1533"/>
      <c r="Y1533"/>
      <c r="Z1533"/>
      <c r="AA1533"/>
      <c r="AB1533"/>
      <c r="AC1533"/>
      <c r="AD1533"/>
      <c r="AE1533"/>
      <c r="AF1533"/>
    </row>
    <row r="1534" spans="3:32" s="45" customFormat="1" ht="12.75" hidden="1">
      <c r="C1534" s="114"/>
      <c r="O1534" s="115"/>
      <c r="P1534" s="113"/>
      <c r="Q1534" s="113"/>
      <c r="R1534" s="113"/>
      <c r="S1534" s="113"/>
      <c r="T1534" s="113"/>
      <c r="V1534"/>
      <c r="W1534"/>
      <c r="Y1534"/>
      <c r="Z1534"/>
      <c r="AA1534"/>
      <c r="AB1534"/>
      <c r="AC1534"/>
      <c r="AD1534"/>
      <c r="AE1534"/>
      <c r="AF1534"/>
    </row>
    <row r="1535" spans="3:32" s="45" customFormat="1" ht="12.75" hidden="1">
      <c r="C1535" s="114"/>
      <c r="O1535" s="115"/>
      <c r="P1535" s="113"/>
      <c r="Q1535" s="113"/>
      <c r="R1535" s="113"/>
      <c r="S1535" s="113"/>
      <c r="T1535" s="113"/>
      <c r="V1535"/>
      <c r="W1535"/>
      <c r="Y1535"/>
      <c r="Z1535"/>
      <c r="AA1535"/>
      <c r="AB1535"/>
      <c r="AC1535"/>
      <c r="AD1535"/>
      <c r="AE1535"/>
      <c r="AF1535"/>
    </row>
    <row r="1536" spans="3:32" s="45" customFormat="1" ht="12.75" hidden="1">
      <c r="C1536" s="114"/>
      <c r="O1536" s="115"/>
      <c r="P1536" s="113"/>
      <c r="Q1536" s="113"/>
      <c r="R1536" s="113"/>
      <c r="S1536" s="113"/>
      <c r="T1536" s="113"/>
      <c r="V1536"/>
      <c r="W1536"/>
      <c r="Y1536"/>
      <c r="Z1536"/>
      <c r="AA1536"/>
      <c r="AB1536"/>
      <c r="AC1536"/>
      <c r="AD1536"/>
      <c r="AE1536"/>
      <c r="AF1536"/>
    </row>
    <row r="1537" spans="3:32" s="45" customFormat="1" ht="12.75" hidden="1">
      <c r="C1537" s="114"/>
      <c r="O1537" s="115"/>
      <c r="P1537" s="113"/>
      <c r="Q1537" s="113"/>
      <c r="R1537" s="113"/>
      <c r="S1537" s="113"/>
      <c r="T1537" s="113"/>
      <c r="V1537"/>
      <c r="W1537"/>
      <c r="Y1537"/>
      <c r="Z1537"/>
      <c r="AA1537"/>
      <c r="AB1537"/>
      <c r="AC1537"/>
      <c r="AD1537"/>
      <c r="AE1537"/>
      <c r="AF1537"/>
    </row>
    <row r="1538" spans="3:32" s="45" customFormat="1" ht="12.75" hidden="1">
      <c r="C1538" s="114"/>
      <c r="O1538" s="115"/>
      <c r="P1538" s="113"/>
      <c r="Q1538" s="113"/>
      <c r="R1538" s="113"/>
      <c r="S1538" s="113"/>
      <c r="T1538" s="113"/>
      <c r="V1538"/>
      <c r="W1538"/>
      <c r="Y1538"/>
      <c r="Z1538"/>
      <c r="AA1538"/>
      <c r="AB1538"/>
      <c r="AC1538"/>
      <c r="AD1538"/>
      <c r="AE1538"/>
      <c r="AF1538"/>
    </row>
    <row r="1539" spans="3:32" s="45" customFormat="1" ht="12.75" hidden="1">
      <c r="C1539" s="114"/>
      <c r="O1539" s="115"/>
      <c r="P1539" s="113"/>
      <c r="Q1539" s="113"/>
      <c r="R1539" s="113"/>
      <c r="S1539" s="113"/>
      <c r="T1539" s="113"/>
      <c r="V1539"/>
      <c r="W1539"/>
      <c r="Y1539"/>
      <c r="Z1539"/>
      <c r="AA1539"/>
      <c r="AB1539"/>
      <c r="AC1539"/>
      <c r="AD1539"/>
      <c r="AE1539"/>
      <c r="AF1539"/>
    </row>
    <row r="1540" spans="3:32" s="45" customFormat="1" ht="12.75" hidden="1">
      <c r="C1540" s="114"/>
      <c r="O1540" s="115"/>
      <c r="P1540" s="113"/>
      <c r="Q1540" s="113"/>
      <c r="R1540" s="113"/>
      <c r="S1540" s="113"/>
      <c r="T1540" s="113"/>
      <c r="V1540"/>
      <c r="W1540"/>
      <c r="Y1540"/>
      <c r="Z1540"/>
      <c r="AA1540"/>
      <c r="AB1540"/>
      <c r="AC1540"/>
      <c r="AD1540"/>
      <c r="AE1540"/>
      <c r="AF1540"/>
    </row>
    <row r="1541" spans="3:32" s="45" customFormat="1" ht="12.75" hidden="1">
      <c r="C1541" s="114"/>
      <c r="O1541" s="115"/>
      <c r="P1541" s="113"/>
      <c r="Q1541" s="113"/>
      <c r="R1541" s="113"/>
      <c r="S1541" s="113"/>
      <c r="T1541" s="113"/>
      <c r="V1541"/>
      <c r="W1541"/>
      <c r="Y1541"/>
      <c r="Z1541"/>
      <c r="AA1541"/>
      <c r="AB1541"/>
      <c r="AC1541"/>
      <c r="AD1541"/>
      <c r="AE1541"/>
      <c r="AF1541"/>
    </row>
    <row r="1542" spans="3:32" s="45" customFormat="1" ht="12.75" hidden="1">
      <c r="C1542" s="114"/>
      <c r="O1542" s="115"/>
      <c r="P1542" s="113"/>
      <c r="Q1542" s="113"/>
      <c r="R1542" s="113"/>
      <c r="S1542" s="113"/>
      <c r="T1542" s="113"/>
      <c r="V1542"/>
      <c r="W1542"/>
      <c r="Y1542"/>
      <c r="Z1542"/>
      <c r="AA1542"/>
      <c r="AB1542"/>
      <c r="AC1542"/>
      <c r="AD1542"/>
      <c r="AE1542"/>
      <c r="AF1542"/>
    </row>
    <row r="1543" spans="3:32" s="45" customFormat="1" ht="12.75" hidden="1">
      <c r="C1543" s="114"/>
      <c r="O1543" s="115"/>
      <c r="P1543" s="113"/>
      <c r="Q1543" s="113"/>
      <c r="R1543" s="113"/>
      <c r="S1543" s="113"/>
      <c r="T1543" s="113"/>
      <c r="V1543"/>
      <c r="W1543"/>
      <c r="Y1543"/>
      <c r="Z1543"/>
      <c r="AA1543"/>
      <c r="AB1543"/>
      <c r="AC1543"/>
      <c r="AD1543"/>
      <c r="AE1543"/>
      <c r="AF1543"/>
    </row>
    <row r="1544" spans="3:32" s="45" customFormat="1" ht="12.75" hidden="1">
      <c r="C1544" s="114"/>
      <c r="O1544" s="115"/>
      <c r="P1544" s="113"/>
      <c r="Q1544" s="113"/>
      <c r="R1544" s="113"/>
      <c r="S1544" s="113"/>
      <c r="T1544" s="113"/>
      <c r="V1544"/>
      <c r="W1544"/>
      <c r="Y1544"/>
      <c r="Z1544"/>
      <c r="AA1544"/>
      <c r="AB1544"/>
      <c r="AC1544"/>
      <c r="AD1544"/>
      <c r="AE1544"/>
      <c r="AF1544"/>
    </row>
    <row r="1545" spans="3:32" s="45" customFormat="1" ht="12.75" hidden="1">
      <c r="C1545" s="114"/>
      <c r="O1545" s="115"/>
      <c r="P1545" s="113"/>
      <c r="Q1545" s="113"/>
      <c r="R1545" s="113"/>
      <c r="S1545" s="113"/>
      <c r="T1545" s="113"/>
      <c r="V1545"/>
      <c r="W1545"/>
      <c r="Y1545"/>
      <c r="Z1545"/>
      <c r="AA1545"/>
      <c r="AB1545"/>
      <c r="AC1545"/>
      <c r="AD1545"/>
      <c r="AE1545"/>
      <c r="AF1545"/>
    </row>
    <row r="1546" spans="3:32" s="45" customFormat="1" ht="12.75" hidden="1">
      <c r="C1546" s="114"/>
      <c r="O1546" s="115"/>
      <c r="P1546" s="113"/>
      <c r="Q1546" s="113"/>
      <c r="R1546" s="113"/>
      <c r="S1546" s="113"/>
      <c r="T1546" s="113"/>
      <c r="V1546"/>
      <c r="W1546"/>
      <c r="Y1546"/>
      <c r="Z1546"/>
      <c r="AA1546"/>
      <c r="AB1546"/>
      <c r="AC1546"/>
      <c r="AD1546"/>
      <c r="AE1546"/>
      <c r="AF1546"/>
    </row>
    <row r="1547" spans="3:32" s="45" customFormat="1" ht="12.75" hidden="1">
      <c r="C1547" s="114"/>
      <c r="O1547" s="115"/>
      <c r="P1547" s="113"/>
      <c r="Q1547" s="113"/>
      <c r="R1547" s="113"/>
      <c r="S1547" s="113"/>
      <c r="T1547" s="113"/>
      <c r="V1547"/>
      <c r="W1547"/>
      <c r="Y1547"/>
      <c r="Z1547"/>
      <c r="AA1547"/>
      <c r="AB1547"/>
      <c r="AC1547"/>
      <c r="AD1547"/>
      <c r="AE1547"/>
      <c r="AF1547"/>
    </row>
    <row r="1548" spans="3:32" s="45" customFormat="1" ht="12.75" hidden="1">
      <c r="C1548" s="114"/>
      <c r="O1548" s="115"/>
      <c r="P1548" s="113"/>
      <c r="Q1548" s="113"/>
      <c r="R1548" s="113"/>
      <c r="S1548" s="113"/>
      <c r="T1548" s="113"/>
      <c r="V1548"/>
      <c r="W1548"/>
      <c r="Y1548"/>
      <c r="Z1548"/>
      <c r="AA1548"/>
      <c r="AB1548"/>
      <c r="AC1548"/>
      <c r="AD1548"/>
      <c r="AE1548"/>
      <c r="AF1548"/>
    </row>
    <row r="1549" spans="3:32" s="45" customFormat="1" ht="12.75" hidden="1">
      <c r="C1549" s="114"/>
      <c r="O1549" s="115"/>
      <c r="P1549" s="113"/>
      <c r="Q1549" s="113"/>
      <c r="R1549" s="113"/>
      <c r="S1549" s="113"/>
      <c r="T1549" s="113"/>
      <c r="V1549"/>
      <c r="W1549"/>
      <c r="Y1549"/>
      <c r="Z1549"/>
      <c r="AA1549"/>
      <c r="AB1549"/>
      <c r="AC1549"/>
      <c r="AD1549"/>
      <c r="AE1549"/>
      <c r="AF1549"/>
    </row>
    <row r="1550" spans="3:32" s="45" customFormat="1" ht="12.75" hidden="1">
      <c r="C1550" s="114"/>
      <c r="O1550" s="115"/>
      <c r="P1550" s="113"/>
      <c r="Q1550" s="113"/>
      <c r="R1550" s="113"/>
      <c r="S1550" s="113"/>
      <c r="T1550" s="113"/>
      <c r="V1550"/>
      <c r="W1550"/>
      <c r="Y1550"/>
      <c r="Z1550"/>
      <c r="AA1550"/>
      <c r="AB1550"/>
      <c r="AC1550"/>
      <c r="AD1550"/>
      <c r="AE1550"/>
      <c r="AF1550"/>
    </row>
    <row r="1551" spans="3:32" s="45" customFormat="1" ht="12.75" hidden="1">
      <c r="C1551" s="114"/>
      <c r="O1551" s="115"/>
      <c r="P1551" s="113"/>
      <c r="Q1551" s="113"/>
      <c r="R1551" s="113"/>
      <c r="S1551" s="113"/>
      <c r="T1551" s="113"/>
      <c r="V1551"/>
      <c r="W1551"/>
      <c r="Y1551"/>
      <c r="Z1551"/>
      <c r="AA1551"/>
      <c r="AB1551"/>
      <c r="AC1551"/>
      <c r="AD1551"/>
      <c r="AE1551"/>
      <c r="AF1551"/>
    </row>
    <row r="1552" spans="3:32" s="45" customFormat="1" ht="12.75" hidden="1">
      <c r="C1552" s="114"/>
      <c r="O1552" s="115"/>
      <c r="P1552" s="113"/>
      <c r="Q1552" s="113"/>
      <c r="R1552" s="113"/>
      <c r="S1552" s="113"/>
      <c r="T1552" s="113"/>
      <c r="V1552"/>
      <c r="W1552"/>
      <c r="Y1552"/>
      <c r="Z1552"/>
      <c r="AA1552"/>
      <c r="AB1552"/>
      <c r="AC1552"/>
      <c r="AD1552"/>
      <c r="AE1552"/>
      <c r="AF1552"/>
    </row>
    <row r="1553" spans="3:32" s="45" customFormat="1" ht="12.75" hidden="1">
      <c r="C1553" s="114"/>
      <c r="O1553" s="115"/>
      <c r="P1553" s="113"/>
      <c r="Q1553" s="113"/>
      <c r="R1553" s="113"/>
      <c r="S1553" s="113"/>
      <c r="T1553" s="113"/>
      <c r="V1553"/>
      <c r="W1553"/>
      <c r="Y1553"/>
      <c r="Z1553"/>
      <c r="AA1553"/>
      <c r="AB1553"/>
      <c r="AC1553"/>
      <c r="AD1553"/>
      <c r="AE1553"/>
      <c r="AF1553"/>
    </row>
    <row r="1554" spans="3:32" s="45" customFormat="1" ht="12.75" hidden="1">
      <c r="C1554" s="114"/>
      <c r="O1554" s="115"/>
      <c r="P1554" s="113"/>
      <c r="Q1554" s="113"/>
      <c r="R1554" s="113"/>
      <c r="S1554" s="113"/>
      <c r="T1554" s="113"/>
      <c r="V1554"/>
      <c r="W1554"/>
      <c r="Y1554"/>
      <c r="Z1554"/>
      <c r="AA1554"/>
      <c r="AB1554"/>
      <c r="AC1554"/>
      <c r="AD1554"/>
      <c r="AE1554"/>
      <c r="AF1554"/>
    </row>
    <row r="1555" spans="3:32" s="45" customFormat="1" ht="12.75" hidden="1">
      <c r="C1555" s="114"/>
      <c r="O1555" s="115"/>
      <c r="P1555" s="113"/>
      <c r="Q1555" s="113"/>
      <c r="R1555" s="113"/>
      <c r="S1555" s="113"/>
      <c r="T1555" s="113"/>
      <c r="V1555"/>
      <c r="W1555"/>
      <c r="Y1555"/>
      <c r="Z1555"/>
      <c r="AA1555"/>
      <c r="AB1555"/>
      <c r="AC1555"/>
      <c r="AD1555"/>
      <c r="AE1555"/>
      <c r="AF1555"/>
    </row>
    <row r="1556" spans="3:32" s="45" customFormat="1" ht="12.75" hidden="1">
      <c r="C1556" s="114"/>
      <c r="O1556" s="115"/>
      <c r="P1556" s="113"/>
      <c r="Q1556" s="113"/>
      <c r="R1556" s="113"/>
      <c r="S1556" s="113"/>
      <c r="T1556" s="113"/>
      <c r="V1556"/>
      <c r="W1556"/>
      <c r="Y1556"/>
      <c r="Z1556"/>
      <c r="AA1556"/>
      <c r="AB1556"/>
      <c r="AC1556"/>
      <c r="AD1556"/>
      <c r="AE1556"/>
      <c r="AF1556"/>
    </row>
    <row r="1557" spans="3:32" s="45" customFormat="1" ht="12.75" hidden="1">
      <c r="C1557" s="114"/>
      <c r="O1557" s="115"/>
      <c r="P1557" s="113"/>
      <c r="Q1557" s="113"/>
      <c r="R1557" s="113"/>
      <c r="S1557" s="113"/>
      <c r="T1557" s="113"/>
      <c r="V1557"/>
      <c r="W1557"/>
      <c r="Y1557"/>
      <c r="Z1557"/>
      <c r="AA1557"/>
      <c r="AB1557"/>
      <c r="AC1557"/>
      <c r="AD1557"/>
      <c r="AE1557"/>
      <c r="AF1557"/>
    </row>
    <row r="1558" spans="3:32" s="45" customFormat="1" ht="12.75" hidden="1">
      <c r="C1558" s="114"/>
      <c r="O1558" s="115"/>
      <c r="P1558" s="113"/>
      <c r="Q1558" s="113"/>
      <c r="R1558" s="113"/>
      <c r="S1558" s="113"/>
      <c r="T1558" s="113"/>
      <c r="V1558"/>
      <c r="W1558"/>
      <c r="Y1558"/>
      <c r="Z1558"/>
      <c r="AA1558"/>
      <c r="AB1558"/>
      <c r="AC1558"/>
      <c r="AD1558"/>
      <c r="AE1558"/>
      <c r="AF1558"/>
    </row>
    <row r="1559" spans="3:32" s="45" customFormat="1" ht="12.75" hidden="1">
      <c r="C1559" s="114"/>
      <c r="O1559" s="115"/>
      <c r="P1559" s="113"/>
      <c r="Q1559" s="113"/>
      <c r="R1559" s="113"/>
      <c r="S1559" s="113"/>
      <c r="T1559" s="113"/>
      <c r="V1559"/>
      <c r="W1559"/>
      <c r="Y1559"/>
      <c r="Z1559"/>
      <c r="AA1559"/>
      <c r="AB1559"/>
      <c r="AC1559"/>
      <c r="AD1559"/>
      <c r="AE1559"/>
      <c r="AF1559"/>
    </row>
    <row r="1560" spans="3:32" s="45" customFormat="1" ht="12.75" hidden="1">
      <c r="C1560" s="114"/>
      <c r="O1560" s="115"/>
      <c r="P1560" s="113"/>
      <c r="Q1560" s="113"/>
      <c r="R1560" s="113"/>
      <c r="S1560" s="113"/>
      <c r="T1560" s="113"/>
      <c r="V1560"/>
      <c r="W1560"/>
      <c r="Y1560"/>
      <c r="Z1560"/>
      <c r="AA1560"/>
      <c r="AB1560"/>
      <c r="AC1560"/>
      <c r="AD1560"/>
      <c r="AE1560"/>
      <c r="AF1560"/>
    </row>
    <row r="1561" spans="3:32" s="45" customFormat="1" ht="12.75" hidden="1">
      <c r="C1561" s="114"/>
      <c r="O1561" s="115"/>
      <c r="P1561" s="113"/>
      <c r="Q1561" s="113"/>
      <c r="R1561" s="113"/>
      <c r="S1561" s="113"/>
      <c r="T1561" s="113"/>
      <c r="V1561"/>
      <c r="W1561"/>
      <c r="Y1561"/>
      <c r="Z1561"/>
      <c r="AA1561"/>
      <c r="AB1561"/>
      <c r="AC1561"/>
      <c r="AD1561"/>
      <c r="AE1561"/>
      <c r="AF1561"/>
    </row>
    <row r="1562" spans="3:32" s="45" customFormat="1" ht="12.75" hidden="1">
      <c r="C1562" s="114"/>
      <c r="O1562" s="115"/>
      <c r="P1562" s="113"/>
      <c r="Q1562" s="113"/>
      <c r="R1562" s="113"/>
      <c r="S1562" s="113"/>
      <c r="T1562" s="113"/>
      <c r="V1562"/>
      <c r="W1562"/>
      <c r="Y1562"/>
      <c r="Z1562"/>
      <c r="AA1562"/>
      <c r="AB1562"/>
      <c r="AC1562"/>
      <c r="AD1562"/>
      <c r="AE1562"/>
      <c r="AF1562"/>
    </row>
    <row r="1563" spans="3:32" s="45" customFormat="1" ht="12.75" hidden="1">
      <c r="C1563" s="114"/>
      <c r="O1563" s="115"/>
      <c r="P1563" s="113"/>
      <c r="Q1563" s="113"/>
      <c r="R1563" s="113"/>
      <c r="S1563" s="113"/>
      <c r="T1563" s="113"/>
      <c r="V1563"/>
      <c r="W1563"/>
      <c r="Y1563"/>
      <c r="Z1563"/>
      <c r="AA1563"/>
      <c r="AB1563"/>
      <c r="AC1563"/>
      <c r="AD1563"/>
      <c r="AE1563"/>
      <c r="AF1563"/>
    </row>
    <row r="1564" spans="3:32" s="45" customFormat="1" ht="12.75" hidden="1">
      <c r="C1564" s="114"/>
      <c r="O1564" s="115"/>
      <c r="P1564" s="113"/>
      <c r="Q1564" s="113"/>
      <c r="R1564" s="113"/>
      <c r="S1564" s="113"/>
      <c r="T1564" s="113"/>
      <c r="V1564"/>
      <c r="W1564"/>
      <c r="Y1564"/>
      <c r="Z1564"/>
      <c r="AA1564"/>
      <c r="AB1564"/>
      <c r="AC1564"/>
      <c r="AD1564"/>
      <c r="AE1564"/>
      <c r="AF1564"/>
    </row>
    <row r="1565" spans="3:32" s="45" customFormat="1" ht="12.75" hidden="1">
      <c r="C1565" s="114"/>
      <c r="O1565" s="115"/>
      <c r="P1565" s="113"/>
      <c r="Q1565" s="113"/>
      <c r="R1565" s="113"/>
      <c r="S1565" s="113"/>
      <c r="T1565" s="113"/>
      <c r="V1565"/>
      <c r="W1565"/>
      <c r="Y1565"/>
      <c r="Z1565"/>
      <c r="AA1565"/>
      <c r="AB1565"/>
      <c r="AC1565"/>
      <c r="AD1565"/>
      <c r="AE1565"/>
      <c r="AF1565"/>
    </row>
    <row r="1566" spans="3:32" s="45" customFormat="1" ht="12.75" hidden="1">
      <c r="C1566" s="114"/>
      <c r="O1566" s="115"/>
      <c r="P1566" s="113"/>
      <c r="Q1566" s="113"/>
      <c r="R1566" s="113"/>
      <c r="S1566" s="113"/>
      <c r="T1566" s="113"/>
      <c r="V1566"/>
      <c r="W1566"/>
      <c r="Y1566"/>
      <c r="Z1566"/>
      <c r="AA1566"/>
      <c r="AB1566"/>
      <c r="AC1566"/>
      <c r="AD1566"/>
      <c r="AE1566"/>
      <c r="AF1566"/>
    </row>
    <row r="1567" spans="3:32" s="45" customFormat="1" ht="12.75" hidden="1">
      <c r="C1567" s="114"/>
      <c r="O1567" s="115"/>
      <c r="P1567" s="113"/>
      <c r="Q1567" s="113"/>
      <c r="R1567" s="113"/>
      <c r="S1567" s="113"/>
      <c r="T1567" s="113"/>
      <c r="V1567"/>
      <c r="W1567"/>
      <c r="Y1567"/>
      <c r="Z1567"/>
      <c r="AA1567"/>
      <c r="AB1567"/>
      <c r="AC1567"/>
      <c r="AD1567"/>
      <c r="AE1567"/>
      <c r="AF1567"/>
    </row>
    <row r="1568" spans="3:32" s="45" customFormat="1" ht="12.75" hidden="1">
      <c r="C1568" s="114"/>
      <c r="O1568" s="115"/>
      <c r="P1568" s="113"/>
      <c r="Q1568" s="113"/>
      <c r="R1568" s="113"/>
      <c r="S1568" s="113"/>
      <c r="T1568" s="113"/>
      <c r="V1568"/>
      <c r="W1568"/>
      <c r="Y1568"/>
      <c r="Z1568"/>
      <c r="AA1568"/>
      <c r="AB1568"/>
      <c r="AC1568"/>
      <c r="AD1568"/>
      <c r="AE1568"/>
      <c r="AF1568"/>
    </row>
    <row r="1569" spans="3:32" s="45" customFormat="1" ht="12.75" hidden="1">
      <c r="C1569" s="114"/>
      <c r="O1569" s="115"/>
      <c r="P1569" s="113"/>
      <c r="Q1569" s="113"/>
      <c r="R1569" s="113"/>
      <c r="S1569" s="113"/>
      <c r="T1569" s="113"/>
      <c r="V1569"/>
      <c r="W1569"/>
      <c r="Y1569"/>
      <c r="Z1569"/>
      <c r="AA1569"/>
      <c r="AB1569"/>
      <c r="AC1569"/>
      <c r="AD1569"/>
      <c r="AE1569"/>
      <c r="AF1569"/>
    </row>
    <row r="1570" spans="3:32" s="45" customFormat="1" ht="12.75" hidden="1">
      <c r="C1570" s="114"/>
      <c r="O1570" s="115"/>
      <c r="P1570" s="113"/>
      <c r="Q1570" s="113"/>
      <c r="R1570" s="113"/>
      <c r="S1570" s="113"/>
      <c r="T1570" s="113"/>
      <c r="V1570"/>
      <c r="W1570"/>
      <c r="Y1570"/>
      <c r="Z1570"/>
      <c r="AA1570"/>
      <c r="AB1570"/>
      <c r="AC1570"/>
      <c r="AD1570"/>
      <c r="AE1570"/>
      <c r="AF1570"/>
    </row>
    <row r="1571" spans="3:32" s="45" customFormat="1" ht="12.75" hidden="1">
      <c r="C1571" s="114"/>
      <c r="O1571" s="115"/>
      <c r="P1571" s="113"/>
      <c r="Q1571" s="113"/>
      <c r="R1571" s="113"/>
      <c r="S1571" s="113"/>
      <c r="T1571" s="113"/>
      <c r="V1571"/>
      <c r="W1571"/>
      <c r="Y1571"/>
      <c r="Z1571"/>
      <c r="AA1571"/>
      <c r="AB1571"/>
      <c r="AC1571"/>
      <c r="AD1571"/>
      <c r="AE1571"/>
      <c r="AF1571"/>
    </row>
    <row r="1572" spans="3:32" s="45" customFormat="1" ht="12.75" hidden="1">
      <c r="C1572" s="114"/>
      <c r="O1572" s="115"/>
      <c r="P1572" s="113"/>
      <c r="Q1572" s="113"/>
      <c r="R1572" s="113"/>
      <c r="S1572" s="113"/>
      <c r="T1572" s="113"/>
      <c r="V1572"/>
      <c r="W1572"/>
      <c r="Y1572"/>
      <c r="Z1572"/>
      <c r="AA1572"/>
      <c r="AB1572"/>
      <c r="AC1572"/>
      <c r="AD1572"/>
      <c r="AE1572"/>
      <c r="AF1572"/>
    </row>
    <row r="1573" spans="3:32" s="45" customFormat="1" ht="12.75" hidden="1">
      <c r="C1573" s="114"/>
      <c r="O1573" s="115"/>
      <c r="P1573" s="113"/>
      <c r="Q1573" s="113"/>
      <c r="R1573" s="113"/>
      <c r="S1573" s="113"/>
      <c r="T1573" s="113"/>
      <c r="V1573"/>
      <c r="W1573"/>
      <c r="Y1573"/>
      <c r="Z1573"/>
      <c r="AA1573"/>
      <c r="AB1573"/>
      <c r="AC1573"/>
      <c r="AD1573"/>
      <c r="AE1573"/>
      <c r="AF1573"/>
    </row>
    <row r="1574" spans="3:32" s="45" customFormat="1" ht="12.75" hidden="1">
      <c r="C1574" s="114"/>
      <c r="O1574" s="115"/>
      <c r="P1574" s="113"/>
      <c r="Q1574" s="113"/>
      <c r="R1574" s="113"/>
      <c r="S1574" s="113"/>
      <c r="T1574" s="113"/>
      <c r="V1574"/>
      <c r="W1574"/>
      <c r="Y1574"/>
      <c r="Z1574"/>
      <c r="AA1574"/>
      <c r="AB1574"/>
      <c r="AC1574"/>
      <c r="AD1574"/>
      <c r="AE1574"/>
      <c r="AF1574"/>
    </row>
    <row r="1575" spans="3:32" s="45" customFormat="1" ht="12.75" hidden="1">
      <c r="C1575" s="114"/>
      <c r="O1575" s="115"/>
      <c r="P1575" s="113"/>
      <c r="Q1575" s="113"/>
      <c r="R1575" s="113"/>
      <c r="S1575" s="113"/>
      <c r="T1575" s="113"/>
      <c r="V1575"/>
      <c r="W1575"/>
      <c r="Y1575"/>
      <c r="Z1575"/>
      <c r="AA1575"/>
      <c r="AB1575"/>
      <c r="AC1575"/>
      <c r="AD1575"/>
      <c r="AE1575"/>
      <c r="AF1575"/>
    </row>
    <row r="1576" spans="3:32" s="45" customFormat="1" ht="12.75" hidden="1">
      <c r="C1576" s="114"/>
      <c r="O1576" s="115"/>
      <c r="P1576" s="113"/>
      <c r="Q1576" s="113"/>
      <c r="R1576" s="113"/>
      <c r="S1576" s="113"/>
      <c r="T1576" s="113"/>
      <c r="V1576"/>
      <c r="W1576"/>
      <c r="Y1576"/>
      <c r="Z1576"/>
      <c r="AA1576"/>
      <c r="AB1576"/>
      <c r="AC1576"/>
      <c r="AD1576"/>
      <c r="AE1576"/>
      <c r="AF1576"/>
    </row>
    <row r="1577" spans="3:32" s="45" customFormat="1" ht="12.75" hidden="1">
      <c r="C1577" s="114"/>
      <c r="O1577" s="115"/>
      <c r="P1577" s="113"/>
      <c r="Q1577" s="113"/>
      <c r="R1577" s="113"/>
      <c r="S1577" s="113"/>
      <c r="T1577" s="113"/>
      <c r="V1577"/>
      <c r="W1577"/>
      <c r="Y1577"/>
      <c r="Z1577"/>
      <c r="AA1577"/>
      <c r="AB1577"/>
      <c r="AC1577"/>
      <c r="AD1577"/>
      <c r="AE1577"/>
      <c r="AF1577"/>
    </row>
    <row r="1578" spans="3:32" s="45" customFormat="1" ht="12.75" hidden="1">
      <c r="C1578" s="114"/>
      <c r="O1578" s="115"/>
      <c r="P1578" s="113"/>
      <c r="Q1578" s="113"/>
      <c r="R1578" s="113"/>
      <c r="S1578" s="113"/>
      <c r="T1578" s="113"/>
      <c r="V1578"/>
      <c r="W1578"/>
      <c r="Y1578"/>
      <c r="Z1578"/>
      <c r="AA1578"/>
      <c r="AB1578"/>
      <c r="AC1578"/>
      <c r="AD1578"/>
      <c r="AE1578"/>
      <c r="AF1578"/>
    </row>
    <row r="1579" spans="3:32" s="45" customFormat="1" ht="12.75" hidden="1">
      <c r="C1579" s="114"/>
      <c r="O1579" s="115"/>
      <c r="P1579" s="113"/>
      <c r="Q1579" s="113"/>
      <c r="R1579" s="113"/>
      <c r="S1579" s="113"/>
      <c r="T1579" s="113"/>
      <c r="V1579"/>
      <c r="W1579"/>
      <c r="Y1579"/>
      <c r="Z1579"/>
      <c r="AA1579"/>
      <c r="AB1579"/>
      <c r="AC1579"/>
      <c r="AD1579"/>
      <c r="AE1579"/>
      <c r="AF1579"/>
    </row>
    <row r="1580" spans="3:32" s="45" customFormat="1" ht="12.75" hidden="1">
      <c r="C1580" s="114"/>
      <c r="O1580" s="115"/>
      <c r="P1580" s="113"/>
      <c r="Q1580" s="113"/>
      <c r="R1580" s="113"/>
      <c r="S1580" s="113"/>
      <c r="T1580" s="113"/>
      <c r="V1580"/>
      <c r="W1580"/>
      <c r="Y1580"/>
      <c r="Z1580"/>
      <c r="AA1580"/>
      <c r="AB1580"/>
      <c r="AC1580"/>
      <c r="AD1580"/>
      <c r="AE1580"/>
      <c r="AF1580"/>
    </row>
    <row r="1581" spans="3:32" s="45" customFormat="1" ht="12.75" hidden="1">
      <c r="C1581" s="114"/>
      <c r="O1581" s="115"/>
      <c r="P1581" s="113"/>
      <c r="Q1581" s="113"/>
      <c r="R1581" s="113"/>
      <c r="S1581" s="113"/>
      <c r="T1581" s="113"/>
      <c r="V1581"/>
      <c r="W1581"/>
      <c r="Y1581"/>
      <c r="Z1581"/>
      <c r="AA1581"/>
      <c r="AB1581"/>
      <c r="AC1581"/>
      <c r="AD1581"/>
      <c r="AE1581"/>
      <c r="AF1581"/>
    </row>
    <row r="1582" spans="3:32" s="45" customFormat="1" ht="12.75" hidden="1">
      <c r="C1582" s="114"/>
      <c r="O1582" s="115"/>
      <c r="P1582" s="113"/>
      <c r="Q1582" s="113"/>
      <c r="R1582" s="113"/>
      <c r="S1582" s="113"/>
      <c r="T1582" s="113"/>
      <c r="V1582"/>
      <c r="W1582"/>
      <c r="Y1582"/>
      <c r="Z1582"/>
      <c r="AA1582"/>
      <c r="AB1582"/>
      <c r="AC1582"/>
      <c r="AD1582"/>
      <c r="AE1582"/>
      <c r="AF1582"/>
    </row>
    <row r="1583" spans="3:32" s="45" customFormat="1" ht="12.75" hidden="1">
      <c r="C1583" s="114"/>
      <c r="O1583" s="115"/>
      <c r="P1583" s="113"/>
      <c r="Q1583" s="113"/>
      <c r="R1583" s="113"/>
      <c r="S1583" s="113"/>
      <c r="T1583" s="113"/>
      <c r="V1583"/>
      <c r="W1583"/>
      <c r="Y1583"/>
      <c r="Z1583"/>
      <c r="AA1583"/>
      <c r="AB1583"/>
      <c r="AC1583"/>
      <c r="AD1583"/>
      <c r="AE1583"/>
      <c r="AF1583"/>
    </row>
    <row r="1584" spans="3:32" s="45" customFormat="1" ht="12.75" hidden="1">
      <c r="C1584" s="114"/>
      <c r="O1584" s="115"/>
      <c r="P1584" s="113"/>
      <c r="Q1584" s="113"/>
      <c r="R1584" s="113"/>
      <c r="S1584" s="113"/>
      <c r="T1584" s="113"/>
      <c r="V1584"/>
      <c r="W1584"/>
      <c r="Y1584"/>
      <c r="Z1584"/>
      <c r="AA1584"/>
      <c r="AB1584"/>
      <c r="AC1584"/>
      <c r="AD1584"/>
      <c r="AE1584"/>
      <c r="AF1584"/>
    </row>
    <row r="1585" spans="3:32" s="45" customFormat="1" ht="12.75" hidden="1">
      <c r="C1585" s="114"/>
      <c r="O1585" s="115"/>
      <c r="P1585" s="113"/>
      <c r="Q1585" s="113"/>
      <c r="R1585" s="113"/>
      <c r="S1585" s="113"/>
      <c r="T1585" s="113"/>
      <c r="V1585"/>
      <c r="W1585"/>
      <c r="Y1585"/>
      <c r="Z1585"/>
      <c r="AA1585"/>
      <c r="AB1585"/>
      <c r="AC1585"/>
      <c r="AD1585"/>
      <c r="AE1585"/>
      <c r="AF1585"/>
    </row>
    <row r="1586" spans="3:32" s="45" customFormat="1" ht="12.75" hidden="1">
      <c r="C1586" s="114"/>
      <c r="O1586" s="115"/>
      <c r="P1586" s="113"/>
      <c r="Q1586" s="113"/>
      <c r="R1586" s="113"/>
      <c r="S1586" s="113"/>
      <c r="T1586" s="113"/>
      <c r="V1586"/>
      <c r="W1586"/>
      <c r="Y1586"/>
      <c r="Z1586"/>
      <c r="AA1586"/>
      <c r="AB1586"/>
      <c r="AC1586"/>
      <c r="AD1586"/>
      <c r="AE1586"/>
      <c r="AF1586"/>
    </row>
    <row r="1587" spans="3:32" s="45" customFormat="1" ht="12.75" hidden="1">
      <c r="C1587" s="114"/>
      <c r="O1587" s="115"/>
      <c r="P1587" s="113"/>
      <c r="Q1587" s="113"/>
      <c r="R1587" s="113"/>
      <c r="S1587" s="113"/>
      <c r="T1587" s="113"/>
      <c r="V1587"/>
      <c r="W1587"/>
      <c r="Y1587"/>
      <c r="Z1587"/>
      <c r="AA1587"/>
      <c r="AB1587"/>
      <c r="AC1587"/>
      <c r="AD1587"/>
      <c r="AE1587"/>
      <c r="AF1587"/>
    </row>
    <row r="1588" spans="3:32" s="45" customFormat="1" ht="12.75" hidden="1">
      <c r="C1588" s="114"/>
      <c r="O1588" s="115"/>
      <c r="P1588" s="113"/>
      <c r="Q1588" s="113"/>
      <c r="R1588" s="113"/>
      <c r="S1588" s="113"/>
      <c r="T1588" s="113"/>
      <c r="V1588"/>
      <c r="W1588"/>
      <c r="Y1588"/>
      <c r="Z1588"/>
      <c r="AA1588"/>
      <c r="AB1588"/>
      <c r="AC1588"/>
      <c r="AD1588"/>
      <c r="AE1588"/>
      <c r="AF1588"/>
    </row>
    <row r="1589" spans="3:32" s="45" customFormat="1" ht="12.75" hidden="1">
      <c r="C1589" s="114"/>
      <c r="O1589" s="115"/>
      <c r="P1589" s="113"/>
      <c r="Q1589" s="113"/>
      <c r="R1589" s="113"/>
      <c r="S1589" s="113"/>
      <c r="T1589" s="113"/>
      <c r="V1589"/>
      <c r="W1589"/>
      <c r="Y1589"/>
      <c r="Z1589"/>
      <c r="AA1589"/>
      <c r="AB1589"/>
      <c r="AC1589"/>
      <c r="AD1589"/>
      <c r="AE1589"/>
      <c r="AF1589"/>
    </row>
    <row r="1590" spans="3:32" s="45" customFormat="1" ht="12.75" hidden="1">
      <c r="C1590" s="114"/>
      <c r="O1590" s="115"/>
      <c r="P1590" s="113"/>
      <c r="Q1590" s="113"/>
      <c r="R1590" s="113"/>
      <c r="S1590" s="113"/>
      <c r="T1590" s="113"/>
      <c r="V1590"/>
      <c r="W1590"/>
      <c r="Y1590"/>
      <c r="Z1590"/>
      <c r="AA1590"/>
      <c r="AB1590"/>
      <c r="AC1590"/>
      <c r="AD1590"/>
      <c r="AE1590"/>
      <c r="AF1590"/>
    </row>
    <row r="1591" spans="3:32" s="45" customFormat="1" ht="12.75" hidden="1">
      <c r="C1591" s="114"/>
      <c r="O1591" s="115"/>
      <c r="P1591" s="113"/>
      <c r="Q1591" s="113"/>
      <c r="R1591" s="113"/>
      <c r="S1591" s="113"/>
      <c r="T1591" s="113"/>
      <c r="V1591"/>
      <c r="W1591"/>
      <c r="Y1591"/>
      <c r="Z1591"/>
      <c r="AA1591"/>
      <c r="AB1591"/>
      <c r="AC1591"/>
      <c r="AD1591"/>
      <c r="AE1591"/>
      <c r="AF1591"/>
    </row>
    <row r="1592" spans="3:32" s="45" customFormat="1" ht="12.75" hidden="1">
      <c r="C1592" s="114"/>
      <c r="O1592" s="115"/>
      <c r="P1592" s="113"/>
      <c r="Q1592" s="113"/>
      <c r="R1592" s="113"/>
      <c r="S1592" s="113"/>
      <c r="T1592" s="113"/>
      <c r="V1592"/>
      <c r="W1592"/>
      <c r="Y1592"/>
      <c r="Z1592"/>
      <c r="AA1592"/>
      <c r="AB1592"/>
      <c r="AC1592"/>
      <c r="AD1592"/>
      <c r="AE1592"/>
      <c r="AF1592"/>
    </row>
    <row r="1593" spans="3:32" s="45" customFormat="1" ht="12.75" hidden="1">
      <c r="C1593" s="114"/>
      <c r="O1593" s="115"/>
      <c r="P1593" s="113"/>
      <c r="Q1593" s="113"/>
      <c r="R1593" s="113"/>
      <c r="S1593" s="113"/>
      <c r="T1593" s="113"/>
      <c r="V1593"/>
      <c r="W1593"/>
      <c r="Y1593"/>
      <c r="Z1593"/>
      <c r="AA1593"/>
      <c r="AB1593"/>
      <c r="AC1593"/>
      <c r="AD1593"/>
      <c r="AE1593"/>
      <c r="AF1593"/>
    </row>
    <row r="1594" spans="3:32" s="45" customFormat="1" ht="12.75" hidden="1">
      <c r="C1594" s="114"/>
      <c r="O1594" s="115"/>
      <c r="P1594" s="113"/>
      <c r="Q1594" s="113"/>
      <c r="R1594" s="113"/>
      <c r="S1594" s="113"/>
      <c r="T1594" s="113"/>
      <c r="V1594"/>
      <c r="W1594"/>
      <c r="Y1594"/>
      <c r="Z1594"/>
      <c r="AA1594"/>
      <c r="AB1594"/>
      <c r="AC1594"/>
      <c r="AD1594"/>
      <c r="AE1594"/>
      <c r="AF1594"/>
    </row>
    <row r="1595" spans="3:32" s="45" customFormat="1" ht="12.75" hidden="1">
      <c r="C1595" s="114"/>
      <c r="O1595" s="115"/>
      <c r="P1595" s="113"/>
      <c r="Q1595" s="113"/>
      <c r="R1595" s="113"/>
      <c r="S1595" s="113"/>
      <c r="T1595" s="113"/>
      <c r="V1595"/>
      <c r="W1595"/>
      <c r="Y1595"/>
      <c r="Z1595"/>
      <c r="AA1595"/>
      <c r="AB1595"/>
      <c r="AC1595"/>
      <c r="AD1595"/>
      <c r="AE1595"/>
      <c r="AF1595"/>
    </row>
    <row r="1596" spans="3:32" s="45" customFormat="1" ht="12.75" hidden="1">
      <c r="C1596" s="114"/>
      <c r="O1596" s="115"/>
      <c r="P1596" s="113"/>
      <c r="Q1596" s="113"/>
      <c r="R1596" s="113"/>
      <c r="S1596" s="113"/>
      <c r="T1596" s="113"/>
      <c r="V1596"/>
      <c r="W1596"/>
      <c r="Y1596"/>
      <c r="Z1596"/>
      <c r="AA1596"/>
      <c r="AB1596"/>
      <c r="AC1596"/>
      <c r="AD1596"/>
      <c r="AE1596"/>
      <c r="AF1596"/>
    </row>
    <row r="1597" spans="3:32" s="45" customFormat="1" ht="12.75" hidden="1">
      <c r="C1597" s="114"/>
      <c r="O1597" s="115"/>
      <c r="P1597" s="113"/>
      <c r="Q1597" s="113"/>
      <c r="R1597" s="113"/>
      <c r="S1597" s="113"/>
      <c r="T1597" s="113"/>
      <c r="V1597"/>
      <c r="W1597"/>
      <c r="Y1597"/>
      <c r="Z1597"/>
      <c r="AA1597"/>
      <c r="AB1597"/>
      <c r="AC1597"/>
      <c r="AD1597"/>
      <c r="AE1597"/>
      <c r="AF1597"/>
    </row>
    <row r="1598" spans="3:32" s="45" customFormat="1" ht="12.75" hidden="1">
      <c r="C1598" s="114"/>
      <c r="O1598" s="115"/>
      <c r="P1598" s="113"/>
      <c r="Q1598" s="113"/>
      <c r="R1598" s="113"/>
      <c r="S1598" s="113"/>
      <c r="T1598" s="113"/>
      <c r="V1598"/>
      <c r="W1598"/>
      <c r="Y1598"/>
      <c r="Z1598"/>
      <c r="AA1598"/>
      <c r="AB1598"/>
      <c r="AC1598"/>
      <c r="AD1598"/>
      <c r="AE1598"/>
      <c r="AF1598"/>
    </row>
    <row r="1599" spans="3:32" s="45" customFormat="1" ht="12.75" hidden="1">
      <c r="C1599" s="114"/>
      <c r="O1599" s="115"/>
      <c r="P1599" s="113"/>
      <c r="Q1599" s="113"/>
      <c r="R1599" s="113"/>
      <c r="S1599" s="113"/>
      <c r="T1599" s="113"/>
      <c r="V1599"/>
      <c r="W1599"/>
      <c r="Y1599"/>
      <c r="Z1599"/>
      <c r="AA1599"/>
      <c r="AB1599"/>
      <c r="AC1599"/>
      <c r="AD1599"/>
      <c r="AE1599"/>
      <c r="AF1599"/>
    </row>
    <row r="1600" spans="3:32" s="45" customFormat="1" ht="12.75" hidden="1">
      <c r="C1600" s="114"/>
      <c r="O1600" s="115"/>
      <c r="P1600" s="113"/>
      <c r="Q1600" s="113"/>
      <c r="R1600" s="113"/>
      <c r="S1600" s="113"/>
      <c r="T1600" s="113"/>
      <c r="V1600"/>
      <c r="W1600"/>
      <c r="Y1600"/>
      <c r="Z1600"/>
      <c r="AA1600"/>
      <c r="AB1600"/>
      <c r="AC1600"/>
      <c r="AD1600"/>
      <c r="AE1600"/>
      <c r="AF1600"/>
    </row>
    <row r="1601" spans="3:32" s="45" customFormat="1" ht="12.75" hidden="1">
      <c r="C1601" s="114"/>
      <c r="O1601" s="115"/>
      <c r="P1601" s="113"/>
      <c r="Q1601" s="113"/>
      <c r="R1601" s="113"/>
      <c r="S1601" s="113"/>
      <c r="T1601" s="113"/>
      <c r="V1601"/>
      <c r="W1601"/>
      <c r="Y1601"/>
      <c r="Z1601"/>
      <c r="AA1601"/>
      <c r="AB1601"/>
      <c r="AC1601"/>
      <c r="AD1601"/>
      <c r="AE1601"/>
      <c r="AF1601"/>
    </row>
    <row r="1602" spans="3:32" s="45" customFormat="1" ht="12.75" hidden="1">
      <c r="C1602" s="114"/>
      <c r="O1602" s="115"/>
      <c r="P1602" s="113"/>
      <c r="Q1602" s="113"/>
      <c r="R1602" s="113"/>
      <c r="S1602" s="113"/>
      <c r="T1602" s="113"/>
      <c r="V1602"/>
      <c r="W1602"/>
      <c r="Y1602"/>
      <c r="Z1602"/>
      <c r="AA1602"/>
      <c r="AB1602"/>
      <c r="AC1602"/>
      <c r="AD1602"/>
      <c r="AE1602"/>
      <c r="AF1602"/>
    </row>
    <row r="1603" spans="3:32" s="45" customFormat="1" ht="12.75" hidden="1">
      <c r="C1603" s="114"/>
      <c r="O1603" s="115"/>
      <c r="P1603" s="113"/>
      <c r="Q1603" s="113"/>
      <c r="R1603" s="113"/>
      <c r="S1603" s="113"/>
      <c r="T1603" s="113"/>
      <c r="V1603"/>
      <c r="W1603"/>
      <c r="Y1603"/>
      <c r="Z1603"/>
      <c r="AA1603"/>
      <c r="AB1603"/>
      <c r="AC1603"/>
      <c r="AD1603"/>
      <c r="AE1603"/>
      <c r="AF1603"/>
    </row>
    <row r="1604" spans="3:32" s="45" customFormat="1" ht="12.75" hidden="1">
      <c r="C1604" s="114"/>
      <c r="O1604" s="115"/>
      <c r="P1604" s="113"/>
      <c r="Q1604" s="113"/>
      <c r="R1604" s="113"/>
      <c r="S1604" s="113"/>
      <c r="T1604" s="113"/>
      <c r="V1604"/>
      <c r="W1604"/>
      <c r="Y1604"/>
      <c r="Z1604"/>
      <c r="AA1604"/>
      <c r="AB1604"/>
      <c r="AC1604"/>
      <c r="AD1604"/>
      <c r="AE1604"/>
      <c r="AF1604"/>
    </row>
    <row r="1605" spans="3:32" s="45" customFormat="1" ht="12.75" hidden="1">
      <c r="C1605" s="114"/>
      <c r="O1605" s="115"/>
      <c r="P1605" s="113"/>
      <c r="Q1605" s="113"/>
      <c r="R1605" s="113"/>
      <c r="S1605" s="113"/>
      <c r="T1605" s="113"/>
      <c r="V1605"/>
      <c r="W1605"/>
      <c r="Y1605"/>
      <c r="Z1605"/>
      <c r="AA1605"/>
      <c r="AB1605"/>
      <c r="AC1605"/>
      <c r="AD1605"/>
      <c r="AE1605"/>
      <c r="AF1605"/>
    </row>
    <row r="1606" spans="3:32" s="45" customFormat="1" ht="12.75" hidden="1">
      <c r="C1606" s="114"/>
      <c r="O1606" s="115"/>
      <c r="P1606" s="113"/>
      <c r="Q1606" s="113"/>
      <c r="R1606" s="113"/>
      <c r="S1606" s="113"/>
      <c r="T1606" s="113"/>
      <c r="V1606"/>
      <c r="W1606"/>
      <c r="Y1606"/>
      <c r="Z1606"/>
      <c r="AA1606"/>
      <c r="AB1606"/>
      <c r="AC1606"/>
      <c r="AD1606"/>
      <c r="AE1606"/>
      <c r="AF1606"/>
    </row>
    <row r="1607" spans="3:32" s="45" customFormat="1" ht="12.75" hidden="1">
      <c r="C1607" s="114"/>
      <c r="O1607" s="115"/>
      <c r="P1607" s="113"/>
      <c r="Q1607" s="113"/>
      <c r="R1607" s="113"/>
      <c r="S1607" s="113"/>
      <c r="T1607" s="113"/>
      <c r="V1607"/>
      <c r="W1607"/>
      <c r="Y1607"/>
      <c r="Z1607"/>
      <c r="AA1607"/>
      <c r="AB1607"/>
      <c r="AC1607"/>
      <c r="AD1607"/>
      <c r="AE1607"/>
      <c r="AF1607"/>
    </row>
    <row r="1608" spans="3:32" s="45" customFormat="1" ht="12.75" hidden="1">
      <c r="C1608" s="114"/>
      <c r="O1608" s="115"/>
      <c r="P1608" s="113"/>
      <c r="Q1608" s="113"/>
      <c r="R1608" s="113"/>
      <c r="S1608" s="113"/>
      <c r="T1608" s="113"/>
      <c r="V1608"/>
      <c r="W1608"/>
      <c r="Y1608"/>
      <c r="Z1608"/>
      <c r="AA1608"/>
      <c r="AB1608"/>
      <c r="AC1608"/>
      <c r="AD1608"/>
      <c r="AE1608"/>
      <c r="AF1608"/>
    </row>
    <row r="1609" spans="3:32" s="45" customFormat="1" ht="12.75" hidden="1">
      <c r="C1609" s="114"/>
      <c r="O1609" s="115"/>
      <c r="P1609" s="113"/>
      <c r="Q1609" s="113"/>
      <c r="R1609" s="113"/>
      <c r="S1609" s="113"/>
      <c r="T1609" s="113"/>
      <c r="V1609"/>
      <c r="W1609"/>
      <c r="Y1609"/>
      <c r="Z1609"/>
      <c r="AA1609"/>
      <c r="AB1609"/>
      <c r="AC1609"/>
      <c r="AD1609"/>
      <c r="AE1609"/>
      <c r="AF1609"/>
    </row>
    <row r="1610" spans="3:32" s="45" customFormat="1" ht="12.75" hidden="1">
      <c r="C1610" s="114"/>
      <c r="O1610" s="115"/>
      <c r="P1610" s="113"/>
      <c r="Q1610" s="113"/>
      <c r="R1610" s="113"/>
      <c r="S1610" s="113"/>
      <c r="T1610" s="113"/>
      <c r="V1610"/>
      <c r="W1610"/>
      <c r="Y1610"/>
      <c r="Z1610"/>
      <c r="AA1610"/>
      <c r="AB1610"/>
      <c r="AC1610"/>
      <c r="AD1610"/>
      <c r="AE1610"/>
      <c r="AF1610"/>
    </row>
    <row r="1611" spans="3:32" s="45" customFormat="1" ht="12.75" hidden="1">
      <c r="C1611" s="114"/>
      <c r="O1611" s="115"/>
      <c r="P1611" s="113"/>
      <c r="Q1611" s="113"/>
      <c r="R1611" s="113"/>
      <c r="S1611" s="113"/>
      <c r="T1611" s="113"/>
      <c r="V1611"/>
      <c r="W1611"/>
      <c r="Y1611"/>
      <c r="Z1611"/>
      <c r="AA1611"/>
      <c r="AB1611"/>
      <c r="AC1611"/>
      <c r="AD1611"/>
      <c r="AE1611"/>
      <c r="AF1611"/>
    </row>
    <row r="1612" spans="3:32" s="45" customFormat="1" ht="12.75" hidden="1">
      <c r="C1612" s="114"/>
      <c r="O1612" s="115"/>
      <c r="P1612" s="113"/>
      <c r="Q1612" s="113"/>
      <c r="R1612" s="113"/>
      <c r="S1612" s="113"/>
      <c r="T1612" s="113"/>
      <c r="V1612"/>
      <c r="W1612"/>
      <c r="Y1612"/>
      <c r="Z1612"/>
      <c r="AA1612"/>
      <c r="AB1612"/>
      <c r="AC1612"/>
      <c r="AD1612"/>
      <c r="AE1612"/>
      <c r="AF1612"/>
    </row>
    <row r="1613" spans="3:32" s="45" customFormat="1" ht="12.75" hidden="1">
      <c r="C1613" s="114"/>
      <c r="O1613" s="115"/>
      <c r="P1613" s="113"/>
      <c r="Q1613" s="113"/>
      <c r="R1613" s="113"/>
      <c r="S1613" s="113"/>
      <c r="T1613" s="113"/>
      <c r="V1613"/>
      <c r="W1613"/>
      <c r="Y1613"/>
      <c r="Z1613"/>
      <c r="AA1613"/>
      <c r="AB1613"/>
      <c r="AC1613"/>
      <c r="AD1613"/>
      <c r="AE1613"/>
      <c r="AF1613"/>
    </row>
    <row r="1614" spans="3:32" s="45" customFormat="1" ht="12.75" hidden="1">
      <c r="C1614" s="114"/>
      <c r="O1614" s="115"/>
      <c r="P1614" s="113"/>
      <c r="Q1614" s="113"/>
      <c r="R1614" s="113"/>
      <c r="S1614" s="113"/>
      <c r="T1614" s="113"/>
      <c r="V1614"/>
      <c r="W1614"/>
      <c r="Y1614"/>
      <c r="Z1614"/>
      <c r="AA1614"/>
      <c r="AB1614"/>
      <c r="AC1614"/>
      <c r="AD1614"/>
      <c r="AE1614"/>
      <c r="AF1614"/>
    </row>
    <row r="1615" spans="3:32" s="45" customFormat="1" ht="12.75" hidden="1">
      <c r="C1615" s="114"/>
      <c r="O1615" s="115"/>
      <c r="P1615" s="113"/>
      <c r="Q1615" s="113"/>
      <c r="R1615" s="113"/>
      <c r="S1615" s="113"/>
      <c r="T1615" s="113"/>
      <c r="V1615"/>
      <c r="W1615"/>
      <c r="Y1615"/>
      <c r="Z1615"/>
      <c r="AA1615"/>
      <c r="AB1615"/>
      <c r="AC1615"/>
      <c r="AD1615"/>
      <c r="AE1615"/>
      <c r="AF1615"/>
    </row>
    <row r="1616" spans="3:32" s="45" customFormat="1" ht="12.75" hidden="1">
      <c r="C1616" s="114"/>
      <c r="O1616" s="115"/>
      <c r="P1616" s="113"/>
      <c r="Q1616" s="113"/>
      <c r="R1616" s="113"/>
      <c r="S1616" s="113"/>
      <c r="T1616" s="113"/>
      <c r="V1616"/>
      <c r="W1616"/>
      <c r="Y1616"/>
      <c r="Z1616"/>
      <c r="AA1616"/>
      <c r="AB1616"/>
      <c r="AC1616"/>
      <c r="AD1616"/>
      <c r="AE1616"/>
      <c r="AF1616"/>
    </row>
    <row r="1617" spans="3:32" s="45" customFormat="1" ht="12.75" hidden="1">
      <c r="C1617" s="114"/>
      <c r="O1617" s="115"/>
      <c r="P1617" s="113"/>
      <c r="Q1617" s="113"/>
      <c r="R1617" s="113"/>
      <c r="S1617" s="113"/>
      <c r="T1617" s="113"/>
      <c r="V1617"/>
      <c r="W1617"/>
      <c r="Y1617"/>
      <c r="Z1617"/>
      <c r="AA1617"/>
      <c r="AB1617"/>
      <c r="AC1617"/>
      <c r="AD1617"/>
      <c r="AE1617"/>
      <c r="AF1617"/>
    </row>
    <row r="1618" spans="3:32" s="45" customFormat="1" ht="12.75" hidden="1">
      <c r="C1618" s="114"/>
      <c r="O1618" s="115"/>
      <c r="P1618" s="113"/>
      <c r="Q1618" s="113"/>
      <c r="R1618" s="113"/>
      <c r="S1618" s="113"/>
      <c r="T1618" s="113"/>
      <c r="V1618"/>
      <c r="W1618"/>
      <c r="Y1618"/>
      <c r="Z1618"/>
      <c r="AA1618"/>
      <c r="AB1618"/>
      <c r="AC1618"/>
      <c r="AD1618"/>
      <c r="AE1618"/>
      <c r="AF1618"/>
    </row>
    <row r="1619" spans="3:32" s="45" customFormat="1" ht="12.75" hidden="1">
      <c r="C1619" s="114"/>
      <c r="O1619" s="115"/>
      <c r="P1619" s="113"/>
      <c r="Q1619" s="113"/>
      <c r="R1619" s="113"/>
      <c r="S1619" s="113"/>
      <c r="T1619" s="113"/>
      <c r="V1619"/>
      <c r="W1619"/>
      <c r="Y1619"/>
      <c r="Z1619"/>
      <c r="AA1619"/>
      <c r="AB1619"/>
      <c r="AC1619"/>
      <c r="AD1619"/>
      <c r="AE1619"/>
      <c r="AF1619"/>
    </row>
    <row r="1620" spans="3:32" s="45" customFormat="1" ht="12.75" hidden="1">
      <c r="C1620" s="114"/>
      <c r="O1620" s="115"/>
      <c r="P1620" s="113"/>
      <c r="Q1620" s="113"/>
      <c r="R1620" s="113"/>
      <c r="S1620" s="113"/>
      <c r="T1620" s="113"/>
      <c r="V1620"/>
      <c r="W1620"/>
      <c r="Y1620"/>
      <c r="Z1620"/>
      <c r="AA1620"/>
      <c r="AB1620"/>
      <c r="AC1620"/>
      <c r="AD1620"/>
      <c r="AE1620"/>
      <c r="AF1620"/>
    </row>
    <row r="1621" spans="3:32" s="45" customFormat="1" ht="12.75" hidden="1">
      <c r="C1621" s="114"/>
      <c r="O1621" s="115"/>
      <c r="P1621" s="113"/>
      <c r="Q1621" s="113"/>
      <c r="R1621" s="113"/>
      <c r="S1621" s="113"/>
      <c r="T1621" s="113"/>
      <c r="V1621"/>
      <c r="W1621"/>
      <c r="Y1621"/>
      <c r="Z1621"/>
      <c r="AA1621"/>
      <c r="AB1621"/>
      <c r="AC1621"/>
      <c r="AD1621"/>
      <c r="AE1621"/>
      <c r="AF1621"/>
    </row>
    <row r="1622" spans="3:32" s="45" customFormat="1" ht="12.75" hidden="1">
      <c r="C1622" s="114"/>
      <c r="O1622" s="115"/>
      <c r="P1622" s="113"/>
      <c r="Q1622" s="113"/>
      <c r="R1622" s="113"/>
      <c r="S1622" s="113"/>
      <c r="T1622" s="113"/>
      <c r="V1622"/>
      <c r="W1622"/>
      <c r="Y1622"/>
      <c r="Z1622"/>
      <c r="AA1622"/>
      <c r="AB1622"/>
      <c r="AC1622"/>
      <c r="AD1622"/>
      <c r="AE1622"/>
      <c r="AF1622"/>
    </row>
    <row r="1623" spans="3:32" s="45" customFormat="1" ht="12.75" hidden="1">
      <c r="C1623" s="114"/>
      <c r="O1623" s="115"/>
      <c r="P1623" s="113"/>
      <c r="Q1623" s="113"/>
      <c r="R1623" s="113"/>
      <c r="S1623" s="113"/>
      <c r="T1623" s="113"/>
      <c r="V1623"/>
      <c r="W1623"/>
      <c r="Y1623"/>
      <c r="Z1623"/>
      <c r="AA1623"/>
      <c r="AB1623"/>
      <c r="AC1623"/>
      <c r="AD1623"/>
      <c r="AE1623"/>
      <c r="AF1623"/>
    </row>
    <row r="1624" spans="3:32" s="45" customFormat="1" ht="12.75" hidden="1">
      <c r="C1624" s="114"/>
      <c r="O1624" s="115"/>
      <c r="P1624" s="113"/>
      <c r="Q1624" s="113"/>
      <c r="R1624" s="113"/>
      <c r="S1624" s="113"/>
      <c r="T1624" s="113"/>
      <c r="V1624"/>
      <c r="W1624"/>
      <c r="Y1624"/>
      <c r="Z1624"/>
      <c r="AA1624"/>
      <c r="AB1624"/>
      <c r="AC1624"/>
      <c r="AD1624"/>
      <c r="AE1624"/>
      <c r="AF1624"/>
    </row>
    <row r="1625" spans="3:32" s="45" customFormat="1" ht="12.75" hidden="1">
      <c r="C1625" s="114"/>
      <c r="O1625" s="115"/>
      <c r="P1625" s="113"/>
      <c r="Q1625" s="113"/>
      <c r="R1625" s="113"/>
      <c r="S1625" s="113"/>
      <c r="T1625" s="113"/>
      <c r="V1625"/>
      <c r="W1625"/>
      <c r="Y1625"/>
      <c r="Z1625"/>
      <c r="AA1625"/>
      <c r="AB1625"/>
      <c r="AC1625"/>
      <c r="AD1625"/>
      <c r="AE1625"/>
      <c r="AF1625"/>
    </row>
    <row r="1626" spans="3:32" s="45" customFormat="1" ht="12.75" hidden="1">
      <c r="C1626" s="114"/>
      <c r="O1626" s="115"/>
      <c r="P1626" s="113"/>
      <c r="Q1626" s="113"/>
      <c r="R1626" s="113"/>
      <c r="S1626" s="113"/>
      <c r="T1626" s="113"/>
      <c r="V1626"/>
      <c r="W1626"/>
      <c r="Y1626"/>
      <c r="Z1626"/>
      <c r="AA1626"/>
      <c r="AB1626"/>
      <c r="AC1626"/>
      <c r="AD1626"/>
      <c r="AE1626"/>
      <c r="AF1626"/>
    </row>
    <row r="1627" spans="3:32" s="45" customFormat="1" ht="12.75" hidden="1">
      <c r="C1627" s="114"/>
      <c r="O1627" s="115"/>
      <c r="P1627" s="113"/>
      <c r="Q1627" s="113"/>
      <c r="R1627" s="113"/>
      <c r="S1627" s="113"/>
      <c r="T1627" s="113"/>
      <c r="V1627"/>
      <c r="W1627"/>
      <c r="Y1627"/>
      <c r="Z1627"/>
      <c r="AA1627"/>
      <c r="AB1627"/>
      <c r="AC1627"/>
      <c r="AD1627"/>
      <c r="AE1627"/>
      <c r="AF1627"/>
    </row>
    <row r="1628" spans="3:32" s="45" customFormat="1" ht="12.75" hidden="1">
      <c r="C1628" s="114"/>
      <c r="O1628" s="115"/>
      <c r="P1628" s="113"/>
      <c r="Q1628" s="113"/>
      <c r="R1628" s="113"/>
      <c r="S1628" s="113"/>
      <c r="T1628" s="113"/>
      <c r="V1628"/>
      <c r="W1628"/>
      <c r="Y1628"/>
      <c r="Z1628"/>
      <c r="AA1628"/>
      <c r="AB1628"/>
      <c r="AC1628"/>
      <c r="AD1628"/>
      <c r="AE1628"/>
      <c r="AF1628"/>
    </row>
    <row r="1629" spans="3:32" s="45" customFormat="1" ht="12.75" hidden="1">
      <c r="C1629" s="114"/>
      <c r="O1629" s="115"/>
      <c r="P1629" s="113"/>
      <c r="Q1629" s="113"/>
      <c r="R1629" s="113"/>
      <c r="S1629" s="113"/>
      <c r="T1629" s="113"/>
      <c r="V1629"/>
      <c r="W1629"/>
      <c r="Y1629"/>
      <c r="Z1629"/>
      <c r="AA1629"/>
      <c r="AB1629"/>
      <c r="AC1629"/>
      <c r="AD1629"/>
      <c r="AE1629"/>
      <c r="AF1629"/>
    </row>
    <row r="1630" spans="3:32" s="45" customFormat="1" ht="12.75" hidden="1">
      <c r="C1630" s="114"/>
      <c r="O1630" s="115"/>
      <c r="P1630" s="113"/>
      <c r="Q1630" s="113"/>
      <c r="R1630" s="113"/>
      <c r="S1630" s="113"/>
      <c r="T1630" s="113"/>
      <c r="V1630"/>
      <c r="W1630"/>
      <c r="Y1630"/>
      <c r="Z1630"/>
      <c r="AA1630"/>
      <c r="AB1630"/>
      <c r="AC1630"/>
      <c r="AD1630"/>
      <c r="AE1630"/>
      <c r="AF1630"/>
    </row>
    <row r="1631" spans="3:32" s="45" customFormat="1" ht="12.75" hidden="1">
      <c r="C1631" s="114"/>
      <c r="O1631" s="115"/>
      <c r="P1631" s="113"/>
      <c r="Q1631" s="113"/>
      <c r="R1631" s="113"/>
      <c r="S1631" s="113"/>
      <c r="T1631" s="113"/>
      <c r="V1631"/>
      <c r="W1631"/>
      <c r="Y1631"/>
      <c r="Z1631"/>
      <c r="AA1631"/>
      <c r="AB1631"/>
      <c r="AC1631"/>
      <c r="AD1631"/>
      <c r="AE1631"/>
      <c r="AF1631"/>
    </row>
    <row r="1632" spans="3:32" s="45" customFormat="1" ht="12.75" hidden="1">
      <c r="C1632" s="114"/>
      <c r="O1632" s="115"/>
      <c r="P1632" s="113"/>
      <c r="Q1632" s="113"/>
      <c r="R1632" s="113"/>
      <c r="S1632" s="113"/>
      <c r="T1632" s="113"/>
      <c r="V1632"/>
      <c r="W1632"/>
      <c r="Y1632"/>
      <c r="Z1632"/>
      <c r="AA1632"/>
      <c r="AB1632"/>
      <c r="AC1632"/>
      <c r="AD1632"/>
      <c r="AE1632"/>
      <c r="AF1632"/>
    </row>
    <row r="1633" spans="3:32" s="45" customFormat="1" ht="12.75" hidden="1">
      <c r="C1633" s="114"/>
      <c r="O1633" s="115"/>
      <c r="P1633" s="113"/>
      <c r="Q1633" s="113"/>
      <c r="R1633" s="113"/>
      <c r="S1633" s="113"/>
      <c r="T1633" s="113"/>
      <c r="V1633"/>
      <c r="W1633"/>
      <c r="Y1633"/>
      <c r="Z1633"/>
      <c r="AA1633"/>
      <c r="AB1633"/>
      <c r="AC1633"/>
      <c r="AD1633"/>
      <c r="AE1633"/>
      <c r="AF1633"/>
    </row>
    <row r="1634" spans="3:32" s="45" customFormat="1" ht="12.75" hidden="1">
      <c r="C1634" s="114"/>
      <c r="O1634" s="115"/>
      <c r="P1634" s="113"/>
      <c r="Q1634" s="113"/>
      <c r="R1634" s="113"/>
      <c r="S1634" s="113"/>
      <c r="T1634" s="113"/>
      <c r="V1634"/>
      <c r="W1634"/>
      <c r="Y1634"/>
      <c r="Z1634"/>
      <c r="AA1634"/>
      <c r="AB1634"/>
      <c r="AC1634"/>
      <c r="AD1634"/>
      <c r="AE1634"/>
      <c r="AF1634"/>
    </row>
    <row r="1635" spans="3:32" s="45" customFormat="1" ht="12.75" hidden="1">
      <c r="C1635" s="114"/>
      <c r="O1635" s="115"/>
      <c r="P1635" s="113"/>
      <c r="Q1635" s="113"/>
      <c r="R1635" s="113"/>
      <c r="S1635" s="113"/>
      <c r="T1635" s="113"/>
      <c r="V1635"/>
      <c r="W1635"/>
      <c r="Y1635"/>
      <c r="Z1635"/>
      <c r="AA1635"/>
      <c r="AB1635"/>
      <c r="AC1635"/>
      <c r="AD1635"/>
      <c r="AE1635"/>
      <c r="AF1635"/>
    </row>
    <row r="1636" spans="3:32" s="45" customFormat="1" ht="12.75" hidden="1">
      <c r="C1636" s="114"/>
      <c r="O1636" s="115"/>
      <c r="P1636" s="113"/>
      <c r="Q1636" s="113"/>
      <c r="R1636" s="113"/>
      <c r="S1636" s="113"/>
      <c r="T1636" s="113"/>
      <c r="V1636"/>
      <c r="W1636"/>
      <c r="Y1636"/>
      <c r="Z1636"/>
      <c r="AA1636"/>
      <c r="AB1636"/>
      <c r="AC1636"/>
      <c r="AD1636"/>
      <c r="AE1636"/>
      <c r="AF1636"/>
    </row>
    <row r="1637" spans="3:32" s="45" customFormat="1" ht="12.75" hidden="1">
      <c r="C1637" s="114"/>
      <c r="O1637" s="115"/>
      <c r="P1637" s="113"/>
      <c r="Q1637" s="113"/>
      <c r="R1637" s="113"/>
      <c r="S1637" s="113"/>
      <c r="T1637" s="113"/>
      <c r="V1637"/>
      <c r="W1637"/>
      <c r="Y1637"/>
      <c r="Z1637"/>
      <c r="AA1637"/>
      <c r="AB1637"/>
      <c r="AC1637"/>
      <c r="AD1637"/>
      <c r="AE1637"/>
      <c r="AF1637"/>
    </row>
    <row r="1638" spans="3:32" s="45" customFormat="1" ht="12.75" hidden="1">
      <c r="C1638" s="114"/>
      <c r="O1638" s="115"/>
      <c r="P1638" s="113"/>
      <c r="Q1638" s="113"/>
      <c r="R1638" s="113"/>
      <c r="S1638" s="113"/>
      <c r="T1638" s="113"/>
      <c r="V1638"/>
      <c r="W1638"/>
      <c r="Y1638"/>
      <c r="Z1638"/>
      <c r="AA1638"/>
      <c r="AB1638"/>
      <c r="AC1638"/>
      <c r="AD1638"/>
      <c r="AE1638"/>
      <c r="AF1638"/>
    </row>
    <row r="1639" spans="3:32" s="45" customFormat="1" ht="12.75" hidden="1">
      <c r="C1639" s="114"/>
      <c r="O1639" s="115"/>
      <c r="P1639" s="113"/>
      <c r="Q1639" s="113"/>
      <c r="R1639" s="113"/>
      <c r="S1639" s="113"/>
      <c r="T1639" s="113"/>
      <c r="V1639"/>
      <c r="W1639"/>
      <c r="Y1639"/>
      <c r="Z1639"/>
      <c r="AA1639"/>
      <c r="AB1639"/>
      <c r="AC1639"/>
      <c r="AD1639"/>
      <c r="AE1639"/>
      <c r="AF1639"/>
    </row>
    <row r="1640" spans="3:32" s="45" customFormat="1" ht="12.75" hidden="1">
      <c r="C1640" s="114"/>
      <c r="O1640" s="115"/>
      <c r="P1640" s="113"/>
      <c r="Q1640" s="113"/>
      <c r="R1640" s="113"/>
      <c r="S1640" s="113"/>
      <c r="T1640" s="113"/>
      <c r="V1640"/>
      <c r="W1640"/>
      <c r="Y1640"/>
      <c r="Z1640"/>
      <c r="AA1640"/>
      <c r="AB1640"/>
      <c r="AC1640"/>
      <c r="AD1640"/>
      <c r="AE1640"/>
      <c r="AF1640"/>
    </row>
    <row r="1641" spans="3:32" s="45" customFormat="1" ht="12.75" hidden="1">
      <c r="C1641" s="114"/>
      <c r="O1641" s="115"/>
      <c r="P1641" s="113"/>
      <c r="Q1641" s="113"/>
      <c r="R1641" s="113"/>
      <c r="S1641" s="113"/>
      <c r="T1641" s="113"/>
      <c r="V1641"/>
      <c r="W1641"/>
      <c r="Y1641"/>
      <c r="Z1641"/>
      <c r="AA1641"/>
      <c r="AB1641"/>
      <c r="AC1641"/>
      <c r="AD1641"/>
      <c r="AE1641"/>
      <c r="AF1641"/>
    </row>
    <row r="1642" spans="3:32" s="45" customFormat="1" ht="12.75" hidden="1">
      <c r="C1642" s="114"/>
      <c r="O1642" s="115"/>
      <c r="P1642" s="113"/>
      <c r="Q1642" s="113"/>
      <c r="R1642" s="113"/>
      <c r="S1642" s="113"/>
      <c r="T1642" s="113"/>
      <c r="V1642"/>
      <c r="W1642"/>
      <c r="Y1642"/>
      <c r="Z1642"/>
      <c r="AA1642"/>
      <c r="AB1642"/>
      <c r="AC1642"/>
      <c r="AD1642"/>
      <c r="AE1642"/>
      <c r="AF1642"/>
    </row>
    <row r="1643" spans="3:32" s="45" customFormat="1" ht="12.75" hidden="1">
      <c r="C1643" s="114"/>
      <c r="O1643" s="115"/>
      <c r="P1643" s="113"/>
      <c r="Q1643" s="113"/>
      <c r="R1643" s="113"/>
      <c r="S1643" s="113"/>
      <c r="T1643" s="113"/>
      <c r="V1643"/>
      <c r="W1643"/>
      <c r="Y1643"/>
      <c r="Z1643"/>
      <c r="AA1643"/>
      <c r="AB1643"/>
      <c r="AC1643"/>
      <c r="AD1643"/>
      <c r="AE1643"/>
      <c r="AF1643"/>
    </row>
    <row r="1644" spans="3:32" s="45" customFormat="1" ht="12.75" hidden="1">
      <c r="C1644" s="114"/>
      <c r="O1644" s="115"/>
      <c r="P1644" s="113"/>
      <c r="Q1644" s="113"/>
      <c r="R1644" s="113"/>
      <c r="S1644" s="113"/>
      <c r="T1644" s="113"/>
      <c r="V1644"/>
      <c r="W1644"/>
      <c r="Y1644"/>
      <c r="Z1644"/>
      <c r="AA1644"/>
      <c r="AB1644"/>
      <c r="AC1644"/>
      <c r="AD1644"/>
      <c r="AE1644"/>
      <c r="AF1644"/>
    </row>
    <row r="1645" spans="3:32" s="45" customFormat="1" ht="12.75" hidden="1">
      <c r="C1645" s="114"/>
      <c r="O1645" s="115"/>
      <c r="P1645" s="113"/>
      <c r="Q1645" s="113"/>
      <c r="R1645" s="113"/>
      <c r="S1645" s="113"/>
      <c r="T1645" s="113"/>
      <c r="V1645"/>
      <c r="W1645"/>
      <c r="Y1645"/>
      <c r="Z1645"/>
      <c r="AA1645"/>
      <c r="AB1645"/>
      <c r="AC1645"/>
      <c r="AD1645"/>
      <c r="AE1645"/>
      <c r="AF1645"/>
    </row>
    <row r="1646" spans="3:32" s="45" customFormat="1" ht="12.75" hidden="1">
      <c r="C1646" s="114"/>
      <c r="O1646" s="115"/>
      <c r="P1646" s="113"/>
      <c r="Q1646" s="113"/>
      <c r="R1646" s="113"/>
      <c r="S1646" s="113"/>
      <c r="T1646" s="113"/>
      <c r="V1646"/>
      <c r="W1646"/>
      <c r="Y1646"/>
      <c r="Z1646"/>
      <c r="AA1646"/>
      <c r="AB1646"/>
      <c r="AC1646"/>
      <c r="AD1646"/>
      <c r="AE1646"/>
      <c r="AF1646"/>
    </row>
    <row r="1647" spans="3:32" s="45" customFormat="1" ht="12.75" hidden="1">
      <c r="C1647" s="114"/>
      <c r="O1647" s="115"/>
      <c r="P1647" s="113"/>
      <c r="Q1647" s="113"/>
      <c r="R1647" s="113"/>
      <c r="S1647" s="113"/>
      <c r="T1647" s="113"/>
      <c r="V1647"/>
      <c r="W1647"/>
      <c r="Y1647"/>
      <c r="Z1647"/>
      <c r="AA1647"/>
      <c r="AB1647"/>
      <c r="AC1647"/>
      <c r="AD1647"/>
      <c r="AE1647"/>
      <c r="AF1647"/>
    </row>
    <row r="1648" spans="3:32" s="45" customFormat="1" ht="12.75" hidden="1">
      <c r="C1648" s="114"/>
      <c r="O1648" s="115"/>
      <c r="P1648" s="113"/>
      <c r="Q1648" s="113"/>
      <c r="R1648" s="113"/>
      <c r="S1648" s="113"/>
      <c r="T1648" s="113"/>
      <c r="V1648"/>
      <c r="W1648"/>
      <c r="Y1648"/>
      <c r="Z1648"/>
      <c r="AA1648"/>
      <c r="AB1648"/>
      <c r="AC1648"/>
      <c r="AD1648"/>
      <c r="AE1648"/>
      <c r="AF1648"/>
    </row>
    <row r="1649" spans="3:32" s="45" customFormat="1" ht="12.75" hidden="1">
      <c r="C1649" s="114"/>
      <c r="O1649" s="115"/>
      <c r="P1649" s="113"/>
      <c r="Q1649" s="113"/>
      <c r="R1649" s="113"/>
      <c r="S1649" s="113"/>
      <c r="T1649" s="113"/>
      <c r="V1649"/>
      <c r="W1649"/>
      <c r="Y1649"/>
      <c r="Z1649"/>
      <c r="AA1649"/>
      <c r="AB1649"/>
      <c r="AC1649"/>
      <c r="AD1649"/>
      <c r="AE1649"/>
      <c r="AF1649"/>
    </row>
    <row r="1650" spans="3:32" s="45" customFormat="1" ht="12.75" hidden="1">
      <c r="C1650" s="114"/>
      <c r="O1650" s="115"/>
      <c r="P1650" s="113"/>
      <c r="Q1650" s="113"/>
      <c r="R1650" s="113"/>
      <c r="S1650" s="113"/>
      <c r="T1650" s="113"/>
      <c r="V1650"/>
      <c r="W1650"/>
      <c r="Y1650"/>
      <c r="Z1650"/>
      <c r="AA1650"/>
      <c r="AB1650"/>
      <c r="AC1650"/>
      <c r="AD1650"/>
      <c r="AE1650"/>
      <c r="AF1650"/>
    </row>
    <row r="1651" spans="3:32" s="45" customFormat="1" ht="12.75" hidden="1">
      <c r="C1651" s="114"/>
      <c r="O1651" s="115"/>
      <c r="P1651" s="113"/>
      <c r="Q1651" s="113"/>
      <c r="R1651" s="113"/>
      <c r="S1651" s="113"/>
      <c r="T1651" s="113"/>
      <c r="V1651"/>
      <c r="W1651"/>
      <c r="Y1651"/>
      <c r="Z1651"/>
      <c r="AA1651"/>
      <c r="AB1651"/>
      <c r="AC1651"/>
      <c r="AD1651"/>
      <c r="AE1651"/>
      <c r="AF1651"/>
    </row>
    <row r="1652" spans="3:32" s="45" customFormat="1" ht="12.75" hidden="1">
      <c r="C1652" s="114"/>
      <c r="O1652" s="115"/>
      <c r="P1652" s="113"/>
      <c r="Q1652" s="113"/>
      <c r="R1652" s="113"/>
      <c r="S1652" s="113"/>
      <c r="T1652" s="113"/>
      <c r="V1652"/>
      <c r="W1652"/>
      <c r="Y1652"/>
      <c r="Z1652"/>
      <c r="AA1652"/>
      <c r="AB1652"/>
      <c r="AC1652"/>
      <c r="AD1652"/>
      <c r="AE1652"/>
      <c r="AF1652"/>
    </row>
    <row r="1653" spans="3:32" s="45" customFormat="1" ht="12.75" hidden="1">
      <c r="C1653" s="114"/>
      <c r="O1653" s="115"/>
      <c r="P1653" s="113"/>
      <c r="Q1653" s="113"/>
      <c r="R1653" s="113"/>
      <c r="S1653" s="113"/>
      <c r="T1653" s="113"/>
      <c r="V1653"/>
      <c r="W1653"/>
      <c r="Y1653"/>
      <c r="Z1653"/>
      <c r="AA1653"/>
      <c r="AB1653"/>
      <c r="AC1653"/>
      <c r="AD1653"/>
      <c r="AE1653"/>
      <c r="AF1653"/>
    </row>
    <row r="1654" spans="3:32" s="45" customFormat="1" ht="12.75" hidden="1">
      <c r="C1654" s="114"/>
      <c r="O1654" s="115"/>
      <c r="P1654" s="113"/>
      <c r="Q1654" s="113"/>
      <c r="R1654" s="113"/>
      <c r="S1654" s="113"/>
      <c r="T1654" s="113"/>
      <c r="V1654"/>
      <c r="W1654"/>
      <c r="Y1654"/>
      <c r="Z1654"/>
      <c r="AA1654"/>
      <c r="AB1654"/>
      <c r="AC1654"/>
      <c r="AD1654"/>
      <c r="AE1654"/>
      <c r="AF1654"/>
    </row>
    <row r="1655" spans="3:32" s="45" customFormat="1" ht="12.75" hidden="1">
      <c r="C1655" s="114"/>
      <c r="O1655" s="115"/>
      <c r="P1655" s="113"/>
      <c r="Q1655" s="113"/>
      <c r="R1655" s="113"/>
      <c r="S1655" s="113"/>
      <c r="T1655" s="113"/>
      <c r="V1655"/>
      <c r="W1655"/>
      <c r="Y1655"/>
      <c r="Z1655"/>
      <c r="AA1655"/>
      <c r="AB1655"/>
      <c r="AC1655"/>
      <c r="AD1655"/>
      <c r="AE1655"/>
      <c r="AF1655"/>
    </row>
    <row r="1656" spans="3:32" s="45" customFormat="1" ht="12.75" hidden="1">
      <c r="C1656" s="114"/>
      <c r="O1656" s="115"/>
      <c r="P1656" s="113"/>
      <c r="Q1656" s="113"/>
      <c r="R1656" s="113"/>
      <c r="S1656" s="113"/>
      <c r="T1656" s="113"/>
      <c r="V1656"/>
      <c r="W1656"/>
      <c r="Y1656"/>
      <c r="Z1656"/>
      <c r="AA1656"/>
      <c r="AB1656"/>
      <c r="AC1656"/>
      <c r="AD1656"/>
      <c r="AE1656"/>
      <c r="AF1656"/>
    </row>
    <row r="1657" spans="3:32" s="45" customFormat="1" ht="12.75" hidden="1">
      <c r="C1657" s="114"/>
      <c r="O1657" s="115"/>
      <c r="P1657" s="113"/>
      <c r="Q1657" s="113"/>
      <c r="R1657" s="113"/>
      <c r="S1657" s="113"/>
      <c r="T1657" s="113"/>
      <c r="V1657"/>
      <c r="W1657"/>
      <c r="Y1657"/>
      <c r="Z1657"/>
      <c r="AA1657"/>
      <c r="AB1657"/>
      <c r="AC1657"/>
      <c r="AD1657"/>
      <c r="AE1657"/>
      <c r="AF1657"/>
    </row>
    <row r="1658" spans="3:32" s="45" customFormat="1" ht="12.75" hidden="1">
      <c r="C1658" s="114"/>
      <c r="O1658" s="115"/>
      <c r="P1658" s="113"/>
      <c r="Q1658" s="113"/>
      <c r="R1658" s="113"/>
      <c r="S1658" s="113"/>
      <c r="T1658" s="113"/>
      <c r="V1658"/>
      <c r="W1658"/>
      <c r="Y1658"/>
      <c r="Z1658"/>
      <c r="AA1658"/>
      <c r="AB1658"/>
      <c r="AC1658"/>
      <c r="AD1658"/>
      <c r="AE1658"/>
      <c r="AF1658"/>
    </row>
    <row r="1659" spans="3:32" s="45" customFormat="1" ht="12.75" hidden="1">
      <c r="C1659" s="114"/>
      <c r="O1659" s="115"/>
      <c r="P1659" s="113"/>
      <c r="Q1659" s="113"/>
      <c r="R1659" s="113"/>
      <c r="S1659" s="113"/>
      <c r="T1659" s="113"/>
      <c r="V1659"/>
      <c r="W1659"/>
      <c r="Y1659"/>
      <c r="Z1659"/>
      <c r="AA1659"/>
      <c r="AB1659"/>
      <c r="AC1659"/>
      <c r="AD1659"/>
      <c r="AE1659"/>
      <c r="AF1659"/>
    </row>
    <row r="1660" spans="3:32" s="45" customFormat="1" ht="12.75" hidden="1">
      <c r="C1660" s="114"/>
      <c r="O1660" s="115"/>
      <c r="P1660" s="113"/>
      <c r="Q1660" s="113"/>
      <c r="R1660" s="113"/>
      <c r="S1660" s="113"/>
      <c r="T1660" s="113"/>
      <c r="V1660"/>
      <c r="W1660"/>
      <c r="Y1660"/>
      <c r="Z1660"/>
      <c r="AA1660"/>
      <c r="AB1660"/>
      <c r="AC1660"/>
      <c r="AD1660"/>
      <c r="AE1660"/>
      <c r="AF1660"/>
    </row>
    <row r="1661" spans="3:32" s="45" customFormat="1" ht="12.75" hidden="1">
      <c r="C1661" s="114"/>
      <c r="O1661" s="115"/>
      <c r="P1661" s="113"/>
      <c r="Q1661" s="113"/>
      <c r="R1661" s="113"/>
      <c r="S1661" s="113"/>
      <c r="T1661" s="113"/>
      <c r="V1661"/>
      <c r="W1661"/>
      <c r="Y1661"/>
      <c r="Z1661"/>
      <c r="AA1661"/>
      <c r="AB1661"/>
      <c r="AC1661"/>
      <c r="AD1661"/>
      <c r="AE1661"/>
      <c r="AF1661"/>
    </row>
    <row r="1662" spans="3:32" s="45" customFormat="1" ht="12.75" hidden="1">
      <c r="C1662" s="114"/>
      <c r="O1662" s="115"/>
      <c r="P1662" s="113"/>
      <c r="Q1662" s="113"/>
      <c r="R1662" s="113"/>
      <c r="S1662" s="113"/>
      <c r="T1662" s="113"/>
      <c r="V1662"/>
      <c r="W1662"/>
      <c r="Y1662"/>
      <c r="Z1662"/>
      <c r="AA1662"/>
      <c r="AB1662"/>
      <c r="AC1662"/>
      <c r="AD1662"/>
      <c r="AE1662"/>
      <c r="AF1662"/>
    </row>
    <row r="1663" spans="3:32" s="45" customFormat="1" ht="12.75" hidden="1">
      <c r="C1663" s="114"/>
      <c r="O1663" s="115"/>
      <c r="P1663" s="113"/>
      <c r="Q1663" s="113"/>
      <c r="R1663" s="113"/>
      <c r="S1663" s="113"/>
      <c r="T1663" s="113"/>
      <c r="V1663"/>
      <c r="W1663"/>
      <c r="Y1663"/>
      <c r="Z1663"/>
      <c r="AA1663"/>
      <c r="AB1663"/>
      <c r="AC1663"/>
      <c r="AD1663"/>
      <c r="AE1663"/>
      <c r="AF1663"/>
    </row>
    <row r="1664" spans="3:32" s="45" customFormat="1" ht="12.75" hidden="1">
      <c r="C1664" s="114"/>
      <c r="O1664" s="115"/>
      <c r="P1664" s="113"/>
      <c r="Q1664" s="113"/>
      <c r="R1664" s="113"/>
      <c r="S1664" s="113"/>
      <c r="T1664" s="113"/>
      <c r="V1664"/>
      <c r="W1664"/>
      <c r="Y1664"/>
      <c r="Z1664"/>
      <c r="AA1664"/>
      <c r="AB1664"/>
      <c r="AC1664"/>
      <c r="AD1664"/>
      <c r="AE1664"/>
      <c r="AF1664"/>
    </row>
    <row r="1665" spans="3:32" s="45" customFormat="1" ht="12.75" hidden="1">
      <c r="C1665" s="114"/>
      <c r="O1665" s="115"/>
      <c r="P1665" s="113"/>
      <c r="Q1665" s="113"/>
      <c r="R1665" s="113"/>
      <c r="S1665" s="113"/>
      <c r="T1665" s="113"/>
      <c r="V1665"/>
      <c r="W1665"/>
      <c r="Y1665"/>
      <c r="Z1665"/>
      <c r="AA1665"/>
      <c r="AB1665"/>
      <c r="AC1665"/>
      <c r="AD1665"/>
      <c r="AE1665"/>
      <c r="AF1665"/>
    </row>
    <row r="1666" spans="3:32" s="45" customFormat="1" ht="12.75" hidden="1">
      <c r="C1666" s="114"/>
      <c r="O1666" s="115"/>
      <c r="P1666" s="113"/>
      <c r="Q1666" s="113"/>
      <c r="R1666" s="113"/>
      <c r="S1666" s="113"/>
      <c r="T1666" s="113"/>
      <c r="V1666"/>
      <c r="W1666"/>
      <c r="Y1666"/>
      <c r="Z1666"/>
      <c r="AA1666"/>
      <c r="AB1666"/>
      <c r="AC1666"/>
      <c r="AD1666"/>
      <c r="AE1666"/>
      <c r="AF1666"/>
    </row>
    <row r="1667" spans="3:32" s="45" customFormat="1" ht="12.75" hidden="1">
      <c r="C1667" s="114"/>
      <c r="O1667" s="115"/>
      <c r="P1667" s="113"/>
      <c r="Q1667" s="113"/>
      <c r="R1667" s="113"/>
      <c r="S1667" s="113"/>
      <c r="T1667" s="113"/>
      <c r="V1667"/>
      <c r="W1667"/>
      <c r="Y1667"/>
      <c r="Z1667"/>
      <c r="AA1667"/>
      <c r="AB1667"/>
      <c r="AC1667"/>
      <c r="AD1667"/>
      <c r="AE1667"/>
      <c r="AF1667"/>
    </row>
    <row r="1668" spans="3:32" s="45" customFormat="1" ht="12.75" hidden="1">
      <c r="C1668" s="114"/>
      <c r="O1668" s="115"/>
      <c r="P1668" s="113"/>
      <c r="Q1668" s="113"/>
      <c r="R1668" s="113"/>
      <c r="S1668" s="113"/>
      <c r="T1668" s="113"/>
      <c r="V1668"/>
      <c r="W1668"/>
      <c r="Y1668"/>
      <c r="Z1668"/>
      <c r="AA1668"/>
      <c r="AB1668"/>
      <c r="AC1668"/>
      <c r="AD1668"/>
      <c r="AE1668"/>
      <c r="AF1668"/>
    </row>
    <row r="1669" spans="3:32" s="45" customFormat="1" ht="12.75" hidden="1">
      <c r="C1669" s="114"/>
      <c r="O1669" s="115"/>
      <c r="P1669" s="113"/>
      <c r="Q1669" s="113"/>
      <c r="R1669" s="113"/>
      <c r="S1669" s="113"/>
      <c r="T1669" s="113"/>
      <c r="V1669"/>
      <c r="W1669"/>
      <c r="Y1669"/>
      <c r="Z1669"/>
      <c r="AA1669"/>
      <c r="AB1669"/>
      <c r="AC1669"/>
      <c r="AD1669"/>
      <c r="AE1669"/>
      <c r="AF1669"/>
    </row>
    <row r="1670" spans="3:32" s="45" customFormat="1" ht="12.75" hidden="1">
      <c r="C1670" s="114"/>
      <c r="O1670" s="115"/>
      <c r="P1670" s="113"/>
      <c r="Q1670" s="113"/>
      <c r="R1670" s="113"/>
      <c r="S1670" s="113"/>
      <c r="T1670" s="113"/>
      <c r="V1670"/>
      <c r="W1670"/>
      <c r="Y1670"/>
      <c r="Z1670"/>
      <c r="AA1670"/>
      <c r="AB1670"/>
      <c r="AC1670"/>
      <c r="AD1670"/>
      <c r="AE1670"/>
      <c r="AF1670"/>
    </row>
    <row r="1671" spans="3:32" s="45" customFormat="1" ht="12.75" hidden="1">
      <c r="C1671" s="114"/>
      <c r="O1671" s="115"/>
      <c r="P1671" s="113"/>
      <c r="Q1671" s="113"/>
      <c r="R1671" s="113"/>
      <c r="S1671" s="113"/>
      <c r="T1671" s="113"/>
      <c r="V1671"/>
      <c r="W1671"/>
      <c r="Y1671"/>
      <c r="Z1671"/>
      <c r="AA1671"/>
      <c r="AB1671"/>
      <c r="AC1671"/>
      <c r="AD1671"/>
      <c r="AE1671"/>
      <c r="AF1671"/>
    </row>
    <row r="1672" spans="3:32" s="45" customFormat="1" ht="12.75" hidden="1">
      <c r="C1672" s="114"/>
      <c r="O1672" s="115"/>
      <c r="P1672" s="113"/>
      <c r="Q1672" s="113"/>
      <c r="R1672" s="113"/>
      <c r="S1672" s="113"/>
      <c r="T1672" s="113"/>
      <c r="V1672"/>
      <c r="W1672"/>
      <c r="Y1672"/>
      <c r="Z1672"/>
      <c r="AA1672"/>
      <c r="AB1672"/>
      <c r="AC1672"/>
      <c r="AD1672"/>
      <c r="AE1672"/>
      <c r="AF1672"/>
    </row>
    <row r="1673" spans="3:32" s="45" customFormat="1" ht="12.75" hidden="1">
      <c r="C1673" s="114"/>
      <c r="O1673" s="115"/>
      <c r="P1673" s="113"/>
      <c r="Q1673" s="113"/>
      <c r="R1673" s="113"/>
      <c r="S1673" s="113"/>
      <c r="T1673" s="113"/>
      <c r="V1673"/>
      <c r="W1673"/>
      <c r="Y1673"/>
      <c r="Z1673"/>
      <c r="AA1673"/>
      <c r="AB1673"/>
      <c r="AC1673"/>
      <c r="AD1673"/>
      <c r="AE1673"/>
      <c r="AF1673"/>
    </row>
    <row r="1674" spans="3:32" s="45" customFormat="1" ht="12.75" hidden="1">
      <c r="C1674" s="114"/>
      <c r="O1674" s="115"/>
      <c r="P1674" s="113"/>
      <c r="Q1674" s="113"/>
      <c r="R1674" s="113"/>
      <c r="S1674" s="113"/>
      <c r="T1674" s="113"/>
      <c r="V1674"/>
      <c r="W1674"/>
      <c r="Y1674"/>
      <c r="Z1674"/>
      <c r="AA1674"/>
      <c r="AB1674"/>
      <c r="AC1674"/>
      <c r="AD1674"/>
      <c r="AE1674"/>
      <c r="AF1674"/>
    </row>
    <row r="1675" spans="3:32" s="45" customFormat="1" ht="12.75" hidden="1">
      <c r="C1675" s="114"/>
      <c r="O1675" s="115"/>
      <c r="P1675" s="113"/>
      <c r="Q1675" s="113"/>
      <c r="R1675" s="113"/>
      <c r="S1675" s="113"/>
      <c r="T1675" s="113"/>
      <c r="V1675"/>
      <c r="W1675"/>
      <c r="Y1675"/>
      <c r="Z1675"/>
      <c r="AA1675"/>
      <c r="AB1675"/>
      <c r="AC1675"/>
      <c r="AD1675"/>
      <c r="AE1675"/>
      <c r="AF1675"/>
    </row>
    <row r="1676" spans="3:32" s="45" customFormat="1" ht="12.75" hidden="1">
      <c r="C1676" s="114"/>
      <c r="O1676" s="115"/>
      <c r="P1676" s="113"/>
      <c r="Q1676" s="113"/>
      <c r="R1676" s="113"/>
      <c r="S1676" s="113"/>
      <c r="T1676" s="113"/>
      <c r="V1676"/>
      <c r="W1676"/>
      <c r="Y1676"/>
      <c r="Z1676"/>
      <c r="AA1676"/>
      <c r="AB1676"/>
      <c r="AC1676"/>
      <c r="AD1676"/>
      <c r="AE1676"/>
      <c r="AF1676"/>
    </row>
    <row r="1677" spans="3:32" s="45" customFormat="1" ht="12.75" hidden="1">
      <c r="C1677" s="114"/>
      <c r="O1677" s="115"/>
      <c r="P1677" s="113"/>
      <c r="Q1677" s="113"/>
      <c r="R1677" s="113"/>
      <c r="S1677" s="113"/>
      <c r="T1677" s="113"/>
      <c r="V1677"/>
      <c r="W1677"/>
      <c r="Y1677"/>
      <c r="Z1677"/>
      <c r="AA1677"/>
      <c r="AB1677"/>
      <c r="AC1677"/>
      <c r="AD1677"/>
      <c r="AE1677"/>
      <c r="AF1677"/>
    </row>
    <row r="1678" spans="3:32" s="45" customFormat="1" ht="12.75" hidden="1">
      <c r="C1678" s="114"/>
      <c r="O1678" s="115"/>
      <c r="P1678" s="113"/>
      <c r="Q1678" s="113"/>
      <c r="R1678" s="113"/>
      <c r="S1678" s="113"/>
      <c r="T1678" s="113"/>
      <c r="V1678"/>
      <c r="W1678"/>
      <c r="Y1678"/>
      <c r="Z1678"/>
      <c r="AA1678"/>
      <c r="AB1678"/>
      <c r="AC1678"/>
      <c r="AD1678"/>
      <c r="AE1678"/>
      <c r="AF1678"/>
    </row>
    <row r="1679" spans="3:32" s="45" customFormat="1" ht="12.75" hidden="1">
      <c r="C1679" s="114"/>
      <c r="O1679" s="115"/>
      <c r="P1679" s="113"/>
      <c r="Q1679" s="113"/>
      <c r="R1679" s="113"/>
      <c r="S1679" s="113"/>
      <c r="T1679" s="113"/>
      <c r="V1679"/>
      <c r="W1679"/>
      <c r="Y1679"/>
      <c r="Z1679"/>
      <c r="AA1679"/>
      <c r="AB1679"/>
      <c r="AC1679"/>
      <c r="AD1679"/>
      <c r="AE1679"/>
      <c r="AF1679"/>
    </row>
    <row r="1680" spans="3:32" s="45" customFormat="1" ht="12.75" hidden="1">
      <c r="C1680" s="114"/>
      <c r="O1680" s="115"/>
      <c r="P1680" s="113"/>
      <c r="Q1680" s="113"/>
      <c r="R1680" s="113"/>
      <c r="S1680" s="113"/>
      <c r="T1680" s="113"/>
      <c r="V1680"/>
      <c r="W1680"/>
      <c r="Y1680"/>
      <c r="Z1680"/>
      <c r="AA1680"/>
      <c r="AB1680"/>
      <c r="AC1680"/>
      <c r="AD1680"/>
      <c r="AE1680"/>
      <c r="AF1680"/>
    </row>
    <row r="1681" spans="3:32" s="45" customFormat="1" ht="12.75" hidden="1">
      <c r="C1681" s="114"/>
      <c r="O1681" s="115"/>
      <c r="P1681" s="113"/>
      <c r="Q1681" s="113"/>
      <c r="R1681" s="113"/>
      <c r="S1681" s="113"/>
      <c r="T1681" s="113"/>
      <c r="V1681"/>
      <c r="W1681"/>
      <c r="Y1681"/>
      <c r="Z1681"/>
      <c r="AA1681"/>
      <c r="AB1681"/>
      <c r="AC1681"/>
      <c r="AD1681"/>
      <c r="AE1681"/>
      <c r="AF1681"/>
    </row>
    <row r="1682" spans="3:32" s="45" customFormat="1" ht="12.75" hidden="1">
      <c r="C1682" s="114"/>
      <c r="O1682" s="115"/>
      <c r="P1682" s="113"/>
      <c r="Q1682" s="113"/>
      <c r="R1682" s="113"/>
      <c r="S1682" s="113"/>
      <c r="T1682" s="113"/>
      <c r="V1682"/>
      <c r="W1682"/>
      <c r="Y1682"/>
      <c r="Z1682"/>
      <c r="AA1682"/>
      <c r="AB1682"/>
      <c r="AC1682"/>
      <c r="AD1682"/>
      <c r="AE1682"/>
      <c r="AF1682"/>
    </row>
    <row r="1683" spans="3:32" s="45" customFormat="1" ht="12.75" hidden="1">
      <c r="C1683" s="114"/>
      <c r="O1683" s="115"/>
      <c r="P1683" s="113"/>
      <c r="Q1683" s="113"/>
      <c r="R1683" s="113"/>
      <c r="S1683" s="113"/>
      <c r="T1683" s="113"/>
      <c r="V1683"/>
      <c r="W1683"/>
      <c r="Y1683"/>
      <c r="Z1683"/>
      <c r="AA1683"/>
      <c r="AB1683"/>
      <c r="AC1683"/>
      <c r="AD1683"/>
      <c r="AE1683"/>
      <c r="AF1683"/>
    </row>
    <row r="1684" spans="3:32" s="45" customFormat="1" ht="12.75" hidden="1">
      <c r="C1684" s="114"/>
      <c r="O1684" s="115"/>
      <c r="P1684" s="113"/>
      <c r="Q1684" s="113"/>
      <c r="R1684" s="113"/>
      <c r="S1684" s="113"/>
      <c r="T1684" s="113"/>
      <c r="V1684"/>
      <c r="W1684"/>
      <c r="Y1684"/>
      <c r="Z1684"/>
      <c r="AA1684"/>
      <c r="AB1684"/>
      <c r="AC1684"/>
      <c r="AD1684"/>
      <c r="AE1684"/>
      <c r="AF1684"/>
    </row>
    <row r="1685" spans="3:32" s="45" customFormat="1" ht="12.75" hidden="1">
      <c r="C1685" s="114"/>
      <c r="O1685" s="115"/>
      <c r="P1685" s="113"/>
      <c r="Q1685" s="113"/>
      <c r="R1685" s="113"/>
      <c r="S1685" s="113"/>
      <c r="T1685" s="113"/>
      <c r="V1685"/>
      <c r="W1685"/>
      <c r="Y1685"/>
      <c r="Z1685"/>
      <c r="AA1685"/>
      <c r="AB1685"/>
      <c r="AC1685"/>
      <c r="AD1685"/>
      <c r="AE1685"/>
      <c r="AF1685"/>
    </row>
    <row r="1686" spans="3:32" s="45" customFormat="1" ht="12.75" hidden="1">
      <c r="C1686" s="114"/>
      <c r="O1686" s="115"/>
      <c r="P1686" s="113"/>
      <c r="Q1686" s="113"/>
      <c r="R1686" s="113"/>
      <c r="S1686" s="113"/>
      <c r="T1686" s="113"/>
      <c r="V1686"/>
      <c r="W1686"/>
      <c r="Y1686"/>
      <c r="Z1686"/>
      <c r="AA1686"/>
      <c r="AB1686"/>
      <c r="AC1686"/>
      <c r="AD1686"/>
      <c r="AE1686"/>
      <c r="AF1686"/>
    </row>
    <row r="1687" spans="3:32" s="45" customFormat="1" ht="12.75" hidden="1">
      <c r="C1687" s="114"/>
      <c r="O1687" s="115"/>
      <c r="P1687" s="113"/>
      <c r="Q1687" s="113"/>
      <c r="R1687" s="113"/>
      <c r="S1687" s="113"/>
      <c r="T1687" s="113"/>
      <c r="V1687"/>
      <c r="W1687"/>
      <c r="Y1687"/>
      <c r="Z1687"/>
      <c r="AA1687"/>
      <c r="AB1687"/>
      <c r="AC1687"/>
      <c r="AD1687"/>
      <c r="AE1687"/>
      <c r="AF1687"/>
    </row>
    <row r="1688" spans="3:32" s="45" customFormat="1" ht="12.75" hidden="1">
      <c r="C1688" s="114"/>
      <c r="O1688" s="115"/>
      <c r="P1688" s="113"/>
      <c r="Q1688" s="113"/>
      <c r="R1688" s="113"/>
      <c r="S1688" s="113"/>
      <c r="T1688" s="113"/>
      <c r="V1688"/>
      <c r="W1688"/>
      <c r="Y1688"/>
      <c r="Z1688"/>
      <c r="AA1688"/>
      <c r="AB1688"/>
      <c r="AC1688"/>
      <c r="AD1688"/>
      <c r="AE1688"/>
      <c r="AF1688"/>
    </row>
    <row r="1689" spans="3:32" s="45" customFormat="1" ht="12.75" hidden="1">
      <c r="C1689" s="114"/>
      <c r="O1689" s="115"/>
      <c r="P1689" s="113"/>
      <c r="Q1689" s="113"/>
      <c r="R1689" s="113"/>
      <c r="S1689" s="113"/>
      <c r="T1689" s="113"/>
      <c r="V1689"/>
      <c r="W1689"/>
      <c r="Y1689"/>
      <c r="Z1689"/>
      <c r="AA1689"/>
      <c r="AB1689"/>
      <c r="AC1689"/>
      <c r="AD1689"/>
      <c r="AE1689"/>
      <c r="AF1689"/>
    </row>
    <row r="1690" spans="3:32" s="45" customFormat="1" ht="12.75" hidden="1">
      <c r="C1690" s="114"/>
      <c r="O1690" s="115"/>
      <c r="P1690" s="113"/>
      <c r="Q1690" s="113"/>
      <c r="R1690" s="113"/>
      <c r="S1690" s="113"/>
      <c r="T1690" s="113"/>
      <c r="V1690"/>
      <c r="W1690"/>
      <c r="Y1690"/>
      <c r="Z1690"/>
      <c r="AA1690"/>
      <c r="AB1690"/>
      <c r="AC1690"/>
      <c r="AD1690"/>
      <c r="AE1690"/>
      <c r="AF1690"/>
    </row>
    <row r="1691" spans="3:32" s="45" customFormat="1" ht="12.75" hidden="1">
      <c r="C1691" s="114"/>
      <c r="O1691" s="115"/>
      <c r="P1691" s="113"/>
      <c r="Q1691" s="113"/>
      <c r="R1691" s="113"/>
      <c r="S1691" s="113"/>
      <c r="T1691" s="113"/>
      <c r="V1691"/>
      <c r="W1691"/>
      <c r="Y1691"/>
      <c r="Z1691"/>
      <c r="AA1691"/>
      <c r="AB1691"/>
      <c r="AC1691"/>
      <c r="AD1691"/>
      <c r="AE1691"/>
      <c r="AF1691"/>
    </row>
    <row r="1692" spans="3:32" s="45" customFormat="1" ht="12.75" hidden="1">
      <c r="C1692" s="114"/>
      <c r="O1692" s="115"/>
      <c r="P1692" s="113"/>
      <c r="Q1692" s="113"/>
      <c r="R1692" s="113"/>
      <c r="S1692" s="113"/>
      <c r="T1692" s="113"/>
      <c r="V1692"/>
      <c r="W1692"/>
      <c r="Y1692"/>
      <c r="Z1692"/>
      <c r="AA1692"/>
      <c r="AB1692"/>
      <c r="AC1692"/>
      <c r="AD1692"/>
      <c r="AE1692"/>
      <c r="AF1692"/>
    </row>
    <row r="1693" spans="3:32" s="45" customFormat="1" ht="12.75" hidden="1">
      <c r="C1693" s="114"/>
      <c r="O1693" s="115"/>
      <c r="P1693" s="113"/>
      <c r="Q1693" s="113"/>
      <c r="R1693" s="113"/>
      <c r="S1693" s="113"/>
      <c r="T1693" s="113"/>
      <c r="V1693"/>
      <c r="W1693"/>
      <c r="Y1693"/>
      <c r="Z1693"/>
      <c r="AA1693"/>
      <c r="AB1693"/>
      <c r="AC1693"/>
      <c r="AD1693"/>
      <c r="AE1693"/>
      <c r="AF1693"/>
    </row>
    <row r="1694" spans="3:32" s="45" customFormat="1" ht="12.75" hidden="1">
      <c r="C1694" s="114"/>
      <c r="O1694" s="115"/>
      <c r="P1694" s="113"/>
      <c r="Q1694" s="113"/>
      <c r="R1694" s="113"/>
      <c r="S1694" s="113"/>
      <c r="T1694" s="113"/>
      <c r="V1694"/>
      <c r="W1694"/>
      <c r="Y1694"/>
      <c r="Z1694"/>
      <c r="AA1694"/>
      <c r="AB1694"/>
      <c r="AC1694"/>
      <c r="AD1694"/>
      <c r="AE1694"/>
      <c r="AF1694"/>
    </row>
    <row r="1695" spans="3:32" s="45" customFormat="1" ht="12.75" hidden="1">
      <c r="C1695" s="114"/>
      <c r="O1695" s="115"/>
      <c r="P1695" s="113"/>
      <c r="Q1695" s="113"/>
      <c r="R1695" s="113"/>
      <c r="S1695" s="113"/>
      <c r="T1695" s="113"/>
      <c r="V1695"/>
      <c r="W1695"/>
      <c r="Y1695"/>
      <c r="Z1695"/>
      <c r="AA1695"/>
      <c r="AB1695"/>
      <c r="AC1695"/>
      <c r="AD1695"/>
      <c r="AE1695"/>
      <c r="AF1695"/>
    </row>
    <row r="1696" spans="3:32" s="45" customFormat="1" ht="12.75" hidden="1">
      <c r="C1696" s="114"/>
      <c r="O1696" s="115"/>
      <c r="P1696" s="113"/>
      <c r="Q1696" s="113"/>
      <c r="R1696" s="113"/>
      <c r="S1696" s="113"/>
      <c r="T1696" s="113"/>
      <c r="V1696"/>
      <c r="W1696"/>
      <c r="Y1696"/>
      <c r="Z1696"/>
      <c r="AA1696"/>
      <c r="AB1696"/>
      <c r="AC1696"/>
      <c r="AD1696"/>
      <c r="AE1696"/>
      <c r="AF1696"/>
    </row>
    <row r="1697" spans="3:32" s="45" customFormat="1" ht="12.75" hidden="1">
      <c r="C1697" s="114"/>
      <c r="O1697" s="115"/>
      <c r="P1697" s="113"/>
      <c r="Q1697" s="113"/>
      <c r="R1697" s="113"/>
      <c r="S1697" s="113"/>
      <c r="T1697" s="113"/>
      <c r="V1697"/>
      <c r="W1697"/>
      <c r="Y1697"/>
      <c r="Z1697"/>
      <c r="AA1697"/>
      <c r="AB1697"/>
      <c r="AC1697"/>
      <c r="AD1697"/>
      <c r="AE1697"/>
      <c r="AF1697"/>
    </row>
    <row r="1698" spans="3:32" s="45" customFormat="1" ht="12.75" hidden="1">
      <c r="C1698" s="114"/>
      <c r="O1698" s="115"/>
      <c r="P1698" s="113"/>
      <c r="Q1698" s="113"/>
      <c r="R1698" s="113"/>
      <c r="S1698" s="113"/>
      <c r="T1698" s="113"/>
      <c r="V1698"/>
      <c r="W1698"/>
      <c r="Y1698"/>
      <c r="Z1698"/>
      <c r="AA1698"/>
      <c r="AB1698"/>
      <c r="AC1698"/>
      <c r="AD1698"/>
      <c r="AE1698"/>
      <c r="AF1698"/>
    </row>
    <row r="1699" spans="3:32" s="45" customFormat="1" ht="12.75" hidden="1">
      <c r="C1699" s="114"/>
      <c r="O1699" s="115"/>
      <c r="P1699" s="113"/>
      <c r="Q1699" s="113"/>
      <c r="R1699" s="113"/>
      <c r="S1699" s="113"/>
      <c r="T1699" s="113"/>
      <c r="V1699"/>
      <c r="W1699"/>
      <c r="Y1699"/>
      <c r="Z1699"/>
      <c r="AA1699"/>
      <c r="AB1699"/>
      <c r="AC1699"/>
      <c r="AD1699"/>
      <c r="AE1699"/>
      <c r="AF1699"/>
    </row>
    <row r="1700" spans="3:32" s="45" customFormat="1" ht="12.75" hidden="1">
      <c r="C1700" s="114"/>
      <c r="O1700" s="115"/>
      <c r="P1700" s="113"/>
      <c r="Q1700" s="113"/>
      <c r="R1700" s="113"/>
      <c r="S1700" s="113"/>
      <c r="T1700" s="113"/>
      <c r="V1700"/>
      <c r="W1700"/>
      <c r="Y1700"/>
      <c r="Z1700"/>
      <c r="AA1700"/>
      <c r="AB1700"/>
      <c r="AC1700"/>
      <c r="AD1700"/>
      <c r="AE1700"/>
      <c r="AF1700"/>
    </row>
    <row r="1701" spans="3:32" s="45" customFormat="1" ht="12.75" hidden="1">
      <c r="C1701" s="114"/>
      <c r="O1701" s="115"/>
      <c r="P1701" s="113"/>
      <c r="Q1701" s="113"/>
      <c r="R1701" s="113"/>
      <c r="S1701" s="113"/>
      <c r="T1701" s="113"/>
      <c r="V1701"/>
      <c r="W1701"/>
      <c r="Y1701"/>
      <c r="Z1701"/>
      <c r="AA1701"/>
      <c r="AB1701"/>
      <c r="AC1701"/>
      <c r="AD1701"/>
      <c r="AE1701"/>
      <c r="AF1701"/>
    </row>
    <row r="1702" spans="3:32" s="45" customFormat="1" ht="12.75" hidden="1">
      <c r="C1702" s="114"/>
      <c r="O1702" s="115"/>
      <c r="P1702" s="113"/>
      <c r="Q1702" s="113"/>
      <c r="R1702" s="113"/>
      <c r="S1702" s="113"/>
      <c r="T1702" s="113"/>
      <c r="V1702"/>
      <c r="W1702"/>
      <c r="Y1702"/>
      <c r="Z1702"/>
      <c r="AA1702"/>
      <c r="AB1702"/>
      <c r="AC1702"/>
      <c r="AD1702"/>
      <c r="AE1702"/>
      <c r="AF1702"/>
    </row>
    <row r="1703" spans="3:32" s="45" customFormat="1" ht="12.75" hidden="1">
      <c r="C1703" s="114"/>
      <c r="O1703" s="115"/>
      <c r="P1703" s="113"/>
      <c r="Q1703" s="113"/>
      <c r="R1703" s="113"/>
      <c r="S1703" s="113"/>
      <c r="T1703" s="113"/>
      <c r="V1703"/>
      <c r="W1703"/>
      <c r="Y1703"/>
      <c r="Z1703"/>
      <c r="AA1703"/>
      <c r="AB1703"/>
      <c r="AC1703"/>
      <c r="AD1703"/>
      <c r="AE1703"/>
      <c r="AF1703"/>
    </row>
    <row r="1704" spans="3:32" s="45" customFormat="1" ht="12.75" hidden="1">
      <c r="C1704" s="114"/>
      <c r="O1704" s="115"/>
      <c r="P1704" s="113"/>
      <c r="Q1704" s="113"/>
      <c r="R1704" s="113"/>
      <c r="S1704" s="113"/>
      <c r="T1704" s="113"/>
      <c r="V1704"/>
      <c r="W1704"/>
      <c r="Y1704"/>
      <c r="Z1704"/>
      <c r="AA1704"/>
      <c r="AB1704"/>
      <c r="AC1704"/>
      <c r="AD1704"/>
      <c r="AE1704"/>
      <c r="AF1704"/>
    </row>
    <row r="1705" spans="3:32" s="45" customFormat="1" ht="12.75" hidden="1">
      <c r="C1705" s="114"/>
      <c r="O1705" s="115"/>
      <c r="P1705" s="113"/>
      <c r="Q1705" s="113"/>
      <c r="R1705" s="113"/>
      <c r="S1705" s="113"/>
      <c r="T1705" s="113"/>
      <c r="V1705"/>
      <c r="W1705"/>
      <c r="Y1705"/>
      <c r="Z1705"/>
      <c r="AA1705"/>
      <c r="AB1705"/>
      <c r="AC1705"/>
      <c r="AD1705"/>
      <c r="AE1705"/>
      <c r="AF1705"/>
    </row>
    <row r="1706" spans="3:32" s="45" customFormat="1" ht="12.75" hidden="1">
      <c r="C1706" s="114"/>
      <c r="O1706" s="115"/>
      <c r="P1706" s="113"/>
      <c r="Q1706" s="113"/>
      <c r="R1706" s="113"/>
      <c r="S1706" s="113"/>
      <c r="T1706" s="113"/>
      <c r="V1706"/>
      <c r="W1706"/>
      <c r="Y1706"/>
      <c r="Z1706"/>
      <c r="AA1706"/>
      <c r="AB1706"/>
      <c r="AC1706"/>
      <c r="AD1706"/>
      <c r="AE1706"/>
      <c r="AF1706"/>
    </row>
    <row r="1707" spans="3:32" s="45" customFormat="1" ht="12.75" hidden="1">
      <c r="C1707" s="114"/>
      <c r="O1707" s="115"/>
      <c r="P1707" s="113"/>
      <c r="Q1707" s="113"/>
      <c r="R1707" s="113"/>
      <c r="S1707" s="113"/>
      <c r="T1707" s="113"/>
      <c r="V1707"/>
      <c r="W1707"/>
      <c r="Y1707"/>
      <c r="Z1707"/>
      <c r="AA1707"/>
      <c r="AB1707"/>
      <c r="AC1707"/>
      <c r="AD1707"/>
      <c r="AE1707"/>
      <c r="AF1707"/>
    </row>
    <row r="1708" spans="3:32" s="45" customFormat="1" ht="12.75" hidden="1">
      <c r="C1708" s="114"/>
      <c r="O1708" s="115"/>
      <c r="P1708" s="113"/>
      <c r="Q1708" s="113"/>
      <c r="R1708" s="113"/>
      <c r="S1708" s="113"/>
      <c r="T1708" s="113"/>
      <c r="V1708"/>
      <c r="W1708"/>
      <c r="Y1708"/>
      <c r="Z1708"/>
      <c r="AA1708"/>
      <c r="AB1708"/>
      <c r="AC1708"/>
      <c r="AD1708"/>
      <c r="AE1708"/>
      <c r="AF1708"/>
    </row>
    <row r="1709" spans="3:32" s="45" customFormat="1" ht="12.75" hidden="1">
      <c r="C1709" s="114"/>
      <c r="O1709" s="115"/>
      <c r="P1709" s="113"/>
      <c r="Q1709" s="113"/>
      <c r="R1709" s="113"/>
      <c r="S1709" s="113"/>
      <c r="T1709" s="113"/>
      <c r="V1709"/>
      <c r="W1709"/>
      <c r="Y1709"/>
      <c r="Z1709"/>
      <c r="AA1709"/>
      <c r="AB1709"/>
      <c r="AC1709"/>
      <c r="AD1709"/>
      <c r="AE1709"/>
      <c r="AF1709"/>
    </row>
    <row r="1710" spans="3:32" s="45" customFormat="1" ht="12.75" hidden="1">
      <c r="C1710" s="114"/>
      <c r="O1710" s="115"/>
      <c r="P1710" s="113"/>
      <c r="Q1710" s="113"/>
      <c r="R1710" s="113"/>
      <c r="S1710" s="113"/>
      <c r="T1710" s="113"/>
      <c r="V1710"/>
      <c r="W1710"/>
      <c r="Y1710"/>
      <c r="Z1710"/>
      <c r="AA1710"/>
      <c r="AB1710"/>
      <c r="AC1710"/>
      <c r="AD1710"/>
      <c r="AE1710"/>
      <c r="AF1710"/>
    </row>
    <row r="1711" spans="3:32" s="45" customFormat="1" ht="12.75" hidden="1">
      <c r="C1711" s="114"/>
      <c r="O1711" s="115"/>
      <c r="P1711" s="113"/>
      <c r="Q1711" s="113"/>
      <c r="R1711" s="113"/>
      <c r="S1711" s="113"/>
      <c r="T1711" s="113"/>
      <c r="V1711"/>
      <c r="W1711"/>
      <c r="Y1711"/>
      <c r="Z1711"/>
      <c r="AA1711"/>
      <c r="AB1711"/>
      <c r="AC1711"/>
      <c r="AD1711"/>
      <c r="AE1711"/>
      <c r="AF1711"/>
    </row>
    <row r="1712" spans="3:32" s="45" customFormat="1" ht="12.75" hidden="1">
      <c r="C1712" s="114"/>
      <c r="O1712" s="115"/>
      <c r="P1712" s="113"/>
      <c r="Q1712" s="113"/>
      <c r="R1712" s="113"/>
      <c r="S1712" s="113"/>
      <c r="T1712" s="113"/>
      <c r="V1712"/>
      <c r="W1712"/>
      <c r="Y1712"/>
      <c r="Z1712"/>
      <c r="AA1712"/>
      <c r="AB1712"/>
      <c r="AC1712"/>
      <c r="AD1712"/>
      <c r="AE1712"/>
      <c r="AF1712"/>
    </row>
    <row r="1713" spans="3:32" s="45" customFormat="1" ht="12.75" hidden="1">
      <c r="C1713" s="114"/>
      <c r="O1713" s="115"/>
      <c r="P1713" s="113"/>
      <c r="Q1713" s="113"/>
      <c r="R1713" s="113"/>
      <c r="S1713" s="113"/>
      <c r="T1713" s="113"/>
      <c r="V1713"/>
      <c r="W1713"/>
      <c r="Y1713"/>
      <c r="Z1713"/>
      <c r="AA1713"/>
      <c r="AB1713"/>
      <c r="AC1713"/>
      <c r="AD1713"/>
      <c r="AE1713"/>
      <c r="AF1713"/>
    </row>
    <row r="1714" spans="3:32" s="45" customFormat="1" ht="12.75" hidden="1">
      <c r="C1714" s="114"/>
      <c r="O1714" s="115"/>
      <c r="P1714" s="113"/>
      <c r="Q1714" s="113"/>
      <c r="R1714" s="113"/>
      <c r="S1714" s="113"/>
      <c r="T1714" s="113"/>
      <c r="V1714"/>
      <c r="W1714"/>
      <c r="Y1714"/>
      <c r="Z1714"/>
      <c r="AA1714"/>
      <c r="AB1714"/>
      <c r="AC1714"/>
      <c r="AD1714"/>
      <c r="AE1714"/>
      <c r="AF1714"/>
    </row>
    <row r="1715" spans="3:32" s="45" customFormat="1" ht="12.75" hidden="1">
      <c r="C1715" s="114"/>
      <c r="O1715" s="115"/>
      <c r="P1715" s="113"/>
      <c r="Q1715" s="113"/>
      <c r="R1715" s="113"/>
      <c r="S1715" s="113"/>
      <c r="T1715" s="113"/>
      <c r="V1715"/>
      <c r="W1715"/>
      <c r="Y1715"/>
      <c r="Z1715"/>
      <c r="AA1715"/>
      <c r="AB1715"/>
      <c r="AC1715"/>
      <c r="AD1715"/>
      <c r="AE1715"/>
      <c r="AF1715"/>
    </row>
    <row r="1716" spans="3:32" s="45" customFormat="1" ht="12.75" hidden="1">
      <c r="C1716" s="114"/>
      <c r="O1716" s="115"/>
      <c r="P1716" s="113"/>
      <c r="Q1716" s="113"/>
      <c r="R1716" s="113"/>
      <c r="S1716" s="113"/>
      <c r="T1716" s="113"/>
      <c r="V1716"/>
      <c r="W1716"/>
      <c r="Y1716"/>
      <c r="Z1716"/>
      <c r="AA1716"/>
      <c r="AB1716"/>
      <c r="AC1716"/>
      <c r="AD1716"/>
      <c r="AE1716"/>
      <c r="AF1716"/>
    </row>
    <row r="1717" spans="3:32" s="45" customFormat="1" ht="12.75" hidden="1">
      <c r="C1717" s="114"/>
      <c r="O1717" s="115"/>
      <c r="P1717" s="113"/>
      <c r="Q1717" s="113"/>
      <c r="R1717" s="113"/>
      <c r="S1717" s="113"/>
      <c r="T1717" s="113"/>
      <c r="V1717"/>
      <c r="W1717"/>
      <c r="Y1717"/>
      <c r="Z1717"/>
      <c r="AA1717"/>
      <c r="AB1717"/>
      <c r="AC1717"/>
      <c r="AD1717"/>
      <c r="AE1717"/>
      <c r="AF1717"/>
    </row>
    <row r="1718" spans="3:32" s="45" customFormat="1" ht="12.75" hidden="1">
      <c r="C1718" s="114"/>
      <c r="O1718" s="115"/>
      <c r="P1718" s="113"/>
      <c r="Q1718" s="113"/>
      <c r="R1718" s="113"/>
      <c r="S1718" s="113"/>
      <c r="T1718" s="113"/>
      <c r="V1718"/>
      <c r="W1718"/>
      <c r="Y1718"/>
      <c r="Z1718"/>
      <c r="AA1718"/>
      <c r="AB1718"/>
      <c r="AC1718"/>
      <c r="AD1718"/>
      <c r="AE1718"/>
      <c r="AF1718"/>
    </row>
    <row r="1719" spans="3:32" s="45" customFormat="1" ht="12.75" hidden="1">
      <c r="C1719" s="114"/>
      <c r="O1719" s="115"/>
      <c r="P1719" s="113"/>
      <c r="Q1719" s="113"/>
      <c r="R1719" s="113"/>
      <c r="S1719" s="113"/>
      <c r="T1719" s="113"/>
      <c r="V1719"/>
      <c r="W1719"/>
      <c r="Y1719"/>
      <c r="Z1719"/>
      <c r="AA1719"/>
      <c r="AB1719"/>
      <c r="AC1719"/>
      <c r="AD1719"/>
      <c r="AE1719"/>
      <c r="AF1719"/>
    </row>
    <row r="1720" spans="3:32" s="45" customFormat="1" ht="12.75" hidden="1">
      <c r="C1720" s="114"/>
      <c r="O1720" s="115"/>
      <c r="P1720" s="113"/>
      <c r="Q1720" s="113"/>
      <c r="R1720" s="113"/>
      <c r="S1720" s="113"/>
      <c r="T1720" s="113"/>
      <c r="V1720"/>
      <c r="W1720"/>
      <c r="Y1720"/>
      <c r="Z1720"/>
      <c r="AA1720"/>
      <c r="AB1720"/>
      <c r="AC1720"/>
      <c r="AD1720"/>
      <c r="AE1720"/>
      <c r="AF1720"/>
    </row>
    <row r="1721" spans="3:32" s="45" customFormat="1" ht="12.75" hidden="1">
      <c r="C1721" s="114"/>
      <c r="O1721" s="115"/>
      <c r="P1721" s="113"/>
      <c r="Q1721" s="113"/>
      <c r="R1721" s="113"/>
      <c r="S1721" s="113"/>
      <c r="T1721" s="113"/>
      <c r="V1721"/>
      <c r="W1721"/>
      <c r="Y1721"/>
      <c r="Z1721"/>
      <c r="AA1721"/>
      <c r="AB1721"/>
      <c r="AC1721"/>
      <c r="AD1721"/>
      <c r="AE1721"/>
      <c r="AF1721"/>
    </row>
    <row r="1722" spans="3:32" s="45" customFormat="1" ht="12.75" hidden="1">
      <c r="C1722" s="114"/>
      <c r="O1722" s="115"/>
      <c r="P1722" s="113"/>
      <c r="Q1722" s="113"/>
      <c r="R1722" s="113"/>
      <c r="S1722" s="113"/>
      <c r="T1722" s="113"/>
      <c r="V1722"/>
      <c r="W1722"/>
      <c r="Y1722"/>
      <c r="Z1722"/>
      <c r="AA1722"/>
      <c r="AB1722"/>
      <c r="AC1722"/>
      <c r="AD1722"/>
      <c r="AE1722"/>
      <c r="AF1722"/>
    </row>
    <row r="1723" spans="3:32" s="45" customFormat="1" ht="12.75" hidden="1">
      <c r="C1723" s="114"/>
      <c r="O1723" s="115"/>
      <c r="P1723" s="113"/>
      <c r="Q1723" s="113"/>
      <c r="R1723" s="113"/>
      <c r="S1723" s="113"/>
      <c r="T1723" s="113"/>
      <c r="V1723"/>
      <c r="W1723"/>
      <c r="Y1723"/>
      <c r="Z1723"/>
      <c r="AA1723"/>
      <c r="AB1723"/>
      <c r="AC1723"/>
      <c r="AD1723"/>
      <c r="AE1723"/>
      <c r="AF1723"/>
    </row>
    <row r="1724" spans="3:32" s="45" customFormat="1" ht="12.75" hidden="1">
      <c r="C1724" s="114"/>
      <c r="O1724" s="115"/>
      <c r="P1724" s="113"/>
      <c r="Q1724" s="113"/>
      <c r="R1724" s="113"/>
      <c r="S1724" s="113"/>
      <c r="T1724" s="113"/>
      <c r="V1724"/>
      <c r="W1724"/>
      <c r="Y1724"/>
      <c r="Z1724"/>
      <c r="AA1724"/>
      <c r="AB1724"/>
      <c r="AC1724"/>
      <c r="AD1724"/>
      <c r="AE1724"/>
      <c r="AF1724"/>
    </row>
    <row r="1725" spans="3:32" s="45" customFormat="1" ht="12.75" hidden="1">
      <c r="C1725" s="114"/>
      <c r="O1725" s="115"/>
      <c r="P1725" s="113"/>
      <c r="Q1725" s="113"/>
      <c r="R1725" s="113"/>
      <c r="S1725" s="113"/>
      <c r="T1725" s="113"/>
      <c r="V1725"/>
      <c r="W1725"/>
      <c r="Y1725"/>
      <c r="Z1725"/>
      <c r="AA1725"/>
      <c r="AB1725"/>
      <c r="AC1725"/>
      <c r="AD1725"/>
      <c r="AE1725"/>
      <c r="AF1725"/>
    </row>
    <row r="1726" spans="3:32" s="45" customFormat="1" ht="12.75" hidden="1">
      <c r="C1726" s="114"/>
      <c r="O1726" s="115"/>
      <c r="P1726" s="113"/>
      <c r="Q1726" s="113"/>
      <c r="R1726" s="113"/>
      <c r="S1726" s="113"/>
      <c r="T1726" s="113"/>
      <c r="V1726"/>
      <c r="W1726"/>
      <c r="Y1726"/>
      <c r="Z1726"/>
      <c r="AA1726"/>
      <c r="AB1726"/>
      <c r="AC1726"/>
      <c r="AD1726"/>
      <c r="AE1726"/>
      <c r="AF1726"/>
    </row>
    <row r="1727" spans="3:32" s="45" customFormat="1" ht="12.75" hidden="1">
      <c r="C1727" s="114"/>
      <c r="O1727" s="115"/>
      <c r="P1727" s="113"/>
      <c r="Q1727" s="113"/>
      <c r="R1727" s="113"/>
      <c r="S1727" s="113"/>
      <c r="T1727" s="113"/>
      <c r="V1727"/>
      <c r="W1727"/>
      <c r="Y1727"/>
      <c r="Z1727"/>
      <c r="AA1727"/>
      <c r="AB1727"/>
      <c r="AC1727"/>
      <c r="AD1727"/>
      <c r="AE1727"/>
      <c r="AF1727"/>
    </row>
    <row r="1728" spans="3:32" s="45" customFormat="1" ht="12.75" hidden="1">
      <c r="C1728" s="114"/>
      <c r="O1728" s="115"/>
      <c r="P1728" s="113"/>
      <c r="Q1728" s="113"/>
      <c r="R1728" s="113"/>
      <c r="S1728" s="113"/>
      <c r="T1728" s="113"/>
      <c r="V1728"/>
      <c r="W1728"/>
      <c r="Y1728"/>
      <c r="Z1728"/>
      <c r="AA1728"/>
      <c r="AB1728"/>
      <c r="AC1728"/>
      <c r="AD1728"/>
      <c r="AE1728"/>
      <c r="AF1728"/>
    </row>
    <row r="1729" spans="3:32" s="45" customFormat="1" ht="12.75" hidden="1">
      <c r="C1729" s="114"/>
      <c r="O1729" s="115"/>
      <c r="P1729" s="113"/>
      <c r="Q1729" s="113"/>
      <c r="R1729" s="113"/>
      <c r="S1729" s="113"/>
      <c r="T1729" s="113"/>
      <c r="V1729"/>
      <c r="W1729"/>
      <c r="Y1729"/>
      <c r="Z1729"/>
      <c r="AA1729"/>
      <c r="AB1729"/>
      <c r="AC1729"/>
      <c r="AD1729"/>
      <c r="AE1729"/>
      <c r="AF1729"/>
    </row>
    <row r="1730" spans="3:32" s="45" customFormat="1" ht="12.75" hidden="1">
      <c r="C1730" s="114"/>
      <c r="O1730" s="115"/>
      <c r="P1730" s="113"/>
      <c r="Q1730" s="113"/>
      <c r="R1730" s="113"/>
      <c r="S1730" s="113"/>
      <c r="T1730" s="113"/>
      <c r="V1730"/>
      <c r="W1730"/>
      <c r="Y1730"/>
      <c r="Z1730"/>
      <c r="AA1730"/>
      <c r="AB1730"/>
      <c r="AC1730"/>
      <c r="AD1730"/>
      <c r="AE1730"/>
      <c r="AF1730"/>
    </row>
    <row r="1731" spans="3:32" s="45" customFormat="1" ht="12.75" hidden="1">
      <c r="C1731" s="114"/>
      <c r="O1731" s="115"/>
      <c r="P1731" s="113"/>
      <c r="Q1731" s="113"/>
      <c r="R1731" s="113"/>
      <c r="S1731" s="113"/>
      <c r="T1731" s="113"/>
      <c r="V1731"/>
      <c r="W1731"/>
      <c r="Y1731"/>
      <c r="Z1731"/>
      <c r="AA1731"/>
      <c r="AB1731"/>
      <c r="AC1731"/>
      <c r="AD1731"/>
      <c r="AE1731"/>
      <c r="AF1731"/>
    </row>
    <row r="1732" spans="3:32" s="45" customFormat="1" ht="12.75" hidden="1">
      <c r="C1732" s="114"/>
      <c r="O1732" s="115"/>
      <c r="P1732" s="113"/>
      <c r="Q1732" s="113"/>
      <c r="R1732" s="113"/>
      <c r="S1732" s="113"/>
      <c r="T1732" s="113"/>
      <c r="V1732"/>
      <c r="W1732"/>
      <c r="Y1732"/>
      <c r="Z1732"/>
      <c r="AA1732"/>
      <c r="AB1732"/>
      <c r="AC1732"/>
      <c r="AD1732"/>
      <c r="AE1732"/>
      <c r="AF1732"/>
    </row>
    <row r="1733" spans="3:32" s="45" customFormat="1" ht="12.75" hidden="1">
      <c r="C1733" s="114"/>
      <c r="O1733" s="115"/>
      <c r="P1733" s="113"/>
      <c r="Q1733" s="113"/>
      <c r="R1733" s="113"/>
      <c r="S1733" s="113"/>
      <c r="T1733" s="113"/>
      <c r="V1733"/>
      <c r="W1733"/>
      <c r="Y1733"/>
      <c r="Z1733"/>
      <c r="AA1733"/>
      <c r="AB1733"/>
      <c r="AC1733"/>
      <c r="AD1733"/>
      <c r="AE1733"/>
      <c r="AF1733"/>
    </row>
    <row r="1734" spans="3:32" s="45" customFormat="1" ht="12.75" hidden="1">
      <c r="C1734" s="114"/>
      <c r="O1734" s="115"/>
      <c r="P1734" s="113"/>
      <c r="Q1734" s="113"/>
      <c r="R1734" s="113"/>
      <c r="S1734" s="113"/>
      <c r="T1734" s="113"/>
      <c r="V1734"/>
      <c r="W1734"/>
      <c r="Y1734"/>
      <c r="Z1734"/>
      <c r="AA1734"/>
      <c r="AB1734"/>
      <c r="AC1734"/>
      <c r="AD1734"/>
      <c r="AE1734"/>
      <c r="AF1734"/>
    </row>
    <row r="1735" spans="3:32" s="45" customFormat="1" ht="12.75" hidden="1">
      <c r="C1735" s="114"/>
      <c r="O1735" s="115"/>
      <c r="P1735" s="113"/>
      <c r="Q1735" s="113"/>
      <c r="R1735" s="113"/>
      <c r="S1735" s="113"/>
      <c r="T1735" s="113"/>
      <c r="V1735"/>
      <c r="W1735"/>
      <c r="Y1735"/>
      <c r="Z1735"/>
      <c r="AA1735"/>
      <c r="AB1735"/>
      <c r="AC1735"/>
      <c r="AD1735"/>
      <c r="AE1735"/>
      <c r="AF1735"/>
    </row>
    <row r="1736" spans="3:32" s="45" customFormat="1" ht="12.75" hidden="1">
      <c r="C1736" s="114"/>
      <c r="O1736" s="115"/>
      <c r="P1736" s="113"/>
      <c r="Q1736" s="113"/>
      <c r="R1736" s="113"/>
      <c r="S1736" s="113"/>
      <c r="T1736" s="113"/>
      <c r="V1736"/>
      <c r="W1736"/>
      <c r="Y1736"/>
      <c r="Z1736"/>
      <c r="AA1736"/>
      <c r="AB1736"/>
      <c r="AC1736"/>
      <c r="AD1736"/>
      <c r="AE1736"/>
      <c r="AF1736"/>
    </row>
    <row r="1737" spans="3:32" s="45" customFormat="1" ht="12.75" hidden="1">
      <c r="C1737" s="114"/>
      <c r="O1737" s="115"/>
      <c r="P1737" s="113"/>
      <c r="Q1737" s="113"/>
      <c r="R1737" s="113"/>
      <c r="S1737" s="113"/>
      <c r="T1737" s="113"/>
      <c r="V1737"/>
      <c r="W1737"/>
      <c r="Y1737"/>
      <c r="Z1737"/>
      <c r="AA1737"/>
      <c r="AB1737"/>
      <c r="AC1737"/>
      <c r="AD1737"/>
      <c r="AE1737"/>
      <c r="AF1737"/>
    </row>
    <row r="1738" spans="3:32" s="45" customFormat="1" ht="12.75" hidden="1">
      <c r="C1738" s="114"/>
      <c r="O1738" s="115"/>
      <c r="P1738" s="113"/>
      <c r="Q1738" s="113"/>
      <c r="R1738" s="113"/>
      <c r="S1738" s="113"/>
      <c r="T1738" s="113"/>
      <c r="V1738"/>
      <c r="W1738"/>
      <c r="Y1738"/>
      <c r="Z1738"/>
      <c r="AA1738"/>
      <c r="AB1738"/>
      <c r="AC1738"/>
      <c r="AD1738"/>
      <c r="AE1738"/>
      <c r="AF1738"/>
    </row>
    <row r="1739" spans="3:32" s="45" customFormat="1" ht="12.75" hidden="1">
      <c r="C1739" s="114"/>
      <c r="O1739" s="115"/>
      <c r="P1739" s="113"/>
      <c r="Q1739" s="113"/>
      <c r="R1739" s="113"/>
      <c r="S1739" s="113"/>
      <c r="T1739" s="113"/>
      <c r="V1739"/>
      <c r="W1739"/>
      <c r="Y1739"/>
      <c r="Z1739"/>
      <c r="AA1739"/>
      <c r="AB1739"/>
      <c r="AC1739"/>
      <c r="AD1739"/>
      <c r="AE1739"/>
      <c r="AF1739"/>
    </row>
    <row r="1740" spans="3:32" s="45" customFormat="1" ht="12.75" hidden="1">
      <c r="C1740" s="114"/>
      <c r="O1740" s="115"/>
      <c r="P1740" s="113"/>
      <c r="Q1740" s="113"/>
      <c r="R1740" s="113"/>
      <c r="S1740" s="113"/>
      <c r="T1740" s="113"/>
      <c r="V1740"/>
      <c r="W1740"/>
      <c r="Y1740"/>
      <c r="Z1740"/>
      <c r="AA1740"/>
      <c r="AB1740"/>
      <c r="AC1740"/>
      <c r="AD1740"/>
      <c r="AE1740"/>
      <c r="AF1740"/>
    </row>
    <row r="1741" spans="3:32" s="45" customFormat="1" ht="12.75" hidden="1">
      <c r="C1741" s="114"/>
      <c r="O1741" s="115"/>
      <c r="P1741" s="113"/>
      <c r="Q1741" s="113"/>
      <c r="R1741" s="113"/>
      <c r="S1741" s="113"/>
      <c r="T1741" s="113"/>
      <c r="V1741"/>
      <c r="W1741"/>
      <c r="Y1741"/>
      <c r="Z1741"/>
      <c r="AA1741"/>
      <c r="AB1741"/>
      <c r="AC1741"/>
      <c r="AD1741"/>
      <c r="AE1741"/>
      <c r="AF1741"/>
    </row>
    <row r="1742" spans="3:32" s="45" customFormat="1" ht="12.75" hidden="1">
      <c r="C1742" s="114"/>
      <c r="O1742" s="115"/>
      <c r="P1742" s="113"/>
      <c r="Q1742" s="113"/>
      <c r="R1742" s="113"/>
      <c r="S1742" s="113"/>
      <c r="T1742" s="113"/>
      <c r="V1742"/>
      <c r="W1742"/>
      <c r="Y1742"/>
      <c r="Z1742"/>
      <c r="AA1742"/>
      <c r="AB1742"/>
      <c r="AC1742"/>
      <c r="AD1742"/>
      <c r="AE1742"/>
      <c r="AF1742"/>
    </row>
    <row r="1743" spans="3:32" s="45" customFormat="1" ht="12.75" hidden="1">
      <c r="C1743" s="114"/>
      <c r="O1743" s="115"/>
      <c r="P1743" s="113"/>
      <c r="Q1743" s="113"/>
      <c r="R1743" s="113"/>
      <c r="S1743" s="113"/>
      <c r="T1743" s="113"/>
      <c r="V1743"/>
      <c r="W1743"/>
      <c r="Y1743"/>
      <c r="Z1743"/>
      <c r="AA1743"/>
      <c r="AB1743"/>
      <c r="AC1743"/>
      <c r="AD1743"/>
      <c r="AE1743"/>
      <c r="AF1743"/>
    </row>
    <row r="1744" spans="3:32" s="45" customFormat="1" ht="12.75" hidden="1">
      <c r="C1744" s="114"/>
      <c r="O1744" s="115"/>
      <c r="P1744" s="113"/>
      <c r="Q1744" s="113"/>
      <c r="R1744" s="113"/>
      <c r="S1744" s="113"/>
      <c r="T1744" s="113"/>
      <c r="V1744"/>
      <c r="W1744"/>
      <c r="Y1744"/>
      <c r="Z1744"/>
      <c r="AA1744"/>
      <c r="AB1744"/>
      <c r="AC1744"/>
      <c r="AD1744"/>
      <c r="AE1744"/>
      <c r="AF1744"/>
    </row>
    <row r="1745" spans="3:32" s="45" customFormat="1" ht="12.75" hidden="1">
      <c r="C1745" s="114"/>
      <c r="O1745" s="115"/>
      <c r="P1745" s="113"/>
      <c r="Q1745" s="113"/>
      <c r="R1745" s="113"/>
      <c r="S1745" s="113"/>
      <c r="T1745" s="113"/>
      <c r="V1745"/>
      <c r="W1745"/>
      <c r="Y1745"/>
      <c r="Z1745"/>
      <c r="AA1745"/>
      <c r="AB1745"/>
      <c r="AC1745"/>
      <c r="AD1745"/>
      <c r="AE1745"/>
      <c r="AF1745"/>
    </row>
    <row r="1746" spans="3:32" s="45" customFormat="1" ht="12.75" hidden="1">
      <c r="C1746" s="114"/>
      <c r="O1746" s="115"/>
      <c r="P1746" s="113"/>
      <c r="Q1746" s="113"/>
      <c r="R1746" s="113"/>
      <c r="S1746" s="113"/>
      <c r="T1746" s="113"/>
      <c r="V1746"/>
      <c r="W1746"/>
      <c r="Y1746"/>
      <c r="Z1746"/>
      <c r="AA1746"/>
      <c r="AB1746"/>
      <c r="AC1746"/>
      <c r="AD1746"/>
      <c r="AE1746"/>
      <c r="AF1746"/>
    </row>
    <row r="1747" spans="3:32" s="45" customFormat="1" ht="12.75" hidden="1">
      <c r="C1747" s="114"/>
      <c r="O1747" s="115"/>
      <c r="P1747" s="113"/>
      <c r="Q1747" s="113"/>
      <c r="R1747" s="113"/>
      <c r="S1747" s="113"/>
      <c r="T1747" s="113"/>
      <c r="V1747"/>
      <c r="W1747"/>
      <c r="Y1747"/>
      <c r="Z1747"/>
      <c r="AA1747"/>
      <c r="AB1747"/>
      <c r="AC1747"/>
      <c r="AD1747"/>
      <c r="AE1747"/>
      <c r="AF1747"/>
    </row>
    <row r="1748" spans="3:32" s="45" customFormat="1" ht="12.75" hidden="1">
      <c r="C1748" s="114"/>
      <c r="O1748" s="115"/>
      <c r="P1748" s="113"/>
      <c r="Q1748" s="113"/>
      <c r="R1748" s="113"/>
      <c r="S1748" s="113"/>
      <c r="T1748" s="113"/>
      <c r="V1748"/>
      <c r="W1748"/>
      <c r="Y1748"/>
      <c r="Z1748"/>
      <c r="AA1748"/>
      <c r="AB1748"/>
      <c r="AC1748"/>
      <c r="AD1748"/>
      <c r="AE1748"/>
      <c r="AF1748"/>
    </row>
    <row r="1749" spans="3:32" s="45" customFormat="1" ht="12.75" hidden="1">
      <c r="C1749" s="114"/>
      <c r="O1749" s="115"/>
      <c r="P1749" s="113"/>
      <c r="Q1749" s="113"/>
      <c r="R1749" s="113"/>
      <c r="S1749" s="113"/>
      <c r="T1749" s="113"/>
      <c r="V1749"/>
      <c r="W1749"/>
      <c r="Y1749"/>
      <c r="Z1749"/>
      <c r="AA1749"/>
      <c r="AB1749"/>
      <c r="AC1749"/>
      <c r="AD1749"/>
      <c r="AE1749"/>
      <c r="AF1749"/>
    </row>
    <row r="1750" spans="3:32" s="45" customFormat="1" ht="12.75" hidden="1">
      <c r="C1750" s="114"/>
      <c r="O1750" s="115"/>
      <c r="P1750" s="113"/>
      <c r="Q1750" s="113"/>
      <c r="R1750" s="113"/>
      <c r="S1750" s="113"/>
      <c r="T1750" s="113"/>
      <c r="V1750"/>
      <c r="W1750"/>
      <c r="Y1750"/>
      <c r="Z1750"/>
      <c r="AA1750"/>
      <c r="AB1750"/>
      <c r="AC1750"/>
      <c r="AD1750"/>
      <c r="AE1750"/>
      <c r="AF1750"/>
    </row>
    <row r="1751" spans="3:32" s="45" customFormat="1" ht="12.75" hidden="1">
      <c r="C1751" s="114"/>
      <c r="O1751" s="115"/>
      <c r="P1751" s="113"/>
      <c r="Q1751" s="113"/>
      <c r="R1751" s="113"/>
      <c r="S1751" s="113"/>
      <c r="T1751" s="113"/>
      <c r="V1751"/>
      <c r="W1751"/>
      <c r="Y1751"/>
      <c r="Z1751"/>
      <c r="AA1751"/>
      <c r="AB1751"/>
      <c r="AC1751"/>
      <c r="AD1751"/>
      <c r="AE1751"/>
      <c r="AF1751"/>
    </row>
    <row r="1752" spans="3:32" s="45" customFormat="1" ht="12.75" hidden="1">
      <c r="C1752" s="114"/>
      <c r="O1752" s="115"/>
      <c r="P1752" s="113"/>
      <c r="Q1752" s="113"/>
      <c r="R1752" s="113"/>
      <c r="S1752" s="113"/>
      <c r="T1752" s="113"/>
      <c r="V1752"/>
      <c r="W1752"/>
      <c r="Y1752"/>
      <c r="Z1752"/>
      <c r="AA1752"/>
      <c r="AB1752"/>
      <c r="AC1752"/>
      <c r="AD1752"/>
      <c r="AE1752"/>
      <c r="AF1752"/>
    </row>
    <row r="1753" spans="3:32" s="45" customFormat="1" ht="12.75" hidden="1">
      <c r="C1753" s="114"/>
      <c r="O1753" s="115"/>
      <c r="P1753" s="113"/>
      <c r="Q1753" s="113"/>
      <c r="R1753" s="113"/>
      <c r="S1753" s="113"/>
      <c r="T1753" s="113"/>
      <c r="V1753"/>
      <c r="W1753"/>
      <c r="Y1753"/>
      <c r="Z1753"/>
      <c r="AA1753"/>
      <c r="AB1753"/>
      <c r="AC1753"/>
      <c r="AD1753"/>
      <c r="AE1753"/>
      <c r="AF1753"/>
    </row>
    <row r="1754" spans="3:32" s="45" customFormat="1" ht="12.75" hidden="1">
      <c r="C1754" s="114"/>
      <c r="O1754" s="115"/>
      <c r="P1754" s="113"/>
      <c r="Q1754" s="113"/>
      <c r="R1754" s="113"/>
      <c r="S1754" s="113"/>
      <c r="T1754" s="113"/>
      <c r="V1754"/>
      <c r="W1754"/>
      <c r="Y1754"/>
      <c r="Z1754"/>
      <c r="AA1754"/>
      <c r="AB1754"/>
      <c r="AC1754"/>
      <c r="AD1754"/>
      <c r="AE1754"/>
      <c r="AF1754"/>
    </row>
    <row r="1755" spans="3:32" s="45" customFormat="1" ht="12.75" hidden="1">
      <c r="C1755" s="114"/>
      <c r="O1755" s="115"/>
      <c r="P1755" s="113"/>
      <c r="Q1755" s="113"/>
      <c r="R1755" s="113"/>
      <c r="S1755" s="113"/>
      <c r="T1755" s="113"/>
      <c r="V1755"/>
      <c r="W1755"/>
      <c r="Y1755"/>
      <c r="Z1755"/>
      <c r="AA1755"/>
      <c r="AB1755"/>
      <c r="AC1755"/>
      <c r="AD1755"/>
      <c r="AE1755"/>
      <c r="AF1755"/>
    </row>
    <row r="1756" spans="3:32" s="45" customFormat="1" ht="12.75" hidden="1">
      <c r="C1756" s="114"/>
      <c r="O1756" s="115"/>
      <c r="P1756" s="113"/>
      <c r="Q1756" s="113"/>
      <c r="R1756" s="113"/>
      <c r="S1756" s="113"/>
      <c r="T1756" s="113"/>
      <c r="V1756"/>
      <c r="W1756"/>
      <c r="Y1756"/>
      <c r="Z1756"/>
      <c r="AA1756"/>
      <c r="AB1756"/>
      <c r="AC1756"/>
      <c r="AD1756"/>
      <c r="AE1756"/>
      <c r="AF1756"/>
    </row>
    <row r="1757" spans="3:32" s="45" customFormat="1" ht="12.75" hidden="1">
      <c r="C1757" s="114"/>
      <c r="O1757" s="115"/>
      <c r="P1757" s="113"/>
      <c r="Q1757" s="113"/>
      <c r="R1757" s="113"/>
      <c r="S1757" s="113"/>
      <c r="T1757" s="113"/>
      <c r="V1757"/>
      <c r="W1757"/>
      <c r="Y1757"/>
      <c r="Z1757"/>
      <c r="AA1757"/>
      <c r="AB1757"/>
      <c r="AC1757"/>
      <c r="AD1757"/>
      <c r="AE1757"/>
      <c r="AF1757"/>
    </row>
    <row r="1758" spans="3:32" s="45" customFormat="1" ht="12.75" hidden="1">
      <c r="C1758" s="114"/>
      <c r="O1758" s="115"/>
      <c r="P1758" s="113"/>
      <c r="Q1758" s="113"/>
      <c r="R1758" s="113"/>
      <c r="S1758" s="113"/>
      <c r="T1758" s="113"/>
      <c r="V1758"/>
      <c r="W1758"/>
      <c r="Y1758"/>
      <c r="Z1758"/>
      <c r="AA1758"/>
      <c r="AB1758"/>
      <c r="AC1758"/>
      <c r="AD1758"/>
      <c r="AE1758"/>
      <c r="AF1758"/>
    </row>
    <row r="1759" spans="3:32" s="45" customFormat="1" ht="12.75" hidden="1">
      <c r="C1759" s="114"/>
      <c r="O1759" s="115"/>
      <c r="P1759" s="113"/>
      <c r="Q1759" s="113"/>
      <c r="R1759" s="113"/>
      <c r="S1759" s="113"/>
      <c r="T1759" s="113"/>
      <c r="V1759"/>
      <c r="W1759"/>
      <c r="Y1759"/>
      <c r="Z1759"/>
      <c r="AA1759"/>
      <c r="AB1759"/>
      <c r="AC1759"/>
      <c r="AD1759"/>
      <c r="AE1759"/>
      <c r="AF1759"/>
    </row>
    <row r="1760" spans="3:32" s="45" customFormat="1" ht="12.75" hidden="1">
      <c r="C1760" s="114"/>
      <c r="O1760" s="115"/>
      <c r="P1760" s="113"/>
      <c r="Q1760" s="113"/>
      <c r="R1760" s="113"/>
      <c r="S1760" s="113"/>
      <c r="T1760" s="113"/>
      <c r="V1760"/>
      <c r="W1760"/>
      <c r="Y1760"/>
      <c r="Z1760"/>
      <c r="AA1760"/>
      <c r="AB1760"/>
      <c r="AC1760"/>
      <c r="AD1760"/>
      <c r="AE1760"/>
      <c r="AF1760"/>
    </row>
    <row r="1761" spans="3:32" s="45" customFormat="1" ht="12.75" hidden="1">
      <c r="C1761" s="114"/>
      <c r="O1761" s="115"/>
      <c r="P1761" s="113"/>
      <c r="Q1761" s="113"/>
      <c r="R1761" s="113"/>
      <c r="S1761" s="113"/>
      <c r="T1761" s="113"/>
      <c r="V1761"/>
      <c r="W1761"/>
      <c r="Y1761"/>
      <c r="Z1761"/>
      <c r="AA1761"/>
      <c r="AB1761"/>
      <c r="AC1761"/>
      <c r="AD1761"/>
      <c r="AE1761"/>
      <c r="AF1761"/>
    </row>
    <row r="1762" spans="3:32" s="45" customFormat="1" ht="12.75" hidden="1">
      <c r="C1762" s="114"/>
      <c r="O1762" s="115"/>
      <c r="P1762" s="113"/>
      <c r="Q1762" s="113"/>
      <c r="R1762" s="113"/>
      <c r="S1762" s="113"/>
      <c r="T1762" s="113"/>
      <c r="V1762"/>
      <c r="W1762"/>
      <c r="Y1762"/>
      <c r="Z1762"/>
      <c r="AA1762"/>
      <c r="AB1762"/>
      <c r="AC1762"/>
      <c r="AD1762"/>
      <c r="AE1762"/>
      <c r="AF1762"/>
    </row>
    <row r="1763" spans="3:32" s="45" customFormat="1" ht="12.75" hidden="1">
      <c r="C1763" s="114"/>
      <c r="O1763" s="115"/>
      <c r="P1763" s="113"/>
      <c r="Q1763" s="113"/>
      <c r="R1763" s="113"/>
      <c r="S1763" s="113"/>
      <c r="T1763" s="113"/>
      <c r="V1763"/>
      <c r="W1763"/>
      <c r="Y1763"/>
      <c r="Z1763"/>
      <c r="AA1763"/>
      <c r="AB1763"/>
      <c r="AC1763"/>
      <c r="AD1763"/>
      <c r="AE1763"/>
      <c r="AF1763"/>
    </row>
    <row r="1764" spans="3:32" s="45" customFormat="1" ht="12.75" hidden="1">
      <c r="C1764" s="114"/>
      <c r="O1764" s="115"/>
      <c r="P1764" s="113"/>
      <c r="Q1764" s="113"/>
      <c r="R1764" s="113"/>
      <c r="S1764" s="113"/>
      <c r="T1764" s="113"/>
      <c r="V1764"/>
      <c r="W1764"/>
      <c r="Y1764"/>
      <c r="Z1764"/>
      <c r="AA1764"/>
      <c r="AB1764"/>
      <c r="AC1764"/>
      <c r="AD1764"/>
      <c r="AE1764"/>
      <c r="AF1764"/>
    </row>
    <row r="1765" spans="3:32" s="45" customFormat="1" ht="12.75" hidden="1">
      <c r="C1765" s="114"/>
      <c r="O1765" s="115"/>
      <c r="P1765" s="113"/>
      <c r="Q1765" s="113"/>
      <c r="R1765" s="113"/>
      <c r="S1765" s="113"/>
      <c r="T1765" s="113"/>
      <c r="V1765"/>
      <c r="W1765"/>
      <c r="Y1765"/>
      <c r="Z1765"/>
      <c r="AA1765"/>
      <c r="AB1765"/>
      <c r="AC1765"/>
      <c r="AD1765"/>
      <c r="AE1765"/>
      <c r="AF1765"/>
    </row>
    <row r="1766" spans="3:32" s="45" customFormat="1" ht="12.75" hidden="1">
      <c r="C1766" s="114"/>
      <c r="O1766" s="115"/>
      <c r="P1766" s="113"/>
      <c r="Q1766" s="113"/>
      <c r="R1766" s="113"/>
      <c r="S1766" s="113"/>
      <c r="T1766" s="113"/>
      <c r="V1766"/>
      <c r="W1766"/>
      <c r="Y1766"/>
      <c r="Z1766"/>
      <c r="AA1766"/>
      <c r="AB1766"/>
      <c r="AC1766"/>
      <c r="AD1766"/>
      <c r="AE1766"/>
      <c r="AF1766"/>
    </row>
    <row r="1767" spans="3:32" s="45" customFormat="1" ht="12.75" hidden="1">
      <c r="C1767" s="114"/>
      <c r="O1767" s="115"/>
      <c r="P1767" s="113"/>
      <c r="Q1767" s="113"/>
      <c r="R1767" s="113"/>
      <c r="S1767" s="113"/>
      <c r="T1767" s="113"/>
      <c r="V1767"/>
      <c r="W1767"/>
      <c r="Y1767"/>
      <c r="Z1767"/>
      <c r="AA1767"/>
      <c r="AB1767"/>
      <c r="AC1767"/>
      <c r="AD1767"/>
      <c r="AE1767"/>
      <c r="AF1767"/>
    </row>
    <row r="1768" spans="3:32" s="45" customFormat="1" ht="12.75" hidden="1">
      <c r="C1768" s="114"/>
      <c r="O1768" s="115"/>
      <c r="P1768" s="113"/>
      <c r="Q1768" s="113"/>
      <c r="R1768" s="113"/>
      <c r="S1768" s="113"/>
      <c r="T1768" s="113"/>
      <c r="V1768"/>
      <c r="W1768"/>
      <c r="Y1768"/>
      <c r="Z1768"/>
      <c r="AA1768"/>
      <c r="AB1768"/>
      <c r="AC1768"/>
      <c r="AD1768"/>
      <c r="AE1768"/>
      <c r="AF1768"/>
    </row>
    <row r="1769" spans="3:32" s="45" customFormat="1" ht="12.75" hidden="1">
      <c r="C1769" s="114"/>
      <c r="O1769" s="115"/>
      <c r="P1769" s="113"/>
      <c r="Q1769" s="113"/>
      <c r="R1769" s="113"/>
      <c r="S1769" s="113"/>
      <c r="T1769" s="113"/>
      <c r="V1769"/>
      <c r="W1769"/>
      <c r="Y1769"/>
      <c r="Z1769"/>
      <c r="AA1769"/>
      <c r="AB1769"/>
      <c r="AC1769"/>
      <c r="AD1769"/>
      <c r="AE1769"/>
      <c r="AF1769"/>
    </row>
    <row r="1770" spans="3:32" s="45" customFormat="1" ht="12.75" hidden="1">
      <c r="C1770" s="114"/>
      <c r="O1770" s="115"/>
      <c r="P1770" s="113"/>
      <c r="Q1770" s="113"/>
      <c r="R1770" s="113"/>
      <c r="S1770" s="113"/>
      <c r="T1770" s="113"/>
      <c r="V1770"/>
      <c r="W1770"/>
      <c r="Y1770"/>
      <c r="Z1770"/>
      <c r="AA1770"/>
      <c r="AB1770"/>
      <c r="AC1770"/>
      <c r="AD1770"/>
      <c r="AE1770"/>
      <c r="AF1770"/>
    </row>
    <row r="1771" spans="3:32" s="45" customFormat="1" ht="12.75" hidden="1">
      <c r="C1771" s="114"/>
      <c r="O1771" s="115"/>
      <c r="P1771" s="113"/>
      <c r="Q1771" s="113"/>
      <c r="R1771" s="113"/>
      <c r="S1771" s="113"/>
      <c r="T1771" s="113"/>
      <c r="V1771"/>
      <c r="W1771"/>
      <c r="Y1771"/>
      <c r="Z1771"/>
      <c r="AA1771"/>
      <c r="AB1771"/>
      <c r="AC1771"/>
      <c r="AD1771"/>
      <c r="AE1771"/>
      <c r="AF1771"/>
    </row>
    <row r="1772" spans="3:32" s="45" customFormat="1" ht="12.75" hidden="1">
      <c r="C1772" s="114"/>
      <c r="O1772" s="115"/>
      <c r="P1772" s="113"/>
      <c r="Q1772" s="113"/>
      <c r="R1772" s="113"/>
      <c r="S1772" s="113"/>
      <c r="T1772" s="113"/>
      <c r="V1772"/>
      <c r="W1772"/>
      <c r="Y1772"/>
      <c r="Z1772"/>
      <c r="AA1772"/>
      <c r="AB1772"/>
      <c r="AC1772"/>
      <c r="AD1772"/>
      <c r="AE1772"/>
      <c r="AF1772"/>
    </row>
    <row r="1773" spans="3:32" s="45" customFormat="1" ht="12.75" hidden="1">
      <c r="C1773" s="114"/>
      <c r="O1773" s="115"/>
      <c r="P1773" s="113"/>
      <c r="Q1773" s="113"/>
      <c r="R1773" s="113"/>
      <c r="S1773" s="113"/>
      <c r="T1773" s="113"/>
      <c r="V1773"/>
      <c r="W1773"/>
      <c r="Y1773"/>
      <c r="Z1773"/>
      <c r="AA1773"/>
      <c r="AB1773"/>
      <c r="AC1773"/>
      <c r="AD1773"/>
      <c r="AE1773"/>
      <c r="AF1773"/>
    </row>
    <row r="1774" spans="3:32" s="45" customFormat="1" ht="12.75" hidden="1">
      <c r="C1774" s="114"/>
      <c r="O1774" s="115"/>
      <c r="P1774" s="113"/>
      <c r="Q1774" s="113"/>
      <c r="R1774" s="113"/>
      <c r="S1774" s="113"/>
      <c r="T1774" s="113"/>
      <c r="V1774"/>
      <c r="W1774"/>
      <c r="Y1774"/>
      <c r="Z1774"/>
      <c r="AA1774"/>
      <c r="AB1774"/>
      <c r="AC1774"/>
      <c r="AD1774"/>
      <c r="AE1774"/>
      <c r="AF1774"/>
    </row>
    <row r="1775" spans="3:32" s="45" customFormat="1" ht="12.75" hidden="1">
      <c r="C1775" s="114"/>
      <c r="O1775" s="115"/>
      <c r="P1775" s="113"/>
      <c r="Q1775" s="113"/>
      <c r="R1775" s="113"/>
      <c r="S1775" s="113"/>
      <c r="T1775" s="113"/>
      <c r="V1775"/>
      <c r="W1775"/>
      <c r="Y1775"/>
      <c r="Z1775"/>
      <c r="AA1775"/>
      <c r="AB1775"/>
      <c r="AC1775"/>
      <c r="AD1775"/>
      <c r="AE1775"/>
      <c r="AF1775"/>
    </row>
    <row r="1776" spans="3:32" s="45" customFormat="1" ht="12.75" hidden="1">
      <c r="C1776" s="114"/>
      <c r="O1776" s="115"/>
      <c r="P1776" s="113"/>
      <c r="Q1776" s="113"/>
      <c r="R1776" s="113"/>
      <c r="S1776" s="113"/>
      <c r="T1776" s="113"/>
      <c r="V1776"/>
      <c r="W1776"/>
      <c r="Y1776"/>
      <c r="Z1776"/>
      <c r="AA1776"/>
      <c r="AB1776"/>
      <c r="AC1776"/>
      <c r="AD1776"/>
      <c r="AE1776"/>
      <c r="AF1776"/>
    </row>
    <row r="1777" spans="1:32" s="45" customFormat="1" ht="12.75" hidden="1">
      <c r="C1777" s="114"/>
      <c r="O1777" s="115"/>
      <c r="P1777" s="113"/>
      <c r="Q1777" s="113"/>
      <c r="R1777" s="113"/>
      <c r="S1777" s="113"/>
      <c r="T1777" s="113"/>
      <c r="V1777"/>
      <c r="W1777"/>
      <c r="Y1777"/>
      <c r="Z1777"/>
      <c r="AA1777"/>
      <c r="AB1777"/>
      <c r="AC1777"/>
      <c r="AD1777"/>
      <c r="AE1777"/>
      <c r="AF1777"/>
    </row>
    <row r="1778" spans="1:32" s="45" customFormat="1" ht="12.75" hidden="1">
      <c r="C1778" s="114"/>
      <c r="O1778" s="115"/>
      <c r="P1778" s="113"/>
      <c r="Q1778" s="113"/>
      <c r="R1778" s="113"/>
      <c r="S1778" s="113"/>
      <c r="T1778" s="113"/>
      <c r="V1778"/>
      <c r="W1778"/>
      <c r="Y1778"/>
      <c r="Z1778"/>
      <c r="AA1778"/>
      <c r="AB1778"/>
      <c r="AC1778"/>
      <c r="AD1778"/>
      <c r="AE1778"/>
      <c r="AF1778"/>
    </row>
    <row r="1779" spans="1:32" s="45" customFormat="1" ht="12.75" hidden="1">
      <c r="C1779" s="114"/>
      <c r="O1779" s="115"/>
      <c r="P1779" s="113"/>
      <c r="Q1779" s="113"/>
      <c r="R1779" s="113"/>
      <c r="S1779" s="113"/>
      <c r="T1779" s="113"/>
      <c r="V1779"/>
      <c r="W1779"/>
      <c r="Y1779"/>
      <c r="Z1779"/>
      <c r="AA1779"/>
      <c r="AB1779"/>
      <c r="AC1779"/>
      <c r="AD1779"/>
      <c r="AE1779"/>
      <c r="AF1779"/>
    </row>
    <row r="1780" spans="1:32" s="45" customFormat="1" ht="12.75" hidden="1">
      <c r="C1780" s="114"/>
      <c r="O1780" s="115"/>
      <c r="P1780" s="113"/>
      <c r="Q1780" s="113"/>
      <c r="R1780" s="113"/>
      <c r="S1780" s="113"/>
      <c r="T1780" s="113"/>
      <c r="V1780"/>
      <c r="W1780"/>
      <c r="Y1780"/>
      <c r="Z1780"/>
      <c r="AA1780"/>
      <c r="AB1780"/>
      <c r="AC1780"/>
      <c r="AD1780"/>
      <c r="AE1780"/>
      <c r="AF1780"/>
    </row>
    <row r="1781" spans="1:32" s="45" customFormat="1" ht="12.75" hidden="1">
      <c r="C1781" s="114"/>
      <c r="O1781" s="115"/>
      <c r="P1781" s="113"/>
      <c r="Q1781" s="113"/>
      <c r="R1781" s="113"/>
      <c r="S1781" s="113"/>
      <c r="T1781" s="113"/>
      <c r="V1781"/>
      <c r="W1781"/>
      <c r="Y1781"/>
      <c r="Z1781"/>
      <c r="AA1781"/>
      <c r="AB1781"/>
      <c r="AC1781"/>
      <c r="AD1781"/>
      <c r="AE1781"/>
      <c r="AF1781"/>
    </row>
    <row r="1782" spans="1:32" s="45" customFormat="1" ht="12.75" hidden="1">
      <c r="C1782" s="114"/>
      <c r="O1782" s="115"/>
      <c r="P1782" s="113"/>
      <c r="Q1782" s="113"/>
      <c r="R1782" s="113"/>
      <c r="S1782" s="113"/>
      <c r="T1782" s="113"/>
      <c r="V1782"/>
      <c r="W1782"/>
      <c r="Y1782"/>
      <c r="Z1782"/>
      <c r="AA1782"/>
      <c r="AB1782"/>
      <c r="AC1782"/>
      <c r="AD1782"/>
      <c r="AE1782"/>
      <c r="AF1782"/>
    </row>
    <row r="1783" spans="1:32" s="45" customFormat="1" ht="12.75" hidden="1">
      <c r="C1783" s="114"/>
      <c r="O1783" s="115"/>
      <c r="P1783" s="113"/>
      <c r="Q1783" s="113"/>
      <c r="R1783" s="113"/>
      <c r="S1783" s="113"/>
      <c r="T1783" s="113"/>
      <c r="V1783"/>
      <c r="W1783"/>
      <c r="Y1783"/>
      <c r="Z1783"/>
      <c r="AA1783"/>
      <c r="AB1783"/>
      <c r="AC1783"/>
      <c r="AD1783"/>
      <c r="AE1783"/>
      <c r="AF1783"/>
    </row>
    <row r="1784" spans="1:32" s="45" customFormat="1" ht="12.75" hidden="1">
      <c r="C1784" s="114"/>
      <c r="O1784" s="115"/>
      <c r="P1784" s="113"/>
      <c r="Q1784" s="113"/>
      <c r="R1784" s="113"/>
      <c r="S1784" s="113"/>
      <c r="T1784" s="113"/>
      <c r="V1784"/>
      <c r="W1784"/>
      <c r="Y1784"/>
      <c r="Z1784"/>
      <c r="AA1784"/>
      <c r="AB1784"/>
      <c r="AC1784"/>
      <c r="AD1784"/>
      <c r="AE1784"/>
      <c r="AF1784"/>
    </row>
    <row r="1785" spans="1:32" s="45" customFormat="1" ht="12.75" hidden="1">
      <c r="C1785" s="114"/>
      <c r="O1785" s="115"/>
      <c r="P1785" s="113"/>
      <c r="Q1785" s="113"/>
      <c r="R1785" s="113"/>
      <c r="S1785" s="113"/>
      <c r="T1785" s="113"/>
      <c r="V1785"/>
      <c r="W1785"/>
      <c r="Y1785"/>
      <c r="Z1785"/>
      <c r="AA1785"/>
      <c r="AB1785"/>
      <c r="AC1785"/>
      <c r="AD1785"/>
      <c r="AE1785"/>
      <c r="AF1785"/>
    </row>
    <row r="1786" spans="1:32" s="45" customFormat="1" ht="12.75" hidden="1">
      <c r="C1786" s="114"/>
      <c r="O1786" s="115"/>
      <c r="P1786" s="113"/>
      <c r="Q1786" s="113"/>
      <c r="R1786" s="113"/>
      <c r="S1786" s="113"/>
      <c r="T1786" s="113"/>
      <c r="V1786"/>
      <c r="W1786"/>
      <c r="Y1786"/>
      <c r="Z1786"/>
      <c r="AA1786"/>
      <c r="AB1786"/>
      <c r="AC1786"/>
      <c r="AD1786"/>
      <c r="AE1786"/>
      <c r="AF1786"/>
    </row>
    <row r="1787" spans="1:32" s="45" customFormat="1" ht="12.75" hidden="1">
      <c r="C1787" s="114"/>
      <c r="O1787" s="115"/>
      <c r="P1787" s="113"/>
      <c r="Q1787" s="113"/>
      <c r="R1787" s="113"/>
      <c r="S1787" s="113"/>
      <c r="T1787" s="113"/>
      <c r="V1787"/>
      <c r="W1787"/>
      <c r="Y1787"/>
      <c r="Z1787"/>
      <c r="AA1787"/>
      <c r="AB1787"/>
      <c r="AC1787"/>
      <c r="AD1787"/>
      <c r="AE1787"/>
      <c r="AF1787"/>
    </row>
    <row r="1788" spans="1:32" s="45" customFormat="1" ht="12.75" hidden="1">
      <c r="C1788" s="114"/>
      <c r="O1788" s="115"/>
      <c r="P1788" s="113"/>
      <c r="Q1788" s="113"/>
      <c r="R1788" s="113"/>
      <c r="S1788" s="113"/>
      <c r="T1788" s="113"/>
      <c r="V1788"/>
      <c r="W1788"/>
      <c r="Y1788"/>
      <c r="Z1788"/>
      <c r="AA1788"/>
      <c r="AB1788"/>
      <c r="AC1788"/>
      <c r="AD1788"/>
      <c r="AE1788"/>
      <c r="AF1788"/>
    </row>
    <row r="1789" spans="1:32" s="45" customFormat="1" ht="12.75" hidden="1">
      <c r="C1789" s="114"/>
      <c r="O1789" s="115"/>
      <c r="P1789" s="113"/>
      <c r="Q1789" s="113"/>
      <c r="R1789" s="113"/>
      <c r="S1789" s="113"/>
      <c r="T1789" s="113"/>
      <c r="V1789"/>
      <c r="W1789"/>
      <c r="Y1789"/>
      <c r="Z1789"/>
      <c r="AA1789"/>
      <c r="AB1789"/>
      <c r="AC1789"/>
      <c r="AD1789"/>
      <c r="AE1789"/>
      <c r="AF1789"/>
    </row>
    <row r="1790" spans="1:32" s="45" customFormat="1" ht="12.75" hidden="1">
      <c r="C1790" s="114"/>
      <c r="O1790" s="115"/>
      <c r="P1790" s="113"/>
      <c r="Q1790" s="113"/>
      <c r="R1790" s="113"/>
      <c r="S1790" s="113"/>
      <c r="T1790" s="113"/>
      <c r="V1790"/>
      <c r="W1790"/>
      <c r="Y1790"/>
      <c r="Z1790"/>
      <c r="AA1790"/>
      <c r="AB1790"/>
      <c r="AC1790"/>
      <c r="AD1790"/>
      <c r="AE1790"/>
      <c r="AF1790"/>
    </row>
    <row r="1791" spans="1:32" s="45" customFormat="1" ht="12.75" hidden="1">
      <c r="C1791" s="114"/>
      <c r="O1791" s="115"/>
      <c r="P1791" s="113"/>
      <c r="Q1791" s="113"/>
      <c r="R1791" s="113"/>
      <c r="S1791" s="113"/>
      <c r="T1791" s="113"/>
      <c r="V1791"/>
      <c r="W1791"/>
      <c r="Y1791"/>
      <c r="Z1791"/>
      <c r="AA1791"/>
      <c r="AB1791"/>
      <c r="AC1791"/>
      <c r="AD1791"/>
      <c r="AE1791"/>
      <c r="AF1791"/>
    </row>
    <row r="1792" spans="1:32" s="45" customFormat="1" ht="12.75" hidden="1">
      <c r="A1792" s="115"/>
      <c r="B1792" s="115"/>
      <c r="C1792" s="114"/>
      <c r="D1792" s="115"/>
      <c r="E1792" s="116"/>
      <c r="F1792" s="117"/>
      <c r="G1792" s="115"/>
      <c r="H1792" s="115"/>
      <c r="I1792" s="115"/>
      <c r="J1792" s="115"/>
      <c r="L1792" s="115"/>
      <c r="M1792" s="115"/>
      <c r="N1792" s="115"/>
      <c r="O1792" s="118"/>
      <c r="P1792" s="113"/>
      <c r="Q1792" s="117"/>
      <c r="R1792" s="113"/>
      <c r="S1792" s="113"/>
      <c r="T1792" s="113"/>
      <c r="V1792"/>
      <c r="W1792"/>
      <c r="Y1792"/>
      <c r="Z1792"/>
      <c r="AA1792"/>
      <c r="AB1792"/>
      <c r="AC1792"/>
      <c r="AD1792"/>
      <c r="AE1792"/>
      <c r="AF1792"/>
    </row>
    <row r="1793" spans="1:32" s="45" customFormat="1" ht="12.75" hidden="1">
      <c r="A1793" s="115"/>
      <c r="B1793" s="115"/>
      <c r="C1793" s="114"/>
      <c r="D1793" s="115"/>
      <c r="E1793" s="116"/>
      <c r="F1793" s="117"/>
      <c r="G1793" s="115"/>
      <c r="H1793" s="115"/>
      <c r="I1793" s="115"/>
      <c r="J1793" s="115"/>
      <c r="L1793" s="115"/>
      <c r="M1793" s="115"/>
      <c r="N1793" s="115"/>
      <c r="O1793" s="118"/>
      <c r="P1793" s="113"/>
      <c r="Q1793" s="117"/>
      <c r="R1793" s="113"/>
      <c r="S1793" s="113"/>
      <c r="T1793" s="113"/>
      <c r="V1793"/>
      <c r="W1793"/>
      <c r="Y1793"/>
      <c r="Z1793"/>
      <c r="AA1793"/>
      <c r="AB1793"/>
      <c r="AC1793"/>
      <c r="AD1793"/>
      <c r="AE1793"/>
      <c r="AF1793"/>
    </row>
    <row r="1794" spans="1:32" s="45" customFormat="1" ht="12.75" hidden="1">
      <c r="A1794" s="115"/>
      <c r="B1794" s="115"/>
      <c r="C1794" s="114"/>
      <c r="D1794" s="115"/>
      <c r="E1794" s="116"/>
      <c r="F1794" s="117"/>
      <c r="G1794" s="115"/>
      <c r="H1794" s="115"/>
      <c r="I1794" s="115"/>
      <c r="J1794" s="115"/>
      <c r="L1794" s="115"/>
      <c r="M1794" s="115"/>
      <c r="N1794" s="115"/>
      <c r="O1794" s="118"/>
      <c r="P1794" s="113"/>
      <c r="Q1794" s="117"/>
      <c r="R1794" s="113"/>
      <c r="S1794" s="113"/>
      <c r="T1794" s="113"/>
      <c r="V1794"/>
      <c r="W1794"/>
      <c r="Y1794"/>
      <c r="Z1794"/>
      <c r="AA1794"/>
      <c r="AB1794"/>
      <c r="AC1794"/>
      <c r="AD1794"/>
      <c r="AE1794"/>
      <c r="AF1794"/>
    </row>
    <row r="1795" spans="1:32" s="45" customFormat="1" ht="12.75" hidden="1">
      <c r="A1795" s="115"/>
      <c r="B1795" s="115"/>
      <c r="C1795" s="114"/>
      <c r="D1795" s="115"/>
      <c r="E1795" s="116"/>
      <c r="F1795" s="117"/>
      <c r="G1795" s="115"/>
      <c r="H1795" s="115"/>
      <c r="I1795" s="115"/>
      <c r="J1795" s="115"/>
      <c r="L1795" s="115"/>
      <c r="M1795" s="115"/>
      <c r="N1795" s="115"/>
      <c r="O1795" s="118"/>
      <c r="P1795" s="113"/>
      <c r="Q1795" s="117"/>
      <c r="R1795" s="113"/>
      <c r="S1795" s="113"/>
      <c r="T1795" s="113"/>
      <c r="V1795"/>
      <c r="W1795"/>
      <c r="Y1795"/>
      <c r="Z1795"/>
      <c r="AA1795"/>
      <c r="AB1795"/>
      <c r="AC1795"/>
      <c r="AD1795"/>
      <c r="AE1795"/>
      <c r="AF1795"/>
    </row>
    <row r="1796" spans="1:32" s="45" customFormat="1" ht="12.75" hidden="1">
      <c r="A1796" s="115"/>
      <c r="B1796" s="115"/>
      <c r="C1796" s="114"/>
      <c r="D1796" s="115"/>
      <c r="E1796" s="116"/>
      <c r="F1796" s="117"/>
      <c r="G1796" s="115"/>
      <c r="H1796" s="115"/>
      <c r="I1796" s="115"/>
      <c r="J1796" s="115"/>
      <c r="L1796" s="115"/>
      <c r="M1796" s="115"/>
      <c r="N1796" s="115"/>
      <c r="O1796" s="118"/>
      <c r="P1796" s="113"/>
      <c r="Q1796" s="117"/>
      <c r="R1796" s="113"/>
      <c r="S1796" s="113"/>
      <c r="T1796" s="113"/>
      <c r="V1796"/>
      <c r="W1796"/>
      <c r="Y1796"/>
      <c r="Z1796"/>
      <c r="AA1796"/>
      <c r="AB1796"/>
      <c r="AC1796"/>
      <c r="AD1796"/>
      <c r="AE1796"/>
      <c r="AF1796"/>
    </row>
    <row r="1797" spans="1:32" s="45" customFormat="1" ht="12.75" hidden="1">
      <c r="A1797" s="115"/>
      <c r="B1797" s="115"/>
      <c r="C1797" s="114"/>
      <c r="D1797" s="115"/>
      <c r="E1797" s="116"/>
      <c r="F1797" s="117"/>
      <c r="G1797" s="115"/>
      <c r="H1797" s="115"/>
      <c r="I1797" s="115"/>
      <c r="J1797" s="115"/>
      <c r="L1797" s="115"/>
      <c r="M1797" s="115"/>
      <c r="N1797" s="115"/>
      <c r="O1797" s="118"/>
      <c r="P1797" s="113"/>
      <c r="Q1797" s="117"/>
      <c r="R1797" s="113"/>
      <c r="S1797" s="113"/>
      <c r="T1797" s="113"/>
      <c r="V1797"/>
      <c r="W1797"/>
      <c r="Y1797"/>
      <c r="Z1797"/>
      <c r="AA1797"/>
      <c r="AB1797"/>
      <c r="AC1797"/>
      <c r="AD1797"/>
      <c r="AE1797"/>
      <c r="AF1797"/>
    </row>
    <row r="1798" spans="1:32" s="45" customFormat="1" ht="12.75" hidden="1">
      <c r="A1798" s="115"/>
      <c r="B1798" s="115"/>
      <c r="C1798" s="114"/>
      <c r="D1798" s="115"/>
      <c r="E1798" s="116"/>
      <c r="F1798" s="117"/>
      <c r="G1798" s="115"/>
      <c r="H1798" s="115"/>
      <c r="I1798" s="115"/>
      <c r="J1798" s="115"/>
      <c r="L1798" s="115"/>
      <c r="M1798" s="115"/>
      <c r="N1798" s="115"/>
      <c r="O1798" s="118"/>
      <c r="P1798" s="113"/>
      <c r="Q1798" s="117"/>
      <c r="R1798" s="113"/>
      <c r="S1798" s="113"/>
      <c r="T1798" s="113"/>
      <c r="V1798"/>
      <c r="W1798"/>
      <c r="Y1798"/>
      <c r="Z1798"/>
      <c r="AA1798"/>
      <c r="AB1798"/>
      <c r="AC1798"/>
      <c r="AD1798"/>
      <c r="AE1798"/>
      <c r="AF1798"/>
    </row>
    <row r="1799" spans="1:32" s="45" customFormat="1" ht="12.75" hidden="1">
      <c r="A1799" s="115"/>
      <c r="B1799" s="115"/>
      <c r="C1799" s="114"/>
      <c r="D1799" s="115"/>
      <c r="E1799" s="116"/>
      <c r="F1799" s="117"/>
      <c r="G1799" s="115"/>
      <c r="H1799" s="115"/>
      <c r="I1799" s="115"/>
      <c r="J1799" s="115"/>
      <c r="L1799" s="115"/>
      <c r="M1799" s="115"/>
      <c r="N1799" s="115"/>
      <c r="O1799" s="118"/>
      <c r="P1799" s="113"/>
      <c r="Q1799" s="117"/>
      <c r="R1799" s="113"/>
      <c r="S1799" s="113"/>
      <c r="T1799" s="113"/>
      <c r="V1799"/>
      <c r="W1799"/>
      <c r="Y1799"/>
      <c r="Z1799"/>
      <c r="AA1799"/>
      <c r="AB1799"/>
      <c r="AC1799"/>
      <c r="AD1799"/>
      <c r="AE1799"/>
      <c r="AF1799"/>
    </row>
    <row r="1800" spans="1:32" s="45" customFormat="1" ht="12.75" hidden="1">
      <c r="A1800" s="115"/>
      <c r="B1800" s="115"/>
      <c r="C1800" s="114"/>
      <c r="D1800" s="115"/>
      <c r="E1800" s="116"/>
      <c r="F1800" s="117"/>
      <c r="G1800" s="115"/>
      <c r="H1800" s="115"/>
      <c r="I1800" s="115"/>
      <c r="J1800" s="115"/>
      <c r="L1800" s="115"/>
      <c r="M1800" s="115"/>
      <c r="N1800" s="115"/>
      <c r="O1800" s="118"/>
      <c r="P1800" s="113"/>
      <c r="Q1800" s="117"/>
      <c r="R1800" s="113"/>
      <c r="S1800" s="113"/>
      <c r="T1800" s="113"/>
      <c r="V1800"/>
      <c r="W1800"/>
      <c r="Y1800"/>
      <c r="Z1800"/>
      <c r="AA1800"/>
      <c r="AB1800"/>
      <c r="AC1800"/>
      <c r="AD1800"/>
      <c r="AE1800"/>
      <c r="AF1800"/>
    </row>
    <row r="1801" spans="1:32" s="45" customFormat="1" ht="12.75" hidden="1">
      <c r="A1801" s="115"/>
      <c r="B1801" s="115"/>
      <c r="C1801" s="114"/>
      <c r="D1801" s="115"/>
      <c r="E1801" s="116"/>
      <c r="F1801" s="117"/>
      <c r="G1801" s="115"/>
      <c r="H1801" s="115"/>
      <c r="I1801" s="115"/>
      <c r="J1801" s="115"/>
      <c r="L1801" s="115"/>
      <c r="M1801" s="115"/>
      <c r="N1801" s="115"/>
      <c r="O1801" s="118"/>
      <c r="P1801" s="113"/>
      <c r="Q1801" s="117"/>
      <c r="R1801" s="113"/>
      <c r="S1801" s="113"/>
      <c r="T1801" s="113"/>
      <c r="V1801"/>
      <c r="W1801"/>
      <c r="Y1801"/>
      <c r="Z1801"/>
      <c r="AA1801"/>
      <c r="AB1801"/>
      <c r="AC1801"/>
      <c r="AD1801"/>
      <c r="AE1801"/>
      <c r="AF1801"/>
    </row>
    <row r="1802" spans="1:32" s="45" customFormat="1" ht="12.75" hidden="1">
      <c r="A1802" s="115"/>
      <c r="B1802" s="115"/>
      <c r="C1802" s="114"/>
      <c r="D1802" s="115"/>
      <c r="E1802" s="116"/>
      <c r="F1802" s="117"/>
      <c r="G1802" s="115"/>
      <c r="H1802" s="115"/>
      <c r="I1802" s="115"/>
      <c r="J1802" s="115"/>
      <c r="L1802" s="115"/>
      <c r="M1802" s="115"/>
      <c r="N1802" s="115"/>
      <c r="O1802" s="118"/>
      <c r="P1802" s="113"/>
      <c r="Q1802" s="117"/>
      <c r="R1802" s="113"/>
      <c r="S1802" s="113"/>
      <c r="T1802" s="113"/>
      <c r="V1802"/>
      <c r="W1802"/>
      <c r="Y1802"/>
      <c r="Z1802"/>
      <c r="AA1802"/>
      <c r="AB1802"/>
      <c r="AC1802"/>
      <c r="AD1802"/>
      <c r="AE1802"/>
      <c r="AF1802"/>
    </row>
    <row r="1803" spans="1:32" s="45" customFormat="1" ht="12.75" hidden="1">
      <c r="A1803" s="115"/>
      <c r="B1803" s="115"/>
      <c r="C1803" s="114"/>
      <c r="D1803" s="115"/>
      <c r="E1803" s="116"/>
      <c r="F1803" s="117"/>
      <c r="G1803" s="115"/>
      <c r="H1803" s="115"/>
      <c r="I1803" s="115"/>
      <c r="J1803" s="115"/>
      <c r="L1803" s="115"/>
      <c r="M1803" s="115"/>
      <c r="N1803" s="115"/>
      <c r="O1803" s="118"/>
      <c r="P1803" s="113"/>
      <c r="Q1803" s="117"/>
      <c r="R1803" s="113"/>
      <c r="S1803" s="113"/>
      <c r="T1803" s="113"/>
      <c r="V1803"/>
      <c r="W1803"/>
      <c r="Y1803"/>
      <c r="Z1803"/>
      <c r="AA1803"/>
      <c r="AB1803"/>
      <c r="AC1803"/>
      <c r="AD1803"/>
      <c r="AE1803"/>
      <c r="AF1803"/>
    </row>
    <row r="1804" spans="1:32" s="45" customFormat="1" ht="12.75" hidden="1">
      <c r="A1804" s="115"/>
      <c r="B1804" s="115"/>
      <c r="C1804" s="114"/>
      <c r="D1804" s="115"/>
      <c r="E1804" s="116"/>
      <c r="F1804" s="117"/>
      <c r="G1804" s="115"/>
      <c r="H1804" s="115"/>
      <c r="I1804" s="115"/>
      <c r="J1804" s="115"/>
      <c r="L1804" s="115"/>
      <c r="M1804" s="115"/>
      <c r="N1804" s="115"/>
      <c r="O1804" s="118"/>
      <c r="P1804" s="113"/>
      <c r="Q1804" s="117"/>
      <c r="R1804" s="113"/>
      <c r="S1804" s="113"/>
      <c r="T1804" s="113"/>
      <c r="V1804"/>
      <c r="W1804"/>
      <c r="Y1804"/>
      <c r="Z1804"/>
      <c r="AA1804"/>
      <c r="AB1804"/>
      <c r="AC1804"/>
      <c r="AD1804"/>
      <c r="AE1804"/>
      <c r="AF1804"/>
    </row>
    <row r="1805" spans="1:32" s="45" customFormat="1" ht="12.75" hidden="1">
      <c r="A1805" s="115"/>
      <c r="B1805" s="115"/>
      <c r="C1805" s="114"/>
      <c r="D1805" s="115"/>
      <c r="E1805" s="116"/>
      <c r="F1805" s="117"/>
      <c r="G1805" s="115"/>
      <c r="H1805" s="115"/>
      <c r="I1805" s="115"/>
      <c r="J1805" s="115"/>
      <c r="L1805" s="115"/>
      <c r="M1805" s="115"/>
      <c r="N1805" s="115"/>
      <c r="O1805" s="118"/>
      <c r="P1805" s="113"/>
      <c r="Q1805" s="117"/>
      <c r="R1805" s="113"/>
      <c r="S1805" s="113"/>
      <c r="T1805" s="113"/>
      <c r="V1805"/>
      <c r="W1805"/>
      <c r="Y1805"/>
      <c r="Z1805"/>
      <c r="AA1805"/>
      <c r="AB1805"/>
      <c r="AC1805"/>
      <c r="AD1805"/>
      <c r="AE1805"/>
      <c r="AF1805"/>
    </row>
    <row r="1806" spans="1:32" s="45" customFormat="1" ht="12.75" hidden="1">
      <c r="A1806" s="115"/>
      <c r="B1806" s="115"/>
      <c r="C1806" s="114"/>
      <c r="D1806" s="115"/>
      <c r="E1806" s="116"/>
      <c r="F1806" s="117"/>
      <c r="G1806" s="115"/>
      <c r="H1806" s="115"/>
      <c r="I1806" s="115"/>
      <c r="J1806" s="115"/>
      <c r="L1806" s="115"/>
      <c r="M1806" s="115"/>
      <c r="N1806" s="115"/>
      <c r="O1806" s="118"/>
      <c r="P1806" s="113"/>
      <c r="Q1806" s="117"/>
      <c r="R1806" s="113"/>
      <c r="S1806" s="113"/>
      <c r="T1806" s="113"/>
      <c r="V1806"/>
      <c r="W1806"/>
      <c r="Y1806"/>
      <c r="Z1806"/>
      <c r="AA1806"/>
      <c r="AB1806"/>
      <c r="AC1806"/>
      <c r="AD1806"/>
      <c r="AE1806"/>
      <c r="AF1806"/>
    </row>
    <row r="1807" spans="1:32" s="45" customFormat="1" ht="12.75" hidden="1">
      <c r="A1807" s="115"/>
      <c r="B1807" s="115"/>
      <c r="C1807" s="114"/>
      <c r="D1807" s="115"/>
      <c r="E1807" s="116"/>
      <c r="F1807" s="117"/>
      <c r="G1807" s="115"/>
      <c r="H1807" s="115"/>
      <c r="I1807" s="115"/>
      <c r="J1807" s="115"/>
      <c r="L1807" s="115"/>
      <c r="M1807" s="115"/>
      <c r="N1807" s="115"/>
      <c r="O1807" s="118"/>
      <c r="P1807" s="113"/>
      <c r="Q1807" s="117"/>
      <c r="R1807" s="113"/>
      <c r="S1807" s="113"/>
      <c r="T1807" s="113"/>
      <c r="V1807"/>
      <c r="W1807"/>
      <c r="Y1807"/>
      <c r="Z1807"/>
      <c r="AA1807"/>
      <c r="AB1807"/>
      <c r="AC1807"/>
      <c r="AD1807"/>
      <c r="AE1807"/>
      <c r="AF1807"/>
    </row>
    <row r="1808" spans="1:32" s="45" customFormat="1" ht="12.75" hidden="1">
      <c r="A1808" s="115"/>
      <c r="B1808" s="115"/>
      <c r="C1808" s="114"/>
      <c r="D1808" s="115"/>
      <c r="E1808" s="116"/>
      <c r="F1808" s="117"/>
      <c r="G1808" s="115"/>
      <c r="H1808" s="115"/>
      <c r="I1808" s="115"/>
      <c r="J1808" s="115"/>
      <c r="L1808" s="115"/>
      <c r="M1808" s="115"/>
      <c r="N1808" s="115"/>
      <c r="O1808" s="118"/>
      <c r="P1808" s="113"/>
      <c r="Q1808" s="117"/>
      <c r="R1808" s="113"/>
      <c r="S1808" s="113"/>
      <c r="T1808" s="113"/>
      <c r="V1808"/>
      <c r="W1808"/>
      <c r="Y1808"/>
      <c r="Z1808"/>
      <c r="AA1808"/>
      <c r="AB1808"/>
      <c r="AC1808"/>
      <c r="AD1808"/>
      <c r="AE1808"/>
      <c r="AF1808"/>
    </row>
    <row r="1809" spans="1:32" s="45" customFormat="1" ht="12.75" hidden="1">
      <c r="A1809" s="115"/>
      <c r="B1809" s="115"/>
      <c r="C1809" s="114"/>
      <c r="D1809" s="115"/>
      <c r="E1809" s="116"/>
      <c r="F1809" s="117"/>
      <c r="G1809" s="115"/>
      <c r="H1809" s="115"/>
      <c r="I1809" s="115"/>
      <c r="J1809" s="115"/>
      <c r="L1809" s="115"/>
      <c r="M1809" s="115"/>
      <c r="N1809" s="115"/>
      <c r="O1809" s="118"/>
      <c r="P1809" s="113"/>
      <c r="Q1809" s="117"/>
      <c r="R1809" s="113"/>
      <c r="S1809" s="113"/>
      <c r="T1809" s="113"/>
      <c r="V1809"/>
      <c r="W1809"/>
      <c r="Y1809"/>
      <c r="Z1809"/>
      <c r="AA1809"/>
      <c r="AB1809"/>
      <c r="AC1809"/>
      <c r="AD1809"/>
      <c r="AE1809"/>
      <c r="AF1809"/>
    </row>
    <row r="1810" spans="1:32" s="45" customFormat="1" ht="12.75" hidden="1">
      <c r="A1810" s="115"/>
      <c r="B1810" s="115"/>
      <c r="C1810" s="114"/>
      <c r="D1810" s="115"/>
      <c r="E1810" s="116"/>
      <c r="F1810" s="117"/>
      <c r="G1810" s="115"/>
      <c r="H1810" s="115"/>
      <c r="I1810" s="115"/>
      <c r="J1810" s="115"/>
      <c r="L1810" s="115"/>
      <c r="M1810" s="115"/>
      <c r="N1810" s="115"/>
      <c r="O1810" s="118"/>
      <c r="P1810" s="113"/>
      <c r="Q1810" s="117"/>
      <c r="R1810" s="113"/>
      <c r="S1810" s="113"/>
      <c r="T1810" s="113"/>
      <c r="V1810"/>
      <c r="W1810"/>
      <c r="Y1810"/>
      <c r="Z1810"/>
      <c r="AA1810"/>
      <c r="AB1810"/>
      <c r="AC1810"/>
      <c r="AD1810"/>
      <c r="AE1810"/>
      <c r="AF1810"/>
    </row>
    <row r="1811" spans="1:32" s="45" customFormat="1" ht="12.75" hidden="1">
      <c r="A1811" s="115"/>
      <c r="B1811" s="115"/>
      <c r="C1811" s="114"/>
      <c r="D1811" s="115"/>
      <c r="E1811" s="116"/>
      <c r="F1811" s="117"/>
      <c r="G1811" s="115"/>
      <c r="H1811" s="115"/>
      <c r="I1811" s="115"/>
      <c r="J1811" s="115"/>
      <c r="L1811" s="115"/>
      <c r="M1811" s="115"/>
      <c r="N1811" s="115"/>
      <c r="O1811" s="118"/>
      <c r="P1811" s="113"/>
      <c r="Q1811" s="117"/>
      <c r="R1811" s="113"/>
      <c r="S1811" s="113"/>
      <c r="T1811" s="113"/>
      <c r="V1811"/>
      <c r="W1811"/>
      <c r="Y1811"/>
      <c r="Z1811"/>
      <c r="AA1811"/>
      <c r="AB1811"/>
      <c r="AC1811"/>
      <c r="AD1811"/>
      <c r="AE1811"/>
      <c r="AF1811"/>
    </row>
    <row r="1812" spans="1:32" s="45" customFormat="1" ht="12.75" hidden="1">
      <c r="A1812" s="115"/>
      <c r="B1812" s="115"/>
      <c r="C1812" s="114"/>
      <c r="D1812" s="115"/>
      <c r="E1812" s="116"/>
      <c r="F1812" s="117"/>
      <c r="G1812" s="115"/>
      <c r="H1812" s="115"/>
      <c r="I1812" s="115"/>
      <c r="J1812" s="115"/>
      <c r="L1812" s="115"/>
      <c r="M1812" s="115"/>
      <c r="N1812" s="115"/>
      <c r="O1812" s="118"/>
      <c r="P1812" s="113"/>
      <c r="Q1812" s="117"/>
      <c r="R1812" s="113"/>
      <c r="S1812" s="113"/>
      <c r="T1812" s="113"/>
      <c r="V1812"/>
      <c r="W1812"/>
      <c r="Y1812"/>
      <c r="Z1812"/>
      <c r="AA1812"/>
      <c r="AB1812"/>
      <c r="AC1812"/>
      <c r="AD1812"/>
      <c r="AE1812"/>
      <c r="AF1812"/>
    </row>
    <row r="1813" spans="1:32" s="45" customFormat="1" ht="12.75" hidden="1">
      <c r="A1813" s="115"/>
      <c r="B1813" s="115"/>
      <c r="C1813" s="114"/>
      <c r="D1813" s="115"/>
      <c r="E1813" s="116"/>
      <c r="F1813" s="117"/>
      <c r="G1813" s="115"/>
      <c r="H1813" s="115"/>
      <c r="I1813" s="115"/>
      <c r="J1813" s="115"/>
      <c r="L1813" s="115"/>
      <c r="M1813" s="115"/>
      <c r="N1813" s="115"/>
      <c r="O1813" s="118"/>
      <c r="P1813" s="113"/>
      <c r="Q1813" s="117"/>
      <c r="R1813" s="113"/>
      <c r="S1813" s="113"/>
      <c r="T1813" s="113"/>
      <c r="V1813"/>
      <c r="W1813"/>
      <c r="Y1813"/>
      <c r="Z1813"/>
      <c r="AA1813"/>
      <c r="AB1813"/>
      <c r="AC1813"/>
      <c r="AD1813"/>
      <c r="AE1813"/>
      <c r="AF1813"/>
    </row>
    <row r="1814" spans="1:32" s="45" customFormat="1" ht="12.75" hidden="1">
      <c r="A1814" s="115"/>
      <c r="B1814" s="115"/>
      <c r="C1814" s="114"/>
      <c r="D1814" s="115"/>
      <c r="E1814" s="116"/>
      <c r="F1814" s="117"/>
      <c r="G1814" s="115"/>
      <c r="H1814" s="115"/>
      <c r="I1814" s="115"/>
      <c r="J1814" s="115"/>
      <c r="L1814" s="115"/>
      <c r="M1814" s="115"/>
      <c r="N1814" s="115"/>
      <c r="O1814" s="118"/>
      <c r="P1814" s="113"/>
      <c r="Q1814" s="117"/>
      <c r="R1814" s="113"/>
      <c r="S1814" s="113"/>
      <c r="T1814" s="113"/>
      <c r="V1814"/>
      <c r="W1814"/>
      <c r="Y1814"/>
      <c r="Z1814"/>
      <c r="AA1814"/>
      <c r="AB1814"/>
      <c r="AC1814"/>
      <c r="AD1814"/>
      <c r="AE1814"/>
      <c r="AF1814"/>
    </row>
    <row r="1815" spans="1:32" s="45" customFormat="1" ht="12.75" hidden="1">
      <c r="A1815" s="115"/>
      <c r="B1815" s="115"/>
      <c r="C1815" s="114"/>
      <c r="D1815" s="115"/>
      <c r="E1815" s="116"/>
      <c r="F1815" s="117"/>
      <c r="G1815" s="115"/>
      <c r="H1815" s="115"/>
      <c r="I1815" s="115"/>
      <c r="J1815" s="115"/>
      <c r="L1815" s="115"/>
      <c r="M1815" s="115"/>
      <c r="N1815" s="115"/>
      <c r="O1815" s="118"/>
      <c r="P1815" s="113"/>
      <c r="Q1815" s="117"/>
      <c r="R1815" s="113"/>
      <c r="S1815" s="113"/>
      <c r="T1815" s="113"/>
      <c r="V1815"/>
      <c r="W1815"/>
      <c r="Y1815"/>
      <c r="Z1815"/>
      <c r="AA1815"/>
      <c r="AB1815"/>
      <c r="AC1815"/>
      <c r="AD1815"/>
      <c r="AE1815"/>
      <c r="AF1815"/>
    </row>
    <row r="1816" spans="1:32" s="45" customFormat="1" ht="12.75" hidden="1">
      <c r="A1816" s="115"/>
      <c r="B1816" s="115"/>
      <c r="C1816" s="114"/>
      <c r="D1816" s="115"/>
      <c r="E1816" s="116"/>
      <c r="F1816" s="117"/>
      <c r="G1816" s="115"/>
      <c r="H1816" s="115"/>
      <c r="I1816" s="115"/>
      <c r="J1816" s="115"/>
      <c r="L1816" s="115"/>
      <c r="M1816" s="115"/>
      <c r="N1816" s="115"/>
      <c r="O1816" s="118"/>
      <c r="P1816" s="113"/>
      <c r="Q1816" s="117"/>
      <c r="R1816" s="113"/>
      <c r="S1816" s="113"/>
      <c r="T1816" s="113"/>
      <c r="V1816"/>
      <c r="W1816"/>
      <c r="Y1816"/>
      <c r="Z1816"/>
      <c r="AA1816"/>
      <c r="AB1816"/>
      <c r="AC1816"/>
      <c r="AD1816"/>
      <c r="AE1816"/>
      <c r="AF1816"/>
    </row>
    <row r="1817" spans="1:32" s="45" customFormat="1" ht="12.75" hidden="1">
      <c r="A1817" s="115"/>
      <c r="B1817" s="115"/>
      <c r="C1817" s="114"/>
      <c r="D1817" s="115"/>
      <c r="E1817" s="116"/>
      <c r="F1817" s="117"/>
      <c r="G1817" s="115"/>
      <c r="H1817" s="115"/>
      <c r="I1817" s="115"/>
      <c r="J1817" s="115"/>
      <c r="L1817" s="115"/>
      <c r="M1817" s="115"/>
      <c r="N1817" s="115"/>
      <c r="O1817" s="118"/>
      <c r="P1817" s="113"/>
      <c r="Q1817" s="117"/>
      <c r="R1817" s="113"/>
      <c r="S1817" s="113"/>
      <c r="T1817" s="113"/>
      <c r="V1817"/>
      <c r="W1817"/>
      <c r="Y1817"/>
      <c r="Z1817"/>
      <c r="AA1817"/>
      <c r="AB1817"/>
      <c r="AC1817"/>
      <c r="AD1817"/>
      <c r="AE1817"/>
      <c r="AF1817"/>
    </row>
    <row r="1818" spans="1:32" s="45" customFormat="1" ht="12.75" hidden="1">
      <c r="A1818" s="115"/>
      <c r="B1818" s="115"/>
      <c r="C1818" s="114"/>
      <c r="D1818" s="115"/>
      <c r="E1818" s="116"/>
      <c r="F1818" s="117"/>
      <c r="G1818" s="115"/>
      <c r="H1818" s="115"/>
      <c r="I1818" s="115"/>
      <c r="J1818" s="115"/>
      <c r="L1818" s="115"/>
      <c r="M1818" s="115"/>
      <c r="N1818" s="115"/>
      <c r="O1818" s="118"/>
      <c r="P1818" s="113"/>
      <c r="Q1818" s="117"/>
      <c r="R1818" s="113"/>
      <c r="S1818" s="113"/>
      <c r="T1818" s="113"/>
      <c r="V1818"/>
      <c r="W1818"/>
      <c r="Y1818"/>
      <c r="Z1818"/>
      <c r="AA1818"/>
      <c r="AB1818"/>
      <c r="AC1818"/>
      <c r="AD1818"/>
      <c r="AE1818"/>
      <c r="AF1818"/>
    </row>
    <row r="1819" spans="1:32" s="45" customFormat="1" ht="12.75" hidden="1">
      <c r="A1819" s="115"/>
      <c r="B1819" s="115"/>
      <c r="C1819" s="114"/>
      <c r="D1819" s="115"/>
      <c r="E1819" s="116"/>
      <c r="F1819" s="117"/>
      <c r="G1819" s="115"/>
      <c r="H1819" s="115"/>
      <c r="I1819" s="115"/>
      <c r="J1819" s="115"/>
      <c r="L1819" s="115"/>
      <c r="M1819" s="115"/>
      <c r="N1819" s="115"/>
      <c r="O1819" s="118"/>
      <c r="P1819" s="113"/>
      <c r="Q1819" s="117"/>
      <c r="R1819" s="113"/>
      <c r="S1819" s="113"/>
      <c r="T1819" s="113"/>
      <c r="V1819"/>
      <c r="W1819"/>
      <c r="Y1819"/>
      <c r="Z1819"/>
      <c r="AA1819"/>
      <c r="AB1819"/>
      <c r="AC1819"/>
      <c r="AD1819"/>
      <c r="AE1819"/>
      <c r="AF1819"/>
    </row>
    <row r="1820" spans="1:32" s="45" customFormat="1" ht="12.75" hidden="1">
      <c r="A1820" s="115"/>
      <c r="B1820" s="115"/>
      <c r="C1820" s="114"/>
      <c r="D1820" s="115"/>
      <c r="E1820" s="116"/>
      <c r="F1820" s="117"/>
      <c r="G1820" s="115"/>
      <c r="H1820" s="115"/>
      <c r="I1820" s="115"/>
      <c r="J1820" s="115"/>
      <c r="L1820" s="115"/>
      <c r="M1820" s="115"/>
      <c r="N1820" s="115"/>
      <c r="O1820" s="118"/>
      <c r="P1820" s="113"/>
      <c r="Q1820" s="117"/>
      <c r="R1820" s="113"/>
      <c r="S1820" s="113"/>
      <c r="T1820" s="113"/>
      <c r="V1820"/>
      <c r="W1820"/>
      <c r="Y1820"/>
      <c r="Z1820"/>
      <c r="AA1820"/>
      <c r="AB1820"/>
      <c r="AC1820"/>
      <c r="AD1820"/>
      <c r="AE1820"/>
      <c r="AF1820"/>
    </row>
    <row r="1821" spans="1:32" s="45" customFormat="1" ht="12.75" hidden="1">
      <c r="A1821" s="115"/>
      <c r="B1821" s="115"/>
      <c r="C1821" s="114"/>
      <c r="D1821" s="115"/>
      <c r="E1821" s="116"/>
      <c r="F1821" s="117"/>
      <c r="G1821" s="115"/>
      <c r="H1821" s="115"/>
      <c r="I1821" s="115"/>
      <c r="J1821" s="115"/>
      <c r="L1821" s="115"/>
      <c r="M1821" s="115"/>
      <c r="N1821" s="115"/>
      <c r="O1821" s="118"/>
      <c r="P1821" s="113"/>
      <c r="Q1821" s="117"/>
      <c r="R1821" s="113"/>
      <c r="S1821" s="113"/>
      <c r="T1821" s="113"/>
      <c r="V1821"/>
      <c r="W1821"/>
      <c r="Y1821"/>
      <c r="Z1821"/>
      <c r="AA1821"/>
      <c r="AB1821"/>
      <c r="AC1821"/>
      <c r="AD1821"/>
      <c r="AE1821"/>
      <c r="AF1821"/>
    </row>
    <row r="1822" spans="1:32" s="45" customFormat="1" ht="12.75" hidden="1">
      <c r="A1822" s="115"/>
      <c r="B1822" s="115"/>
      <c r="C1822" s="114"/>
      <c r="D1822" s="115"/>
      <c r="E1822" s="116"/>
      <c r="F1822" s="117"/>
      <c r="G1822" s="115"/>
      <c r="H1822" s="115"/>
      <c r="I1822" s="115"/>
      <c r="J1822" s="115"/>
      <c r="L1822" s="115"/>
      <c r="M1822" s="115"/>
      <c r="N1822" s="115"/>
      <c r="O1822" s="118"/>
      <c r="P1822" s="113"/>
      <c r="Q1822" s="117"/>
      <c r="R1822" s="113"/>
      <c r="S1822" s="113"/>
      <c r="T1822" s="113"/>
      <c r="V1822"/>
      <c r="W1822"/>
      <c r="Y1822"/>
      <c r="Z1822"/>
      <c r="AA1822"/>
      <c r="AB1822"/>
      <c r="AC1822"/>
      <c r="AD1822"/>
      <c r="AE1822"/>
      <c r="AF1822"/>
    </row>
    <row r="1823" spans="1:32" s="45" customFormat="1" ht="12.75" hidden="1">
      <c r="A1823" s="115"/>
      <c r="B1823" s="115"/>
      <c r="C1823" s="114"/>
      <c r="D1823" s="115"/>
      <c r="E1823" s="116"/>
      <c r="F1823" s="117"/>
      <c r="G1823" s="115"/>
      <c r="H1823" s="115"/>
      <c r="I1823" s="115"/>
      <c r="J1823" s="115"/>
      <c r="L1823" s="115"/>
      <c r="M1823" s="115"/>
      <c r="N1823" s="115"/>
      <c r="O1823" s="118"/>
      <c r="P1823" s="113"/>
      <c r="Q1823" s="117"/>
      <c r="R1823" s="113"/>
      <c r="S1823" s="113"/>
      <c r="T1823" s="113"/>
      <c r="V1823"/>
      <c r="W1823"/>
      <c r="Y1823"/>
      <c r="Z1823"/>
      <c r="AA1823"/>
      <c r="AB1823"/>
      <c r="AC1823"/>
      <c r="AD1823"/>
      <c r="AE1823"/>
      <c r="AF1823"/>
    </row>
    <row r="1824" spans="1:32" s="45" customFormat="1" ht="12.75" hidden="1">
      <c r="A1824" s="115"/>
      <c r="B1824" s="115"/>
      <c r="C1824" s="114"/>
      <c r="D1824" s="115"/>
      <c r="E1824" s="116"/>
      <c r="F1824" s="117"/>
      <c r="G1824" s="115"/>
      <c r="H1824" s="115"/>
      <c r="I1824" s="115"/>
      <c r="J1824" s="115"/>
      <c r="L1824" s="115"/>
      <c r="M1824" s="115"/>
      <c r="N1824" s="115"/>
      <c r="O1824" s="118"/>
      <c r="P1824" s="113"/>
      <c r="Q1824" s="117"/>
      <c r="R1824" s="113"/>
      <c r="S1824" s="113"/>
      <c r="T1824" s="113"/>
      <c r="V1824"/>
      <c r="W1824"/>
      <c r="Y1824"/>
      <c r="Z1824"/>
      <c r="AA1824"/>
      <c r="AB1824"/>
      <c r="AC1824"/>
      <c r="AD1824"/>
      <c r="AE1824"/>
      <c r="AF1824"/>
    </row>
    <row r="1825" spans="1:32" s="45" customFormat="1" ht="12.75" hidden="1">
      <c r="A1825" s="115"/>
      <c r="B1825" s="115"/>
      <c r="C1825" s="114"/>
      <c r="D1825" s="115"/>
      <c r="E1825" s="116"/>
      <c r="F1825" s="117"/>
      <c r="G1825" s="115"/>
      <c r="H1825" s="115"/>
      <c r="I1825" s="115"/>
      <c r="J1825" s="115"/>
      <c r="L1825" s="115"/>
      <c r="M1825" s="115"/>
      <c r="N1825" s="115"/>
      <c r="O1825" s="118"/>
      <c r="P1825" s="113"/>
      <c r="Q1825" s="117"/>
      <c r="R1825" s="113"/>
      <c r="S1825" s="113"/>
      <c r="T1825" s="113"/>
      <c r="V1825"/>
      <c r="W1825"/>
      <c r="Y1825"/>
      <c r="Z1825"/>
      <c r="AA1825"/>
      <c r="AB1825"/>
      <c r="AC1825"/>
      <c r="AD1825"/>
      <c r="AE1825"/>
      <c r="AF1825"/>
    </row>
    <row r="1826" spans="1:32" s="45" customFormat="1" ht="12.75" hidden="1">
      <c r="A1826" s="115"/>
      <c r="B1826" s="115"/>
      <c r="C1826" s="114"/>
      <c r="D1826" s="115"/>
      <c r="E1826" s="116"/>
      <c r="F1826" s="117"/>
      <c r="G1826" s="115"/>
      <c r="H1826" s="115"/>
      <c r="I1826" s="115"/>
      <c r="J1826" s="115"/>
      <c r="L1826" s="115"/>
      <c r="M1826" s="115"/>
      <c r="N1826" s="115"/>
      <c r="O1826" s="118"/>
      <c r="P1826" s="113"/>
      <c r="Q1826" s="117"/>
      <c r="R1826" s="113"/>
      <c r="S1826" s="113"/>
      <c r="T1826" s="113"/>
      <c r="V1826"/>
      <c r="W1826"/>
      <c r="Y1826"/>
      <c r="Z1826"/>
      <c r="AA1826"/>
      <c r="AB1826"/>
      <c r="AC1826"/>
      <c r="AD1826"/>
      <c r="AE1826"/>
      <c r="AF1826"/>
    </row>
    <row r="1827" spans="1:32" s="45" customFormat="1" ht="12.75" hidden="1">
      <c r="A1827" s="115"/>
      <c r="B1827" s="115"/>
      <c r="C1827" s="114"/>
      <c r="D1827" s="115"/>
      <c r="E1827" s="116"/>
      <c r="F1827" s="117"/>
      <c r="G1827" s="115"/>
      <c r="H1827" s="115"/>
      <c r="I1827" s="115"/>
      <c r="J1827" s="115"/>
      <c r="L1827" s="115"/>
      <c r="M1827" s="115"/>
      <c r="N1827" s="115"/>
      <c r="O1827" s="118"/>
      <c r="P1827" s="113"/>
      <c r="Q1827" s="117"/>
      <c r="R1827" s="113"/>
      <c r="S1827" s="113"/>
      <c r="T1827" s="113"/>
      <c r="V1827"/>
      <c r="W1827"/>
      <c r="Y1827"/>
      <c r="Z1827"/>
      <c r="AA1827"/>
      <c r="AB1827"/>
      <c r="AC1827"/>
      <c r="AD1827"/>
      <c r="AE1827"/>
      <c r="AF1827"/>
    </row>
    <row r="1828" spans="1:32" s="45" customFormat="1" ht="12.75" hidden="1">
      <c r="A1828" s="115"/>
      <c r="B1828" s="115"/>
      <c r="C1828" s="114"/>
      <c r="D1828" s="115"/>
      <c r="E1828" s="116"/>
      <c r="F1828" s="117"/>
      <c r="G1828" s="115"/>
      <c r="H1828" s="115"/>
      <c r="I1828" s="115"/>
      <c r="J1828" s="115"/>
      <c r="L1828" s="115"/>
      <c r="M1828" s="115"/>
      <c r="N1828" s="115"/>
      <c r="O1828" s="118"/>
      <c r="P1828" s="113"/>
      <c r="Q1828" s="117"/>
      <c r="R1828" s="113"/>
      <c r="S1828" s="113"/>
      <c r="T1828" s="113"/>
      <c r="V1828"/>
      <c r="W1828"/>
      <c r="Y1828"/>
      <c r="Z1828"/>
      <c r="AA1828"/>
      <c r="AB1828"/>
      <c r="AC1828"/>
      <c r="AD1828"/>
      <c r="AE1828"/>
      <c r="AF1828"/>
    </row>
    <row r="1829" spans="1:32" s="45" customFormat="1" ht="12.75" hidden="1">
      <c r="A1829" s="115"/>
      <c r="B1829" s="115"/>
      <c r="C1829" s="114"/>
      <c r="D1829" s="115"/>
      <c r="E1829" s="116"/>
      <c r="F1829" s="117"/>
      <c r="G1829" s="115"/>
      <c r="H1829" s="115"/>
      <c r="I1829" s="115"/>
      <c r="J1829" s="115"/>
      <c r="L1829" s="115"/>
      <c r="M1829" s="115"/>
      <c r="N1829" s="115"/>
      <c r="O1829" s="118"/>
      <c r="P1829" s="113"/>
      <c r="Q1829" s="117"/>
      <c r="R1829" s="113"/>
      <c r="S1829" s="113"/>
      <c r="T1829" s="113"/>
      <c r="V1829"/>
      <c r="W1829"/>
      <c r="Y1829"/>
      <c r="Z1829"/>
      <c r="AA1829"/>
      <c r="AB1829"/>
      <c r="AC1829"/>
      <c r="AD1829"/>
      <c r="AE1829"/>
      <c r="AF1829"/>
    </row>
    <row r="1830" spans="1:32" s="45" customFormat="1" ht="12.75" hidden="1">
      <c r="A1830" s="115"/>
      <c r="B1830" s="115"/>
      <c r="C1830" s="114"/>
      <c r="D1830" s="115"/>
      <c r="E1830" s="116"/>
      <c r="F1830" s="117"/>
      <c r="G1830" s="115"/>
      <c r="H1830" s="115"/>
      <c r="I1830" s="115"/>
      <c r="J1830" s="115"/>
      <c r="L1830" s="115"/>
      <c r="M1830" s="115"/>
      <c r="N1830" s="115"/>
      <c r="O1830" s="118"/>
      <c r="P1830" s="113"/>
      <c r="Q1830" s="117"/>
      <c r="R1830" s="113"/>
      <c r="S1830" s="113"/>
      <c r="T1830" s="113"/>
      <c r="V1830"/>
      <c r="W1830"/>
      <c r="Y1830"/>
      <c r="Z1830"/>
      <c r="AA1830"/>
      <c r="AB1830"/>
      <c r="AC1830"/>
      <c r="AD1830"/>
      <c r="AE1830"/>
      <c r="AF1830"/>
    </row>
    <row r="1831" spans="1:32" s="45" customFormat="1" ht="12.75" hidden="1">
      <c r="A1831" s="115"/>
      <c r="B1831" s="115"/>
      <c r="C1831" s="114"/>
      <c r="D1831" s="115"/>
      <c r="E1831" s="116"/>
      <c r="F1831" s="117"/>
      <c r="G1831" s="115"/>
      <c r="H1831" s="115"/>
      <c r="I1831" s="115"/>
      <c r="J1831" s="115"/>
      <c r="L1831" s="115"/>
      <c r="M1831" s="115"/>
      <c r="N1831" s="115"/>
      <c r="O1831" s="118"/>
      <c r="P1831" s="113"/>
      <c r="Q1831" s="117"/>
      <c r="R1831" s="113"/>
      <c r="S1831" s="113"/>
      <c r="T1831" s="113"/>
      <c r="V1831"/>
      <c r="W1831"/>
      <c r="Y1831"/>
      <c r="Z1831"/>
      <c r="AA1831"/>
      <c r="AB1831"/>
      <c r="AC1831"/>
      <c r="AD1831"/>
      <c r="AE1831"/>
      <c r="AF1831"/>
    </row>
    <row r="1832" spans="1:32" s="45" customFormat="1" ht="12.75" hidden="1">
      <c r="A1832" s="115"/>
      <c r="B1832" s="115"/>
      <c r="C1832" s="114"/>
      <c r="D1832" s="115"/>
      <c r="E1832" s="116"/>
      <c r="F1832" s="117"/>
      <c r="G1832" s="115"/>
      <c r="H1832" s="115"/>
      <c r="I1832" s="115"/>
      <c r="J1832" s="115"/>
      <c r="L1832" s="115"/>
      <c r="M1832" s="115"/>
      <c r="N1832" s="115"/>
      <c r="O1832" s="118"/>
      <c r="P1832" s="113"/>
      <c r="Q1832" s="117"/>
      <c r="R1832" s="113"/>
      <c r="S1832" s="113"/>
      <c r="T1832" s="113"/>
      <c r="V1832"/>
      <c r="W1832"/>
      <c r="Y1832"/>
      <c r="Z1832"/>
      <c r="AA1832"/>
      <c r="AB1832"/>
      <c r="AC1832"/>
      <c r="AD1832"/>
      <c r="AE1832"/>
      <c r="AF1832"/>
    </row>
    <row r="1833" spans="1:32" s="45" customFormat="1" ht="12.75" hidden="1">
      <c r="A1833" s="115"/>
      <c r="B1833" s="115"/>
      <c r="C1833" s="114"/>
      <c r="D1833" s="115"/>
      <c r="E1833" s="116"/>
      <c r="F1833" s="117"/>
      <c r="G1833" s="115"/>
      <c r="H1833" s="115"/>
      <c r="I1833" s="115"/>
      <c r="J1833" s="115"/>
      <c r="L1833" s="115"/>
      <c r="M1833" s="115"/>
      <c r="N1833" s="115"/>
      <c r="O1833" s="118"/>
      <c r="P1833" s="113"/>
      <c r="Q1833" s="117"/>
      <c r="R1833" s="113"/>
      <c r="S1833" s="113"/>
      <c r="T1833" s="113"/>
      <c r="V1833"/>
      <c r="W1833"/>
      <c r="Y1833"/>
      <c r="Z1833"/>
      <c r="AA1833"/>
      <c r="AB1833"/>
      <c r="AC1833"/>
      <c r="AD1833"/>
      <c r="AE1833"/>
      <c r="AF1833"/>
    </row>
    <row r="1834" spans="1:32" s="45" customFormat="1" ht="12.75" hidden="1">
      <c r="A1834" s="115"/>
      <c r="B1834" s="115"/>
      <c r="C1834" s="114"/>
      <c r="D1834" s="115"/>
      <c r="E1834" s="116"/>
      <c r="F1834" s="117"/>
      <c r="G1834" s="115"/>
      <c r="H1834" s="115"/>
      <c r="I1834" s="115"/>
      <c r="J1834" s="115"/>
      <c r="L1834" s="115"/>
      <c r="M1834" s="115"/>
      <c r="N1834" s="115"/>
      <c r="O1834" s="118"/>
      <c r="P1834" s="113"/>
      <c r="Q1834" s="117"/>
      <c r="R1834" s="113"/>
      <c r="S1834" s="113"/>
      <c r="T1834" s="113"/>
      <c r="V1834"/>
      <c r="W1834"/>
      <c r="Y1834"/>
      <c r="Z1834"/>
      <c r="AA1834"/>
      <c r="AB1834"/>
      <c r="AC1834"/>
      <c r="AD1834"/>
      <c r="AE1834"/>
      <c r="AF1834"/>
    </row>
    <row r="1835" spans="1:32" s="45" customFormat="1" ht="12.75" hidden="1">
      <c r="A1835" s="115"/>
      <c r="B1835" s="115"/>
      <c r="C1835" s="114"/>
      <c r="D1835" s="115"/>
      <c r="E1835" s="116"/>
      <c r="F1835" s="117"/>
      <c r="G1835" s="115"/>
      <c r="H1835" s="115"/>
      <c r="I1835" s="115"/>
      <c r="J1835" s="115"/>
      <c r="L1835" s="115"/>
      <c r="M1835" s="115"/>
      <c r="N1835" s="115"/>
      <c r="O1835" s="118"/>
      <c r="P1835" s="113"/>
      <c r="Q1835" s="117"/>
      <c r="R1835" s="113"/>
      <c r="S1835" s="113"/>
      <c r="T1835" s="113"/>
      <c r="V1835"/>
      <c r="W1835"/>
      <c r="Y1835"/>
      <c r="Z1835"/>
      <c r="AA1835"/>
      <c r="AB1835"/>
      <c r="AC1835"/>
      <c r="AD1835"/>
      <c r="AE1835"/>
      <c r="AF1835"/>
    </row>
    <row r="1836" spans="1:32" s="45" customFormat="1" ht="12.75" hidden="1">
      <c r="A1836" s="115"/>
      <c r="B1836" s="115"/>
      <c r="C1836" s="114"/>
      <c r="D1836" s="115"/>
      <c r="E1836" s="116"/>
      <c r="F1836" s="117"/>
      <c r="G1836" s="115"/>
      <c r="H1836" s="115"/>
      <c r="I1836" s="115"/>
      <c r="J1836" s="115"/>
      <c r="L1836" s="115"/>
      <c r="M1836" s="115"/>
      <c r="N1836" s="115"/>
      <c r="O1836" s="118"/>
      <c r="P1836" s="113"/>
      <c r="Q1836" s="117"/>
      <c r="R1836" s="113"/>
      <c r="S1836" s="113"/>
      <c r="T1836" s="113"/>
      <c r="V1836"/>
      <c r="W1836"/>
      <c r="Y1836"/>
      <c r="Z1836"/>
      <c r="AA1836"/>
      <c r="AB1836"/>
      <c r="AC1836"/>
      <c r="AD1836"/>
      <c r="AE1836"/>
      <c r="AF1836"/>
    </row>
    <row r="1837" spans="1:32" s="45" customFormat="1" ht="12.75" hidden="1">
      <c r="A1837" s="115"/>
      <c r="B1837" s="115"/>
      <c r="C1837" s="114"/>
      <c r="D1837" s="115"/>
      <c r="E1837" s="116"/>
      <c r="F1837" s="117"/>
      <c r="G1837" s="115"/>
      <c r="H1837" s="115"/>
      <c r="I1837" s="115"/>
      <c r="J1837" s="115"/>
      <c r="L1837" s="115"/>
      <c r="M1837" s="115"/>
      <c r="N1837" s="115"/>
      <c r="O1837" s="118"/>
      <c r="P1837" s="113"/>
      <c r="Q1837" s="117"/>
      <c r="R1837" s="113"/>
      <c r="S1837" s="113"/>
      <c r="T1837" s="113"/>
      <c r="V1837"/>
      <c r="W1837"/>
      <c r="Y1837"/>
      <c r="Z1837"/>
      <c r="AA1837"/>
      <c r="AB1837"/>
      <c r="AC1837"/>
      <c r="AD1837"/>
      <c r="AE1837"/>
      <c r="AF1837"/>
    </row>
    <row r="1838" spans="1:32" s="45" customFormat="1" ht="12.75" hidden="1">
      <c r="A1838" s="115"/>
      <c r="B1838" s="115"/>
      <c r="C1838" s="114"/>
      <c r="D1838" s="115"/>
      <c r="E1838" s="116"/>
      <c r="F1838" s="117"/>
      <c r="G1838" s="115"/>
      <c r="H1838" s="115"/>
      <c r="I1838" s="115"/>
      <c r="J1838" s="115"/>
      <c r="L1838" s="115"/>
      <c r="M1838" s="115"/>
      <c r="N1838" s="115"/>
      <c r="O1838" s="118"/>
      <c r="P1838" s="113"/>
      <c r="Q1838" s="117"/>
      <c r="R1838" s="113"/>
      <c r="S1838" s="113"/>
      <c r="T1838" s="113"/>
      <c r="V1838"/>
      <c r="W1838"/>
      <c r="Y1838"/>
      <c r="Z1838"/>
      <c r="AA1838"/>
      <c r="AB1838"/>
      <c r="AC1838"/>
      <c r="AD1838"/>
      <c r="AE1838"/>
      <c r="AF1838"/>
    </row>
    <row r="1839" spans="1:32" s="45" customFormat="1" ht="12.75" hidden="1">
      <c r="A1839" s="115"/>
      <c r="B1839" s="115"/>
      <c r="C1839" s="114"/>
      <c r="D1839" s="115"/>
      <c r="E1839" s="116"/>
      <c r="F1839" s="117"/>
      <c r="G1839" s="115"/>
      <c r="H1839" s="115"/>
      <c r="I1839" s="115"/>
      <c r="J1839" s="115"/>
      <c r="L1839" s="115"/>
      <c r="M1839" s="115"/>
      <c r="N1839" s="115"/>
      <c r="O1839" s="118"/>
      <c r="P1839" s="113"/>
      <c r="Q1839" s="117"/>
      <c r="R1839" s="113"/>
      <c r="S1839" s="113"/>
      <c r="T1839" s="113"/>
      <c r="V1839"/>
      <c r="W1839"/>
      <c r="Y1839"/>
      <c r="Z1839"/>
      <c r="AA1839"/>
      <c r="AB1839"/>
      <c r="AC1839"/>
      <c r="AD1839"/>
      <c r="AE1839"/>
      <c r="AF1839"/>
    </row>
    <row r="1840" spans="1:32" s="45" customFormat="1" ht="12.75" hidden="1">
      <c r="A1840" s="115"/>
      <c r="B1840" s="115"/>
      <c r="C1840" s="114"/>
      <c r="D1840" s="115"/>
      <c r="E1840" s="116"/>
      <c r="F1840" s="117"/>
      <c r="G1840" s="115"/>
      <c r="H1840" s="115"/>
      <c r="I1840" s="115"/>
      <c r="J1840" s="115"/>
      <c r="L1840" s="115"/>
      <c r="M1840" s="115"/>
      <c r="N1840" s="115"/>
      <c r="O1840" s="118"/>
      <c r="P1840" s="113"/>
      <c r="Q1840" s="117"/>
      <c r="R1840" s="113"/>
      <c r="S1840" s="113"/>
      <c r="T1840" s="113"/>
      <c r="V1840"/>
      <c r="W1840"/>
      <c r="Y1840"/>
      <c r="Z1840"/>
      <c r="AA1840"/>
      <c r="AB1840"/>
      <c r="AC1840"/>
      <c r="AD1840"/>
      <c r="AE1840"/>
      <c r="AF1840"/>
    </row>
    <row r="1841" spans="1:32" s="45" customFormat="1" ht="12.75" hidden="1">
      <c r="A1841" s="115"/>
      <c r="B1841" s="115"/>
      <c r="C1841" s="114"/>
      <c r="D1841" s="115"/>
      <c r="E1841" s="116"/>
      <c r="F1841" s="117"/>
      <c r="G1841" s="115"/>
      <c r="H1841" s="115"/>
      <c r="I1841" s="115"/>
      <c r="J1841" s="115"/>
      <c r="L1841" s="115"/>
      <c r="M1841" s="115"/>
      <c r="N1841" s="115"/>
      <c r="O1841" s="118"/>
      <c r="P1841" s="113"/>
      <c r="Q1841" s="117"/>
      <c r="R1841" s="113"/>
      <c r="S1841" s="113"/>
      <c r="T1841" s="113"/>
      <c r="V1841"/>
      <c r="W1841"/>
      <c r="Y1841"/>
      <c r="Z1841"/>
      <c r="AA1841"/>
      <c r="AB1841"/>
      <c r="AC1841"/>
      <c r="AD1841"/>
      <c r="AE1841"/>
      <c r="AF1841"/>
    </row>
    <row r="1842" spans="1:32" s="45" customFormat="1" ht="12.75" hidden="1">
      <c r="A1842" s="115"/>
      <c r="B1842" s="115"/>
      <c r="C1842" s="114"/>
      <c r="D1842" s="115"/>
      <c r="E1842" s="116"/>
      <c r="F1842" s="117"/>
      <c r="G1842" s="115"/>
      <c r="H1842" s="115"/>
      <c r="I1842" s="115"/>
      <c r="J1842" s="115"/>
      <c r="L1842" s="115"/>
      <c r="M1842" s="115"/>
      <c r="N1842" s="115"/>
      <c r="O1842" s="118"/>
      <c r="P1842" s="113"/>
      <c r="Q1842" s="117"/>
      <c r="R1842" s="113"/>
      <c r="S1842" s="113"/>
      <c r="T1842" s="113"/>
      <c r="V1842"/>
      <c r="W1842"/>
      <c r="Y1842"/>
      <c r="Z1842"/>
      <c r="AA1842"/>
      <c r="AB1842"/>
      <c r="AC1842"/>
      <c r="AD1842"/>
      <c r="AE1842"/>
      <c r="AF1842"/>
    </row>
    <row r="1843" spans="1:32" s="45" customFormat="1" ht="12.75" hidden="1">
      <c r="A1843" s="115"/>
      <c r="B1843" s="115"/>
      <c r="C1843" s="114"/>
      <c r="D1843" s="115"/>
      <c r="E1843" s="116"/>
      <c r="F1843" s="117"/>
      <c r="G1843" s="115"/>
      <c r="H1843" s="115"/>
      <c r="I1843" s="115"/>
      <c r="J1843" s="115"/>
      <c r="L1843" s="115"/>
      <c r="M1843" s="115"/>
      <c r="N1843" s="115"/>
      <c r="O1843" s="118"/>
      <c r="P1843" s="113"/>
      <c r="Q1843" s="117"/>
      <c r="R1843" s="113"/>
      <c r="S1843" s="113"/>
      <c r="T1843" s="113"/>
      <c r="V1843"/>
      <c r="W1843"/>
      <c r="Y1843"/>
      <c r="Z1843"/>
      <c r="AA1843"/>
      <c r="AB1843"/>
      <c r="AC1843"/>
      <c r="AD1843"/>
      <c r="AE1843"/>
      <c r="AF1843"/>
    </row>
    <row r="1844" spans="1:32" s="45" customFormat="1" ht="12.75" hidden="1">
      <c r="A1844" s="115"/>
      <c r="B1844" s="115"/>
      <c r="C1844" s="114"/>
      <c r="D1844" s="115"/>
      <c r="E1844" s="116"/>
      <c r="F1844" s="117"/>
      <c r="G1844" s="115"/>
      <c r="H1844" s="115"/>
      <c r="I1844" s="115"/>
      <c r="J1844" s="115"/>
      <c r="L1844" s="115"/>
      <c r="M1844" s="115"/>
      <c r="N1844" s="115"/>
      <c r="O1844" s="118"/>
      <c r="P1844" s="113"/>
      <c r="Q1844" s="117"/>
      <c r="R1844" s="113"/>
      <c r="S1844" s="113"/>
      <c r="T1844" s="113"/>
      <c r="V1844"/>
      <c r="W1844"/>
      <c r="Y1844"/>
      <c r="Z1844"/>
      <c r="AA1844"/>
      <c r="AB1844"/>
      <c r="AC1844"/>
      <c r="AD1844"/>
      <c r="AE1844"/>
      <c r="AF1844"/>
    </row>
    <row r="1845" spans="1:32" s="45" customFormat="1" ht="12.75" hidden="1">
      <c r="A1845" s="115"/>
      <c r="B1845" s="115"/>
      <c r="C1845" s="114"/>
      <c r="D1845" s="115"/>
      <c r="E1845" s="116"/>
      <c r="F1845" s="117"/>
      <c r="G1845" s="115"/>
      <c r="H1845" s="115"/>
      <c r="I1845" s="115"/>
      <c r="J1845" s="115"/>
      <c r="L1845" s="115"/>
      <c r="M1845" s="115"/>
      <c r="N1845" s="115"/>
      <c r="O1845" s="118"/>
      <c r="P1845" s="113"/>
      <c r="Q1845" s="117"/>
      <c r="R1845" s="113"/>
      <c r="S1845" s="113"/>
      <c r="T1845" s="113"/>
      <c r="V1845"/>
      <c r="W1845"/>
      <c r="Y1845"/>
      <c r="Z1845"/>
      <c r="AA1845"/>
      <c r="AB1845"/>
      <c r="AC1845"/>
      <c r="AD1845"/>
      <c r="AE1845"/>
      <c r="AF1845"/>
    </row>
    <row r="1846" spans="1:32" s="45" customFormat="1" ht="12.75" hidden="1">
      <c r="A1846" s="115"/>
      <c r="B1846" s="115"/>
      <c r="C1846" s="114"/>
      <c r="D1846" s="115"/>
      <c r="E1846" s="116"/>
      <c r="F1846" s="117"/>
      <c r="G1846" s="115"/>
      <c r="H1846" s="115"/>
      <c r="I1846" s="115"/>
      <c r="J1846" s="115"/>
      <c r="L1846" s="115"/>
      <c r="M1846" s="115"/>
      <c r="N1846" s="115"/>
      <c r="O1846" s="118"/>
      <c r="P1846" s="113"/>
      <c r="Q1846" s="117"/>
      <c r="R1846" s="113"/>
      <c r="S1846" s="113"/>
      <c r="T1846" s="113"/>
      <c r="V1846"/>
      <c r="W1846"/>
      <c r="Y1846"/>
      <c r="Z1846"/>
      <c r="AA1846"/>
      <c r="AB1846"/>
      <c r="AC1846"/>
      <c r="AD1846"/>
      <c r="AE1846"/>
      <c r="AF1846"/>
    </row>
    <row r="1847" spans="1:32" s="45" customFormat="1" ht="12.75" hidden="1">
      <c r="A1847" s="115"/>
      <c r="B1847" s="115"/>
      <c r="C1847" s="114"/>
      <c r="D1847" s="115"/>
      <c r="E1847" s="116"/>
      <c r="F1847" s="117"/>
      <c r="G1847" s="115"/>
      <c r="H1847" s="115"/>
      <c r="I1847" s="115"/>
      <c r="J1847" s="115"/>
      <c r="L1847" s="115"/>
      <c r="M1847" s="115"/>
      <c r="N1847" s="115"/>
      <c r="O1847" s="118"/>
      <c r="P1847" s="113"/>
      <c r="Q1847" s="117"/>
      <c r="R1847" s="113"/>
      <c r="S1847" s="113"/>
      <c r="T1847" s="113"/>
      <c r="V1847"/>
      <c r="W1847"/>
      <c r="Y1847"/>
      <c r="Z1847"/>
      <c r="AA1847"/>
      <c r="AB1847"/>
      <c r="AC1847"/>
      <c r="AD1847"/>
      <c r="AE1847"/>
      <c r="AF1847"/>
    </row>
    <row r="1848" spans="1:32" s="45" customFormat="1" ht="12.75" hidden="1">
      <c r="A1848" s="115"/>
      <c r="B1848" s="115"/>
      <c r="C1848" s="114"/>
      <c r="D1848" s="115"/>
      <c r="E1848" s="116"/>
      <c r="F1848" s="117"/>
      <c r="G1848" s="115"/>
      <c r="H1848" s="115"/>
      <c r="I1848" s="115"/>
      <c r="J1848" s="115"/>
      <c r="L1848" s="115"/>
      <c r="M1848" s="115"/>
      <c r="N1848" s="115"/>
      <c r="O1848" s="118"/>
      <c r="P1848" s="113"/>
      <c r="Q1848" s="117"/>
      <c r="R1848" s="113"/>
      <c r="S1848" s="113"/>
      <c r="T1848" s="113"/>
      <c r="V1848"/>
      <c r="W1848"/>
      <c r="Y1848"/>
      <c r="Z1848"/>
      <c r="AA1848"/>
      <c r="AB1848"/>
      <c r="AC1848"/>
      <c r="AD1848"/>
      <c r="AE1848"/>
      <c r="AF1848"/>
    </row>
    <row r="1849" spans="1:32" s="45" customFormat="1" ht="12.75" hidden="1">
      <c r="A1849" s="115"/>
      <c r="B1849" s="115"/>
      <c r="C1849" s="114"/>
      <c r="D1849" s="115"/>
      <c r="E1849" s="116"/>
      <c r="F1849" s="117"/>
      <c r="G1849" s="115"/>
      <c r="H1849" s="115"/>
      <c r="I1849" s="115"/>
      <c r="J1849" s="115"/>
      <c r="L1849" s="115"/>
      <c r="M1849" s="115"/>
      <c r="N1849" s="115"/>
      <c r="O1849" s="118"/>
      <c r="P1849" s="113"/>
      <c r="Q1849" s="117"/>
      <c r="R1849" s="113"/>
      <c r="S1849" s="113"/>
      <c r="T1849" s="113"/>
      <c r="V1849"/>
      <c r="W1849"/>
      <c r="Y1849"/>
      <c r="Z1849"/>
      <c r="AA1849"/>
      <c r="AB1849"/>
      <c r="AC1849"/>
      <c r="AD1849"/>
      <c r="AE1849"/>
      <c r="AF1849"/>
    </row>
    <row r="1850" spans="1:32" s="45" customFormat="1" ht="12.75" hidden="1">
      <c r="A1850" s="115"/>
      <c r="B1850" s="115"/>
      <c r="C1850" s="114"/>
      <c r="D1850" s="115"/>
      <c r="E1850" s="116"/>
      <c r="F1850" s="117"/>
      <c r="G1850" s="115"/>
      <c r="H1850" s="115"/>
      <c r="I1850" s="115"/>
      <c r="J1850" s="115"/>
      <c r="L1850" s="115"/>
      <c r="M1850" s="115"/>
      <c r="N1850" s="115"/>
      <c r="O1850" s="118"/>
      <c r="P1850" s="113"/>
      <c r="Q1850" s="117"/>
      <c r="R1850" s="113"/>
      <c r="S1850" s="113"/>
      <c r="T1850" s="113"/>
      <c r="V1850"/>
      <c r="W1850"/>
      <c r="Y1850"/>
      <c r="Z1850"/>
      <c r="AA1850"/>
      <c r="AB1850"/>
      <c r="AC1850"/>
      <c r="AD1850"/>
      <c r="AE1850"/>
      <c r="AF1850"/>
    </row>
    <row r="1851" spans="1:32" s="45" customFormat="1" ht="12.75" hidden="1">
      <c r="A1851" s="115"/>
      <c r="B1851" s="115"/>
      <c r="C1851" s="114"/>
      <c r="D1851" s="115"/>
      <c r="E1851" s="116"/>
      <c r="F1851" s="117"/>
      <c r="G1851" s="115"/>
      <c r="H1851" s="115"/>
      <c r="I1851" s="115"/>
      <c r="J1851" s="115"/>
      <c r="L1851" s="115"/>
      <c r="M1851" s="115"/>
      <c r="N1851" s="115"/>
      <c r="O1851" s="118"/>
      <c r="P1851" s="113"/>
      <c r="Q1851" s="117"/>
      <c r="R1851" s="113"/>
      <c r="S1851" s="113"/>
      <c r="T1851" s="113"/>
      <c r="V1851"/>
      <c r="W1851"/>
      <c r="Y1851"/>
      <c r="Z1851"/>
      <c r="AA1851"/>
      <c r="AB1851"/>
      <c r="AC1851"/>
      <c r="AD1851"/>
      <c r="AE1851"/>
      <c r="AF1851"/>
    </row>
    <row r="1852" spans="1:32" s="45" customFormat="1" ht="12.75" hidden="1">
      <c r="A1852" s="115"/>
      <c r="B1852" s="115"/>
      <c r="C1852" s="114"/>
      <c r="D1852" s="115"/>
      <c r="E1852" s="116"/>
      <c r="F1852" s="117"/>
      <c r="G1852" s="115"/>
      <c r="H1852" s="115"/>
      <c r="I1852" s="115"/>
      <c r="J1852" s="115"/>
      <c r="L1852" s="115"/>
      <c r="M1852" s="115"/>
      <c r="N1852" s="115"/>
      <c r="O1852" s="118"/>
      <c r="P1852" s="113"/>
      <c r="Q1852" s="117"/>
      <c r="R1852" s="113"/>
      <c r="S1852" s="113"/>
      <c r="T1852" s="113"/>
      <c r="V1852"/>
      <c r="W1852"/>
      <c r="Y1852"/>
      <c r="Z1852"/>
      <c r="AA1852"/>
      <c r="AB1852"/>
      <c r="AC1852"/>
      <c r="AD1852"/>
      <c r="AE1852"/>
      <c r="AF1852"/>
    </row>
    <row r="1853" spans="1:32" s="45" customFormat="1" ht="12.75" hidden="1">
      <c r="A1853" s="115"/>
      <c r="B1853" s="115"/>
      <c r="C1853" s="114"/>
      <c r="D1853" s="115"/>
      <c r="E1853" s="116"/>
      <c r="F1853" s="117"/>
      <c r="G1853" s="115"/>
      <c r="H1853" s="115"/>
      <c r="I1853" s="115"/>
      <c r="J1853" s="115"/>
      <c r="L1853" s="115"/>
      <c r="M1853" s="115"/>
      <c r="N1853" s="115"/>
      <c r="O1853" s="118"/>
      <c r="P1853" s="113"/>
      <c r="Q1853" s="117"/>
      <c r="R1853" s="113"/>
      <c r="S1853" s="113"/>
      <c r="T1853" s="113"/>
      <c r="V1853"/>
      <c r="W1853"/>
      <c r="Y1853"/>
      <c r="Z1853"/>
      <c r="AA1853"/>
      <c r="AB1853"/>
      <c r="AC1853"/>
      <c r="AD1853"/>
      <c r="AE1853"/>
      <c r="AF1853"/>
    </row>
    <row r="1854" spans="1:32" s="45" customFormat="1" ht="12.75" hidden="1">
      <c r="A1854" s="115"/>
      <c r="B1854" s="115"/>
      <c r="C1854" s="114"/>
      <c r="D1854" s="115"/>
      <c r="E1854" s="116"/>
      <c r="F1854" s="117"/>
      <c r="G1854" s="115"/>
      <c r="H1854" s="115"/>
      <c r="I1854" s="115"/>
      <c r="J1854" s="115"/>
      <c r="L1854" s="115"/>
      <c r="M1854" s="115"/>
      <c r="N1854" s="115"/>
      <c r="O1854" s="118"/>
      <c r="P1854" s="113"/>
      <c r="Q1854" s="117"/>
      <c r="R1854" s="113"/>
      <c r="S1854" s="113"/>
      <c r="T1854" s="113"/>
      <c r="V1854"/>
      <c r="W1854"/>
      <c r="Y1854"/>
      <c r="Z1854"/>
      <c r="AA1854"/>
      <c r="AB1854"/>
      <c r="AC1854"/>
      <c r="AD1854"/>
      <c r="AE1854"/>
      <c r="AF1854"/>
    </row>
    <row r="1855" spans="1:32" s="45" customFormat="1" ht="12.75" hidden="1">
      <c r="A1855" s="115"/>
      <c r="B1855" s="115"/>
      <c r="C1855" s="114"/>
      <c r="D1855" s="115"/>
      <c r="E1855" s="116"/>
      <c r="F1855" s="117"/>
      <c r="G1855" s="115"/>
      <c r="H1855" s="115"/>
      <c r="I1855" s="115"/>
      <c r="J1855" s="115"/>
      <c r="L1855" s="115"/>
      <c r="M1855" s="115"/>
      <c r="N1855" s="115"/>
      <c r="O1855" s="118"/>
      <c r="P1855" s="113"/>
      <c r="Q1855" s="117"/>
      <c r="R1855" s="113"/>
      <c r="S1855" s="113"/>
      <c r="T1855" s="113"/>
      <c r="V1855"/>
      <c r="W1855"/>
      <c r="Y1855"/>
      <c r="Z1855"/>
      <c r="AA1855"/>
      <c r="AB1855"/>
      <c r="AC1855"/>
      <c r="AD1855"/>
      <c r="AE1855"/>
      <c r="AF1855"/>
    </row>
    <row r="1856" spans="1:32" s="45" customFormat="1" ht="12.75" hidden="1">
      <c r="A1856" s="115"/>
      <c r="B1856" s="115"/>
      <c r="C1856" s="114"/>
      <c r="D1856" s="115"/>
      <c r="E1856" s="116"/>
      <c r="F1856" s="117"/>
      <c r="G1856" s="115"/>
      <c r="H1856" s="115"/>
      <c r="I1856" s="115"/>
      <c r="J1856" s="115"/>
      <c r="L1856" s="115"/>
      <c r="M1856" s="115"/>
      <c r="N1856" s="115"/>
      <c r="O1856" s="118"/>
      <c r="P1856" s="113"/>
      <c r="Q1856" s="117"/>
      <c r="R1856" s="113"/>
      <c r="S1856" s="113"/>
      <c r="T1856" s="113"/>
      <c r="V1856"/>
      <c r="W1856"/>
      <c r="Y1856"/>
      <c r="Z1856"/>
      <c r="AA1856"/>
      <c r="AB1856"/>
      <c r="AC1856"/>
      <c r="AD1856"/>
      <c r="AE1856"/>
      <c r="AF1856"/>
    </row>
    <row r="1857" spans="1:32" s="45" customFormat="1" ht="12.75" hidden="1">
      <c r="A1857" s="115"/>
      <c r="B1857" s="115"/>
      <c r="C1857" s="114"/>
      <c r="D1857" s="115"/>
      <c r="E1857" s="116"/>
      <c r="F1857" s="117"/>
      <c r="G1857" s="115"/>
      <c r="H1857" s="115"/>
      <c r="I1857" s="115"/>
      <c r="J1857" s="115"/>
      <c r="L1857" s="115"/>
      <c r="M1857" s="115"/>
      <c r="N1857" s="115"/>
      <c r="O1857" s="118"/>
      <c r="P1857" s="113"/>
      <c r="Q1857" s="117"/>
      <c r="R1857" s="113"/>
      <c r="S1857" s="113"/>
      <c r="T1857" s="113"/>
      <c r="V1857"/>
      <c r="W1857"/>
      <c r="Y1857"/>
      <c r="Z1857"/>
      <c r="AA1857"/>
      <c r="AB1857"/>
      <c r="AC1857"/>
      <c r="AD1857"/>
      <c r="AE1857"/>
      <c r="AF1857"/>
    </row>
    <row r="1858" spans="1:32" s="45" customFormat="1" ht="12.75" hidden="1">
      <c r="A1858" s="115"/>
      <c r="B1858" s="115"/>
      <c r="C1858" s="114"/>
      <c r="D1858" s="115"/>
      <c r="E1858" s="116"/>
      <c r="F1858" s="117"/>
      <c r="G1858" s="115"/>
      <c r="H1858" s="115"/>
      <c r="I1858" s="115"/>
      <c r="J1858" s="115"/>
      <c r="L1858" s="115"/>
      <c r="M1858" s="115"/>
      <c r="N1858" s="115"/>
      <c r="O1858" s="118"/>
      <c r="P1858" s="113"/>
      <c r="Q1858" s="117"/>
      <c r="R1858" s="113"/>
      <c r="S1858" s="113"/>
      <c r="T1858" s="113"/>
      <c r="V1858"/>
      <c r="W1858"/>
      <c r="Y1858"/>
      <c r="Z1858"/>
      <c r="AA1858"/>
      <c r="AB1858"/>
      <c r="AC1858"/>
      <c r="AD1858"/>
      <c r="AE1858"/>
      <c r="AF1858"/>
    </row>
    <row r="1859" spans="1:32" s="45" customFormat="1" ht="12.75" hidden="1">
      <c r="A1859" s="115"/>
      <c r="B1859" s="115"/>
      <c r="C1859" s="114"/>
      <c r="D1859" s="115"/>
      <c r="E1859" s="116"/>
      <c r="F1859" s="117"/>
      <c r="G1859" s="115"/>
      <c r="H1859" s="115"/>
      <c r="I1859" s="115"/>
      <c r="J1859" s="115"/>
      <c r="L1859" s="115"/>
      <c r="M1859" s="115"/>
      <c r="N1859" s="115"/>
      <c r="O1859" s="118"/>
      <c r="P1859" s="113"/>
      <c r="Q1859" s="117"/>
      <c r="R1859" s="113"/>
      <c r="S1859" s="113"/>
      <c r="T1859" s="113"/>
      <c r="V1859"/>
      <c r="W1859"/>
      <c r="Y1859"/>
      <c r="Z1859"/>
      <c r="AA1859"/>
      <c r="AB1859"/>
      <c r="AC1859"/>
      <c r="AD1859"/>
      <c r="AE1859"/>
      <c r="AF1859"/>
    </row>
    <row r="1860" spans="1:32" s="45" customFormat="1" ht="12.75" hidden="1">
      <c r="A1860" s="115"/>
      <c r="B1860" s="115"/>
      <c r="C1860" s="114"/>
      <c r="D1860" s="115"/>
      <c r="E1860" s="116"/>
      <c r="F1860" s="117"/>
      <c r="G1860" s="115"/>
      <c r="H1860" s="115"/>
      <c r="I1860" s="115"/>
      <c r="J1860" s="115"/>
      <c r="L1860" s="115"/>
      <c r="M1860" s="115"/>
      <c r="N1860" s="115"/>
      <c r="O1860" s="118"/>
      <c r="P1860" s="113"/>
      <c r="Q1860" s="117"/>
      <c r="R1860" s="113"/>
      <c r="S1860" s="113"/>
      <c r="T1860" s="113"/>
      <c r="V1860"/>
      <c r="W1860"/>
      <c r="Y1860"/>
      <c r="Z1860"/>
      <c r="AA1860"/>
      <c r="AB1860"/>
      <c r="AC1860"/>
      <c r="AD1860"/>
      <c r="AE1860"/>
      <c r="AF1860"/>
    </row>
    <row r="1861" spans="1:32" s="45" customFormat="1" ht="12.75" hidden="1">
      <c r="A1861" s="115"/>
      <c r="B1861" s="115"/>
      <c r="C1861" s="114"/>
      <c r="D1861" s="115"/>
      <c r="E1861" s="116"/>
      <c r="F1861" s="117"/>
      <c r="G1861" s="115"/>
      <c r="H1861" s="115"/>
      <c r="I1861" s="115"/>
      <c r="J1861" s="115"/>
      <c r="L1861" s="115"/>
      <c r="M1861" s="115"/>
      <c r="N1861" s="115"/>
      <c r="O1861" s="118"/>
      <c r="P1861" s="113"/>
      <c r="Q1861" s="117"/>
      <c r="R1861" s="113"/>
      <c r="S1861" s="113"/>
      <c r="T1861" s="113"/>
      <c r="V1861"/>
      <c r="W1861"/>
      <c r="Y1861"/>
      <c r="Z1861"/>
      <c r="AA1861"/>
      <c r="AB1861"/>
      <c r="AC1861"/>
      <c r="AD1861"/>
      <c r="AE1861"/>
      <c r="AF1861"/>
    </row>
    <row r="1862" spans="1:32" s="45" customFormat="1" ht="12.75" hidden="1">
      <c r="A1862" s="115"/>
      <c r="B1862" s="115"/>
      <c r="C1862" s="114"/>
      <c r="D1862" s="115"/>
      <c r="E1862" s="116"/>
      <c r="F1862" s="117"/>
      <c r="G1862" s="115"/>
      <c r="H1862" s="115"/>
      <c r="I1862" s="115"/>
      <c r="J1862" s="115"/>
      <c r="L1862" s="115"/>
      <c r="M1862" s="115"/>
      <c r="N1862" s="115"/>
      <c r="O1862" s="118"/>
      <c r="P1862" s="113"/>
      <c r="Q1862" s="117"/>
      <c r="R1862" s="113"/>
      <c r="S1862" s="113"/>
      <c r="T1862" s="113"/>
      <c r="V1862"/>
      <c r="W1862"/>
      <c r="Y1862"/>
      <c r="Z1862"/>
      <c r="AA1862"/>
      <c r="AB1862"/>
      <c r="AC1862"/>
      <c r="AD1862"/>
      <c r="AE1862"/>
      <c r="AF1862"/>
    </row>
    <row r="1863" spans="1:32" s="45" customFormat="1" ht="12.75" hidden="1">
      <c r="A1863" s="115"/>
      <c r="B1863" s="115"/>
      <c r="C1863" s="114"/>
      <c r="D1863" s="115"/>
      <c r="E1863" s="116"/>
      <c r="F1863" s="117"/>
      <c r="G1863" s="115"/>
      <c r="H1863" s="115"/>
      <c r="I1863" s="115"/>
      <c r="J1863" s="115"/>
      <c r="L1863" s="115"/>
      <c r="M1863" s="115"/>
      <c r="N1863" s="115"/>
      <c r="O1863" s="118"/>
      <c r="P1863" s="113"/>
      <c r="Q1863" s="117"/>
      <c r="R1863" s="113"/>
      <c r="S1863" s="113"/>
      <c r="T1863" s="113"/>
      <c r="V1863"/>
      <c r="W1863"/>
      <c r="Y1863"/>
      <c r="Z1863"/>
      <c r="AA1863"/>
      <c r="AB1863"/>
      <c r="AC1863"/>
      <c r="AD1863"/>
      <c r="AE1863"/>
      <c r="AF1863"/>
    </row>
    <row r="1864" spans="1:32" s="45" customFormat="1" ht="12.75" hidden="1">
      <c r="A1864" s="115"/>
      <c r="B1864" s="115"/>
      <c r="C1864" s="114"/>
      <c r="D1864" s="115"/>
      <c r="E1864" s="116"/>
      <c r="F1864" s="117"/>
      <c r="G1864" s="115"/>
      <c r="H1864" s="115"/>
      <c r="I1864" s="115"/>
      <c r="J1864" s="115"/>
      <c r="L1864" s="115"/>
      <c r="M1864" s="115"/>
      <c r="N1864" s="115"/>
      <c r="O1864" s="118"/>
      <c r="P1864" s="113"/>
      <c r="Q1864" s="117"/>
      <c r="R1864" s="113"/>
      <c r="S1864" s="113"/>
      <c r="T1864" s="113"/>
      <c r="V1864"/>
      <c r="W1864"/>
      <c r="Y1864"/>
      <c r="Z1864"/>
      <c r="AA1864"/>
      <c r="AB1864"/>
      <c r="AC1864"/>
      <c r="AD1864"/>
      <c r="AE1864"/>
      <c r="AF1864"/>
    </row>
    <row r="1865" spans="1:32" s="45" customFormat="1" ht="12.75" hidden="1">
      <c r="A1865" s="115"/>
      <c r="B1865" s="115"/>
      <c r="C1865" s="114"/>
      <c r="D1865" s="115"/>
      <c r="E1865" s="116"/>
      <c r="F1865" s="117"/>
      <c r="G1865" s="115"/>
      <c r="H1865" s="115"/>
      <c r="I1865" s="115"/>
      <c r="J1865" s="115"/>
      <c r="L1865" s="115"/>
      <c r="M1865" s="115"/>
      <c r="N1865" s="115"/>
      <c r="O1865" s="118"/>
      <c r="P1865" s="113"/>
      <c r="Q1865" s="117"/>
      <c r="R1865" s="113"/>
      <c r="S1865" s="113"/>
      <c r="T1865" s="113"/>
      <c r="V1865"/>
      <c r="W1865"/>
      <c r="Y1865"/>
      <c r="Z1865"/>
      <c r="AA1865"/>
      <c r="AB1865"/>
      <c r="AC1865"/>
      <c r="AD1865"/>
      <c r="AE1865"/>
      <c r="AF1865"/>
    </row>
    <row r="1866" spans="1:32" s="45" customFormat="1" ht="12.75" hidden="1">
      <c r="A1866" s="115"/>
      <c r="B1866" s="115"/>
      <c r="C1866" s="114"/>
      <c r="D1866" s="115"/>
      <c r="E1866" s="116"/>
      <c r="F1866" s="117"/>
      <c r="G1866" s="115"/>
      <c r="H1866" s="115"/>
      <c r="I1866" s="115"/>
      <c r="J1866" s="115"/>
      <c r="L1866" s="115"/>
      <c r="M1866" s="115"/>
      <c r="N1866" s="115"/>
      <c r="O1866" s="118"/>
      <c r="P1866" s="113"/>
      <c r="Q1866" s="117"/>
      <c r="R1866" s="113"/>
      <c r="S1866" s="113"/>
      <c r="T1866" s="113"/>
      <c r="V1866"/>
      <c r="W1866"/>
      <c r="Y1866"/>
      <c r="Z1866"/>
      <c r="AA1866"/>
      <c r="AB1866"/>
      <c r="AC1866"/>
      <c r="AD1866"/>
      <c r="AE1866"/>
      <c r="AF1866"/>
    </row>
    <row r="1867" spans="1:32" s="45" customFormat="1" ht="12.75" hidden="1">
      <c r="A1867" s="115"/>
      <c r="B1867" s="115"/>
      <c r="C1867" s="114"/>
      <c r="D1867" s="115"/>
      <c r="E1867" s="116"/>
      <c r="F1867" s="117"/>
      <c r="G1867" s="115"/>
      <c r="H1867" s="115"/>
      <c r="I1867" s="115"/>
      <c r="J1867" s="115"/>
      <c r="L1867" s="115"/>
      <c r="M1867" s="115"/>
      <c r="N1867" s="115"/>
      <c r="O1867" s="118"/>
      <c r="P1867" s="113"/>
      <c r="Q1867" s="117"/>
      <c r="R1867" s="113"/>
      <c r="S1867" s="113"/>
      <c r="T1867" s="113"/>
      <c r="V1867"/>
      <c r="W1867"/>
      <c r="Y1867"/>
      <c r="Z1867"/>
      <c r="AA1867"/>
      <c r="AB1867"/>
      <c r="AC1867"/>
      <c r="AD1867"/>
      <c r="AE1867"/>
      <c r="AF1867"/>
    </row>
    <row r="1868" spans="1:32" s="45" customFormat="1" ht="12.75" hidden="1">
      <c r="A1868" s="115"/>
      <c r="B1868" s="115"/>
      <c r="C1868" s="114"/>
      <c r="D1868" s="115"/>
      <c r="E1868" s="116"/>
      <c r="F1868" s="117"/>
      <c r="G1868" s="115"/>
      <c r="H1868" s="115"/>
      <c r="I1868" s="115"/>
      <c r="J1868" s="115"/>
      <c r="L1868" s="115"/>
      <c r="M1868" s="115"/>
      <c r="N1868" s="115"/>
      <c r="O1868" s="118"/>
      <c r="P1868" s="113"/>
      <c r="Q1868" s="117"/>
      <c r="R1868" s="113"/>
      <c r="S1868" s="113"/>
      <c r="T1868" s="113"/>
      <c r="V1868"/>
      <c r="W1868"/>
      <c r="Y1868"/>
      <c r="Z1868"/>
      <c r="AA1868"/>
      <c r="AB1868"/>
      <c r="AC1868"/>
      <c r="AD1868"/>
      <c r="AE1868"/>
      <c r="AF1868"/>
    </row>
    <row r="1869" spans="1:32" s="45" customFormat="1" ht="12.75" hidden="1">
      <c r="A1869" s="115"/>
      <c r="B1869" s="115"/>
      <c r="C1869" s="114"/>
      <c r="D1869" s="115"/>
      <c r="E1869" s="116"/>
      <c r="F1869" s="117"/>
      <c r="G1869" s="115"/>
      <c r="H1869" s="115"/>
      <c r="I1869" s="115"/>
      <c r="J1869" s="115"/>
      <c r="L1869" s="115"/>
      <c r="M1869" s="115"/>
      <c r="N1869" s="115"/>
      <c r="O1869" s="118"/>
      <c r="P1869" s="113"/>
      <c r="Q1869" s="117"/>
      <c r="R1869" s="113"/>
      <c r="S1869" s="113"/>
      <c r="T1869" s="113"/>
      <c r="V1869"/>
      <c r="W1869"/>
      <c r="Y1869"/>
      <c r="Z1869"/>
      <c r="AA1869"/>
      <c r="AB1869"/>
      <c r="AC1869"/>
      <c r="AD1869"/>
      <c r="AE1869"/>
      <c r="AF1869"/>
    </row>
    <row r="1870" spans="1:32" s="45" customFormat="1" ht="12.75" hidden="1">
      <c r="A1870" s="115"/>
      <c r="B1870" s="115"/>
      <c r="C1870" s="114"/>
      <c r="D1870" s="115"/>
      <c r="E1870" s="116"/>
      <c r="F1870" s="117"/>
      <c r="G1870" s="115"/>
      <c r="H1870" s="115"/>
      <c r="I1870" s="115"/>
      <c r="J1870" s="115"/>
      <c r="L1870" s="115"/>
      <c r="M1870" s="115"/>
      <c r="N1870" s="115"/>
      <c r="O1870" s="118"/>
      <c r="P1870" s="113"/>
      <c r="Q1870" s="117"/>
      <c r="R1870" s="113"/>
      <c r="S1870" s="113"/>
      <c r="T1870" s="113"/>
      <c r="V1870"/>
      <c r="W1870"/>
      <c r="Y1870"/>
      <c r="Z1870"/>
      <c r="AA1870"/>
      <c r="AB1870"/>
      <c r="AC1870"/>
      <c r="AD1870"/>
      <c r="AE1870"/>
      <c r="AF1870"/>
    </row>
    <row r="1871" spans="1:32" s="45" customFormat="1" ht="12.75" hidden="1">
      <c r="A1871" s="115"/>
      <c r="B1871" s="115"/>
      <c r="C1871" s="114"/>
      <c r="D1871" s="115"/>
      <c r="E1871" s="116"/>
      <c r="F1871" s="117"/>
      <c r="G1871" s="115"/>
      <c r="H1871" s="115"/>
      <c r="I1871" s="115"/>
      <c r="J1871" s="115"/>
      <c r="L1871" s="115"/>
      <c r="M1871" s="115"/>
      <c r="N1871" s="115"/>
      <c r="O1871" s="118"/>
      <c r="P1871" s="113"/>
      <c r="Q1871" s="117"/>
      <c r="R1871" s="113"/>
      <c r="S1871" s="113"/>
      <c r="T1871" s="113"/>
      <c r="V1871"/>
      <c r="W1871"/>
      <c r="Y1871"/>
      <c r="Z1871"/>
      <c r="AA1871"/>
      <c r="AB1871"/>
      <c r="AC1871"/>
      <c r="AD1871"/>
      <c r="AE1871"/>
      <c r="AF1871"/>
    </row>
    <row r="1872" spans="1:32" s="45" customFormat="1" ht="12.75" hidden="1">
      <c r="A1872" s="115"/>
      <c r="B1872" s="115"/>
      <c r="C1872" s="114"/>
      <c r="D1872" s="115"/>
      <c r="E1872" s="116"/>
      <c r="F1872" s="117"/>
      <c r="G1872" s="115"/>
      <c r="H1872" s="115"/>
      <c r="I1872" s="115"/>
      <c r="J1872" s="115"/>
      <c r="L1872" s="115"/>
      <c r="M1872" s="115"/>
      <c r="N1872" s="115"/>
      <c r="O1872" s="118"/>
      <c r="P1872" s="113"/>
      <c r="Q1872" s="117"/>
      <c r="R1872" s="113"/>
      <c r="S1872" s="113"/>
      <c r="T1872" s="113"/>
      <c r="V1872"/>
      <c r="W1872"/>
      <c r="Y1872"/>
      <c r="Z1872"/>
      <c r="AA1872"/>
      <c r="AB1872"/>
      <c r="AC1872"/>
      <c r="AD1872"/>
      <c r="AE1872"/>
      <c r="AF1872"/>
    </row>
    <row r="1873" spans="1:32" s="45" customFormat="1" ht="12.75" hidden="1">
      <c r="A1873" s="115"/>
      <c r="B1873" s="115"/>
      <c r="C1873" s="114"/>
      <c r="D1873" s="115"/>
      <c r="E1873" s="116"/>
      <c r="F1873" s="117"/>
      <c r="G1873" s="115"/>
      <c r="H1873" s="115"/>
      <c r="I1873" s="115"/>
      <c r="J1873" s="115"/>
      <c r="L1873" s="115"/>
      <c r="M1873" s="115"/>
      <c r="N1873" s="115"/>
      <c r="O1873" s="118"/>
      <c r="P1873" s="113"/>
      <c r="Q1873" s="117"/>
      <c r="R1873" s="113"/>
      <c r="S1873" s="113"/>
      <c r="T1873" s="113"/>
      <c r="V1873"/>
      <c r="W1873"/>
      <c r="Y1873"/>
      <c r="Z1873"/>
      <c r="AA1873"/>
      <c r="AB1873"/>
      <c r="AC1873"/>
      <c r="AD1873"/>
      <c r="AE1873"/>
      <c r="AF1873"/>
    </row>
    <row r="1874" spans="1:32" s="45" customFormat="1" ht="12.75" hidden="1">
      <c r="A1874" s="115"/>
      <c r="B1874" s="115"/>
      <c r="C1874" s="114"/>
      <c r="D1874" s="115"/>
      <c r="E1874" s="116"/>
      <c r="F1874" s="117"/>
      <c r="G1874" s="115"/>
      <c r="H1874" s="115"/>
      <c r="I1874" s="115"/>
      <c r="J1874" s="115"/>
      <c r="L1874" s="115"/>
      <c r="M1874" s="115"/>
      <c r="N1874" s="115"/>
      <c r="O1874" s="118"/>
      <c r="P1874" s="113"/>
      <c r="Q1874" s="117"/>
      <c r="R1874" s="113"/>
      <c r="S1874" s="113"/>
      <c r="T1874" s="113"/>
      <c r="V1874"/>
      <c r="W1874"/>
      <c r="Y1874"/>
      <c r="Z1874"/>
      <c r="AA1874"/>
      <c r="AB1874"/>
      <c r="AC1874"/>
      <c r="AD1874"/>
      <c r="AE1874"/>
      <c r="AF1874"/>
    </row>
    <row r="1875" spans="1:32" s="45" customFormat="1" ht="12.75" hidden="1">
      <c r="A1875" s="115"/>
      <c r="B1875" s="115"/>
      <c r="C1875" s="114"/>
      <c r="D1875" s="115"/>
      <c r="E1875" s="116"/>
      <c r="F1875" s="117"/>
      <c r="G1875" s="115"/>
      <c r="H1875" s="115"/>
      <c r="I1875" s="115"/>
      <c r="J1875" s="115"/>
      <c r="L1875" s="115"/>
      <c r="M1875" s="115"/>
      <c r="N1875" s="115"/>
      <c r="O1875" s="118"/>
      <c r="P1875" s="113"/>
      <c r="Q1875" s="117"/>
      <c r="R1875" s="113"/>
      <c r="S1875" s="113"/>
      <c r="T1875" s="113"/>
      <c r="V1875"/>
      <c r="W1875"/>
      <c r="Y1875"/>
      <c r="Z1875"/>
      <c r="AA1875"/>
      <c r="AB1875"/>
      <c r="AC1875"/>
      <c r="AD1875"/>
      <c r="AE1875"/>
      <c r="AF1875"/>
    </row>
    <row r="1876" spans="1:32" s="45" customFormat="1" ht="12.75" hidden="1">
      <c r="A1876" s="115"/>
      <c r="B1876" s="115"/>
      <c r="C1876" s="114"/>
      <c r="D1876" s="115"/>
      <c r="E1876" s="116"/>
      <c r="F1876" s="117"/>
      <c r="G1876" s="115"/>
      <c r="H1876" s="115"/>
      <c r="I1876" s="115"/>
      <c r="J1876" s="115"/>
      <c r="L1876" s="115"/>
      <c r="M1876" s="115"/>
      <c r="N1876" s="115"/>
      <c r="O1876" s="118"/>
      <c r="P1876" s="113"/>
      <c r="Q1876" s="117"/>
      <c r="R1876" s="113"/>
      <c r="S1876" s="113"/>
      <c r="T1876" s="113"/>
      <c r="V1876"/>
      <c r="W1876"/>
      <c r="Y1876"/>
      <c r="Z1876"/>
      <c r="AA1876"/>
      <c r="AB1876"/>
      <c r="AC1876"/>
      <c r="AD1876"/>
      <c r="AE1876"/>
      <c r="AF1876"/>
    </row>
    <row r="1877" spans="1:32" s="45" customFormat="1" ht="12.75" hidden="1">
      <c r="A1877" s="115"/>
      <c r="B1877" s="115"/>
      <c r="C1877" s="114"/>
      <c r="D1877" s="115"/>
      <c r="E1877" s="116"/>
      <c r="F1877" s="117"/>
      <c r="G1877" s="115"/>
      <c r="H1877" s="115"/>
      <c r="I1877" s="115"/>
      <c r="J1877" s="115"/>
      <c r="L1877" s="115"/>
      <c r="M1877" s="115"/>
      <c r="N1877" s="115"/>
      <c r="O1877" s="118"/>
      <c r="P1877" s="113"/>
      <c r="Q1877" s="117"/>
      <c r="R1877" s="113"/>
      <c r="S1877" s="113"/>
      <c r="T1877" s="113"/>
      <c r="V1877"/>
      <c r="W1877"/>
      <c r="Y1877"/>
      <c r="Z1877"/>
      <c r="AA1877"/>
      <c r="AB1877"/>
      <c r="AC1877"/>
      <c r="AD1877"/>
      <c r="AE1877"/>
      <c r="AF1877"/>
    </row>
    <row r="1878" spans="1:32" s="45" customFormat="1" ht="12.75" hidden="1">
      <c r="A1878" s="115"/>
      <c r="B1878" s="115"/>
      <c r="C1878" s="114"/>
      <c r="D1878" s="115"/>
      <c r="E1878" s="116"/>
      <c r="F1878" s="117"/>
      <c r="G1878" s="115"/>
      <c r="H1878" s="115"/>
      <c r="I1878" s="115"/>
      <c r="J1878" s="115"/>
      <c r="L1878" s="115"/>
      <c r="M1878" s="115"/>
      <c r="N1878" s="115"/>
      <c r="O1878" s="118"/>
      <c r="P1878" s="113"/>
      <c r="Q1878" s="117"/>
      <c r="R1878" s="113"/>
      <c r="S1878" s="113"/>
      <c r="T1878" s="113"/>
      <c r="V1878"/>
      <c r="W1878"/>
      <c r="Y1878"/>
      <c r="Z1878"/>
      <c r="AA1878"/>
      <c r="AB1878"/>
      <c r="AC1878"/>
      <c r="AD1878"/>
      <c r="AE1878"/>
      <c r="AF1878"/>
    </row>
    <row r="1879" spans="1:32" s="45" customFormat="1" ht="12.75" hidden="1">
      <c r="A1879" s="115"/>
      <c r="B1879" s="115"/>
      <c r="C1879" s="114"/>
      <c r="D1879" s="115"/>
      <c r="E1879" s="116"/>
      <c r="F1879" s="117"/>
      <c r="G1879" s="115"/>
      <c r="H1879" s="115"/>
      <c r="I1879" s="115"/>
      <c r="J1879" s="115"/>
      <c r="L1879" s="115"/>
      <c r="M1879" s="115"/>
      <c r="N1879" s="115"/>
      <c r="O1879" s="118"/>
      <c r="P1879" s="113"/>
      <c r="Q1879" s="117"/>
      <c r="R1879" s="113"/>
      <c r="S1879" s="113"/>
      <c r="T1879" s="113"/>
      <c r="V1879"/>
      <c r="W1879"/>
      <c r="Y1879"/>
      <c r="Z1879"/>
      <c r="AA1879"/>
      <c r="AB1879"/>
      <c r="AC1879"/>
      <c r="AD1879"/>
      <c r="AE1879"/>
      <c r="AF1879"/>
    </row>
    <row r="1880" spans="1:32" s="45" customFormat="1" ht="12.75" hidden="1">
      <c r="A1880" s="115"/>
      <c r="B1880" s="115"/>
      <c r="C1880" s="114"/>
      <c r="D1880" s="115"/>
      <c r="E1880" s="116"/>
      <c r="F1880" s="117"/>
      <c r="G1880" s="115"/>
      <c r="H1880" s="115"/>
      <c r="I1880" s="115"/>
      <c r="J1880" s="115"/>
      <c r="L1880" s="115"/>
      <c r="M1880" s="115"/>
      <c r="N1880" s="115"/>
      <c r="O1880" s="118"/>
      <c r="P1880" s="113"/>
      <c r="Q1880" s="117"/>
      <c r="R1880" s="113"/>
      <c r="S1880" s="113"/>
      <c r="T1880" s="113"/>
      <c r="V1880"/>
      <c r="W1880"/>
      <c r="Y1880"/>
      <c r="Z1880"/>
      <c r="AA1880"/>
      <c r="AB1880"/>
      <c r="AC1880"/>
      <c r="AD1880"/>
      <c r="AE1880"/>
      <c r="AF1880"/>
    </row>
    <row r="1881" spans="1:32" s="45" customFormat="1" ht="12.75" hidden="1">
      <c r="A1881" s="115"/>
      <c r="B1881" s="115"/>
      <c r="C1881" s="114"/>
      <c r="D1881" s="115"/>
      <c r="E1881" s="116"/>
      <c r="F1881" s="117"/>
      <c r="G1881" s="115"/>
      <c r="H1881" s="115"/>
      <c r="I1881" s="115"/>
      <c r="J1881" s="115"/>
      <c r="L1881" s="115"/>
      <c r="M1881" s="115"/>
      <c r="N1881" s="115"/>
      <c r="O1881" s="118"/>
      <c r="P1881" s="113"/>
      <c r="Q1881" s="117"/>
      <c r="R1881" s="113"/>
      <c r="S1881" s="113"/>
      <c r="T1881" s="113"/>
      <c r="V1881"/>
      <c r="W1881"/>
      <c r="Y1881"/>
      <c r="Z1881"/>
      <c r="AA1881"/>
      <c r="AB1881"/>
      <c r="AC1881"/>
      <c r="AD1881"/>
      <c r="AE1881"/>
      <c r="AF1881"/>
    </row>
    <row r="1882" spans="1:32" s="45" customFormat="1" ht="12.75" hidden="1">
      <c r="A1882" s="115"/>
      <c r="B1882" s="115"/>
      <c r="C1882" s="114"/>
      <c r="D1882" s="115"/>
      <c r="E1882" s="116"/>
      <c r="F1882" s="117"/>
      <c r="G1882" s="115"/>
      <c r="H1882" s="115"/>
      <c r="I1882" s="115"/>
      <c r="J1882" s="115"/>
      <c r="L1882" s="115"/>
      <c r="M1882" s="115"/>
      <c r="N1882" s="115"/>
      <c r="O1882" s="118"/>
      <c r="P1882" s="113"/>
      <c r="Q1882" s="117"/>
      <c r="R1882" s="113"/>
      <c r="S1882" s="113"/>
      <c r="T1882" s="113"/>
      <c r="V1882"/>
      <c r="W1882"/>
      <c r="Y1882"/>
      <c r="Z1882"/>
      <c r="AA1882"/>
      <c r="AB1882"/>
      <c r="AC1882"/>
      <c r="AD1882"/>
      <c r="AE1882"/>
      <c r="AF1882"/>
    </row>
    <row r="1883" spans="1:32" s="45" customFormat="1" ht="12.75" hidden="1">
      <c r="A1883" s="115"/>
      <c r="B1883" s="115"/>
      <c r="C1883" s="114"/>
      <c r="D1883" s="115"/>
      <c r="E1883" s="116"/>
      <c r="F1883" s="117"/>
      <c r="G1883" s="115"/>
      <c r="H1883" s="115"/>
      <c r="I1883" s="115"/>
      <c r="J1883" s="115"/>
      <c r="L1883" s="115"/>
      <c r="M1883" s="115"/>
      <c r="N1883" s="115"/>
      <c r="O1883" s="118"/>
      <c r="P1883" s="113"/>
      <c r="Q1883" s="117"/>
      <c r="R1883" s="113"/>
      <c r="S1883" s="113"/>
      <c r="T1883" s="113"/>
      <c r="V1883"/>
      <c r="W1883"/>
      <c r="Y1883"/>
      <c r="Z1883"/>
      <c r="AA1883"/>
      <c r="AB1883"/>
      <c r="AC1883"/>
      <c r="AD1883"/>
      <c r="AE1883"/>
      <c r="AF1883"/>
    </row>
    <row r="1884" spans="1:32" s="45" customFormat="1" ht="12.75" hidden="1">
      <c r="A1884" s="115"/>
      <c r="B1884" s="115"/>
      <c r="C1884" s="114"/>
      <c r="D1884" s="115"/>
      <c r="E1884" s="116"/>
      <c r="F1884" s="117"/>
      <c r="G1884" s="115"/>
      <c r="H1884" s="115"/>
      <c r="I1884" s="115"/>
      <c r="J1884" s="115"/>
      <c r="L1884" s="115"/>
      <c r="M1884" s="115"/>
      <c r="N1884" s="115"/>
      <c r="O1884" s="118"/>
      <c r="P1884" s="113"/>
      <c r="Q1884" s="117"/>
      <c r="R1884" s="113"/>
      <c r="S1884" s="113"/>
      <c r="T1884" s="113"/>
      <c r="V1884"/>
      <c r="W1884"/>
      <c r="Y1884"/>
      <c r="Z1884"/>
      <c r="AA1884"/>
      <c r="AB1884"/>
      <c r="AC1884"/>
      <c r="AD1884"/>
      <c r="AE1884"/>
      <c r="AF1884"/>
    </row>
    <row r="1885" spans="1:32" s="45" customFormat="1" ht="12.75" hidden="1">
      <c r="A1885" s="115"/>
      <c r="B1885" s="115"/>
      <c r="C1885" s="114"/>
      <c r="D1885" s="115"/>
      <c r="E1885" s="116"/>
      <c r="F1885" s="117"/>
      <c r="G1885" s="115"/>
      <c r="H1885" s="115"/>
      <c r="I1885" s="115"/>
      <c r="J1885" s="115"/>
      <c r="L1885" s="115"/>
      <c r="M1885" s="115"/>
      <c r="N1885" s="115"/>
      <c r="O1885" s="118"/>
      <c r="P1885" s="113"/>
      <c r="Q1885" s="117"/>
      <c r="R1885" s="113"/>
      <c r="S1885" s="113"/>
      <c r="T1885" s="113"/>
      <c r="V1885"/>
      <c r="W1885"/>
      <c r="Y1885"/>
      <c r="Z1885"/>
      <c r="AA1885"/>
      <c r="AB1885"/>
      <c r="AC1885"/>
      <c r="AD1885"/>
      <c r="AE1885"/>
      <c r="AF1885"/>
    </row>
    <row r="1886" spans="1:32" s="45" customFormat="1" ht="12.75" hidden="1">
      <c r="A1886" s="115"/>
      <c r="B1886" s="115"/>
      <c r="C1886" s="114"/>
      <c r="D1886" s="115"/>
      <c r="E1886" s="116"/>
      <c r="F1886" s="117"/>
      <c r="G1886" s="115"/>
      <c r="H1886" s="115"/>
      <c r="I1886" s="115"/>
      <c r="J1886" s="115"/>
      <c r="L1886" s="115"/>
      <c r="M1886" s="115"/>
      <c r="N1886" s="115"/>
      <c r="O1886" s="118"/>
      <c r="P1886" s="113"/>
      <c r="Q1886" s="117"/>
      <c r="R1886" s="113"/>
      <c r="S1886" s="113"/>
      <c r="T1886" s="113"/>
      <c r="V1886"/>
      <c r="W1886"/>
      <c r="Y1886"/>
      <c r="Z1886"/>
      <c r="AA1886"/>
      <c r="AB1886"/>
      <c r="AC1886"/>
      <c r="AD1886"/>
      <c r="AE1886"/>
      <c r="AF1886"/>
    </row>
    <row r="1887" spans="1:32" s="45" customFormat="1" ht="12.75" hidden="1">
      <c r="A1887" s="115"/>
      <c r="B1887" s="115"/>
      <c r="C1887" s="114"/>
      <c r="D1887" s="115"/>
      <c r="E1887" s="116"/>
      <c r="F1887" s="117"/>
      <c r="G1887" s="115"/>
      <c r="H1887" s="115"/>
      <c r="I1887" s="115"/>
      <c r="J1887" s="115"/>
      <c r="L1887" s="115"/>
      <c r="M1887" s="115"/>
      <c r="N1887" s="115"/>
      <c r="O1887" s="118"/>
      <c r="P1887" s="113"/>
      <c r="Q1887" s="117"/>
      <c r="R1887" s="113"/>
      <c r="S1887" s="113"/>
      <c r="T1887" s="113"/>
      <c r="V1887"/>
      <c r="W1887"/>
      <c r="Y1887"/>
      <c r="Z1887"/>
      <c r="AA1887"/>
      <c r="AB1887"/>
      <c r="AC1887"/>
      <c r="AD1887"/>
      <c r="AE1887"/>
      <c r="AF1887"/>
    </row>
    <row r="1888" spans="1:32" s="45" customFormat="1" ht="12.75" hidden="1">
      <c r="A1888" s="115"/>
      <c r="B1888" s="115"/>
      <c r="C1888" s="114"/>
      <c r="D1888" s="115"/>
      <c r="E1888" s="116"/>
      <c r="F1888" s="117"/>
      <c r="G1888" s="115"/>
      <c r="H1888" s="115"/>
      <c r="I1888" s="115"/>
      <c r="J1888" s="115"/>
      <c r="L1888" s="115"/>
      <c r="M1888" s="115"/>
      <c r="N1888" s="115"/>
      <c r="O1888" s="118"/>
      <c r="P1888" s="113"/>
      <c r="Q1888" s="117"/>
      <c r="R1888" s="113"/>
      <c r="S1888" s="113"/>
      <c r="T1888" s="113"/>
      <c r="V1888"/>
      <c r="W1888"/>
      <c r="Y1888"/>
      <c r="Z1888"/>
      <c r="AA1888"/>
      <c r="AB1888"/>
      <c r="AC1888"/>
      <c r="AD1888"/>
      <c r="AE1888"/>
      <c r="AF1888"/>
    </row>
    <row r="1889" spans="1:32" s="45" customFormat="1" ht="12.75" hidden="1">
      <c r="A1889" s="115"/>
      <c r="B1889" s="115"/>
      <c r="C1889" s="114"/>
      <c r="D1889" s="115"/>
      <c r="E1889" s="116"/>
      <c r="F1889" s="117"/>
      <c r="G1889" s="115"/>
      <c r="H1889" s="115"/>
      <c r="I1889" s="115"/>
      <c r="J1889" s="115"/>
      <c r="L1889" s="115"/>
      <c r="M1889" s="115"/>
      <c r="N1889" s="115"/>
      <c r="O1889" s="118"/>
      <c r="P1889" s="113"/>
      <c r="Q1889" s="117"/>
      <c r="R1889" s="113"/>
      <c r="S1889" s="113"/>
      <c r="T1889" s="113"/>
      <c r="V1889"/>
      <c r="W1889"/>
      <c r="Y1889"/>
      <c r="Z1889"/>
      <c r="AA1889"/>
      <c r="AB1889"/>
      <c r="AC1889"/>
      <c r="AD1889"/>
      <c r="AE1889"/>
      <c r="AF1889"/>
    </row>
    <row r="1890" spans="1:32" s="45" customFormat="1" ht="12.75" hidden="1">
      <c r="A1890" s="115"/>
      <c r="B1890" s="115"/>
      <c r="C1890" s="114"/>
      <c r="D1890" s="115"/>
      <c r="E1890" s="116"/>
      <c r="F1890" s="117"/>
      <c r="G1890" s="115"/>
      <c r="H1890" s="115"/>
      <c r="I1890" s="115"/>
      <c r="J1890" s="115"/>
      <c r="L1890" s="115"/>
      <c r="M1890" s="115"/>
      <c r="N1890" s="115"/>
      <c r="O1890" s="118"/>
      <c r="P1890" s="113"/>
      <c r="Q1890" s="117"/>
      <c r="R1890" s="113"/>
      <c r="S1890" s="113"/>
      <c r="T1890" s="113"/>
      <c r="V1890"/>
      <c r="W1890"/>
      <c r="Y1890"/>
      <c r="Z1890"/>
      <c r="AA1890"/>
      <c r="AB1890"/>
      <c r="AC1890"/>
      <c r="AD1890"/>
      <c r="AE1890"/>
      <c r="AF1890"/>
    </row>
    <row r="1891" spans="1:32" s="45" customFormat="1" ht="12.75" hidden="1">
      <c r="A1891" s="115"/>
      <c r="B1891" s="115"/>
      <c r="C1891" s="114"/>
      <c r="D1891" s="115"/>
      <c r="E1891" s="116"/>
      <c r="F1891" s="117"/>
      <c r="G1891" s="115"/>
      <c r="H1891" s="115"/>
      <c r="I1891" s="115"/>
      <c r="J1891" s="115"/>
      <c r="L1891" s="115"/>
      <c r="M1891" s="115"/>
      <c r="N1891" s="115"/>
      <c r="O1891" s="118"/>
      <c r="P1891" s="113"/>
      <c r="Q1891" s="117"/>
      <c r="R1891" s="113"/>
      <c r="S1891" s="113"/>
      <c r="T1891" s="113"/>
      <c r="V1891"/>
      <c r="W1891"/>
      <c r="Y1891"/>
      <c r="Z1891"/>
      <c r="AA1891"/>
      <c r="AB1891"/>
      <c r="AC1891"/>
      <c r="AD1891"/>
      <c r="AE1891"/>
      <c r="AF1891"/>
    </row>
    <row r="1892" spans="1:32" s="45" customFormat="1" ht="12.75" hidden="1">
      <c r="A1892" s="115"/>
      <c r="B1892" s="115"/>
      <c r="C1892" s="114"/>
      <c r="D1892" s="115"/>
      <c r="E1892" s="116"/>
      <c r="F1892" s="117"/>
      <c r="G1892" s="115"/>
      <c r="H1892" s="115"/>
      <c r="I1892" s="115"/>
      <c r="J1892" s="115"/>
      <c r="L1892" s="115"/>
      <c r="M1892" s="115"/>
      <c r="N1892" s="115"/>
      <c r="O1892" s="118"/>
      <c r="P1892" s="113"/>
      <c r="Q1892" s="117"/>
      <c r="R1892" s="113"/>
      <c r="S1892" s="113"/>
      <c r="T1892" s="113"/>
      <c r="V1892"/>
      <c r="W1892"/>
      <c r="Y1892"/>
      <c r="Z1892"/>
      <c r="AA1892"/>
      <c r="AB1892"/>
      <c r="AC1892"/>
      <c r="AD1892"/>
      <c r="AE1892"/>
      <c r="AF1892"/>
    </row>
    <row r="1893" spans="1:32" s="45" customFormat="1" ht="12.75" hidden="1">
      <c r="A1893" s="115"/>
      <c r="B1893" s="115"/>
      <c r="C1893" s="114"/>
      <c r="D1893" s="115"/>
      <c r="E1893" s="116"/>
      <c r="F1893" s="117"/>
      <c r="G1893" s="115"/>
      <c r="H1893" s="115"/>
      <c r="I1893" s="115"/>
      <c r="J1893" s="115"/>
      <c r="L1893" s="115"/>
      <c r="M1893" s="115"/>
      <c r="N1893" s="115"/>
      <c r="O1893" s="118"/>
      <c r="P1893" s="113"/>
      <c r="Q1893" s="117"/>
      <c r="R1893" s="113"/>
      <c r="S1893" s="113"/>
      <c r="T1893" s="113"/>
      <c r="V1893"/>
      <c r="W1893"/>
      <c r="Y1893"/>
      <c r="Z1893"/>
      <c r="AA1893"/>
      <c r="AB1893"/>
      <c r="AC1893"/>
      <c r="AD1893"/>
      <c r="AE1893"/>
      <c r="AF1893"/>
    </row>
    <row r="1894" spans="1:32" s="45" customFormat="1" ht="12.75" hidden="1">
      <c r="A1894" s="115"/>
      <c r="B1894" s="115"/>
      <c r="C1894" s="114"/>
      <c r="D1894" s="115"/>
      <c r="E1894" s="116"/>
      <c r="F1894" s="117"/>
      <c r="G1894" s="115"/>
      <c r="H1894" s="115"/>
      <c r="I1894" s="115"/>
      <c r="J1894" s="115"/>
      <c r="L1894" s="115"/>
      <c r="M1894" s="115"/>
      <c r="N1894" s="115"/>
      <c r="O1894" s="118"/>
      <c r="P1894" s="113"/>
      <c r="Q1894" s="117"/>
      <c r="R1894" s="113"/>
      <c r="S1894" s="113"/>
      <c r="T1894" s="113"/>
      <c r="V1894"/>
      <c r="W1894"/>
      <c r="Y1894"/>
      <c r="Z1894"/>
      <c r="AA1894"/>
      <c r="AB1894"/>
      <c r="AC1894"/>
      <c r="AD1894"/>
      <c r="AE1894"/>
      <c r="AF1894"/>
    </row>
    <row r="1895" spans="1:32" s="45" customFormat="1" ht="12.75" hidden="1">
      <c r="A1895" s="115"/>
      <c r="B1895" s="115"/>
      <c r="C1895" s="114"/>
      <c r="D1895" s="115"/>
      <c r="E1895" s="116"/>
      <c r="F1895" s="117"/>
      <c r="G1895" s="115"/>
      <c r="H1895" s="115"/>
      <c r="I1895" s="115"/>
      <c r="J1895" s="115"/>
      <c r="L1895" s="115"/>
      <c r="M1895" s="115"/>
      <c r="N1895" s="115"/>
      <c r="O1895" s="118"/>
      <c r="P1895" s="113"/>
      <c r="Q1895" s="117"/>
      <c r="R1895" s="113"/>
      <c r="S1895" s="113"/>
      <c r="T1895" s="113"/>
      <c r="V1895"/>
      <c r="W1895"/>
      <c r="Y1895"/>
      <c r="Z1895"/>
      <c r="AA1895"/>
      <c r="AB1895"/>
      <c r="AC1895"/>
      <c r="AD1895"/>
      <c r="AE1895"/>
      <c r="AF1895"/>
    </row>
    <row r="1896" spans="1:32" s="45" customFormat="1" ht="12.75" hidden="1">
      <c r="A1896" s="115"/>
      <c r="B1896" s="115"/>
      <c r="C1896" s="114"/>
      <c r="D1896" s="115"/>
      <c r="E1896" s="116"/>
      <c r="F1896" s="117"/>
      <c r="G1896" s="115"/>
      <c r="H1896" s="115"/>
      <c r="I1896" s="115"/>
      <c r="J1896" s="115"/>
      <c r="L1896" s="115"/>
      <c r="M1896" s="115"/>
      <c r="N1896" s="115"/>
      <c r="O1896" s="118"/>
      <c r="P1896" s="113"/>
      <c r="Q1896" s="117"/>
      <c r="R1896" s="113"/>
      <c r="S1896" s="113"/>
      <c r="T1896" s="113"/>
      <c r="V1896"/>
      <c r="W1896"/>
      <c r="Y1896"/>
      <c r="Z1896"/>
      <c r="AA1896"/>
      <c r="AB1896"/>
      <c r="AC1896"/>
      <c r="AD1896"/>
      <c r="AE1896"/>
      <c r="AF1896"/>
    </row>
    <row r="1897" spans="1:32" s="45" customFormat="1" ht="12.75" hidden="1">
      <c r="A1897" s="115"/>
      <c r="B1897" s="115"/>
      <c r="C1897" s="114"/>
      <c r="D1897" s="115"/>
      <c r="E1897" s="116"/>
      <c r="F1897" s="117"/>
      <c r="G1897" s="115"/>
      <c r="H1897" s="115"/>
      <c r="I1897" s="115"/>
      <c r="J1897" s="115"/>
      <c r="L1897" s="115"/>
      <c r="M1897" s="115"/>
      <c r="N1897" s="115"/>
      <c r="O1897" s="118"/>
      <c r="P1897" s="113"/>
      <c r="Q1897" s="117"/>
      <c r="R1897" s="113"/>
      <c r="S1897" s="113"/>
      <c r="T1897" s="113"/>
      <c r="V1897"/>
      <c r="W1897"/>
      <c r="Y1897"/>
      <c r="Z1897"/>
      <c r="AA1897"/>
      <c r="AB1897"/>
      <c r="AC1897"/>
      <c r="AD1897"/>
      <c r="AE1897"/>
      <c r="AF1897"/>
    </row>
    <row r="1898" spans="1:32" s="45" customFormat="1" ht="12.75" hidden="1">
      <c r="A1898" s="115"/>
      <c r="B1898" s="115"/>
      <c r="C1898" s="114"/>
      <c r="D1898" s="115"/>
      <c r="E1898" s="116"/>
      <c r="F1898" s="117"/>
      <c r="G1898" s="115"/>
      <c r="H1898" s="115"/>
      <c r="I1898" s="115"/>
      <c r="J1898" s="115"/>
      <c r="L1898" s="115"/>
      <c r="M1898" s="115"/>
      <c r="N1898" s="115"/>
      <c r="O1898" s="118"/>
      <c r="P1898" s="113"/>
      <c r="Q1898" s="117"/>
      <c r="R1898" s="113"/>
      <c r="S1898" s="113"/>
      <c r="T1898" s="113"/>
      <c r="V1898"/>
      <c r="W1898"/>
      <c r="Y1898"/>
      <c r="Z1898"/>
      <c r="AA1898"/>
      <c r="AB1898"/>
      <c r="AC1898"/>
      <c r="AD1898"/>
      <c r="AE1898"/>
      <c r="AF1898"/>
    </row>
    <row r="1899" spans="1:32" s="45" customFormat="1" ht="12.75" hidden="1">
      <c r="A1899" s="115"/>
      <c r="B1899" s="115"/>
      <c r="C1899" s="114"/>
      <c r="D1899" s="115"/>
      <c r="E1899" s="116"/>
      <c r="F1899" s="117"/>
      <c r="G1899" s="115"/>
      <c r="H1899" s="115"/>
      <c r="I1899" s="115"/>
      <c r="J1899" s="115"/>
      <c r="L1899" s="115"/>
      <c r="M1899" s="115"/>
      <c r="N1899" s="115"/>
      <c r="O1899" s="118"/>
      <c r="P1899" s="113"/>
      <c r="Q1899" s="117"/>
      <c r="R1899" s="113"/>
      <c r="S1899" s="113"/>
      <c r="T1899" s="113"/>
      <c r="V1899"/>
      <c r="W1899"/>
      <c r="Y1899"/>
      <c r="Z1899"/>
      <c r="AA1899"/>
      <c r="AB1899"/>
      <c r="AC1899"/>
      <c r="AD1899"/>
      <c r="AE1899"/>
      <c r="AF1899"/>
    </row>
    <row r="1900" spans="1:32" s="45" customFormat="1" ht="12.75" hidden="1">
      <c r="A1900" s="115"/>
      <c r="B1900" s="115"/>
      <c r="C1900" s="114"/>
      <c r="D1900" s="115"/>
      <c r="E1900" s="116"/>
      <c r="F1900" s="117"/>
      <c r="G1900" s="115"/>
      <c r="H1900" s="115"/>
      <c r="I1900" s="115"/>
      <c r="J1900" s="115"/>
      <c r="L1900" s="115"/>
      <c r="M1900" s="115"/>
      <c r="N1900" s="115"/>
      <c r="O1900" s="118"/>
      <c r="P1900" s="113"/>
      <c r="Q1900" s="117"/>
      <c r="R1900" s="113"/>
      <c r="S1900" s="113"/>
      <c r="T1900" s="113"/>
      <c r="V1900"/>
      <c r="W1900"/>
      <c r="Y1900"/>
      <c r="Z1900"/>
      <c r="AA1900"/>
      <c r="AB1900"/>
      <c r="AC1900"/>
      <c r="AD1900"/>
      <c r="AE1900"/>
      <c r="AF1900"/>
    </row>
    <row r="1901" spans="1:32" s="45" customFormat="1" ht="12.75" hidden="1">
      <c r="A1901" s="115"/>
      <c r="B1901" s="115"/>
      <c r="C1901" s="114"/>
      <c r="D1901" s="115"/>
      <c r="E1901" s="116"/>
      <c r="F1901" s="117"/>
      <c r="G1901" s="115"/>
      <c r="H1901" s="115"/>
      <c r="I1901" s="115"/>
      <c r="J1901" s="115"/>
      <c r="L1901" s="115"/>
      <c r="M1901" s="115"/>
      <c r="N1901" s="115"/>
      <c r="O1901" s="118"/>
      <c r="P1901" s="113"/>
      <c r="Q1901" s="117"/>
      <c r="R1901" s="113"/>
      <c r="S1901" s="113"/>
      <c r="T1901" s="113"/>
      <c r="V1901"/>
      <c r="W1901"/>
      <c r="Y1901"/>
      <c r="Z1901"/>
      <c r="AA1901"/>
      <c r="AB1901"/>
      <c r="AC1901"/>
      <c r="AD1901"/>
      <c r="AE1901"/>
      <c r="AF1901"/>
    </row>
    <row r="1902" spans="1:32" s="45" customFormat="1" ht="12.75" hidden="1">
      <c r="A1902" s="115"/>
      <c r="B1902" s="115"/>
      <c r="C1902" s="114"/>
      <c r="D1902" s="115"/>
      <c r="E1902" s="116"/>
      <c r="F1902" s="117"/>
      <c r="G1902" s="115"/>
      <c r="H1902" s="115"/>
      <c r="I1902" s="115"/>
      <c r="J1902" s="115"/>
      <c r="L1902" s="115"/>
      <c r="M1902" s="115"/>
      <c r="N1902" s="115"/>
      <c r="O1902" s="118"/>
      <c r="P1902" s="113"/>
      <c r="Q1902" s="117"/>
      <c r="R1902" s="113"/>
      <c r="S1902" s="113"/>
      <c r="T1902" s="113"/>
      <c r="V1902"/>
      <c r="W1902"/>
      <c r="Y1902"/>
      <c r="Z1902"/>
      <c r="AA1902"/>
      <c r="AB1902"/>
      <c r="AC1902"/>
      <c r="AD1902"/>
      <c r="AE1902"/>
      <c r="AF1902"/>
    </row>
    <row r="1903" spans="1:32" s="45" customFormat="1" ht="12.75" hidden="1">
      <c r="A1903" s="115"/>
      <c r="B1903" s="115"/>
      <c r="C1903" s="114"/>
      <c r="D1903" s="115"/>
      <c r="E1903" s="116"/>
      <c r="F1903" s="117"/>
      <c r="G1903" s="115"/>
      <c r="H1903" s="115"/>
      <c r="I1903" s="115"/>
      <c r="J1903" s="115"/>
      <c r="L1903" s="115"/>
      <c r="M1903" s="115"/>
      <c r="N1903" s="115"/>
      <c r="O1903" s="118"/>
      <c r="P1903" s="113"/>
      <c r="Q1903" s="117"/>
      <c r="R1903" s="113"/>
      <c r="S1903" s="113"/>
      <c r="T1903" s="113"/>
      <c r="V1903"/>
      <c r="W1903"/>
      <c r="Y1903"/>
      <c r="Z1903"/>
      <c r="AA1903"/>
      <c r="AB1903"/>
      <c r="AC1903"/>
      <c r="AD1903"/>
      <c r="AE1903"/>
      <c r="AF1903"/>
    </row>
    <row r="1904" spans="1:32" s="45" customFormat="1" ht="12.75" hidden="1">
      <c r="A1904" s="115"/>
      <c r="B1904" s="115"/>
      <c r="C1904" s="114"/>
      <c r="D1904" s="115"/>
      <c r="E1904" s="116"/>
      <c r="F1904" s="117"/>
      <c r="G1904" s="115"/>
      <c r="H1904" s="115"/>
      <c r="I1904" s="115"/>
      <c r="J1904" s="115"/>
      <c r="L1904" s="115"/>
      <c r="M1904" s="115"/>
      <c r="N1904" s="115"/>
      <c r="O1904" s="118"/>
      <c r="P1904" s="113"/>
      <c r="Q1904" s="117"/>
      <c r="R1904" s="113"/>
      <c r="S1904" s="113"/>
      <c r="T1904" s="113"/>
      <c r="V1904"/>
      <c r="W1904"/>
      <c r="Y1904"/>
      <c r="Z1904"/>
      <c r="AA1904"/>
      <c r="AB1904"/>
      <c r="AC1904"/>
      <c r="AD1904"/>
      <c r="AE1904"/>
      <c r="AF1904"/>
    </row>
    <row r="1905" spans="1:32" s="45" customFormat="1" ht="12.75" hidden="1">
      <c r="A1905" s="115"/>
      <c r="B1905" s="115"/>
      <c r="C1905" s="114"/>
      <c r="D1905" s="115"/>
      <c r="E1905" s="116"/>
      <c r="F1905" s="117"/>
      <c r="G1905" s="115"/>
      <c r="H1905" s="115"/>
      <c r="I1905" s="115"/>
      <c r="J1905" s="115"/>
      <c r="L1905" s="115"/>
      <c r="M1905" s="115"/>
      <c r="N1905" s="115"/>
      <c r="O1905" s="118"/>
      <c r="P1905" s="113"/>
      <c r="Q1905" s="117"/>
      <c r="R1905" s="113"/>
      <c r="S1905" s="113"/>
      <c r="T1905" s="113"/>
      <c r="V1905"/>
      <c r="W1905"/>
      <c r="Y1905"/>
      <c r="Z1905"/>
      <c r="AA1905"/>
      <c r="AB1905"/>
      <c r="AC1905"/>
      <c r="AD1905"/>
      <c r="AE1905"/>
      <c r="AF1905"/>
    </row>
    <row r="1906" spans="1:32" s="45" customFormat="1" ht="12.75" hidden="1">
      <c r="A1906" s="115"/>
      <c r="B1906" s="115"/>
      <c r="C1906" s="114"/>
      <c r="D1906" s="115"/>
      <c r="E1906" s="116"/>
      <c r="F1906" s="117"/>
      <c r="G1906" s="115"/>
      <c r="H1906" s="115"/>
      <c r="I1906" s="115"/>
      <c r="J1906" s="115"/>
      <c r="L1906" s="115"/>
      <c r="M1906" s="115"/>
      <c r="N1906" s="115"/>
      <c r="O1906" s="118"/>
      <c r="P1906" s="113"/>
      <c r="Q1906" s="117"/>
      <c r="R1906" s="113"/>
      <c r="S1906" s="113"/>
      <c r="T1906" s="113"/>
      <c r="V1906"/>
      <c r="W1906"/>
      <c r="Y1906"/>
      <c r="Z1906"/>
      <c r="AA1906"/>
      <c r="AB1906"/>
      <c r="AC1906"/>
      <c r="AD1906"/>
      <c r="AE1906"/>
      <c r="AF1906"/>
    </row>
    <row r="1907" spans="1:32" s="45" customFormat="1" ht="12.75" hidden="1">
      <c r="A1907" s="115"/>
      <c r="B1907" s="115"/>
      <c r="C1907" s="114"/>
      <c r="D1907" s="115"/>
      <c r="E1907" s="116"/>
      <c r="F1907" s="117"/>
      <c r="G1907" s="115"/>
      <c r="H1907" s="115"/>
      <c r="I1907" s="115"/>
      <c r="J1907" s="115"/>
      <c r="L1907" s="115"/>
      <c r="M1907" s="115"/>
      <c r="N1907" s="115"/>
      <c r="O1907" s="118"/>
      <c r="P1907" s="113"/>
      <c r="Q1907" s="117"/>
      <c r="R1907" s="113"/>
      <c r="S1907" s="113"/>
      <c r="T1907" s="113"/>
      <c r="V1907"/>
      <c r="W1907"/>
      <c r="Y1907"/>
      <c r="Z1907"/>
      <c r="AA1907"/>
      <c r="AB1907"/>
      <c r="AC1907"/>
      <c r="AD1907"/>
      <c r="AE1907"/>
      <c r="AF1907"/>
    </row>
    <row r="1908" spans="1:32" s="45" customFormat="1" ht="12.75" hidden="1">
      <c r="A1908" s="115"/>
      <c r="B1908" s="115"/>
      <c r="C1908" s="114"/>
      <c r="D1908" s="115"/>
      <c r="E1908" s="116"/>
      <c r="F1908" s="117"/>
      <c r="G1908" s="115"/>
      <c r="H1908" s="115"/>
      <c r="I1908" s="115"/>
      <c r="J1908" s="115"/>
      <c r="L1908" s="115"/>
      <c r="M1908" s="115"/>
      <c r="N1908" s="115"/>
      <c r="O1908" s="118"/>
      <c r="P1908" s="113"/>
      <c r="Q1908" s="117"/>
      <c r="R1908" s="113"/>
      <c r="S1908" s="113"/>
      <c r="T1908" s="113"/>
      <c r="V1908"/>
      <c r="W1908"/>
      <c r="Y1908"/>
      <c r="Z1908"/>
      <c r="AA1908"/>
      <c r="AB1908"/>
      <c r="AC1908"/>
      <c r="AD1908"/>
      <c r="AE1908"/>
      <c r="AF1908"/>
    </row>
    <row r="1909" spans="1:32" s="45" customFormat="1" ht="12.75" hidden="1">
      <c r="A1909" s="115"/>
      <c r="B1909" s="115"/>
      <c r="C1909" s="114"/>
      <c r="D1909" s="115"/>
      <c r="E1909" s="116"/>
      <c r="F1909" s="117"/>
      <c r="G1909" s="115"/>
      <c r="H1909" s="115"/>
      <c r="I1909" s="115"/>
      <c r="J1909" s="115"/>
      <c r="L1909" s="115"/>
      <c r="M1909" s="115"/>
      <c r="N1909" s="115"/>
      <c r="O1909" s="118"/>
      <c r="P1909" s="113"/>
      <c r="Q1909" s="117"/>
      <c r="R1909" s="113"/>
      <c r="S1909" s="113"/>
      <c r="T1909" s="113"/>
      <c r="V1909"/>
      <c r="W1909"/>
      <c r="Y1909"/>
      <c r="Z1909"/>
      <c r="AA1909"/>
      <c r="AB1909"/>
      <c r="AC1909"/>
      <c r="AD1909"/>
      <c r="AE1909"/>
      <c r="AF1909"/>
    </row>
    <row r="1910" spans="1:32" s="45" customFormat="1" ht="12.75" hidden="1">
      <c r="A1910" s="115"/>
      <c r="B1910" s="115"/>
      <c r="C1910" s="114"/>
      <c r="D1910" s="115"/>
      <c r="E1910" s="116"/>
      <c r="F1910" s="117"/>
      <c r="G1910" s="115"/>
      <c r="H1910" s="115"/>
      <c r="I1910" s="115"/>
      <c r="J1910" s="115"/>
      <c r="L1910" s="115"/>
      <c r="M1910" s="115"/>
      <c r="N1910" s="115"/>
      <c r="O1910" s="118"/>
      <c r="P1910" s="113"/>
      <c r="Q1910" s="117"/>
      <c r="R1910" s="113"/>
      <c r="S1910" s="113"/>
      <c r="T1910" s="113"/>
      <c r="V1910"/>
      <c r="W1910"/>
      <c r="Y1910"/>
      <c r="Z1910"/>
      <c r="AA1910"/>
      <c r="AB1910"/>
      <c r="AC1910"/>
      <c r="AD1910"/>
      <c r="AE1910"/>
      <c r="AF1910"/>
    </row>
    <row r="1911" spans="1:32" s="45" customFormat="1" ht="12.75" hidden="1">
      <c r="A1911" s="115"/>
      <c r="B1911" s="115"/>
      <c r="C1911" s="114"/>
      <c r="D1911" s="115"/>
      <c r="E1911" s="116"/>
      <c r="F1911" s="117"/>
      <c r="G1911" s="115"/>
      <c r="H1911" s="115"/>
      <c r="I1911" s="115"/>
      <c r="J1911" s="115"/>
      <c r="L1911" s="115"/>
      <c r="M1911" s="115"/>
      <c r="N1911" s="115"/>
      <c r="O1911" s="118"/>
      <c r="P1911" s="113"/>
      <c r="Q1911" s="117"/>
      <c r="R1911" s="113"/>
      <c r="S1911" s="113"/>
      <c r="T1911" s="113"/>
      <c r="V1911"/>
      <c r="W1911"/>
      <c r="Y1911"/>
      <c r="Z1911"/>
      <c r="AA1911"/>
      <c r="AB1911"/>
      <c r="AC1911"/>
      <c r="AD1911"/>
      <c r="AE1911"/>
      <c r="AF1911"/>
    </row>
    <row r="1912" spans="1:32" s="45" customFormat="1" ht="12.75" hidden="1">
      <c r="A1912" s="115"/>
      <c r="B1912" s="115"/>
      <c r="C1912" s="114"/>
      <c r="D1912" s="115"/>
      <c r="E1912" s="116"/>
      <c r="F1912" s="117"/>
      <c r="G1912" s="115"/>
      <c r="H1912" s="115"/>
      <c r="I1912" s="115"/>
      <c r="J1912" s="115"/>
      <c r="L1912" s="115"/>
      <c r="M1912" s="115"/>
      <c r="N1912" s="115"/>
      <c r="O1912" s="118"/>
      <c r="P1912" s="113"/>
      <c r="Q1912" s="117"/>
      <c r="R1912" s="113"/>
      <c r="S1912" s="113"/>
      <c r="T1912" s="113"/>
      <c r="V1912"/>
      <c r="W1912"/>
      <c r="Y1912"/>
      <c r="Z1912"/>
      <c r="AA1912"/>
      <c r="AB1912"/>
      <c r="AC1912"/>
      <c r="AD1912"/>
      <c r="AE1912"/>
      <c r="AF1912"/>
    </row>
    <row r="1913" spans="1:32" s="45" customFormat="1" ht="12.75" hidden="1">
      <c r="A1913" s="115"/>
      <c r="B1913" s="115"/>
      <c r="C1913" s="114"/>
      <c r="D1913" s="115"/>
      <c r="E1913" s="116"/>
      <c r="F1913" s="117"/>
      <c r="G1913" s="115"/>
      <c r="H1913" s="115"/>
      <c r="I1913" s="115"/>
      <c r="J1913" s="115"/>
      <c r="L1913" s="115"/>
      <c r="M1913" s="115"/>
      <c r="N1913" s="115"/>
      <c r="O1913" s="118"/>
      <c r="P1913" s="113"/>
      <c r="Q1913" s="117"/>
      <c r="R1913" s="113"/>
      <c r="S1913" s="113"/>
      <c r="T1913" s="113"/>
      <c r="V1913"/>
      <c r="W1913"/>
      <c r="Y1913"/>
      <c r="Z1913"/>
      <c r="AA1913"/>
      <c r="AB1913"/>
      <c r="AC1913"/>
      <c r="AD1913"/>
      <c r="AE1913"/>
      <c r="AF1913"/>
    </row>
    <row r="1914" spans="1:32" s="45" customFormat="1" ht="12.75" hidden="1">
      <c r="A1914" s="115"/>
      <c r="B1914" s="115"/>
      <c r="C1914" s="114"/>
      <c r="D1914" s="115"/>
      <c r="E1914" s="116"/>
      <c r="F1914" s="117"/>
      <c r="G1914" s="115"/>
      <c r="H1914" s="115"/>
      <c r="I1914" s="115"/>
      <c r="J1914" s="115"/>
      <c r="L1914" s="115"/>
      <c r="M1914" s="115"/>
      <c r="N1914" s="115"/>
      <c r="O1914" s="118"/>
      <c r="P1914" s="113"/>
      <c r="Q1914" s="117"/>
      <c r="R1914" s="113"/>
      <c r="S1914" s="113"/>
      <c r="T1914" s="113"/>
      <c r="V1914"/>
      <c r="W1914"/>
      <c r="Y1914"/>
      <c r="Z1914"/>
      <c r="AA1914"/>
      <c r="AB1914"/>
      <c r="AC1914"/>
      <c r="AD1914"/>
      <c r="AE1914"/>
      <c r="AF1914"/>
    </row>
    <row r="1915" spans="1:32" s="45" customFormat="1" ht="12.75" hidden="1">
      <c r="A1915" s="115"/>
      <c r="B1915" s="115"/>
      <c r="C1915" s="114"/>
      <c r="D1915" s="115"/>
      <c r="E1915" s="116"/>
      <c r="F1915" s="117"/>
      <c r="G1915" s="115"/>
      <c r="H1915" s="115"/>
      <c r="I1915" s="115"/>
      <c r="J1915" s="115"/>
      <c r="L1915" s="115"/>
      <c r="M1915" s="115"/>
      <c r="N1915" s="115"/>
      <c r="O1915" s="118"/>
      <c r="P1915" s="113"/>
      <c r="Q1915" s="117"/>
      <c r="R1915" s="113"/>
      <c r="S1915" s="113"/>
      <c r="T1915" s="113"/>
      <c r="V1915"/>
      <c r="W1915"/>
      <c r="Y1915"/>
      <c r="Z1915"/>
      <c r="AA1915"/>
      <c r="AB1915"/>
      <c r="AC1915"/>
      <c r="AD1915"/>
      <c r="AE1915"/>
      <c r="AF1915"/>
    </row>
    <row r="1916" spans="1:32" s="45" customFormat="1" ht="12.75" hidden="1">
      <c r="A1916" s="115"/>
      <c r="B1916" s="115"/>
      <c r="C1916" s="114"/>
      <c r="D1916" s="115"/>
      <c r="E1916" s="116"/>
      <c r="F1916" s="117"/>
      <c r="G1916" s="115"/>
      <c r="H1916" s="115"/>
      <c r="I1916" s="115"/>
      <c r="J1916" s="115"/>
      <c r="L1916" s="115"/>
      <c r="M1916" s="115"/>
      <c r="N1916" s="115"/>
      <c r="O1916" s="118"/>
      <c r="P1916" s="113"/>
      <c r="Q1916" s="117"/>
      <c r="R1916" s="113"/>
      <c r="S1916" s="113"/>
      <c r="T1916" s="113"/>
      <c r="V1916"/>
      <c r="W1916"/>
      <c r="Y1916"/>
      <c r="Z1916"/>
      <c r="AA1916"/>
      <c r="AB1916"/>
      <c r="AC1916"/>
      <c r="AD1916"/>
      <c r="AE1916"/>
      <c r="AF1916"/>
    </row>
    <row r="1917" spans="1:32" s="45" customFormat="1" ht="12.75" hidden="1">
      <c r="A1917" s="115"/>
      <c r="B1917" s="115"/>
      <c r="C1917" s="114"/>
      <c r="D1917" s="115"/>
      <c r="E1917" s="116"/>
      <c r="F1917" s="117"/>
      <c r="G1917" s="115"/>
      <c r="H1917" s="115"/>
      <c r="I1917" s="115"/>
      <c r="J1917" s="115"/>
      <c r="L1917" s="115"/>
      <c r="M1917" s="115"/>
      <c r="N1917" s="115"/>
      <c r="O1917" s="118"/>
      <c r="P1917" s="113"/>
      <c r="Q1917" s="117"/>
      <c r="R1917" s="113"/>
      <c r="S1917" s="113"/>
      <c r="T1917" s="113"/>
      <c r="V1917"/>
      <c r="W1917"/>
      <c r="Y1917"/>
      <c r="Z1917"/>
      <c r="AA1917"/>
      <c r="AB1917"/>
      <c r="AC1917"/>
      <c r="AD1917"/>
      <c r="AE1917"/>
      <c r="AF1917"/>
    </row>
    <row r="1918" spans="1:32" s="45" customFormat="1" ht="12.75" hidden="1">
      <c r="A1918" s="115"/>
      <c r="B1918" s="115"/>
      <c r="C1918" s="114"/>
      <c r="D1918" s="115"/>
      <c r="E1918" s="116"/>
      <c r="F1918" s="117"/>
      <c r="G1918" s="115"/>
      <c r="H1918" s="115"/>
      <c r="I1918" s="115"/>
      <c r="J1918" s="115"/>
      <c r="L1918" s="115"/>
      <c r="M1918" s="115"/>
      <c r="N1918" s="115"/>
      <c r="O1918" s="118"/>
      <c r="P1918" s="113"/>
      <c r="Q1918" s="117"/>
      <c r="R1918" s="113"/>
      <c r="S1918" s="113"/>
      <c r="T1918" s="113"/>
      <c r="V1918"/>
      <c r="W1918"/>
      <c r="Y1918"/>
      <c r="Z1918"/>
      <c r="AA1918"/>
      <c r="AB1918"/>
      <c r="AC1918"/>
      <c r="AD1918"/>
      <c r="AE1918"/>
      <c r="AF1918"/>
    </row>
    <row r="1919" spans="1:32" s="45" customFormat="1" ht="12.75" hidden="1">
      <c r="A1919" s="115"/>
      <c r="B1919" s="115"/>
      <c r="C1919" s="114"/>
      <c r="D1919" s="115"/>
      <c r="E1919" s="116"/>
      <c r="F1919" s="117"/>
      <c r="G1919" s="115"/>
      <c r="H1919" s="115"/>
      <c r="I1919" s="115"/>
      <c r="J1919" s="115"/>
      <c r="L1919" s="115"/>
      <c r="M1919" s="115"/>
      <c r="N1919" s="115"/>
      <c r="O1919" s="118"/>
      <c r="P1919" s="113"/>
      <c r="Q1919" s="117"/>
      <c r="R1919" s="113"/>
      <c r="S1919" s="113"/>
      <c r="T1919" s="113"/>
      <c r="V1919"/>
      <c r="W1919"/>
      <c r="Y1919"/>
      <c r="Z1919"/>
      <c r="AA1919"/>
      <c r="AB1919"/>
      <c r="AC1919"/>
      <c r="AD1919"/>
      <c r="AE1919"/>
      <c r="AF1919"/>
    </row>
    <row r="1920" spans="1:32" s="45" customFormat="1" ht="12.75" hidden="1">
      <c r="A1920" s="115"/>
      <c r="B1920" s="115"/>
      <c r="C1920" s="114"/>
      <c r="D1920" s="115"/>
      <c r="E1920" s="116"/>
      <c r="F1920" s="117"/>
      <c r="G1920" s="115"/>
      <c r="H1920" s="115"/>
      <c r="I1920" s="115"/>
      <c r="J1920" s="115"/>
      <c r="L1920" s="115"/>
      <c r="M1920" s="115"/>
      <c r="N1920" s="115"/>
      <c r="O1920" s="118"/>
      <c r="P1920" s="113"/>
      <c r="Q1920" s="117"/>
      <c r="R1920" s="113"/>
      <c r="S1920" s="113"/>
      <c r="T1920" s="113"/>
      <c r="V1920"/>
      <c r="W1920"/>
      <c r="Y1920"/>
      <c r="Z1920"/>
      <c r="AA1920"/>
      <c r="AB1920"/>
      <c r="AC1920"/>
      <c r="AD1920"/>
      <c r="AE1920"/>
      <c r="AF1920"/>
    </row>
    <row r="1921" spans="1:32" s="45" customFormat="1" ht="12.75" hidden="1">
      <c r="A1921" s="115"/>
      <c r="B1921" s="115"/>
      <c r="C1921" s="114"/>
      <c r="D1921" s="115"/>
      <c r="E1921" s="116"/>
      <c r="F1921" s="117"/>
      <c r="G1921" s="115"/>
      <c r="H1921" s="115"/>
      <c r="I1921" s="115"/>
      <c r="J1921" s="115"/>
      <c r="L1921" s="115"/>
      <c r="M1921" s="115"/>
      <c r="N1921" s="115"/>
      <c r="O1921" s="118"/>
      <c r="P1921" s="113"/>
      <c r="Q1921" s="117"/>
      <c r="R1921" s="113"/>
      <c r="S1921" s="113"/>
      <c r="T1921" s="113"/>
      <c r="V1921"/>
      <c r="W1921"/>
      <c r="Y1921"/>
      <c r="Z1921"/>
      <c r="AA1921"/>
      <c r="AB1921"/>
      <c r="AC1921"/>
      <c r="AD1921"/>
      <c r="AE1921"/>
      <c r="AF1921"/>
    </row>
    <row r="1922" spans="1:32" s="45" customFormat="1" ht="12.75" hidden="1">
      <c r="A1922" s="115"/>
      <c r="B1922" s="115"/>
      <c r="C1922" s="114"/>
      <c r="D1922" s="115"/>
      <c r="E1922" s="116"/>
      <c r="F1922" s="117"/>
      <c r="G1922" s="115"/>
      <c r="H1922" s="115"/>
      <c r="I1922" s="115"/>
      <c r="J1922" s="115"/>
      <c r="L1922" s="115"/>
      <c r="M1922" s="115"/>
      <c r="N1922" s="115"/>
      <c r="O1922" s="118"/>
      <c r="P1922" s="113"/>
      <c r="Q1922" s="117"/>
      <c r="R1922" s="113"/>
      <c r="S1922" s="113"/>
      <c r="T1922" s="113"/>
      <c r="V1922"/>
      <c r="W1922"/>
      <c r="Y1922"/>
      <c r="Z1922"/>
      <c r="AA1922"/>
      <c r="AB1922"/>
      <c r="AC1922"/>
      <c r="AD1922"/>
      <c r="AE1922"/>
      <c r="AF1922"/>
    </row>
    <row r="1923" spans="1:32" s="45" customFormat="1" ht="12.75" hidden="1">
      <c r="A1923" s="115"/>
      <c r="B1923" s="115"/>
      <c r="C1923" s="114"/>
      <c r="D1923" s="115"/>
      <c r="E1923" s="116"/>
      <c r="F1923" s="117"/>
      <c r="G1923" s="115"/>
      <c r="H1923" s="115"/>
      <c r="I1923" s="115"/>
      <c r="J1923" s="115"/>
      <c r="L1923" s="115"/>
      <c r="M1923" s="115"/>
      <c r="N1923" s="115"/>
      <c r="O1923" s="118"/>
      <c r="P1923" s="113"/>
      <c r="Q1923" s="117"/>
      <c r="R1923" s="113"/>
      <c r="S1923" s="113"/>
      <c r="T1923" s="113"/>
      <c r="V1923"/>
      <c r="W1923"/>
      <c r="Y1923"/>
      <c r="Z1923"/>
      <c r="AA1923"/>
      <c r="AB1923"/>
      <c r="AC1923"/>
      <c r="AD1923"/>
      <c r="AE1923"/>
      <c r="AF1923"/>
    </row>
    <row r="1924" spans="1:32" s="45" customFormat="1" ht="12.75" hidden="1">
      <c r="A1924" s="115"/>
      <c r="B1924" s="115"/>
      <c r="C1924" s="114"/>
      <c r="D1924" s="115"/>
      <c r="E1924" s="116"/>
      <c r="F1924" s="117"/>
      <c r="G1924" s="115"/>
      <c r="H1924" s="115"/>
      <c r="I1924" s="115"/>
      <c r="J1924" s="115"/>
      <c r="L1924" s="115"/>
      <c r="M1924" s="115"/>
      <c r="N1924" s="115"/>
      <c r="O1924" s="118"/>
      <c r="P1924" s="113"/>
      <c r="Q1924" s="117"/>
      <c r="R1924" s="113"/>
      <c r="S1924" s="113"/>
      <c r="T1924" s="113"/>
      <c r="V1924"/>
      <c r="W1924"/>
      <c r="Y1924"/>
      <c r="Z1924"/>
      <c r="AA1924"/>
      <c r="AB1924"/>
      <c r="AC1924"/>
      <c r="AD1924"/>
      <c r="AE1924"/>
      <c r="AF1924"/>
    </row>
    <row r="1925" spans="1:32" s="45" customFormat="1" ht="12.75" hidden="1">
      <c r="A1925" s="115"/>
      <c r="B1925" s="115"/>
      <c r="C1925" s="114"/>
      <c r="D1925" s="115"/>
      <c r="E1925" s="116"/>
      <c r="F1925" s="117"/>
      <c r="G1925" s="115"/>
      <c r="H1925" s="115"/>
      <c r="I1925" s="115"/>
      <c r="J1925" s="115"/>
      <c r="L1925" s="115"/>
      <c r="M1925" s="115"/>
      <c r="N1925" s="115"/>
      <c r="O1925" s="118"/>
      <c r="P1925" s="113"/>
      <c r="Q1925" s="117"/>
      <c r="R1925" s="113"/>
      <c r="S1925" s="113"/>
      <c r="T1925" s="113"/>
      <c r="V1925"/>
      <c r="W1925"/>
      <c r="Y1925"/>
      <c r="Z1925"/>
      <c r="AA1925"/>
      <c r="AB1925"/>
      <c r="AC1925"/>
      <c r="AD1925"/>
      <c r="AE1925"/>
      <c r="AF1925"/>
    </row>
    <row r="1926" spans="1:32" s="45" customFormat="1" ht="12.75" hidden="1">
      <c r="A1926" s="115"/>
      <c r="B1926" s="115"/>
      <c r="C1926" s="114"/>
      <c r="D1926" s="115"/>
      <c r="E1926" s="116"/>
      <c r="F1926" s="117"/>
      <c r="G1926" s="115"/>
      <c r="H1926" s="115"/>
      <c r="I1926" s="115"/>
      <c r="J1926" s="115"/>
      <c r="L1926" s="115"/>
      <c r="M1926" s="115"/>
      <c r="N1926" s="115"/>
      <c r="O1926" s="118"/>
      <c r="P1926" s="113"/>
      <c r="Q1926" s="117"/>
      <c r="R1926" s="113"/>
      <c r="S1926" s="113"/>
      <c r="T1926" s="113"/>
      <c r="V1926"/>
      <c r="W1926"/>
      <c r="Y1926"/>
      <c r="Z1926"/>
      <c r="AA1926"/>
      <c r="AB1926"/>
      <c r="AC1926"/>
      <c r="AD1926"/>
      <c r="AE1926"/>
      <c r="AF1926"/>
    </row>
    <row r="1927" spans="1:32" s="45" customFormat="1" ht="12.75" hidden="1">
      <c r="A1927" s="115"/>
      <c r="B1927" s="115"/>
      <c r="C1927" s="114"/>
      <c r="D1927" s="115"/>
      <c r="E1927" s="116"/>
      <c r="F1927" s="117"/>
      <c r="G1927" s="115"/>
      <c r="H1927" s="115"/>
      <c r="I1927" s="115"/>
      <c r="J1927" s="115"/>
      <c r="L1927" s="115"/>
      <c r="M1927" s="115"/>
      <c r="N1927" s="115"/>
      <c r="O1927" s="118"/>
      <c r="P1927" s="113"/>
      <c r="Q1927" s="117"/>
      <c r="R1927" s="113"/>
      <c r="S1927" s="113"/>
      <c r="T1927" s="113"/>
      <c r="V1927"/>
      <c r="W1927"/>
      <c r="Y1927"/>
      <c r="Z1927"/>
      <c r="AA1927"/>
      <c r="AB1927"/>
      <c r="AC1927"/>
      <c r="AD1927"/>
      <c r="AE1927"/>
      <c r="AF1927"/>
    </row>
    <row r="1928" spans="1:32" s="45" customFormat="1" ht="12.75" hidden="1">
      <c r="A1928" s="115"/>
      <c r="B1928" s="115"/>
      <c r="C1928" s="114"/>
      <c r="D1928" s="115"/>
      <c r="E1928" s="116"/>
      <c r="F1928" s="117"/>
      <c r="G1928" s="115"/>
      <c r="H1928" s="115"/>
      <c r="I1928" s="115"/>
      <c r="J1928" s="115"/>
      <c r="L1928" s="115"/>
      <c r="M1928" s="115"/>
      <c r="N1928" s="115"/>
      <c r="O1928" s="118"/>
      <c r="P1928" s="113"/>
      <c r="Q1928" s="117"/>
      <c r="R1928" s="113"/>
      <c r="S1928" s="113"/>
      <c r="T1928" s="113"/>
      <c r="V1928"/>
      <c r="W1928"/>
      <c r="Y1928"/>
      <c r="Z1928"/>
      <c r="AA1928"/>
      <c r="AB1928"/>
      <c r="AC1928"/>
      <c r="AD1928"/>
      <c r="AE1928"/>
      <c r="AF1928"/>
    </row>
    <row r="1929" spans="1:32" s="45" customFormat="1" ht="12.75" hidden="1">
      <c r="A1929" s="115"/>
      <c r="B1929" s="115"/>
      <c r="C1929" s="114"/>
      <c r="D1929" s="115"/>
      <c r="E1929" s="116"/>
      <c r="F1929" s="117"/>
      <c r="G1929" s="115"/>
      <c r="H1929" s="115"/>
      <c r="I1929" s="115"/>
      <c r="J1929" s="115"/>
      <c r="L1929" s="115"/>
      <c r="M1929" s="115"/>
      <c r="N1929" s="115"/>
      <c r="O1929" s="118"/>
      <c r="P1929" s="113"/>
      <c r="Q1929" s="117"/>
      <c r="R1929" s="113"/>
      <c r="S1929" s="113"/>
      <c r="T1929" s="113"/>
      <c r="V1929"/>
      <c r="W1929"/>
      <c r="Y1929"/>
      <c r="Z1929"/>
      <c r="AA1929"/>
      <c r="AB1929"/>
      <c r="AC1929"/>
      <c r="AD1929"/>
      <c r="AE1929"/>
      <c r="AF1929"/>
    </row>
    <row r="1930" spans="1:32" s="45" customFormat="1" ht="12.75" hidden="1">
      <c r="A1930" s="115"/>
      <c r="B1930" s="115"/>
      <c r="C1930" s="114"/>
      <c r="D1930" s="115"/>
      <c r="E1930" s="116"/>
      <c r="F1930" s="117"/>
      <c r="G1930" s="115"/>
      <c r="H1930" s="115"/>
      <c r="I1930" s="115"/>
      <c r="J1930" s="115"/>
      <c r="L1930" s="115"/>
      <c r="M1930" s="115"/>
      <c r="N1930" s="115"/>
      <c r="O1930" s="118"/>
      <c r="P1930" s="113"/>
      <c r="Q1930" s="117"/>
      <c r="R1930" s="113"/>
      <c r="S1930" s="113"/>
      <c r="T1930" s="113"/>
      <c r="V1930"/>
      <c r="W1930"/>
      <c r="Y1930"/>
      <c r="Z1930"/>
      <c r="AA1930"/>
      <c r="AB1930"/>
      <c r="AC1930"/>
      <c r="AD1930"/>
      <c r="AE1930"/>
      <c r="AF1930"/>
    </row>
    <row r="1931" spans="1:32" s="45" customFormat="1" ht="12.75" hidden="1">
      <c r="A1931" s="115"/>
      <c r="B1931" s="115"/>
      <c r="C1931" s="114"/>
      <c r="D1931" s="115"/>
      <c r="E1931" s="116"/>
      <c r="F1931" s="117"/>
      <c r="G1931" s="115"/>
      <c r="H1931" s="115"/>
      <c r="I1931" s="115"/>
      <c r="J1931" s="115"/>
      <c r="L1931" s="115"/>
      <c r="M1931" s="115"/>
      <c r="N1931" s="115"/>
      <c r="O1931" s="118"/>
      <c r="P1931" s="113"/>
      <c r="Q1931" s="117"/>
      <c r="R1931" s="113"/>
      <c r="S1931" s="113"/>
      <c r="T1931" s="113"/>
      <c r="V1931"/>
      <c r="W1931"/>
      <c r="Y1931"/>
      <c r="Z1931"/>
      <c r="AA1931"/>
      <c r="AB1931"/>
      <c r="AC1931"/>
      <c r="AD1931"/>
      <c r="AE1931"/>
      <c r="AF1931"/>
    </row>
    <row r="1932" spans="1:32" s="45" customFormat="1" ht="12.75" hidden="1">
      <c r="A1932" s="115"/>
      <c r="B1932" s="115"/>
      <c r="C1932" s="114"/>
      <c r="D1932" s="115"/>
      <c r="E1932" s="116"/>
      <c r="F1932" s="117"/>
      <c r="G1932" s="115"/>
      <c r="H1932" s="115"/>
      <c r="I1932" s="115"/>
      <c r="J1932" s="115"/>
      <c r="L1932" s="115"/>
      <c r="M1932" s="115"/>
      <c r="N1932" s="115"/>
      <c r="O1932" s="118"/>
      <c r="P1932" s="113"/>
      <c r="Q1932" s="117"/>
      <c r="R1932" s="113"/>
      <c r="S1932" s="113"/>
      <c r="T1932" s="113"/>
      <c r="V1932"/>
      <c r="W1932"/>
      <c r="Y1932"/>
      <c r="Z1932"/>
      <c r="AA1932"/>
      <c r="AB1932"/>
      <c r="AC1932"/>
      <c r="AD1932"/>
      <c r="AE1932"/>
      <c r="AF1932"/>
    </row>
    <row r="1933" spans="1:32" s="45" customFormat="1" ht="12.75" hidden="1">
      <c r="A1933" s="115"/>
      <c r="B1933" s="115"/>
      <c r="C1933" s="114"/>
      <c r="D1933" s="115"/>
      <c r="E1933" s="116"/>
      <c r="F1933" s="117"/>
      <c r="G1933" s="115"/>
      <c r="H1933" s="115"/>
      <c r="I1933" s="115"/>
      <c r="J1933" s="115"/>
      <c r="L1933" s="115"/>
      <c r="M1933" s="115"/>
      <c r="N1933" s="115"/>
      <c r="O1933" s="118"/>
      <c r="P1933" s="113"/>
      <c r="Q1933" s="117"/>
      <c r="R1933" s="113"/>
      <c r="S1933" s="113"/>
      <c r="T1933" s="113"/>
      <c r="V1933"/>
      <c r="W1933"/>
      <c r="Y1933"/>
      <c r="Z1933"/>
      <c r="AA1933"/>
      <c r="AB1933"/>
      <c r="AC1933"/>
      <c r="AD1933"/>
      <c r="AE1933"/>
      <c r="AF1933"/>
    </row>
    <row r="1934" spans="1:32" s="45" customFormat="1" ht="12.75" hidden="1">
      <c r="A1934" s="115"/>
      <c r="B1934" s="115"/>
      <c r="C1934" s="114"/>
      <c r="D1934" s="115"/>
      <c r="E1934" s="116"/>
      <c r="F1934" s="117"/>
      <c r="G1934" s="115"/>
      <c r="H1934" s="115"/>
      <c r="I1934" s="115"/>
      <c r="J1934" s="115"/>
      <c r="L1934" s="115"/>
      <c r="M1934" s="115"/>
      <c r="N1934" s="115"/>
      <c r="O1934" s="118"/>
      <c r="P1934" s="113"/>
      <c r="Q1934" s="117"/>
      <c r="R1934" s="113"/>
      <c r="S1934" s="113"/>
      <c r="T1934" s="113"/>
      <c r="V1934"/>
      <c r="W1934"/>
      <c r="Y1934"/>
      <c r="Z1934"/>
      <c r="AA1934"/>
      <c r="AB1934"/>
      <c r="AC1934"/>
      <c r="AD1934"/>
      <c r="AE1934"/>
      <c r="AF1934"/>
    </row>
    <row r="1935" spans="1:32" s="45" customFormat="1" ht="12.75" hidden="1">
      <c r="A1935" s="115"/>
      <c r="B1935" s="115"/>
      <c r="C1935" s="114"/>
      <c r="D1935" s="115"/>
      <c r="E1935" s="116"/>
      <c r="F1935" s="117"/>
      <c r="G1935" s="115"/>
      <c r="H1935" s="115"/>
      <c r="I1935" s="115"/>
      <c r="J1935" s="115"/>
      <c r="L1935" s="115"/>
      <c r="M1935" s="115"/>
      <c r="N1935" s="115"/>
      <c r="O1935" s="118"/>
      <c r="P1935" s="113"/>
      <c r="Q1935" s="117"/>
      <c r="R1935" s="113"/>
      <c r="S1935" s="113"/>
      <c r="T1935" s="113"/>
      <c r="V1935"/>
      <c r="W1935"/>
      <c r="Y1935"/>
      <c r="Z1935"/>
      <c r="AA1935"/>
      <c r="AB1935"/>
      <c r="AC1935"/>
      <c r="AD1935"/>
      <c r="AE1935"/>
      <c r="AF1935"/>
    </row>
    <row r="1936" spans="1:32" s="45" customFormat="1" ht="12.75" hidden="1">
      <c r="A1936" s="115"/>
      <c r="B1936" s="115"/>
      <c r="C1936" s="114"/>
      <c r="D1936" s="115"/>
      <c r="E1936" s="116"/>
      <c r="F1936" s="117"/>
      <c r="G1936" s="115"/>
      <c r="H1936" s="115"/>
      <c r="I1936" s="115"/>
      <c r="J1936" s="115"/>
      <c r="L1936" s="115"/>
      <c r="M1936" s="115"/>
      <c r="N1936" s="115"/>
      <c r="O1936" s="118"/>
      <c r="P1936" s="113"/>
      <c r="Q1936" s="119"/>
      <c r="R1936" s="113"/>
      <c r="S1936" s="113"/>
      <c r="T1936" s="113"/>
      <c r="V1936"/>
      <c r="W1936"/>
      <c r="Y1936"/>
      <c r="Z1936"/>
      <c r="AA1936"/>
      <c r="AB1936"/>
      <c r="AC1936"/>
      <c r="AD1936"/>
      <c r="AE1936"/>
      <c r="AF1936"/>
    </row>
    <row r="1937" spans="1:32" s="45" customFormat="1" ht="12.75" hidden="1">
      <c r="A1937" s="115"/>
      <c r="B1937" s="115"/>
      <c r="C1937" s="114"/>
      <c r="D1937" s="115"/>
      <c r="E1937" s="116"/>
      <c r="F1937" s="117"/>
      <c r="G1937" s="115"/>
      <c r="H1937" s="115"/>
      <c r="I1937" s="115"/>
      <c r="J1937" s="115"/>
      <c r="L1937" s="115"/>
      <c r="M1937" s="115"/>
      <c r="N1937" s="115"/>
      <c r="O1937" s="118"/>
      <c r="P1937" s="113"/>
      <c r="Q1937" s="119"/>
      <c r="R1937" s="113"/>
      <c r="S1937" s="113"/>
      <c r="T1937" s="113"/>
      <c r="V1937"/>
      <c r="W1937"/>
      <c r="Y1937"/>
      <c r="Z1937"/>
      <c r="AA1937"/>
      <c r="AB1937"/>
      <c r="AC1937"/>
      <c r="AD1937"/>
      <c r="AE1937"/>
      <c r="AF1937"/>
    </row>
    <row r="1938" spans="1:32" s="45" customFormat="1" ht="12.75" hidden="1">
      <c r="A1938" s="115"/>
      <c r="B1938" s="115"/>
      <c r="C1938" s="114"/>
      <c r="D1938" s="115"/>
      <c r="E1938" s="116"/>
      <c r="F1938" s="117"/>
      <c r="G1938" s="115"/>
      <c r="H1938" s="115"/>
      <c r="I1938" s="115"/>
      <c r="J1938" s="115"/>
      <c r="L1938" s="115"/>
      <c r="M1938" s="115"/>
      <c r="N1938" s="115"/>
      <c r="O1938" s="118"/>
      <c r="P1938" s="113"/>
      <c r="Q1938" s="119"/>
      <c r="R1938" s="113"/>
      <c r="S1938" s="113"/>
      <c r="T1938" s="113"/>
      <c r="V1938"/>
      <c r="W1938"/>
      <c r="Y1938"/>
      <c r="Z1938"/>
      <c r="AA1938"/>
      <c r="AB1938"/>
      <c r="AC1938"/>
      <c r="AD1938"/>
      <c r="AE1938"/>
      <c r="AF1938"/>
    </row>
    <row r="1939" spans="1:32" s="45" customFormat="1" ht="12.75" hidden="1">
      <c r="A1939" s="115"/>
      <c r="B1939" s="115"/>
      <c r="C1939" s="114"/>
      <c r="D1939" s="115"/>
      <c r="E1939" s="116"/>
      <c r="F1939" s="117"/>
      <c r="G1939" s="115"/>
      <c r="H1939" s="115"/>
      <c r="I1939" s="115"/>
      <c r="J1939" s="115"/>
      <c r="L1939" s="115"/>
      <c r="M1939" s="115"/>
      <c r="N1939" s="115"/>
      <c r="O1939" s="118"/>
      <c r="P1939" s="113"/>
      <c r="Q1939" s="119"/>
      <c r="R1939" s="113"/>
      <c r="S1939" s="113"/>
      <c r="T1939" s="113"/>
      <c r="V1939"/>
      <c r="W1939"/>
      <c r="Y1939"/>
      <c r="Z1939"/>
      <c r="AA1939"/>
      <c r="AB1939"/>
      <c r="AC1939"/>
      <c r="AD1939"/>
      <c r="AE1939"/>
      <c r="AF1939"/>
    </row>
    <row r="1940" spans="1:32" s="45" customFormat="1" ht="12.75" hidden="1">
      <c r="A1940" s="115"/>
      <c r="B1940" s="115"/>
      <c r="C1940" s="114"/>
      <c r="D1940" s="115"/>
      <c r="E1940" s="116"/>
      <c r="F1940" s="117"/>
      <c r="G1940" s="115"/>
      <c r="H1940" s="115"/>
      <c r="I1940" s="115"/>
      <c r="J1940" s="115"/>
      <c r="L1940" s="115"/>
      <c r="M1940" s="115"/>
      <c r="N1940" s="115"/>
      <c r="O1940" s="118"/>
      <c r="P1940" s="113"/>
      <c r="Q1940" s="119"/>
      <c r="R1940" s="113"/>
      <c r="S1940" s="113"/>
      <c r="T1940" s="113"/>
      <c r="V1940"/>
      <c r="W1940"/>
      <c r="Y1940"/>
      <c r="Z1940"/>
      <c r="AA1940"/>
      <c r="AB1940"/>
      <c r="AC1940"/>
      <c r="AD1940"/>
      <c r="AE1940"/>
      <c r="AF1940"/>
    </row>
    <row r="1941" spans="1:32" s="45" customFormat="1" ht="12.75" hidden="1">
      <c r="A1941" s="115"/>
      <c r="B1941" s="115"/>
      <c r="C1941" s="114"/>
      <c r="D1941" s="115"/>
      <c r="E1941" s="116"/>
      <c r="F1941" s="117"/>
      <c r="G1941" s="115"/>
      <c r="H1941" s="115"/>
      <c r="I1941" s="115"/>
      <c r="J1941" s="115"/>
      <c r="L1941" s="115"/>
      <c r="M1941" s="115"/>
      <c r="N1941" s="115"/>
      <c r="O1941" s="118"/>
      <c r="P1941" s="113"/>
      <c r="Q1941" s="119"/>
      <c r="R1941" s="113"/>
      <c r="S1941" s="113"/>
      <c r="T1941" s="113"/>
      <c r="V1941"/>
      <c r="W1941"/>
      <c r="Y1941"/>
      <c r="Z1941"/>
      <c r="AA1941"/>
      <c r="AB1941"/>
      <c r="AC1941"/>
      <c r="AD1941"/>
      <c r="AE1941"/>
      <c r="AF1941"/>
    </row>
    <row r="1942" spans="1:32" s="45" customFormat="1" ht="12.75" hidden="1">
      <c r="A1942" s="115"/>
      <c r="B1942" s="115"/>
      <c r="C1942" s="114"/>
      <c r="D1942" s="115"/>
      <c r="E1942" s="116"/>
      <c r="F1942" s="117"/>
      <c r="G1942" s="115"/>
      <c r="H1942" s="115"/>
      <c r="I1942" s="115"/>
      <c r="J1942" s="115"/>
      <c r="L1942" s="115"/>
      <c r="M1942" s="115"/>
      <c r="N1942" s="115"/>
      <c r="O1942" s="118"/>
      <c r="P1942" s="113"/>
      <c r="Q1942" s="119"/>
      <c r="R1942" s="113"/>
      <c r="S1942" s="113"/>
      <c r="T1942" s="113"/>
      <c r="V1942"/>
      <c r="W1942"/>
      <c r="Y1942"/>
      <c r="Z1942"/>
      <c r="AA1942"/>
      <c r="AB1942"/>
      <c r="AC1942"/>
      <c r="AD1942"/>
      <c r="AE1942"/>
      <c r="AF1942"/>
    </row>
    <row r="1943" spans="1:32" s="45" customFormat="1" ht="12.75" hidden="1">
      <c r="A1943" s="115"/>
      <c r="B1943" s="115"/>
      <c r="C1943" s="114"/>
      <c r="D1943" s="115"/>
      <c r="E1943" s="116"/>
      <c r="F1943" s="117"/>
      <c r="G1943" s="115"/>
      <c r="H1943" s="115"/>
      <c r="I1943" s="115"/>
      <c r="J1943" s="115"/>
      <c r="L1943" s="115"/>
      <c r="M1943" s="115"/>
      <c r="N1943" s="115"/>
      <c r="O1943" s="118"/>
      <c r="P1943" s="113"/>
      <c r="Q1943" s="119"/>
      <c r="R1943" s="113"/>
      <c r="S1943" s="113"/>
      <c r="T1943" s="113"/>
      <c r="V1943"/>
      <c r="W1943"/>
      <c r="Y1943"/>
      <c r="Z1943"/>
      <c r="AA1943"/>
      <c r="AB1943"/>
      <c r="AC1943"/>
      <c r="AD1943"/>
      <c r="AE1943"/>
      <c r="AF1943"/>
    </row>
    <row r="1944" spans="1:32" s="45" customFormat="1" ht="12.75" hidden="1">
      <c r="A1944" s="115"/>
      <c r="B1944" s="115"/>
      <c r="C1944" s="114"/>
      <c r="D1944" s="115"/>
      <c r="E1944" s="116"/>
      <c r="F1944" s="117"/>
      <c r="G1944" s="115"/>
      <c r="H1944" s="115"/>
      <c r="I1944" s="115"/>
      <c r="J1944" s="115"/>
      <c r="L1944" s="115"/>
      <c r="M1944" s="115"/>
      <c r="N1944" s="115"/>
      <c r="O1944" s="118"/>
      <c r="P1944" s="113"/>
      <c r="Q1944" s="119"/>
      <c r="R1944" s="113"/>
      <c r="S1944" s="113"/>
      <c r="T1944" s="113"/>
      <c r="V1944"/>
      <c r="W1944"/>
      <c r="Y1944"/>
      <c r="Z1944"/>
      <c r="AA1944"/>
      <c r="AB1944"/>
      <c r="AC1944"/>
      <c r="AD1944"/>
      <c r="AE1944"/>
      <c r="AF1944"/>
    </row>
    <row r="1945" spans="1:32" s="45" customFormat="1" ht="12.75" hidden="1">
      <c r="A1945" s="115"/>
      <c r="B1945" s="115"/>
      <c r="C1945" s="114"/>
      <c r="D1945" s="115"/>
      <c r="E1945" s="116"/>
      <c r="F1945" s="117"/>
      <c r="G1945" s="115"/>
      <c r="H1945" s="115"/>
      <c r="I1945" s="115"/>
      <c r="J1945" s="115"/>
      <c r="L1945" s="115"/>
      <c r="M1945" s="115"/>
      <c r="N1945" s="115"/>
      <c r="O1945" s="118"/>
      <c r="P1945" s="113"/>
      <c r="Q1945" s="119"/>
      <c r="R1945" s="113"/>
      <c r="S1945" s="113"/>
      <c r="T1945" s="113"/>
      <c r="V1945"/>
      <c r="W1945"/>
      <c r="Y1945"/>
      <c r="Z1945"/>
      <c r="AA1945"/>
      <c r="AB1945"/>
      <c r="AC1945"/>
      <c r="AD1945"/>
      <c r="AE1945"/>
      <c r="AF1945"/>
    </row>
    <row r="1946" spans="1:32" s="45" customFormat="1" ht="12.75" hidden="1">
      <c r="A1946" s="115"/>
      <c r="B1946" s="115"/>
      <c r="C1946" s="114"/>
      <c r="D1946" s="115"/>
      <c r="E1946" s="116"/>
      <c r="F1946" s="117"/>
      <c r="G1946" s="115"/>
      <c r="H1946" s="115"/>
      <c r="I1946" s="115"/>
      <c r="J1946" s="115"/>
      <c r="L1946" s="115"/>
      <c r="M1946" s="115"/>
      <c r="N1946" s="115"/>
      <c r="O1946" s="118"/>
      <c r="P1946" s="113"/>
      <c r="Q1946" s="119"/>
      <c r="R1946" s="113"/>
      <c r="S1946" s="113"/>
      <c r="T1946" s="113"/>
      <c r="V1946"/>
      <c r="W1946"/>
      <c r="Y1946"/>
      <c r="Z1946"/>
      <c r="AA1946"/>
      <c r="AB1946"/>
      <c r="AC1946"/>
      <c r="AD1946"/>
      <c r="AE1946"/>
      <c r="AF1946"/>
    </row>
    <row r="1947" spans="1:32" s="45" customFormat="1" ht="12.75" hidden="1">
      <c r="A1947" s="115"/>
      <c r="B1947" s="115"/>
      <c r="C1947" s="114"/>
      <c r="D1947" s="115"/>
      <c r="E1947" s="116"/>
      <c r="F1947" s="117"/>
      <c r="G1947" s="115"/>
      <c r="H1947" s="115"/>
      <c r="I1947" s="115"/>
      <c r="J1947" s="115"/>
      <c r="L1947" s="115"/>
      <c r="M1947" s="115"/>
      <c r="N1947" s="115"/>
      <c r="O1947" s="118"/>
      <c r="P1947" s="113"/>
      <c r="Q1947" s="119"/>
      <c r="R1947" s="113"/>
      <c r="S1947" s="113"/>
      <c r="T1947" s="113"/>
      <c r="V1947"/>
      <c r="W1947"/>
      <c r="Y1947"/>
      <c r="Z1947"/>
      <c r="AA1947"/>
      <c r="AB1947"/>
      <c r="AC1947"/>
      <c r="AD1947"/>
      <c r="AE1947"/>
      <c r="AF1947"/>
    </row>
    <row r="1948" spans="1:32" s="45" customFormat="1" ht="12.75" hidden="1">
      <c r="A1948" s="115"/>
      <c r="B1948" s="115"/>
      <c r="C1948" s="114"/>
      <c r="D1948" s="115"/>
      <c r="E1948" s="116"/>
      <c r="F1948" s="117"/>
      <c r="G1948" s="115"/>
      <c r="H1948" s="115"/>
      <c r="I1948" s="115"/>
      <c r="J1948" s="115"/>
      <c r="L1948" s="115"/>
      <c r="M1948" s="115"/>
      <c r="N1948" s="115"/>
      <c r="O1948" s="118"/>
      <c r="P1948" s="113"/>
      <c r="Q1948" s="119"/>
      <c r="R1948" s="113"/>
      <c r="S1948" s="113"/>
      <c r="T1948" s="113"/>
      <c r="V1948"/>
      <c r="W1948"/>
      <c r="Y1948"/>
      <c r="Z1948"/>
      <c r="AA1948"/>
      <c r="AB1948"/>
      <c r="AC1948"/>
      <c r="AD1948"/>
      <c r="AE1948"/>
      <c r="AF1948"/>
    </row>
    <row r="1949" spans="1:32" s="45" customFormat="1" ht="12.75" hidden="1">
      <c r="A1949" s="115"/>
      <c r="B1949" s="115"/>
      <c r="C1949" s="114"/>
      <c r="D1949" s="115"/>
      <c r="E1949" s="116"/>
      <c r="F1949" s="117"/>
      <c r="G1949" s="115"/>
      <c r="H1949" s="115"/>
      <c r="I1949" s="115"/>
      <c r="J1949" s="115"/>
      <c r="L1949" s="115"/>
      <c r="M1949" s="115"/>
      <c r="N1949" s="115"/>
      <c r="O1949" s="118"/>
      <c r="P1949" s="113"/>
      <c r="Q1949" s="119"/>
      <c r="R1949" s="113"/>
      <c r="S1949" s="113"/>
      <c r="T1949" s="113"/>
      <c r="V1949"/>
      <c r="W1949"/>
      <c r="Y1949"/>
      <c r="Z1949"/>
      <c r="AA1949"/>
      <c r="AB1949"/>
      <c r="AC1949"/>
      <c r="AD1949"/>
      <c r="AE1949"/>
      <c r="AF1949"/>
    </row>
    <row r="1950" spans="1:32" s="45" customFormat="1" ht="12.75" hidden="1">
      <c r="A1950" s="115"/>
      <c r="B1950" s="115"/>
      <c r="C1950" s="114"/>
      <c r="D1950" s="115"/>
      <c r="E1950" s="116"/>
      <c r="F1950" s="117"/>
      <c r="G1950" s="115"/>
      <c r="H1950" s="115"/>
      <c r="I1950" s="115"/>
      <c r="J1950" s="115"/>
      <c r="L1950" s="115"/>
      <c r="M1950" s="115"/>
      <c r="N1950" s="115"/>
      <c r="O1950" s="118"/>
      <c r="P1950" s="113"/>
      <c r="Q1950" s="119"/>
      <c r="R1950" s="113"/>
      <c r="S1950" s="113"/>
      <c r="T1950" s="113"/>
      <c r="V1950"/>
      <c r="W1950"/>
      <c r="Y1950"/>
      <c r="Z1950"/>
      <c r="AA1950"/>
      <c r="AB1950"/>
      <c r="AC1950"/>
      <c r="AD1950"/>
      <c r="AE1950"/>
      <c r="AF1950"/>
    </row>
    <row r="1951" spans="1:32" s="45" customFormat="1" ht="12.75" hidden="1">
      <c r="A1951" s="115"/>
      <c r="B1951" s="115"/>
      <c r="C1951" s="114"/>
      <c r="D1951" s="115"/>
      <c r="E1951" s="116"/>
      <c r="F1951" s="117"/>
      <c r="G1951" s="115"/>
      <c r="H1951" s="115"/>
      <c r="I1951" s="115"/>
      <c r="J1951" s="115"/>
      <c r="L1951" s="115"/>
      <c r="M1951" s="115"/>
      <c r="N1951" s="115"/>
      <c r="O1951" s="118"/>
      <c r="P1951" s="113"/>
      <c r="Q1951" s="119"/>
      <c r="R1951" s="113"/>
      <c r="S1951" s="113"/>
      <c r="T1951" s="113"/>
      <c r="V1951"/>
      <c r="W1951"/>
      <c r="Y1951"/>
      <c r="Z1951"/>
      <c r="AA1951"/>
      <c r="AB1951"/>
      <c r="AC1951"/>
      <c r="AD1951"/>
      <c r="AE1951"/>
      <c r="AF1951"/>
    </row>
    <row r="1952" spans="1:32" s="45" customFormat="1" ht="12.75" hidden="1">
      <c r="A1952" s="115"/>
      <c r="B1952" s="115"/>
      <c r="C1952" s="114"/>
      <c r="D1952" s="115"/>
      <c r="E1952" s="116"/>
      <c r="F1952" s="117"/>
      <c r="G1952" s="115"/>
      <c r="H1952" s="115"/>
      <c r="I1952" s="115"/>
      <c r="J1952" s="115"/>
      <c r="L1952" s="115"/>
      <c r="M1952" s="115"/>
      <c r="N1952" s="115"/>
      <c r="O1952" s="118"/>
      <c r="P1952" s="113"/>
      <c r="Q1952" s="119"/>
      <c r="R1952" s="113"/>
      <c r="S1952" s="113"/>
      <c r="T1952" s="113"/>
      <c r="V1952"/>
      <c r="W1952"/>
      <c r="Y1952"/>
      <c r="Z1952"/>
      <c r="AA1952"/>
      <c r="AB1952"/>
      <c r="AC1952"/>
      <c r="AD1952"/>
      <c r="AE1952"/>
      <c r="AF1952"/>
    </row>
    <row r="1953" spans="1:32" s="45" customFormat="1" ht="12.75" hidden="1">
      <c r="A1953" s="115"/>
      <c r="B1953" s="115"/>
      <c r="C1953" s="114"/>
      <c r="D1953" s="115"/>
      <c r="E1953" s="116"/>
      <c r="F1953" s="117"/>
      <c r="G1953" s="115"/>
      <c r="H1953" s="115"/>
      <c r="I1953" s="115"/>
      <c r="J1953" s="115"/>
      <c r="L1953" s="115"/>
      <c r="M1953" s="115"/>
      <c r="N1953" s="115"/>
      <c r="O1953" s="118"/>
      <c r="P1953" s="113"/>
      <c r="Q1953" s="119"/>
      <c r="R1953" s="113"/>
      <c r="S1953" s="113"/>
      <c r="T1953" s="113"/>
      <c r="V1953"/>
      <c r="W1953"/>
      <c r="Y1953"/>
      <c r="Z1953"/>
      <c r="AA1953"/>
      <c r="AB1953"/>
      <c r="AC1953"/>
      <c r="AD1953"/>
      <c r="AE1953"/>
      <c r="AF1953"/>
    </row>
    <row r="1954" spans="1:32" s="45" customFormat="1" ht="12.75" hidden="1">
      <c r="A1954" s="115"/>
      <c r="B1954" s="115"/>
      <c r="C1954" s="114"/>
      <c r="D1954" s="115"/>
      <c r="E1954" s="116"/>
      <c r="F1954" s="117"/>
      <c r="G1954" s="115"/>
      <c r="H1954" s="115"/>
      <c r="I1954" s="115"/>
      <c r="J1954" s="115"/>
      <c r="L1954" s="115"/>
      <c r="M1954" s="115"/>
      <c r="N1954" s="115"/>
      <c r="O1954" s="118"/>
      <c r="P1954" s="113"/>
      <c r="Q1954" s="119"/>
      <c r="R1954" s="113"/>
      <c r="S1954" s="113"/>
      <c r="T1954" s="113"/>
      <c r="V1954"/>
      <c r="W1954"/>
      <c r="Y1954"/>
      <c r="Z1954"/>
      <c r="AA1954"/>
      <c r="AB1954"/>
      <c r="AC1954"/>
      <c r="AD1954"/>
      <c r="AE1954"/>
      <c r="AF1954"/>
    </row>
    <row r="1955" spans="1:32" s="45" customFormat="1" ht="12.75" hidden="1">
      <c r="A1955" s="115"/>
      <c r="B1955" s="115"/>
      <c r="C1955" s="114"/>
      <c r="D1955" s="115"/>
      <c r="E1955" s="116"/>
      <c r="F1955" s="117"/>
      <c r="G1955" s="115"/>
      <c r="H1955" s="115"/>
      <c r="I1955" s="115"/>
      <c r="J1955" s="115"/>
      <c r="L1955" s="115"/>
      <c r="M1955" s="115"/>
      <c r="N1955" s="115"/>
      <c r="O1955" s="118"/>
      <c r="P1955" s="113"/>
      <c r="Q1955" s="119"/>
      <c r="R1955" s="113"/>
      <c r="S1955" s="113"/>
      <c r="T1955" s="113"/>
      <c r="V1955"/>
      <c r="W1955"/>
      <c r="Y1955"/>
      <c r="Z1955"/>
      <c r="AA1955"/>
      <c r="AB1955"/>
      <c r="AC1955"/>
      <c r="AD1955"/>
      <c r="AE1955"/>
      <c r="AF1955"/>
    </row>
    <row r="1956" spans="1:32" s="45" customFormat="1" ht="12.75" hidden="1">
      <c r="A1956" s="115"/>
      <c r="B1956" s="115"/>
      <c r="C1956" s="114"/>
      <c r="D1956" s="115"/>
      <c r="E1956" s="116"/>
      <c r="F1956" s="117"/>
      <c r="G1956" s="115"/>
      <c r="H1956" s="115"/>
      <c r="I1956" s="115"/>
      <c r="J1956" s="115"/>
      <c r="L1956" s="115"/>
      <c r="M1956" s="115"/>
      <c r="N1956" s="115"/>
      <c r="O1956" s="118"/>
      <c r="P1956" s="113"/>
      <c r="Q1956" s="119"/>
      <c r="R1956" s="113"/>
      <c r="S1956" s="113"/>
      <c r="T1956" s="113"/>
      <c r="V1956"/>
      <c r="W1956"/>
      <c r="Y1956"/>
      <c r="Z1956"/>
      <c r="AA1956"/>
      <c r="AB1956"/>
      <c r="AC1956"/>
      <c r="AD1956"/>
      <c r="AE1956"/>
      <c r="AF1956"/>
    </row>
    <row r="1957" spans="1:32" s="45" customFormat="1" ht="12.75" hidden="1">
      <c r="A1957" s="115"/>
      <c r="B1957" s="115"/>
      <c r="C1957" s="114"/>
      <c r="D1957" s="115"/>
      <c r="E1957" s="116"/>
      <c r="F1957" s="117"/>
      <c r="G1957" s="115"/>
      <c r="H1957" s="115"/>
      <c r="I1957" s="115"/>
      <c r="J1957" s="115"/>
      <c r="L1957" s="115"/>
      <c r="M1957" s="115"/>
      <c r="N1957" s="115"/>
      <c r="O1957" s="118"/>
      <c r="P1957" s="113"/>
      <c r="Q1957" s="119"/>
      <c r="R1957" s="113"/>
      <c r="S1957" s="113"/>
      <c r="T1957" s="113"/>
      <c r="V1957"/>
      <c r="W1957"/>
      <c r="Y1957"/>
      <c r="Z1957"/>
      <c r="AA1957"/>
      <c r="AB1957"/>
      <c r="AC1957"/>
      <c r="AD1957"/>
      <c r="AE1957"/>
      <c r="AF1957"/>
    </row>
    <row r="1958" spans="1:32" s="45" customFormat="1" ht="12.75" hidden="1">
      <c r="A1958" s="115"/>
      <c r="B1958" s="115"/>
      <c r="C1958" s="114"/>
      <c r="D1958" s="115"/>
      <c r="E1958" s="116"/>
      <c r="F1958" s="117"/>
      <c r="G1958" s="115"/>
      <c r="H1958" s="115"/>
      <c r="I1958" s="115"/>
      <c r="J1958" s="115"/>
      <c r="L1958" s="115"/>
      <c r="M1958" s="115"/>
      <c r="N1958" s="115"/>
      <c r="O1958" s="118"/>
      <c r="P1958" s="113"/>
      <c r="Q1958" s="119"/>
      <c r="R1958" s="113"/>
      <c r="S1958" s="113"/>
      <c r="T1958" s="113"/>
      <c r="V1958"/>
      <c r="W1958"/>
      <c r="Y1958"/>
      <c r="Z1958"/>
      <c r="AA1958"/>
      <c r="AB1958"/>
      <c r="AC1958"/>
      <c r="AD1958"/>
      <c r="AE1958"/>
      <c r="AF1958"/>
    </row>
    <row r="1959" spans="1:32" s="45" customFormat="1" ht="12.75" hidden="1">
      <c r="A1959" s="115"/>
      <c r="B1959" s="115"/>
      <c r="C1959" s="114"/>
      <c r="D1959" s="115"/>
      <c r="E1959" s="116"/>
      <c r="F1959" s="117"/>
      <c r="G1959" s="115"/>
      <c r="H1959" s="115"/>
      <c r="I1959" s="115"/>
      <c r="J1959" s="115"/>
      <c r="L1959" s="115"/>
      <c r="M1959" s="115"/>
      <c r="N1959" s="115"/>
      <c r="O1959" s="118"/>
      <c r="P1959" s="113"/>
      <c r="Q1959" s="119"/>
      <c r="R1959" s="113"/>
      <c r="S1959" s="113"/>
      <c r="T1959" s="113"/>
      <c r="V1959"/>
      <c r="W1959"/>
      <c r="Y1959"/>
      <c r="Z1959"/>
      <c r="AA1959"/>
      <c r="AB1959"/>
      <c r="AC1959"/>
      <c r="AD1959"/>
      <c r="AE1959"/>
      <c r="AF1959"/>
    </row>
    <row r="1960" spans="1:32" s="45" customFormat="1" ht="12.75" hidden="1">
      <c r="A1960" s="115"/>
      <c r="B1960" s="115"/>
      <c r="C1960" s="114"/>
      <c r="D1960" s="115"/>
      <c r="E1960" s="116"/>
      <c r="F1960" s="117"/>
      <c r="G1960" s="115"/>
      <c r="H1960" s="115"/>
      <c r="I1960" s="115"/>
      <c r="J1960" s="115"/>
      <c r="L1960" s="115"/>
      <c r="M1960" s="115"/>
      <c r="N1960" s="115"/>
      <c r="O1960" s="118"/>
      <c r="P1960" s="113"/>
      <c r="Q1960" s="119"/>
      <c r="R1960" s="113"/>
      <c r="S1960" s="113"/>
      <c r="T1960" s="113"/>
      <c r="V1960"/>
      <c r="W1960"/>
      <c r="Y1960"/>
      <c r="Z1960"/>
      <c r="AA1960"/>
      <c r="AB1960"/>
      <c r="AC1960"/>
      <c r="AD1960"/>
      <c r="AE1960"/>
      <c r="AF1960"/>
    </row>
    <row r="1961" spans="1:32" s="45" customFormat="1" ht="12.75" hidden="1">
      <c r="A1961" s="115"/>
      <c r="B1961" s="115"/>
      <c r="C1961" s="114"/>
      <c r="D1961" s="115"/>
      <c r="E1961" s="116"/>
      <c r="F1961" s="117"/>
      <c r="G1961" s="115"/>
      <c r="H1961" s="115"/>
      <c r="I1961" s="115"/>
      <c r="J1961" s="115"/>
      <c r="L1961" s="115"/>
      <c r="M1961" s="115"/>
      <c r="N1961" s="115"/>
      <c r="O1961" s="118"/>
      <c r="P1961" s="113"/>
      <c r="Q1961" s="119"/>
      <c r="R1961" s="113"/>
      <c r="S1961" s="113"/>
      <c r="T1961" s="113"/>
      <c r="V1961"/>
      <c r="W1961"/>
      <c r="Y1961"/>
      <c r="Z1961"/>
      <c r="AA1961"/>
      <c r="AB1961"/>
      <c r="AC1961"/>
      <c r="AD1961"/>
      <c r="AE1961"/>
      <c r="AF1961"/>
    </row>
    <row r="1962" spans="1:32" s="45" customFormat="1" ht="12.75" hidden="1">
      <c r="A1962" s="115"/>
      <c r="B1962" s="115"/>
      <c r="C1962" s="114"/>
      <c r="D1962" s="115"/>
      <c r="E1962" s="116"/>
      <c r="F1962" s="117"/>
      <c r="G1962" s="115"/>
      <c r="H1962" s="115"/>
      <c r="I1962" s="115"/>
      <c r="J1962" s="115"/>
      <c r="L1962" s="115"/>
      <c r="M1962" s="115"/>
      <c r="N1962" s="115"/>
      <c r="O1962" s="118"/>
      <c r="P1962" s="113"/>
      <c r="Q1962" s="119"/>
      <c r="R1962" s="113"/>
      <c r="S1962" s="113"/>
      <c r="T1962" s="113"/>
      <c r="V1962"/>
      <c r="W1962"/>
      <c r="Y1962"/>
      <c r="Z1962"/>
      <c r="AA1962"/>
      <c r="AB1962"/>
      <c r="AC1962"/>
      <c r="AD1962"/>
      <c r="AE1962"/>
      <c r="AF1962"/>
    </row>
    <row r="1963" spans="1:32" s="45" customFormat="1" ht="12.75" hidden="1">
      <c r="A1963" s="115"/>
      <c r="B1963" s="115"/>
      <c r="C1963" s="114"/>
      <c r="D1963" s="115"/>
      <c r="E1963" s="116"/>
      <c r="F1963" s="117"/>
      <c r="G1963" s="115"/>
      <c r="H1963" s="115"/>
      <c r="I1963" s="115"/>
      <c r="J1963" s="115"/>
      <c r="L1963" s="115"/>
      <c r="M1963" s="115"/>
      <c r="N1963" s="115"/>
      <c r="O1963" s="118"/>
      <c r="P1963" s="113"/>
      <c r="Q1963" s="119"/>
      <c r="R1963" s="113"/>
      <c r="S1963" s="113"/>
      <c r="T1963" s="113"/>
      <c r="V1963"/>
      <c r="W1963"/>
      <c r="Y1963"/>
      <c r="Z1963"/>
      <c r="AA1963"/>
      <c r="AB1963"/>
      <c r="AC1963"/>
      <c r="AD1963"/>
      <c r="AE1963"/>
      <c r="AF1963"/>
    </row>
    <row r="1964" spans="1:32" s="45" customFormat="1" ht="12.75" hidden="1">
      <c r="A1964" s="115"/>
      <c r="B1964" s="115"/>
      <c r="C1964" s="114"/>
      <c r="D1964" s="115"/>
      <c r="E1964" s="116"/>
      <c r="F1964" s="117"/>
      <c r="G1964" s="115"/>
      <c r="H1964" s="115"/>
      <c r="I1964" s="115"/>
      <c r="J1964" s="115"/>
      <c r="L1964" s="115"/>
      <c r="M1964" s="115"/>
      <c r="N1964" s="115"/>
      <c r="O1964" s="118"/>
      <c r="P1964" s="113"/>
      <c r="Q1964" s="119"/>
      <c r="R1964" s="113"/>
      <c r="S1964" s="113"/>
      <c r="T1964" s="113"/>
      <c r="V1964"/>
      <c r="W1964"/>
      <c r="Y1964"/>
      <c r="Z1964"/>
      <c r="AA1964"/>
      <c r="AB1964"/>
      <c r="AC1964"/>
      <c r="AD1964"/>
      <c r="AE1964"/>
      <c r="AF1964"/>
    </row>
    <row r="1965" spans="1:32" s="45" customFormat="1" ht="12.75" hidden="1">
      <c r="A1965" s="115"/>
      <c r="B1965" s="115"/>
      <c r="C1965" s="114"/>
      <c r="D1965" s="115"/>
      <c r="E1965" s="116"/>
      <c r="F1965" s="117"/>
      <c r="G1965" s="115"/>
      <c r="H1965" s="115"/>
      <c r="I1965" s="115"/>
      <c r="J1965" s="115"/>
      <c r="L1965" s="115"/>
      <c r="M1965" s="115"/>
      <c r="N1965" s="115"/>
      <c r="O1965" s="118"/>
      <c r="P1965" s="113"/>
      <c r="Q1965" s="119"/>
      <c r="R1965" s="113"/>
      <c r="S1965" s="113"/>
      <c r="T1965" s="113"/>
      <c r="V1965"/>
      <c r="W1965"/>
      <c r="Y1965"/>
      <c r="Z1965"/>
      <c r="AA1965"/>
      <c r="AB1965"/>
      <c r="AC1965"/>
      <c r="AD1965"/>
      <c r="AE1965"/>
      <c r="AF1965"/>
    </row>
    <row r="1966" spans="1:32" s="45" customFormat="1" ht="12.75" hidden="1">
      <c r="A1966" s="115"/>
      <c r="B1966" s="115"/>
      <c r="C1966" s="114"/>
      <c r="D1966" s="115"/>
      <c r="E1966" s="116"/>
      <c r="F1966" s="117"/>
      <c r="G1966" s="115"/>
      <c r="H1966" s="115"/>
      <c r="I1966" s="115"/>
      <c r="J1966" s="115"/>
      <c r="L1966" s="115"/>
      <c r="M1966" s="115"/>
      <c r="N1966" s="115"/>
      <c r="O1966" s="118"/>
      <c r="P1966" s="113"/>
      <c r="Q1966" s="119"/>
      <c r="R1966" s="113"/>
      <c r="S1966" s="113"/>
      <c r="T1966" s="113"/>
      <c r="V1966"/>
      <c r="W1966"/>
      <c r="Y1966"/>
      <c r="Z1966"/>
      <c r="AA1966"/>
      <c r="AB1966"/>
      <c r="AC1966"/>
      <c r="AD1966"/>
      <c r="AE1966"/>
      <c r="AF1966"/>
    </row>
    <row r="1967" spans="1:32" s="45" customFormat="1" ht="12.75" hidden="1">
      <c r="A1967" s="115"/>
      <c r="B1967" s="115"/>
      <c r="C1967" s="114"/>
      <c r="D1967" s="115"/>
      <c r="E1967" s="116"/>
      <c r="F1967" s="117"/>
      <c r="G1967" s="115"/>
      <c r="H1967" s="115"/>
      <c r="I1967" s="115"/>
      <c r="J1967" s="115"/>
      <c r="L1967" s="115"/>
      <c r="M1967" s="115"/>
      <c r="N1967" s="115"/>
      <c r="O1967" s="118"/>
      <c r="P1967" s="113"/>
      <c r="Q1967" s="119"/>
      <c r="R1967" s="113"/>
      <c r="S1967" s="113"/>
      <c r="T1967" s="113"/>
      <c r="V1967"/>
      <c r="W1967"/>
      <c r="Y1967"/>
      <c r="Z1967"/>
      <c r="AA1967"/>
      <c r="AB1967"/>
      <c r="AC1967"/>
      <c r="AD1967"/>
      <c r="AE1967"/>
      <c r="AF1967"/>
    </row>
    <row r="1968" spans="1:32" s="45" customFormat="1" ht="12.75" hidden="1">
      <c r="A1968" s="115"/>
      <c r="B1968" s="115"/>
      <c r="C1968" s="114"/>
      <c r="D1968" s="115"/>
      <c r="E1968" s="116"/>
      <c r="F1968" s="117"/>
      <c r="G1968" s="115"/>
      <c r="H1968" s="115"/>
      <c r="I1968" s="115"/>
      <c r="J1968" s="115"/>
      <c r="L1968" s="115"/>
      <c r="M1968" s="115"/>
      <c r="N1968" s="115"/>
      <c r="O1968" s="118"/>
      <c r="P1968" s="113"/>
      <c r="Q1968" s="119"/>
      <c r="R1968" s="113"/>
      <c r="S1968" s="113"/>
      <c r="T1968" s="113"/>
      <c r="V1968"/>
      <c r="W1968"/>
      <c r="Y1968"/>
      <c r="Z1968"/>
      <c r="AA1968"/>
      <c r="AB1968"/>
      <c r="AC1968"/>
      <c r="AD1968"/>
      <c r="AE1968"/>
      <c r="AF1968"/>
    </row>
    <row r="1969" spans="1:32" s="45" customFormat="1" ht="12.75" hidden="1">
      <c r="A1969" s="115"/>
      <c r="B1969" s="115"/>
      <c r="C1969" s="114"/>
      <c r="D1969" s="115"/>
      <c r="E1969" s="116"/>
      <c r="F1969" s="117"/>
      <c r="G1969" s="115"/>
      <c r="H1969" s="115"/>
      <c r="I1969" s="115"/>
      <c r="J1969" s="115"/>
      <c r="L1969" s="115"/>
      <c r="M1969" s="115"/>
      <c r="N1969" s="115"/>
      <c r="O1969" s="118"/>
      <c r="P1969" s="113"/>
      <c r="Q1969" s="119"/>
      <c r="R1969" s="113"/>
      <c r="S1969" s="113"/>
      <c r="T1969" s="113"/>
      <c r="V1969"/>
      <c r="W1969"/>
      <c r="Y1969"/>
      <c r="Z1969"/>
      <c r="AA1969"/>
      <c r="AB1969"/>
      <c r="AC1969"/>
      <c r="AD1969"/>
      <c r="AE1969"/>
      <c r="AF1969"/>
    </row>
    <row r="1970" spans="1:32" s="45" customFormat="1" ht="12.75" hidden="1">
      <c r="A1970" s="115"/>
      <c r="B1970" s="115"/>
      <c r="C1970" s="114"/>
      <c r="D1970" s="115"/>
      <c r="E1970" s="116"/>
      <c r="F1970" s="117"/>
      <c r="G1970" s="115"/>
      <c r="H1970" s="115"/>
      <c r="I1970" s="115"/>
      <c r="J1970" s="115"/>
      <c r="L1970" s="115"/>
      <c r="M1970" s="115"/>
      <c r="N1970" s="115"/>
      <c r="O1970" s="118"/>
      <c r="P1970" s="113"/>
      <c r="Q1970" s="119"/>
      <c r="R1970" s="113"/>
      <c r="S1970" s="113"/>
      <c r="T1970" s="113"/>
      <c r="V1970"/>
      <c r="W1970"/>
      <c r="Y1970"/>
      <c r="Z1970"/>
      <c r="AA1970"/>
      <c r="AB1970"/>
      <c r="AC1970"/>
      <c r="AD1970"/>
      <c r="AE1970"/>
      <c r="AF1970"/>
    </row>
    <row r="1971" spans="1:32" s="45" customFormat="1" ht="12.75" hidden="1">
      <c r="A1971" s="115"/>
      <c r="B1971" s="115"/>
      <c r="C1971" s="114"/>
      <c r="D1971" s="115"/>
      <c r="E1971" s="116"/>
      <c r="F1971" s="117"/>
      <c r="G1971" s="115"/>
      <c r="H1971" s="115"/>
      <c r="I1971" s="115"/>
      <c r="J1971" s="115"/>
      <c r="L1971" s="115"/>
      <c r="M1971" s="115"/>
      <c r="N1971" s="115"/>
      <c r="O1971" s="118"/>
      <c r="P1971" s="113"/>
      <c r="Q1971" s="119"/>
      <c r="R1971" s="113"/>
      <c r="S1971" s="113"/>
      <c r="T1971" s="113"/>
      <c r="V1971"/>
      <c r="W1971"/>
      <c r="Y1971"/>
      <c r="Z1971"/>
      <c r="AA1971"/>
      <c r="AB1971"/>
      <c r="AC1971"/>
      <c r="AD1971"/>
      <c r="AE1971"/>
      <c r="AF1971"/>
    </row>
    <row r="1972" spans="1:32" s="45" customFormat="1" ht="12.75" hidden="1">
      <c r="A1972" s="115"/>
      <c r="B1972" s="115"/>
      <c r="C1972" s="114"/>
      <c r="D1972" s="115"/>
      <c r="E1972" s="116"/>
      <c r="F1972" s="117"/>
      <c r="G1972" s="115"/>
      <c r="H1972" s="115"/>
      <c r="I1972" s="115"/>
      <c r="J1972" s="115"/>
      <c r="L1972" s="115"/>
      <c r="M1972" s="115"/>
      <c r="N1972" s="115"/>
      <c r="O1972" s="118"/>
      <c r="P1972" s="113"/>
      <c r="Q1972" s="119"/>
      <c r="R1972" s="113"/>
      <c r="S1972" s="113"/>
      <c r="T1972" s="113"/>
      <c r="V1972"/>
      <c r="W1972"/>
      <c r="Y1972"/>
      <c r="Z1972"/>
      <c r="AA1972"/>
      <c r="AB1972"/>
      <c r="AC1972"/>
      <c r="AD1972"/>
      <c r="AE1972"/>
      <c r="AF1972"/>
    </row>
    <row r="1973" spans="1:32" s="45" customFormat="1" ht="12.75" hidden="1">
      <c r="A1973" s="115"/>
      <c r="B1973" s="115"/>
      <c r="C1973" s="114"/>
      <c r="D1973" s="115"/>
      <c r="E1973" s="116"/>
      <c r="F1973" s="117"/>
      <c r="G1973" s="115"/>
      <c r="H1973" s="115"/>
      <c r="I1973" s="115"/>
      <c r="J1973" s="115"/>
      <c r="L1973" s="115"/>
      <c r="M1973" s="115"/>
      <c r="N1973" s="115"/>
      <c r="O1973" s="118"/>
      <c r="P1973" s="113"/>
      <c r="Q1973" s="119"/>
      <c r="R1973" s="113"/>
      <c r="S1973" s="113"/>
      <c r="T1973" s="113"/>
      <c r="V1973"/>
      <c r="W1973"/>
      <c r="Y1973"/>
      <c r="Z1973"/>
      <c r="AA1973"/>
      <c r="AB1973"/>
      <c r="AC1973"/>
      <c r="AD1973"/>
      <c r="AE1973"/>
      <c r="AF1973"/>
    </row>
    <row r="1974" spans="1:32" s="45" customFormat="1" ht="12.75" hidden="1">
      <c r="A1974" s="115"/>
      <c r="B1974" s="115"/>
      <c r="C1974" s="114"/>
      <c r="D1974" s="115"/>
      <c r="E1974" s="116"/>
      <c r="F1974" s="117"/>
      <c r="G1974" s="115"/>
      <c r="H1974" s="115"/>
      <c r="I1974" s="115"/>
      <c r="J1974" s="115"/>
      <c r="L1974" s="115"/>
      <c r="M1974" s="115"/>
      <c r="N1974" s="115"/>
      <c r="O1974" s="118"/>
      <c r="P1974" s="113"/>
      <c r="Q1974" s="119"/>
      <c r="R1974" s="113"/>
      <c r="S1974" s="113"/>
      <c r="T1974" s="113"/>
      <c r="V1974"/>
      <c r="W1974"/>
      <c r="Y1974"/>
      <c r="Z1974"/>
      <c r="AA1974"/>
      <c r="AB1974"/>
      <c r="AC1974"/>
      <c r="AD1974"/>
      <c r="AE1974"/>
      <c r="AF1974"/>
    </row>
    <row r="1975" spans="1:32" s="45" customFormat="1" ht="12.75" hidden="1">
      <c r="A1975" s="115"/>
      <c r="B1975" s="115"/>
      <c r="C1975" s="114"/>
      <c r="D1975" s="115"/>
      <c r="E1975" s="116"/>
      <c r="F1975" s="117"/>
      <c r="G1975" s="115"/>
      <c r="H1975" s="115"/>
      <c r="I1975" s="115"/>
      <c r="J1975" s="115"/>
      <c r="L1975" s="115"/>
      <c r="M1975" s="115"/>
      <c r="N1975" s="115"/>
      <c r="O1975" s="118"/>
      <c r="P1975" s="113"/>
      <c r="Q1975" s="119"/>
      <c r="R1975" s="113"/>
      <c r="S1975" s="113"/>
      <c r="T1975" s="113"/>
      <c r="V1975"/>
      <c r="W1975"/>
      <c r="Y1975"/>
      <c r="Z1975"/>
      <c r="AA1975"/>
      <c r="AB1975"/>
      <c r="AC1975"/>
      <c r="AD1975"/>
      <c r="AE1975"/>
      <c r="AF1975"/>
    </row>
    <row r="1976" spans="1:32" s="45" customFormat="1" ht="12.75" hidden="1">
      <c r="A1976" s="115"/>
      <c r="B1976" s="115"/>
      <c r="C1976" s="114"/>
      <c r="D1976" s="115"/>
      <c r="E1976" s="116"/>
      <c r="F1976" s="117"/>
      <c r="G1976" s="115"/>
      <c r="H1976" s="115"/>
      <c r="I1976" s="115"/>
      <c r="J1976" s="115"/>
      <c r="L1976" s="115"/>
      <c r="M1976" s="115"/>
      <c r="N1976" s="115"/>
      <c r="O1976" s="118"/>
      <c r="P1976" s="113"/>
      <c r="Q1976" s="119"/>
      <c r="R1976" s="113"/>
      <c r="S1976" s="113"/>
      <c r="T1976" s="113"/>
      <c r="V1976"/>
      <c r="W1976"/>
      <c r="Y1976"/>
      <c r="Z1976"/>
      <c r="AA1976"/>
      <c r="AB1976"/>
      <c r="AC1976"/>
      <c r="AD1976"/>
      <c r="AE1976"/>
      <c r="AF1976"/>
    </row>
    <row r="1977" spans="1:32" s="45" customFormat="1" ht="12.75" hidden="1">
      <c r="A1977" s="115"/>
      <c r="B1977" s="115"/>
      <c r="C1977" s="114"/>
      <c r="D1977" s="115"/>
      <c r="E1977" s="116"/>
      <c r="F1977" s="117"/>
      <c r="G1977" s="115"/>
      <c r="H1977" s="115"/>
      <c r="I1977" s="115"/>
      <c r="J1977" s="115"/>
      <c r="L1977" s="115"/>
      <c r="M1977" s="115"/>
      <c r="N1977" s="115"/>
      <c r="O1977" s="118"/>
      <c r="P1977" s="113"/>
      <c r="Q1977" s="119"/>
      <c r="R1977" s="113"/>
      <c r="S1977" s="113"/>
      <c r="T1977" s="113"/>
      <c r="V1977"/>
      <c r="W1977"/>
      <c r="Y1977"/>
      <c r="Z1977"/>
      <c r="AA1977"/>
      <c r="AB1977"/>
      <c r="AC1977"/>
      <c r="AD1977"/>
      <c r="AE1977"/>
      <c r="AF1977"/>
    </row>
    <row r="1978" spans="1:32" s="45" customFormat="1" ht="12.75" hidden="1">
      <c r="A1978" s="115"/>
      <c r="B1978" s="115"/>
      <c r="C1978" s="114"/>
      <c r="D1978" s="115"/>
      <c r="E1978" s="116"/>
      <c r="F1978" s="117"/>
      <c r="G1978" s="115"/>
      <c r="H1978" s="115"/>
      <c r="I1978" s="115"/>
      <c r="J1978" s="115"/>
      <c r="L1978" s="115"/>
      <c r="M1978" s="115"/>
      <c r="N1978" s="115"/>
      <c r="O1978" s="118"/>
      <c r="P1978" s="113"/>
      <c r="Q1978" s="119"/>
      <c r="R1978" s="113"/>
      <c r="S1978" s="113"/>
      <c r="T1978" s="113"/>
      <c r="V1978"/>
      <c r="W1978"/>
      <c r="Y1978"/>
      <c r="Z1978"/>
      <c r="AA1978"/>
      <c r="AB1978"/>
      <c r="AC1978"/>
      <c r="AD1978"/>
      <c r="AE1978"/>
      <c r="AF1978"/>
    </row>
    <row r="1979" spans="1:32" s="45" customFormat="1" ht="12.75" hidden="1">
      <c r="A1979" s="115"/>
      <c r="B1979" s="115"/>
      <c r="C1979" s="114"/>
      <c r="D1979" s="115"/>
      <c r="E1979" s="116"/>
      <c r="F1979" s="117"/>
      <c r="G1979" s="115"/>
      <c r="H1979" s="115"/>
      <c r="I1979" s="115"/>
      <c r="J1979" s="115"/>
      <c r="L1979" s="115"/>
      <c r="M1979" s="115"/>
      <c r="N1979" s="115"/>
      <c r="O1979" s="118"/>
      <c r="P1979" s="113"/>
      <c r="Q1979" s="119"/>
      <c r="R1979" s="113"/>
      <c r="S1979" s="113"/>
      <c r="T1979" s="113"/>
      <c r="V1979"/>
      <c r="W1979"/>
      <c r="Y1979"/>
      <c r="Z1979"/>
      <c r="AA1979"/>
      <c r="AB1979"/>
      <c r="AC1979"/>
      <c r="AD1979"/>
      <c r="AE1979"/>
      <c r="AF1979"/>
    </row>
    <row r="1980" spans="1:32" s="45" customFormat="1" ht="12.75" hidden="1">
      <c r="A1980" s="115"/>
      <c r="B1980" s="115"/>
      <c r="C1980" s="114"/>
      <c r="D1980" s="115"/>
      <c r="E1980" s="116"/>
      <c r="F1980" s="117"/>
      <c r="G1980" s="115"/>
      <c r="H1980" s="115"/>
      <c r="I1980" s="115"/>
      <c r="J1980" s="115"/>
      <c r="L1980" s="115"/>
      <c r="M1980" s="115"/>
      <c r="N1980" s="115"/>
      <c r="O1980" s="118"/>
      <c r="P1980" s="113"/>
      <c r="Q1980" s="119"/>
      <c r="R1980" s="113"/>
      <c r="S1980" s="113"/>
      <c r="T1980" s="113"/>
      <c r="V1980"/>
      <c r="W1980"/>
      <c r="Y1980"/>
      <c r="Z1980"/>
      <c r="AA1980"/>
      <c r="AB1980"/>
      <c r="AC1980"/>
      <c r="AD1980"/>
      <c r="AE1980"/>
      <c r="AF1980"/>
    </row>
    <row r="1981" spans="1:32" s="45" customFormat="1" ht="12.75" hidden="1">
      <c r="A1981" s="115"/>
      <c r="B1981" s="115"/>
      <c r="C1981" s="114"/>
      <c r="D1981" s="115"/>
      <c r="E1981" s="116"/>
      <c r="F1981" s="117"/>
      <c r="G1981" s="115"/>
      <c r="H1981" s="115"/>
      <c r="I1981" s="115"/>
      <c r="J1981" s="115"/>
      <c r="L1981" s="115"/>
      <c r="M1981" s="115"/>
      <c r="N1981" s="115"/>
      <c r="O1981" s="118"/>
      <c r="P1981" s="113"/>
      <c r="Q1981" s="119"/>
      <c r="R1981" s="113"/>
      <c r="S1981" s="113"/>
      <c r="T1981" s="113"/>
      <c r="V1981"/>
      <c r="W1981"/>
      <c r="Y1981"/>
      <c r="Z1981"/>
      <c r="AA1981"/>
      <c r="AB1981"/>
      <c r="AC1981"/>
      <c r="AD1981"/>
      <c r="AE1981"/>
      <c r="AF1981"/>
    </row>
    <row r="1982" spans="1:32" s="45" customFormat="1" ht="12.75" hidden="1">
      <c r="A1982" s="115"/>
      <c r="B1982" s="115"/>
      <c r="C1982" s="114"/>
      <c r="D1982" s="115"/>
      <c r="E1982" s="116"/>
      <c r="F1982" s="117"/>
      <c r="G1982" s="115"/>
      <c r="H1982" s="115"/>
      <c r="I1982" s="115"/>
      <c r="J1982" s="115"/>
      <c r="L1982" s="115"/>
      <c r="M1982" s="115"/>
      <c r="N1982" s="115"/>
      <c r="O1982" s="118"/>
      <c r="P1982" s="113"/>
      <c r="Q1982" s="119"/>
      <c r="R1982" s="113"/>
      <c r="S1982" s="113"/>
      <c r="T1982" s="113"/>
      <c r="V1982"/>
      <c r="W1982"/>
      <c r="Y1982"/>
      <c r="Z1982"/>
      <c r="AA1982"/>
      <c r="AB1982"/>
      <c r="AC1982"/>
      <c r="AD1982"/>
      <c r="AE1982"/>
      <c r="AF1982"/>
    </row>
    <row r="1983" spans="1:32" s="45" customFormat="1" ht="12.75" hidden="1">
      <c r="A1983" s="115"/>
      <c r="B1983" s="115"/>
      <c r="C1983" s="114"/>
      <c r="D1983" s="115"/>
      <c r="E1983" s="116"/>
      <c r="F1983" s="117"/>
      <c r="G1983" s="115"/>
      <c r="H1983" s="115"/>
      <c r="I1983" s="115"/>
      <c r="J1983" s="115"/>
      <c r="L1983" s="115"/>
      <c r="M1983" s="115"/>
      <c r="N1983" s="115"/>
      <c r="O1983" s="118"/>
      <c r="P1983" s="113"/>
      <c r="Q1983" s="119"/>
      <c r="R1983" s="113"/>
      <c r="S1983" s="113"/>
      <c r="T1983" s="113"/>
      <c r="V1983"/>
      <c r="W1983"/>
      <c r="Y1983"/>
      <c r="Z1983"/>
      <c r="AA1983"/>
      <c r="AB1983"/>
      <c r="AC1983"/>
      <c r="AD1983"/>
      <c r="AE1983"/>
      <c r="AF1983"/>
    </row>
    <row r="1984" spans="1:32" s="45" customFormat="1" ht="12.75" hidden="1">
      <c r="A1984" s="115"/>
      <c r="B1984" s="115"/>
      <c r="C1984" s="114"/>
      <c r="D1984" s="115"/>
      <c r="E1984" s="116"/>
      <c r="F1984" s="117"/>
      <c r="G1984" s="115"/>
      <c r="H1984" s="115"/>
      <c r="I1984" s="115"/>
      <c r="J1984" s="115"/>
      <c r="L1984" s="115"/>
      <c r="M1984" s="115"/>
      <c r="N1984" s="115"/>
      <c r="O1984" s="118"/>
      <c r="P1984" s="113"/>
      <c r="Q1984" s="119"/>
      <c r="R1984" s="113"/>
      <c r="S1984" s="113"/>
      <c r="T1984" s="113"/>
      <c r="V1984"/>
      <c r="W1984"/>
      <c r="Y1984"/>
      <c r="Z1984"/>
      <c r="AA1984"/>
      <c r="AB1984"/>
      <c r="AC1984"/>
      <c r="AD1984"/>
      <c r="AE1984"/>
      <c r="AF1984"/>
    </row>
    <row r="1985" spans="1:32" s="45" customFormat="1" ht="12.75" hidden="1">
      <c r="A1985" s="115"/>
      <c r="B1985" s="115"/>
      <c r="C1985" s="114"/>
      <c r="D1985" s="115"/>
      <c r="E1985" s="116"/>
      <c r="F1985" s="117"/>
      <c r="G1985" s="115"/>
      <c r="H1985" s="115"/>
      <c r="I1985" s="115"/>
      <c r="J1985" s="115"/>
      <c r="L1985" s="115"/>
      <c r="M1985" s="115"/>
      <c r="N1985" s="115"/>
      <c r="O1985" s="118"/>
      <c r="P1985" s="113"/>
      <c r="Q1985" s="119"/>
      <c r="R1985" s="113"/>
      <c r="S1985" s="113"/>
      <c r="T1985" s="113"/>
      <c r="V1985"/>
      <c r="W1985"/>
      <c r="Y1985"/>
      <c r="Z1985"/>
      <c r="AA1985"/>
      <c r="AB1985"/>
      <c r="AC1985"/>
      <c r="AD1985"/>
      <c r="AE1985"/>
      <c r="AF1985"/>
    </row>
    <row r="1986" spans="1:32" s="45" customFormat="1" ht="12.75" hidden="1">
      <c r="A1986" s="115"/>
      <c r="B1986" s="115"/>
      <c r="C1986" s="114"/>
      <c r="D1986" s="115"/>
      <c r="E1986" s="116"/>
      <c r="F1986" s="117"/>
      <c r="G1986" s="115"/>
      <c r="H1986" s="115"/>
      <c r="I1986" s="115"/>
      <c r="J1986" s="115"/>
      <c r="L1986" s="115"/>
      <c r="M1986" s="115"/>
      <c r="N1986" s="115"/>
      <c r="O1986" s="118"/>
      <c r="P1986" s="113"/>
      <c r="Q1986" s="119"/>
      <c r="R1986" s="113"/>
      <c r="S1986" s="113"/>
      <c r="T1986" s="113"/>
      <c r="V1986"/>
      <c r="W1986"/>
      <c r="Y1986"/>
      <c r="Z1986"/>
      <c r="AA1986"/>
      <c r="AB1986"/>
      <c r="AC1986"/>
      <c r="AD1986"/>
      <c r="AE1986"/>
      <c r="AF1986"/>
    </row>
    <row r="1987" spans="1:32" s="45" customFormat="1" ht="12.75" hidden="1">
      <c r="A1987" s="115"/>
      <c r="B1987" s="115"/>
      <c r="C1987" s="114"/>
      <c r="D1987" s="115"/>
      <c r="E1987" s="116"/>
      <c r="F1987" s="117"/>
      <c r="G1987" s="115"/>
      <c r="H1987" s="115"/>
      <c r="I1987" s="115"/>
      <c r="J1987" s="115"/>
      <c r="L1987" s="115"/>
      <c r="M1987" s="115"/>
      <c r="N1987" s="115"/>
      <c r="O1987" s="118"/>
      <c r="P1987" s="113"/>
      <c r="Q1987" s="119"/>
      <c r="R1987" s="113"/>
      <c r="S1987" s="113"/>
      <c r="T1987" s="113"/>
      <c r="V1987"/>
      <c r="W1987"/>
      <c r="Y1987"/>
      <c r="Z1987"/>
      <c r="AA1987"/>
      <c r="AB1987"/>
      <c r="AC1987"/>
      <c r="AD1987"/>
      <c r="AE1987"/>
      <c r="AF1987"/>
    </row>
    <row r="1988" spans="1:32" s="45" customFormat="1" ht="12.75" hidden="1">
      <c r="A1988" s="115"/>
      <c r="B1988" s="115"/>
      <c r="C1988" s="114"/>
      <c r="D1988" s="115"/>
      <c r="E1988" s="116"/>
      <c r="F1988" s="117"/>
      <c r="G1988" s="115"/>
      <c r="H1988" s="115"/>
      <c r="I1988" s="115"/>
      <c r="J1988" s="115"/>
      <c r="L1988" s="115"/>
      <c r="M1988" s="115"/>
      <c r="N1988" s="115"/>
      <c r="O1988" s="118"/>
      <c r="P1988" s="113"/>
      <c r="Q1988" s="119"/>
      <c r="R1988" s="113"/>
      <c r="S1988" s="113"/>
      <c r="T1988" s="113"/>
      <c r="V1988"/>
      <c r="W1988"/>
      <c r="Y1988"/>
      <c r="Z1988"/>
      <c r="AA1988"/>
      <c r="AB1988"/>
      <c r="AC1988"/>
      <c r="AD1988"/>
      <c r="AE1988"/>
      <c r="AF1988"/>
    </row>
    <row r="1989" spans="1:32" s="45" customFormat="1" ht="12.75" hidden="1">
      <c r="A1989" s="115"/>
      <c r="B1989" s="115"/>
      <c r="C1989" s="114"/>
      <c r="D1989" s="115"/>
      <c r="E1989" s="116"/>
      <c r="F1989" s="117"/>
      <c r="G1989" s="115"/>
      <c r="H1989" s="115"/>
      <c r="I1989" s="115"/>
      <c r="J1989" s="115"/>
      <c r="L1989" s="115"/>
      <c r="M1989" s="115"/>
      <c r="N1989" s="115"/>
      <c r="O1989" s="118"/>
      <c r="P1989" s="113"/>
      <c r="Q1989" s="119"/>
      <c r="R1989" s="113"/>
      <c r="S1989" s="113"/>
      <c r="T1989" s="113"/>
      <c r="V1989"/>
      <c r="W1989"/>
      <c r="Y1989"/>
      <c r="Z1989"/>
      <c r="AA1989"/>
      <c r="AB1989"/>
      <c r="AC1989"/>
      <c r="AD1989"/>
      <c r="AE1989"/>
      <c r="AF1989"/>
    </row>
    <row r="1990" spans="1:32" s="45" customFormat="1" ht="12.75" hidden="1">
      <c r="A1990" s="115"/>
      <c r="B1990" s="115"/>
      <c r="C1990" s="114"/>
      <c r="D1990" s="115"/>
      <c r="E1990" s="116"/>
      <c r="F1990" s="117"/>
      <c r="G1990" s="115"/>
      <c r="H1990" s="115"/>
      <c r="I1990" s="115"/>
      <c r="J1990" s="115"/>
      <c r="L1990" s="115"/>
      <c r="M1990" s="115"/>
      <c r="N1990" s="115"/>
      <c r="O1990" s="118"/>
      <c r="P1990" s="113"/>
      <c r="Q1990" s="119"/>
      <c r="R1990" s="113"/>
      <c r="S1990" s="113"/>
      <c r="T1990" s="113"/>
      <c r="V1990"/>
      <c r="W1990"/>
      <c r="Y1990"/>
      <c r="Z1990"/>
      <c r="AA1990"/>
      <c r="AB1990"/>
      <c r="AC1990"/>
      <c r="AD1990"/>
      <c r="AE1990"/>
      <c r="AF1990"/>
    </row>
    <row r="1991" spans="1:32" s="45" customFormat="1" ht="12.75" hidden="1">
      <c r="A1991" s="115"/>
      <c r="B1991" s="115"/>
      <c r="C1991" s="114"/>
      <c r="D1991" s="115"/>
      <c r="E1991" s="116"/>
      <c r="F1991" s="117"/>
      <c r="G1991" s="115"/>
      <c r="H1991" s="115"/>
      <c r="I1991" s="115"/>
      <c r="J1991" s="115"/>
      <c r="L1991" s="115"/>
      <c r="M1991" s="115"/>
      <c r="N1991" s="115"/>
      <c r="O1991" s="118"/>
      <c r="P1991" s="113"/>
      <c r="Q1991" s="119"/>
      <c r="R1991" s="113"/>
      <c r="S1991" s="113"/>
      <c r="T1991" s="113"/>
      <c r="V1991"/>
      <c r="W1991"/>
      <c r="Y1991"/>
      <c r="Z1991"/>
      <c r="AA1991"/>
      <c r="AB1991"/>
      <c r="AC1991"/>
      <c r="AD1991"/>
      <c r="AE1991"/>
      <c r="AF1991"/>
    </row>
    <row r="1992" spans="1:32" s="45" customFormat="1" ht="12.75" hidden="1">
      <c r="A1992" s="115"/>
      <c r="B1992" s="115"/>
      <c r="C1992" s="114"/>
      <c r="D1992" s="115"/>
      <c r="E1992" s="116"/>
      <c r="F1992" s="117"/>
      <c r="G1992" s="115"/>
      <c r="H1992" s="115"/>
      <c r="I1992" s="115"/>
      <c r="J1992" s="115"/>
      <c r="L1992" s="115"/>
      <c r="M1992" s="115"/>
      <c r="N1992" s="115"/>
      <c r="O1992" s="118"/>
      <c r="P1992" s="113"/>
      <c r="Q1992" s="119"/>
      <c r="R1992" s="113"/>
      <c r="S1992" s="113"/>
      <c r="T1992" s="113"/>
      <c r="V1992"/>
      <c r="W1992"/>
      <c r="Y1992"/>
      <c r="Z1992"/>
      <c r="AA1992"/>
      <c r="AB1992"/>
      <c r="AC1992"/>
      <c r="AD1992"/>
      <c r="AE1992"/>
      <c r="AF1992"/>
    </row>
    <row r="1993" spans="1:32" s="45" customFormat="1" ht="12.75" hidden="1">
      <c r="A1993" s="115"/>
      <c r="B1993" s="115"/>
      <c r="C1993" s="114"/>
      <c r="D1993" s="115"/>
      <c r="E1993" s="116"/>
      <c r="F1993" s="117"/>
      <c r="G1993" s="115"/>
      <c r="H1993" s="115"/>
      <c r="I1993" s="115"/>
      <c r="J1993" s="115"/>
      <c r="L1993" s="115"/>
      <c r="M1993" s="115"/>
      <c r="N1993" s="115"/>
      <c r="O1993" s="118"/>
      <c r="P1993" s="113"/>
      <c r="Q1993" s="119"/>
      <c r="R1993" s="113"/>
      <c r="S1993" s="113"/>
      <c r="T1993" s="113"/>
      <c r="V1993"/>
      <c r="W1993"/>
      <c r="Y1993"/>
      <c r="Z1993"/>
      <c r="AA1993"/>
      <c r="AB1993"/>
      <c r="AC1993"/>
      <c r="AD1993"/>
      <c r="AE1993"/>
      <c r="AF1993"/>
    </row>
    <row r="1994" spans="1:32" s="45" customFormat="1" ht="12.75" hidden="1">
      <c r="A1994" s="115"/>
      <c r="B1994" s="115"/>
      <c r="C1994" s="114"/>
      <c r="D1994" s="115"/>
      <c r="E1994" s="116"/>
      <c r="F1994" s="117"/>
      <c r="G1994" s="115"/>
      <c r="H1994" s="115"/>
      <c r="I1994" s="115"/>
      <c r="J1994" s="115"/>
      <c r="L1994" s="115"/>
      <c r="M1994" s="115"/>
      <c r="N1994" s="115"/>
      <c r="O1994" s="118"/>
      <c r="P1994" s="113"/>
      <c r="Q1994" s="119"/>
      <c r="R1994" s="113"/>
      <c r="S1994" s="113"/>
      <c r="T1994" s="113"/>
      <c r="V1994"/>
      <c r="W1994"/>
      <c r="Y1994"/>
      <c r="Z1994"/>
      <c r="AA1994"/>
      <c r="AB1994"/>
      <c r="AC1994"/>
      <c r="AD1994"/>
      <c r="AE1994"/>
      <c r="AF1994"/>
    </row>
    <row r="1995" spans="1:32" s="45" customFormat="1" ht="12.75" hidden="1">
      <c r="A1995" s="115"/>
      <c r="B1995" s="115"/>
      <c r="C1995" s="114"/>
      <c r="D1995" s="115"/>
      <c r="E1995" s="116"/>
      <c r="F1995" s="117"/>
      <c r="G1995" s="115"/>
      <c r="H1995" s="115"/>
      <c r="I1995" s="115"/>
      <c r="J1995" s="115"/>
      <c r="L1995" s="115"/>
      <c r="M1995" s="115"/>
      <c r="N1995" s="115"/>
      <c r="O1995" s="118"/>
      <c r="P1995" s="113"/>
      <c r="Q1995" s="119"/>
      <c r="R1995" s="113"/>
      <c r="S1995" s="113"/>
      <c r="T1995" s="113"/>
      <c r="V1995"/>
      <c r="W1995"/>
      <c r="Y1995"/>
      <c r="Z1995"/>
      <c r="AA1995"/>
      <c r="AB1995"/>
      <c r="AC1995"/>
      <c r="AD1995"/>
      <c r="AE1995"/>
      <c r="AF1995"/>
    </row>
    <row r="1996" spans="1:32" s="45" customFormat="1" ht="12.75" hidden="1">
      <c r="A1996" s="115"/>
      <c r="B1996" s="115"/>
      <c r="C1996" s="114"/>
      <c r="D1996" s="115"/>
      <c r="E1996" s="116"/>
      <c r="F1996" s="117"/>
      <c r="G1996" s="115"/>
      <c r="H1996" s="115"/>
      <c r="I1996" s="115"/>
      <c r="J1996" s="115"/>
      <c r="L1996" s="115"/>
      <c r="M1996" s="115"/>
      <c r="N1996" s="115"/>
      <c r="O1996" s="118"/>
      <c r="P1996" s="113"/>
      <c r="Q1996" s="119"/>
      <c r="R1996" s="113"/>
      <c r="S1996" s="113"/>
      <c r="T1996" s="113"/>
      <c r="V1996"/>
      <c r="W1996"/>
      <c r="Y1996"/>
      <c r="Z1996"/>
      <c r="AA1996"/>
      <c r="AB1996"/>
      <c r="AC1996"/>
      <c r="AD1996"/>
      <c r="AE1996"/>
      <c r="AF1996"/>
    </row>
    <row r="1997" spans="1:32" s="45" customFormat="1" ht="12.75" hidden="1">
      <c r="A1997" s="115"/>
      <c r="B1997" s="115"/>
      <c r="C1997" s="114"/>
      <c r="D1997" s="115"/>
      <c r="E1997" s="116"/>
      <c r="F1997" s="117"/>
      <c r="G1997" s="115"/>
      <c r="H1997" s="115"/>
      <c r="I1997" s="115"/>
      <c r="J1997" s="115"/>
      <c r="L1997" s="115"/>
      <c r="M1997" s="115"/>
      <c r="N1997" s="115"/>
      <c r="O1997" s="118"/>
      <c r="P1997" s="113"/>
      <c r="Q1997" s="119"/>
      <c r="R1997" s="113"/>
      <c r="S1997" s="113"/>
      <c r="T1997" s="113"/>
      <c r="V1997"/>
      <c r="W1997"/>
      <c r="Y1997"/>
      <c r="Z1997"/>
      <c r="AA1997"/>
      <c r="AB1997"/>
      <c r="AC1997"/>
      <c r="AD1997"/>
      <c r="AE1997"/>
      <c r="AF1997"/>
    </row>
    <row r="1998" spans="1:32" s="45" customFormat="1" ht="12.75" hidden="1">
      <c r="A1998" s="115"/>
      <c r="B1998" s="115"/>
      <c r="C1998" s="114"/>
      <c r="D1998" s="115"/>
      <c r="E1998" s="116"/>
      <c r="F1998" s="117"/>
      <c r="G1998" s="115"/>
      <c r="H1998" s="115"/>
      <c r="I1998" s="115"/>
      <c r="J1998" s="115"/>
      <c r="L1998" s="115"/>
      <c r="M1998" s="115"/>
      <c r="N1998" s="115"/>
      <c r="O1998" s="118"/>
      <c r="P1998" s="113"/>
      <c r="Q1998" s="119"/>
      <c r="R1998" s="113"/>
      <c r="S1998" s="113"/>
      <c r="T1998" s="113"/>
      <c r="V1998"/>
      <c r="W1998"/>
      <c r="Y1998"/>
      <c r="Z1998"/>
      <c r="AA1998"/>
      <c r="AB1998"/>
      <c r="AC1998"/>
      <c r="AD1998"/>
      <c r="AE1998"/>
      <c r="AF1998"/>
    </row>
    <row r="1999" spans="1:32" s="45" customFormat="1" ht="12.75" hidden="1">
      <c r="A1999" s="115"/>
      <c r="B1999" s="115"/>
      <c r="C1999" s="114"/>
      <c r="D1999" s="115"/>
      <c r="E1999" s="116"/>
      <c r="F1999" s="117"/>
      <c r="G1999" s="115"/>
      <c r="H1999" s="115"/>
      <c r="I1999" s="115"/>
      <c r="J1999" s="115"/>
      <c r="L1999" s="115"/>
      <c r="M1999" s="115"/>
      <c r="N1999" s="115"/>
      <c r="O1999" s="118"/>
      <c r="P1999" s="113"/>
      <c r="Q1999" s="119"/>
      <c r="R1999" s="113"/>
      <c r="S1999" s="113"/>
      <c r="T1999" s="113"/>
      <c r="V1999"/>
      <c r="W1999"/>
      <c r="Y1999"/>
      <c r="Z1999"/>
      <c r="AA1999"/>
      <c r="AB1999"/>
      <c r="AC1999"/>
      <c r="AD1999"/>
      <c r="AE1999"/>
      <c r="AF1999"/>
    </row>
    <row r="2000" spans="1:32" s="45" customFormat="1" ht="12.75" hidden="1">
      <c r="A2000" s="115"/>
      <c r="B2000" s="115"/>
      <c r="C2000" s="114"/>
      <c r="D2000" s="115"/>
      <c r="E2000" s="116"/>
      <c r="F2000" s="117"/>
      <c r="G2000" s="115"/>
      <c r="H2000" s="115"/>
      <c r="I2000" s="115"/>
      <c r="J2000" s="115"/>
      <c r="L2000" s="115"/>
      <c r="M2000" s="115"/>
      <c r="N2000" s="115"/>
      <c r="O2000" s="118"/>
      <c r="P2000" s="113"/>
      <c r="Q2000" s="119"/>
      <c r="R2000" s="113"/>
      <c r="S2000" s="113"/>
      <c r="T2000" s="113"/>
      <c r="V2000"/>
      <c r="W2000"/>
      <c r="Y2000"/>
      <c r="Z2000"/>
      <c r="AA2000"/>
      <c r="AB2000"/>
      <c r="AC2000"/>
      <c r="AD2000"/>
      <c r="AE2000"/>
      <c r="AF2000"/>
    </row>
    <row r="2001" spans="1:32" s="45" customFormat="1" ht="12.75" hidden="1">
      <c r="A2001" s="115"/>
      <c r="B2001" s="115"/>
      <c r="C2001" s="114"/>
      <c r="D2001" s="115"/>
      <c r="E2001" s="116"/>
      <c r="F2001" s="117"/>
      <c r="G2001" s="115"/>
      <c r="H2001" s="115"/>
      <c r="I2001" s="115"/>
      <c r="J2001" s="115"/>
      <c r="L2001" s="115"/>
      <c r="M2001" s="115"/>
      <c r="N2001" s="115"/>
      <c r="O2001" s="118"/>
      <c r="P2001" s="113"/>
      <c r="Q2001" s="119"/>
      <c r="R2001" s="113"/>
      <c r="S2001" s="113"/>
      <c r="T2001" s="113"/>
      <c r="V2001"/>
      <c r="W2001"/>
      <c r="Y2001"/>
      <c r="Z2001"/>
      <c r="AA2001"/>
      <c r="AB2001"/>
      <c r="AC2001"/>
      <c r="AD2001"/>
      <c r="AE2001"/>
      <c r="AF2001"/>
    </row>
    <row r="2002" spans="1:32" s="45" customFormat="1" ht="12.75" hidden="1">
      <c r="A2002" s="115"/>
      <c r="B2002" s="115"/>
      <c r="C2002" s="114"/>
      <c r="D2002" s="115"/>
      <c r="E2002" s="116"/>
      <c r="F2002" s="117"/>
      <c r="G2002" s="115"/>
      <c r="H2002" s="115"/>
      <c r="I2002" s="115"/>
      <c r="J2002" s="115"/>
      <c r="L2002" s="115"/>
      <c r="M2002" s="115"/>
      <c r="N2002" s="115"/>
      <c r="O2002" s="118"/>
      <c r="P2002" s="113"/>
      <c r="Q2002" s="119"/>
      <c r="R2002" s="113"/>
      <c r="S2002" s="113"/>
      <c r="T2002" s="113"/>
      <c r="V2002"/>
      <c r="W2002"/>
      <c r="Y2002"/>
      <c r="Z2002"/>
      <c r="AA2002"/>
      <c r="AB2002"/>
      <c r="AC2002"/>
      <c r="AD2002"/>
      <c r="AE2002"/>
      <c r="AF2002"/>
    </row>
    <row r="2003" spans="1:32" s="45" customFormat="1" ht="12.75" hidden="1">
      <c r="A2003" s="115"/>
      <c r="B2003" s="115"/>
      <c r="C2003" s="114"/>
      <c r="D2003" s="115"/>
      <c r="E2003" s="116"/>
      <c r="F2003" s="117"/>
      <c r="G2003" s="115"/>
      <c r="H2003" s="115"/>
      <c r="I2003" s="115"/>
      <c r="J2003" s="115"/>
      <c r="L2003" s="115"/>
      <c r="M2003" s="115"/>
      <c r="N2003" s="115"/>
      <c r="O2003" s="118"/>
      <c r="P2003" s="113"/>
      <c r="Q2003" s="119"/>
      <c r="R2003" s="113"/>
      <c r="S2003" s="113"/>
      <c r="T2003" s="113"/>
      <c r="V2003"/>
      <c r="W2003"/>
      <c r="Y2003"/>
      <c r="Z2003"/>
      <c r="AA2003"/>
      <c r="AB2003"/>
      <c r="AC2003"/>
      <c r="AD2003"/>
      <c r="AE2003"/>
      <c r="AF2003"/>
    </row>
    <row r="2004" spans="1:32" s="45" customFormat="1" ht="12.75" hidden="1">
      <c r="A2004" s="115"/>
      <c r="B2004" s="115"/>
      <c r="C2004" s="114"/>
      <c r="D2004" s="115"/>
      <c r="E2004" s="116"/>
      <c r="F2004" s="117"/>
      <c r="G2004" s="115"/>
      <c r="H2004" s="115"/>
      <c r="I2004" s="115"/>
      <c r="J2004" s="115"/>
      <c r="L2004" s="115"/>
      <c r="M2004" s="115"/>
      <c r="N2004" s="115"/>
      <c r="O2004" s="118"/>
      <c r="P2004" s="113"/>
      <c r="Q2004" s="119"/>
      <c r="R2004" s="113"/>
      <c r="S2004" s="113"/>
      <c r="T2004" s="113"/>
      <c r="V2004"/>
      <c r="W2004"/>
      <c r="Y2004"/>
      <c r="Z2004"/>
      <c r="AA2004"/>
      <c r="AB2004"/>
      <c r="AC2004"/>
      <c r="AD2004"/>
      <c r="AE2004"/>
      <c r="AF2004"/>
    </row>
    <row r="2005" spans="1:32" s="45" customFormat="1" ht="12.75" hidden="1">
      <c r="A2005" s="115"/>
      <c r="B2005" s="115"/>
      <c r="C2005" s="114"/>
      <c r="D2005" s="115"/>
      <c r="E2005" s="116"/>
      <c r="F2005" s="117"/>
      <c r="G2005" s="115"/>
      <c r="H2005" s="115"/>
      <c r="I2005" s="115"/>
      <c r="J2005" s="115"/>
      <c r="L2005" s="115"/>
      <c r="M2005" s="115"/>
      <c r="N2005" s="115"/>
      <c r="O2005" s="118"/>
      <c r="P2005" s="113"/>
      <c r="Q2005" s="119"/>
      <c r="R2005" s="113"/>
      <c r="S2005" s="113"/>
      <c r="T2005" s="113"/>
      <c r="V2005"/>
      <c r="W2005"/>
      <c r="Y2005"/>
      <c r="Z2005"/>
      <c r="AA2005"/>
      <c r="AB2005"/>
      <c r="AC2005"/>
      <c r="AD2005"/>
      <c r="AE2005"/>
      <c r="AF2005"/>
    </row>
    <row r="2006" spans="1:32" s="45" customFormat="1" ht="12.75" hidden="1">
      <c r="A2006" s="115"/>
      <c r="B2006" s="115"/>
      <c r="C2006" s="114"/>
      <c r="D2006" s="115"/>
      <c r="E2006" s="116"/>
      <c r="F2006" s="117"/>
      <c r="G2006" s="115"/>
      <c r="H2006" s="115"/>
      <c r="I2006" s="115"/>
      <c r="J2006" s="115"/>
      <c r="L2006" s="115"/>
      <c r="M2006" s="115"/>
      <c r="N2006" s="115"/>
      <c r="O2006" s="118"/>
      <c r="P2006" s="113"/>
      <c r="Q2006" s="119"/>
      <c r="R2006" s="113"/>
      <c r="S2006" s="113"/>
      <c r="T2006" s="113"/>
      <c r="V2006"/>
      <c r="W2006"/>
      <c r="Y2006"/>
      <c r="Z2006"/>
      <c r="AA2006"/>
      <c r="AB2006"/>
      <c r="AC2006"/>
      <c r="AD2006"/>
      <c r="AE2006"/>
      <c r="AF2006"/>
    </row>
    <row r="2007" spans="1:32" s="45" customFormat="1" ht="12.75" hidden="1">
      <c r="A2007" s="115"/>
      <c r="B2007" s="115"/>
      <c r="C2007" s="114"/>
      <c r="D2007" s="115"/>
      <c r="E2007" s="116"/>
      <c r="F2007" s="117"/>
      <c r="G2007" s="115"/>
      <c r="H2007" s="115"/>
      <c r="I2007" s="115"/>
      <c r="J2007" s="115"/>
      <c r="L2007" s="115"/>
      <c r="M2007" s="115"/>
      <c r="N2007" s="115"/>
      <c r="O2007" s="118"/>
      <c r="P2007" s="113"/>
      <c r="Q2007" s="119"/>
      <c r="R2007" s="113"/>
      <c r="S2007" s="113"/>
      <c r="T2007" s="113"/>
      <c r="V2007"/>
      <c r="W2007"/>
      <c r="Y2007"/>
      <c r="Z2007"/>
      <c r="AA2007"/>
      <c r="AB2007"/>
      <c r="AC2007"/>
      <c r="AD2007"/>
      <c r="AE2007"/>
      <c r="AF2007"/>
    </row>
    <row r="2008" spans="1:32" s="45" customFormat="1" ht="12.75" hidden="1">
      <c r="A2008" s="115"/>
      <c r="B2008" s="115"/>
      <c r="C2008" s="114"/>
      <c r="D2008" s="115"/>
      <c r="E2008" s="116"/>
      <c r="F2008" s="117"/>
      <c r="G2008" s="115"/>
      <c r="H2008" s="115"/>
      <c r="I2008" s="115"/>
      <c r="J2008" s="115"/>
      <c r="L2008" s="115"/>
      <c r="M2008" s="115"/>
      <c r="N2008" s="115"/>
      <c r="O2008" s="118"/>
      <c r="P2008" s="113"/>
      <c r="Q2008" s="119"/>
      <c r="R2008" s="113"/>
      <c r="S2008" s="113"/>
      <c r="T2008" s="113"/>
      <c r="V2008"/>
      <c r="W2008"/>
      <c r="Y2008"/>
      <c r="Z2008"/>
      <c r="AA2008"/>
      <c r="AB2008"/>
      <c r="AC2008"/>
      <c r="AD2008"/>
      <c r="AE2008"/>
      <c r="AF2008"/>
    </row>
    <row r="2009" spans="1:32" s="45" customFormat="1" ht="12.75" hidden="1">
      <c r="A2009" s="115"/>
      <c r="B2009" s="115"/>
      <c r="C2009" s="114"/>
      <c r="D2009" s="115"/>
      <c r="E2009" s="116"/>
      <c r="F2009" s="117"/>
      <c r="G2009" s="115"/>
      <c r="H2009" s="115"/>
      <c r="I2009" s="115"/>
      <c r="J2009" s="115"/>
      <c r="L2009" s="115"/>
      <c r="M2009" s="115"/>
      <c r="N2009" s="115"/>
      <c r="O2009" s="118"/>
      <c r="P2009" s="113"/>
      <c r="Q2009" s="119"/>
      <c r="R2009" s="113"/>
      <c r="S2009" s="113"/>
      <c r="T2009" s="113"/>
      <c r="V2009"/>
      <c r="W2009"/>
      <c r="Y2009"/>
      <c r="Z2009"/>
      <c r="AA2009"/>
      <c r="AB2009"/>
      <c r="AC2009"/>
      <c r="AD2009"/>
      <c r="AE2009"/>
      <c r="AF2009"/>
    </row>
    <row r="2010" spans="1:32" s="45" customFormat="1" ht="12.75" hidden="1">
      <c r="A2010" s="115"/>
      <c r="B2010" s="115"/>
      <c r="C2010" s="114"/>
      <c r="D2010" s="115"/>
      <c r="E2010" s="116"/>
      <c r="F2010" s="117"/>
      <c r="G2010" s="115"/>
      <c r="H2010" s="115"/>
      <c r="I2010" s="115"/>
      <c r="J2010" s="115"/>
      <c r="L2010" s="115"/>
      <c r="M2010" s="115"/>
      <c r="N2010" s="115"/>
      <c r="O2010" s="118"/>
      <c r="P2010" s="113"/>
      <c r="Q2010" s="119"/>
      <c r="R2010" s="113"/>
      <c r="S2010" s="113"/>
      <c r="T2010" s="113"/>
      <c r="V2010"/>
      <c r="W2010"/>
      <c r="Y2010"/>
      <c r="Z2010"/>
      <c r="AA2010"/>
      <c r="AB2010"/>
      <c r="AC2010"/>
      <c r="AD2010"/>
      <c r="AE2010"/>
      <c r="AF2010"/>
    </row>
    <row r="2011" spans="1:32" s="45" customFormat="1" ht="12.75" hidden="1">
      <c r="A2011" s="115"/>
      <c r="B2011" s="115"/>
      <c r="C2011" s="114"/>
      <c r="D2011" s="115"/>
      <c r="E2011" s="116"/>
      <c r="F2011" s="117"/>
      <c r="G2011" s="115"/>
      <c r="H2011" s="115"/>
      <c r="I2011" s="115"/>
      <c r="J2011" s="115"/>
      <c r="L2011" s="115"/>
      <c r="M2011" s="115"/>
      <c r="N2011" s="115"/>
      <c r="O2011" s="118"/>
      <c r="P2011" s="113"/>
      <c r="Q2011" s="119"/>
      <c r="R2011" s="113"/>
      <c r="S2011" s="113"/>
      <c r="T2011" s="113"/>
      <c r="V2011"/>
      <c r="W2011"/>
      <c r="Y2011"/>
      <c r="Z2011"/>
      <c r="AA2011"/>
      <c r="AB2011"/>
      <c r="AC2011"/>
      <c r="AD2011"/>
      <c r="AE2011"/>
      <c r="AF2011"/>
    </row>
    <row r="2012" spans="1:32" s="45" customFormat="1" ht="12.75" hidden="1">
      <c r="A2012" s="115"/>
      <c r="B2012" s="115"/>
      <c r="C2012" s="114"/>
      <c r="D2012" s="115"/>
      <c r="E2012" s="116"/>
      <c r="F2012" s="117"/>
      <c r="G2012" s="115"/>
      <c r="H2012" s="115"/>
      <c r="I2012" s="115"/>
      <c r="J2012" s="115"/>
      <c r="L2012" s="115"/>
      <c r="M2012" s="115"/>
      <c r="N2012" s="115"/>
      <c r="O2012" s="118"/>
      <c r="P2012" s="113"/>
      <c r="Q2012" s="119"/>
      <c r="R2012" s="113"/>
      <c r="S2012" s="113"/>
      <c r="T2012" s="113"/>
      <c r="V2012"/>
      <c r="W2012"/>
      <c r="Y2012"/>
      <c r="Z2012"/>
      <c r="AA2012"/>
      <c r="AB2012"/>
      <c r="AC2012"/>
      <c r="AD2012"/>
      <c r="AE2012"/>
      <c r="AF2012"/>
    </row>
    <row r="2013" spans="1:32" s="45" customFormat="1" ht="12.75" hidden="1">
      <c r="A2013" s="115"/>
      <c r="B2013" s="115"/>
      <c r="C2013" s="114"/>
      <c r="D2013" s="115"/>
      <c r="E2013" s="116"/>
      <c r="F2013" s="117"/>
      <c r="G2013" s="115"/>
      <c r="H2013" s="115"/>
      <c r="I2013" s="115"/>
      <c r="J2013" s="115"/>
      <c r="L2013" s="115"/>
      <c r="M2013" s="115"/>
      <c r="N2013" s="115"/>
      <c r="O2013" s="118"/>
      <c r="P2013" s="113"/>
      <c r="Q2013" s="119"/>
      <c r="R2013" s="113"/>
      <c r="S2013" s="113"/>
      <c r="T2013" s="113"/>
      <c r="V2013"/>
      <c r="W2013"/>
      <c r="Y2013"/>
      <c r="Z2013"/>
      <c r="AA2013"/>
      <c r="AB2013"/>
      <c r="AC2013"/>
      <c r="AD2013"/>
      <c r="AE2013"/>
      <c r="AF2013"/>
    </row>
    <row r="2014" spans="1:32" s="45" customFormat="1" ht="12.75" hidden="1">
      <c r="A2014" s="115"/>
      <c r="B2014" s="115"/>
      <c r="C2014" s="114"/>
      <c r="D2014" s="115"/>
      <c r="E2014" s="116"/>
      <c r="F2014" s="117"/>
      <c r="G2014" s="115"/>
      <c r="H2014" s="115"/>
      <c r="I2014" s="115"/>
      <c r="J2014" s="115"/>
      <c r="L2014" s="115"/>
      <c r="M2014" s="115"/>
      <c r="N2014" s="115"/>
      <c r="O2014" s="118"/>
      <c r="P2014" s="113"/>
      <c r="Q2014" s="119"/>
      <c r="R2014" s="113"/>
      <c r="S2014" s="113"/>
      <c r="T2014" s="113"/>
      <c r="V2014"/>
      <c r="W2014"/>
      <c r="Y2014"/>
      <c r="Z2014"/>
      <c r="AA2014"/>
      <c r="AB2014"/>
      <c r="AC2014"/>
      <c r="AD2014"/>
      <c r="AE2014"/>
      <c r="AF2014"/>
    </row>
    <row r="2015" spans="1:32" s="45" customFormat="1" ht="12.75" hidden="1">
      <c r="A2015" s="115"/>
      <c r="B2015" s="115"/>
      <c r="C2015" s="114"/>
      <c r="D2015" s="115"/>
      <c r="E2015" s="116"/>
      <c r="F2015" s="117"/>
      <c r="G2015" s="115"/>
      <c r="H2015" s="115"/>
      <c r="I2015" s="115"/>
      <c r="J2015" s="115"/>
      <c r="L2015" s="115"/>
      <c r="M2015" s="115"/>
      <c r="N2015" s="115"/>
      <c r="O2015" s="118"/>
      <c r="P2015" s="113"/>
      <c r="Q2015" s="119"/>
      <c r="R2015" s="113"/>
      <c r="S2015" s="113"/>
      <c r="T2015" s="113"/>
      <c r="V2015"/>
      <c r="W2015"/>
      <c r="Y2015"/>
      <c r="Z2015"/>
      <c r="AA2015"/>
      <c r="AB2015"/>
      <c r="AC2015"/>
      <c r="AD2015"/>
      <c r="AE2015"/>
      <c r="AF2015"/>
    </row>
    <row r="2016" spans="1:32" s="45" customFormat="1" ht="12.75" hidden="1">
      <c r="A2016" s="115"/>
      <c r="B2016" s="115"/>
      <c r="C2016" s="114"/>
      <c r="D2016" s="115"/>
      <c r="E2016" s="116"/>
      <c r="F2016" s="117"/>
      <c r="G2016" s="115"/>
      <c r="H2016" s="115"/>
      <c r="I2016" s="115"/>
      <c r="J2016" s="115"/>
      <c r="L2016" s="115"/>
      <c r="M2016" s="115"/>
      <c r="N2016" s="115"/>
      <c r="O2016" s="118"/>
      <c r="P2016" s="113"/>
      <c r="Q2016" s="119"/>
      <c r="R2016" s="113"/>
      <c r="S2016" s="113"/>
      <c r="T2016" s="113"/>
      <c r="V2016"/>
      <c r="W2016"/>
      <c r="Y2016"/>
      <c r="Z2016"/>
      <c r="AA2016"/>
      <c r="AB2016"/>
      <c r="AC2016"/>
      <c r="AD2016"/>
      <c r="AE2016"/>
      <c r="AF2016"/>
    </row>
    <row r="2017" spans="1:32" s="45" customFormat="1" ht="12.75" hidden="1">
      <c r="A2017" s="115"/>
      <c r="B2017" s="115"/>
      <c r="C2017" s="114"/>
      <c r="D2017" s="115"/>
      <c r="E2017" s="116"/>
      <c r="F2017" s="117"/>
      <c r="G2017" s="115"/>
      <c r="H2017" s="115"/>
      <c r="I2017" s="115"/>
      <c r="J2017" s="115"/>
      <c r="L2017" s="115"/>
      <c r="M2017" s="115"/>
      <c r="N2017" s="115"/>
      <c r="O2017" s="118"/>
      <c r="P2017" s="113"/>
      <c r="Q2017" s="119"/>
      <c r="R2017" s="113"/>
      <c r="S2017" s="113"/>
      <c r="T2017" s="113"/>
      <c r="V2017"/>
      <c r="W2017"/>
      <c r="Y2017"/>
      <c r="Z2017"/>
      <c r="AA2017"/>
      <c r="AB2017"/>
      <c r="AC2017"/>
      <c r="AD2017"/>
      <c r="AE2017"/>
      <c r="AF2017"/>
    </row>
    <row r="2018" spans="1:32" s="45" customFormat="1" ht="12.75" hidden="1">
      <c r="A2018" s="115"/>
      <c r="B2018" s="115"/>
      <c r="C2018" s="114"/>
      <c r="D2018" s="115"/>
      <c r="E2018" s="116"/>
      <c r="F2018" s="117"/>
      <c r="G2018" s="115"/>
      <c r="H2018" s="115"/>
      <c r="I2018" s="115"/>
      <c r="J2018" s="115"/>
      <c r="L2018" s="115"/>
      <c r="M2018" s="115"/>
      <c r="N2018" s="115"/>
      <c r="O2018" s="118"/>
      <c r="P2018" s="113"/>
      <c r="Q2018" s="119"/>
      <c r="R2018" s="113"/>
      <c r="S2018" s="113"/>
      <c r="T2018" s="113"/>
      <c r="V2018"/>
      <c r="W2018"/>
      <c r="Y2018"/>
      <c r="Z2018"/>
      <c r="AA2018"/>
      <c r="AB2018"/>
      <c r="AC2018"/>
      <c r="AD2018"/>
      <c r="AE2018"/>
      <c r="AF2018"/>
    </row>
    <row r="2019" spans="1:32" s="45" customFormat="1" ht="12.75" hidden="1">
      <c r="A2019" s="115"/>
      <c r="B2019" s="115"/>
      <c r="C2019" s="114"/>
      <c r="D2019" s="115"/>
      <c r="E2019" s="116"/>
      <c r="F2019" s="117"/>
      <c r="G2019" s="115"/>
      <c r="H2019" s="115"/>
      <c r="I2019" s="115"/>
      <c r="J2019" s="115"/>
      <c r="L2019" s="115"/>
      <c r="M2019" s="115"/>
      <c r="N2019" s="115"/>
      <c r="O2019" s="118"/>
      <c r="P2019" s="113"/>
      <c r="Q2019" s="119"/>
      <c r="R2019" s="113"/>
      <c r="S2019" s="113"/>
      <c r="T2019" s="113"/>
      <c r="V2019"/>
      <c r="W2019"/>
      <c r="Y2019"/>
      <c r="Z2019"/>
      <c r="AA2019"/>
      <c r="AB2019"/>
      <c r="AC2019"/>
      <c r="AD2019"/>
      <c r="AE2019"/>
      <c r="AF2019"/>
    </row>
    <row r="2020" spans="1:32" s="45" customFormat="1" ht="12.75" hidden="1">
      <c r="A2020" s="115"/>
      <c r="B2020" s="115"/>
      <c r="C2020" s="114"/>
      <c r="D2020" s="115"/>
      <c r="E2020" s="116"/>
      <c r="F2020" s="117"/>
      <c r="G2020" s="115"/>
      <c r="H2020" s="115"/>
      <c r="I2020" s="115"/>
      <c r="J2020" s="115"/>
      <c r="L2020" s="115"/>
      <c r="M2020" s="115"/>
      <c r="N2020" s="115"/>
      <c r="O2020" s="118"/>
      <c r="P2020" s="113"/>
      <c r="Q2020" s="119"/>
      <c r="R2020" s="113"/>
      <c r="S2020" s="113"/>
      <c r="T2020" s="113"/>
      <c r="V2020"/>
      <c r="W2020"/>
      <c r="Y2020"/>
      <c r="Z2020"/>
      <c r="AA2020"/>
      <c r="AB2020"/>
      <c r="AC2020"/>
      <c r="AD2020"/>
      <c r="AE2020"/>
      <c r="AF2020"/>
    </row>
    <row r="2021" spans="1:32" s="45" customFormat="1" ht="12.75" hidden="1">
      <c r="A2021" s="115"/>
      <c r="B2021" s="115"/>
      <c r="C2021" s="114"/>
      <c r="D2021" s="115"/>
      <c r="E2021" s="116"/>
      <c r="F2021" s="117"/>
      <c r="G2021" s="115"/>
      <c r="H2021" s="115"/>
      <c r="I2021" s="115"/>
      <c r="J2021" s="115"/>
      <c r="L2021" s="115"/>
      <c r="M2021" s="115"/>
      <c r="N2021" s="115"/>
      <c r="O2021" s="118"/>
      <c r="P2021" s="113"/>
      <c r="Q2021" s="119"/>
      <c r="R2021" s="113"/>
      <c r="S2021" s="113"/>
      <c r="T2021" s="113"/>
      <c r="V2021"/>
      <c r="W2021"/>
      <c r="Y2021"/>
      <c r="Z2021"/>
      <c r="AA2021"/>
      <c r="AB2021"/>
      <c r="AC2021"/>
      <c r="AD2021"/>
      <c r="AE2021"/>
      <c r="AF2021"/>
    </row>
    <row r="2022" spans="1:32" s="45" customFormat="1" ht="12.75" hidden="1">
      <c r="A2022" s="115"/>
      <c r="B2022" s="115"/>
      <c r="C2022" s="114"/>
      <c r="D2022" s="115"/>
      <c r="E2022" s="116"/>
      <c r="F2022" s="117"/>
      <c r="G2022" s="115"/>
      <c r="H2022" s="115"/>
      <c r="I2022" s="115"/>
      <c r="J2022" s="115"/>
      <c r="L2022" s="115"/>
      <c r="M2022" s="115"/>
      <c r="N2022" s="115"/>
      <c r="O2022" s="118"/>
      <c r="P2022" s="113"/>
      <c r="Q2022" s="119"/>
      <c r="R2022" s="113"/>
      <c r="S2022" s="113"/>
      <c r="T2022" s="113"/>
      <c r="V2022"/>
      <c r="W2022"/>
      <c r="Y2022"/>
      <c r="Z2022"/>
      <c r="AA2022"/>
      <c r="AB2022"/>
      <c r="AC2022"/>
      <c r="AD2022"/>
      <c r="AE2022"/>
      <c r="AF2022"/>
    </row>
    <row r="2023" spans="1:32" s="45" customFormat="1" ht="12.75" hidden="1">
      <c r="A2023" s="115"/>
      <c r="B2023" s="115"/>
      <c r="C2023" s="114"/>
      <c r="D2023" s="115"/>
      <c r="E2023" s="116"/>
      <c r="F2023" s="117"/>
      <c r="G2023" s="115"/>
      <c r="H2023" s="115"/>
      <c r="I2023" s="115"/>
      <c r="J2023" s="115"/>
      <c r="L2023" s="115"/>
      <c r="M2023" s="115"/>
      <c r="N2023" s="115"/>
      <c r="O2023" s="118"/>
      <c r="P2023" s="113"/>
      <c r="Q2023" s="119"/>
      <c r="R2023" s="113"/>
      <c r="S2023" s="113"/>
      <c r="T2023" s="113"/>
      <c r="V2023"/>
      <c r="W2023"/>
      <c r="Y2023"/>
      <c r="Z2023"/>
      <c r="AA2023"/>
      <c r="AB2023"/>
      <c r="AC2023"/>
      <c r="AD2023"/>
      <c r="AE2023"/>
      <c r="AF2023"/>
    </row>
    <row r="2024" spans="1:32" s="45" customFormat="1" ht="12.75" hidden="1">
      <c r="A2024" s="115"/>
      <c r="B2024" s="115"/>
      <c r="C2024" s="114"/>
      <c r="D2024" s="115"/>
      <c r="E2024" s="116"/>
      <c r="F2024" s="117"/>
      <c r="G2024" s="115"/>
      <c r="H2024" s="115"/>
      <c r="I2024" s="115"/>
      <c r="J2024" s="115"/>
      <c r="L2024" s="115"/>
      <c r="M2024" s="115"/>
      <c r="N2024" s="115"/>
      <c r="O2024" s="118"/>
      <c r="P2024" s="113"/>
      <c r="Q2024" s="119"/>
      <c r="R2024" s="113"/>
      <c r="S2024" s="113"/>
      <c r="T2024" s="113"/>
      <c r="V2024"/>
      <c r="W2024"/>
      <c r="Y2024"/>
      <c r="Z2024"/>
      <c r="AA2024"/>
      <c r="AB2024"/>
      <c r="AC2024"/>
      <c r="AD2024"/>
      <c r="AE2024"/>
      <c r="AF2024"/>
    </row>
    <row r="2025" spans="1:32" s="45" customFormat="1" ht="12.75" hidden="1">
      <c r="A2025" s="115"/>
      <c r="B2025" s="115"/>
      <c r="C2025" s="114"/>
      <c r="D2025" s="115"/>
      <c r="E2025" s="116"/>
      <c r="F2025" s="117"/>
      <c r="G2025" s="115"/>
      <c r="H2025" s="115"/>
      <c r="I2025" s="115"/>
      <c r="J2025" s="115"/>
      <c r="L2025" s="115"/>
      <c r="M2025" s="115"/>
      <c r="N2025" s="115"/>
      <c r="O2025" s="118"/>
      <c r="P2025" s="113"/>
      <c r="Q2025" s="119"/>
      <c r="R2025" s="113"/>
      <c r="S2025" s="113"/>
      <c r="T2025" s="113"/>
      <c r="V2025"/>
      <c r="W2025"/>
      <c r="Y2025"/>
      <c r="Z2025"/>
      <c r="AA2025"/>
      <c r="AB2025"/>
      <c r="AC2025"/>
      <c r="AD2025"/>
      <c r="AE2025"/>
      <c r="AF2025"/>
    </row>
    <row r="2026" spans="1:32" s="45" customFormat="1" ht="12.75" hidden="1">
      <c r="A2026" s="115"/>
      <c r="B2026" s="115"/>
      <c r="C2026" s="114"/>
      <c r="D2026" s="115"/>
      <c r="E2026" s="116"/>
      <c r="F2026" s="117"/>
      <c r="G2026" s="115"/>
      <c r="H2026" s="115"/>
      <c r="I2026" s="115"/>
      <c r="J2026" s="115"/>
      <c r="L2026" s="115"/>
      <c r="M2026" s="115"/>
      <c r="N2026" s="115"/>
      <c r="O2026" s="118"/>
      <c r="P2026" s="113"/>
      <c r="Q2026" s="119"/>
      <c r="R2026" s="113"/>
      <c r="S2026" s="113"/>
      <c r="T2026" s="113"/>
      <c r="V2026"/>
      <c r="W2026"/>
      <c r="Y2026"/>
      <c r="Z2026"/>
      <c r="AA2026"/>
      <c r="AB2026"/>
      <c r="AC2026"/>
      <c r="AD2026"/>
      <c r="AE2026"/>
      <c r="AF2026"/>
    </row>
    <row r="2027" spans="1:32" s="45" customFormat="1" ht="12.75" hidden="1">
      <c r="A2027" s="115"/>
      <c r="B2027" s="115"/>
      <c r="C2027" s="114"/>
      <c r="D2027" s="115"/>
      <c r="E2027" s="116"/>
      <c r="F2027" s="117"/>
      <c r="G2027" s="115"/>
      <c r="H2027" s="115"/>
      <c r="I2027" s="115"/>
      <c r="J2027" s="115"/>
      <c r="L2027" s="115"/>
      <c r="M2027" s="115"/>
      <c r="N2027" s="115"/>
      <c r="O2027" s="118"/>
      <c r="P2027" s="113"/>
      <c r="Q2027" s="119"/>
      <c r="R2027" s="113"/>
      <c r="S2027" s="113"/>
      <c r="T2027" s="113"/>
      <c r="V2027"/>
      <c r="W2027"/>
      <c r="Y2027"/>
      <c r="Z2027"/>
      <c r="AA2027"/>
      <c r="AB2027"/>
      <c r="AC2027"/>
      <c r="AD2027"/>
      <c r="AE2027"/>
      <c r="AF2027"/>
    </row>
    <row r="2028" spans="1:32" s="45" customFormat="1" ht="12.75" hidden="1">
      <c r="A2028" s="115"/>
      <c r="B2028" s="115"/>
      <c r="C2028" s="114"/>
      <c r="D2028" s="115"/>
      <c r="E2028" s="116"/>
      <c r="F2028" s="117"/>
      <c r="G2028" s="115"/>
      <c r="H2028" s="115"/>
      <c r="I2028" s="115"/>
      <c r="J2028" s="115"/>
      <c r="L2028" s="115"/>
      <c r="M2028" s="115"/>
      <c r="N2028" s="115"/>
      <c r="O2028" s="118"/>
      <c r="P2028" s="113"/>
      <c r="Q2028" s="119"/>
      <c r="R2028" s="113"/>
      <c r="S2028" s="113"/>
      <c r="T2028" s="113"/>
      <c r="V2028"/>
      <c r="W2028"/>
      <c r="Y2028"/>
      <c r="Z2028"/>
      <c r="AA2028"/>
      <c r="AB2028"/>
      <c r="AC2028"/>
      <c r="AD2028"/>
      <c r="AE2028"/>
      <c r="AF2028"/>
    </row>
    <row r="2029" spans="1:32" s="45" customFormat="1" ht="12.75" hidden="1">
      <c r="A2029" s="115"/>
      <c r="B2029" s="115"/>
      <c r="C2029" s="114"/>
      <c r="D2029" s="115"/>
      <c r="E2029" s="116"/>
      <c r="F2029" s="117"/>
      <c r="G2029" s="115"/>
      <c r="H2029" s="115"/>
      <c r="I2029" s="115"/>
      <c r="J2029" s="115"/>
      <c r="L2029" s="115"/>
      <c r="M2029" s="115"/>
      <c r="N2029" s="115"/>
      <c r="O2029" s="118"/>
      <c r="P2029" s="113"/>
      <c r="Q2029" s="119"/>
      <c r="R2029" s="113"/>
      <c r="S2029" s="113"/>
      <c r="T2029" s="113"/>
      <c r="V2029"/>
      <c r="W2029"/>
      <c r="Y2029"/>
      <c r="Z2029"/>
      <c r="AA2029"/>
      <c r="AB2029"/>
      <c r="AC2029"/>
      <c r="AD2029"/>
      <c r="AE2029"/>
      <c r="AF2029"/>
    </row>
    <row r="2030" spans="1:32" s="45" customFormat="1" ht="12.75" hidden="1">
      <c r="A2030" s="115"/>
      <c r="B2030" s="115"/>
      <c r="C2030" s="114"/>
      <c r="D2030" s="115"/>
      <c r="E2030" s="116"/>
      <c r="F2030" s="117"/>
      <c r="G2030" s="115"/>
      <c r="H2030" s="115"/>
      <c r="I2030" s="115"/>
      <c r="J2030" s="115"/>
      <c r="L2030" s="115"/>
      <c r="M2030" s="115"/>
      <c r="N2030" s="115"/>
      <c r="O2030" s="118"/>
      <c r="P2030" s="113"/>
      <c r="Q2030" s="119"/>
      <c r="R2030" s="113"/>
      <c r="S2030" s="113"/>
      <c r="T2030" s="113"/>
      <c r="V2030"/>
      <c r="W2030"/>
      <c r="Y2030"/>
      <c r="Z2030"/>
      <c r="AA2030"/>
      <c r="AB2030"/>
      <c r="AC2030"/>
      <c r="AD2030"/>
      <c r="AE2030"/>
      <c r="AF2030"/>
    </row>
    <row r="2031" spans="1:32" s="45" customFormat="1" ht="12.75" hidden="1">
      <c r="A2031" s="115"/>
      <c r="B2031" s="115"/>
      <c r="C2031" s="114"/>
      <c r="D2031" s="115"/>
      <c r="E2031" s="116"/>
      <c r="F2031" s="117"/>
      <c r="G2031" s="115"/>
      <c r="H2031" s="115"/>
      <c r="I2031" s="115"/>
      <c r="J2031" s="115"/>
      <c r="L2031" s="115"/>
      <c r="M2031" s="115"/>
      <c r="N2031" s="115"/>
      <c r="O2031" s="118"/>
      <c r="P2031" s="113"/>
      <c r="Q2031" s="119"/>
      <c r="R2031" s="113"/>
      <c r="S2031" s="113"/>
      <c r="T2031" s="113"/>
      <c r="V2031"/>
      <c r="W2031"/>
      <c r="Y2031"/>
      <c r="Z2031"/>
      <c r="AA2031"/>
      <c r="AB2031"/>
      <c r="AC2031"/>
      <c r="AD2031"/>
      <c r="AE2031"/>
      <c r="AF2031"/>
    </row>
    <row r="2032" spans="1:32" s="45" customFormat="1" ht="12.75" hidden="1">
      <c r="A2032" s="115"/>
      <c r="B2032" s="115"/>
      <c r="C2032" s="114"/>
      <c r="D2032" s="115"/>
      <c r="E2032" s="116"/>
      <c r="F2032" s="117"/>
      <c r="G2032" s="115"/>
      <c r="H2032" s="115"/>
      <c r="I2032" s="115"/>
      <c r="J2032" s="115"/>
      <c r="L2032" s="115"/>
      <c r="M2032" s="115"/>
      <c r="N2032" s="115"/>
      <c r="O2032" s="118"/>
      <c r="P2032" s="113"/>
      <c r="Q2032" s="119"/>
      <c r="R2032" s="113"/>
      <c r="S2032" s="113"/>
      <c r="T2032" s="113"/>
      <c r="V2032"/>
      <c r="W2032"/>
      <c r="Y2032"/>
      <c r="Z2032"/>
      <c r="AA2032"/>
      <c r="AB2032"/>
      <c r="AC2032"/>
      <c r="AD2032"/>
      <c r="AE2032"/>
      <c r="AF2032"/>
    </row>
    <row r="2033" spans="1:32" s="45" customFormat="1" ht="12.75" hidden="1">
      <c r="A2033" s="115"/>
      <c r="B2033" s="115"/>
      <c r="C2033" s="114"/>
      <c r="D2033" s="115"/>
      <c r="E2033" s="116"/>
      <c r="F2033" s="117"/>
      <c r="G2033" s="115"/>
      <c r="H2033" s="115"/>
      <c r="I2033" s="115"/>
      <c r="J2033" s="115"/>
      <c r="L2033" s="115"/>
      <c r="M2033" s="115"/>
      <c r="N2033" s="115"/>
      <c r="O2033" s="118"/>
      <c r="P2033" s="113"/>
      <c r="Q2033" s="119"/>
      <c r="R2033" s="113"/>
      <c r="S2033" s="113"/>
      <c r="T2033" s="113"/>
      <c r="V2033"/>
      <c r="W2033"/>
      <c r="Y2033"/>
      <c r="Z2033"/>
      <c r="AA2033"/>
      <c r="AB2033"/>
      <c r="AC2033"/>
      <c r="AD2033"/>
      <c r="AE2033"/>
      <c r="AF2033"/>
    </row>
    <row r="2034" spans="1:32" s="45" customFormat="1" ht="12.75" hidden="1">
      <c r="A2034" s="115"/>
      <c r="B2034" s="115"/>
      <c r="C2034" s="114"/>
      <c r="D2034" s="115"/>
      <c r="E2034" s="116"/>
      <c r="F2034" s="117"/>
      <c r="G2034" s="115"/>
      <c r="H2034" s="115"/>
      <c r="I2034" s="115"/>
      <c r="J2034" s="115"/>
      <c r="L2034" s="115"/>
      <c r="M2034" s="115"/>
      <c r="N2034" s="115"/>
      <c r="O2034" s="118"/>
      <c r="P2034" s="113"/>
      <c r="Q2034" s="119"/>
      <c r="R2034" s="113"/>
      <c r="S2034" s="113"/>
      <c r="T2034" s="113"/>
      <c r="V2034"/>
      <c r="W2034"/>
      <c r="Y2034"/>
      <c r="Z2034"/>
      <c r="AA2034"/>
      <c r="AB2034"/>
      <c r="AC2034"/>
      <c r="AD2034"/>
      <c r="AE2034"/>
      <c r="AF2034"/>
    </row>
    <row r="2035" spans="1:32" s="45" customFormat="1" ht="12.75" hidden="1">
      <c r="A2035" s="115"/>
      <c r="B2035" s="115"/>
      <c r="C2035" s="114"/>
      <c r="D2035" s="115"/>
      <c r="E2035" s="116"/>
      <c r="F2035" s="117"/>
      <c r="G2035" s="115"/>
      <c r="H2035" s="115"/>
      <c r="I2035" s="115"/>
      <c r="J2035" s="115"/>
      <c r="L2035" s="115"/>
      <c r="M2035" s="115"/>
      <c r="N2035" s="115"/>
      <c r="O2035" s="118"/>
      <c r="P2035" s="113"/>
      <c r="Q2035" s="119"/>
      <c r="R2035" s="113"/>
      <c r="S2035" s="113"/>
      <c r="T2035" s="113"/>
      <c r="V2035"/>
      <c r="W2035"/>
      <c r="Y2035"/>
      <c r="Z2035"/>
      <c r="AA2035"/>
      <c r="AB2035"/>
      <c r="AC2035"/>
      <c r="AD2035"/>
      <c r="AE2035"/>
      <c r="AF2035"/>
    </row>
    <row r="2036" spans="1:32" s="45" customFormat="1" ht="12.75" hidden="1">
      <c r="A2036" s="115"/>
      <c r="B2036" s="115"/>
      <c r="C2036" s="114"/>
      <c r="D2036" s="115"/>
      <c r="E2036" s="116"/>
      <c r="F2036" s="117"/>
      <c r="G2036" s="115"/>
      <c r="H2036" s="115"/>
      <c r="I2036" s="115"/>
      <c r="J2036" s="115"/>
      <c r="L2036" s="115"/>
      <c r="M2036" s="115"/>
      <c r="N2036" s="115"/>
      <c r="O2036" s="118"/>
      <c r="P2036" s="113"/>
      <c r="Q2036" s="119"/>
      <c r="R2036" s="113"/>
      <c r="S2036" s="113"/>
      <c r="T2036" s="113"/>
      <c r="V2036"/>
      <c r="W2036"/>
      <c r="Y2036"/>
      <c r="Z2036"/>
      <c r="AA2036"/>
      <c r="AB2036"/>
      <c r="AC2036"/>
      <c r="AD2036"/>
      <c r="AE2036"/>
      <c r="AF2036"/>
    </row>
    <row r="2037" spans="1:32" s="45" customFormat="1" ht="12.75" hidden="1">
      <c r="A2037" s="115"/>
      <c r="B2037" s="115"/>
      <c r="C2037" s="114"/>
      <c r="D2037" s="115"/>
      <c r="E2037" s="116"/>
      <c r="F2037" s="117"/>
      <c r="G2037" s="115"/>
      <c r="H2037" s="115"/>
      <c r="I2037" s="115"/>
      <c r="J2037" s="115"/>
      <c r="L2037" s="115"/>
      <c r="M2037" s="115"/>
      <c r="N2037" s="115"/>
      <c r="O2037" s="118"/>
      <c r="P2037" s="113"/>
      <c r="Q2037" s="119"/>
      <c r="R2037" s="113"/>
      <c r="S2037" s="113"/>
      <c r="T2037" s="113"/>
      <c r="V2037"/>
      <c r="W2037"/>
      <c r="Y2037"/>
      <c r="Z2037"/>
      <c r="AA2037"/>
      <c r="AB2037"/>
      <c r="AC2037"/>
      <c r="AD2037"/>
      <c r="AE2037"/>
      <c r="AF2037"/>
    </row>
    <row r="2038" spans="1:32" s="45" customFormat="1" ht="12.75" hidden="1">
      <c r="A2038" s="115"/>
      <c r="B2038" s="115"/>
      <c r="C2038" s="114"/>
      <c r="D2038" s="115"/>
      <c r="E2038" s="116"/>
      <c r="F2038" s="117"/>
      <c r="G2038" s="115"/>
      <c r="H2038" s="115"/>
      <c r="I2038" s="115"/>
      <c r="J2038" s="115"/>
      <c r="L2038" s="115"/>
      <c r="M2038" s="115"/>
      <c r="N2038" s="115"/>
      <c r="O2038" s="118"/>
      <c r="P2038" s="113"/>
      <c r="Q2038" s="119"/>
      <c r="R2038" s="113"/>
      <c r="S2038" s="113"/>
      <c r="T2038" s="113"/>
      <c r="V2038"/>
      <c r="W2038"/>
      <c r="Y2038"/>
      <c r="Z2038"/>
      <c r="AA2038"/>
      <c r="AB2038"/>
      <c r="AC2038"/>
      <c r="AD2038"/>
      <c r="AE2038"/>
      <c r="AF2038"/>
    </row>
    <row r="2039" spans="1:32" s="45" customFormat="1" ht="12.75" hidden="1">
      <c r="A2039" s="115"/>
      <c r="B2039" s="115"/>
      <c r="C2039" s="114"/>
      <c r="D2039" s="115"/>
      <c r="E2039" s="116"/>
      <c r="F2039" s="117"/>
      <c r="G2039" s="115"/>
      <c r="H2039" s="115"/>
      <c r="I2039" s="115"/>
      <c r="J2039" s="115"/>
      <c r="L2039" s="115"/>
      <c r="M2039" s="115"/>
      <c r="N2039" s="115"/>
      <c r="O2039" s="118"/>
      <c r="P2039" s="113"/>
      <c r="Q2039" s="119"/>
      <c r="R2039" s="113"/>
      <c r="S2039" s="113"/>
      <c r="T2039" s="113"/>
      <c r="V2039"/>
      <c r="W2039"/>
      <c r="Y2039"/>
      <c r="Z2039"/>
      <c r="AA2039"/>
      <c r="AB2039"/>
      <c r="AC2039"/>
      <c r="AD2039"/>
      <c r="AE2039"/>
      <c r="AF2039"/>
    </row>
    <row r="2040" spans="1:32" s="45" customFormat="1" ht="12.75" hidden="1">
      <c r="A2040" s="115"/>
      <c r="B2040" s="115"/>
      <c r="C2040" s="114"/>
      <c r="D2040" s="115"/>
      <c r="E2040" s="116"/>
      <c r="F2040" s="117"/>
      <c r="G2040" s="115"/>
      <c r="H2040" s="115"/>
      <c r="I2040" s="115"/>
      <c r="J2040" s="115"/>
      <c r="L2040" s="115"/>
      <c r="M2040" s="115"/>
      <c r="N2040" s="115"/>
      <c r="O2040" s="118"/>
      <c r="P2040" s="113"/>
      <c r="Q2040" s="119"/>
      <c r="R2040" s="113"/>
      <c r="S2040" s="113"/>
      <c r="T2040" s="113"/>
      <c r="V2040"/>
      <c r="W2040"/>
      <c r="Y2040"/>
      <c r="Z2040"/>
      <c r="AA2040"/>
      <c r="AB2040"/>
      <c r="AC2040"/>
      <c r="AD2040"/>
      <c r="AE2040"/>
      <c r="AF2040"/>
    </row>
    <row r="2041" spans="1:32" s="45" customFormat="1" ht="12.75" hidden="1">
      <c r="A2041" s="115"/>
      <c r="B2041" s="115"/>
      <c r="C2041" s="114"/>
      <c r="D2041" s="115"/>
      <c r="E2041" s="116"/>
      <c r="F2041" s="117"/>
      <c r="G2041" s="115"/>
      <c r="H2041" s="115"/>
      <c r="I2041" s="115"/>
      <c r="J2041" s="115"/>
      <c r="L2041" s="115"/>
      <c r="M2041" s="115"/>
      <c r="N2041" s="115"/>
      <c r="O2041" s="118"/>
      <c r="P2041" s="113"/>
      <c r="Q2041" s="119"/>
      <c r="R2041" s="113"/>
      <c r="S2041" s="113"/>
      <c r="T2041" s="113"/>
      <c r="V2041"/>
      <c r="W2041"/>
      <c r="Y2041"/>
      <c r="Z2041"/>
      <c r="AA2041"/>
      <c r="AB2041"/>
      <c r="AC2041"/>
      <c r="AD2041"/>
      <c r="AE2041"/>
      <c r="AF2041"/>
    </row>
    <row r="2042" spans="1:32" s="45" customFormat="1" ht="12.75" hidden="1">
      <c r="A2042" s="115"/>
      <c r="B2042" s="115"/>
      <c r="C2042" s="114"/>
      <c r="D2042" s="115"/>
      <c r="E2042" s="116"/>
      <c r="F2042" s="117"/>
      <c r="G2042" s="115"/>
      <c r="H2042" s="115"/>
      <c r="I2042" s="115"/>
      <c r="J2042" s="115"/>
      <c r="L2042" s="115"/>
      <c r="M2042" s="115"/>
      <c r="N2042" s="115"/>
      <c r="O2042" s="118"/>
      <c r="P2042" s="113"/>
      <c r="Q2042" s="119"/>
      <c r="R2042" s="113"/>
      <c r="S2042" s="113"/>
      <c r="T2042" s="113"/>
      <c r="V2042"/>
      <c r="W2042"/>
      <c r="Y2042"/>
      <c r="Z2042"/>
      <c r="AA2042"/>
      <c r="AB2042"/>
      <c r="AC2042"/>
      <c r="AD2042"/>
      <c r="AE2042"/>
      <c r="AF2042"/>
    </row>
    <row r="2043" spans="1:32" s="45" customFormat="1" ht="12.75" hidden="1">
      <c r="A2043" s="115"/>
      <c r="B2043" s="115"/>
      <c r="C2043" s="114"/>
      <c r="D2043" s="115"/>
      <c r="E2043" s="116"/>
      <c r="F2043" s="117"/>
      <c r="G2043" s="115"/>
      <c r="H2043" s="115"/>
      <c r="I2043" s="115"/>
      <c r="J2043" s="115"/>
      <c r="L2043" s="115"/>
      <c r="M2043" s="115"/>
      <c r="N2043" s="115"/>
      <c r="O2043" s="118"/>
      <c r="P2043" s="113"/>
      <c r="Q2043" s="119"/>
      <c r="R2043" s="113"/>
      <c r="S2043" s="113"/>
      <c r="T2043" s="113"/>
      <c r="V2043"/>
      <c r="W2043"/>
      <c r="Y2043"/>
      <c r="Z2043"/>
      <c r="AA2043"/>
      <c r="AB2043"/>
      <c r="AC2043"/>
      <c r="AD2043"/>
      <c r="AE2043"/>
      <c r="AF2043"/>
    </row>
    <row r="2044" spans="1:32" s="45" customFormat="1" ht="12.75" hidden="1">
      <c r="A2044" s="115"/>
      <c r="B2044" s="115"/>
      <c r="C2044" s="114"/>
      <c r="D2044" s="115"/>
      <c r="E2044" s="116"/>
      <c r="F2044" s="117"/>
      <c r="G2044" s="115"/>
      <c r="H2044" s="115"/>
      <c r="I2044" s="115"/>
      <c r="J2044" s="115"/>
      <c r="L2044" s="115"/>
      <c r="M2044" s="115"/>
      <c r="N2044" s="115"/>
      <c r="O2044" s="118"/>
      <c r="P2044" s="113"/>
      <c r="Q2044" s="119"/>
      <c r="R2044" s="113"/>
      <c r="S2044" s="113"/>
      <c r="T2044" s="113"/>
      <c r="V2044"/>
      <c r="W2044"/>
      <c r="Y2044"/>
      <c r="Z2044"/>
      <c r="AA2044"/>
      <c r="AB2044"/>
      <c r="AC2044"/>
      <c r="AD2044"/>
      <c r="AE2044"/>
      <c r="AF2044"/>
    </row>
    <row r="2045" spans="1:32" s="45" customFormat="1" ht="12.75" hidden="1">
      <c r="A2045" s="115"/>
      <c r="B2045" s="115"/>
      <c r="C2045" s="114"/>
      <c r="D2045" s="115"/>
      <c r="E2045" s="116"/>
      <c r="F2045" s="117"/>
      <c r="G2045" s="115"/>
      <c r="H2045" s="115"/>
      <c r="I2045" s="115"/>
      <c r="J2045" s="115"/>
      <c r="L2045" s="115"/>
      <c r="M2045" s="115"/>
      <c r="N2045" s="115"/>
      <c r="O2045" s="118"/>
      <c r="P2045" s="113"/>
      <c r="Q2045" s="119"/>
      <c r="R2045" s="113"/>
      <c r="S2045" s="113"/>
      <c r="T2045" s="113"/>
      <c r="V2045"/>
      <c r="W2045"/>
      <c r="Y2045"/>
      <c r="Z2045"/>
      <c r="AA2045"/>
      <c r="AB2045"/>
      <c r="AC2045"/>
      <c r="AD2045"/>
      <c r="AE2045"/>
      <c r="AF2045"/>
    </row>
    <row r="2046" spans="1:32" s="45" customFormat="1" ht="12.75" hidden="1">
      <c r="A2046" s="115"/>
      <c r="B2046" s="115"/>
      <c r="C2046" s="114"/>
      <c r="D2046" s="115"/>
      <c r="E2046" s="116"/>
      <c r="F2046" s="117"/>
      <c r="G2046" s="115"/>
      <c r="H2046" s="115"/>
      <c r="I2046" s="115"/>
      <c r="J2046" s="115"/>
      <c r="L2046" s="115"/>
      <c r="M2046" s="115"/>
      <c r="N2046" s="115"/>
      <c r="O2046" s="118"/>
      <c r="P2046" s="113"/>
      <c r="Q2046" s="119"/>
      <c r="R2046" s="113"/>
      <c r="S2046" s="113"/>
      <c r="T2046" s="113"/>
      <c r="V2046"/>
      <c r="W2046"/>
      <c r="Y2046"/>
      <c r="Z2046"/>
      <c r="AA2046"/>
      <c r="AB2046"/>
      <c r="AC2046"/>
      <c r="AD2046"/>
      <c r="AE2046"/>
      <c r="AF2046"/>
    </row>
    <row r="2047" spans="1:32" s="45" customFormat="1" ht="12.75" hidden="1">
      <c r="A2047" s="115"/>
      <c r="B2047" s="115"/>
      <c r="C2047" s="114"/>
      <c r="D2047" s="115"/>
      <c r="E2047" s="116"/>
      <c r="F2047" s="117"/>
      <c r="G2047" s="115"/>
      <c r="H2047" s="115"/>
      <c r="I2047" s="115"/>
      <c r="J2047" s="115"/>
      <c r="L2047" s="115"/>
      <c r="M2047" s="115"/>
      <c r="N2047" s="115"/>
      <c r="O2047" s="118"/>
      <c r="P2047" s="113"/>
      <c r="Q2047" s="119"/>
      <c r="R2047" s="113"/>
      <c r="S2047" s="113"/>
      <c r="T2047" s="113"/>
      <c r="V2047"/>
      <c r="W2047"/>
      <c r="Y2047"/>
      <c r="Z2047"/>
      <c r="AA2047"/>
      <c r="AB2047"/>
      <c r="AC2047"/>
      <c r="AD2047"/>
      <c r="AE2047"/>
      <c r="AF2047"/>
    </row>
    <row r="2048" spans="1:32" s="45" customFormat="1" ht="12.75" hidden="1">
      <c r="A2048" s="115"/>
      <c r="B2048" s="115"/>
      <c r="C2048" s="114"/>
      <c r="D2048" s="115"/>
      <c r="E2048" s="116"/>
      <c r="F2048" s="117"/>
      <c r="G2048" s="115"/>
      <c r="H2048" s="115"/>
      <c r="I2048" s="115"/>
      <c r="J2048" s="115"/>
      <c r="L2048" s="115"/>
      <c r="M2048" s="115"/>
      <c r="N2048" s="115"/>
      <c r="O2048" s="118"/>
      <c r="P2048" s="113"/>
      <c r="Q2048" s="119"/>
      <c r="R2048" s="113"/>
      <c r="S2048" s="113"/>
      <c r="T2048" s="113"/>
      <c r="V2048"/>
      <c r="W2048"/>
      <c r="Y2048"/>
      <c r="Z2048"/>
      <c r="AA2048"/>
      <c r="AB2048"/>
      <c r="AC2048"/>
      <c r="AD2048"/>
      <c r="AE2048"/>
      <c r="AF2048"/>
    </row>
    <row r="2049" spans="1:32" s="45" customFormat="1" ht="12.75" hidden="1">
      <c r="A2049" s="115"/>
      <c r="B2049" s="115"/>
      <c r="C2049" s="114"/>
      <c r="D2049" s="115"/>
      <c r="E2049" s="116"/>
      <c r="F2049" s="117"/>
      <c r="G2049" s="115"/>
      <c r="H2049" s="115"/>
      <c r="I2049" s="115"/>
      <c r="J2049" s="115"/>
      <c r="L2049" s="115"/>
      <c r="M2049" s="115"/>
      <c r="N2049" s="115"/>
      <c r="O2049" s="118"/>
      <c r="P2049" s="113"/>
      <c r="Q2049" s="119"/>
      <c r="R2049" s="113"/>
      <c r="S2049" s="113"/>
      <c r="T2049" s="113"/>
      <c r="V2049"/>
      <c r="W2049"/>
      <c r="Y2049"/>
      <c r="Z2049"/>
      <c r="AA2049"/>
      <c r="AB2049"/>
      <c r="AC2049"/>
      <c r="AD2049"/>
      <c r="AE2049"/>
      <c r="AF2049"/>
    </row>
    <row r="2050" spans="1:32" s="45" customFormat="1" ht="12.75" hidden="1">
      <c r="A2050" s="115"/>
      <c r="B2050" s="115"/>
      <c r="C2050" s="114"/>
      <c r="D2050" s="115"/>
      <c r="E2050" s="116"/>
      <c r="F2050" s="117"/>
      <c r="G2050" s="115"/>
      <c r="H2050" s="115"/>
      <c r="I2050" s="115"/>
      <c r="J2050" s="115"/>
      <c r="L2050" s="115"/>
      <c r="M2050" s="115"/>
      <c r="N2050" s="115"/>
      <c r="O2050" s="118"/>
      <c r="P2050" s="113"/>
      <c r="Q2050" s="119"/>
      <c r="R2050" s="113"/>
      <c r="S2050" s="113"/>
      <c r="T2050" s="113"/>
      <c r="V2050"/>
      <c r="W2050"/>
      <c r="Y2050"/>
      <c r="Z2050"/>
      <c r="AA2050"/>
      <c r="AB2050"/>
      <c r="AC2050"/>
      <c r="AD2050"/>
      <c r="AE2050"/>
      <c r="AF2050"/>
    </row>
    <row r="2051" spans="1:32" s="45" customFormat="1" ht="12.75" hidden="1">
      <c r="A2051" s="115"/>
      <c r="B2051" s="115"/>
      <c r="C2051" s="114"/>
      <c r="D2051" s="115"/>
      <c r="E2051" s="116"/>
      <c r="F2051" s="117"/>
      <c r="G2051" s="115"/>
      <c r="H2051" s="115"/>
      <c r="I2051" s="115"/>
      <c r="J2051" s="115"/>
      <c r="L2051" s="115"/>
      <c r="M2051" s="115"/>
      <c r="N2051" s="115"/>
      <c r="O2051" s="118"/>
      <c r="P2051" s="113"/>
      <c r="Q2051" s="119"/>
      <c r="R2051" s="113"/>
      <c r="S2051" s="113"/>
      <c r="T2051" s="113"/>
      <c r="V2051"/>
      <c r="W2051"/>
      <c r="Y2051"/>
      <c r="Z2051"/>
      <c r="AA2051"/>
      <c r="AB2051"/>
      <c r="AC2051"/>
      <c r="AD2051"/>
      <c r="AE2051"/>
      <c r="AF2051"/>
    </row>
    <row r="2052" spans="1:32" s="45" customFormat="1" ht="12.75" hidden="1">
      <c r="A2052" s="115"/>
      <c r="B2052" s="115"/>
      <c r="C2052" s="114"/>
      <c r="D2052" s="115"/>
      <c r="E2052" s="116"/>
      <c r="F2052" s="117"/>
      <c r="G2052" s="115"/>
      <c r="H2052" s="115"/>
      <c r="I2052" s="115"/>
      <c r="J2052" s="115"/>
      <c r="L2052" s="115"/>
      <c r="M2052" s="115"/>
      <c r="N2052" s="115"/>
      <c r="O2052" s="118"/>
      <c r="P2052" s="113"/>
      <c r="Q2052" s="119"/>
      <c r="R2052" s="113"/>
      <c r="S2052" s="113"/>
      <c r="T2052" s="113"/>
      <c r="V2052"/>
      <c r="W2052"/>
      <c r="Y2052"/>
      <c r="Z2052"/>
      <c r="AA2052"/>
      <c r="AB2052"/>
      <c r="AC2052"/>
      <c r="AD2052"/>
      <c r="AE2052"/>
      <c r="AF2052"/>
    </row>
    <row r="2053" spans="1:32" s="45" customFormat="1" ht="12.75" hidden="1">
      <c r="A2053" s="115"/>
      <c r="B2053" s="115"/>
      <c r="C2053" s="114"/>
      <c r="D2053" s="115"/>
      <c r="E2053" s="115"/>
      <c r="F2053" s="115"/>
      <c r="G2053" s="115"/>
      <c r="H2053" s="115"/>
      <c r="I2053" s="115"/>
      <c r="J2053" s="115"/>
      <c r="L2053" s="115"/>
      <c r="M2053" s="115"/>
      <c r="N2053" s="115"/>
      <c r="O2053" s="118"/>
      <c r="P2053" s="113"/>
      <c r="Q2053" s="119"/>
      <c r="R2053" s="113"/>
      <c r="S2053" s="113"/>
      <c r="T2053" s="113"/>
      <c r="V2053"/>
      <c r="W2053"/>
      <c r="Y2053"/>
      <c r="Z2053"/>
      <c r="AA2053"/>
      <c r="AB2053"/>
      <c r="AC2053"/>
      <c r="AD2053"/>
      <c r="AE2053"/>
      <c r="AF2053"/>
    </row>
    <row r="2054" spans="1:32" s="45" customFormat="1" ht="12.75" hidden="1">
      <c r="A2054" s="115"/>
      <c r="B2054" s="115"/>
      <c r="C2054" s="114"/>
      <c r="D2054" s="115"/>
      <c r="E2054" s="115"/>
      <c r="F2054" s="115"/>
      <c r="G2054" s="115"/>
      <c r="H2054" s="115"/>
      <c r="I2054" s="115"/>
      <c r="J2054" s="115"/>
      <c r="L2054" s="115"/>
      <c r="M2054" s="115"/>
      <c r="N2054" s="115"/>
      <c r="O2054" s="118"/>
      <c r="P2054" s="113"/>
      <c r="Q2054" s="119"/>
      <c r="R2054" s="113"/>
      <c r="S2054" s="113"/>
      <c r="T2054" s="113"/>
      <c r="V2054"/>
      <c r="W2054"/>
      <c r="Y2054"/>
      <c r="Z2054"/>
      <c r="AA2054"/>
      <c r="AB2054"/>
      <c r="AC2054"/>
      <c r="AD2054"/>
      <c r="AE2054"/>
      <c r="AF2054"/>
    </row>
    <row r="2055" spans="1:32" s="45" customFormat="1" ht="12.75" hidden="1">
      <c r="A2055" s="115"/>
      <c r="B2055" s="115"/>
      <c r="C2055" s="114"/>
      <c r="D2055" s="115"/>
      <c r="E2055" s="115"/>
      <c r="F2055" s="115"/>
      <c r="G2055" s="115"/>
      <c r="H2055" s="115"/>
      <c r="I2055" s="115"/>
      <c r="J2055" s="115"/>
      <c r="L2055" s="115"/>
      <c r="M2055" s="115"/>
      <c r="N2055" s="115"/>
      <c r="O2055" s="118"/>
      <c r="P2055" s="113"/>
      <c r="Q2055" s="119"/>
      <c r="R2055" s="113"/>
      <c r="S2055" s="113"/>
      <c r="T2055" s="113"/>
      <c r="V2055"/>
      <c r="W2055"/>
      <c r="Y2055"/>
      <c r="Z2055"/>
      <c r="AA2055"/>
      <c r="AB2055"/>
      <c r="AC2055"/>
      <c r="AD2055"/>
      <c r="AE2055"/>
      <c r="AF2055"/>
    </row>
    <row r="2056" spans="1:32" s="45" customFormat="1" ht="12.75" hidden="1">
      <c r="A2056" s="115"/>
      <c r="B2056" s="115"/>
      <c r="C2056" s="114"/>
      <c r="D2056" s="115"/>
      <c r="E2056" s="115"/>
      <c r="F2056" s="115"/>
      <c r="G2056" s="115"/>
      <c r="H2056" s="115"/>
      <c r="I2056" s="115"/>
      <c r="J2056" s="115"/>
      <c r="L2056" s="115"/>
      <c r="M2056" s="115"/>
      <c r="N2056" s="115"/>
      <c r="O2056" s="118"/>
      <c r="P2056" s="113"/>
      <c r="Q2056" s="119"/>
      <c r="R2056" s="113"/>
      <c r="S2056" s="113"/>
      <c r="T2056" s="113"/>
      <c r="V2056"/>
      <c r="W2056"/>
      <c r="Y2056"/>
      <c r="Z2056"/>
      <c r="AA2056"/>
      <c r="AB2056"/>
      <c r="AC2056"/>
      <c r="AD2056"/>
      <c r="AE2056"/>
      <c r="AF2056"/>
    </row>
    <row r="2057" spans="1:32" s="45" customFormat="1" ht="12.75" hidden="1">
      <c r="A2057" s="115"/>
      <c r="B2057" s="115"/>
      <c r="C2057" s="114"/>
      <c r="D2057" s="115"/>
      <c r="E2057" s="115"/>
      <c r="F2057" s="115"/>
      <c r="G2057" s="115"/>
      <c r="H2057" s="115"/>
      <c r="I2057" s="115"/>
      <c r="J2057" s="115"/>
      <c r="L2057" s="115"/>
      <c r="M2057" s="115"/>
      <c r="N2057" s="115"/>
      <c r="O2057" s="118"/>
      <c r="P2057" s="113"/>
      <c r="Q2057" s="119"/>
      <c r="R2057" s="113"/>
      <c r="S2057" s="113"/>
      <c r="T2057" s="113"/>
      <c r="V2057"/>
      <c r="W2057"/>
      <c r="Y2057"/>
      <c r="Z2057"/>
      <c r="AA2057"/>
      <c r="AB2057"/>
      <c r="AC2057"/>
      <c r="AD2057"/>
      <c r="AE2057"/>
      <c r="AF2057"/>
    </row>
    <row r="2058" spans="1:32" s="45" customFormat="1" ht="12.75" hidden="1">
      <c r="A2058" s="115"/>
      <c r="B2058" s="115"/>
      <c r="C2058" s="114"/>
      <c r="D2058" s="115"/>
      <c r="E2058" s="115"/>
      <c r="F2058" s="115"/>
      <c r="G2058" s="115"/>
      <c r="H2058" s="115"/>
      <c r="I2058" s="115"/>
      <c r="J2058" s="115"/>
      <c r="L2058" s="115"/>
      <c r="M2058" s="115"/>
      <c r="N2058" s="115"/>
      <c r="O2058" s="118"/>
      <c r="P2058" s="113"/>
      <c r="Q2058" s="119"/>
      <c r="R2058" s="113"/>
      <c r="S2058" s="113"/>
      <c r="T2058" s="113"/>
      <c r="V2058"/>
      <c r="W2058"/>
      <c r="Y2058"/>
      <c r="Z2058"/>
      <c r="AA2058"/>
      <c r="AB2058"/>
      <c r="AC2058"/>
      <c r="AD2058"/>
      <c r="AE2058"/>
      <c r="AF2058"/>
    </row>
    <row r="2059" spans="1:32" s="45" customFormat="1" ht="12.75" hidden="1">
      <c r="A2059" s="115"/>
      <c r="B2059" s="115"/>
      <c r="C2059" s="114"/>
      <c r="D2059" s="115"/>
      <c r="E2059" s="115"/>
      <c r="F2059" s="115"/>
      <c r="G2059" s="115"/>
      <c r="H2059" s="115"/>
      <c r="I2059" s="115"/>
      <c r="J2059" s="115"/>
      <c r="L2059" s="115"/>
      <c r="M2059" s="115"/>
      <c r="N2059" s="115"/>
      <c r="O2059" s="118"/>
      <c r="P2059" s="113"/>
      <c r="Q2059" s="119"/>
      <c r="R2059" s="113"/>
      <c r="S2059" s="113"/>
      <c r="T2059" s="113"/>
      <c r="V2059"/>
      <c r="W2059"/>
      <c r="Y2059"/>
      <c r="Z2059"/>
      <c r="AA2059"/>
      <c r="AB2059"/>
      <c r="AC2059"/>
      <c r="AD2059"/>
      <c r="AE2059"/>
      <c r="AF2059"/>
    </row>
    <row r="2060" spans="1:32" s="45" customFormat="1" ht="12.75" hidden="1">
      <c r="A2060" s="115"/>
      <c r="B2060" s="115"/>
      <c r="C2060" s="114"/>
      <c r="D2060" s="115"/>
      <c r="E2060" s="115"/>
      <c r="F2060" s="115"/>
      <c r="G2060" s="115"/>
      <c r="H2060" s="115"/>
      <c r="I2060" s="115"/>
      <c r="J2060" s="115"/>
      <c r="L2060" s="115"/>
      <c r="M2060" s="115"/>
      <c r="N2060" s="115"/>
      <c r="O2060" s="118"/>
      <c r="P2060" s="113"/>
      <c r="Q2060" s="119"/>
      <c r="R2060" s="113"/>
      <c r="S2060" s="113"/>
      <c r="T2060" s="113"/>
      <c r="V2060"/>
      <c r="W2060"/>
      <c r="Y2060"/>
      <c r="Z2060"/>
      <c r="AA2060"/>
      <c r="AB2060"/>
      <c r="AC2060"/>
      <c r="AD2060"/>
      <c r="AE2060"/>
      <c r="AF2060"/>
    </row>
    <row r="2061" spans="1:32" s="45" customFormat="1" ht="12.75" hidden="1">
      <c r="A2061" s="115"/>
      <c r="B2061" s="115"/>
      <c r="C2061" s="114"/>
      <c r="D2061" s="115"/>
      <c r="E2061" s="115"/>
      <c r="F2061" s="115"/>
      <c r="G2061" s="115"/>
      <c r="H2061" s="115"/>
      <c r="I2061" s="115"/>
      <c r="J2061" s="115"/>
      <c r="L2061" s="115"/>
      <c r="M2061" s="115"/>
      <c r="N2061" s="115"/>
      <c r="O2061" s="118"/>
      <c r="P2061" s="113"/>
      <c r="Q2061" s="119"/>
      <c r="R2061" s="113"/>
      <c r="S2061" s="113"/>
      <c r="T2061" s="113"/>
      <c r="V2061"/>
      <c r="W2061"/>
      <c r="Y2061"/>
      <c r="Z2061"/>
      <c r="AA2061"/>
      <c r="AB2061"/>
      <c r="AC2061"/>
      <c r="AD2061"/>
      <c r="AE2061"/>
      <c r="AF2061"/>
    </row>
    <row r="2062" spans="1:32" s="45" customFormat="1" ht="12.75" hidden="1">
      <c r="A2062" s="115"/>
      <c r="B2062" s="115"/>
      <c r="C2062" s="114"/>
      <c r="D2062" s="115"/>
      <c r="E2062" s="115"/>
      <c r="F2062" s="115"/>
      <c r="G2062" s="115"/>
      <c r="H2062" s="115"/>
      <c r="I2062" s="115"/>
      <c r="J2062" s="115"/>
      <c r="L2062" s="115"/>
      <c r="M2062" s="115"/>
      <c r="N2062" s="115"/>
      <c r="O2062" s="118"/>
      <c r="P2062" s="113"/>
      <c r="Q2062" s="119"/>
      <c r="R2062" s="113"/>
      <c r="S2062" s="113"/>
      <c r="T2062" s="113"/>
      <c r="V2062"/>
      <c r="W2062"/>
      <c r="Y2062"/>
      <c r="Z2062"/>
      <c r="AA2062"/>
      <c r="AB2062"/>
      <c r="AC2062"/>
      <c r="AD2062"/>
      <c r="AE2062"/>
      <c r="AF2062"/>
    </row>
    <row r="2063" spans="1:32" s="45" customFormat="1" ht="12.75" hidden="1">
      <c r="A2063" s="115"/>
      <c r="B2063" s="115"/>
      <c r="C2063" s="114"/>
      <c r="D2063" s="115"/>
      <c r="E2063" s="115"/>
      <c r="F2063" s="115"/>
      <c r="G2063" s="115"/>
      <c r="H2063" s="115"/>
      <c r="I2063" s="115"/>
      <c r="J2063" s="115"/>
      <c r="L2063" s="115"/>
      <c r="M2063" s="115"/>
      <c r="N2063" s="115"/>
      <c r="O2063" s="118"/>
      <c r="P2063" s="113"/>
      <c r="Q2063" s="119"/>
      <c r="R2063" s="113"/>
      <c r="S2063" s="113"/>
      <c r="T2063" s="113"/>
      <c r="V2063"/>
      <c r="W2063"/>
      <c r="Y2063"/>
      <c r="Z2063"/>
      <c r="AA2063"/>
      <c r="AB2063"/>
      <c r="AC2063"/>
      <c r="AD2063"/>
      <c r="AE2063"/>
      <c r="AF2063"/>
    </row>
    <row r="2064" spans="1:32" s="45" customFormat="1" ht="12.75" hidden="1">
      <c r="A2064" s="115"/>
      <c r="B2064" s="115"/>
      <c r="C2064" s="114"/>
      <c r="D2064" s="115"/>
      <c r="E2064" s="115"/>
      <c r="F2064" s="115"/>
      <c r="G2064" s="115"/>
      <c r="H2064" s="115"/>
      <c r="I2064" s="115"/>
      <c r="J2064" s="115"/>
      <c r="L2064" s="115"/>
      <c r="M2064" s="115"/>
      <c r="N2064" s="115"/>
      <c r="O2064" s="118"/>
      <c r="P2064" s="113"/>
      <c r="Q2064" s="119"/>
      <c r="R2064" s="113"/>
      <c r="S2064" s="113"/>
      <c r="T2064" s="113"/>
      <c r="V2064"/>
      <c r="W2064"/>
      <c r="Y2064"/>
      <c r="Z2064"/>
      <c r="AA2064"/>
      <c r="AB2064"/>
      <c r="AC2064"/>
      <c r="AD2064"/>
      <c r="AE2064"/>
      <c r="AF2064"/>
    </row>
    <row r="2065" spans="1:32" s="45" customFormat="1" ht="12.75" hidden="1">
      <c r="A2065" s="115"/>
      <c r="B2065" s="115"/>
      <c r="C2065" s="114"/>
      <c r="D2065" s="115"/>
      <c r="E2065" s="115"/>
      <c r="F2065" s="115"/>
      <c r="G2065" s="115"/>
      <c r="H2065" s="115"/>
      <c r="I2065" s="115"/>
      <c r="J2065" s="115"/>
      <c r="L2065" s="115"/>
      <c r="M2065" s="115"/>
      <c r="N2065" s="115"/>
      <c r="O2065" s="118"/>
      <c r="P2065" s="113"/>
      <c r="Q2065" s="119"/>
      <c r="R2065" s="113"/>
      <c r="S2065" s="113"/>
      <c r="T2065" s="113"/>
      <c r="V2065"/>
      <c r="W2065"/>
      <c r="Y2065"/>
      <c r="Z2065"/>
      <c r="AA2065"/>
      <c r="AB2065"/>
      <c r="AC2065"/>
      <c r="AD2065"/>
      <c r="AE2065"/>
      <c r="AF2065"/>
    </row>
    <row r="2066" spans="1:32" s="45" customFormat="1" ht="12.75" hidden="1">
      <c r="A2066" s="115"/>
      <c r="B2066" s="115"/>
      <c r="C2066" s="114"/>
      <c r="D2066" s="115"/>
      <c r="E2066" s="115"/>
      <c r="F2066" s="115"/>
      <c r="G2066" s="115"/>
      <c r="H2066" s="115"/>
      <c r="I2066" s="115"/>
      <c r="J2066" s="115"/>
      <c r="L2066" s="115"/>
      <c r="M2066" s="115"/>
      <c r="N2066" s="115"/>
      <c r="O2066" s="118"/>
      <c r="P2066" s="113"/>
      <c r="Q2066" s="119"/>
      <c r="R2066" s="113"/>
      <c r="S2066" s="113"/>
      <c r="T2066" s="113"/>
      <c r="V2066"/>
      <c r="W2066"/>
      <c r="Y2066"/>
      <c r="Z2066"/>
      <c r="AA2066"/>
      <c r="AB2066"/>
      <c r="AC2066"/>
      <c r="AD2066"/>
      <c r="AE2066"/>
      <c r="AF2066"/>
    </row>
    <row r="2067" spans="1:32" s="45" customFormat="1" ht="12.75" hidden="1">
      <c r="A2067" s="115"/>
      <c r="B2067" s="115"/>
      <c r="C2067" s="114"/>
      <c r="D2067" s="115"/>
      <c r="E2067" s="115"/>
      <c r="F2067" s="115"/>
      <c r="G2067" s="115"/>
      <c r="H2067" s="115"/>
      <c r="I2067" s="115"/>
      <c r="J2067" s="115"/>
      <c r="L2067" s="115"/>
      <c r="M2067" s="115"/>
      <c r="N2067" s="115"/>
      <c r="O2067" s="118"/>
      <c r="P2067" s="113"/>
      <c r="Q2067" s="119"/>
      <c r="R2067" s="113"/>
      <c r="S2067" s="113"/>
      <c r="T2067" s="113"/>
      <c r="V2067"/>
      <c r="W2067"/>
      <c r="Y2067"/>
      <c r="Z2067"/>
      <c r="AA2067"/>
      <c r="AB2067"/>
      <c r="AC2067"/>
      <c r="AD2067"/>
      <c r="AE2067"/>
      <c r="AF2067"/>
    </row>
    <row r="2068" spans="1:32" s="45" customFormat="1" ht="12.75" hidden="1">
      <c r="A2068" s="115"/>
      <c r="B2068" s="115"/>
      <c r="C2068" s="114"/>
      <c r="D2068" s="115"/>
      <c r="E2068" s="115"/>
      <c r="F2068" s="115"/>
      <c r="G2068" s="115"/>
      <c r="H2068" s="115"/>
      <c r="I2068" s="115"/>
      <c r="J2068" s="115"/>
      <c r="L2068" s="115"/>
      <c r="M2068" s="115"/>
      <c r="N2068" s="115"/>
      <c r="O2068" s="118"/>
      <c r="P2068" s="113"/>
      <c r="Q2068" s="119"/>
      <c r="R2068" s="113"/>
      <c r="S2068" s="113"/>
      <c r="T2068" s="113"/>
      <c r="V2068"/>
      <c r="W2068"/>
      <c r="Y2068"/>
      <c r="Z2068"/>
      <c r="AA2068"/>
      <c r="AB2068"/>
      <c r="AC2068"/>
      <c r="AD2068"/>
      <c r="AE2068"/>
      <c r="AF2068"/>
    </row>
    <row r="2069" spans="1:32" s="45" customFormat="1" ht="12.75" hidden="1">
      <c r="A2069" s="115"/>
      <c r="B2069" s="115"/>
      <c r="C2069" s="114"/>
      <c r="D2069" s="115"/>
      <c r="E2069" s="115"/>
      <c r="F2069" s="115"/>
      <c r="G2069" s="115"/>
      <c r="H2069" s="115"/>
      <c r="I2069" s="115"/>
      <c r="J2069" s="115"/>
      <c r="L2069" s="115"/>
      <c r="M2069" s="115"/>
      <c r="N2069" s="115"/>
      <c r="O2069" s="118"/>
      <c r="P2069" s="113"/>
      <c r="Q2069" s="119"/>
      <c r="R2069" s="113"/>
      <c r="S2069" s="113"/>
      <c r="T2069" s="113"/>
      <c r="V2069"/>
      <c r="W2069"/>
      <c r="Y2069"/>
      <c r="Z2069"/>
      <c r="AA2069"/>
      <c r="AB2069"/>
      <c r="AC2069"/>
      <c r="AD2069"/>
      <c r="AE2069"/>
      <c r="AF2069"/>
    </row>
    <row r="2070" spans="1:32" s="45" customFormat="1" ht="12.75" hidden="1">
      <c r="A2070" s="115"/>
      <c r="B2070" s="115"/>
      <c r="C2070" s="114"/>
      <c r="D2070" s="115"/>
      <c r="E2070" s="115"/>
      <c r="F2070" s="115"/>
      <c r="G2070" s="115"/>
      <c r="H2070" s="115"/>
      <c r="I2070" s="115"/>
      <c r="J2070" s="115"/>
      <c r="L2070" s="115"/>
      <c r="M2070" s="115"/>
      <c r="N2070" s="115"/>
      <c r="O2070" s="118"/>
      <c r="P2070" s="113"/>
      <c r="Q2070" s="119"/>
      <c r="R2070" s="113"/>
      <c r="S2070" s="113"/>
      <c r="T2070" s="113"/>
      <c r="V2070"/>
      <c r="W2070"/>
      <c r="Y2070"/>
      <c r="Z2070"/>
      <c r="AA2070"/>
      <c r="AB2070"/>
      <c r="AC2070"/>
      <c r="AD2070"/>
      <c r="AE2070"/>
      <c r="AF2070"/>
    </row>
    <row r="2071" spans="1:32" s="45" customFormat="1" ht="12.75" hidden="1">
      <c r="A2071" s="115"/>
      <c r="B2071" s="115"/>
      <c r="C2071" s="114"/>
      <c r="D2071" s="115"/>
      <c r="E2071" s="115"/>
      <c r="F2071" s="115"/>
      <c r="G2071" s="115"/>
      <c r="H2071" s="115"/>
      <c r="I2071" s="115"/>
      <c r="J2071" s="115"/>
      <c r="L2071" s="115"/>
      <c r="M2071" s="115"/>
      <c r="N2071" s="115"/>
      <c r="O2071" s="118"/>
      <c r="P2071" s="113"/>
      <c r="Q2071" s="119"/>
      <c r="R2071" s="113"/>
      <c r="S2071" s="113"/>
      <c r="T2071" s="113"/>
      <c r="V2071"/>
      <c r="W2071"/>
      <c r="Y2071"/>
      <c r="Z2071"/>
      <c r="AA2071"/>
      <c r="AB2071"/>
      <c r="AC2071"/>
      <c r="AD2071"/>
      <c r="AE2071"/>
      <c r="AF2071"/>
    </row>
    <row r="2072" spans="1:32" s="45" customFormat="1" ht="12.75" hidden="1">
      <c r="A2072" s="115"/>
      <c r="B2072" s="115"/>
      <c r="C2072" s="114"/>
      <c r="D2072" s="115"/>
      <c r="E2072" s="115"/>
      <c r="F2072" s="115"/>
      <c r="G2072" s="115"/>
      <c r="H2072" s="115"/>
      <c r="I2072" s="115"/>
      <c r="J2072" s="115"/>
      <c r="L2072" s="115"/>
      <c r="M2072" s="115"/>
      <c r="N2072" s="115"/>
      <c r="O2072" s="118"/>
      <c r="P2072" s="113"/>
      <c r="Q2072" s="119"/>
      <c r="R2072" s="113"/>
      <c r="S2072" s="113"/>
      <c r="T2072" s="113"/>
      <c r="V2072"/>
      <c r="W2072"/>
      <c r="Y2072"/>
      <c r="Z2072"/>
      <c r="AA2072"/>
      <c r="AB2072"/>
      <c r="AC2072"/>
      <c r="AD2072"/>
      <c r="AE2072"/>
      <c r="AF2072"/>
    </row>
    <row r="2073" spans="1:32" s="45" customFormat="1" ht="12.75" hidden="1">
      <c r="A2073" s="115"/>
      <c r="B2073" s="115"/>
      <c r="C2073" s="114"/>
      <c r="D2073" s="115"/>
      <c r="E2073" s="115"/>
      <c r="F2073" s="115"/>
      <c r="G2073" s="115"/>
      <c r="H2073" s="115"/>
      <c r="I2073" s="115"/>
      <c r="J2073" s="115"/>
      <c r="L2073" s="115"/>
      <c r="M2073" s="115"/>
      <c r="N2073" s="115"/>
      <c r="O2073" s="118"/>
      <c r="P2073" s="113"/>
      <c r="Q2073" s="119"/>
      <c r="R2073" s="113"/>
      <c r="S2073" s="113"/>
      <c r="T2073" s="113"/>
      <c r="V2073"/>
      <c r="W2073"/>
      <c r="Y2073"/>
      <c r="Z2073"/>
      <c r="AA2073"/>
      <c r="AB2073"/>
      <c r="AC2073"/>
      <c r="AD2073"/>
      <c r="AE2073"/>
      <c r="AF2073"/>
    </row>
    <row r="2074" spans="1:32" s="45" customFormat="1" ht="12.75" hidden="1">
      <c r="A2074" s="115"/>
      <c r="B2074" s="115"/>
      <c r="C2074" s="114"/>
      <c r="D2074" s="115"/>
      <c r="E2074" s="115"/>
      <c r="F2074" s="115"/>
      <c r="G2074" s="115"/>
      <c r="H2074" s="115"/>
      <c r="I2074" s="115"/>
      <c r="J2074" s="115"/>
      <c r="L2074" s="115"/>
      <c r="M2074" s="115"/>
      <c r="N2074" s="115"/>
      <c r="O2074" s="118"/>
      <c r="P2074" s="113"/>
      <c r="Q2074" s="119"/>
      <c r="R2074" s="113"/>
      <c r="S2074" s="113"/>
      <c r="T2074" s="113"/>
      <c r="V2074"/>
      <c r="W2074"/>
      <c r="Y2074"/>
      <c r="Z2074"/>
      <c r="AA2074"/>
      <c r="AB2074"/>
      <c r="AC2074"/>
      <c r="AD2074"/>
      <c r="AE2074"/>
      <c r="AF2074"/>
    </row>
    <row r="2075" spans="1:32" s="45" customFormat="1" ht="12.75" hidden="1">
      <c r="A2075" s="115"/>
      <c r="B2075" s="115"/>
      <c r="C2075" s="114"/>
      <c r="D2075" s="115"/>
      <c r="E2075" s="115"/>
      <c r="F2075" s="115"/>
      <c r="G2075" s="115"/>
      <c r="H2075" s="115"/>
      <c r="I2075" s="115"/>
      <c r="J2075" s="115"/>
      <c r="L2075" s="115"/>
      <c r="M2075" s="115"/>
      <c r="N2075" s="115"/>
      <c r="O2075" s="118"/>
      <c r="P2075" s="113"/>
      <c r="Q2075" s="119"/>
      <c r="R2075" s="113"/>
      <c r="S2075" s="113"/>
      <c r="T2075" s="113"/>
      <c r="V2075"/>
      <c r="W2075"/>
      <c r="Y2075"/>
      <c r="Z2075"/>
      <c r="AA2075"/>
      <c r="AB2075"/>
      <c r="AC2075"/>
      <c r="AD2075"/>
      <c r="AE2075"/>
      <c r="AF2075"/>
    </row>
    <row r="2076" spans="1:32" s="45" customFormat="1" ht="12.75" hidden="1">
      <c r="A2076" s="115"/>
      <c r="B2076" s="115"/>
      <c r="C2076" s="114"/>
      <c r="D2076" s="115"/>
      <c r="E2076" s="115"/>
      <c r="F2076" s="115"/>
      <c r="G2076" s="115"/>
      <c r="H2076" s="115"/>
      <c r="I2076" s="115"/>
      <c r="J2076" s="115"/>
      <c r="L2076" s="115"/>
      <c r="M2076" s="115"/>
      <c r="N2076" s="115"/>
      <c r="O2076" s="118"/>
      <c r="P2076" s="113"/>
      <c r="Q2076" s="119"/>
      <c r="R2076" s="113"/>
      <c r="S2076" s="113"/>
      <c r="T2076" s="113"/>
      <c r="V2076"/>
      <c r="W2076"/>
      <c r="Y2076"/>
      <c r="Z2076"/>
      <c r="AA2076"/>
      <c r="AB2076"/>
      <c r="AC2076"/>
      <c r="AD2076"/>
      <c r="AE2076"/>
      <c r="AF2076"/>
    </row>
    <row r="2077" spans="1:32" s="45" customFormat="1" ht="12.75" hidden="1">
      <c r="A2077" s="115"/>
      <c r="B2077" s="115"/>
      <c r="C2077" s="114"/>
      <c r="D2077" s="115"/>
      <c r="E2077" s="115"/>
      <c r="F2077" s="115"/>
      <c r="G2077" s="115"/>
      <c r="H2077" s="115"/>
      <c r="I2077" s="115"/>
      <c r="J2077" s="115"/>
      <c r="L2077" s="115"/>
      <c r="M2077" s="115"/>
      <c r="N2077" s="115"/>
      <c r="O2077" s="118"/>
      <c r="P2077" s="113"/>
      <c r="Q2077" s="119"/>
      <c r="R2077" s="113"/>
      <c r="S2077" s="113"/>
      <c r="T2077" s="113"/>
      <c r="V2077"/>
      <c r="W2077"/>
      <c r="Y2077"/>
      <c r="Z2077"/>
      <c r="AA2077"/>
      <c r="AB2077"/>
      <c r="AC2077"/>
      <c r="AD2077"/>
      <c r="AE2077"/>
      <c r="AF2077"/>
    </row>
    <row r="2078" spans="1:32" s="45" customFormat="1" ht="12.75" hidden="1">
      <c r="A2078" s="115"/>
      <c r="B2078" s="115"/>
      <c r="C2078" s="114"/>
      <c r="D2078" s="115"/>
      <c r="E2078" s="115"/>
      <c r="F2078" s="115"/>
      <c r="G2078" s="115"/>
      <c r="H2078" s="115"/>
      <c r="I2078" s="115"/>
      <c r="J2078" s="115"/>
      <c r="L2078" s="115"/>
      <c r="M2078" s="115"/>
      <c r="N2078" s="115"/>
      <c r="O2078" s="118"/>
      <c r="P2078" s="113"/>
      <c r="Q2078" s="119"/>
      <c r="R2078" s="113"/>
      <c r="S2078" s="113"/>
      <c r="T2078" s="113"/>
      <c r="V2078"/>
      <c r="W2078"/>
      <c r="Y2078"/>
      <c r="Z2078"/>
      <c r="AA2078"/>
      <c r="AB2078"/>
      <c r="AC2078"/>
      <c r="AD2078"/>
      <c r="AE2078"/>
      <c r="AF2078"/>
    </row>
    <row r="2079" spans="1:32" s="45" customFormat="1" ht="12.75" hidden="1">
      <c r="A2079" s="115"/>
      <c r="B2079" s="115"/>
      <c r="C2079" s="114"/>
      <c r="D2079" s="115"/>
      <c r="E2079" s="115"/>
      <c r="F2079" s="115"/>
      <c r="G2079" s="115"/>
      <c r="H2079" s="115"/>
      <c r="I2079" s="115"/>
      <c r="J2079" s="115"/>
      <c r="L2079" s="115"/>
      <c r="M2079" s="115"/>
      <c r="N2079" s="115"/>
      <c r="O2079" s="118"/>
      <c r="P2079" s="113"/>
      <c r="Q2079" s="119"/>
      <c r="R2079" s="113"/>
      <c r="S2079" s="113"/>
      <c r="T2079" s="113"/>
      <c r="V2079"/>
      <c r="W2079"/>
      <c r="Y2079"/>
      <c r="Z2079"/>
      <c r="AA2079"/>
      <c r="AB2079"/>
      <c r="AC2079"/>
      <c r="AD2079"/>
      <c r="AE2079"/>
      <c r="AF2079"/>
    </row>
    <row r="2080" spans="1:32" s="45" customFormat="1" ht="12.75" hidden="1">
      <c r="A2080" s="115"/>
      <c r="B2080" s="115"/>
      <c r="C2080" s="114"/>
      <c r="D2080" s="115"/>
      <c r="E2080" s="115"/>
      <c r="F2080" s="115"/>
      <c r="G2080" s="115"/>
      <c r="H2080" s="115"/>
      <c r="I2080" s="115"/>
      <c r="J2080" s="115"/>
      <c r="L2080" s="115"/>
      <c r="M2080" s="115"/>
      <c r="N2080" s="115"/>
      <c r="O2080" s="118"/>
      <c r="P2080" s="113"/>
      <c r="Q2080" s="119"/>
      <c r="R2080" s="113"/>
      <c r="S2080" s="113"/>
      <c r="T2080" s="113"/>
      <c r="V2080"/>
      <c r="W2080"/>
      <c r="Y2080"/>
      <c r="Z2080"/>
      <c r="AA2080"/>
      <c r="AB2080"/>
      <c r="AC2080"/>
      <c r="AD2080"/>
      <c r="AE2080"/>
      <c r="AF2080"/>
    </row>
    <row r="2081" spans="1:32" s="45" customFormat="1" ht="12.75" hidden="1">
      <c r="A2081" s="115"/>
      <c r="B2081" s="115"/>
      <c r="C2081" s="114"/>
      <c r="D2081" s="115"/>
      <c r="E2081" s="115"/>
      <c r="F2081" s="115"/>
      <c r="G2081" s="115"/>
      <c r="H2081" s="115"/>
      <c r="I2081" s="115"/>
      <c r="J2081" s="115"/>
      <c r="L2081" s="115"/>
      <c r="M2081" s="115"/>
      <c r="N2081" s="115"/>
      <c r="O2081" s="118"/>
      <c r="P2081" s="113"/>
      <c r="Q2081" s="119"/>
      <c r="R2081" s="113"/>
      <c r="S2081" s="113"/>
      <c r="T2081" s="113"/>
      <c r="V2081"/>
      <c r="W2081"/>
      <c r="Y2081"/>
      <c r="Z2081"/>
      <c r="AA2081"/>
      <c r="AB2081"/>
      <c r="AC2081"/>
      <c r="AD2081"/>
      <c r="AE2081"/>
      <c r="AF2081"/>
    </row>
    <row r="2082" spans="1:32" s="45" customFormat="1" ht="12.75" hidden="1">
      <c r="A2082" s="115"/>
      <c r="B2082" s="115"/>
      <c r="C2082" s="114"/>
      <c r="D2082" s="115"/>
      <c r="E2082" s="115"/>
      <c r="F2082" s="115"/>
      <c r="G2082" s="115"/>
      <c r="H2082" s="115"/>
      <c r="I2082" s="115"/>
      <c r="J2082" s="115"/>
      <c r="L2082" s="115"/>
      <c r="M2082" s="115"/>
      <c r="N2082" s="115"/>
      <c r="O2082" s="118"/>
      <c r="P2082" s="113"/>
      <c r="Q2082" s="119"/>
      <c r="R2082" s="113"/>
      <c r="S2082" s="113"/>
      <c r="T2082" s="113"/>
      <c r="V2082"/>
      <c r="W2082"/>
      <c r="Y2082"/>
      <c r="Z2082"/>
      <c r="AA2082"/>
      <c r="AB2082"/>
      <c r="AC2082"/>
      <c r="AD2082"/>
      <c r="AE2082"/>
      <c r="AF2082"/>
    </row>
    <row r="2083" spans="1:32" s="45" customFormat="1" ht="12.75" hidden="1">
      <c r="A2083" s="115"/>
      <c r="B2083" s="115"/>
      <c r="C2083" s="114"/>
      <c r="D2083" s="115"/>
      <c r="E2083" s="115"/>
      <c r="F2083" s="115"/>
      <c r="G2083" s="115"/>
      <c r="H2083" s="115"/>
      <c r="I2083" s="115"/>
      <c r="J2083" s="115"/>
      <c r="L2083" s="115"/>
      <c r="M2083" s="115"/>
      <c r="N2083" s="115"/>
      <c r="O2083" s="118"/>
      <c r="P2083" s="113"/>
      <c r="Q2083" s="119"/>
      <c r="R2083" s="113"/>
      <c r="S2083" s="113"/>
      <c r="T2083" s="113"/>
      <c r="V2083"/>
      <c r="W2083"/>
      <c r="Y2083"/>
      <c r="Z2083"/>
      <c r="AA2083"/>
      <c r="AB2083"/>
      <c r="AC2083"/>
      <c r="AD2083"/>
      <c r="AE2083"/>
      <c r="AF2083"/>
    </row>
    <row r="2084" spans="1:32" s="45" customFormat="1" ht="12.75" hidden="1">
      <c r="A2084" s="115"/>
      <c r="B2084" s="115"/>
      <c r="C2084" s="114"/>
      <c r="D2084" s="115"/>
      <c r="E2084" s="115"/>
      <c r="F2084" s="115"/>
      <c r="G2084" s="115"/>
      <c r="H2084" s="115"/>
      <c r="I2084" s="115"/>
      <c r="J2084" s="115"/>
      <c r="L2084" s="115"/>
      <c r="M2084" s="115"/>
      <c r="N2084" s="115"/>
      <c r="O2084" s="118"/>
      <c r="P2084" s="113"/>
      <c r="Q2084" s="119"/>
      <c r="R2084" s="113"/>
      <c r="S2084" s="113"/>
      <c r="T2084" s="113"/>
      <c r="V2084"/>
      <c r="W2084"/>
      <c r="Y2084"/>
      <c r="Z2084"/>
      <c r="AA2084"/>
      <c r="AB2084"/>
      <c r="AC2084"/>
      <c r="AD2084"/>
      <c r="AE2084"/>
      <c r="AF2084"/>
    </row>
    <row r="2085" spans="1:32" s="45" customFormat="1" ht="12.75" hidden="1">
      <c r="A2085" s="115"/>
      <c r="B2085" s="115"/>
      <c r="C2085" s="114"/>
      <c r="D2085" s="115"/>
      <c r="E2085" s="115"/>
      <c r="F2085" s="115"/>
      <c r="G2085" s="115"/>
      <c r="H2085" s="115"/>
      <c r="I2085" s="115"/>
      <c r="J2085" s="115"/>
      <c r="L2085" s="115"/>
      <c r="M2085" s="115"/>
      <c r="N2085" s="115"/>
      <c r="O2085" s="118"/>
      <c r="P2085" s="113"/>
      <c r="Q2085" s="119"/>
      <c r="R2085" s="113"/>
      <c r="S2085" s="113"/>
      <c r="T2085" s="113"/>
      <c r="V2085"/>
      <c r="W2085"/>
      <c r="Y2085"/>
      <c r="Z2085"/>
      <c r="AA2085"/>
      <c r="AB2085"/>
      <c r="AC2085"/>
      <c r="AD2085"/>
      <c r="AE2085"/>
      <c r="AF2085"/>
    </row>
    <row r="2086" spans="1:32" s="45" customFormat="1" ht="12.75" hidden="1">
      <c r="A2086" s="115"/>
      <c r="B2086" s="115"/>
      <c r="C2086" s="114"/>
      <c r="D2086" s="115"/>
      <c r="E2086" s="115"/>
      <c r="F2086" s="115"/>
      <c r="G2086" s="115"/>
      <c r="H2086" s="115"/>
      <c r="I2086" s="115"/>
      <c r="J2086" s="115"/>
      <c r="L2086" s="115"/>
      <c r="M2086" s="115"/>
      <c r="N2086" s="115"/>
      <c r="O2086" s="118"/>
      <c r="P2086" s="113"/>
      <c r="Q2086" s="119"/>
      <c r="R2086" s="113"/>
      <c r="S2086" s="113"/>
      <c r="T2086" s="113"/>
      <c r="V2086"/>
      <c r="W2086"/>
      <c r="Y2086"/>
      <c r="Z2086"/>
      <c r="AA2086"/>
      <c r="AB2086"/>
      <c r="AC2086"/>
      <c r="AD2086"/>
      <c r="AE2086"/>
      <c r="AF2086"/>
    </row>
    <row r="2087" spans="1:32" s="45" customFormat="1" ht="12.75" hidden="1">
      <c r="A2087" s="115"/>
      <c r="B2087" s="115"/>
      <c r="C2087" s="114"/>
      <c r="D2087" s="115"/>
      <c r="E2087" s="115"/>
      <c r="F2087" s="115"/>
      <c r="G2087" s="115"/>
      <c r="H2087" s="115"/>
      <c r="I2087" s="115"/>
      <c r="J2087" s="115"/>
      <c r="L2087" s="115"/>
      <c r="M2087" s="115"/>
      <c r="N2087" s="115"/>
      <c r="O2087" s="118"/>
      <c r="P2087" s="113"/>
      <c r="Q2087" s="119"/>
      <c r="R2087" s="113"/>
      <c r="S2087" s="113"/>
      <c r="T2087" s="113"/>
      <c r="V2087"/>
      <c r="W2087"/>
      <c r="Y2087"/>
      <c r="Z2087"/>
      <c r="AA2087"/>
      <c r="AB2087"/>
      <c r="AC2087"/>
      <c r="AD2087"/>
      <c r="AE2087"/>
      <c r="AF2087"/>
    </row>
    <row r="2088" spans="1:32" s="45" customFormat="1" ht="12.75" hidden="1">
      <c r="A2088" s="115"/>
      <c r="B2088" s="115"/>
      <c r="C2088" s="114"/>
      <c r="D2088" s="115"/>
      <c r="E2088" s="115"/>
      <c r="F2088" s="115"/>
      <c r="G2088" s="115"/>
      <c r="H2088" s="115"/>
      <c r="I2088" s="115"/>
      <c r="J2088" s="115"/>
      <c r="L2088" s="115"/>
      <c r="M2088" s="115"/>
      <c r="N2088" s="115"/>
      <c r="O2088" s="118"/>
      <c r="P2088" s="113"/>
      <c r="Q2088" s="119"/>
      <c r="R2088" s="113"/>
      <c r="S2088" s="113"/>
      <c r="T2088" s="113"/>
      <c r="V2088"/>
      <c r="W2088"/>
      <c r="Y2088"/>
      <c r="Z2088"/>
      <c r="AA2088"/>
      <c r="AB2088"/>
      <c r="AC2088"/>
      <c r="AD2088"/>
      <c r="AE2088"/>
      <c r="AF2088"/>
    </row>
    <row r="2089" spans="1:32" s="45" customFormat="1" ht="12.75" hidden="1">
      <c r="A2089" s="115"/>
      <c r="B2089" s="115"/>
      <c r="C2089" s="114"/>
      <c r="D2089" s="115"/>
      <c r="E2089" s="115"/>
      <c r="F2089" s="115"/>
      <c r="G2089" s="115"/>
      <c r="H2089" s="115"/>
      <c r="I2089" s="115"/>
      <c r="J2089" s="115"/>
      <c r="L2089" s="115"/>
      <c r="M2089" s="115"/>
      <c r="N2089" s="115"/>
      <c r="O2089" s="118"/>
      <c r="P2089" s="113"/>
      <c r="Q2089" s="119"/>
      <c r="R2089" s="113"/>
      <c r="S2089" s="113"/>
      <c r="T2089" s="113"/>
      <c r="V2089"/>
      <c r="W2089"/>
      <c r="Y2089"/>
      <c r="Z2089"/>
      <c r="AA2089"/>
      <c r="AB2089"/>
      <c r="AC2089"/>
      <c r="AD2089"/>
      <c r="AE2089"/>
      <c r="AF2089"/>
    </row>
    <row r="2090" spans="1:32" s="45" customFormat="1" ht="12.75" hidden="1">
      <c r="A2090" s="115"/>
      <c r="B2090" s="115"/>
      <c r="C2090" s="114"/>
      <c r="D2090" s="115"/>
      <c r="E2090" s="115"/>
      <c r="F2090" s="115"/>
      <c r="G2090" s="115"/>
      <c r="H2090" s="115"/>
      <c r="I2090" s="115"/>
      <c r="J2090" s="115"/>
      <c r="L2090" s="115"/>
      <c r="M2090" s="115"/>
      <c r="N2090" s="115"/>
      <c r="O2090" s="118"/>
      <c r="P2090" s="113"/>
      <c r="Q2090" s="119"/>
      <c r="R2090" s="113"/>
      <c r="S2090" s="113"/>
      <c r="T2090" s="113"/>
      <c r="V2090"/>
      <c r="W2090"/>
      <c r="Y2090"/>
      <c r="Z2090"/>
      <c r="AA2090"/>
      <c r="AB2090"/>
      <c r="AC2090"/>
      <c r="AD2090"/>
      <c r="AE2090"/>
      <c r="AF2090"/>
    </row>
    <row r="2091" spans="1:32" s="45" customFormat="1" ht="12.75" hidden="1">
      <c r="A2091" s="115"/>
      <c r="B2091" s="115"/>
      <c r="C2091" s="114"/>
      <c r="D2091" s="115"/>
      <c r="E2091" s="115"/>
      <c r="F2091" s="115"/>
      <c r="G2091" s="115"/>
      <c r="H2091" s="115"/>
      <c r="I2091" s="115"/>
      <c r="J2091" s="115"/>
      <c r="L2091" s="115"/>
      <c r="M2091" s="115"/>
      <c r="N2091" s="115"/>
      <c r="O2091" s="118"/>
      <c r="P2091" s="113"/>
      <c r="Q2091" s="119"/>
      <c r="R2091" s="113"/>
      <c r="S2091" s="113"/>
      <c r="T2091" s="113"/>
      <c r="V2091"/>
      <c r="W2091"/>
      <c r="Y2091"/>
      <c r="Z2091"/>
      <c r="AA2091"/>
      <c r="AB2091"/>
      <c r="AC2091"/>
      <c r="AD2091"/>
      <c r="AE2091"/>
      <c r="AF2091"/>
    </row>
    <row r="2092" spans="1:32" s="45" customFormat="1" ht="12.75" hidden="1">
      <c r="A2092" s="115"/>
      <c r="B2092" s="115"/>
      <c r="C2092" s="114"/>
      <c r="D2092" s="115"/>
      <c r="E2092" s="115"/>
      <c r="F2092" s="115"/>
      <c r="G2092" s="115"/>
      <c r="H2092" s="115"/>
      <c r="I2092" s="115"/>
      <c r="J2092" s="115"/>
      <c r="L2092" s="115"/>
      <c r="M2092" s="115"/>
      <c r="N2092" s="115"/>
      <c r="O2092" s="118"/>
      <c r="P2092" s="113"/>
      <c r="Q2092" s="119"/>
      <c r="R2092" s="113"/>
      <c r="S2092" s="113"/>
      <c r="T2092" s="113"/>
      <c r="V2092"/>
      <c r="W2092"/>
      <c r="Y2092"/>
      <c r="Z2092"/>
      <c r="AA2092"/>
      <c r="AB2092"/>
      <c r="AC2092"/>
      <c r="AD2092"/>
      <c r="AE2092"/>
      <c r="AF2092"/>
    </row>
    <row r="2093" spans="1:32" s="45" customFormat="1" ht="12.75" hidden="1">
      <c r="A2093" s="115"/>
      <c r="B2093" s="115"/>
      <c r="C2093" s="114"/>
      <c r="D2093" s="115"/>
      <c r="E2093" s="115"/>
      <c r="F2093" s="115"/>
      <c r="G2093" s="115"/>
      <c r="H2093" s="115"/>
      <c r="I2093" s="115"/>
      <c r="J2093" s="115"/>
      <c r="L2093" s="115"/>
      <c r="M2093" s="115"/>
      <c r="N2093" s="115"/>
      <c r="O2093" s="118"/>
      <c r="P2093" s="113"/>
      <c r="Q2093" s="119"/>
      <c r="R2093" s="113"/>
      <c r="S2093" s="113"/>
      <c r="T2093" s="113"/>
      <c r="V2093"/>
      <c r="W2093"/>
      <c r="Y2093"/>
      <c r="Z2093"/>
      <c r="AA2093"/>
      <c r="AB2093"/>
      <c r="AC2093"/>
      <c r="AD2093"/>
      <c r="AE2093"/>
      <c r="AF2093"/>
    </row>
    <row r="2094" spans="1:32" s="45" customFormat="1" ht="12.75" hidden="1">
      <c r="A2094" s="115"/>
      <c r="B2094" s="115"/>
      <c r="C2094" s="114"/>
      <c r="D2094" s="115"/>
      <c r="E2094" s="115"/>
      <c r="F2094" s="115"/>
      <c r="G2094" s="115"/>
      <c r="H2094" s="115"/>
      <c r="I2094" s="115"/>
      <c r="J2094" s="115"/>
      <c r="L2094" s="115"/>
      <c r="M2094" s="115"/>
      <c r="N2094" s="115"/>
      <c r="O2094" s="118"/>
      <c r="P2094" s="113"/>
      <c r="Q2094" s="119"/>
      <c r="R2094" s="113"/>
      <c r="S2094" s="113"/>
      <c r="T2094" s="113"/>
      <c r="V2094"/>
      <c r="W2094"/>
      <c r="Y2094"/>
      <c r="Z2094"/>
      <c r="AA2094"/>
      <c r="AB2094"/>
      <c r="AC2094"/>
      <c r="AD2094"/>
      <c r="AE2094"/>
      <c r="AF2094"/>
    </row>
    <row r="2095" spans="1:32" s="45" customFormat="1" ht="12.75" hidden="1">
      <c r="A2095" s="115"/>
      <c r="B2095" s="115"/>
      <c r="C2095" s="114"/>
      <c r="D2095" s="115"/>
      <c r="E2095" s="115"/>
      <c r="F2095" s="115"/>
      <c r="G2095" s="115"/>
      <c r="H2095" s="115"/>
      <c r="I2095" s="115"/>
      <c r="J2095" s="115"/>
      <c r="L2095" s="115"/>
      <c r="M2095" s="115"/>
      <c r="N2095" s="115"/>
      <c r="O2095" s="118"/>
      <c r="P2095" s="113"/>
      <c r="Q2095" s="119"/>
      <c r="R2095" s="113"/>
      <c r="S2095" s="113"/>
      <c r="T2095" s="113"/>
      <c r="V2095"/>
      <c r="W2095"/>
      <c r="Y2095"/>
      <c r="Z2095"/>
      <c r="AA2095"/>
      <c r="AB2095"/>
      <c r="AC2095"/>
      <c r="AD2095"/>
      <c r="AE2095"/>
      <c r="AF2095"/>
    </row>
    <row r="2096" spans="1:32" s="45" customFormat="1" ht="12.75" hidden="1">
      <c r="A2096" s="115"/>
      <c r="B2096" s="115"/>
      <c r="C2096" s="114"/>
      <c r="D2096" s="115"/>
      <c r="E2096" s="115"/>
      <c r="F2096" s="115"/>
      <c r="G2096" s="115"/>
      <c r="H2096" s="115"/>
      <c r="I2096" s="115"/>
      <c r="J2096" s="115"/>
      <c r="L2096" s="115"/>
      <c r="M2096" s="115"/>
      <c r="N2096" s="115"/>
      <c r="O2096" s="118"/>
      <c r="P2096" s="113"/>
      <c r="Q2096" s="119"/>
      <c r="R2096" s="113"/>
      <c r="S2096" s="113"/>
      <c r="T2096" s="113"/>
      <c r="V2096"/>
      <c r="W2096"/>
      <c r="Y2096"/>
      <c r="Z2096"/>
      <c r="AA2096"/>
      <c r="AB2096"/>
      <c r="AC2096"/>
      <c r="AD2096"/>
      <c r="AE2096"/>
      <c r="AF2096"/>
    </row>
    <row r="2097" spans="1:32" s="45" customFormat="1" ht="12.75" hidden="1">
      <c r="A2097" s="115"/>
      <c r="B2097" s="115"/>
      <c r="C2097" s="114"/>
      <c r="D2097" s="115"/>
      <c r="E2097" s="115"/>
      <c r="F2097" s="115"/>
      <c r="G2097" s="115"/>
      <c r="H2097" s="115"/>
      <c r="I2097" s="115"/>
      <c r="J2097" s="115"/>
      <c r="L2097" s="115"/>
      <c r="M2097" s="115"/>
      <c r="N2097" s="115"/>
      <c r="O2097" s="118"/>
      <c r="P2097" s="113"/>
      <c r="Q2097" s="119"/>
      <c r="R2097" s="113"/>
      <c r="S2097" s="113"/>
      <c r="T2097" s="113"/>
      <c r="V2097"/>
      <c r="W2097"/>
      <c r="Y2097"/>
      <c r="Z2097"/>
      <c r="AA2097"/>
      <c r="AB2097"/>
      <c r="AC2097"/>
      <c r="AD2097"/>
      <c r="AE2097"/>
      <c r="AF2097"/>
    </row>
    <row r="2098" spans="1:32" s="45" customFormat="1" ht="12.75" hidden="1">
      <c r="A2098" s="115"/>
      <c r="B2098" s="115"/>
      <c r="C2098" s="114"/>
      <c r="D2098" s="115"/>
      <c r="E2098" s="115"/>
      <c r="F2098" s="115"/>
      <c r="G2098" s="115"/>
      <c r="H2098" s="115"/>
      <c r="I2098" s="115"/>
      <c r="J2098" s="115"/>
      <c r="L2098" s="115"/>
      <c r="M2098" s="115"/>
      <c r="N2098" s="115"/>
      <c r="O2098" s="118"/>
      <c r="P2098" s="113"/>
      <c r="Q2098" s="119"/>
      <c r="R2098" s="113"/>
      <c r="S2098" s="113"/>
      <c r="T2098" s="113"/>
      <c r="V2098"/>
      <c r="W2098"/>
      <c r="Y2098"/>
      <c r="Z2098"/>
      <c r="AA2098"/>
      <c r="AB2098"/>
      <c r="AC2098"/>
      <c r="AD2098"/>
      <c r="AE2098"/>
      <c r="AF2098"/>
    </row>
    <row r="2099" spans="1:32" s="45" customFormat="1" ht="12.75" hidden="1">
      <c r="A2099" s="115"/>
      <c r="B2099" s="115"/>
      <c r="C2099" s="114"/>
      <c r="D2099" s="115"/>
      <c r="E2099" s="115"/>
      <c r="F2099" s="115"/>
      <c r="G2099" s="115"/>
      <c r="H2099" s="115"/>
      <c r="I2099" s="115"/>
      <c r="J2099" s="115"/>
      <c r="L2099" s="115"/>
      <c r="M2099" s="115"/>
      <c r="N2099" s="115"/>
      <c r="O2099" s="118"/>
      <c r="P2099" s="113"/>
      <c r="Q2099" s="119"/>
      <c r="R2099" s="113"/>
      <c r="S2099" s="113"/>
      <c r="T2099" s="113"/>
      <c r="V2099"/>
      <c r="W2099"/>
      <c r="Y2099"/>
      <c r="Z2099"/>
      <c r="AA2099"/>
      <c r="AB2099"/>
      <c r="AC2099"/>
      <c r="AD2099"/>
      <c r="AE2099"/>
      <c r="AF2099"/>
    </row>
    <row r="2100" spans="1:32" s="45" customFormat="1" ht="12.75" hidden="1">
      <c r="A2100" s="115"/>
      <c r="B2100" s="115"/>
      <c r="C2100" s="114"/>
      <c r="D2100" s="115"/>
      <c r="E2100" s="115"/>
      <c r="F2100" s="115"/>
      <c r="G2100" s="115"/>
      <c r="H2100" s="115"/>
      <c r="I2100" s="115"/>
      <c r="J2100" s="115"/>
      <c r="L2100" s="115"/>
      <c r="M2100" s="115"/>
      <c r="N2100" s="115"/>
      <c r="O2100" s="118"/>
      <c r="P2100" s="113"/>
      <c r="Q2100" s="119"/>
      <c r="R2100" s="113"/>
      <c r="S2100" s="113"/>
      <c r="T2100" s="113"/>
      <c r="V2100"/>
      <c r="W2100"/>
      <c r="Y2100"/>
      <c r="Z2100"/>
      <c r="AA2100"/>
      <c r="AB2100"/>
      <c r="AC2100"/>
      <c r="AD2100"/>
      <c r="AE2100"/>
      <c r="AF2100"/>
    </row>
    <row r="2101" spans="1:32" s="45" customFormat="1" ht="12.75" hidden="1">
      <c r="A2101" s="115"/>
      <c r="B2101" s="115"/>
      <c r="C2101" s="114"/>
      <c r="D2101" s="115"/>
      <c r="E2101" s="115"/>
      <c r="F2101" s="115"/>
      <c r="G2101" s="115"/>
      <c r="H2101" s="115"/>
      <c r="I2101" s="115"/>
      <c r="J2101" s="115"/>
      <c r="L2101" s="115"/>
      <c r="M2101" s="115"/>
      <c r="N2101" s="115"/>
      <c r="O2101" s="118"/>
      <c r="P2101" s="113"/>
      <c r="Q2101" s="119"/>
      <c r="R2101" s="113"/>
      <c r="S2101" s="113"/>
      <c r="T2101" s="113"/>
      <c r="V2101"/>
      <c r="W2101"/>
      <c r="Y2101"/>
      <c r="Z2101"/>
      <c r="AA2101"/>
      <c r="AB2101"/>
      <c r="AC2101"/>
      <c r="AD2101"/>
      <c r="AE2101"/>
      <c r="AF2101"/>
    </row>
    <row r="2102" spans="1:32" s="45" customFormat="1" ht="12.75" hidden="1">
      <c r="A2102" s="115"/>
      <c r="B2102" s="115"/>
      <c r="C2102" s="114"/>
      <c r="D2102" s="115"/>
      <c r="E2102" s="115"/>
      <c r="F2102" s="115"/>
      <c r="G2102" s="115"/>
      <c r="H2102" s="115"/>
      <c r="I2102" s="115"/>
      <c r="J2102" s="115"/>
      <c r="L2102" s="115"/>
      <c r="M2102" s="115"/>
      <c r="N2102" s="115"/>
      <c r="O2102" s="118"/>
      <c r="P2102" s="113"/>
      <c r="Q2102" s="119"/>
      <c r="R2102" s="113"/>
      <c r="S2102" s="113"/>
      <c r="T2102" s="113"/>
      <c r="V2102"/>
      <c r="W2102"/>
      <c r="Y2102"/>
      <c r="Z2102"/>
      <c r="AA2102"/>
      <c r="AB2102"/>
      <c r="AC2102"/>
      <c r="AD2102"/>
      <c r="AE2102"/>
      <c r="AF2102"/>
    </row>
    <row r="2103" spans="1:32" s="45" customFormat="1" ht="12.75" hidden="1">
      <c r="A2103" s="115"/>
      <c r="B2103" s="115"/>
      <c r="C2103" s="114"/>
      <c r="D2103" s="115"/>
      <c r="E2103" s="115"/>
      <c r="F2103" s="115"/>
      <c r="G2103" s="115"/>
      <c r="H2103" s="115"/>
      <c r="I2103" s="115"/>
      <c r="J2103" s="115"/>
      <c r="L2103" s="115"/>
      <c r="M2103" s="115"/>
      <c r="N2103" s="115"/>
      <c r="O2103" s="118"/>
      <c r="P2103" s="113"/>
      <c r="Q2103" s="119"/>
      <c r="R2103" s="113"/>
      <c r="S2103" s="113"/>
      <c r="T2103" s="113"/>
      <c r="V2103"/>
      <c r="W2103"/>
      <c r="Y2103"/>
      <c r="Z2103"/>
      <c r="AA2103"/>
      <c r="AB2103"/>
      <c r="AC2103"/>
      <c r="AD2103"/>
      <c r="AE2103"/>
      <c r="AF2103"/>
    </row>
    <row r="2104" spans="1:32" s="45" customFormat="1" ht="12.75" hidden="1">
      <c r="A2104" s="115"/>
      <c r="B2104" s="115"/>
      <c r="C2104" s="114"/>
      <c r="D2104" s="115"/>
      <c r="E2104" s="115"/>
      <c r="F2104" s="115"/>
      <c r="G2104" s="115"/>
      <c r="H2104" s="115"/>
      <c r="I2104" s="115"/>
      <c r="J2104" s="115"/>
      <c r="L2104" s="115"/>
      <c r="M2104" s="115"/>
      <c r="N2104" s="115"/>
      <c r="O2104" s="118"/>
      <c r="P2104" s="113"/>
      <c r="Q2104" s="119"/>
      <c r="R2104" s="113"/>
      <c r="S2104" s="113"/>
      <c r="T2104" s="113"/>
      <c r="V2104"/>
      <c r="W2104"/>
      <c r="Y2104"/>
      <c r="Z2104"/>
      <c r="AA2104"/>
      <c r="AB2104"/>
      <c r="AC2104"/>
      <c r="AD2104"/>
      <c r="AE2104"/>
      <c r="AF2104"/>
    </row>
    <row r="2105" spans="1:32" s="45" customFormat="1" ht="12.75" hidden="1">
      <c r="A2105" s="115"/>
      <c r="B2105" s="115"/>
      <c r="C2105" s="114"/>
      <c r="D2105" s="115"/>
      <c r="E2105" s="115"/>
      <c r="F2105" s="115"/>
      <c r="G2105" s="115"/>
      <c r="H2105" s="115"/>
      <c r="I2105" s="115"/>
      <c r="J2105" s="115"/>
      <c r="L2105" s="115"/>
      <c r="M2105" s="115"/>
      <c r="N2105" s="115"/>
      <c r="O2105" s="118"/>
      <c r="P2105" s="113"/>
      <c r="Q2105" s="119"/>
      <c r="R2105" s="113"/>
      <c r="S2105" s="113"/>
      <c r="T2105" s="113"/>
      <c r="V2105"/>
      <c r="W2105"/>
      <c r="Y2105"/>
      <c r="Z2105"/>
      <c r="AA2105"/>
      <c r="AB2105"/>
      <c r="AC2105"/>
      <c r="AD2105"/>
      <c r="AE2105"/>
      <c r="AF2105"/>
    </row>
    <row r="2106" spans="1:32" s="45" customFormat="1" ht="12.75" hidden="1">
      <c r="A2106" s="115"/>
      <c r="B2106" s="115"/>
      <c r="C2106" s="114"/>
      <c r="D2106" s="115"/>
      <c r="E2106" s="115"/>
      <c r="F2106" s="115"/>
      <c r="G2106" s="115"/>
      <c r="H2106" s="115"/>
      <c r="I2106" s="115"/>
      <c r="J2106" s="115"/>
      <c r="L2106" s="115"/>
      <c r="M2106" s="115"/>
      <c r="N2106" s="115"/>
      <c r="O2106" s="118"/>
      <c r="P2106" s="113"/>
      <c r="Q2106" s="119"/>
      <c r="R2106" s="113"/>
      <c r="S2106" s="113"/>
      <c r="T2106" s="113"/>
      <c r="V2106"/>
      <c r="W2106"/>
      <c r="Y2106"/>
      <c r="Z2106"/>
      <c r="AA2106"/>
      <c r="AB2106"/>
      <c r="AC2106"/>
      <c r="AD2106"/>
      <c r="AE2106"/>
      <c r="AF2106"/>
    </row>
    <row r="2107" spans="1:32" s="45" customFormat="1" ht="12.75" hidden="1">
      <c r="A2107" s="115"/>
      <c r="B2107" s="115"/>
      <c r="C2107" s="114"/>
      <c r="D2107" s="115"/>
      <c r="E2107" s="115"/>
      <c r="F2107" s="115"/>
      <c r="G2107" s="115"/>
      <c r="H2107" s="115"/>
      <c r="I2107" s="115"/>
      <c r="J2107" s="115"/>
      <c r="L2107" s="115"/>
      <c r="M2107" s="115"/>
      <c r="N2107" s="115"/>
      <c r="O2107" s="118"/>
      <c r="P2107" s="113"/>
      <c r="Q2107" s="119"/>
      <c r="R2107" s="113"/>
      <c r="S2107" s="113"/>
      <c r="T2107" s="113"/>
      <c r="V2107"/>
      <c r="W2107"/>
      <c r="Y2107"/>
      <c r="Z2107"/>
      <c r="AA2107"/>
      <c r="AB2107"/>
      <c r="AC2107"/>
      <c r="AD2107"/>
      <c r="AE2107"/>
      <c r="AF2107"/>
    </row>
    <row r="2108" spans="1:32" s="45" customFormat="1" ht="12.75" hidden="1">
      <c r="A2108" s="115"/>
      <c r="B2108" s="115"/>
      <c r="C2108" s="114"/>
      <c r="D2108" s="115"/>
      <c r="E2108" s="115"/>
      <c r="F2108" s="115"/>
      <c r="G2108" s="115"/>
      <c r="H2108" s="115"/>
      <c r="I2108" s="115"/>
      <c r="J2108" s="115"/>
      <c r="L2108" s="115"/>
      <c r="M2108" s="115"/>
      <c r="N2108" s="115"/>
      <c r="O2108" s="118"/>
      <c r="P2108" s="113"/>
      <c r="Q2108" s="119"/>
      <c r="R2108" s="113"/>
      <c r="S2108" s="113"/>
      <c r="T2108" s="113"/>
      <c r="V2108"/>
      <c r="W2108"/>
      <c r="Y2108"/>
      <c r="Z2108"/>
      <c r="AA2108"/>
      <c r="AB2108"/>
      <c r="AC2108"/>
      <c r="AD2108"/>
      <c r="AE2108"/>
      <c r="AF2108"/>
    </row>
    <row r="2109" spans="1:32" s="45" customFormat="1" ht="12.75" hidden="1">
      <c r="A2109" s="115"/>
      <c r="B2109" s="115"/>
      <c r="C2109" s="114"/>
      <c r="D2109" s="115"/>
      <c r="E2109" s="115"/>
      <c r="F2109" s="115"/>
      <c r="G2109" s="115"/>
      <c r="H2109" s="115"/>
      <c r="I2109" s="115"/>
      <c r="J2109" s="115"/>
      <c r="L2109" s="115"/>
      <c r="M2109" s="115"/>
      <c r="N2109" s="115"/>
      <c r="O2109" s="118"/>
      <c r="P2109" s="113"/>
      <c r="Q2109" s="119"/>
      <c r="R2109" s="113"/>
      <c r="S2109" s="113"/>
      <c r="T2109" s="113"/>
      <c r="V2109"/>
      <c r="W2109"/>
      <c r="Y2109"/>
      <c r="Z2109"/>
      <c r="AA2109"/>
      <c r="AB2109"/>
      <c r="AC2109"/>
      <c r="AD2109"/>
      <c r="AE2109"/>
      <c r="AF2109"/>
    </row>
    <row r="2110" spans="1:32" s="45" customFormat="1" ht="12.75" hidden="1">
      <c r="A2110" s="115"/>
      <c r="B2110" s="115"/>
      <c r="C2110" s="114"/>
      <c r="D2110" s="115"/>
      <c r="E2110" s="115"/>
      <c r="F2110" s="115"/>
      <c r="G2110" s="115"/>
      <c r="H2110" s="115"/>
      <c r="I2110" s="115"/>
      <c r="J2110" s="115"/>
      <c r="L2110" s="115"/>
      <c r="M2110" s="115"/>
      <c r="N2110" s="115"/>
      <c r="O2110" s="118"/>
      <c r="P2110" s="113"/>
      <c r="Q2110" s="119"/>
      <c r="R2110" s="113"/>
      <c r="S2110" s="113"/>
      <c r="T2110" s="113"/>
      <c r="V2110"/>
      <c r="W2110"/>
      <c r="Y2110"/>
      <c r="Z2110"/>
      <c r="AA2110"/>
      <c r="AB2110"/>
      <c r="AC2110"/>
      <c r="AD2110"/>
      <c r="AE2110"/>
      <c r="AF2110"/>
    </row>
    <row r="2111" spans="1:32" s="45" customFormat="1" ht="12.75" hidden="1">
      <c r="A2111" s="115"/>
      <c r="B2111" s="115"/>
      <c r="C2111" s="114"/>
      <c r="D2111" s="115"/>
      <c r="E2111" s="115"/>
      <c r="F2111" s="115"/>
      <c r="G2111" s="115"/>
      <c r="H2111" s="115"/>
      <c r="I2111" s="115"/>
      <c r="J2111" s="115"/>
      <c r="L2111" s="115"/>
      <c r="M2111" s="115"/>
      <c r="N2111" s="115"/>
      <c r="O2111" s="118"/>
      <c r="P2111" s="113"/>
      <c r="Q2111" s="119"/>
      <c r="R2111" s="113"/>
      <c r="S2111" s="113"/>
      <c r="T2111" s="113"/>
      <c r="V2111"/>
      <c r="W2111"/>
      <c r="Y2111"/>
      <c r="Z2111"/>
      <c r="AA2111"/>
      <c r="AB2111"/>
      <c r="AC2111"/>
      <c r="AD2111"/>
      <c r="AE2111"/>
      <c r="AF2111"/>
    </row>
    <row r="2112" spans="1:32" s="45" customFormat="1" ht="12.75" hidden="1">
      <c r="A2112" s="115"/>
      <c r="B2112" s="115"/>
      <c r="C2112" s="114"/>
      <c r="D2112" s="115"/>
      <c r="E2112" s="115"/>
      <c r="F2112" s="115"/>
      <c r="G2112" s="115"/>
      <c r="H2112" s="115"/>
      <c r="I2112" s="115"/>
      <c r="J2112" s="115"/>
      <c r="L2112" s="115"/>
      <c r="M2112" s="115"/>
      <c r="N2112" s="115"/>
      <c r="O2112" s="118"/>
      <c r="P2112" s="113"/>
      <c r="Q2112" s="119"/>
      <c r="R2112" s="113"/>
      <c r="S2112" s="113"/>
      <c r="T2112" s="113"/>
      <c r="V2112"/>
      <c r="W2112"/>
      <c r="Y2112"/>
      <c r="Z2112"/>
      <c r="AA2112"/>
      <c r="AB2112"/>
      <c r="AC2112"/>
      <c r="AD2112"/>
      <c r="AE2112"/>
      <c r="AF2112"/>
    </row>
    <row r="2113" spans="1:32" s="45" customFormat="1" ht="12.75" hidden="1">
      <c r="A2113" s="115"/>
      <c r="B2113" s="115"/>
      <c r="C2113" s="114"/>
      <c r="D2113" s="115"/>
      <c r="E2113" s="115"/>
      <c r="F2113" s="115"/>
      <c r="G2113" s="115"/>
      <c r="H2113" s="115"/>
      <c r="I2113" s="115"/>
      <c r="J2113" s="115"/>
      <c r="L2113" s="115"/>
      <c r="M2113" s="115"/>
      <c r="N2113" s="115"/>
      <c r="O2113" s="118"/>
      <c r="P2113" s="113"/>
      <c r="Q2113" s="119"/>
      <c r="R2113" s="113"/>
      <c r="S2113" s="113"/>
      <c r="T2113" s="113"/>
      <c r="V2113"/>
      <c r="W2113"/>
      <c r="Y2113"/>
      <c r="Z2113"/>
      <c r="AA2113"/>
      <c r="AB2113"/>
      <c r="AC2113"/>
      <c r="AD2113"/>
      <c r="AE2113"/>
      <c r="AF2113"/>
    </row>
    <row r="2114" spans="1:32" s="45" customFormat="1" ht="12.75" hidden="1">
      <c r="A2114" s="115"/>
      <c r="B2114" s="115"/>
      <c r="C2114" s="114"/>
      <c r="D2114" s="115"/>
      <c r="E2114" s="115"/>
      <c r="F2114" s="115"/>
      <c r="G2114" s="115"/>
      <c r="H2114" s="115"/>
      <c r="I2114" s="115"/>
      <c r="J2114" s="115"/>
      <c r="L2114" s="115"/>
      <c r="M2114" s="115"/>
      <c r="N2114" s="115"/>
      <c r="O2114" s="118"/>
      <c r="P2114" s="113"/>
      <c r="Q2114" s="119"/>
      <c r="R2114" s="113"/>
      <c r="S2114" s="113"/>
      <c r="T2114" s="113"/>
      <c r="V2114"/>
      <c r="W2114"/>
      <c r="Y2114"/>
      <c r="Z2114"/>
      <c r="AA2114"/>
      <c r="AB2114"/>
      <c r="AC2114"/>
      <c r="AD2114"/>
      <c r="AE2114"/>
      <c r="AF2114"/>
    </row>
    <row r="2115" spans="1:32" s="45" customFormat="1" ht="12.75" hidden="1">
      <c r="A2115" s="115"/>
      <c r="B2115" s="115"/>
      <c r="C2115" s="114"/>
      <c r="D2115" s="115"/>
      <c r="E2115" s="115"/>
      <c r="F2115" s="115"/>
      <c r="G2115" s="115"/>
      <c r="H2115" s="115"/>
      <c r="I2115" s="115"/>
      <c r="J2115" s="115"/>
      <c r="L2115" s="115"/>
      <c r="M2115" s="115"/>
      <c r="N2115" s="115"/>
      <c r="O2115" s="118"/>
      <c r="P2115" s="113"/>
      <c r="Q2115" s="119"/>
      <c r="R2115" s="113"/>
      <c r="S2115" s="113"/>
      <c r="T2115" s="113"/>
      <c r="V2115"/>
      <c r="W2115"/>
      <c r="Y2115"/>
      <c r="Z2115"/>
      <c r="AA2115"/>
      <c r="AB2115"/>
      <c r="AC2115"/>
      <c r="AD2115"/>
      <c r="AE2115"/>
      <c r="AF2115"/>
    </row>
    <row r="2116" spans="1:32" s="45" customFormat="1" ht="12.75" hidden="1">
      <c r="A2116" s="115"/>
      <c r="B2116" s="115"/>
      <c r="C2116" s="114"/>
      <c r="D2116" s="115"/>
      <c r="E2116" s="115"/>
      <c r="F2116" s="115"/>
      <c r="G2116" s="115"/>
      <c r="H2116" s="115"/>
      <c r="I2116" s="115"/>
      <c r="J2116" s="115"/>
      <c r="L2116" s="115"/>
      <c r="M2116" s="115"/>
      <c r="N2116" s="115"/>
      <c r="O2116" s="118"/>
      <c r="P2116" s="113"/>
      <c r="Q2116" s="119"/>
      <c r="R2116" s="113"/>
      <c r="S2116" s="113"/>
      <c r="T2116" s="113"/>
      <c r="V2116"/>
      <c r="W2116"/>
      <c r="Y2116"/>
      <c r="Z2116"/>
      <c r="AA2116"/>
      <c r="AB2116"/>
      <c r="AC2116"/>
      <c r="AD2116"/>
      <c r="AE2116"/>
      <c r="AF2116"/>
    </row>
    <row r="2117" spans="1:32" s="45" customFormat="1" ht="12.75" hidden="1">
      <c r="A2117" s="115"/>
      <c r="B2117" s="115"/>
      <c r="C2117" s="114"/>
      <c r="D2117" s="115"/>
      <c r="E2117" s="115"/>
      <c r="F2117" s="115"/>
      <c r="G2117" s="115"/>
      <c r="H2117" s="115"/>
      <c r="I2117" s="115"/>
      <c r="J2117" s="115"/>
      <c r="L2117" s="115"/>
      <c r="M2117" s="115"/>
      <c r="N2117" s="115"/>
      <c r="O2117" s="118"/>
      <c r="P2117" s="113"/>
      <c r="Q2117" s="119"/>
      <c r="R2117" s="113"/>
      <c r="S2117" s="113"/>
      <c r="T2117" s="113"/>
      <c r="V2117"/>
      <c r="W2117"/>
      <c r="Y2117"/>
      <c r="Z2117"/>
      <c r="AA2117"/>
      <c r="AB2117"/>
      <c r="AC2117"/>
      <c r="AD2117"/>
      <c r="AE2117"/>
      <c r="AF2117"/>
    </row>
    <row r="2118" spans="1:32" s="45" customFormat="1" ht="12.75" hidden="1">
      <c r="A2118" s="115"/>
      <c r="B2118" s="115"/>
      <c r="C2118" s="114"/>
      <c r="D2118" s="115"/>
      <c r="E2118" s="115"/>
      <c r="F2118" s="115"/>
      <c r="G2118" s="115"/>
      <c r="H2118" s="115"/>
      <c r="I2118" s="115"/>
      <c r="J2118" s="115"/>
      <c r="L2118" s="115"/>
      <c r="M2118" s="115"/>
      <c r="N2118" s="115"/>
      <c r="O2118" s="118"/>
      <c r="P2118" s="113"/>
      <c r="Q2118" s="119"/>
      <c r="R2118" s="113"/>
      <c r="S2118" s="113"/>
      <c r="T2118" s="113"/>
      <c r="V2118"/>
      <c r="W2118"/>
      <c r="Y2118"/>
      <c r="Z2118"/>
      <c r="AA2118"/>
      <c r="AB2118"/>
      <c r="AC2118"/>
      <c r="AD2118"/>
      <c r="AE2118"/>
      <c r="AF2118"/>
    </row>
    <row r="2119" spans="1:32" s="45" customFormat="1" ht="12.75" hidden="1">
      <c r="A2119" s="115"/>
      <c r="B2119" s="115"/>
      <c r="C2119" s="114"/>
      <c r="D2119" s="115"/>
      <c r="E2119" s="115"/>
      <c r="F2119" s="115"/>
      <c r="G2119" s="115"/>
      <c r="H2119" s="115"/>
      <c r="I2119" s="115"/>
      <c r="J2119" s="115"/>
      <c r="L2119" s="115"/>
      <c r="M2119" s="115"/>
      <c r="N2119" s="115"/>
      <c r="O2119" s="118"/>
      <c r="P2119" s="113"/>
      <c r="Q2119" s="119"/>
      <c r="R2119" s="113"/>
      <c r="S2119" s="113"/>
      <c r="T2119" s="113"/>
      <c r="V2119"/>
      <c r="W2119"/>
      <c r="Y2119"/>
      <c r="Z2119"/>
      <c r="AA2119"/>
      <c r="AB2119"/>
      <c r="AC2119"/>
      <c r="AD2119"/>
      <c r="AE2119"/>
      <c r="AF2119"/>
    </row>
    <row r="2120" spans="1:32" s="45" customFormat="1" ht="12.75" hidden="1">
      <c r="A2120" s="115"/>
      <c r="B2120" s="115"/>
      <c r="C2120" s="114"/>
      <c r="D2120" s="115"/>
      <c r="E2120" s="115"/>
      <c r="F2120" s="115"/>
      <c r="G2120" s="115"/>
      <c r="H2120" s="115"/>
      <c r="I2120" s="115"/>
      <c r="J2120" s="115"/>
      <c r="L2120" s="115"/>
      <c r="M2120" s="115"/>
      <c r="N2120" s="115"/>
      <c r="O2120" s="118"/>
      <c r="P2120" s="113"/>
      <c r="Q2120" s="119"/>
      <c r="R2120" s="113"/>
      <c r="S2120" s="113"/>
      <c r="T2120" s="113"/>
      <c r="V2120"/>
      <c r="W2120"/>
      <c r="Y2120"/>
      <c r="Z2120"/>
      <c r="AA2120"/>
      <c r="AB2120"/>
      <c r="AC2120"/>
      <c r="AD2120"/>
      <c r="AE2120"/>
      <c r="AF2120"/>
    </row>
    <row r="2121" spans="1:32" s="45" customFormat="1" ht="12.75" hidden="1">
      <c r="A2121" s="115"/>
      <c r="B2121" s="115"/>
      <c r="C2121" s="114"/>
      <c r="D2121" s="115"/>
      <c r="E2121" s="115"/>
      <c r="F2121" s="115"/>
      <c r="G2121" s="115"/>
      <c r="H2121" s="115"/>
      <c r="I2121" s="115"/>
      <c r="J2121" s="115"/>
      <c r="L2121" s="115"/>
      <c r="M2121" s="115"/>
      <c r="N2121" s="115"/>
      <c r="O2121" s="118"/>
      <c r="P2121" s="113"/>
      <c r="Q2121" s="119"/>
      <c r="R2121" s="113"/>
      <c r="S2121" s="113"/>
      <c r="T2121" s="113"/>
      <c r="V2121"/>
      <c r="W2121"/>
      <c r="Y2121"/>
      <c r="Z2121"/>
      <c r="AA2121"/>
      <c r="AB2121"/>
      <c r="AC2121"/>
      <c r="AD2121"/>
      <c r="AE2121"/>
      <c r="AF2121"/>
    </row>
    <row r="2122" spans="1:32" s="45" customFormat="1" ht="12.75" hidden="1">
      <c r="A2122" s="115"/>
      <c r="B2122" s="115"/>
      <c r="C2122" s="114"/>
      <c r="D2122" s="115"/>
      <c r="E2122" s="115"/>
      <c r="F2122" s="115"/>
      <c r="G2122" s="115"/>
      <c r="H2122" s="115"/>
      <c r="I2122" s="115"/>
      <c r="J2122" s="115"/>
      <c r="L2122" s="115"/>
      <c r="M2122" s="115"/>
      <c r="N2122" s="115"/>
      <c r="O2122" s="118"/>
      <c r="P2122" s="113"/>
      <c r="Q2122" s="119"/>
      <c r="R2122" s="113"/>
      <c r="S2122" s="113"/>
      <c r="T2122" s="113"/>
      <c r="V2122"/>
      <c r="W2122"/>
      <c r="Y2122"/>
      <c r="Z2122"/>
      <c r="AA2122"/>
      <c r="AB2122"/>
      <c r="AC2122"/>
      <c r="AD2122"/>
      <c r="AE2122"/>
      <c r="AF2122"/>
    </row>
    <row r="2123" spans="1:32" s="45" customFormat="1" ht="12.75" hidden="1">
      <c r="A2123" s="115"/>
      <c r="B2123" s="115"/>
      <c r="C2123" s="114"/>
      <c r="D2123" s="115"/>
      <c r="E2123" s="115"/>
      <c r="F2123" s="115"/>
      <c r="G2123" s="115"/>
      <c r="H2123" s="115"/>
      <c r="I2123" s="115"/>
      <c r="J2123" s="115"/>
      <c r="L2123" s="115"/>
      <c r="M2123" s="115"/>
      <c r="N2123" s="115"/>
      <c r="O2123" s="118"/>
      <c r="P2123" s="113"/>
      <c r="Q2123" s="119"/>
      <c r="R2123" s="113"/>
      <c r="S2123" s="113"/>
      <c r="T2123" s="113"/>
      <c r="V2123"/>
      <c r="W2123"/>
      <c r="Y2123"/>
      <c r="Z2123"/>
      <c r="AA2123"/>
      <c r="AB2123"/>
      <c r="AC2123"/>
      <c r="AD2123"/>
      <c r="AE2123"/>
      <c r="AF2123"/>
    </row>
    <row r="2124" spans="1:32" s="45" customFormat="1" ht="12.75" hidden="1">
      <c r="A2124" s="115"/>
      <c r="B2124" s="115"/>
      <c r="C2124" s="114"/>
      <c r="D2124" s="115"/>
      <c r="E2124" s="115"/>
      <c r="F2124" s="115"/>
      <c r="G2124" s="115"/>
      <c r="H2124" s="115"/>
      <c r="I2124" s="115"/>
      <c r="J2124" s="115"/>
      <c r="L2124" s="115"/>
      <c r="M2124" s="115"/>
      <c r="N2124" s="115"/>
      <c r="O2124" s="118"/>
      <c r="P2124" s="113"/>
      <c r="Q2124" s="119"/>
      <c r="R2124" s="113"/>
      <c r="S2124" s="113"/>
      <c r="T2124" s="113"/>
      <c r="W2124" s="115"/>
      <c r="Y2124"/>
      <c r="Z2124"/>
      <c r="AA2124"/>
      <c r="AB2124"/>
      <c r="AC2124"/>
      <c r="AD2124"/>
      <c r="AE2124"/>
      <c r="AF2124"/>
    </row>
    <row r="2125" spans="1:32" s="45" customFormat="1" ht="12.75" hidden="1">
      <c r="A2125" s="115"/>
      <c r="B2125" s="115"/>
      <c r="C2125" s="114"/>
      <c r="D2125" s="115"/>
      <c r="E2125" s="115"/>
      <c r="F2125" s="115"/>
      <c r="G2125" s="115"/>
      <c r="H2125" s="115"/>
      <c r="I2125" s="115"/>
      <c r="J2125" s="115"/>
      <c r="L2125" s="115"/>
      <c r="M2125" s="115"/>
      <c r="N2125" s="115"/>
      <c r="O2125" s="118"/>
      <c r="P2125" s="113"/>
      <c r="Q2125" s="119"/>
      <c r="R2125" s="113"/>
      <c r="S2125" s="113"/>
      <c r="T2125" s="113"/>
      <c r="W2125" s="115"/>
      <c r="Y2125"/>
      <c r="Z2125"/>
      <c r="AA2125"/>
      <c r="AB2125"/>
      <c r="AC2125"/>
      <c r="AD2125"/>
      <c r="AE2125"/>
      <c r="AF2125"/>
    </row>
    <row r="2126" spans="1:32" s="45" customFormat="1" ht="12.75" hidden="1">
      <c r="A2126" s="115"/>
      <c r="B2126" s="115"/>
      <c r="C2126" s="114"/>
      <c r="D2126" s="115"/>
      <c r="E2126" s="115"/>
      <c r="F2126" s="115"/>
      <c r="G2126" s="115"/>
      <c r="H2126" s="115"/>
      <c r="I2126" s="115"/>
      <c r="J2126" s="115"/>
      <c r="L2126" s="115"/>
      <c r="M2126" s="115"/>
      <c r="N2126" s="115"/>
      <c r="O2126" s="118"/>
      <c r="P2126" s="113"/>
      <c r="Q2126" s="119"/>
      <c r="R2126" s="113"/>
      <c r="S2126" s="113"/>
      <c r="T2126" s="113"/>
      <c r="W2126" s="115"/>
      <c r="Y2126"/>
      <c r="Z2126"/>
      <c r="AA2126"/>
      <c r="AB2126"/>
      <c r="AC2126"/>
      <c r="AD2126"/>
      <c r="AE2126"/>
      <c r="AF2126"/>
    </row>
    <row r="2127" spans="1:32" s="45" customFormat="1" ht="12.75" hidden="1">
      <c r="A2127" s="115"/>
      <c r="B2127" s="115"/>
      <c r="C2127" s="115"/>
      <c r="D2127" s="115"/>
      <c r="E2127" s="115"/>
      <c r="F2127" s="115"/>
      <c r="G2127" s="115"/>
      <c r="H2127" s="115"/>
      <c r="I2127" s="115"/>
      <c r="J2127" s="115"/>
      <c r="L2127" s="115"/>
      <c r="M2127" s="115"/>
      <c r="N2127" s="115"/>
      <c r="O2127" s="118"/>
      <c r="P2127" s="113"/>
      <c r="Q2127" s="119"/>
      <c r="R2127" s="113"/>
      <c r="S2127" s="113"/>
      <c r="T2127" s="113"/>
      <c r="W2127" s="115"/>
      <c r="Y2127"/>
      <c r="Z2127"/>
      <c r="AA2127"/>
      <c r="AB2127"/>
      <c r="AC2127"/>
      <c r="AD2127"/>
      <c r="AE2127"/>
      <c r="AF2127"/>
    </row>
    <row r="2128" spans="1:32" s="45" customFormat="1" ht="12.75" hidden="1">
      <c r="A2128" s="115"/>
      <c r="B2128" s="115"/>
      <c r="C2128" s="115"/>
      <c r="D2128" s="115"/>
      <c r="E2128" s="115"/>
      <c r="F2128" s="115"/>
      <c r="G2128" s="115"/>
      <c r="H2128" s="115"/>
      <c r="I2128" s="115"/>
      <c r="J2128" s="115"/>
      <c r="L2128" s="115"/>
      <c r="M2128" s="115"/>
      <c r="N2128" s="115"/>
      <c r="O2128" s="118"/>
      <c r="P2128" s="113"/>
      <c r="Q2128" s="119"/>
      <c r="R2128" s="113"/>
      <c r="S2128" s="113"/>
      <c r="T2128" s="113"/>
      <c r="W2128" s="115"/>
      <c r="Y2128"/>
      <c r="Z2128"/>
      <c r="AA2128"/>
      <c r="AB2128"/>
      <c r="AC2128"/>
      <c r="AD2128"/>
      <c r="AE2128"/>
      <c r="AF2128"/>
    </row>
    <row r="2129" spans="1:32" s="45" customFormat="1" ht="12.75" hidden="1">
      <c r="A2129" s="115"/>
      <c r="B2129" s="115"/>
      <c r="C2129" s="115"/>
      <c r="D2129" s="115"/>
      <c r="E2129" s="115"/>
      <c r="F2129" s="115"/>
      <c r="G2129" s="115"/>
      <c r="H2129" s="115"/>
      <c r="I2129" s="115"/>
      <c r="J2129" s="115"/>
      <c r="L2129" s="115"/>
      <c r="M2129" s="115"/>
      <c r="N2129" s="115"/>
      <c r="O2129" s="118"/>
      <c r="P2129" s="113"/>
      <c r="Q2129" s="119"/>
      <c r="R2129" s="113"/>
      <c r="S2129" s="113"/>
      <c r="T2129" s="113"/>
      <c r="W2129" s="115"/>
      <c r="Y2129"/>
      <c r="Z2129"/>
      <c r="AA2129"/>
      <c r="AB2129"/>
      <c r="AC2129"/>
      <c r="AD2129"/>
      <c r="AE2129"/>
      <c r="AF2129"/>
    </row>
    <row r="2130" spans="1:32" s="45" customFormat="1" ht="12.75" hidden="1">
      <c r="A2130" s="115"/>
      <c r="B2130" s="115"/>
      <c r="C2130" s="115"/>
      <c r="D2130" s="115"/>
      <c r="E2130" s="115"/>
      <c r="F2130" s="115"/>
      <c r="G2130" s="115"/>
      <c r="H2130" s="115"/>
      <c r="I2130" s="115"/>
      <c r="J2130" s="115"/>
      <c r="L2130" s="115"/>
      <c r="M2130" s="115"/>
      <c r="N2130" s="115"/>
      <c r="O2130" s="118"/>
      <c r="P2130" s="113"/>
      <c r="Q2130" s="119"/>
      <c r="R2130" s="113"/>
      <c r="S2130" s="113"/>
      <c r="T2130" s="113"/>
      <c r="W2130" s="115"/>
      <c r="Y2130"/>
      <c r="Z2130"/>
      <c r="AA2130"/>
      <c r="AB2130"/>
      <c r="AC2130"/>
      <c r="AD2130"/>
      <c r="AE2130"/>
      <c r="AF2130"/>
    </row>
    <row r="2131" spans="1:32" s="45" customFormat="1" ht="12.75" hidden="1">
      <c r="A2131" s="115"/>
      <c r="B2131" s="115"/>
      <c r="C2131" s="115"/>
      <c r="D2131" s="115"/>
      <c r="E2131" s="115"/>
      <c r="F2131" s="115"/>
      <c r="G2131" s="115"/>
      <c r="H2131" s="115"/>
      <c r="I2131" s="115"/>
      <c r="J2131" s="115"/>
      <c r="L2131" s="115"/>
      <c r="M2131" s="115"/>
      <c r="N2131" s="115"/>
      <c r="O2131" s="118"/>
      <c r="P2131" s="113"/>
      <c r="Q2131" s="119"/>
      <c r="R2131" s="113"/>
      <c r="S2131" s="113"/>
      <c r="T2131" s="113"/>
      <c r="W2131" s="115"/>
      <c r="Y2131"/>
      <c r="Z2131"/>
      <c r="AA2131"/>
      <c r="AB2131"/>
      <c r="AC2131"/>
      <c r="AD2131"/>
      <c r="AE2131"/>
      <c r="AF2131"/>
    </row>
    <row r="2132" spans="1:32" s="45" customFormat="1" ht="12.75" hidden="1">
      <c r="A2132" s="115"/>
      <c r="B2132" s="115"/>
      <c r="C2132" s="115"/>
      <c r="D2132" s="115"/>
      <c r="E2132" s="115"/>
      <c r="F2132" s="115"/>
      <c r="G2132" s="115"/>
      <c r="H2132" s="115"/>
      <c r="I2132" s="115"/>
      <c r="J2132" s="115"/>
      <c r="L2132" s="115"/>
      <c r="M2132" s="115"/>
      <c r="N2132" s="115"/>
      <c r="O2132" s="118"/>
      <c r="P2132" s="113"/>
      <c r="Q2132" s="119"/>
      <c r="R2132" s="113"/>
      <c r="S2132" s="113"/>
      <c r="T2132" s="113"/>
      <c r="W2132" s="115"/>
      <c r="Y2132"/>
      <c r="Z2132"/>
      <c r="AA2132"/>
      <c r="AB2132"/>
      <c r="AC2132"/>
      <c r="AD2132"/>
      <c r="AE2132"/>
      <c r="AF2132"/>
    </row>
    <row r="2133" spans="1:32" s="45" customFormat="1" ht="12.75" hidden="1">
      <c r="A2133" s="115"/>
      <c r="B2133" s="115"/>
      <c r="C2133" s="115"/>
      <c r="D2133" s="115"/>
      <c r="E2133" s="115"/>
      <c r="F2133" s="115"/>
      <c r="G2133" s="115"/>
      <c r="H2133" s="115"/>
      <c r="I2133" s="115"/>
      <c r="J2133" s="115"/>
      <c r="L2133" s="115"/>
      <c r="M2133" s="115"/>
      <c r="N2133" s="115"/>
      <c r="O2133" s="118"/>
      <c r="P2133" s="113"/>
      <c r="Q2133" s="119"/>
      <c r="R2133" s="113"/>
      <c r="S2133" s="113"/>
      <c r="T2133" s="113"/>
      <c r="W2133" s="115"/>
      <c r="Y2133"/>
      <c r="Z2133"/>
      <c r="AA2133"/>
      <c r="AB2133"/>
      <c r="AC2133"/>
      <c r="AD2133"/>
      <c r="AE2133"/>
      <c r="AF2133"/>
    </row>
    <row r="2134" spans="1:32" s="45" customFormat="1" ht="12.75" hidden="1">
      <c r="A2134" s="115"/>
      <c r="B2134" s="115"/>
      <c r="C2134" s="115"/>
      <c r="D2134" s="115"/>
      <c r="E2134" s="115"/>
      <c r="F2134" s="115"/>
      <c r="G2134" s="115"/>
      <c r="H2134" s="115"/>
      <c r="I2134" s="115"/>
      <c r="J2134" s="115"/>
      <c r="L2134" s="115"/>
      <c r="M2134" s="115"/>
      <c r="N2134" s="115"/>
      <c r="O2134" s="118"/>
      <c r="P2134" s="113"/>
      <c r="Q2134" s="119"/>
      <c r="R2134" s="113"/>
      <c r="S2134" s="113"/>
      <c r="T2134" s="113"/>
      <c r="W2134" s="115"/>
      <c r="Y2134"/>
      <c r="Z2134"/>
      <c r="AA2134"/>
      <c r="AB2134"/>
      <c r="AC2134"/>
      <c r="AD2134"/>
      <c r="AE2134"/>
      <c r="AF2134"/>
    </row>
    <row r="2135" spans="1:32" s="45" customFormat="1" ht="12.75" hidden="1">
      <c r="A2135" s="115"/>
      <c r="B2135" s="115"/>
      <c r="C2135" s="115"/>
      <c r="D2135" s="115"/>
      <c r="E2135" s="115"/>
      <c r="F2135" s="115"/>
      <c r="G2135" s="115"/>
      <c r="H2135" s="115"/>
      <c r="I2135" s="115"/>
      <c r="J2135" s="115"/>
      <c r="L2135" s="115"/>
      <c r="M2135" s="115"/>
      <c r="N2135" s="115"/>
      <c r="O2135" s="118"/>
      <c r="P2135" s="113"/>
      <c r="Q2135" s="119"/>
      <c r="R2135" s="113"/>
      <c r="S2135" s="113"/>
      <c r="T2135" s="113"/>
      <c r="W2135" s="115"/>
      <c r="Y2135"/>
      <c r="Z2135"/>
      <c r="AA2135"/>
      <c r="AB2135"/>
      <c r="AC2135"/>
      <c r="AD2135"/>
      <c r="AE2135"/>
      <c r="AF2135"/>
    </row>
    <row r="2136" spans="1:32" s="45" customFormat="1" ht="12.75" hidden="1">
      <c r="A2136" s="115"/>
      <c r="B2136" s="115"/>
      <c r="C2136" s="115"/>
      <c r="D2136" s="115"/>
      <c r="E2136" s="115"/>
      <c r="F2136" s="115"/>
      <c r="G2136" s="115"/>
      <c r="H2136" s="115"/>
      <c r="I2136" s="115"/>
      <c r="J2136" s="115"/>
      <c r="L2136" s="115"/>
      <c r="M2136" s="115"/>
      <c r="N2136" s="115"/>
      <c r="O2136" s="118"/>
      <c r="P2136" s="113"/>
      <c r="Q2136" s="119"/>
      <c r="R2136" s="113"/>
      <c r="S2136" s="113"/>
      <c r="T2136" s="113"/>
      <c r="W2136" s="115"/>
      <c r="Y2136"/>
      <c r="Z2136"/>
      <c r="AA2136"/>
      <c r="AB2136"/>
      <c r="AC2136"/>
      <c r="AD2136"/>
      <c r="AE2136"/>
      <c r="AF2136"/>
    </row>
    <row r="2137" spans="1:32" s="45" customFormat="1" ht="12.75" hidden="1">
      <c r="A2137" s="115"/>
      <c r="B2137" s="115"/>
      <c r="C2137" s="115"/>
      <c r="D2137" s="115"/>
      <c r="E2137" s="115"/>
      <c r="F2137" s="115"/>
      <c r="G2137" s="115"/>
      <c r="H2137" s="115"/>
      <c r="I2137" s="115"/>
      <c r="J2137" s="115"/>
      <c r="L2137" s="115"/>
      <c r="M2137" s="115"/>
      <c r="N2137" s="115"/>
      <c r="O2137" s="118"/>
      <c r="P2137" s="113"/>
      <c r="Q2137" s="119"/>
      <c r="R2137" s="113"/>
      <c r="S2137" s="113"/>
      <c r="T2137" s="113"/>
      <c r="W2137" s="115"/>
      <c r="Y2137"/>
      <c r="Z2137"/>
      <c r="AA2137"/>
      <c r="AB2137"/>
      <c r="AC2137"/>
      <c r="AD2137"/>
      <c r="AE2137"/>
      <c r="AF2137"/>
    </row>
    <row r="2138" spans="1:32" s="45" customFormat="1" ht="12.75" hidden="1">
      <c r="A2138" s="115"/>
      <c r="B2138" s="115"/>
      <c r="C2138" s="115"/>
      <c r="D2138" s="115"/>
      <c r="E2138" s="115"/>
      <c r="F2138" s="115"/>
      <c r="G2138" s="115"/>
      <c r="H2138" s="115"/>
      <c r="I2138" s="115"/>
      <c r="J2138" s="115"/>
      <c r="L2138" s="115"/>
      <c r="M2138" s="115"/>
      <c r="N2138" s="115"/>
      <c r="O2138" s="118"/>
      <c r="P2138" s="113"/>
      <c r="Q2138" s="119"/>
      <c r="R2138" s="113"/>
      <c r="S2138" s="113"/>
      <c r="T2138" s="113"/>
      <c r="W2138" s="115"/>
      <c r="Y2138"/>
      <c r="Z2138"/>
      <c r="AA2138"/>
      <c r="AB2138"/>
      <c r="AC2138"/>
      <c r="AD2138"/>
      <c r="AE2138"/>
      <c r="AF2138"/>
    </row>
    <row r="2139" spans="1:32" s="45" customFormat="1" ht="12.75" hidden="1">
      <c r="A2139" s="115"/>
      <c r="B2139" s="115"/>
      <c r="C2139" s="115"/>
      <c r="D2139" s="115"/>
      <c r="E2139" s="115"/>
      <c r="F2139" s="115"/>
      <c r="G2139" s="115"/>
      <c r="H2139" s="115"/>
      <c r="I2139" s="115"/>
      <c r="J2139" s="115"/>
      <c r="L2139" s="115"/>
      <c r="M2139" s="115"/>
      <c r="N2139" s="115"/>
      <c r="O2139" s="118"/>
      <c r="P2139" s="113"/>
      <c r="Q2139" s="119"/>
      <c r="R2139" s="113"/>
      <c r="S2139" s="113"/>
      <c r="T2139" s="113"/>
      <c r="W2139" s="115"/>
      <c r="Y2139"/>
      <c r="Z2139"/>
      <c r="AA2139"/>
      <c r="AB2139"/>
      <c r="AC2139"/>
      <c r="AD2139"/>
      <c r="AE2139"/>
      <c r="AF2139"/>
    </row>
    <row r="2140" spans="1:32" s="45" customFormat="1" ht="12.75" hidden="1">
      <c r="A2140" s="115"/>
      <c r="B2140" s="115"/>
      <c r="C2140" s="115"/>
      <c r="D2140" s="115"/>
      <c r="E2140" s="115"/>
      <c r="F2140" s="115"/>
      <c r="G2140" s="115"/>
      <c r="H2140" s="115"/>
      <c r="I2140" s="115"/>
      <c r="J2140" s="115"/>
      <c r="L2140" s="115"/>
      <c r="M2140" s="115"/>
      <c r="N2140" s="115"/>
      <c r="O2140" s="118"/>
      <c r="P2140" s="113"/>
      <c r="Q2140" s="119"/>
      <c r="R2140" s="113"/>
      <c r="S2140" s="113"/>
      <c r="T2140" s="113"/>
      <c r="W2140" s="115"/>
      <c r="Y2140"/>
      <c r="Z2140"/>
      <c r="AA2140"/>
      <c r="AB2140"/>
      <c r="AC2140"/>
      <c r="AD2140"/>
      <c r="AE2140"/>
      <c r="AF2140"/>
    </row>
    <row r="2141" spans="1:32" s="45" customFormat="1" ht="12.75" hidden="1">
      <c r="A2141" s="115"/>
      <c r="B2141" s="115"/>
      <c r="C2141" s="115"/>
      <c r="D2141" s="115"/>
      <c r="E2141" s="115"/>
      <c r="F2141" s="115"/>
      <c r="G2141" s="115"/>
      <c r="H2141" s="115"/>
      <c r="I2141" s="115"/>
      <c r="J2141" s="115"/>
      <c r="L2141" s="115"/>
      <c r="M2141" s="115"/>
      <c r="N2141" s="115"/>
      <c r="O2141" s="118"/>
      <c r="P2141" s="113"/>
      <c r="Q2141" s="119"/>
      <c r="R2141" s="113"/>
      <c r="S2141" s="113"/>
      <c r="T2141" s="113"/>
      <c r="W2141" s="115"/>
      <c r="Y2141"/>
      <c r="Z2141"/>
      <c r="AA2141"/>
      <c r="AB2141"/>
      <c r="AC2141"/>
      <c r="AD2141"/>
      <c r="AE2141"/>
      <c r="AF2141"/>
    </row>
    <row r="2142" spans="1:32" s="45" customFormat="1" ht="12.75" hidden="1">
      <c r="A2142" s="115"/>
      <c r="B2142" s="115"/>
      <c r="C2142" s="115"/>
      <c r="D2142" s="115"/>
      <c r="E2142" s="115"/>
      <c r="F2142" s="115"/>
      <c r="G2142" s="115"/>
      <c r="H2142" s="115"/>
      <c r="I2142" s="115"/>
      <c r="J2142" s="115"/>
      <c r="L2142" s="115"/>
      <c r="M2142" s="115"/>
      <c r="N2142" s="115"/>
      <c r="O2142" s="118"/>
      <c r="P2142" s="113"/>
      <c r="Q2142" s="119"/>
      <c r="R2142" s="113"/>
      <c r="S2142" s="113"/>
      <c r="T2142" s="113"/>
      <c r="W2142" s="115"/>
      <c r="Y2142"/>
      <c r="Z2142"/>
      <c r="AA2142"/>
      <c r="AB2142"/>
      <c r="AC2142"/>
      <c r="AD2142"/>
      <c r="AE2142"/>
      <c r="AF2142"/>
    </row>
    <row r="2143" spans="1:32" s="45" customFormat="1" ht="12.75" hidden="1">
      <c r="A2143" s="115"/>
      <c r="B2143" s="115"/>
      <c r="C2143" s="115"/>
      <c r="D2143" s="115"/>
      <c r="E2143" s="115"/>
      <c r="F2143" s="115"/>
      <c r="G2143" s="115"/>
      <c r="H2143" s="115"/>
      <c r="I2143" s="115"/>
      <c r="J2143" s="115"/>
      <c r="L2143" s="115"/>
      <c r="M2143" s="115"/>
      <c r="N2143" s="115"/>
      <c r="O2143" s="118"/>
      <c r="P2143" s="113"/>
      <c r="Q2143" s="119"/>
      <c r="R2143" s="113"/>
      <c r="S2143" s="113"/>
      <c r="T2143" s="113"/>
      <c r="W2143" s="115"/>
      <c r="Y2143"/>
      <c r="Z2143"/>
      <c r="AA2143"/>
      <c r="AB2143"/>
      <c r="AC2143"/>
      <c r="AD2143"/>
      <c r="AE2143"/>
      <c r="AF2143"/>
    </row>
    <row r="2144" spans="1:32" s="45" customFormat="1" ht="12.75" hidden="1">
      <c r="A2144" s="115"/>
      <c r="B2144" s="115"/>
      <c r="C2144" s="115"/>
      <c r="D2144" s="115"/>
      <c r="E2144" s="115"/>
      <c r="F2144" s="115"/>
      <c r="G2144" s="115"/>
      <c r="H2144" s="115"/>
      <c r="I2144" s="115"/>
      <c r="J2144" s="115"/>
      <c r="L2144" s="115"/>
      <c r="M2144" s="115"/>
      <c r="N2144" s="115"/>
      <c r="O2144" s="118"/>
      <c r="P2144" s="113"/>
      <c r="Q2144" s="119"/>
      <c r="R2144" s="113"/>
      <c r="S2144" s="113"/>
      <c r="T2144" s="113"/>
      <c r="W2144" s="115"/>
      <c r="Y2144"/>
      <c r="Z2144"/>
      <c r="AA2144"/>
      <c r="AB2144"/>
      <c r="AC2144"/>
      <c r="AD2144"/>
      <c r="AE2144"/>
      <c r="AF2144"/>
    </row>
    <row r="2145" spans="1:32" s="45" customFormat="1" ht="12.75" hidden="1">
      <c r="A2145" s="115"/>
      <c r="B2145" s="115"/>
      <c r="C2145" s="115"/>
      <c r="D2145" s="115"/>
      <c r="E2145" s="115"/>
      <c r="F2145" s="115"/>
      <c r="G2145" s="115"/>
      <c r="H2145" s="115"/>
      <c r="I2145" s="115"/>
      <c r="J2145" s="115"/>
      <c r="L2145" s="115"/>
      <c r="M2145" s="115"/>
      <c r="N2145" s="115"/>
      <c r="O2145" s="118"/>
      <c r="P2145" s="113"/>
      <c r="Q2145" s="119"/>
      <c r="R2145" s="113"/>
      <c r="S2145" s="113"/>
      <c r="T2145" s="113"/>
      <c r="W2145" s="115"/>
      <c r="Y2145"/>
      <c r="Z2145"/>
      <c r="AA2145"/>
      <c r="AB2145"/>
      <c r="AC2145"/>
      <c r="AD2145"/>
      <c r="AE2145"/>
      <c r="AF2145"/>
    </row>
    <row r="2146" spans="1:32" s="45" customFormat="1" ht="12.75" hidden="1">
      <c r="A2146" s="115"/>
      <c r="B2146" s="115"/>
      <c r="C2146" s="115"/>
      <c r="D2146" s="115"/>
      <c r="E2146" s="115"/>
      <c r="F2146" s="115"/>
      <c r="G2146" s="115"/>
      <c r="H2146" s="115"/>
      <c r="I2146" s="115"/>
      <c r="J2146" s="115"/>
      <c r="L2146" s="115"/>
      <c r="M2146" s="115"/>
      <c r="N2146" s="115"/>
      <c r="O2146" s="118"/>
      <c r="P2146" s="113"/>
      <c r="Q2146" s="119"/>
      <c r="R2146" s="113"/>
      <c r="S2146" s="113"/>
      <c r="T2146" s="113"/>
      <c r="W2146" s="115"/>
      <c r="Y2146"/>
      <c r="Z2146"/>
      <c r="AA2146"/>
      <c r="AB2146"/>
      <c r="AC2146"/>
      <c r="AD2146"/>
      <c r="AE2146"/>
      <c r="AF2146"/>
    </row>
    <row r="2147" spans="1:32" s="45" customFormat="1" ht="12.75" hidden="1">
      <c r="A2147" s="115"/>
      <c r="B2147" s="115"/>
      <c r="C2147" s="115"/>
      <c r="D2147" s="115"/>
      <c r="E2147" s="115"/>
      <c r="F2147" s="115"/>
      <c r="G2147" s="115"/>
      <c r="H2147" s="115"/>
      <c r="I2147" s="115"/>
      <c r="J2147" s="115"/>
      <c r="L2147" s="115"/>
      <c r="M2147" s="115"/>
      <c r="N2147" s="115"/>
      <c r="O2147" s="118"/>
      <c r="P2147" s="113"/>
      <c r="Q2147" s="119"/>
      <c r="R2147" s="113"/>
      <c r="S2147" s="113"/>
      <c r="T2147" s="113"/>
      <c r="W2147" s="115"/>
      <c r="Y2147"/>
      <c r="Z2147"/>
      <c r="AA2147"/>
      <c r="AB2147"/>
      <c r="AC2147"/>
      <c r="AD2147"/>
      <c r="AE2147"/>
      <c r="AF2147"/>
    </row>
    <row r="2148" spans="1:32" s="45" customFormat="1" ht="12.75" hidden="1">
      <c r="A2148" s="115"/>
      <c r="B2148" s="115"/>
      <c r="C2148" s="115"/>
      <c r="D2148" s="115"/>
      <c r="E2148" s="115"/>
      <c r="F2148" s="115"/>
      <c r="G2148" s="115"/>
      <c r="H2148" s="115"/>
      <c r="I2148" s="115"/>
      <c r="J2148" s="115"/>
      <c r="L2148" s="115"/>
      <c r="M2148" s="115"/>
      <c r="N2148" s="115"/>
      <c r="O2148" s="118"/>
      <c r="P2148" s="113"/>
      <c r="Q2148" s="119"/>
      <c r="R2148" s="113"/>
      <c r="S2148" s="113"/>
      <c r="T2148" s="113"/>
      <c r="W2148" s="115"/>
      <c r="Y2148"/>
      <c r="Z2148"/>
      <c r="AA2148"/>
      <c r="AB2148"/>
      <c r="AC2148"/>
      <c r="AD2148"/>
      <c r="AE2148"/>
      <c r="AF2148"/>
    </row>
    <row r="2149" spans="1:32" s="45" customFormat="1" ht="12.75" hidden="1">
      <c r="A2149" s="115"/>
      <c r="B2149" s="115"/>
      <c r="C2149" s="115"/>
      <c r="D2149" s="115"/>
      <c r="E2149" s="115"/>
      <c r="F2149" s="115"/>
      <c r="G2149" s="115"/>
      <c r="H2149" s="115"/>
      <c r="I2149" s="115"/>
      <c r="J2149" s="115"/>
      <c r="L2149" s="115"/>
      <c r="M2149" s="115"/>
      <c r="N2149" s="115"/>
      <c r="O2149" s="118"/>
      <c r="P2149" s="113"/>
      <c r="Q2149" s="119"/>
      <c r="R2149" s="113"/>
      <c r="S2149" s="113"/>
      <c r="T2149" s="113"/>
      <c r="W2149" s="115"/>
      <c r="Y2149"/>
      <c r="Z2149"/>
      <c r="AA2149"/>
      <c r="AB2149"/>
      <c r="AC2149"/>
      <c r="AD2149"/>
      <c r="AE2149"/>
      <c r="AF2149"/>
    </row>
    <row r="2150" spans="1:32" s="45" customFormat="1" ht="12.75" hidden="1">
      <c r="A2150" s="115"/>
      <c r="B2150" s="115"/>
      <c r="C2150" s="115"/>
      <c r="D2150" s="115"/>
      <c r="E2150" s="115"/>
      <c r="F2150" s="115"/>
      <c r="G2150" s="115"/>
      <c r="H2150" s="115"/>
      <c r="I2150" s="115"/>
      <c r="J2150" s="115"/>
      <c r="L2150" s="115"/>
      <c r="M2150" s="115"/>
      <c r="N2150" s="115"/>
      <c r="O2150" s="118"/>
      <c r="P2150" s="113"/>
      <c r="Q2150" s="119"/>
      <c r="R2150" s="113"/>
      <c r="S2150" s="113"/>
      <c r="T2150" s="113"/>
      <c r="W2150" s="115"/>
      <c r="Y2150"/>
      <c r="Z2150"/>
      <c r="AA2150"/>
      <c r="AB2150"/>
      <c r="AC2150"/>
      <c r="AD2150"/>
      <c r="AE2150"/>
      <c r="AF2150"/>
    </row>
    <row r="2151" spans="1:32" s="45" customFormat="1" ht="12.75" hidden="1">
      <c r="A2151" s="115"/>
      <c r="B2151" s="115"/>
      <c r="C2151" s="115"/>
      <c r="D2151" s="115"/>
      <c r="E2151" s="115"/>
      <c r="F2151" s="115"/>
      <c r="G2151" s="115"/>
      <c r="H2151" s="115"/>
      <c r="I2151" s="115"/>
      <c r="J2151" s="115"/>
      <c r="L2151" s="115"/>
      <c r="M2151" s="115"/>
      <c r="N2151" s="115"/>
      <c r="O2151" s="118"/>
      <c r="P2151" s="113"/>
      <c r="Q2151" s="119"/>
      <c r="R2151" s="113"/>
      <c r="S2151" s="113"/>
      <c r="T2151" s="113"/>
      <c r="W2151" s="115"/>
      <c r="Y2151"/>
      <c r="Z2151"/>
      <c r="AA2151"/>
      <c r="AB2151"/>
      <c r="AC2151"/>
      <c r="AD2151"/>
      <c r="AE2151"/>
      <c r="AF2151"/>
    </row>
    <row r="2152" spans="1:32" s="45" customFormat="1" ht="12.75" hidden="1">
      <c r="A2152" s="115"/>
      <c r="B2152" s="115"/>
      <c r="C2152" s="115"/>
      <c r="D2152" s="115"/>
      <c r="E2152" s="115"/>
      <c r="F2152" s="115"/>
      <c r="G2152" s="115"/>
      <c r="H2152" s="115"/>
      <c r="I2152" s="115"/>
      <c r="J2152" s="115"/>
      <c r="L2152" s="115"/>
      <c r="M2152" s="115"/>
      <c r="N2152" s="115"/>
      <c r="O2152" s="118"/>
      <c r="P2152" s="113"/>
      <c r="Q2152" s="119"/>
      <c r="R2152" s="113"/>
      <c r="S2152" s="113"/>
      <c r="T2152" s="113"/>
      <c r="W2152" s="115"/>
      <c r="Y2152"/>
      <c r="Z2152"/>
      <c r="AA2152"/>
      <c r="AB2152"/>
      <c r="AC2152"/>
      <c r="AD2152"/>
      <c r="AE2152"/>
      <c r="AF2152"/>
    </row>
    <row r="2153" spans="1:32" s="45" customFormat="1" ht="12.75" hidden="1">
      <c r="A2153" s="115"/>
      <c r="B2153" s="115"/>
      <c r="C2153" s="115"/>
      <c r="D2153" s="115"/>
      <c r="E2153" s="115"/>
      <c r="F2153" s="115"/>
      <c r="G2153" s="115"/>
      <c r="H2153" s="115"/>
      <c r="I2153" s="115"/>
      <c r="J2153" s="115"/>
      <c r="L2153" s="115"/>
      <c r="M2153" s="115"/>
      <c r="N2153" s="115"/>
      <c r="O2153" s="118"/>
      <c r="P2153" s="113"/>
      <c r="Q2153" s="119"/>
      <c r="R2153" s="113"/>
      <c r="S2153" s="113"/>
      <c r="T2153" s="113"/>
      <c r="W2153" s="115"/>
      <c r="Y2153"/>
      <c r="Z2153"/>
      <c r="AA2153"/>
      <c r="AB2153"/>
      <c r="AC2153"/>
      <c r="AD2153"/>
      <c r="AE2153"/>
      <c r="AF2153"/>
    </row>
    <row r="2154" spans="1:32" s="45" customFormat="1" ht="12.75" hidden="1">
      <c r="A2154" s="115"/>
      <c r="B2154" s="115"/>
      <c r="C2154" s="115"/>
      <c r="D2154" s="115"/>
      <c r="E2154" s="115"/>
      <c r="F2154" s="115"/>
      <c r="G2154" s="115"/>
      <c r="H2154" s="115"/>
      <c r="I2154" s="115"/>
      <c r="J2154" s="115"/>
      <c r="L2154" s="115"/>
      <c r="M2154" s="115"/>
      <c r="N2154" s="115"/>
      <c r="O2154" s="118"/>
      <c r="P2154" s="113"/>
      <c r="Q2154" s="119"/>
      <c r="R2154" s="113"/>
      <c r="S2154" s="113"/>
      <c r="T2154" s="113"/>
      <c r="W2154" s="115"/>
      <c r="Y2154"/>
      <c r="Z2154"/>
      <c r="AA2154"/>
      <c r="AB2154"/>
      <c r="AC2154"/>
      <c r="AD2154"/>
      <c r="AE2154"/>
      <c r="AF2154"/>
    </row>
    <row r="2155" spans="1:32" s="45" customFormat="1" ht="12.75" hidden="1">
      <c r="A2155" s="115"/>
      <c r="B2155" s="115"/>
      <c r="C2155" s="115"/>
      <c r="D2155" s="115"/>
      <c r="E2155" s="115"/>
      <c r="F2155" s="115"/>
      <c r="G2155" s="115"/>
      <c r="H2155" s="115"/>
      <c r="I2155" s="115"/>
      <c r="J2155" s="115"/>
      <c r="L2155" s="115"/>
      <c r="M2155" s="115"/>
      <c r="N2155" s="115"/>
      <c r="O2155" s="118"/>
      <c r="P2155" s="113"/>
      <c r="Q2155" s="119"/>
      <c r="R2155" s="113"/>
      <c r="S2155" s="113"/>
      <c r="T2155" s="113"/>
      <c r="W2155" s="115"/>
      <c r="Y2155"/>
      <c r="Z2155"/>
      <c r="AA2155"/>
      <c r="AB2155"/>
      <c r="AC2155"/>
      <c r="AD2155"/>
      <c r="AE2155"/>
      <c r="AF2155"/>
    </row>
    <row r="2156" spans="1:32" s="45" customFormat="1" ht="12.75" hidden="1">
      <c r="A2156" s="115"/>
      <c r="B2156" s="115"/>
      <c r="C2156" s="115"/>
      <c r="D2156" s="115"/>
      <c r="E2156" s="115"/>
      <c r="F2156" s="115"/>
      <c r="G2156" s="115"/>
      <c r="H2156" s="115"/>
      <c r="I2156" s="115"/>
      <c r="J2156" s="115"/>
      <c r="L2156" s="115"/>
      <c r="M2156" s="115"/>
      <c r="N2156" s="115"/>
      <c r="O2156" s="118"/>
      <c r="P2156" s="113"/>
      <c r="Q2156" s="119"/>
      <c r="R2156" s="113"/>
      <c r="S2156" s="113"/>
      <c r="T2156" s="113"/>
      <c r="W2156" s="115"/>
      <c r="Y2156"/>
      <c r="Z2156"/>
      <c r="AA2156"/>
      <c r="AB2156"/>
      <c r="AC2156"/>
      <c r="AD2156"/>
      <c r="AE2156"/>
      <c r="AF2156"/>
    </row>
    <row r="2157" spans="1:32" s="45" customFormat="1" ht="12.75" hidden="1">
      <c r="A2157" s="115"/>
      <c r="B2157" s="115"/>
      <c r="C2157" s="115"/>
      <c r="D2157" s="115"/>
      <c r="E2157" s="115"/>
      <c r="F2157" s="115"/>
      <c r="G2157" s="115"/>
      <c r="H2157" s="115"/>
      <c r="I2157" s="115"/>
      <c r="J2157" s="115"/>
      <c r="L2157" s="115"/>
      <c r="M2157" s="115"/>
      <c r="N2157" s="115"/>
      <c r="O2157" s="118"/>
      <c r="P2157" s="113"/>
      <c r="Q2157" s="119"/>
      <c r="R2157" s="113"/>
      <c r="S2157" s="113"/>
      <c r="T2157" s="113"/>
      <c r="W2157" s="115"/>
      <c r="Y2157"/>
      <c r="Z2157"/>
      <c r="AA2157"/>
      <c r="AB2157"/>
      <c r="AC2157"/>
      <c r="AD2157"/>
      <c r="AE2157"/>
      <c r="AF2157"/>
    </row>
    <row r="2158" spans="1:32" s="45" customFormat="1" ht="12.75" hidden="1">
      <c r="A2158" s="115"/>
      <c r="B2158" s="115"/>
      <c r="C2158" s="115"/>
      <c r="D2158" s="115"/>
      <c r="E2158" s="115"/>
      <c r="F2158" s="115"/>
      <c r="G2158" s="115"/>
      <c r="H2158" s="115"/>
      <c r="I2158" s="115"/>
      <c r="J2158" s="115"/>
      <c r="L2158" s="115"/>
      <c r="M2158" s="115"/>
      <c r="N2158" s="115"/>
      <c r="O2158" s="118"/>
      <c r="P2158" s="113"/>
      <c r="Q2158" s="119"/>
      <c r="R2158" s="113"/>
      <c r="S2158" s="113"/>
      <c r="T2158" s="113"/>
      <c r="W2158" s="115"/>
      <c r="Y2158"/>
      <c r="Z2158"/>
      <c r="AA2158"/>
      <c r="AB2158"/>
      <c r="AC2158"/>
      <c r="AD2158"/>
      <c r="AE2158"/>
      <c r="AF2158"/>
    </row>
    <row r="2159" spans="1:32" s="45" customFormat="1" ht="12.75" hidden="1">
      <c r="A2159" s="115"/>
      <c r="B2159" s="115"/>
      <c r="C2159" s="115"/>
      <c r="D2159" s="115"/>
      <c r="E2159" s="115"/>
      <c r="F2159" s="115"/>
      <c r="G2159" s="115"/>
      <c r="H2159" s="115"/>
      <c r="I2159" s="115"/>
      <c r="J2159" s="115"/>
      <c r="L2159" s="115"/>
      <c r="M2159" s="115"/>
      <c r="N2159" s="115"/>
      <c r="O2159" s="115"/>
      <c r="P2159" s="113"/>
      <c r="Q2159" s="119"/>
      <c r="R2159" s="113"/>
      <c r="S2159" s="113"/>
      <c r="T2159" s="113"/>
      <c r="W2159" s="115"/>
      <c r="Y2159"/>
      <c r="Z2159"/>
      <c r="AA2159"/>
      <c r="AB2159"/>
      <c r="AC2159"/>
      <c r="AD2159"/>
      <c r="AE2159"/>
      <c r="AF2159"/>
    </row>
    <row r="2160" spans="1:32" s="45" customFormat="1" ht="12.75" hidden="1">
      <c r="A2160" s="115"/>
      <c r="B2160" s="115"/>
      <c r="C2160" s="115"/>
      <c r="D2160" s="115"/>
      <c r="E2160" s="115"/>
      <c r="F2160" s="115"/>
      <c r="G2160" s="115"/>
      <c r="H2160" s="115"/>
      <c r="I2160" s="115"/>
      <c r="J2160" s="115"/>
      <c r="L2160" s="115"/>
      <c r="M2160" s="115"/>
      <c r="N2160" s="115"/>
      <c r="O2160" s="115"/>
      <c r="P2160" s="113"/>
      <c r="Q2160" s="119"/>
      <c r="R2160" s="113"/>
      <c r="S2160" s="113"/>
      <c r="T2160" s="113"/>
      <c r="W2160" s="115"/>
      <c r="Y2160"/>
      <c r="Z2160"/>
      <c r="AA2160"/>
      <c r="AB2160"/>
      <c r="AC2160"/>
      <c r="AD2160"/>
      <c r="AE2160"/>
      <c r="AF2160"/>
    </row>
    <row r="2161" spans="1:32" s="45" customFormat="1" ht="12.75" hidden="1">
      <c r="A2161" s="115"/>
      <c r="B2161" s="115"/>
      <c r="C2161" s="115"/>
      <c r="D2161" s="115"/>
      <c r="E2161" s="115"/>
      <c r="F2161" s="115"/>
      <c r="G2161" s="115"/>
      <c r="H2161" s="115"/>
      <c r="I2161" s="115"/>
      <c r="J2161" s="115"/>
      <c r="L2161" s="115"/>
      <c r="M2161" s="115"/>
      <c r="N2161" s="115"/>
      <c r="O2161" s="115"/>
      <c r="P2161" s="113"/>
      <c r="Q2161" s="119"/>
      <c r="R2161" s="113"/>
      <c r="S2161" s="113"/>
      <c r="T2161" s="113"/>
      <c r="W2161" s="115"/>
      <c r="Y2161"/>
      <c r="Z2161"/>
      <c r="AA2161"/>
      <c r="AB2161"/>
      <c r="AC2161"/>
      <c r="AD2161"/>
      <c r="AE2161"/>
      <c r="AF2161"/>
    </row>
    <row r="2162" spans="1:32" s="45" customFormat="1" ht="12.75" hidden="1">
      <c r="A2162" s="115"/>
      <c r="B2162" s="115"/>
      <c r="C2162" s="115"/>
      <c r="D2162" s="115"/>
      <c r="E2162" s="115"/>
      <c r="F2162" s="115"/>
      <c r="G2162" s="115"/>
      <c r="H2162" s="115"/>
      <c r="I2162" s="115"/>
      <c r="J2162" s="115"/>
      <c r="L2162" s="115"/>
      <c r="M2162" s="115"/>
      <c r="N2162" s="115"/>
      <c r="O2162" s="115"/>
      <c r="P2162" s="113"/>
      <c r="Q2162" s="119"/>
      <c r="R2162" s="113"/>
      <c r="S2162" s="113"/>
      <c r="T2162" s="113"/>
      <c r="W2162" s="115"/>
      <c r="Y2162"/>
      <c r="Z2162"/>
      <c r="AA2162"/>
      <c r="AB2162"/>
      <c r="AC2162"/>
      <c r="AD2162"/>
      <c r="AE2162"/>
      <c r="AF2162"/>
    </row>
    <row r="2163" spans="1:32" s="45" customFormat="1" ht="12.75" hidden="1">
      <c r="A2163" s="115"/>
      <c r="B2163" s="115"/>
      <c r="C2163" s="115"/>
      <c r="D2163" s="115"/>
      <c r="E2163" s="115"/>
      <c r="F2163" s="115"/>
      <c r="G2163" s="115"/>
      <c r="H2163" s="115"/>
      <c r="I2163" s="115"/>
      <c r="J2163" s="115"/>
      <c r="L2163" s="115"/>
      <c r="M2163" s="115"/>
      <c r="N2163" s="115"/>
      <c r="O2163" s="115"/>
      <c r="P2163" s="113"/>
      <c r="Q2163" s="119"/>
      <c r="R2163" s="113"/>
      <c r="S2163" s="113"/>
      <c r="T2163" s="113"/>
      <c r="W2163" s="115"/>
      <c r="Y2163"/>
      <c r="Z2163"/>
      <c r="AA2163"/>
      <c r="AB2163"/>
      <c r="AC2163"/>
      <c r="AD2163"/>
      <c r="AE2163"/>
      <c r="AF2163"/>
    </row>
    <row r="2164" spans="1:32" s="45" customFormat="1" ht="12.75" hidden="1">
      <c r="A2164" s="115"/>
      <c r="B2164" s="115"/>
      <c r="C2164" s="115"/>
      <c r="D2164" s="115"/>
      <c r="E2164" s="115"/>
      <c r="F2164" s="115"/>
      <c r="G2164" s="115"/>
      <c r="H2164" s="115"/>
      <c r="I2164" s="115"/>
      <c r="J2164" s="115"/>
      <c r="L2164" s="115"/>
      <c r="M2164" s="115"/>
      <c r="N2164" s="115"/>
      <c r="O2164" s="115"/>
      <c r="P2164" s="113"/>
      <c r="Q2164" s="119"/>
      <c r="R2164" s="113"/>
      <c r="S2164" s="113"/>
      <c r="T2164" s="113"/>
      <c r="W2164" s="115"/>
      <c r="Y2164"/>
      <c r="Z2164"/>
      <c r="AA2164"/>
      <c r="AB2164"/>
      <c r="AC2164"/>
      <c r="AD2164"/>
      <c r="AE2164"/>
      <c r="AF2164"/>
    </row>
    <row r="2165" spans="1:32" s="45" customFormat="1" ht="12.75" hidden="1">
      <c r="A2165" s="115"/>
      <c r="B2165" s="115"/>
      <c r="C2165" s="115"/>
      <c r="D2165" s="115"/>
      <c r="E2165" s="115"/>
      <c r="F2165" s="115"/>
      <c r="G2165" s="115"/>
      <c r="H2165" s="115"/>
      <c r="I2165" s="115"/>
      <c r="J2165" s="115"/>
      <c r="L2165" s="115"/>
      <c r="M2165" s="115"/>
      <c r="N2165" s="115"/>
      <c r="O2165" s="115"/>
      <c r="P2165" s="113"/>
      <c r="Q2165" s="119"/>
      <c r="R2165" s="113"/>
      <c r="S2165" s="113"/>
      <c r="T2165" s="113"/>
      <c r="W2165" s="115"/>
      <c r="Y2165"/>
      <c r="Z2165"/>
      <c r="AA2165"/>
      <c r="AB2165"/>
      <c r="AC2165"/>
      <c r="AD2165"/>
      <c r="AE2165"/>
      <c r="AF2165"/>
    </row>
    <row r="2166" spans="1:32" s="45" customFormat="1" ht="12.75" hidden="1">
      <c r="A2166" s="115"/>
      <c r="B2166" s="115"/>
      <c r="C2166" s="115"/>
      <c r="D2166" s="115"/>
      <c r="E2166" s="115"/>
      <c r="F2166" s="115"/>
      <c r="G2166" s="115"/>
      <c r="H2166" s="115"/>
      <c r="I2166" s="115"/>
      <c r="J2166" s="115"/>
      <c r="L2166" s="115"/>
      <c r="M2166" s="115"/>
      <c r="N2166" s="115"/>
      <c r="O2166" s="115"/>
      <c r="P2166" s="113"/>
      <c r="Q2166" s="119"/>
      <c r="R2166" s="113"/>
      <c r="S2166" s="113"/>
      <c r="T2166" s="113"/>
      <c r="W2166" s="115"/>
      <c r="Y2166"/>
      <c r="Z2166"/>
      <c r="AA2166"/>
      <c r="AB2166"/>
      <c r="AC2166"/>
      <c r="AD2166"/>
      <c r="AE2166"/>
      <c r="AF2166"/>
    </row>
    <row r="2167" spans="1:32" s="45" customFormat="1" ht="12.75" hidden="1">
      <c r="A2167" s="115"/>
      <c r="B2167" s="115"/>
      <c r="C2167" s="115"/>
      <c r="D2167" s="115"/>
      <c r="E2167" s="115"/>
      <c r="F2167" s="115"/>
      <c r="G2167" s="115"/>
      <c r="H2167" s="115"/>
      <c r="I2167" s="115"/>
      <c r="J2167" s="115"/>
      <c r="L2167" s="115"/>
      <c r="M2167" s="115"/>
      <c r="N2167" s="115"/>
      <c r="O2167" s="115"/>
      <c r="P2167" s="113"/>
      <c r="Q2167" s="119"/>
      <c r="R2167" s="113"/>
      <c r="S2167" s="113"/>
      <c r="T2167" s="113"/>
      <c r="W2167" s="115"/>
      <c r="Y2167"/>
      <c r="Z2167"/>
      <c r="AA2167"/>
      <c r="AB2167"/>
      <c r="AC2167"/>
      <c r="AD2167"/>
      <c r="AE2167"/>
      <c r="AF2167"/>
    </row>
    <row r="2168" spans="1:32" s="45" customFormat="1" ht="12.75" hidden="1">
      <c r="A2168" s="115"/>
      <c r="B2168" s="115"/>
      <c r="C2168" s="115"/>
      <c r="D2168" s="115"/>
      <c r="E2168" s="115"/>
      <c r="F2168" s="115"/>
      <c r="G2168" s="115"/>
      <c r="H2168" s="115"/>
      <c r="I2168" s="115"/>
      <c r="J2168" s="115"/>
      <c r="L2168" s="115"/>
      <c r="M2168" s="115"/>
      <c r="N2168" s="115"/>
      <c r="O2168" s="115"/>
      <c r="P2168" s="113"/>
      <c r="Q2168" s="119"/>
      <c r="R2168" s="113"/>
      <c r="S2168" s="113"/>
      <c r="T2168" s="113"/>
      <c r="W2168" s="115"/>
      <c r="Y2168"/>
      <c r="Z2168"/>
      <c r="AA2168"/>
      <c r="AB2168"/>
      <c r="AC2168"/>
      <c r="AD2168"/>
      <c r="AE2168"/>
      <c r="AF2168"/>
    </row>
    <row r="2169" spans="1:32" s="45" customFormat="1" ht="12.75" hidden="1">
      <c r="A2169" s="115"/>
      <c r="B2169" s="115"/>
      <c r="C2169" s="115"/>
      <c r="D2169" s="115"/>
      <c r="E2169" s="115"/>
      <c r="F2169" s="115"/>
      <c r="G2169" s="115"/>
      <c r="H2169" s="115"/>
      <c r="I2169" s="115"/>
      <c r="J2169" s="115"/>
      <c r="L2169" s="115"/>
      <c r="M2169" s="115"/>
      <c r="N2169" s="115"/>
      <c r="O2169" s="115"/>
      <c r="P2169" s="113"/>
      <c r="Q2169" s="119"/>
      <c r="R2169" s="113"/>
      <c r="S2169" s="113"/>
      <c r="T2169" s="113"/>
      <c r="W2169" s="115"/>
      <c r="Y2169"/>
      <c r="Z2169"/>
      <c r="AA2169"/>
      <c r="AB2169"/>
      <c r="AC2169"/>
      <c r="AD2169"/>
      <c r="AE2169"/>
      <c r="AF2169"/>
    </row>
    <row r="2170" spans="1:32" s="45" customFormat="1" ht="12.75" hidden="1">
      <c r="A2170" s="115"/>
      <c r="B2170" s="115"/>
      <c r="C2170" s="115"/>
      <c r="D2170" s="115"/>
      <c r="E2170" s="115"/>
      <c r="F2170" s="115"/>
      <c r="G2170" s="115"/>
      <c r="H2170" s="115"/>
      <c r="I2170" s="115"/>
      <c r="J2170" s="115"/>
      <c r="L2170" s="115"/>
      <c r="M2170" s="115"/>
      <c r="N2170" s="115"/>
      <c r="O2170" s="115"/>
      <c r="P2170" s="113"/>
      <c r="Q2170" s="119"/>
      <c r="R2170" s="113"/>
      <c r="S2170" s="113"/>
      <c r="T2170" s="113"/>
      <c r="W2170" s="115"/>
      <c r="Y2170"/>
      <c r="Z2170"/>
      <c r="AA2170"/>
      <c r="AB2170"/>
      <c r="AC2170"/>
      <c r="AD2170"/>
      <c r="AE2170"/>
      <c r="AF2170"/>
    </row>
    <row r="2171" spans="1:32" s="45" customFormat="1" ht="12.75" hidden="1">
      <c r="A2171" s="115"/>
      <c r="B2171" s="115"/>
      <c r="C2171" s="115"/>
      <c r="D2171" s="115"/>
      <c r="E2171" s="115"/>
      <c r="F2171" s="115"/>
      <c r="G2171" s="115"/>
      <c r="H2171" s="115"/>
      <c r="I2171" s="115"/>
      <c r="J2171" s="115"/>
      <c r="L2171" s="115"/>
      <c r="M2171" s="115"/>
      <c r="N2171" s="115"/>
      <c r="O2171" s="115"/>
      <c r="P2171" s="113"/>
      <c r="Q2171" s="119"/>
      <c r="R2171" s="113"/>
      <c r="S2171" s="113"/>
      <c r="T2171" s="113"/>
      <c r="W2171" s="115"/>
      <c r="Y2171"/>
      <c r="Z2171"/>
      <c r="AA2171"/>
      <c r="AB2171"/>
      <c r="AC2171"/>
      <c r="AD2171"/>
      <c r="AE2171"/>
      <c r="AF2171"/>
    </row>
    <row r="2172" spans="1:32" s="45" customFormat="1" ht="12.75" hidden="1">
      <c r="A2172" s="115"/>
      <c r="B2172" s="115"/>
      <c r="C2172" s="115"/>
      <c r="D2172" s="115"/>
      <c r="E2172" s="115"/>
      <c r="F2172" s="115"/>
      <c r="G2172" s="115"/>
      <c r="H2172" s="115"/>
      <c r="I2172" s="115"/>
      <c r="J2172" s="115"/>
      <c r="L2172" s="115"/>
      <c r="M2172" s="115"/>
      <c r="N2172" s="115"/>
      <c r="O2172" s="115"/>
      <c r="P2172" s="113"/>
      <c r="Q2172" s="119"/>
      <c r="R2172" s="113"/>
      <c r="S2172" s="113"/>
      <c r="T2172" s="113"/>
      <c r="W2172" s="115"/>
      <c r="Y2172"/>
      <c r="Z2172"/>
      <c r="AA2172"/>
      <c r="AB2172"/>
      <c r="AC2172"/>
      <c r="AD2172"/>
      <c r="AE2172"/>
      <c r="AF2172"/>
    </row>
    <row r="2173" spans="1:32" s="45" customFormat="1" ht="12.75" hidden="1">
      <c r="A2173" s="115"/>
      <c r="B2173" s="115"/>
      <c r="C2173" s="115"/>
      <c r="D2173" s="115"/>
      <c r="E2173" s="115"/>
      <c r="F2173" s="115"/>
      <c r="G2173" s="115"/>
      <c r="H2173" s="115"/>
      <c r="I2173" s="115"/>
      <c r="J2173" s="115"/>
      <c r="L2173" s="115"/>
      <c r="M2173" s="115"/>
      <c r="N2173" s="115"/>
      <c r="O2173" s="115"/>
      <c r="P2173" s="113"/>
      <c r="Q2173" s="119"/>
      <c r="R2173" s="113"/>
      <c r="S2173" s="113"/>
      <c r="T2173" s="113"/>
      <c r="W2173" s="115"/>
      <c r="Y2173"/>
      <c r="Z2173"/>
      <c r="AA2173"/>
      <c r="AB2173"/>
      <c r="AC2173"/>
      <c r="AD2173"/>
      <c r="AE2173"/>
      <c r="AF2173"/>
    </row>
    <row r="2174" spans="1:32" s="45" customFormat="1" ht="12.75" hidden="1">
      <c r="A2174" s="115"/>
      <c r="B2174" s="115"/>
      <c r="C2174" s="115"/>
      <c r="D2174" s="115"/>
      <c r="E2174" s="115"/>
      <c r="F2174" s="115"/>
      <c r="G2174" s="115"/>
      <c r="H2174" s="115"/>
      <c r="I2174" s="115"/>
      <c r="J2174" s="115"/>
      <c r="L2174" s="115"/>
      <c r="M2174" s="115"/>
      <c r="N2174" s="115"/>
      <c r="O2174" s="115"/>
      <c r="P2174" s="113"/>
      <c r="Q2174" s="119"/>
      <c r="R2174" s="113"/>
      <c r="S2174" s="113"/>
      <c r="T2174" s="113"/>
      <c r="W2174" s="115"/>
      <c r="Y2174"/>
      <c r="Z2174"/>
      <c r="AA2174"/>
      <c r="AB2174"/>
      <c r="AC2174"/>
      <c r="AD2174"/>
      <c r="AE2174"/>
      <c r="AF2174"/>
    </row>
    <row r="2175" spans="1:32" s="45" customFormat="1" ht="12.75" hidden="1">
      <c r="A2175" s="115"/>
      <c r="B2175" s="115"/>
      <c r="C2175" s="115"/>
      <c r="D2175" s="115"/>
      <c r="E2175" s="115"/>
      <c r="F2175" s="115"/>
      <c r="G2175" s="115"/>
      <c r="H2175" s="115"/>
      <c r="I2175" s="115"/>
      <c r="J2175" s="115"/>
      <c r="L2175" s="115"/>
      <c r="M2175" s="115"/>
      <c r="N2175" s="115"/>
      <c r="O2175" s="115"/>
      <c r="P2175" s="113"/>
      <c r="Q2175" s="119"/>
      <c r="R2175" s="113"/>
      <c r="S2175" s="113"/>
      <c r="T2175" s="113"/>
      <c r="W2175" s="115"/>
      <c r="Y2175"/>
      <c r="Z2175"/>
      <c r="AA2175"/>
      <c r="AB2175"/>
      <c r="AC2175"/>
      <c r="AD2175"/>
      <c r="AE2175"/>
      <c r="AF2175"/>
    </row>
    <row r="2176" spans="1:32" s="45" customFormat="1" ht="12.75" hidden="1">
      <c r="A2176" s="115"/>
      <c r="B2176" s="115"/>
      <c r="C2176" s="115"/>
      <c r="D2176" s="115"/>
      <c r="E2176" s="115"/>
      <c r="F2176" s="115"/>
      <c r="G2176" s="115"/>
      <c r="H2176" s="115"/>
      <c r="I2176" s="115"/>
      <c r="J2176" s="115"/>
      <c r="L2176" s="115"/>
      <c r="M2176" s="115"/>
      <c r="N2176" s="115"/>
      <c r="O2176" s="115"/>
      <c r="P2176" s="113"/>
      <c r="Q2176" s="119"/>
      <c r="R2176" s="113"/>
      <c r="S2176" s="113"/>
      <c r="T2176" s="113"/>
      <c r="W2176" s="115"/>
      <c r="Y2176"/>
      <c r="Z2176"/>
      <c r="AA2176"/>
      <c r="AB2176"/>
      <c r="AC2176"/>
      <c r="AD2176"/>
      <c r="AE2176"/>
      <c r="AF2176"/>
    </row>
    <row r="2177" spans="1:32" s="45" customFormat="1" ht="12.75" hidden="1">
      <c r="A2177" s="115"/>
      <c r="B2177" s="115"/>
      <c r="C2177" s="115"/>
      <c r="D2177" s="115"/>
      <c r="E2177" s="115"/>
      <c r="F2177" s="115"/>
      <c r="G2177" s="115"/>
      <c r="H2177" s="115"/>
      <c r="I2177" s="115"/>
      <c r="J2177" s="115"/>
      <c r="L2177" s="115"/>
      <c r="M2177" s="115"/>
      <c r="N2177" s="115"/>
      <c r="O2177" s="115"/>
      <c r="P2177" s="113"/>
      <c r="Q2177" s="119"/>
      <c r="R2177" s="113"/>
      <c r="S2177" s="113"/>
      <c r="T2177" s="113"/>
      <c r="W2177" s="115"/>
      <c r="Y2177"/>
      <c r="Z2177"/>
      <c r="AA2177"/>
      <c r="AB2177"/>
      <c r="AC2177"/>
      <c r="AD2177"/>
      <c r="AE2177"/>
      <c r="AF2177"/>
    </row>
    <row r="2178" spans="1:32" s="45" customFormat="1" ht="12.75" hidden="1">
      <c r="A2178" s="115"/>
      <c r="B2178" s="115"/>
      <c r="C2178" s="115"/>
      <c r="D2178" s="115"/>
      <c r="E2178" s="115"/>
      <c r="F2178" s="115"/>
      <c r="G2178" s="115"/>
      <c r="H2178" s="115"/>
      <c r="I2178" s="115"/>
      <c r="J2178" s="115"/>
      <c r="L2178" s="115"/>
      <c r="M2178" s="115"/>
      <c r="N2178" s="115"/>
      <c r="O2178" s="115"/>
      <c r="P2178" s="113"/>
      <c r="Q2178" s="119"/>
      <c r="R2178" s="113"/>
      <c r="S2178" s="113"/>
      <c r="T2178" s="113"/>
      <c r="W2178" s="115"/>
      <c r="Y2178"/>
      <c r="Z2178"/>
      <c r="AA2178"/>
      <c r="AB2178"/>
      <c r="AC2178"/>
      <c r="AD2178"/>
      <c r="AE2178"/>
      <c r="AF2178"/>
    </row>
    <row r="2179" spans="1:32" s="45" customFormat="1" ht="12.75" hidden="1">
      <c r="A2179" s="115"/>
      <c r="B2179" s="115"/>
      <c r="C2179" s="115"/>
      <c r="D2179" s="115"/>
      <c r="E2179" s="115"/>
      <c r="F2179" s="115"/>
      <c r="G2179" s="115"/>
      <c r="H2179" s="115"/>
      <c r="I2179" s="115"/>
      <c r="J2179" s="115"/>
      <c r="L2179" s="115"/>
      <c r="M2179" s="115"/>
      <c r="N2179" s="115"/>
      <c r="O2179" s="115"/>
      <c r="P2179" s="113"/>
      <c r="Q2179" s="119"/>
      <c r="R2179" s="113"/>
      <c r="S2179" s="113"/>
      <c r="T2179" s="113"/>
      <c r="W2179" s="115"/>
      <c r="Y2179"/>
      <c r="Z2179"/>
      <c r="AA2179"/>
      <c r="AB2179"/>
      <c r="AC2179"/>
      <c r="AD2179"/>
      <c r="AE2179"/>
      <c r="AF2179"/>
    </row>
    <row r="2180" spans="1:32" s="45" customFormat="1" ht="12.75" hidden="1">
      <c r="A2180" s="115"/>
      <c r="B2180" s="115"/>
      <c r="C2180" s="115"/>
      <c r="D2180" s="115"/>
      <c r="E2180" s="115"/>
      <c r="F2180" s="115"/>
      <c r="G2180" s="115"/>
      <c r="H2180" s="115"/>
      <c r="I2180" s="115"/>
      <c r="J2180" s="115"/>
      <c r="L2180" s="115"/>
      <c r="M2180" s="115"/>
      <c r="N2180" s="115"/>
      <c r="O2180" s="115"/>
      <c r="P2180" s="113"/>
      <c r="Q2180" s="119"/>
      <c r="R2180" s="113"/>
      <c r="S2180" s="113"/>
      <c r="T2180" s="113"/>
      <c r="W2180" s="115"/>
      <c r="Y2180"/>
      <c r="Z2180"/>
      <c r="AA2180"/>
      <c r="AB2180"/>
      <c r="AC2180"/>
      <c r="AD2180"/>
      <c r="AE2180"/>
      <c r="AF2180"/>
    </row>
    <row r="2181" spans="1:32" s="45" customFormat="1" ht="12.75" hidden="1">
      <c r="A2181" s="115"/>
      <c r="B2181" s="115"/>
      <c r="C2181" s="115"/>
      <c r="D2181" s="115"/>
      <c r="E2181" s="115"/>
      <c r="F2181" s="115"/>
      <c r="G2181" s="115"/>
      <c r="H2181" s="115"/>
      <c r="I2181" s="115"/>
      <c r="J2181" s="115"/>
      <c r="L2181" s="115"/>
      <c r="M2181" s="115"/>
      <c r="N2181" s="115"/>
      <c r="O2181" s="115"/>
      <c r="P2181" s="113"/>
      <c r="Q2181" s="119"/>
      <c r="R2181" s="113"/>
      <c r="S2181" s="113"/>
      <c r="T2181" s="113"/>
      <c r="W2181" s="115"/>
      <c r="Y2181"/>
      <c r="Z2181"/>
      <c r="AA2181"/>
      <c r="AB2181"/>
      <c r="AC2181"/>
      <c r="AD2181"/>
      <c r="AE2181"/>
      <c r="AF2181"/>
    </row>
    <row r="2182" spans="1:32" s="45" customFormat="1" ht="12.75" hidden="1">
      <c r="A2182" s="115"/>
      <c r="B2182" s="115"/>
      <c r="C2182" s="115"/>
      <c r="D2182" s="115"/>
      <c r="E2182" s="115"/>
      <c r="F2182" s="115"/>
      <c r="G2182" s="115"/>
      <c r="H2182" s="115"/>
      <c r="I2182" s="115"/>
      <c r="J2182" s="115"/>
      <c r="L2182" s="115"/>
      <c r="M2182" s="115"/>
      <c r="N2182" s="115"/>
      <c r="O2182" s="115"/>
      <c r="P2182" s="113"/>
      <c r="Q2182" s="119"/>
      <c r="R2182" s="113"/>
      <c r="S2182" s="113"/>
      <c r="T2182" s="113"/>
      <c r="W2182" s="115"/>
      <c r="Y2182"/>
      <c r="Z2182"/>
      <c r="AA2182"/>
      <c r="AB2182"/>
      <c r="AC2182"/>
      <c r="AD2182"/>
      <c r="AE2182"/>
      <c r="AF2182"/>
    </row>
    <row r="2183" spans="1:32" s="45" customFormat="1" ht="12.75" hidden="1">
      <c r="A2183" s="115"/>
      <c r="B2183" s="115"/>
      <c r="C2183" s="115"/>
      <c r="D2183" s="115"/>
      <c r="E2183" s="115"/>
      <c r="F2183" s="115"/>
      <c r="G2183" s="115"/>
      <c r="H2183" s="115"/>
      <c r="I2183" s="115"/>
      <c r="J2183" s="115"/>
      <c r="L2183" s="115"/>
      <c r="M2183" s="115"/>
      <c r="N2183" s="115"/>
      <c r="O2183" s="115"/>
      <c r="P2183" s="113"/>
      <c r="Q2183" s="119"/>
      <c r="R2183" s="113"/>
      <c r="S2183" s="113"/>
      <c r="T2183" s="113"/>
      <c r="W2183" s="115"/>
      <c r="Y2183"/>
      <c r="Z2183"/>
      <c r="AA2183"/>
      <c r="AB2183"/>
      <c r="AC2183"/>
      <c r="AD2183"/>
      <c r="AE2183"/>
      <c r="AF2183"/>
    </row>
    <row r="2184" spans="1:32" s="45" customFormat="1" ht="12.75" hidden="1">
      <c r="A2184" s="115"/>
      <c r="B2184" s="115"/>
      <c r="C2184" s="115"/>
      <c r="D2184" s="115"/>
      <c r="E2184" s="115"/>
      <c r="F2184" s="115"/>
      <c r="G2184" s="115"/>
      <c r="H2184" s="115"/>
      <c r="I2184" s="115"/>
      <c r="J2184" s="115"/>
      <c r="L2184" s="115"/>
      <c r="M2184" s="115"/>
      <c r="N2184" s="115"/>
      <c r="O2184" s="115"/>
      <c r="P2184" s="113"/>
      <c r="Q2184" s="119"/>
      <c r="R2184" s="113"/>
      <c r="S2184" s="113"/>
      <c r="T2184" s="113"/>
      <c r="W2184" s="115"/>
      <c r="Y2184"/>
      <c r="Z2184"/>
      <c r="AA2184"/>
      <c r="AB2184"/>
      <c r="AC2184"/>
      <c r="AD2184"/>
      <c r="AE2184"/>
      <c r="AF2184"/>
    </row>
    <row r="2185" spans="1:32" s="45" customFormat="1" ht="12.75" hidden="1">
      <c r="A2185" s="115"/>
      <c r="B2185" s="115"/>
      <c r="C2185" s="115"/>
      <c r="D2185" s="115"/>
      <c r="E2185" s="115"/>
      <c r="F2185" s="115"/>
      <c r="G2185" s="115"/>
      <c r="H2185" s="115"/>
      <c r="I2185" s="115"/>
      <c r="J2185" s="115"/>
      <c r="L2185" s="115"/>
      <c r="M2185" s="115"/>
      <c r="N2185" s="115"/>
      <c r="O2185" s="115"/>
      <c r="P2185" s="113"/>
      <c r="Q2185" s="119"/>
      <c r="R2185" s="113"/>
      <c r="S2185" s="113"/>
      <c r="T2185" s="113"/>
      <c r="W2185" s="115"/>
      <c r="Y2185"/>
      <c r="Z2185"/>
      <c r="AA2185"/>
      <c r="AB2185"/>
      <c r="AC2185"/>
      <c r="AD2185"/>
      <c r="AE2185"/>
      <c r="AF2185"/>
    </row>
    <row r="2186" spans="1:32" s="45" customFormat="1" ht="12.75" hidden="1">
      <c r="A2186" s="115"/>
      <c r="B2186" s="115"/>
      <c r="C2186" s="115"/>
      <c r="D2186" s="115"/>
      <c r="E2186" s="115"/>
      <c r="F2186" s="115"/>
      <c r="G2186" s="115"/>
      <c r="H2186" s="115"/>
      <c r="I2186" s="115"/>
      <c r="J2186" s="115"/>
      <c r="L2186" s="115"/>
      <c r="M2186" s="115"/>
      <c r="N2186" s="115"/>
      <c r="O2186" s="115"/>
      <c r="P2186" s="113"/>
      <c r="Q2186" s="119"/>
      <c r="R2186" s="113"/>
      <c r="S2186" s="113"/>
      <c r="T2186" s="113"/>
      <c r="W2186" s="115"/>
      <c r="Y2186"/>
      <c r="Z2186"/>
      <c r="AA2186"/>
      <c r="AB2186"/>
      <c r="AC2186"/>
      <c r="AD2186"/>
      <c r="AE2186"/>
      <c r="AF2186"/>
    </row>
    <row r="2187" spans="1:32" s="45" customFormat="1" ht="12.75" hidden="1">
      <c r="A2187" s="115"/>
      <c r="B2187" s="115"/>
      <c r="C2187" s="115"/>
      <c r="D2187" s="115"/>
      <c r="E2187" s="115"/>
      <c r="F2187" s="115"/>
      <c r="G2187" s="115"/>
      <c r="H2187" s="115"/>
      <c r="I2187" s="115"/>
      <c r="J2187" s="115"/>
      <c r="L2187" s="115"/>
      <c r="M2187" s="115"/>
      <c r="N2187" s="115"/>
      <c r="O2187" s="115"/>
      <c r="P2187" s="113"/>
      <c r="Q2187" s="119"/>
      <c r="R2187" s="113"/>
      <c r="S2187" s="113"/>
      <c r="T2187" s="113"/>
      <c r="W2187" s="115"/>
      <c r="Y2187"/>
      <c r="Z2187"/>
      <c r="AA2187"/>
      <c r="AB2187"/>
      <c r="AC2187"/>
      <c r="AD2187"/>
      <c r="AE2187"/>
      <c r="AF2187"/>
    </row>
    <row r="2188" spans="1:32" s="45" customFormat="1" ht="12.75" hidden="1">
      <c r="A2188" s="115"/>
      <c r="B2188" s="115"/>
      <c r="C2188" s="115"/>
      <c r="D2188" s="115"/>
      <c r="E2188" s="115"/>
      <c r="F2188" s="115"/>
      <c r="G2188" s="115"/>
      <c r="H2188" s="115"/>
      <c r="I2188" s="115"/>
      <c r="J2188" s="115"/>
      <c r="L2188" s="115"/>
      <c r="M2188" s="115"/>
      <c r="N2188" s="115"/>
      <c r="O2188" s="115"/>
      <c r="P2188" s="113"/>
      <c r="Q2188" s="119"/>
      <c r="R2188" s="113"/>
      <c r="S2188" s="113"/>
      <c r="T2188" s="113"/>
      <c r="W2188" s="115"/>
      <c r="Y2188"/>
      <c r="Z2188"/>
      <c r="AA2188"/>
      <c r="AB2188"/>
      <c r="AC2188"/>
      <c r="AD2188"/>
      <c r="AE2188"/>
      <c r="AF2188"/>
    </row>
    <row r="2189" spans="1:32" s="45" customFormat="1" ht="12.75" hidden="1">
      <c r="A2189" s="115"/>
      <c r="B2189" s="115"/>
      <c r="C2189" s="115"/>
      <c r="D2189" s="115"/>
      <c r="E2189" s="115"/>
      <c r="F2189" s="115"/>
      <c r="G2189" s="115"/>
      <c r="H2189" s="115"/>
      <c r="I2189" s="115"/>
      <c r="J2189" s="115"/>
      <c r="L2189" s="115"/>
      <c r="M2189" s="115"/>
      <c r="N2189" s="115"/>
      <c r="O2189" s="115"/>
      <c r="P2189" s="113"/>
      <c r="Q2189" s="119"/>
      <c r="R2189" s="113"/>
      <c r="S2189" s="113"/>
      <c r="T2189" s="113"/>
      <c r="W2189" s="115"/>
      <c r="Y2189"/>
      <c r="Z2189"/>
      <c r="AA2189"/>
      <c r="AB2189"/>
      <c r="AC2189"/>
      <c r="AD2189"/>
      <c r="AE2189"/>
      <c r="AF2189"/>
    </row>
    <row r="2190" spans="1:32" s="45" customFormat="1" ht="12.75" hidden="1">
      <c r="A2190" s="115"/>
      <c r="B2190" s="115"/>
      <c r="C2190" s="115"/>
      <c r="D2190" s="115"/>
      <c r="E2190" s="115"/>
      <c r="F2190" s="115"/>
      <c r="G2190" s="115"/>
      <c r="H2190" s="115"/>
      <c r="I2190" s="115"/>
      <c r="J2190" s="115"/>
      <c r="L2190" s="115"/>
      <c r="M2190" s="115"/>
      <c r="N2190" s="115"/>
      <c r="O2190" s="115"/>
      <c r="P2190" s="113"/>
      <c r="Q2190" s="119"/>
      <c r="R2190" s="113"/>
      <c r="S2190" s="113"/>
      <c r="T2190" s="113"/>
      <c r="W2190" s="115"/>
      <c r="Y2190"/>
      <c r="Z2190"/>
      <c r="AA2190"/>
      <c r="AB2190"/>
      <c r="AC2190"/>
      <c r="AD2190"/>
      <c r="AE2190"/>
      <c r="AF2190"/>
    </row>
    <row r="2191" spans="1:32" s="45" customFormat="1" ht="12.75" hidden="1">
      <c r="A2191" s="115"/>
      <c r="B2191" s="115"/>
      <c r="C2191" s="115"/>
      <c r="D2191" s="115"/>
      <c r="E2191" s="115"/>
      <c r="F2191" s="115"/>
      <c r="G2191" s="115"/>
      <c r="H2191" s="115"/>
      <c r="I2191" s="115"/>
      <c r="J2191" s="115"/>
      <c r="L2191" s="115"/>
      <c r="M2191" s="115"/>
      <c r="N2191" s="115"/>
      <c r="O2191" s="115"/>
      <c r="P2191" s="113"/>
      <c r="Q2191" s="119"/>
      <c r="R2191" s="113"/>
      <c r="S2191" s="113"/>
      <c r="T2191" s="113"/>
      <c r="W2191" s="115"/>
      <c r="Y2191"/>
      <c r="Z2191"/>
      <c r="AA2191"/>
      <c r="AB2191"/>
      <c r="AC2191"/>
      <c r="AD2191"/>
      <c r="AE2191"/>
      <c r="AF2191"/>
    </row>
    <row r="2192" spans="1:32" s="45" customFormat="1" ht="12.75" hidden="1">
      <c r="A2192" s="115"/>
      <c r="B2192" s="115"/>
      <c r="C2192" s="115"/>
      <c r="D2192" s="115"/>
      <c r="E2192" s="115"/>
      <c r="F2192" s="115"/>
      <c r="G2192" s="115"/>
      <c r="H2192" s="115"/>
      <c r="I2192" s="115"/>
      <c r="J2192" s="115"/>
      <c r="L2192" s="115"/>
      <c r="M2192" s="115"/>
      <c r="N2192" s="115"/>
      <c r="O2192" s="115"/>
      <c r="P2192" s="113"/>
      <c r="Q2192" s="119"/>
      <c r="R2192" s="113"/>
      <c r="S2192" s="113"/>
      <c r="T2192" s="113"/>
      <c r="W2192" s="115"/>
      <c r="Y2192"/>
      <c r="Z2192"/>
      <c r="AA2192"/>
      <c r="AB2192"/>
      <c r="AC2192"/>
      <c r="AD2192"/>
      <c r="AE2192"/>
      <c r="AF2192"/>
    </row>
    <row r="2193" spans="1:32" s="45" customFormat="1" ht="12.75" hidden="1">
      <c r="A2193" s="115"/>
      <c r="B2193" s="115"/>
      <c r="C2193" s="115"/>
      <c r="D2193" s="115"/>
      <c r="E2193" s="115"/>
      <c r="F2193" s="115"/>
      <c r="G2193" s="115"/>
      <c r="H2193" s="115"/>
      <c r="I2193" s="115"/>
      <c r="J2193" s="115"/>
      <c r="L2193" s="115"/>
      <c r="M2193" s="115"/>
      <c r="N2193" s="115"/>
      <c r="O2193" s="115"/>
      <c r="P2193" s="113"/>
      <c r="Q2193" s="119"/>
      <c r="R2193" s="113"/>
      <c r="S2193" s="113"/>
      <c r="T2193" s="113"/>
      <c r="W2193" s="115"/>
      <c r="Y2193"/>
      <c r="Z2193"/>
      <c r="AA2193"/>
      <c r="AB2193"/>
      <c r="AC2193"/>
      <c r="AD2193"/>
      <c r="AE2193"/>
      <c r="AF2193"/>
    </row>
    <row r="2194" spans="1:32" s="45" customFormat="1" ht="12.75" hidden="1">
      <c r="A2194" s="115"/>
      <c r="B2194" s="115"/>
      <c r="C2194" s="115"/>
      <c r="D2194" s="115"/>
      <c r="E2194" s="115"/>
      <c r="F2194" s="115"/>
      <c r="G2194" s="115"/>
      <c r="H2194" s="115"/>
      <c r="I2194" s="115"/>
      <c r="J2194" s="115"/>
      <c r="L2194" s="115"/>
      <c r="M2194" s="115"/>
      <c r="N2194" s="115"/>
      <c r="O2194" s="115"/>
      <c r="P2194" s="113"/>
      <c r="Q2194" s="119"/>
      <c r="R2194" s="113"/>
      <c r="S2194" s="113"/>
      <c r="T2194" s="113"/>
      <c r="W2194" s="115"/>
      <c r="Y2194"/>
      <c r="Z2194"/>
      <c r="AA2194"/>
      <c r="AB2194"/>
      <c r="AC2194"/>
      <c r="AD2194"/>
      <c r="AE2194"/>
      <c r="AF2194"/>
    </row>
    <row r="2195" spans="1:32" s="45" customFormat="1" ht="12.75" hidden="1">
      <c r="A2195" s="115"/>
      <c r="B2195" s="115"/>
      <c r="C2195" s="115"/>
      <c r="D2195" s="115"/>
      <c r="E2195" s="115"/>
      <c r="F2195" s="115"/>
      <c r="G2195" s="115"/>
      <c r="H2195" s="115"/>
      <c r="I2195" s="115"/>
      <c r="J2195" s="115"/>
      <c r="L2195" s="115"/>
      <c r="M2195" s="115"/>
      <c r="N2195" s="115"/>
      <c r="O2195" s="115"/>
      <c r="P2195" s="113"/>
      <c r="Q2195" s="119"/>
      <c r="R2195" s="113"/>
      <c r="S2195" s="113"/>
      <c r="T2195" s="113"/>
      <c r="W2195" s="115"/>
      <c r="Y2195"/>
      <c r="Z2195"/>
      <c r="AA2195"/>
      <c r="AB2195"/>
      <c r="AC2195"/>
      <c r="AD2195"/>
      <c r="AE2195"/>
      <c r="AF2195"/>
    </row>
    <row r="2196" spans="1:32" s="45" customFormat="1" ht="12.75" hidden="1">
      <c r="A2196" s="115"/>
      <c r="B2196" s="115"/>
      <c r="C2196" s="115"/>
      <c r="D2196" s="115"/>
      <c r="E2196" s="115"/>
      <c r="F2196" s="115"/>
      <c r="G2196" s="115"/>
      <c r="H2196" s="115"/>
      <c r="I2196" s="115"/>
      <c r="J2196" s="115"/>
      <c r="L2196" s="115"/>
      <c r="M2196" s="115"/>
      <c r="N2196" s="115"/>
      <c r="O2196" s="115"/>
      <c r="P2196" s="113"/>
      <c r="Q2196" s="119"/>
      <c r="R2196" s="113"/>
      <c r="S2196" s="113"/>
      <c r="T2196" s="113"/>
      <c r="W2196" s="115"/>
      <c r="Y2196"/>
      <c r="Z2196"/>
      <c r="AA2196"/>
      <c r="AB2196"/>
      <c r="AC2196"/>
      <c r="AD2196"/>
      <c r="AE2196"/>
      <c r="AF2196"/>
    </row>
    <row r="2197" spans="1:32" s="45" customFormat="1" ht="12.75" hidden="1">
      <c r="A2197" s="115"/>
      <c r="B2197" s="115"/>
      <c r="C2197" s="115"/>
      <c r="D2197" s="115"/>
      <c r="E2197" s="115"/>
      <c r="F2197" s="115"/>
      <c r="G2197" s="115"/>
      <c r="H2197" s="115"/>
      <c r="I2197" s="115"/>
      <c r="J2197" s="115"/>
      <c r="L2197" s="115"/>
      <c r="M2197" s="115"/>
      <c r="N2197" s="115"/>
      <c r="O2197" s="115"/>
      <c r="P2197" s="113"/>
      <c r="Q2197" s="119"/>
      <c r="R2197" s="113"/>
      <c r="S2197" s="113"/>
      <c r="T2197" s="113"/>
      <c r="W2197" s="115"/>
      <c r="Y2197"/>
      <c r="Z2197"/>
      <c r="AA2197"/>
      <c r="AB2197"/>
      <c r="AC2197"/>
      <c r="AD2197"/>
      <c r="AE2197"/>
      <c r="AF2197"/>
    </row>
    <row r="2198" spans="1:32" s="45" customFormat="1" ht="12.75" hidden="1">
      <c r="A2198" s="115"/>
      <c r="B2198" s="115"/>
      <c r="C2198" s="115"/>
      <c r="D2198" s="115"/>
      <c r="E2198" s="115"/>
      <c r="F2198" s="115"/>
      <c r="G2198" s="115"/>
      <c r="H2198" s="115"/>
      <c r="I2198" s="115"/>
      <c r="J2198" s="115"/>
      <c r="L2198" s="115"/>
      <c r="M2198" s="115"/>
      <c r="N2198" s="115"/>
      <c r="O2198" s="115"/>
      <c r="P2198" s="113"/>
      <c r="Q2198" s="119"/>
      <c r="R2198" s="113"/>
      <c r="S2198" s="113"/>
      <c r="T2198" s="113"/>
      <c r="W2198" s="115"/>
      <c r="Y2198"/>
      <c r="Z2198"/>
      <c r="AA2198"/>
      <c r="AB2198"/>
      <c r="AC2198"/>
      <c r="AD2198"/>
      <c r="AE2198"/>
      <c r="AF2198"/>
    </row>
    <row r="2199" spans="1:32" s="45" customFormat="1" ht="12.75" hidden="1">
      <c r="A2199" s="115"/>
      <c r="B2199" s="115"/>
      <c r="C2199" s="115"/>
      <c r="D2199" s="115"/>
      <c r="E2199" s="115"/>
      <c r="F2199" s="115"/>
      <c r="G2199" s="115"/>
      <c r="H2199" s="115"/>
      <c r="I2199" s="115"/>
      <c r="J2199" s="115"/>
      <c r="L2199" s="115"/>
      <c r="M2199" s="115"/>
      <c r="N2199" s="115"/>
      <c r="O2199" s="115"/>
      <c r="P2199" s="113"/>
      <c r="Q2199" s="119"/>
      <c r="R2199" s="113"/>
      <c r="S2199" s="113"/>
      <c r="T2199" s="113"/>
      <c r="W2199" s="115"/>
      <c r="Y2199"/>
      <c r="Z2199"/>
      <c r="AA2199"/>
      <c r="AB2199"/>
      <c r="AC2199"/>
      <c r="AD2199"/>
      <c r="AE2199"/>
      <c r="AF2199"/>
    </row>
    <row r="2200" spans="1:32" s="45" customFormat="1" ht="12.75" hidden="1">
      <c r="A2200" s="115"/>
      <c r="B2200" s="115"/>
      <c r="C2200" s="115"/>
      <c r="D2200" s="115"/>
      <c r="E2200" s="115"/>
      <c r="F2200" s="115"/>
      <c r="G2200" s="115"/>
      <c r="H2200" s="115"/>
      <c r="I2200" s="115"/>
      <c r="J2200" s="115"/>
      <c r="L2200" s="115"/>
      <c r="M2200" s="115"/>
      <c r="N2200" s="115"/>
      <c r="O2200" s="115"/>
      <c r="P2200" s="113"/>
      <c r="Q2200" s="119"/>
      <c r="R2200" s="113"/>
      <c r="S2200" s="113"/>
      <c r="T2200" s="113"/>
      <c r="W2200" s="115"/>
      <c r="Y2200"/>
      <c r="Z2200"/>
      <c r="AA2200"/>
      <c r="AB2200"/>
      <c r="AC2200"/>
      <c r="AD2200"/>
      <c r="AE2200"/>
      <c r="AF2200"/>
    </row>
    <row r="2201" spans="1:32" s="45" customFormat="1" ht="12.75" hidden="1">
      <c r="A2201" s="115"/>
      <c r="B2201" s="115"/>
      <c r="C2201" s="115"/>
      <c r="D2201" s="115"/>
      <c r="E2201" s="115"/>
      <c r="F2201" s="115"/>
      <c r="G2201" s="115"/>
      <c r="H2201" s="115"/>
      <c r="I2201" s="115"/>
      <c r="J2201" s="115"/>
      <c r="L2201" s="115"/>
      <c r="M2201" s="115"/>
      <c r="N2201" s="115"/>
      <c r="O2201" s="115"/>
      <c r="P2201" s="113"/>
      <c r="Q2201" s="119"/>
      <c r="R2201" s="113"/>
      <c r="S2201" s="113"/>
      <c r="T2201" s="113"/>
      <c r="W2201" s="115"/>
      <c r="Y2201"/>
      <c r="Z2201"/>
      <c r="AA2201"/>
      <c r="AB2201"/>
      <c r="AC2201"/>
      <c r="AD2201"/>
      <c r="AE2201"/>
      <c r="AF2201"/>
    </row>
    <row r="2202" spans="1:32" s="45" customFormat="1" ht="12.75" hidden="1">
      <c r="A2202" s="115"/>
      <c r="B2202" s="115"/>
      <c r="C2202" s="115"/>
      <c r="D2202" s="115"/>
      <c r="E2202" s="115"/>
      <c r="F2202" s="115"/>
      <c r="G2202" s="115"/>
      <c r="H2202" s="115"/>
      <c r="I2202" s="115"/>
      <c r="J2202" s="115"/>
      <c r="L2202" s="115"/>
      <c r="M2202" s="115"/>
      <c r="N2202" s="115"/>
      <c r="O2202" s="115"/>
      <c r="P2202" s="113"/>
      <c r="Q2202" s="119"/>
      <c r="R2202" s="113"/>
      <c r="S2202" s="113"/>
      <c r="T2202" s="113"/>
      <c r="W2202" s="115"/>
      <c r="Y2202"/>
      <c r="Z2202"/>
      <c r="AA2202"/>
      <c r="AB2202"/>
      <c r="AC2202"/>
      <c r="AD2202"/>
      <c r="AE2202"/>
      <c r="AF2202"/>
    </row>
    <row r="2203" spans="1:32" s="45" customFormat="1" ht="12.75" hidden="1">
      <c r="A2203" s="115"/>
      <c r="B2203" s="115"/>
      <c r="C2203" s="115"/>
      <c r="D2203" s="115"/>
      <c r="E2203" s="115"/>
      <c r="F2203" s="115"/>
      <c r="G2203" s="115"/>
      <c r="H2203" s="115"/>
      <c r="I2203" s="115"/>
      <c r="J2203" s="115"/>
      <c r="L2203" s="115"/>
      <c r="M2203" s="115"/>
      <c r="N2203" s="115"/>
      <c r="O2203" s="115"/>
      <c r="P2203" s="113"/>
      <c r="Q2203" s="119"/>
      <c r="R2203" s="113"/>
      <c r="S2203" s="113"/>
      <c r="T2203" s="113"/>
      <c r="W2203" s="115"/>
      <c r="Y2203"/>
      <c r="Z2203"/>
      <c r="AA2203"/>
      <c r="AB2203"/>
      <c r="AC2203"/>
      <c r="AD2203"/>
      <c r="AE2203"/>
      <c r="AF2203"/>
    </row>
    <row r="2204" spans="1:32" s="45" customFormat="1" ht="12.75" hidden="1">
      <c r="A2204" s="115"/>
      <c r="B2204" s="115"/>
      <c r="C2204" s="115"/>
      <c r="D2204" s="115"/>
      <c r="E2204" s="115"/>
      <c r="F2204" s="115"/>
      <c r="G2204" s="115"/>
      <c r="H2204" s="115"/>
      <c r="I2204" s="115"/>
      <c r="J2204" s="115"/>
      <c r="L2204" s="115"/>
      <c r="M2204" s="115"/>
      <c r="N2204" s="115"/>
      <c r="O2204" s="115"/>
      <c r="P2204" s="113"/>
      <c r="Q2204" s="119"/>
      <c r="R2204" s="113"/>
      <c r="S2204" s="113"/>
      <c r="T2204" s="113"/>
      <c r="W2204" s="115"/>
      <c r="Y2204"/>
      <c r="Z2204"/>
      <c r="AA2204"/>
      <c r="AB2204"/>
      <c r="AC2204"/>
      <c r="AD2204"/>
      <c r="AE2204"/>
      <c r="AF2204"/>
    </row>
    <row r="2205" spans="1:32" s="45" customFormat="1" ht="12.75" hidden="1">
      <c r="A2205" s="115"/>
      <c r="B2205" s="115"/>
      <c r="C2205" s="115"/>
      <c r="D2205" s="115"/>
      <c r="E2205" s="115"/>
      <c r="F2205" s="115"/>
      <c r="G2205" s="115"/>
      <c r="H2205" s="115"/>
      <c r="I2205" s="115"/>
      <c r="J2205" s="115"/>
      <c r="L2205" s="115"/>
      <c r="M2205" s="115"/>
      <c r="N2205" s="115"/>
      <c r="O2205" s="115"/>
      <c r="P2205" s="113"/>
      <c r="Q2205" s="119"/>
      <c r="R2205" s="113"/>
      <c r="S2205" s="113"/>
      <c r="T2205" s="113"/>
      <c r="W2205" s="115"/>
      <c r="Y2205"/>
      <c r="Z2205"/>
      <c r="AA2205"/>
      <c r="AB2205"/>
      <c r="AC2205"/>
      <c r="AD2205"/>
      <c r="AE2205"/>
      <c r="AF2205"/>
    </row>
    <row r="2206" spans="1:32" s="45" customFormat="1" ht="12.75" hidden="1">
      <c r="A2206" s="115"/>
      <c r="B2206" s="115"/>
      <c r="C2206" s="115"/>
      <c r="D2206" s="115"/>
      <c r="E2206" s="115"/>
      <c r="F2206" s="115"/>
      <c r="G2206" s="115"/>
      <c r="H2206" s="115"/>
      <c r="I2206" s="115"/>
      <c r="J2206" s="115"/>
      <c r="L2206" s="115"/>
      <c r="M2206" s="115"/>
      <c r="N2206" s="115"/>
      <c r="O2206" s="115"/>
      <c r="P2206" s="113"/>
      <c r="Q2206" s="119"/>
      <c r="R2206" s="113"/>
      <c r="S2206" s="113"/>
      <c r="T2206" s="113"/>
      <c r="W2206" s="115"/>
      <c r="Y2206"/>
      <c r="Z2206"/>
      <c r="AA2206"/>
      <c r="AB2206"/>
      <c r="AC2206"/>
      <c r="AD2206"/>
      <c r="AE2206"/>
      <c r="AF2206"/>
    </row>
    <row r="2207" spans="1:32" s="45" customFormat="1" ht="12.75" hidden="1">
      <c r="A2207" s="115"/>
      <c r="B2207" s="115"/>
      <c r="C2207" s="115"/>
      <c r="D2207" s="115"/>
      <c r="E2207" s="115"/>
      <c r="F2207" s="115"/>
      <c r="G2207" s="115"/>
      <c r="H2207" s="115"/>
      <c r="I2207" s="115"/>
      <c r="J2207" s="115"/>
      <c r="L2207" s="115"/>
      <c r="M2207" s="115"/>
      <c r="N2207" s="115"/>
      <c r="O2207" s="115"/>
      <c r="P2207" s="113"/>
      <c r="Q2207" s="119"/>
      <c r="R2207" s="113"/>
      <c r="S2207" s="113"/>
      <c r="T2207" s="113"/>
      <c r="W2207" s="115"/>
      <c r="Y2207"/>
      <c r="Z2207"/>
      <c r="AA2207"/>
      <c r="AB2207"/>
      <c r="AC2207"/>
      <c r="AD2207"/>
      <c r="AE2207"/>
      <c r="AF2207"/>
    </row>
    <row r="2208" spans="1:32" s="45" customFormat="1" ht="12.75" hidden="1">
      <c r="A2208" s="115"/>
      <c r="B2208" s="115"/>
      <c r="C2208" s="115"/>
      <c r="D2208" s="115"/>
      <c r="E2208" s="115"/>
      <c r="F2208" s="115"/>
      <c r="G2208" s="115"/>
      <c r="H2208" s="115"/>
      <c r="I2208" s="115"/>
      <c r="J2208" s="115"/>
      <c r="L2208" s="115"/>
      <c r="M2208" s="115"/>
      <c r="N2208" s="115"/>
      <c r="O2208" s="115"/>
      <c r="P2208" s="113"/>
      <c r="Q2208" s="119"/>
      <c r="R2208" s="113"/>
      <c r="S2208" s="113"/>
      <c r="T2208" s="113"/>
      <c r="W2208" s="115"/>
      <c r="Y2208"/>
      <c r="Z2208"/>
      <c r="AA2208"/>
      <c r="AB2208"/>
      <c r="AC2208"/>
      <c r="AD2208"/>
      <c r="AE2208"/>
      <c r="AF2208"/>
    </row>
    <row r="2209" spans="1:32" s="45" customFormat="1" ht="12.75" hidden="1">
      <c r="A2209" s="115"/>
      <c r="B2209" s="115"/>
      <c r="C2209" s="115"/>
      <c r="D2209" s="115"/>
      <c r="E2209" s="115"/>
      <c r="F2209" s="115"/>
      <c r="G2209" s="115"/>
      <c r="H2209" s="115"/>
      <c r="I2209" s="115"/>
      <c r="J2209" s="115"/>
      <c r="L2209" s="115"/>
      <c r="M2209" s="115"/>
      <c r="N2209" s="115"/>
      <c r="O2209" s="115"/>
      <c r="P2209" s="113"/>
      <c r="Q2209" s="119"/>
      <c r="R2209" s="113"/>
      <c r="S2209" s="113"/>
      <c r="T2209" s="113"/>
      <c r="W2209" s="115"/>
      <c r="Y2209"/>
      <c r="Z2209"/>
      <c r="AA2209"/>
      <c r="AB2209"/>
      <c r="AC2209"/>
      <c r="AD2209"/>
      <c r="AE2209"/>
      <c r="AF2209"/>
    </row>
    <row r="2210" spans="1:32" s="45" customFormat="1" ht="12.75" hidden="1">
      <c r="A2210" s="115"/>
      <c r="B2210" s="115"/>
      <c r="C2210" s="115"/>
      <c r="D2210" s="115"/>
      <c r="E2210" s="115"/>
      <c r="F2210" s="115"/>
      <c r="G2210" s="115"/>
      <c r="H2210" s="115"/>
      <c r="I2210" s="115"/>
      <c r="J2210" s="115"/>
      <c r="L2210" s="115"/>
      <c r="M2210" s="115"/>
      <c r="N2210" s="115"/>
      <c r="O2210" s="115"/>
      <c r="P2210" s="113"/>
      <c r="Q2210" s="119"/>
      <c r="R2210" s="113"/>
      <c r="S2210" s="113"/>
      <c r="T2210" s="113"/>
      <c r="W2210" s="115"/>
      <c r="Y2210"/>
      <c r="Z2210"/>
      <c r="AA2210"/>
      <c r="AB2210"/>
      <c r="AC2210"/>
      <c r="AD2210"/>
      <c r="AE2210"/>
      <c r="AF2210"/>
    </row>
    <row r="2211" spans="1:32" s="45" customFormat="1" ht="12.75" hidden="1">
      <c r="A2211" s="115"/>
      <c r="B2211" s="115"/>
      <c r="C2211" s="115"/>
      <c r="D2211" s="115"/>
      <c r="E2211" s="115"/>
      <c r="F2211" s="115"/>
      <c r="G2211" s="115"/>
      <c r="H2211" s="115"/>
      <c r="I2211" s="115"/>
      <c r="J2211" s="115"/>
      <c r="L2211" s="115"/>
      <c r="M2211" s="115"/>
      <c r="N2211" s="115"/>
      <c r="O2211" s="115"/>
      <c r="P2211" s="113"/>
      <c r="Q2211" s="119"/>
      <c r="R2211" s="113"/>
      <c r="S2211" s="113"/>
      <c r="T2211" s="113"/>
      <c r="W2211" s="115"/>
      <c r="Y2211"/>
      <c r="Z2211"/>
      <c r="AA2211"/>
      <c r="AB2211"/>
      <c r="AC2211"/>
      <c r="AD2211"/>
      <c r="AE2211"/>
      <c r="AF2211"/>
    </row>
    <row r="2212" spans="1:32" s="45" customFormat="1" ht="12.75" hidden="1">
      <c r="A2212" s="115"/>
      <c r="B2212" s="115"/>
      <c r="C2212" s="115"/>
      <c r="D2212" s="115"/>
      <c r="E2212" s="115"/>
      <c r="F2212" s="115"/>
      <c r="G2212" s="115"/>
      <c r="H2212" s="115"/>
      <c r="I2212" s="115"/>
      <c r="J2212" s="115"/>
      <c r="L2212" s="115"/>
      <c r="M2212" s="115"/>
      <c r="N2212" s="115"/>
      <c r="O2212" s="115"/>
      <c r="P2212" s="113"/>
      <c r="Q2212" s="119"/>
      <c r="R2212" s="113"/>
      <c r="S2212" s="113"/>
      <c r="T2212" s="113"/>
      <c r="W2212" s="115"/>
      <c r="Y2212"/>
      <c r="Z2212"/>
      <c r="AA2212"/>
      <c r="AB2212"/>
      <c r="AC2212"/>
      <c r="AD2212"/>
      <c r="AE2212"/>
      <c r="AF2212"/>
    </row>
    <row r="2213" spans="1:32" s="45" customFormat="1" ht="12.75" hidden="1">
      <c r="A2213" s="115"/>
      <c r="B2213" s="115"/>
      <c r="C2213" s="115"/>
      <c r="D2213" s="115"/>
      <c r="E2213" s="115"/>
      <c r="F2213" s="115"/>
      <c r="G2213" s="115"/>
      <c r="H2213" s="115"/>
      <c r="I2213" s="115"/>
      <c r="J2213" s="115"/>
      <c r="L2213" s="115"/>
      <c r="M2213" s="115"/>
      <c r="N2213" s="115"/>
      <c r="O2213" s="115"/>
      <c r="P2213" s="113"/>
      <c r="Q2213" s="119"/>
      <c r="R2213" s="113"/>
      <c r="S2213" s="113"/>
      <c r="T2213" s="113"/>
      <c r="W2213" s="115"/>
      <c r="Y2213"/>
      <c r="Z2213"/>
      <c r="AA2213"/>
      <c r="AB2213"/>
      <c r="AC2213"/>
      <c r="AD2213"/>
      <c r="AE2213"/>
      <c r="AF2213"/>
    </row>
    <row r="2214" spans="1:32" s="45" customFormat="1" ht="12.75" hidden="1">
      <c r="A2214" s="115"/>
      <c r="B2214" s="115"/>
      <c r="C2214" s="115"/>
      <c r="D2214" s="115"/>
      <c r="E2214" s="115"/>
      <c r="F2214" s="115"/>
      <c r="G2214" s="115"/>
      <c r="H2214" s="115"/>
      <c r="I2214" s="115"/>
      <c r="J2214" s="115"/>
      <c r="L2214" s="115"/>
      <c r="M2214" s="115"/>
      <c r="N2214" s="115"/>
      <c r="O2214" s="115"/>
      <c r="P2214" s="113"/>
      <c r="Q2214" s="119"/>
      <c r="R2214" s="113"/>
      <c r="S2214" s="113"/>
      <c r="T2214" s="113"/>
      <c r="W2214" s="115"/>
      <c r="Y2214"/>
      <c r="Z2214"/>
      <c r="AA2214"/>
      <c r="AB2214"/>
      <c r="AC2214"/>
      <c r="AD2214"/>
      <c r="AE2214"/>
      <c r="AF2214"/>
    </row>
    <row r="2215" spans="1:32" s="45" customFormat="1" ht="12.75" hidden="1">
      <c r="A2215" s="115"/>
      <c r="B2215" s="115"/>
      <c r="C2215" s="115"/>
      <c r="D2215" s="115"/>
      <c r="E2215" s="115"/>
      <c r="F2215" s="115"/>
      <c r="G2215" s="115"/>
      <c r="H2215" s="115"/>
      <c r="I2215" s="115"/>
      <c r="J2215" s="115"/>
      <c r="L2215" s="115"/>
      <c r="M2215" s="115"/>
      <c r="N2215" s="115"/>
      <c r="O2215" s="115"/>
      <c r="P2215" s="113"/>
      <c r="Q2215" s="119"/>
      <c r="R2215" s="113"/>
      <c r="S2215" s="113"/>
      <c r="T2215" s="113"/>
      <c r="W2215" s="115"/>
      <c r="Y2215"/>
      <c r="Z2215"/>
      <c r="AA2215"/>
      <c r="AB2215"/>
      <c r="AC2215"/>
      <c r="AD2215"/>
      <c r="AE2215"/>
      <c r="AF2215"/>
    </row>
    <row r="2216" spans="1:32" s="45" customFormat="1" ht="12.75" hidden="1">
      <c r="A2216" s="115"/>
      <c r="B2216" s="115"/>
      <c r="C2216" s="115"/>
      <c r="D2216" s="115"/>
      <c r="E2216" s="115"/>
      <c r="F2216" s="115"/>
      <c r="G2216" s="115"/>
      <c r="H2216" s="115"/>
      <c r="I2216" s="115"/>
      <c r="J2216" s="115"/>
      <c r="L2216" s="115"/>
      <c r="M2216" s="115"/>
      <c r="N2216" s="115"/>
      <c r="O2216" s="115"/>
      <c r="P2216" s="113"/>
      <c r="Q2216" s="119"/>
      <c r="R2216" s="113"/>
      <c r="S2216" s="113"/>
      <c r="T2216" s="113"/>
      <c r="W2216" s="115"/>
      <c r="Y2216"/>
      <c r="Z2216"/>
      <c r="AA2216"/>
      <c r="AB2216"/>
      <c r="AC2216"/>
      <c r="AD2216"/>
      <c r="AE2216"/>
      <c r="AF2216"/>
    </row>
    <row r="2217" spans="1:32" s="45" customFormat="1" ht="12.75" hidden="1">
      <c r="A2217" s="115"/>
      <c r="B2217" s="115"/>
      <c r="C2217" s="115"/>
      <c r="D2217" s="115"/>
      <c r="E2217" s="115"/>
      <c r="F2217" s="115"/>
      <c r="G2217" s="115"/>
      <c r="H2217" s="115"/>
      <c r="I2217" s="115"/>
      <c r="J2217" s="115"/>
      <c r="L2217" s="115"/>
      <c r="M2217" s="115"/>
      <c r="N2217" s="115"/>
      <c r="O2217" s="115"/>
      <c r="P2217" s="113"/>
      <c r="Q2217" s="119"/>
      <c r="R2217" s="113"/>
      <c r="S2217" s="113"/>
      <c r="T2217" s="113"/>
      <c r="W2217" s="115"/>
      <c r="Y2217"/>
      <c r="Z2217"/>
      <c r="AA2217"/>
      <c r="AB2217"/>
      <c r="AC2217"/>
      <c r="AD2217"/>
      <c r="AE2217"/>
      <c r="AF2217"/>
    </row>
    <row r="2218" spans="1:32" s="45" customFormat="1" ht="12.75" hidden="1">
      <c r="A2218" s="115"/>
      <c r="B2218" s="115"/>
      <c r="C2218" s="115"/>
      <c r="D2218" s="115"/>
      <c r="E2218" s="115"/>
      <c r="F2218" s="115"/>
      <c r="G2218" s="115"/>
      <c r="H2218" s="115"/>
      <c r="I2218" s="115"/>
      <c r="J2218" s="115"/>
      <c r="L2218" s="115"/>
      <c r="M2218" s="115"/>
      <c r="N2218" s="115"/>
      <c r="O2218" s="115"/>
      <c r="P2218" s="113"/>
      <c r="Q2218" s="119"/>
      <c r="R2218" s="113"/>
      <c r="S2218" s="113"/>
      <c r="T2218" s="113"/>
      <c r="W2218" s="115"/>
      <c r="Y2218"/>
      <c r="Z2218"/>
      <c r="AA2218"/>
      <c r="AB2218"/>
      <c r="AC2218"/>
      <c r="AD2218"/>
      <c r="AE2218"/>
      <c r="AF2218"/>
    </row>
    <row r="2219" spans="1:32" s="45" customFormat="1" ht="12.75" hidden="1">
      <c r="A2219" s="115"/>
      <c r="B2219" s="115"/>
      <c r="C2219" s="115"/>
      <c r="D2219" s="115"/>
      <c r="E2219" s="115"/>
      <c r="F2219" s="115"/>
      <c r="G2219" s="115"/>
      <c r="H2219" s="115"/>
      <c r="I2219" s="115"/>
      <c r="J2219" s="115"/>
      <c r="L2219" s="115"/>
      <c r="M2219" s="115"/>
      <c r="N2219" s="115"/>
      <c r="O2219" s="115"/>
      <c r="P2219" s="113"/>
      <c r="Q2219" s="119"/>
      <c r="R2219" s="113"/>
      <c r="S2219" s="113"/>
      <c r="T2219" s="113"/>
      <c r="W2219" s="115"/>
      <c r="Y2219"/>
      <c r="Z2219"/>
      <c r="AA2219"/>
      <c r="AB2219"/>
      <c r="AC2219"/>
      <c r="AD2219"/>
      <c r="AE2219"/>
      <c r="AF2219"/>
    </row>
    <row r="2220" spans="1:32" s="45" customFormat="1" ht="12.75" hidden="1">
      <c r="A2220" s="115"/>
      <c r="B2220" s="115"/>
      <c r="C2220" s="115"/>
      <c r="D2220" s="115"/>
      <c r="E2220" s="115"/>
      <c r="F2220" s="115"/>
      <c r="G2220" s="115"/>
      <c r="H2220" s="115"/>
      <c r="I2220" s="115"/>
      <c r="J2220" s="115"/>
      <c r="L2220" s="115"/>
      <c r="M2220" s="115"/>
      <c r="N2220" s="115"/>
      <c r="O2220" s="115"/>
      <c r="P2220" s="113"/>
      <c r="Q2220" s="119"/>
      <c r="R2220" s="113"/>
      <c r="S2220" s="113"/>
      <c r="T2220" s="113"/>
      <c r="W2220" s="115"/>
      <c r="Y2220"/>
      <c r="Z2220"/>
      <c r="AA2220"/>
      <c r="AB2220"/>
      <c r="AC2220"/>
      <c r="AD2220"/>
      <c r="AE2220"/>
      <c r="AF2220"/>
    </row>
    <row r="2221" spans="1:32" s="45" customFormat="1" ht="12.75" hidden="1">
      <c r="A2221" s="115"/>
      <c r="B2221" s="115"/>
      <c r="C2221" s="115"/>
      <c r="D2221" s="115"/>
      <c r="E2221" s="115"/>
      <c r="F2221" s="115"/>
      <c r="G2221" s="115"/>
      <c r="H2221" s="115"/>
      <c r="I2221" s="115"/>
      <c r="J2221" s="115"/>
      <c r="L2221" s="115"/>
      <c r="M2221" s="115"/>
      <c r="N2221" s="115"/>
      <c r="O2221" s="115"/>
      <c r="P2221" s="113"/>
      <c r="Q2221" s="119"/>
      <c r="R2221" s="113"/>
      <c r="S2221" s="113"/>
      <c r="T2221" s="113"/>
      <c r="W2221" s="115"/>
      <c r="Y2221"/>
      <c r="Z2221"/>
      <c r="AA2221"/>
      <c r="AB2221"/>
      <c r="AC2221"/>
      <c r="AD2221"/>
      <c r="AE2221"/>
      <c r="AF2221"/>
    </row>
    <row r="2222" spans="1:32" s="45" customFormat="1" ht="12.75" hidden="1">
      <c r="A2222" s="115"/>
      <c r="B2222" s="115"/>
      <c r="C2222" s="115"/>
      <c r="D2222" s="115"/>
      <c r="E2222" s="115"/>
      <c r="F2222" s="115"/>
      <c r="G2222" s="115"/>
      <c r="H2222" s="115"/>
      <c r="I2222" s="115"/>
      <c r="J2222" s="115"/>
      <c r="L2222" s="115"/>
      <c r="M2222" s="115"/>
      <c r="N2222" s="115"/>
      <c r="O2222" s="115"/>
      <c r="P2222" s="113"/>
      <c r="Q2222" s="119"/>
      <c r="R2222" s="113"/>
      <c r="S2222" s="113"/>
      <c r="T2222" s="113"/>
      <c r="W2222" s="115"/>
      <c r="Y2222"/>
      <c r="Z2222"/>
      <c r="AA2222"/>
      <c r="AB2222"/>
      <c r="AC2222"/>
      <c r="AD2222"/>
      <c r="AE2222"/>
      <c r="AF2222"/>
    </row>
    <row r="2223" spans="1:32" s="45" customFormat="1" ht="12.75" hidden="1">
      <c r="A2223" s="115"/>
      <c r="B2223" s="115"/>
      <c r="C2223" s="115"/>
      <c r="D2223" s="115"/>
      <c r="E2223" s="115"/>
      <c r="F2223" s="115"/>
      <c r="G2223" s="115"/>
      <c r="H2223" s="115"/>
      <c r="I2223" s="115"/>
      <c r="J2223" s="115"/>
      <c r="L2223" s="115"/>
      <c r="M2223" s="115"/>
      <c r="N2223" s="115"/>
      <c r="O2223" s="115"/>
      <c r="P2223" s="113"/>
      <c r="Q2223" s="119"/>
      <c r="R2223" s="113"/>
      <c r="S2223" s="113"/>
      <c r="T2223" s="113"/>
      <c r="W2223" s="115"/>
      <c r="Y2223"/>
      <c r="Z2223"/>
      <c r="AA2223"/>
      <c r="AB2223"/>
      <c r="AC2223"/>
      <c r="AD2223"/>
      <c r="AE2223"/>
      <c r="AF2223"/>
    </row>
    <row r="2224" spans="1:32" s="45" customFormat="1" ht="12.75" hidden="1">
      <c r="A2224" s="115"/>
      <c r="B2224" s="115"/>
      <c r="C2224" s="115"/>
      <c r="D2224" s="115"/>
      <c r="E2224" s="115"/>
      <c r="F2224" s="115"/>
      <c r="G2224" s="115"/>
      <c r="H2224" s="115"/>
      <c r="I2224" s="115"/>
      <c r="J2224" s="115"/>
      <c r="L2224" s="115"/>
      <c r="M2224" s="115"/>
      <c r="N2224" s="115"/>
      <c r="O2224" s="115"/>
      <c r="P2224" s="113"/>
      <c r="Q2224" s="119"/>
      <c r="R2224" s="113"/>
      <c r="S2224" s="113"/>
      <c r="T2224" s="113"/>
      <c r="W2224" s="115"/>
      <c r="Y2224"/>
      <c r="Z2224"/>
      <c r="AA2224"/>
      <c r="AB2224"/>
      <c r="AC2224"/>
      <c r="AD2224"/>
      <c r="AE2224"/>
      <c r="AF2224"/>
    </row>
    <row r="2225" spans="1:32" s="45" customFormat="1" ht="12.75" hidden="1">
      <c r="A2225" s="115"/>
      <c r="B2225" s="115"/>
      <c r="C2225" s="115"/>
      <c r="D2225" s="115"/>
      <c r="E2225" s="115"/>
      <c r="F2225" s="115"/>
      <c r="G2225" s="115"/>
      <c r="H2225" s="115"/>
      <c r="I2225" s="115"/>
      <c r="J2225" s="115"/>
      <c r="L2225" s="115"/>
      <c r="M2225" s="115"/>
      <c r="N2225" s="115"/>
      <c r="O2225" s="115"/>
      <c r="P2225" s="113"/>
      <c r="Q2225" s="119"/>
      <c r="R2225" s="113"/>
      <c r="S2225" s="113"/>
      <c r="T2225" s="113"/>
      <c r="W2225" s="115"/>
      <c r="Y2225"/>
      <c r="Z2225"/>
      <c r="AA2225"/>
      <c r="AB2225"/>
      <c r="AC2225"/>
      <c r="AD2225"/>
      <c r="AE2225"/>
      <c r="AF2225"/>
    </row>
    <row r="2226" spans="1:32" s="45" customFormat="1" ht="12.75" hidden="1">
      <c r="A2226" s="115"/>
      <c r="B2226" s="115"/>
      <c r="C2226" s="115"/>
      <c r="D2226" s="115"/>
      <c r="E2226" s="115"/>
      <c r="F2226" s="115"/>
      <c r="G2226" s="115"/>
      <c r="H2226" s="115"/>
      <c r="I2226" s="115"/>
      <c r="J2226" s="115"/>
      <c r="L2226" s="115"/>
      <c r="M2226" s="115"/>
      <c r="N2226" s="115"/>
      <c r="O2226" s="115"/>
      <c r="P2226" s="113"/>
      <c r="Q2226" s="119"/>
      <c r="R2226" s="113"/>
      <c r="S2226" s="113"/>
      <c r="T2226" s="113"/>
      <c r="W2226" s="115"/>
      <c r="Y2226"/>
      <c r="Z2226"/>
      <c r="AA2226"/>
      <c r="AB2226"/>
      <c r="AC2226"/>
      <c r="AD2226"/>
      <c r="AE2226"/>
      <c r="AF2226"/>
    </row>
    <row r="2227" spans="1:32" s="45" customFormat="1" ht="12.75" hidden="1">
      <c r="A2227" s="115"/>
      <c r="B2227" s="115"/>
      <c r="C2227" s="115"/>
      <c r="D2227" s="115"/>
      <c r="E2227" s="115"/>
      <c r="F2227" s="115"/>
      <c r="G2227" s="115"/>
      <c r="H2227" s="115"/>
      <c r="I2227" s="115"/>
      <c r="J2227" s="115"/>
      <c r="L2227" s="115"/>
      <c r="M2227" s="115"/>
      <c r="N2227" s="115"/>
      <c r="O2227" s="115"/>
      <c r="P2227" s="113"/>
      <c r="Q2227" s="119"/>
      <c r="R2227" s="113"/>
      <c r="S2227" s="113"/>
      <c r="T2227" s="113"/>
      <c r="W2227" s="115"/>
      <c r="Y2227"/>
      <c r="Z2227"/>
      <c r="AA2227"/>
      <c r="AB2227"/>
      <c r="AC2227"/>
      <c r="AD2227"/>
      <c r="AE2227"/>
      <c r="AF2227"/>
    </row>
    <row r="2228" spans="1:32" s="45" customFormat="1" ht="12.75" hidden="1">
      <c r="A2228" s="115"/>
      <c r="B2228" s="115"/>
      <c r="C2228" s="115"/>
      <c r="D2228" s="115"/>
      <c r="E2228" s="115"/>
      <c r="F2228" s="115"/>
      <c r="G2228" s="115"/>
      <c r="H2228" s="115"/>
      <c r="I2228" s="115"/>
      <c r="J2228" s="115"/>
      <c r="L2228" s="115"/>
      <c r="M2228" s="115"/>
      <c r="N2228" s="115"/>
      <c r="O2228" s="115"/>
      <c r="P2228" s="113"/>
      <c r="Q2228" s="119"/>
      <c r="R2228" s="113"/>
      <c r="S2228" s="113"/>
      <c r="T2228" s="113"/>
      <c r="W2228" s="115"/>
      <c r="Y2228"/>
      <c r="Z2228"/>
      <c r="AA2228"/>
      <c r="AB2228"/>
      <c r="AC2228"/>
      <c r="AD2228"/>
      <c r="AE2228"/>
      <c r="AF2228"/>
    </row>
    <row r="2229" spans="1:32" s="45" customFormat="1" ht="12.75" hidden="1">
      <c r="A2229" s="115"/>
      <c r="B2229" s="115"/>
      <c r="C2229" s="115"/>
      <c r="D2229" s="115"/>
      <c r="E2229" s="115"/>
      <c r="F2229" s="115"/>
      <c r="G2229" s="115"/>
      <c r="H2229" s="115"/>
      <c r="I2229" s="115"/>
      <c r="J2229" s="115"/>
      <c r="L2229" s="115"/>
      <c r="M2229" s="115"/>
      <c r="N2229" s="115"/>
      <c r="O2229" s="115"/>
      <c r="P2229" s="113"/>
      <c r="Q2229" s="119"/>
      <c r="R2229" s="113"/>
      <c r="S2229" s="113"/>
      <c r="T2229" s="113"/>
      <c r="W2229" s="115"/>
      <c r="Y2229"/>
      <c r="Z2229"/>
      <c r="AA2229"/>
      <c r="AB2229"/>
      <c r="AC2229"/>
      <c r="AD2229"/>
      <c r="AE2229"/>
      <c r="AF2229"/>
    </row>
    <row r="2230" spans="1:32" s="45" customFormat="1" ht="12.75" hidden="1">
      <c r="A2230" s="115"/>
      <c r="B2230" s="115"/>
      <c r="C2230" s="115"/>
      <c r="D2230" s="115"/>
      <c r="E2230" s="115"/>
      <c r="F2230" s="115"/>
      <c r="G2230" s="115"/>
      <c r="H2230" s="115"/>
      <c r="I2230" s="115"/>
      <c r="J2230" s="115"/>
      <c r="L2230" s="115"/>
      <c r="M2230" s="115"/>
      <c r="N2230" s="115"/>
      <c r="O2230" s="115"/>
      <c r="P2230" s="113"/>
      <c r="Q2230" s="119"/>
      <c r="R2230" s="113"/>
      <c r="S2230" s="113"/>
      <c r="T2230" s="113"/>
      <c r="W2230" s="115"/>
      <c r="Y2230"/>
      <c r="Z2230"/>
      <c r="AA2230"/>
      <c r="AB2230"/>
      <c r="AC2230"/>
      <c r="AD2230"/>
      <c r="AE2230"/>
      <c r="AF2230"/>
    </row>
    <row r="2231" spans="1:32" s="45" customFormat="1" ht="12.75" hidden="1">
      <c r="A2231" s="115"/>
      <c r="B2231" s="115"/>
      <c r="C2231" s="115"/>
      <c r="D2231" s="115"/>
      <c r="E2231" s="115"/>
      <c r="F2231" s="115"/>
      <c r="G2231" s="115"/>
      <c r="H2231" s="115"/>
      <c r="I2231" s="115"/>
      <c r="J2231" s="115"/>
      <c r="L2231" s="115"/>
      <c r="M2231" s="115"/>
      <c r="N2231" s="115"/>
      <c r="O2231" s="115"/>
      <c r="P2231" s="113"/>
      <c r="Q2231" s="119"/>
      <c r="R2231" s="113"/>
      <c r="S2231" s="113"/>
      <c r="T2231" s="113"/>
      <c r="W2231" s="115"/>
      <c r="Y2231"/>
      <c r="Z2231"/>
      <c r="AA2231"/>
      <c r="AB2231"/>
      <c r="AC2231"/>
      <c r="AD2231"/>
      <c r="AE2231"/>
      <c r="AF2231"/>
    </row>
    <row r="2232" spans="1:32" s="45" customFormat="1" ht="12.75" hidden="1">
      <c r="A2232" s="115"/>
      <c r="B2232" s="115"/>
      <c r="C2232" s="115"/>
      <c r="D2232" s="115"/>
      <c r="E2232" s="115"/>
      <c r="F2232" s="115"/>
      <c r="G2232" s="115"/>
      <c r="H2232" s="115"/>
      <c r="I2232" s="115"/>
      <c r="J2232" s="115"/>
      <c r="L2232" s="115"/>
      <c r="M2232" s="115"/>
      <c r="N2232" s="115"/>
      <c r="O2232" s="115"/>
      <c r="P2232" s="113"/>
      <c r="Q2232" s="119"/>
      <c r="R2232" s="113"/>
      <c r="S2232" s="113"/>
      <c r="T2232" s="113"/>
      <c r="W2232" s="115"/>
      <c r="Y2232"/>
      <c r="Z2232"/>
      <c r="AA2232"/>
      <c r="AB2232"/>
      <c r="AC2232"/>
      <c r="AD2232"/>
      <c r="AE2232"/>
      <c r="AF2232"/>
    </row>
    <row r="2233" spans="1:32" s="45" customFormat="1" ht="12.75" hidden="1">
      <c r="A2233" s="115"/>
      <c r="B2233" s="115"/>
      <c r="C2233" s="115"/>
      <c r="D2233" s="115"/>
      <c r="E2233" s="115"/>
      <c r="F2233" s="115"/>
      <c r="G2233" s="115"/>
      <c r="H2233" s="115"/>
      <c r="I2233" s="115"/>
      <c r="J2233" s="115"/>
      <c r="L2233" s="115"/>
      <c r="M2233" s="115"/>
      <c r="N2233" s="115"/>
      <c r="O2233" s="115"/>
      <c r="P2233" s="113"/>
      <c r="Q2233" s="119"/>
      <c r="R2233" s="113"/>
      <c r="S2233" s="113"/>
      <c r="T2233" s="113"/>
      <c r="W2233" s="115"/>
      <c r="Y2233"/>
      <c r="Z2233"/>
      <c r="AA2233"/>
      <c r="AB2233"/>
      <c r="AC2233"/>
      <c r="AD2233"/>
      <c r="AE2233"/>
      <c r="AF2233"/>
    </row>
    <row r="2234" spans="1:32" s="45" customFormat="1" ht="12.75" hidden="1">
      <c r="A2234" s="115"/>
      <c r="B2234" s="115"/>
      <c r="C2234" s="115"/>
      <c r="D2234" s="115"/>
      <c r="E2234" s="115"/>
      <c r="F2234" s="115"/>
      <c r="G2234" s="115"/>
      <c r="H2234" s="115"/>
      <c r="I2234" s="115"/>
      <c r="J2234" s="115"/>
      <c r="L2234" s="115"/>
      <c r="M2234" s="115"/>
      <c r="N2234" s="115"/>
      <c r="O2234" s="115"/>
      <c r="P2234" s="113"/>
      <c r="Q2234" s="119"/>
      <c r="R2234" s="113"/>
      <c r="S2234" s="113"/>
      <c r="T2234" s="113"/>
      <c r="W2234" s="115"/>
      <c r="Y2234"/>
      <c r="Z2234"/>
      <c r="AA2234"/>
      <c r="AB2234"/>
      <c r="AC2234"/>
      <c r="AD2234"/>
      <c r="AE2234"/>
      <c r="AF2234"/>
    </row>
    <row r="2235" spans="1:32" s="45" customFormat="1" ht="12.75" hidden="1">
      <c r="A2235" s="115"/>
      <c r="B2235" s="115"/>
      <c r="C2235" s="115"/>
      <c r="D2235" s="115"/>
      <c r="E2235" s="115"/>
      <c r="F2235" s="115"/>
      <c r="G2235" s="115"/>
      <c r="H2235" s="115"/>
      <c r="I2235" s="115"/>
      <c r="J2235" s="115"/>
      <c r="L2235" s="115"/>
      <c r="M2235" s="115"/>
      <c r="N2235" s="115"/>
      <c r="O2235" s="115"/>
      <c r="P2235" s="113"/>
      <c r="Q2235" s="119"/>
      <c r="R2235" s="113"/>
      <c r="S2235" s="113"/>
      <c r="T2235" s="113"/>
      <c r="W2235" s="115"/>
      <c r="Y2235"/>
      <c r="Z2235"/>
      <c r="AA2235"/>
      <c r="AB2235"/>
      <c r="AC2235"/>
      <c r="AD2235"/>
      <c r="AE2235"/>
      <c r="AF2235"/>
    </row>
    <row r="2236" spans="1:32" s="45" customFormat="1" ht="12.75" hidden="1">
      <c r="A2236" s="115"/>
      <c r="B2236" s="115"/>
      <c r="C2236" s="115"/>
      <c r="D2236" s="115"/>
      <c r="E2236" s="115"/>
      <c r="F2236" s="115"/>
      <c r="G2236" s="115"/>
      <c r="H2236" s="115"/>
      <c r="I2236" s="115"/>
      <c r="J2236" s="115"/>
      <c r="L2236" s="115"/>
      <c r="M2236" s="115"/>
      <c r="N2236" s="115"/>
      <c r="O2236" s="115"/>
      <c r="P2236" s="113"/>
      <c r="Q2236" s="119"/>
      <c r="R2236" s="113"/>
      <c r="S2236" s="113"/>
      <c r="T2236" s="113"/>
      <c r="W2236" s="115"/>
      <c r="Y2236"/>
      <c r="Z2236"/>
      <c r="AA2236"/>
      <c r="AB2236"/>
      <c r="AC2236"/>
      <c r="AD2236"/>
      <c r="AE2236"/>
      <c r="AF2236"/>
    </row>
    <row r="2237" spans="1:32" s="45" customFormat="1" ht="12.75" hidden="1">
      <c r="A2237" s="115"/>
      <c r="B2237" s="115"/>
      <c r="C2237" s="115"/>
      <c r="D2237" s="115"/>
      <c r="E2237" s="115"/>
      <c r="F2237" s="115"/>
      <c r="G2237" s="115"/>
      <c r="H2237" s="115"/>
      <c r="I2237" s="115"/>
      <c r="J2237" s="115"/>
      <c r="L2237" s="115"/>
      <c r="M2237" s="115"/>
      <c r="N2237" s="115"/>
      <c r="O2237" s="115"/>
      <c r="P2237" s="113"/>
      <c r="Q2237" s="119"/>
      <c r="R2237" s="113"/>
      <c r="S2237" s="113"/>
      <c r="T2237" s="113"/>
      <c r="W2237" s="115"/>
      <c r="Y2237"/>
      <c r="Z2237"/>
      <c r="AA2237"/>
      <c r="AB2237"/>
      <c r="AC2237"/>
      <c r="AD2237"/>
      <c r="AE2237"/>
      <c r="AF2237"/>
    </row>
    <row r="2238" spans="1:32" s="45" customFormat="1" ht="12.75" hidden="1">
      <c r="A2238" s="115"/>
      <c r="B2238" s="115"/>
      <c r="C2238" s="115"/>
      <c r="D2238" s="115"/>
      <c r="E2238" s="115"/>
      <c r="F2238" s="115"/>
      <c r="G2238" s="115"/>
      <c r="H2238" s="115"/>
      <c r="I2238" s="115"/>
      <c r="J2238" s="115"/>
      <c r="L2238" s="115"/>
      <c r="M2238" s="115"/>
      <c r="N2238" s="115"/>
      <c r="O2238" s="115"/>
      <c r="P2238" s="113"/>
      <c r="Q2238" s="119"/>
      <c r="R2238" s="113"/>
      <c r="S2238" s="113"/>
      <c r="T2238" s="113"/>
      <c r="W2238" s="115"/>
      <c r="Y2238"/>
      <c r="Z2238"/>
      <c r="AA2238"/>
      <c r="AB2238"/>
      <c r="AC2238"/>
      <c r="AD2238"/>
      <c r="AE2238"/>
      <c r="AF2238"/>
    </row>
    <row r="2239" spans="1:32" s="45" customFormat="1" ht="12.75" hidden="1">
      <c r="A2239" s="115"/>
      <c r="B2239" s="115"/>
      <c r="C2239" s="115"/>
      <c r="D2239" s="115"/>
      <c r="E2239" s="115"/>
      <c r="F2239" s="115"/>
      <c r="G2239" s="115"/>
      <c r="H2239" s="115"/>
      <c r="I2239" s="115"/>
      <c r="J2239" s="115"/>
      <c r="L2239" s="115"/>
      <c r="M2239" s="115"/>
      <c r="N2239" s="115"/>
      <c r="O2239" s="115"/>
      <c r="P2239" s="113"/>
      <c r="Q2239" s="119"/>
      <c r="R2239" s="113"/>
      <c r="S2239" s="113"/>
      <c r="T2239" s="113"/>
      <c r="W2239" s="115"/>
      <c r="Y2239"/>
      <c r="Z2239"/>
      <c r="AA2239"/>
      <c r="AB2239"/>
      <c r="AC2239"/>
      <c r="AD2239"/>
      <c r="AE2239"/>
      <c r="AF2239"/>
    </row>
    <row r="2240" spans="1:32" s="45" customFormat="1" ht="12.75" hidden="1">
      <c r="A2240" s="115"/>
      <c r="B2240" s="115"/>
      <c r="C2240" s="115"/>
      <c r="D2240" s="115"/>
      <c r="E2240" s="115"/>
      <c r="F2240" s="115"/>
      <c r="G2240" s="115"/>
      <c r="H2240" s="115"/>
      <c r="I2240" s="115"/>
      <c r="J2240" s="115"/>
      <c r="L2240" s="115"/>
      <c r="M2240" s="115"/>
      <c r="N2240" s="115"/>
      <c r="O2240" s="115"/>
      <c r="P2240" s="113"/>
      <c r="Q2240" s="119"/>
      <c r="R2240" s="113"/>
      <c r="S2240" s="113"/>
      <c r="T2240" s="113"/>
      <c r="W2240" s="115"/>
      <c r="Y2240"/>
      <c r="Z2240"/>
      <c r="AA2240"/>
      <c r="AB2240"/>
      <c r="AC2240"/>
      <c r="AD2240"/>
      <c r="AE2240"/>
      <c r="AF2240"/>
    </row>
    <row r="2241" spans="1:32" s="45" customFormat="1" ht="12.75" hidden="1">
      <c r="A2241" s="115"/>
      <c r="B2241" s="115"/>
      <c r="C2241" s="115"/>
      <c r="D2241" s="115"/>
      <c r="E2241" s="115"/>
      <c r="F2241" s="115"/>
      <c r="G2241" s="115"/>
      <c r="H2241" s="115"/>
      <c r="I2241" s="115"/>
      <c r="J2241" s="115"/>
      <c r="L2241" s="115"/>
      <c r="M2241" s="115"/>
      <c r="N2241" s="115"/>
      <c r="O2241" s="115"/>
      <c r="P2241" s="113"/>
      <c r="Q2241" s="119"/>
      <c r="R2241" s="113"/>
      <c r="S2241" s="113"/>
      <c r="T2241" s="113"/>
      <c r="W2241" s="115"/>
      <c r="Y2241"/>
      <c r="Z2241"/>
      <c r="AA2241"/>
      <c r="AB2241"/>
      <c r="AC2241"/>
      <c r="AD2241"/>
      <c r="AE2241"/>
      <c r="AF2241"/>
    </row>
    <row r="2242" spans="1:32" s="45" customFormat="1" ht="12.75" hidden="1">
      <c r="A2242" s="115"/>
      <c r="B2242" s="115"/>
      <c r="C2242" s="115"/>
      <c r="D2242" s="115"/>
      <c r="E2242" s="115"/>
      <c r="F2242" s="115"/>
      <c r="G2242" s="115"/>
      <c r="H2242" s="115"/>
      <c r="I2242" s="115"/>
      <c r="J2242" s="115"/>
      <c r="L2242" s="115"/>
      <c r="M2242" s="115"/>
      <c r="N2242" s="115"/>
      <c r="O2242" s="115"/>
      <c r="P2242" s="113"/>
      <c r="Q2242" s="119"/>
      <c r="R2242" s="113"/>
      <c r="S2242" s="113"/>
      <c r="T2242" s="113"/>
      <c r="W2242" s="115"/>
      <c r="Y2242"/>
      <c r="Z2242"/>
      <c r="AA2242"/>
      <c r="AB2242"/>
      <c r="AC2242"/>
      <c r="AD2242"/>
      <c r="AE2242"/>
      <c r="AF2242"/>
    </row>
    <row r="2243" spans="1:32" s="45" customFormat="1" ht="12.75" hidden="1">
      <c r="A2243" s="115"/>
      <c r="B2243" s="115"/>
      <c r="C2243" s="115"/>
      <c r="D2243" s="115"/>
      <c r="E2243" s="115"/>
      <c r="F2243" s="115"/>
      <c r="G2243" s="115"/>
      <c r="H2243" s="115"/>
      <c r="I2243" s="115"/>
      <c r="J2243" s="115"/>
      <c r="L2243" s="115"/>
      <c r="M2243" s="115"/>
      <c r="N2243" s="115"/>
      <c r="O2243" s="115"/>
      <c r="P2243" s="113"/>
      <c r="Q2243" s="119"/>
      <c r="R2243" s="113"/>
      <c r="S2243" s="113"/>
      <c r="T2243" s="113"/>
      <c r="W2243" s="115"/>
      <c r="Y2243"/>
      <c r="Z2243"/>
      <c r="AA2243"/>
      <c r="AB2243"/>
      <c r="AC2243"/>
      <c r="AD2243"/>
      <c r="AE2243"/>
      <c r="AF2243"/>
    </row>
    <row r="2244" spans="1:32" s="45" customFormat="1" ht="12.75" hidden="1">
      <c r="A2244" s="115"/>
      <c r="B2244" s="115"/>
      <c r="C2244" s="115"/>
      <c r="D2244" s="115"/>
      <c r="E2244" s="115"/>
      <c r="F2244" s="115"/>
      <c r="G2244" s="115"/>
      <c r="H2244" s="115"/>
      <c r="I2244" s="115"/>
      <c r="J2244" s="115"/>
      <c r="L2244" s="115"/>
      <c r="M2244" s="115"/>
      <c r="N2244" s="115"/>
      <c r="O2244" s="115"/>
      <c r="P2244" s="113"/>
      <c r="Q2244" s="119"/>
      <c r="R2244" s="113"/>
      <c r="S2244" s="113"/>
      <c r="T2244" s="113"/>
      <c r="W2244" s="115"/>
      <c r="Y2244"/>
      <c r="Z2244"/>
      <c r="AA2244"/>
      <c r="AB2244"/>
      <c r="AC2244"/>
      <c r="AD2244"/>
      <c r="AE2244"/>
      <c r="AF2244"/>
    </row>
    <row r="2245" spans="1:32" s="45" customFormat="1" ht="12.75" hidden="1">
      <c r="A2245" s="115"/>
      <c r="B2245" s="115"/>
      <c r="C2245" s="115"/>
      <c r="D2245" s="115"/>
      <c r="E2245" s="115"/>
      <c r="F2245" s="115"/>
      <c r="G2245" s="115"/>
      <c r="H2245" s="115"/>
      <c r="I2245" s="115"/>
      <c r="J2245" s="115"/>
      <c r="L2245" s="115"/>
      <c r="M2245" s="115"/>
      <c r="N2245" s="115"/>
      <c r="O2245" s="115"/>
      <c r="P2245" s="113"/>
      <c r="Q2245" s="119"/>
      <c r="R2245" s="113"/>
      <c r="S2245" s="113"/>
      <c r="T2245" s="113"/>
      <c r="W2245" s="115"/>
      <c r="Y2245"/>
      <c r="Z2245"/>
      <c r="AA2245"/>
      <c r="AB2245"/>
      <c r="AC2245"/>
      <c r="AD2245"/>
      <c r="AE2245"/>
      <c r="AF2245"/>
    </row>
    <row r="2246" spans="1:32" s="45" customFormat="1" ht="12.75" hidden="1">
      <c r="A2246" s="115"/>
      <c r="B2246" s="115"/>
      <c r="C2246" s="115"/>
      <c r="D2246" s="115"/>
      <c r="E2246" s="115"/>
      <c r="F2246" s="115"/>
      <c r="G2246" s="115"/>
      <c r="H2246" s="115"/>
      <c r="I2246" s="115"/>
      <c r="J2246" s="115"/>
      <c r="L2246" s="115"/>
      <c r="M2246" s="115"/>
      <c r="N2246" s="115"/>
      <c r="O2246" s="115"/>
      <c r="P2246" s="113"/>
      <c r="Q2246" s="119"/>
      <c r="R2246" s="113"/>
      <c r="S2246" s="113"/>
      <c r="T2246" s="113"/>
      <c r="W2246" s="115"/>
      <c r="Y2246"/>
      <c r="Z2246"/>
      <c r="AA2246"/>
      <c r="AB2246"/>
      <c r="AC2246"/>
      <c r="AD2246"/>
      <c r="AE2246"/>
      <c r="AF2246"/>
    </row>
    <row r="2247" spans="1:32" s="45" customFormat="1" ht="12.75" hidden="1">
      <c r="A2247" s="115"/>
      <c r="B2247" s="115"/>
      <c r="C2247" s="115"/>
      <c r="D2247" s="115"/>
      <c r="E2247" s="115"/>
      <c r="F2247" s="115"/>
      <c r="G2247" s="115"/>
      <c r="H2247" s="115"/>
      <c r="I2247" s="115"/>
      <c r="J2247" s="115"/>
      <c r="L2247" s="115"/>
      <c r="M2247" s="115"/>
      <c r="N2247" s="115"/>
      <c r="O2247" s="115"/>
      <c r="P2247" s="113"/>
      <c r="Q2247" s="119"/>
      <c r="R2247" s="113"/>
      <c r="S2247" s="113"/>
      <c r="T2247" s="113"/>
      <c r="W2247" s="115"/>
      <c r="Y2247"/>
      <c r="Z2247"/>
      <c r="AA2247"/>
      <c r="AB2247"/>
      <c r="AC2247"/>
      <c r="AD2247"/>
      <c r="AE2247"/>
      <c r="AF2247"/>
    </row>
    <row r="2248" spans="1:32" s="45" customFormat="1" ht="12.75" hidden="1">
      <c r="A2248" s="115"/>
      <c r="B2248" s="115"/>
      <c r="C2248" s="115"/>
      <c r="D2248" s="115"/>
      <c r="E2248" s="115"/>
      <c r="F2248" s="115"/>
      <c r="G2248" s="115"/>
      <c r="H2248" s="115"/>
      <c r="I2248" s="115"/>
      <c r="J2248" s="115"/>
      <c r="L2248" s="115"/>
      <c r="M2248" s="115"/>
      <c r="N2248" s="115"/>
      <c r="O2248" s="115"/>
      <c r="P2248" s="113"/>
      <c r="Q2248" s="119"/>
      <c r="R2248" s="113"/>
      <c r="S2248" s="113"/>
      <c r="T2248" s="113"/>
      <c r="W2248" s="115"/>
      <c r="Y2248"/>
      <c r="Z2248"/>
      <c r="AA2248"/>
      <c r="AB2248"/>
      <c r="AC2248"/>
      <c r="AD2248"/>
      <c r="AE2248"/>
      <c r="AF2248"/>
    </row>
    <row r="2249" spans="1:32" s="45" customFormat="1" ht="12.75" hidden="1">
      <c r="A2249" s="115"/>
      <c r="B2249" s="115"/>
      <c r="C2249" s="115"/>
      <c r="D2249" s="115"/>
      <c r="E2249" s="115"/>
      <c r="F2249" s="115"/>
      <c r="G2249" s="115"/>
      <c r="H2249" s="115"/>
      <c r="I2249" s="115"/>
      <c r="J2249" s="115"/>
      <c r="L2249" s="115"/>
      <c r="M2249" s="115"/>
      <c r="N2249" s="115"/>
      <c r="O2249" s="115"/>
      <c r="P2249" s="113"/>
      <c r="Q2249" s="119"/>
      <c r="R2249" s="113"/>
      <c r="S2249" s="113"/>
      <c r="T2249" s="113"/>
      <c r="W2249" s="115"/>
      <c r="Y2249"/>
      <c r="Z2249"/>
      <c r="AA2249"/>
      <c r="AB2249"/>
      <c r="AC2249"/>
      <c r="AD2249"/>
      <c r="AE2249"/>
      <c r="AF2249"/>
    </row>
    <row r="2250" spans="1:32" s="45" customFormat="1" ht="12.75" hidden="1">
      <c r="A2250" s="115"/>
      <c r="B2250" s="115"/>
      <c r="C2250" s="115"/>
      <c r="D2250" s="115"/>
      <c r="E2250" s="115"/>
      <c r="F2250" s="115"/>
      <c r="G2250" s="115"/>
      <c r="H2250" s="115"/>
      <c r="I2250" s="115"/>
      <c r="J2250" s="115"/>
      <c r="L2250" s="115"/>
      <c r="M2250" s="115"/>
      <c r="N2250" s="115"/>
      <c r="O2250" s="115"/>
      <c r="P2250" s="113"/>
      <c r="Q2250" s="119"/>
      <c r="R2250" s="113"/>
      <c r="S2250" s="113"/>
      <c r="T2250" s="113"/>
      <c r="W2250" s="115"/>
      <c r="Y2250"/>
      <c r="Z2250"/>
      <c r="AA2250"/>
      <c r="AB2250"/>
      <c r="AC2250"/>
      <c r="AD2250"/>
      <c r="AE2250"/>
      <c r="AF2250"/>
    </row>
    <row r="2251" spans="1:32" s="45" customFormat="1" ht="12.75" hidden="1">
      <c r="A2251" s="115"/>
      <c r="B2251" s="115"/>
      <c r="C2251" s="115"/>
      <c r="D2251" s="115"/>
      <c r="E2251" s="115"/>
      <c r="F2251" s="115"/>
      <c r="G2251" s="115"/>
      <c r="H2251" s="115"/>
      <c r="I2251" s="115"/>
      <c r="J2251" s="115"/>
      <c r="L2251" s="115"/>
      <c r="M2251" s="115"/>
      <c r="N2251" s="115"/>
      <c r="O2251" s="115"/>
      <c r="P2251" s="113"/>
      <c r="Q2251" s="119"/>
      <c r="R2251" s="113"/>
      <c r="S2251" s="113"/>
      <c r="T2251" s="113"/>
      <c r="W2251" s="115"/>
      <c r="Y2251"/>
      <c r="Z2251"/>
      <c r="AA2251"/>
      <c r="AB2251"/>
      <c r="AC2251"/>
      <c r="AD2251"/>
      <c r="AE2251"/>
      <c r="AF2251"/>
    </row>
    <row r="2252" spans="1:32" s="45" customFormat="1" ht="12.75" hidden="1">
      <c r="A2252" s="115"/>
      <c r="B2252" s="115"/>
      <c r="C2252" s="115"/>
      <c r="D2252" s="115"/>
      <c r="E2252" s="115"/>
      <c r="F2252" s="115"/>
      <c r="G2252" s="115"/>
      <c r="H2252" s="115"/>
      <c r="I2252" s="115"/>
      <c r="J2252" s="115"/>
      <c r="L2252" s="115"/>
      <c r="M2252" s="115"/>
      <c r="N2252" s="115"/>
      <c r="O2252" s="115"/>
      <c r="P2252" s="113"/>
      <c r="Q2252" s="119"/>
      <c r="R2252" s="113"/>
      <c r="S2252" s="113"/>
      <c r="T2252" s="113"/>
      <c r="W2252" s="115"/>
      <c r="Y2252"/>
      <c r="Z2252"/>
      <c r="AA2252"/>
      <c r="AB2252"/>
      <c r="AC2252"/>
      <c r="AD2252"/>
      <c r="AE2252"/>
      <c r="AF2252"/>
    </row>
    <row r="2253" spans="1:32" s="45" customFormat="1" ht="12.75" hidden="1">
      <c r="A2253" s="115"/>
      <c r="B2253" s="115"/>
      <c r="C2253" s="115"/>
      <c r="D2253" s="115"/>
      <c r="E2253" s="115"/>
      <c r="F2253" s="115"/>
      <c r="G2253" s="115"/>
      <c r="H2253" s="115"/>
      <c r="I2253" s="115"/>
      <c r="J2253" s="115"/>
      <c r="L2253" s="115"/>
      <c r="M2253" s="115"/>
      <c r="N2253" s="115"/>
      <c r="O2253" s="115"/>
      <c r="P2253" s="113"/>
      <c r="Q2253" s="119"/>
      <c r="R2253" s="113"/>
      <c r="S2253" s="113"/>
      <c r="T2253" s="113"/>
      <c r="W2253" s="115"/>
      <c r="Y2253"/>
      <c r="Z2253"/>
      <c r="AA2253"/>
      <c r="AB2253"/>
      <c r="AC2253"/>
      <c r="AD2253"/>
      <c r="AE2253"/>
      <c r="AF2253"/>
    </row>
    <row r="2254" spans="1:32" s="45" customFormat="1" ht="12.75" hidden="1">
      <c r="A2254" s="115"/>
      <c r="B2254" s="115"/>
      <c r="C2254" s="115"/>
      <c r="D2254" s="115"/>
      <c r="E2254" s="115"/>
      <c r="F2254" s="115"/>
      <c r="G2254" s="115"/>
      <c r="H2254" s="115"/>
      <c r="I2254" s="115"/>
      <c r="J2254" s="115"/>
      <c r="L2254" s="115"/>
      <c r="M2254" s="115"/>
      <c r="N2254" s="115"/>
      <c r="O2254" s="115"/>
      <c r="P2254" s="113"/>
      <c r="Q2254" s="119"/>
      <c r="R2254" s="113"/>
      <c r="S2254" s="113"/>
      <c r="T2254" s="113"/>
      <c r="W2254" s="115"/>
      <c r="Y2254"/>
      <c r="Z2254"/>
      <c r="AA2254"/>
      <c r="AB2254"/>
      <c r="AC2254"/>
      <c r="AD2254"/>
      <c r="AE2254"/>
      <c r="AF2254"/>
    </row>
    <row r="2255" spans="1:32" s="45" customFormat="1" ht="12.75" hidden="1">
      <c r="A2255" s="115"/>
      <c r="B2255" s="115"/>
      <c r="C2255" s="115"/>
      <c r="D2255" s="115"/>
      <c r="E2255" s="115"/>
      <c r="F2255" s="115"/>
      <c r="G2255" s="115"/>
      <c r="H2255" s="115"/>
      <c r="I2255" s="115"/>
      <c r="J2255" s="115"/>
      <c r="L2255" s="115"/>
      <c r="M2255" s="115"/>
      <c r="N2255" s="115"/>
      <c r="O2255" s="115"/>
      <c r="P2255" s="113"/>
      <c r="Q2255" s="119"/>
      <c r="R2255" s="113"/>
      <c r="S2255" s="113"/>
      <c r="T2255" s="113"/>
      <c r="W2255" s="115"/>
      <c r="Y2255"/>
      <c r="Z2255"/>
      <c r="AA2255"/>
      <c r="AB2255"/>
      <c r="AC2255"/>
      <c r="AD2255"/>
      <c r="AE2255"/>
      <c r="AF2255"/>
    </row>
    <row r="2256" spans="1:32" s="45" customFormat="1" ht="12.75" hidden="1">
      <c r="A2256" s="115"/>
      <c r="B2256" s="115"/>
      <c r="C2256" s="115"/>
      <c r="D2256" s="115"/>
      <c r="E2256" s="115"/>
      <c r="F2256" s="115"/>
      <c r="G2256" s="115"/>
      <c r="H2256" s="115"/>
      <c r="I2256" s="115"/>
      <c r="J2256" s="115"/>
      <c r="L2256" s="115"/>
      <c r="M2256" s="115"/>
      <c r="N2256" s="115"/>
      <c r="O2256" s="115"/>
      <c r="P2256" s="113"/>
      <c r="Q2256" s="119"/>
      <c r="R2256" s="113"/>
      <c r="S2256" s="113"/>
      <c r="T2256" s="113"/>
      <c r="W2256" s="115"/>
      <c r="Y2256"/>
      <c r="Z2256"/>
      <c r="AA2256"/>
      <c r="AB2256"/>
      <c r="AC2256"/>
      <c r="AD2256"/>
      <c r="AE2256"/>
      <c r="AF2256"/>
    </row>
    <row r="2257" spans="1:32" s="45" customFormat="1" ht="12.75" hidden="1">
      <c r="A2257" s="115"/>
      <c r="B2257" s="115"/>
      <c r="C2257" s="115"/>
      <c r="D2257" s="115"/>
      <c r="E2257" s="115"/>
      <c r="F2257" s="115"/>
      <c r="G2257" s="115"/>
      <c r="H2257" s="115"/>
      <c r="I2257" s="115"/>
      <c r="J2257" s="115"/>
      <c r="L2257" s="115"/>
      <c r="M2257" s="115"/>
      <c r="N2257" s="115"/>
      <c r="O2257" s="115"/>
      <c r="P2257" s="113"/>
      <c r="Q2257" s="119"/>
      <c r="R2257" s="113"/>
      <c r="S2257" s="113"/>
      <c r="T2257" s="113"/>
      <c r="W2257" s="115"/>
      <c r="Y2257"/>
      <c r="Z2257"/>
      <c r="AA2257"/>
      <c r="AB2257"/>
      <c r="AC2257"/>
      <c r="AD2257"/>
      <c r="AE2257"/>
      <c r="AF2257"/>
    </row>
    <row r="2258" spans="1:32" s="45" customFormat="1" ht="12.75" hidden="1">
      <c r="A2258" s="115"/>
      <c r="B2258" s="115"/>
      <c r="C2258" s="115"/>
      <c r="D2258" s="115"/>
      <c r="E2258" s="115"/>
      <c r="F2258" s="115"/>
      <c r="G2258" s="115"/>
      <c r="H2258" s="115"/>
      <c r="I2258" s="115"/>
      <c r="J2258" s="115"/>
      <c r="L2258" s="115"/>
      <c r="M2258" s="115"/>
      <c r="N2258" s="115"/>
      <c r="O2258" s="115"/>
      <c r="P2258" s="113"/>
      <c r="Q2258" s="119"/>
      <c r="R2258" s="113"/>
      <c r="S2258" s="113"/>
      <c r="T2258" s="113"/>
      <c r="W2258" s="115"/>
      <c r="Y2258"/>
      <c r="Z2258"/>
      <c r="AA2258"/>
      <c r="AB2258"/>
      <c r="AC2258"/>
      <c r="AD2258"/>
      <c r="AE2258"/>
      <c r="AF2258"/>
    </row>
    <row r="2259" spans="1:32" s="45" customFormat="1" ht="12.75" hidden="1">
      <c r="A2259" s="115"/>
      <c r="B2259" s="115"/>
      <c r="C2259" s="115"/>
      <c r="D2259" s="115"/>
      <c r="E2259" s="115"/>
      <c r="F2259" s="115"/>
      <c r="G2259" s="115"/>
      <c r="H2259" s="115"/>
      <c r="I2259" s="115"/>
      <c r="J2259" s="115"/>
      <c r="L2259" s="115"/>
      <c r="M2259" s="115"/>
      <c r="N2259" s="115"/>
      <c r="O2259" s="115"/>
      <c r="P2259" s="113"/>
      <c r="Q2259" s="119"/>
      <c r="R2259" s="113"/>
      <c r="S2259" s="113"/>
      <c r="T2259" s="113"/>
      <c r="W2259" s="115"/>
      <c r="Y2259"/>
      <c r="Z2259"/>
      <c r="AA2259"/>
      <c r="AB2259"/>
      <c r="AC2259"/>
      <c r="AD2259"/>
      <c r="AE2259"/>
      <c r="AF2259"/>
    </row>
    <row r="2260" spans="1:32" s="45" customFormat="1" ht="12.75" hidden="1">
      <c r="A2260" s="115"/>
      <c r="B2260" s="115"/>
      <c r="C2260" s="115"/>
      <c r="D2260" s="115"/>
      <c r="E2260" s="115"/>
      <c r="F2260" s="115"/>
      <c r="G2260" s="115"/>
      <c r="H2260" s="115"/>
      <c r="I2260" s="115"/>
      <c r="J2260" s="115"/>
      <c r="L2260" s="115"/>
      <c r="M2260" s="115"/>
      <c r="N2260" s="115"/>
      <c r="O2260" s="115"/>
      <c r="P2260" s="113"/>
      <c r="Q2260" s="119"/>
      <c r="R2260" s="113"/>
      <c r="S2260" s="113"/>
      <c r="T2260" s="113"/>
      <c r="W2260" s="115"/>
      <c r="Y2260"/>
      <c r="Z2260"/>
      <c r="AA2260"/>
      <c r="AB2260"/>
      <c r="AC2260"/>
      <c r="AD2260"/>
      <c r="AE2260"/>
      <c r="AF2260"/>
    </row>
    <row r="2261" spans="1:32" s="45" customFormat="1" ht="12.75" hidden="1">
      <c r="A2261" s="115"/>
      <c r="B2261" s="115"/>
      <c r="C2261" s="115"/>
      <c r="D2261" s="115"/>
      <c r="E2261" s="115"/>
      <c r="F2261" s="115"/>
      <c r="G2261" s="115"/>
      <c r="H2261" s="115"/>
      <c r="I2261" s="115"/>
      <c r="J2261" s="115"/>
      <c r="L2261" s="115"/>
      <c r="M2261" s="115"/>
      <c r="N2261" s="115"/>
      <c r="O2261" s="115"/>
      <c r="P2261" s="113"/>
      <c r="Q2261" s="119"/>
      <c r="R2261" s="113"/>
      <c r="S2261" s="113"/>
      <c r="T2261" s="113"/>
      <c r="W2261" s="115"/>
      <c r="Y2261"/>
      <c r="Z2261"/>
      <c r="AA2261"/>
      <c r="AB2261"/>
      <c r="AC2261"/>
      <c r="AD2261"/>
      <c r="AE2261"/>
      <c r="AF2261"/>
    </row>
    <row r="2262" spans="1:32" s="45" customFormat="1" ht="12.75" hidden="1">
      <c r="A2262" s="115"/>
      <c r="B2262" s="115"/>
      <c r="C2262" s="115"/>
      <c r="D2262" s="115"/>
      <c r="E2262" s="115"/>
      <c r="F2262" s="115"/>
      <c r="G2262" s="115"/>
      <c r="H2262" s="115"/>
      <c r="I2262" s="115"/>
      <c r="J2262" s="115"/>
      <c r="L2262" s="115"/>
      <c r="M2262" s="115"/>
      <c r="N2262" s="115"/>
      <c r="O2262" s="115"/>
      <c r="P2262" s="113"/>
      <c r="Q2262" s="119"/>
      <c r="R2262" s="113"/>
      <c r="S2262" s="113"/>
      <c r="T2262" s="113"/>
      <c r="W2262" s="115"/>
      <c r="Y2262"/>
      <c r="Z2262"/>
      <c r="AA2262"/>
      <c r="AB2262"/>
      <c r="AC2262"/>
      <c r="AD2262"/>
      <c r="AE2262"/>
      <c r="AF2262"/>
    </row>
    <row r="2263" spans="1:32" s="45" customFormat="1" ht="12.75" hidden="1">
      <c r="A2263" s="115"/>
      <c r="B2263" s="115"/>
      <c r="C2263" s="115"/>
      <c r="D2263" s="115"/>
      <c r="E2263" s="115"/>
      <c r="F2263" s="115"/>
      <c r="G2263" s="115"/>
      <c r="H2263" s="115"/>
      <c r="I2263" s="115"/>
      <c r="J2263" s="115"/>
      <c r="L2263" s="115"/>
      <c r="M2263" s="115"/>
      <c r="N2263" s="115"/>
      <c r="O2263" s="115"/>
      <c r="P2263" s="113"/>
      <c r="Q2263" s="119"/>
      <c r="R2263" s="113"/>
      <c r="S2263" s="113"/>
      <c r="T2263" s="113"/>
      <c r="W2263" s="115"/>
      <c r="Y2263"/>
      <c r="Z2263"/>
      <c r="AA2263"/>
      <c r="AB2263"/>
      <c r="AC2263"/>
      <c r="AD2263"/>
      <c r="AE2263"/>
      <c r="AF2263"/>
    </row>
    <row r="2264" spans="1:32" s="45" customFormat="1" ht="12.75" hidden="1">
      <c r="A2264" s="115"/>
      <c r="B2264" s="115"/>
      <c r="C2264" s="115"/>
      <c r="D2264" s="115"/>
      <c r="E2264" s="115"/>
      <c r="F2264" s="115"/>
      <c r="G2264" s="115"/>
      <c r="H2264" s="115"/>
      <c r="I2264" s="115"/>
      <c r="J2264" s="115"/>
      <c r="L2264" s="115"/>
      <c r="M2264" s="115"/>
      <c r="N2264" s="115"/>
      <c r="O2264" s="115"/>
      <c r="P2264" s="113"/>
      <c r="Q2264" s="119"/>
      <c r="R2264" s="113"/>
      <c r="S2264" s="113"/>
      <c r="T2264" s="113"/>
      <c r="W2264" s="115"/>
      <c r="Y2264"/>
      <c r="Z2264"/>
      <c r="AA2264"/>
      <c r="AB2264"/>
      <c r="AC2264"/>
      <c r="AD2264"/>
      <c r="AE2264"/>
      <c r="AF2264"/>
    </row>
    <row r="2265" spans="1:32" s="45" customFormat="1" ht="12.75" hidden="1">
      <c r="A2265" s="115"/>
      <c r="B2265" s="115"/>
      <c r="C2265" s="115"/>
      <c r="D2265" s="115"/>
      <c r="E2265" s="115"/>
      <c r="F2265" s="115"/>
      <c r="G2265" s="115"/>
      <c r="H2265" s="115"/>
      <c r="I2265" s="115"/>
      <c r="J2265" s="115"/>
      <c r="L2265" s="115"/>
      <c r="M2265" s="115"/>
      <c r="N2265" s="115"/>
      <c r="O2265" s="115"/>
      <c r="P2265" s="113"/>
      <c r="Q2265" s="119"/>
      <c r="R2265" s="113"/>
      <c r="S2265" s="113"/>
      <c r="T2265" s="113"/>
      <c r="W2265" s="115"/>
      <c r="Y2265"/>
      <c r="Z2265"/>
      <c r="AA2265"/>
      <c r="AB2265"/>
      <c r="AC2265"/>
      <c r="AD2265"/>
      <c r="AE2265"/>
      <c r="AF2265"/>
    </row>
    <row r="2266" spans="1:32" s="45" customFormat="1" ht="12.75" hidden="1">
      <c r="A2266" s="115"/>
      <c r="B2266" s="115"/>
      <c r="C2266" s="115"/>
      <c r="D2266" s="115"/>
      <c r="E2266" s="115"/>
      <c r="F2266" s="115"/>
      <c r="G2266" s="115"/>
      <c r="H2266" s="115"/>
      <c r="I2266" s="115"/>
      <c r="J2266" s="115"/>
      <c r="L2266" s="115"/>
      <c r="M2266" s="115"/>
      <c r="N2266" s="115"/>
      <c r="O2266" s="115"/>
      <c r="P2266" s="113"/>
      <c r="Q2266" s="119"/>
      <c r="R2266" s="113"/>
      <c r="S2266" s="113"/>
      <c r="T2266" s="113"/>
      <c r="W2266" s="115"/>
      <c r="Y2266"/>
      <c r="Z2266"/>
      <c r="AA2266"/>
      <c r="AB2266"/>
      <c r="AC2266"/>
      <c r="AD2266"/>
      <c r="AE2266"/>
      <c r="AF2266"/>
    </row>
    <row r="2267" spans="1:32" s="45" customFormat="1" ht="12.75" hidden="1">
      <c r="A2267" s="115"/>
      <c r="B2267" s="115"/>
      <c r="C2267" s="115"/>
      <c r="D2267" s="115"/>
      <c r="E2267" s="115"/>
      <c r="F2267" s="115"/>
      <c r="G2267" s="115"/>
      <c r="H2267" s="115"/>
      <c r="I2267" s="115"/>
      <c r="J2267" s="115"/>
      <c r="L2267" s="115"/>
      <c r="M2267" s="115"/>
      <c r="N2267" s="115"/>
      <c r="O2267" s="115"/>
      <c r="P2267" s="113"/>
      <c r="Q2267" s="119"/>
      <c r="R2267" s="113"/>
      <c r="S2267" s="113"/>
      <c r="T2267" s="113"/>
      <c r="W2267" s="115"/>
      <c r="Y2267"/>
      <c r="Z2267"/>
      <c r="AA2267"/>
      <c r="AB2267"/>
      <c r="AC2267"/>
      <c r="AD2267"/>
      <c r="AE2267"/>
      <c r="AF2267"/>
    </row>
    <row r="2268" spans="1:32" s="45" customFormat="1" ht="12.75" hidden="1">
      <c r="A2268" s="115"/>
      <c r="B2268" s="115"/>
      <c r="C2268" s="115"/>
      <c r="D2268" s="115"/>
      <c r="E2268" s="115"/>
      <c r="F2268" s="115"/>
      <c r="G2268" s="115"/>
      <c r="H2268" s="115"/>
      <c r="I2268" s="115"/>
      <c r="J2268" s="115"/>
      <c r="L2268" s="115"/>
      <c r="M2268" s="115"/>
      <c r="N2268" s="115"/>
      <c r="O2268" s="115"/>
      <c r="P2268" s="113"/>
      <c r="Q2268" s="119"/>
      <c r="R2268" s="113"/>
      <c r="S2268" s="113"/>
      <c r="T2268" s="113"/>
      <c r="W2268" s="115"/>
      <c r="Y2268"/>
      <c r="Z2268"/>
      <c r="AA2268"/>
      <c r="AB2268"/>
      <c r="AC2268"/>
      <c r="AD2268"/>
      <c r="AE2268"/>
      <c r="AF2268"/>
    </row>
    <row r="2269" spans="1:32" s="45" customFormat="1" ht="12.75" hidden="1">
      <c r="A2269" s="115"/>
      <c r="B2269" s="115"/>
      <c r="C2269" s="115"/>
      <c r="D2269" s="115"/>
      <c r="E2269" s="115"/>
      <c r="F2269" s="115"/>
      <c r="G2269" s="115"/>
      <c r="H2269" s="115"/>
      <c r="I2269" s="115"/>
      <c r="J2269" s="115"/>
      <c r="L2269" s="115"/>
      <c r="M2269" s="115"/>
      <c r="N2269" s="115"/>
      <c r="O2269" s="115"/>
      <c r="P2269" s="113"/>
      <c r="Q2269" s="119"/>
      <c r="R2269" s="113"/>
      <c r="S2269" s="113"/>
      <c r="T2269" s="113"/>
      <c r="W2269" s="115"/>
      <c r="Y2269"/>
      <c r="Z2269"/>
      <c r="AA2269"/>
      <c r="AB2269"/>
      <c r="AC2269"/>
      <c r="AD2269"/>
      <c r="AE2269"/>
      <c r="AF2269"/>
    </row>
    <row r="2270" spans="1:32" s="45" customFormat="1" ht="12.75" hidden="1">
      <c r="A2270" s="115"/>
      <c r="B2270" s="115"/>
      <c r="C2270" s="115"/>
      <c r="D2270" s="115"/>
      <c r="E2270" s="115"/>
      <c r="F2270" s="115"/>
      <c r="G2270" s="115"/>
      <c r="H2270" s="115"/>
      <c r="I2270" s="115"/>
      <c r="J2270" s="115"/>
      <c r="L2270" s="115"/>
      <c r="M2270" s="115"/>
      <c r="N2270" s="115"/>
      <c r="O2270" s="115"/>
      <c r="P2270" s="113"/>
      <c r="Q2270" s="119"/>
      <c r="R2270" s="113"/>
      <c r="S2270" s="113"/>
      <c r="T2270" s="113"/>
      <c r="W2270" s="115"/>
      <c r="Y2270"/>
      <c r="Z2270"/>
      <c r="AA2270"/>
      <c r="AB2270"/>
      <c r="AC2270"/>
      <c r="AD2270"/>
      <c r="AE2270"/>
      <c r="AF2270"/>
    </row>
    <row r="2271" spans="1:32" s="45" customFormat="1" ht="12.75" hidden="1">
      <c r="A2271" s="115"/>
      <c r="B2271" s="115"/>
      <c r="C2271" s="115"/>
      <c r="D2271" s="115"/>
      <c r="E2271" s="115"/>
      <c r="F2271" s="115"/>
      <c r="G2271" s="115"/>
      <c r="H2271" s="115"/>
      <c r="I2271" s="115"/>
      <c r="J2271" s="115"/>
      <c r="L2271" s="115"/>
      <c r="M2271" s="115"/>
      <c r="N2271" s="115"/>
      <c r="O2271" s="115"/>
      <c r="P2271" s="113"/>
      <c r="Q2271" s="119"/>
      <c r="R2271" s="113"/>
      <c r="S2271" s="113"/>
      <c r="T2271" s="113"/>
      <c r="W2271" s="115"/>
      <c r="Y2271"/>
      <c r="Z2271"/>
      <c r="AA2271"/>
      <c r="AB2271"/>
      <c r="AC2271"/>
      <c r="AD2271"/>
      <c r="AE2271"/>
      <c r="AF2271"/>
    </row>
    <row r="2272" spans="1:32" s="45" customFormat="1" ht="12.75" hidden="1">
      <c r="A2272" s="115"/>
      <c r="B2272" s="115"/>
      <c r="C2272" s="115"/>
      <c r="D2272" s="115"/>
      <c r="E2272" s="115"/>
      <c r="F2272" s="115"/>
      <c r="G2272" s="115"/>
      <c r="H2272" s="115"/>
      <c r="I2272" s="115"/>
      <c r="J2272" s="115"/>
      <c r="L2272" s="115"/>
      <c r="M2272" s="115"/>
      <c r="N2272" s="115"/>
      <c r="O2272" s="115"/>
      <c r="P2272" s="113"/>
      <c r="Q2272" s="119"/>
      <c r="R2272" s="113"/>
      <c r="S2272" s="113"/>
      <c r="T2272" s="113"/>
      <c r="W2272" s="115"/>
      <c r="Y2272"/>
      <c r="Z2272"/>
      <c r="AA2272"/>
      <c r="AB2272"/>
      <c r="AC2272"/>
      <c r="AD2272"/>
      <c r="AE2272"/>
      <c r="AF2272"/>
    </row>
    <row r="2273" spans="1:32" s="45" customFormat="1" ht="12.75" hidden="1">
      <c r="A2273" s="115"/>
      <c r="B2273" s="115"/>
      <c r="C2273" s="115"/>
      <c r="D2273" s="115"/>
      <c r="E2273" s="115"/>
      <c r="F2273" s="115"/>
      <c r="G2273" s="115"/>
      <c r="H2273" s="115"/>
      <c r="I2273" s="115"/>
      <c r="J2273" s="115"/>
      <c r="L2273" s="115"/>
      <c r="M2273" s="115"/>
      <c r="N2273" s="115"/>
      <c r="O2273" s="115"/>
      <c r="P2273" s="113"/>
      <c r="Q2273" s="119"/>
      <c r="R2273" s="113"/>
      <c r="S2273" s="113"/>
      <c r="T2273" s="113"/>
      <c r="W2273" s="115"/>
      <c r="Y2273"/>
      <c r="Z2273"/>
      <c r="AA2273"/>
      <c r="AB2273"/>
      <c r="AC2273"/>
      <c r="AD2273"/>
      <c r="AE2273"/>
      <c r="AF2273"/>
    </row>
    <row r="2274" spans="1:32" s="45" customFormat="1" ht="12.75" hidden="1">
      <c r="A2274" s="115"/>
      <c r="B2274" s="115"/>
      <c r="C2274" s="115"/>
      <c r="D2274" s="115"/>
      <c r="E2274" s="115"/>
      <c r="F2274" s="115"/>
      <c r="G2274" s="115"/>
      <c r="H2274" s="115"/>
      <c r="I2274" s="115"/>
      <c r="J2274" s="115"/>
      <c r="L2274" s="115"/>
      <c r="M2274" s="115"/>
      <c r="N2274" s="115"/>
      <c r="O2274" s="115"/>
      <c r="P2274" s="113"/>
      <c r="Q2274" s="119"/>
      <c r="R2274" s="113"/>
      <c r="S2274" s="113"/>
      <c r="T2274" s="113"/>
      <c r="W2274" s="115"/>
      <c r="Y2274"/>
      <c r="Z2274"/>
      <c r="AA2274"/>
      <c r="AB2274"/>
      <c r="AC2274"/>
      <c r="AD2274"/>
      <c r="AE2274"/>
      <c r="AF2274"/>
    </row>
    <row r="2275" spans="1:32" s="45" customFormat="1" ht="12.75" hidden="1">
      <c r="A2275" s="115"/>
      <c r="B2275" s="115"/>
      <c r="C2275" s="115"/>
      <c r="D2275" s="115"/>
      <c r="E2275" s="115"/>
      <c r="F2275" s="115"/>
      <c r="G2275" s="115"/>
      <c r="H2275" s="115"/>
      <c r="I2275" s="115"/>
      <c r="J2275" s="115"/>
      <c r="L2275" s="115"/>
      <c r="M2275" s="115"/>
      <c r="N2275" s="115"/>
      <c r="O2275" s="115"/>
      <c r="P2275" s="113"/>
      <c r="Q2275" s="119"/>
      <c r="R2275" s="113"/>
      <c r="S2275" s="113"/>
      <c r="T2275" s="113"/>
      <c r="W2275" s="115"/>
      <c r="Y2275"/>
      <c r="Z2275"/>
      <c r="AA2275"/>
      <c r="AB2275"/>
      <c r="AC2275"/>
      <c r="AD2275"/>
      <c r="AE2275"/>
      <c r="AF2275"/>
    </row>
    <row r="2276" spans="1:32" s="45" customFormat="1" ht="12.75" hidden="1">
      <c r="A2276" s="115"/>
      <c r="B2276" s="115"/>
      <c r="C2276" s="115"/>
      <c r="D2276" s="115"/>
      <c r="E2276" s="115"/>
      <c r="F2276" s="115"/>
      <c r="G2276" s="115"/>
      <c r="H2276" s="115"/>
      <c r="I2276" s="115"/>
      <c r="J2276" s="115"/>
      <c r="L2276" s="115"/>
      <c r="M2276" s="115"/>
      <c r="N2276" s="115"/>
      <c r="O2276" s="115"/>
      <c r="P2276" s="113"/>
      <c r="Q2276" s="119"/>
      <c r="R2276" s="113"/>
      <c r="S2276" s="113"/>
      <c r="T2276" s="113"/>
      <c r="W2276" s="115"/>
      <c r="Y2276"/>
      <c r="Z2276"/>
      <c r="AA2276"/>
      <c r="AB2276"/>
      <c r="AC2276"/>
      <c r="AD2276"/>
      <c r="AE2276"/>
      <c r="AF2276"/>
    </row>
    <row r="2277" spans="1:32" s="45" customFormat="1" ht="12.75" hidden="1">
      <c r="A2277" s="115"/>
      <c r="B2277" s="115"/>
      <c r="C2277" s="115"/>
      <c r="D2277" s="115"/>
      <c r="E2277" s="115"/>
      <c r="F2277" s="115"/>
      <c r="G2277" s="115"/>
      <c r="H2277" s="115"/>
      <c r="I2277" s="115"/>
      <c r="J2277" s="115"/>
      <c r="L2277" s="115"/>
      <c r="M2277" s="115"/>
      <c r="N2277" s="115"/>
      <c r="O2277" s="115"/>
      <c r="P2277" s="113"/>
      <c r="Q2277" s="119"/>
      <c r="R2277" s="113"/>
      <c r="S2277" s="113"/>
      <c r="T2277" s="113"/>
      <c r="W2277" s="115"/>
      <c r="Y2277"/>
      <c r="Z2277"/>
      <c r="AA2277"/>
      <c r="AB2277"/>
      <c r="AC2277"/>
      <c r="AD2277"/>
      <c r="AE2277"/>
      <c r="AF2277"/>
    </row>
    <row r="2278" spans="1:32" s="45" customFormat="1" ht="12.75" hidden="1">
      <c r="A2278" s="115"/>
      <c r="B2278" s="115"/>
      <c r="C2278" s="115"/>
      <c r="D2278" s="115"/>
      <c r="E2278" s="115"/>
      <c r="F2278" s="115"/>
      <c r="G2278" s="115"/>
      <c r="H2278" s="115"/>
      <c r="I2278" s="115"/>
      <c r="J2278" s="115"/>
      <c r="L2278" s="115"/>
      <c r="M2278" s="115"/>
      <c r="N2278" s="115"/>
      <c r="O2278" s="115"/>
      <c r="P2278" s="113"/>
      <c r="Q2278" s="119"/>
      <c r="R2278" s="113"/>
      <c r="S2278" s="113"/>
      <c r="T2278" s="113"/>
      <c r="W2278" s="115"/>
      <c r="Y2278"/>
      <c r="Z2278"/>
      <c r="AA2278"/>
      <c r="AB2278"/>
      <c r="AC2278"/>
      <c r="AD2278"/>
      <c r="AE2278"/>
      <c r="AF2278"/>
    </row>
    <row r="2279" spans="1:32" s="45" customFormat="1" ht="12.75" hidden="1">
      <c r="A2279" s="115"/>
      <c r="B2279" s="115"/>
      <c r="C2279" s="115"/>
      <c r="D2279" s="115"/>
      <c r="E2279" s="115"/>
      <c r="F2279" s="115"/>
      <c r="G2279" s="115"/>
      <c r="H2279" s="115"/>
      <c r="I2279" s="115"/>
      <c r="J2279" s="115"/>
      <c r="L2279" s="115"/>
      <c r="M2279" s="115"/>
      <c r="N2279" s="115"/>
      <c r="O2279" s="115"/>
      <c r="P2279" s="113"/>
      <c r="Q2279" s="119"/>
      <c r="R2279" s="113"/>
      <c r="S2279" s="113"/>
      <c r="T2279" s="113"/>
      <c r="W2279" s="115"/>
      <c r="Y2279"/>
      <c r="Z2279"/>
      <c r="AA2279"/>
      <c r="AB2279"/>
      <c r="AC2279"/>
      <c r="AD2279"/>
      <c r="AE2279"/>
      <c r="AF2279"/>
    </row>
    <row r="2280" spans="1:32" s="45" customFormat="1" ht="12.75" hidden="1">
      <c r="A2280" s="115"/>
      <c r="B2280" s="115"/>
      <c r="C2280" s="115"/>
      <c r="D2280" s="115"/>
      <c r="E2280" s="115"/>
      <c r="F2280" s="115"/>
      <c r="G2280" s="115"/>
      <c r="H2280" s="115"/>
      <c r="I2280" s="115"/>
      <c r="J2280" s="115"/>
      <c r="L2280" s="115"/>
      <c r="M2280" s="115"/>
      <c r="N2280" s="115"/>
      <c r="O2280" s="115"/>
      <c r="P2280" s="113"/>
      <c r="Q2280" s="119"/>
      <c r="R2280" s="113"/>
      <c r="S2280" s="113"/>
      <c r="T2280" s="113"/>
      <c r="W2280" s="115"/>
      <c r="Y2280"/>
      <c r="Z2280"/>
      <c r="AA2280"/>
      <c r="AB2280"/>
      <c r="AC2280"/>
      <c r="AD2280"/>
      <c r="AE2280"/>
      <c r="AF2280"/>
    </row>
    <row r="2281" spans="1:32" s="45" customFormat="1" ht="12.75" hidden="1">
      <c r="A2281" s="115"/>
      <c r="B2281" s="115"/>
      <c r="C2281" s="115"/>
      <c r="D2281" s="115"/>
      <c r="E2281" s="115"/>
      <c r="F2281" s="115"/>
      <c r="G2281" s="115"/>
      <c r="H2281" s="115"/>
      <c r="I2281" s="115"/>
      <c r="J2281" s="115"/>
      <c r="L2281" s="115"/>
      <c r="M2281" s="115"/>
      <c r="N2281" s="115"/>
      <c r="O2281" s="115"/>
      <c r="P2281" s="113"/>
      <c r="Q2281" s="119"/>
      <c r="R2281" s="113"/>
      <c r="S2281" s="113"/>
      <c r="T2281" s="113"/>
      <c r="W2281" s="115"/>
      <c r="Y2281"/>
      <c r="Z2281"/>
      <c r="AA2281"/>
      <c r="AB2281"/>
      <c r="AC2281"/>
      <c r="AD2281"/>
      <c r="AE2281"/>
      <c r="AF2281"/>
    </row>
    <row r="2282" spans="1:32" s="45" customFormat="1" ht="12.75" hidden="1">
      <c r="A2282" s="115"/>
      <c r="B2282" s="115"/>
      <c r="C2282" s="115"/>
      <c r="D2282" s="115"/>
      <c r="E2282" s="115"/>
      <c r="F2282" s="115"/>
      <c r="G2282" s="115"/>
      <c r="H2282" s="115"/>
      <c r="I2282" s="115"/>
      <c r="J2282" s="115"/>
      <c r="L2282" s="115"/>
      <c r="M2282" s="115"/>
      <c r="N2282" s="115"/>
      <c r="O2282" s="115"/>
      <c r="P2282" s="113"/>
      <c r="Q2282" s="119"/>
      <c r="R2282" s="113"/>
      <c r="S2282" s="113"/>
      <c r="T2282" s="113"/>
      <c r="W2282" s="115"/>
      <c r="Y2282"/>
      <c r="Z2282"/>
      <c r="AA2282"/>
      <c r="AB2282"/>
      <c r="AC2282"/>
      <c r="AD2282"/>
      <c r="AE2282"/>
      <c r="AF2282"/>
    </row>
    <row r="2283" spans="1:32" s="45" customFormat="1" ht="12.75" hidden="1">
      <c r="A2283" s="115"/>
      <c r="B2283" s="115"/>
      <c r="C2283" s="115"/>
      <c r="D2283" s="115"/>
      <c r="E2283" s="115"/>
      <c r="F2283" s="115"/>
      <c r="G2283" s="115"/>
      <c r="H2283" s="115"/>
      <c r="I2283" s="115"/>
      <c r="J2283" s="115"/>
      <c r="L2283" s="115"/>
      <c r="M2283" s="115"/>
      <c r="N2283" s="115"/>
      <c r="O2283" s="115"/>
      <c r="P2283" s="113"/>
      <c r="Q2283" s="119"/>
      <c r="R2283" s="113"/>
      <c r="S2283" s="113"/>
      <c r="T2283" s="113"/>
      <c r="W2283" s="115"/>
      <c r="Y2283"/>
      <c r="Z2283"/>
      <c r="AA2283"/>
      <c r="AB2283"/>
      <c r="AC2283"/>
      <c r="AD2283"/>
      <c r="AE2283"/>
      <c r="AF2283"/>
    </row>
    <row r="2284" spans="1:32" s="45" customFormat="1" ht="12.75" hidden="1">
      <c r="A2284" s="115"/>
      <c r="B2284" s="115"/>
      <c r="C2284" s="115"/>
      <c r="D2284" s="115"/>
      <c r="E2284" s="115"/>
      <c r="F2284" s="115"/>
      <c r="G2284" s="115"/>
      <c r="H2284" s="115"/>
      <c r="I2284" s="115"/>
      <c r="J2284" s="115"/>
      <c r="L2284" s="115"/>
      <c r="M2284" s="115"/>
      <c r="N2284" s="115"/>
      <c r="O2284" s="115"/>
      <c r="P2284" s="113"/>
      <c r="Q2284" s="119"/>
      <c r="R2284" s="113"/>
      <c r="S2284" s="113"/>
      <c r="T2284" s="113"/>
      <c r="W2284" s="115"/>
      <c r="Y2284"/>
      <c r="Z2284"/>
      <c r="AA2284"/>
      <c r="AB2284"/>
      <c r="AC2284"/>
      <c r="AD2284"/>
      <c r="AE2284"/>
      <c r="AF2284"/>
    </row>
    <row r="2285" spans="1:32" s="45" customFormat="1" ht="12.75" hidden="1">
      <c r="A2285" s="115"/>
      <c r="B2285" s="115"/>
      <c r="C2285" s="115"/>
      <c r="D2285" s="115"/>
      <c r="E2285" s="115"/>
      <c r="F2285" s="115"/>
      <c r="G2285" s="115"/>
      <c r="H2285" s="115"/>
      <c r="I2285" s="115"/>
      <c r="J2285" s="115"/>
      <c r="L2285" s="115"/>
      <c r="M2285" s="115"/>
      <c r="N2285" s="115"/>
      <c r="O2285" s="115"/>
      <c r="P2285" s="113"/>
      <c r="Q2285" s="119"/>
      <c r="R2285" s="113"/>
      <c r="S2285" s="113"/>
      <c r="T2285" s="113"/>
      <c r="W2285" s="115"/>
      <c r="Y2285"/>
      <c r="Z2285"/>
      <c r="AA2285"/>
      <c r="AB2285"/>
      <c r="AC2285"/>
      <c r="AD2285"/>
      <c r="AE2285"/>
      <c r="AF2285"/>
    </row>
    <row r="2286" spans="1:32" s="45" customFormat="1" ht="12.75" hidden="1">
      <c r="A2286" s="115"/>
      <c r="B2286" s="115"/>
      <c r="C2286" s="115"/>
      <c r="D2286" s="115"/>
      <c r="E2286" s="115"/>
      <c r="F2286" s="115"/>
      <c r="G2286" s="115"/>
      <c r="H2286" s="115"/>
      <c r="I2286" s="115"/>
      <c r="J2286" s="115"/>
      <c r="L2286" s="115"/>
      <c r="M2286" s="115"/>
      <c r="N2286" s="115"/>
      <c r="O2286" s="115"/>
      <c r="P2286" s="113"/>
      <c r="Q2286" s="119"/>
      <c r="R2286" s="113"/>
      <c r="S2286" s="113"/>
      <c r="T2286" s="113"/>
      <c r="W2286" s="115"/>
      <c r="Y2286"/>
      <c r="Z2286"/>
      <c r="AA2286"/>
      <c r="AB2286"/>
      <c r="AC2286"/>
      <c r="AD2286"/>
      <c r="AE2286"/>
      <c r="AF2286"/>
    </row>
    <row r="2287" spans="1:32" s="45" customFormat="1" ht="12.75" hidden="1">
      <c r="A2287" s="115"/>
      <c r="B2287" s="115"/>
      <c r="C2287" s="115"/>
      <c r="D2287" s="115"/>
      <c r="E2287" s="115"/>
      <c r="F2287" s="115"/>
      <c r="G2287" s="115"/>
      <c r="H2287" s="115"/>
      <c r="I2287" s="115"/>
      <c r="J2287" s="115"/>
      <c r="L2287" s="115"/>
      <c r="M2287" s="115"/>
      <c r="N2287" s="115"/>
      <c r="O2287" s="115"/>
      <c r="P2287" s="113"/>
      <c r="Q2287" s="119"/>
      <c r="R2287" s="113"/>
      <c r="S2287" s="113"/>
      <c r="T2287" s="113"/>
      <c r="W2287" s="115"/>
      <c r="Y2287"/>
      <c r="Z2287"/>
      <c r="AA2287"/>
      <c r="AB2287"/>
      <c r="AC2287"/>
      <c r="AD2287"/>
      <c r="AE2287"/>
      <c r="AF2287"/>
    </row>
    <row r="2288" spans="1:32" s="45" customFormat="1" ht="12.75" hidden="1">
      <c r="A2288" s="115"/>
      <c r="B2288" s="115"/>
      <c r="C2288" s="115"/>
      <c r="D2288" s="115"/>
      <c r="E2288" s="115"/>
      <c r="F2288" s="115"/>
      <c r="G2288" s="115"/>
      <c r="H2288" s="115"/>
      <c r="I2288" s="115"/>
      <c r="J2288" s="115"/>
      <c r="L2288" s="115"/>
      <c r="M2288" s="115"/>
      <c r="N2288" s="115"/>
      <c r="O2288" s="115"/>
      <c r="P2288" s="113"/>
      <c r="Q2288" s="119"/>
      <c r="R2288" s="113"/>
      <c r="S2288" s="113"/>
      <c r="T2288" s="113"/>
      <c r="W2288" s="115"/>
      <c r="Y2288"/>
      <c r="Z2288"/>
      <c r="AA2288"/>
      <c r="AB2288"/>
      <c r="AC2288"/>
      <c r="AD2288"/>
      <c r="AE2288"/>
      <c r="AF2288"/>
    </row>
    <row r="2289" spans="1:32" s="45" customFormat="1" ht="12.75" hidden="1">
      <c r="A2289" s="115"/>
      <c r="B2289" s="115"/>
      <c r="C2289" s="115"/>
      <c r="D2289" s="115"/>
      <c r="E2289" s="115"/>
      <c r="F2289" s="115"/>
      <c r="G2289" s="115"/>
      <c r="H2289" s="115"/>
      <c r="I2289" s="115"/>
      <c r="J2289" s="115"/>
      <c r="L2289" s="115"/>
      <c r="M2289" s="115"/>
      <c r="N2289" s="115"/>
      <c r="O2289" s="115"/>
      <c r="P2289" s="113"/>
      <c r="Q2289" s="119"/>
      <c r="R2289" s="113"/>
      <c r="S2289" s="113"/>
      <c r="T2289" s="113"/>
      <c r="W2289" s="115"/>
      <c r="Y2289"/>
      <c r="Z2289"/>
      <c r="AA2289"/>
      <c r="AB2289"/>
      <c r="AC2289"/>
      <c r="AD2289"/>
      <c r="AE2289"/>
      <c r="AF2289"/>
    </row>
    <row r="2290" spans="1:32" s="45" customFormat="1" ht="12.75" hidden="1">
      <c r="A2290" s="115"/>
      <c r="B2290" s="115"/>
      <c r="C2290" s="115"/>
      <c r="D2290" s="115"/>
      <c r="E2290" s="115"/>
      <c r="F2290" s="115"/>
      <c r="G2290" s="115"/>
      <c r="H2290" s="115"/>
      <c r="I2290" s="115"/>
      <c r="J2290" s="115"/>
      <c r="L2290" s="115"/>
      <c r="M2290" s="115"/>
      <c r="N2290" s="115"/>
      <c r="O2290" s="115"/>
      <c r="P2290" s="113"/>
      <c r="Q2290" s="119"/>
      <c r="R2290" s="113"/>
      <c r="S2290" s="113"/>
      <c r="T2290" s="113"/>
      <c r="W2290" s="115"/>
      <c r="Y2290"/>
      <c r="Z2290"/>
      <c r="AA2290"/>
      <c r="AB2290"/>
      <c r="AC2290"/>
      <c r="AD2290"/>
      <c r="AE2290"/>
      <c r="AF2290"/>
    </row>
    <row r="2291" spans="1:32" s="45" customFormat="1" ht="12.75" hidden="1">
      <c r="A2291" s="115"/>
      <c r="B2291" s="115"/>
      <c r="C2291" s="115"/>
      <c r="D2291" s="115"/>
      <c r="E2291" s="115"/>
      <c r="F2291" s="115"/>
      <c r="G2291" s="115"/>
      <c r="H2291" s="115"/>
      <c r="I2291" s="115"/>
      <c r="J2291" s="115"/>
      <c r="L2291" s="115"/>
      <c r="M2291" s="115"/>
      <c r="N2291" s="115"/>
      <c r="O2291" s="115"/>
      <c r="P2291" s="113"/>
      <c r="Q2291" s="119"/>
      <c r="R2291" s="113"/>
      <c r="S2291" s="113"/>
      <c r="T2291" s="113"/>
      <c r="W2291" s="115"/>
      <c r="Y2291"/>
      <c r="Z2291"/>
      <c r="AA2291"/>
      <c r="AB2291"/>
      <c r="AC2291"/>
      <c r="AD2291"/>
      <c r="AE2291"/>
      <c r="AF2291"/>
    </row>
    <row r="2292" spans="1:32" s="45" customFormat="1" ht="12.75" hidden="1">
      <c r="A2292" s="115"/>
      <c r="B2292" s="115"/>
      <c r="C2292" s="115"/>
      <c r="D2292" s="115"/>
      <c r="E2292" s="115"/>
      <c r="F2292" s="115"/>
      <c r="G2292" s="115"/>
      <c r="H2292" s="115"/>
      <c r="I2292" s="115"/>
      <c r="J2292" s="115"/>
      <c r="L2292" s="115"/>
      <c r="M2292" s="115"/>
      <c r="N2292" s="115"/>
      <c r="O2292" s="115"/>
      <c r="P2292" s="113"/>
      <c r="Q2292" s="119"/>
      <c r="R2292" s="113"/>
      <c r="S2292" s="113"/>
      <c r="T2292" s="113"/>
      <c r="W2292" s="115"/>
      <c r="Y2292"/>
      <c r="Z2292"/>
      <c r="AA2292"/>
      <c r="AB2292"/>
      <c r="AC2292"/>
      <c r="AD2292"/>
      <c r="AE2292"/>
      <c r="AF2292"/>
    </row>
    <row r="2293" spans="1:32" s="45" customFormat="1" ht="12.75" hidden="1">
      <c r="A2293" s="115"/>
      <c r="B2293" s="115"/>
      <c r="C2293" s="115"/>
      <c r="D2293" s="115"/>
      <c r="E2293" s="115"/>
      <c r="F2293" s="115"/>
      <c r="G2293" s="115"/>
      <c r="H2293" s="115"/>
      <c r="I2293" s="115"/>
      <c r="J2293" s="115"/>
      <c r="L2293" s="115"/>
      <c r="M2293" s="115"/>
      <c r="N2293" s="115"/>
      <c r="O2293" s="115"/>
      <c r="P2293" s="113"/>
      <c r="Q2293" s="119"/>
      <c r="R2293" s="113"/>
      <c r="S2293" s="113"/>
      <c r="T2293" s="113"/>
      <c r="W2293" s="115"/>
      <c r="Y2293"/>
      <c r="Z2293"/>
      <c r="AA2293"/>
      <c r="AB2293"/>
      <c r="AC2293"/>
      <c r="AD2293"/>
      <c r="AE2293"/>
      <c r="AF2293"/>
    </row>
    <row r="2294" spans="1:32" s="45" customFormat="1" ht="12.75" hidden="1">
      <c r="A2294" s="115"/>
      <c r="B2294" s="115"/>
      <c r="C2294" s="115"/>
      <c r="D2294" s="115"/>
      <c r="E2294" s="115"/>
      <c r="F2294" s="115"/>
      <c r="G2294" s="115"/>
      <c r="H2294" s="115"/>
      <c r="I2294" s="115"/>
      <c r="J2294" s="115"/>
      <c r="L2294" s="115"/>
      <c r="M2294" s="115"/>
      <c r="N2294" s="115"/>
      <c r="O2294" s="115"/>
      <c r="P2294" s="113"/>
      <c r="Q2294" s="119"/>
      <c r="R2294" s="113"/>
      <c r="S2294" s="113"/>
      <c r="T2294" s="113"/>
      <c r="W2294" s="115"/>
      <c r="Y2294"/>
      <c r="Z2294"/>
      <c r="AA2294"/>
      <c r="AB2294"/>
      <c r="AC2294"/>
      <c r="AD2294"/>
      <c r="AE2294"/>
      <c r="AF2294"/>
    </row>
    <row r="2295" spans="1:32" s="45" customFormat="1" ht="12.75" hidden="1">
      <c r="A2295" s="115"/>
      <c r="B2295" s="115"/>
      <c r="C2295" s="115"/>
      <c r="D2295" s="115"/>
      <c r="E2295" s="115"/>
      <c r="F2295" s="115"/>
      <c r="G2295" s="115"/>
      <c r="H2295" s="115"/>
      <c r="I2295" s="115"/>
      <c r="J2295" s="115"/>
      <c r="L2295" s="115"/>
      <c r="M2295" s="115"/>
      <c r="N2295" s="115"/>
      <c r="O2295" s="115"/>
      <c r="P2295" s="113"/>
      <c r="Q2295" s="119"/>
      <c r="R2295" s="113"/>
      <c r="S2295" s="113"/>
      <c r="T2295" s="113"/>
      <c r="W2295" s="115"/>
      <c r="Y2295"/>
      <c r="Z2295"/>
      <c r="AA2295"/>
      <c r="AB2295"/>
      <c r="AC2295"/>
      <c r="AD2295"/>
      <c r="AE2295"/>
      <c r="AF2295"/>
    </row>
    <row r="2296" spans="1:32" s="45" customFormat="1" ht="12.75" hidden="1">
      <c r="A2296" s="115"/>
      <c r="B2296" s="115"/>
      <c r="C2296" s="115"/>
      <c r="D2296" s="115"/>
      <c r="E2296" s="115"/>
      <c r="F2296" s="115"/>
      <c r="G2296" s="115"/>
      <c r="H2296" s="115"/>
      <c r="I2296" s="115"/>
      <c r="J2296" s="115"/>
      <c r="L2296" s="115"/>
      <c r="M2296" s="115"/>
      <c r="N2296" s="115"/>
      <c r="O2296" s="115"/>
      <c r="P2296" s="113"/>
      <c r="Q2296" s="119"/>
      <c r="R2296" s="113"/>
      <c r="S2296" s="113"/>
      <c r="T2296" s="113"/>
      <c r="W2296" s="115"/>
      <c r="Y2296"/>
      <c r="Z2296"/>
      <c r="AA2296"/>
      <c r="AB2296"/>
      <c r="AC2296"/>
      <c r="AD2296"/>
      <c r="AE2296"/>
      <c r="AF2296"/>
    </row>
    <row r="2297" spans="1:32" s="45" customFormat="1" ht="12.75" hidden="1">
      <c r="A2297" s="115"/>
      <c r="B2297" s="115"/>
      <c r="C2297" s="115"/>
      <c r="D2297" s="115"/>
      <c r="E2297" s="115"/>
      <c r="F2297" s="115"/>
      <c r="G2297" s="115"/>
      <c r="H2297" s="115"/>
      <c r="I2297" s="115"/>
      <c r="J2297" s="115"/>
      <c r="L2297" s="115"/>
      <c r="M2297" s="115"/>
      <c r="N2297" s="115"/>
      <c r="O2297" s="115"/>
      <c r="P2297" s="113"/>
      <c r="Q2297" s="119"/>
      <c r="R2297" s="113"/>
      <c r="S2297" s="113"/>
      <c r="T2297" s="113"/>
      <c r="W2297" s="115"/>
      <c r="Y2297"/>
      <c r="Z2297"/>
      <c r="AA2297"/>
      <c r="AB2297"/>
      <c r="AC2297"/>
      <c r="AD2297"/>
      <c r="AE2297"/>
      <c r="AF2297"/>
    </row>
    <row r="2298" spans="1:32" s="45" customFormat="1" ht="12.75" hidden="1">
      <c r="A2298" s="115"/>
      <c r="B2298" s="115"/>
      <c r="C2298" s="115"/>
      <c r="D2298" s="115"/>
      <c r="E2298" s="115"/>
      <c r="F2298" s="115"/>
      <c r="G2298" s="115"/>
      <c r="H2298" s="115"/>
      <c r="I2298" s="115"/>
      <c r="J2298" s="115"/>
      <c r="L2298" s="115"/>
      <c r="M2298" s="115"/>
      <c r="N2298" s="115"/>
      <c r="O2298" s="115"/>
      <c r="P2298" s="113"/>
      <c r="Q2298" s="119"/>
      <c r="R2298" s="113"/>
      <c r="S2298" s="113"/>
      <c r="T2298" s="113"/>
      <c r="W2298" s="115"/>
      <c r="Y2298"/>
      <c r="Z2298"/>
      <c r="AA2298"/>
      <c r="AB2298"/>
      <c r="AC2298"/>
      <c r="AD2298"/>
      <c r="AE2298"/>
      <c r="AF2298"/>
    </row>
    <row r="2299" spans="1:32" s="45" customFormat="1" ht="12.75" hidden="1">
      <c r="A2299" s="115"/>
      <c r="B2299" s="115"/>
      <c r="C2299" s="115"/>
      <c r="D2299" s="115"/>
      <c r="E2299" s="115"/>
      <c r="F2299" s="115"/>
      <c r="G2299" s="115"/>
      <c r="H2299" s="115"/>
      <c r="I2299" s="115"/>
      <c r="J2299" s="115"/>
      <c r="L2299" s="115"/>
      <c r="M2299" s="115"/>
      <c r="N2299" s="115"/>
      <c r="O2299" s="115"/>
      <c r="P2299" s="113"/>
      <c r="Q2299" s="119"/>
      <c r="R2299" s="113"/>
      <c r="S2299" s="113"/>
      <c r="T2299" s="113"/>
      <c r="W2299" s="115"/>
      <c r="Y2299"/>
      <c r="Z2299"/>
      <c r="AA2299"/>
      <c r="AB2299"/>
      <c r="AC2299"/>
      <c r="AD2299"/>
      <c r="AE2299"/>
      <c r="AF2299"/>
    </row>
    <row r="2300" spans="1:32" s="45" customFormat="1" ht="12.75" hidden="1">
      <c r="A2300" s="115"/>
      <c r="B2300" s="115"/>
      <c r="C2300" s="115"/>
      <c r="D2300" s="115"/>
      <c r="E2300" s="115"/>
      <c r="F2300" s="115"/>
      <c r="G2300" s="115"/>
      <c r="H2300" s="115"/>
      <c r="I2300" s="115"/>
      <c r="J2300" s="115"/>
      <c r="L2300" s="115"/>
      <c r="M2300" s="115"/>
      <c r="N2300" s="115"/>
      <c r="O2300" s="115"/>
      <c r="P2300" s="113"/>
      <c r="Q2300" s="119"/>
      <c r="R2300" s="113"/>
      <c r="S2300" s="113"/>
      <c r="T2300" s="113"/>
      <c r="W2300" s="115"/>
      <c r="Y2300"/>
      <c r="Z2300"/>
      <c r="AA2300"/>
      <c r="AB2300"/>
      <c r="AC2300"/>
      <c r="AD2300"/>
      <c r="AE2300"/>
      <c r="AF2300"/>
    </row>
    <row r="2301" spans="1:32" s="45" customFormat="1" ht="12.75" hidden="1">
      <c r="A2301" s="115"/>
      <c r="B2301" s="115"/>
      <c r="C2301" s="115"/>
      <c r="D2301" s="115"/>
      <c r="E2301" s="115"/>
      <c r="F2301" s="115"/>
      <c r="G2301" s="115"/>
      <c r="H2301" s="115"/>
      <c r="I2301" s="115"/>
      <c r="J2301" s="115"/>
      <c r="L2301" s="115"/>
      <c r="M2301" s="115"/>
      <c r="N2301" s="115"/>
      <c r="O2301" s="115"/>
      <c r="P2301" s="113"/>
      <c r="Q2301" s="119"/>
      <c r="R2301" s="113"/>
      <c r="S2301" s="113"/>
      <c r="T2301" s="113"/>
      <c r="W2301" s="115"/>
      <c r="Y2301"/>
      <c r="Z2301"/>
      <c r="AA2301"/>
      <c r="AB2301"/>
      <c r="AC2301"/>
      <c r="AD2301"/>
      <c r="AE2301"/>
      <c r="AF2301"/>
    </row>
    <row r="2302" spans="1:32" s="45" customFormat="1" ht="12.75" hidden="1">
      <c r="A2302" s="115"/>
      <c r="B2302" s="115"/>
      <c r="C2302" s="115"/>
      <c r="D2302" s="115"/>
      <c r="E2302" s="115"/>
      <c r="F2302" s="115"/>
      <c r="G2302" s="115"/>
      <c r="H2302" s="115"/>
      <c r="I2302" s="115"/>
      <c r="J2302" s="115"/>
      <c r="L2302" s="115"/>
      <c r="M2302" s="115"/>
      <c r="N2302" s="115"/>
      <c r="O2302" s="115"/>
      <c r="P2302" s="113"/>
      <c r="Q2302" s="119"/>
      <c r="R2302" s="113"/>
      <c r="S2302" s="113"/>
      <c r="T2302" s="113"/>
      <c r="W2302" s="115"/>
      <c r="Y2302"/>
      <c r="Z2302"/>
      <c r="AA2302"/>
      <c r="AB2302"/>
      <c r="AC2302"/>
      <c r="AD2302"/>
      <c r="AE2302"/>
      <c r="AF2302"/>
    </row>
    <row r="2303" spans="1:32" s="45" customFormat="1" ht="12.75" hidden="1">
      <c r="A2303" s="115"/>
      <c r="B2303" s="115"/>
      <c r="C2303" s="115"/>
      <c r="D2303" s="115"/>
      <c r="E2303" s="115"/>
      <c r="F2303" s="115"/>
      <c r="G2303" s="115"/>
      <c r="H2303" s="115"/>
      <c r="I2303" s="115"/>
      <c r="J2303" s="115"/>
      <c r="L2303" s="115"/>
      <c r="M2303" s="115"/>
      <c r="N2303" s="115"/>
      <c r="O2303" s="115"/>
      <c r="P2303" s="113"/>
      <c r="Q2303" s="119"/>
      <c r="R2303" s="113"/>
      <c r="S2303" s="113"/>
      <c r="T2303" s="113"/>
      <c r="W2303" s="115"/>
      <c r="Y2303"/>
      <c r="Z2303"/>
      <c r="AA2303"/>
      <c r="AB2303"/>
      <c r="AC2303"/>
      <c r="AD2303"/>
      <c r="AE2303"/>
      <c r="AF2303"/>
    </row>
    <row r="2304" spans="1:32" s="45" customFormat="1" ht="12.75" hidden="1">
      <c r="A2304" s="115"/>
      <c r="B2304" s="115"/>
      <c r="C2304" s="115"/>
      <c r="D2304" s="115"/>
      <c r="E2304" s="115"/>
      <c r="F2304" s="115"/>
      <c r="G2304" s="115"/>
      <c r="H2304" s="115"/>
      <c r="I2304" s="115"/>
      <c r="J2304" s="115"/>
      <c r="L2304" s="115"/>
      <c r="M2304" s="115"/>
      <c r="N2304" s="115"/>
      <c r="O2304" s="115"/>
      <c r="P2304" s="113"/>
      <c r="Q2304" s="119"/>
      <c r="R2304" s="113"/>
      <c r="S2304" s="113"/>
      <c r="T2304" s="113"/>
      <c r="W2304" s="115"/>
      <c r="Y2304"/>
      <c r="Z2304"/>
      <c r="AA2304"/>
      <c r="AB2304"/>
      <c r="AC2304"/>
      <c r="AD2304"/>
      <c r="AE2304"/>
      <c r="AF2304"/>
    </row>
    <row r="2305" spans="1:32" s="45" customFormat="1" ht="12.75" hidden="1">
      <c r="A2305" s="115"/>
      <c r="B2305" s="115"/>
      <c r="C2305" s="115"/>
      <c r="D2305" s="115"/>
      <c r="E2305" s="115"/>
      <c r="F2305" s="115"/>
      <c r="G2305" s="115"/>
      <c r="H2305" s="115"/>
      <c r="I2305" s="115"/>
      <c r="J2305" s="115"/>
      <c r="L2305" s="115"/>
      <c r="M2305" s="115"/>
      <c r="N2305" s="115"/>
      <c r="O2305" s="115"/>
      <c r="P2305" s="113"/>
      <c r="Q2305" s="119"/>
      <c r="R2305" s="113"/>
      <c r="S2305" s="113"/>
      <c r="T2305" s="113"/>
      <c r="W2305" s="115"/>
      <c r="Y2305"/>
      <c r="Z2305"/>
      <c r="AA2305"/>
      <c r="AB2305"/>
      <c r="AC2305"/>
      <c r="AD2305"/>
      <c r="AE2305"/>
      <c r="AF2305"/>
    </row>
    <row r="2306" spans="1:32" s="45" customFormat="1" ht="12.75" hidden="1">
      <c r="A2306" s="115"/>
      <c r="B2306" s="115"/>
      <c r="C2306" s="115"/>
      <c r="D2306" s="115"/>
      <c r="E2306" s="115"/>
      <c r="F2306" s="115"/>
      <c r="G2306" s="115"/>
      <c r="H2306" s="115"/>
      <c r="I2306" s="115"/>
      <c r="J2306" s="115"/>
      <c r="L2306" s="115"/>
      <c r="M2306" s="115"/>
      <c r="N2306" s="115"/>
      <c r="O2306" s="115"/>
      <c r="P2306" s="113"/>
      <c r="Q2306" s="119"/>
      <c r="R2306" s="113"/>
      <c r="S2306" s="113"/>
      <c r="T2306" s="113"/>
      <c r="W2306" s="115"/>
      <c r="Y2306"/>
      <c r="Z2306"/>
      <c r="AA2306"/>
      <c r="AB2306"/>
      <c r="AC2306"/>
      <c r="AD2306"/>
      <c r="AE2306"/>
      <c r="AF2306"/>
    </row>
    <row r="2307" spans="1:32" s="45" customFormat="1" ht="12.75" hidden="1">
      <c r="A2307" s="115"/>
      <c r="B2307" s="115"/>
      <c r="C2307" s="115"/>
      <c r="D2307" s="115"/>
      <c r="E2307" s="115"/>
      <c r="F2307" s="115"/>
      <c r="G2307" s="115"/>
      <c r="H2307" s="115"/>
      <c r="I2307" s="115"/>
      <c r="J2307" s="115"/>
      <c r="L2307" s="115"/>
      <c r="M2307" s="115"/>
      <c r="N2307" s="115"/>
      <c r="O2307" s="115"/>
      <c r="P2307" s="113"/>
      <c r="Q2307" s="119"/>
      <c r="R2307" s="113"/>
      <c r="S2307" s="113"/>
      <c r="T2307" s="113"/>
      <c r="W2307" s="115"/>
      <c r="Y2307"/>
      <c r="Z2307"/>
      <c r="AA2307"/>
      <c r="AB2307"/>
      <c r="AC2307"/>
      <c r="AD2307"/>
      <c r="AE2307"/>
      <c r="AF2307"/>
    </row>
    <row r="2308" spans="1:32" s="45" customFormat="1" ht="12.75" hidden="1">
      <c r="A2308" s="115"/>
      <c r="B2308" s="115"/>
      <c r="C2308" s="115"/>
      <c r="D2308" s="115"/>
      <c r="E2308" s="115"/>
      <c r="F2308" s="115"/>
      <c r="G2308" s="115"/>
      <c r="H2308" s="115"/>
      <c r="I2308" s="115"/>
      <c r="J2308" s="115"/>
      <c r="L2308" s="115"/>
      <c r="M2308" s="115"/>
      <c r="N2308" s="115"/>
      <c r="O2308" s="115"/>
      <c r="P2308" s="113"/>
      <c r="Q2308" s="119"/>
      <c r="R2308" s="113"/>
      <c r="S2308" s="113"/>
      <c r="T2308" s="113"/>
      <c r="W2308" s="115"/>
      <c r="Y2308"/>
      <c r="Z2308"/>
      <c r="AA2308"/>
      <c r="AB2308"/>
      <c r="AC2308"/>
      <c r="AD2308"/>
      <c r="AE2308"/>
      <c r="AF2308"/>
    </row>
    <row r="2309" spans="1:32" s="45" customFormat="1" ht="12.75" hidden="1">
      <c r="A2309" s="115"/>
      <c r="B2309" s="115"/>
      <c r="C2309" s="115"/>
      <c r="D2309" s="115"/>
      <c r="E2309" s="115"/>
      <c r="F2309" s="115"/>
      <c r="G2309" s="115"/>
      <c r="H2309" s="115"/>
      <c r="I2309" s="115"/>
      <c r="J2309" s="115"/>
      <c r="L2309" s="115"/>
      <c r="M2309" s="115"/>
      <c r="N2309" s="115"/>
      <c r="O2309" s="115"/>
      <c r="P2309" s="113"/>
      <c r="Q2309" s="119"/>
      <c r="R2309" s="113"/>
      <c r="S2309" s="113"/>
      <c r="T2309" s="113"/>
      <c r="W2309" s="115"/>
      <c r="Y2309"/>
      <c r="Z2309"/>
      <c r="AA2309"/>
      <c r="AB2309"/>
      <c r="AC2309"/>
      <c r="AD2309"/>
      <c r="AE2309"/>
      <c r="AF2309"/>
    </row>
    <row r="2310" spans="1:32" s="45" customFormat="1" ht="12.75" hidden="1">
      <c r="A2310" s="115"/>
      <c r="B2310" s="115"/>
      <c r="C2310" s="115"/>
      <c r="D2310" s="115"/>
      <c r="E2310" s="115"/>
      <c r="F2310" s="115"/>
      <c r="G2310" s="115"/>
      <c r="H2310" s="115"/>
      <c r="I2310" s="115"/>
      <c r="J2310" s="115"/>
      <c r="L2310" s="115"/>
      <c r="M2310" s="115"/>
      <c r="N2310" s="115"/>
      <c r="O2310" s="115"/>
      <c r="P2310" s="113"/>
      <c r="Q2310" s="119"/>
      <c r="R2310" s="113"/>
      <c r="S2310" s="113"/>
      <c r="T2310" s="113"/>
      <c r="W2310" s="115"/>
      <c r="Y2310"/>
      <c r="Z2310"/>
      <c r="AA2310"/>
      <c r="AB2310"/>
      <c r="AC2310"/>
      <c r="AD2310"/>
      <c r="AE2310"/>
      <c r="AF2310"/>
    </row>
    <row r="2311" spans="1:32" s="45" customFormat="1" ht="12.75" hidden="1">
      <c r="A2311" s="115"/>
      <c r="B2311" s="115"/>
      <c r="C2311" s="115"/>
      <c r="D2311" s="115"/>
      <c r="E2311" s="115"/>
      <c r="F2311" s="115"/>
      <c r="G2311" s="115"/>
      <c r="H2311" s="115"/>
      <c r="I2311" s="115"/>
      <c r="J2311" s="115"/>
      <c r="L2311" s="115"/>
      <c r="M2311" s="115"/>
      <c r="N2311" s="115"/>
      <c r="O2311" s="115"/>
      <c r="P2311" s="113"/>
      <c r="Q2311" s="119"/>
      <c r="R2311" s="113"/>
      <c r="S2311" s="113"/>
      <c r="T2311" s="113"/>
      <c r="W2311" s="115"/>
      <c r="Y2311"/>
      <c r="Z2311"/>
      <c r="AA2311"/>
      <c r="AB2311"/>
      <c r="AC2311"/>
      <c r="AD2311"/>
      <c r="AE2311"/>
      <c r="AF2311"/>
    </row>
    <row r="2312" spans="1:32" s="45" customFormat="1" ht="12.75" hidden="1">
      <c r="A2312" s="115"/>
      <c r="B2312" s="115"/>
      <c r="C2312" s="115"/>
      <c r="D2312" s="115"/>
      <c r="E2312" s="115"/>
      <c r="F2312" s="115"/>
      <c r="G2312" s="115"/>
      <c r="H2312" s="115"/>
      <c r="I2312" s="115"/>
      <c r="J2312" s="115"/>
      <c r="L2312" s="115"/>
      <c r="M2312" s="115"/>
      <c r="N2312" s="115"/>
      <c r="O2312" s="115"/>
      <c r="P2312" s="113"/>
      <c r="Q2312" s="119"/>
      <c r="R2312" s="113"/>
      <c r="S2312" s="113"/>
      <c r="T2312" s="113"/>
      <c r="W2312" s="115"/>
      <c r="Y2312"/>
      <c r="Z2312"/>
      <c r="AA2312"/>
      <c r="AB2312"/>
      <c r="AC2312"/>
      <c r="AD2312"/>
      <c r="AE2312"/>
      <c r="AF2312"/>
    </row>
    <row r="2313" spans="1:32" s="45" customFormat="1" ht="12.75" hidden="1">
      <c r="A2313" s="115"/>
      <c r="B2313" s="115"/>
      <c r="C2313" s="115"/>
      <c r="D2313" s="115"/>
      <c r="E2313" s="115"/>
      <c r="F2313" s="115"/>
      <c r="G2313" s="115"/>
      <c r="H2313" s="115"/>
      <c r="I2313" s="115"/>
      <c r="J2313" s="115"/>
      <c r="L2313" s="115"/>
      <c r="M2313" s="115"/>
      <c r="N2313" s="115"/>
      <c r="O2313" s="115"/>
      <c r="P2313" s="113"/>
      <c r="Q2313" s="119"/>
      <c r="R2313" s="113"/>
      <c r="S2313" s="113"/>
      <c r="T2313" s="113"/>
      <c r="W2313" s="115"/>
      <c r="Y2313"/>
      <c r="Z2313"/>
      <c r="AA2313"/>
      <c r="AB2313"/>
      <c r="AC2313"/>
      <c r="AD2313"/>
      <c r="AE2313"/>
      <c r="AF2313"/>
    </row>
    <row r="2314" spans="1:32" s="45" customFormat="1" ht="12.75" hidden="1">
      <c r="A2314" s="115"/>
      <c r="B2314" s="115"/>
      <c r="C2314" s="115"/>
      <c r="D2314" s="115"/>
      <c r="E2314" s="115"/>
      <c r="F2314" s="115"/>
      <c r="G2314" s="115"/>
      <c r="H2314" s="115"/>
      <c r="I2314" s="115"/>
      <c r="J2314" s="115"/>
      <c r="L2314" s="115"/>
      <c r="M2314" s="115"/>
      <c r="N2314" s="115"/>
      <c r="O2314" s="115"/>
      <c r="P2314" s="113"/>
      <c r="Q2314" s="119"/>
      <c r="R2314" s="113"/>
      <c r="S2314" s="113"/>
      <c r="T2314" s="113"/>
      <c r="W2314" s="115"/>
      <c r="Y2314"/>
      <c r="Z2314"/>
      <c r="AA2314"/>
      <c r="AB2314"/>
      <c r="AC2314"/>
      <c r="AD2314"/>
      <c r="AE2314"/>
      <c r="AF2314"/>
    </row>
    <row r="2315" spans="1:32" s="45" customFormat="1" ht="12.75" hidden="1">
      <c r="A2315" s="115"/>
      <c r="B2315" s="115"/>
      <c r="C2315" s="115"/>
      <c r="D2315" s="115"/>
      <c r="E2315" s="115"/>
      <c r="F2315" s="115"/>
      <c r="G2315" s="115"/>
      <c r="H2315" s="115"/>
      <c r="I2315" s="115"/>
      <c r="J2315" s="115"/>
      <c r="L2315" s="115"/>
      <c r="M2315" s="115"/>
      <c r="N2315" s="115"/>
      <c r="O2315" s="115"/>
      <c r="P2315" s="113"/>
      <c r="Q2315" s="119"/>
      <c r="R2315" s="113"/>
      <c r="S2315" s="113"/>
      <c r="T2315" s="113"/>
      <c r="W2315" s="115"/>
      <c r="Y2315"/>
      <c r="Z2315"/>
      <c r="AA2315"/>
      <c r="AB2315"/>
      <c r="AC2315"/>
      <c r="AD2315"/>
      <c r="AE2315"/>
      <c r="AF2315"/>
    </row>
    <row r="2316" spans="1:32" s="45" customFormat="1" ht="12.75" hidden="1">
      <c r="A2316" s="115"/>
      <c r="B2316" s="115"/>
      <c r="C2316" s="115"/>
      <c r="D2316" s="115"/>
      <c r="E2316" s="115"/>
      <c r="F2316" s="115"/>
      <c r="G2316" s="115"/>
      <c r="H2316" s="115"/>
      <c r="I2316" s="115"/>
      <c r="J2316" s="115"/>
      <c r="L2316" s="115"/>
      <c r="M2316" s="115"/>
      <c r="N2316" s="115"/>
      <c r="O2316" s="115"/>
      <c r="P2316" s="113"/>
      <c r="Q2316" s="119"/>
      <c r="R2316" s="113"/>
      <c r="S2316" s="113"/>
      <c r="T2316" s="113"/>
      <c r="W2316" s="115"/>
      <c r="Y2316"/>
      <c r="Z2316"/>
      <c r="AA2316"/>
      <c r="AB2316"/>
      <c r="AC2316"/>
      <c r="AD2316"/>
      <c r="AE2316"/>
      <c r="AF2316"/>
    </row>
    <row r="2317" spans="1:32" s="45" customFormat="1" ht="12.75" hidden="1">
      <c r="A2317" s="115"/>
      <c r="B2317" s="115"/>
      <c r="C2317" s="115"/>
      <c r="D2317" s="115"/>
      <c r="E2317" s="115"/>
      <c r="F2317" s="115"/>
      <c r="G2317" s="115"/>
      <c r="H2317" s="115"/>
      <c r="I2317" s="115"/>
      <c r="J2317" s="115"/>
      <c r="L2317" s="115"/>
      <c r="M2317" s="115"/>
      <c r="N2317" s="115"/>
      <c r="O2317" s="115"/>
      <c r="P2317" s="113"/>
      <c r="Q2317" s="119"/>
      <c r="R2317" s="113"/>
      <c r="S2317" s="113"/>
      <c r="T2317" s="113"/>
      <c r="W2317" s="115"/>
      <c r="Y2317"/>
      <c r="Z2317"/>
      <c r="AA2317"/>
      <c r="AB2317"/>
      <c r="AC2317"/>
      <c r="AD2317"/>
      <c r="AE2317"/>
      <c r="AF2317"/>
    </row>
    <row r="2318" spans="1:32" s="45" customFormat="1" ht="12.75" hidden="1">
      <c r="A2318" s="115"/>
      <c r="B2318" s="115"/>
      <c r="C2318" s="115"/>
      <c r="D2318" s="115"/>
      <c r="E2318" s="115"/>
      <c r="F2318" s="115"/>
      <c r="G2318" s="115"/>
      <c r="H2318" s="115"/>
      <c r="I2318" s="115"/>
      <c r="J2318" s="115"/>
      <c r="L2318" s="115"/>
      <c r="M2318" s="115"/>
      <c r="N2318" s="115"/>
      <c r="O2318" s="115"/>
      <c r="P2318" s="113"/>
      <c r="Q2318" s="119"/>
      <c r="R2318" s="113"/>
      <c r="S2318" s="113"/>
      <c r="T2318" s="113"/>
      <c r="W2318" s="115"/>
      <c r="Y2318"/>
      <c r="Z2318"/>
      <c r="AA2318"/>
      <c r="AB2318"/>
      <c r="AC2318"/>
      <c r="AD2318"/>
      <c r="AE2318"/>
      <c r="AF2318"/>
    </row>
    <row r="2319" spans="1:32" s="45" customFormat="1" ht="12.75" hidden="1">
      <c r="A2319" s="115"/>
      <c r="B2319" s="115"/>
      <c r="C2319" s="115"/>
      <c r="D2319" s="115"/>
      <c r="E2319" s="115"/>
      <c r="F2319" s="115"/>
      <c r="G2319" s="115"/>
      <c r="H2319" s="115"/>
      <c r="I2319" s="115"/>
      <c r="J2319" s="115"/>
      <c r="L2319" s="115"/>
      <c r="M2319" s="115"/>
      <c r="N2319" s="115"/>
      <c r="O2319" s="115"/>
      <c r="P2319" s="113"/>
      <c r="Q2319" s="119"/>
      <c r="R2319" s="113"/>
      <c r="S2319" s="113"/>
      <c r="T2319" s="113"/>
      <c r="W2319" s="115"/>
      <c r="Y2319"/>
      <c r="Z2319"/>
      <c r="AA2319"/>
      <c r="AB2319"/>
      <c r="AC2319"/>
      <c r="AD2319"/>
      <c r="AE2319"/>
      <c r="AF2319"/>
    </row>
    <row r="2320" spans="1:32" s="45" customFormat="1" ht="12.75" hidden="1">
      <c r="A2320" s="115"/>
      <c r="B2320" s="115"/>
      <c r="C2320" s="115"/>
      <c r="D2320" s="115"/>
      <c r="E2320" s="115"/>
      <c r="F2320" s="115"/>
      <c r="G2320" s="115"/>
      <c r="H2320" s="115"/>
      <c r="I2320" s="115"/>
      <c r="J2320" s="115"/>
      <c r="L2320" s="115"/>
      <c r="M2320" s="115"/>
      <c r="N2320" s="115"/>
      <c r="O2320" s="115"/>
      <c r="P2320" s="113"/>
      <c r="Q2320" s="119"/>
      <c r="R2320" s="113"/>
      <c r="S2320" s="113"/>
      <c r="T2320" s="113"/>
      <c r="W2320" s="115"/>
      <c r="Y2320"/>
      <c r="Z2320"/>
      <c r="AA2320"/>
      <c r="AB2320"/>
      <c r="AC2320"/>
      <c r="AD2320"/>
      <c r="AE2320"/>
      <c r="AF2320"/>
    </row>
    <row r="2321" spans="1:32" s="45" customFormat="1" ht="12.75" hidden="1">
      <c r="A2321" s="115"/>
      <c r="B2321" s="115"/>
      <c r="C2321" s="115"/>
      <c r="D2321" s="115"/>
      <c r="E2321" s="115"/>
      <c r="F2321" s="115"/>
      <c r="G2321" s="115"/>
      <c r="H2321" s="115"/>
      <c r="I2321" s="115"/>
      <c r="J2321" s="115"/>
      <c r="L2321" s="115"/>
      <c r="M2321" s="115"/>
      <c r="N2321" s="115"/>
      <c r="O2321" s="115"/>
      <c r="P2321" s="113"/>
      <c r="Q2321" s="119"/>
      <c r="R2321" s="113"/>
      <c r="S2321" s="113"/>
      <c r="T2321" s="113"/>
      <c r="W2321" s="115"/>
      <c r="Y2321"/>
      <c r="Z2321"/>
      <c r="AA2321"/>
      <c r="AB2321"/>
      <c r="AC2321"/>
      <c r="AD2321"/>
      <c r="AE2321"/>
      <c r="AF2321"/>
    </row>
    <row r="2322" spans="1:32" s="45" customFormat="1" ht="12.75" hidden="1">
      <c r="A2322" s="115"/>
      <c r="B2322" s="115"/>
      <c r="C2322" s="115"/>
      <c r="D2322" s="115"/>
      <c r="E2322" s="115"/>
      <c r="F2322" s="115"/>
      <c r="G2322" s="115"/>
      <c r="H2322" s="115"/>
      <c r="I2322" s="115"/>
      <c r="J2322" s="115"/>
      <c r="L2322" s="115"/>
      <c r="M2322" s="115"/>
      <c r="N2322" s="115"/>
      <c r="O2322" s="115"/>
      <c r="P2322" s="113"/>
      <c r="Q2322" s="119"/>
      <c r="R2322" s="113"/>
      <c r="S2322" s="113"/>
      <c r="T2322" s="113"/>
      <c r="W2322" s="115"/>
      <c r="Y2322"/>
      <c r="Z2322"/>
      <c r="AA2322"/>
      <c r="AB2322"/>
      <c r="AC2322"/>
      <c r="AD2322"/>
      <c r="AE2322"/>
      <c r="AF2322"/>
    </row>
    <row r="2323" spans="1:32" s="45" customFormat="1" ht="12.75" hidden="1">
      <c r="A2323" s="115"/>
      <c r="B2323" s="115"/>
      <c r="C2323" s="115"/>
      <c r="D2323" s="115"/>
      <c r="E2323" s="115"/>
      <c r="F2323" s="115"/>
      <c r="G2323" s="115"/>
      <c r="H2323" s="115"/>
      <c r="I2323" s="115"/>
      <c r="J2323" s="115"/>
      <c r="L2323" s="115"/>
      <c r="M2323" s="115"/>
      <c r="N2323" s="115"/>
      <c r="O2323" s="115"/>
      <c r="P2323" s="113"/>
      <c r="Q2323" s="119"/>
      <c r="R2323" s="113"/>
      <c r="S2323" s="113"/>
      <c r="T2323" s="113"/>
      <c r="W2323" s="115"/>
      <c r="Y2323"/>
      <c r="Z2323"/>
      <c r="AA2323"/>
      <c r="AB2323"/>
      <c r="AC2323"/>
      <c r="AD2323"/>
      <c r="AE2323"/>
      <c r="AF2323"/>
    </row>
    <row r="2324" spans="1:32" s="45" customFormat="1" ht="12.75" hidden="1">
      <c r="A2324" s="115"/>
      <c r="B2324" s="115"/>
      <c r="C2324" s="115"/>
      <c r="D2324" s="115"/>
      <c r="E2324" s="115"/>
      <c r="F2324" s="115"/>
      <c r="G2324" s="115"/>
      <c r="H2324" s="115"/>
      <c r="I2324" s="115"/>
      <c r="J2324" s="115"/>
      <c r="L2324" s="115"/>
      <c r="M2324" s="115"/>
      <c r="N2324" s="115"/>
      <c r="O2324" s="115"/>
      <c r="P2324" s="113"/>
      <c r="Q2324" s="119"/>
      <c r="R2324" s="113"/>
      <c r="S2324" s="113"/>
      <c r="T2324" s="113"/>
      <c r="W2324" s="115"/>
      <c r="Y2324"/>
      <c r="Z2324"/>
      <c r="AA2324"/>
      <c r="AB2324"/>
      <c r="AC2324"/>
      <c r="AD2324"/>
      <c r="AE2324"/>
      <c r="AF2324"/>
    </row>
    <row r="2325" spans="1:32" s="45" customFormat="1" ht="12.75" hidden="1">
      <c r="A2325" s="115"/>
      <c r="B2325" s="115"/>
      <c r="C2325" s="115"/>
      <c r="D2325" s="115"/>
      <c r="E2325" s="115"/>
      <c r="F2325" s="115"/>
      <c r="G2325" s="115"/>
      <c r="H2325" s="115"/>
      <c r="I2325" s="115"/>
      <c r="J2325" s="115"/>
      <c r="L2325" s="115"/>
      <c r="M2325" s="115"/>
      <c r="N2325" s="115"/>
      <c r="O2325" s="115"/>
      <c r="P2325" s="113"/>
      <c r="Q2325" s="119"/>
      <c r="R2325" s="113"/>
      <c r="S2325" s="113"/>
      <c r="T2325" s="113"/>
      <c r="W2325" s="115"/>
      <c r="Y2325"/>
      <c r="Z2325"/>
      <c r="AA2325"/>
      <c r="AB2325"/>
      <c r="AC2325"/>
      <c r="AD2325"/>
      <c r="AE2325"/>
      <c r="AF2325"/>
    </row>
    <row r="2326" spans="1:32" s="45" customFormat="1" ht="12.75" hidden="1">
      <c r="A2326" s="115"/>
      <c r="B2326" s="115"/>
      <c r="C2326" s="115"/>
      <c r="D2326" s="115"/>
      <c r="E2326" s="115"/>
      <c r="F2326" s="115"/>
      <c r="G2326" s="115"/>
      <c r="H2326" s="115"/>
      <c r="I2326" s="115"/>
      <c r="J2326" s="115"/>
      <c r="L2326" s="115"/>
      <c r="M2326" s="115"/>
      <c r="N2326" s="115"/>
      <c r="O2326" s="115"/>
      <c r="P2326" s="113"/>
      <c r="Q2326" s="119"/>
      <c r="R2326" s="113"/>
      <c r="S2326" s="113"/>
      <c r="T2326" s="113"/>
      <c r="W2326" s="115"/>
      <c r="Z2326" s="120"/>
    </row>
    <row r="2327" spans="1:32" s="45" customFormat="1" ht="12.75" hidden="1">
      <c r="A2327" s="115"/>
      <c r="B2327" s="115"/>
      <c r="C2327" s="115"/>
      <c r="D2327" s="115"/>
      <c r="E2327" s="115"/>
      <c r="F2327" s="115"/>
      <c r="G2327" s="115"/>
      <c r="H2327" s="115"/>
      <c r="I2327" s="115"/>
      <c r="J2327" s="115"/>
      <c r="L2327" s="115"/>
      <c r="M2327" s="115"/>
      <c r="N2327" s="115"/>
      <c r="O2327" s="115"/>
      <c r="P2327" s="113"/>
      <c r="Q2327" s="119"/>
      <c r="R2327" s="113"/>
      <c r="S2327" s="113"/>
      <c r="T2327" s="113"/>
      <c r="W2327" s="115"/>
      <c r="Z2327" s="120"/>
    </row>
    <row r="2328" spans="1:32" s="45" customFormat="1" ht="12.75" hidden="1">
      <c r="A2328" s="115"/>
      <c r="B2328" s="115"/>
      <c r="C2328" s="115"/>
      <c r="D2328" s="115"/>
      <c r="E2328" s="115"/>
      <c r="F2328" s="115"/>
      <c r="G2328" s="115"/>
      <c r="H2328" s="115"/>
      <c r="I2328" s="115"/>
      <c r="J2328" s="115"/>
      <c r="L2328" s="115"/>
      <c r="M2328" s="115"/>
      <c r="N2328" s="115"/>
      <c r="O2328" s="115"/>
      <c r="P2328" s="113"/>
      <c r="Q2328" s="119"/>
      <c r="R2328" s="113"/>
      <c r="S2328" s="113"/>
      <c r="T2328" s="113"/>
      <c r="W2328" s="115"/>
      <c r="Z2328" s="120"/>
    </row>
    <row r="2329" spans="1:32" s="45" customFormat="1" ht="12.75" hidden="1">
      <c r="A2329" s="115"/>
      <c r="B2329" s="115"/>
      <c r="C2329" s="115"/>
      <c r="D2329" s="115"/>
      <c r="E2329" s="115"/>
      <c r="F2329" s="115"/>
      <c r="G2329" s="115"/>
      <c r="H2329" s="115"/>
      <c r="I2329" s="115"/>
      <c r="J2329" s="115"/>
      <c r="L2329" s="115"/>
      <c r="M2329" s="115"/>
      <c r="N2329" s="115"/>
      <c r="O2329" s="115"/>
      <c r="P2329" s="113"/>
      <c r="Q2329" s="119"/>
      <c r="R2329" s="113"/>
      <c r="S2329" s="113"/>
      <c r="T2329" s="113"/>
      <c r="W2329" s="115"/>
      <c r="Z2329" s="120"/>
    </row>
    <row r="2330" spans="1:32" s="45" customFormat="1" ht="12.75" hidden="1">
      <c r="A2330" s="115"/>
      <c r="B2330" s="115"/>
      <c r="C2330" s="115"/>
      <c r="D2330" s="115"/>
      <c r="E2330" s="115"/>
      <c r="F2330" s="115"/>
      <c r="G2330" s="115"/>
      <c r="H2330" s="115"/>
      <c r="I2330" s="115"/>
      <c r="J2330" s="115"/>
      <c r="L2330" s="115"/>
      <c r="M2330" s="115"/>
      <c r="N2330" s="115"/>
      <c r="O2330" s="115"/>
      <c r="P2330" s="113"/>
      <c r="Q2330" s="119"/>
      <c r="R2330" s="113"/>
      <c r="S2330" s="113"/>
      <c r="T2330" s="113"/>
      <c r="W2330" s="115"/>
      <c r="Z2330" s="120"/>
    </row>
    <row r="2331" spans="1:32" s="45" customFormat="1" ht="12.75" hidden="1">
      <c r="A2331" s="115"/>
      <c r="B2331" s="115"/>
      <c r="C2331" s="115"/>
      <c r="D2331" s="115"/>
      <c r="E2331" s="115"/>
      <c r="F2331" s="115"/>
      <c r="G2331" s="115"/>
      <c r="H2331" s="115"/>
      <c r="I2331" s="115"/>
      <c r="J2331" s="115"/>
      <c r="L2331" s="115"/>
      <c r="M2331" s="115"/>
      <c r="N2331" s="115"/>
      <c r="O2331" s="115"/>
      <c r="P2331" s="113"/>
      <c r="Q2331" s="119"/>
      <c r="R2331" s="113"/>
      <c r="S2331" s="113"/>
      <c r="T2331" s="113"/>
      <c r="W2331" s="115"/>
      <c r="Z2331" s="120"/>
    </row>
    <row r="2332" spans="1:32" s="45" customFormat="1" ht="12.75" hidden="1">
      <c r="A2332" s="115"/>
      <c r="B2332" s="115"/>
      <c r="C2332" s="115"/>
      <c r="D2332" s="115"/>
      <c r="E2332" s="115"/>
      <c r="F2332" s="115"/>
      <c r="G2332" s="115"/>
      <c r="H2332" s="115"/>
      <c r="I2332" s="115"/>
      <c r="J2332" s="115"/>
      <c r="L2332" s="115"/>
      <c r="M2332" s="115"/>
      <c r="N2332" s="115"/>
      <c r="O2332" s="115"/>
      <c r="P2332" s="113"/>
      <c r="Q2332" s="119"/>
      <c r="R2332" s="113"/>
      <c r="S2332" s="113"/>
      <c r="T2332" s="113"/>
      <c r="W2332" s="115"/>
      <c r="Z2332" s="120"/>
    </row>
    <row r="2333" spans="1:32" s="45" customFormat="1" ht="12.75" hidden="1">
      <c r="A2333" s="115"/>
      <c r="B2333" s="115"/>
      <c r="C2333" s="115"/>
      <c r="D2333" s="115"/>
      <c r="E2333" s="115"/>
      <c r="F2333" s="115"/>
      <c r="G2333" s="115"/>
      <c r="H2333" s="115"/>
      <c r="I2333" s="115"/>
      <c r="J2333" s="115"/>
      <c r="L2333" s="115"/>
      <c r="M2333" s="115"/>
      <c r="N2333" s="115"/>
      <c r="O2333" s="115"/>
      <c r="P2333" s="113"/>
      <c r="Q2333" s="119"/>
      <c r="R2333" s="113"/>
      <c r="S2333" s="113"/>
      <c r="T2333" s="113"/>
      <c r="W2333" s="115"/>
      <c r="Z2333" s="120"/>
    </row>
    <row r="2334" spans="1:32" s="45" customFormat="1" ht="12.75" hidden="1">
      <c r="A2334" s="115"/>
      <c r="B2334" s="115"/>
      <c r="C2334" s="115"/>
      <c r="D2334" s="115"/>
      <c r="E2334" s="115"/>
      <c r="F2334" s="115"/>
      <c r="G2334" s="115"/>
      <c r="H2334" s="115"/>
      <c r="I2334" s="115"/>
      <c r="J2334" s="115"/>
      <c r="L2334" s="115"/>
      <c r="M2334" s="115"/>
      <c r="N2334" s="115"/>
      <c r="O2334" s="115"/>
      <c r="P2334" s="113"/>
      <c r="Q2334" s="119"/>
      <c r="R2334" s="113"/>
      <c r="S2334" s="113"/>
      <c r="T2334" s="113"/>
      <c r="W2334" s="115"/>
      <c r="Z2334" s="120"/>
    </row>
    <row r="2335" spans="1:32" s="45" customFormat="1" ht="12.75" hidden="1">
      <c r="A2335" s="115"/>
      <c r="B2335" s="115"/>
      <c r="C2335" s="115"/>
      <c r="D2335" s="115"/>
      <c r="E2335" s="115"/>
      <c r="F2335" s="115"/>
      <c r="G2335" s="115"/>
      <c r="H2335" s="115"/>
      <c r="I2335" s="115"/>
      <c r="J2335" s="115"/>
      <c r="L2335" s="115"/>
      <c r="M2335" s="115"/>
      <c r="N2335" s="115"/>
      <c r="O2335" s="115"/>
      <c r="P2335" s="113"/>
      <c r="Q2335" s="119"/>
      <c r="R2335" s="113"/>
      <c r="S2335" s="113"/>
      <c r="T2335" s="113"/>
      <c r="W2335" s="115"/>
      <c r="Z2335" s="120"/>
    </row>
    <row r="2336" spans="1:32" ht="12.75" hidden="1">
      <c r="A2336" s="109"/>
      <c r="B2336" s="109"/>
      <c r="C2336" s="109"/>
      <c r="D2336" s="109"/>
      <c r="E2336" s="109"/>
      <c r="F2336" s="109"/>
      <c r="G2336" s="109"/>
      <c r="H2336" s="109"/>
      <c r="I2336" s="109"/>
      <c r="J2336" s="109"/>
      <c r="L2336" s="109"/>
      <c r="M2336" s="109"/>
      <c r="N2336" s="109"/>
      <c r="Q2336" s="121"/>
      <c r="W2336" s="109"/>
      <c r="Z2336" s="122"/>
    </row>
    <row r="2337" spans="1:26" ht="12.75" hidden="1">
      <c r="A2337" s="109"/>
      <c r="B2337" s="109"/>
      <c r="C2337" s="109"/>
      <c r="D2337" s="109"/>
      <c r="E2337" s="109"/>
      <c r="F2337" s="109"/>
      <c r="G2337" s="109"/>
      <c r="H2337" s="109"/>
      <c r="I2337" s="109"/>
      <c r="J2337" s="109"/>
      <c r="L2337" s="109"/>
      <c r="M2337" s="109"/>
      <c r="N2337" s="109"/>
      <c r="Q2337" s="121"/>
      <c r="W2337" s="109"/>
      <c r="Z2337" s="122"/>
    </row>
    <row r="2338" spans="1:26" ht="12.75" hidden="1">
      <c r="A2338" s="109"/>
      <c r="B2338" s="109"/>
      <c r="C2338" s="109"/>
      <c r="D2338" s="109"/>
      <c r="E2338" s="109"/>
      <c r="F2338" s="109"/>
      <c r="G2338" s="109"/>
      <c r="H2338" s="109"/>
      <c r="I2338" s="109"/>
      <c r="J2338" s="109"/>
      <c r="L2338" s="109"/>
      <c r="M2338" s="109"/>
      <c r="N2338" s="109"/>
      <c r="Q2338" s="121"/>
      <c r="W2338" s="109"/>
      <c r="Z2338" s="122"/>
    </row>
    <row r="2339" spans="1:26" ht="12.75" hidden="1">
      <c r="A2339" s="109"/>
      <c r="B2339" s="109"/>
      <c r="C2339" s="109"/>
      <c r="D2339" s="109"/>
      <c r="E2339" s="109"/>
      <c r="F2339" s="109"/>
      <c r="G2339" s="109"/>
      <c r="H2339" s="109"/>
      <c r="I2339" s="109"/>
      <c r="J2339" s="109"/>
      <c r="L2339" s="109"/>
      <c r="M2339" s="109"/>
      <c r="N2339" s="109"/>
      <c r="Q2339" s="121"/>
      <c r="W2339" s="109"/>
      <c r="Z2339" s="122"/>
    </row>
    <row r="2340" spans="1:26" ht="12.75" hidden="1">
      <c r="A2340" s="109"/>
      <c r="B2340" s="109"/>
      <c r="C2340" s="109"/>
      <c r="D2340" s="109"/>
      <c r="E2340" s="109"/>
      <c r="F2340" s="109"/>
      <c r="G2340" s="109"/>
      <c r="H2340" s="109"/>
      <c r="I2340" s="109"/>
      <c r="J2340" s="109"/>
      <c r="L2340" s="109"/>
      <c r="M2340" s="109"/>
      <c r="N2340" s="109"/>
      <c r="Q2340" s="121"/>
      <c r="W2340" s="109"/>
      <c r="Z2340" s="122"/>
    </row>
    <row r="2341" spans="1:26" ht="12.75" hidden="1">
      <c r="A2341" s="109"/>
      <c r="B2341" s="109"/>
      <c r="C2341" s="109"/>
      <c r="D2341" s="109"/>
      <c r="E2341" s="109"/>
      <c r="F2341" s="109"/>
      <c r="G2341" s="109"/>
      <c r="H2341" s="109"/>
      <c r="I2341" s="109"/>
      <c r="J2341" s="109"/>
      <c r="L2341" s="109"/>
      <c r="M2341" s="109"/>
      <c r="N2341" s="109"/>
      <c r="Q2341" s="121"/>
      <c r="W2341" s="109"/>
      <c r="Z2341" s="122"/>
    </row>
    <row r="2342" spans="1:26" ht="12.75" hidden="1">
      <c r="A2342" s="109"/>
      <c r="B2342" s="109"/>
      <c r="C2342" s="109"/>
      <c r="D2342" s="109"/>
      <c r="E2342" s="109"/>
      <c r="F2342" s="109"/>
      <c r="G2342" s="109"/>
      <c r="H2342" s="109"/>
      <c r="I2342" s="109"/>
      <c r="J2342" s="109"/>
      <c r="L2342" s="109"/>
      <c r="M2342" s="109"/>
      <c r="N2342" s="109"/>
      <c r="Q2342" s="121"/>
      <c r="W2342" s="109"/>
      <c r="Z2342" s="122"/>
    </row>
    <row r="2343" spans="1:26" ht="12.75" hidden="1">
      <c r="A2343" s="109"/>
      <c r="B2343" s="109"/>
      <c r="C2343" s="109"/>
      <c r="D2343" s="109"/>
      <c r="E2343" s="109"/>
      <c r="F2343" s="109"/>
      <c r="G2343" s="109"/>
      <c r="H2343" s="109"/>
      <c r="I2343" s="109"/>
      <c r="J2343" s="109"/>
      <c r="L2343" s="109"/>
      <c r="M2343" s="109"/>
      <c r="N2343" s="109"/>
      <c r="Q2343" s="121"/>
      <c r="W2343" s="109"/>
      <c r="Z2343" s="122"/>
    </row>
    <row r="2344" spans="1:26" ht="12.75" hidden="1">
      <c r="A2344" s="109"/>
      <c r="B2344" s="109"/>
      <c r="C2344" s="109"/>
      <c r="D2344" s="109"/>
      <c r="E2344" s="109"/>
      <c r="F2344" s="109"/>
      <c r="G2344" s="109"/>
      <c r="H2344" s="109"/>
      <c r="I2344" s="109"/>
      <c r="J2344" s="109"/>
      <c r="L2344" s="109"/>
      <c r="M2344" s="109"/>
      <c r="N2344" s="109"/>
      <c r="Q2344" s="121"/>
      <c r="W2344" s="109"/>
      <c r="Z2344" s="122"/>
    </row>
    <row r="2345" spans="1:26" ht="12.75" hidden="1">
      <c r="A2345" s="109"/>
      <c r="B2345" s="109"/>
      <c r="C2345" s="109"/>
      <c r="D2345" s="109"/>
      <c r="E2345" s="109"/>
      <c r="F2345" s="109"/>
      <c r="G2345" s="109"/>
      <c r="H2345" s="109"/>
      <c r="I2345" s="109"/>
      <c r="J2345" s="109"/>
      <c r="L2345" s="109"/>
      <c r="M2345" s="109"/>
      <c r="N2345" s="109"/>
      <c r="Q2345" s="121"/>
      <c r="W2345" s="109"/>
      <c r="Z2345" s="122"/>
    </row>
    <row r="2346" spans="1:26" ht="12.75" hidden="1">
      <c r="A2346" s="109"/>
      <c r="B2346" s="109"/>
      <c r="C2346" s="109"/>
      <c r="D2346" s="109"/>
      <c r="E2346" s="109"/>
      <c r="F2346" s="109"/>
      <c r="G2346" s="109"/>
      <c r="H2346" s="109"/>
      <c r="I2346" s="109"/>
      <c r="J2346" s="109"/>
      <c r="L2346" s="109"/>
      <c r="M2346" s="109"/>
      <c r="N2346" s="109"/>
      <c r="Q2346" s="121"/>
      <c r="W2346" s="109"/>
      <c r="Z2346" s="122"/>
    </row>
    <row r="2347" spans="1:26" ht="12.75" hidden="1">
      <c r="A2347" s="109"/>
      <c r="B2347" s="109"/>
      <c r="C2347" s="109"/>
      <c r="D2347" s="109"/>
      <c r="E2347" s="109"/>
      <c r="F2347" s="109"/>
      <c r="G2347" s="109"/>
      <c r="H2347" s="109"/>
      <c r="I2347" s="109"/>
      <c r="J2347" s="109"/>
      <c r="L2347" s="109"/>
      <c r="M2347" s="109"/>
      <c r="N2347" s="109"/>
      <c r="Q2347" s="121"/>
      <c r="W2347" s="109"/>
      <c r="Z2347" s="122"/>
    </row>
    <row r="2348" spans="1:26" ht="12.75" hidden="1">
      <c r="A2348" s="109"/>
      <c r="B2348" s="109"/>
      <c r="C2348" s="109"/>
      <c r="D2348" s="109"/>
      <c r="E2348" s="109"/>
      <c r="F2348" s="109"/>
      <c r="G2348" s="109"/>
      <c r="H2348" s="109"/>
      <c r="I2348" s="109"/>
      <c r="J2348" s="109"/>
      <c r="L2348" s="109"/>
      <c r="M2348" s="109"/>
      <c r="N2348" s="109"/>
      <c r="Q2348" s="121"/>
      <c r="W2348" s="109"/>
      <c r="Z2348" s="122"/>
    </row>
    <row r="2349" spans="1:26" ht="12.75" hidden="1">
      <c r="A2349" s="109"/>
      <c r="B2349" s="109"/>
      <c r="C2349" s="109"/>
      <c r="D2349" s="109"/>
      <c r="E2349" s="109"/>
      <c r="F2349" s="109"/>
      <c r="G2349" s="109"/>
      <c r="H2349" s="109"/>
      <c r="I2349" s="109"/>
      <c r="J2349" s="109"/>
      <c r="L2349" s="109"/>
      <c r="M2349" s="109"/>
      <c r="N2349" s="109"/>
      <c r="Q2349" s="121"/>
      <c r="W2349" s="109"/>
      <c r="Z2349" s="122"/>
    </row>
    <row r="2350" spans="1:26" ht="12.75" hidden="1">
      <c r="A2350" s="109"/>
      <c r="B2350" s="109"/>
      <c r="C2350" s="109"/>
      <c r="D2350" s="109"/>
      <c r="E2350" s="109"/>
      <c r="F2350" s="109"/>
      <c r="G2350" s="109"/>
      <c r="H2350" s="109"/>
      <c r="I2350" s="109"/>
      <c r="J2350" s="109"/>
      <c r="L2350" s="109"/>
      <c r="M2350" s="109"/>
      <c r="N2350" s="109"/>
      <c r="Q2350" s="121"/>
      <c r="W2350" s="109"/>
      <c r="Z2350" s="122"/>
    </row>
    <row r="2351" spans="1:26" ht="12.75" hidden="1">
      <c r="A2351" s="109"/>
      <c r="B2351" s="109"/>
      <c r="C2351" s="109"/>
      <c r="D2351" s="109"/>
      <c r="E2351" s="109"/>
      <c r="F2351" s="109"/>
      <c r="G2351" s="109"/>
      <c r="H2351" s="109"/>
      <c r="I2351" s="109"/>
      <c r="J2351" s="109"/>
      <c r="L2351" s="109"/>
      <c r="M2351" s="109"/>
      <c r="N2351" s="109"/>
      <c r="Q2351" s="121"/>
      <c r="W2351" s="109"/>
      <c r="Z2351" s="122"/>
    </row>
    <row r="2352" spans="1:26" ht="12.75" hidden="1">
      <c r="A2352" s="109"/>
      <c r="B2352" s="109"/>
      <c r="C2352" s="109"/>
      <c r="D2352" s="109"/>
      <c r="E2352" s="109"/>
      <c r="F2352" s="109"/>
      <c r="G2352" s="109"/>
      <c r="H2352" s="109"/>
      <c r="I2352" s="109"/>
      <c r="J2352" s="109"/>
      <c r="L2352" s="109"/>
      <c r="M2352" s="109"/>
      <c r="N2352" s="109"/>
      <c r="Q2352" s="121"/>
      <c r="W2352" s="109"/>
      <c r="Z2352" s="122"/>
    </row>
    <row r="2353" spans="1:26" ht="12.75" hidden="1">
      <c r="A2353" s="109"/>
      <c r="B2353" s="109"/>
      <c r="C2353" s="109"/>
      <c r="D2353" s="109"/>
      <c r="E2353" s="109"/>
      <c r="F2353" s="109"/>
      <c r="G2353" s="109"/>
      <c r="H2353" s="109"/>
      <c r="I2353" s="109"/>
      <c r="J2353" s="109"/>
      <c r="L2353" s="109"/>
      <c r="M2353" s="109"/>
      <c r="N2353" s="109"/>
      <c r="Q2353" s="121"/>
      <c r="W2353" s="109"/>
      <c r="Z2353" s="122"/>
    </row>
    <row r="2354" spans="1:26" ht="12.75" hidden="1">
      <c r="A2354" s="109"/>
      <c r="B2354" s="109"/>
      <c r="C2354" s="109"/>
      <c r="D2354" s="109"/>
      <c r="E2354" s="109"/>
      <c r="F2354" s="109"/>
      <c r="G2354" s="109"/>
      <c r="H2354" s="109"/>
      <c r="I2354" s="109"/>
      <c r="J2354" s="109"/>
      <c r="L2354" s="109"/>
      <c r="M2354" s="109"/>
      <c r="N2354" s="109"/>
      <c r="Q2354" s="121"/>
      <c r="W2354" s="109"/>
      <c r="Z2354" s="122"/>
    </row>
    <row r="2355" spans="1:26" ht="12.75" hidden="1">
      <c r="A2355" s="109"/>
      <c r="B2355" s="109"/>
      <c r="C2355" s="109"/>
      <c r="D2355" s="109"/>
      <c r="E2355" s="109"/>
      <c r="F2355" s="109"/>
      <c r="G2355" s="109"/>
      <c r="H2355" s="109"/>
      <c r="I2355" s="109"/>
      <c r="J2355" s="109"/>
      <c r="L2355" s="109"/>
      <c r="M2355" s="109"/>
      <c r="N2355" s="109"/>
      <c r="Q2355" s="121"/>
      <c r="W2355" s="109"/>
      <c r="Z2355" s="122"/>
    </row>
    <row r="2356" spans="1:26" ht="12.75" hidden="1">
      <c r="A2356" s="109"/>
      <c r="B2356" s="109"/>
      <c r="C2356" s="109"/>
      <c r="D2356" s="109"/>
      <c r="E2356" s="109"/>
      <c r="F2356" s="109"/>
      <c r="G2356" s="109"/>
      <c r="H2356" s="109"/>
      <c r="I2356" s="109"/>
      <c r="J2356" s="109"/>
      <c r="L2356" s="109"/>
      <c r="M2356" s="109"/>
      <c r="N2356" s="109"/>
      <c r="Q2356" s="121"/>
      <c r="W2356" s="109"/>
      <c r="Z2356" s="122"/>
    </row>
    <row r="2357" spans="1:26" ht="12.75" hidden="1">
      <c r="A2357" s="109"/>
      <c r="B2357" s="109"/>
      <c r="C2357" s="109"/>
      <c r="D2357" s="109"/>
      <c r="E2357" s="109"/>
      <c r="F2357" s="109"/>
      <c r="G2357" s="109"/>
      <c r="H2357" s="109"/>
      <c r="I2357" s="109"/>
      <c r="J2357" s="109"/>
      <c r="L2357" s="109"/>
      <c r="M2357" s="109"/>
      <c r="N2357" s="109"/>
      <c r="Q2357" s="121"/>
      <c r="W2357" s="109"/>
      <c r="Z2357" s="122"/>
    </row>
    <row r="2358" spans="1:26" ht="12.75" hidden="1">
      <c r="A2358" s="109"/>
      <c r="B2358" s="109"/>
      <c r="C2358" s="109"/>
      <c r="D2358" s="109"/>
      <c r="E2358" s="109"/>
      <c r="F2358" s="109"/>
      <c r="G2358" s="109"/>
      <c r="H2358" s="109"/>
      <c r="I2358" s="109"/>
      <c r="J2358" s="109"/>
      <c r="L2358" s="109"/>
      <c r="M2358" s="109"/>
      <c r="N2358" s="109"/>
      <c r="Q2358" s="121"/>
      <c r="W2358" s="109"/>
      <c r="Z2358" s="122"/>
    </row>
    <row r="2359" spans="1:26" ht="12.75" hidden="1">
      <c r="A2359" s="109"/>
      <c r="B2359" s="109"/>
      <c r="C2359" s="109"/>
      <c r="D2359" s="109"/>
      <c r="E2359" s="109"/>
      <c r="F2359" s="109"/>
      <c r="G2359" s="109"/>
      <c r="H2359" s="109"/>
      <c r="I2359" s="109"/>
      <c r="J2359" s="109"/>
      <c r="L2359" s="109"/>
      <c r="M2359" s="109"/>
      <c r="N2359" s="109"/>
      <c r="Q2359" s="121"/>
      <c r="W2359" s="109"/>
      <c r="Z2359" s="122"/>
    </row>
    <row r="2360" spans="1:26" ht="12.75" hidden="1">
      <c r="A2360" s="109"/>
      <c r="B2360" s="109"/>
      <c r="C2360" s="109"/>
      <c r="D2360" s="109"/>
      <c r="E2360" s="109"/>
      <c r="F2360" s="109"/>
      <c r="G2360" s="109"/>
      <c r="H2360" s="109"/>
      <c r="I2360" s="109"/>
      <c r="J2360" s="109"/>
      <c r="L2360" s="109"/>
      <c r="M2360" s="109"/>
      <c r="N2360" s="109"/>
      <c r="Q2360" s="121"/>
      <c r="W2360" s="109"/>
      <c r="Z2360" s="122"/>
    </row>
    <row r="2361" spans="1:26" ht="12.75" hidden="1">
      <c r="A2361" s="109"/>
      <c r="B2361" s="109"/>
      <c r="C2361" s="109"/>
      <c r="D2361" s="109"/>
      <c r="E2361" s="109"/>
      <c r="F2361" s="109"/>
      <c r="G2361" s="109"/>
      <c r="H2361" s="109"/>
      <c r="I2361" s="109"/>
      <c r="J2361" s="109"/>
      <c r="L2361" s="109"/>
      <c r="M2361" s="109"/>
      <c r="N2361" s="109"/>
      <c r="Q2361" s="121"/>
      <c r="W2361" s="109"/>
      <c r="Z2361" s="122"/>
    </row>
    <row r="2362" spans="1:26" ht="12.75" hidden="1">
      <c r="A2362" s="109"/>
      <c r="B2362" s="109"/>
      <c r="C2362" s="109"/>
      <c r="D2362" s="109"/>
      <c r="E2362" s="109"/>
      <c r="F2362" s="109"/>
      <c r="G2362" s="109"/>
      <c r="H2362" s="109"/>
      <c r="I2362" s="109"/>
      <c r="J2362" s="109"/>
      <c r="L2362" s="109"/>
      <c r="M2362" s="109"/>
      <c r="N2362" s="109"/>
      <c r="Q2362" s="121"/>
      <c r="W2362" s="109"/>
      <c r="Z2362" s="122"/>
    </row>
    <row r="2363" spans="1:26" ht="12.75" hidden="1">
      <c r="A2363" s="109"/>
      <c r="B2363" s="109"/>
      <c r="C2363" s="109"/>
      <c r="D2363" s="109"/>
      <c r="E2363" s="109"/>
      <c r="F2363" s="109"/>
      <c r="G2363" s="109"/>
      <c r="H2363" s="109"/>
      <c r="I2363" s="109"/>
      <c r="J2363" s="109"/>
      <c r="L2363" s="109"/>
      <c r="M2363" s="109"/>
      <c r="N2363" s="109"/>
      <c r="Q2363" s="121"/>
      <c r="W2363" s="109"/>
      <c r="Z2363" s="122"/>
    </row>
    <row r="2364" spans="1:26" ht="12.75" hidden="1">
      <c r="A2364" s="109"/>
      <c r="B2364" s="109"/>
      <c r="C2364" s="109"/>
      <c r="D2364" s="109"/>
      <c r="E2364" s="109"/>
      <c r="F2364" s="109"/>
      <c r="G2364" s="109"/>
      <c r="H2364" s="109"/>
      <c r="I2364" s="109"/>
      <c r="J2364" s="109"/>
      <c r="L2364" s="109"/>
      <c r="M2364" s="109"/>
      <c r="N2364" s="109"/>
      <c r="Q2364" s="121"/>
      <c r="W2364" s="109"/>
      <c r="Z2364" s="122"/>
    </row>
    <row r="2365" spans="1:26" ht="12.75" hidden="1">
      <c r="A2365" s="109"/>
      <c r="B2365" s="109"/>
      <c r="C2365" s="109"/>
      <c r="D2365" s="109"/>
      <c r="E2365" s="109"/>
      <c r="F2365" s="109"/>
      <c r="G2365" s="109"/>
      <c r="H2365" s="109"/>
      <c r="I2365" s="109"/>
      <c r="J2365" s="109"/>
      <c r="L2365" s="109"/>
      <c r="M2365" s="109"/>
      <c r="N2365" s="109"/>
      <c r="Q2365" s="121"/>
      <c r="W2365" s="109"/>
      <c r="Z2365" s="122"/>
    </row>
    <row r="2366" spans="1:26" ht="12.75" hidden="1">
      <c r="A2366" s="109"/>
      <c r="B2366" s="109"/>
      <c r="C2366" s="109"/>
      <c r="D2366" s="109"/>
      <c r="E2366" s="109"/>
      <c r="F2366" s="109"/>
      <c r="G2366" s="109"/>
      <c r="H2366" s="109"/>
      <c r="I2366" s="109"/>
      <c r="J2366" s="109"/>
      <c r="L2366" s="109"/>
      <c r="M2366" s="109"/>
      <c r="N2366" s="109"/>
      <c r="Q2366" s="121"/>
      <c r="W2366" s="109"/>
      <c r="Z2366" s="122"/>
    </row>
    <row r="2367" spans="1:26" ht="12.75" hidden="1">
      <c r="A2367" s="109"/>
      <c r="B2367" s="109"/>
      <c r="C2367" s="109"/>
      <c r="D2367" s="109"/>
      <c r="E2367" s="109"/>
      <c r="F2367" s="109"/>
      <c r="G2367" s="109"/>
      <c r="H2367" s="109"/>
      <c r="I2367" s="109"/>
      <c r="J2367" s="109"/>
      <c r="L2367" s="109"/>
      <c r="M2367" s="109"/>
      <c r="N2367" s="109"/>
      <c r="Q2367" s="121"/>
      <c r="W2367" s="109"/>
      <c r="Z2367" s="122"/>
    </row>
    <row r="2368" spans="1:26" ht="12.75" hidden="1">
      <c r="A2368" s="109"/>
      <c r="B2368" s="109"/>
      <c r="C2368" s="109"/>
      <c r="D2368" s="109"/>
      <c r="E2368" s="109"/>
      <c r="F2368" s="109"/>
      <c r="G2368" s="109"/>
      <c r="H2368" s="109"/>
      <c r="I2368" s="109"/>
      <c r="J2368" s="109"/>
      <c r="L2368" s="109"/>
      <c r="M2368" s="109"/>
      <c r="N2368" s="109"/>
      <c r="Q2368" s="121"/>
      <c r="W2368" s="109"/>
      <c r="Z2368" s="122"/>
    </row>
    <row r="2369" spans="1:26" ht="12.75" hidden="1">
      <c r="A2369" s="109"/>
      <c r="B2369" s="109"/>
      <c r="C2369" s="109"/>
      <c r="D2369" s="109"/>
      <c r="E2369" s="109"/>
      <c r="F2369" s="109"/>
      <c r="G2369" s="109"/>
      <c r="H2369" s="109"/>
      <c r="I2369" s="109"/>
      <c r="J2369" s="109"/>
      <c r="L2369" s="109"/>
      <c r="M2369" s="109"/>
      <c r="N2369" s="109"/>
      <c r="Q2369" s="121"/>
      <c r="W2369" s="109"/>
      <c r="Z2369" s="122"/>
    </row>
    <row r="2370" spans="1:26" ht="12.75" hidden="1">
      <c r="A2370" s="109"/>
      <c r="B2370" s="109"/>
      <c r="C2370" s="109"/>
      <c r="D2370" s="109"/>
      <c r="E2370" s="109"/>
      <c r="F2370" s="109"/>
      <c r="G2370" s="109"/>
      <c r="H2370" s="109"/>
      <c r="I2370" s="109"/>
      <c r="J2370" s="109"/>
      <c r="L2370" s="109"/>
      <c r="M2370" s="109"/>
      <c r="N2370" s="109"/>
      <c r="Q2370" s="121"/>
      <c r="W2370" s="109"/>
      <c r="Z2370" s="122"/>
    </row>
    <row r="2371" spans="1:26" ht="12.75" hidden="1">
      <c r="A2371" s="109"/>
      <c r="B2371" s="109"/>
      <c r="C2371" s="109"/>
      <c r="D2371" s="109"/>
      <c r="E2371" s="109"/>
      <c r="F2371" s="109"/>
      <c r="G2371" s="109"/>
      <c r="H2371" s="109"/>
      <c r="I2371" s="109"/>
      <c r="J2371" s="109"/>
      <c r="L2371" s="109"/>
      <c r="M2371" s="109"/>
      <c r="N2371" s="109"/>
      <c r="Q2371" s="121"/>
      <c r="W2371" s="109"/>
      <c r="Z2371" s="122"/>
    </row>
    <row r="2372" spans="1:26" ht="12.75" hidden="1">
      <c r="A2372" s="109"/>
      <c r="B2372" s="109"/>
      <c r="C2372" s="109"/>
      <c r="D2372" s="109"/>
      <c r="E2372" s="109"/>
      <c r="F2372" s="109"/>
      <c r="G2372" s="109"/>
      <c r="H2372" s="109"/>
      <c r="I2372" s="109"/>
      <c r="J2372" s="109"/>
      <c r="L2372" s="109"/>
      <c r="M2372" s="109"/>
      <c r="N2372" s="109"/>
      <c r="Q2372" s="121"/>
      <c r="W2372" s="109"/>
      <c r="Z2372" s="122"/>
    </row>
    <row r="2373" spans="1:26" ht="12.75" hidden="1">
      <c r="A2373" s="109"/>
      <c r="B2373" s="109"/>
      <c r="C2373" s="109"/>
      <c r="D2373" s="109"/>
      <c r="E2373" s="109"/>
      <c r="F2373" s="109"/>
      <c r="G2373" s="109"/>
      <c r="H2373" s="109"/>
      <c r="I2373" s="109"/>
      <c r="J2373" s="109"/>
      <c r="L2373" s="109"/>
      <c r="M2373" s="109"/>
      <c r="N2373" s="109"/>
      <c r="Q2373" s="121"/>
      <c r="W2373" s="109"/>
      <c r="Z2373" s="122"/>
    </row>
    <row r="2374" spans="1:26" ht="12.75" hidden="1">
      <c r="A2374" s="109"/>
      <c r="B2374" s="109"/>
      <c r="C2374" s="109"/>
      <c r="D2374" s="109"/>
      <c r="E2374" s="109"/>
      <c r="F2374" s="109"/>
      <c r="G2374" s="109"/>
      <c r="H2374" s="109"/>
      <c r="I2374" s="109"/>
      <c r="J2374" s="109"/>
      <c r="L2374" s="109"/>
      <c r="M2374" s="109"/>
      <c r="N2374" s="109"/>
      <c r="Q2374" s="121"/>
      <c r="W2374" s="109"/>
      <c r="Z2374" s="122"/>
    </row>
    <row r="2375" spans="1:26" ht="12.75" hidden="1">
      <c r="A2375" s="109"/>
      <c r="B2375" s="109"/>
      <c r="C2375" s="109"/>
      <c r="D2375" s="109"/>
      <c r="E2375" s="109"/>
      <c r="F2375" s="109"/>
      <c r="G2375" s="109"/>
      <c r="H2375" s="109"/>
      <c r="I2375" s="109"/>
      <c r="J2375" s="109"/>
      <c r="L2375" s="109"/>
      <c r="M2375" s="109"/>
      <c r="N2375" s="109"/>
      <c r="Q2375" s="121"/>
      <c r="W2375" s="109"/>
      <c r="Z2375" s="122"/>
    </row>
    <row r="2376" spans="1:26" ht="12.75" hidden="1">
      <c r="A2376" s="109"/>
      <c r="B2376" s="109"/>
      <c r="C2376" s="109"/>
      <c r="D2376" s="109"/>
      <c r="E2376" s="109"/>
      <c r="F2376" s="109"/>
      <c r="G2376" s="109"/>
      <c r="H2376" s="109"/>
      <c r="I2376" s="109"/>
      <c r="J2376" s="109"/>
      <c r="L2376" s="109"/>
      <c r="M2376" s="109"/>
      <c r="N2376" s="109"/>
      <c r="Q2376" s="121"/>
      <c r="W2376" s="109"/>
      <c r="Z2376" s="122"/>
    </row>
    <row r="2377" spans="1:26" ht="12.75" hidden="1">
      <c r="A2377" s="109"/>
      <c r="B2377" s="109"/>
      <c r="C2377" s="109"/>
      <c r="D2377" s="109"/>
      <c r="E2377" s="109"/>
      <c r="F2377" s="109"/>
      <c r="G2377" s="109"/>
      <c r="H2377" s="109"/>
      <c r="I2377" s="109"/>
      <c r="J2377" s="109"/>
      <c r="L2377" s="109"/>
      <c r="M2377" s="109"/>
      <c r="N2377" s="109"/>
      <c r="Q2377" s="121"/>
      <c r="W2377" s="109"/>
      <c r="Z2377" s="122"/>
    </row>
    <row r="2378" spans="1:26" ht="12.75" hidden="1">
      <c r="A2378" s="109"/>
      <c r="B2378" s="109"/>
      <c r="C2378" s="109"/>
      <c r="D2378" s="109"/>
      <c r="E2378" s="109"/>
      <c r="F2378" s="109"/>
      <c r="G2378" s="109"/>
      <c r="H2378" s="109"/>
      <c r="I2378" s="109"/>
      <c r="J2378" s="109"/>
      <c r="L2378" s="109"/>
      <c r="M2378" s="109"/>
      <c r="N2378" s="109"/>
      <c r="Q2378" s="121"/>
      <c r="W2378" s="109"/>
      <c r="Z2378" s="122"/>
    </row>
    <row r="2379" spans="1:26" ht="12.75" hidden="1">
      <c r="A2379" s="109"/>
      <c r="B2379" s="109"/>
      <c r="C2379" s="109"/>
      <c r="D2379" s="109"/>
      <c r="E2379" s="109"/>
      <c r="F2379" s="109"/>
      <c r="G2379" s="109"/>
      <c r="H2379" s="109"/>
      <c r="I2379" s="109"/>
      <c r="J2379" s="109"/>
      <c r="L2379" s="109"/>
      <c r="M2379" s="109"/>
      <c r="N2379" s="109"/>
      <c r="Q2379" s="121"/>
      <c r="W2379" s="109"/>
      <c r="Z2379" s="122"/>
    </row>
    <row r="2380" spans="1:26" ht="12.75" hidden="1">
      <c r="A2380" s="109"/>
      <c r="B2380" s="109"/>
      <c r="C2380" s="109"/>
      <c r="D2380" s="109"/>
      <c r="E2380" s="109"/>
      <c r="F2380" s="109"/>
      <c r="G2380" s="109"/>
      <c r="H2380" s="109"/>
      <c r="I2380" s="109"/>
      <c r="J2380" s="109"/>
      <c r="L2380" s="109"/>
      <c r="M2380" s="109"/>
      <c r="N2380" s="109"/>
      <c r="Q2380" s="121"/>
      <c r="W2380" s="109"/>
      <c r="Z2380" s="122"/>
    </row>
    <row r="2381" spans="1:26" ht="12.75" hidden="1">
      <c r="A2381" s="109"/>
      <c r="B2381" s="109"/>
      <c r="C2381" s="109"/>
      <c r="D2381" s="109"/>
      <c r="E2381" s="109"/>
      <c r="F2381" s="109"/>
      <c r="G2381" s="109"/>
      <c r="H2381" s="109"/>
      <c r="I2381" s="109"/>
      <c r="J2381" s="109"/>
      <c r="L2381" s="109"/>
      <c r="M2381" s="109"/>
      <c r="N2381" s="109"/>
      <c r="Q2381" s="121"/>
      <c r="W2381" s="109"/>
      <c r="Z2381" s="122"/>
    </row>
    <row r="2382" spans="1:26" ht="12.75" hidden="1">
      <c r="A2382" s="109"/>
      <c r="B2382" s="109"/>
      <c r="C2382" s="109"/>
      <c r="D2382" s="109"/>
      <c r="E2382" s="109"/>
      <c r="F2382" s="109"/>
      <c r="G2382" s="109"/>
      <c r="H2382" s="109"/>
      <c r="I2382" s="109"/>
      <c r="J2382" s="109"/>
      <c r="L2382" s="109"/>
      <c r="M2382" s="109"/>
      <c r="N2382" s="109"/>
      <c r="Q2382" s="121"/>
      <c r="W2382" s="109"/>
      <c r="Z2382" s="122"/>
    </row>
    <row r="2383" spans="1:26" ht="12.75" hidden="1">
      <c r="A2383" s="109"/>
      <c r="B2383" s="109"/>
      <c r="C2383" s="109"/>
      <c r="D2383" s="109"/>
      <c r="E2383" s="109"/>
      <c r="F2383" s="109"/>
      <c r="G2383" s="109"/>
      <c r="H2383" s="109"/>
      <c r="I2383" s="109"/>
      <c r="J2383" s="109"/>
      <c r="L2383" s="109"/>
      <c r="M2383" s="109"/>
      <c r="N2383" s="109"/>
      <c r="Q2383" s="121"/>
      <c r="W2383" s="109"/>
      <c r="Z2383" s="122"/>
    </row>
    <row r="2384" spans="1:26" ht="12.75" hidden="1">
      <c r="A2384" s="109"/>
      <c r="B2384" s="109"/>
      <c r="C2384" s="109"/>
      <c r="D2384" s="109"/>
      <c r="E2384" s="109"/>
      <c r="F2384" s="109"/>
      <c r="G2384" s="109"/>
      <c r="H2384" s="109"/>
      <c r="I2384" s="109"/>
      <c r="J2384" s="109"/>
      <c r="L2384" s="109"/>
      <c r="M2384" s="109"/>
      <c r="N2384" s="109"/>
      <c r="Q2384" s="121"/>
      <c r="W2384" s="109"/>
      <c r="Z2384" s="122"/>
    </row>
    <row r="2385" spans="1:26" ht="12.75" hidden="1">
      <c r="A2385" s="109"/>
      <c r="B2385" s="109"/>
      <c r="C2385" s="109"/>
      <c r="D2385" s="109"/>
      <c r="E2385" s="109"/>
      <c r="F2385" s="109"/>
      <c r="G2385" s="109"/>
      <c r="H2385" s="109"/>
      <c r="I2385" s="109"/>
      <c r="J2385" s="109"/>
      <c r="L2385" s="109"/>
      <c r="M2385" s="109"/>
      <c r="N2385" s="109"/>
      <c r="Q2385" s="121"/>
      <c r="W2385" s="109"/>
      <c r="Z2385" s="122"/>
    </row>
    <row r="2386" spans="1:26" ht="12.75" hidden="1">
      <c r="A2386" s="109"/>
      <c r="B2386" s="109"/>
      <c r="C2386" s="109"/>
      <c r="D2386" s="109"/>
      <c r="E2386" s="109"/>
      <c r="F2386" s="109"/>
      <c r="G2386" s="109"/>
      <c r="H2386" s="109"/>
      <c r="I2386" s="109"/>
      <c r="J2386" s="109"/>
      <c r="L2386" s="109"/>
      <c r="M2386" s="109"/>
      <c r="N2386" s="109"/>
      <c r="Q2386" s="121"/>
      <c r="W2386" s="109"/>
      <c r="Z2386" s="122"/>
    </row>
    <row r="2387" spans="1:26" ht="12.75" hidden="1">
      <c r="A2387" s="109"/>
      <c r="B2387" s="109"/>
      <c r="C2387" s="109"/>
      <c r="D2387" s="109"/>
      <c r="E2387" s="109"/>
      <c r="F2387" s="109"/>
      <c r="G2387" s="109"/>
      <c r="H2387" s="109"/>
      <c r="I2387" s="109"/>
      <c r="J2387" s="109"/>
      <c r="L2387" s="109"/>
      <c r="M2387" s="109"/>
      <c r="N2387" s="109"/>
      <c r="Q2387" s="121"/>
      <c r="W2387" s="109"/>
      <c r="Z2387" s="122"/>
    </row>
    <row r="2388" spans="1:26" ht="12.75" hidden="1">
      <c r="A2388" s="109"/>
      <c r="B2388" s="109"/>
      <c r="C2388" s="109"/>
      <c r="D2388" s="109"/>
      <c r="E2388" s="109"/>
      <c r="F2388" s="109"/>
      <c r="G2388" s="109"/>
      <c r="H2388" s="109"/>
      <c r="I2388" s="109"/>
      <c r="J2388" s="109"/>
      <c r="L2388" s="109"/>
      <c r="M2388" s="109"/>
      <c r="N2388" s="109"/>
      <c r="Q2388" s="121"/>
      <c r="W2388" s="109"/>
      <c r="Z2388" s="122"/>
    </row>
    <row r="2389" spans="1:26" ht="12.75" hidden="1">
      <c r="A2389" s="109"/>
      <c r="B2389" s="109"/>
      <c r="C2389" s="109"/>
      <c r="D2389" s="109"/>
      <c r="E2389" s="109"/>
      <c r="F2389" s="109"/>
      <c r="G2389" s="109"/>
      <c r="H2389" s="109"/>
      <c r="I2389" s="109"/>
      <c r="J2389" s="109"/>
      <c r="L2389" s="109"/>
      <c r="M2389" s="109"/>
      <c r="N2389" s="109"/>
      <c r="Q2389" s="121"/>
      <c r="W2389" s="109"/>
      <c r="Z2389" s="122"/>
    </row>
    <row r="2390" spans="1:26" ht="12.75" hidden="1">
      <c r="A2390" s="109"/>
      <c r="B2390" s="109"/>
      <c r="C2390" s="109"/>
      <c r="D2390" s="109"/>
      <c r="E2390" s="109"/>
      <c r="F2390" s="109"/>
      <c r="G2390" s="109"/>
      <c r="H2390" s="109"/>
      <c r="I2390" s="109"/>
      <c r="J2390" s="109"/>
      <c r="L2390" s="109"/>
      <c r="M2390" s="109"/>
      <c r="N2390" s="109"/>
      <c r="Q2390" s="121"/>
      <c r="W2390" s="109"/>
      <c r="Z2390" s="122"/>
    </row>
    <row r="2391" spans="1:26" ht="12.75" hidden="1">
      <c r="A2391" s="109"/>
      <c r="B2391" s="109"/>
      <c r="C2391" s="109"/>
      <c r="D2391" s="109"/>
      <c r="E2391" s="109"/>
      <c r="F2391" s="109"/>
      <c r="G2391" s="109"/>
      <c r="H2391" s="109"/>
      <c r="I2391" s="109"/>
      <c r="J2391" s="109"/>
      <c r="L2391" s="109"/>
      <c r="M2391" s="109"/>
      <c r="N2391" s="109"/>
      <c r="Q2391" s="121"/>
      <c r="W2391" s="109"/>
      <c r="Z2391" s="122"/>
    </row>
    <row r="2392" spans="1:26" ht="12.75" hidden="1">
      <c r="A2392" s="109"/>
      <c r="B2392" s="109"/>
      <c r="C2392" s="109"/>
      <c r="D2392" s="109"/>
      <c r="E2392" s="109"/>
      <c r="F2392" s="109"/>
      <c r="G2392" s="109"/>
      <c r="H2392" s="109"/>
      <c r="I2392" s="109"/>
      <c r="J2392" s="109"/>
      <c r="L2392" s="109"/>
      <c r="M2392" s="109"/>
      <c r="N2392" s="109"/>
      <c r="Q2392" s="121"/>
      <c r="W2392" s="109"/>
      <c r="Z2392" s="122"/>
    </row>
    <row r="2393" spans="1:26" ht="12.75" hidden="1">
      <c r="A2393" s="109"/>
      <c r="B2393" s="109"/>
      <c r="C2393" s="109"/>
      <c r="D2393" s="109"/>
      <c r="E2393" s="109"/>
      <c r="F2393" s="109"/>
      <c r="G2393" s="109"/>
      <c r="H2393" s="109"/>
      <c r="I2393" s="109"/>
      <c r="J2393" s="109"/>
      <c r="L2393" s="109"/>
      <c r="M2393" s="109"/>
      <c r="N2393" s="109"/>
      <c r="Q2393" s="121"/>
      <c r="W2393" s="109"/>
      <c r="Z2393" s="122"/>
    </row>
    <row r="2394" spans="1:26" ht="12.75" hidden="1">
      <c r="A2394" s="109"/>
      <c r="B2394" s="109"/>
      <c r="C2394" s="109"/>
      <c r="D2394" s="109"/>
      <c r="E2394" s="109"/>
      <c r="F2394" s="109"/>
      <c r="G2394" s="109"/>
      <c r="H2394" s="109"/>
      <c r="I2394" s="109"/>
      <c r="J2394" s="109"/>
      <c r="L2394" s="109"/>
      <c r="M2394" s="109"/>
      <c r="N2394" s="109"/>
      <c r="Q2394" s="121"/>
      <c r="W2394" s="109"/>
      <c r="Z2394" s="122"/>
    </row>
    <row r="2395" spans="1:26" ht="12.75" hidden="1">
      <c r="A2395" s="109"/>
      <c r="B2395" s="109"/>
      <c r="C2395" s="109"/>
      <c r="D2395" s="109"/>
      <c r="E2395" s="109"/>
      <c r="F2395" s="109"/>
      <c r="G2395" s="109"/>
      <c r="H2395" s="109"/>
      <c r="I2395" s="109"/>
      <c r="J2395" s="109"/>
      <c r="L2395" s="109"/>
      <c r="M2395" s="109"/>
      <c r="N2395" s="109"/>
      <c r="Q2395" s="121"/>
      <c r="W2395" s="109"/>
      <c r="Z2395" s="122"/>
    </row>
    <row r="2396" spans="1:26" ht="12.75" hidden="1">
      <c r="A2396" s="109"/>
      <c r="B2396" s="109"/>
      <c r="C2396" s="109"/>
      <c r="D2396" s="109"/>
      <c r="E2396" s="109"/>
      <c r="F2396" s="109"/>
      <c r="G2396" s="109"/>
      <c r="H2396" s="109"/>
      <c r="I2396" s="109"/>
      <c r="J2396" s="109"/>
      <c r="L2396" s="109"/>
      <c r="M2396" s="109"/>
      <c r="N2396" s="109"/>
      <c r="Q2396" s="121"/>
      <c r="W2396" s="109"/>
      <c r="Z2396" s="122"/>
    </row>
    <row r="2397" spans="1:26" ht="12.75" hidden="1">
      <c r="A2397" s="109"/>
      <c r="B2397" s="109"/>
      <c r="C2397" s="109"/>
      <c r="D2397" s="109"/>
      <c r="E2397" s="109"/>
      <c r="F2397" s="109"/>
      <c r="G2397" s="109"/>
      <c r="H2397" s="109"/>
      <c r="I2397" s="109"/>
      <c r="J2397" s="109"/>
      <c r="L2397" s="109"/>
      <c r="M2397" s="109"/>
      <c r="N2397" s="109"/>
      <c r="Q2397" s="121"/>
      <c r="W2397" s="109"/>
      <c r="Z2397" s="122"/>
    </row>
    <row r="2398" spans="1:26" ht="12.75" hidden="1">
      <c r="A2398" s="109"/>
      <c r="B2398" s="109"/>
      <c r="C2398" s="109"/>
      <c r="D2398" s="109"/>
      <c r="E2398" s="109"/>
      <c r="F2398" s="109"/>
      <c r="G2398" s="109"/>
      <c r="H2398" s="109"/>
      <c r="I2398" s="109"/>
      <c r="J2398" s="109"/>
      <c r="L2398" s="109"/>
      <c r="M2398" s="109"/>
      <c r="N2398" s="109"/>
      <c r="Q2398" s="121"/>
      <c r="W2398" s="109"/>
      <c r="Z2398" s="122"/>
    </row>
    <row r="2399" spans="1:26" ht="12.75" hidden="1">
      <c r="A2399" s="109"/>
      <c r="B2399" s="109"/>
      <c r="C2399" s="109"/>
      <c r="D2399" s="109"/>
      <c r="E2399" s="109"/>
      <c r="F2399" s="109"/>
      <c r="G2399" s="109"/>
      <c r="H2399" s="109"/>
      <c r="I2399" s="109"/>
      <c r="J2399" s="109"/>
      <c r="L2399" s="109"/>
      <c r="M2399" s="109"/>
      <c r="N2399" s="109"/>
      <c r="Q2399" s="121"/>
      <c r="W2399" s="109"/>
      <c r="Z2399" s="122"/>
    </row>
    <row r="2400" spans="1:26" ht="12.75" hidden="1">
      <c r="A2400" s="109"/>
      <c r="B2400" s="109"/>
      <c r="C2400" s="109"/>
      <c r="D2400" s="109"/>
      <c r="E2400" s="109"/>
      <c r="F2400" s="109"/>
      <c r="G2400" s="109"/>
      <c r="H2400" s="109"/>
      <c r="I2400" s="109"/>
      <c r="J2400" s="109"/>
      <c r="L2400" s="109"/>
      <c r="M2400" s="109"/>
      <c r="N2400" s="109"/>
      <c r="Q2400" s="121"/>
      <c r="W2400" s="109"/>
      <c r="Z2400" s="122"/>
    </row>
    <row r="2401" spans="1:26" ht="12.75" hidden="1">
      <c r="A2401" s="109"/>
      <c r="B2401" s="109"/>
      <c r="C2401" s="109"/>
      <c r="D2401" s="109"/>
      <c r="E2401" s="109"/>
      <c r="F2401" s="109"/>
      <c r="G2401" s="109"/>
      <c r="H2401" s="109"/>
      <c r="I2401" s="109"/>
      <c r="J2401" s="109"/>
      <c r="L2401" s="109"/>
      <c r="M2401" s="109"/>
      <c r="N2401" s="109"/>
      <c r="Q2401" s="121"/>
      <c r="W2401" s="109"/>
      <c r="Z2401" s="122"/>
    </row>
    <row r="2402" spans="1:26" ht="12.75" hidden="1">
      <c r="A2402" s="109"/>
      <c r="B2402" s="109"/>
      <c r="C2402" s="109"/>
      <c r="D2402" s="109"/>
      <c r="E2402" s="109"/>
      <c r="F2402" s="109"/>
      <c r="G2402" s="109"/>
      <c r="H2402" s="109"/>
      <c r="I2402" s="109"/>
      <c r="J2402" s="109"/>
      <c r="L2402" s="109"/>
      <c r="M2402" s="109"/>
      <c r="N2402" s="109"/>
      <c r="Q2402" s="121"/>
      <c r="W2402" s="109"/>
      <c r="Z2402" s="122"/>
    </row>
    <row r="2403" spans="1:26" ht="12.75" hidden="1">
      <c r="A2403" s="109"/>
      <c r="B2403" s="109"/>
      <c r="C2403" s="109"/>
      <c r="D2403" s="109"/>
      <c r="E2403" s="109"/>
      <c r="F2403" s="109"/>
      <c r="G2403" s="109"/>
      <c r="H2403" s="109"/>
      <c r="I2403" s="109"/>
      <c r="J2403" s="109"/>
      <c r="L2403" s="109"/>
      <c r="M2403" s="109"/>
      <c r="N2403" s="109"/>
      <c r="Q2403" s="121"/>
      <c r="W2403" s="109"/>
      <c r="Z2403" s="122"/>
    </row>
    <row r="2404" spans="1:26" ht="12.75" hidden="1">
      <c r="A2404" s="109"/>
      <c r="B2404" s="109"/>
      <c r="C2404" s="109"/>
      <c r="D2404" s="109"/>
      <c r="E2404" s="109"/>
      <c r="F2404" s="109"/>
      <c r="G2404" s="109"/>
      <c r="H2404" s="109"/>
      <c r="I2404" s="109"/>
      <c r="J2404" s="109"/>
      <c r="L2404" s="109"/>
      <c r="M2404" s="109"/>
      <c r="N2404" s="109"/>
      <c r="Q2404" s="121"/>
      <c r="W2404" s="109"/>
      <c r="Z2404" s="122"/>
    </row>
    <row r="2405" spans="1:26" ht="12.75" hidden="1">
      <c r="A2405" s="109"/>
      <c r="B2405" s="109"/>
      <c r="C2405" s="109"/>
      <c r="D2405" s="109"/>
      <c r="E2405" s="109"/>
      <c r="F2405" s="109"/>
      <c r="G2405" s="109"/>
      <c r="H2405" s="109"/>
      <c r="I2405" s="109"/>
      <c r="J2405" s="109"/>
      <c r="L2405" s="109"/>
      <c r="M2405" s="109"/>
      <c r="N2405" s="109"/>
      <c r="Q2405" s="121"/>
      <c r="W2405" s="109"/>
      <c r="Z2405" s="122"/>
    </row>
    <row r="2406" spans="1:26" ht="12.75" hidden="1">
      <c r="A2406" s="109"/>
      <c r="B2406" s="109"/>
      <c r="C2406" s="109"/>
      <c r="D2406" s="109"/>
      <c r="E2406" s="109"/>
      <c r="F2406" s="109"/>
      <c r="G2406" s="109"/>
      <c r="H2406" s="109"/>
      <c r="I2406" s="109"/>
      <c r="J2406" s="109"/>
      <c r="L2406" s="109"/>
      <c r="M2406" s="109"/>
      <c r="N2406" s="109"/>
      <c r="Q2406" s="121"/>
      <c r="W2406" s="109"/>
      <c r="Z2406" s="122"/>
    </row>
    <row r="2407" spans="1:26" ht="12.75" hidden="1">
      <c r="A2407" s="109"/>
      <c r="B2407" s="109"/>
      <c r="C2407" s="109"/>
      <c r="D2407" s="109"/>
      <c r="E2407" s="109"/>
      <c r="F2407" s="109"/>
      <c r="G2407" s="109"/>
      <c r="H2407" s="109"/>
      <c r="I2407" s="109"/>
      <c r="J2407" s="109"/>
      <c r="L2407" s="109"/>
      <c r="M2407" s="109"/>
      <c r="N2407" s="109"/>
      <c r="Q2407" s="121"/>
      <c r="W2407" s="109"/>
      <c r="Z2407" s="122"/>
    </row>
    <row r="2408" spans="1:26" ht="12.75" hidden="1">
      <c r="A2408" s="109"/>
      <c r="B2408" s="109"/>
      <c r="C2408" s="109"/>
      <c r="D2408" s="109"/>
      <c r="E2408" s="109"/>
      <c r="F2408" s="109"/>
      <c r="G2408" s="109"/>
      <c r="H2408" s="109"/>
      <c r="I2408" s="109"/>
      <c r="J2408" s="109"/>
      <c r="L2408" s="109"/>
      <c r="M2408" s="109"/>
      <c r="N2408" s="109"/>
      <c r="Q2408" s="121"/>
      <c r="W2408" s="109"/>
      <c r="Z2408" s="122"/>
    </row>
    <row r="2409" spans="1:26" ht="12.75" hidden="1">
      <c r="A2409" s="109"/>
      <c r="B2409" s="109"/>
      <c r="C2409" s="109"/>
      <c r="D2409" s="109"/>
      <c r="E2409" s="109"/>
      <c r="F2409" s="109"/>
      <c r="G2409" s="109"/>
      <c r="H2409" s="109"/>
      <c r="I2409" s="109"/>
      <c r="J2409" s="109"/>
      <c r="L2409" s="109"/>
      <c r="M2409" s="109"/>
      <c r="N2409" s="109"/>
      <c r="Q2409" s="121"/>
      <c r="W2409" s="109"/>
      <c r="Z2409" s="122"/>
    </row>
    <row r="2410" spans="1:26" ht="12.75" hidden="1">
      <c r="A2410" s="109"/>
      <c r="B2410" s="109"/>
      <c r="C2410" s="109"/>
      <c r="D2410" s="109"/>
      <c r="E2410" s="109"/>
      <c r="F2410" s="109"/>
      <c r="G2410" s="109"/>
      <c r="H2410" s="109"/>
      <c r="I2410" s="109"/>
      <c r="J2410" s="109"/>
      <c r="L2410" s="109"/>
      <c r="M2410" s="109"/>
      <c r="N2410" s="109"/>
      <c r="Q2410" s="121"/>
      <c r="W2410" s="109"/>
      <c r="Z2410" s="122"/>
    </row>
    <row r="2411" spans="1:26" ht="12.75" hidden="1">
      <c r="A2411" s="109"/>
      <c r="B2411" s="109"/>
      <c r="C2411" s="109"/>
      <c r="D2411" s="109"/>
      <c r="E2411" s="109"/>
      <c r="F2411" s="109"/>
      <c r="G2411" s="109"/>
      <c r="H2411" s="109"/>
      <c r="I2411" s="109"/>
      <c r="J2411" s="109"/>
      <c r="L2411" s="109"/>
      <c r="M2411" s="109"/>
      <c r="N2411" s="109"/>
      <c r="Q2411" s="121"/>
      <c r="W2411" s="109"/>
      <c r="Z2411" s="122"/>
    </row>
    <row r="2412" spans="1:26" ht="12.75" hidden="1">
      <c r="A2412" s="109"/>
      <c r="B2412" s="109"/>
      <c r="C2412" s="109"/>
      <c r="D2412" s="109"/>
      <c r="E2412" s="109"/>
      <c r="F2412" s="109"/>
      <c r="G2412" s="109"/>
      <c r="H2412" s="109"/>
      <c r="I2412" s="109"/>
      <c r="J2412" s="109"/>
      <c r="L2412" s="109"/>
      <c r="M2412" s="109"/>
      <c r="N2412" s="109"/>
      <c r="Q2412" s="121"/>
      <c r="W2412" s="109"/>
      <c r="Z2412" s="122"/>
    </row>
    <row r="2413" spans="1:26" ht="12.75" hidden="1">
      <c r="A2413" s="109"/>
      <c r="B2413" s="109"/>
      <c r="C2413" s="109"/>
      <c r="D2413" s="109"/>
      <c r="E2413" s="109"/>
      <c r="F2413" s="109"/>
      <c r="G2413" s="109"/>
      <c r="H2413" s="109"/>
      <c r="I2413" s="109"/>
      <c r="J2413" s="109"/>
      <c r="L2413" s="109"/>
      <c r="M2413" s="109"/>
      <c r="N2413" s="109"/>
      <c r="Q2413" s="121"/>
      <c r="W2413" s="109"/>
      <c r="Z2413" s="122"/>
    </row>
    <row r="2414" spans="1:26" ht="12.75" hidden="1">
      <c r="A2414" s="109"/>
      <c r="B2414" s="109"/>
      <c r="C2414" s="109"/>
      <c r="D2414" s="109"/>
      <c r="E2414" s="109"/>
      <c r="F2414" s="109"/>
      <c r="G2414" s="109"/>
      <c r="H2414" s="109"/>
      <c r="I2414" s="109"/>
      <c r="J2414" s="109"/>
      <c r="L2414" s="109"/>
      <c r="M2414" s="109"/>
      <c r="N2414" s="109"/>
      <c r="Q2414" s="121"/>
      <c r="W2414" s="109"/>
      <c r="Z2414" s="122"/>
    </row>
    <row r="2415" spans="1:26" ht="12.75" hidden="1">
      <c r="A2415" s="109"/>
      <c r="B2415" s="109"/>
      <c r="C2415" s="109"/>
      <c r="D2415" s="109"/>
      <c r="E2415" s="109"/>
      <c r="F2415" s="109"/>
      <c r="G2415" s="109"/>
      <c r="H2415" s="109"/>
      <c r="I2415" s="109"/>
      <c r="J2415" s="109"/>
      <c r="L2415" s="109"/>
      <c r="M2415" s="109"/>
      <c r="N2415" s="109"/>
      <c r="Q2415" s="121"/>
      <c r="W2415" s="109"/>
      <c r="Z2415" s="122"/>
    </row>
    <row r="2416" spans="1:26" ht="12.75" hidden="1">
      <c r="A2416" s="109"/>
      <c r="B2416" s="109"/>
      <c r="C2416" s="109"/>
      <c r="D2416" s="109"/>
      <c r="E2416" s="109"/>
      <c r="F2416" s="109"/>
      <c r="G2416" s="109"/>
      <c r="H2416" s="109"/>
      <c r="I2416" s="109"/>
      <c r="J2416" s="109"/>
      <c r="L2416" s="109"/>
      <c r="M2416" s="109"/>
      <c r="N2416" s="109"/>
      <c r="Q2416" s="121"/>
      <c r="W2416" s="109"/>
      <c r="Z2416" s="122"/>
    </row>
    <row r="2417" spans="1:26" ht="12.75" hidden="1">
      <c r="A2417" s="109"/>
      <c r="B2417" s="109"/>
      <c r="C2417" s="109"/>
      <c r="D2417" s="109"/>
      <c r="E2417" s="109"/>
      <c r="F2417" s="109"/>
      <c r="G2417" s="109"/>
      <c r="H2417" s="109"/>
      <c r="I2417" s="109"/>
      <c r="J2417" s="109"/>
      <c r="L2417" s="109"/>
      <c r="M2417" s="109"/>
      <c r="N2417" s="109"/>
      <c r="Q2417" s="121"/>
      <c r="W2417" s="109"/>
      <c r="Z2417" s="122"/>
    </row>
    <row r="2418" spans="1:26" ht="12.75" hidden="1">
      <c r="A2418" s="109"/>
      <c r="B2418" s="109"/>
      <c r="C2418" s="109"/>
      <c r="D2418" s="109"/>
      <c r="E2418" s="109"/>
      <c r="F2418" s="109"/>
      <c r="G2418" s="109"/>
      <c r="H2418" s="109"/>
      <c r="I2418" s="109"/>
      <c r="J2418" s="109"/>
      <c r="L2418" s="109"/>
      <c r="M2418" s="109"/>
      <c r="N2418" s="109"/>
      <c r="Q2418" s="121"/>
      <c r="W2418" s="109"/>
      <c r="Z2418" s="122"/>
    </row>
    <row r="2419" spans="1:26" ht="12.75" hidden="1">
      <c r="A2419" s="109"/>
      <c r="B2419" s="109"/>
      <c r="C2419" s="109"/>
      <c r="D2419" s="109"/>
      <c r="E2419" s="109"/>
      <c r="F2419" s="109"/>
      <c r="G2419" s="109"/>
      <c r="H2419" s="109"/>
      <c r="I2419" s="109"/>
      <c r="J2419" s="109"/>
      <c r="L2419" s="109"/>
      <c r="M2419" s="109"/>
      <c r="N2419" s="109"/>
      <c r="Q2419" s="121"/>
      <c r="W2419" s="109"/>
      <c r="Z2419" s="122"/>
    </row>
    <row r="2420" spans="1:26" ht="12.75" hidden="1">
      <c r="A2420" s="109"/>
      <c r="B2420" s="109"/>
      <c r="C2420" s="109"/>
      <c r="D2420" s="109"/>
      <c r="E2420" s="109"/>
      <c r="F2420" s="109"/>
      <c r="G2420" s="109"/>
      <c r="H2420" s="109"/>
      <c r="I2420" s="109"/>
      <c r="J2420" s="109"/>
      <c r="L2420" s="109"/>
      <c r="M2420" s="109"/>
      <c r="N2420" s="109"/>
      <c r="Q2420" s="121"/>
      <c r="W2420" s="109"/>
      <c r="Z2420" s="122"/>
    </row>
    <row r="2421" spans="1:26" ht="12.75" hidden="1">
      <c r="A2421" s="109"/>
      <c r="B2421" s="109"/>
      <c r="C2421" s="109"/>
      <c r="D2421" s="109"/>
      <c r="E2421" s="109"/>
      <c r="F2421" s="109"/>
      <c r="G2421" s="109"/>
      <c r="H2421" s="109"/>
      <c r="I2421" s="109"/>
      <c r="J2421" s="109"/>
      <c r="L2421" s="109"/>
      <c r="M2421" s="109"/>
      <c r="N2421" s="109"/>
      <c r="Q2421" s="121"/>
      <c r="W2421" s="109"/>
      <c r="Z2421" s="122"/>
    </row>
    <row r="2422" spans="1:26" ht="12.75" hidden="1">
      <c r="A2422" s="109"/>
      <c r="B2422" s="109"/>
      <c r="C2422" s="109"/>
      <c r="D2422" s="109"/>
      <c r="E2422" s="109"/>
      <c r="F2422" s="109"/>
      <c r="G2422" s="109"/>
      <c r="H2422" s="109"/>
      <c r="I2422" s="109"/>
      <c r="J2422" s="109"/>
      <c r="L2422" s="109"/>
      <c r="M2422" s="109"/>
      <c r="N2422" s="109"/>
      <c r="Q2422" s="121"/>
      <c r="W2422" s="109"/>
      <c r="Z2422" s="122"/>
    </row>
    <row r="2423" spans="1:26" ht="12.75" hidden="1">
      <c r="A2423" s="109"/>
      <c r="B2423" s="109"/>
      <c r="C2423" s="109"/>
      <c r="D2423" s="109"/>
      <c r="E2423" s="109"/>
      <c r="F2423" s="109"/>
      <c r="G2423" s="109"/>
      <c r="H2423" s="109"/>
      <c r="I2423" s="109"/>
      <c r="J2423" s="109"/>
      <c r="L2423" s="109"/>
      <c r="M2423" s="109"/>
      <c r="N2423" s="109"/>
      <c r="Q2423" s="121"/>
      <c r="W2423" s="109"/>
      <c r="Z2423" s="122"/>
    </row>
    <row r="2424" spans="1:26" ht="12.75" hidden="1">
      <c r="A2424" s="109"/>
      <c r="B2424" s="109"/>
      <c r="C2424" s="109"/>
      <c r="D2424" s="109"/>
      <c r="E2424" s="109"/>
      <c r="F2424" s="109"/>
      <c r="G2424" s="109"/>
      <c r="H2424" s="109"/>
      <c r="I2424" s="109"/>
      <c r="J2424" s="109"/>
      <c r="L2424" s="109"/>
      <c r="M2424" s="109"/>
      <c r="N2424" s="109"/>
      <c r="Q2424" s="121"/>
      <c r="W2424" s="109"/>
      <c r="Z2424" s="122"/>
    </row>
    <row r="2425" spans="1:26" ht="12.75" hidden="1">
      <c r="A2425" s="109"/>
      <c r="B2425" s="109"/>
      <c r="C2425" s="109"/>
      <c r="D2425" s="109"/>
      <c r="E2425" s="109"/>
      <c r="F2425" s="109"/>
      <c r="G2425" s="109"/>
      <c r="H2425" s="109"/>
      <c r="I2425" s="109"/>
      <c r="J2425" s="109"/>
      <c r="L2425" s="109"/>
      <c r="M2425" s="109"/>
      <c r="N2425" s="109"/>
      <c r="Q2425" s="121"/>
      <c r="W2425" s="109"/>
      <c r="Z2425" s="122"/>
    </row>
    <row r="2426" spans="1:26" ht="12.75" hidden="1">
      <c r="A2426" s="109"/>
      <c r="B2426" s="109"/>
      <c r="C2426" s="109"/>
      <c r="D2426" s="109"/>
      <c r="E2426" s="109"/>
      <c r="F2426" s="109"/>
      <c r="G2426" s="109"/>
      <c r="H2426" s="109"/>
      <c r="I2426" s="109"/>
      <c r="J2426" s="109"/>
      <c r="L2426" s="109"/>
      <c r="M2426" s="109"/>
      <c r="N2426" s="109"/>
      <c r="Q2426" s="121"/>
      <c r="W2426" s="109"/>
      <c r="Z2426" s="122"/>
    </row>
    <row r="2427" spans="1:26" ht="12.75" hidden="1">
      <c r="A2427" s="109"/>
      <c r="B2427" s="109"/>
      <c r="C2427" s="109"/>
      <c r="D2427" s="109"/>
      <c r="E2427" s="109"/>
      <c r="F2427" s="109"/>
      <c r="G2427" s="109"/>
      <c r="H2427" s="109"/>
      <c r="I2427" s="109"/>
      <c r="J2427" s="109"/>
      <c r="L2427" s="109"/>
      <c r="M2427" s="109"/>
      <c r="N2427" s="109"/>
      <c r="Q2427" s="121"/>
      <c r="W2427" s="109"/>
      <c r="Z2427" s="122"/>
    </row>
    <row r="2428" spans="1:26" ht="12.75" hidden="1">
      <c r="A2428" s="109"/>
      <c r="B2428" s="109"/>
      <c r="C2428" s="109"/>
      <c r="D2428" s="109"/>
      <c r="E2428" s="109"/>
      <c r="F2428" s="109"/>
      <c r="G2428" s="109"/>
      <c r="H2428" s="109"/>
      <c r="I2428" s="109"/>
      <c r="J2428" s="109"/>
      <c r="L2428" s="109"/>
      <c r="M2428" s="109"/>
      <c r="N2428" s="109"/>
      <c r="Q2428" s="121"/>
      <c r="W2428" s="109"/>
      <c r="Z2428" s="122"/>
    </row>
    <row r="2429" spans="1:26" ht="12.75" hidden="1">
      <c r="A2429" s="109"/>
      <c r="B2429" s="109"/>
      <c r="C2429" s="109"/>
      <c r="D2429" s="109"/>
      <c r="E2429" s="109"/>
      <c r="F2429" s="109"/>
      <c r="G2429" s="109"/>
      <c r="H2429" s="109"/>
      <c r="I2429" s="109"/>
      <c r="J2429" s="109"/>
      <c r="L2429" s="109"/>
      <c r="M2429" s="109"/>
      <c r="N2429" s="109"/>
      <c r="Q2429" s="121"/>
      <c r="W2429" s="109"/>
      <c r="Z2429" s="122"/>
    </row>
    <row r="2430" spans="1:26" ht="12.75" hidden="1">
      <c r="A2430" s="109"/>
      <c r="B2430" s="109"/>
      <c r="C2430" s="109"/>
      <c r="D2430" s="109"/>
      <c r="E2430" s="109"/>
      <c r="F2430" s="109"/>
      <c r="G2430" s="109"/>
      <c r="H2430" s="109"/>
      <c r="I2430" s="109"/>
      <c r="J2430" s="109"/>
      <c r="L2430" s="109"/>
      <c r="M2430" s="109"/>
      <c r="N2430" s="109"/>
      <c r="Q2430" s="121"/>
      <c r="W2430" s="109"/>
      <c r="Z2430" s="122"/>
    </row>
    <row r="2431" spans="1:26" ht="12.75" hidden="1">
      <c r="A2431" s="109"/>
      <c r="B2431" s="109"/>
      <c r="C2431" s="109"/>
      <c r="D2431" s="109"/>
      <c r="E2431" s="109"/>
      <c r="F2431" s="109"/>
      <c r="G2431" s="109"/>
      <c r="H2431" s="109"/>
      <c r="I2431" s="109"/>
      <c r="J2431" s="109"/>
      <c r="L2431" s="109"/>
      <c r="M2431" s="109"/>
      <c r="N2431" s="109"/>
      <c r="Q2431" s="121"/>
      <c r="W2431" s="109"/>
      <c r="Z2431" s="122"/>
    </row>
    <row r="2432" spans="1:26" ht="12.75" hidden="1">
      <c r="A2432" s="109"/>
      <c r="B2432" s="109"/>
      <c r="C2432" s="109"/>
      <c r="D2432" s="109"/>
      <c r="E2432" s="109"/>
      <c r="F2432" s="109"/>
      <c r="G2432" s="109"/>
      <c r="H2432" s="109"/>
      <c r="I2432" s="109"/>
      <c r="J2432" s="109"/>
      <c r="L2432" s="109"/>
      <c r="M2432" s="109"/>
      <c r="N2432" s="109"/>
      <c r="Q2432" s="121"/>
      <c r="W2432" s="109"/>
      <c r="Z2432" s="122"/>
    </row>
    <row r="2433" spans="1:26" ht="12.75" hidden="1">
      <c r="A2433" s="109"/>
      <c r="B2433" s="109"/>
      <c r="C2433" s="109"/>
      <c r="D2433" s="109"/>
      <c r="E2433" s="109"/>
      <c r="F2433" s="109"/>
      <c r="G2433" s="109"/>
      <c r="H2433" s="109"/>
      <c r="I2433" s="109"/>
      <c r="J2433" s="109"/>
      <c r="L2433" s="109"/>
      <c r="M2433" s="109"/>
      <c r="N2433" s="109"/>
      <c r="Q2433" s="121"/>
      <c r="W2433" s="109"/>
      <c r="Z2433" s="122"/>
    </row>
    <row r="2434" spans="1:26" ht="12.75" hidden="1">
      <c r="A2434" s="109"/>
      <c r="B2434" s="109"/>
      <c r="C2434" s="109"/>
      <c r="D2434" s="109"/>
      <c r="E2434" s="109"/>
      <c r="F2434" s="109"/>
      <c r="G2434" s="109"/>
      <c r="H2434" s="109"/>
      <c r="I2434" s="109"/>
      <c r="J2434" s="109"/>
      <c r="L2434" s="109"/>
      <c r="M2434" s="109"/>
      <c r="N2434" s="109"/>
      <c r="Q2434" s="121"/>
      <c r="W2434" s="109"/>
      <c r="Z2434" s="122"/>
    </row>
    <row r="2435" spans="1:26" ht="12.75" hidden="1">
      <c r="A2435" s="109"/>
      <c r="B2435" s="109"/>
      <c r="C2435" s="109"/>
      <c r="D2435" s="109"/>
      <c r="E2435" s="109"/>
      <c r="F2435" s="109"/>
      <c r="G2435" s="109"/>
      <c r="H2435" s="109"/>
      <c r="I2435" s="109"/>
      <c r="J2435" s="109"/>
      <c r="L2435" s="109"/>
      <c r="M2435" s="109"/>
      <c r="N2435" s="109"/>
      <c r="Q2435" s="121"/>
      <c r="W2435" s="109"/>
      <c r="Z2435" s="122"/>
    </row>
    <row r="2436" spans="1:26" ht="12.75" hidden="1">
      <c r="A2436" s="109"/>
      <c r="B2436" s="109"/>
      <c r="C2436" s="109"/>
      <c r="D2436" s="109"/>
      <c r="E2436" s="109"/>
      <c r="F2436" s="109"/>
      <c r="G2436" s="109"/>
      <c r="H2436" s="109"/>
      <c r="I2436" s="109"/>
      <c r="J2436" s="109"/>
      <c r="L2436" s="109"/>
      <c r="M2436" s="109"/>
      <c r="N2436" s="109"/>
      <c r="Q2436" s="121"/>
      <c r="W2436" s="109"/>
      <c r="Z2436" s="122"/>
    </row>
    <row r="2437" spans="1:26" ht="12.75" hidden="1">
      <c r="A2437" s="109"/>
      <c r="B2437" s="109"/>
      <c r="C2437" s="109"/>
      <c r="D2437" s="109"/>
      <c r="E2437" s="109"/>
      <c r="F2437" s="109"/>
      <c r="G2437" s="109"/>
      <c r="H2437" s="109"/>
      <c r="I2437" s="109"/>
      <c r="J2437" s="109"/>
      <c r="L2437" s="109"/>
      <c r="M2437" s="109"/>
      <c r="N2437" s="109"/>
      <c r="Q2437" s="121"/>
      <c r="W2437" s="109"/>
      <c r="Z2437" s="122"/>
    </row>
    <row r="2438" spans="1:26" ht="12.75" hidden="1">
      <c r="A2438" s="109"/>
      <c r="B2438" s="109"/>
      <c r="C2438" s="109"/>
      <c r="D2438" s="109"/>
      <c r="E2438" s="109"/>
      <c r="F2438" s="109"/>
      <c r="G2438" s="109"/>
      <c r="H2438" s="109"/>
      <c r="I2438" s="109"/>
      <c r="J2438" s="109"/>
      <c r="L2438" s="109"/>
      <c r="M2438" s="109"/>
      <c r="N2438" s="109"/>
      <c r="Q2438" s="121"/>
      <c r="W2438" s="109"/>
      <c r="Z2438" s="122"/>
    </row>
    <row r="2439" spans="1:26" ht="12.75" hidden="1">
      <c r="A2439" s="109"/>
      <c r="B2439" s="109"/>
      <c r="C2439" s="109"/>
      <c r="D2439" s="109"/>
      <c r="E2439" s="109"/>
      <c r="F2439" s="109"/>
      <c r="G2439" s="109"/>
      <c r="H2439" s="109"/>
      <c r="I2439" s="109"/>
      <c r="J2439" s="109"/>
      <c r="L2439" s="109"/>
      <c r="M2439" s="109"/>
      <c r="N2439" s="109"/>
      <c r="Q2439" s="121"/>
      <c r="W2439" s="109"/>
      <c r="Z2439" s="122"/>
    </row>
    <row r="2440" spans="1:26" ht="12.75" hidden="1">
      <c r="A2440" s="109"/>
      <c r="B2440" s="109"/>
      <c r="C2440" s="109"/>
      <c r="D2440" s="109"/>
      <c r="E2440" s="109"/>
      <c r="F2440" s="109"/>
      <c r="G2440" s="109"/>
      <c r="H2440" s="109"/>
      <c r="I2440" s="109"/>
      <c r="J2440" s="109"/>
      <c r="L2440" s="109"/>
      <c r="M2440" s="109"/>
      <c r="N2440" s="109"/>
      <c r="Q2440" s="121"/>
      <c r="W2440" s="109"/>
      <c r="Z2440" s="122"/>
    </row>
    <row r="2441" spans="1:26" ht="12.75" hidden="1">
      <c r="A2441" s="109"/>
      <c r="B2441" s="109"/>
      <c r="C2441" s="109"/>
      <c r="D2441" s="109"/>
      <c r="E2441" s="109"/>
      <c r="F2441" s="109"/>
      <c r="G2441" s="109"/>
      <c r="H2441" s="109"/>
      <c r="I2441" s="109"/>
      <c r="J2441" s="109"/>
      <c r="L2441" s="109"/>
      <c r="M2441" s="109"/>
      <c r="N2441" s="109"/>
      <c r="Q2441" s="121"/>
      <c r="W2441" s="109"/>
      <c r="Z2441" s="122"/>
    </row>
    <row r="2442" spans="1:26" ht="12.75" hidden="1">
      <c r="A2442" s="109"/>
      <c r="B2442" s="109"/>
      <c r="C2442" s="109"/>
      <c r="D2442" s="109"/>
      <c r="E2442" s="109"/>
      <c r="F2442" s="109"/>
      <c r="G2442" s="109"/>
      <c r="H2442" s="109"/>
      <c r="I2442" s="109"/>
      <c r="J2442" s="109"/>
      <c r="L2442" s="109"/>
      <c r="M2442" s="109"/>
      <c r="N2442" s="109"/>
      <c r="Q2442" s="121"/>
      <c r="W2442" s="109"/>
      <c r="Z2442" s="122"/>
    </row>
    <row r="2443" spans="1:26" ht="12.75" hidden="1">
      <c r="A2443" s="109"/>
      <c r="B2443" s="109"/>
      <c r="C2443" s="109"/>
      <c r="D2443" s="109"/>
      <c r="E2443" s="109"/>
      <c r="F2443" s="109"/>
      <c r="G2443" s="109"/>
      <c r="H2443" s="109"/>
      <c r="I2443" s="109"/>
      <c r="J2443" s="109"/>
      <c r="L2443" s="109"/>
      <c r="M2443" s="109"/>
      <c r="N2443" s="109"/>
      <c r="Q2443" s="121"/>
      <c r="W2443" s="109"/>
      <c r="Z2443" s="122"/>
    </row>
    <row r="2444" spans="1:26" ht="12.75" hidden="1">
      <c r="A2444" s="109"/>
      <c r="B2444" s="109"/>
      <c r="C2444" s="109"/>
      <c r="D2444" s="109"/>
      <c r="E2444" s="109"/>
      <c r="F2444" s="109"/>
      <c r="G2444" s="109"/>
      <c r="H2444" s="109"/>
      <c r="I2444" s="109"/>
      <c r="J2444" s="109"/>
      <c r="L2444" s="109"/>
      <c r="M2444" s="109"/>
      <c r="N2444" s="109"/>
      <c r="Q2444" s="121"/>
      <c r="W2444" s="109"/>
      <c r="Z2444" s="122"/>
    </row>
    <row r="2445" spans="1:26" ht="12.75" hidden="1">
      <c r="A2445" s="109"/>
      <c r="B2445" s="109"/>
      <c r="C2445" s="109"/>
      <c r="D2445" s="109"/>
      <c r="E2445" s="109"/>
      <c r="F2445" s="109"/>
      <c r="G2445" s="109"/>
      <c r="H2445" s="109"/>
      <c r="I2445" s="109"/>
      <c r="J2445" s="109"/>
      <c r="L2445" s="109"/>
      <c r="M2445" s="109"/>
      <c r="N2445" s="109"/>
      <c r="Q2445" s="121"/>
      <c r="W2445" s="109"/>
      <c r="Z2445" s="122"/>
    </row>
    <row r="2446" spans="1:26" ht="12.75" hidden="1">
      <c r="A2446" s="109"/>
      <c r="B2446" s="109"/>
      <c r="C2446" s="109"/>
      <c r="D2446" s="109"/>
      <c r="E2446" s="109"/>
      <c r="F2446" s="109"/>
      <c r="G2446" s="109"/>
      <c r="H2446" s="109"/>
      <c r="I2446" s="109"/>
      <c r="J2446" s="109"/>
      <c r="L2446" s="109"/>
      <c r="M2446" s="109"/>
      <c r="N2446" s="109"/>
      <c r="Q2446" s="121"/>
      <c r="W2446" s="109"/>
      <c r="Z2446" s="122"/>
    </row>
    <row r="2447" spans="1:26" ht="12.75" hidden="1">
      <c r="A2447" s="109"/>
      <c r="B2447" s="109"/>
      <c r="C2447" s="109"/>
      <c r="D2447" s="109"/>
      <c r="E2447" s="109"/>
      <c r="F2447" s="109"/>
      <c r="G2447" s="109"/>
      <c r="H2447" s="109"/>
      <c r="I2447" s="109"/>
      <c r="J2447" s="109"/>
      <c r="L2447" s="109"/>
      <c r="M2447" s="109"/>
      <c r="N2447" s="109"/>
      <c r="Q2447" s="121"/>
      <c r="W2447" s="109"/>
      <c r="Z2447" s="122"/>
    </row>
    <row r="2448" spans="1:26" ht="12.75" hidden="1">
      <c r="A2448" s="109"/>
      <c r="B2448" s="109"/>
      <c r="C2448" s="109"/>
      <c r="D2448" s="109"/>
      <c r="E2448" s="109"/>
      <c r="F2448" s="109"/>
      <c r="G2448" s="109"/>
      <c r="H2448" s="109"/>
      <c r="I2448" s="109"/>
      <c r="J2448" s="109"/>
      <c r="L2448" s="109"/>
      <c r="M2448" s="109"/>
      <c r="N2448" s="109"/>
      <c r="Q2448" s="121"/>
      <c r="W2448" s="109"/>
      <c r="Z2448" s="122"/>
    </row>
    <row r="2449" spans="1:26" ht="12.75" hidden="1">
      <c r="A2449" s="109"/>
      <c r="B2449" s="109"/>
      <c r="C2449" s="109"/>
      <c r="D2449" s="109"/>
      <c r="E2449" s="109"/>
      <c r="F2449" s="109"/>
      <c r="G2449" s="109"/>
      <c r="H2449" s="109"/>
      <c r="I2449" s="109"/>
      <c r="J2449" s="109"/>
      <c r="L2449" s="109"/>
      <c r="M2449" s="109"/>
      <c r="N2449" s="109"/>
      <c r="Q2449" s="121"/>
      <c r="W2449" s="109"/>
      <c r="Z2449" s="122"/>
    </row>
    <row r="2450" spans="1:26" ht="12.75" hidden="1">
      <c r="A2450" s="109"/>
      <c r="B2450" s="109"/>
      <c r="C2450" s="109"/>
      <c r="D2450" s="109"/>
      <c r="E2450" s="109"/>
      <c r="F2450" s="109"/>
      <c r="G2450" s="109"/>
      <c r="H2450" s="109"/>
      <c r="I2450" s="109"/>
      <c r="J2450" s="109"/>
      <c r="L2450" s="109"/>
      <c r="M2450" s="109"/>
      <c r="N2450" s="109"/>
      <c r="Q2450" s="121"/>
      <c r="W2450" s="109"/>
      <c r="Z2450" s="122"/>
    </row>
    <row r="2451" spans="1:26" ht="12.75" hidden="1">
      <c r="A2451" s="109"/>
      <c r="B2451" s="109"/>
      <c r="C2451" s="109"/>
      <c r="D2451" s="109"/>
      <c r="E2451" s="109"/>
      <c r="F2451" s="109"/>
      <c r="G2451" s="109"/>
      <c r="H2451" s="109"/>
      <c r="I2451" s="109"/>
      <c r="J2451" s="109"/>
      <c r="L2451" s="109"/>
      <c r="M2451" s="109"/>
      <c r="N2451" s="109"/>
      <c r="Q2451" s="121"/>
      <c r="W2451" s="109"/>
      <c r="Z2451" s="122"/>
    </row>
    <row r="2452" spans="1:26" ht="12.75" hidden="1">
      <c r="A2452" s="109"/>
      <c r="B2452" s="109"/>
      <c r="C2452" s="109"/>
      <c r="D2452" s="109"/>
      <c r="E2452" s="109"/>
      <c r="F2452" s="109"/>
      <c r="G2452" s="109"/>
      <c r="H2452" s="109"/>
      <c r="I2452" s="109"/>
      <c r="J2452" s="109"/>
      <c r="L2452" s="109"/>
      <c r="M2452" s="109"/>
      <c r="N2452" s="109"/>
      <c r="Q2452" s="121"/>
      <c r="W2452" s="109"/>
      <c r="Z2452" s="122"/>
    </row>
    <row r="2453" spans="1:26" ht="12.75" hidden="1">
      <c r="A2453" s="109"/>
      <c r="B2453" s="109"/>
      <c r="C2453" s="109"/>
      <c r="D2453" s="109"/>
      <c r="E2453" s="109"/>
      <c r="F2453" s="109"/>
      <c r="G2453" s="109"/>
      <c r="H2453" s="109"/>
      <c r="I2453" s="109"/>
      <c r="J2453" s="109"/>
      <c r="L2453" s="109"/>
      <c r="M2453" s="109"/>
      <c r="N2453" s="109"/>
      <c r="Q2453" s="121"/>
      <c r="W2453" s="109"/>
      <c r="Z2453" s="122"/>
    </row>
    <row r="2454" spans="1:26" ht="12.75" hidden="1">
      <c r="A2454" s="109"/>
      <c r="B2454" s="109"/>
      <c r="C2454" s="109"/>
      <c r="D2454" s="109"/>
      <c r="E2454" s="109"/>
      <c r="F2454" s="109"/>
      <c r="G2454" s="109"/>
      <c r="H2454" s="109"/>
      <c r="I2454" s="109"/>
      <c r="J2454" s="109"/>
      <c r="L2454" s="109"/>
      <c r="M2454" s="109"/>
      <c r="N2454" s="109"/>
      <c r="Q2454" s="121"/>
      <c r="W2454" s="109"/>
      <c r="Z2454" s="122"/>
    </row>
    <row r="2455" spans="1:26" ht="12.75" hidden="1">
      <c r="A2455" s="109"/>
      <c r="B2455" s="109"/>
      <c r="C2455" s="109"/>
      <c r="D2455" s="109"/>
      <c r="E2455" s="109"/>
      <c r="F2455" s="109"/>
      <c r="G2455" s="109"/>
      <c r="H2455" s="109"/>
      <c r="I2455" s="109"/>
      <c r="J2455" s="109"/>
      <c r="L2455" s="109"/>
      <c r="M2455" s="109"/>
      <c r="N2455" s="109"/>
      <c r="Q2455" s="121"/>
      <c r="W2455" s="109"/>
      <c r="Z2455" s="122"/>
    </row>
    <row r="2456" spans="1:26" ht="12.75" hidden="1">
      <c r="A2456" s="109"/>
      <c r="B2456" s="109"/>
      <c r="C2456" s="109"/>
      <c r="D2456" s="109"/>
      <c r="E2456" s="109"/>
      <c r="F2456" s="109"/>
      <c r="G2456" s="109"/>
      <c r="H2456" s="109"/>
      <c r="I2456" s="109"/>
      <c r="J2456" s="109"/>
      <c r="L2456" s="109"/>
      <c r="M2456" s="109"/>
      <c r="N2456" s="109"/>
      <c r="Q2456" s="121"/>
      <c r="W2456" s="109"/>
      <c r="Z2456" s="122"/>
    </row>
    <row r="2457" spans="1:26" ht="12.75" hidden="1">
      <c r="A2457" s="109"/>
      <c r="B2457" s="109"/>
      <c r="C2457" s="109"/>
      <c r="D2457" s="109"/>
      <c r="E2457" s="109"/>
      <c r="F2457" s="109"/>
      <c r="G2457" s="109"/>
      <c r="H2457" s="109"/>
      <c r="I2457" s="109"/>
      <c r="J2457" s="109"/>
      <c r="L2457" s="109"/>
      <c r="M2457" s="109"/>
      <c r="N2457" s="109"/>
      <c r="Q2457" s="121"/>
      <c r="W2457" s="109"/>
      <c r="Z2457" s="122"/>
    </row>
    <row r="2458" spans="1:26" ht="12.75" hidden="1">
      <c r="A2458" s="109"/>
      <c r="B2458" s="109"/>
      <c r="C2458" s="109"/>
      <c r="D2458" s="109"/>
      <c r="E2458" s="109"/>
      <c r="F2458" s="109"/>
      <c r="G2458" s="109"/>
      <c r="H2458" s="109"/>
      <c r="I2458" s="109"/>
      <c r="J2458" s="109"/>
      <c r="L2458" s="109"/>
      <c r="M2458" s="109"/>
      <c r="N2458" s="109"/>
      <c r="Q2458" s="121"/>
      <c r="W2458" s="109"/>
      <c r="Z2458" s="122"/>
    </row>
    <row r="2459" spans="1:26" ht="12.75" hidden="1">
      <c r="A2459" s="109"/>
      <c r="B2459" s="109"/>
      <c r="C2459" s="109"/>
      <c r="D2459" s="109"/>
      <c r="E2459" s="109"/>
      <c r="F2459" s="109"/>
      <c r="G2459" s="109"/>
      <c r="H2459" s="109"/>
      <c r="I2459" s="109"/>
      <c r="J2459" s="109"/>
      <c r="L2459" s="109"/>
      <c r="M2459" s="109"/>
      <c r="N2459" s="109"/>
      <c r="Q2459" s="121"/>
      <c r="W2459" s="109"/>
      <c r="Z2459" s="122"/>
    </row>
    <row r="2460" spans="1:26" ht="12.75" hidden="1">
      <c r="A2460" s="109"/>
      <c r="B2460" s="109"/>
      <c r="C2460" s="109"/>
      <c r="D2460" s="109"/>
      <c r="E2460" s="109"/>
      <c r="F2460" s="109"/>
      <c r="G2460" s="109"/>
      <c r="H2460" s="109"/>
      <c r="I2460" s="109"/>
      <c r="J2460" s="109"/>
      <c r="L2460" s="109"/>
      <c r="M2460" s="109"/>
      <c r="N2460" s="109"/>
      <c r="Q2460" s="121"/>
      <c r="W2460" s="109"/>
      <c r="Z2460" s="122"/>
    </row>
    <row r="2461" spans="1:26" ht="12.75" hidden="1">
      <c r="A2461" s="109"/>
      <c r="B2461" s="109"/>
      <c r="C2461" s="109"/>
      <c r="D2461" s="109"/>
      <c r="E2461" s="109"/>
      <c r="F2461" s="109"/>
      <c r="G2461" s="109"/>
      <c r="H2461" s="109"/>
      <c r="I2461" s="109"/>
      <c r="J2461" s="109"/>
      <c r="L2461" s="109"/>
      <c r="M2461" s="109"/>
      <c r="N2461" s="109"/>
      <c r="Q2461" s="121"/>
      <c r="W2461" s="109"/>
      <c r="Z2461" s="122"/>
    </row>
    <row r="2462" spans="1:26" ht="12.75" hidden="1">
      <c r="A2462" s="109"/>
      <c r="B2462" s="109"/>
      <c r="C2462" s="109"/>
      <c r="D2462" s="109"/>
      <c r="E2462" s="109"/>
      <c r="F2462" s="109"/>
      <c r="G2462" s="109"/>
      <c r="H2462" s="109"/>
      <c r="I2462" s="109"/>
      <c r="J2462" s="109"/>
      <c r="L2462" s="109"/>
      <c r="M2462" s="109"/>
      <c r="N2462" s="109"/>
      <c r="Q2462" s="121"/>
      <c r="W2462" s="109"/>
      <c r="Z2462" s="122"/>
    </row>
    <row r="2463" spans="1:26" ht="12.75" hidden="1">
      <c r="A2463" s="109"/>
      <c r="B2463" s="109"/>
      <c r="C2463" s="109"/>
      <c r="D2463" s="109"/>
      <c r="E2463" s="109"/>
      <c r="F2463" s="109"/>
      <c r="G2463" s="109"/>
      <c r="H2463" s="109"/>
      <c r="I2463" s="109"/>
      <c r="J2463" s="109"/>
      <c r="L2463" s="109"/>
      <c r="M2463" s="109"/>
      <c r="N2463" s="109"/>
      <c r="Q2463" s="121"/>
      <c r="W2463" s="109"/>
      <c r="Z2463" s="122"/>
    </row>
    <row r="2464" spans="1:26" ht="12.75" hidden="1">
      <c r="A2464" s="109"/>
      <c r="B2464" s="109"/>
      <c r="C2464" s="109"/>
      <c r="D2464" s="109"/>
      <c r="E2464" s="109"/>
      <c r="F2464" s="109"/>
      <c r="G2464" s="109"/>
      <c r="H2464" s="109"/>
      <c r="I2464" s="109"/>
      <c r="J2464" s="109"/>
      <c r="L2464" s="109"/>
      <c r="M2464" s="109"/>
      <c r="N2464" s="109"/>
      <c r="Q2464" s="121"/>
      <c r="W2464" s="109"/>
      <c r="Z2464" s="122"/>
    </row>
    <row r="2465" spans="1:26" ht="12.75" hidden="1">
      <c r="A2465" s="109"/>
      <c r="B2465" s="109"/>
      <c r="C2465" s="109"/>
      <c r="D2465" s="109"/>
      <c r="E2465" s="109"/>
      <c r="F2465" s="109"/>
      <c r="G2465" s="109"/>
      <c r="H2465" s="109"/>
      <c r="I2465" s="109"/>
      <c r="J2465" s="109"/>
      <c r="L2465" s="109"/>
      <c r="M2465" s="109"/>
      <c r="N2465" s="109"/>
      <c r="Q2465" s="121"/>
      <c r="W2465" s="109"/>
      <c r="Z2465" s="122"/>
    </row>
    <row r="2466" spans="1:26" ht="12.75" hidden="1">
      <c r="A2466" s="109"/>
      <c r="B2466" s="109"/>
      <c r="C2466" s="109"/>
      <c r="D2466" s="109"/>
      <c r="E2466" s="109"/>
      <c r="F2466" s="109"/>
      <c r="G2466" s="109"/>
      <c r="H2466" s="109"/>
      <c r="I2466" s="109"/>
      <c r="J2466" s="109"/>
      <c r="L2466" s="109"/>
      <c r="M2466" s="109"/>
      <c r="N2466" s="109"/>
      <c r="Q2466" s="121"/>
      <c r="W2466" s="109"/>
      <c r="Z2466" s="122"/>
    </row>
    <row r="2467" spans="1:26" ht="12.75" hidden="1">
      <c r="A2467" s="109"/>
      <c r="B2467" s="109"/>
      <c r="C2467" s="109"/>
      <c r="D2467" s="109"/>
      <c r="E2467" s="109"/>
      <c r="F2467" s="109"/>
      <c r="G2467" s="109"/>
      <c r="H2467" s="109"/>
      <c r="I2467" s="109"/>
      <c r="J2467" s="109"/>
      <c r="L2467" s="109"/>
      <c r="M2467" s="109"/>
      <c r="N2467" s="109"/>
      <c r="Q2467" s="121"/>
      <c r="W2467" s="109"/>
      <c r="Z2467" s="122"/>
    </row>
    <row r="2468" spans="1:26" ht="12.75" hidden="1">
      <c r="A2468" s="109"/>
      <c r="B2468" s="109"/>
      <c r="C2468" s="109"/>
      <c r="D2468" s="109"/>
      <c r="E2468" s="109"/>
      <c r="F2468" s="109"/>
      <c r="G2468" s="109"/>
      <c r="H2468" s="109"/>
      <c r="I2468" s="109"/>
      <c r="J2468" s="109"/>
      <c r="L2468" s="109"/>
      <c r="M2468" s="109"/>
      <c r="N2468" s="109"/>
      <c r="Q2468" s="121"/>
      <c r="W2468" s="109"/>
      <c r="Z2468" s="122"/>
    </row>
    <row r="2469" spans="1:26" ht="12.75" hidden="1">
      <c r="A2469" s="109"/>
      <c r="B2469" s="109"/>
      <c r="C2469" s="109"/>
      <c r="D2469" s="109"/>
      <c r="E2469" s="109"/>
      <c r="F2469" s="109"/>
      <c r="G2469" s="109"/>
      <c r="H2469" s="109"/>
      <c r="I2469" s="109"/>
      <c r="J2469" s="109"/>
      <c r="L2469" s="109"/>
      <c r="M2469" s="109"/>
      <c r="N2469" s="109"/>
      <c r="Q2469" s="121"/>
      <c r="W2469" s="109"/>
      <c r="Z2469" s="122"/>
    </row>
    <row r="2470" spans="1:26" ht="12.75" hidden="1">
      <c r="A2470" s="109"/>
      <c r="B2470" s="109"/>
      <c r="C2470" s="109"/>
      <c r="D2470" s="109"/>
      <c r="E2470" s="109"/>
      <c r="F2470" s="109"/>
      <c r="G2470" s="109"/>
      <c r="H2470" s="109"/>
      <c r="I2470" s="109"/>
      <c r="J2470" s="109"/>
      <c r="L2470" s="109"/>
      <c r="M2470" s="109"/>
      <c r="N2470" s="109"/>
      <c r="Q2470" s="121"/>
      <c r="W2470" s="109"/>
      <c r="Z2470" s="122"/>
    </row>
    <row r="2471" spans="1:26" ht="12.75" hidden="1">
      <c r="A2471" s="109"/>
      <c r="B2471" s="109"/>
      <c r="C2471" s="109"/>
      <c r="D2471" s="109"/>
      <c r="E2471" s="109"/>
      <c r="F2471" s="109"/>
      <c r="G2471" s="109"/>
      <c r="H2471" s="109"/>
      <c r="I2471" s="109"/>
      <c r="J2471" s="109"/>
      <c r="L2471" s="109"/>
      <c r="M2471" s="109"/>
      <c r="N2471" s="109"/>
      <c r="Q2471" s="121"/>
      <c r="W2471" s="109"/>
      <c r="Z2471" s="122"/>
    </row>
    <row r="2472" spans="1:26" ht="12.75" hidden="1">
      <c r="A2472" s="109"/>
      <c r="B2472" s="109"/>
      <c r="C2472" s="109"/>
      <c r="D2472" s="109"/>
      <c r="E2472" s="109"/>
      <c r="F2472" s="109"/>
      <c r="G2472" s="109"/>
      <c r="H2472" s="109"/>
      <c r="I2472" s="109"/>
      <c r="J2472" s="109"/>
      <c r="L2472" s="109"/>
      <c r="M2472" s="109"/>
      <c r="N2472" s="109"/>
      <c r="Q2472" s="121"/>
      <c r="W2472" s="109"/>
      <c r="Z2472" s="122"/>
    </row>
    <row r="2473" spans="1:26" ht="12.75" hidden="1">
      <c r="A2473" s="109"/>
      <c r="B2473" s="109"/>
      <c r="C2473" s="109"/>
      <c r="D2473" s="109"/>
      <c r="E2473" s="109"/>
      <c r="F2473" s="109"/>
      <c r="G2473" s="109"/>
      <c r="H2473" s="109"/>
      <c r="I2473" s="109"/>
      <c r="J2473" s="109"/>
      <c r="L2473" s="109"/>
      <c r="M2473" s="109"/>
      <c r="N2473" s="109"/>
      <c r="Q2473" s="121"/>
      <c r="W2473" s="109"/>
      <c r="Z2473" s="122"/>
    </row>
    <row r="2474" spans="1:26" ht="12.75" hidden="1">
      <c r="A2474" s="109"/>
      <c r="B2474" s="109"/>
      <c r="C2474" s="109"/>
      <c r="D2474" s="109"/>
      <c r="E2474" s="109"/>
      <c r="F2474" s="109"/>
      <c r="G2474" s="109"/>
      <c r="H2474" s="109"/>
      <c r="I2474" s="109"/>
      <c r="J2474" s="109"/>
      <c r="L2474" s="109"/>
      <c r="M2474" s="109"/>
      <c r="N2474" s="109"/>
      <c r="Q2474" s="121"/>
      <c r="W2474" s="109"/>
      <c r="Z2474" s="122"/>
    </row>
    <row r="2475" spans="1:26" ht="12.75" hidden="1">
      <c r="A2475" s="109"/>
      <c r="B2475" s="109"/>
      <c r="C2475" s="109"/>
      <c r="D2475" s="109"/>
      <c r="E2475" s="109"/>
      <c r="F2475" s="109"/>
      <c r="G2475" s="109"/>
      <c r="H2475" s="109"/>
      <c r="I2475" s="109"/>
      <c r="J2475" s="109"/>
      <c r="L2475" s="109"/>
      <c r="M2475" s="109"/>
      <c r="N2475" s="109"/>
      <c r="Q2475" s="121"/>
      <c r="W2475" s="109"/>
      <c r="Z2475" s="122"/>
    </row>
    <row r="2476" spans="1:26" ht="12.75" hidden="1">
      <c r="A2476" s="109"/>
      <c r="B2476" s="109"/>
      <c r="C2476" s="109"/>
      <c r="D2476" s="109"/>
      <c r="E2476" s="109"/>
      <c r="F2476" s="109"/>
      <c r="G2476" s="109"/>
      <c r="H2476" s="109"/>
      <c r="I2476" s="109"/>
      <c r="J2476" s="109"/>
      <c r="L2476" s="109"/>
      <c r="M2476" s="109"/>
      <c r="N2476" s="109"/>
      <c r="Q2476" s="121"/>
      <c r="W2476" s="109"/>
      <c r="Z2476" s="122"/>
    </row>
    <row r="2477" spans="1:26" ht="12.75" hidden="1">
      <c r="A2477" s="109"/>
      <c r="B2477" s="109"/>
      <c r="C2477" s="109"/>
      <c r="D2477" s="109"/>
      <c r="E2477" s="109"/>
      <c r="F2477" s="109"/>
      <c r="G2477" s="109"/>
      <c r="H2477" s="109"/>
      <c r="I2477" s="109"/>
      <c r="J2477" s="109"/>
      <c r="L2477" s="109"/>
      <c r="M2477" s="109"/>
      <c r="N2477" s="109"/>
      <c r="Q2477" s="121"/>
      <c r="W2477" s="109"/>
      <c r="Z2477" s="122"/>
    </row>
    <row r="2478" spans="1:26" ht="12.75" hidden="1">
      <c r="A2478" s="109"/>
      <c r="B2478" s="109"/>
      <c r="C2478" s="109"/>
      <c r="D2478" s="109"/>
      <c r="E2478" s="109"/>
      <c r="F2478" s="109"/>
      <c r="G2478" s="109"/>
      <c r="H2478" s="109"/>
      <c r="I2478" s="109"/>
      <c r="J2478" s="109"/>
      <c r="L2478" s="109"/>
      <c r="M2478" s="109"/>
      <c r="N2478" s="109"/>
      <c r="Q2478" s="121"/>
      <c r="W2478" s="109"/>
      <c r="Z2478" s="122"/>
    </row>
    <row r="2479" spans="1:26" ht="12.75" hidden="1">
      <c r="A2479" s="109"/>
      <c r="B2479" s="109"/>
      <c r="C2479" s="109"/>
      <c r="D2479" s="109"/>
      <c r="E2479" s="109"/>
      <c r="F2479" s="109"/>
      <c r="G2479" s="109"/>
      <c r="H2479" s="109"/>
      <c r="I2479" s="109"/>
      <c r="J2479" s="109"/>
      <c r="L2479" s="109"/>
      <c r="M2479" s="109"/>
      <c r="N2479" s="109"/>
      <c r="Q2479" s="121"/>
      <c r="W2479" s="109"/>
      <c r="Z2479" s="122"/>
    </row>
    <row r="2480" spans="1:26" ht="12.75" hidden="1">
      <c r="A2480" s="109"/>
      <c r="B2480" s="109"/>
      <c r="C2480" s="109"/>
      <c r="D2480" s="109"/>
      <c r="E2480" s="109"/>
      <c r="F2480" s="109"/>
      <c r="G2480" s="109"/>
      <c r="H2480" s="109"/>
      <c r="I2480" s="109"/>
      <c r="J2480" s="109"/>
      <c r="L2480" s="109"/>
      <c r="M2480" s="109"/>
      <c r="N2480" s="109"/>
      <c r="Q2480" s="121"/>
      <c r="W2480" s="109"/>
      <c r="Z2480" s="122"/>
    </row>
    <row r="2481" spans="1:26" ht="12.75" hidden="1">
      <c r="A2481" s="109"/>
      <c r="B2481" s="109"/>
      <c r="C2481" s="109"/>
      <c r="D2481" s="109"/>
      <c r="E2481" s="109"/>
      <c r="F2481" s="109"/>
      <c r="G2481" s="109"/>
      <c r="H2481" s="109"/>
      <c r="I2481" s="109"/>
      <c r="J2481" s="109"/>
      <c r="L2481" s="109"/>
      <c r="M2481" s="109"/>
      <c r="N2481" s="109"/>
      <c r="Q2481" s="121"/>
      <c r="W2481" s="109"/>
      <c r="Z2481" s="122"/>
    </row>
    <row r="2482" spans="1:26" ht="12.75" hidden="1">
      <c r="A2482" s="109"/>
      <c r="B2482" s="109"/>
      <c r="C2482" s="109"/>
      <c r="D2482" s="109"/>
      <c r="E2482" s="109"/>
      <c r="F2482" s="109"/>
      <c r="G2482" s="109"/>
      <c r="H2482" s="109"/>
      <c r="I2482" s="109"/>
      <c r="J2482" s="109"/>
      <c r="L2482" s="109"/>
      <c r="M2482" s="109"/>
      <c r="N2482" s="109"/>
      <c r="Q2482" s="121"/>
      <c r="W2482" s="109"/>
      <c r="Z2482" s="122"/>
    </row>
    <row r="2483" spans="1:26" ht="12.75" hidden="1">
      <c r="A2483" s="109"/>
      <c r="B2483" s="109"/>
      <c r="C2483" s="109"/>
      <c r="D2483" s="109"/>
      <c r="E2483" s="109"/>
      <c r="F2483" s="109"/>
      <c r="G2483" s="109"/>
      <c r="H2483" s="109"/>
      <c r="I2483" s="109"/>
      <c r="J2483" s="109"/>
      <c r="L2483" s="109"/>
      <c r="M2483" s="109"/>
      <c r="N2483" s="109"/>
      <c r="Q2483" s="121"/>
      <c r="W2483" s="109"/>
      <c r="Z2483" s="122"/>
    </row>
    <row r="2484" spans="1:26" ht="12.75" hidden="1">
      <c r="A2484" s="109"/>
      <c r="B2484" s="109"/>
      <c r="C2484" s="109"/>
      <c r="D2484" s="109"/>
      <c r="E2484" s="109"/>
      <c r="F2484" s="109"/>
      <c r="G2484" s="109"/>
      <c r="H2484" s="109"/>
      <c r="I2484" s="109"/>
      <c r="J2484" s="109"/>
      <c r="L2484" s="109"/>
      <c r="M2484" s="109"/>
      <c r="N2484" s="109"/>
      <c r="Q2484" s="121"/>
      <c r="W2484" s="109"/>
      <c r="Z2484" s="122"/>
    </row>
    <row r="2485" spans="1:26" ht="12.75" hidden="1">
      <c r="A2485" s="109"/>
      <c r="B2485" s="109"/>
      <c r="C2485" s="109"/>
      <c r="D2485" s="109"/>
      <c r="E2485" s="109"/>
      <c r="F2485" s="109"/>
      <c r="G2485" s="109"/>
      <c r="H2485" s="109"/>
      <c r="I2485" s="109"/>
      <c r="J2485" s="109"/>
      <c r="L2485" s="109"/>
      <c r="M2485" s="109"/>
      <c r="N2485" s="109"/>
      <c r="Q2485" s="121"/>
      <c r="W2485" s="109"/>
      <c r="Z2485" s="122"/>
    </row>
    <row r="2486" spans="1:26" ht="12.75" hidden="1">
      <c r="A2486" s="109"/>
      <c r="B2486" s="109"/>
      <c r="C2486" s="109"/>
      <c r="D2486" s="109"/>
      <c r="E2486" s="109"/>
      <c r="F2486" s="109"/>
      <c r="G2486" s="109"/>
      <c r="H2486" s="109"/>
      <c r="I2486" s="109"/>
      <c r="J2486" s="109"/>
      <c r="L2486" s="109"/>
      <c r="M2486" s="109"/>
      <c r="N2486" s="109"/>
      <c r="Q2486" s="121"/>
      <c r="W2486" s="109"/>
      <c r="Z2486" s="122"/>
    </row>
    <row r="2487" spans="1:26" ht="12.75" hidden="1">
      <c r="A2487" s="109"/>
      <c r="B2487" s="109"/>
      <c r="C2487" s="109"/>
      <c r="D2487" s="109"/>
      <c r="E2487" s="109"/>
      <c r="F2487" s="109"/>
      <c r="G2487" s="109"/>
      <c r="H2487" s="109"/>
      <c r="I2487" s="109"/>
      <c r="J2487" s="109"/>
      <c r="L2487" s="109"/>
      <c r="M2487" s="109"/>
      <c r="N2487" s="109"/>
      <c r="Q2487" s="121"/>
      <c r="W2487" s="109"/>
      <c r="Z2487" s="122"/>
    </row>
    <row r="2488" spans="1:26" ht="12.75" hidden="1">
      <c r="A2488" s="109"/>
      <c r="B2488" s="109"/>
      <c r="C2488" s="109"/>
      <c r="D2488" s="109"/>
      <c r="E2488" s="109"/>
      <c r="F2488" s="109"/>
      <c r="G2488" s="109"/>
      <c r="H2488" s="109"/>
      <c r="I2488" s="109"/>
      <c r="J2488" s="109"/>
      <c r="L2488" s="109"/>
      <c r="M2488" s="109"/>
      <c r="N2488" s="109"/>
      <c r="Q2488" s="121"/>
      <c r="W2488" s="109"/>
      <c r="Z2488" s="122"/>
    </row>
    <row r="2489" spans="1:26" ht="12.75" hidden="1">
      <c r="A2489" s="109"/>
      <c r="B2489" s="109"/>
      <c r="C2489" s="109"/>
      <c r="D2489" s="109"/>
      <c r="E2489" s="109"/>
      <c r="F2489" s="109"/>
      <c r="G2489" s="109"/>
      <c r="H2489" s="109"/>
      <c r="I2489" s="109"/>
      <c r="J2489" s="109"/>
      <c r="L2489" s="109"/>
      <c r="M2489" s="109"/>
      <c r="N2489" s="109"/>
      <c r="Q2489" s="121"/>
      <c r="W2489" s="109"/>
      <c r="Z2489" s="122"/>
    </row>
    <row r="2490" spans="1:26" ht="12.75" hidden="1">
      <c r="A2490" s="109"/>
      <c r="B2490" s="109"/>
      <c r="C2490" s="109"/>
      <c r="D2490" s="109"/>
      <c r="E2490" s="109"/>
      <c r="F2490" s="109"/>
      <c r="G2490" s="109"/>
      <c r="H2490" s="109"/>
      <c r="I2490" s="109"/>
      <c r="J2490" s="109"/>
      <c r="L2490" s="109"/>
      <c r="M2490" s="109"/>
      <c r="N2490" s="109"/>
      <c r="Q2490" s="121"/>
      <c r="W2490" s="109"/>
      <c r="Z2490" s="122"/>
    </row>
    <row r="2491" spans="1:26" ht="12.75" hidden="1">
      <c r="A2491" s="109"/>
      <c r="B2491" s="109"/>
      <c r="C2491" s="109"/>
      <c r="D2491" s="109"/>
      <c r="E2491" s="109"/>
      <c r="F2491" s="109"/>
      <c r="G2491" s="109"/>
      <c r="H2491" s="109"/>
      <c r="I2491" s="109"/>
      <c r="J2491" s="109"/>
      <c r="L2491" s="109"/>
      <c r="M2491" s="109"/>
      <c r="N2491" s="109"/>
      <c r="Q2491" s="121"/>
      <c r="W2491" s="109"/>
      <c r="Z2491" s="122"/>
    </row>
    <row r="2492" spans="1:26" ht="12.75" hidden="1">
      <c r="A2492" s="109"/>
      <c r="B2492" s="109"/>
      <c r="C2492" s="109"/>
      <c r="D2492" s="109"/>
      <c r="E2492" s="109"/>
      <c r="F2492" s="109"/>
      <c r="G2492" s="109"/>
      <c r="H2492" s="109"/>
      <c r="I2492" s="109"/>
      <c r="J2492" s="109"/>
      <c r="L2492" s="109"/>
      <c r="M2492" s="109"/>
      <c r="N2492" s="109"/>
      <c r="Q2492" s="121"/>
      <c r="W2492" s="109"/>
      <c r="Z2492" s="122"/>
    </row>
    <row r="2493" spans="1:26" ht="12.75" hidden="1">
      <c r="A2493" s="109"/>
      <c r="B2493" s="109"/>
      <c r="C2493" s="109"/>
      <c r="D2493" s="109"/>
      <c r="E2493" s="109"/>
      <c r="F2493" s="109"/>
      <c r="G2493" s="109"/>
      <c r="H2493" s="109"/>
      <c r="I2493" s="109"/>
      <c r="J2493" s="109"/>
      <c r="L2493" s="109"/>
      <c r="M2493" s="109"/>
      <c r="N2493" s="109"/>
      <c r="Q2493" s="121"/>
      <c r="W2493" s="109"/>
      <c r="Z2493" s="122"/>
    </row>
    <row r="2494" spans="1:26" ht="12.75" hidden="1">
      <c r="A2494" s="109"/>
      <c r="B2494" s="109"/>
      <c r="C2494" s="109"/>
      <c r="D2494" s="109"/>
      <c r="E2494" s="109"/>
      <c r="F2494" s="109"/>
      <c r="G2494" s="109"/>
      <c r="H2494" s="109"/>
      <c r="I2494" s="109"/>
      <c r="J2494" s="109"/>
      <c r="L2494" s="109"/>
      <c r="M2494" s="109"/>
      <c r="N2494" s="109"/>
      <c r="Q2494" s="121"/>
      <c r="W2494" s="109"/>
      <c r="Z2494" s="122"/>
    </row>
    <row r="2495" spans="1:26" ht="12.75" hidden="1">
      <c r="A2495" s="109"/>
      <c r="B2495" s="109"/>
      <c r="C2495" s="109"/>
      <c r="D2495" s="109"/>
      <c r="E2495" s="109"/>
      <c r="F2495" s="109"/>
      <c r="G2495" s="109"/>
      <c r="H2495" s="109"/>
      <c r="I2495" s="109"/>
      <c r="J2495" s="109"/>
      <c r="L2495" s="109"/>
      <c r="M2495" s="109"/>
      <c r="N2495" s="109"/>
      <c r="Q2495" s="121"/>
      <c r="W2495" s="109"/>
      <c r="Z2495" s="122"/>
    </row>
    <row r="2496" spans="1:26" ht="12.75" hidden="1">
      <c r="A2496" s="109"/>
      <c r="B2496" s="109"/>
      <c r="C2496" s="109"/>
      <c r="D2496" s="109"/>
      <c r="E2496" s="109"/>
      <c r="F2496" s="109"/>
      <c r="G2496" s="109"/>
      <c r="H2496" s="109"/>
      <c r="I2496" s="109"/>
      <c r="J2496" s="109"/>
      <c r="L2496" s="109"/>
      <c r="M2496" s="109"/>
      <c r="N2496" s="109"/>
      <c r="Q2496" s="121"/>
      <c r="W2496" s="109"/>
      <c r="Z2496" s="122"/>
    </row>
    <row r="2497" spans="1:26" ht="12.75" hidden="1">
      <c r="A2497" s="109"/>
      <c r="B2497" s="109"/>
      <c r="C2497" s="109"/>
      <c r="D2497" s="109"/>
      <c r="E2497" s="109"/>
      <c r="F2497" s="109"/>
      <c r="G2497" s="109"/>
      <c r="H2497" s="109"/>
      <c r="I2497" s="109"/>
      <c r="J2497" s="109"/>
      <c r="L2497" s="109"/>
      <c r="M2497" s="109"/>
      <c r="N2497" s="109"/>
      <c r="Q2497" s="121"/>
      <c r="W2497" s="109"/>
      <c r="Z2497" s="122"/>
    </row>
    <row r="2498" spans="1:26" ht="12.75" hidden="1">
      <c r="A2498" s="109"/>
      <c r="B2498" s="109"/>
      <c r="C2498" s="109"/>
      <c r="D2498" s="109"/>
      <c r="E2498" s="109"/>
      <c r="F2498" s="109"/>
      <c r="G2498" s="109"/>
      <c r="H2498" s="109"/>
      <c r="I2498" s="109"/>
      <c r="J2498" s="109"/>
      <c r="L2498" s="109"/>
      <c r="M2498" s="109"/>
      <c r="N2498" s="109"/>
      <c r="Q2498" s="121"/>
      <c r="W2498" s="109"/>
      <c r="Z2498" s="122"/>
    </row>
    <row r="2499" spans="1:26" ht="12.75" hidden="1">
      <c r="A2499" s="109"/>
      <c r="B2499" s="109"/>
      <c r="C2499" s="109"/>
      <c r="D2499" s="109"/>
      <c r="E2499" s="109"/>
      <c r="F2499" s="109"/>
      <c r="G2499" s="109"/>
      <c r="H2499" s="109"/>
      <c r="I2499" s="109"/>
      <c r="J2499" s="109"/>
      <c r="L2499" s="109"/>
      <c r="M2499" s="109"/>
      <c r="N2499" s="109"/>
      <c r="Q2499" s="121"/>
      <c r="W2499" s="109"/>
      <c r="Z2499" s="122"/>
    </row>
    <row r="2500" spans="1:26" ht="12.75" hidden="1">
      <c r="A2500" s="109"/>
      <c r="B2500" s="109"/>
      <c r="C2500" s="109"/>
      <c r="D2500" s="109"/>
      <c r="E2500" s="109"/>
      <c r="F2500" s="109"/>
      <c r="G2500" s="109"/>
      <c r="H2500" s="109"/>
      <c r="I2500" s="109"/>
      <c r="J2500" s="109"/>
      <c r="L2500" s="109"/>
      <c r="M2500" s="109"/>
      <c r="N2500" s="109"/>
      <c r="Q2500" s="121"/>
      <c r="W2500" s="109"/>
      <c r="Z2500" s="122"/>
    </row>
    <row r="2501" spans="1:26" ht="12.75" hidden="1">
      <c r="A2501" s="109"/>
      <c r="B2501" s="109"/>
      <c r="C2501" s="109"/>
      <c r="D2501" s="109"/>
      <c r="E2501" s="109"/>
      <c r="F2501" s="109"/>
      <c r="G2501" s="109"/>
      <c r="H2501" s="109"/>
      <c r="I2501" s="109"/>
      <c r="J2501" s="109"/>
      <c r="L2501" s="109"/>
      <c r="M2501" s="109"/>
      <c r="N2501" s="109"/>
      <c r="Q2501" s="121"/>
      <c r="W2501" s="109"/>
      <c r="Z2501" s="122"/>
    </row>
    <row r="2502" spans="1:26" ht="12.75" hidden="1">
      <c r="A2502" s="109"/>
      <c r="B2502" s="109"/>
      <c r="C2502" s="109"/>
      <c r="D2502" s="109"/>
      <c r="E2502" s="109"/>
      <c r="F2502" s="109"/>
      <c r="G2502" s="109"/>
      <c r="H2502" s="109"/>
      <c r="I2502" s="109"/>
      <c r="J2502" s="109"/>
      <c r="L2502" s="109"/>
      <c r="M2502" s="109"/>
      <c r="N2502" s="109"/>
      <c r="Q2502" s="121"/>
      <c r="W2502" s="109"/>
      <c r="Z2502" s="122"/>
    </row>
    <row r="2503" spans="1:26" ht="12.75" hidden="1">
      <c r="A2503" s="109"/>
      <c r="B2503" s="109"/>
      <c r="C2503" s="109"/>
      <c r="D2503" s="109"/>
      <c r="E2503" s="109"/>
      <c r="F2503" s="109"/>
      <c r="G2503" s="109"/>
      <c r="H2503" s="109"/>
      <c r="I2503" s="109"/>
      <c r="J2503" s="109"/>
      <c r="L2503" s="109"/>
      <c r="M2503" s="109"/>
      <c r="N2503" s="109"/>
      <c r="Q2503" s="121"/>
      <c r="W2503" s="109"/>
      <c r="Z2503" s="122"/>
    </row>
    <row r="2504" spans="1:26" ht="12.75" hidden="1">
      <c r="A2504" s="109"/>
      <c r="B2504" s="109"/>
      <c r="C2504" s="109"/>
      <c r="D2504" s="109"/>
      <c r="E2504" s="109"/>
      <c r="F2504" s="109"/>
      <c r="G2504" s="109"/>
      <c r="H2504" s="109"/>
      <c r="I2504" s="109"/>
      <c r="J2504" s="109"/>
      <c r="L2504" s="109"/>
      <c r="M2504" s="109"/>
      <c r="N2504" s="109"/>
      <c r="Q2504" s="121"/>
      <c r="W2504" s="109"/>
      <c r="Z2504" s="122"/>
    </row>
    <row r="2505" spans="1:26" ht="12.75" hidden="1">
      <c r="A2505" s="109"/>
      <c r="B2505" s="109"/>
      <c r="C2505" s="109"/>
      <c r="D2505" s="109"/>
      <c r="E2505" s="109"/>
      <c r="F2505" s="109"/>
      <c r="G2505" s="109"/>
      <c r="H2505" s="109"/>
      <c r="I2505" s="109"/>
      <c r="J2505" s="109"/>
      <c r="L2505" s="109"/>
      <c r="M2505" s="109"/>
      <c r="N2505" s="109"/>
      <c r="Q2505" s="121"/>
      <c r="W2505" s="109"/>
      <c r="Z2505" s="122"/>
    </row>
    <row r="2506" spans="1:26" ht="12.75" hidden="1">
      <c r="A2506" s="109"/>
      <c r="B2506" s="109"/>
      <c r="C2506" s="109"/>
      <c r="D2506" s="109"/>
      <c r="E2506" s="109"/>
      <c r="F2506" s="109"/>
      <c r="G2506" s="109"/>
      <c r="H2506" s="109"/>
      <c r="I2506" s="109"/>
      <c r="J2506" s="109"/>
      <c r="L2506" s="109"/>
      <c r="M2506" s="109"/>
      <c r="N2506" s="109"/>
      <c r="Q2506" s="121"/>
      <c r="W2506" s="109"/>
      <c r="Z2506" s="122"/>
    </row>
    <row r="2507" spans="1:26" ht="12.75" hidden="1">
      <c r="A2507" s="109"/>
      <c r="B2507" s="109"/>
      <c r="C2507" s="109"/>
      <c r="D2507" s="109"/>
      <c r="E2507" s="109"/>
      <c r="F2507" s="109"/>
      <c r="G2507" s="109"/>
      <c r="H2507" s="109"/>
      <c r="I2507" s="109"/>
      <c r="J2507" s="109"/>
      <c r="L2507" s="109"/>
      <c r="M2507" s="109"/>
      <c r="N2507" s="109"/>
      <c r="Q2507" s="121"/>
      <c r="W2507" s="109"/>
      <c r="Z2507" s="122"/>
    </row>
    <row r="2508" spans="1:26" ht="12.75" hidden="1">
      <c r="A2508" s="109"/>
      <c r="B2508" s="109"/>
      <c r="C2508" s="109"/>
      <c r="D2508" s="109"/>
      <c r="E2508" s="109"/>
      <c r="F2508" s="109"/>
      <c r="G2508" s="109"/>
      <c r="H2508" s="109"/>
      <c r="I2508" s="109"/>
      <c r="J2508" s="109"/>
      <c r="L2508" s="109"/>
      <c r="M2508" s="109"/>
      <c r="N2508" s="109"/>
      <c r="Q2508" s="121"/>
      <c r="W2508" s="109"/>
      <c r="Z2508" s="122"/>
    </row>
    <row r="2509" spans="1:26" ht="12.75" hidden="1">
      <c r="A2509" s="109"/>
      <c r="B2509" s="109"/>
      <c r="C2509" s="109"/>
      <c r="D2509" s="109"/>
      <c r="E2509" s="109"/>
      <c r="F2509" s="109"/>
      <c r="G2509" s="109"/>
      <c r="H2509" s="109"/>
      <c r="I2509" s="109"/>
      <c r="J2509" s="109"/>
      <c r="L2509" s="109"/>
      <c r="M2509" s="109"/>
      <c r="N2509" s="109"/>
      <c r="Q2509" s="121"/>
      <c r="W2509" s="109"/>
      <c r="Z2509" s="122"/>
    </row>
    <row r="2510" spans="1:26" ht="12.75" hidden="1">
      <c r="A2510" s="109"/>
      <c r="B2510" s="109"/>
      <c r="C2510" s="109"/>
      <c r="D2510" s="109"/>
      <c r="E2510" s="109"/>
      <c r="F2510" s="109"/>
      <c r="G2510" s="109"/>
      <c r="H2510" s="109"/>
      <c r="I2510" s="109"/>
      <c r="J2510" s="109"/>
      <c r="L2510" s="109"/>
      <c r="M2510" s="109"/>
      <c r="N2510" s="109"/>
      <c r="Q2510" s="121"/>
      <c r="W2510" s="109"/>
      <c r="Z2510" s="122"/>
    </row>
    <row r="2511" spans="1:26" ht="12.75" hidden="1">
      <c r="A2511" s="109"/>
      <c r="B2511" s="109"/>
      <c r="C2511" s="109"/>
      <c r="D2511" s="109"/>
      <c r="E2511" s="109"/>
      <c r="F2511" s="109"/>
      <c r="G2511" s="109"/>
      <c r="H2511" s="109"/>
      <c r="I2511" s="109"/>
      <c r="J2511" s="109"/>
      <c r="L2511" s="109"/>
      <c r="M2511" s="109"/>
      <c r="N2511" s="109"/>
      <c r="Q2511" s="121"/>
      <c r="W2511" s="109"/>
      <c r="Z2511" s="122"/>
    </row>
    <row r="2512" spans="1:26" ht="12.75" hidden="1">
      <c r="A2512" s="109"/>
      <c r="B2512" s="109"/>
      <c r="C2512" s="109"/>
      <c r="D2512" s="109"/>
      <c r="E2512" s="109"/>
      <c r="F2512" s="109"/>
      <c r="G2512" s="109"/>
      <c r="H2512" s="109"/>
      <c r="I2512" s="109"/>
      <c r="J2512" s="109"/>
      <c r="L2512" s="109"/>
      <c r="M2512" s="109"/>
      <c r="N2512" s="109"/>
      <c r="Q2512" s="121"/>
      <c r="W2512" s="109"/>
      <c r="Z2512" s="122"/>
    </row>
    <row r="2513" spans="1:26" ht="12.75" hidden="1">
      <c r="A2513" s="109"/>
      <c r="B2513" s="109"/>
      <c r="C2513" s="109"/>
      <c r="D2513" s="109"/>
      <c r="E2513" s="109"/>
      <c r="F2513" s="109"/>
      <c r="G2513" s="109"/>
      <c r="H2513" s="109"/>
      <c r="I2513" s="109"/>
      <c r="J2513" s="109"/>
      <c r="L2513" s="109"/>
      <c r="M2513" s="109"/>
      <c r="N2513" s="109"/>
      <c r="Q2513" s="121"/>
      <c r="W2513" s="109"/>
      <c r="Z2513" s="122"/>
    </row>
    <row r="2514" spans="1:26" ht="12.75" hidden="1">
      <c r="A2514" s="109"/>
      <c r="B2514" s="109"/>
      <c r="C2514" s="109"/>
      <c r="D2514" s="109"/>
      <c r="E2514" s="109"/>
      <c r="F2514" s="109"/>
      <c r="G2514" s="109"/>
      <c r="H2514" s="109"/>
      <c r="I2514" s="109"/>
      <c r="J2514" s="109"/>
      <c r="L2514" s="109"/>
      <c r="M2514" s="109"/>
      <c r="N2514" s="109"/>
      <c r="Q2514" s="121"/>
      <c r="W2514" s="109"/>
      <c r="Z2514" s="122"/>
    </row>
    <row r="2515" spans="1:26" ht="12.75" hidden="1">
      <c r="A2515" s="109"/>
      <c r="B2515" s="109"/>
      <c r="C2515" s="109"/>
      <c r="D2515" s="109"/>
      <c r="E2515" s="109"/>
      <c r="F2515" s="109"/>
      <c r="G2515" s="109"/>
      <c r="H2515" s="109"/>
      <c r="I2515" s="109"/>
      <c r="J2515" s="109"/>
      <c r="L2515" s="109"/>
      <c r="M2515" s="109"/>
      <c r="N2515" s="109"/>
      <c r="Q2515" s="121"/>
      <c r="W2515" s="109"/>
      <c r="Z2515" s="122"/>
    </row>
    <row r="2516" spans="1:26" ht="12.75" hidden="1">
      <c r="A2516" s="109"/>
      <c r="B2516" s="109"/>
      <c r="C2516" s="109"/>
      <c r="D2516" s="109"/>
      <c r="E2516" s="109"/>
      <c r="F2516" s="109"/>
      <c r="G2516" s="109"/>
      <c r="H2516" s="109"/>
      <c r="I2516" s="109"/>
      <c r="J2516" s="109"/>
      <c r="L2516" s="109"/>
      <c r="M2516" s="109"/>
      <c r="N2516" s="109"/>
      <c r="Q2516" s="121"/>
      <c r="W2516" s="109"/>
      <c r="Z2516" s="122"/>
    </row>
    <row r="2517" spans="1:26" ht="12.75" hidden="1">
      <c r="A2517" s="109"/>
      <c r="B2517" s="109"/>
      <c r="C2517" s="109"/>
      <c r="D2517" s="109"/>
      <c r="E2517" s="109"/>
      <c r="F2517" s="109"/>
      <c r="G2517" s="109"/>
      <c r="H2517" s="109"/>
      <c r="I2517" s="109"/>
      <c r="J2517" s="109"/>
      <c r="L2517" s="109"/>
      <c r="M2517" s="109"/>
      <c r="N2517" s="109"/>
      <c r="Q2517" s="121"/>
      <c r="W2517" s="109"/>
      <c r="Z2517" s="122"/>
    </row>
    <row r="2518" spans="1:26" ht="12.75" hidden="1">
      <c r="A2518" s="109"/>
      <c r="B2518" s="109"/>
      <c r="C2518" s="109"/>
      <c r="D2518" s="109"/>
      <c r="E2518" s="109"/>
      <c r="F2518" s="109"/>
      <c r="G2518" s="109"/>
      <c r="H2518" s="109"/>
      <c r="I2518" s="109"/>
      <c r="J2518" s="109"/>
      <c r="L2518" s="109"/>
      <c r="M2518" s="109"/>
      <c r="N2518" s="109"/>
      <c r="Q2518" s="121"/>
      <c r="W2518" s="109"/>
      <c r="Z2518" s="122"/>
    </row>
    <row r="2519" spans="1:26" ht="12.75" hidden="1">
      <c r="A2519" s="109"/>
      <c r="B2519" s="109"/>
      <c r="C2519" s="109"/>
      <c r="D2519" s="109"/>
      <c r="E2519" s="109"/>
      <c r="F2519" s="109"/>
      <c r="G2519" s="109"/>
      <c r="H2519" s="109"/>
      <c r="I2519" s="109"/>
      <c r="J2519" s="109"/>
      <c r="L2519" s="109"/>
      <c r="M2519" s="109"/>
      <c r="N2519" s="109"/>
      <c r="Q2519" s="121"/>
      <c r="W2519" s="109"/>
      <c r="Z2519" s="122"/>
    </row>
    <row r="2520" spans="1:26" ht="12.75" hidden="1">
      <c r="A2520" s="109"/>
      <c r="B2520" s="109"/>
      <c r="C2520" s="109"/>
      <c r="D2520" s="109"/>
      <c r="E2520" s="109"/>
      <c r="F2520" s="109"/>
      <c r="G2520" s="109"/>
      <c r="H2520" s="109"/>
      <c r="I2520" s="109"/>
      <c r="J2520" s="109"/>
      <c r="L2520" s="109"/>
      <c r="M2520" s="109"/>
      <c r="N2520" s="109"/>
      <c r="Q2520" s="121"/>
      <c r="W2520" s="109"/>
      <c r="Z2520" s="122"/>
    </row>
    <row r="2521" spans="1:26" ht="12.75" hidden="1">
      <c r="A2521" s="109"/>
      <c r="B2521" s="109"/>
      <c r="C2521" s="109"/>
      <c r="D2521" s="109"/>
      <c r="E2521" s="109"/>
      <c r="F2521" s="109"/>
      <c r="G2521" s="109"/>
      <c r="H2521" s="109"/>
      <c r="I2521" s="109"/>
      <c r="J2521" s="109"/>
      <c r="L2521" s="109"/>
      <c r="M2521" s="109"/>
      <c r="N2521" s="109"/>
      <c r="Q2521" s="121"/>
      <c r="W2521" s="109"/>
      <c r="Z2521" s="122"/>
    </row>
    <row r="2522" spans="1:26" ht="12.75" hidden="1">
      <c r="A2522" s="109"/>
      <c r="B2522" s="109"/>
      <c r="C2522" s="109"/>
      <c r="D2522" s="109"/>
      <c r="E2522" s="109"/>
      <c r="F2522" s="109"/>
      <c r="G2522" s="109"/>
      <c r="H2522" s="109"/>
      <c r="I2522" s="109"/>
      <c r="J2522" s="109"/>
      <c r="L2522" s="109"/>
      <c r="M2522" s="109"/>
      <c r="N2522" s="109"/>
      <c r="Q2522" s="121"/>
      <c r="W2522" s="109"/>
      <c r="Z2522" s="122"/>
    </row>
    <row r="2523" spans="1:26" ht="12.75" hidden="1">
      <c r="A2523" s="109"/>
      <c r="B2523" s="109"/>
      <c r="C2523" s="109"/>
      <c r="D2523" s="109"/>
      <c r="E2523" s="109"/>
      <c r="F2523" s="109"/>
      <c r="G2523" s="109"/>
      <c r="H2523" s="109"/>
      <c r="I2523" s="109"/>
      <c r="J2523" s="109"/>
      <c r="L2523" s="109"/>
      <c r="M2523" s="109"/>
      <c r="N2523" s="109"/>
      <c r="Q2523" s="121"/>
      <c r="W2523" s="109"/>
      <c r="Z2523" s="122"/>
    </row>
    <row r="2524" spans="1:26" ht="12.75" hidden="1">
      <c r="A2524" s="109"/>
      <c r="B2524" s="109"/>
      <c r="C2524" s="109"/>
      <c r="D2524" s="109"/>
      <c r="E2524" s="109"/>
      <c r="F2524" s="109"/>
      <c r="G2524" s="109"/>
      <c r="H2524" s="109"/>
      <c r="I2524" s="109"/>
      <c r="J2524" s="109"/>
      <c r="L2524" s="109"/>
      <c r="M2524" s="109"/>
      <c r="N2524" s="109"/>
      <c r="Q2524" s="121"/>
      <c r="W2524" s="109"/>
      <c r="Z2524" s="122"/>
    </row>
    <row r="2525" spans="1:26" ht="12.75" hidden="1">
      <c r="A2525" s="109"/>
      <c r="B2525" s="109"/>
      <c r="C2525" s="109"/>
      <c r="D2525" s="109"/>
      <c r="E2525" s="109"/>
      <c r="F2525" s="109"/>
      <c r="G2525" s="109"/>
      <c r="H2525" s="109"/>
      <c r="I2525" s="109"/>
      <c r="J2525" s="109"/>
      <c r="L2525" s="109"/>
      <c r="M2525" s="109"/>
      <c r="N2525" s="109"/>
      <c r="Q2525" s="121"/>
      <c r="W2525" s="109"/>
      <c r="Z2525" s="122"/>
    </row>
    <row r="2526" spans="1:26" ht="12.75" hidden="1">
      <c r="A2526" s="109"/>
      <c r="B2526" s="109"/>
      <c r="C2526" s="109"/>
      <c r="D2526" s="109"/>
      <c r="E2526" s="109"/>
      <c r="F2526" s="109"/>
      <c r="G2526" s="109"/>
      <c r="H2526" s="109"/>
      <c r="I2526" s="109"/>
      <c r="J2526" s="109"/>
      <c r="L2526" s="109"/>
      <c r="M2526" s="109"/>
      <c r="N2526" s="109"/>
      <c r="Q2526" s="121"/>
      <c r="W2526" s="109"/>
      <c r="Z2526" s="122"/>
    </row>
    <row r="2527" spans="1:26" ht="12.75" hidden="1">
      <c r="A2527" s="109"/>
      <c r="B2527" s="109"/>
      <c r="C2527" s="109"/>
      <c r="D2527" s="109"/>
      <c r="E2527" s="109"/>
      <c r="F2527" s="109"/>
      <c r="G2527" s="109"/>
      <c r="H2527" s="109"/>
      <c r="I2527" s="109"/>
      <c r="J2527" s="109"/>
      <c r="L2527" s="109"/>
      <c r="M2527" s="109"/>
      <c r="N2527" s="109"/>
      <c r="Q2527" s="121"/>
      <c r="W2527" s="109"/>
      <c r="Z2527" s="122"/>
    </row>
    <row r="2528" spans="1:26" ht="12.75" hidden="1">
      <c r="A2528" s="109"/>
      <c r="B2528" s="109"/>
      <c r="C2528" s="109"/>
      <c r="D2528" s="109"/>
      <c r="E2528" s="109"/>
      <c r="F2528" s="109"/>
      <c r="G2528" s="109"/>
      <c r="H2528" s="109"/>
      <c r="I2528" s="109"/>
      <c r="J2528" s="109"/>
      <c r="L2528" s="109"/>
      <c r="M2528" s="109"/>
      <c r="N2528" s="109"/>
      <c r="Q2528" s="121"/>
      <c r="W2528" s="109"/>
      <c r="Z2528" s="122"/>
    </row>
    <row r="2529" spans="1:26" ht="12.75" hidden="1">
      <c r="A2529" s="109"/>
      <c r="B2529" s="109"/>
      <c r="C2529" s="109"/>
      <c r="D2529" s="109"/>
      <c r="E2529" s="109"/>
      <c r="F2529" s="109"/>
      <c r="G2529" s="109"/>
      <c r="H2529" s="109"/>
      <c r="I2529" s="109"/>
      <c r="J2529" s="109"/>
      <c r="L2529" s="109"/>
      <c r="M2529" s="109"/>
      <c r="N2529" s="109"/>
      <c r="Q2529" s="121"/>
      <c r="W2529" s="109"/>
      <c r="Z2529" s="122"/>
    </row>
    <row r="2530" spans="1:26" ht="12.75" hidden="1">
      <c r="A2530" s="109"/>
      <c r="B2530" s="109"/>
      <c r="C2530" s="109"/>
      <c r="D2530" s="109"/>
      <c r="E2530" s="109"/>
      <c r="F2530" s="109"/>
      <c r="G2530" s="109"/>
      <c r="H2530" s="109"/>
      <c r="I2530" s="109"/>
      <c r="J2530" s="109"/>
      <c r="L2530" s="109"/>
      <c r="M2530" s="109"/>
      <c r="N2530" s="109"/>
      <c r="Q2530" s="121"/>
      <c r="W2530" s="109"/>
      <c r="Z2530" s="122"/>
    </row>
    <row r="2531" spans="1:26" ht="12.75" hidden="1">
      <c r="A2531" s="109"/>
      <c r="B2531" s="109"/>
      <c r="C2531" s="109"/>
      <c r="D2531" s="109"/>
      <c r="E2531" s="109"/>
      <c r="F2531" s="109"/>
      <c r="G2531" s="109"/>
      <c r="H2531" s="109"/>
      <c r="I2531" s="109"/>
      <c r="J2531" s="109"/>
      <c r="L2531" s="109"/>
      <c r="M2531" s="109"/>
      <c r="N2531" s="109"/>
      <c r="Q2531" s="121"/>
      <c r="W2531" s="109"/>
      <c r="Z2531" s="122"/>
    </row>
    <row r="2532" spans="1:26" ht="12.75" hidden="1">
      <c r="A2532" s="109"/>
      <c r="B2532" s="109"/>
      <c r="C2532" s="109"/>
      <c r="D2532" s="109"/>
      <c r="E2532" s="109"/>
      <c r="F2532" s="109"/>
      <c r="G2532" s="109"/>
      <c r="H2532" s="109"/>
      <c r="I2532" s="109"/>
      <c r="J2532" s="109"/>
      <c r="L2532" s="109"/>
      <c r="M2532" s="109"/>
      <c r="N2532" s="109"/>
      <c r="Q2532" s="121"/>
      <c r="W2532" s="109"/>
      <c r="Z2532" s="122"/>
    </row>
    <row r="2533" spans="1:26" ht="12.75" hidden="1">
      <c r="A2533" s="109"/>
      <c r="B2533" s="109"/>
      <c r="C2533" s="109"/>
      <c r="D2533" s="109"/>
      <c r="E2533" s="109"/>
      <c r="F2533" s="109"/>
      <c r="G2533" s="109"/>
      <c r="H2533" s="109"/>
      <c r="I2533" s="109"/>
      <c r="J2533" s="109"/>
      <c r="L2533" s="109"/>
      <c r="M2533" s="109"/>
      <c r="N2533" s="109"/>
      <c r="Q2533" s="121"/>
      <c r="W2533" s="109"/>
      <c r="Z2533" s="122"/>
    </row>
    <row r="2534" spans="1:26" ht="12.75" hidden="1">
      <c r="A2534" s="109"/>
      <c r="B2534" s="109"/>
      <c r="C2534" s="109"/>
      <c r="D2534" s="109"/>
      <c r="E2534" s="109"/>
      <c r="F2534" s="109"/>
      <c r="G2534" s="109"/>
      <c r="H2534" s="109"/>
      <c r="I2534" s="109"/>
      <c r="J2534" s="109"/>
      <c r="L2534" s="109"/>
      <c r="M2534" s="109"/>
      <c r="N2534" s="109"/>
      <c r="Q2534" s="121"/>
      <c r="W2534" s="109"/>
      <c r="Z2534" s="122"/>
    </row>
    <row r="2535" spans="1:26" ht="12.75" hidden="1">
      <c r="A2535" s="109"/>
      <c r="B2535" s="109"/>
      <c r="C2535" s="109"/>
      <c r="D2535" s="109"/>
      <c r="E2535" s="109"/>
      <c r="F2535" s="109"/>
      <c r="G2535" s="109"/>
      <c r="H2535" s="109"/>
      <c r="I2535" s="109"/>
      <c r="J2535" s="109"/>
      <c r="L2535" s="109"/>
      <c r="M2535" s="109"/>
      <c r="N2535" s="109"/>
      <c r="Q2535" s="121"/>
      <c r="W2535" s="109"/>
      <c r="Z2535" s="122"/>
    </row>
    <row r="2536" spans="1:26" ht="12.75" hidden="1">
      <c r="A2536" s="109"/>
      <c r="B2536" s="109"/>
      <c r="C2536" s="109"/>
      <c r="D2536" s="109"/>
      <c r="E2536" s="109"/>
      <c r="F2536" s="109"/>
      <c r="G2536" s="109"/>
      <c r="H2536" s="109"/>
      <c r="I2536" s="109"/>
      <c r="J2536" s="109"/>
      <c r="L2536" s="109"/>
      <c r="M2536" s="109"/>
      <c r="N2536" s="109"/>
      <c r="Q2536" s="121"/>
      <c r="W2536" s="109"/>
      <c r="Z2536" s="122"/>
    </row>
    <row r="2537" spans="1:26" ht="12.75" hidden="1">
      <c r="A2537" s="109"/>
      <c r="B2537" s="109"/>
      <c r="C2537" s="109"/>
      <c r="D2537" s="109"/>
      <c r="E2537" s="109"/>
      <c r="F2537" s="109"/>
      <c r="G2537" s="109"/>
      <c r="H2537" s="109"/>
      <c r="I2537" s="109"/>
      <c r="J2537" s="109"/>
      <c r="L2537" s="109"/>
      <c r="M2537" s="109"/>
      <c r="N2537" s="109"/>
      <c r="Q2537" s="121"/>
      <c r="W2537" s="109"/>
      <c r="Z2537" s="122"/>
    </row>
    <row r="2538" spans="1:26" ht="12.75" hidden="1">
      <c r="A2538" s="109"/>
      <c r="B2538" s="109"/>
      <c r="C2538" s="109"/>
      <c r="D2538" s="109"/>
      <c r="E2538" s="109"/>
      <c r="F2538" s="109"/>
      <c r="G2538" s="109"/>
      <c r="H2538" s="109"/>
      <c r="I2538" s="109"/>
      <c r="J2538" s="109"/>
      <c r="L2538" s="109"/>
      <c r="M2538" s="109"/>
      <c r="N2538" s="109"/>
      <c r="Q2538" s="121"/>
      <c r="W2538" s="109"/>
      <c r="Z2538" s="122"/>
    </row>
    <row r="2539" spans="1:26" ht="12.75" hidden="1">
      <c r="A2539" s="109"/>
      <c r="B2539" s="109"/>
      <c r="C2539" s="109"/>
      <c r="D2539" s="109"/>
      <c r="E2539" s="109"/>
      <c r="F2539" s="109"/>
      <c r="G2539" s="109"/>
      <c r="H2539" s="109"/>
      <c r="I2539" s="109"/>
      <c r="J2539" s="109"/>
      <c r="L2539" s="109"/>
      <c r="M2539" s="109"/>
      <c r="N2539" s="109"/>
      <c r="Q2539" s="121"/>
      <c r="W2539" s="109"/>
      <c r="Z2539" s="122"/>
    </row>
    <row r="2540" spans="1:26" ht="12.75" hidden="1">
      <c r="A2540" s="109"/>
      <c r="B2540" s="109"/>
      <c r="C2540" s="109"/>
      <c r="D2540" s="109"/>
      <c r="E2540" s="109"/>
      <c r="F2540" s="109"/>
      <c r="G2540" s="109"/>
      <c r="H2540" s="109"/>
      <c r="I2540" s="109"/>
      <c r="J2540" s="109"/>
      <c r="L2540" s="109"/>
      <c r="M2540" s="109"/>
      <c r="N2540" s="109"/>
      <c r="Q2540" s="121"/>
      <c r="W2540" s="109"/>
      <c r="Z2540" s="122"/>
    </row>
    <row r="2541" spans="1:26" ht="12.75" hidden="1">
      <c r="A2541" s="109"/>
      <c r="B2541" s="109"/>
      <c r="C2541" s="109"/>
      <c r="D2541" s="109"/>
      <c r="E2541" s="109"/>
      <c r="F2541" s="109"/>
      <c r="G2541" s="109"/>
      <c r="H2541" s="109"/>
      <c r="I2541" s="109"/>
      <c r="J2541" s="109"/>
      <c r="L2541" s="109"/>
      <c r="M2541" s="109"/>
      <c r="N2541" s="109"/>
      <c r="Q2541" s="121"/>
      <c r="W2541" s="109"/>
      <c r="Z2541" s="122"/>
    </row>
    <row r="2542" spans="1:26" ht="12.75" hidden="1">
      <c r="A2542" s="109"/>
      <c r="B2542" s="109"/>
      <c r="C2542" s="109"/>
      <c r="D2542" s="109"/>
      <c r="E2542" s="109"/>
      <c r="F2542" s="109"/>
      <c r="G2542" s="109"/>
      <c r="H2542" s="109"/>
      <c r="I2542" s="109"/>
      <c r="J2542" s="109"/>
      <c r="L2542" s="109"/>
      <c r="M2542" s="109"/>
      <c r="N2542" s="109"/>
      <c r="Q2542" s="121"/>
      <c r="W2542" s="109"/>
      <c r="Z2542" s="122"/>
    </row>
    <row r="2543" spans="1:26" ht="12.75" hidden="1">
      <c r="A2543" s="109"/>
      <c r="B2543" s="109"/>
      <c r="C2543" s="109"/>
      <c r="D2543" s="109"/>
      <c r="E2543" s="109"/>
      <c r="F2543" s="109"/>
      <c r="G2543" s="109"/>
      <c r="H2543" s="109"/>
      <c r="I2543" s="109"/>
      <c r="J2543" s="109"/>
      <c r="L2543" s="109"/>
      <c r="M2543" s="109"/>
      <c r="N2543" s="109"/>
      <c r="Q2543" s="121"/>
      <c r="W2543" s="109"/>
      <c r="Z2543" s="122"/>
    </row>
    <row r="2544" spans="1:26" ht="12.75" hidden="1">
      <c r="A2544" s="109"/>
      <c r="B2544" s="109"/>
      <c r="C2544" s="109"/>
      <c r="D2544" s="109"/>
      <c r="E2544" s="109"/>
      <c r="F2544" s="109"/>
      <c r="G2544" s="109"/>
      <c r="H2544" s="109"/>
      <c r="I2544" s="109"/>
      <c r="J2544" s="109"/>
      <c r="L2544" s="109"/>
      <c r="M2544" s="109"/>
      <c r="N2544" s="109"/>
      <c r="Q2544" s="121"/>
      <c r="W2544" s="109"/>
      <c r="Z2544" s="122"/>
    </row>
    <row r="2545" spans="1:26" ht="12.75" hidden="1">
      <c r="A2545" s="109"/>
      <c r="B2545" s="109"/>
      <c r="C2545" s="109"/>
      <c r="D2545" s="109"/>
      <c r="E2545" s="109"/>
      <c r="F2545" s="109"/>
      <c r="G2545" s="109"/>
      <c r="H2545" s="109"/>
      <c r="I2545" s="109"/>
      <c r="J2545" s="109"/>
      <c r="L2545" s="109"/>
      <c r="M2545" s="109"/>
      <c r="N2545" s="109"/>
      <c r="Q2545" s="121"/>
      <c r="W2545" s="109"/>
      <c r="Z2545" s="122"/>
    </row>
    <row r="2546" spans="1:26" ht="12.75" hidden="1">
      <c r="A2546" s="109"/>
      <c r="B2546" s="109"/>
      <c r="C2546" s="109"/>
      <c r="D2546" s="109"/>
      <c r="E2546" s="109"/>
      <c r="F2546" s="109"/>
      <c r="G2546" s="109"/>
      <c r="H2546" s="109"/>
      <c r="I2546" s="109"/>
      <c r="J2546" s="109"/>
      <c r="L2546" s="109"/>
      <c r="M2546" s="109"/>
      <c r="N2546" s="109"/>
      <c r="Q2546" s="121"/>
      <c r="W2546" s="109"/>
      <c r="Z2546" s="122"/>
    </row>
    <row r="2547" spans="1:26" ht="12.75" hidden="1">
      <c r="A2547" s="109"/>
      <c r="B2547" s="109"/>
      <c r="C2547" s="109"/>
      <c r="D2547" s="109"/>
      <c r="E2547" s="109"/>
      <c r="F2547" s="109"/>
      <c r="G2547" s="109"/>
      <c r="H2547" s="109"/>
      <c r="I2547" s="109"/>
      <c r="J2547" s="109"/>
      <c r="L2547" s="109"/>
      <c r="M2547" s="109"/>
      <c r="N2547" s="109"/>
      <c r="Q2547" s="121"/>
      <c r="W2547" s="109"/>
      <c r="Z2547" s="122"/>
    </row>
    <row r="2548" spans="1:26" ht="12.75" hidden="1">
      <c r="A2548" s="109"/>
      <c r="B2548" s="109"/>
      <c r="C2548" s="109"/>
      <c r="D2548" s="109"/>
      <c r="E2548" s="109"/>
      <c r="F2548" s="109"/>
      <c r="G2548" s="109"/>
      <c r="H2548" s="109"/>
      <c r="I2548" s="109"/>
      <c r="J2548" s="109"/>
      <c r="L2548" s="109"/>
      <c r="M2548" s="109"/>
      <c r="N2548" s="109"/>
      <c r="Q2548" s="121"/>
      <c r="W2548" s="109"/>
      <c r="Z2548" s="122"/>
    </row>
    <row r="2549" spans="1:26" ht="12.75" hidden="1">
      <c r="A2549" s="109"/>
      <c r="B2549" s="109"/>
      <c r="C2549" s="109"/>
      <c r="D2549" s="109"/>
      <c r="E2549" s="109"/>
      <c r="F2549" s="109"/>
      <c r="G2549" s="109"/>
      <c r="H2549" s="109"/>
      <c r="I2549" s="109"/>
      <c r="J2549" s="109"/>
      <c r="L2549" s="109"/>
      <c r="M2549" s="109"/>
      <c r="N2549" s="109"/>
      <c r="Q2549" s="121"/>
      <c r="W2549" s="109"/>
      <c r="Z2549" s="122"/>
    </row>
    <row r="2550" spans="1:26" ht="12.75" hidden="1">
      <c r="A2550" s="109"/>
      <c r="B2550" s="109"/>
      <c r="C2550" s="109"/>
      <c r="D2550" s="109"/>
      <c r="E2550" s="109"/>
      <c r="F2550" s="109"/>
      <c r="G2550" s="109"/>
      <c r="H2550" s="109"/>
      <c r="I2550" s="109"/>
      <c r="J2550" s="109"/>
      <c r="L2550" s="109"/>
      <c r="M2550" s="109"/>
      <c r="N2550" s="109"/>
      <c r="Q2550" s="121"/>
      <c r="W2550" s="109"/>
      <c r="Z2550" s="122"/>
    </row>
    <row r="2551" spans="1:26" ht="12.75" hidden="1">
      <c r="A2551" s="109"/>
      <c r="B2551" s="109"/>
      <c r="C2551" s="109"/>
      <c r="D2551" s="109"/>
      <c r="E2551" s="109"/>
      <c r="F2551" s="109"/>
      <c r="G2551" s="109"/>
      <c r="H2551" s="109"/>
      <c r="I2551" s="109"/>
      <c r="J2551" s="109"/>
      <c r="L2551" s="109"/>
      <c r="M2551" s="109"/>
      <c r="N2551" s="109"/>
      <c r="Q2551" s="121"/>
      <c r="W2551" s="109"/>
      <c r="Z2551" s="122"/>
    </row>
    <row r="2552" spans="1:26" ht="12.75" hidden="1">
      <c r="A2552" s="109"/>
      <c r="B2552" s="109"/>
      <c r="C2552" s="109"/>
      <c r="D2552" s="109"/>
      <c r="E2552" s="109"/>
      <c r="F2552" s="109"/>
      <c r="G2552" s="109"/>
      <c r="H2552" s="109"/>
      <c r="I2552" s="109"/>
      <c r="J2552" s="109"/>
      <c r="L2552" s="109"/>
      <c r="M2552" s="109"/>
      <c r="N2552" s="109"/>
      <c r="Q2552" s="121"/>
      <c r="W2552" s="109"/>
      <c r="Z2552" s="122"/>
    </row>
    <row r="2553" spans="1:26" ht="12.75" hidden="1">
      <c r="A2553" s="109"/>
      <c r="B2553" s="109"/>
      <c r="C2553" s="109"/>
      <c r="D2553" s="109"/>
      <c r="E2553" s="109"/>
      <c r="F2553" s="109"/>
      <c r="G2553" s="109"/>
      <c r="H2553" s="109"/>
      <c r="I2553" s="109"/>
      <c r="J2553" s="109"/>
      <c r="L2553" s="109"/>
      <c r="M2553" s="109"/>
      <c r="N2553" s="109"/>
      <c r="Q2553" s="121"/>
      <c r="W2553" s="109"/>
      <c r="Z2553" s="122"/>
    </row>
    <row r="2554" spans="1:26" ht="12.75" hidden="1">
      <c r="A2554" s="109"/>
      <c r="B2554" s="109"/>
      <c r="C2554" s="109"/>
      <c r="D2554" s="109"/>
      <c r="E2554" s="109"/>
      <c r="F2554" s="109"/>
      <c r="G2554" s="109"/>
      <c r="H2554" s="109"/>
      <c r="I2554" s="109"/>
      <c r="J2554" s="109"/>
      <c r="L2554" s="109"/>
      <c r="M2554" s="109"/>
      <c r="N2554" s="109"/>
      <c r="Q2554" s="121"/>
      <c r="W2554" s="109"/>
      <c r="Z2554" s="122"/>
    </row>
    <row r="2555" spans="1:26" ht="12.75" hidden="1">
      <c r="A2555" s="109"/>
      <c r="B2555" s="109"/>
      <c r="C2555" s="109"/>
      <c r="D2555" s="109"/>
      <c r="E2555" s="109"/>
      <c r="F2555" s="109"/>
      <c r="G2555" s="109"/>
      <c r="H2555" s="109"/>
      <c r="I2555" s="109"/>
      <c r="J2555" s="109"/>
      <c r="L2555" s="109"/>
      <c r="M2555" s="109"/>
      <c r="N2555" s="109"/>
      <c r="Q2555" s="121"/>
      <c r="W2555" s="109"/>
      <c r="Z2555" s="122"/>
    </row>
    <row r="2556" spans="1:26" ht="12.75" hidden="1">
      <c r="A2556" s="109"/>
      <c r="B2556" s="109"/>
      <c r="C2556" s="109"/>
      <c r="D2556" s="109"/>
      <c r="E2556" s="109"/>
      <c r="F2556" s="109"/>
      <c r="G2556" s="109"/>
      <c r="H2556" s="109"/>
      <c r="I2556" s="109"/>
      <c r="J2556" s="109"/>
      <c r="L2556" s="109"/>
      <c r="M2556" s="109"/>
      <c r="N2556" s="109"/>
      <c r="Q2556" s="121"/>
      <c r="W2556" s="109"/>
      <c r="Z2556" s="122"/>
    </row>
    <row r="2557" spans="1:26" ht="12.75" hidden="1">
      <c r="A2557" s="109"/>
      <c r="B2557" s="109"/>
      <c r="C2557" s="109"/>
      <c r="D2557" s="109"/>
      <c r="E2557" s="109"/>
      <c r="F2557" s="109"/>
      <c r="G2557" s="109"/>
      <c r="H2557" s="109"/>
      <c r="I2557" s="109"/>
      <c r="J2557" s="109"/>
      <c r="L2557" s="109"/>
      <c r="M2557" s="109"/>
      <c r="N2557" s="109"/>
      <c r="Q2557" s="121"/>
      <c r="W2557" s="109"/>
      <c r="Z2557" s="122"/>
    </row>
    <row r="2558" spans="1:26" ht="12.75" hidden="1">
      <c r="A2558" s="109"/>
      <c r="B2558" s="109"/>
      <c r="C2558" s="109"/>
      <c r="D2558" s="109"/>
      <c r="E2558" s="109"/>
      <c r="F2558" s="109"/>
      <c r="G2558" s="109"/>
      <c r="H2558" s="109"/>
      <c r="I2558" s="109"/>
      <c r="J2558" s="109"/>
      <c r="L2558" s="109"/>
      <c r="M2558" s="109"/>
      <c r="N2558" s="109"/>
      <c r="Q2558" s="121"/>
      <c r="W2558" s="109"/>
      <c r="Z2558" s="122"/>
    </row>
    <row r="2559" spans="1:26" ht="12.75" hidden="1">
      <c r="A2559" s="109"/>
      <c r="B2559" s="109"/>
      <c r="C2559" s="109"/>
      <c r="D2559" s="109"/>
      <c r="E2559" s="109"/>
      <c r="F2559" s="109"/>
      <c r="G2559" s="109"/>
      <c r="H2559" s="109"/>
      <c r="I2559" s="109"/>
      <c r="J2559" s="109"/>
      <c r="L2559" s="109"/>
      <c r="M2559" s="109"/>
      <c r="N2559" s="109"/>
      <c r="Q2559" s="121"/>
      <c r="W2559" s="109"/>
      <c r="Z2559" s="122"/>
    </row>
    <row r="2560" spans="1:26" ht="12.75" hidden="1">
      <c r="A2560" s="109"/>
      <c r="B2560" s="109"/>
      <c r="C2560" s="109"/>
      <c r="D2560" s="109"/>
      <c r="E2560" s="109"/>
      <c r="F2560" s="109"/>
      <c r="G2560" s="109"/>
      <c r="H2560" s="109"/>
      <c r="I2560" s="109"/>
      <c r="J2560" s="109"/>
      <c r="L2560" s="109"/>
      <c r="M2560" s="109"/>
      <c r="N2560" s="109"/>
      <c r="Q2560" s="121"/>
      <c r="W2560" s="109"/>
      <c r="Z2560" s="122"/>
    </row>
    <row r="2561" spans="1:26" ht="12.75" hidden="1">
      <c r="A2561" s="109"/>
      <c r="B2561" s="109"/>
      <c r="C2561" s="109"/>
      <c r="D2561" s="109"/>
      <c r="E2561" s="109"/>
      <c r="F2561" s="109"/>
      <c r="G2561" s="109"/>
      <c r="H2561" s="109"/>
      <c r="I2561" s="109"/>
      <c r="J2561" s="109"/>
      <c r="L2561" s="109"/>
      <c r="M2561" s="109"/>
      <c r="N2561" s="109"/>
      <c r="Q2561" s="121"/>
      <c r="W2561" s="109"/>
      <c r="Z2561" s="122"/>
    </row>
    <row r="2562" spans="1:26" ht="12.75" hidden="1">
      <c r="A2562" s="109"/>
      <c r="B2562" s="109"/>
      <c r="C2562" s="109"/>
      <c r="D2562" s="109"/>
      <c r="E2562" s="109"/>
      <c r="F2562" s="109"/>
      <c r="G2562" s="109"/>
      <c r="H2562" s="109"/>
      <c r="I2562" s="109"/>
      <c r="J2562" s="109"/>
      <c r="L2562" s="109"/>
      <c r="M2562" s="109"/>
      <c r="N2562" s="109"/>
      <c r="Q2562" s="121"/>
      <c r="W2562" s="109"/>
      <c r="Z2562" s="122"/>
    </row>
    <row r="2563" spans="1:26" ht="12.75" hidden="1">
      <c r="A2563" s="109"/>
      <c r="B2563" s="109"/>
      <c r="C2563" s="109"/>
      <c r="D2563" s="109"/>
      <c r="E2563" s="109"/>
      <c r="F2563" s="109"/>
      <c r="G2563" s="109"/>
      <c r="H2563" s="109"/>
      <c r="I2563" s="109"/>
      <c r="J2563" s="109"/>
      <c r="L2563" s="109"/>
      <c r="M2563" s="109"/>
      <c r="N2563" s="109"/>
      <c r="Q2563" s="121"/>
      <c r="W2563" s="109"/>
      <c r="Z2563" s="122"/>
    </row>
    <row r="2564" spans="1:26" ht="12.75" hidden="1">
      <c r="A2564" s="109"/>
      <c r="B2564" s="109"/>
      <c r="C2564" s="109"/>
      <c r="D2564" s="109"/>
      <c r="E2564" s="109"/>
      <c r="F2564" s="109"/>
      <c r="G2564" s="109"/>
      <c r="H2564" s="109"/>
      <c r="I2564" s="109"/>
      <c r="J2564" s="109"/>
      <c r="L2564" s="109"/>
      <c r="M2564" s="109"/>
      <c r="N2564" s="109"/>
      <c r="Q2564" s="121"/>
      <c r="W2564" s="109"/>
      <c r="Z2564" s="122"/>
    </row>
    <row r="2565" spans="1:26" ht="12.75" hidden="1">
      <c r="A2565" s="109"/>
      <c r="B2565" s="109"/>
      <c r="C2565" s="109"/>
      <c r="D2565" s="109"/>
      <c r="E2565" s="109"/>
      <c r="F2565" s="109"/>
      <c r="G2565" s="109"/>
      <c r="H2565" s="109"/>
      <c r="I2565" s="109"/>
      <c r="J2565" s="109"/>
      <c r="L2565" s="109"/>
      <c r="M2565" s="109"/>
      <c r="N2565" s="109"/>
      <c r="Q2565" s="121"/>
      <c r="W2565" s="109"/>
      <c r="Z2565" s="122"/>
    </row>
    <row r="2566" spans="1:26" ht="12.75" hidden="1">
      <c r="A2566" s="109"/>
      <c r="B2566" s="109"/>
      <c r="C2566" s="109"/>
      <c r="D2566" s="109"/>
      <c r="E2566" s="109"/>
      <c r="F2566" s="109"/>
      <c r="G2566" s="109"/>
      <c r="H2566" s="109"/>
      <c r="I2566" s="109"/>
      <c r="J2566" s="109"/>
      <c r="L2566" s="109"/>
      <c r="M2566" s="109"/>
      <c r="N2566" s="109"/>
      <c r="Q2566" s="121"/>
      <c r="W2566" s="109"/>
      <c r="Z2566" s="122"/>
    </row>
    <row r="2567" spans="1:26" ht="12.75" hidden="1">
      <c r="A2567" s="109"/>
      <c r="B2567" s="109"/>
      <c r="C2567" s="109"/>
      <c r="D2567" s="109"/>
      <c r="E2567" s="109"/>
      <c r="F2567" s="109"/>
      <c r="G2567" s="109"/>
      <c r="H2567" s="109"/>
      <c r="I2567" s="109"/>
      <c r="J2567" s="109"/>
      <c r="L2567" s="109"/>
      <c r="M2567" s="109"/>
      <c r="N2567" s="109"/>
      <c r="Q2567" s="121"/>
      <c r="W2567" s="109"/>
      <c r="Z2567" s="122"/>
    </row>
    <row r="2568" spans="1:26" ht="12.75" hidden="1">
      <c r="A2568" s="109"/>
      <c r="B2568" s="109"/>
      <c r="C2568" s="109"/>
      <c r="D2568" s="109"/>
      <c r="E2568" s="109"/>
      <c r="F2568" s="109"/>
      <c r="G2568" s="109"/>
      <c r="H2568" s="109"/>
      <c r="I2568" s="109"/>
      <c r="J2568" s="109"/>
      <c r="L2568" s="109"/>
      <c r="M2568" s="109"/>
      <c r="N2568" s="109"/>
      <c r="Q2568" s="121"/>
      <c r="W2568" s="109"/>
      <c r="Z2568" s="122"/>
    </row>
    <row r="2569" spans="1:26" ht="12.75" hidden="1">
      <c r="A2569" s="109"/>
      <c r="B2569" s="109"/>
      <c r="C2569" s="109"/>
      <c r="D2569" s="109"/>
      <c r="E2569" s="109"/>
      <c r="F2569" s="109"/>
      <c r="G2569" s="109"/>
      <c r="H2569" s="109"/>
      <c r="I2569" s="109"/>
      <c r="J2569" s="109"/>
      <c r="L2569" s="109"/>
      <c r="M2569" s="109"/>
      <c r="N2569" s="109"/>
      <c r="Q2569" s="121"/>
      <c r="W2569" s="109"/>
      <c r="Z2569" s="122"/>
    </row>
    <row r="2570" spans="1:26" ht="12.75" hidden="1">
      <c r="A2570" s="109"/>
      <c r="B2570" s="109"/>
      <c r="C2570" s="109"/>
      <c r="D2570" s="109"/>
      <c r="E2570" s="109"/>
      <c r="F2570" s="109"/>
      <c r="G2570" s="109"/>
      <c r="H2570" s="109"/>
      <c r="I2570" s="109"/>
      <c r="J2570" s="109"/>
      <c r="L2570" s="109"/>
      <c r="M2570" s="109"/>
      <c r="N2570" s="109"/>
      <c r="Q2570" s="121"/>
      <c r="W2570" s="109"/>
      <c r="Z2570" s="122"/>
    </row>
    <row r="2571" spans="1:26" ht="12.75" hidden="1">
      <c r="A2571" s="109"/>
      <c r="B2571" s="109"/>
      <c r="C2571" s="109"/>
      <c r="D2571" s="109"/>
      <c r="E2571" s="109"/>
      <c r="F2571" s="109"/>
      <c r="G2571" s="109"/>
      <c r="H2571" s="109"/>
      <c r="I2571" s="109"/>
      <c r="J2571" s="109"/>
      <c r="L2571" s="109"/>
      <c r="M2571" s="109"/>
      <c r="N2571" s="109"/>
      <c r="Q2571" s="121"/>
      <c r="W2571" s="109"/>
      <c r="Z2571" s="122"/>
    </row>
    <row r="2572" spans="1:26" ht="12.75" hidden="1">
      <c r="A2572" s="109"/>
      <c r="B2572" s="109"/>
      <c r="C2572" s="109"/>
      <c r="D2572" s="109"/>
      <c r="E2572" s="109"/>
      <c r="F2572" s="109"/>
      <c r="G2572" s="109"/>
      <c r="H2572" s="109"/>
      <c r="I2572" s="109"/>
      <c r="J2572" s="109"/>
      <c r="L2572" s="109"/>
      <c r="M2572" s="109"/>
      <c r="N2572" s="109"/>
      <c r="Q2572" s="121"/>
      <c r="W2572" s="109"/>
      <c r="Z2572" s="122"/>
    </row>
    <row r="2573" spans="1:26" ht="12.75" hidden="1">
      <c r="A2573" s="109"/>
      <c r="B2573" s="109"/>
      <c r="C2573" s="109"/>
      <c r="D2573" s="109"/>
      <c r="E2573" s="109"/>
      <c r="F2573" s="109"/>
      <c r="G2573" s="109"/>
      <c r="H2573" s="109"/>
      <c r="I2573" s="109"/>
      <c r="J2573" s="109"/>
      <c r="L2573" s="109"/>
      <c r="M2573" s="109"/>
      <c r="N2573" s="109"/>
      <c r="Q2573" s="121"/>
      <c r="W2573" s="109"/>
      <c r="Z2573" s="122"/>
    </row>
    <row r="2574" spans="1:26" ht="12.75" hidden="1">
      <c r="A2574" s="109"/>
      <c r="B2574" s="109"/>
      <c r="C2574" s="109"/>
      <c r="D2574" s="109"/>
      <c r="E2574" s="109"/>
      <c r="F2574" s="109"/>
      <c r="G2574" s="109"/>
      <c r="H2574" s="109"/>
      <c r="I2574" s="109"/>
      <c r="J2574" s="109"/>
      <c r="L2574" s="109"/>
      <c r="M2574" s="109"/>
      <c r="N2574" s="109"/>
      <c r="Q2574" s="121"/>
      <c r="W2574" s="109"/>
      <c r="Z2574" s="122"/>
    </row>
    <row r="2575" spans="1:26" ht="12.75" hidden="1">
      <c r="A2575" s="109"/>
      <c r="B2575" s="109"/>
      <c r="C2575" s="109"/>
      <c r="D2575" s="109"/>
      <c r="E2575" s="109"/>
      <c r="F2575" s="109"/>
      <c r="G2575" s="109"/>
      <c r="H2575" s="109"/>
      <c r="I2575" s="109"/>
      <c r="J2575" s="109"/>
      <c r="L2575" s="109"/>
      <c r="M2575" s="109"/>
      <c r="N2575" s="109"/>
      <c r="Q2575" s="121"/>
      <c r="W2575" s="109"/>
      <c r="Z2575" s="122"/>
    </row>
    <row r="2576" spans="1:26" ht="12.75" hidden="1">
      <c r="A2576" s="109"/>
      <c r="B2576" s="109"/>
      <c r="C2576" s="109"/>
      <c r="D2576" s="109"/>
      <c r="E2576" s="109"/>
      <c r="F2576" s="109"/>
      <c r="G2576" s="109"/>
      <c r="H2576" s="109"/>
      <c r="I2576" s="109"/>
      <c r="J2576" s="109"/>
      <c r="L2576" s="109"/>
      <c r="M2576" s="109"/>
      <c r="N2576" s="109"/>
      <c r="Q2576" s="121"/>
      <c r="W2576" s="109"/>
      <c r="Z2576" s="122"/>
    </row>
    <row r="2577" spans="1:26" ht="12.75" hidden="1">
      <c r="A2577" s="109"/>
      <c r="B2577" s="109"/>
      <c r="C2577" s="109"/>
      <c r="D2577" s="109"/>
      <c r="E2577" s="109"/>
      <c r="F2577" s="109"/>
      <c r="G2577" s="109"/>
      <c r="H2577" s="109"/>
      <c r="I2577" s="109"/>
      <c r="J2577" s="109"/>
      <c r="L2577" s="109"/>
      <c r="M2577" s="109"/>
      <c r="N2577" s="109"/>
      <c r="Q2577" s="121"/>
      <c r="W2577" s="109"/>
      <c r="Z2577" s="122"/>
    </row>
    <row r="2578" spans="1:26" ht="12.75" hidden="1">
      <c r="A2578" s="109"/>
      <c r="B2578" s="109"/>
      <c r="C2578" s="109"/>
      <c r="D2578" s="109"/>
      <c r="E2578" s="109"/>
      <c r="F2578" s="109"/>
      <c r="G2578" s="109"/>
      <c r="H2578" s="109"/>
      <c r="I2578" s="109"/>
      <c r="J2578" s="109"/>
      <c r="L2578" s="109"/>
      <c r="M2578" s="109"/>
      <c r="N2578" s="109"/>
      <c r="Q2578" s="121"/>
      <c r="W2578" s="109"/>
      <c r="Z2578" s="122"/>
    </row>
    <row r="2579" spans="1:26" ht="12.75" hidden="1">
      <c r="A2579" s="109"/>
      <c r="B2579" s="109"/>
      <c r="C2579" s="109"/>
      <c r="D2579" s="109"/>
      <c r="E2579" s="109"/>
      <c r="F2579" s="109"/>
      <c r="G2579" s="109"/>
      <c r="H2579" s="109"/>
      <c r="I2579" s="109"/>
      <c r="J2579" s="109"/>
      <c r="L2579" s="109"/>
      <c r="M2579" s="109"/>
      <c r="N2579" s="109"/>
      <c r="Q2579" s="121"/>
      <c r="W2579" s="109"/>
      <c r="Z2579" s="122"/>
    </row>
    <row r="2580" spans="1:26" ht="12.75" hidden="1">
      <c r="A2580" s="109"/>
      <c r="B2580" s="109"/>
      <c r="C2580" s="109"/>
      <c r="D2580" s="109"/>
      <c r="E2580" s="109"/>
      <c r="F2580" s="109"/>
      <c r="G2580" s="109"/>
      <c r="H2580" s="109"/>
      <c r="I2580" s="109"/>
      <c r="J2580" s="109"/>
      <c r="L2580" s="109"/>
      <c r="M2580" s="109"/>
      <c r="N2580" s="109"/>
      <c r="Q2580" s="121"/>
      <c r="W2580" s="109"/>
      <c r="Z2580" s="122"/>
    </row>
    <row r="2581" spans="1:26" ht="12.75" hidden="1">
      <c r="A2581" s="109"/>
      <c r="B2581" s="109"/>
      <c r="C2581" s="109"/>
      <c r="D2581" s="109"/>
      <c r="E2581" s="109"/>
      <c r="F2581" s="109"/>
      <c r="G2581" s="109"/>
      <c r="H2581" s="109"/>
      <c r="I2581" s="109"/>
      <c r="J2581" s="109"/>
      <c r="L2581" s="109"/>
      <c r="M2581" s="109"/>
      <c r="N2581" s="109"/>
      <c r="Q2581" s="121"/>
      <c r="W2581" s="109"/>
      <c r="Z2581" s="122"/>
    </row>
    <row r="2582" spans="1:26" ht="12.75" hidden="1">
      <c r="A2582" s="109"/>
      <c r="B2582" s="109"/>
      <c r="C2582" s="109"/>
      <c r="D2582" s="109"/>
      <c r="E2582" s="109"/>
      <c r="F2582" s="109"/>
      <c r="G2582" s="109"/>
      <c r="H2582" s="109"/>
      <c r="I2582" s="109"/>
      <c r="J2582" s="109"/>
      <c r="L2582" s="109"/>
      <c r="M2582" s="109"/>
      <c r="N2582" s="109"/>
      <c r="Q2582" s="121"/>
      <c r="W2582" s="109"/>
      <c r="Z2582" s="122"/>
    </row>
    <row r="2583" spans="1:26" ht="12.75" hidden="1">
      <c r="A2583" s="109"/>
      <c r="B2583" s="109"/>
      <c r="C2583" s="109"/>
      <c r="D2583" s="109"/>
      <c r="E2583" s="109"/>
      <c r="F2583" s="109"/>
      <c r="G2583" s="109"/>
      <c r="H2583" s="109"/>
      <c r="I2583" s="109"/>
      <c r="J2583" s="109"/>
      <c r="L2583" s="109"/>
      <c r="M2583" s="109"/>
      <c r="N2583" s="109"/>
      <c r="Q2583" s="121"/>
      <c r="W2583" s="109"/>
      <c r="Z2583" s="122"/>
    </row>
    <row r="2584" spans="1:26" ht="12.75" hidden="1">
      <c r="A2584" s="109"/>
      <c r="B2584" s="109"/>
      <c r="C2584" s="109"/>
      <c r="D2584" s="109"/>
      <c r="E2584" s="109"/>
      <c r="F2584" s="109"/>
      <c r="G2584" s="109"/>
      <c r="H2584" s="109"/>
      <c r="I2584" s="109"/>
      <c r="J2584" s="109"/>
      <c r="L2584" s="109"/>
      <c r="M2584" s="109"/>
      <c r="N2584" s="109"/>
      <c r="Q2584" s="121"/>
      <c r="W2584" s="109"/>
      <c r="Z2584" s="122"/>
    </row>
    <row r="2585" spans="1:26" ht="12.75" hidden="1">
      <c r="A2585" s="109"/>
      <c r="B2585" s="109"/>
      <c r="C2585" s="109"/>
      <c r="D2585" s="109"/>
      <c r="E2585" s="109"/>
      <c r="F2585" s="109"/>
      <c r="G2585" s="109"/>
      <c r="H2585" s="109"/>
      <c r="I2585" s="109"/>
      <c r="J2585" s="109"/>
      <c r="L2585" s="109"/>
      <c r="M2585" s="109"/>
      <c r="N2585" s="109"/>
      <c r="Q2585" s="121"/>
      <c r="W2585" s="109"/>
      <c r="Z2585" s="122"/>
    </row>
    <row r="2586" spans="1:26" ht="12.75" hidden="1">
      <c r="A2586" s="109"/>
      <c r="B2586" s="109"/>
      <c r="C2586" s="109"/>
      <c r="D2586" s="109"/>
      <c r="E2586" s="109"/>
      <c r="F2586" s="109"/>
      <c r="G2586" s="109"/>
      <c r="H2586" s="109"/>
      <c r="I2586" s="109"/>
      <c r="J2586" s="109"/>
      <c r="L2586" s="109"/>
      <c r="M2586" s="109"/>
      <c r="N2586" s="109"/>
      <c r="Q2586" s="121"/>
      <c r="W2586" s="109"/>
      <c r="Z2586" s="122"/>
    </row>
    <row r="2587" spans="1:26" ht="12.75" hidden="1">
      <c r="A2587" s="109"/>
      <c r="B2587" s="109"/>
      <c r="C2587" s="109"/>
      <c r="D2587" s="109"/>
      <c r="E2587" s="109"/>
      <c r="F2587" s="109"/>
      <c r="G2587" s="109"/>
      <c r="H2587" s="109"/>
      <c r="I2587" s="109"/>
      <c r="J2587" s="109"/>
      <c r="L2587" s="109"/>
      <c r="M2587" s="109"/>
      <c r="N2587" s="109"/>
      <c r="Q2587" s="121"/>
      <c r="W2587" s="109"/>
      <c r="Z2587" s="122"/>
    </row>
    <row r="2588" spans="1:26" ht="12.75" hidden="1">
      <c r="A2588" s="109"/>
      <c r="B2588" s="109"/>
      <c r="C2588" s="109"/>
      <c r="D2588" s="109"/>
      <c r="E2588" s="109"/>
      <c r="F2588" s="109"/>
      <c r="G2588" s="109"/>
      <c r="H2588" s="109"/>
      <c r="I2588" s="109"/>
      <c r="J2588" s="109"/>
      <c r="L2588" s="109"/>
      <c r="M2588" s="109"/>
      <c r="N2588" s="109"/>
      <c r="Q2588" s="121"/>
      <c r="W2588" s="109"/>
      <c r="Z2588" s="122"/>
    </row>
    <row r="2589" spans="1:26" ht="12.75" hidden="1">
      <c r="A2589" s="109"/>
      <c r="B2589" s="109"/>
      <c r="C2589" s="109"/>
      <c r="D2589" s="109"/>
      <c r="E2589" s="109"/>
      <c r="F2589" s="109"/>
      <c r="G2589" s="109"/>
      <c r="H2589" s="109"/>
      <c r="I2589" s="109"/>
      <c r="J2589" s="109"/>
      <c r="L2589" s="109"/>
      <c r="M2589" s="109"/>
      <c r="N2589" s="109"/>
      <c r="Q2589" s="121"/>
      <c r="W2589" s="109"/>
      <c r="Z2589" s="122"/>
    </row>
    <row r="2590" spans="1:26" ht="12.75" hidden="1">
      <c r="A2590" s="109"/>
      <c r="B2590" s="109"/>
      <c r="C2590" s="109"/>
      <c r="D2590" s="109"/>
      <c r="E2590" s="109"/>
      <c r="F2590" s="109"/>
      <c r="G2590" s="109"/>
      <c r="H2590" s="109"/>
      <c r="I2590" s="109"/>
      <c r="J2590" s="109"/>
      <c r="L2590" s="109"/>
      <c r="M2590" s="109"/>
      <c r="N2590" s="109"/>
      <c r="Q2590" s="121"/>
      <c r="W2590" s="109"/>
      <c r="Z2590" s="122"/>
    </row>
    <row r="2591" spans="1:26" ht="12.75" hidden="1">
      <c r="A2591" s="109"/>
      <c r="B2591" s="109"/>
      <c r="C2591" s="109"/>
      <c r="D2591" s="109"/>
      <c r="E2591" s="109"/>
      <c r="F2591" s="109"/>
      <c r="G2591" s="109"/>
      <c r="H2591" s="109"/>
      <c r="I2591" s="109"/>
      <c r="J2591" s="109"/>
      <c r="L2591" s="109"/>
      <c r="M2591" s="109"/>
      <c r="N2591" s="109"/>
      <c r="Q2591" s="121"/>
      <c r="W2591" s="109"/>
      <c r="Z2591" s="122"/>
    </row>
    <row r="2592" spans="1:26" ht="12.75" hidden="1">
      <c r="A2592" s="109"/>
      <c r="B2592" s="109"/>
      <c r="C2592" s="109"/>
      <c r="D2592" s="109"/>
      <c r="E2592" s="109"/>
      <c r="F2592" s="109"/>
      <c r="G2592" s="109"/>
      <c r="H2592" s="109"/>
      <c r="I2592" s="109"/>
      <c r="J2592" s="109"/>
      <c r="L2592" s="109"/>
      <c r="M2592" s="109"/>
      <c r="N2592" s="109"/>
      <c r="Q2592" s="121"/>
      <c r="W2592" s="109"/>
      <c r="Z2592" s="122"/>
    </row>
    <row r="2593" spans="1:26" ht="12.75" hidden="1">
      <c r="A2593" s="109"/>
      <c r="B2593" s="109"/>
      <c r="C2593" s="109"/>
      <c r="D2593" s="109"/>
      <c r="E2593" s="109"/>
      <c r="F2593" s="109"/>
      <c r="G2593" s="109"/>
      <c r="H2593" s="109"/>
      <c r="I2593" s="109"/>
      <c r="J2593" s="109"/>
      <c r="L2593" s="109"/>
      <c r="M2593" s="109"/>
      <c r="N2593" s="109"/>
      <c r="Q2593" s="121"/>
      <c r="W2593" s="109"/>
      <c r="Z2593" s="122"/>
    </row>
    <row r="2594" spans="1:26" ht="12.75" hidden="1">
      <c r="A2594" s="109"/>
      <c r="B2594" s="109"/>
      <c r="C2594" s="109"/>
      <c r="D2594" s="109"/>
      <c r="E2594" s="109"/>
      <c r="F2594" s="109"/>
      <c r="G2594" s="109"/>
      <c r="H2594" s="109"/>
      <c r="I2594" s="109"/>
      <c r="J2594" s="109"/>
      <c r="L2594" s="109"/>
      <c r="M2594" s="109"/>
      <c r="N2594" s="109"/>
      <c r="Q2594" s="121"/>
      <c r="W2594" s="109"/>
      <c r="Z2594" s="122"/>
    </row>
    <row r="2595" spans="1:26" ht="12.75" hidden="1">
      <c r="A2595" s="109"/>
      <c r="B2595" s="109"/>
      <c r="C2595" s="109"/>
      <c r="D2595" s="109"/>
      <c r="E2595" s="109"/>
      <c r="F2595" s="109"/>
      <c r="G2595" s="109"/>
      <c r="H2595" s="109"/>
      <c r="I2595" s="109"/>
      <c r="J2595" s="109"/>
      <c r="L2595" s="109"/>
      <c r="M2595" s="109"/>
      <c r="N2595" s="109"/>
      <c r="Q2595" s="121"/>
      <c r="W2595" s="109"/>
      <c r="Z2595" s="122"/>
    </row>
    <row r="2596" spans="1:26" ht="12.75" hidden="1">
      <c r="A2596" s="109"/>
      <c r="B2596" s="109"/>
      <c r="C2596" s="109"/>
      <c r="D2596" s="109"/>
      <c r="E2596" s="109"/>
      <c r="F2596" s="109"/>
      <c r="G2596" s="109"/>
      <c r="H2596" s="109"/>
      <c r="I2596" s="109"/>
      <c r="J2596" s="109"/>
      <c r="L2596" s="109"/>
      <c r="M2596" s="109"/>
      <c r="N2596" s="109"/>
      <c r="Q2596" s="121"/>
      <c r="W2596" s="109"/>
      <c r="Z2596" s="122"/>
    </row>
    <row r="2597" spans="1:26" ht="12.75" hidden="1">
      <c r="A2597" s="109"/>
      <c r="B2597" s="109"/>
      <c r="C2597" s="109"/>
      <c r="D2597" s="109"/>
      <c r="E2597" s="109"/>
      <c r="F2597" s="109"/>
      <c r="G2597" s="109"/>
      <c r="H2597" s="109"/>
      <c r="I2597" s="109"/>
      <c r="J2597" s="109"/>
      <c r="L2597" s="109"/>
      <c r="M2597" s="109"/>
      <c r="N2597" s="109"/>
      <c r="Q2597" s="121"/>
      <c r="W2597" s="109"/>
      <c r="Z2597" s="122"/>
    </row>
    <row r="2598" spans="1:26" ht="12.75" hidden="1">
      <c r="A2598" s="109"/>
      <c r="B2598" s="109"/>
      <c r="C2598" s="109"/>
      <c r="D2598" s="109"/>
      <c r="E2598" s="109"/>
      <c r="F2598" s="109"/>
      <c r="G2598" s="109"/>
      <c r="H2598" s="109"/>
      <c r="I2598" s="109"/>
      <c r="J2598" s="109"/>
      <c r="L2598" s="109"/>
      <c r="M2598" s="109"/>
      <c r="N2598" s="109"/>
      <c r="Q2598" s="121"/>
      <c r="W2598" s="109"/>
      <c r="Z2598" s="122"/>
    </row>
    <row r="2599" spans="1:26" ht="12.75" hidden="1">
      <c r="A2599" s="109"/>
      <c r="B2599" s="109"/>
      <c r="C2599" s="109"/>
      <c r="D2599" s="109"/>
      <c r="E2599" s="109"/>
      <c r="F2599" s="109"/>
      <c r="G2599" s="109"/>
      <c r="H2599" s="109"/>
      <c r="I2599" s="109"/>
      <c r="J2599" s="109"/>
      <c r="L2599" s="109"/>
      <c r="M2599" s="109"/>
      <c r="N2599" s="109"/>
      <c r="Q2599" s="121"/>
      <c r="W2599" s="109"/>
      <c r="Z2599" s="122"/>
    </row>
    <row r="2600" spans="1:26" ht="12.75" hidden="1">
      <c r="A2600" s="109"/>
      <c r="B2600" s="109"/>
      <c r="C2600" s="109"/>
      <c r="D2600" s="109"/>
      <c r="E2600" s="109"/>
      <c r="F2600" s="109"/>
      <c r="G2600" s="109"/>
      <c r="H2600" s="109"/>
      <c r="I2600" s="109"/>
      <c r="J2600" s="109"/>
      <c r="L2600" s="109"/>
      <c r="M2600" s="109"/>
      <c r="N2600" s="109"/>
      <c r="Q2600" s="121"/>
      <c r="W2600" s="109"/>
      <c r="Z2600" s="122"/>
    </row>
    <row r="2601" spans="1:26" ht="12.75" hidden="1">
      <c r="A2601" s="109"/>
      <c r="B2601" s="109"/>
      <c r="C2601" s="109"/>
      <c r="D2601" s="109"/>
      <c r="E2601" s="109"/>
      <c r="F2601" s="109"/>
      <c r="G2601" s="109"/>
      <c r="H2601" s="109"/>
      <c r="I2601" s="109"/>
      <c r="J2601" s="109"/>
      <c r="L2601" s="109"/>
      <c r="M2601" s="109"/>
      <c r="N2601" s="109"/>
      <c r="Q2601" s="121"/>
      <c r="W2601" s="109"/>
      <c r="Z2601" s="122"/>
    </row>
    <row r="2602" spans="1:26" ht="12.75" hidden="1">
      <c r="A2602" s="109"/>
      <c r="B2602" s="109"/>
      <c r="C2602" s="109"/>
      <c r="D2602" s="109"/>
      <c r="E2602" s="109"/>
      <c r="F2602" s="109"/>
      <c r="G2602" s="109"/>
      <c r="H2602" s="109"/>
      <c r="I2602" s="109"/>
      <c r="J2602" s="109"/>
      <c r="L2602" s="109"/>
      <c r="M2602" s="109"/>
      <c r="N2602" s="109"/>
      <c r="Q2602" s="121"/>
      <c r="W2602" s="109"/>
      <c r="Z2602" s="122"/>
    </row>
    <row r="2603" spans="1:26" ht="12.75" hidden="1">
      <c r="A2603" s="109"/>
      <c r="B2603" s="109"/>
      <c r="C2603" s="109"/>
      <c r="D2603" s="109"/>
      <c r="E2603" s="109"/>
      <c r="F2603" s="109"/>
      <c r="G2603" s="109"/>
      <c r="H2603" s="109"/>
      <c r="I2603" s="109"/>
      <c r="J2603" s="109"/>
      <c r="L2603" s="109"/>
      <c r="M2603" s="109"/>
      <c r="N2603" s="109"/>
      <c r="Q2603" s="121"/>
      <c r="W2603" s="109"/>
      <c r="Z2603" s="122"/>
    </row>
    <row r="2604" spans="1:26" ht="12.75" hidden="1">
      <c r="A2604" s="109"/>
      <c r="B2604" s="109"/>
      <c r="C2604" s="109"/>
      <c r="D2604" s="109"/>
      <c r="E2604" s="109"/>
      <c r="F2604" s="109"/>
      <c r="G2604" s="109"/>
      <c r="H2604" s="109"/>
      <c r="I2604" s="109"/>
      <c r="J2604" s="109"/>
      <c r="L2604" s="109"/>
      <c r="M2604" s="109"/>
      <c r="N2604" s="109"/>
      <c r="Q2604" s="121"/>
      <c r="W2604" s="109"/>
      <c r="Z2604" s="122"/>
    </row>
    <row r="2605" spans="1:26" ht="12.75" hidden="1">
      <c r="A2605" s="109"/>
      <c r="B2605" s="109"/>
      <c r="C2605" s="109"/>
      <c r="D2605" s="109"/>
      <c r="E2605" s="109"/>
      <c r="F2605" s="109"/>
      <c r="G2605" s="109"/>
      <c r="H2605" s="109"/>
      <c r="I2605" s="109"/>
      <c r="J2605" s="109"/>
      <c r="L2605" s="109"/>
      <c r="M2605" s="109"/>
      <c r="N2605" s="109"/>
      <c r="Q2605" s="121"/>
      <c r="W2605" s="109"/>
      <c r="Z2605" s="122"/>
    </row>
    <row r="2606" spans="1:26" ht="12.75" hidden="1">
      <c r="A2606" s="109"/>
      <c r="B2606" s="109"/>
      <c r="C2606" s="109"/>
      <c r="D2606" s="109"/>
      <c r="E2606" s="109"/>
      <c r="F2606" s="109"/>
      <c r="G2606" s="109"/>
      <c r="H2606" s="109"/>
      <c r="I2606" s="109"/>
      <c r="J2606" s="109"/>
      <c r="L2606" s="109"/>
      <c r="M2606" s="109"/>
      <c r="N2606" s="109"/>
      <c r="Q2606" s="121"/>
      <c r="W2606" s="109"/>
      <c r="Z2606" s="122"/>
    </row>
    <row r="2607" spans="1:26" ht="12.75" hidden="1">
      <c r="A2607" s="109"/>
      <c r="B2607" s="109"/>
      <c r="C2607" s="109"/>
      <c r="D2607" s="109"/>
      <c r="E2607" s="109"/>
      <c r="F2607" s="109"/>
      <c r="G2607" s="109"/>
      <c r="H2607" s="109"/>
      <c r="I2607" s="109"/>
      <c r="J2607" s="109"/>
      <c r="L2607" s="109"/>
      <c r="M2607" s="109"/>
      <c r="N2607" s="109"/>
      <c r="Q2607" s="121"/>
      <c r="W2607" s="109"/>
      <c r="Z2607" s="122"/>
    </row>
    <row r="2608" spans="1:26" ht="12.75" hidden="1">
      <c r="A2608" s="109"/>
      <c r="B2608" s="109"/>
      <c r="C2608" s="109"/>
      <c r="D2608" s="109"/>
      <c r="E2608" s="109"/>
      <c r="F2608" s="109"/>
      <c r="G2608" s="109"/>
      <c r="H2608" s="109"/>
      <c r="I2608" s="109"/>
      <c r="J2608" s="109"/>
      <c r="L2608" s="109"/>
      <c r="M2608" s="109"/>
      <c r="N2608" s="109"/>
      <c r="Q2608" s="121"/>
      <c r="W2608" s="109"/>
      <c r="Z2608" s="122"/>
    </row>
    <row r="2609" spans="1:26" ht="12.75" hidden="1">
      <c r="A2609" s="109"/>
      <c r="B2609" s="109"/>
      <c r="C2609" s="109"/>
      <c r="D2609" s="109"/>
      <c r="E2609" s="109"/>
      <c r="F2609" s="109"/>
      <c r="G2609" s="109"/>
      <c r="H2609" s="109"/>
      <c r="I2609" s="109"/>
      <c r="J2609" s="109"/>
      <c r="L2609" s="109"/>
      <c r="M2609" s="109"/>
      <c r="N2609" s="109"/>
      <c r="Q2609" s="121"/>
      <c r="W2609" s="109"/>
      <c r="Z2609" s="122"/>
    </row>
    <row r="2610" spans="1:26" ht="12.75" hidden="1">
      <c r="A2610" s="109"/>
      <c r="B2610" s="109"/>
      <c r="C2610" s="109"/>
      <c r="D2610" s="109"/>
      <c r="E2610" s="109"/>
      <c r="F2610" s="109"/>
      <c r="G2610" s="109"/>
      <c r="H2610" s="109"/>
      <c r="I2610" s="109"/>
      <c r="J2610" s="109"/>
      <c r="L2610" s="109"/>
      <c r="M2610" s="109"/>
      <c r="N2610" s="109"/>
      <c r="Q2610" s="121"/>
      <c r="W2610" s="109"/>
      <c r="Z2610" s="122"/>
    </row>
    <row r="2611" spans="1:26" ht="12.75" hidden="1">
      <c r="A2611" s="109"/>
      <c r="B2611" s="109"/>
      <c r="C2611" s="109"/>
      <c r="D2611" s="109"/>
      <c r="E2611" s="109"/>
      <c r="F2611" s="109"/>
      <c r="G2611" s="109"/>
      <c r="H2611" s="109"/>
      <c r="I2611" s="109"/>
      <c r="J2611" s="109"/>
      <c r="L2611" s="109"/>
      <c r="M2611" s="109"/>
      <c r="N2611" s="109"/>
      <c r="Q2611" s="121"/>
      <c r="W2611" s="109"/>
      <c r="Z2611" s="122"/>
    </row>
    <row r="2612" spans="1:26" ht="12.75" hidden="1">
      <c r="A2612" s="109"/>
      <c r="B2612" s="109"/>
      <c r="C2612" s="109"/>
      <c r="D2612" s="109"/>
      <c r="E2612" s="109"/>
      <c r="F2612" s="109"/>
      <c r="G2612" s="109"/>
      <c r="H2612" s="109"/>
      <c r="I2612" s="109"/>
      <c r="J2612" s="109"/>
      <c r="L2612" s="109"/>
      <c r="M2612" s="109"/>
      <c r="N2612" s="109"/>
      <c r="Q2612" s="121"/>
      <c r="W2612" s="109"/>
      <c r="Z2612" s="122"/>
    </row>
    <row r="2613" spans="1:26" ht="12.75" hidden="1">
      <c r="A2613" s="109"/>
      <c r="B2613" s="109"/>
      <c r="C2613" s="109"/>
      <c r="D2613" s="109"/>
      <c r="E2613" s="109"/>
      <c r="F2613" s="109"/>
      <c r="G2613" s="109"/>
      <c r="H2613" s="109"/>
      <c r="I2613" s="109"/>
      <c r="J2613" s="109"/>
      <c r="L2613" s="109"/>
      <c r="M2613" s="109"/>
      <c r="N2613" s="109"/>
      <c r="Q2613" s="121"/>
      <c r="W2613" s="109"/>
      <c r="Z2613" s="122"/>
    </row>
    <row r="2614" spans="1:26" ht="12.75" hidden="1">
      <c r="A2614" s="109"/>
      <c r="B2614" s="109"/>
      <c r="C2614" s="109"/>
      <c r="D2614" s="109"/>
      <c r="E2614" s="109"/>
      <c r="F2614" s="109"/>
      <c r="G2614" s="109"/>
      <c r="H2614" s="109"/>
      <c r="I2614" s="109"/>
      <c r="J2614" s="109"/>
      <c r="L2614" s="109"/>
      <c r="M2614" s="109"/>
      <c r="N2614" s="109"/>
      <c r="Q2614" s="121"/>
      <c r="W2614" s="109"/>
      <c r="Z2614" s="122"/>
    </row>
    <row r="2615" spans="1:26" ht="12.75" hidden="1">
      <c r="A2615" s="109"/>
      <c r="B2615" s="109"/>
      <c r="C2615" s="109"/>
      <c r="D2615" s="109"/>
      <c r="E2615" s="109"/>
      <c r="F2615" s="109"/>
      <c r="G2615" s="109"/>
      <c r="H2615" s="109"/>
      <c r="I2615" s="109"/>
      <c r="J2615" s="109"/>
      <c r="L2615" s="109"/>
      <c r="M2615" s="109"/>
      <c r="N2615" s="109"/>
      <c r="Q2615" s="121"/>
      <c r="W2615" s="109"/>
      <c r="Z2615" s="122"/>
    </row>
    <row r="2616" spans="1:26" ht="12.75" hidden="1">
      <c r="A2616" s="109"/>
      <c r="B2616" s="109"/>
      <c r="C2616" s="109"/>
      <c r="D2616" s="109"/>
      <c r="E2616" s="109"/>
      <c r="F2616" s="109"/>
      <c r="G2616" s="109"/>
      <c r="H2616" s="109"/>
      <c r="I2616" s="109"/>
      <c r="J2616" s="109"/>
      <c r="L2616" s="109"/>
      <c r="M2616" s="109"/>
      <c r="N2616" s="109"/>
      <c r="Q2616" s="121"/>
      <c r="W2616" s="109"/>
      <c r="Z2616" s="122"/>
    </row>
    <row r="2617" spans="1:26" ht="12.75" hidden="1">
      <c r="A2617" s="109"/>
      <c r="B2617" s="109"/>
      <c r="C2617" s="109"/>
      <c r="D2617" s="109"/>
      <c r="E2617" s="109"/>
      <c r="F2617" s="109"/>
      <c r="G2617" s="109"/>
      <c r="H2617" s="109"/>
      <c r="I2617" s="109"/>
      <c r="J2617" s="109"/>
      <c r="L2617" s="109"/>
      <c r="M2617" s="109"/>
      <c r="N2617" s="109"/>
      <c r="Q2617" s="121"/>
      <c r="W2617" s="109"/>
      <c r="Z2617" s="122"/>
    </row>
    <row r="2618" spans="1:26" ht="12.75" hidden="1">
      <c r="A2618" s="109"/>
      <c r="B2618" s="109"/>
      <c r="C2618" s="109"/>
      <c r="D2618" s="109"/>
      <c r="E2618" s="109"/>
      <c r="F2618" s="109"/>
      <c r="G2618" s="109"/>
      <c r="H2618" s="109"/>
      <c r="I2618" s="109"/>
      <c r="J2618" s="109"/>
      <c r="L2618" s="109"/>
      <c r="M2618" s="109"/>
      <c r="N2618" s="109"/>
      <c r="Q2618" s="121"/>
      <c r="W2618" s="109"/>
      <c r="Z2618" s="122"/>
    </row>
    <row r="2619" spans="1:26" ht="12.75" hidden="1">
      <c r="A2619" s="109"/>
      <c r="B2619" s="109"/>
      <c r="C2619" s="109"/>
      <c r="D2619" s="109"/>
      <c r="E2619" s="109"/>
      <c r="F2619" s="109"/>
      <c r="G2619" s="109"/>
      <c r="H2619" s="109"/>
      <c r="I2619" s="109"/>
      <c r="J2619" s="109"/>
      <c r="L2619" s="109"/>
      <c r="M2619" s="109"/>
      <c r="N2619" s="109"/>
      <c r="Q2619" s="121"/>
      <c r="W2619" s="109"/>
      <c r="Z2619" s="122"/>
    </row>
    <row r="2620" spans="1:26" ht="12.75" hidden="1">
      <c r="A2620" s="109"/>
      <c r="B2620" s="109"/>
      <c r="C2620" s="109"/>
      <c r="D2620" s="109"/>
      <c r="E2620" s="109"/>
      <c r="F2620" s="109"/>
      <c r="G2620" s="109"/>
      <c r="H2620" s="109"/>
      <c r="I2620" s="109"/>
      <c r="J2620" s="109"/>
      <c r="L2620" s="109"/>
      <c r="M2620" s="109"/>
      <c r="N2620" s="109"/>
      <c r="Q2620" s="121"/>
      <c r="W2620" s="109"/>
      <c r="Z2620" s="122"/>
    </row>
    <row r="2621" spans="1:26" ht="12.75" hidden="1">
      <c r="A2621" s="109"/>
      <c r="B2621" s="109"/>
      <c r="C2621" s="109"/>
      <c r="D2621" s="109"/>
      <c r="E2621" s="109"/>
      <c r="F2621" s="109"/>
      <c r="G2621" s="109"/>
      <c r="H2621" s="109"/>
      <c r="I2621" s="109"/>
      <c r="J2621" s="109"/>
      <c r="L2621" s="109"/>
      <c r="M2621" s="109"/>
      <c r="N2621" s="109"/>
      <c r="Q2621" s="121"/>
      <c r="W2621" s="109"/>
      <c r="Z2621" s="122"/>
    </row>
    <row r="2622" spans="1:26" ht="12.75" hidden="1">
      <c r="A2622" s="109"/>
      <c r="B2622" s="109"/>
      <c r="C2622" s="109"/>
      <c r="D2622" s="109"/>
      <c r="E2622" s="109"/>
      <c r="F2622" s="109"/>
      <c r="G2622" s="109"/>
      <c r="H2622" s="109"/>
      <c r="I2622" s="109"/>
      <c r="J2622" s="109"/>
      <c r="L2622" s="109"/>
      <c r="M2622" s="109"/>
      <c r="N2622" s="109"/>
      <c r="Q2622" s="121"/>
      <c r="W2622" s="109"/>
      <c r="Z2622" s="122"/>
    </row>
    <row r="2623" spans="1:26" ht="12.75" hidden="1">
      <c r="A2623" s="109"/>
      <c r="B2623" s="109"/>
      <c r="C2623" s="109"/>
      <c r="D2623" s="109"/>
      <c r="E2623" s="109"/>
      <c r="F2623" s="109"/>
      <c r="G2623" s="109"/>
      <c r="H2623" s="109"/>
      <c r="I2623" s="109"/>
      <c r="J2623" s="109"/>
      <c r="L2623" s="109"/>
      <c r="M2623" s="109"/>
      <c r="N2623" s="109"/>
      <c r="Q2623" s="121"/>
      <c r="W2623" s="109"/>
      <c r="Z2623" s="122"/>
    </row>
    <row r="2624" spans="1:26" ht="12.75" hidden="1">
      <c r="A2624" s="109"/>
      <c r="B2624" s="109"/>
      <c r="C2624" s="109"/>
      <c r="D2624" s="109"/>
      <c r="E2624" s="109"/>
      <c r="F2624" s="109"/>
      <c r="G2624" s="109"/>
      <c r="H2624" s="109"/>
      <c r="I2624" s="109"/>
      <c r="J2624" s="109"/>
      <c r="L2624" s="109"/>
      <c r="M2624" s="109"/>
      <c r="N2624" s="109"/>
      <c r="Q2624" s="121"/>
      <c r="W2624" s="109"/>
      <c r="Z2624" s="122"/>
    </row>
    <row r="2625" spans="1:26" ht="12.75" hidden="1">
      <c r="A2625" s="109"/>
      <c r="B2625" s="109"/>
      <c r="C2625" s="109"/>
      <c r="D2625" s="109"/>
      <c r="E2625" s="109"/>
      <c r="F2625" s="109"/>
      <c r="G2625" s="109"/>
      <c r="H2625" s="109"/>
      <c r="I2625" s="109"/>
      <c r="J2625" s="109"/>
      <c r="L2625" s="109"/>
      <c r="M2625" s="109"/>
      <c r="N2625" s="109"/>
      <c r="Q2625" s="121"/>
      <c r="W2625" s="109"/>
      <c r="Z2625" s="122"/>
    </row>
    <row r="2626" spans="1:26" ht="12.75" hidden="1">
      <c r="A2626" s="109"/>
      <c r="B2626" s="109"/>
      <c r="C2626" s="109"/>
      <c r="D2626" s="109"/>
      <c r="E2626" s="109"/>
      <c r="F2626" s="109"/>
      <c r="G2626" s="109"/>
      <c r="H2626" s="109"/>
      <c r="I2626" s="109"/>
      <c r="J2626" s="109"/>
      <c r="L2626" s="109"/>
      <c r="M2626" s="109"/>
      <c r="N2626" s="109"/>
      <c r="Q2626" s="121"/>
      <c r="W2626" s="109"/>
      <c r="Z2626" s="122"/>
    </row>
    <row r="2627" spans="1:26" ht="12.75" hidden="1">
      <c r="A2627" s="109"/>
      <c r="B2627" s="109"/>
      <c r="C2627" s="109"/>
      <c r="D2627" s="109"/>
      <c r="E2627" s="109"/>
      <c r="F2627" s="109"/>
      <c r="G2627" s="109"/>
      <c r="H2627" s="109"/>
      <c r="I2627" s="109"/>
      <c r="J2627" s="109"/>
      <c r="L2627" s="109"/>
      <c r="M2627" s="109"/>
      <c r="N2627" s="109"/>
      <c r="Q2627" s="121"/>
      <c r="W2627" s="109"/>
      <c r="Z2627" s="122"/>
    </row>
    <row r="2628" spans="1:26" ht="12.75" hidden="1">
      <c r="A2628" s="109"/>
      <c r="B2628" s="109"/>
      <c r="C2628" s="109"/>
      <c r="D2628" s="109"/>
      <c r="E2628" s="109"/>
      <c r="F2628" s="109"/>
      <c r="G2628" s="109"/>
      <c r="H2628" s="109"/>
      <c r="I2628" s="109"/>
      <c r="J2628" s="109"/>
      <c r="L2628" s="109"/>
      <c r="M2628" s="109"/>
      <c r="N2628" s="109"/>
      <c r="Q2628" s="121"/>
      <c r="W2628" s="109"/>
      <c r="Z2628" s="122"/>
    </row>
    <row r="2629" spans="1:26" ht="12.75" hidden="1">
      <c r="A2629" s="109"/>
      <c r="B2629" s="109"/>
      <c r="C2629" s="109"/>
      <c r="D2629" s="109"/>
      <c r="E2629" s="109"/>
      <c r="F2629" s="109"/>
      <c r="G2629" s="109"/>
      <c r="H2629" s="109"/>
      <c r="I2629" s="109"/>
      <c r="J2629" s="109"/>
      <c r="L2629" s="109"/>
      <c r="M2629" s="109"/>
      <c r="N2629" s="109"/>
      <c r="Q2629" s="121"/>
      <c r="W2629" s="109"/>
      <c r="Z2629" s="122"/>
    </row>
    <row r="2630" spans="1:26" ht="12.75" hidden="1">
      <c r="A2630" s="109"/>
      <c r="B2630" s="109"/>
      <c r="C2630" s="109"/>
      <c r="D2630" s="109"/>
      <c r="E2630" s="109"/>
      <c r="F2630" s="109"/>
      <c r="G2630" s="109"/>
      <c r="H2630" s="109"/>
      <c r="I2630" s="109"/>
      <c r="J2630" s="109"/>
      <c r="L2630" s="109"/>
      <c r="M2630" s="109"/>
      <c r="N2630" s="109"/>
      <c r="Q2630" s="121"/>
      <c r="W2630" s="109"/>
      <c r="Z2630" s="122"/>
    </row>
    <row r="2631" spans="1:26" ht="12.75" hidden="1">
      <c r="A2631" s="109"/>
      <c r="B2631" s="109"/>
      <c r="C2631" s="109"/>
      <c r="D2631" s="109"/>
      <c r="E2631" s="109"/>
      <c r="F2631" s="109"/>
      <c r="G2631" s="109"/>
      <c r="H2631" s="109"/>
      <c r="I2631" s="109"/>
      <c r="J2631" s="109"/>
      <c r="L2631" s="109"/>
      <c r="M2631" s="109"/>
      <c r="N2631" s="109"/>
      <c r="Q2631" s="121"/>
      <c r="W2631" s="109"/>
      <c r="Z2631" s="122"/>
    </row>
    <row r="2632" spans="1:26" ht="12.75" hidden="1">
      <c r="A2632" s="109"/>
      <c r="B2632" s="109"/>
      <c r="C2632" s="109"/>
      <c r="D2632" s="109"/>
      <c r="E2632" s="109"/>
      <c r="F2632" s="109"/>
      <c r="G2632" s="109"/>
      <c r="H2632" s="109"/>
      <c r="I2632" s="109"/>
      <c r="J2632" s="109"/>
      <c r="L2632" s="109"/>
      <c r="M2632" s="109"/>
      <c r="N2632" s="109"/>
      <c r="Q2632" s="121"/>
      <c r="W2632" s="109"/>
      <c r="Z2632" s="122"/>
    </row>
    <row r="2633" spans="1:26" ht="12.75" hidden="1">
      <c r="A2633" s="109"/>
      <c r="B2633" s="109"/>
      <c r="C2633" s="109"/>
      <c r="D2633" s="109"/>
      <c r="E2633" s="109"/>
      <c r="F2633" s="109"/>
      <c r="G2633" s="109"/>
      <c r="H2633" s="109"/>
      <c r="I2633" s="109"/>
      <c r="J2633" s="109"/>
      <c r="L2633" s="109"/>
      <c r="M2633" s="109"/>
      <c r="N2633" s="109"/>
      <c r="Q2633" s="121"/>
      <c r="W2633" s="109"/>
      <c r="Z2633" s="122"/>
    </row>
    <row r="2634" spans="1:26" ht="12.75" hidden="1">
      <c r="A2634" s="109"/>
      <c r="B2634" s="109"/>
      <c r="C2634" s="109"/>
      <c r="D2634" s="109"/>
      <c r="E2634" s="109"/>
      <c r="F2634" s="109"/>
      <c r="G2634" s="109"/>
      <c r="H2634" s="109"/>
      <c r="I2634" s="109"/>
      <c r="J2634" s="109"/>
      <c r="L2634" s="109"/>
      <c r="M2634" s="109"/>
      <c r="N2634" s="109"/>
      <c r="Q2634" s="121"/>
      <c r="W2634" s="109"/>
      <c r="Z2634" s="122"/>
    </row>
    <row r="2635" spans="1:26" ht="12.75" hidden="1">
      <c r="A2635" s="109"/>
      <c r="B2635" s="109"/>
      <c r="C2635" s="109"/>
      <c r="D2635" s="109"/>
      <c r="E2635" s="109"/>
      <c r="F2635" s="109"/>
      <c r="G2635" s="109"/>
      <c r="H2635" s="109"/>
      <c r="I2635" s="109"/>
      <c r="J2635" s="109"/>
      <c r="L2635" s="109"/>
      <c r="M2635" s="109"/>
      <c r="N2635" s="109"/>
      <c r="Q2635" s="121"/>
      <c r="W2635" s="109"/>
      <c r="Z2635" s="122"/>
    </row>
    <row r="2636" spans="1:26" ht="12.75" hidden="1">
      <c r="A2636" s="109"/>
      <c r="B2636" s="109"/>
      <c r="C2636" s="109"/>
      <c r="D2636" s="109"/>
      <c r="E2636" s="109"/>
      <c r="F2636" s="109"/>
      <c r="G2636" s="109"/>
      <c r="H2636" s="109"/>
      <c r="I2636" s="109"/>
      <c r="J2636" s="109"/>
      <c r="L2636" s="109"/>
      <c r="M2636" s="109"/>
      <c r="N2636" s="109"/>
      <c r="Q2636" s="121"/>
      <c r="W2636" s="109"/>
      <c r="Z2636" s="122"/>
    </row>
    <row r="2637" spans="1:26" ht="12.75" hidden="1">
      <c r="A2637" s="109"/>
      <c r="B2637" s="109"/>
      <c r="C2637" s="109"/>
      <c r="D2637" s="109"/>
      <c r="E2637" s="109"/>
      <c r="F2637" s="109"/>
      <c r="G2637" s="109"/>
      <c r="H2637" s="109"/>
      <c r="I2637" s="109"/>
      <c r="J2637" s="109"/>
      <c r="L2637" s="109"/>
      <c r="M2637" s="109"/>
      <c r="N2637" s="109"/>
      <c r="Q2637" s="121"/>
      <c r="W2637" s="109"/>
      <c r="Z2637" s="122"/>
    </row>
    <row r="2638" spans="1:26" ht="12.75" hidden="1">
      <c r="A2638" s="109"/>
      <c r="B2638" s="109"/>
      <c r="C2638" s="109"/>
      <c r="D2638" s="109"/>
      <c r="E2638" s="109"/>
      <c r="F2638" s="109"/>
      <c r="G2638" s="109"/>
      <c r="H2638" s="109"/>
      <c r="I2638" s="109"/>
      <c r="J2638" s="109"/>
      <c r="L2638" s="109"/>
      <c r="M2638" s="109"/>
      <c r="N2638" s="109"/>
      <c r="Q2638" s="121"/>
      <c r="W2638" s="109"/>
      <c r="Z2638" s="122"/>
    </row>
    <row r="2639" spans="1:26" ht="12.75" hidden="1">
      <c r="A2639" s="109"/>
      <c r="B2639" s="109"/>
      <c r="C2639" s="109"/>
      <c r="D2639" s="109"/>
      <c r="E2639" s="109"/>
      <c r="F2639" s="109"/>
      <c r="G2639" s="109"/>
      <c r="H2639" s="109"/>
      <c r="I2639" s="109"/>
      <c r="J2639" s="109"/>
      <c r="L2639" s="109"/>
      <c r="M2639" s="109"/>
      <c r="N2639" s="109"/>
      <c r="Q2639" s="121"/>
      <c r="W2639" s="109"/>
      <c r="Z2639" s="122"/>
    </row>
    <row r="2640" spans="1:26" ht="12.75" hidden="1">
      <c r="A2640" s="109"/>
      <c r="B2640" s="109"/>
      <c r="C2640" s="109"/>
      <c r="D2640" s="109"/>
      <c r="E2640" s="109"/>
      <c r="F2640" s="109"/>
      <c r="G2640" s="109"/>
      <c r="H2640" s="109"/>
      <c r="I2640" s="109"/>
      <c r="J2640" s="109"/>
      <c r="L2640" s="109"/>
      <c r="M2640" s="109"/>
      <c r="N2640" s="109"/>
      <c r="Q2640" s="121"/>
      <c r="W2640" s="109"/>
      <c r="Z2640" s="122"/>
    </row>
    <row r="2641" spans="1:26" ht="12.75" hidden="1">
      <c r="A2641" s="109"/>
      <c r="B2641" s="109"/>
      <c r="C2641" s="109"/>
      <c r="D2641" s="109"/>
      <c r="E2641" s="109"/>
      <c r="F2641" s="109"/>
      <c r="G2641" s="109"/>
      <c r="H2641" s="109"/>
      <c r="I2641" s="109"/>
      <c r="J2641" s="109"/>
      <c r="L2641" s="109"/>
      <c r="M2641" s="109"/>
      <c r="N2641" s="109"/>
      <c r="Q2641" s="121"/>
      <c r="W2641" s="109"/>
      <c r="Z2641" s="122"/>
    </row>
    <row r="2642" spans="1:26" ht="12.75" hidden="1">
      <c r="A2642" s="109"/>
      <c r="B2642" s="109"/>
      <c r="C2642" s="109"/>
      <c r="D2642" s="109"/>
      <c r="E2642" s="109"/>
      <c r="F2642" s="109"/>
      <c r="G2642" s="109"/>
      <c r="H2642" s="109"/>
      <c r="I2642" s="109"/>
      <c r="J2642" s="109"/>
      <c r="L2642" s="109"/>
      <c r="M2642" s="109"/>
      <c r="N2642" s="109"/>
      <c r="Q2642" s="121"/>
      <c r="W2642" s="109"/>
      <c r="Z2642" s="122"/>
    </row>
    <row r="2643" spans="1:26" ht="12.75" hidden="1">
      <c r="A2643" s="109"/>
      <c r="B2643" s="109"/>
      <c r="C2643" s="109"/>
      <c r="D2643" s="109"/>
      <c r="E2643" s="109"/>
      <c r="F2643" s="109"/>
      <c r="G2643" s="109"/>
      <c r="H2643" s="109"/>
      <c r="I2643" s="109"/>
      <c r="J2643" s="109"/>
      <c r="L2643" s="109"/>
      <c r="M2643" s="109"/>
      <c r="N2643" s="109"/>
      <c r="Q2643" s="121"/>
      <c r="W2643" s="109"/>
      <c r="Z2643" s="122"/>
    </row>
    <row r="2644" spans="1:26" ht="12.75" hidden="1">
      <c r="A2644" s="109"/>
      <c r="B2644" s="109"/>
      <c r="C2644" s="109"/>
      <c r="D2644" s="109"/>
      <c r="E2644" s="109"/>
      <c r="F2644" s="109"/>
      <c r="G2644" s="109"/>
      <c r="H2644" s="109"/>
      <c r="I2644" s="109"/>
      <c r="J2644" s="109"/>
      <c r="L2644" s="109"/>
      <c r="M2644" s="109"/>
      <c r="N2644" s="109"/>
      <c r="Q2644" s="121"/>
      <c r="W2644" s="109"/>
      <c r="Z2644" s="122"/>
    </row>
    <row r="2645" spans="1:26" ht="12.75" hidden="1">
      <c r="A2645" s="109"/>
      <c r="B2645" s="109"/>
      <c r="C2645" s="109"/>
      <c r="D2645" s="109"/>
      <c r="E2645" s="109"/>
      <c r="F2645" s="109"/>
      <c r="G2645" s="109"/>
      <c r="H2645" s="109"/>
      <c r="I2645" s="109"/>
      <c r="J2645" s="109"/>
      <c r="L2645" s="109"/>
      <c r="M2645" s="109"/>
      <c r="N2645" s="109"/>
      <c r="Q2645" s="121"/>
      <c r="W2645" s="109"/>
      <c r="Z2645" s="122"/>
    </row>
    <row r="2646" spans="1:26" ht="12.75" hidden="1">
      <c r="A2646" s="109"/>
      <c r="B2646" s="109"/>
      <c r="C2646" s="109"/>
      <c r="D2646" s="109"/>
      <c r="E2646" s="109"/>
      <c r="F2646" s="109"/>
      <c r="G2646" s="109"/>
      <c r="H2646" s="109"/>
      <c r="I2646" s="109"/>
      <c r="J2646" s="109"/>
      <c r="L2646" s="109"/>
      <c r="M2646" s="109"/>
      <c r="N2646" s="109"/>
      <c r="Q2646" s="121"/>
      <c r="W2646" s="109"/>
      <c r="Z2646" s="122"/>
    </row>
    <row r="2647" spans="1:26" ht="12.75" hidden="1">
      <c r="A2647" s="109"/>
      <c r="B2647" s="109"/>
      <c r="C2647" s="109"/>
      <c r="D2647" s="109"/>
      <c r="E2647" s="109"/>
      <c r="F2647" s="109"/>
      <c r="G2647" s="109"/>
      <c r="H2647" s="109"/>
      <c r="I2647" s="109"/>
      <c r="J2647" s="109"/>
      <c r="L2647" s="109"/>
      <c r="M2647" s="109"/>
      <c r="N2647" s="109"/>
      <c r="Q2647" s="121"/>
      <c r="W2647" s="109"/>
      <c r="Z2647" s="122"/>
    </row>
    <row r="2648" spans="1:26" ht="12.75" hidden="1">
      <c r="A2648" s="109"/>
      <c r="B2648" s="109"/>
      <c r="C2648" s="109"/>
      <c r="D2648" s="109"/>
      <c r="E2648" s="109"/>
      <c r="F2648" s="109"/>
      <c r="G2648" s="109"/>
      <c r="H2648" s="109"/>
      <c r="I2648" s="109"/>
      <c r="J2648" s="109"/>
      <c r="L2648" s="109"/>
      <c r="M2648" s="109"/>
      <c r="N2648" s="109"/>
      <c r="Q2648" s="121"/>
      <c r="W2648" s="109"/>
      <c r="Z2648" s="122"/>
    </row>
    <row r="2649" spans="1:26" ht="12.75" hidden="1">
      <c r="A2649" s="109"/>
      <c r="B2649" s="109"/>
      <c r="C2649" s="109"/>
      <c r="D2649" s="109"/>
      <c r="E2649" s="109"/>
      <c r="F2649" s="109"/>
      <c r="G2649" s="109"/>
      <c r="H2649" s="109"/>
      <c r="I2649" s="109"/>
      <c r="J2649" s="109"/>
      <c r="L2649" s="109"/>
      <c r="M2649" s="109"/>
      <c r="N2649" s="109"/>
      <c r="Q2649" s="121"/>
      <c r="W2649" s="109"/>
      <c r="Z2649" s="122"/>
    </row>
    <row r="2650" spans="1:26" ht="12.75" hidden="1">
      <c r="A2650" s="109"/>
      <c r="B2650" s="109"/>
      <c r="C2650" s="109"/>
      <c r="D2650" s="109"/>
      <c r="E2650" s="109"/>
      <c r="F2650" s="109"/>
      <c r="G2650" s="109"/>
      <c r="H2650" s="109"/>
      <c r="I2650" s="109"/>
      <c r="J2650" s="109"/>
      <c r="L2650" s="109"/>
      <c r="M2650" s="109"/>
      <c r="N2650" s="109"/>
      <c r="Q2650" s="121"/>
      <c r="W2650" s="109"/>
      <c r="Z2650" s="122"/>
    </row>
    <row r="2651" spans="1:26" ht="12.75" hidden="1">
      <c r="A2651" s="109"/>
      <c r="B2651" s="109"/>
      <c r="C2651" s="109"/>
      <c r="D2651" s="109"/>
      <c r="E2651" s="109"/>
      <c r="F2651" s="109"/>
      <c r="G2651" s="109"/>
      <c r="H2651" s="109"/>
      <c r="I2651" s="109"/>
      <c r="J2651" s="109"/>
      <c r="L2651" s="109"/>
      <c r="M2651" s="109"/>
      <c r="N2651" s="109"/>
      <c r="Q2651" s="121"/>
      <c r="W2651" s="109"/>
      <c r="Z2651" s="122"/>
    </row>
    <row r="2652" spans="1:26" ht="12.75" hidden="1">
      <c r="A2652" s="109"/>
      <c r="B2652" s="109"/>
      <c r="C2652" s="109"/>
      <c r="D2652" s="109"/>
      <c r="E2652" s="109"/>
      <c r="F2652" s="109"/>
      <c r="G2652" s="109"/>
      <c r="H2652" s="109"/>
      <c r="I2652" s="109"/>
      <c r="J2652" s="109"/>
      <c r="L2652" s="109"/>
      <c r="M2652" s="109"/>
      <c r="N2652" s="109"/>
      <c r="Q2652" s="121"/>
      <c r="W2652" s="109"/>
      <c r="Z2652" s="122"/>
    </row>
    <row r="2653" spans="1:26" ht="12.75" hidden="1">
      <c r="A2653" s="109"/>
      <c r="B2653" s="109"/>
      <c r="C2653" s="109"/>
      <c r="D2653" s="109"/>
      <c r="E2653" s="109"/>
      <c r="F2653" s="109"/>
      <c r="G2653" s="109"/>
      <c r="H2653" s="109"/>
      <c r="I2653" s="109"/>
      <c r="J2653" s="109"/>
      <c r="L2653" s="109"/>
      <c r="M2653" s="109"/>
      <c r="N2653" s="109"/>
      <c r="Q2653" s="121"/>
      <c r="W2653" s="109"/>
      <c r="Z2653" s="122"/>
    </row>
    <row r="2654" spans="1:26" ht="12.75" hidden="1">
      <c r="A2654" s="109"/>
      <c r="B2654" s="109"/>
      <c r="C2654" s="109"/>
      <c r="D2654" s="109"/>
      <c r="E2654" s="109"/>
      <c r="F2654" s="109"/>
      <c r="G2654" s="109"/>
      <c r="H2654" s="109"/>
      <c r="I2654" s="109"/>
      <c r="J2654" s="109"/>
      <c r="L2654" s="109"/>
      <c r="M2654" s="109"/>
      <c r="N2654" s="109"/>
      <c r="Q2654" s="121"/>
      <c r="W2654" s="109"/>
      <c r="Z2654" s="122"/>
    </row>
    <row r="2655" spans="1:26" ht="12.75" hidden="1">
      <c r="A2655" s="109"/>
      <c r="B2655" s="109"/>
      <c r="C2655" s="109"/>
      <c r="D2655" s="109"/>
      <c r="E2655" s="109"/>
      <c r="F2655" s="109"/>
      <c r="G2655" s="109"/>
      <c r="H2655" s="109"/>
      <c r="I2655" s="109"/>
      <c r="J2655" s="109"/>
      <c r="L2655" s="109"/>
      <c r="M2655" s="109"/>
      <c r="N2655" s="109"/>
      <c r="Q2655" s="121"/>
      <c r="W2655" s="109"/>
      <c r="Z2655" s="122"/>
    </row>
    <row r="2656" spans="1:26" ht="12.75" hidden="1">
      <c r="A2656" s="109"/>
      <c r="B2656" s="109"/>
      <c r="C2656" s="109"/>
      <c r="D2656" s="109"/>
      <c r="E2656" s="109"/>
      <c r="F2656" s="109"/>
      <c r="G2656" s="109"/>
      <c r="H2656" s="109"/>
      <c r="I2656" s="109"/>
      <c r="J2656" s="109"/>
      <c r="L2656" s="109"/>
      <c r="M2656" s="109"/>
      <c r="N2656" s="109"/>
      <c r="Q2656" s="121"/>
      <c r="W2656" s="109"/>
      <c r="Z2656" s="122"/>
    </row>
    <row r="2657" spans="1:26" ht="12.75" hidden="1">
      <c r="A2657" s="109"/>
      <c r="B2657" s="109"/>
      <c r="C2657" s="109"/>
      <c r="D2657" s="109"/>
      <c r="E2657" s="109"/>
      <c r="F2657" s="109"/>
      <c r="G2657" s="109"/>
      <c r="H2657" s="109"/>
      <c r="I2657" s="109"/>
      <c r="J2657" s="109"/>
      <c r="L2657" s="109"/>
      <c r="M2657" s="109"/>
      <c r="N2657" s="109"/>
      <c r="Q2657" s="121"/>
      <c r="W2657" s="109"/>
      <c r="Z2657" s="122"/>
    </row>
    <row r="2658" spans="1:26" ht="12.75" hidden="1">
      <c r="A2658" s="109"/>
      <c r="B2658" s="109"/>
      <c r="C2658" s="109"/>
      <c r="D2658" s="109"/>
      <c r="E2658" s="109"/>
      <c r="F2658" s="109"/>
      <c r="G2658" s="109"/>
      <c r="H2658" s="109"/>
      <c r="I2658" s="109"/>
      <c r="J2658" s="109"/>
      <c r="L2658" s="109"/>
      <c r="M2658" s="109"/>
      <c r="N2658" s="109"/>
      <c r="Q2658" s="121"/>
      <c r="W2658" s="109"/>
      <c r="Z2658" s="122"/>
    </row>
    <row r="2659" spans="1:26" ht="12.75" hidden="1">
      <c r="A2659" s="109"/>
      <c r="B2659" s="109"/>
      <c r="C2659" s="109"/>
      <c r="D2659" s="109"/>
      <c r="E2659" s="109"/>
      <c r="F2659" s="109"/>
      <c r="G2659" s="109"/>
      <c r="H2659" s="109"/>
      <c r="I2659" s="109"/>
      <c r="J2659" s="109"/>
      <c r="L2659" s="109"/>
      <c r="M2659" s="109"/>
      <c r="N2659" s="109"/>
      <c r="Q2659" s="121"/>
      <c r="W2659" s="109"/>
      <c r="Z2659" s="122"/>
    </row>
    <row r="2660" spans="1:26" ht="12.75" hidden="1">
      <c r="A2660" s="109"/>
      <c r="B2660" s="109"/>
      <c r="C2660" s="109"/>
      <c r="D2660" s="109"/>
      <c r="E2660" s="109"/>
      <c r="F2660" s="109"/>
      <c r="G2660" s="109"/>
      <c r="H2660" s="109"/>
      <c r="I2660" s="109"/>
      <c r="J2660" s="109"/>
      <c r="L2660" s="109"/>
      <c r="M2660" s="109"/>
      <c r="N2660" s="109"/>
      <c r="Q2660" s="121"/>
      <c r="W2660" s="109"/>
      <c r="Z2660" s="122"/>
    </row>
    <row r="2661" spans="1:26" ht="12.75" hidden="1">
      <c r="A2661" s="109"/>
      <c r="B2661" s="109"/>
      <c r="C2661" s="109"/>
      <c r="D2661" s="109"/>
      <c r="E2661" s="109"/>
      <c r="F2661" s="109"/>
      <c r="G2661" s="109"/>
      <c r="H2661" s="109"/>
      <c r="I2661" s="109"/>
      <c r="J2661" s="109"/>
      <c r="L2661" s="109"/>
      <c r="M2661" s="109"/>
      <c r="N2661" s="109"/>
      <c r="Q2661" s="121"/>
      <c r="W2661" s="109"/>
      <c r="Z2661" s="122"/>
    </row>
    <row r="2662" spans="1:26" ht="12.75" hidden="1">
      <c r="A2662" s="109"/>
      <c r="B2662" s="109"/>
      <c r="C2662" s="109"/>
      <c r="D2662" s="109"/>
      <c r="E2662" s="109"/>
      <c r="F2662" s="109"/>
      <c r="G2662" s="109"/>
      <c r="H2662" s="109"/>
      <c r="I2662" s="109"/>
      <c r="J2662" s="109"/>
      <c r="L2662" s="109"/>
      <c r="M2662" s="109"/>
      <c r="N2662" s="109"/>
      <c r="Q2662" s="121"/>
      <c r="W2662" s="109"/>
      <c r="Z2662" s="122"/>
    </row>
    <row r="2663" spans="1:26" ht="12.75" hidden="1">
      <c r="A2663" s="109"/>
      <c r="B2663" s="109"/>
      <c r="C2663" s="109"/>
      <c r="D2663" s="109"/>
      <c r="E2663" s="109"/>
      <c r="F2663" s="109"/>
      <c r="G2663" s="109"/>
      <c r="H2663" s="109"/>
      <c r="I2663" s="109"/>
      <c r="J2663" s="109"/>
      <c r="L2663" s="109"/>
      <c r="M2663" s="109"/>
      <c r="N2663" s="109"/>
      <c r="Q2663" s="121"/>
      <c r="W2663" s="109"/>
      <c r="Z2663" s="122"/>
    </row>
    <row r="2664" spans="1:26" ht="12.75" hidden="1">
      <c r="A2664" s="109"/>
      <c r="B2664" s="109"/>
      <c r="C2664" s="109"/>
      <c r="D2664" s="109"/>
      <c r="E2664" s="109"/>
      <c r="F2664" s="109"/>
      <c r="G2664" s="109"/>
      <c r="H2664" s="109"/>
      <c r="I2664" s="109"/>
      <c r="J2664" s="109"/>
      <c r="L2664" s="109"/>
      <c r="M2664" s="109"/>
      <c r="N2664" s="109"/>
      <c r="Q2664" s="121"/>
      <c r="W2664" s="109"/>
      <c r="Z2664" s="122"/>
    </row>
    <row r="2665" spans="1:26" ht="12.75" hidden="1">
      <c r="A2665" s="109"/>
      <c r="B2665" s="109"/>
      <c r="C2665" s="109"/>
      <c r="D2665" s="109"/>
      <c r="E2665" s="109"/>
      <c r="F2665" s="109"/>
      <c r="G2665" s="109"/>
      <c r="H2665" s="109"/>
      <c r="I2665" s="109"/>
      <c r="J2665" s="109"/>
      <c r="L2665" s="109"/>
      <c r="M2665" s="109"/>
      <c r="N2665" s="109"/>
      <c r="Q2665" s="121"/>
      <c r="W2665" s="109"/>
      <c r="Z2665" s="122"/>
    </row>
    <row r="2666" spans="1:26" ht="12.75" hidden="1">
      <c r="A2666" s="109"/>
      <c r="B2666" s="109"/>
      <c r="C2666" s="109"/>
      <c r="D2666" s="109"/>
      <c r="E2666" s="109"/>
      <c r="F2666" s="109"/>
      <c r="G2666" s="109"/>
      <c r="H2666" s="109"/>
      <c r="I2666" s="109"/>
      <c r="J2666" s="109"/>
      <c r="L2666" s="109"/>
      <c r="M2666" s="109"/>
      <c r="N2666" s="109"/>
      <c r="Q2666" s="121"/>
      <c r="W2666" s="109"/>
      <c r="Z2666" s="122"/>
    </row>
    <row r="2667" spans="1:26" ht="12.75" hidden="1">
      <c r="A2667" s="109"/>
      <c r="B2667" s="109"/>
      <c r="C2667" s="109"/>
      <c r="D2667" s="109"/>
      <c r="E2667" s="109"/>
      <c r="F2667" s="109"/>
      <c r="G2667" s="109"/>
      <c r="H2667" s="109"/>
      <c r="I2667" s="109"/>
      <c r="J2667" s="109"/>
      <c r="L2667" s="109"/>
      <c r="M2667" s="109"/>
      <c r="N2667" s="109"/>
      <c r="Q2667" s="121"/>
      <c r="W2667" s="109"/>
      <c r="Z2667" s="122"/>
    </row>
    <row r="2668" spans="1:26" ht="12.75" hidden="1">
      <c r="A2668" s="109"/>
      <c r="B2668" s="109"/>
      <c r="C2668" s="109"/>
      <c r="D2668" s="109"/>
      <c r="E2668" s="109"/>
      <c r="F2668" s="109"/>
      <c r="G2668" s="109"/>
      <c r="H2668" s="109"/>
      <c r="I2668" s="109"/>
      <c r="J2668" s="109"/>
      <c r="L2668" s="109"/>
      <c r="M2668" s="109"/>
      <c r="N2668" s="109"/>
      <c r="Q2668" s="121"/>
      <c r="W2668" s="109"/>
      <c r="Z2668" s="122"/>
    </row>
    <row r="2669" spans="1:26" ht="12.75" hidden="1">
      <c r="A2669" s="109"/>
      <c r="B2669" s="109"/>
      <c r="C2669" s="109"/>
      <c r="D2669" s="109"/>
      <c r="E2669" s="109"/>
      <c r="F2669" s="109"/>
      <c r="G2669" s="109"/>
      <c r="H2669" s="109"/>
      <c r="I2669" s="109"/>
      <c r="J2669" s="109"/>
      <c r="L2669" s="109"/>
      <c r="M2669" s="109"/>
      <c r="N2669" s="109"/>
      <c r="Q2669" s="121"/>
      <c r="W2669" s="109"/>
      <c r="Z2669" s="122"/>
    </row>
    <row r="2670" spans="1:26" ht="12.75" hidden="1">
      <c r="A2670" s="109"/>
      <c r="B2670" s="109"/>
      <c r="C2670" s="109"/>
      <c r="D2670" s="109"/>
      <c r="E2670" s="109"/>
      <c r="F2670" s="109"/>
      <c r="G2670" s="109"/>
      <c r="H2670" s="109"/>
      <c r="I2670" s="109"/>
      <c r="J2670" s="109"/>
      <c r="L2670" s="109"/>
      <c r="M2670" s="109"/>
      <c r="N2670" s="109"/>
      <c r="Q2670" s="121"/>
      <c r="W2670" s="109"/>
      <c r="Z2670" s="122"/>
    </row>
    <row r="2671" spans="1:26" ht="12.75" hidden="1">
      <c r="A2671" s="109"/>
      <c r="B2671" s="109"/>
      <c r="C2671" s="109"/>
      <c r="D2671" s="109"/>
      <c r="E2671" s="109"/>
      <c r="F2671" s="109"/>
      <c r="G2671" s="109"/>
      <c r="H2671" s="109"/>
      <c r="I2671" s="109"/>
      <c r="J2671" s="109"/>
      <c r="L2671" s="109"/>
      <c r="M2671" s="109"/>
      <c r="N2671" s="109"/>
      <c r="Q2671" s="121"/>
      <c r="W2671" s="109"/>
      <c r="Z2671" s="122"/>
    </row>
    <row r="2672" spans="1:26" ht="12.75" hidden="1">
      <c r="A2672" s="109"/>
      <c r="B2672" s="109"/>
      <c r="C2672" s="109"/>
      <c r="D2672" s="109"/>
      <c r="E2672" s="109"/>
      <c r="F2672" s="109"/>
      <c r="G2672" s="109"/>
      <c r="H2672" s="109"/>
      <c r="I2672" s="109"/>
      <c r="J2672" s="109"/>
      <c r="L2672" s="109"/>
      <c r="M2672" s="109"/>
      <c r="N2672" s="109"/>
      <c r="Q2672" s="121"/>
      <c r="W2672" s="109"/>
      <c r="Z2672" s="122"/>
    </row>
    <row r="2673" spans="1:26" ht="12.75" hidden="1">
      <c r="A2673" s="109"/>
      <c r="B2673" s="109"/>
      <c r="C2673" s="109"/>
      <c r="D2673" s="109"/>
      <c r="E2673" s="109"/>
      <c r="F2673" s="109"/>
      <c r="G2673" s="109"/>
      <c r="H2673" s="109"/>
      <c r="I2673" s="109"/>
      <c r="J2673" s="109"/>
      <c r="L2673" s="109"/>
      <c r="M2673" s="109"/>
      <c r="N2673" s="109"/>
      <c r="Q2673" s="121"/>
      <c r="W2673" s="109"/>
      <c r="Z2673" s="122"/>
    </row>
    <row r="2674" spans="1:26" ht="12.75" hidden="1">
      <c r="A2674" s="109"/>
      <c r="B2674" s="109"/>
      <c r="C2674" s="109"/>
      <c r="D2674" s="109"/>
      <c r="E2674" s="109"/>
      <c r="F2674" s="109"/>
      <c r="G2674" s="109"/>
      <c r="H2674" s="109"/>
      <c r="I2674" s="109"/>
      <c r="J2674" s="109"/>
      <c r="L2674" s="109"/>
      <c r="M2674" s="109"/>
      <c r="N2674" s="109"/>
      <c r="Q2674" s="121"/>
      <c r="W2674" s="109"/>
      <c r="Z2674" s="122"/>
    </row>
    <row r="2675" spans="1:26" ht="12.75" hidden="1">
      <c r="A2675" s="109"/>
      <c r="B2675" s="109"/>
      <c r="C2675" s="109"/>
      <c r="D2675" s="109"/>
      <c r="E2675" s="109"/>
      <c r="F2675" s="109"/>
      <c r="G2675" s="109"/>
      <c r="H2675" s="109"/>
      <c r="I2675" s="109"/>
      <c r="J2675" s="109"/>
      <c r="L2675" s="109"/>
      <c r="M2675" s="109"/>
      <c r="N2675" s="109"/>
      <c r="Q2675" s="121"/>
      <c r="W2675" s="109"/>
      <c r="Z2675" s="122"/>
    </row>
    <row r="2676" spans="1:26" ht="12.75" hidden="1">
      <c r="A2676" s="109"/>
      <c r="B2676" s="109"/>
      <c r="C2676" s="109"/>
      <c r="D2676" s="109"/>
      <c r="E2676" s="109"/>
      <c r="F2676" s="109"/>
      <c r="G2676" s="109"/>
      <c r="H2676" s="109"/>
      <c r="I2676" s="109"/>
      <c r="J2676" s="109"/>
      <c r="L2676" s="109"/>
      <c r="M2676" s="109"/>
      <c r="N2676" s="109"/>
      <c r="Q2676" s="121"/>
      <c r="W2676" s="109"/>
      <c r="Z2676" s="122"/>
    </row>
    <row r="2677" spans="1:26" ht="12.75" hidden="1">
      <c r="A2677" s="109"/>
      <c r="B2677" s="109"/>
      <c r="C2677" s="109"/>
      <c r="D2677" s="109"/>
      <c r="E2677" s="109"/>
      <c r="F2677" s="109"/>
      <c r="G2677" s="109"/>
      <c r="H2677" s="109"/>
      <c r="I2677" s="109"/>
      <c r="J2677" s="109"/>
      <c r="L2677" s="109"/>
      <c r="M2677" s="109"/>
      <c r="N2677" s="109"/>
      <c r="Q2677" s="121"/>
      <c r="W2677" s="109"/>
      <c r="Z2677" s="122"/>
    </row>
    <row r="2678" spans="1:26" ht="12.75" hidden="1">
      <c r="A2678" s="109"/>
      <c r="B2678" s="109"/>
      <c r="C2678" s="109"/>
      <c r="D2678" s="109"/>
      <c r="E2678" s="109"/>
      <c r="F2678" s="109"/>
      <c r="G2678" s="109"/>
      <c r="H2678" s="109"/>
      <c r="I2678" s="109"/>
      <c r="J2678" s="109"/>
      <c r="L2678" s="109"/>
      <c r="M2678" s="109"/>
      <c r="N2678" s="109"/>
      <c r="Q2678" s="121"/>
      <c r="W2678" s="109"/>
      <c r="Z2678" s="122"/>
    </row>
    <row r="2679" spans="1:26" ht="12.75" hidden="1">
      <c r="A2679" s="109"/>
      <c r="B2679" s="109"/>
      <c r="C2679" s="109"/>
      <c r="D2679" s="109"/>
      <c r="E2679" s="109"/>
      <c r="F2679" s="109"/>
      <c r="G2679" s="109"/>
      <c r="H2679" s="109"/>
      <c r="I2679" s="109"/>
      <c r="J2679" s="109"/>
      <c r="L2679" s="109"/>
      <c r="M2679" s="109"/>
      <c r="N2679" s="109"/>
      <c r="Q2679" s="121"/>
      <c r="W2679" s="109"/>
      <c r="Z2679" s="122"/>
    </row>
    <row r="2680" spans="1:26" ht="12.75" hidden="1">
      <c r="A2680" s="109"/>
      <c r="B2680" s="109"/>
      <c r="C2680" s="109"/>
      <c r="D2680" s="109"/>
      <c r="E2680" s="109"/>
      <c r="F2680" s="109"/>
      <c r="G2680" s="109"/>
      <c r="H2680" s="109"/>
      <c r="I2680" s="109"/>
      <c r="J2680" s="109"/>
      <c r="L2680" s="109"/>
      <c r="M2680" s="109"/>
      <c r="N2680" s="109"/>
      <c r="Q2680" s="121"/>
      <c r="W2680" s="109"/>
      <c r="Z2680" s="122"/>
    </row>
    <row r="2681" spans="1:26" ht="12.75" hidden="1">
      <c r="A2681" s="109"/>
      <c r="B2681" s="109"/>
      <c r="C2681" s="109"/>
      <c r="D2681" s="109"/>
      <c r="E2681" s="109"/>
      <c r="F2681" s="109"/>
      <c r="G2681" s="109"/>
      <c r="H2681" s="109"/>
      <c r="I2681" s="109"/>
      <c r="J2681" s="109"/>
      <c r="L2681" s="109"/>
      <c r="M2681" s="109"/>
      <c r="N2681" s="109"/>
      <c r="Q2681" s="121"/>
      <c r="W2681" s="109"/>
      <c r="Z2681" s="122"/>
    </row>
    <row r="2682" spans="1:26" ht="12.75" hidden="1">
      <c r="A2682" s="109"/>
      <c r="B2682" s="109"/>
      <c r="C2682" s="109"/>
      <c r="D2682" s="109"/>
      <c r="E2682" s="109"/>
      <c r="F2682" s="109"/>
      <c r="G2682" s="109"/>
      <c r="H2682" s="109"/>
      <c r="I2682" s="109"/>
      <c r="J2682" s="109"/>
      <c r="L2682" s="109"/>
      <c r="M2682" s="109"/>
      <c r="N2682" s="109"/>
      <c r="Q2682" s="121"/>
      <c r="W2682" s="109"/>
      <c r="Z2682" s="122"/>
    </row>
    <row r="2683" spans="1:26" ht="12.75" hidden="1">
      <c r="A2683" s="109"/>
      <c r="B2683" s="109"/>
      <c r="C2683" s="109"/>
      <c r="D2683" s="109"/>
      <c r="E2683" s="109"/>
      <c r="F2683" s="109"/>
      <c r="G2683" s="109"/>
      <c r="H2683" s="109"/>
      <c r="I2683" s="109"/>
      <c r="J2683" s="109"/>
      <c r="L2683" s="109"/>
      <c r="M2683" s="109"/>
      <c r="N2683" s="109"/>
      <c r="Q2683" s="121"/>
      <c r="W2683" s="109"/>
      <c r="Z2683" s="122"/>
    </row>
    <row r="2684" spans="1:26" ht="12.75" hidden="1">
      <c r="A2684" s="109"/>
      <c r="B2684" s="109"/>
      <c r="C2684" s="109"/>
      <c r="D2684" s="109"/>
      <c r="E2684" s="109"/>
      <c r="F2684" s="109"/>
      <c r="G2684" s="109"/>
      <c r="H2684" s="109"/>
      <c r="I2684" s="109"/>
      <c r="J2684" s="109"/>
      <c r="L2684" s="109"/>
      <c r="M2684" s="109"/>
      <c r="N2684" s="109"/>
      <c r="Q2684" s="121"/>
      <c r="W2684" s="109"/>
      <c r="Z2684" s="122"/>
    </row>
    <row r="2685" spans="1:26" ht="12.75" hidden="1">
      <c r="A2685" s="109"/>
      <c r="B2685" s="109"/>
      <c r="C2685" s="109"/>
      <c r="D2685" s="109"/>
      <c r="E2685" s="109"/>
      <c r="F2685" s="109"/>
      <c r="G2685" s="109"/>
      <c r="H2685" s="109"/>
      <c r="I2685" s="109"/>
      <c r="J2685" s="109"/>
      <c r="L2685" s="109"/>
      <c r="M2685" s="109"/>
      <c r="N2685" s="109"/>
      <c r="Q2685" s="121"/>
      <c r="W2685" s="109"/>
      <c r="Z2685" s="122"/>
    </row>
    <row r="2686" spans="1:26" ht="12.75" hidden="1">
      <c r="A2686" s="109"/>
      <c r="B2686" s="109"/>
      <c r="C2686" s="109"/>
      <c r="D2686" s="109"/>
      <c r="E2686" s="109"/>
      <c r="F2686" s="109"/>
      <c r="G2686" s="109"/>
      <c r="H2686" s="109"/>
      <c r="I2686" s="109"/>
      <c r="J2686" s="109"/>
      <c r="L2686" s="109"/>
      <c r="M2686" s="109"/>
      <c r="N2686" s="109"/>
      <c r="Q2686" s="121"/>
      <c r="W2686" s="109"/>
      <c r="Z2686" s="122"/>
    </row>
    <row r="2687" spans="1:26" ht="12.75" hidden="1">
      <c r="A2687" s="109"/>
      <c r="B2687" s="109"/>
      <c r="C2687" s="109"/>
      <c r="D2687" s="109"/>
      <c r="E2687" s="109"/>
      <c r="F2687" s="109"/>
      <c r="G2687" s="109"/>
      <c r="H2687" s="109"/>
      <c r="I2687" s="109"/>
      <c r="J2687" s="109"/>
      <c r="L2687" s="109"/>
      <c r="M2687" s="109"/>
      <c r="N2687" s="109"/>
      <c r="Q2687" s="121"/>
      <c r="W2687" s="109"/>
      <c r="Z2687" s="122"/>
    </row>
    <row r="2688" spans="1:26" ht="12.75" hidden="1">
      <c r="A2688" s="109"/>
      <c r="B2688" s="109"/>
      <c r="C2688" s="109"/>
      <c r="D2688" s="109"/>
      <c r="E2688" s="109"/>
      <c r="F2688" s="109"/>
      <c r="G2688" s="109"/>
      <c r="H2688" s="109"/>
      <c r="I2688" s="109"/>
      <c r="J2688" s="109"/>
      <c r="L2688" s="109"/>
      <c r="M2688" s="109"/>
      <c r="N2688" s="109"/>
      <c r="Q2688" s="121"/>
      <c r="W2688" s="109"/>
      <c r="Z2688" s="122"/>
    </row>
    <row r="2689" spans="1:26" ht="12.75" hidden="1">
      <c r="A2689" s="109"/>
      <c r="B2689" s="109"/>
      <c r="C2689" s="109"/>
      <c r="D2689" s="109"/>
      <c r="E2689" s="109"/>
      <c r="F2689" s="109"/>
      <c r="G2689" s="109"/>
      <c r="H2689" s="109"/>
      <c r="I2689" s="109"/>
      <c r="J2689" s="109"/>
      <c r="L2689" s="109"/>
      <c r="M2689" s="109"/>
      <c r="N2689" s="109"/>
      <c r="Q2689" s="121"/>
      <c r="W2689" s="109"/>
      <c r="Z2689" s="122"/>
    </row>
    <row r="2690" spans="1:26" ht="12.75" hidden="1">
      <c r="A2690" s="109"/>
      <c r="B2690" s="109"/>
      <c r="C2690" s="109"/>
      <c r="D2690" s="109"/>
      <c r="E2690" s="109"/>
      <c r="F2690" s="109"/>
      <c r="G2690" s="109"/>
      <c r="H2690" s="109"/>
      <c r="I2690" s="109"/>
      <c r="J2690" s="109"/>
      <c r="L2690" s="109"/>
      <c r="M2690" s="109"/>
      <c r="N2690" s="109"/>
      <c r="Q2690" s="121"/>
      <c r="W2690" s="109"/>
      <c r="Z2690" s="122"/>
    </row>
    <row r="2691" spans="1:26" ht="12.75" hidden="1">
      <c r="A2691" s="109"/>
      <c r="B2691" s="109"/>
      <c r="C2691" s="109"/>
      <c r="D2691" s="109"/>
      <c r="E2691" s="109"/>
      <c r="F2691" s="109"/>
      <c r="G2691" s="109"/>
      <c r="H2691" s="109"/>
      <c r="I2691" s="109"/>
      <c r="J2691" s="109"/>
      <c r="L2691" s="109"/>
      <c r="M2691" s="109"/>
      <c r="N2691" s="109"/>
      <c r="Q2691" s="121"/>
      <c r="W2691" s="109"/>
      <c r="Z2691" s="122"/>
    </row>
    <row r="2692" spans="1:26" ht="12.75" hidden="1">
      <c r="A2692" s="109"/>
      <c r="B2692" s="109"/>
      <c r="C2692" s="109"/>
      <c r="D2692" s="109"/>
      <c r="E2692" s="109"/>
      <c r="F2692" s="109"/>
      <c r="G2692" s="109"/>
      <c r="H2692" s="109"/>
      <c r="I2692" s="109"/>
      <c r="J2692" s="109"/>
      <c r="L2692" s="109"/>
      <c r="M2692" s="109"/>
      <c r="N2692" s="109"/>
      <c r="Q2692" s="121"/>
      <c r="W2692" s="109"/>
      <c r="Z2692" s="122"/>
    </row>
    <row r="2693" spans="1:26" ht="12.75" hidden="1">
      <c r="A2693" s="109"/>
      <c r="B2693" s="109"/>
      <c r="C2693" s="109"/>
      <c r="D2693" s="109"/>
      <c r="E2693" s="109"/>
      <c r="F2693" s="109"/>
      <c r="G2693" s="109"/>
      <c r="H2693" s="109"/>
      <c r="I2693" s="109"/>
      <c r="J2693" s="109"/>
      <c r="L2693" s="109"/>
      <c r="M2693" s="109"/>
      <c r="N2693" s="109"/>
      <c r="Q2693" s="121"/>
      <c r="W2693" s="109"/>
      <c r="Z2693" s="122"/>
    </row>
    <row r="2694" spans="1:26" ht="12.75" hidden="1">
      <c r="A2694" s="109"/>
      <c r="B2694" s="109"/>
      <c r="C2694" s="109"/>
      <c r="D2694" s="109"/>
      <c r="E2694" s="109"/>
      <c r="F2694" s="109"/>
      <c r="G2694" s="109"/>
      <c r="H2694" s="109"/>
      <c r="I2694" s="109"/>
      <c r="J2694" s="109"/>
      <c r="L2694" s="109"/>
      <c r="M2694" s="109"/>
      <c r="N2694" s="109"/>
      <c r="Q2694" s="121"/>
      <c r="W2694" s="109"/>
      <c r="Z2694" s="122"/>
    </row>
    <row r="2695" spans="1:26" ht="12.75" hidden="1">
      <c r="A2695" s="109"/>
      <c r="B2695" s="109"/>
      <c r="C2695" s="109"/>
      <c r="D2695" s="109"/>
      <c r="E2695" s="109"/>
      <c r="F2695" s="109"/>
      <c r="G2695" s="109"/>
      <c r="H2695" s="109"/>
      <c r="I2695" s="109"/>
      <c r="J2695" s="109"/>
      <c r="L2695" s="109"/>
      <c r="M2695" s="109"/>
      <c r="N2695" s="109"/>
      <c r="Q2695" s="121"/>
      <c r="W2695" s="109"/>
      <c r="Z2695" s="122"/>
    </row>
    <row r="2696" spans="1:26" ht="12.75" hidden="1">
      <c r="A2696" s="109"/>
      <c r="B2696" s="109"/>
      <c r="C2696" s="109"/>
      <c r="D2696" s="109"/>
      <c r="E2696" s="109"/>
      <c r="F2696" s="109"/>
      <c r="G2696" s="109"/>
      <c r="H2696" s="109"/>
      <c r="I2696" s="109"/>
      <c r="J2696" s="109"/>
      <c r="L2696" s="109"/>
      <c r="M2696" s="109"/>
      <c r="N2696" s="109"/>
      <c r="Q2696" s="121"/>
      <c r="W2696" s="109"/>
      <c r="Z2696" s="122"/>
    </row>
    <row r="2697" spans="1:26" ht="12.75" hidden="1">
      <c r="A2697" s="109"/>
      <c r="B2697" s="109"/>
      <c r="C2697" s="109"/>
      <c r="D2697" s="109"/>
      <c r="E2697" s="109"/>
      <c r="F2697" s="109"/>
      <c r="G2697" s="109"/>
      <c r="H2697" s="109"/>
      <c r="I2697" s="109"/>
      <c r="J2697" s="109"/>
      <c r="L2697" s="109"/>
      <c r="M2697" s="109"/>
      <c r="N2697" s="109"/>
      <c r="Q2697" s="121"/>
      <c r="W2697" s="109"/>
      <c r="Z2697" s="122"/>
    </row>
    <row r="2698" spans="1:26" ht="12.75" hidden="1">
      <c r="A2698" s="109"/>
      <c r="B2698" s="109"/>
      <c r="C2698" s="109"/>
      <c r="D2698" s="109"/>
      <c r="E2698" s="109"/>
      <c r="F2698" s="109"/>
      <c r="G2698" s="109"/>
      <c r="H2698" s="109"/>
      <c r="I2698" s="109"/>
      <c r="J2698" s="109"/>
      <c r="L2698" s="109"/>
      <c r="M2698" s="109"/>
      <c r="N2698" s="109"/>
      <c r="Q2698" s="121"/>
      <c r="W2698" s="109"/>
      <c r="Z2698" s="122"/>
    </row>
    <row r="2699" spans="1:26" ht="12.75" hidden="1">
      <c r="A2699" s="109"/>
      <c r="B2699" s="109"/>
      <c r="C2699" s="109"/>
      <c r="D2699" s="109"/>
      <c r="E2699" s="109"/>
      <c r="F2699" s="109"/>
      <c r="G2699" s="109"/>
      <c r="H2699" s="109"/>
      <c r="I2699" s="109"/>
      <c r="J2699" s="109"/>
      <c r="L2699" s="109"/>
      <c r="M2699" s="109"/>
      <c r="N2699" s="109"/>
      <c r="Q2699" s="121"/>
      <c r="W2699" s="109"/>
      <c r="Z2699" s="122"/>
    </row>
    <row r="2700" spans="1:26" ht="12.75" hidden="1">
      <c r="A2700" s="109"/>
      <c r="B2700" s="109"/>
      <c r="C2700" s="109"/>
      <c r="D2700" s="109"/>
      <c r="E2700" s="109"/>
      <c r="F2700" s="109"/>
      <c r="G2700" s="109"/>
      <c r="H2700" s="109"/>
      <c r="I2700" s="109"/>
      <c r="J2700" s="109"/>
      <c r="L2700" s="109"/>
      <c r="M2700" s="109"/>
      <c r="N2700" s="109"/>
      <c r="Q2700" s="121"/>
      <c r="W2700" s="109"/>
      <c r="Z2700" s="122"/>
    </row>
    <row r="2701" spans="1:26" ht="12.75" hidden="1">
      <c r="A2701" s="109"/>
      <c r="B2701" s="109"/>
      <c r="C2701" s="109"/>
      <c r="D2701" s="109"/>
      <c r="E2701" s="109"/>
      <c r="F2701" s="109"/>
      <c r="G2701" s="109"/>
      <c r="H2701" s="109"/>
      <c r="I2701" s="109"/>
      <c r="J2701" s="109"/>
      <c r="L2701" s="109"/>
      <c r="M2701" s="109"/>
      <c r="N2701" s="109"/>
      <c r="Q2701" s="121"/>
      <c r="W2701" s="109"/>
      <c r="Z2701" s="122"/>
    </row>
    <row r="2702" spans="1:26" ht="12.75" hidden="1">
      <c r="A2702" s="109"/>
      <c r="B2702" s="109"/>
      <c r="C2702" s="109"/>
      <c r="D2702" s="109"/>
      <c r="E2702" s="109"/>
      <c r="F2702" s="109"/>
      <c r="G2702" s="109"/>
      <c r="H2702" s="109"/>
      <c r="I2702" s="109"/>
      <c r="J2702" s="109"/>
      <c r="L2702" s="109"/>
      <c r="M2702" s="109"/>
      <c r="N2702" s="109"/>
      <c r="Q2702" s="121"/>
      <c r="W2702" s="109"/>
      <c r="Z2702" s="122"/>
    </row>
    <row r="2703" spans="1:26" ht="12.75" hidden="1">
      <c r="A2703" s="109"/>
      <c r="B2703" s="109"/>
      <c r="C2703" s="109"/>
      <c r="D2703" s="109"/>
      <c r="E2703" s="109"/>
      <c r="F2703" s="109"/>
      <c r="G2703" s="109"/>
      <c r="H2703" s="109"/>
      <c r="I2703" s="109"/>
      <c r="J2703" s="109"/>
      <c r="L2703" s="109"/>
      <c r="M2703" s="109"/>
      <c r="N2703" s="109"/>
      <c r="Q2703" s="121"/>
      <c r="W2703" s="109"/>
      <c r="Z2703" s="122"/>
    </row>
    <row r="2704" spans="1:26" ht="12.75" hidden="1">
      <c r="A2704" s="109"/>
      <c r="B2704" s="109"/>
      <c r="C2704" s="109"/>
      <c r="D2704" s="109"/>
      <c r="E2704" s="109"/>
      <c r="F2704" s="109"/>
      <c r="G2704" s="109"/>
      <c r="H2704" s="109"/>
      <c r="I2704" s="109"/>
      <c r="J2704" s="109"/>
      <c r="L2704" s="109"/>
      <c r="M2704" s="109"/>
      <c r="N2704" s="109"/>
      <c r="Q2704" s="121"/>
      <c r="W2704" s="109"/>
      <c r="Z2704" s="122"/>
    </row>
    <row r="2705" spans="1:26" ht="12.75" hidden="1">
      <c r="A2705" s="109"/>
      <c r="B2705" s="109"/>
      <c r="C2705" s="109"/>
      <c r="D2705" s="109"/>
      <c r="E2705" s="109"/>
      <c r="F2705" s="109"/>
      <c r="G2705" s="109"/>
      <c r="H2705" s="109"/>
      <c r="I2705" s="109"/>
      <c r="J2705" s="109"/>
      <c r="L2705" s="109"/>
      <c r="M2705" s="109"/>
      <c r="N2705" s="109"/>
      <c r="Q2705" s="121"/>
      <c r="W2705" s="109"/>
      <c r="Z2705" s="122"/>
    </row>
    <row r="2706" spans="1:26" ht="12.75" hidden="1">
      <c r="A2706" s="109"/>
      <c r="B2706" s="109"/>
      <c r="C2706" s="109"/>
      <c r="D2706" s="109"/>
      <c r="E2706" s="109"/>
      <c r="F2706" s="109"/>
      <c r="G2706" s="109"/>
      <c r="H2706" s="109"/>
      <c r="I2706" s="109"/>
      <c r="J2706" s="109"/>
      <c r="L2706" s="109"/>
      <c r="M2706" s="109"/>
      <c r="N2706" s="109"/>
      <c r="Q2706" s="121"/>
      <c r="W2706" s="109"/>
      <c r="Z2706" s="122"/>
    </row>
    <row r="2707" spans="1:26" ht="12.75" hidden="1">
      <c r="A2707" s="109"/>
      <c r="B2707" s="109"/>
      <c r="C2707" s="109"/>
      <c r="D2707" s="109"/>
      <c r="E2707" s="109"/>
      <c r="F2707" s="109"/>
      <c r="G2707" s="109"/>
      <c r="H2707" s="109"/>
      <c r="I2707" s="109"/>
      <c r="J2707" s="109"/>
      <c r="L2707" s="109"/>
      <c r="M2707" s="109"/>
      <c r="N2707" s="109"/>
      <c r="Q2707" s="121"/>
      <c r="W2707" s="109"/>
      <c r="Z2707" s="122"/>
    </row>
    <row r="2708" spans="1:26" ht="12.75" hidden="1">
      <c r="A2708" s="109"/>
      <c r="B2708" s="109"/>
      <c r="C2708" s="109"/>
      <c r="D2708" s="109"/>
      <c r="E2708" s="109"/>
      <c r="F2708" s="109"/>
      <c r="G2708" s="109"/>
      <c r="H2708" s="109"/>
      <c r="I2708" s="109"/>
      <c r="J2708" s="109"/>
      <c r="L2708" s="109"/>
      <c r="M2708" s="109"/>
      <c r="N2708" s="109"/>
      <c r="Q2708" s="121"/>
      <c r="W2708" s="109"/>
      <c r="Z2708" s="122"/>
    </row>
    <row r="2709" spans="1:26" ht="12.75" hidden="1">
      <c r="A2709" s="109"/>
      <c r="B2709" s="109"/>
      <c r="C2709" s="109"/>
      <c r="D2709" s="109"/>
      <c r="E2709" s="109"/>
      <c r="F2709" s="109"/>
      <c r="G2709" s="109"/>
      <c r="H2709" s="109"/>
      <c r="I2709" s="109"/>
      <c r="J2709" s="109"/>
      <c r="L2709" s="109"/>
      <c r="M2709" s="109"/>
      <c r="N2709" s="109"/>
      <c r="Q2709" s="121"/>
      <c r="W2709" s="109"/>
      <c r="Z2709" s="122"/>
    </row>
    <row r="2710" spans="1:26" ht="12.75" hidden="1">
      <c r="A2710" s="109"/>
      <c r="B2710" s="109"/>
      <c r="C2710" s="109"/>
      <c r="D2710" s="109"/>
      <c r="E2710" s="109"/>
      <c r="F2710" s="109"/>
      <c r="G2710" s="109"/>
      <c r="H2710" s="109"/>
      <c r="I2710" s="109"/>
      <c r="J2710" s="109"/>
      <c r="L2710" s="109"/>
      <c r="M2710" s="109"/>
      <c r="N2710" s="109"/>
      <c r="Q2710" s="121"/>
      <c r="W2710" s="109"/>
      <c r="Z2710" s="122"/>
    </row>
    <row r="2711" spans="1:26" ht="12.75" hidden="1">
      <c r="A2711" s="109"/>
      <c r="B2711" s="109"/>
      <c r="C2711" s="109"/>
      <c r="D2711" s="109"/>
      <c r="E2711" s="109"/>
      <c r="F2711" s="109"/>
      <c r="G2711" s="109"/>
      <c r="H2711" s="109"/>
      <c r="I2711" s="109"/>
      <c r="J2711" s="109"/>
      <c r="L2711" s="109"/>
      <c r="M2711" s="109"/>
      <c r="N2711" s="109"/>
      <c r="Q2711" s="121"/>
      <c r="W2711" s="109"/>
      <c r="Z2711" s="122"/>
    </row>
    <row r="2712" spans="1:26" ht="12.75" hidden="1">
      <c r="A2712" s="109"/>
      <c r="B2712" s="109"/>
      <c r="C2712" s="109"/>
      <c r="D2712" s="109"/>
      <c r="E2712" s="109"/>
      <c r="F2712" s="109"/>
      <c r="G2712" s="109"/>
      <c r="H2712" s="109"/>
      <c r="I2712" s="109"/>
      <c r="J2712" s="109"/>
      <c r="L2712" s="109"/>
      <c r="M2712" s="109"/>
      <c r="N2712" s="109"/>
      <c r="Q2712" s="121"/>
      <c r="W2712" s="109"/>
      <c r="Z2712" s="122"/>
    </row>
    <row r="2713" spans="1:26" ht="12.75" hidden="1">
      <c r="A2713" s="109"/>
      <c r="B2713" s="109"/>
      <c r="C2713" s="109"/>
      <c r="D2713" s="109"/>
      <c r="E2713" s="109"/>
      <c r="F2713" s="109"/>
      <c r="G2713" s="109"/>
      <c r="H2713" s="109"/>
      <c r="I2713" s="109"/>
      <c r="J2713" s="109"/>
      <c r="L2713" s="109"/>
      <c r="M2713" s="109"/>
      <c r="N2713" s="109"/>
      <c r="Q2713" s="121"/>
      <c r="W2713" s="109"/>
      <c r="Z2713" s="122"/>
    </row>
    <row r="2714" spans="1:26" ht="12.75" hidden="1">
      <c r="A2714" s="109"/>
      <c r="B2714" s="109"/>
      <c r="C2714" s="109"/>
      <c r="D2714" s="109"/>
      <c r="E2714" s="109"/>
      <c r="F2714" s="109"/>
      <c r="G2714" s="109"/>
      <c r="H2714" s="109"/>
      <c r="I2714" s="109"/>
      <c r="J2714" s="109"/>
      <c r="L2714" s="109"/>
      <c r="M2714" s="109"/>
      <c r="N2714" s="109"/>
      <c r="Q2714" s="121"/>
      <c r="W2714" s="109"/>
      <c r="Z2714" s="122"/>
    </row>
    <row r="2715" spans="1:26" ht="12.75" hidden="1">
      <c r="A2715" s="109"/>
      <c r="B2715" s="109"/>
      <c r="C2715" s="109"/>
      <c r="D2715" s="109"/>
      <c r="E2715" s="109"/>
      <c r="F2715" s="109"/>
      <c r="G2715" s="109"/>
      <c r="H2715" s="109"/>
      <c r="I2715" s="109"/>
      <c r="J2715" s="109"/>
      <c r="L2715" s="109"/>
      <c r="M2715" s="109"/>
      <c r="N2715" s="109"/>
      <c r="Q2715" s="121"/>
      <c r="W2715" s="109"/>
      <c r="Z2715" s="122"/>
    </row>
    <row r="2716" spans="1:26" ht="12.75" hidden="1">
      <c r="A2716" s="109"/>
      <c r="B2716" s="109"/>
      <c r="C2716" s="109"/>
      <c r="D2716" s="109"/>
      <c r="E2716" s="109"/>
      <c r="F2716" s="109"/>
      <c r="G2716" s="109"/>
      <c r="H2716" s="109"/>
      <c r="I2716" s="109"/>
      <c r="J2716" s="109"/>
      <c r="L2716" s="109"/>
      <c r="M2716" s="109"/>
      <c r="N2716" s="109"/>
      <c r="Q2716" s="121"/>
      <c r="W2716" s="109"/>
      <c r="Z2716" s="122"/>
    </row>
    <row r="2717" spans="1:26" ht="12.75" hidden="1">
      <c r="A2717" s="109"/>
      <c r="B2717" s="109"/>
      <c r="C2717" s="109"/>
      <c r="D2717" s="109"/>
      <c r="E2717" s="109"/>
      <c r="F2717" s="109"/>
      <c r="G2717" s="109"/>
      <c r="H2717" s="109"/>
      <c r="I2717" s="109"/>
      <c r="J2717" s="109"/>
      <c r="L2717" s="109"/>
      <c r="M2717" s="109"/>
      <c r="N2717" s="109"/>
      <c r="Q2717" s="121"/>
      <c r="W2717" s="109"/>
      <c r="Z2717" s="122"/>
    </row>
    <row r="2718" spans="1:26" ht="12.75" hidden="1">
      <c r="A2718" s="109"/>
      <c r="B2718" s="109"/>
      <c r="C2718" s="109"/>
      <c r="D2718" s="109"/>
      <c r="E2718" s="109"/>
      <c r="F2718" s="109"/>
      <c r="G2718" s="109"/>
      <c r="H2718" s="109"/>
      <c r="I2718" s="109"/>
      <c r="J2718" s="109"/>
      <c r="L2718" s="109"/>
      <c r="M2718" s="109"/>
      <c r="N2718" s="109"/>
      <c r="Q2718" s="121"/>
      <c r="W2718" s="109"/>
      <c r="Z2718" s="122"/>
    </row>
    <row r="2719" spans="1:26" ht="12.75" hidden="1">
      <c r="A2719" s="109"/>
      <c r="B2719" s="109"/>
      <c r="C2719" s="109"/>
      <c r="D2719" s="109"/>
      <c r="E2719" s="109"/>
      <c r="F2719" s="109"/>
      <c r="G2719" s="109"/>
      <c r="H2719" s="109"/>
      <c r="I2719" s="109"/>
      <c r="J2719" s="109"/>
      <c r="L2719" s="109"/>
      <c r="M2719" s="109"/>
      <c r="N2719" s="109"/>
      <c r="Q2719" s="121"/>
      <c r="W2719" s="109"/>
      <c r="Z2719" s="122"/>
    </row>
    <row r="2720" spans="1:26" ht="12.75" hidden="1">
      <c r="A2720" s="109"/>
      <c r="B2720" s="109"/>
      <c r="C2720" s="109"/>
      <c r="D2720" s="109"/>
      <c r="E2720" s="109"/>
      <c r="F2720" s="109"/>
      <c r="G2720" s="109"/>
      <c r="H2720" s="109"/>
      <c r="I2720" s="109"/>
      <c r="J2720" s="109"/>
      <c r="L2720" s="109"/>
      <c r="M2720" s="109"/>
      <c r="N2720" s="109"/>
      <c r="Q2720" s="121"/>
      <c r="W2720" s="109"/>
      <c r="Z2720" s="122"/>
    </row>
    <row r="2721" spans="1:26" ht="12.75" hidden="1">
      <c r="A2721" s="109"/>
      <c r="B2721" s="109"/>
      <c r="C2721" s="109"/>
      <c r="D2721" s="109"/>
      <c r="E2721" s="109"/>
      <c r="F2721" s="109"/>
      <c r="G2721" s="109"/>
      <c r="H2721" s="109"/>
      <c r="I2721" s="109"/>
      <c r="J2721" s="109"/>
      <c r="L2721" s="109"/>
      <c r="M2721" s="109"/>
      <c r="N2721" s="109"/>
      <c r="Q2721" s="121"/>
      <c r="W2721" s="109"/>
      <c r="Z2721" s="122"/>
    </row>
    <row r="2722" spans="1:26" ht="12.75" hidden="1">
      <c r="A2722" s="109"/>
      <c r="B2722" s="109"/>
      <c r="C2722" s="109"/>
      <c r="D2722" s="109"/>
      <c r="E2722" s="109"/>
      <c r="F2722" s="109"/>
      <c r="G2722" s="109"/>
      <c r="H2722" s="109"/>
      <c r="I2722" s="109"/>
      <c r="J2722" s="109"/>
      <c r="L2722" s="109"/>
      <c r="M2722" s="109"/>
      <c r="N2722" s="109"/>
      <c r="Q2722" s="121"/>
      <c r="W2722" s="109"/>
      <c r="Z2722" s="122"/>
    </row>
    <row r="2723" spans="1:26" ht="12.75" hidden="1">
      <c r="A2723" s="109"/>
      <c r="B2723" s="109"/>
      <c r="C2723" s="109"/>
      <c r="D2723" s="109"/>
      <c r="E2723" s="109"/>
      <c r="F2723" s="109"/>
      <c r="G2723" s="109"/>
      <c r="H2723" s="109"/>
      <c r="I2723" s="109"/>
      <c r="J2723" s="109"/>
      <c r="L2723" s="109"/>
      <c r="M2723" s="109"/>
      <c r="N2723" s="109"/>
      <c r="Q2723" s="121"/>
      <c r="W2723" s="109"/>
      <c r="Z2723" s="122"/>
    </row>
    <row r="2724" spans="1:26" ht="12.75" hidden="1">
      <c r="A2724" s="109"/>
      <c r="B2724" s="109"/>
      <c r="C2724" s="109"/>
      <c r="D2724" s="109"/>
      <c r="E2724" s="109"/>
      <c r="F2724" s="109"/>
      <c r="G2724" s="109"/>
      <c r="H2724" s="109"/>
      <c r="I2724" s="109"/>
      <c r="J2724" s="109"/>
      <c r="L2724" s="109"/>
      <c r="M2724" s="109"/>
      <c r="N2724" s="109"/>
      <c r="Q2724" s="121"/>
      <c r="W2724" s="109"/>
      <c r="Z2724" s="122"/>
    </row>
    <row r="2725" spans="1:26" ht="12.75" hidden="1">
      <c r="A2725" s="109"/>
      <c r="B2725" s="109"/>
      <c r="C2725" s="109"/>
      <c r="D2725" s="109"/>
      <c r="E2725" s="109"/>
      <c r="F2725" s="109"/>
      <c r="G2725" s="109"/>
      <c r="H2725" s="109"/>
      <c r="I2725" s="109"/>
      <c r="J2725" s="109"/>
      <c r="L2725" s="109"/>
      <c r="M2725" s="109"/>
      <c r="N2725" s="109"/>
      <c r="Q2725" s="121"/>
      <c r="W2725" s="109"/>
      <c r="Z2725" s="122"/>
    </row>
    <row r="2726" spans="1:26" ht="12.75" hidden="1">
      <c r="A2726" s="109"/>
      <c r="B2726" s="109"/>
      <c r="C2726" s="109"/>
      <c r="D2726" s="109"/>
      <c r="E2726" s="109"/>
      <c r="F2726" s="109"/>
      <c r="G2726" s="109"/>
      <c r="H2726" s="109"/>
      <c r="I2726" s="109"/>
      <c r="J2726" s="109"/>
      <c r="L2726" s="109"/>
      <c r="M2726" s="109"/>
      <c r="N2726" s="109"/>
      <c r="Q2726" s="121"/>
      <c r="W2726" s="109"/>
      <c r="Z2726" s="122"/>
    </row>
    <row r="2727" spans="1:26" ht="12.75" hidden="1">
      <c r="A2727" s="109"/>
      <c r="B2727" s="109"/>
      <c r="C2727" s="109"/>
      <c r="D2727" s="109"/>
      <c r="E2727" s="109"/>
      <c r="F2727" s="109"/>
      <c r="G2727" s="109"/>
      <c r="H2727" s="109"/>
      <c r="I2727" s="109"/>
      <c r="J2727" s="109"/>
      <c r="L2727" s="109"/>
      <c r="M2727" s="109"/>
      <c r="N2727" s="109"/>
      <c r="Q2727" s="121"/>
      <c r="W2727" s="109"/>
      <c r="Z2727" s="122"/>
    </row>
    <row r="2728" spans="1:26" ht="12.75" hidden="1">
      <c r="A2728" s="109"/>
      <c r="B2728" s="109"/>
      <c r="C2728" s="109"/>
      <c r="D2728" s="109"/>
      <c r="E2728" s="109"/>
      <c r="F2728" s="109"/>
      <c r="G2728" s="109"/>
      <c r="H2728" s="109"/>
      <c r="I2728" s="109"/>
      <c r="J2728" s="109"/>
      <c r="L2728" s="109"/>
      <c r="M2728" s="109"/>
      <c r="N2728" s="109"/>
      <c r="Q2728" s="121"/>
      <c r="W2728" s="109"/>
      <c r="Z2728" s="122"/>
    </row>
    <row r="2729" spans="1:26" ht="12.75" hidden="1">
      <c r="A2729" s="109"/>
      <c r="B2729" s="109"/>
      <c r="C2729" s="109"/>
      <c r="D2729" s="109"/>
      <c r="E2729" s="109"/>
      <c r="F2729" s="109"/>
      <c r="G2729" s="109"/>
      <c r="H2729" s="109"/>
      <c r="I2729" s="109"/>
      <c r="J2729" s="109"/>
      <c r="L2729" s="109"/>
      <c r="M2729" s="109"/>
      <c r="N2729" s="109"/>
      <c r="Q2729" s="121"/>
      <c r="W2729" s="109"/>
      <c r="Z2729" s="122"/>
    </row>
    <row r="2730" spans="1:26" ht="12.75" hidden="1">
      <c r="A2730" s="109"/>
      <c r="B2730" s="109"/>
      <c r="C2730" s="109"/>
      <c r="D2730" s="109"/>
      <c r="E2730" s="109"/>
      <c r="F2730" s="109"/>
      <c r="G2730" s="109"/>
      <c r="H2730" s="109"/>
      <c r="I2730" s="109"/>
      <c r="J2730" s="109"/>
      <c r="L2730" s="109"/>
      <c r="M2730" s="109"/>
      <c r="N2730" s="109"/>
      <c r="Q2730" s="121"/>
      <c r="W2730" s="109"/>
      <c r="Z2730" s="122"/>
    </row>
    <row r="2731" spans="1:26" ht="12.75" hidden="1">
      <c r="A2731" s="109"/>
      <c r="B2731" s="109"/>
      <c r="C2731" s="109"/>
      <c r="D2731" s="109"/>
      <c r="E2731" s="109"/>
      <c r="F2731" s="109"/>
      <c r="G2731" s="109"/>
      <c r="H2731" s="109"/>
      <c r="I2731" s="109"/>
      <c r="J2731" s="109"/>
      <c r="L2731" s="109"/>
      <c r="M2731" s="109"/>
      <c r="N2731" s="109"/>
      <c r="Q2731" s="121"/>
      <c r="W2731" s="109"/>
      <c r="Z2731" s="122"/>
    </row>
    <row r="2732" spans="1:26" ht="12.75" hidden="1">
      <c r="A2732" s="109"/>
      <c r="B2732" s="109"/>
      <c r="C2732" s="109"/>
      <c r="D2732" s="109"/>
      <c r="E2732" s="109"/>
      <c r="F2732" s="109"/>
      <c r="G2732" s="109"/>
      <c r="H2732" s="109"/>
      <c r="I2732" s="109"/>
      <c r="J2732" s="109"/>
      <c r="L2732" s="109"/>
      <c r="M2732" s="109"/>
      <c r="N2732" s="109"/>
      <c r="Q2732" s="121"/>
      <c r="W2732" s="109"/>
      <c r="Z2732" s="122"/>
    </row>
    <row r="2733" spans="1:26" ht="12.75" hidden="1">
      <c r="A2733" s="109"/>
      <c r="B2733" s="109"/>
      <c r="C2733" s="109"/>
      <c r="D2733" s="109"/>
      <c r="E2733" s="109"/>
      <c r="F2733" s="109"/>
      <c r="G2733" s="109"/>
      <c r="H2733" s="109"/>
      <c r="I2733" s="109"/>
      <c r="J2733" s="109"/>
      <c r="L2733" s="109"/>
      <c r="M2733" s="109"/>
      <c r="N2733" s="109"/>
      <c r="Q2733" s="121"/>
      <c r="W2733" s="109"/>
      <c r="Z2733" s="122"/>
    </row>
    <row r="2734" spans="1:26" ht="12.75" hidden="1">
      <c r="A2734" s="109"/>
      <c r="B2734" s="109"/>
      <c r="C2734" s="109"/>
      <c r="D2734" s="109"/>
      <c r="E2734" s="109"/>
      <c r="F2734" s="109"/>
      <c r="G2734" s="109"/>
      <c r="H2734" s="109"/>
      <c r="I2734" s="109"/>
      <c r="J2734" s="109"/>
      <c r="L2734" s="109"/>
      <c r="M2734" s="109"/>
      <c r="N2734" s="109"/>
      <c r="Q2734" s="121"/>
      <c r="W2734" s="109"/>
      <c r="Z2734" s="122"/>
    </row>
    <row r="2735" spans="1:26" ht="12.75" hidden="1">
      <c r="A2735" s="109"/>
      <c r="B2735" s="109"/>
      <c r="C2735" s="109"/>
      <c r="D2735" s="109"/>
      <c r="E2735" s="109"/>
      <c r="F2735" s="109"/>
      <c r="G2735" s="109"/>
      <c r="H2735" s="109"/>
      <c r="I2735" s="109"/>
      <c r="J2735" s="109"/>
      <c r="L2735" s="109"/>
      <c r="M2735" s="109"/>
      <c r="N2735" s="109"/>
      <c r="Q2735" s="121"/>
      <c r="W2735" s="109"/>
      <c r="Z2735" s="122"/>
    </row>
    <row r="2736" spans="1:26" ht="12.75" hidden="1">
      <c r="A2736" s="109"/>
      <c r="B2736" s="109"/>
      <c r="C2736" s="109"/>
      <c r="D2736" s="109"/>
      <c r="E2736" s="109"/>
      <c r="F2736" s="109"/>
      <c r="G2736" s="109"/>
      <c r="H2736" s="109"/>
      <c r="I2736" s="109"/>
      <c r="J2736" s="109"/>
      <c r="L2736" s="109"/>
      <c r="M2736" s="109"/>
      <c r="N2736" s="109"/>
      <c r="Q2736" s="121"/>
      <c r="W2736" s="109"/>
      <c r="Z2736" s="122"/>
    </row>
    <row r="2737" spans="1:26" ht="12.75" hidden="1">
      <c r="A2737" s="109"/>
      <c r="B2737" s="109"/>
      <c r="C2737" s="109"/>
      <c r="D2737" s="109"/>
      <c r="E2737" s="109"/>
      <c r="F2737" s="109"/>
      <c r="G2737" s="109"/>
      <c r="H2737" s="109"/>
      <c r="I2737" s="109"/>
      <c r="J2737" s="109"/>
      <c r="L2737" s="109"/>
      <c r="M2737" s="109"/>
      <c r="N2737" s="109"/>
      <c r="Q2737" s="121"/>
      <c r="W2737" s="109"/>
      <c r="Z2737" s="122"/>
    </row>
    <row r="2738" spans="1:26" ht="12.75" hidden="1">
      <c r="A2738" s="109"/>
      <c r="B2738" s="109"/>
      <c r="C2738" s="109"/>
      <c r="D2738" s="109"/>
      <c r="E2738" s="109"/>
      <c r="F2738" s="109"/>
      <c r="G2738" s="109"/>
      <c r="H2738" s="109"/>
      <c r="I2738" s="109"/>
      <c r="J2738" s="109"/>
      <c r="L2738" s="109"/>
      <c r="M2738" s="109"/>
      <c r="N2738" s="109"/>
      <c r="Q2738" s="121"/>
      <c r="W2738" s="109"/>
      <c r="Z2738" s="122"/>
    </row>
    <row r="2739" spans="1:26" ht="12.75" hidden="1">
      <c r="A2739" s="109"/>
      <c r="B2739" s="109"/>
      <c r="C2739" s="109"/>
      <c r="D2739" s="109"/>
      <c r="E2739" s="109"/>
      <c r="F2739" s="109"/>
      <c r="G2739" s="109"/>
      <c r="H2739" s="109"/>
      <c r="I2739" s="109"/>
      <c r="J2739" s="109"/>
      <c r="L2739" s="109"/>
      <c r="M2739" s="109"/>
      <c r="N2739" s="109"/>
      <c r="Q2739" s="121"/>
      <c r="W2739" s="109"/>
      <c r="Z2739" s="122"/>
    </row>
    <row r="2740" spans="1:26" ht="12.75" hidden="1">
      <c r="A2740" s="109"/>
      <c r="B2740" s="109"/>
      <c r="C2740" s="109"/>
      <c r="D2740" s="109"/>
      <c r="E2740" s="109"/>
      <c r="F2740" s="109"/>
      <c r="G2740" s="109"/>
      <c r="H2740" s="109"/>
      <c r="I2740" s="109"/>
      <c r="J2740" s="109"/>
      <c r="L2740" s="109"/>
      <c r="M2740" s="109"/>
      <c r="N2740" s="109"/>
      <c r="Q2740" s="121"/>
      <c r="W2740" s="109"/>
      <c r="Z2740" s="122"/>
    </row>
    <row r="2741" spans="1:26" ht="12.75" hidden="1">
      <c r="A2741" s="109"/>
      <c r="B2741" s="109"/>
      <c r="C2741" s="109"/>
      <c r="D2741" s="109"/>
      <c r="E2741" s="109"/>
      <c r="F2741" s="109"/>
      <c r="G2741" s="109"/>
      <c r="H2741" s="109"/>
      <c r="I2741" s="109"/>
      <c r="J2741" s="109"/>
      <c r="L2741" s="109"/>
      <c r="M2741" s="109"/>
      <c r="N2741" s="109"/>
      <c r="Q2741" s="121"/>
      <c r="W2741" s="109"/>
      <c r="Z2741" s="122"/>
    </row>
    <row r="2742" spans="1:26" ht="12.75" hidden="1">
      <c r="A2742" s="109"/>
      <c r="B2742" s="109"/>
      <c r="C2742" s="109"/>
      <c r="D2742" s="109"/>
      <c r="E2742" s="109"/>
      <c r="F2742" s="109"/>
      <c r="G2742" s="109"/>
      <c r="H2742" s="109"/>
      <c r="I2742" s="109"/>
      <c r="J2742" s="109"/>
      <c r="L2742" s="109"/>
      <c r="M2742" s="109"/>
      <c r="N2742" s="109"/>
      <c r="Q2742" s="121"/>
      <c r="W2742" s="109"/>
      <c r="Z2742" s="122"/>
    </row>
    <row r="2743" spans="1:26" ht="12.75" hidden="1">
      <c r="A2743" s="109"/>
      <c r="B2743" s="109"/>
      <c r="C2743" s="109"/>
      <c r="D2743" s="109"/>
      <c r="E2743" s="109"/>
      <c r="F2743" s="109"/>
      <c r="G2743" s="109"/>
      <c r="H2743" s="109"/>
      <c r="I2743" s="109"/>
      <c r="J2743" s="109"/>
      <c r="L2743" s="109"/>
      <c r="M2743" s="109"/>
      <c r="N2743" s="109"/>
      <c r="Q2743" s="121"/>
      <c r="W2743" s="109"/>
      <c r="Z2743" s="122"/>
    </row>
    <row r="2744" spans="1:26" ht="12.75" hidden="1">
      <c r="A2744" s="109"/>
      <c r="B2744" s="109"/>
      <c r="C2744" s="109"/>
      <c r="D2744" s="109"/>
      <c r="E2744" s="109"/>
      <c r="F2744" s="109"/>
      <c r="G2744" s="109"/>
      <c r="H2744" s="109"/>
      <c r="I2744" s="109"/>
      <c r="J2744" s="109"/>
      <c r="L2744" s="109"/>
      <c r="M2744" s="109"/>
      <c r="N2744" s="109"/>
      <c r="Q2744" s="121"/>
      <c r="W2744" s="109"/>
      <c r="Z2744" s="122"/>
    </row>
    <row r="2745" spans="1:26" ht="12.75" hidden="1">
      <c r="A2745" s="109"/>
      <c r="B2745" s="109"/>
      <c r="C2745" s="109"/>
      <c r="D2745" s="109"/>
      <c r="E2745" s="109"/>
      <c r="F2745" s="109"/>
      <c r="G2745" s="109"/>
      <c r="H2745" s="109"/>
      <c r="I2745" s="109"/>
      <c r="J2745" s="109"/>
      <c r="L2745" s="109"/>
      <c r="M2745" s="109"/>
      <c r="N2745" s="109"/>
      <c r="Q2745" s="121"/>
      <c r="W2745" s="109"/>
      <c r="Z2745" s="122"/>
    </row>
    <row r="2746" spans="1:26" ht="12.75" hidden="1">
      <c r="A2746" s="109"/>
      <c r="B2746" s="109"/>
      <c r="C2746" s="109"/>
      <c r="D2746" s="109"/>
      <c r="E2746" s="109"/>
      <c r="F2746" s="109"/>
      <c r="G2746" s="109"/>
      <c r="H2746" s="109"/>
      <c r="I2746" s="109"/>
      <c r="J2746" s="109"/>
      <c r="L2746" s="109"/>
      <c r="M2746" s="109"/>
      <c r="N2746" s="109"/>
      <c r="Q2746" s="121"/>
      <c r="W2746" s="109"/>
      <c r="Z2746" s="122"/>
    </row>
    <row r="2747" spans="1:26" ht="12.75" hidden="1">
      <c r="A2747" s="109"/>
      <c r="B2747" s="109"/>
      <c r="C2747" s="109"/>
      <c r="D2747" s="109"/>
      <c r="E2747" s="109"/>
      <c r="F2747" s="109"/>
      <c r="G2747" s="109"/>
      <c r="H2747" s="109"/>
      <c r="I2747" s="109"/>
      <c r="J2747" s="109"/>
      <c r="L2747" s="109"/>
      <c r="M2747" s="109"/>
      <c r="N2747" s="109"/>
      <c r="Q2747" s="121"/>
      <c r="W2747" s="109"/>
      <c r="Z2747" s="122"/>
    </row>
    <row r="2748" spans="1:26" ht="12.75" hidden="1">
      <c r="A2748" s="109"/>
      <c r="B2748" s="109"/>
      <c r="C2748" s="109"/>
      <c r="D2748" s="109"/>
      <c r="E2748" s="109"/>
      <c r="F2748" s="109"/>
      <c r="G2748" s="109"/>
      <c r="H2748" s="109"/>
      <c r="I2748" s="109"/>
      <c r="J2748" s="109"/>
      <c r="L2748" s="109"/>
      <c r="M2748" s="109"/>
      <c r="N2748" s="109"/>
      <c r="Q2748" s="121"/>
      <c r="W2748" s="109"/>
      <c r="Z2748" s="122"/>
    </row>
    <row r="2749" spans="1:26" ht="12.75" hidden="1">
      <c r="A2749" s="109"/>
      <c r="B2749" s="109"/>
      <c r="C2749" s="109"/>
      <c r="D2749" s="109"/>
      <c r="E2749" s="109"/>
      <c r="F2749" s="109"/>
      <c r="G2749" s="109"/>
      <c r="H2749" s="109"/>
      <c r="I2749" s="109"/>
      <c r="J2749" s="109"/>
      <c r="L2749" s="109"/>
      <c r="M2749" s="109"/>
      <c r="N2749" s="109"/>
      <c r="Q2749" s="121"/>
      <c r="W2749" s="109"/>
      <c r="Z2749" s="122"/>
    </row>
    <row r="2750" spans="1:26" ht="12.75" hidden="1">
      <c r="A2750" s="109"/>
      <c r="B2750" s="109"/>
      <c r="C2750" s="109"/>
      <c r="D2750" s="109"/>
      <c r="E2750" s="109"/>
      <c r="F2750" s="109"/>
      <c r="G2750" s="109"/>
      <c r="H2750" s="109"/>
      <c r="I2750" s="109"/>
      <c r="J2750" s="109"/>
      <c r="L2750" s="109"/>
      <c r="M2750" s="109"/>
      <c r="N2750" s="109"/>
      <c r="Q2750" s="121"/>
      <c r="W2750" s="109"/>
      <c r="Z2750" s="122"/>
    </row>
    <row r="2751" spans="1:26" ht="12.75" hidden="1">
      <c r="A2751" s="109"/>
      <c r="B2751" s="109"/>
      <c r="C2751" s="109"/>
      <c r="D2751" s="109"/>
      <c r="E2751" s="109"/>
      <c r="F2751" s="109"/>
      <c r="G2751" s="109"/>
      <c r="H2751" s="109"/>
      <c r="I2751" s="109"/>
      <c r="J2751" s="109"/>
      <c r="L2751" s="109"/>
      <c r="M2751" s="109"/>
      <c r="N2751" s="109"/>
      <c r="Q2751" s="121"/>
      <c r="W2751" s="109"/>
      <c r="Z2751" s="122"/>
    </row>
    <row r="2752" spans="1:26" ht="12.75" hidden="1">
      <c r="A2752" s="109"/>
      <c r="B2752" s="109"/>
      <c r="C2752" s="109"/>
      <c r="D2752" s="109"/>
      <c r="E2752" s="109"/>
      <c r="F2752" s="109"/>
      <c r="G2752" s="109"/>
      <c r="H2752" s="109"/>
      <c r="I2752" s="109"/>
      <c r="J2752" s="109"/>
      <c r="L2752" s="109"/>
      <c r="M2752" s="109"/>
      <c r="N2752" s="109"/>
      <c r="Q2752" s="121"/>
      <c r="W2752" s="109"/>
      <c r="Z2752" s="122"/>
    </row>
    <row r="2753" spans="1:26" ht="12.75" hidden="1">
      <c r="A2753" s="109"/>
      <c r="B2753" s="109"/>
      <c r="C2753" s="109"/>
      <c r="D2753" s="109"/>
      <c r="E2753" s="109"/>
      <c r="F2753" s="109"/>
      <c r="G2753" s="109"/>
      <c r="H2753" s="109"/>
      <c r="I2753" s="109"/>
      <c r="J2753" s="109"/>
      <c r="L2753" s="109"/>
      <c r="M2753" s="109"/>
      <c r="N2753" s="109"/>
      <c r="Q2753" s="121"/>
      <c r="W2753" s="109"/>
      <c r="Z2753" s="122"/>
    </row>
    <row r="2754" spans="1:26" ht="12.75" hidden="1">
      <c r="A2754" s="109"/>
      <c r="B2754" s="109"/>
      <c r="C2754" s="109"/>
      <c r="D2754" s="109"/>
      <c r="E2754" s="109"/>
      <c r="F2754" s="109"/>
      <c r="G2754" s="109"/>
      <c r="H2754" s="109"/>
      <c r="I2754" s="109"/>
      <c r="J2754" s="109"/>
      <c r="L2754" s="109"/>
      <c r="M2754" s="109"/>
      <c r="N2754" s="109"/>
      <c r="Q2754" s="121"/>
      <c r="W2754" s="109"/>
      <c r="Z2754" s="122"/>
    </row>
    <row r="2755" spans="1:26" ht="12.75" hidden="1">
      <c r="A2755" s="109"/>
      <c r="B2755" s="109"/>
      <c r="C2755" s="109"/>
      <c r="D2755" s="109"/>
      <c r="E2755" s="109"/>
      <c r="F2755" s="109"/>
      <c r="G2755" s="109"/>
      <c r="H2755" s="109"/>
      <c r="I2755" s="109"/>
      <c r="J2755" s="109"/>
      <c r="L2755" s="109"/>
      <c r="M2755" s="109"/>
      <c r="N2755" s="109"/>
      <c r="Q2755" s="121"/>
      <c r="W2755" s="109"/>
      <c r="Z2755" s="122"/>
    </row>
    <row r="2756" spans="1:26" ht="12.75" hidden="1">
      <c r="A2756" s="109"/>
      <c r="B2756" s="109"/>
      <c r="C2756" s="109"/>
      <c r="D2756" s="109"/>
      <c r="E2756" s="109"/>
      <c r="F2756" s="109"/>
      <c r="G2756" s="109"/>
      <c r="H2756" s="109"/>
      <c r="I2756" s="109"/>
      <c r="J2756" s="109"/>
      <c r="L2756" s="109"/>
      <c r="M2756" s="109"/>
      <c r="N2756" s="109"/>
      <c r="Q2756" s="121"/>
      <c r="W2756" s="109"/>
      <c r="Z2756" s="122"/>
    </row>
    <row r="2757" spans="1:26" ht="12.75" hidden="1">
      <c r="A2757" s="109"/>
      <c r="B2757" s="109"/>
      <c r="C2757" s="109"/>
      <c r="D2757" s="109"/>
      <c r="E2757" s="109"/>
      <c r="F2757" s="109"/>
      <c r="G2757" s="109"/>
      <c r="H2757" s="109"/>
      <c r="I2757" s="109"/>
      <c r="J2757" s="109"/>
      <c r="L2757" s="109"/>
      <c r="M2757" s="109"/>
      <c r="N2757" s="109"/>
      <c r="Q2757" s="121"/>
      <c r="W2757" s="109"/>
      <c r="Z2757" s="122"/>
    </row>
    <row r="2758" spans="1:26" ht="12.75" hidden="1">
      <c r="A2758" s="109"/>
      <c r="B2758" s="109"/>
      <c r="C2758" s="109"/>
      <c r="D2758" s="109"/>
      <c r="E2758" s="109"/>
      <c r="F2758" s="109"/>
      <c r="G2758" s="109"/>
      <c r="H2758" s="109"/>
      <c r="I2758" s="109"/>
      <c r="J2758" s="109"/>
      <c r="L2758" s="109"/>
      <c r="M2758" s="109"/>
      <c r="N2758" s="109"/>
      <c r="Q2758" s="121"/>
      <c r="W2758" s="109"/>
      <c r="Z2758" s="122"/>
    </row>
    <row r="2759" spans="1:26" ht="12.75" hidden="1">
      <c r="A2759" s="109"/>
      <c r="B2759" s="109"/>
      <c r="C2759" s="109"/>
      <c r="D2759" s="109"/>
      <c r="E2759" s="109"/>
      <c r="F2759" s="109"/>
      <c r="G2759" s="109"/>
      <c r="H2759" s="109"/>
      <c r="I2759" s="109"/>
      <c r="J2759" s="109"/>
      <c r="L2759" s="109"/>
      <c r="M2759" s="109"/>
      <c r="N2759" s="109"/>
      <c r="Q2759" s="121"/>
      <c r="W2759" s="109"/>
      <c r="Z2759" s="122"/>
    </row>
    <row r="2760" spans="1:26" ht="12.75" hidden="1">
      <c r="A2760" s="109"/>
      <c r="B2760" s="109"/>
      <c r="C2760" s="109"/>
      <c r="D2760" s="109"/>
      <c r="E2760" s="109"/>
      <c r="F2760" s="109"/>
      <c r="G2760" s="109"/>
      <c r="H2760" s="109"/>
      <c r="I2760" s="109"/>
      <c r="J2760" s="109"/>
      <c r="L2760" s="109"/>
      <c r="M2760" s="109"/>
      <c r="N2760" s="109"/>
      <c r="Q2760" s="121"/>
      <c r="W2760" s="109"/>
      <c r="Z2760" s="122"/>
    </row>
    <row r="2761" spans="1:26" ht="12.75" hidden="1">
      <c r="A2761" s="109"/>
      <c r="B2761" s="109"/>
      <c r="C2761" s="109"/>
      <c r="D2761" s="109"/>
      <c r="E2761" s="109"/>
      <c r="F2761" s="109"/>
      <c r="G2761" s="109"/>
      <c r="H2761" s="109"/>
      <c r="I2761" s="109"/>
      <c r="J2761" s="109"/>
      <c r="L2761" s="109"/>
      <c r="M2761" s="109"/>
      <c r="N2761" s="109"/>
      <c r="Q2761" s="121"/>
      <c r="W2761" s="109"/>
      <c r="Z2761" s="122"/>
    </row>
    <row r="2762" spans="1:26" ht="12.75" hidden="1">
      <c r="A2762" s="109"/>
      <c r="B2762" s="109"/>
      <c r="C2762" s="109"/>
      <c r="D2762" s="109"/>
      <c r="E2762" s="109"/>
      <c r="F2762" s="109"/>
      <c r="G2762" s="109"/>
      <c r="H2762" s="109"/>
      <c r="I2762" s="109"/>
      <c r="J2762" s="109"/>
      <c r="L2762" s="109"/>
      <c r="M2762" s="109"/>
      <c r="N2762" s="109"/>
      <c r="Q2762" s="121"/>
      <c r="W2762" s="109"/>
      <c r="Z2762" s="122"/>
    </row>
    <row r="2763" spans="1:26" ht="12.75" hidden="1">
      <c r="A2763" s="109"/>
      <c r="B2763" s="109"/>
      <c r="C2763" s="109"/>
      <c r="D2763" s="109"/>
      <c r="E2763" s="109"/>
      <c r="F2763" s="109"/>
      <c r="G2763" s="109"/>
      <c r="H2763" s="109"/>
      <c r="I2763" s="109"/>
      <c r="J2763" s="109"/>
      <c r="L2763" s="109"/>
      <c r="M2763" s="109"/>
      <c r="N2763" s="109"/>
      <c r="Q2763" s="121"/>
      <c r="W2763" s="109"/>
      <c r="Z2763" s="122"/>
    </row>
    <row r="2764" spans="1:26" ht="12.75" hidden="1">
      <c r="A2764" s="109"/>
      <c r="B2764" s="109"/>
      <c r="C2764" s="109"/>
      <c r="D2764" s="109"/>
      <c r="E2764" s="109"/>
      <c r="F2764" s="109"/>
      <c r="G2764" s="109"/>
      <c r="H2764" s="109"/>
      <c r="I2764" s="109"/>
      <c r="J2764" s="109"/>
      <c r="L2764" s="109"/>
      <c r="M2764" s="109"/>
      <c r="N2764" s="109"/>
      <c r="Q2764" s="121"/>
      <c r="W2764" s="109"/>
      <c r="Z2764" s="122"/>
    </row>
    <row r="2765" spans="1:26" ht="12.75" hidden="1">
      <c r="A2765" s="109"/>
      <c r="B2765" s="109"/>
      <c r="C2765" s="109"/>
      <c r="D2765" s="109"/>
      <c r="E2765" s="109"/>
      <c r="F2765" s="109"/>
      <c r="G2765" s="109"/>
      <c r="H2765" s="109"/>
      <c r="I2765" s="109"/>
      <c r="J2765" s="109"/>
      <c r="L2765" s="109"/>
      <c r="M2765" s="109"/>
      <c r="N2765" s="109"/>
      <c r="Q2765" s="121"/>
      <c r="W2765" s="109"/>
      <c r="Z2765" s="122"/>
    </row>
    <row r="2766" spans="1:26" ht="12.75" hidden="1">
      <c r="A2766" s="109"/>
      <c r="B2766" s="109"/>
      <c r="C2766" s="109"/>
      <c r="D2766" s="109"/>
      <c r="E2766" s="109"/>
      <c r="F2766" s="109"/>
      <c r="G2766" s="109"/>
      <c r="H2766" s="109"/>
      <c r="I2766" s="109"/>
      <c r="J2766" s="109"/>
      <c r="L2766" s="109"/>
      <c r="M2766" s="109"/>
      <c r="N2766" s="109"/>
      <c r="Q2766" s="121"/>
      <c r="W2766" s="109"/>
      <c r="Z2766" s="122"/>
    </row>
    <row r="2767" spans="1:26" ht="12.75" hidden="1">
      <c r="A2767" s="109"/>
      <c r="B2767" s="109"/>
      <c r="C2767" s="109"/>
      <c r="D2767" s="109"/>
      <c r="E2767" s="109"/>
      <c r="F2767" s="109"/>
      <c r="G2767" s="109"/>
      <c r="H2767" s="109"/>
      <c r="I2767" s="109"/>
      <c r="J2767" s="109"/>
      <c r="L2767" s="109"/>
      <c r="M2767" s="109"/>
      <c r="N2767" s="109"/>
      <c r="Q2767" s="121"/>
      <c r="W2767" s="109"/>
      <c r="Z2767" s="122"/>
    </row>
    <row r="2768" spans="1:26" ht="12.75" hidden="1">
      <c r="A2768" s="109"/>
      <c r="B2768" s="109"/>
      <c r="C2768" s="109"/>
      <c r="D2768" s="109"/>
      <c r="E2768" s="109"/>
      <c r="F2768" s="109"/>
      <c r="G2768" s="109"/>
      <c r="H2768" s="109"/>
      <c r="I2768" s="109"/>
      <c r="J2768" s="109"/>
      <c r="L2768" s="109"/>
      <c r="M2768" s="109"/>
      <c r="N2768" s="109"/>
      <c r="Q2768" s="121"/>
      <c r="W2768" s="109"/>
      <c r="Z2768" s="122"/>
    </row>
    <row r="2769" spans="1:26" ht="12.75" hidden="1">
      <c r="A2769" s="109"/>
      <c r="B2769" s="109"/>
      <c r="C2769" s="109"/>
      <c r="D2769" s="109"/>
      <c r="E2769" s="109"/>
      <c r="F2769" s="109"/>
      <c r="G2769" s="109"/>
      <c r="H2769" s="109"/>
      <c r="I2769" s="109"/>
      <c r="J2769" s="109"/>
      <c r="L2769" s="109"/>
      <c r="M2769" s="109"/>
      <c r="N2769" s="109"/>
      <c r="Q2769" s="121"/>
      <c r="W2769" s="109"/>
      <c r="Z2769" s="122"/>
    </row>
    <row r="2770" spans="1:26" ht="12.75" hidden="1">
      <c r="A2770" s="109"/>
      <c r="B2770" s="109"/>
      <c r="C2770" s="109"/>
      <c r="D2770" s="109"/>
      <c r="E2770" s="109"/>
      <c r="F2770" s="109"/>
      <c r="G2770" s="109"/>
      <c r="H2770" s="109"/>
      <c r="I2770" s="109"/>
      <c r="J2770" s="109"/>
      <c r="L2770" s="109"/>
      <c r="M2770" s="109"/>
      <c r="N2770" s="109"/>
      <c r="Q2770" s="121"/>
      <c r="W2770" s="109"/>
      <c r="Z2770" s="122"/>
    </row>
    <row r="2771" spans="1:26" ht="12.75" hidden="1">
      <c r="A2771" s="109"/>
      <c r="B2771" s="109"/>
      <c r="C2771" s="109"/>
      <c r="D2771" s="109"/>
      <c r="E2771" s="109"/>
      <c r="F2771" s="109"/>
      <c r="G2771" s="109"/>
      <c r="H2771" s="109"/>
      <c r="I2771" s="109"/>
      <c r="J2771" s="109"/>
      <c r="L2771" s="109"/>
      <c r="M2771" s="109"/>
      <c r="N2771" s="109"/>
      <c r="Q2771" s="121"/>
      <c r="W2771" s="109"/>
      <c r="Z2771" s="122"/>
    </row>
    <row r="2772" spans="1:26" ht="12.75" hidden="1">
      <c r="A2772" s="109"/>
      <c r="B2772" s="109"/>
      <c r="C2772" s="109"/>
      <c r="D2772" s="109"/>
      <c r="E2772" s="109"/>
      <c r="F2772" s="109"/>
      <c r="G2772" s="109"/>
      <c r="H2772" s="109"/>
      <c r="I2772" s="109"/>
      <c r="J2772" s="109"/>
      <c r="L2772" s="109"/>
      <c r="M2772" s="109"/>
      <c r="N2772" s="109"/>
      <c r="Q2772" s="121"/>
      <c r="W2772" s="109"/>
      <c r="Z2772" s="122"/>
    </row>
    <row r="2773" spans="1:26" ht="12.75" hidden="1">
      <c r="A2773" s="109"/>
      <c r="B2773" s="109"/>
      <c r="C2773" s="109"/>
      <c r="D2773" s="109"/>
      <c r="E2773" s="109"/>
      <c r="F2773" s="109"/>
      <c r="G2773" s="109"/>
      <c r="H2773" s="109"/>
      <c r="I2773" s="109"/>
      <c r="J2773" s="109"/>
      <c r="L2773" s="109"/>
      <c r="M2773" s="109"/>
      <c r="N2773" s="109"/>
      <c r="Q2773" s="121"/>
      <c r="W2773" s="109"/>
      <c r="Z2773" s="122"/>
    </row>
    <row r="2774" spans="1:26" ht="12.75" hidden="1">
      <c r="A2774" s="109"/>
      <c r="B2774" s="109"/>
      <c r="C2774" s="109"/>
      <c r="D2774" s="109"/>
      <c r="E2774" s="109"/>
      <c r="F2774" s="109"/>
      <c r="G2774" s="109"/>
      <c r="H2774" s="109"/>
      <c r="I2774" s="109"/>
      <c r="J2774" s="109"/>
      <c r="L2774" s="109"/>
      <c r="M2774" s="109"/>
      <c r="N2774" s="109"/>
      <c r="Q2774" s="121"/>
      <c r="W2774" s="109"/>
      <c r="Z2774" s="122"/>
    </row>
    <row r="2775" spans="1:26" ht="12.75" hidden="1">
      <c r="A2775" s="109"/>
      <c r="B2775" s="109"/>
      <c r="C2775" s="109"/>
      <c r="D2775" s="109"/>
      <c r="E2775" s="109"/>
      <c r="F2775" s="109"/>
      <c r="G2775" s="109"/>
      <c r="H2775" s="109"/>
      <c r="I2775" s="109"/>
      <c r="J2775" s="109"/>
      <c r="L2775" s="109"/>
      <c r="M2775" s="109"/>
      <c r="N2775" s="109"/>
      <c r="Q2775" s="121"/>
      <c r="W2775" s="109"/>
      <c r="Z2775" s="122"/>
    </row>
    <row r="2776" spans="1:26" ht="12.75" hidden="1">
      <c r="A2776" s="109"/>
      <c r="B2776" s="109"/>
      <c r="C2776" s="109"/>
      <c r="D2776" s="109"/>
      <c r="E2776" s="109"/>
      <c r="F2776" s="109"/>
      <c r="G2776" s="109"/>
      <c r="H2776" s="109"/>
      <c r="I2776" s="109"/>
      <c r="J2776" s="109"/>
      <c r="L2776" s="109"/>
      <c r="M2776" s="109"/>
      <c r="N2776" s="109"/>
      <c r="Q2776" s="121"/>
      <c r="W2776" s="109"/>
      <c r="Z2776" s="122"/>
    </row>
    <row r="2777" spans="1:26" ht="12.75" hidden="1">
      <c r="A2777" s="109"/>
      <c r="B2777" s="109"/>
      <c r="C2777" s="109"/>
      <c r="D2777" s="109"/>
      <c r="E2777" s="109"/>
      <c r="F2777" s="109"/>
      <c r="G2777" s="109"/>
      <c r="H2777" s="109"/>
      <c r="I2777" s="109"/>
      <c r="J2777" s="109"/>
      <c r="L2777" s="109"/>
      <c r="M2777" s="109"/>
      <c r="N2777" s="109"/>
      <c r="Q2777" s="121"/>
      <c r="W2777" s="109"/>
      <c r="Z2777" s="122"/>
    </row>
    <row r="2778" spans="1:26" ht="12.75" hidden="1">
      <c r="A2778" s="109"/>
      <c r="B2778" s="109"/>
      <c r="C2778" s="109"/>
      <c r="D2778" s="109"/>
      <c r="E2778" s="109"/>
      <c r="F2778" s="109"/>
      <c r="G2778" s="109"/>
      <c r="H2778" s="109"/>
      <c r="I2778" s="109"/>
      <c r="J2778" s="109"/>
      <c r="L2778" s="109"/>
      <c r="M2778" s="109"/>
      <c r="N2778" s="109"/>
      <c r="Q2778" s="121"/>
      <c r="W2778" s="109"/>
      <c r="Z2778" s="122"/>
    </row>
    <row r="2779" spans="1:26" ht="12.75" hidden="1">
      <c r="A2779" s="109"/>
      <c r="B2779" s="109"/>
      <c r="C2779" s="109"/>
      <c r="D2779" s="109"/>
      <c r="E2779" s="109"/>
      <c r="F2779" s="109"/>
      <c r="G2779" s="109"/>
      <c r="H2779" s="109"/>
      <c r="I2779" s="109"/>
      <c r="J2779" s="109"/>
      <c r="L2779" s="109"/>
      <c r="M2779" s="109"/>
      <c r="N2779" s="109"/>
      <c r="Q2779" s="121"/>
      <c r="W2779" s="109"/>
      <c r="Z2779" s="122"/>
    </row>
    <row r="2780" spans="1:26" ht="12.75" hidden="1">
      <c r="A2780" s="109"/>
      <c r="B2780" s="109"/>
      <c r="C2780" s="109"/>
      <c r="D2780" s="109"/>
      <c r="E2780" s="109"/>
      <c r="F2780" s="109"/>
      <c r="G2780" s="109"/>
      <c r="H2780" s="109"/>
      <c r="I2780" s="109"/>
      <c r="J2780" s="109"/>
      <c r="L2780" s="109"/>
      <c r="M2780" s="109"/>
      <c r="N2780" s="109"/>
      <c r="Q2780" s="121"/>
      <c r="W2780" s="109"/>
      <c r="Z2780" s="122"/>
    </row>
    <row r="2781" spans="1:26" ht="12.75" hidden="1">
      <c r="A2781" s="109"/>
      <c r="B2781" s="109"/>
      <c r="C2781" s="109"/>
      <c r="D2781" s="109"/>
      <c r="E2781" s="109"/>
      <c r="F2781" s="109"/>
      <c r="G2781" s="109"/>
      <c r="H2781" s="109"/>
      <c r="I2781" s="109"/>
      <c r="J2781" s="109"/>
      <c r="L2781" s="109"/>
      <c r="M2781" s="109"/>
      <c r="N2781" s="109"/>
      <c r="Q2781" s="121"/>
      <c r="W2781" s="109"/>
      <c r="Z2781" s="122"/>
    </row>
    <row r="2782" spans="1:26" ht="12.75" hidden="1">
      <c r="A2782" s="109"/>
      <c r="B2782" s="109"/>
      <c r="C2782" s="109"/>
      <c r="D2782" s="109"/>
      <c r="E2782" s="109"/>
      <c r="F2782" s="109"/>
      <c r="G2782" s="109"/>
      <c r="H2782" s="109"/>
      <c r="I2782" s="109"/>
      <c r="J2782" s="109"/>
      <c r="L2782" s="109"/>
      <c r="M2782" s="109"/>
      <c r="N2782" s="109"/>
      <c r="Q2782" s="121"/>
      <c r="W2782" s="109"/>
      <c r="Z2782" s="122"/>
    </row>
    <row r="2783" spans="1:26" ht="12.75" hidden="1">
      <c r="A2783" s="109"/>
      <c r="B2783" s="109"/>
      <c r="C2783" s="109"/>
      <c r="D2783" s="109"/>
      <c r="E2783" s="109"/>
      <c r="F2783" s="109"/>
      <c r="G2783" s="109"/>
      <c r="H2783" s="109"/>
      <c r="I2783" s="109"/>
      <c r="J2783" s="109"/>
      <c r="L2783" s="109"/>
      <c r="M2783" s="109"/>
      <c r="N2783" s="109"/>
      <c r="Q2783" s="121"/>
      <c r="W2783" s="109"/>
      <c r="Z2783" s="122"/>
    </row>
    <row r="2784" spans="1:26" ht="12.75" hidden="1">
      <c r="A2784" s="109"/>
      <c r="B2784" s="109"/>
      <c r="C2784" s="109"/>
      <c r="D2784" s="109"/>
      <c r="E2784" s="109"/>
      <c r="F2784" s="109"/>
      <c r="G2784" s="109"/>
      <c r="H2784" s="109"/>
      <c r="I2784" s="109"/>
      <c r="J2784" s="109"/>
      <c r="L2784" s="109"/>
      <c r="M2784" s="109"/>
      <c r="N2784" s="109"/>
      <c r="Q2784" s="121"/>
      <c r="W2784" s="109"/>
      <c r="Z2784" s="122"/>
    </row>
    <row r="2785" spans="1:26" ht="12.75" hidden="1">
      <c r="A2785" s="109"/>
      <c r="B2785" s="109"/>
      <c r="C2785" s="109"/>
      <c r="D2785" s="109"/>
      <c r="E2785" s="109"/>
      <c r="F2785" s="109"/>
      <c r="G2785" s="109"/>
      <c r="H2785" s="109"/>
      <c r="I2785" s="109"/>
      <c r="J2785" s="109"/>
      <c r="L2785" s="109"/>
      <c r="M2785" s="109"/>
      <c r="N2785" s="109"/>
      <c r="Q2785" s="121"/>
      <c r="W2785" s="109"/>
      <c r="Z2785" s="122"/>
    </row>
    <row r="2786" spans="1:26" ht="12.75" hidden="1">
      <c r="A2786" s="109"/>
      <c r="B2786" s="109"/>
      <c r="C2786" s="109"/>
      <c r="D2786" s="109"/>
      <c r="E2786" s="109"/>
      <c r="F2786" s="109"/>
      <c r="G2786" s="109"/>
      <c r="H2786" s="109"/>
      <c r="I2786" s="109"/>
      <c r="J2786" s="109"/>
      <c r="L2786" s="109"/>
      <c r="M2786" s="109"/>
      <c r="N2786" s="109"/>
      <c r="Q2786" s="121"/>
      <c r="W2786" s="109"/>
      <c r="Z2786" s="122"/>
    </row>
    <row r="2787" spans="1:26" ht="12.75" hidden="1">
      <c r="A2787" s="109"/>
      <c r="B2787" s="109"/>
      <c r="C2787" s="109"/>
      <c r="D2787" s="109"/>
      <c r="E2787" s="109"/>
      <c r="F2787" s="109"/>
      <c r="G2787" s="109"/>
      <c r="H2787" s="109"/>
      <c r="I2787" s="109"/>
      <c r="J2787" s="109"/>
      <c r="L2787" s="109"/>
      <c r="M2787" s="109"/>
      <c r="N2787" s="109"/>
      <c r="Q2787" s="121"/>
      <c r="W2787" s="109"/>
      <c r="Z2787" s="122"/>
    </row>
    <row r="2788" spans="1:26" ht="12.75" hidden="1">
      <c r="A2788" s="109"/>
      <c r="B2788" s="109"/>
      <c r="C2788" s="109"/>
      <c r="D2788" s="109"/>
      <c r="E2788" s="109"/>
      <c r="F2788" s="109"/>
      <c r="G2788" s="109"/>
      <c r="H2788" s="109"/>
      <c r="I2788" s="109"/>
      <c r="J2788" s="109"/>
      <c r="L2788" s="109"/>
      <c r="M2788" s="109"/>
      <c r="N2788" s="109"/>
      <c r="Q2788" s="121"/>
      <c r="W2788" s="109"/>
      <c r="Z2788" s="122"/>
    </row>
    <row r="2789" spans="1:26" ht="12.75" hidden="1">
      <c r="A2789" s="109"/>
      <c r="B2789" s="109"/>
      <c r="C2789" s="109"/>
      <c r="D2789" s="109"/>
      <c r="E2789" s="109"/>
      <c r="F2789" s="109"/>
      <c r="G2789" s="109"/>
      <c r="H2789" s="109"/>
      <c r="I2789" s="109"/>
      <c r="J2789" s="109"/>
      <c r="L2789" s="109"/>
      <c r="M2789" s="109"/>
      <c r="N2789" s="109"/>
      <c r="Q2789" s="121"/>
      <c r="W2789" s="109"/>
      <c r="Z2789" s="122"/>
    </row>
    <row r="2790" spans="1:26" ht="12.75" hidden="1">
      <c r="A2790" s="109"/>
      <c r="B2790" s="109"/>
      <c r="C2790" s="109"/>
      <c r="D2790" s="109"/>
      <c r="E2790" s="109"/>
      <c r="F2790" s="109"/>
      <c r="G2790" s="109"/>
      <c r="H2790" s="109"/>
      <c r="I2790" s="109"/>
      <c r="J2790" s="109"/>
      <c r="L2790" s="109"/>
      <c r="M2790" s="109"/>
      <c r="N2790" s="109"/>
      <c r="Q2790" s="121"/>
      <c r="W2790" s="109"/>
      <c r="Z2790" s="122"/>
    </row>
    <row r="2791" spans="1:26" ht="12.75" hidden="1">
      <c r="A2791" s="109"/>
      <c r="B2791" s="109"/>
      <c r="C2791" s="109"/>
      <c r="D2791" s="109"/>
      <c r="E2791" s="109"/>
      <c r="F2791" s="109"/>
      <c r="G2791" s="109"/>
      <c r="H2791" s="109"/>
      <c r="I2791" s="109"/>
      <c r="J2791" s="109"/>
      <c r="L2791" s="109"/>
      <c r="M2791" s="109"/>
      <c r="N2791" s="109"/>
      <c r="Q2791" s="121"/>
      <c r="W2791" s="109"/>
      <c r="Z2791" s="122"/>
    </row>
    <row r="2792" spans="1:26" ht="12.75" hidden="1">
      <c r="A2792" s="109"/>
      <c r="B2792" s="109"/>
      <c r="C2792" s="109"/>
      <c r="D2792" s="109"/>
      <c r="E2792" s="109"/>
      <c r="F2792" s="109"/>
      <c r="G2792" s="109"/>
      <c r="H2792" s="109"/>
      <c r="I2792" s="109"/>
      <c r="J2792" s="109"/>
      <c r="L2792" s="109"/>
      <c r="M2792" s="109"/>
      <c r="N2792" s="109"/>
      <c r="Q2792" s="121"/>
      <c r="W2792" s="109"/>
      <c r="Z2792" s="122"/>
    </row>
    <row r="2793" spans="1:26" ht="12.75" hidden="1">
      <c r="A2793" s="109"/>
      <c r="B2793" s="109"/>
      <c r="C2793" s="109"/>
      <c r="D2793" s="109"/>
      <c r="E2793" s="109"/>
      <c r="F2793" s="109"/>
      <c r="G2793" s="109"/>
      <c r="H2793" s="109"/>
      <c r="I2793" s="109"/>
      <c r="J2793" s="109"/>
      <c r="L2793" s="109"/>
      <c r="M2793" s="109"/>
      <c r="N2793" s="109"/>
      <c r="Q2793" s="121"/>
      <c r="W2793" s="109"/>
      <c r="Z2793" s="122"/>
    </row>
    <row r="2794" spans="1:26" ht="12.75" hidden="1">
      <c r="A2794" s="109"/>
      <c r="B2794" s="109"/>
      <c r="C2794" s="109"/>
      <c r="D2794" s="109"/>
      <c r="E2794" s="109"/>
      <c r="F2794" s="109"/>
      <c r="G2794" s="109"/>
      <c r="H2794" s="109"/>
      <c r="I2794" s="109"/>
      <c r="J2794" s="109"/>
      <c r="L2794" s="109"/>
      <c r="M2794" s="109"/>
      <c r="N2794" s="109"/>
      <c r="Q2794" s="121"/>
      <c r="W2794" s="109"/>
      <c r="Z2794" s="122"/>
    </row>
    <row r="2795" spans="1:26" ht="12.75" hidden="1">
      <c r="A2795" s="109"/>
      <c r="B2795" s="109"/>
      <c r="C2795" s="109"/>
      <c r="D2795" s="109"/>
      <c r="E2795" s="109"/>
      <c r="F2795" s="109"/>
      <c r="G2795" s="109"/>
      <c r="H2795" s="109"/>
      <c r="I2795" s="109"/>
      <c r="J2795" s="109"/>
      <c r="L2795" s="109"/>
      <c r="M2795" s="109"/>
      <c r="N2795" s="109"/>
      <c r="Q2795" s="121"/>
      <c r="W2795" s="109"/>
      <c r="Z2795" s="122"/>
    </row>
    <row r="2796" spans="1:26" ht="12.75" hidden="1">
      <c r="A2796" s="109"/>
      <c r="B2796" s="109"/>
      <c r="C2796" s="109"/>
      <c r="D2796" s="109"/>
      <c r="E2796" s="109"/>
      <c r="F2796" s="109"/>
      <c r="G2796" s="109"/>
      <c r="H2796" s="109"/>
      <c r="I2796" s="109"/>
      <c r="J2796" s="109"/>
      <c r="L2796" s="109"/>
      <c r="M2796" s="109"/>
      <c r="N2796" s="109"/>
      <c r="Q2796" s="121"/>
      <c r="W2796" s="109"/>
      <c r="Z2796" s="122"/>
    </row>
    <row r="2797" spans="1:26" ht="12.75" hidden="1">
      <c r="A2797" s="109"/>
      <c r="B2797" s="109"/>
      <c r="C2797" s="109"/>
      <c r="D2797" s="109"/>
      <c r="E2797" s="109"/>
      <c r="F2797" s="109"/>
      <c r="G2797" s="109"/>
      <c r="H2797" s="109"/>
      <c r="I2797" s="109"/>
      <c r="J2797" s="109"/>
      <c r="L2797" s="109"/>
      <c r="M2797" s="109"/>
      <c r="N2797" s="109"/>
      <c r="Q2797" s="121"/>
      <c r="W2797" s="109"/>
      <c r="Z2797" s="122"/>
    </row>
    <row r="2798" spans="1:26" ht="12.75" hidden="1">
      <c r="A2798" s="109"/>
      <c r="B2798" s="109"/>
      <c r="C2798" s="109"/>
      <c r="D2798" s="109"/>
      <c r="E2798" s="109"/>
      <c r="F2798" s="109"/>
      <c r="G2798" s="109"/>
      <c r="H2798" s="109"/>
      <c r="I2798" s="109"/>
      <c r="J2798" s="109"/>
      <c r="L2798" s="109"/>
      <c r="M2798" s="109"/>
      <c r="N2798" s="109"/>
      <c r="Q2798" s="121"/>
      <c r="W2798" s="109"/>
      <c r="Z2798" s="122"/>
    </row>
    <row r="2799" spans="1:26" ht="12.75" hidden="1">
      <c r="A2799" s="109"/>
      <c r="B2799" s="109"/>
      <c r="C2799" s="109"/>
      <c r="D2799" s="109"/>
      <c r="E2799" s="109"/>
      <c r="F2799" s="109"/>
      <c r="G2799" s="109"/>
      <c r="H2799" s="109"/>
      <c r="I2799" s="109"/>
      <c r="J2799" s="109"/>
      <c r="L2799" s="109"/>
      <c r="M2799" s="109"/>
      <c r="N2799" s="109"/>
      <c r="Q2799" s="121"/>
      <c r="W2799" s="109"/>
      <c r="Z2799" s="122"/>
    </row>
    <row r="2800" spans="1:26" ht="12.75" hidden="1">
      <c r="A2800" s="109"/>
      <c r="B2800" s="109"/>
      <c r="C2800" s="109"/>
      <c r="D2800" s="109"/>
      <c r="E2800" s="109"/>
      <c r="F2800" s="109"/>
      <c r="G2800" s="109"/>
      <c r="H2800" s="109"/>
      <c r="I2800" s="109"/>
      <c r="J2800" s="109"/>
      <c r="L2800" s="109"/>
      <c r="M2800" s="109"/>
      <c r="N2800" s="109"/>
      <c r="Q2800" s="121"/>
      <c r="W2800" s="109"/>
      <c r="Z2800" s="122"/>
    </row>
    <row r="2801" spans="1:26" ht="12.75" hidden="1">
      <c r="A2801" s="109"/>
      <c r="B2801" s="109"/>
      <c r="C2801" s="109"/>
      <c r="D2801" s="109"/>
      <c r="E2801" s="109"/>
      <c r="F2801" s="109"/>
      <c r="G2801" s="109"/>
      <c r="H2801" s="109"/>
      <c r="I2801" s="109"/>
      <c r="J2801" s="109"/>
      <c r="L2801" s="109"/>
      <c r="M2801" s="109"/>
      <c r="N2801" s="109"/>
      <c r="Q2801" s="121"/>
      <c r="W2801" s="109"/>
      <c r="Z2801" s="122"/>
    </row>
    <row r="2802" spans="1:26" ht="12.75" hidden="1">
      <c r="A2802" s="109"/>
      <c r="B2802" s="109"/>
      <c r="C2802" s="109"/>
      <c r="D2802" s="109"/>
      <c r="E2802" s="109"/>
      <c r="F2802" s="109"/>
      <c r="G2802" s="109"/>
      <c r="H2802" s="109"/>
      <c r="I2802" s="109"/>
      <c r="J2802" s="109"/>
      <c r="L2802" s="109"/>
      <c r="M2802" s="109"/>
      <c r="N2802" s="109"/>
      <c r="Q2802" s="121"/>
      <c r="W2802" s="109"/>
      <c r="Z2802" s="122"/>
    </row>
    <row r="2803" spans="1:26" ht="12.75" hidden="1">
      <c r="A2803" s="109"/>
      <c r="B2803" s="109"/>
      <c r="C2803" s="109"/>
      <c r="D2803" s="109"/>
      <c r="E2803" s="109"/>
      <c r="F2803" s="109"/>
      <c r="G2803" s="109"/>
      <c r="H2803" s="109"/>
      <c r="I2803" s="109"/>
      <c r="J2803" s="109"/>
      <c r="L2803" s="109"/>
      <c r="M2803" s="109"/>
      <c r="N2803" s="109"/>
      <c r="Q2803" s="121"/>
      <c r="W2803" s="109"/>
      <c r="Z2803" s="122"/>
    </row>
    <row r="2804" spans="1:26" ht="12.75" hidden="1">
      <c r="A2804" s="109"/>
      <c r="B2804" s="109"/>
      <c r="C2804" s="109"/>
      <c r="D2804" s="109"/>
      <c r="E2804" s="109"/>
      <c r="F2804" s="109"/>
      <c r="G2804" s="109"/>
      <c r="H2804" s="109"/>
      <c r="I2804" s="109"/>
      <c r="J2804" s="109"/>
      <c r="L2804" s="109"/>
      <c r="M2804" s="109"/>
      <c r="N2804" s="109"/>
      <c r="Q2804" s="121"/>
      <c r="W2804" s="109"/>
      <c r="Z2804" s="122"/>
    </row>
    <row r="2805" spans="1:26" ht="12.75" hidden="1">
      <c r="A2805" s="109"/>
      <c r="B2805" s="109"/>
      <c r="C2805" s="109"/>
      <c r="D2805" s="109"/>
      <c r="E2805" s="109"/>
      <c r="F2805" s="109"/>
      <c r="G2805" s="109"/>
      <c r="H2805" s="109"/>
      <c r="I2805" s="109"/>
      <c r="J2805" s="109"/>
      <c r="L2805" s="109"/>
      <c r="M2805" s="109"/>
      <c r="N2805" s="109"/>
      <c r="Q2805" s="121"/>
      <c r="W2805" s="109"/>
      <c r="Z2805" s="122"/>
    </row>
    <row r="2806" spans="1:26" ht="12.75" hidden="1">
      <c r="A2806" s="109"/>
      <c r="B2806" s="109"/>
      <c r="C2806" s="109"/>
      <c r="D2806" s="109"/>
      <c r="E2806" s="109"/>
      <c r="F2806" s="109"/>
      <c r="G2806" s="109"/>
      <c r="H2806" s="109"/>
      <c r="I2806" s="109"/>
      <c r="J2806" s="109"/>
      <c r="L2806" s="109"/>
      <c r="M2806" s="109"/>
      <c r="N2806" s="109"/>
      <c r="Q2806" s="121"/>
      <c r="W2806" s="109"/>
      <c r="Z2806" s="122"/>
    </row>
    <row r="2807" spans="1:26" ht="12.75" hidden="1">
      <c r="A2807" s="109"/>
      <c r="B2807" s="109"/>
      <c r="C2807" s="109"/>
      <c r="D2807" s="109"/>
      <c r="E2807" s="109"/>
      <c r="F2807" s="109"/>
      <c r="G2807" s="109"/>
      <c r="H2807" s="109"/>
      <c r="I2807" s="109"/>
      <c r="J2807" s="109"/>
      <c r="L2807" s="109"/>
      <c r="M2807" s="109"/>
      <c r="N2807" s="109"/>
      <c r="Q2807" s="121"/>
      <c r="W2807" s="109"/>
      <c r="Z2807" s="122"/>
    </row>
    <row r="2808" spans="1:26" ht="12.75" hidden="1">
      <c r="A2808" s="109"/>
      <c r="B2808" s="109"/>
      <c r="C2808" s="109"/>
      <c r="D2808" s="109"/>
      <c r="E2808" s="109"/>
      <c r="F2808" s="109"/>
      <c r="G2808" s="109"/>
      <c r="H2808" s="109"/>
      <c r="I2808" s="109"/>
      <c r="J2808" s="109"/>
      <c r="L2808" s="109"/>
      <c r="M2808" s="109"/>
      <c r="N2808" s="109"/>
      <c r="Q2808" s="121"/>
      <c r="W2808" s="109"/>
      <c r="Z2808" s="122"/>
    </row>
    <row r="2809" spans="1:26" ht="12.75" hidden="1">
      <c r="A2809" s="109"/>
      <c r="B2809" s="109"/>
      <c r="C2809" s="109"/>
      <c r="D2809" s="109"/>
      <c r="E2809" s="109"/>
      <c r="F2809" s="109"/>
      <c r="G2809" s="109"/>
      <c r="H2809" s="109"/>
      <c r="I2809" s="109"/>
      <c r="J2809" s="109"/>
      <c r="L2809" s="109"/>
      <c r="M2809" s="109"/>
      <c r="N2809" s="109"/>
      <c r="Q2809" s="121"/>
      <c r="W2809" s="109"/>
      <c r="Z2809" s="122"/>
    </row>
    <row r="2810" spans="1:26" ht="12.75" hidden="1">
      <c r="A2810" s="109"/>
      <c r="B2810" s="109"/>
      <c r="C2810" s="109"/>
      <c r="D2810" s="109"/>
      <c r="E2810" s="109"/>
      <c r="F2810" s="109"/>
      <c r="G2810" s="109"/>
      <c r="H2810" s="109"/>
      <c r="I2810" s="109"/>
      <c r="J2810" s="109"/>
      <c r="L2810" s="109"/>
      <c r="M2810" s="109"/>
      <c r="N2810" s="109"/>
      <c r="Q2810" s="121"/>
      <c r="W2810" s="109"/>
      <c r="Z2810" s="122"/>
    </row>
    <row r="2811" spans="1:26" ht="12.75" hidden="1">
      <c r="A2811" s="109"/>
      <c r="B2811" s="109"/>
      <c r="C2811" s="109"/>
      <c r="D2811" s="109"/>
      <c r="E2811" s="109"/>
      <c r="F2811" s="109"/>
      <c r="G2811" s="109"/>
      <c r="H2811" s="109"/>
      <c r="I2811" s="109"/>
      <c r="J2811" s="109"/>
      <c r="L2811" s="109"/>
      <c r="M2811" s="109"/>
      <c r="N2811" s="109"/>
      <c r="Q2811" s="121"/>
      <c r="W2811" s="109"/>
      <c r="Z2811" s="122"/>
    </row>
    <row r="2812" spans="1:26" ht="12.75" hidden="1">
      <c r="A2812" s="109"/>
      <c r="B2812" s="109"/>
      <c r="C2812" s="109"/>
      <c r="D2812" s="109"/>
      <c r="E2812" s="109"/>
      <c r="F2812" s="109"/>
      <c r="G2812" s="109"/>
      <c r="H2812" s="109"/>
      <c r="I2812" s="109"/>
      <c r="J2812" s="109"/>
      <c r="L2812" s="109"/>
      <c r="M2812" s="109"/>
      <c r="N2812" s="109"/>
      <c r="Q2812" s="121"/>
      <c r="W2812" s="109"/>
      <c r="Z2812" s="122"/>
    </row>
    <row r="2813" spans="1:26" ht="12.75" hidden="1">
      <c r="A2813" s="109"/>
      <c r="B2813" s="109"/>
      <c r="C2813" s="109"/>
      <c r="D2813" s="109"/>
      <c r="E2813" s="109"/>
      <c r="F2813" s="109"/>
      <c r="G2813" s="109"/>
      <c r="H2813" s="109"/>
      <c r="I2813" s="109"/>
      <c r="J2813" s="109"/>
      <c r="L2813" s="109"/>
      <c r="M2813" s="109"/>
      <c r="N2813" s="109"/>
      <c r="Q2813" s="121"/>
      <c r="W2813" s="109"/>
      <c r="Z2813" s="122"/>
    </row>
    <row r="2814" spans="1:26" ht="12.75" hidden="1">
      <c r="A2814" s="109"/>
      <c r="B2814" s="109"/>
      <c r="C2814" s="109"/>
      <c r="D2814" s="109"/>
      <c r="E2814" s="109"/>
      <c r="F2814" s="109"/>
      <c r="G2814" s="109"/>
      <c r="H2814" s="109"/>
      <c r="I2814" s="109"/>
      <c r="J2814" s="109"/>
      <c r="L2814" s="109"/>
      <c r="M2814" s="109"/>
      <c r="N2814" s="109"/>
      <c r="Q2814" s="121"/>
      <c r="W2814" s="109"/>
      <c r="Z2814" s="122"/>
    </row>
    <row r="2815" spans="1:26" ht="12.75" hidden="1">
      <c r="A2815" s="109"/>
      <c r="B2815" s="109"/>
      <c r="C2815" s="109"/>
      <c r="D2815" s="109"/>
      <c r="E2815" s="109"/>
      <c r="F2815" s="109"/>
      <c r="G2815" s="109"/>
      <c r="H2815" s="109"/>
      <c r="I2815" s="109"/>
      <c r="J2815" s="109"/>
      <c r="L2815" s="109"/>
      <c r="M2815" s="109"/>
      <c r="N2815" s="109"/>
      <c r="Q2815" s="121"/>
      <c r="W2815" s="109"/>
      <c r="Z2815" s="122"/>
    </row>
    <row r="2816" spans="1:26" ht="12.75" hidden="1">
      <c r="A2816" s="109"/>
      <c r="B2816" s="109"/>
      <c r="C2816" s="109"/>
      <c r="D2816" s="109"/>
      <c r="E2816" s="109"/>
      <c r="F2816" s="109"/>
      <c r="G2816" s="109"/>
      <c r="H2816" s="109"/>
      <c r="I2816" s="109"/>
      <c r="J2816" s="109"/>
      <c r="L2816" s="109"/>
      <c r="M2816" s="109"/>
      <c r="N2816" s="109"/>
      <c r="Q2816" s="121"/>
      <c r="W2816" s="109"/>
      <c r="Z2816" s="122"/>
    </row>
    <row r="2817" spans="1:26" ht="12.75" hidden="1">
      <c r="A2817" s="109"/>
      <c r="B2817" s="109"/>
      <c r="C2817" s="109"/>
      <c r="D2817" s="109"/>
      <c r="E2817" s="109"/>
      <c r="F2817" s="109"/>
      <c r="G2817" s="109"/>
      <c r="H2817" s="109"/>
      <c r="I2817" s="109"/>
      <c r="J2817" s="109"/>
      <c r="L2817" s="109"/>
      <c r="M2817" s="109"/>
      <c r="N2817" s="109"/>
      <c r="Q2817" s="121"/>
      <c r="W2817" s="109"/>
      <c r="Z2817" s="122"/>
    </row>
    <row r="2818" spans="1:26" ht="12.75" hidden="1">
      <c r="A2818" s="109"/>
      <c r="B2818" s="109"/>
      <c r="C2818" s="109"/>
      <c r="D2818" s="109"/>
      <c r="E2818" s="109"/>
      <c r="F2818" s="109"/>
      <c r="G2818" s="109"/>
      <c r="H2818" s="109"/>
      <c r="I2818" s="109"/>
      <c r="J2818" s="109"/>
      <c r="L2818" s="109"/>
      <c r="M2818" s="109"/>
      <c r="N2818" s="109"/>
      <c r="Q2818" s="121"/>
      <c r="W2818" s="109"/>
      <c r="Z2818" s="122"/>
    </row>
    <row r="2819" spans="1:26" ht="12.75" hidden="1">
      <c r="A2819" s="109"/>
      <c r="B2819" s="109"/>
      <c r="C2819" s="109"/>
      <c r="D2819" s="109"/>
      <c r="E2819" s="109"/>
      <c r="F2819" s="109"/>
      <c r="G2819" s="109"/>
      <c r="H2819" s="109"/>
      <c r="I2819" s="109"/>
      <c r="J2819" s="109"/>
      <c r="L2819" s="109"/>
      <c r="M2819" s="109"/>
      <c r="N2819" s="109"/>
      <c r="Q2819" s="121"/>
      <c r="W2819" s="109"/>
      <c r="Z2819" s="122"/>
    </row>
    <row r="2820" spans="1:26" ht="12.75" hidden="1">
      <c r="A2820" s="109"/>
      <c r="B2820" s="109"/>
      <c r="C2820" s="109"/>
      <c r="D2820" s="109"/>
      <c r="E2820" s="109"/>
      <c r="F2820" s="109"/>
      <c r="G2820" s="109"/>
      <c r="H2820" s="109"/>
      <c r="I2820" s="109"/>
      <c r="J2820" s="109"/>
      <c r="L2820" s="109"/>
      <c r="M2820" s="109"/>
      <c r="N2820" s="109"/>
      <c r="Q2820" s="121"/>
      <c r="W2820" s="109"/>
      <c r="Z2820" s="122"/>
    </row>
    <row r="2821" spans="1:26" ht="12.75" hidden="1">
      <c r="A2821" s="109"/>
      <c r="B2821" s="109"/>
      <c r="C2821" s="109"/>
      <c r="D2821" s="109"/>
      <c r="E2821" s="109"/>
      <c r="F2821" s="109"/>
      <c r="G2821" s="109"/>
      <c r="H2821" s="109"/>
      <c r="I2821" s="109"/>
      <c r="J2821" s="109"/>
      <c r="L2821" s="109"/>
      <c r="M2821" s="109"/>
      <c r="N2821" s="109"/>
      <c r="Q2821" s="121"/>
      <c r="W2821" s="109"/>
      <c r="Z2821" s="122"/>
    </row>
    <row r="2822" spans="1:26" ht="12.75" hidden="1">
      <c r="A2822" s="109"/>
      <c r="B2822" s="109"/>
      <c r="C2822" s="109"/>
      <c r="D2822" s="109"/>
      <c r="E2822" s="109"/>
      <c r="F2822" s="109"/>
      <c r="G2822" s="109"/>
      <c r="H2822" s="109"/>
      <c r="I2822" s="109"/>
      <c r="J2822" s="109"/>
      <c r="L2822" s="109"/>
      <c r="M2822" s="109"/>
      <c r="N2822" s="109"/>
      <c r="Q2822" s="121"/>
      <c r="W2822" s="109"/>
      <c r="Z2822" s="122"/>
    </row>
    <row r="2823" spans="1:26" ht="12.75" hidden="1">
      <c r="A2823" s="109"/>
      <c r="B2823" s="109"/>
      <c r="C2823" s="109"/>
      <c r="D2823" s="109"/>
      <c r="E2823" s="109"/>
      <c r="F2823" s="109"/>
      <c r="G2823" s="109"/>
      <c r="H2823" s="109"/>
      <c r="I2823" s="109"/>
      <c r="J2823" s="109"/>
      <c r="L2823" s="109"/>
      <c r="M2823" s="109"/>
      <c r="N2823" s="109"/>
      <c r="Q2823" s="121"/>
      <c r="W2823" s="109"/>
      <c r="Z2823" s="122"/>
    </row>
    <row r="2824" spans="1:26" ht="12.75" hidden="1">
      <c r="A2824" s="109"/>
      <c r="B2824" s="109"/>
      <c r="C2824" s="109"/>
      <c r="D2824" s="109"/>
      <c r="E2824" s="109"/>
      <c r="F2824" s="109"/>
      <c r="G2824" s="109"/>
      <c r="H2824" s="109"/>
      <c r="I2824" s="109"/>
      <c r="J2824" s="109"/>
      <c r="L2824" s="109"/>
      <c r="M2824" s="109"/>
      <c r="N2824" s="109"/>
      <c r="Q2824" s="121"/>
      <c r="W2824" s="109"/>
      <c r="Z2824" s="122"/>
    </row>
    <row r="2825" spans="1:26" ht="12.75" hidden="1">
      <c r="A2825" s="109"/>
      <c r="B2825" s="109"/>
      <c r="C2825" s="109"/>
      <c r="D2825" s="109"/>
      <c r="E2825" s="109"/>
      <c r="F2825" s="109"/>
      <c r="G2825" s="109"/>
      <c r="H2825" s="109"/>
      <c r="I2825" s="109"/>
      <c r="J2825" s="109"/>
      <c r="L2825" s="109"/>
      <c r="M2825" s="109"/>
      <c r="N2825" s="109"/>
      <c r="Q2825" s="121"/>
      <c r="W2825" s="109"/>
      <c r="Z2825" s="122"/>
    </row>
    <row r="2826" spans="1:26" ht="12.75" hidden="1">
      <c r="A2826" s="109"/>
      <c r="B2826" s="109"/>
      <c r="C2826" s="109"/>
      <c r="D2826" s="109"/>
      <c r="E2826" s="109"/>
      <c r="F2826" s="109"/>
      <c r="G2826" s="109"/>
      <c r="H2826" s="109"/>
      <c r="I2826" s="109"/>
      <c r="J2826" s="109"/>
      <c r="L2826" s="109"/>
      <c r="M2826" s="109"/>
      <c r="N2826" s="109"/>
      <c r="Q2826" s="121"/>
      <c r="W2826" s="109"/>
      <c r="Z2826" s="122"/>
    </row>
    <row r="2827" spans="1:26" ht="12.75" hidden="1">
      <c r="A2827" s="109"/>
      <c r="B2827" s="109"/>
      <c r="C2827" s="109"/>
      <c r="D2827" s="109"/>
      <c r="E2827" s="109"/>
      <c r="F2827" s="109"/>
      <c r="G2827" s="109"/>
      <c r="H2827" s="109"/>
      <c r="I2827" s="109"/>
      <c r="J2827" s="109"/>
      <c r="L2827" s="109"/>
      <c r="M2827" s="109"/>
      <c r="N2827" s="109"/>
      <c r="Q2827" s="121"/>
      <c r="W2827" s="109"/>
      <c r="Z2827" s="122"/>
    </row>
    <row r="2828" spans="1:26" ht="12.75" hidden="1">
      <c r="A2828" s="109"/>
      <c r="B2828" s="109"/>
      <c r="C2828" s="109"/>
      <c r="D2828" s="109"/>
      <c r="E2828" s="109"/>
      <c r="F2828" s="109"/>
      <c r="G2828" s="109"/>
      <c r="H2828" s="109"/>
      <c r="I2828" s="109"/>
      <c r="J2828" s="109"/>
      <c r="L2828" s="109"/>
      <c r="M2828" s="109"/>
      <c r="N2828" s="109"/>
      <c r="Q2828" s="121"/>
      <c r="W2828" s="109"/>
      <c r="Z2828" s="122"/>
    </row>
    <row r="2829" spans="1:26" ht="12.75" hidden="1">
      <c r="A2829" s="109"/>
      <c r="B2829" s="109"/>
      <c r="C2829" s="109"/>
      <c r="D2829" s="109"/>
      <c r="E2829" s="109"/>
      <c r="F2829" s="109"/>
      <c r="G2829" s="109"/>
      <c r="H2829" s="109"/>
      <c r="I2829" s="109"/>
      <c r="J2829" s="109"/>
      <c r="L2829" s="109"/>
      <c r="M2829" s="109"/>
      <c r="N2829" s="109"/>
      <c r="Q2829" s="121"/>
      <c r="W2829" s="109"/>
      <c r="Z2829" s="122"/>
    </row>
    <row r="2830" spans="1:26" ht="12.75" hidden="1">
      <c r="A2830" s="109"/>
      <c r="B2830" s="109"/>
      <c r="C2830" s="109"/>
      <c r="D2830" s="109"/>
      <c r="E2830" s="109"/>
      <c r="F2830" s="109"/>
      <c r="G2830" s="109"/>
      <c r="H2830" s="109"/>
      <c r="I2830" s="109"/>
      <c r="J2830" s="109"/>
      <c r="L2830" s="109"/>
      <c r="M2830" s="109"/>
      <c r="N2830" s="109"/>
      <c r="Q2830" s="121"/>
      <c r="W2830" s="109"/>
      <c r="Z2830" s="122"/>
    </row>
    <row r="2831" spans="1:26" ht="12.75" hidden="1">
      <c r="A2831" s="109"/>
      <c r="B2831" s="109"/>
      <c r="C2831" s="109"/>
      <c r="D2831" s="109"/>
      <c r="E2831" s="109"/>
      <c r="F2831" s="109"/>
      <c r="G2831" s="109"/>
      <c r="H2831" s="109"/>
      <c r="I2831" s="109"/>
      <c r="J2831" s="109"/>
      <c r="L2831" s="109"/>
      <c r="M2831" s="109"/>
      <c r="N2831" s="109"/>
      <c r="Q2831" s="121"/>
      <c r="W2831" s="109"/>
      <c r="Z2831" s="122"/>
    </row>
    <row r="2832" spans="1:26" ht="12.75" hidden="1">
      <c r="A2832" s="109"/>
      <c r="B2832" s="109"/>
      <c r="C2832" s="109"/>
      <c r="D2832" s="109"/>
      <c r="E2832" s="109"/>
      <c r="F2832" s="109"/>
      <c r="G2832" s="109"/>
      <c r="H2832" s="109"/>
      <c r="I2832" s="109"/>
      <c r="J2832" s="109"/>
      <c r="L2832" s="109"/>
      <c r="M2832" s="109"/>
      <c r="N2832" s="109"/>
      <c r="Q2832" s="121"/>
      <c r="W2832" s="109"/>
      <c r="Z2832" s="122"/>
    </row>
    <row r="2833" spans="1:26" ht="12.75" hidden="1">
      <c r="A2833" s="109"/>
      <c r="B2833" s="109"/>
      <c r="C2833" s="109"/>
      <c r="D2833" s="109"/>
      <c r="E2833" s="109"/>
      <c r="F2833" s="109"/>
      <c r="G2833" s="109"/>
      <c r="H2833" s="109"/>
      <c r="I2833" s="109"/>
      <c r="J2833" s="109"/>
      <c r="L2833" s="109"/>
      <c r="M2833" s="109"/>
      <c r="N2833" s="109"/>
      <c r="Q2833" s="121"/>
      <c r="W2833" s="109"/>
      <c r="Z2833" s="122"/>
    </row>
    <row r="2834" spans="1:26" ht="12.75" hidden="1">
      <c r="A2834" s="109"/>
      <c r="B2834" s="109"/>
      <c r="C2834" s="109"/>
      <c r="D2834" s="109"/>
      <c r="E2834" s="109"/>
      <c r="F2834" s="109"/>
      <c r="G2834" s="109"/>
      <c r="H2834" s="109"/>
      <c r="I2834" s="109"/>
      <c r="J2834" s="109"/>
      <c r="L2834" s="109"/>
      <c r="M2834" s="109"/>
      <c r="N2834" s="109"/>
      <c r="Q2834" s="121"/>
      <c r="W2834" s="109"/>
      <c r="Z2834" s="122"/>
    </row>
    <row r="2835" spans="1:26" ht="12.75" hidden="1">
      <c r="A2835" s="109"/>
      <c r="B2835" s="109"/>
      <c r="C2835" s="109"/>
      <c r="D2835" s="109"/>
      <c r="E2835" s="109"/>
      <c r="F2835" s="109"/>
      <c r="G2835" s="109"/>
      <c r="H2835" s="109"/>
      <c r="I2835" s="109"/>
      <c r="J2835" s="109"/>
      <c r="L2835" s="109"/>
      <c r="M2835" s="109"/>
      <c r="N2835" s="109"/>
      <c r="Q2835" s="121"/>
      <c r="W2835" s="109"/>
      <c r="Z2835" s="122"/>
    </row>
    <row r="2836" spans="1:26" ht="12.75" hidden="1">
      <c r="A2836" s="109"/>
      <c r="B2836" s="109"/>
      <c r="C2836" s="109"/>
      <c r="D2836" s="109"/>
      <c r="E2836" s="109"/>
      <c r="F2836" s="109"/>
      <c r="G2836" s="109"/>
      <c r="H2836" s="109"/>
      <c r="I2836" s="109"/>
      <c r="J2836" s="109"/>
      <c r="L2836" s="109"/>
      <c r="M2836" s="109"/>
      <c r="N2836" s="109"/>
      <c r="Q2836" s="121"/>
      <c r="W2836" s="109"/>
      <c r="Z2836" s="122"/>
    </row>
    <row r="2837" spans="1:26" ht="12.75" hidden="1">
      <c r="A2837" s="109"/>
      <c r="B2837" s="109"/>
      <c r="C2837" s="109"/>
      <c r="D2837" s="109"/>
      <c r="E2837" s="109"/>
      <c r="F2837" s="109"/>
      <c r="G2837" s="109"/>
      <c r="H2837" s="109"/>
      <c r="I2837" s="109"/>
      <c r="J2837" s="109"/>
      <c r="L2837" s="109"/>
      <c r="M2837" s="109"/>
      <c r="N2837" s="109"/>
      <c r="Q2837" s="121"/>
      <c r="W2837" s="109"/>
      <c r="Z2837" s="122"/>
    </row>
    <row r="2838" spans="1:26" ht="12.75" hidden="1">
      <c r="A2838" s="109"/>
      <c r="B2838" s="109"/>
      <c r="C2838" s="109"/>
      <c r="D2838" s="109"/>
      <c r="E2838" s="109"/>
      <c r="F2838" s="109"/>
      <c r="G2838" s="109"/>
      <c r="H2838" s="109"/>
      <c r="I2838" s="109"/>
      <c r="J2838" s="109"/>
      <c r="L2838" s="109"/>
      <c r="M2838" s="109"/>
      <c r="N2838" s="109"/>
      <c r="Q2838" s="121"/>
      <c r="W2838" s="109"/>
      <c r="Z2838" s="122"/>
    </row>
    <row r="2839" spans="1:26" ht="12.75" hidden="1">
      <c r="A2839" s="109"/>
      <c r="B2839" s="109"/>
      <c r="C2839" s="109"/>
      <c r="D2839" s="109"/>
      <c r="E2839" s="109"/>
      <c r="F2839" s="109"/>
      <c r="G2839" s="109"/>
      <c r="H2839" s="109"/>
      <c r="I2839" s="109"/>
      <c r="J2839" s="109"/>
      <c r="L2839" s="109"/>
      <c r="M2839" s="109"/>
      <c r="N2839" s="109"/>
      <c r="Q2839" s="121"/>
      <c r="W2839" s="109"/>
      <c r="Z2839" s="122"/>
    </row>
    <row r="2840" spans="1:26" ht="12.75" hidden="1">
      <c r="A2840" s="109"/>
      <c r="B2840" s="109"/>
      <c r="C2840" s="109"/>
      <c r="D2840" s="109"/>
      <c r="E2840" s="109"/>
      <c r="F2840" s="109"/>
      <c r="G2840" s="109"/>
      <c r="H2840" s="109"/>
      <c r="I2840" s="109"/>
      <c r="J2840" s="109"/>
      <c r="L2840" s="109"/>
      <c r="M2840" s="109"/>
      <c r="N2840" s="109"/>
      <c r="Q2840" s="121"/>
      <c r="W2840" s="109"/>
      <c r="Z2840" s="122"/>
    </row>
    <row r="2841" spans="1:26" ht="12.75" hidden="1">
      <c r="A2841" s="109"/>
      <c r="B2841" s="109"/>
      <c r="C2841" s="109"/>
      <c r="D2841" s="109"/>
      <c r="E2841" s="109"/>
      <c r="F2841" s="109"/>
      <c r="G2841" s="109"/>
      <c r="H2841" s="109"/>
      <c r="I2841" s="109"/>
      <c r="J2841" s="109"/>
      <c r="L2841" s="109"/>
      <c r="M2841" s="109"/>
      <c r="N2841" s="109"/>
      <c r="Q2841" s="121"/>
      <c r="W2841" s="109"/>
      <c r="Z2841" s="122"/>
    </row>
    <row r="2842" spans="1:26" ht="12.75" hidden="1">
      <c r="A2842" s="109"/>
      <c r="B2842" s="109"/>
      <c r="C2842" s="109"/>
      <c r="D2842" s="109"/>
      <c r="E2842" s="109"/>
      <c r="F2842" s="109"/>
      <c r="G2842" s="109"/>
      <c r="H2842" s="109"/>
      <c r="I2842" s="109"/>
      <c r="J2842" s="109"/>
      <c r="L2842" s="109"/>
      <c r="M2842" s="109"/>
      <c r="N2842" s="109"/>
      <c r="Q2842" s="121"/>
      <c r="W2842" s="109"/>
      <c r="Z2842" s="122"/>
    </row>
    <row r="2843" spans="1:26" ht="12.75" hidden="1">
      <c r="A2843" s="109"/>
      <c r="B2843" s="109"/>
      <c r="C2843" s="109"/>
      <c r="D2843" s="109"/>
      <c r="E2843" s="109"/>
      <c r="F2843" s="109"/>
      <c r="G2843" s="109"/>
      <c r="H2843" s="109"/>
      <c r="I2843" s="109"/>
      <c r="J2843" s="109"/>
      <c r="L2843" s="109"/>
      <c r="M2843" s="109"/>
      <c r="N2843" s="109"/>
      <c r="Q2843" s="121"/>
      <c r="W2843" s="109"/>
      <c r="Z2843" s="122"/>
    </row>
    <row r="2844" spans="1:26" ht="12.75" hidden="1">
      <c r="A2844" s="109"/>
      <c r="B2844" s="109"/>
      <c r="C2844" s="109"/>
      <c r="D2844" s="109"/>
      <c r="E2844" s="109"/>
      <c r="F2844" s="109"/>
      <c r="G2844" s="109"/>
      <c r="H2844" s="109"/>
      <c r="I2844" s="109"/>
      <c r="J2844" s="109"/>
      <c r="L2844" s="109"/>
      <c r="M2844" s="109"/>
      <c r="N2844" s="109"/>
      <c r="Q2844" s="121"/>
      <c r="W2844" s="109"/>
      <c r="Z2844" s="122"/>
    </row>
    <row r="2845" spans="1:26" ht="12.75" hidden="1">
      <c r="A2845" s="109"/>
      <c r="B2845" s="109"/>
      <c r="C2845" s="109"/>
      <c r="D2845" s="109"/>
      <c r="E2845" s="109"/>
      <c r="F2845" s="109"/>
      <c r="G2845" s="109"/>
      <c r="H2845" s="109"/>
      <c r="I2845" s="109"/>
      <c r="J2845" s="109"/>
      <c r="L2845" s="109"/>
      <c r="M2845" s="109"/>
      <c r="N2845" s="109"/>
      <c r="Q2845" s="121"/>
      <c r="W2845" s="109"/>
      <c r="Z2845" s="122"/>
    </row>
    <row r="2846" spans="1:26" ht="12.75" hidden="1">
      <c r="A2846" s="109"/>
      <c r="B2846" s="109"/>
      <c r="C2846" s="109"/>
      <c r="D2846" s="109"/>
      <c r="E2846" s="109"/>
      <c r="F2846" s="109"/>
      <c r="G2846" s="109"/>
      <c r="H2846" s="109"/>
      <c r="I2846" s="109"/>
      <c r="J2846" s="109"/>
      <c r="L2846" s="109"/>
      <c r="M2846" s="109"/>
      <c r="N2846" s="109"/>
      <c r="Q2846" s="121"/>
      <c r="W2846" s="109"/>
      <c r="Z2846" s="122"/>
    </row>
    <row r="2847" spans="1:26" ht="12.75" hidden="1">
      <c r="A2847" s="109"/>
      <c r="B2847" s="109"/>
      <c r="C2847" s="109"/>
      <c r="D2847" s="109"/>
      <c r="E2847" s="109"/>
      <c r="F2847" s="109"/>
      <c r="G2847" s="109"/>
      <c r="H2847" s="109"/>
      <c r="I2847" s="109"/>
      <c r="J2847" s="109"/>
      <c r="L2847" s="109"/>
      <c r="M2847" s="109"/>
      <c r="N2847" s="109"/>
      <c r="Q2847" s="121"/>
      <c r="W2847" s="109"/>
      <c r="Z2847" s="122"/>
    </row>
    <row r="2848" spans="1:26" ht="12.75" hidden="1">
      <c r="A2848" s="109"/>
      <c r="B2848" s="109"/>
      <c r="C2848" s="109"/>
      <c r="D2848" s="109"/>
      <c r="E2848" s="109"/>
      <c r="F2848" s="109"/>
      <c r="G2848" s="109"/>
      <c r="H2848" s="109"/>
      <c r="I2848" s="109"/>
      <c r="J2848" s="109"/>
      <c r="L2848" s="109"/>
      <c r="M2848" s="109"/>
      <c r="N2848" s="109"/>
      <c r="Q2848" s="121"/>
      <c r="W2848" s="109"/>
      <c r="Z2848" s="122"/>
    </row>
    <row r="2849" spans="1:26" ht="12.75" hidden="1">
      <c r="A2849" s="109"/>
      <c r="B2849" s="109"/>
      <c r="C2849" s="109"/>
      <c r="D2849" s="109"/>
      <c r="E2849" s="109"/>
      <c r="F2849" s="109"/>
      <c r="G2849" s="109"/>
      <c r="H2849" s="109"/>
      <c r="I2849" s="109"/>
      <c r="J2849" s="109"/>
      <c r="L2849" s="109"/>
      <c r="M2849" s="109"/>
      <c r="N2849" s="109"/>
      <c r="Q2849" s="121"/>
      <c r="W2849" s="109"/>
      <c r="Z2849" s="122"/>
    </row>
    <row r="2850" spans="1:26" ht="12.75" hidden="1">
      <c r="A2850" s="109"/>
      <c r="B2850" s="109"/>
      <c r="C2850" s="109"/>
      <c r="D2850" s="109"/>
      <c r="E2850" s="109"/>
      <c r="F2850" s="109"/>
      <c r="G2850" s="109"/>
      <c r="H2850" s="109"/>
      <c r="I2850" s="109"/>
      <c r="J2850" s="109"/>
      <c r="L2850" s="109"/>
      <c r="M2850" s="109"/>
      <c r="N2850" s="109"/>
      <c r="Q2850" s="121"/>
      <c r="W2850" s="109"/>
      <c r="Z2850" s="122"/>
    </row>
    <row r="2851" spans="1:26" ht="12.75" hidden="1">
      <c r="A2851" s="109"/>
      <c r="B2851" s="109"/>
      <c r="C2851" s="109"/>
      <c r="D2851" s="109"/>
      <c r="E2851" s="109"/>
      <c r="F2851" s="109"/>
      <c r="G2851" s="109"/>
      <c r="H2851" s="109"/>
      <c r="I2851" s="109"/>
      <c r="J2851" s="109"/>
      <c r="L2851" s="109"/>
      <c r="M2851" s="109"/>
      <c r="N2851" s="109"/>
      <c r="Q2851" s="121"/>
      <c r="W2851" s="109"/>
      <c r="Z2851" s="122"/>
    </row>
    <row r="2852" spans="1:26" ht="12.75" hidden="1">
      <c r="A2852" s="109"/>
      <c r="B2852" s="109"/>
      <c r="C2852" s="109"/>
      <c r="D2852" s="109"/>
      <c r="E2852" s="109"/>
      <c r="F2852" s="109"/>
      <c r="G2852" s="109"/>
      <c r="H2852" s="109"/>
      <c r="I2852" s="109"/>
      <c r="J2852" s="109"/>
      <c r="L2852" s="109"/>
      <c r="M2852" s="109"/>
      <c r="N2852" s="109"/>
      <c r="Q2852" s="121"/>
      <c r="W2852" s="109"/>
      <c r="Z2852" s="122"/>
    </row>
    <row r="2853" spans="1:26" ht="12.75" hidden="1">
      <c r="A2853" s="109"/>
      <c r="B2853" s="109"/>
      <c r="C2853" s="109"/>
      <c r="D2853" s="109"/>
      <c r="E2853" s="109"/>
      <c r="F2853" s="109"/>
      <c r="G2853" s="109"/>
      <c r="H2853" s="109"/>
      <c r="I2853" s="109"/>
      <c r="J2853" s="109"/>
      <c r="L2853" s="109"/>
      <c r="M2853" s="109"/>
      <c r="N2853" s="109"/>
      <c r="Q2853" s="121"/>
      <c r="W2853" s="109"/>
      <c r="Z2853" s="122"/>
    </row>
    <row r="2854" spans="1:26" ht="12.75" hidden="1">
      <c r="A2854" s="109"/>
      <c r="B2854" s="109"/>
      <c r="C2854" s="109"/>
      <c r="D2854" s="109"/>
      <c r="E2854" s="109"/>
      <c r="F2854" s="109"/>
      <c r="G2854" s="109"/>
      <c r="H2854" s="109"/>
      <c r="I2854" s="109"/>
      <c r="J2854" s="109"/>
      <c r="L2854" s="109"/>
      <c r="M2854" s="109"/>
      <c r="N2854" s="109"/>
      <c r="Q2854" s="121"/>
      <c r="W2854" s="109"/>
      <c r="Z2854" s="122"/>
    </row>
    <row r="2855" spans="1:26" ht="12.75" hidden="1">
      <c r="A2855" s="109"/>
      <c r="B2855" s="109"/>
      <c r="C2855" s="109"/>
      <c r="D2855" s="109"/>
      <c r="E2855" s="109"/>
      <c r="F2855" s="109"/>
      <c r="G2855" s="109"/>
      <c r="H2855" s="109"/>
      <c r="I2855" s="109"/>
      <c r="J2855" s="109"/>
      <c r="L2855" s="109"/>
      <c r="M2855" s="109"/>
      <c r="N2855" s="109"/>
      <c r="Q2855" s="121"/>
      <c r="W2855" s="109"/>
      <c r="Z2855" s="122"/>
    </row>
    <row r="2856" spans="1:26" ht="12.75" hidden="1">
      <c r="A2856" s="109"/>
      <c r="B2856" s="109"/>
      <c r="C2856" s="109"/>
      <c r="D2856" s="109"/>
      <c r="E2856" s="109"/>
      <c r="F2856" s="109"/>
      <c r="G2856" s="109"/>
      <c r="H2856" s="109"/>
      <c r="I2856" s="109"/>
      <c r="J2856" s="109"/>
      <c r="L2856" s="109"/>
      <c r="M2856" s="109"/>
      <c r="N2856" s="109"/>
      <c r="Q2856" s="121"/>
      <c r="W2856" s="109"/>
      <c r="Z2856" s="122"/>
    </row>
    <row r="2857" spans="1:26" ht="12.75" hidden="1">
      <c r="A2857" s="109"/>
      <c r="B2857" s="109"/>
      <c r="C2857" s="109"/>
      <c r="D2857" s="109"/>
      <c r="E2857" s="109"/>
      <c r="F2857" s="109"/>
      <c r="G2857" s="109"/>
      <c r="H2857" s="109"/>
      <c r="I2857" s="109"/>
      <c r="J2857" s="109"/>
      <c r="L2857" s="109"/>
      <c r="M2857" s="109"/>
      <c r="N2857" s="109"/>
      <c r="Q2857" s="121"/>
      <c r="W2857" s="109"/>
      <c r="Z2857" s="122"/>
    </row>
    <row r="2858" spans="1:26" ht="12.75" hidden="1">
      <c r="A2858" s="109"/>
      <c r="B2858" s="109"/>
      <c r="C2858" s="109"/>
      <c r="D2858" s="109"/>
      <c r="E2858" s="109"/>
      <c r="F2858" s="109"/>
      <c r="G2858" s="109"/>
      <c r="H2858" s="109"/>
      <c r="I2858" s="109"/>
      <c r="J2858" s="109"/>
      <c r="L2858" s="109"/>
      <c r="M2858" s="109"/>
      <c r="N2858" s="109"/>
      <c r="Q2858" s="121"/>
      <c r="W2858" s="109"/>
      <c r="Z2858" s="122"/>
    </row>
    <row r="2859" spans="1:26" ht="12.75" hidden="1">
      <c r="A2859" s="109"/>
      <c r="B2859" s="109"/>
      <c r="C2859" s="109"/>
      <c r="D2859" s="109"/>
      <c r="E2859" s="109"/>
      <c r="F2859" s="109"/>
      <c r="G2859" s="109"/>
      <c r="H2859" s="109"/>
      <c r="I2859" s="109"/>
      <c r="J2859" s="109"/>
      <c r="L2859" s="109"/>
      <c r="M2859" s="109"/>
      <c r="N2859" s="109"/>
      <c r="Q2859" s="121"/>
      <c r="W2859" s="109"/>
      <c r="Z2859" s="122"/>
    </row>
    <row r="2860" spans="1:26" ht="12.75" hidden="1">
      <c r="A2860" s="109"/>
      <c r="B2860" s="109"/>
      <c r="C2860" s="109"/>
      <c r="D2860" s="109"/>
      <c r="E2860" s="109"/>
      <c r="F2860" s="109"/>
      <c r="G2860" s="109"/>
      <c r="H2860" s="109"/>
      <c r="I2860" s="109"/>
      <c r="J2860" s="109"/>
      <c r="L2860" s="109"/>
      <c r="M2860" s="109"/>
      <c r="N2860" s="109"/>
      <c r="Q2860" s="121"/>
      <c r="W2860" s="109"/>
      <c r="Z2860" s="122"/>
    </row>
    <row r="2861" spans="1:26" ht="12.75" hidden="1">
      <c r="A2861" s="109"/>
      <c r="B2861" s="109"/>
      <c r="C2861" s="109"/>
      <c r="D2861" s="109"/>
      <c r="E2861" s="109"/>
      <c r="F2861" s="109"/>
      <c r="G2861" s="109"/>
      <c r="H2861" s="109"/>
      <c r="I2861" s="109"/>
      <c r="J2861" s="109"/>
      <c r="L2861" s="109"/>
      <c r="M2861" s="109"/>
      <c r="N2861" s="109"/>
      <c r="Q2861" s="121"/>
      <c r="W2861" s="109"/>
      <c r="Z2861" s="122"/>
    </row>
    <row r="2862" spans="1:26" ht="12.75" hidden="1">
      <c r="A2862" s="109"/>
      <c r="B2862" s="109"/>
      <c r="C2862" s="109"/>
      <c r="D2862" s="109"/>
      <c r="E2862" s="109"/>
      <c r="F2862" s="109"/>
      <c r="G2862" s="109"/>
      <c r="H2862" s="109"/>
      <c r="I2862" s="109"/>
      <c r="J2862" s="109"/>
      <c r="L2862" s="109"/>
      <c r="M2862" s="109"/>
      <c r="N2862" s="109"/>
      <c r="Q2862" s="121"/>
      <c r="W2862" s="109"/>
      <c r="Z2862" s="122"/>
    </row>
    <row r="2863" spans="1:26" ht="12.75" hidden="1">
      <c r="A2863" s="109"/>
      <c r="B2863" s="109"/>
      <c r="C2863" s="109"/>
      <c r="D2863" s="109"/>
      <c r="E2863" s="109"/>
      <c r="F2863" s="109"/>
      <c r="G2863" s="109"/>
      <c r="H2863" s="109"/>
      <c r="I2863" s="109"/>
      <c r="J2863" s="109"/>
      <c r="L2863" s="109"/>
      <c r="M2863" s="109"/>
      <c r="N2863" s="109"/>
      <c r="Q2863" s="121"/>
      <c r="W2863" s="109"/>
      <c r="Z2863" s="122"/>
    </row>
    <row r="2864" spans="1:26" ht="12.75" hidden="1">
      <c r="A2864" s="109"/>
      <c r="B2864" s="109"/>
      <c r="C2864" s="109"/>
      <c r="D2864" s="109"/>
      <c r="E2864" s="109"/>
      <c r="F2864" s="109"/>
      <c r="G2864" s="109"/>
      <c r="H2864" s="109"/>
      <c r="I2864" s="109"/>
      <c r="J2864" s="109"/>
      <c r="L2864" s="109"/>
      <c r="M2864" s="109"/>
      <c r="N2864" s="109"/>
      <c r="Q2864" s="121"/>
      <c r="W2864" s="109"/>
      <c r="Z2864" s="122"/>
    </row>
    <row r="2865" spans="1:26" ht="12.75" hidden="1">
      <c r="A2865" s="109"/>
      <c r="B2865" s="109"/>
      <c r="C2865" s="109"/>
      <c r="D2865" s="109"/>
      <c r="E2865" s="109"/>
      <c r="F2865" s="109"/>
      <c r="G2865" s="109"/>
      <c r="H2865" s="109"/>
      <c r="I2865" s="109"/>
      <c r="J2865" s="109"/>
      <c r="L2865" s="109"/>
      <c r="M2865" s="109"/>
      <c r="N2865" s="109"/>
      <c r="Q2865" s="121"/>
      <c r="W2865" s="109"/>
      <c r="Z2865" s="122"/>
    </row>
    <row r="2866" spans="1:26" ht="12.75" hidden="1">
      <c r="A2866" s="109"/>
      <c r="B2866" s="109"/>
      <c r="C2866" s="109"/>
      <c r="D2866" s="109"/>
      <c r="E2866" s="109"/>
      <c r="F2866" s="109"/>
      <c r="G2866" s="109"/>
      <c r="H2866" s="109"/>
      <c r="I2866" s="109"/>
      <c r="J2866" s="109"/>
      <c r="L2866" s="109"/>
      <c r="M2866" s="109"/>
      <c r="N2866" s="109"/>
      <c r="Q2866" s="121"/>
      <c r="W2866" s="109"/>
      <c r="Z2866" s="122"/>
    </row>
    <row r="2867" spans="1:26" ht="12.75" hidden="1">
      <c r="A2867" s="109"/>
      <c r="B2867" s="109"/>
      <c r="C2867" s="109"/>
      <c r="D2867" s="109"/>
      <c r="E2867" s="109"/>
      <c r="F2867" s="109"/>
      <c r="G2867" s="109"/>
      <c r="H2867" s="109"/>
      <c r="I2867" s="109"/>
      <c r="J2867" s="109"/>
      <c r="L2867" s="109"/>
      <c r="M2867" s="109"/>
      <c r="N2867" s="109"/>
      <c r="Q2867" s="121"/>
      <c r="W2867" s="109"/>
      <c r="Z2867" s="122"/>
    </row>
    <row r="2868" spans="1:26" ht="12.75" hidden="1">
      <c r="A2868" s="109"/>
      <c r="B2868" s="109"/>
      <c r="C2868" s="109"/>
      <c r="D2868" s="109"/>
      <c r="E2868" s="109"/>
      <c r="F2868" s="109"/>
      <c r="G2868" s="109"/>
      <c r="H2868" s="109"/>
      <c r="I2868" s="109"/>
      <c r="J2868" s="109"/>
      <c r="L2868" s="109"/>
      <c r="M2868" s="109"/>
      <c r="N2868" s="109"/>
      <c r="Q2868" s="121"/>
      <c r="W2868" s="109"/>
      <c r="Z2868" s="122"/>
    </row>
    <row r="2869" spans="1:26" ht="12.75" hidden="1">
      <c r="A2869" s="109"/>
      <c r="B2869" s="109"/>
      <c r="C2869" s="109"/>
      <c r="D2869" s="109"/>
      <c r="E2869" s="109"/>
      <c r="F2869" s="109"/>
      <c r="G2869" s="109"/>
      <c r="H2869" s="109"/>
      <c r="I2869" s="109"/>
      <c r="J2869" s="109"/>
      <c r="L2869" s="109"/>
      <c r="M2869" s="109"/>
      <c r="N2869" s="109"/>
      <c r="Q2869" s="121"/>
      <c r="W2869" s="109"/>
      <c r="Z2869" s="122"/>
    </row>
    <row r="2870" spans="1:26" ht="12.75" hidden="1">
      <c r="A2870" s="109"/>
      <c r="B2870" s="109"/>
      <c r="C2870" s="109"/>
      <c r="D2870" s="109"/>
      <c r="E2870" s="109"/>
      <c r="F2870" s="109"/>
      <c r="G2870" s="109"/>
      <c r="H2870" s="109"/>
      <c r="I2870" s="109"/>
      <c r="J2870" s="109"/>
      <c r="L2870" s="109"/>
      <c r="M2870" s="109"/>
      <c r="N2870" s="109"/>
      <c r="Q2870" s="121"/>
      <c r="W2870" s="109"/>
      <c r="Z2870" s="122"/>
    </row>
    <row r="2871" spans="1:26" ht="12.75" hidden="1">
      <c r="A2871" s="109"/>
      <c r="B2871" s="109"/>
      <c r="C2871" s="109"/>
      <c r="D2871" s="109"/>
      <c r="E2871" s="109"/>
      <c r="F2871" s="109"/>
      <c r="G2871" s="109"/>
      <c r="H2871" s="109"/>
      <c r="I2871" s="109"/>
      <c r="J2871" s="109"/>
      <c r="L2871" s="109"/>
      <c r="M2871" s="109"/>
      <c r="N2871" s="109"/>
      <c r="Q2871" s="121"/>
      <c r="W2871" s="109"/>
      <c r="Z2871" s="122"/>
    </row>
    <row r="2872" spans="1:26" ht="12.75" hidden="1">
      <c r="A2872" s="109"/>
      <c r="B2872" s="109"/>
      <c r="C2872" s="109"/>
      <c r="D2872" s="109"/>
      <c r="E2872" s="109"/>
      <c r="F2872" s="109"/>
      <c r="G2872" s="109"/>
      <c r="H2872" s="109"/>
      <c r="I2872" s="109"/>
      <c r="J2872" s="109"/>
      <c r="L2872" s="109"/>
      <c r="M2872" s="109"/>
      <c r="N2872" s="109"/>
      <c r="Q2872" s="121"/>
      <c r="W2872" s="109"/>
      <c r="Z2872" s="122"/>
    </row>
    <row r="2873" spans="1:26" ht="12.75" hidden="1">
      <c r="A2873" s="109"/>
      <c r="B2873" s="109"/>
      <c r="C2873" s="109"/>
      <c r="D2873" s="109"/>
      <c r="E2873" s="109"/>
      <c r="F2873" s="109"/>
      <c r="G2873" s="109"/>
      <c r="H2873" s="109"/>
      <c r="I2873" s="109"/>
      <c r="J2873" s="109"/>
      <c r="L2873" s="109"/>
      <c r="M2873" s="109"/>
      <c r="N2873" s="109"/>
      <c r="Q2873" s="121"/>
      <c r="W2873" s="109"/>
      <c r="Z2873" s="122"/>
    </row>
    <row r="2874" spans="1:26" ht="12.75" hidden="1">
      <c r="A2874" s="109"/>
      <c r="B2874" s="109"/>
      <c r="C2874" s="109"/>
      <c r="D2874" s="109"/>
      <c r="E2874" s="109"/>
      <c r="F2874" s="109"/>
      <c r="G2874" s="109"/>
      <c r="H2874" s="109"/>
      <c r="I2874" s="109"/>
      <c r="J2874" s="109"/>
      <c r="L2874" s="109"/>
      <c r="M2874" s="109"/>
      <c r="N2874" s="109"/>
      <c r="Q2874" s="121"/>
      <c r="W2874" s="109"/>
      <c r="Z2874" s="122"/>
    </row>
    <row r="2875" spans="1:26" ht="12.75" hidden="1">
      <c r="A2875" s="109"/>
      <c r="B2875" s="109"/>
      <c r="C2875" s="109"/>
      <c r="D2875" s="109"/>
      <c r="E2875" s="109"/>
      <c r="F2875" s="109"/>
      <c r="G2875" s="109"/>
      <c r="H2875" s="109"/>
      <c r="I2875" s="109"/>
      <c r="J2875" s="109"/>
      <c r="L2875" s="109"/>
      <c r="M2875" s="109"/>
      <c r="N2875" s="109"/>
      <c r="Q2875" s="121"/>
      <c r="W2875" s="109"/>
      <c r="Z2875" s="122"/>
    </row>
    <row r="2876" spans="1:26" ht="12.75" hidden="1">
      <c r="A2876" s="109"/>
      <c r="B2876" s="109"/>
      <c r="C2876" s="109"/>
      <c r="D2876" s="109"/>
      <c r="E2876" s="109"/>
      <c r="F2876" s="109"/>
      <c r="G2876" s="109"/>
      <c r="H2876" s="109"/>
      <c r="I2876" s="109"/>
      <c r="J2876" s="109"/>
      <c r="L2876" s="109"/>
      <c r="M2876" s="109"/>
      <c r="N2876" s="109"/>
      <c r="Q2876" s="121"/>
      <c r="W2876" s="109"/>
      <c r="Z2876" s="122"/>
    </row>
    <row r="2877" spans="1:26" ht="12.75" hidden="1">
      <c r="A2877" s="109"/>
      <c r="B2877" s="109"/>
      <c r="C2877" s="109"/>
      <c r="D2877" s="109"/>
      <c r="E2877" s="109"/>
      <c r="F2877" s="109"/>
      <c r="G2877" s="109"/>
      <c r="H2877" s="109"/>
      <c r="I2877" s="109"/>
      <c r="J2877" s="109"/>
      <c r="L2877" s="109"/>
      <c r="M2877" s="109"/>
      <c r="N2877" s="109"/>
      <c r="Q2877" s="121"/>
      <c r="W2877" s="109"/>
      <c r="Z2877" s="122"/>
    </row>
    <row r="2878" spans="1:26" ht="12.75" hidden="1">
      <c r="A2878" s="109"/>
      <c r="B2878" s="109"/>
      <c r="C2878" s="109"/>
      <c r="D2878" s="109"/>
      <c r="E2878" s="109"/>
      <c r="F2878" s="109"/>
      <c r="G2878" s="109"/>
      <c r="H2878" s="109"/>
      <c r="I2878" s="109"/>
      <c r="J2878" s="109"/>
      <c r="L2878" s="109"/>
      <c r="M2878" s="109"/>
      <c r="N2878" s="109"/>
      <c r="Q2878" s="121"/>
      <c r="W2878" s="109"/>
      <c r="Z2878" s="122"/>
    </row>
    <row r="2879" spans="1:26" ht="12.75" hidden="1">
      <c r="A2879" s="109"/>
      <c r="B2879" s="109"/>
      <c r="C2879" s="109"/>
      <c r="D2879" s="109"/>
      <c r="E2879" s="109"/>
      <c r="F2879" s="109"/>
      <c r="G2879" s="109"/>
      <c r="H2879" s="109"/>
      <c r="I2879" s="109"/>
      <c r="J2879" s="109"/>
      <c r="L2879" s="109"/>
      <c r="M2879" s="109"/>
      <c r="N2879" s="109"/>
      <c r="Q2879" s="121"/>
      <c r="W2879" s="109"/>
      <c r="Z2879" s="122"/>
    </row>
    <row r="2880" spans="1:26" ht="12.75" hidden="1">
      <c r="A2880" s="109"/>
      <c r="B2880" s="109"/>
      <c r="C2880" s="109"/>
      <c r="D2880" s="109"/>
      <c r="E2880" s="109"/>
      <c r="F2880" s="109"/>
      <c r="G2880" s="109"/>
      <c r="H2880" s="109"/>
      <c r="I2880" s="109"/>
      <c r="J2880" s="109"/>
      <c r="L2880" s="109"/>
      <c r="M2880" s="109"/>
      <c r="N2880" s="109"/>
      <c r="Q2880" s="121"/>
      <c r="W2880" s="109"/>
      <c r="Z2880" s="122"/>
    </row>
    <row r="2881" spans="1:26" ht="12.75" hidden="1">
      <c r="A2881" s="109"/>
      <c r="B2881" s="109"/>
      <c r="C2881" s="109"/>
      <c r="D2881" s="109"/>
      <c r="E2881" s="109"/>
      <c r="F2881" s="109"/>
      <c r="G2881" s="109"/>
      <c r="H2881" s="109"/>
      <c r="I2881" s="109"/>
      <c r="J2881" s="109"/>
      <c r="L2881" s="109"/>
      <c r="M2881" s="109"/>
      <c r="N2881" s="109"/>
      <c r="Q2881" s="121"/>
      <c r="W2881" s="109"/>
      <c r="Z2881" s="122"/>
    </row>
    <row r="2882" spans="1:26" ht="12.75" hidden="1">
      <c r="A2882" s="109"/>
      <c r="B2882" s="109"/>
      <c r="C2882" s="109"/>
      <c r="D2882" s="109"/>
      <c r="E2882" s="109"/>
      <c r="F2882" s="109"/>
      <c r="G2882" s="109"/>
      <c r="H2882" s="109"/>
      <c r="I2882" s="109"/>
      <c r="J2882" s="109"/>
      <c r="L2882" s="109"/>
      <c r="M2882" s="109"/>
      <c r="N2882" s="109"/>
      <c r="Q2882" s="121"/>
      <c r="W2882" s="109"/>
      <c r="Z2882" s="122"/>
    </row>
    <row r="2883" spans="1:26" ht="12.75" hidden="1">
      <c r="A2883" s="109"/>
      <c r="B2883" s="109"/>
      <c r="C2883" s="109"/>
      <c r="D2883" s="109"/>
      <c r="E2883" s="109"/>
      <c r="F2883" s="109"/>
      <c r="G2883" s="109"/>
      <c r="H2883" s="109"/>
      <c r="I2883" s="109"/>
      <c r="J2883" s="109"/>
      <c r="L2883" s="109"/>
      <c r="M2883" s="109"/>
      <c r="N2883" s="109"/>
      <c r="Q2883" s="121"/>
      <c r="W2883" s="109"/>
      <c r="Z2883" s="122"/>
    </row>
    <row r="2884" spans="1:26" ht="12.75" hidden="1">
      <c r="A2884" s="109"/>
      <c r="B2884" s="109"/>
      <c r="C2884" s="109"/>
      <c r="D2884" s="109"/>
      <c r="E2884" s="109"/>
      <c r="F2884" s="109"/>
      <c r="G2884" s="109"/>
      <c r="H2884" s="109"/>
      <c r="I2884" s="109"/>
      <c r="J2884" s="109"/>
      <c r="L2884" s="109"/>
      <c r="M2884" s="109"/>
      <c r="N2884" s="109"/>
      <c r="Q2884" s="121"/>
      <c r="W2884" s="109"/>
      <c r="Z2884" s="122"/>
    </row>
    <row r="2885" spans="1:26" ht="12.75" hidden="1">
      <c r="A2885" s="109"/>
      <c r="B2885" s="109"/>
      <c r="C2885" s="109"/>
      <c r="D2885" s="109"/>
      <c r="E2885" s="109"/>
      <c r="F2885" s="109"/>
      <c r="G2885" s="109"/>
      <c r="H2885" s="109"/>
      <c r="I2885" s="109"/>
      <c r="J2885" s="109"/>
      <c r="L2885" s="109"/>
      <c r="M2885" s="109"/>
      <c r="N2885" s="109"/>
      <c r="Q2885" s="121"/>
      <c r="W2885" s="109"/>
      <c r="Z2885" s="122"/>
    </row>
    <row r="2886" spans="1:26" ht="12.75" hidden="1">
      <c r="A2886" s="109"/>
      <c r="B2886" s="109"/>
      <c r="C2886" s="109"/>
      <c r="D2886" s="109"/>
      <c r="E2886" s="109"/>
      <c r="F2886" s="109"/>
      <c r="G2886" s="109"/>
      <c r="H2886" s="109"/>
      <c r="I2886" s="109"/>
      <c r="J2886" s="109"/>
      <c r="L2886" s="109"/>
      <c r="M2886" s="109"/>
      <c r="N2886" s="109"/>
      <c r="Q2886" s="121"/>
      <c r="W2886" s="109"/>
      <c r="Z2886" s="122"/>
    </row>
    <row r="2887" spans="1:26" ht="12.75" hidden="1">
      <c r="A2887" s="109"/>
      <c r="B2887" s="109"/>
      <c r="C2887" s="109"/>
      <c r="D2887" s="109"/>
      <c r="E2887" s="109"/>
      <c r="F2887" s="109"/>
      <c r="G2887" s="109"/>
      <c r="H2887" s="109"/>
      <c r="I2887" s="109"/>
      <c r="J2887" s="109"/>
      <c r="L2887" s="109"/>
      <c r="M2887" s="109"/>
      <c r="N2887" s="109"/>
      <c r="Q2887" s="121"/>
      <c r="W2887" s="109"/>
      <c r="Z2887" s="122"/>
    </row>
    <row r="2888" spans="1:26" ht="12.75" hidden="1">
      <c r="A2888" s="109"/>
      <c r="B2888" s="109"/>
      <c r="C2888" s="109"/>
      <c r="D2888" s="109"/>
      <c r="E2888" s="109"/>
      <c r="F2888" s="109"/>
      <c r="G2888" s="109"/>
      <c r="H2888" s="109"/>
      <c r="I2888" s="109"/>
      <c r="J2888" s="109"/>
      <c r="L2888" s="109"/>
      <c r="M2888" s="109"/>
      <c r="N2888" s="109"/>
      <c r="Q2888" s="121"/>
      <c r="W2888" s="109"/>
      <c r="Z2888" s="122"/>
    </row>
    <row r="2889" spans="1:26" ht="12.75" hidden="1">
      <c r="A2889" s="109"/>
      <c r="B2889" s="109"/>
      <c r="C2889" s="109"/>
      <c r="D2889" s="109"/>
      <c r="E2889" s="109"/>
      <c r="F2889" s="109"/>
      <c r="G2889" s="109"/>
      <c r="H2889" s="109"/>
      <c r="I2889" s="109"/>
      <c r="J2889" s="109"/>
      <c r="L2889" s="109"/>
      <c r="M2889" s="109"/>
      <c r="N2889" s="109"/>
      <c r="Q2889" s="121"/>
      <c r="W2889" s="109"/>
      <c r="Z2889" s="122"/>
    </row>
    <row r="2890" spans="1:26" ht="12.75" hidden="1">
      <c r="A2890" s="109"/>
      <c r="B2890" s="109"/>
      <c r="C2890" s="109"/>
      <c r="D2890" s="109"/>
      <c r="E2890" s="109"/>
      <c r="F2890" s="109"/>
      <c r="G2890" s="109"/>
      <c r="H2890" s="109"/>
      <c r="I2890" s="109"/>
      <c r="J2890" s="109"/>
      <c r="L2890" s="109"/>
      <c r="M2890" s="109"/>
      <c r="N2890" s="109"/>
      <c r="Q2890" s="121"/>
      <c r="W2890" s="109"/>
      <c r="Z2890" s="122"/>
    </row>
    <row r="2891" spans="1:26" ht="12.75" hidden="1">
      <c r="A2891" s="109"/>
      <c r="B2891" s="109"/>
      <c r="C2891" s="109"/>
      <c r="D2891" s="109"/>
      <c r="E2891" s="109"/>
      <c r="F2891" s="109"/>
      <c r="G2891" s="109"/>
      <c r="H2891" s="109"/>
      <c r="I2891" s="109"/>
      <c r="J2891" s="109"/>
      <c r="L2891" s="109"/>
      <c r="M2891" s="109"/>
      <c r="N2891" s="109"/>
      <c r="Q2891" s="121"/>
      <c r="W2891" s="109"/>
      <c r="Z2891" s="122"/>
    </row>
    <row r="2892" spans="1:26" ht="12.75" hidden="1">
      <c r="A2892" s="109"/>
      <c r="B2892" s="109"/>
      <c r="C2892" s="109"/>
      <c r="D2892" s="109"/>
      <c r="E2892" s="109"/>
      <c r="F2892" s="109"/>
      <c r="G2892" s="109"/>
      <c r="H2892" s="109"/>
      <c r="I2892" s="109"/>
      <c r="J2892" s="109"/>
      <c r="L2892" s="109"/>
      <c r="M2892" s="109"/>
      <c r="N2892" s="109"/>
      <c r="Q2892" s="121"/>
      <c r="W2892" s="109"/>
      <c r="Z2892" s="122"/>
    </row>
    <row r="2893" spans="1:26" ht="12.75" hidden="1">
      <c r="A2893" s="109"/>
      <c r="B2893" s="109"/>
      <c r="C2893" s="109"/>
      <c r="D2893" s="109"/>
      <c r="E2893" s="109"/>
      <c r="F2893" s="109"/>
      <c r="G2893" s="109"/>
      <c r="H2893" s="109"/>
      <c r="I2893" s="109"/>
      <c r="J2893" s="109"/>
      <c r="L2893" s="109"/>
      <c r="M2893" s="109"/>
      <c r="N2893" s="109"/>
      <c r="Q2893" s="121"/>
      <c r="W2893" s="109"/>
      <c r="Z2893" s="122"/>
    </row>
    <row r="2894" spans="1:26" ht="12.75" hidden="1">
      <c r="A2894" s="109"/>
      <c r="B2894" s="109"/>
      <c r="C2894" s="109"/>
      <c r="D2894" s="109"/>
      <c r="E2894" s="109"/>
      <c r="F2894" s="109"/>
      <c r="G2894" s="109"/>
      <c r="H2894" s="109"/>
      <c r="I2894" s="109"/>
      <c r="J2894" s="109"/>
      <c r="L2894" s="109"/>
      <c r="M2894" s="109"/>
      <c r="N2894" s="109"/>
      <c r="Q2894" s="121"/>
      <c r="W2894" s="109"/>
      <c r="Z2894" s="122"/>
    </row>
    <row r="2895" spans="1:26" ht="12.75" hidden="1">
      <c r="A2895" s="109"/>
      <c r="B2895" s="109"/>
      <c r="C2895" s="109"/>
      <c r="D2895" s="109"/>
      <c r="E2895" s="109"/>
      <c r="F2895" s="109"/>
      <c r="G2895" s="109"/>
      <c r="H2895" s="109"/>
      <c r="I2895" s="109"/>
      <c r="J2895" s="109"/>
      <c r="L2895" s="109"/>
      <c r="M2895" s="109"/>
      <c r="N2895" s="109"/>
      <c r="Q2895" s="121"/>
      <c r="W2895" s="109"/>
      <c r="Z2895" s="122"/>
    </row>
    <row r="2896" spans="1:26" ht="12.75" hidden="1">
      <c r="A2896" s="109"/>
      <c r="B2896" s="109"/>
      <c r="C2896" s="109"/>
      <c r="D2896" s="109"/>
      <c r="E2896" s="109"/>
      <c r="F2896" s="109"/>
      <c r="G2896" s="109"/>
      <c r="H2896" s="109"/>
      <c r="I2896" s="109"/>
      <c r="J2896" s="109"/>
      <c r="L2896" s="109"/>
      <c r="M2896" s="109"/>
      <c r="N2896" s="109"/>
      <c r="Q2896" s="121"/>
      <c r="W2896" s="109"/>
      <c r="Z2896" s="122"/>
    </row>
    <row r="2897" spans="1:26" ht="12.75" hidden="1">
      <c r="A2897" s="109"/>
      <c r="B2897" s="109"/>
      <c r="C2897" s="109"/>
      <c r="D2897" s="109"/>
      <c r="E2897" s="109"/>
      <c r="F2897" s="109"/>
      <c r="G2897" s="109"/>
      <c r="H2897" s="109"/>
      <c r="I2897" s="109"/>
      <c r="J2897" s="109"/>
      <c r="L2897" s="109"/>
      <c r="M2897" s="109"/>
      <c r="N2897" s="109"/>
      <c r="Q2897" s="121"/>
      <c r="W2897" s="109"/>
      <c r="Z2897" s="122"/>
    </row>
    <row r="2898" spans="1:26" ht="12.75" hidden="1">
      <c r="A2898" s="109"/>
      <c r="B2898" s="109"/>
      <c r="C2898" s="109"/>
      <c r="D2898" s="109"/>
      <c r="E2898" s="109"/>
      <c r="F2898" s="109"/>
      <c r="G2898" s="109"/>
      <c r="H2898" s="109"/>
      <c r="I2898" s="109"/>
      <c r="J2898" s="109"/>
      <c r="L2898" s="109"/>
      <c r="M2898" s="109"/>
      <c r="N2898" s="109"/>
      <c r="Q2898" s="121"/>
      <c r="W2898" s="109"/>
      <c r="Z2898" s="122"/>
    </row>
    <row r="2899" spans="1:26" ht="12.75" hidden="1">
      <c r="A2899" s="109"/>
      <c r="B2899" s="109"/>
      <c r="C2899" s="109"/>
      <c r="D2899" s="109"/>
      <c r="E2899" s="109"/>
      <c r="F2899" s="109"/>
      <c r="G2899" s="109"/>
      <c r="H2899" s="109"/>
      <c r="I2899" s="109"/>
      <c r="J2899" s="109"/>
      <c r="L2899" s="109"/>
      <c r="M2899" s="109"/>
      <c r="N2899" s="109"/>
      <c r="Q2899" s="121"/>
      <c r="W2899" s="109"/>
      <c r="Z2899" s="122"/>
    </row>
    <row r="2900" spans="1:26" ht="12.75" hidden="1">
      <c r="A2900" s="109"/>
      <c r="B2900" s="109"/>
      <c r="C2900" s="109"/>
      <c r="D2900" s="109"/>
      <c r="E2900" s="109"/>
      <c r="F2900" s="109"/>
      <c r="G2900" s="109"/>
      <c r="H2900" s="109"/>
      <c r="I2900" s="109"/>
      <c r="J2900" s="109"/>
      <c r="L2900" s="109"/>
      <c r="M2900" s="109"/>
      <c r="N2900" s="109"/>
      <c r="Q2900" s="121"/>
      <c r="W2900" s="109"/>
      <c r="Z2900" s="122"/>
    </row>
    <row r="2901" spans="1:26" ht="12.75" hidden="1">
      <c r="A2901" s="109"/>
      <c r="B2901" s="109"/>
      <c r="C2901" s="109"/>
      <c r="D2901" s="109"/>
      <c r="E2901" s="109"/>
      <c r="F2901" s="109"/>
      <c r="G2901" s="109"/>
      <c r="H2901" s="109"/>
      <c r="I2901" s="109"/>
      <c r="J2901" s="109"/>
      <c r="L2901" s="109"/>
      <c r="M2901" s="109"/>
      <c r="N2901" s="109"/>
      <c r="Q2901" s="121"/>
      <c r="W2901" s="109"/>
      <c r="Z2901" s="122"/>
    </row>
    <row r="2902" spans="1:26" ht="12.75" hidden="1">
      <c r="A2902" s="109"/>
      <c r="B2902" s="109"/>
      <c r="C2902" s="109"/>
      <c r="D2902" s="109"/>
      <c r="E2902" s="109"/>
      <c r="F2902" s="109"/>
      <c r="G2902" s="109"/>
      <c r="H2902" s="109"/>
      <c r="I2902" s="109"/>
      <c r="J2902" s="109"/>
      <c r="L2902" s="109"/>
      <c r="M2902" s="109"/>
      <c r="N2902" s="109"/>
      <c r="Q2902" s="121"/>
      <c r="W2902" s="109"/>
      <c r="Z2902" s="122"/>
    </row>
    <row r="2903" spans="1:26" ht="12.75" hidden="1">
      <c r="A2903" s="109"/>
      <c r="B2903" s="109"/>
      <c r="C2903" s="109"/>
      <c r="D2903" s="109"/>
      <c r="E2903" s="109"/>
      <c r="F2903" s="109"/>
      <c r="G2903" s="109"/>
      <c r="H2903" s="109"/>
      <c r="I2903" s="109"/>
      <c r="J2903" s="109"/>
      <c r="L2903" s="109"/>
      <c r="M2903" s="109"/>
      <c r="N2903" s="109"/>
      <c r="Q2903" s="121"/>
      <c r="W2903" s="109"/>
      <c r="Z2903" s="122"/>
    </row>
    <row r="2904" spans="1:26" ht="12.75" hidden="1">
      <c r="A2904" s="109"/>
      <c r="B2904" s="109"/>
      <c r="C2904" s="109"/>
      <c r="D2904" s="109"/>
      <c r="E2904" s="109"/>
      <c r="F2904" s="109"/>
      <c r="G2904" s="109"/>
      <c r="H2904" s="109"/>
      <c r="I2904" s="109"/>
      <c r="J2904" s="109"/>
      <c r="L2904" s="109"/>
      <c r="M2904" s="109"/>
      <c r="N2904" s="109"/>
      <c r="Q2904" s="121"/>
      <c r="W2904" s="109"/>
      <c r="Z2904" s="122"/>
    </row>
    <row r="2905" spans="1:26" ht="12.75" hidden="1">
      <c r="A2905" s="109"/>
      <c r="B2905" s="109"/>
      <c r="C2905" s="109"/>
      <c r="D2905" s="109"/>
      <c r="E2905" s="109"/>
      <c r="F2905" s="109"/>
      <c r="G2905" s="109"/>
      <c r="H2905" s="109"/>
      <c r="I2905" s="109"/>
      <c r="J2905" s="109"/>
      <c r="L2905" s="109"/>
      <c r="M2905" s="109"/>
      <c r="N2905" s="109"/>
      <c r="Q2905" s="121"/>
      <c r="W2905" s="109"/>
      <c r="Z2905" s="122"/>
    </row>
    <row r="2906" spans="1:26" ht="12.75" hidden="1">
      <c r="A2906" s="109"/>
      <c r="B2906" s="109"/>
      <c r="C2906" s="109"/>
      <c r="D2906" s="109"/>
      <c r="E2906" s="109"/>
      <c r="F2906" s="109"/>
      <c r="G2906" s="109"/>
      <c r="H2906" s="109"/>
      <c r="I2906" s="109"/>
      <c r="J2906" s="109"/>
      <c r="L2906" s="109"/>
      <c r="M2906" s="109"/>
      <c r="N2906" s="109"/>
      <c r="Q2906" s="121"/>
      <c r="W2906" s="109"/>
      <c r="Z2906" s="122"/>
    </row>
    <row r="2907" spans="1:26" ht="12.75" hidden="1">
      <c r="A2907" s="109"/>
      <c r="B2907" s="109"/>
      <c r="C2907" s="109"/>
      <c r="D2907" s="109"/>
      <c r="E2907" s="109"/>
      <c r="F2907" s="109"/>
      <c r="G2907" s="109"/>
      <c r="H2907" s="109"/>
      <c r="I2907" s="109"/>
      <c r="J2907" s="109"/>
      <c r="L2907" s="109"/>
      <c r="M2907" s="109"/>
      <c r="N2907" s="109"/>
      <c r="Q2907" s="121"/>
      <c r="W2907" s="109"/>
      <c r="Z2907" s="122"/>
    </row>
    <row r="2908" spans="1:26" ht="12.75" hidden="1">
      <c r="A2908" s="109"/>
      <c r="B2908" s="109"/>
      <c r="C2908" s="109"/>
      <c r="D2908" s="109"/>
      <c r="E2908" s="109"/>
      <c r="F2908" s="109"/>
      <c r="G2908" s="109"/>
      <c r="H2908" s="109"/>
      <c r="I2908" s="109"/>
      <c r="J2908" s="109"/>
      <c r="L2908" s="109"/>
      <c r="M2908" s="109"/>
      <c r="N2908" s="109"/>
      <c r="Q2908" s="121"/>
      <c r="W2908" s="109"/>
      <c r="Z2908" s="122"/>
    </row>
    <row r="2909" spans="1:26" ht="12.75" hidden="1">
      <c r="A2909" s="109"/>
      <c r="B2909" s="109"/>
      <c r="C2909" s="109"/>
      <c r="D2909" s="109"/>
      <c r="E2909" s="109"/>
      <c r="F2909" s="109"/>
      <c r="G2909" s="109"/>
      <c r="H2909" s="109"/>
      <c r="I2909" s="109"/>
      <c r="J2909" s="109"/>
      <c r="L2909" s="109"/>
      <c r="M2909" s="109"/>
      <c r="N2909" s="109"/>
      <c r="Q2909" s="121"/>
      <c r="W2909" s="109"/>
      <c r="Z2909" s="122"/>
    </row>
    <row r="2910" spans="1:26" ht="12.75" hidden="1">
      <c r="A2910" s="109"/>
      <c r="B2910" s="109"/>
      <c r="C2910" s="109"/>
      <c r="D2910" s="109"/>
      <c r="E2910" s="109"/>
      <c r="F2910" s="109"/>
      <c r="G2910" s="109"/>
      <c r="H2910" s="109"/>
      <c r="I2910" s="109"/>
      <c r="J2910" s="109"/>
      <c r="L2910" s="109"/>
      <c r="M2910" s="109"/>
      <c r="N2910" s="109"/>
      <c r="Q2910" s="121"/>
      <c r="W2910" s="109"/>
      <c r="Z2910" s="122"/>
    </row>
    <row r="2911" spans="1:26" ht="12.75" hidden="1">
      <c r="A2911" s="109"/>
      <c r="B2911" s="109"/>
      <c r="C2911" s="109"/>
      <c r="D2911" s="109"/>
      <c r="E2911" s="109"/>
      <c r="F2911" s="109"/>
      <c r="G2911" s="109"/>
      <c r="H2911" s="109"/>
      <c r="I2911" s="109"/>
      <c r="J2911" s="109"/>
      <c r="L2911" s="109"/>
      <c r="M2911" s="109"/>
      <c r="N2911" s="109"/>
      <c r="Q2911" s="121"/>
      <c r="W2911" s="109"/>
      <c r="Z2911" s="122"/>
    </row>
    <row r="2912" spans="1:26" ht="12.75" hidden="1">
      <c r="A2912" s="109"/>
      <c r="B2912" s="109"/>
      <c r="C2912" s="109"/>
      <c r="D2912" s="109"/>
      <c r="E2912" s="109"/>
      <c r="F2912" s="109"/>
      <c r="G2912" s="109"/>
      <c r="H2912" s="109"/>
      <c r="I2912" s="109"/>
      <c r="J2912" s="109"/>
      <c r="L2912" s="109"/>
      <c r="M2912" s="109"/>
      <c r="N2912" s="109"/>
      <c r="Q2912" s="121"/>
      <c r="W2912" s="109"/>
      <c r="Z2912" s="122"/>
    </row>
    <row r="2913" spans="1:26" ht="12.75" hidden="1">
      <c r="A2913" s="109"/>
      <c r="B2913" s="109"/>
      <c r="C2913" s="109"/>
      <c r="D2913" s="109"/>
      <c r="E2913" s="109"/>
      <c r="F2913" s="109"/>
      <c r="G2913" s="109"/>
      <c r="H2913" s="109"/>
      <c r="I2913" s="109"/>
      <c r="J2913" s="109"/>
      <c r="L2913" s="109"/>
      <c r="M2913" s="109"/>
      <c r="N2913" s="109"/>
      <c r="Q2913" s="121"/>
      <c r="W2913" s="109"/>
      <c r="Z2913" s="122"/>
    </row>
    <row r="2914" spans="1:26" ht="12.75" hidden="1">
      <c r="A2914" s="109"/>
      <c r="B2914" s="109"/>
      <c r="C2914" s="109"/>
      <c r="D2914" s="109"/>
      <c r="E2914" s="109"/>
      <c r="F2914" s="109"/>
      <c r="G2914" s="109"/>
      <c r="H2914" s="109"/>
      <c r="I2914" s="109"/>
      <c r="J2914" s="109"/>
      <c r="L2914" s="109"/>
      <c r="M2914" s="109"/>
      <c r="N2914" s="109"/>
      <c r="Q2914" s="121"/>
      <c r="W2914" s="109"/>
      <c r="Z2914" s="122"/>
    </row>
    <row r="2915" spans="1:26" ht="12.75" hidden="1">
      <c r="A2915" s="109"/>
      <c r="B2915" s="109"/>
      <c r="C2915" s="109"/>
      <c r="D2915" s="109"/>
      <c r="E2915" s="109"/>
      <c r="F2915" s="109"/>
      <c r="G2915" s="109"/>
      <c r="H2915" s="109"/>
      <c r="I2915" s="109"/>
      <c r="J2915" s="109"/>
      <c r="L2915" s="109"/>
      <c r="M2915" s="109"/>
      <c r="N2915" s="109"/>
      <c r="Q2915" s="121"/>
      <c r="W2915" s="109"/>
      <c r="Z2915" s="122"/>
    </row>
    <row r="2916" spans="1:26" ht="12.75" hidden="1">
      <c r="A2916" s="109"/>
      <c r="B2916" s="109"/>
      <c r="C2916" s="109"/>
      <c r="D2916" s="109"/>
      <c r="E2916" s="109"/>
      <c r="F2916" s="109"/>
      <c r="G2916" s="109"/>
      <c r="H2916" s="109"/>
      <c r="I2916" s="109"/>
      <c r="J2916" s="109"/>
      <c r="L2916" s="109"/>
      <c r="M2916" s="109"/>
      <c r="N2916" s="109"/>
      <c r="Q2916" s="121"/>
      <c r="W2916" s="109"/>
      <c r="Z2916" s="122"/>
    </row>
    <row r="2917" spans="1:26" ht="12.75" hidden="1">
      <c r="A2917" s="109"/>
      <c r="B2917" s="109"/>
      <c r="C2917" s="109"/>
      <c r="D2917" s="109"/>
      <c r="E2917" s="109"/>
      <c r="F2917" s="109"/>
      <c r="G2917" s="109"/>
      <c r="H2917" s="109"/>
      <c r="I2917" s="109"/>
      <c r="J2917" s="109"/>
      <c r="L2917" s="109"/>
      <c r="M2917" s="109"/>
      <c r="N2917" s="109"/>
      <c r="Q2917" s="121"/>
      <c r="W2917" s="109"/>
      <c r="Z2917" s="122"/>
    </row>
    <row r="2918" spans="1:26" ht="12.75" hidden="1">
      <c r="A2918" s="109"/>
      <c r="B2918" s="109"/>
      <c r="C2918" s="109"/>
      <c r="D2918" s="109"/>
      <c r="E2918" s="109"/>
      <c r="F2918" s="109"/>
      <c r="G2918" s="109"/>
      <c r="H2918" s="109"/>
      <c r="I2918" s="109"/>
      <c r="J2918" s="109"/>
      <c r="L2918" s="109"/>
      <c r="M2918" s="109"/>
      <c r="N2918" s="109"/>
      <c r="Q2918" s="121"/>
      <c r="W2918" s="109"/>
      <c r="Z2918" s="122"/>
    </row>
    <row r="2919" spans="1:26" ht="12.75" hidden="1">
      <c r="A2919" s="109"/>
      <c r="B2919" s="109"/>
      <c r="C2919" s="109"/>
      <c r="D2919" s="109"/>
      <c r="E2919" s="109"/>
      <c r="F2919" s="109"/>
      <c r="G2919" s="109"/>
      <c r="H2919" s="109"/>
      <c r="I2919" s="109"/>
      <c r="J2919" s="109"/>
      <c r="L2919" s="109"/>
      <c r="M2919" s="109"/>
      <c r="N2919" s="109"/>
      <c r="Q2919" s="121"/>
      <c r="W2919" s="109"/>
      <c r="Z2919" s="122"/>
    </row>
    <row r="2920" spans="1:26" ht="12.75" hidden="1">
      <c r="A2920" s="109"/>
      <c r="B2920" s="109"/>
      <c r="C2920" s="109"/>
      <c r="D2920" s="109"/>
      <c r="E2920" s="109"/>
      <c r="F2920" s="109"/>
      <c r="G2920" s="109"/>
      <c r="H2920" s="109"/>
      <c r="I2920" s="109"/>
      <c r="J2920" s="109"/>
      <c r="L2920" s="109"/>
      <c r="M2920" s="109"/>
      <c r="N2920" s="109"/>
      <c r="Q2920" s="121"/>
      <c r="W2920" s="109"/>
      <c r="Z2920" s="122"/>
    </row>
    <row r="2921" spans="1:26" ht="12.75" hidden="1">
      <c r="A2921" s="109"/>
      <c r="B2921" s="109"/>
      <c r="C2921" s="109"/>
      <c r="D2921" s="109"/>
      <c r="E2921" s="109"/>
      <c r="F2921" s="109"/>
      <c r="G2921" s="109"/>
      <c r="H2921" s="109"/>
      <c r="I2921" s="109"/>
      <c r="J2921" s="109"/>
      <c r="L2921" s="109"/>
      <c r="M2921" s="109"/>
      <c r="N2921" s="109"/>
      <c r="Q2921" s="121"/>
      <c r="W2921" s="109"/>
      <c r="Z2921" s="122"/>
    </row>
    <row r="2922" spans="1:26" ht="12.75" hidden="1">
      <c r="A2922" s="109"/>
      <c r="B2922" s="109"/>
      <c r="C2922" s="109"/>
      <c r="D2922" s="109"/>
      <c r="E2922" s="109"/>
      <c r="F2922" s="109"/>
      <c r="G2922" s="109"/>
      <c r="H2922" s="109"/>
      <c r="I2922" s="109"/>
      <c r="J2922" s="109"/>
      <c r="L2922" s="109"/>
      <c r="M2922" s="109"/>
      <c r="N2922" s="109"/>
      <c r="Q2922" s="121"/>
      <c r="W2922" s="109"/>
      <c r="Z2922" s="122"/>
    </row>
    <row r="2923" spans="1:26" ht="12.75" hidden="1">
      <c r="A2923" s="109"/>
      <c r="B2923" s="109"/>
      <c r="C2923" s="109"/>
      <c r="D2923" s="109"/>
      <c r="E2923" s="109"/>
      <c r="F2923" s="109"/>
      <c r="G2923" s="109"/>
      <c r="H2923" s="109"/>
      <c r="I2923" s="109"/>
      <c r="J2923" s="109"/>
      <c r="L2923" s="109"/>
      <c r="M2923" s="109"/>
      <c r="N2923" s="109"/>
      <c r="Q2923" s="121"/>
      <c r="W2923" s="109"/>
      <c r="Z2923" s="122"/>
    </row>
    <row r="2924" spans="1:26" ht="12.75" hidden="1">
      <c r="A2924" s="109"/>
      <c r="B2924" s="109"/>
      <c r="C2924" s="109"/>
      <c r="D2924" s="109"/>
      <c r="E2924" s="109"/>
      <c r="F2924" s="109"/>
      <c r="G2924" s="109"/>
      <c r="H2924" s="109"/>
      <c r="I2924" s="109"/>
      <c r="J2924" s="109"/>
      <c r="L2924" s="109"/>
      <c r="M2924" s="109"/>
      <c r="N2924" s="109"/>
      <c r="Q2924" s="121"/>
      <c r="W2924" s="109"/>
      <c r="Z2924" s="122"/>
    </row>
    <row r="2925" spans="1:26" ht="12.75" hidden="1">
      <c r="A2925" s="109"/>
      <c r="B2925" s="109"/>
      <c r="C2925" s="109"/>
      <c r="D2925" s="109"/>
      <c r="E2925" s="109"/>
      <c r="F2925" s="109"/>
      <c r="G2925" s="109"/>
      <c r="H2925" s="109"/>
      <c r="I2925" s="109"/>
      <c r="J2925" s="109"/>
      <c r="L2925" s="109"/>
      <c r="M2925" s="109"/>
      <c r="N2925" s="109"/>
      <c r="Q2925" s="121"/>
      <c r="W2925" s="109"/>
      <c r="Z2925" s="122"/>
    </row>
    <row r="2926" spans="1:26" ht="12.75" hidden="1">
      <c r="A2926" s="109"/>
      <c r="B2926" s="109"/>
      <c r="C2926" s="109"/>
      <c r="D2926" s="109"/>
      <c r="E2926" s="109"/>
      <c r="F2926" s="109"/>
      <c r="G2926" s="109"/>
      <c r="H2926" s="109"/>
      <c r="I2926" s="109"/>
      <c r="J2926" s="109"/>
      <c r="L2926" s="109"/>
      <c r="M2926" s="109"/>
      <c r="N2926" s="109"/>
      <c r="Q2926" s="121"/>
      <c r="W2926" s="109"/>
      <c r="Z2926" s="122"/>
    </row>
    <row r="2927" spans="1:26" ht="12.75" hidden="1">
      <c r="A2927" s="109"/>
      <c r="B2927" s="109"/>
      <c r="C2927" s="109"/>
      <c r="D2927" s="109"/>
      <c r="E2927" s="109"/>
      <c r="F2927" s="109"/>
      <c r="G2927" s="109"/>
      <c r="H2927" s="109"/>
      <c r="I2927" s="109"/>
      <c r="J2927" s="109"/>
      <c r="L2927" s="109"/>
      <c r="M2927" s="109"/>
      <c r="N2927" s="109"/>
      <c r="Q2927" s="121"/>
      <c r="W2927" s="109"/>
      <c r="Z2927" s="122"/>
    </row>
    <row r="2928" spans="1:26" ht="12.75" hidden="1">
      <c r="A2928" s="109"/>
      <c r="B2928" s="109"/>
      <c r="C2928" s="109"/>
      <c r="D2928" s="109"/>
      <c r="E2928" s="109"/>
      <c r="F2928" s="109"/>
      <c r="G2928" s="109"/>
      <c r="H2928" s="109"/>
      <c r="I2928" s="109"/>
      <c r="J2928" s="109"/>
      <c r="L2928" s="109"/>
      <c r="M2928" s="109"/>
      <c r="N2928" s="109"/>
      <c r="Q2928" s="121"/>
      <c r="W2928" s="109"/>
      <c r="Z2928" s="122"/>
    </row>
    <row r="2929" spans="1:26" ht="12.75" hidden="1">
      <c r="A2929" s="109"/>
      <c r="B2929" s="109"/>
      <c r="C2929" s="109"/>
      <c r="D2929" s="109"/>
      <c r="E2929" s="109"/>
      <c r="F2929" s="109"/>
      <c r="G2929" s="109"/>
      <c r="H2929" s="109"/>
      <c r="I2929" s="109"/>
      <c r="J2929" s="109"/>
      <c r="L2929" s="109"/>
      <c r="M2929" s="109"/>
      <c r="N2929" s="109"/>
      <c r="Q2929" s="121"/>
      <c r="W2929" s="109"/>
      <c r="Z2929" s="122"/>
    </row>
    <row r="2930" spans="1:26" ht="12.75" hidden="1">
      <c r="A2930" s="109"/>
      <c r="B2930" s="109"/>
      <c r="C2930" s="109"/>
      <c r="D2930" s="109"/>
      <c r="E2930" s="109"/>
      <c r="F2930" s="109"/>
      <c r="G2930" s="109"/>
      <c r="H2930" s="109"/>
      <c r="I2930" s="109"/>
      <c r="J2930" s="109"/>
      <c r="L2930" s="109"/>
      <c r="M2930" s="109"/>
      <c r="N2930" s="109"/>
      <c r="Q2930" s="121"/>
      <c r="W2930" s="109"/>
      <c r="Z2930" s="122"/>
    </row>
    <row r="2931" spans="1:26" ht="12.75" hidden="1">
      <c r="A2931" s="109"/>
      <c r="B2931" s="109"/>
      <c r="C2931" s="109"/>
      <c r="D2931" s="109"/>
      <c r="E2931" s="109"/>
      <c r="F2931" s="109"/>
      <c r="G2931" s="109"/>
      <c r="H2931" s="109"/>
      <c r="I2931" s="109"/>
      <c r="J2931" s="109"/>
      <c r="L2931" s="109"/>
      <c r="M2931" s="109"/>
      <c r="N2931" s="109"/>
      <c r="Q2931" s="121"/>
      <c r="W2931" s="109"/>
      <c r="Z2931" s="122"/>
    </row>
    <row r="2932" spans="1:26" ht="12.75" hidden="1">
      <c r="A2932" s="109"/>
      <c r="B2932" s="109"/>
      <c r="C2932" s="109"/>
      <c r="D2932" s="109"/>
      <c r="E2932" s="109"/>
      <c r="F2932" s="109"/>
      <c r="G2932" s="109"/>
      <c r="H2932" s="109"/>
      <c r="I2932" s="109"/>
      <c r="J2932" s="109"/>
      <c r="L2932" s="109"/>
      <c r="M2932" s="109"/>
      <c r="N2932" s="109"/>
      <c r="Q2932" s="121"/>
      <c r="W2932" s="109"/>
      <c r="Z2932" s="122"/>
    </row>
    <row r="2933" spans="1:26" ht="12.75" hidden="1">
      <c r="A2933" s="109"/>
      <c r="B2933" s="109"/>
      <c r="C2933" s="109"/>
      <c r="D2933" s="109"/>
      <c r="E2933" s="109"/>
      <c r="F2933" s="109"/>
      <c r="G2933" s="109"/>
      <c r="H2933" s="109"/>
      <c r="I2933" s="109"/>
      <c r="J2933" s="109"/>
      <c r="L2933" s="109"/>
      <c r="M2933" s="109"/>
      <c r="N2933" s="109"/>
      <c r="Q2933" s="121"/>
      <c r="W2933" s="109"/>
      <c r="Z2933" s="122"/>
    </row>
    <row r="2934" spans="1:26" ht="12.75" hidden="1">
      <c r="A2934" s="109"/>
      <c r="B2934" s="109"/>
      <c r="C2934" s="109"/>
      <c r="D2934" s="109"/>
      <c r="E2934" s="109"/>
      <c r="F2934" s="109"/>
      <c r="G2934" s="109"/>
      <c r="H2934" s="109"/>
      <c r="I2934" s="109"/>
      <c r="J2934" s="109"/>
      <c r="L2934" s="109"/>
      <c r="M2934" s="109"/>
      <c r="N2934" s="109"/>
      <c r="Q2934" s="121"/>
      <c r="W2934" s="109"/>
      <c r="Z2934" s="122"/>
    </row>
    <row r="2935" spans="1:26" ht="12.75" hidden="1">
      <c r="A2935" s="109"/>
      <c r="B2935" s="109"/>
      <c r="C2935" s="109"/>
      <c r="D2935" s="109"/>
      <c r="E2935" s="109"/>
      <c r="F2935" s="109"/>
      <c r="G2935" s="109"/>
      <c r="H2935" s="109"/>
      <c r="I2935" s="109"/>
      <c r="J2935" s="109"/>
      <c r="L2935" s="109"/>
      <c r="M2935" s="109"/>
      <c r="N2935" s="109"/>
      <c r="Q2935" s="121"/>
      <c r="W2935" s="109"/>
      <c r="Z2935" s="122"/>
    </row>
    <row r="2936" spans="1:26" ht="12.75" hidden="1">
      <c r="A2936" s="109"/>
      <c r="B2936" s="109"/>
      <c r="C2936" s="109"/>
      <c r="D2936" s="109"/>
      <c r="E2936" s="109"/>
      <c r="F2936" s="109"/>
      <c r="G2936" s="109"/>
      <c r="H2936" s="109"/>
      <c r="I2936" s="109"/>
      <c r="J2936" s="109"/>
      <c r="L2936" s="109"/>
      <c r="M2936" s="109"/>
      <c r="N2936" s="109"/>
      <c r="Q2936" s="121"/>
      <c r="W2936" s="109"/>
      <c r="Z2936" s="122"/>
    </row>
    <row r="2937" spans="1:26" ht="12.75" hidden="1">
      <c r="A2937" s="109"/>
      <c r="B2937" s="109"/>
      <c r="C2937" s="109"/>
      <c r="D2937" s="109"/>
      <c r="E2937" s="109"/>
      <c r="F2937" s="109"/>
      <c r="G2937" s="109"/>
      <c r="H2937" s="109"/>
      <c r="I2937" s="109"/>
      <c r="J2937" s="109"/>
      <c r="L2937" s="109"/>
      <c r="M2937" s="109"/>
      <c r="N2937" s="109"/>
      <c r="Q2937" s="121"/>
      <c r="W2937" s="109"/>
      <c r="Z2937" s="122"/>
    </row>
    <row r="2938" spans="1:26" ht="12.75" hidden="1">
      <c r="A2938" s="109"/>
      <c r="B2938" s="109"/>
      <c r="C2938" s="109"/>
      <c r="D2938" s="109"/>
      <c r="E2938" s="109"/>
      <c r="F2938" s="109"/>
      <c r="G2938" s="109"/>
      <c r="H2938" s="109"/>
      <c r="I2938" s="109"/>
      <c r="J2938" s="109"/>
      <c r="L2938" s="109"/>
      <c r="M2938" s="109"/>
      <c r="N2938" s="109"/>
      <c r="Q2938" s="121"/>
      <c r="W2938" s="109"/>
      <c r="Z2938" s="122"/>
    </row>
    <row r="2939" spans="1:26" ht="12.75" hidden="1">
      <c r="A2939" s="109"/>
      <c r="B2939" s="109"/>
      <c r="C2939" s="109"/>
      <c r="D2939" s="109"/>
      <c r="E2939" s="109"/>
      <c r="F2939" s="109"/>
      <c r="G2939" s="109"/>
      <c r="H2939" s="109"/>
      <c r="I2939" s="109"/>
      <c r="J2939" s="109"/>
      <c r="L2939" s="109"/>
      <c r="M2939" s="109"/>
      <c r="N2939" s="109"/>
      <c r="Q2939" s="121"/>
      <c r="W2939" s="109"/>
      <c r="Z2939" s="122"/>
    </row>
    <row r="2940" spans="1:26" ht="12.75" hidden="1">
      <c r="A2940" s="109"/>
      <c r="B2940" s="109"/>
      <c r="C2940" s="109"/>
      <c r="D2940" s="109"/>
      <c r="E2940" s="109"/>
      <c r="F2940" s="109"/>
      <c r="G2940" s="109"/>
      <c r="H2940" s="109"/>
      <c r="I2940" s="109"/>
      <c r="J2940" s="109"/>
      <c r="L2940" s="109"/>
      <c r="M2940" s="109"/>
      <c r="N2940" s="109"/>
      <c r="Q2940" s="121"/>
      <c r="W2940" s="109"/>
      <c r="Z2940" s="122"/>
    </row>
    <row r="2941" spans="1:26" ht="12.75" hidden="1">
      <c r="A2941" s="109"/>
      <c r="B2941" s="109"/>
      <c r="C2941" s="109"/>
      <c r="D2941" s="109"/>
      <c r="E2941" s="109"/>
      <c r="F2941" s="109"/>
      <c r="G2941" s="109"/>
      <c r="H2941" s="109"/>
      <c r="I2941" s="109"/>
      <c r="J2941" s="109"/>
      <c r="L2941" s="109"/>
      <c r="M2941" s="109"/>
      <c r="N2941" s="109"/>
      <c r="Q2941" s="121"/>
      <c r="W2941" s="109"/>
      <c r="Z2941" s="122"/>
    </row>
    <row r="2942" spans="1:26" ht="12.75" hidden="1">
      <c r="A2942" s="109"/>
      <c r="B2942" s="109"/>
      <c r="C2942" s="109"/>
      <c r="D2942" s="109"/>
      <c r="E2942" s="109"/>
      <c r="F2942" s="109"/>
      <c r="G2942" s="109"/>
      <c r="H2942" s="109"/>
      <c r="I2942" s="109"/>
      <c r="J2942" s="109"/>
      <c r="L2942" s="109"/>
      <c r="M2942" s="109"/>
      <c r="N2942" s="109"/>
      <c r="Q2942" s="121"/>
      <c r="W2942" s="109"/>
      <c r="Z2942" s="122"/>
    </row>
    <row r="2943" spans="1:26" ht="12.75" hidden="1">
      <c r="A2943" s="109"/>
      <c r="B2943" s="109"/>
      <c r="C2943" s="109"/>
      <c r="D2943" s="109"/>
      <c r="E2943" s="109"/>
      <c r="F2943" s="109"/>
      <c r="G2943" s="109"/>
      <c r="H2943" s="109"/>
      <c r="I2943" s="109"/>
      <c r="J2943" s="109"/>
      <c r="L2943" s="109"/>
      <c r="M2943" s="109"/>
      <c r="N2943" s="109"/>
      <c r="Q2943" s="121"/>
      <c r="W2943" s="109"/>
      <c r="Z2943" s="122"/>
    </row>
    <row r="2944" spans="1:26" ht="12.75" hidden="1">
      <c r="A2944" s="109"/>
      <c r="B2944" s="109"/>
      <c r="C2944" s="109"/>
      <c r="D2944" s="109"/>
      <c r="E2944" s="109"/>
      <c r="F2944" s="109"/>
      <c r="G2944" s="109"/>
      <c r="H2944" s="109"/>
      <c r="I2944" s="109"/>
      <c r="J2944" s="109"/>
      <c r="L2944" s="109"/>
      <c r="M2944" s="109"/>
      <c r="N2944" s="109"/>
      <c r="Q2944" s="121"/>
      <c r="W2944" s="109"/>
      <c r="Z2944" s="122"/>
    </row>
    <row r="2945" spans="1:26" ht="12.75" hidden="1">
      <c r="A2945" s="109"/>
      <c r="B2945" s="109"/>
      <c r="C2945" s="109"/>
      <c r="D2945" s="109"/>
      <c r="E2945" s="109"/>
      <c r="F2945" s="109"/>
      <c r="G2945" s="109"/>
      <c r="H2945" s="109"/>
      <c r="I2945" s="109"/>
      <c r="J2945" s="109"/>
      <c r="L2945" s="109"/>
      <c r="M2945" s="109"/>
      <c r="N2945" s="109"/>
      <c r="Q2945" s="121"/>
      <c r="W2945" s="109"/>
      <c r="Z2945" s="122"/>
    </row>
    <row r="2946" spans="1:26" ht="12.75" hidden="1">
      <c r="A2946" s="109"/>
      <c r="B2946" s="109"/>
      <c r="C2946" s="109"/>
      <c r="D2946" s="109"/>
      <c r="E2946" s="109"/>
      <c r="F2946" s="109"/>
      <c r="G2946" s="109"/>
      <c r="H2946" s="109"/>
      <c r="I2946" s="109"/>
      <c r="J2946" s="109"/>
      <c r="L2946" s="109"/>
      <c r="M2946" s="109"/>
      <c r="N2946" s="109"/>
      <c r="Q2946" s="121"/>
      <c r="W2946" s="109"/>
      <c r="Z2946" s="122"/>
    </row>
    <row r="2947" spans="1:26" ht="12.75" hidden="1">
      <c r="A2947" s="109"/>
      <c r="B2947" s="109"/>
      <c r="C2947" s="109"/>
      <c r="D2947" s="109"/>
      <c r="E2947" s="109"/>
      <c r="F2947" s="109"/>
      <c r="G2947" s="109"/>
      <c r="H2947" s="109"/>
      <c r="I2947" s="109"/>
      <c r="J2947" s="109"/>
      <c r="L2947" s="109"/>
      <c r="M2947" s="109"/>
      <c r="N2947" s="109"/>
      <c r="Q2947" s="121"/>
      <c r="W2947" s="109"/>
      <c r="Z2947" s="122"/>
    </row>
    <row r="2948" spans="1:26" ht="12.75" hidden="1">
      <c r="A2948" s="109"/>
      <c r="B2948" s="109"/>
      <c r="C2948" s="109"/>
      <c r="D2948" s="109"/>
      <c r="E2948" s="109"/>
      <c r="F2948" s="109"/>
      <c r="G2948" s="109"/>
      <c r="H2948" s="109"/>
      <c r="I2948" s="109"/>
      <c r="J2948" s="109"/>
      <c r="L2948" s="109"/>
      <c r="M2948" s="109"/>
      <c r="N2948" s="109"/>
      <c r="Q2948" s="121"/>
      <c r="W2948" s="109"/>
      <c r="Z2948" s="122"/>
    </row>
    <row r="2949" spans="1:26" ht="12.75" hidden="1">
      <c r="A2949" s="109"/>
      <c r="B2949" s="109"/>
      <c r="C2949" s="109"/>
      <c r="D2949" s="109"/>
      <c r="E2949" s="109"/>
      <c r="F2949" s="109"/>
      <c r="G2949" s="109"/>
      <c r="H2949" s="109"/>
      <c r="I2949" s="109"/>
      <c r="J2949" s="109"/>
      <c r="L2949" s="109"/>
      <c r="M2949" s="109"/>
      <c r="N2949" s="109"/>
      <c r="Q2949" s="121"/>
      <c r="W2949" s="109"/>
      <c r="Z2949" s="122"/>
    </row>
    <row r="2950" spans="1:26" ht="12.75" hidden="1">
      <c r="A2950" s="109"/>
      <c r="B2950" s="109"/>
      <c r="C2950" s="109"/>
      <c r="D2950" s="109"/>
      <c r="E2950" s="109"/>
      <c r="F2950" s="109"/>
      <c r="G2950" s="109"/>
      <c r="H2950" s="109"/>
      <c r="I2950" s="109"/>
      <c r="J2950" s="109"/>
      <c r="L2950" s="109"/>
      <c r="M2950" s="109"/>
      <c r="N2950" s="109"/>
      <c r="Q2950" s="121"/>
      <c r="W2950" s="109"/>
      <c r="Z2950" s="122"/>
    </row>
    <row r="2951" spans="1:26" ht="12.75" hidden="1">
      <c r="A2951" s="109"/>
      <c r="B2951" s="109"/>
      <c r="C2951" s="109"/>
      <c r="D2951" s="109"/>
      <c r="E2951" s="109"/>
      <c r="F2951" s="109"/>
      <c r="G2951" s="109"/>
      <c r="H2951" s="109"/>
      <c r="I2951" s="109"/>
      <c r="J2951" s="109"/>
      <c r="L2951" s="109"/>
      <c r="M2951" s="109"/>
      <c r="N2951" s="109"/>
      <c r="Q2951" s="121"/>
      <c r="W2951" s="109"/>
      <c r="Z2951" s="122"/>
    </row>
    <row r="2952" spans="1:26" ht="12.75" hidden="1">
      <c r="A2952" s="109"/>
      <c r="B2952" s="109"/>
      <c r="C2952" s="109"/>
      <c r="D2952" s="109"/>
      <c r="E2952" s="109"/>
      <c r="F2952" s="109"/>
      <c r="G2952" s="109"/>
      <c r="H2952" s="109"/>
      <c r="I2952" s="109"/>
      <c r="J2952" s="109"/>
      <c r="L2952" s="109"/>
      <c r="M2952" s="109"/>
      <c r="N2952" s="109"/>
      <c r="Q2952" s="121"/>
      <c r="W2952" s="109"/>
      <c r="Z2952" s="122"/>
    </row>
    <row r="2953" spans="1:26" ht="12.75" hidden="1">
      <c r="A2953" s="109"/>
      <c r="B2953" s="109"/>
      <c r="C2953" s="109"/>
      <c r="D2953" s="109"/>
      <c r="E2953" s="109"/>
      <c r="F2953" s="109"/>
      <c r="G2953" s="109"/>
      <c r="H2953" s="109"/>
      <c r="I2953" s="109"/>
      <c r="J2953" s="109"/>
      <c r="L2953" s="109"/>
      <c r="M2953" s="109"/>
      <c r="N2953" s="109"/>
      <c r="Q2953" s="121"/>
      <c r="W2953" s="109"/>
      <c r="Z2953" s="122"/>
    </row>
    <row r="2954" spans="1:26" ht="12.75" hidden="1">
      <c r="A2954" s="109"/>
      <c r="B2954" s="109"/>
      <c r="C2954" s="109"/>
      <c r="D2954" s="109"/>
      <c r="E2954" s="109"/>
      <c r="F2954" s="109"/>
      <c r="G2954" s="109"/>
      <c r="H2954" s="109"/>
      <c r="I2954" s="109"/>
      <c r="J2954" s="109"/>
      <c r="L2954" s="109"/>
      <c r="M2954" s="109"/>
      <c r="N2954" s="109"/>
      <c r="Q2954" s="121"/>
      <c r="W2954" s="109"/>
      <c r="Z2954" s="122"/>
    </row>
    <row r="2955" spans="1:26" ht="12.75" hidden="1">
      <c r="A2955" s="109"/>
      <c r="B2955" s="109"/>
      <c r="C2955" s="109"/>
      <c r="D2955" s="109"/>
      <c r="E2955" s="109"/>
      <c r="F2955" s="109"/>
      <c r="G2955" s="109"/>
      <c r="H2955" s="109"/>
      <c r="I2955" s="109"/>
      <c r="J2955" s="109"/>
      <c r="L2955" s="109"/>
      <c r="M2955" s="109"/>
      <c r="N2955" s="109"/>
      <c r="Q2955" s="121"/>
      <c r="W2955" s="109"/>
      <c r="Z2955" s="122"/>
    </row>
    <row r="2956" spans="1:26" ht="12.75" hidden="1">
      <c r="A2956" s="109"/>
      <c r="B2956" s="109"/>
      <c r="C2956" s="109"/>
      <c r="D2956" s="109"/>
      <c r="E2956" s="109"/>
      <c r="F2956" s="109"/>
      <c r="G2956" s="109"/>
      <c r="H2956" s="109"/>
      <c r="I2956" s="109"/>
      <c r="J2956" s="109"/>
      <c r="L2956" s="109"/>
      <c r="M2956" s="109"/>
      <c r="N2956" s="109"/>
      <c r="Q2956" s="121"/>
      <c r="W2956" s="109"/>
      <c r="Z2956" s="122"/>
    </row>
    <row r="2957" spans="1:26" ht="12.75" hidden="1">
      <c r="A2957" s="109"/>
      <c r="B2957" s="109"/>
      <c r="C2957" s="109"/>
      <c r="D2957" s="109"/>
      <c r="E2957" s="109"/>
      <c r="F2957" s="109"/>
      <c r="G2957" s="109"/>
      <c r="H2957" s="109"/>
      <c r="I2957" s="109"/>
      <c r="J2957" s="109"/>
      <c r="L2957" s="109"/>
      <c r="M2957" s="109"/>
      <c r="N2957" s="109"/>
      <c r="Q2957" s="121"/>
      <c r="W2957" s="109"/>
      <c r="Z2957" s="122"/>
    </row>
    <row r="2958" spans="1:26" ht="12.75" hidden="1">
      <c r="A2958" s="109"/>
      <c r="B2958" s="109"/>
      <c r="C2958" s="109"/>
      <c r="D2958" s="109"/>
      <c r="E2958" s="109"/>
      <c r="F2958" s="109"/>
      <c r="G2958" s="109"/>
      <c r="H2958" s="109"/>
      <c r="I2958" s="109"/>
      <c r="J2958" s="109"/>
      <c r="L2958" s="109"/>
      <c r="M2958" s="109"/>
      <c r="N2958" s="109"/>
      <c r="Q2958" s="121"/>
      <c r="W2958" s="109"/>
      <c r="Z2958" s="122"/>
    </row>
    <row r="2959" spans="1:26" ht="12.75" hidden="1">
      <c r="A2959" s="109"/>
      <c r="B2959" s="109"/>
      <c r="C2959" s="109"/>
      <c r="D2959" s="109"/>
      <c r="E2959" s="109"/>
      <c r="F2959" s="109"/>
      <c r="G2959" s="109"/>
      <c r="H2959" s="109"/>
      <c r="I2959" s="109"/>
      <c r="J2959" s="109"/>
      <c r="L2959" s="109"/>
      <c r="M2959" s="109"/>
      <c r="N2959" s="109"/>
      <c r="Q2959" s="121"/>
      <c r="W2959" s="109"/>
      <c r="Z2959" s="122"/>
    </row>
    <row r="2960" spans="1:26" ht="12.75" hidden="1">
      <c r="A2960" s="109"/>
      <c r="B2960" s="109"/>
      <c r="C2960" s="109"/>
      <c r="D2960" s="109"/>
      <c r="E2960" s="109"/>
      <c r="F2960" s="109"/>
      <c r="G2960" s="109"/>
      <c r="H2960" s="109"/>
      <c r="I2960" s="109"/>
      <c r="J2960" s="109"/>
      <c r="L2960" s="109"/>
      <c r="M2960" s="109"/>
      <c r="N2960" s="109"/>
      <c r="Q2960" s="121"/>
      <c r="W2960" s="109"/>
      <c r="Z2960" s="122"/>
    </row>
    <row r="2961" spans="1:26" ht="12.75" hidden="1">
      <c r="A2961" s="109"/>
      <c r="B2961" s="109"/>
      <c r="C2961" s="109"/>
      <c r="D2961" s="109"/>
      <c r="E2961" s="109"/>
      <c r="F2961" s="109"/>
      <c r="G2961" s="109"/>
      <c r="H2961" s="109"/>
      <c r="I2961" s="109"/>
      <c r="J2961" s="109"/>
      <c r="L2961" s="109"/>
      <c r="M2961" s="109"/>
      <c r="N2961" s="109"/>
      <c r="Q2961" s="121"/>
      <c r="W2961" s="109"/>
      <c r="Z2961" s="122"/>
    </row>
    <row r="2962" spans="1:26" ht="12.75" hidden="1">
      <c r="A2962" s="109"/>
      <c r="B2962" s="109"/>
      <c r="C2962" s="109"/>
      <c r="D2962" s="109"/>
      <c r="E2962" s="109"/>
      <c r="F2962" s="109"/>
      <c r="G2962" s="109"/>
      <c r="H2962" s="109"/>
      <c r="I2962" s="109"/>
      <c r="J2962" s="109"/>
      <c r="L2962" s="109"/>
      <c r="M2962" s="109"/>
      <c r="N2962" s="109"/>
      <c r="Q2962" s="121"/>
      <c r="W2962" s="109"/>
      <c r="Z2962" s="122"/>
    </row>
    <row r="2963" spans="1:26" ht="12.75" hidden="1">
      <c r="A2963" s="109"/>
      <c r="B2963" s="109"/>
      <c r="C2963" s="109"/>
      <c r="D2963" s="109"/>
      <c r="E2963" s="109"/>
      <c r="F2963" s="109"/>
      <c r="G2963" s="109"/>
      <c r="H2963" s="109"/>
      <c r="I2963" s="109"/>
      <c r="J2963" s="109"/>
      <c r="L2963" s="109"/>
      <c r="M2963" s="109"/>
      <c r="N2963" s="109"/>
      <c r="Q2963" s="121"/>
      <c r="W2963" s="109"/>
      <c r="Z2963" s="122"/>
    </row>
    <row r="2964" spans="1:26" ht="12.75" hidden="1">
      <c r="A2964" s="109"/>
      <c r="B2964" s="109"/>
      <c r="C2964" s="109"/>
      <c r="D2964" s="109"/>
      <c r="E2964" s="109"/>
      <c r="F2964" s="109"/>
      <c r="G2964" s="109"/>
      <c r="H2964" s="109"/>
      <c r="I2964" s="109"/>
      <c r="J2964" s="109"/>
      <c r="L2964" s="109"/>
      <c r="M2964" s="109"/>
      <c r="N2964" s="109"/>
      <c r="Q2964" s="121"/>
      <c r="W2964" s="109"/>
      <c r="Z2964" s="122"/>
    </row>
    <row r="2965" spans="1:26" ht="12.75" hidden="1">
      <c r="A2965" s="109"/>
      <c r="B2965" s="109"/>
      <c r="C2965" s="109"/>
      <c r="D2965" s="109"/>
      <c r="E2965" s="109"/>
      <c r="F2965" s="109"/>
      <c r="G2965" s="109"/>
      <c r="H2965" s="109"/>
      <c r="I2965" s="109"/>
      <c r="J2965" s="109"/>
      <c r="L2965" s="109"/>
      <c r="M2965" s="109"/>
      <c r="N2965" s="109"/>
      <c r="Q2965" s="121"/>
      <c r="W2965" s="109"/>
      <c r="Z2965" s="122"/>
    </row>
    <row r="2966" spans="1:26" ht="12.75" hidden="1">
      <c r="A2966" s="109"/>
      <c r="B2966" s="109"/>
      <c r="C2966" s="109"/>
      <c r="D2966" s="109"/>
      <c r="E2966" s="109"/>
      <c r="F2966" s="109"/>
      <c r="G2966" s="109"/>
      <c r="H2966" s="109"/>
      <c r="I2966" s="109"/>
      <c r="J2966" s="109"/>
      <c r="L2966" s="109"/>
      <c r="M2966" s="109"/>
      <c r="N2966" s="109"/>
      <c r="Q2966" s="121"/>
      <c r="W2966" s="109"/>
      <c r="Z2966" s="122"/>
    </row>
    <row r="2967" spans="1:26" ht="12.75" hidden="1">
      <c r="A2967" s="109"/>
      <c r="B2967" s="109"/>
      <c r="C2967" s="109"/>
      <c r="D2967" s="109"/>
      <c r="E2967" s="109"/>
      <c r="F2967" s="109"/>
      <c r="G2967" s="109"/>
      <c r="H2967" s="109"/>
      <c r="I2967" s="109"/>
      <c r="J2967" s="109"/>
      <c r="L2967" s="109"/>
      <c r="M2967" s="109"/>
      <c r="N2967" s="109"/>
      <c r="Q2967" s="121"/>
      <c r="W2967" s="109"/>
      <c r="Z2967" s="122"/>
    </row>
    <row r="2968" spans="1:26" ht="12.75" hidden="1">
      <c r="A2968" s="109"/>
      <c r="B2968" s="109"/>
      <c r="C2968" s="109"/>
      <c r="D2968" s="109"/>
      <c r="E2968" s="109"/>
      <c r="F2968" s="109"/>
      <c r="G2968" s="109"/>
      <c r="H2968" s="109"/>
      <c r="I2968" s="109"/>
      <c r="J2968" s="109"/>
      <c r="L2968" s="109"/>
      <c r="M2968" s="109"/>
      <c r="N2968" s="109"/>
      <c r="Q2968" s="121"/>
      <c r="W2968" s="109"/>
      <c r="Z2968" s="122"/>
    </row>
    <row r="2969" spans="1:26" ht="12.75" hidden="1">
      <c r="A2969" s="109"/>
      <c r="B2969" s="109"/>
      <c r="C2969" s="109"/>
      <c r="D2969" s="109"/>
      <c r="E2969" s="109"/>
      <c r="F2969" s="109"/>
      <c r="G2969" s="109"/>
      <c r="H2969" s="109"/>
      <c r="I2969" s="109"/>
      <c r="J2969" s="109"/>
      <c r="L2969" s="109"/>
      <c r="M2969" s="109"/>
      <c r="N2969" s="109"/>
      <c r="Q2969" s="121"/>
      <c r="W2969" s="109"/>
      <c r="Z2969" s="122"/>
    </row>
    <row r="2970" spans="1:26" ht="12.75" hidden="1">
      <c r="A2970" s="109"/>
      <c r="B2970" s="109"/>
      <c r="C2970" s="109"/>
      <c r="D2970" s="109"/>
      <c r="E2970" s="109"/>
      <c r="F2970" s="109"/>
      <c r="G2970" s="109"/>
      <c r="H2970" s="109"/>
      <c r="I2970" s="109"/>
      <c r="J2970" s="109"/>
      <c r="L2970" s="109"/>
      <c r="M2970" s="109"/>
      <c r="N2970" s="109"/>
      <c r="Q2970" s="121"/>
      <c r="W2970" s="109"/>
      <c r="Z2970" s="122"/>
    </row>
    <row r="2971" spans="1:26" ht="12.75" hidden="1">
      <c r="A2971" s="109"/>
      <c r="B2971" s="109"/>
      <c r="C2971" s="109"/>
      <c r="D2971" s="109"/>
      <c r="E2971" s="109"/>
      <c r="F2971" s="109"/>
      <c r="G2971" s="109"/>
      <c r="H2971" s="109"/>
      <c r="I2971" s="109"/>
      <c r="J2971" s="109"/>
      <c r="L2971" s="109"/>
      <c r="M2971" s="109"/>
      <c r="N2971" s="109"/>
      <c r="Q2971" s="121"/>
      <c r="W2971" s="109"/>
      <c r="Z2971" s="122"/>
    </row>
    <row r="2972" spans="1:26" ht="12.75" hidden="1">
      <c r="A2972" s="109"/>
      <c r="B2972" s="109"/>
      <c r="C2972" s="109"/>
      <c r="D2972" s="109"/>
      <c r="E2972" s="109"/>
      <c r="F2972" s="109"/>
      <c r="G2972" s="109"/>
      <c r="H2972" s="109"/>
      <c r="I2972" s="109"/>
      <c r="J2972" s="109"/>
      <c r="L2972" s="109"/>
      <c r="M2972" s="109"/>
      <c r="N2972" s="109"/>
      <c r="Q2972" s="121"/>
      <c r="W2972" s="109"/>
      <c r="Z2972" s="122"/>
    </row>
    <row r="2973" spans="1:26" ht="12.75" hidden="1">
      <c r="A2973" s="109"/>
      <c r="B2973" s="109"/>
      <c r="C2973" s="109"/>
      <c r="D2973" s="109"/>
      <c r="E2973" s="109"/>
      <c r="F2973" s="109"/>
      <c r="G2973" s="109"/>
      <c r="H2973" s="109"/>
      <c r="I2973" s="109"/>
      <c r="J2973" s="109"/>
      <c r="L2973" s="109"/>
      <c r="M2973" s="109"/>
      <c r="N2973" s="109"/>
      <c r="Q2973" s="121"/>
      <c r="W2973" s="109"/>
      <c r="Z2973" s="122"/>
    </row>
    <row r="2974" spans="1:26" ht="12.75" hidden="1">
      <c r="A2974" s="109"/>
      <c r="B2974" s="109"/>
      <c r="C2974" s="109"/>
      <c r="D2974" s="109"/>
      <c r="E2974" s="109"/>
      <c r="F2974" s="109"/>
      <c r="G2974" s="109"/>
      <c r="H2974" s="109"/>
      <c r="I2974" s="109"/>
      <c r="J2974" s="109"/>
      <c r="L2974" s="109"/>
      <c r="M2974" s="109"/>
      <c r="N2974" s="109"/>
      <c r="Q2974" s="121"/>
      <c r="W2974" s="109"/>
      <c r="Z2974" s="122"/>
    </row>
    <row r="2975" spans="1:26" ht="12.75" hidden="1">
      <c r="A2975" s="109"/>
      <c r="B2975" s="109"/>
      <c r="C2975" s="109"/>
      <c r="D2975" s="109"/>
      <c r="E2975" s="109"/>
      <c r="F2975" s="109"/>
      <c r="G2975" s="109"/>
      <c r="H2975" s="109"/>
      <c r="I2975" s="109"/>
      <c r="J2975" s="109"/>
      <c r="L2975" s="109"/>
      <c r="M2975" s="109"/>
      <c r="N2975" s="109"/>
      <c r="Q2975" s="121"/>
      <c r="W2975" s="109"/>
      <c r="Z2975" s="122"/>
    </row>
    <row r="2976" spans="1:26" ht="12.75" hidden="1">
      <c r="A2976" s="109"/>
      <c r="B2976" s="109"/>
      <c r="C2976" s="109"/>
      <c r="D2976" s="109"/>
      <c r="E2976" s="109"/>
      <c r="F2976" s="109"/>
      <c r="G2976" s="109"/>
      <c r="H2976" s="109"/>
      <c r="I2976" s="109"/>
      <c r="J2976" s="109"/>
      <c r="L2976" s="109"/>
      <c r="M2976" s="109"/>
      <c r="N2976" s="109"/>
      <c r="Q2976" s="121"/>
      <c r="W2976" s="109"/>
      <c r="Z2976" s="122"/>
    </row>
    <row r="2977" spans="1:26" ht="12.75" hidden="1">
      <c r="A2977" s="109"/>
      <c r="B2977" s="109"/>
      <c r="C2977" s="109"/>
      <c r="D2977" s="109"/>
      <c r="E2977" s="109"/>
      <c r="F2977" s="109"/>
      <c r="G2977" s="109"/>
      <c r="H2977" s="109"/>
      <c r="I2977" s="109"/>
      <c r="J2977" s="109"/>
      <c r="L2977" s="109"/>
      <c r="M2977" s="109"/>
      <c r="N2977" s="109"/>
      <c r="Q2977" s="121"/>
      <c r="W2977" s="109"/>
      <c r="Z2977" s="122"/>
    </row>
    <row r="2978" spans="1:26" ht="12.75" hidden="1">
      <c r="A2978" s="109"/>
      <c r="B2978" s="109"/>
      <c r="C2978" s="109"/>
      <c r="D2978" s="109"/>
      <c r="E2978" s="109"/>
      <c r="F2978" s="109"/>
      <c r="G2978" s="109"/>
      <c r="H2978" s="109"/>
      <c r="I2978" s="109"/>
      <c r="J2978" s="109"/>
      <c r="L2978" s="109"/>
      <c r="M2978" s="109"/>
      <c r="N2978" s="109"/>
      <c r="Q2978" s="121"/>
      <c r="W2978" s="109"/>
      <c r="Z2978" s="122"/>
    </row>
    <row r="2979" spans="1:26" ht="12.75" hidden="1">
      <c r="A2979" s="109"/>
      <c r="B2979" s="109"/>
      <c r="C2979" s="109"/>
      <c r="D2979" s="109"/>
      <c r="E2979" s="109"/>
      <c r="F2979" s="109"/>
      <c r="G2979" s="109"/>
      <c r="H2979" s="109"/>
      <c r="I2979" s="109"/>
      <c r="J2979" s="109"/>
      <c r="L2979" s="109"/>
      <c r="M2979" s="109"/>
      <c r="N2979" s="109"/>
      <c r="Q2979" s="121"/>
      <c r="W2979" s="109"/>
      <c r="Z2979" s="122"/>
    </row>
    <row r="2980" spans="1:26" ht="12.75" hidden="1">
      <c r="A2980" s="109"/>
      <c r="B2980" s="109"/>
      <c r="C2980" s="109"/>
      <c r="D2980" s="109"/>
      <c r="E2980" s="109"/>
      <c r="F2980" s="109"/>
      <c r="G2980" s="109"/>
      <c r="H2980" s="109"/>
      <c r="I2980" s="109"/>
      <c r="J2980" s="109"/>
      <c r="L2980" s="109"/>
      <c r="M2980" s="109"/>
      <c r="N2980" s="109"/>
      <c r="Q2980" s="121"/>
      <c r="W2980" s="109"/>
      <c r="Z2980" s="122"/>
    </row>
    <row r="2981" spans="1:26" ht="12.75" hidden="1">
      <c r="A2981" s="109"/>
      <c r="B2981" s="109"/>
      <c r="C2981" s="109"/>
      <c r="D2981" s="109"/>
      <c r="E2981" s="109"/>
      <c r="F2981" s="109"/>
      <c r="G2981" s="109"/>
      <c r="H2981" s="109"/>
      <c r="I2981" s="109"/>
      <c r="J2981" s="109"/>
      <c r="L2981" s="109"/>
      <c r="M2981" s="109"/>
      <c r="N2981" s="109"/>
      <c r="Q2981" s="121"/>
      <c r="W2981" s="109"/>
      <c r="Z2981" s="122"/>
    </row>
    <row r="2982" spans="1:26" ht="12.75" hidden="1">
      <c r="A2982" s="109"/>
      <c r="B2982" s="109"/>
      <c r="C2982" s="109"/>
      <c r="D2982" s="109"/>
      <c r="E2982" s="109"/>
      <c r="F2982" s="109"/>
      <c r="G2982" s="109"/>
      <c r="H2982" s="109"/>
      <c r="I2982" s="109"/>
      <c r="J2982" s="109"/>
      <c r="L2982" s="109"/>
      <c r="M2982" s="109"/>
      <c r="N2982" s="109"/>
      <c r="Q2982" s="121"/>
      <c r="W2982" s="109"/>
      <c r="Z2982" s="122"/>
    </row>
    <row r="2983" spans="1:26" ht="12.75" hidden="1">
      <c r="A2983" s="109"/>
      <c r="B2983" s="109"/>
      <c r="C2983" s="109"/>
      <c r="D2983" s="109"/>
      <c r="E2983" s="109"/>
      <c r="F2983" s="109"/>
      <c r="G2983" s="109"/>
      <c r="H2983" s="109"/>
      <c r="I2983" s="109"/>
      <c r="J2983" s="109"/>
      <c r="L2983" s="109"/>
      <c r="M2983" s="109"/>
      <c r="N2983" s="109"/>
      <c r="Q2983" s="121"/>
      <c r="W2983" s="109"/>
      <c r="Z2983" s="122"/>
    </row>
    <row r="2984" spans="1:26" ht="12.75" hidden="1">
      <c r="A2984" s="109"/>
      <c r="B2984" s="109"/>
      <c r="C2984" s="109"/>
      <c r="D2984" s="109"/>
      <c r="E2984" s="109"/>
      <c r="F2984" s="109"/>
      <c r="G2984" s="109"/>
      <c r="H2984" s="109"/>
      <c r="I2984" s="109"/>
      <c r="J2984" s="109"/>
      <c r="L2984" s="109"/>
      <c r="M2984" s="109"/>
      <c r="N2984" s="109"/>
      <c r="Q2984" s="121"/>
      <c r="W2984" s="109"/>
      <c r="Z2984" s="122"/>
    </row>
    <row r="2985" spans="1:26" ht="12.75" hidden="1">
      <c r="A2985" s="109"/>
      <c r="B2985" s="109"/>
      <c r="C2985" s="109"/>
      <c r="D2985" s="109"/>
      <c r="E2985" s="109"/>
      <c r="F2985" s="109"/>
      <c r="G2985" s="109"/>
      <c r="H2985" s="109"/>
      <c r="I2985" s="109"/>
      <c r="J2985" s="109"/>
      <c r="L2985" s="109"/>
      <c r="M2985" s="109"/>
      <c r="N2985" s="109"/>
      <c r="Q2985" s="121"/>
      <c r="W2985" s="109"/>
      <c r="Z2985" s="122"/>
    </row>
    <row r="2986" spans="1:26" ht="12.75" hidden="1">
      <c r="A2986" s="109"/>
      <c r="B2986" s="109"/>
      <c r="C2986" s="109"/>
      <c r="D2986" s="109"/>
      <c r="E2986" s="109"/>
      <c r="F2986" s="109"/>
      <c r="G2986" s="109"/>
      <c r="H2986" s="109"/>
      <c r="I2986" s="109"/>
      <c r="J2986" s="109"/>
      <c r="L2986" s="109"/>
      <c r="M2986" s="109"/>
      <c r="N2986" s="109"/>
      <c r="Q2986" s="121"/>
      <c r="W2986" s="109"/>
      <c r="Z2986" s="122"/>
    </row>
    <row r="2987" spans="1:26" ht="12.75" hidden="1">
      <c r="A2987" s="109"/>
      <c r="B2987" s="109"/>
      <c r="C2987" s="109"/>
      <c r="D2987" s="109"/>
      <c r="E2987" s="109"/>
      <c r="F2987" s="109"/>
      <c r="G2987" s="109"/>
      <c r="H2987" s="109"/>
      <c r="I2987" s="109"/>
      <c r="J2987" s="109"/>
      <c r="L2987" s="109"/>
      <c r="M2987" s="109"/>
      <c r="N2987" s="109"/>
      <c r="Q2987" s="121"/>
      <c r="W2987" s="109"/>
      <c r="Z2987" s="122"/>
    </row>
    <row r="2988" spans="1:26" ht="12.75" hidden="1">
      <c r="A2988" s="109"/>
      <c r="B2988" s="109"/>
      <c r="C2988" s="109"/>
      <c r="D2988" s="109"/>
      <c r="E2988" s="109"/>
      <c r="F2988" s="109"/>
      <c r="G2988" s="109"/>
      <c r="H2988" s="109"/>
      <c r="I2988" s="109"/>
      <c r="J2988" s="109"/>
      <c r="L2988" s="109"/>
      <c r="M2988" s="109"/>
      <c r="N2988" s="109"/>
      <c r="Q2988" s="121"/>
      <c r="W2988" s="109"/>
      <c r="Z2988" s="122"/>
    </row>
    <row r="2989" spans="1:26" ht="12.75" hidden="1">
      <c r="A2989" s="109"/>
      <c r="B2989" s="109"/>
      <c r="C2989" s="109"/>
      <c r="D2989" s="109"/>
      <c r="E2989" s="109"/>
      <c r="F2989" s="109"/>
      <c r="G2989" s="109"/>
      <c r="H2989" s="109"/>
      <c r="I2989" s="109"/>
      <c r="J2989" s="109"/>
      <c r="L2989" s="109"/>
      <c r="M2989" s="109"/>
      <c r="N2989" s="109"/>
      <c r="Q2989" s="121"/>
      <c r="W2989" s="109"/>
      <c r="Z2989" s="122"/>
    </row>
    <row r="2990" spans="1:26" ht="12.75" hidden="1">
      <c r="A2990" s="109"/>
      <c r="B2990" s="109"/>
      <c r="C2990" s="109"/>
      <c r="D2990" s="109"/>
      <c r="E2990" s="109"/>
      <c r="F2990" s="109"/>
      <c r="G2990" s="109"/>
      <c r="H2990" s="109"/>
      <c r="I2990" s="109"/>
      <c r="J2990" s="109"/>
      <c r="L2990" s="109"/>
      <c r="M2990" s="109"/>
      <c r="N2990" s="109"/>
      <c r="Q2990" s="121"/>
      <c r="W2990" s="109"/>
      <c r="Z2990" s="122"/>
    </row>
    <row r="2991" spans="1:26" ht="12.75" hidden="1">
      <c r="A2991" s="109"/>
      <c r="B2991" s="109"/>
      <c r="C2991" s="109"/>
      <c r="D2991" s="109"/>
      <c r="E2991" s="109"/>
      <c r="F2991" s="109"/>
      <c r="G2991" s="109"/>
      <c r="H2991" s="109"/>
      <c r="I2991" s="109"/>
      <c r="J2991" s="109"/>
      <c r="L2991" s="109"/>
      <c r="M2991" s="109"/>
      <c r="N2991" s="109"/>
      <c r="Q2991" s="121"/>
      <c r="W2991" s="109"/>
      <c r="Z2991" s="122"/>
    </row>
    <row r="2992" spans="1:26" ht="12.75" hidden="1">
      <c r="A2992" s="109"/>
      <c r="B2992" s="109"/>
      <c r="C2992" s="109"/>
      <c r="D2992" s="109"/>
      <c r="E2992" s="109"/>
      <c r="F2992" s="109"/>
      <c r="G2992" s="109"/>
      <c r="H2992" s="109"/>
      <c r="I2992" s="109"/>
      <c r="J2992" s="109"/>
      <c r="L2992" s="109"/>
      <c r="M2992" s="109"/>
      <c r="N2992" s="109"/>
      <c r="Q2992" s="121"/>
      <c r="W2992" s="109"/>
      <c r="Z2992" s="122"/>
    </row>
    <row r="2993" spans="1:26" ht="12.75" hidden="1">
      <c r="A2993" s="109"/>
      <c r="B2993" s="109"/>
      <c r="C2993" s="109"/>
      <c r="D2993" s="109"/>
      <c r="E2993" s="109"/>
      <c r="F2993" s="109"/>
      <c r="G2993" s="109"/>
      <c r="H2993" s="109"/>
      <c r="I2993" s="109"/>
      <c r="J2993" s="109"/>
      <c r="L2993" s="109"/>
      <c r="M2993" s="109"/>
      <c r="N2993" s="109"/>
      <c r="Q2993" s="121"/>
      <c r="W2993" s="109"/>
      <c r="Z2993" s="122"/>
    </row>
    <row r="2994" spans="1:26" ht="12.75" hidden="1">
      <c r="A2994" s="109"/>
      <c r="B2994" s="109"/>
      <c r="C2994" s="109"/>
      <c r="D2994" s="109"/>
      <c r="E2994" s="109"/>
      <c r="F2994" s="109"/>
      <c r="G2994" s="109"/>
      <c r="H2994" s="109"/>
      <c r="I2994" s="109"/>
      <c r="J2994" s="109"/>
      <c r="L2994" s="109"/>
      <c r="M2994" s="109"/>
      <c r="N2994" s="109"/>
      <c r="Q2994" s="121"/>
      <c r="W2994" s="109"/>
      <c r="Z2994" s="122"/>
    </row>
    <row r="2995" spans="1:26" ht="12.75" hidden="1">
      <c r="A2995" s="109"/>
      <c r="B2995" s="109"/>
      <c r="C2995" s="109"/>
      <c r="D2995" s="109"/>
      <c r="E2995" s="109"/>
      <c r="F2995" s="109"/>
      <c r="G2995" s="109"/>
      <c r="H2995" s="109"/>
      <c r="I2995" s="109"/>
      <c r="J2995" s="109"/>
      <c r="L2995" s="109"/>
      <c r="M2995" s="109"/>
      <c r="N2995" s="109"/>
      <c r="Q2995" s="121"/>
      <c r="W2995" s="109"/>
      <c r="Z2995" s="122"/>
    </row>
    <row r="2996" spans="1:26" ht="12.75" hidden="1">
      <c r="A2996" s="109"/>
      <c r="B2996" s="109"/>
      <c r="C2996" s="109"/>
      <c r="D2996" s="109"/>
      <c r="E2996" s="109"/>
      <c r="F2996" s="109"/>
      <c r="G2996" s="109"/>
      <c r="H2996" s="109"/>
      <c r="I2996" s="109"/>
      <c r="J2996" s="109"/>
      <c r="L2996" s="109"/>
      <c r="M2996" s="109"/>
      <c r="N2996" s="109"/>
      <c r="Q2996" s="121"/>
      <c r="W2996" s="109"/>
      <c r="Z2996" s="122"/>
    </row>
    <row r="2997" spans="1:26" ht="12.75" hidden="1">
      <c r="A2997" s="109"/>
      <c r="B2997" s="109"/>
      <c r="C2997" s="109"/>
      <c r="D2997" s="109"/>
      <c r="E2997" s="109"/>
      <c r="F2997" s="109"/>
      <c r="G2997" s="109"/>
      <c r="H2997" s="109"/>
      <c r="I2997" s="109"/>
      <c r="J2997" s="109"/>
      <c r="L2997" s="109"/>
      <c r="M2997" s="109"/>
      <c r="N2997" s="109"/>
      <c r="Q2997" s="121"/>
      <c r="W2997" s="109"/>
      <c r="Z2997" s="122"/>
    </row>
    <row r="2998" spans="1:26" ht="12.75" hidden="1">
      <c r="A2998" s="109"/>
      <c r="B2998" s="109"/>
      <c r="C2998" s="109"/>
      <c r="D2998" s="109"/>
      <c r="E2998" s="109"/>
      <c r="F2998" s="109"/>
      <c r="G2998" s="109"/>
      <c r="H2998" s="109"/>
      <c r="I2998" s="109"/>
      <c r="J2998" s="109"/>
      <c r="L2998" s="109"/>
      <c r="M2998" s="109"/>
      <c r="N2998" s="109"/>
      <c r="Q2998" s="121"/>
      <c r="W2998" s="109"/>
      <c r="Z2998" s="122"/>
    </row>
    <row r="2999" spans="1:26" ht="12.75" hidden="1">
      <c r="A2999" s="109"/>
      <c r="B2999" s="109"/>
      <c r="C2999" s="109"/>
      <c r="D2999" s="109"/>
      <c r="E2999" s="109"/>
      <c r="F2999" s="109"/>
      <c r="G2999" s="109"/>
      <c r="H2999" s="109"/>
      <c r="I2999" s="109"/>
      <c r="J2999" s="109"/>
      <c r="L2999" s="109"/>
      <c r="M2999" s="109"/>
      <c r="N2999" s="109"/>
      <c r="Q2999" s="121"/>
      <c r="W2999" s="109"/>
      <c r="Z2999" s="122"/>
    </row>
    <row r="3000" spans="1:26" ht="12.75" hidden="1">
      <c r="A3000" s="109"/>
      <c r="B3000" s="109"/>
      <c r="C3000" s="109"/>
      <c r="D3000" s="109"/>
      <c r="E3000" s="109"/>
      <c r="F3000" s="109"/>
      <c r="G3000" s="109"/>
      <c r="H3000" s="109"/>
      <c r="I3000" s="109"/>
      <c r="J3000" s="109"/>
      <c r="L3000" s="109"/>
      <c r="M3000" s="109"/>
      <c r="N3000" s="109"/>
      <c r="Q3000" s="121"/>
      <c r="W3000" s="109"/>
      <c r="Z3000" s="122"/>
    </row>
    <row r="3001" spans="1:26" ht="12.75" hidden="1">
      <c r="A3001" s="109"/>
      <c r="B3001" s="109"/>
      <c r="C3001" s="109"/>
      <c r="D3001" s="109"/>
      <c r="E3001" s="109"/>
      <c r="F3001" s="109"/>
      <c r="G3001" s="109"/>
      <c r="H3001" s="109"/>
      <c r="I3001" s="109"/>
      <c r="J3001" s="109"/>
      <c r="L3001" s="109"/>
      <c r="M3001" s="109"/>
      <c r="N3001" s="109"/>
      <c r="Q3001" s="121"/>
      <c r="W3001" s="109"/>
      <c r="Z3001" s="122"/>
    </row>
    <row r="3002" spans="1:26" ht="12.75" hidden="1">
      <c r="A3002" s="109"/>
      <c r="B3002" s="109"/>
      <c r="C3002" s="109"/>
      <c r="D3002" s="109"/>
      <c r="E3002" s="109"/>
      <c r="F3002" s="109"/>
      <c r="G3002" s="109"/>
      <c r="H3002" s="109"/>
      <c r="I3002" s="109"/>
      <c r="J3002" s="109"/>
      <c r="L3002" s="109"/>
      <c r="M3002" s="109"/>
      <c r="N3002" s="109"/>
      <c r="Q3002" s="121"/>
      <c r="W3002" s="109"/>
      <c r="Z3002" s="122"/>
    </row>
    <row r="3003" spans="1:26" ht="12.75" hidden="1">
      <c r="A3003" s="109"/>
      <c r="B3003" s="109"/>
      <c r="C3003" s="109"/>
      <c r="D3003" s="109"/>
      <c r="E3003" s="109"/>
      <c r="F3003" s="109"/>
      <c r="G3003" s="109"/>
      <c r="H3003" s="109"/>
      <c r="I3003" s="109"/>
      <c r="J3003" s="109"/>
      <c r="L3003" s="109"/>
      <c r="M3003" s="109"/>
      <c r="N3003" s="109"/>
      <c r="Q3003" s="121"/>
      <c r="W3003" s="109"/>
      <c r="Z3003" s="122"/>
    </row>
    <row r="3004" spans="1:26" ht="12.75" hidden="1">
      <c r="A3004" s="109"/>
      <c r="B3004" s="109"/>
      <c r="C3004" s="109"/>
      <c r="D3004" s="109"/>
      <c r="E3004" s="109"/>
      <c r="F3004" s="109"/>
      <c r="G3004" s="109"/>
      <c r="H3004" s="109"/>
      <c r="I3004" s="109"/>
      <c r="J3004" s="109"/>
      <c r="L3004" s="109"/>
      <c r="M3004" s="109"/>
      <c r="N3004" s="109"/>
      <c r="Q3004" s="121"/>
      <c r="W3004" s="109"/>
      <c r="Z3004" s="122"/>
    </row>
    <row r="3005" spans="1:26" ht="12.75" hidden="1">
      <c r="A3005" s="109"/>
      <c r="B3005" s="109"/>
      <c r="C3005" s="109"/>
      <c r="D3005" s="109"/>
      <c r="E3005" s="109"/>
      <c r="F3005" s="109"/>
      <c r="G3005" s="109"/>
      <c r="H3005" s="109"/>
      <c r="I3005" s="109"/>
      <c r="J3005" s="109"/>
      <c r="L3005" s="109"/>
      <c r="M3005" s="109"/>
      <c r="N3005" s="109"/>
      <c r="Q3005" s="121"/>
      <c r="W3005" s="109"/>
      <c r="Z3005" s="122"/>
    </row>
    <row r="3006" spans="1:26" ht="12.75" hidden="1">
      <c r="A3006" s="109"/>
      <c r="B3006" s="109"/>
      <c r="C3006" s="109"/>
      <c r="D3006" s="109"/>
      <c r="E3006" s="109"/>
      <c r="F3006" s="109"/>
      <c r="G3006" s="109"/>
      <c r="H3006" s="109"/>
      <c r="I3006" s="109"/>
      <c r="J3006" s="109"/>
      <c r="L3006" s="109"/>
      <c r="M3006" s="109"/>
      <c r="N3006" s="109"/>
      <c r="Q3006" s="121"/>
      <c r="W3006" s="109"/>
    </row>
    <row r="3007" spans="1:26" ht="12.75" hidden="1">
      <c r="A3007" s="109"/>
      <c r="B3007" s="109"/>
      <c r="C3007" s="109"/>
      <c r="D3007" s="109"/>
      <c r="E3007" s="109"/>
      <c r="F3007" s="109"/>
      <c r="G3007" s="109"/>
      <c r="H3007" s="109"/>
      <c r="I3007" s="109"/>
      <c r="J3007" s="109"/>
      <c r="L3007" s="109"/>
      <c r="M3007" s="109"/>
      <c r="N3007" s="109"/>
      <c r="Q3007" s="121"/>
      <c r="W3007" s="109"/>
    </row>
    <row r="3008" spans="1:26" ht="12.75" hidden="1">
      <c r="A3008" s="109"/>
      <c r="B3008" s="109"/>
      <c r="C3008" s="109"/>
      <c r="D3008" s="109"/>
      <c r="E3008" s="109"/>
      <c r="F3008" s="109"/>
      <c r="G3008" s="109"/>
      <c r="H3008" s="109"/>
      <c r="I3008" s="109"/>
      <c r="J3008" s="109"/>
      <c r="L3008" s="109"/>
      <c r="M3008" s="109"/>
      <c r="N3008" s="109"/>
      <c r="Q3008" s="121"/>
      <c r="W3008" s="109"/>
    </row>
    <row r="3009" spans="1:23" ht="12.75" hidden="1">
      <c r="A3009" s="109"/>
      <c r="B3009" s="109"/>
      <c r="C3009" s="109"/>
      <c r="D3009" s="109"/>
      <c r="E3009" s="109"/>
      <c r="F3009" s="109"/>
      <c r="G3009" s="109"/>
      <c r="H3009" s="109"/>
      <c r="I3009" s="109"/>
      <c r="J3009" s="109"/>
      <c r="L3009" s="109"/>
      <c r="M3009" s="109"/>
      <c r="N3009" s="109"/>
      <c r="Q3009" s="121"/>
      <c r="W3009" s="109"/>
    </row>
    <row r="3010" spans="1:23" ht="12.75" hidden="1">
      <c r="A3010" s="109"/>
      <c r="B3010" s="109"/>
      <c r="C3010" s="109"/>
      <c r="D3010" s="109"/>
      <c r="E3010" s="109"/>
      <c r="F3010" s="109"/>
      <c r="G3010" s="109"/>
      <c r="H3010" s="109"/>
      <c r="I3010" s="109"/>
      <c r="J3010" s="109"/>
      <c r="L3010" s="109"/>
      <c r="M3010" s="109"/>
      <c r="N3010" s="109"/>
      <c r="Q3010" s="121"/>
      <c r="W3010" s="109"/>
    </row>
    <row r="3011" spans="1:23" ht="12.75" hidden="1">
      <c r="A3011" s="109"/>
      <c r="B3011" s="109"/>
      <c r="C3011" s="109"/>
      <c r="D3011" s="109"/>
      <c r="E3011" s="109"/>
      <c r="F3011" s="109"/>
      <c r="G3011" s="109"/>
      <c r="H3011" s="109"/>
      <c r="I3011" s="109"/>
      <c r="J3011" s="109"/>
      <c r="L3011" s="109"/>
      <c r="M3011" s="109"/>
      <c r="N3011" s="109"/>
      <c r="Q3011" s="121"/>
      <c r="W3011" s="109"/>
    </row>
    <row r="3012" spans="1:23" ht="12.75" hidden="1">
      <c r="A3012" s="109"/>
      <c r="B3012" s="109"/>
      <c r="C3012" s="109"/>
      <c r="D3012" s="109"/>
      <c r="E3012" s="109"/>
      <c r="F3012" s="109"/>
      <c r="G3012" s="109"/>
      <c r="H3012" s="109"/>
      <c r="I3012" s="109"/>
      <c r="J3012" s="109"/>
      <c r="L3012" s="109"/>
      <c r="M3012" s="109"/>
      <c r="N3012" s="109"/>
      <c r="Q3012" s="121"/>
      <c r="W3012" s="109"/>
    </row>
    <row r="3013" spans="1:23" ht="12.75" hidden="1">
      <c r="A3013" s="109"/>
      <c r="B3013" s="109"/>
      <c r="C3013" s="109"/>
      <c r="D3013" s="109"/>
      <c r="E3013" s="109"/>
      <c r="F3013" s="109"/>
      <c r="G3013" s="109"/>
      <c r="H3013" s="109"/>
      <c r="I3013" s="109"/>
      <c r="J3013" s="109"/>
      <c r="L3013" s="109"/>
      <c r="M3013" s="109"/>
      <c r="N3013" s="109"/>
      <c r="Q3013" s="121"/>
      <c r="W3013" s="109"/>
    </row>
    <row r="3014" spans="1:23" ht="12.75" hidden="1">
      <c r="A3014" s="109"/>
      <c r="B3014" s="109"/>
      <c r="C3014" s="109"/>
      <c r="D3014" s="109"/>
      <c r="E3014" s="109"/>
      <c r="F3014" s="109"/>
      <c r="G3014" s="109"/>
      <c r="H3014" s="109"/>
      <c r="I3014" s="109"/>
      <c r="J3014" s="109"/>
      <c r="L3014" s="109"/>
      <c r="M3014" s="109"/>
      <c r="N3014" s="109"/>
      <c r="Q3014" s="121"/>
      <c r="W3014" s="109"/>
    </row>
    <row r="3015" spans="1:23" ht="12.75" hidden="1">
      <c r="A3015" s="109"/>
      <c r="B3015" s="109"/>
      <c r="C3015" s="109"/>
      <c r="D3015" s="109"/>
      <c r="E3015" s="109"/>
      <c r="F3015" s="109"/>
      <c r="G3015" s="109"/>
      <c r="H3015" s="109"/>
      <c r="I3015" s="109"/>
      <c r="J3015" s="109"/>
      <c r="L3015" s="109"/>
      <c r="M3015" s="109"/>
      <c r="N3015" s="109"/>
      <c r="Q3015" s="121"/>
      <c r="W3015" s="109"/>
    </row>
    <row r="3016" spans="1:23" ht="12.75" hidden="1">
      <c r="A3016" s="109"/>
      <c r="B3016" s="109"/>
      <c r="C3016" s="109"/>
      <c r="D3016" s="109"/>
      <c r="E3016" s="109"/>
      <c r="F3016" s="109"/>
      <c r="G3016" s="109"/>
      <c r="H3016" s="109"/>
      <c r="I3016" s="109"/>
      <c r="J3016" s="109"/>
      <c r="L3016" s="109"/>
      <c r="M3016" s="109"/>
      <c r="N3016" s="109"/>
      <c r="Q3016" s="121"/>
      <c r="W3016" s="109"/>
    </row>
    <row r="3017" spans="1:23" ht="12.75" hidden="1">
      <c r="A3017" s="109"/>
      <c r="B3017" s="109"/>
      <c r="C3017" s="109"/>
      <c r="D3017" s="109"/>
      <c r="E3017" s="109"/>
      <c r="F3017" s="109"/>
      <c r="G3017" s="109"/>
      <c r="H3017" s="109"/>
      <c r="I3017" s="109"/>
      <c r="J3017" s="109"/>
      <c r="L3017" s="109"/>
      <c r="M3017" s="109"/>
      <c r="N3017" s="109"/>
      <c r="Q3017" s="121"/>
      <c r="W3017" s="109"/>
    </row>
    <row r="3018" spans="1:23" ht="12.75" hidden="1">
      <c r="A3018" s="109"/>
      <c r="B3018" s="109"/>
      <c r="C3018" s="109"/>
      <c r="D3018" s="109"/>
      <c r="E3018" s="109"/>
      <c r="F3018" s="109"/>
      <c r="G3018" s="109"/>
      <c r="H3018" s="109"/>
      <c r="I3018" s="109"/>
      <c r="J3018" s="109"/>
      <c r="L3018" s="109"/>
      <c r="M3018" s="109"/>
      <c r="N3018" s="109"/>
      <c r="Q3018" s="121"/>
      <c r="W3018" s="109"/>
    </row>
    <row r="3019" spans="1:23" ht="12.75" hidden="1">
      <c r="A3019" s="109"/>
      <c r="B3019" s="109"/>
      <c r="C3019" s="109"/>
      <c r="D3019" s="109"/>
      <c r="E3019" s="109"/>
      <c r="F3019" s="109"/>
      <c r="G3019" s="109"/>
      <c r="H3019" s="109"/>
      <c r="I3019" s="109"/>
      <c r="J3019" s="109"/>
      <c r="L3019" s="109"/>
      <c r="M3019" s="109"/>
      <c r="N3019" s="109"/>
      <c r="Q3019" s="121"/>
      <c r="W3019" s="109"/>
    </row>
    <row r="3020" spans="1:23" ht="12.75" hidden="1">
      <c r="A3020" s="109"/>
      <c r="B3020" s="109"/>
      <c r="C3020" s="109"/>
      <c r="D3020" s="109"/>
      <c r="E3020" s="109"/>
      <c r="F3020" s="109"/>
      <c r="G3020" s="109"/>
      <c r="H3020" s="109"/>
      <c r="I3020" s="109"/>
      <c r="J3020" s="109"/>
      <c r="L3020" s="109"/>
      <c r="M3020" s="109"/>
      <c r="N3020" s="109"/>
      <c r="Q3020" s="121"/>
      <c r="W3020" s="109"/>
    </row>
    <row r="3021" spans="1:23" ht="12.75" hidden="1">
      <c r="A3021" s="109"/>
      <c r="B3021" s="109"/>
      <c r="C3021" s="109"/>
      <c r="D3021" s="109"/>
      <c r="E3021" s="109"/>
      <c r="F3021" s="109"/>
      <c r="G3021" s="109"/>
      <c r="H3021" s="109"/>
      <c r="I3021" s="109"/>
      <c r="J3021" s="109"/>
      <c r="L3021" s="109"/>
      <c r="M3021" s="109"/>
      <c r="N3021" s="109"/>
      <c r="Q3021" s="121"/>
      <c r="W3021" s="109"/>
    </row>
    <row r="3022" spans="1:23" ht="12.75" hidden="1">
      <c r="A3022" s="109"/>
      <c r="B3022" s="109"/>
      <c r="C3022" s="109"/>
      <c r="D3022" s="109"/>
      <c r="E3022" s="109"/>
      <c r="F3022" s="109"/>
      <c r="G3022" s="109"/>
      <c r="H3022" s="109"/>
      <c r="I3022" s="109"/>
      <c r="J3022" s="109"/>
      <c r="L3022" s="109"/>
      <c r="M3022" s="109"/>
      <c r="N3022" s="109"/>
      <c r="Q3022" s="121"/>
      <c r="W3022" s="109"/>
    </row>
    <row r="3023" spans="1:23" ht="12.75" hidden="1">
      <c r="A3023" s="109"/>
      <c r="B3023" s="109"/>
      <c r="C3023" s="109"/>
      <c r="D3023" s="109"/>
      <c r="E3023" s="109"/>
      <c r="F3023" s="109"/>
      <c r="G3023" s="109"/>
      <c r="H3023" s="109"/>
      <c r="I3023" s="109"/>
      <c r="J3023" s="109"/>
      <c r="L3023" s="109"/>
      <c r="M3023" s="109"/>
      <c r="N3023" s="109"/>
      <c r="Q3023" s="121"/>
      <c r="W3023" s="109"/>
    </row>
    <row r="3024" spans="1:23" ht="12.75" hidden="1">
      <c r="A3024" s="109"/>
      <c r="B3024" s="109"/>
      <c r="C3024" s="109"/>
      <c r="D3024" s="109"/>
      <c r="E3024" s="109"/>
      <c r="F3024" s="109"/>
      <c r="G3024" s="109"/>
      <c r="H3024" s="109"/>
      <c r="I3024" s="109"/>
      <c r="J3024" s="109"/>
      <c r="L3024" s="109"/>
      <c r="M3024" s="109"/>
      <c r="N3024" s="109"/>
      <c r="Q3024" s="121"/>
      <c r="W3024" s="109"/>
    </row>
    <row r="3025" spans="1:23" ht="12.75" hidden="1">
      <c r="A3025" s="109"/>
      <c r="B3025" s="109"/>
      <c r="C3025" s="109"/>
      <c r="D3025" s="109"/>
      <c r="E3025" s="109"/>
      <c r="F3025" s="109"/>
      <c r="G3025" s="109"/>
      <c r="H3025" s="109"/>
      <c r="I3025" s="109"/>
      <c r="J3025" s="109"/>
      <c r="L3025" s="109"/>
      <c r="M3025" s="109"/>
      <c r="N3025" s="109"/>
      <c r="Q3025" s="121"/>
      <c r="W3025" s="109"/>
    </row>
    <row r="3026" spans="1:23" ht="12.75" hidden="1">
      <c r="A3026" s="109"/>
      <c r="B3026" s="109"/>
      <c r="C3026" s="109"/>
      <c r="D3026" s="109"/>
      <c r="E3026" s="109"/>
      <c r="F3026" s="109"/>
      <c r="G3026" s="109"/>
      <c r="H3026" s="109"/>
      <c r="I3026" s="109"/>
      <c r="J3026" s="109"/>
      <c r="L3026" s="109"/>
      <c r="M3026" s="109"/>
      <c r="N3026" s="109"/>
      <c r="Q3026" s="121"/>
      <c r="W3026" s="109"/>
    </row>
    <row r="3027" spans="1:23" ht="12.75" hidden="1">
      <c r="A3027" s="109"/>
      <c r="B3027" s="109"/>
      <c r="C3027" s="109"/>
      <c r="D3027" s="109"/>
      <c r="E3027" s="109"/>
      <c r="F3027" s="109"/>
      <c r="G3027" s="109"/>
      <c r="H3027" s="109"/>
      <c r="I3027" s="109"/>
      <c r="J3027" s="109"/>
      <c r="L3027" s="109"/>
      <c r="M3027" s="109"/>
      <c r="N3027" s="109"/>
      <c r="Q3027" s="121"/>
      <c r="W3027" s="109"/>
    </row>
    <row r="3028" spans="1:23" ht="12.75" hidden="1">
      <c r="A3028" s="109"/>
      <c r="B3028" s="109"/>
      <c r="C3028" s="109"/>
      <c r="D3028" s="109"/>
      <c r="E3028" s="109"/>
      <c r="F3028" s="109"/>
      <c r="G3028" s="109"/>
      <c r="H3028" s="109"/>
      <c r="I3028" s="109"/>
      <c r="J3028" s="109"/>
      <c r="L3028" s="109"/>
      <c r="M3028" s="109"/>
      <c r="N3028" s="109"/>
      <c r="Q3028" s="121"/>
      <c r="W3028" s="109"/>
    </row>
    <row r="3029" spans="1:23" ht="12.75" hidden="1">
      <c r="A3029" s="109"/>
      <c r="B3029" s="109"/>
      <c r="C3029" s="109"/>
      <c r="D3029" s="109"/>
      <c r="E3029" s="109"/>
      <c r="F3029" s="109"/>
      <c r="G3029" s="109"/>
      <c r="H3029" s="109"/>
      <c r="I3029" s="109"/>
      <c r="J3029" s="109"/>
      <c r="L3029" s="109"/>
      <c r="M3029" s="109"/>
      <c r="N3029" s="109"/>
      <c r="Q3029" s="121"/>
      <c r="W3029" s="109"/>
    </row>
    <row r="3030" spans="1:23" ht="12.75" hidden="1">
      <c r="A3030" s="109"/>
      <c r="B3030" s="109"/>
      <c r="C3030" s="109"/>
      <c r="D3030" s="109"/>
      <c r="E3030" s="109"/>
      <c r="F3030" s="109"/>
      <c r="G3030" s="109"/>
      <c r="H3030" s="109"/>
      <c r="I3030" s="109"/>
      <c r="J3030" s="109"/>
      <c r="L3030" s="109"/>
      <c r="M3030" s="109"/>
      <c r="N3030" s="109"/>
      <c r="Q3030" s="121"/>
      <c r="W3030" s="109"/>
    </row>
    <row r="3031" spans="1:23" ht="12.75" hidden="1">
      <c r="A3031" s="109"/>
      <c r="B3031" s="109"/>
      <c r="C3031" s="109"/>
      <c r="D3031" s="109"/>
      <c r="E3031" s="109"/>
      <c r="F3031" s="109"/>
      <c r="G3031" s="109"/>
      <c r="H3031" s="109"/>
      <c r="I3031" s="109"/>
      <c r="J3031" s="109"/>
      <c r="L3031" s="109"/>
      <c r="M3031" s="109"/>
      <c r="N3031" s="109"/>
      <c r="Q3031" s="121"/>
      <c r="W3031" s="109"/>
    </row>
    <row r="3032" spans="1:23" ht="12.75" hidden="1">
      <c r="A3032" s="109"/>
      <c r="B3032" s="109"/>
      <c r="C3032" s="109"/>
      <c r="D3032" s="109"/>
      <c r="E3032" s="109"/>
      <c r="F3032" s="109"/>
      <c r="G3032" s="109"/>
      <c r="H3032" s="109"/>
      <c r="I3032" s="109"/>
      <c r="J3032" s="109"/>
      <c r="L3032" s="109"/>
      <c r="M3032" s="109"/>
      <c r="N3032" s="109"/>
      <c r="Q3032" s="121"/>
      <c r="W3032" s="109"/>
    </row>
    <row r="3033" spans="1:23" ht="12.75" hidden="1">
      <c r="A3033" s="109"/>
      <c r="B3033" s="109"/>
      <c r="C3033" s="109"/>
      <c r="D3033" s="109"/>
      <c r="E3033" s="109"/>
      <c r="F3033" s="109"/>
      <c r="G3033" s="109"/>
      <c r="H3033" s="109"/>
      <c r="I3033" s="109"/>
      <c r="J3033" s="109"/>
      <c r="L3033" s="109"/>
      <c r="M3033" s="109"/>
      <c r="N3033" s="109"/>
      <c r="Q3033" s="121"/>
      <c r="W3033" s="109"/>
    </row>
    <row r="3034" spans="1:23" ht="12.75" hidden="1">
      <c r="A3034" s="109"/>
      <c r="B3034" s="109"/>
      <c r="C3034" s="109"/>
      <c r="D3034" s="109"/>
      <c r="E3034" s="109"/>
      <c r="F3034" s="109"/>
      <c r="G3034" s="109"/>
      <c r="H3034" s="109"/>
      <c r="I3034" s="109"/>
      <c r="J3034" s="109"/>
      <c r="L3034" s="109"/>
      <c r="M3034" s="109"/>
      <c r="N3034" s="109"/>
      <c r="Q3034" s="121"/>
      <c r="W3034" s="109"/>
    </row>
    <row r="3035" spans="1:23" ht="12.75" hidden="1">
      <c r="A3035" s="109"/>
      <c r="B3035" s="109"/>
      <c r="C3035" s="109"/>
      <c r="D3035" s="109"/>
      <c r="E3035" s="109"/>
      <c r="F3035" s="109"/>
      <c r="G3035" s="109"/>
      <c r="H3035" s="109"/>
      <c r="I3035" s="109"/>
      <c r="J3035" s="109"/>
      <c r="L3035" s="109"/>
      <c r="M3035" s="109"/>
      <c r="N3035" s="109"/>
      <c r="Q3035" s="121"/>
      <c r="W3035" s="109"/>
    </row>
    <row r="3036" spans="1:23" ht="12.75" hidden="1">
      <c r="A3036" s="109"/>
      <c r="B3036" s="109"/>
      <c r="C3036" s="109"/>
      <c r="D3036" s="109"/>
      <c r="E3036" s="109"/>
      <c r="F3036" s="109"/>
      <c r="G3036" s="109"/>
      <c r="H3036" s="109"/>
      <c r="I3036" s="109"/>
      <c r="J3036" s="109"/>
      <c r="L3036" s="109"/>
      <c r="M3036" s="109"/>
      <c r="N3036" s="109"/>
      <c r="Q3036" s="121"/>
      <c r="W3036" s="109"/>
    </row>
    <row r="3037" spans="1:23" ht="12.75" hidden="1">
      <c r="A3037" s="109"/>
      <c r="B3037" s="109"/>
      <c r="C3037" s="109"/>
      <c r="D3037" s="109"/>
      <c r="E3037" s="109"/>
      <c r="F3037" s="109"/>
      <c r="G3037" s="109"/>
      <c r="H3037" s="109"/>
      <c r="I3037" s="109"/>
      <c r="J3037" s="109"/>
      <c r="L3037" s="109"/>
      <c r="M3037" s="109"/>
      <c r="N3037" s="109"/>
      <c r="Q3037" s="121"/>
      <c r="W3037" s="109"/>
    </row>
    <row r="3038" spans="1:23" ht="12.75" hidden="1">
      <c r="A3038" s="109"/>
      <c r="B3038" s="109"/>
      <c r="C3038" s="109"/>
      <c r="D3038" s="109"/>
      <c r="E3038" s="109"/>
      <c r="F3038" s="109"/>
      <c r="G3038" s="109"/>
      <c r="H3038" s="109"/>
      <c r="I3038" s="109"/>
      <c r="J3038" s="109"/>
      <c r="L3038" s="109"/>
      <c r="M3038" s="109"/>
      <c r="N3038" s="109"/>
      <c r="Q3038" s="121"/>
      <c r="W3038" s="109"/>
    </row>
    <row r="3039" spans="1:23" ht="12.75" hidden="1">
      <c r="A3039" s="109"/>
      <c r="B3039" s="109"/>
      <c r="C3039" s="109"/>
      <c r="D3039" s="109"/>
      <c r="E3039" s="109"/>
      <c r="F3039" s="109"/>
      <c r="G3039" s="109"/>
      <c r="H3039" s="109"/>
      <c r="I3039" s="109"/>
      <c r="J3039" s="109"/>
      <c r="L3039" s="109"/>
      <c r="M3039" s="109"/>
      <c r="N3039" s="109"/>
      <c r="Q3039" s="121"/>
      <c r="W3039" s="109"/>
    </row>
    <row r="3040" spans="1:23" ht="12.75" hidden="1">
      <c r="A3040" s="109"/>
      <c r="B3040" s="109"/>
      <c r="C3040" s="109"/>
      <c r="D3040" s="109"/>
      <c r="E3040" s="109"/>
      <c r="F3040" s="109"/>
      <c r="G3040" s="109"/>
      <c r="H3040" s="109"/>
      <c r="I3040" s="109"/>
      <c r="J3040" s="109"/>
      <c r="L3040" s="109"/>
      <c r="M3040" s="109"/>
      <c r="N3040" s="109"/>
      <c r="Q3040" s="121"/>
      <c r="W3040" s="109"/>
    </row>
    <row r="3041" spans="1:23" ht="12.75" hidden="1">
      <c r="A3041" s="109"/>
      <c r="B3041" s="109"/>
      <c r="C3041" s="109"/>
      <c r="D3041" s="109"/>
      <c r="E3041" s="109"/>
      <c r="F3041" s="109"/>
      <c r="G3041" s="109"/>
      <c r="H3041" s="109"/>
      <c r="I3041" s="109"/>
      <c r="J3041" s="109"/>
      <c r="L3041" s="109"/>
      <c r="M3041" s="109"/>
      <c r="N3041" s="109"/>
      <c r="Q3041" s="121"/>
      <c r="W3041" s="109"/>
    </row>
    <row r="3042" spans="1:23" ht="12.75" hidden="1">
      <c r="A3042" s="109"/>
      <c r="B3042" s="109"/>
      <c r="C3042" s="109"/>
      <c r="D3042" s="109"/>
      <c r="E3042" s="109"/>
      <c r="F3042" s="109"/>
      <c r="G3042" s="109"/>
      <c r="H3042" s="109"/>
      <c r="I3042" s="109"/>
      <c r="J3042" s="109"/>
      <c r="L3042" s="109"/>
      <c r="M3042" s="109"/>
      <c r="N3042" s="109"/>
      <c r="Q3042" s="121"/>
      <c r="W3042" s="109"/>
    </row>
    <row r="3043" spans="1:23" ht="12.75" hidden="1">
      <c r="A3043" s="109"/>
      <c r="B3043" s="109"/>
      <c r="C3043" s="109"/>
      <c r="D3043" s="109"/>
      <c r="E3043" s="109"/>
      <c r="F3043" s="109"/>
      <c r="G3043" s="109"/>
      <c r="H3043" s="109"/>
      <c r="I3043" s="109"/>
      <c r="J3043" s="109"/>
      <c r="L3043" s="109"/>
      <c r="M3043" s="109"/>
      <c r="N3043" s="109"/>
      <c r="Q3043" s="121"/>
      <c r="W3043" s="109"/>
    </row>
    <row r="3044" spans="1:23" ht="12.75" hidden="1">
      <c r="A3044" s="109"/>
      <c r="B3044" s="109"/>
      <c r="C3044" s="109"/>
      <c r="D3044" s="109"/>
      <c r="E3044" s="109"/>
      <c r="F3044" s="109"/>
      <c r="G3044" s="109"/>
      <c r="H3044" s="109"/>
      <c r="I3044" s="109"/>
      <c r="J3044" s="109"/>
      <c r="L3044" s="109"/>
      <c r="M3044" s="109"/>
      <c r="N3044" s="109"/>
      <c r="Q3044" s="121"/>
      <c r="W3044" s="109"/>
    </row>
    <row r="3045" spans="1:23" ht="12.75" hidden="1">
      <c r="A3045" s="109"/>
      <c r="B3045" s="109"/>
      <c r="C3045" s="109"/>
      <c r="D3045" s="109"/>
      <c r="E3045" s="109"/>
      <c r="F3045" s="109"/>
      <c r="G3045" s="109"/>
      <c r="H3045" s="109"/>
      <c r="I3045" s="109"/>
      <c r="J3045" s="109"/>
      <c r="L3045" s="109"/>
      <c r="M3045" s="109"/>
      <c r="N3045" s="109"/>
      <c r="Q3045" s="121"/>
      <c r="W3045" s="109"/>
    </row>
    <row r="3046" spans="1:23" ht="12.75" hidden="1">
      <c r="A3046" s="109"/>
      <c r="B3046" s="109"/>
      <c r="C3046" s="109"/>
      <c r="D3046" s="109"/>
      <c r="E3046" s="109"/>
      <c r="F3046" s="109"/>
      <c r="G3046" s="109"/>
      <c r="H3046" s="109"/>
      <c r="I3046" s="109"/>
      <c r="J3046" s="109"/>
      <c r="L3046" s="109"/>
      <c r="M3046" s="109"/>
      <c r="N3046" s="109"/>
      <c r="Q3046" s="121"/>
      <c r="W3046" s="109"/>
    </row>
    <row r="3047" spans="1:23" ht="12.75" hidden="1">
      <c r="A3047" s="109"/>
      <c r="B3047" s="109"/>
      <c r="C3047" s="109"/>
      <c r="D3047" s="109"/>
      <c r="E3047" s="109"/>
      <c r="F3047" s="109"/>
      <c r="G3047" s="109"/>
      <c r="H3047" s="109"/>
      <c r="I3047" s="109"/>
      <c r="J3047" s="109"/>
      <c r="L3047" s="109"/>
      <c r="M3047" s="109"/>
      <c r="N3047" s="109"/>
      <c r="Q3047" s="121"/>
      <c r="W3047" s="109"/>
    </row>
    <row r="3048" spans="1:23" ht="12.75" hidden="1">
      <c r="A3048" s="109"/>
      <c r="B3048" s="109"/>
      <c r="C3048" s="109"/>
      <c r="D3048" s="109"/>
      <c r="E3048" s="109"/>
      <c r="F3048" s="109"/>
      <c r="G3048" s="109"/>
      <c r="H3048" s="109"/>
      <c r="I3048" s="109"/>
      <c r="J3048" s="109"/>
      <c r="L3048" s="109"/>
      <c r="M3048" s="109"/>
      <c r="N3048" s="109"/>
      <c r="Q3048" s="121"/>
      <c r="W3048" s="109"/>
    </row>
    <row r="3049" spans="1:23" ht="12.75" hidden="1">
      <c r="A3049" s="109"/>
      <c r="B3049" s="109"/>
      <c r="C3049" s="109"/>
      <c r="D3049" s="109"/>
      <c r="E3049" s="109"/>
      <c r="F3049" s="109"/>
      <c r="G3049" s="109"/>
      <c r="H3049" s="109"/>
      <c r="I3049" s="109"/>
      <c r="J3049" s="109"/>
      <c r="L3049" s="109"/>
      <c r="M3049" s="109"/>
      <c r="N3049" s="109"/>
      <c r="Q3049" s="121"/>
      <c r="W3049" s="109"/>
    </row>
    <row r="3050" spans="1:23" ht="12.75" hidden="1">
      <c r="A3050" s="109"/>
      <c r="B3050" s="109"/>
      <c r="C3050" s="109"/>
      <c r="D3050" s="109"/>
      <c r="E3050" s="109"/>
      <c r="F3050" s="109"/>
      <c r="G3050" s="109"/>
      <c r="H3050" s="109"/>
      <c r="I3050" s="109"/>
      <c r="J3050" s="109"/>
      <c r="L3050" s="109"/>
      <c r="M3050" s="109"/>
      <c r="N3050" s="109"/>
      <c r="Q3050" s="121"/>
      <c r="W3050" s="109"/>
    </row>
    <row r="3051" spans="1:23" ht="12.75" hidden="1">
      <c r="A3051" s="109"/>
      <c r="B3051" s="109"/>
      <c r="C3051" s="109"/>
      <c r="D3051" s="109"/>
      <c r="E3051" s="109"/>
      <c r="F3051" s="109"/>
      <c r="G3051" s="109"/>
      <c r="H3051" s="109"/>
      <c r="I3051" s="109"/>
      <c r="J3051" s="109"/>
      <c r="L3051" s="109"/>
      <c r="M3051" s="109"/>
      <c r="N3051" s="109"/>
      <c r="Q3051" s="121"/>
      <c r="W3051" s="109"/>
    </row>
    <row r="3052" spans="1:23" ht="12.75" hidden="1">
      <c r="A3052" s="109"/>
      <c r="B3052" s="109"/>
      <c r="C3052" s="109"/>
      <c r="D3052" s="109"/>
      <c r="E3052" s="109"/>
      <c r="F3052" s="109"/>
      <c r="G3052" s="109"/>
      <c r="H3052" s="109"/>
      <c r="I3052" s="109"/>
      <c r="J3052" s="109"/>
      <c r="L3052" s="109"/>
      <c r="M3052" s="109"/>
      <c r="N3052" s="109"/>
      <c r="Q3052" s="121"/>
      <c r="W3052" s="109"/>
    </row>
    <row r="3053" spans="1:23" ht="12.75" hidden="1">
      <c r="A3053" s="109"/>
      <c r="B3053" s="109"/>
      <c r="C3053" s="109"/>
      <c r="D3053" s="109"/>
      <c r="E3053" s="109"/>
      <c r="F3053" s="109"/>
      <c r="G3053" s="109"/>
      <c r="H3053" s="109"/>
      <c r="I3053" s="109"/>
      <c r="J3053" s="109"/>
      <c r="L3053" s="109"/>
      <c r="M3053" s="109"/>
      <c r="N3053" s="109"/>
      <c r="Q3053" s="121"/>
      <c r="W3053" s="109"/>
    </row>
    <row r="3054" spans="1:23" ht="12.75" hidden="1">
      <c r="A3054" s="109"/>
      <c r="B3054" s="109"/>
      <c r="C3054" s="109"/>
      <c r="D3054" s="109"/>
      <c r="E3054" s="109"/>
      <c r="F3054" s="109"/>
      <c r="G3054" s="109"/>
      <c r="H3054" s="109"/>
      <c r="I3054" s="109"/>
      <c r="J3054" s="109"/>
      <c r="L3054" s="109"/>
      <c r="M3054" s="109"/>
      <c r="N3054" s="109"/>
      <c r="Q3054" s="121"/>
      <c r="W3054" s="109"/>
    </row>
    <row r="3055" spans="1:23" ht="12.75" hidden="1">
      <c r="A3055" s="109"/>
      <c r="B3055" s="109"/>
      <c r="C3055" s="109"/>
      <c r="D3055" s="109"/>
      <c r="E3055" s="109"/>
      <c r="F3055" s="109"/>
      <c r="G3055" s="109"/>
      <c r="H3055" s="109"/>
      <c r="I3055" s="109"/>
      <c r="J3055" s="109"/>
      <c r="L3055" s="109"/>
      <c r="M3055" s="109"/>
      <c r="N3055" s="109"/>
      <c r="Q3055" s="121"/>
      <c r="W3055" s="109"/>
    </row>
    <row r="3056" spans="1:23" ht="12.75" hidden="1">
      <c r="A3056" s="109"/>
      <c r="B3056" s="109"/>
      <c r="C3056" s="109"/>
      <c r="D3056" s="109"/>
      <c r="E3056" s="109"/>
      <c r="F3056" s="109"/>
      <c r="G3056" s="109"/>
      <c r="H3056" s="109"/>
      <c r="I3056" s="109"/>
      <c r="J3056" s="109"/>
      <c r="L3056" s="109"/>
      <c r="M3056" s="109"/>
      <c r="N3056" s="109"/>
      <c r="Q3056" s="121"/>
      <c r="W3056" s="109"/>
    </row>
    <row r="3057" spans="1:23" ht="12.75" hidden="1">
      <c r="A3057" s="109"/>
      <c r="B3057" s="109"/>
      <c r="C3057" s="109"/>
      <c r="D3057" s="109"/>
      <c r="E3057" s="109"/>
      <c r="F3057" s="109"/>
      <c r="G3057" s="109"/>
      <c r="H3057" s="109"/>
      <c r="I3057" s="109"/>
      <c r="J3057" s="109"/>
      <c r="L3057" s="109"/>
      <c r="M3057" s="109"/>
      <c r="N3057" s="109"/>
      <c r="Q3057" s="121"/>
      <c r="W3057" s="109"/>
    </row>
    <row r="3058" spans="1:23" ht="12.75" hidden="1">
      <c r="A3058" s="109"/>
      <c r="B3058" s="109"/>
      <c r="C3058" s="109"/>
      <c r="D3058" s="109"/>
      <c r="E3058" s="109"/>
      <c r="F3058" s="109"/>
      <c r="G3058" s="109"/>
      <c r="H3058" s="109"/>
      <c r="I3058" s="109"/>
      <c r="J3058" s="109"/>
      <c r="L3058" s="109"/>
      <c r="M3058" s="109"/>
      <c r="N3058" s="109"/>
      <c r="Q3058" s="121"/>
      <c r="W3058" s="109"/>
    </row>
    <row r="3059" spans="1:23" ht="12.75" hidden="1">
      <c r="A3059" s="109"/>
      <c r="B3059" s="109"/>
      <c r="C3059" s="109"/>
      <c r="D3059" s="109"/>
      <c r="E3059" s="109"/>
      <c r="F3059" s="109"/>
      <c r="G3059" s="109"/>
      <c r="H3059" s="109"/>
      <c r="I3059" s="109"/>
      <c r="J3059" s="109"/>
      <c r="L3059" s="109"/>
      <c r="M3059" s="109"/>
      <c r="N3059" s="109"/>
      <c r="Q3059" s="121"/>
      <c r="W3059" s="109"/>
    </row>
    <row r="3060" spans="1:23" ht="12.75" hidden="1">
      <c r="A3060" s="109"/>
      <c r="B3060" s="109"/>
      <c r="C3060" s="109"/>
      <c r="D3060" s="109"/>
      <c r="E3060" s="109"/>
      <c r="F3060" s="109"/>
      <c r="G3060" s="109"/>
      <c r="H3060" s="109"/>
      <c r="I3060" s="109"/>
      <c r="J3060" s="109"/>
      <c r="L3060" s="109"/>
      <c r="M3060" s="109"/>
      <c r="N3060" s="109"/>
      <c r="Q3060" s="121"/>
      <c r="W3060" s="109"/>
    </row>
    <row r="3061" spans="1:23" ht="12.75" hidden="1">
      <c r="A3061" s="109"/>
      <c r="B3061" s="109"/>
      <c r="C3061" s="109"/>
      <c r="D3061" s="109"/>
      <c r="E3061" s="109"/>
      <c r="F3061" s="109"/>
      <c r="G3061" s="109"/>
      <c r="H3061" s="109"/>
      <c r="I3061" s="109"/>
      <c r="J3061" s="109"/>
      <c r="L3061" s="109"/>
      <c r="M3061" s="109"/>
      <c r="N3061" s="109"/>
      <c r="Q3061" s="121"/>
      <c r="W3061" s="109"/>
    </row>
    <row r="3062" spans="1:23" ht="12.75" hidden="1">
      <c r="A3062" s="109"/>
      <c r="B3062" s="109"/>
      <c r="C3062" s="109"/>
      <c r="D3062" s="109"/>
      <c r="E3062" s="109"/>
      <c r="F3062" s="109"/>
      <c r="G3062" s="109"/>
      <c r="H3062" s="109"/>
      <c r="I3062" s="109"/>
      <c r="J3062" s="109"/>
      <c r="L3062" s="109"/>
      <c r="M3062" s="109"/>
      <c r="N3062" s="109"/>
      <c r="Q3062" s="121"/>
      <c r="W3062" s="109"/>
    </row>
    <row r="3063" spans="1:23" ht="12.75" hidden="1">
      <c r="A3063" s="109"/>
      <c r="B3063" s="109"/>
      <c r="C3063" s="109"/>
      <c r="D3063" s="109"/>
      <c r="E3063" s="109"/>
      <c r="F3063" s="109"/>
      <c r="G3063" s="109"/>
      <c r="H3063" s="109"/>
      <c r="I3063" s="109"/>
      <c r="J3063" s="109"/>
      <c r="L3063" s="109"/>
      <c r="M3063" s="109"/>
      <c r="N3063" s="109"/>
      <c r="Q3063" s="121"/>
      <c r="W3063" s="109"/>
    </row>
    <row r="3064" spans="1:23" ht="12.75" hidden="1">
      <c r="A3064" s="109"/>
      <c r="B3064" s="109"/>
      <c r="C3064" s="109"/>
      <c r="D3064" s="109"/>
      <c r="E3064" s="109"/>
      <c r="F3064" s="109"/>
      <c r="G3064" s="109"/>
      <c r="H3064" s="109"/>
      <c r="I3064" s="109"/>
      <c r="J3064" s="109"/>
      <c r="L3064" s="109"/>
      <c r="M3064" s="109"/>
      <c r="N3064" s="109"/>
      <c r="Q3064" s="121"/>
      <c r="W3064" s="109"/>
    </row>
    <row r="3065" spans="1:23" ht="12.75" hidden="1">
      <c r="A3065" s="109"/>
      <c r="B3065" s="109"/>
      <c r="C3065" s="109"/>
      <c r="D3065" s="109"/>
      <c r="E3065" s="109"/>
      <c r="F3065" s="109"/>
      <c r="G3065" s="109"/>
      <c r="H3065" s="109"/>
      <c r="I3065" s="109"/>
      <c r="J3065" s="109"/>
      <c r="L3065" s="109"/>
      <c r="M3065" s="109"/>
      <c r="N3065" s="109"/>
      <c r="Q3065" s="121"/>
      <c r="W3065" s="109"/>
    </row>
    <row r="3066" spans="1:23" ht="12.75" hidden="1">
      <c r="A3066" s="109"/>
      <c r="B3066" s="109"/>
      <c r="C3066" s="109"/>
      <c r="D3066" s="109"/>
      <c r="E3066" s="109"/>
      <c r="F3066" s="109"/>
      <c r="G3066" s="109"/>
      <c r="H3066" s="109"/>
      <c r="I3066" s="109"/>
      <c r="J3066" s="109"/>
      <c r="L3066" s="109"/>
      <c r="M3066" s="109"/>
      <c r="N3066" s="109"/>
      <c r="Q3066" s="121"/>
      <c r="W3066" s="109"/>
    </row>
    <row r="3067" spans="1:23" ht="12.75" hidden="1">
      <c r="A3067" s="109"/>
      <c r="B3067" s="109"/>
      <c r="C3067" s="109"/>
      <c r="D3067" s="109"/>
      <c r="E3067" s="109"/>
      <c r="F3067" s="109"/>
      <c r="G3067" s="109"/>
      <c r="H3067" s="109"/>
      <c r="I3067" s="109"/>
      <c r="J3067" s="109"/>
      <c r="L3067" s="109"/>
      <c r="M3067" s="109"/>
      <c r="N3067" s="109"/>
      <c r="Q3067" s="121"/>
      <c r="W3067" s="109"/>
    </row>
    <row r="3068" spans="1:23" ht="12.75" hidden="1">
      <c r="A3068" s="109"/>
      <c r="B3068" s="109"/>
      <c r="C3068" s="109"/>
      <c r="D3068" s="109"/>
      <c r="E3068" s="109"/>
      <c r="F3068" s="109"/>
      <c r="G3068" s="109"/>
      <c r="H3068" s="109"/>
      <c r="I3068" s="109"/>
      <c r="J3068" s="109"/>
      <c r="L3068" s="109"/>
      <c r="M3068" s="109"/>
      <c r="N3068" s="109"/>
      <c r="Q3068" s="121"/>
      <c r="W3068" s="109"/>
    </row>
    <row r="3069" spans="1:23" ht="12.75" hidden="1">
      <c r="A3069" s="109"/>
      <c r="B3069" s="109"/>
      <c r="C3069" s="109"/>
      <c r="D3069" s="109"/>
      <c r="E3069" s="109"/>
      <c r="F3069" s="109"/>
      <c r="G3069" s="109"/>
      <c r="H3069" s="109"/>
      <c r="I3069" s="109"/>
      <c r="J3069" s="109"/>
      <c r="L3069" s="109"/>
      <c r="M3069" s="109"/>
      <c r="N3069" s="109"/>
      <c r="Q3069" s="121"/>
      <c r="W3069" s="109"/>
    </row>
    <row r="3070" spans="1:23" ht="12.75" hidden="1">
      <c r="A3070" s="109"/>
      <c r="B3070" s="109"/>
      <c r="C3070" s="109"/>
      <c r="D3070" s="109"/>
      <c r="E3070" s="109"/>
      <c r="F3070" s="109"/>
      <c r="G3070" s="109"/>
      <c r="H3070" s="109"/>
      <c r="I3070" s="109"/>
      <c r="J3070" s="109"/>
      <c r="L3070" s="109"/>
      <c r="M3070" s="109"/>
      <c r="N3070" s="109"/>
      <c r="Q3070" s="121"/>
      <c r="W3070" s="109"/>
    </row>
    <row r="3071" spans="1:23" ht="12.75" hidden="1">
      <c r="A3071" s="109"/>
      <c r="B3071" s="109"/>
      <c r="C3071" s="109"/>
      <c r="D3071" s="109"/>
      <c r="E3071" s="109"/>
      <c r="F3071" s="109"/>
      <c r="G3071" s="109"/>
      <c r="H3071" s="109"/>
      <c r="I3071" s="109"/>
      <c r="J3071" s="109"/>
      <c r="L3071" s="109"/>
      <c r="M3071" s="109"/>
      <c r="N3071" s="109"/>
      <c r="Q3071" s="121"/>
      <c r="W3071" s="109"/>
    </row>
    <row r="3072" spans="1:23" ht="12.75" hidden="1">
      <c r="A3072" s="109"/>
      <c r="B3072" s="109"/>
      <c r="C3072" s="109"/>
      <c r="D3072" s="109"/>
      <c r="E3072" s="109"/>
      <c r="F3072" s="109"/>
      <c r="G3072" s="109"/>
      <c r="H3072" s="109"/>
      <c r="I3072" s="109"/>
      <c r="J3072" s="109"/>
      <c r="L3072" s="109"/>
      <c r="M3072" s="109"/>
      <c r="N3072" s="109"/>
      <c r="Q3072" s="121"/>
      <c r="W3072" s="109"/>
    </row>
    <row r="3073" spans="1:23" ht="12.75" hidden="1">
      <c r="A3073" s="109"/>
      <c r="B3073" s="109"/>
      <c r="C3073" s="109"/>
      <c r="D3073" s="109"/>
      <c r="E3073" s="109"/>
      <c r="F3073" s="109"/>
      <c r="G3073" s="109"/>
      <c r="H3073" s="109"/>
      <c r="I3073" s="109"/>
      <c r="J3073" s="109"/>
      <c r="L3073" s="109"/>
      <c r="M3073" s="109"/>
      <c r="N3073" s="109"/>
      <c r="Q3073" s="121"/>
      <c r="W3073" s="109"/>
    </row>
    <row r="3074" spans="1:23" ht="12.75" hidden="1">
      <c r="A3074" s="109"/>
      <c r="B3074" s="109"/>
      <c r="C3074" s="109"/>
      <c r="D3074" s="109"/>
      <c r="E3074" s="109"/>
      <c r="F3074" s="109"/>
      <c r="G3074" s="109"/>
      <c r="H3074" s="109"/>
      <c r="I3074" s="109"/>
      <c r="J3074" s="109"/>
      <c r="L3074" s="109"/>
      <c r="M3074" s="109"/>
      <c r="N3074" s="109"/>
      <c r="Q3074" s="121"/>
      <c r="W3074" s="109"/>
    </row>
    <row r="3075" spans="1:23" ht="12.75" hidden="1">
      <c r="A3075" s="109"/>
      <c r="B3075" s="109"/>
      <c r="C3075" s="109"/>
      <c r="D3075" s="109"/>
      <c r="E3075" s="109"/>
      <c r="F3075" s="109"/>
      <c r="G3075" s="109"/>
      <c r="H3075" s="109"/>
      <c r="I3075" s="109"/>
      <c r="J3075" s="109"/>
      <c r="L3075" s="109"/>
      <c r="M3075" s="109"/>
      <c r="N3075" s="109"/>
      <c r="Q3075" s="121"/>
      <c r="W3075" s="109"/>
    </row>
    <row r="3076" spans="1:23" ht="12.75" hidden="1">
      <c r="A3076" s="109"/>
      <c r="B3076" s="109"/>
      <c r="C3076" s="109"/>
      <c r="D3076" s="109"/>
      <c r="E3076" s="109"/>
      <c r="F3076" s="109"/>
      <c r="G3076" s="109"/>
      <c r="H3076" s="109"/>
      <c r="I3076" s="109"/>
      <c r="J3076" s="109"/>
      <c r="L3076" s="109"/>
      <c r="M3076" s="109"/>
      <c r="N3076" s="109"/>
      <c r="Q3076" s="121"/>
      <c r="W3076" s="109"/>
    </row>
    <row r="3077" spans="1:23" ht="12.75" hidden="1">
      <c r="A3077" s="109"/>
      <c r="B3077" s="109"/>
      <c r="C3077" s="109"/>
      <c r="D3077" s="109"/>
      <c r="E3077" s="109"/>
      <c r="F3077" s="109"/>
      <c r="G3077" s="109"/>
      <c r="H3077" s="109"/>
      <c r="I3077" s="109"/>
      <c r="J3077" s="109"/>
      <c r="L3077" s="109"/>
      <c r="M3077" s="109"/>
      <c r="N3077" s="109"/>
      <c r="Q3077" s="121"/>
      <c r="W3077" s="109"/>
    </row>
    <row r="3078" spans="1:23" ht="12.75" hidden="1">
      <c r="A3078" s="109"/>
      <c r="B3078" s="109"/>
      <c r="C3078" s="109"/>
      <c r="D3078" s="109"/>
      <c r="E3078" s="109"/>
      <c r="F3078" s="109"/>
      <c r="G3078" s="109"/>
      <c r="H3078" s="109"/>
      <c r="I3078" s="109"/>
      <c r="J3078" s="109"/>
      <c r="L3078" s="109"/>
      <c r="M3078" s="109"/>
      <c r="N3078" s="109"/>
      <c r="Q3078" s="121"/>
      <c r="W3078" s="109"/>
    </row>
    <row r="3079" spans="1:23" ht="12.75" hidden="1">
      <c r="A3079" s="109"/>
      <c r="B3079" s="109"/>
      <c r="C3079" s="109"/>
      <c r="D3079" s="109"/>
      <c r="E3079" s="109"/>
      <c r="F3079" s="109"/>
      <c r="G3079" s="109"/>
      <c r="H3079" s="109"/>
      <c r="I3079" s="109"/>
      <c r="J3079" s="109"/>
      <c r="L3079" s="109"/>
      <c r="M3079" s="109"/>
      <c r="N3079" s="109"/>
      <c r="Q3079" s="121"/>
      <c r="W3079" s="109"/>
    </row>
    <row r="3080" spans="1:23" ht="12.75" hidden="1">
      <c r="A3080" s="109"/>
      <c r="B3080" s="109"/>
      <c r="C3080" s="109"/>
      <c r="D3080" s="109"/>
      <c r="E3080" s="109"/>
      <c r="F3080" s="109"/>
      <c r="G3080" s="109"/>
      <c r="H3080" s="109"/>
      <c r="I3080" s="109"/>
      <c r="J3080" s="109"/>
      <c r="L3080" s="109"/>
      <c r="M3080" s="109"/>
      <c r="N3080" s="109"/>
      <c r="Q3080" s="121"/>
      <c r="W3080" s="109"/>
    </row>
    <row r="3081" spans="1:23" ht="12.75" hidden="1">
      <c r="A3081" s="109"/>
      <c r="B3081" s="109"/>
      <c r="C3081" s="109"/>
      <c r="D3081" s="109"/>
      <c r="E3081" s="109"/>
      <c r="F3081" s="109"/>
      <c r="G3081" s="109"/>
      <c r="H3081" s="109"/>
      <c r="I3081" s="109"/>
      <c r="J3081" s="109"/>
      <c r="L3081" s="109"/>
      <c r="M3081" s="109"/>
      <c r="N3081" s="109"/>
      <c r="Q3081" s="121"/>
      <c r="W3081" s="109"/>
    </row>
    <row r="3082" spans="1:23" ht="12.75" hidden="1">
      <c r="A3082" s="109"/>
      <c r="B3082" s="109"/>
      <c r="C3082" s="109"/>
      <c r="D3082" s="109"/>
      <c r="E3082" s="109"/>
      <c r="F3082" s="109"/>
      <c r="G3082" s="109"/>
      <c r="H3082" s="109"/>
      <c r="I3082" s="109"/>
      <c r="J3082" s="109"/>
      <c r="L3082" s="109"/>
      <c r="M3082" s="109"/>
      <c r="N3082" s="109"/>
      <c r="Q3082" s="121"/>
      <c r="W3082" s="109"/>
    </row>
    <row r="3083" spans="1:23" ht="12.75" hidden="1">
      <c r="A3083" s="109"/>
      <c r="B3083" s="109"/>
      <c r="C3083" s="109"/>
      <c r="D3083" s="109"/>
      <c r="E3083" s="109"/>
      <c r="F3083" s="109"/>
      <c r="G3083" s="109"/>
      <c r="H3083" s="109"/>
      <c r="I3083" s="109"/>
      <c r="J3083" s="109"/>
      <c r="L3083" s="109"/>
      <c r="M3083" s="109"/>
      <c r="N3083" s="109"/>
      <c r="Q3083" s="121"/>
      <c r="W3083" s="109"/>
    </row>
    <row r="3084" spans="1:23" ht="12.75" hidden="1">
      <c r="A3084" s="109"/>
      <c r="B3084" s="109"/>
      <c r="C3084" s="109"/>
      <c r="D3084" s="109"/>
      <c r="E3084" s="109"/>
      <c r="F3084" s="109"/>
      <c r="G3084" s="109"/>
      <c r="H3084" s="109"/>
      <c r="I3084" s="109"/>
      <c r="J3084" s="109"/>
      <c r="L3084" s="109"/>
      <c r="M3084" s="109"/>
      <c r="N3084" s="109"/>
      <c r="Q3084" s="121"/>
      <c r="W3084" s="109"/>
    </row>
    <row r="3085" spans="1:23" ht="12.75" hidden="1">
      <c r="A3085" s="109"/>
      <c r="B3085" s="109"/>
      <c r="C3085" s="109"/>
      <c r="D3085" s="109"/>
      <c r="E3085" s="109"/>
      <c r="F3085" s="109"/>
      <c r="G3085" s="109"/>
      <c r="H3085" s="109"/>
      <c r="I3085" s="109"/>
      <c r="J3085" s="109"/>
      <c r="L3085" s="109"/>
      <c r="M3085" s="109"/>
      <c r="N3085" s="109"/>
      <c r="Q3085" s="121"/>
      <c r="W3085" s="109"/>
    </row>
    <row r="3086" spans="1:23" ht="12.75" hidden="1">
      <c r="A3086" s="109"/>
      <c r="B3086" s="109"/>
      <c r="C3086" s="109"/>
      <c r="D3086" s="109"/>
      <c r="E3086" s="109"/>
      <c r="F3086" s="109"/>
      <c r="G3086" s="109"/>
      <c r="H3086" s="109"/>
      <c r="I3086" s="109"/>
      <c r="J3086" s="109"/>
      <c r="L3086" s="109"/>
      <c r="M3086" s="109"/>
      <c r="N3086" s="109"/>
      <c r="Q3086" s="121"/>
      <c r="W3086" s="109"/>
    </row>
    <row r="3087" spans="1:23" ht="12.75" hidden="1">
      <c r="A3087" s="109"/>
      <c r="B3087" s="109"/>
      <c r="C3087" s="109"/>
      <c r="D3087" s="109"/>
      <c r="E3087" s="109"/>
      <c r="F3087" s="109"/>
      <c r="G3087" s="109"/>
      <c r="H3087" s="109"/>
      <c r="I3087" s="109"/>
      <c r="J3087" s="109"/>
      <c r="L3087" s="109"/>
      <c r="M3087" s="109"/>
      <c r="N3087" s="109"/>
      <c r="Q3087" s="121"/>
      <c r="W3087" s="109"/>
    </row>
    <row r="3088" spans="1:23" ht="12.75" hidden="1">
      <c r="A3088" s="109"/>
      <c r="B3088" s="109"/>
      <c r="C3088" s="109"/>
      <c r="D3088" s="109"/>
      <c r="E3088" s="109"/>
      <c r="F3088" s="109"/>
      <c r="G3088" s="109"/>
      <c r="H3088" s="109"/>
      <c r="I3088" s="109"/>
      <c r="J3088" s="109"/>
      <c r="L3088" s="109"/>
      <c r="M3088" s="109"/>
      <c r="N3088" s="109"/>
      <c r="Q3088" s="121"/>
      <c r="W3088" s="109"/>
    </row>
    <row r="3089" spans="1:23" ht="12.75" hidden="1">
      <c r="A3089" s="109"/>
      <c r="B3089" s="109"/>
      <c r="C3089" s="109"/>
      <c r="D3089" s="109"/>
      <c r="E3089" s="109"/>
      <c r="F3089" s="109"/>
      <c r="G3089" s="109"/>
      <c r="H3089" s="109"/>
      <c r="I3089" s="109"/>
      <c r="J3089" s="109"/>
      <c r="L3089" s="109"/>
      <c r="M3089" s="109"/>
      <c r="N3089" s="109"/>
      <c r="Q3089" s="121"/>
      <c r="W3089" s="109"/>
    </row>
    <row r="3090" spans="1:23" ht="12.75" hidden="1">
      <c r="A3090" s="109"/>
      <c r="B3090" s="109"/>
      <c r="C3090" s="109"/>
      <c r="D3090" s="109"/>
      <c r="E3090" s="109"/>
      <c r="F3090" s="109"/>
      <c r="G3090" s="109"/>
      <c r="H3090" s="109"/>
      <c r="I3090" s="109"/>
      <c r="J3090" s="109"/>
      <c r="L3090" s="109"/>
      <c r="M3090" s="109"/>
      <c r="N3090" s="109"/>
      <c r="Q3090" s="121"/>
      <c r="W3090" s="109"/>
    </row>
    <row r="3091" spans="1:23" ht="12.75" hidden="1">
      <c r="A3091" s="109"/>
      <c r="B3091" s="109"/>
      <c r="C3091" s="109"/>
      <c r="D3091" s="109"/>
      <c r="E3091" s="109"/>
      <c r="F3091" s="109"/>
      <c r="G3091" s="109"/>
      <c r="H3091" s="109"/>
      <c r="I3091" s="109"/>
      <c r="J3091" s="109"/>
      <c r="L3091" s="109"/>
      <c r="M3091" s="109"/>
      <c r="N3091" s="109"/>
      <c r="Q3091" s="121"/>
      <c r="W3091" s="109"/>
    </row>
    <row r="3092" spans="1:23" ht="12.75" hidden="1">
      <c r="A3092" s="109"/>
      <c r="B3092" s="109"/>
      <c r="C3092" s="109"/>
      <c r="D3092" s="109"/>
      <c r="E3092" s="109"/>
      <c r="F3092" s="109"/>
      <c r="G3092" s="109"/>
      <c r="H3092" s="109"/>
      <c r="I3092" s="109"/>
      <c r="J3092" s="109"/>
      <c r="L3092" s="109"/>
      <c r="M3092" s="109"/>
      <c r="N3092" s="109"/>
      <c r="Q3092" s="121"/>
      <c r="W3092" s="109"/>
    </row>
    <row r="3093" spans="1:23" ht="12.75" hidden="1">
      <c r="A3093" s="109"/>
      <c r="B3093" s="109"/>
      <c r="C3093" s="109"/>
      <c r="D3093" s="109"/>
      <c r="E3093" s="109"/>
      <c r="F3093" s="109"/>
      <c r="G3093" s="109"/>
      <c r="H3093" s="109"/>
      <c r="I3093" s="109"/>
      <c r="J3093" s="109"/>
      <c r="L3093" s="109"/>
      <c r="M3093" s="109"/>
      <c r="N3093" s="109"/>
      <c r="Q3093" s="121"/>
      <c r="W3093" s="109"/>
    </row>
    <row r="3094" spans="1:23" ht="12.75" hidden="1">
      <c r="A3094" s="109"/>
      <c r="B3094" s="109"/>
      <c r="C3094" s="109"/>
      <c r="D3094" s="109"/>
      <c r="E3094" s="109"/>
      <c r="F3094" s="109"/>
      <c r="G3094" s="109"/>
      <c r="H3094" s="109"/>
      <c r="I3094" s="109"/>
      <c r="J3094" s="109"/>
      <c r="L3094" s="109"/>
      <c r="M3094" s="109"/>
      <c r="N3094" s="109"/>
      <c r="Q3094" s="121"/>
      <c r="W3094" s="109"/>
    </row>
    <row r="3095" spans="1:23" ht="12.75" hidden="1">
      <c r="A3095" s="109"/>
      <c r="B3095" s="109"/>
      <c r="C3095" s="109"/>
      <c r="D3095" s="109"/>
      <c r="E3095" s="109"/>
      <c r="F3095" s="109"/>
      <c r="G3095" s="109"/>
      <c r="H3095" s="109"/>
      <c r="I3095" s="109"/>
      <c r="J3095" s="109"/>
      <c r="L3095" s="109"/>
      <c r="M3095" s="109"/>
      <c r="N3095" s="109"/>
      <c r="Q3095" s="121"/>
      <c r="W3095" s="109"/>
    </row>
    <row r="3096" spans="1:23" ht="12.75" hidden="1">
      <c r="A3096" s="109"/>
      <c r="B3096" s="109"/>
      <c r="C3096" s="109"/>
      <c r="D3096" s="109"/>
      <c r="E3096" s="109"/>
      <c r="F3096" s="109"/>
      <c r="G3096" s="109"/>
      <c r="H3096" s="109"/>
      <c r="I3096" s="109"/>
      <c r="J3096" s="109"/>
      <c r="L3096" s="109"/>
      <c r="M3096" s="109"/>
      <c r="N3096" s="109"/>
      <c r="Q3096" s="121"/>
      <c r="W3096" s="109"/>
    </row>
    <row r="3097" spans="1:23" ht="12.75" hidden="1">
      <c r="A3097" s="109"/>
      <c r="B3097" s="109"/>
      <c r="C3097" s="109"/>
      <c r="D3097" s="109"/>
      <c r="E3097" s="109"/>
      <c r="F3097" s="109"/>
      <c r="G3097" s="109"/>
      <c r="H3097" s="109"/>
      <c r="I3097" s="109"/>
      <c r="J3097" s="109"/>
      <c r="L3097" s="109"/>
      <c r="M3097" s="109"/>
      <c r="N3097" s="109"/>
      <c r="Q3097" s="121"/>
      <c r="W3097" s="109"/>
    </row>
    <row r="3098" spans="1:23" ht="12.75" hidden="1">
      <c r="A3098" s="109"/>
      <c r="B3098" s="109"/>
      <c r="C3098" s="109"/>
      <c r="D3098" s="109"/>
      <c r="E3098" s="109"/>
      <c r="F3098" s="109"/>
      <c r="G3098" s="109"/>
      <c r="H3098" s="109"/>
      <c r="I3098" s="109"/>
      <c r="J3098" s="109"/>
      <c r="L3098" s="109"/>
      <c r="M3098" s="109"/>
      <c r="N3098" s="109"/>
      <c r="Q3098" s="121"/>
      <c r="W3098" s="109"/>
    </row>
    <row r="3099" spans="1:23" ht="12.75" hidden="1">
      <c r="A3099" s="109"/>
      <c r="B3099" s="109"/>
      <c r="C3099" s="109"/>
      <c r="D3099" s="109"/>
      <c r="E3099" s="109"/>
      <c r="F3099" s="109"/>
      <c r="G3099" s="109"/>
      <c r="H3099" s="109"/>
      <c r="I3099" s="109"/>
      <c r="J3099" s="109"/>
      <c r="L3099" s="109"/>
      <c r="M3099" s="109"/>
      <c r="N3099" s="109"/>
      <c r="Q3099" s="121"/>
      <c r="W3099" s="109"/>
    </row>
    <row r="3100" spans="1:23" ht="12.75" hidden="1">
      <c r="A3100" s="109"/>
      <c r="B3100" s="109"/>
      <c r="C3100" s="109"/>
      <c r="D3100" s="109"/>
      <c r="E3100" s="109"/>
      <c r="F3100" s="109"/>
      <c r="G3100" s="109"/>
      <c r="H3100" s="109"/>
      <c r="I3100" s="109"/>
      <c r="J3100" s="109"/>
      <c r="L3100" s="109"/>
      <c r="M3100" s="109"/>
      <c r="N3100" s="109"/>
      <c r="Q3100" s="121"/>
      <c r="W3100" s="109"/>
    </row>
    <row r="3101" spans="1:23" ht="12.75" hidden="1">
      <c r="A3101" s="109"/>
      <c r="B3101" s="109"/>
      <c r="C3101" s="109"/>
      <c r="D3101" s="109"/>
      <c r="E3101" s="109"/>
      <c r="F3101" s="109"/>
      <c r="G3101" s="109"/>
      <c r="H3101" s="109"/>
      <c r="I3101" s="109"/>
      <c r="J3101" s="109"/>
      <c r="L3101" s="109"/>
      <c r="M3101" s="109"/>
      <c r="N3101" s="109"/>
      <c r="Q3101" s="121"/>
      <c r="W3101" s="109"/>
    </row>
    <row r="3102" spans="1:23" ht="12.75" hidden="1">
      <c r="A3102" s="109"/>
      <c r="B3102" s="109"/>
      <c r="C3102" s="109"/>
      <c r="D3102" s="109"/>
      <c r="E3102" s="109"/>
      <c r="F3102" s="109"/>
      <c r="G3102" s="109"/>
      <c r="H3102" s="109"/>
      <c r="I3102" s="109"/>
      <c r="J3102" s="109"/>
      <c r="L3102" s="109"/>
      <c r="M3102" s="109"/>
      <c r="N3102" s="109"/>
      <c r="Q3102" s="121"/>
      <c r="W3102" s="109"/>
    </row>
    <row r="3103" spans="1:23" ht="12.75" hidden="1">
      <c r="A3103" s="109"/>
      <c r="B3103" s="109"/>
      <c r="C3103" s="109"/>
      <c r="D3103" s="109"/>
      <c r="E3103" s="109"/>
      <c r="F3103" s="109"/>
      <c r="G3103" s="109"/>
      <c r="H3103" s="109"/>
      <c r="I3103" s="109"/>
      <c r="J3103" s="109"/>
      <c r="L3103" s="109"/>
      <c r="M3103" s="109"/>
      <c r="N3103" s="109"/>
      <c r="Q3103" s="121"/>
      <c r="W3103" s="109"/>
    </row>
    <row r="3104" spans="1:23" ht="12.75" hidden="1">
      <c r="A3104" s="109"/>
      <c r="B3104" s="109"/>
      <c r="C3104" s="109"/>
      <c r="D3104" s="109"/>
      <c r="E3104" s="109"/>
      <c r="F3104" s="109"/>
      <c r="G3104" s="109"/>
      <c r="H3104" s="109"/>
      <c r="I3104" s="109"/>
      <c r="J3104" s="109"/>
      <c r="L3104" s="109"/>
      <c r="M3104" s="109"/>
      <c r="N3104" s="109"/>
      <c r="Q3104" s="121"/>
      <c r="W3104" s="109"/>
    </row>
    <row r="3105" spans="1:23" ht="12.75" hidden="1">
      <c r="A3105" s="109"/>
      <c r="B3105" s="109"/>
      <c r="C3105" s="109"/>
      <c r="D3105" s="109"/>
      <c r="E3105" s="109"/>
      <c r="F3105" s="109"/>
      <c r="G3105" s="109"/>
      <c r="H3105" s="109"/>
      <c r="I3105" s="109"/>
      <c r="J3105" s="109"/>
      <c r="L3105" s="109"/>
      <c r="M3105" s="109"/>
      <c r="N3105" s="109"/>
      <c r="Q3105" s="121"/>
      <c r="W3105" s="109"/>
    </row>
    <row r="3106" spans="1:23" ht="12.75" hidden="1">
      <c r="A3106" s="109"/>
      <c r="B3106" s="109"/>
      <c r="C3106" s="109"/>
      <c r="D3106" s="109"/>
      <c r="E3106" s="109"/>
      <c r="F3106" s="109"/>
      <c r="G3106" s="109"/>
      <c r="H3106" s="109"/>
      <c r="I3106" s="109"/>
      <c r="J3106" s="109"/>
      <c r="L3106" s="109"/>
      <c r="M3106" s="109"/>
      <c r="N3106" s="109"/>
      <c r="Q3106" s="121"/>
      <c r="W3106" s="109"/>
    </row>
    <row r="3107" spans="1:23" ht="12.75" hidden="1">
      <c r="A3107" s="109"/>
      <c r="B3107" s="109"/>
      <c r="C3107" s="109"/>
      <c r="D3107" s="109"/>
      <c r="E3107" s="109"/>
      <c r="F3107" s="109"/>
      <c r="G3107" s="109"/>
      <c r="H3107" s="109"/>
      <c r="I3107" s="109"/>
      <c r="J3107" s="109"/>
      <c r="L3107" s="109"/>
      <c r="M3107" s="109"/>
      <c r="N3107" s="109"/>
      <c r="Q3107" s="121"/>
      <c r="W3107" s="109"/>
    </row>
    <row r="3108" spans="1:23" ht="12.75" hidden="1">
      <c r="A3108" s="109"/>
      <c r="B3108" s="109"/>
      <c r="C3108" s="109"/>
      <c r="D3108" s="109"/>
      <c r="E3108" s="109"/>
      <c r="F3108" s="109"/>
      <c r="G3108" s="109"/>
      <c r="H3108" s="109"/>
      <c r="I3108" s="109"/>
      <c r="J3108" s="109"/>
      <c r="L3108" s="109"/>
      <c r="M3108" s="109"/>
      <c r="N3108" s="109"/>
      <c r="Q3108" s="121"/>
      <c r="W3108" s="109"/>
    </row>
    <row r="3109" spans="1:23" ht="12.75" hidden="1">
      <c r="A3109" s="109"/>
      <c r="B3109" s="109"/>
      <c r="C3109" s="109"/>
      <c r="D3109" s="109"/>
      <c r="E3109" s="109"/>
      <c r="F3109" s="109"/>
      <c r="G3109" s="109"/>
      <c r="H3109" s="109"/>
      <c r="I3109" s="109"/>
      <c r="J3109" s="109"/>
      <c r="L3109" s="109"/>
      <c r="M3109" s="109"/>
      <c r="N3109" s="109"/>
      <c r="Q3109" s="121"/>
      <c r="W3109" s="109"/>
    </row>
    <row r="3110" spans="1:23" ht="12.75" hidden="1">
      <c r="A3110" s="109"/>
      <c r="B3110" s="109"/>
      <c r="C3110" s="109"/>
      <c r="D3110" s="109"/>
      <c r="E3110" s="109"/>
      <c r="F3110" s="109"/>
      <c r="G3110" s="109"/>
      <c r="H3110" s="109"/>
      <c r="I3110" s="109"/>
      <c r="J3110" s="109"/>
      <c r="L3110" s="109"/>
      <c r="M3110" s="109"/>
      <c r="N3110" s="109"/>
      <c r="Q3110" s="121"/>
      <c r="W3110" s="109"/>
    </row>
    <row r="3111" spans="1:23" ht="12.75" hidden="1">
      <c r="A3111" s="109"/>
      <c r="B3111" s="109"/>
      <c r="C3111" s="109"/>
      <c r="D3111" s="109"/>
      <c r="E3111" s="109"/>
      <c r="F3111" s="109"/>
      <c r="G3111" s="109"/>
      <c r="H3111" s="109"/>
      <c r="I3111" s="109"/>
      <c r="J3111" s="109"/>
      <c r="L3111" s="109"/>
      <c r="M3111" s="109"/>
      <c r="N3111" s="109"/>
      <c r="Q3111" s="121"/>
      <c r="W3111" s="109"/>
    </row>
    <row r="3112" spans="1:23" ht="12.75" hidden="1">
      <c r="A3112" s="109"/>
      <c r="B3112" s="109"/>
      <c r="C3112" s="109"/>
      <c r="D3112" s="109"/>
      <c r="E3112" s="109"/>
      <c r="F3112" s="109"/>
      <c r="G3112" s="109"/>
      <c r="H3112" s="109"/>
      <c r="I3112" s="109"/>
      <c r="J3112" s="109"/>
      <c r="L3112" s="109"/>
      <c r="M3112" s="109"/>
      <c r="N3112" s="109"/>
      <c r="Q3112" s="121"/>
      <c r="W3112" s="109"/>
    </row>
    <row r="3113" spans="1:23" ht="12.75" hidden="1">
      <c r="A3113" s="109"/>
      <c r="B3113" s="109"/>
      <c r="C3113" s="109"/>
      <c r="D3113" s="109"/>
      <c r="E3113" s="109"/>
      <c r="F3113" s="109"/>
      <c r="G3113" s="109"/>
      <c r="H3113" s="109"/>
      <c r="I3113" s="109"/>
      <c r="J3113" s="109"/>
      <c r="L3113" s="109"/>
      <c r="M3113" s="109"/>
      <c r="N3113" s="109"/>
      <c r="Q3113" s="121"/>
      <c r="W3113" s="109"/>
    </row>
    <row r="3114" spans="1:23" ht="12.75" hidden="1">
      <c r="A3114" s="109"/>
      <c r="B3114" s="109"/>
      <c r="C3114" s="109"/>
      <c r="D3114" s="109"/>
      <c r="E3114" s="109"/>
      <c r="F3114" s="109"/>
      <c r="G3114" s="109"/>
      <c r="H3114" s="109"/>
      <c r="I3114" s="109"/>
      <c r="J3114" s="109"/>
      <c r="L3114" s="109"/>
      <c r="M3114" s="109"/>
      <c r="N3114" s="109"/>
      <c r="Q3114" s="121"/>
      <c r="W3114" s="109"/>
    </row>
    <row r="3115" spans="1:23" ht="12.75" hidden="1">
      <c r="A3115" s="109"/>
      <c r="B3115" s="109"/>
      <c r="C3115" s="109"/>
      <c r="D3115" s="109"/>
      <c r="E3115" s="109"/>
      <c r="F3115" s="109"/>
      <c r="G3115" s="109"/>
      <c r="H3115" s="109"/>
      <c r="I3115" s="109"/>
      <c r="J3115" s="109"/>
      <c r="L3115" s="109"/>
      <c r="M3115" s="109"/>
      <c r="N3115" s="109"/>
      <c r="Q3115" s="121"/>
      <c r="W3115" s="109"/>
    </row>
    <row r="3116" spans="1:23" ht="12.75" hidden="1">
      <c r="A3116" s="109"/>
      <c r="B3116" s="109"/>
      <c r="C3116" s="109"/>
      <c r="D3116" s="109"/>
      <c r="E3116" s="109"/>
      <c r="F3116" s="109"/>
      <c r="G3116" s="109"/>
      <c r="H3116" s="109"/>
      <c r="I3116" s="109"/>
      <c r="J3116" s="109"/>
      <c r="L3116" s="109"/>
      <c r="M3116" s="109"/>
      <c r="N3116" s="109"/>
      <c r="Q3116" s="121"/>
      <c r="W3116" s="109"/>
    </row>
    <row r="3117" spans="1:23" ht="12.75" hidden="1">
      <c r="A3117" s="109"/>
      <c r="B3117" s="109"/>
      <c r="C3117" s="109"/>
      <c r="D3117" s="109"/>
      <c r="E3117" s="109"/>
      <c r="F3117" s="109"/>
      <c r="G3117" s="109"/>
      <c r="H3117" s="109"/>
      <c r="I3117" s="109"/>
      <c r="J3117" s="109"/>
      <c r="L3117" s="109"/>
      <c r="M3117" s="109"/>
      <c r="N3117" s="109"/>
      <c r="Q3117" s="121"/>
      <c r="W3117" s="109"/>
    </row>
    <row r="3118" spans="1:23" ht="12.75" hidden="1">
      <c r="A3118" s="109"/>
      <c r="B3118" s="109"/>
      <c r="C3118" s="109"/>
      <c r="D3118" s="109"/>
      <c r="E3118" s="109"/>
      <c r="F3118" s="109"/>
      <c r="G3118" s="109"/>
      <c r="H3118" s="109"/>
      <c r="I3118" s="109"/>
      <c r="J3118" s="109"/>
      <c r="L3118" s="109"/>
      <c r="M3118" s="109"/>
      <c r="N3118" s="109"/>
      <c r="Q3118" s="121"/>
      <c r="W3118" s="109"/>
    </row>
    <row r="3119" spans="1:23" ht="12.75" hidden="1">
      <c r="A3119" s="109"/>
      <c r="B3119" s="109"/>
      <c r="C3119" s="109"/>
      <c r="D3119" s="109"/>
      <c r="E3119" s="109"/>
      <c r="F3119" s="109"/>
      <c r="G3119" s="109"/>
      <c r="H3119" s="109"/>
      <c r="I3119" s="109"/>
      <c r="J3119" s="109"/>
      <c r="L3119" s="109"/>
      <c r="M3119" s="109"/>
      <c r="N3119" s="109"/>
      <c r="Q3119" s="121"/>
      <c r="W3119" s="109"/>
    </row>
    <row r="3120" spans="1:23" ht="12.75" hidden="1">
      <c r="A3120" s="109"/>
      <c r="B3120" s="109"/>
      <c r="C3120" s="109"/>
      <c r="D3120" s="109"/>
      <c r="E3120" s="109"/>
      <c r="F3120" s="109"/>
      <c r="G3120" s="109"/>
      <c r="H3120" s="109"/>
      <c r="I3120" s="109"/>
      <c r="J3120" s="109"/>
      <c r="L3120" s="109"/>
      <c r="M3120" s="109"/>
      <c r="N3120" s="109"/>
      <c r="Q3120" s="121"/>
      <c r="W3120" s="109"/>
    </row>
    <row r="3121" spans="1:23" ht="12.75" hidden="1">
      <c r="A3121" s="109"/>
      <c r="B3121" s="109"/>
      <c r="C3121" s="109"/>
      <c r="D3121" s="109"/>
      <c r="E3121" s="109"/>
      <c r="F3121" s="109"/>
      <c r="G3121" s="109"/>
      <c r="H3121" s="109"/>
      <c r="I3121" s="109"/>
      <c r="J3121" s="109"/>
      <c r="L3121" s="109"/>
      <c r="M3121" s="109"/>
      <c r="N3121" s="109"/>
      <c r="Q3121" s="121"/>
      <c r="W3121" s="109"/>
    </row>
    <row r="3122" spans="1:23" ht="12.75" hidden="1">
      <c r="A3122" s="109"/>
      <c r="B3122" s="109"/>
      <c r="C3122" s="109"/>
      <c r="D3122" s="109"/>
      <c r="E3122" s="109"/>
      <c r="F3122" s="109"/>
      <c r="G3122" s="109"/>
      <c r="H3122" s="109"/>
      <c r="I3122" s="109"/>
      <c r="J3122" s="109"/>
      <c r="L3122" s="109"/>
      <c r="M3122" s="109"/>
      <c r="N3122" s="109"/>
      <c r="Q3122" s="121"/>
      <c r="W3122" s="109"/>
    </row>
    <row r="3123" spans="1:23" ht="12.75" hidden="1">
      <c r="A3123" s="109"/>
      <c r="B3123" s="109"/>
      <c r="C3123" s="109"/>
      <c r="D3123" s="109"/>
      <c r="E3123" s="109"/>
      <c r="F3123" s="109"/>
      <c r="G3123" s="109"/>
      <c r="H3123" s="109"/>
      <c r="I3123" s="109"/>
      <c r="J3123" s="109"/>
      <c r="L3123" s="109"/>
      <c r="M3123" s="109"/>
      <c r="N3123" s="109"/>
      <c r="Q3123" s="121"/>
      <c r="W3123" s="109"/>
    </row>
    <row r="3124" spans="1:23" ht="12.75" hidden="1">
      <c r="A3124" s="109"/>
      <c r="B3124" s="109"/>
      <c r="C3124" s="109"/>
      <c r="D3124" s="109"/>
      <c r="E3124" s="109"/>
      <c r="F3124" s="109"/>
      <c r="G3124" s="109"/>
      <c r="H3124" s="109"/>
      <c r="I3124" s="109"/>
      <c r="J3124" s="109"/>
      <c r="L3124" s="109"/>
      <c r="M3124" s="109"/>
      <c r="N3124" s="109"/>
      <c r="Q3124" s="121"/>
      <c r="W3124" s="109"/>
    </row>
    <row r="3125" spans="1:23" ht="12.75" hidden="1">
      <c r="A3125" s="109"/>
      <c r="B3125" s="109"/>
      <c r="C3125" s="109"/>
      <c r="D3125" s="109"/>
      <c r="E3125" s="109"/>
      <c r="F3125" s="109"/>
      <c r="G3125" s="109"/>
      <c r="H3125" s="109"/>
      <c r="I3125" s="109"/>
      <c r="J3125" s="109"/>
      <c r="L3125" s="109"/>
      <c r="M3125" s="109"/>
      <c r="N3125" s="109"/>
      <c r="Q3125" s="121"/>
      <c r="W3125" s="109"/>
    </row>
    <row r="3126" spans="1:23" ht="12.75" hidden="1">
      <c r="A3126" s="109"/>
      <c r="B3126" s="109"/>
      <c r="C3126" s="109"/>
      <c r="D3126" s="109"/>
      <c r="E3126" s="109"/>
      <c r="F3126" s="109"/>
      <c r="G3126" s="109"/>
      <c r="H3126" s="109"/>
      <c r="I3126" s="109"/>
      <c r="J3126" s="109"/>
      <c r="L3126" s="109"/>
      <c r="M3126" s="109"/>
      <c r="N3126" s="109"/>
      <c r="Q3126" s="121"/>
      <c r="W3126" s="109"/>
    </row>
    <row r="3127" spans="1:23" ht="12.75" hidden="1">
      <c r="A3127" s="109"/>
      <c r="B3127" s="109"/>
      <c r="C3127" s="109"/>
      <c r="D3127" s="109"/>
      <c r="E3127" s="109"/>
      <c r="F3127" s="109"/>
      <c r="G3127" s="109"/>
      <c r="H3127" s="109"/>
      <c r="I3127" s="109"/>
      <c r="J3127" s="109"/>
      <c r="L3127" s="109"/>
      <c r="M3127" s="109"/>
      <c r="N3127" s="109"/>
      <c r="Q3127" s="121"/>
      <c r="W3127" s="109"/>
    </row>
    <row r="3128" spans="1:23" ht="12.75" hidden="1">
      <c r="A3128" s="109"/>
      <c r="B3128" s="109"/>
      <c r="C3128" s="109"/>
      <c r="D3128" s="109"/>
      <c r="E3128" s="109"/>
      <c r="F3128" s="109"/>
      <c r="G3128" s="109"/>
      <c r="H3128" s="109"/>
      <c r="I3128" s="109"/>
      <c r="J3128" s="109"/>
      <c r="L3128" s="109"/>
      <c r="M3128" s="109"/>
      <c r="N3128" s="109"/>
      <c r="Q3128" s="121"/>
      <c r="W3128" s="109"/>
    </row>
    <row r="3129" spans="1:23" ht="12.75" hidden="1">
      <c r="A3129" s="109"/>
      <c r="B3129" s="109"/>
      <c r="C3129" s="109"/>
      <c r="D3129" s="109"/>
      <c r="E3129" s="109"/>
      <c r="F3129" s="109"/>
      <c r="G3129" s="109"/>
      <c r="H3129" s="109"/>
      <c r="I3129" s="109"/>
      <c r="J3129" s="109"/>
      <c r="L3129" s="109"/>
      <c r="M3129" s="109"/>
      <c r="N3129" s="109"/>
      <c r="Q3129" s="121"/>
      <c r="W3129" s="109"/>
    </row>
    <row r="3130" spans="1:23" ht="12.75" hidden="1">
      <c r="A3130" s="109"/>
      <c r="B3130" s="109"/>
      <c r="C3130" s="109"/>
      <c r="D3130" s="109"/>
      <c r="E3130" s="109"/>
      <c r="F3130" s="109"/>
      <c r="G3130" s="109"/>
      <c r="H3130" s="109"/>
      <c r="I3130" s="109"/>
      <c r="J3130" s="109"/>
      <c r="L3130" s="109"/>
      <c r="M3130" s="109"/>
      <c r="N3130" s="109"/>
      <c r="Q3130" s="121"/>
      <c r="W3130" s="109"/>
    </row>
    <row r="3131" spans="1:23" ht="12.75" hidden="1">
      <c r="A3131" s="109"/>
      <c r="B3131" s="109"/>
      <c r="C3131" s="109"/>
      <c r="D3131" s="109"/>
      <c r="E3131" s="109"/>
      <c r="F3131" s="109"/>
      <c r="G3131" s="109"/>
      <c r="H3131" s="109"/>
      <c r="I3131" s="109"/>
      <c r="J3131" s="109"/>
      <c r="L3131" s="109"/>
      <c r="M3131" s="109"/>
      <c r="N3131" s="109"/>
      <c r="Q3131" s="121"/>
      <c r="W3131" s="109"/>
    </row>
    <row r="3132" spans="1:23" ht="12.75" hidden="1">
      <c r="A3132" s="109"/>
      <c r="B3132" s="109"/>
      <c r="C3132" s="109"/>
      <c r="D3132" s="109"/>
      <c r="E3132" s="109"/>
      <c r="F3132" s="109"/>
      <c r="G3132" s="109"/>
      <c r="H3132" s="109"/>
      <c r="I3132" s="109"/>
      <c r="J3132" s="109"/>
      <c r="L3132" s="109"/>
      <c r="M3132" s="109"/>
      <c r="N3132" s="109"/>
      <c r="Q3132" s="121"/>
      <c r="W3132" s="109"/>
    </row>
    <row r="3133" spans="1:23" ht="12.75" hidden="1">
      <c r="A3133" s="109"/>
      <c r="B3133" s="109"/>
      <c r="C3133" s="109"/>
      <c r="D3133" s="109"/>
      <c r="E3133" s="109"/>
      <c r="F3133" s="109"/>
      <c r="G3133" s="109"/>
      <c r="H3133" s="109"/>
      <c r="I3133" s="109"/>
      <c r="J3133" s="109"/>
      <c r="L3133" s="109"/>
      <c r="M3133" s="109"/>
      <c r="N3133" s="109"/>
      <c r="Q3133" s="121"/>
      <c r="W3133" s="109"/>
    </row>
    <row r="3134" spans="1:23" ht="12.75" hidden="1">
      <c r="A3134" s="109"/>
      <c r="B3134" s="109"/>
      <c r="C3134" s="109"/>
      <c r="D3134" s="109"/>
      <c r="E3134" s="109"/>
      <c r="F3134" s="109"/>
      <c r="G3134" s="109"/>
      <c r="H3134" s="109"/>
      <c r="I3134" s="109"/>
      <c r="J3134" s="109"/>
      <c r="L3134" s="109"/>
      <c r="M3134" s="109"/>
      <c r="N3134" s="109"/>
      <c r="Q3134" s="121"/>
      <c r="W3134" s="109"/>
    </row>
    <row r="3135" spans="1:23" ht="12.75" hidden="1">
      <c r="A3135" s="109"/>
      <c r="B3135" s="109"/>
      <c r="C3135" s="109"/>
      <c r="D3135" s="109"/>
      <c r="E3135" s="109"/>
      <c r="F3135" s="109"/>
      <c r="G3135" s="109"/>
      <c r="H3135" s="109"/>
      <c r="I3135" s="109"/>
      <c r="J3135" s="109"/>
      <c r="L3135" s="109"/>
      <c r="M3135" s="109"/>
      <c r="N3135" s="109"/>
      <c r="Q3135" s="121"/>
      <c r="W3135" s="109"/>
    </row>
    <row r="3136" spans="1:23" ht="12.75" hidden="1">
      <c r="A3136" s="109"/>
      <c r="B3136" s="109"/>
      <c r="C3136" s="109"/>
      <c r="D3136" s="109"/>
      <c r="E3136" s="109"/>
      <c r="F3136" s="109"/>
      <c r="G3136" s="109"/>
      <c r="H3136" s="109"/>
      <c r="I3136" s="109"/>
      <c r="J3136" s="109"/>
      <c r="L3136" s="109"/>
      <c r="M3136" s="109"/>
      <c r="N3136" s="109"/>
      <c r="Q3136" s="121"/>
      <c r="W3136" s="109"/>
    </row>
    <row r="3137" spans="1:23" ht="12.75" hidden="1">
      <c r="A3137" s="109"/>
      <c r="B3137" s="109"/>
      <c r="C3137" s="109"/>
      <c r="D3137" s="109"/>
      <c r="E3137" s="109"/>
      <c r="F3137" s="109"/>
      <c r="G3137" s="109"/>
      <c r="H3137" s="109"/>
      <c r="I3137" s="109"/>
      <c r="J3137" s="109"/>
      <c r="L3137" s="109"/>
      <c r="M3137" s="109"/>
      <c r="N3137" s="109"/>
      <c r="Q3137" s="121"/>
      <c r="W3137" s="109"/>
    </row>
    <row r="3138" spans="1:23" ht="12.75" hidden="1">
      <c r="A3138" s="109"/>
      <c r="B3138" s="109"/>
      <c r="C3138" s="109"/>
      <c r="D3138" s="109"/>
      <c r="E3138" s="109"/>
      <c r="F3138" s="109"/>
      <c r="G3138" s="109"/>
      <c r="H3138" s="109"/>
      <c r="I3138" s="109"/>
      <c r="J3138" s="109"/>
      <c r="L3138" s="109"/>
      <c r="M3138" s="109"/>
      <c r="N3138" s="109"/>
      <c r="Q3138" s="121"/>
      <c r="W3138" s="109"/>
    </row>
    <row r="3139" spans="1:23" ht="12.75" hidden="1">
      <c r="A3139" s="109"/>
      <c r="B3139" s="109"/>
      <c r="C3139" s="109"/>
      <c r="D3139" s="109"/>
      <c r="E3139" s="109"/>
      <c r="F3139" s="109"/>
      <c r="G3139" s="109"/>
      <c r="H3139" s="109"/>
      <c r="I3139" s="109"/>
      <c r="J3139" s="109"/>
      <c r="L3139" s="109"/>
      <c r="M3139" s="109"/>
      <c r="N3139" s="109"/>
      <c r="Q3139" s="121"/>
      <c r="W3139" s="109"/>
    </row>
    <row r="3140" spans="1:23" ht="12.75" hidden="1">
      <c r="A3140" s="109"/>
      <c r="B3140" s="109"/>
      <c r="C3140" s="109"/>
      <c r="D3140" s="109"/>
      <c r="E3140" s="109"/>
      <c r="F3140" s="109"/>
      <c r="G3140" s="109"/>
      <c r="H3140" s="109"/>
      <c r="I3140" s="109"/>
      <c r="J3140" s="109"/>
      <c r="L3140" s="109"/>
      <c r="M3140" s="109"/>
      <c r="N3140" s="109"/>
      <c r="Q3140" s="121"/>
      <c r="W3140" s="109"/>
    </row>
    <row r="3141" spans="1:23" ht="12.75" hidden="1">
      <c r="A3141" s="109"/>
      <c r="B3141" s="109"/>
      <c r="C3141" s="109"/>
      <c r="D3141" s="109"/>
      <c r="E3141" s="109"/>
      <c r="F3141" s="109"/>
      <c r="G3141" s="109"/>
      <c r="H3141" s="109"/>
      <c r="I3141" s="109"/>
      <c r="J3141" s="109"/>
      <c r="L3141" s="109"/>
      <c r="M3141" s="109"/>
      <c r="N3141" s="109"/>
      <c r="Q3141" s="121"/>
      <c r="W3141" s="109"/>
    </row>
    <row r="3142" spans="1:23" ht="12.75" hidden="1">
      <c r="A3142" s="109"/>
      <c r="B3142" s="109"/>
      <c r="C3142" s="109"/>
      <c r="D3142" s="109"/>
      <c r="E3142" s="109"/>
      <c r="F3142" s="109"/>
      <c r="G3142" s="109"/>
      <c r="H3142" s="109"/>
      <c r="I3142" s="109"/>
      <c r="J3142" s="109"/>
      <c r="L3142" s="109"/>
      <c r="M3142" s="109"/>
      <c r="N3142" s="109"/>
      <c r="Q3142" s="121"/>
      <c r="W3142" s="109"/>
    </row>
    <row r="3143" spans="1:23" ht="12.75" hidden="1">
      <c r="A3143" s="109"/>
      <c r="B3143" s="109"/>
      <c r="C3143" s="109"/>
      <c r="D3143" s="109"/>
      <c r="E3143" s="109"/>
      <c r="F3143" s="109"/>
      <c r="G3143" s="109"/>
      <c r="H3143" s="109"/>
      <c r="I3143" s="109"/>
      <c r="J3143" s="109"/>
      <c r="L3143" s="109"/>
      <c r="M3143" s="109"/>
      <c r="N3143" s="109"/>
      <c r="Q3143" s="121"/>
      <c r="W3143" s="109"/>
    </row>
    <row r="3144" spans="1:23" ht="12.75" hidden="1">
      <c r="A3144" s="109"/>
      <c r="B3144" s="109"/>
      <c r="C3144" s="109"/>
      <c r="D3144" s="109"/>
      <c r="E3144" s="109"/>
      <c r="F3144" s="109"/>
      <c r="G3144" s="109"/>
      <c r="H3144" s="109"/>
      <c r="I3144" s="109"/>
      <c r="J3144" s="109"/>
      <c r="L3144" s="109"/>
      <c r="M3144" s="109"/>
      <c r="N3144" s="109"/>
      <c r="Q3144" s="121"/>
      <c r="W3144" s="109"/>
    </row>
    <row r="3145" spans="1:23" ht="12.75" hidden="1">
      <c r="A3145" s="109"/>
      <c r="B3145" s="109"/>
      <c r="C3145" s="109"/>
      <c r="D3145" s="109"/>
      <c r="E3145" s="109"/>
      <c r="F3145" s="109"/>
      <c r="G3145" s="109"/>
      <c r="H3145" s="109"/>
      <c r="I3145" s="109"/>
      <c r="J3145" s="109"/>
      <c r="L3145" s="109"/>
      <c r="M3145" s="109"/>
      <c r="N3145" s="109"/>
      <c r="Q3145" s="121"/>
      <c r="W3145" s="109"/>
    </row>
    <row r="3146" spans="1:23" ht="12.75" hidden="1">
      <c r="A3146" s="109"/>
      <c r="B3146" s="109"/>
      <c r="C3146" s="109"/>
      <c r="D3146" s="109"/>
      <c r="E3146" s="109"/>
      <c r="F3146" s="109"/>
      <c r="G3146" s="109"/>
      <c r="H3146" s="109"/>
      <c r="I3146" s="109"/>
      <c r="J3146" s="109"/>
      <c r="L3146" s="109"/>
      <c r="M3146" s="109"/>
      <c r="N3146" s="109"/>
      <c r="Q3146" s="121"/>
      <c r="W3146" s="109"/>
    </row>
    <row r="3147" spans="1:23" ht="12.75" hidden="1">
      <c r="A3147" s="109"/>
      <c r="B3147" s="109"/>
      <c r="C3147" s="109"/>
      <c r="D3147" s="109"/>
      <c r="E3147" s="109"/>
      <c r="F3147" s="109"/>
      <c r="G3147" s="109"/>
      <c r="H3147" s="109"/>
      <c r="I3147" s="109"/>
      <c r="J3147" s="109"/>
      <c r="L3147" s="109"/>
      <c r="M3147" s="109"/>
      <c r="N3147" s="109"/>
      <c r="Q3147" s="121"/>
      <c r="W3147" s="109"/>
    </row>
    <row r="3148" spans="1:23" ht="12.75" hidden="1">
      <c r="A3148" s="109"/>
      <c r="B3148" s="109"/>
      <c r="C3148" s="109"/>
      <c r="D3148" s="109"/>
      <c r="E3148" s="109"/>
      <c r="F3148" s="109"/>
      <c r="G3148" s="109"/>
      <c r="H3148" s="109"/>
      <c r="I3148" s="109"/>
      <c r="J3148" s="109"/>
      <c r="L3148" s="109"/>
      <c r="M3148" s="109"/>
      <c r="N3148" s="109"/>
      <c r="Q3148" s="121"/>
      <c r="W3148" s="109"/>
    </row>
    <row r="3149" spans="1:23" ht="12.75" hidden="1">
      <c r="A3149" s="109"/>
      <c r="B3149" s="109"/>
      <c r="C3149" s="109"/>
      <c r="D3149" s="109"/>
      <c r="E3149" s="109"/>
      <c r="F3149" s="109"/>
      <c r="G3149" s="109"/>
      <c r="H3149" s="109"/>
      <c r="I3149" s="109"/>
      <c r="J3149" s="109"/>
      <c r="L3149" s="109"/>
      <c r="M3149" s="109"/>
      <c r="N3149" s="109"/>
      <c r="Q3149" s="121"/>
      <c r="W3149" s="109"/>
    </row>
    <row r="3150" spans="1:23" ht="12.75" hidden="1">
      <c r="A3150" s="109"/>
      <c r="B3150" s="109"/>
      <c r="C3150" s="109"/>
      <c r="D3150" s="109"/>
      <c r="E3150" s="109"/>
      <c r="F3150" s="109"/>
      <c r="G3150" s="109"/>
      <c r="H3150" s="109"/>
      <c r="I3150" s="109"/>
      <c r="J3150" s="109"/>
      <c r="L3150" s="109"/>
      <c r="M3150" s="109"/>
      <c r="N3150" s="109"/>
      <c r="Q3150" s="121"/>
      <c r="W3150" s="109"/>
    </row>
    <row r="3151" spans="1:23" ht="12.75" hidden="1">
      <c r="A3151" s="109"/>
      <c r="B3151" s="109"/>
      <c r="C3151" s="109"/>
      <c r="D3151" s="109"/>
      <c r="E3151" s="109"/>
      <c r="F3151" s="109"/>
      <c r="G3151" s="109"/>
      <c r="H3151" s="109"/>
      <c r="I3151" s="109"/>
      <c r="J3151" s="109"/>
      <c r="L3151" s="109"/>
      <c r="M3151" s="109"/>
      <c r="N3151" s="109"/>
      <c r="Q3151" s="121"/>
      <c r="W3151" s="109"/>
    </row>
    <row r="3152" spans="1:23" ht="12.75" hidden="1">
      <c r="A3152" s="109"/>
      <c r="B3152" s="109"/>
      <c r="C3152" s="109"/>
      <c r="D3152" s="109"/>
      <c r="E3152" s="109"/>
      <c r="F3152" s="109"/>
      <c r="G3152" s="109"/>
      <c r="H3152" s="109"/>
      <c r="I3152" s="109"/>
      <c r="J3152" s="109"/>
      <c r="L3152" s="109"/>
      <c r="M3152" s="109"/>
      <c r="N3152" s="109"/>
      <c r="Q3152" s="121"/>
      <c r="W3152" s="109"/>
    </row>
    <row r="3153" spans="1:23" ht="12.75" hidden="1">
      <c r="A3153" s="109"/>
      <c r="B3153" s="109"/>
      <c r="C3153" s="109"/>
      <c r="D3153" s="109"/>
      <c r="E3153" s="109"/>
      <c r="F3153" s="109"/>
      <c r="G3153" s="109"/>
      <c r="H3153" s="109"/>
      <c r="I3153" s="109"/>
      <c r="J3153" s="109"/>
      <c r="L3153" s="109"/>
      <c r="M3153" s="109"/>
      <c r="N3153" s="109"/>
      <c r="Q3153" s="121"/>
      <c r="W3153" s="109"/>
    </row>
    <row r="3154" spans="1:23" ht="12.75" hidden="1">
      <c r="A3154" s="109"/>
      <c r="B3154" s="109"/>
      <c r="C3154" s="109"/>
      <c r="D3154" s="109"/>
      <c r="E3154" s="109"/>
      <c r="F3154" s="109"/>
      <c r="G3154" s="109"/>
      <c r="H3154" s="109"/>
      <c r="I3154" s="109"/>
      <c r="J3154" s="109"/>
      <c r="L3154" s="109"/>
      <c r="M3154" s="109"/>
      <c r="N3154" s="109"/>
      <c r="Q3154" s="121"/>
      <c r="W3154" s="109"/>
    </row>
    <row r="3155" spans="1:23" ht="12.75" hidden="1">
      <c r="A3155" s="109"/>
      <c r="B3155" s="109"/>
      <c r="C3155" s="109"/>
      <c r="D3155" s="109"/>
      <c r="E3155" s="109"/>
      <c r="F3155" s="109"/>
      <c r="G3155" s="109"/>
      <c r="H3155" s="109"/>
      <c r="I3155" s="109"/>
      <c r="J3155" s="109"/>
      <c r="L3155" s="109"/>
      <c r="M3155" s="109"/>
      <c r="N3155" s="109"/>
      <c r="Q3155" s="121"/>
      <c r="W3155" s="109"/>
    </row>
    <row r="3156" spans="1:23" ht="12.75" hidden="1">
      <c r="A3156" s="109"/>
      <c r="B3156" s="109"/>
      <c r="C3156" s="109"/>
      <c r="D3156" s="109"/>
      <c r="E3156" s="109"/>
      <c r="F3156" s="109"/>
      <c r="G3156" s="109"/>
      <c r="H3156" s="109"/>
      <c r="I3156" s="109"/>
      <c r="J3156" s="109"/>
      <c r="L3156" s="109"/>
      <c r="M3156" s="109"/>
      <c r="N3156" s="109"/>
      <c r="Q3156" s="121"/>
      <c r="W3156" s="109"/>
    </row>
    <row r="3157" spans="1:23" ht="12.75" hidden="1">
      <c r="A3157" s="109"/>
      <c r="B3157" s="109"/>
      <c r="C3157" s="109"/>
      <c r="D3157" s="109"/>
      <c r="E3157" s="109"/>
      <c r="F3157" s="109"/>
      <c r="G3157" s="109"/>
      <c r="H3157" s="109"/>
      <c r="I3157" s="109"/>
      <c r="J3157" s="109"/>
      <c r="L3157" s="109"/>
      <c r="M3157" s="109"/>
      <c r="N3157" s="109"/>
      <c r="Q3157" s="121"/>
      <c r="W3157" s="109"/>
    </row>
    <row r="3158" spans="1:23" ht="12.75" hidden="1">
      <c r="A3158" s="109"/>
      <c r="B3158" s="109"/>
      <c r="C3158" s="109"/>
      <c r="D3158" s="109"/>
      <c r="E3158" s="109"/>
      <c r="F3158" s="109"/>
      <c r="G3158" s="109"/>
      <c r="H3158" s="109"/>
      <c r="I3158" s="109"/>
      <c r="J3158" s="109"/>
      <c r="L3158" s="109"/>
      <c r="M3158" s="109"/>
      <c r="N3158" s="109"/>
      <c r="Q3158" s="121"/>
      <c r="W3158" s="109"/>
    </row>
    <row r="3159" spans="1:23" ht="12.75" hidden="1">
      <c r="A3159" s="109"/>
      <c r="B3159" s="109"/>
      <c r="C3159" s="109"/>
      <c r="D3159" s="109"/>
      <c r="E3159" s="109"/>
      <c r="F3159" s="109"/>
      <c r="G3159" s="109"/>
      <c r="H3159" s="109"/>
      <c r="I3159" s="109"/>
      <c r="J3159" s="109"/>
      <c r="L3159" s="109"/>
      <c r="M3159" s="109"/>
      <c r="N3159" s="109"/>
      <c r="Q3159" s="121"/>
      <c r="W3159" s="109"/>
    </row>
    <row r="3160" spans="1:23" ht="12.75" hidden="1">
      <c r="A3160" s="109"/>
      <c r="B3160" s="109"/>
      <c r="C3160" s="109"/>
      <c r="D3160" s="109"/>
      <c r="E3160" s="109"/>
      <c r="F3160" s="109"/>
      <c r="G3160" s="109"/>
      <c r="H3160" s="109"/>
      <c r="I3160" s="109"/>
      <c r="J3160" s="109"/>
      <c r="L3160" s="109"/>
      <c r="M3160" s="109"/>
      <c r="N3160" s="109"/>
      <c r="Q3160" s="121"/>
      <c r="W3160" s="109"/>
    </row>
    <row r="3161" spans="1:23" ht="12.75" hidden="1">
      <c r="A3161" s="109"/>
      <c r="B3161" s="109"/>
      <c r="C3161" s="109"/>
      <c r="D3161" s="109"/>
      <c r="E3161" s="109"/>
      <c r="F3161" s="109"/>
      <c r="G3161" s="109"/>
      <c r="H3161" s="109"/>
      <c r="I3161" s="109"/>
      <c r="J3161" s="109"/>
      <c r="L3161" s="109"/>
      <c r="M3161" s="109"/>
      <c r="N3161" s="109"/>
      <c r="Q3161" s="121"/>
      <c r="W3161" s="109"/>
    </row>
    <row r="3162" spans="1:23" ht="12.75" hidden="1">
      <c r="A3162" s="109"/>
      <c r="B3162" s="109"/>
      <c r="C3162" s="109"/>
      <c r="D3162" s="109"/>
      <c r="E3162" s="109"/>
      <c r="F3162" s="109"/>
      <c r="G3162" s="109"/>
      <c r="H3162" s="109"/>
      <c r="I3162" s="109"/>
      <c r="J3162" s="109"/>
      <c r="L3162" s="109"/>
      <c r="M3162" s="109"/>
      <c r="N3162" s="109"/>
      <c r="Q3162" s="121"/>
      <c r="W3162" s="109"/>
    </row>
    <row r="3163" spans="1:23" ht="12.75" hidden="1">
      <c r="A3163" s="109"/>
      <c r="B3163" s="109"/>
      <c r="C3163" s="109"/>
      <c r="D3163" s="109"/>
      <c r="E3163" s="109"/>
      <c r="F3163" s="109"/>
      <c r="G3163" s="109"/>
      <c r="H3163" s="109"/>
      <c r="I3163" s="109"/>
      <c r="J3163" s="109"/>
      <c r="L3163" s="109"/>
      <c r="M3163" s="109"/>
      <c r="N3163" s="109"/>
      <c r="Q3163" s="121"/>
      <c r="W3163" s="109"/>
    </row>
    <row r="3164" spans="1:23" ht="12.75" hidden="1">
      <c r="A3164" s="109"/>
      <c r="B3164" s="109"/>
      <c r="C3164" s="109"/>
      <c r="D3164" s="109"/>
      <c r="E3164" s="109"/>
      <c r="F3164" s="109"/>
      <c r="G3164" s="109"/>
      <c r="H3164" s="109"/>
      <c r="I3164" s="109"/>
      <c r="J3164" s="109"/>
      <c r="L3164" s="109"/>
      <c r="M3164" s="109"/>
      <c r="N3164" s="109"/>
      <c r="Q3164" s="121"/>
      <c r="W3164" s="109"/>
    </row>
    <row r="3165" spans="1:23" ht="12.75" hidden="1">
      <c r="A3165" s="109"/>
      <c r="B3165" s="109"/>
      <c r="C3165" s="109"/>
      <c r="D3165" s="109"/>
      <c r="E3165" s="109"/>
      <c r="F3165" s="109"/>
      <c r="G3165" s="109"/>
      <c r="H3165" s="109"/>
      <c r="I3165" s="109"/>
      <c r="J3165" s="109"/>
      <c r="L3165" s="109"/>
      <c r="M3165" s="109"/>
      <c r="N3165" s="109"/>
      <c r="Q3165" s="121"/>
      <c r="W3165" s="109"/>
    </row>
    <row r="3166" spans="1:23" ht="12.75" hidden="1">
      <c r="A3166" s="109"/>
      <c r="B3166" s="109"/>
      <c r="C3166" s="109"/>
      <c r="D3166" s="109"/>
      <c r="E3166" s="109"/>
      <c r="F3166" s="109"/>
      <c r="G3166" s="109"/>
      <c r="H3166" s="109"/>
      <c r="I3166" s="109"/>
      <c r="J3166" s="109"/>
      <c r="L3166" s="109"/>
      <c r="M3166" s="109"/>
      <c r="N3166" s="109"/>
      <c r="Q3166" s="121"/>
      <c r="W3166" s="109"/>
    </row>
    <row r="3167" spans="1:23" ht="12.75" hidden="1">
      <c r="A3167" s="109"/>
      <c r="B3167" s="109"/>
      <c r="C3167" s="109"/>
      <c r="D3167" s="109"/>
      <c r="E3167" s="109"/>
      <c r="F3167" s="109"/>
      <c r="G3167" s="109"/>
      <c r="H3167" s="109"/>
      <c r="I3167" s="109"/>
      <c r="J3167" s="109"/>
      <c r="L3167" s="109"/>
      <c r="M3167" s="109"/>
      <c r="N3167" s="109"/>
      <c r="Q3167" s="121"/>
      <c r="W3167" s="109"/>
    </row>
    <row r="3168" spans="1:23" ht="12.75" hidden="1">
      <c r="A3168" s="109"/>
      <c r="B3168" s="109"/>
      <c r="C3168" s="109"/>
      <c r="D3168" s="109"/>
      <c r="E3168" s="109"/>
      <c r="F3168" s="109"/>
      <c r="G3168" s="109"/>
      <c r="H3168" s="109"/>
      <c r="I3168" s="109"/>
      <c r="J3168" s="109"/>
      <c r="L3168" s="109"/>
      <c r="M3168" s="109"/>
      <c r="N3168" s="109"/>
      <c r="Q3168" s="121"/>
      <c r="W3168" s="109"/>
    </row>
    <row r="3169" spans="1:23" ht="12.75" hidden="1">
      <c r="A3169" s="109"/>
      <c r="B3169" s="109"/>
      <c r="C3169" s="109"/>
      <c r="D3169" s="109"/>
      <c r="E3169" s="109"/>
      <c r="F3169" s="109"/>
      <c r="G3169" s="109"/>
      <c r="H3169" s="109"/>
      <c r="I3169" s="109"/>
      <c r="J3169" s="109"/>
      <c r="L3169" s="109"/>
      <c r="M3169" s="109"/>
      <c r="N3169" s="109"/>
      <c r="Q3169" s="121"/>
      <c r="W3169" s="109"/>
    </row>
    <row r="3170" spans="1:23" ht="12.75" hidden="1">
      <c r="A3170" s="109"/>
      <c r="B3170" s="109"/>
      <c r="C3170" s="109"/>
      <c r="D3170" s="109"/>
      <c r="E3170" s="109"/>
      <c r="F3170" s="109"/>
      <c r="G3170" s="109"/>
      <c r="H3170" s="109"/>
      <c r="I3170" s="109"/>
      <c r="J3170" s="109"/>
      <c r="L3170" s="109"/>
      <c r="M3170" s="109"/>
      <c r="N3170" s="109"/>
      <c r="Q3170" s="121"/>
      <c r="W3170" s="109"/>
    </row>
    <row r="3171" spans="1:23" ht="12.75" hidden="1">
      <c r="A3171" s="109"/>
      <c r="B3171" s="109"/>
      <c r="C3171" s="109"/>
      <c r="D3171" s="109"/>
      <c r="E3171" s="109"/>
      <c r="F3171" s="109"/>
      <c r="G3171" s="109"/>
      <c r="H3171" s="109"/>
      <c r="I3171" s="109"/>
      <c r="J3171" s="109"/>
      <c r="L3171" s="109"/>
      <c r="M3171" s="109"/>
      <c r="N3171" s="109"/>
      <c r="Q3171" s="121"/>
      <c r="W3171" s="109"/>
    </row>
    <row r="3172" spans="1:23" ht="12.75" hidden="1">
      <c r="A3172" s="109"/>
      <c r="B3172" s="109"/>
      <c r="C3172" s="109"/>
      <c r="D3172" s="109"/>
      <c r="E3172" s="109"/>
      <c r="F3172" s="109"/>
      <c r="G3172" s="109"/>
      <c r="H3172" s="109"/>
      <c r="I3172" s="109"/>
      <c r="J3172" s="109"/>
      <c r="L3172" s="109"/>
      <c r="M3172" s="109"/>
      <c r="N3172" s="109"/>
      <c r="Q3172" s="121"/>
      <c r="W3172" s="109"/>
    </row>
    <row r="3173" spans="1:23" ht="12.75" hidden="1">
      <c r="A3173" s="109"/>
      <c r="B3173" s="109"/>
      <c r="C3173" s="109"/>
      <c r="D3173" s="109"/>
      <c r="E3173" s="109"/>
      <c r="F3173" s="109"/>
      <c r="G3173" s="109"/>
      <c r="H3173" s="109"/>
      <c r="I3173" s="109"/>
      <c r="J3173" s="109"/>
      <c r="L3173" s="109"/>
      <c r="M3173" s="109"/>
      <c r="N3173" s="109"/>
      <c r="Q3173" s="121"/>
      <c r="W3173" s="109"/>
    </row>
    <row r="3174" spans="1:23" ht="12.75" hidden="1">
      <c r="A3174" s="109"/>
      <c r="B3174" s="109"/>
      <c r="C3174" s="109"/>
      <c r="D3174" s="109"/>
      <c r="E3174" s="109"/>
      <c r="F3174" s="109"/>
      <c r="G3174" s="109"/>
      <c r="H3174" s="109"/>
      <c r="I3174" s="109"/>
      <c r="J3174" s="109"/>
      <c r="L3174" s="109"/>
      <c r="M3174" s="109"/>
      <c r="N3174" s="109"/>
      <c r="Q3174" s="121"/>
      <c r="W3174" s="109"/>
    </row>
    <row r="3175" spans="1:23" ht="12.75" hidden="1">
      <c r="A3175" s="109"/>
      <c r="B3175" s="109"/>
      <c r="C3175" s="109"/>
      <c r="D3175" s="109"/>
      <c r="E3175" s="109"/>
      <c r="F3175" s="109"/>
      <c r="G3175" s="109"/>
      <c r="H3175" s="109"/>
      <c r="I3175" s="109"/>
      <c r="J3175" s="109"/>
      <c r="L3175" s="109"/>
      <c r="M3175" s="109"/>
      <c r="N3175" s="109"/>
      <c r="Q3175" s="121"/>
      <c r="W3175" s="109"/>
    </row>
    <row r="3176" spans="1:23" ht="12.75" hidden="1">
      <c r="A3176" s="109"/>
      <c r="B3176" s="109"/>
      <c r="C3176" s="109"/>
      <c r="D3176" s="109"/>
      <c r="E3176" s="109"/>
      <c r="F3176" s="109"/>
      <c r="G3176" s="109"/>
      <c r="H3176" s="109"/>
      <c r="I3176" s="109"/>
      <c r="J3176" s="109"/>
      <c r="L3176" s="109"/>
      <c r="M3176" s="109"/>
      <c r="N3176" s="109"/>
      <c r="Q3176" s="121"/>
      <c r="W3176" s="109"/>
    </row>
    <row r="3177" spans="1:23" ht="12.75" hidden="1">
      <c r="A3177" s="109"/>
      <c r="B3177" s="109"/>
      <c r="C3177" s="109"/>
      <c r="D3177" s="109"/>
      <c r="E3177" s="109"/>
      <c r="F3177" s="109"/>
      <c r="G3177" s="109"/>
      <c r="H3177" s="109"/>
      <c r="I3177" s="109"/>
      <c r="J3177" s="109"/>
      <c r="L3177" s="109"/>
      <c r="M3177" s="109"/>
      <c r="N3177" s="109"/>
      <c r="Q3177" s="121"/>
      <c r="W3177" s="109"/>
    </row>
    <row r="3178" spans="1:23" ht="12.75" hidden="1">
      <c r="A3178" s="109"/>
      <c r="B3178" s="109"/>
      <c r="C3178" s="109"/>
      <c r="D3178" s="109"/>
      <c r="E3178" s="109"/>
      <c r="F3178" s="109"/>
      <c r="G3178" s="109"/>
      <c r="H3178" s="109"/>
      <c r="I3178" s="109"/>
      <c r="J3178" s="109"/>
      <c r="L3178" s="109"/>
      <c r="M3178" s="109"/>
      <c r="N3178" s="109"/>
      <c r="Q3178" s="121"/>
      <c r="W3178" s="109"/>
    </row>
    <row r="3179" spans="1:23" ht="12.75" hidden="1">
      <c r="A3179" s="109"/>
      <c r="B3179" s="109"/>
      <c r="C3179" s="109"/>
      <c r="D3179" s="109"/>
      <c r="E3179" s="109"/>
      <c r="F3179" s="109"/>
      <c r="G3179" s="109"/>
      <c r="H3179" s="109"/>
      <c r="I3179" s="109"/>
      <c r="J3179" s="109"/>
      <c r="L3179" s="109"/>
      <c r="M3179" s="109"/>
      <c r="N3179" s="109"/>
      <c r="Q3179" s="121"/>
      <c r="W3179" s="109"/>
    </row>
    <row r="3180" spans="1:23" ht="12.75" hidden="1">
      <c r="A3180" s="109"/>
      <c r="B3180" s="109"/>
      <c r="C3180" s="109"/>
      <c r="D3180" s="109"/>
      <c r="E3180" s="109"/>
      <c r="F3180" s="109"/>
      <c r="G3180" s="109"/>
      <c r="H3180" s="109"/>
      <c r="I3180" s="109"/>
      <c r="J3180" s="109"/>
      <c r="L3180" s="109"/>
      <c r="M3180" s="109"/>
      <c r="N3180" s="109"/>
      <c r="Q3180" s="121"/>
      <c r="W3180" s="109"/>
    </row>
    <row r="3181" spans="1:23" ht="12.75" hidden="1">
      <c r="A3181" s="109"/>
      <c r="B3181" s="109"/>
      <c r="C3181" s="109"/>
      <c r="D3181" s="109"/>
      <c r="E3181" s="109"/>
      <c r="F3181" s="109"/>
      <c r="G3181" s="109"/>
      <c r="H3181" s="109"/>
      <c r="I3181" s="109"/>
      <c r="J3181" s="109"/>
      <c r="L3181" s="109"/>
      <c r="M3181" s="109"/>
      <c r="N3181" s="109"/>
      <c r="Q3181" s="121"/>
      <c r="W3181" s="109"/>
    </row>
    <row r="3182" spans="1:23" ht="12.75" hidden="1">
      <c r="A3182" s="109"/>
      <c r="B3182" s="109"/>
      <c r="C3182" s="109"/>
      <c r="D3182" s="109"/>
      <c r="E3182" s="109"/>
      <c r="F3182" s="109"/>
      <c r="G3182" s="109"/>
      <c r="H3182" s="109"/>
      <c r="I3182" s="109"/>
      <c r="J3182" s="109"/>
      <c r="L3182" s="109"/>
      <c r="M3182" s="109"/>
      <c r="N3182" s="109"/>
      <c r="Q3182" s="121"/>
      <c r="W3182" s="109"/>
    </row>
    <row r="3183" spans="1:23" ht="12.75" hidden="1">
      <c r="A3183" s="109"/>
      <c r="B3183" s="109"/>
      <c r="C3183" s="109"/>
      <c r="D3183" s="109"/>
      <c r="E3183" s="109"/>
      <c r="F3183" s="109"/>
      <c r="G3183" s="109"/>
      <c r="H3183" s="109"/>
      <c r="I3183" s="109"/>
      <c r="J3183" s="109"/>
      <c r="L3183" s="109"/>
      <c r="M3183" s="109"/>
      <c r="N3183" s="109"/>
      <c r="Q3183" s="121"/>
      <c r="W3183" s="109"/>
    </row>
    <row r="3184" spans="1:23" ht="12.75" hidden="1">
      <c r="A3184" s="109"/>
      <c r="B3184" s="109"/>
      <c r="C3184" s="109"/>
      <c r="D3184" s="109"/>
      <c r="E3184" s="109"/>
      <c r="F3184" s="109"/>
      <c r="G3184" s="109"/>
      <c r="H3184" s="109"/>
      <c r="I3184" s="109"/>
      <c r="J3184" s="109"/>
      <c r="L3184" s="109"/>
      <c r="M3184" s="109"/>
      <c r="N3184" s="109"/>
      <c r="Q3184" s="121"/>
      <c r="W3184" s="109"/>
    </row>
    <row r="3185" spans="1:23" ht="12.75" hidden="1">
      <c r="A3185" s="109"/>
      <c r="B3185" s="109"/>
      <c r="C3185" s="109"/>
      <c r="D3185" s="109"/>
      <c r="E3185" s="109"/>
      <c r="F3185" s="109"/>
      <c r="G3185" s="109"/>
      <c r="H3185" s="109"/>
      <c r="I3185" s="109"/>
      <c r="J3185" s="109"/>
      <c r="L3185" s="109"/>
      <c r="M3185" s="109"/>
      <c r="N3185" s="109"/>
      <c r="Q3185" s="121"/>
      <c r="W3185" s="109"/>
    </row>
    <row r="3186" spans="1:23" ht="12.75" hidden="1">
      <c r="A3186" s="109"/>
      <c r="B3186" s="109"/>
      <c r="C3186" s="109"/>
      <c r="D3186" s="109"/>
      <c r="E3186" s="109"/>
      <c r="F3186" s="109"/>
      <c r="G3186" s="109"/>
      <c r="H3186" s="109"/>
      <c r="I3186" s="109"/>
      <c r="J3186" s="109"/>
      <c r="L3186" s="109"/>
      <c r="M3186" s="109"/>
      <c r="N3186" s="109"/>
      <c r="Q3186" s="121"/>
      <c r="W3186" s="109"/>
    </row>
    <row r="3187" spans="1:23" ht="12.75" hidden="1">
      <c r="A3187" s="109"/>
      <c r="B3187" s="109"/>
      <c r="C3187" s="109"/>
      <c r="D3187" s="109"/>
      <c r="E3187" s="109"/>
      <c r="F3187" s="109"/>
      <c r="G3187" s="109"/>
      <c r="H3187" s="109"/>
      <c r="I3187" s="109"/>
      <c r="J3187" s="109"/>
      <c r="L3187" s="109"/>
      <c r="M3187" s="109"/>
      <c r="N3187" s="109"/>
      <c r="Q3187" s="121"/>
      <c r="W3187" s="109"/>
    </row>
    <row r="3188" spans="1:23" ht="12.75" hidden="1">
      <c r="A3188" s="109"/>
      <c r="B3188" s="109"/>
      <c r="C3188" s="109"/>
      <c r="D3188" s="109"/>
      <c r="E3188" s="109"/>
      <c r="F3188" s="109"/>
      <c r="G3188" s="109"/>
      <c r="H3188" s="109"/>
      <c r="I3188" s="109"/>
      <c r="J3188" s="109"/>
      <c r="L3188" s="109"/>
      <c r="M3188" s="109"/>
      <c r="N3188" s="109"/>
      <c r="Q3188" s="121"/>
      <c r="W3188" s="109"/>
    </row>
    <row r="3189" spans="1:23" ht="12.75" hidden="1">
      <c r="A3189" s="109"/>
      <c r="B3189" s="109"/>
      <c r="C3189" s="109"/>
      <c r="D3189" s="109"/>
      <c r="E3189" s="109"/>
      <c r="F3189" s="109"/>
      <c r="G3189" s="109"/>
      <c r="H3189" s="109"/>
      <c r="I3189" s="109"/>
      <c r="J3189" s="109"/>
      <c r="L3189" s="109"/>
      <c r="M3189" s="109"/>
      <c r="N3189" s="109"/>
      <c r="Q3189" s="121"/>
      <c r="W3189" s="109"/>
    </row>
    <row r="3190" spans="1:23" ht="12.75" hidden="1">
      <c r="A3190" s="109"/>
      <c r="B3190" s="109"/>
      <c r="C3190" s="109"/>
      <c r="D3190" s="109"/>
      <c r="E3190" s="109"/>
      <c r="F3190" s="109"/>
      <c r="G3190" s="109"/>
      <c r="H3190" s="109"/>
      <c r="I3190" s="109"/>
      <c r="J3190" s="109"/>
      <c r="L3190" s="109"/>
      <c r="M3190" s="109"/>
      <c r="N3190" s="109"/>
      <c r="Q3190" s="121"/>
      <c r="W3190" s="109"/>
    </row>
    <row r="3191" spans="1:23" ht="12.75" hidden="1">
      <c r="A3191" s="109"/>
      <c r="B3191" s="109"/>
      <c r="C3191" s="109"/>
      <c r="D3191" s="109"/>
      <c r="E3191" s="109"/>
      <c r="F3191" s="109"/>
      <c r="G3191" s="109"/>
      <c r="H3191" s="109"/>
      <c r="I3191" s="109"/>
      <c r="J3191" s="109"/>
      <c r="L3191" s="109"/>
      <c r="M3191" s="109"/>
      <c r="N3191" s="109"/>
      <c r="Q3191" s="121"/>
      <c r="W3191" s="109"/>
    </row>
    <row r="3192" spans="1:23" ht="12.75" hidden="1">
      <c r="A3192" s="109"/>
      <c r="B3192" s="109"/>
      <c r="C3192" s="109"/>
      <c r="D3192" s="109"/>
      <c r="E3192" s="109"/>
      <c r="F3192" s="109"/>
      <c r="G3192" s="109"/>
      <c r="H3192" s="109"/>
      <c r="I3192" s="109"/>
      <c r="J3192" s="109"/>
      <c r="L3192" s="109"/>
      <c r="M3192" s="109"/>
      <c r="N3192" s="109"/>
      <c r="Q3192" s="121"/>
      <c r="W3192" s="109"/>
    </row>
    <row r="3193" spans="1:23" ht="12.75" hidden="1">
      <c r="A3193" s="109"/>
      <c r="B3193" s="109"/>
      <c r="C3193" s="109"/>
      <c r="D3193" s="109"/>
      <c r="E3193" s="109"/>
      <c r="F3193" s="109"/>
      <c r="G3193" s="109"/>
      <c r="H3193" s="109"/>
      <c r="I3193" s="109"/>
      <c r="J3193" s="109"/>
      <c r="L3193" s="109"/>
      <c r="M3193" s="109"/>
      <c r="N3193" s="109"/>
      <c r="Q3193" s="121"/>
      <c r="W3193" s="109"/>
    </row>
    <row r="3194" spans="1:23" ht="12.75" hidden="1">
      <c r="A3194" s="109"/>
      <c r="B3194" s="109"/>
      <c r="C3194" s="109"/>
      <c r="D3194" s="109"/>
      <c r="E3194" s="109"/>
      <c r="F3194" s="109"/>
      <c r="G3194" s="109"/>
      <c r="H3194" s="109"/>
      <c r="I3194" s="109"/>
      <c r="J3194" s="109"/>
      <c r="L3194" s="109"/>
      <c r="M3194" s="109"/>
      <c r="N3194" s="109"/>
      <c r="Q3194" s="121"/>
      <c r="W3194" s="109"/>
    </row>
    <row r="3195" spans="1:23" ht="12.75" hidden="1">
      <c r="A3195" s="109"/>
      <c r="B3195" s="109"/>
      <c r="C3195" s="109"/>
      <c r="D3195" s="109"/>
      <c r="E3195" s="109"/>
      <c r="F3195" s="109"/>
      <c r="G3195" s="109"/>
      <c r="H3195" s="109"/>
      <c r="I3195" s="109"/>
      <c r="J3195" s="109"/>
      <c r="L3195" s="109"/>
      <c r="M3195" s="109"/>
      <c r="N3195" s="109"/>
      <c r="Q3195" s="121"/>
      <c r="W3195" s="109"/>
    </row>
    <row r="3196" spans="1:23" ht="12.75" hidden="1">
      <c r="A3196" s="109"/>
      <c r="B3196" s="109"/>
      <c r="C3196" s="109"/>
      <c r="D3196" s="109"/>
      <c r="E3196" s="109"/>
      <c r="F3196" s="109"/>
      <c r="G3196" s="109"/>
      <c r="H3196" s="109"/>
      <c r="I3196" s="109"/>
      <c r="J3196" s="109"/>
      <c r="L3196" s="109"/>
      <c r="M3196" s="109"/>
      <c r="N3196" s="109"/>
      <c r="Q3196" s="121"/>
      <c r="W3196" s="109"/>
    </row>
    <row r="3197" spans="1:23" ht="12.75" hidden="1">
      <c r="A3197" s="109"/>
      <c r="B3197" s="109"/>
      <c r="C3197" s="109"/>
      <c r="D3197" s="109"/>
      <c r="E3197" s="109"/>
      <c r="F3197" s="109"/>
      <c r="G3197" s="109"/>
      <c r="H3197" s="109"/>
      <c r="I3197" s="109"/>
      <c r="J3197" s="109"/>
      <c r="L3197" s="109"/>
      <c r="M3197" s="109"/>
      <c r="N3197" s="109"/>
      <c r="Q3197" s="121"/>
      <c r="W3197" s="109"/>
    </row>
    <row r="3198" spans="1:23" ht="12.75" hidden="1">
      <c r="A3198" s="109"/>
      <c r="B3198" s="109"/>
      <c r="C3198" s="109"/>
      <c r="D3198" s="109"/>
      <c r="E3198" s="109"/>
      <c r="F3198" s="109"/>
      <c r="G3198" s="109"/>
      <c r="H3198" s="109"/>
      <c r="I3198" s="109"/>
      <c r="J3198" s="109"/>
      <c r="L3198" s="109"/>
      <c r="M3198" s="109"/>
      <c r="N3198" s="109"/>
      <c r="Q3198" s="121"/>
      <c r="W3198" s="109"/>
    </row>
    <row r="3199" spans="1:23" ht="12.75" hidden="1">
      <c r="A3199" s="109"/>
      <c r="B3199" s="109"/>
      <c r="C3199" s="109"/>
      <c r="D3199" s="109"/>
      <c r="E3199" s="109"/>
      <c r="F3199" s="109"/>
      <c r="G3199" s="109"/>
      <c r="H3199" s="109"/>
      <c r="I3199" s="109"/>
      <c r="J3199" s="109"/>
      <c r="L3199" s="109"/>
      <c r="M3199" s="109"/>
      <c r="N3199" s="109"/>
      <c r="Q3199" s="121"/>
      <c r="W3199" s="109"/>
    </row>
    <row r="3200" spans="1:23" ht="12.75" hidden="1">
      <c r="A3200" s="109"/>
      <c r="B3200" s="109"/>
      <c r="C3200" s="109"/>
      <c r="D3200" s="109"/>
      <c r="E3200" s="109"/>
      <c r="F3200" s="109"/>
      <c r="G3200" s="109"/>
      <c r="H3200" s="109"/>
      <c r="I3200" s="109"/>
      <c r="J3200" s="109"/>
      <c r="L3200" s="109"/>
      <c r="M3200" s="109"/>
      <c r="N3200" s="109"/>
      <c r="Q3200" s="121"/>
      <c r="W3200" s="109"/>
    </row>
    <row r="3201" spans="1:23" ht="12.75" hidden="1">
      <c r="A3201" s="109"/>
      <c r="B3201" s="109"/>
      <c r="C3201" s="109"/>
      <c r="D3201" s="109"/>
      <c r="E3201" s="109"/>
      <c r="F3201" s="109"/>
      <c r="G3201" s="109"/>
      <c r="H3201" s="109"/>
      <c r="I3201" s="109"/>
      <c r="J3201" s="109"/>
      <c r="L3201" s="109"/>
      <c r="M3201" s="109"/>
      <c r="N3201" s="109"/>
      <c r="Q3201" s="121"/>
      <c r="W3201" s="109"/>
    </row>
    <row r="3202" spans="1:23" ht="12.75" hidden="1">
      <c r="A3202" s="109"/>
      <c r="B3202" s="109"/>
      <c r="C3202" s="109"/>
      <c r="D3202" s="109"/>
      <c r="E3202" s="109"/>
      <c r="F3202" s="109"/>
      <c r="G3202" s="109"/>
      <c r="H3202" s="109"/>
      <c r="I3202" s="109"/>
      <c r="J3202" s="109"/>
      <c r="L3202" s="109"/>
      <c r="M3202" s="109"/>
      <c r="N3202" s="109"/>
      <c r="Q3202" s="121"/>
      <c r="W3202" s="109"/>
    </row>
    <row r="3203" spans="1:23" ht="12.75" hidden="1">
      <c r="A3203" s="109"/>
      <c r="B3203" s="109"/>
      <c r="C3203" s="109"/>
      <c r="D3203" s="109"/>
      <c r="E3203" s="109"/>
      <c r="F3203" s="109"/>
      <c r="G3203" s="109"/>
      <c r="H3203" s="109"/>
      <c r="I3203" s="109"/>
      <c r="J3203" s="109"/>
      <c r="L3203" s="109"/>
      <c r="M3203" s="109"/>
      <c r="N3203" s="109"/>
      <c r="Q3203" s="121"/>
      <c r="W3203" s="109"/>
    </row>
    <row r="3204" spans="1:23" ht="12.75" hidden="1">
      <c r="A3204" s="109"/>
      <c r="B3204" s="109"/>
      <c r="C3204" s="109"/>
      <c r="D3204" s="109"/>
      <c r="E3204" s="109"/>
      <c r="F3204" s="109"/>
      <c r="G3204" s="109"/>
      <c r="H3204" s="109"/>
      <c r="I3204" s="109"/>
      <c r="J3204" s="109"/>
      <c r="L3204" s="109"/>
      <c r="M3204" s="109"/>
      <c r="N3204" s="109"/>
      <c r="Q3204" s="121"/>
      <c r="W3204" s="109"/>
    </row>
    <row r="3205" spans="1:23" ht="12.75" hidden="1">
      <c r="A3205" s="109"/>
      <c r="B3205" s="109"/>
      <c r="C3205" s="109"/>
      <c r="D3205" s="109"/>
      <c r="E3205" s="109"/>
      <c r="F3205" s="109"/>
      <c r="G3205" s="109"/>
      <c r="H3205" s="109"/>
      <c r="I3205" s="109"/>
      <c r="J3205" s="109"/>
      <c r="L3205" s="109"/>
      <c r="M3205" s="109"/>
      <c r="N3205" s="109"/>
      <c r="Q3205" s="121"/>
      <c r="W3205" s="109"/>
    </row>
    <row r="3206" spans="1:23" ht="12.75" hidden="1">
      <c r="A3206" s="109"/>
      <c r="B3206" s="109"/>
      <c r="C3206" s="109"/>
      <c r="D3206" s="109"/>
      <c r="E3206" s="109"/>
      <c r="F3206" s="109"/>
      <c r="G3206" s="109"/>
      <c r="H3206" s="109"/>
      <c r="I3206" s="109"/>
      <c r="J3206" s="109"/>
      <c r="L3206" s="109"/>
      <c r="M3206" s="109"/>
      <c r="N3206" s="109"/>
      <c r="Q3206" s="121"/>
      <c r="W3206" s="109"/>
    </row>
    <row r="3207" spans="1:23" ht="12.75" hidden="1">
      <c r="A3207" s="109"/>
      <c r="B3207" s="109"/>
      <c r="C3207" s="109"/>
      <c r="D3207" s="109"/>
      <c r="E3207" s="109"/>
      <c r="F3207" s="109"/>
      <c r="G3207" s="109"/>
      <c r="H3207" s="109"/>
      <c r="I3207" s="109"/>
      <c r="J3207" s="109"/>
      <c r="L3207" s="109"/>
      <c r="M3207" s="109"/>
      <c r="N3207" s="109"/>
      <c r="Q3207" s="121"/>
      <c r="W3207" s="109"/>
    </row>
    <row r="3208" spans="1:23" ht="12.75" hidden="1">
      <c r="A3208" s="109"/>
      <c r="B3208" s="109"/>
      <c r="C3208" s="109"/>
      <c r="D3208" s="109"/>
      <c r="E3208" s="109"/>
      <c r="F3208" s="109"/>
      <c r="G3208" s="109"/>
      <c r="H3208" s="109"/>
      <c r="I3208" s="109"/>
      <c r="J3208" s="109"/>
      <c r="L3208" s="109"/>
      <c r="M3208" s="109"/>
      <c r="N3208" s="109"/>
      <c r="Q3208" s="121"/>
      <c r="W3208" s="109"/>
    </row>
    <row r="3209" spans="1:23" ht="12.75" hidden="1">
      <c r="A3209" s="109"/>
      <c r="B3209" s="109"/>
      <c r="C3209" s="109"/>
      <c r="D3209" s="109"/>
      <c r="E3209" s="109"/>
      <c r="F3209" s="109"/>
      <c r="G3209" s="109"/>
      <c r="H3209" s="109"/>
      <c r="I3209" s="109"/>
      <c r="J3209" s="109"/>
      <c r="L3209" s="109"/>
      <c r="M3209" s="109"/>
      <c r="N3209" s="109"/>
      <c r="Q3209" s="121"/>
      <c r="W3209" s="109"/>
    </row>
    <row r="3210" spans="1:23" ht="12.75" hidden="1">
      <c r="A3210" s="109"/>
      <c r="B3210" s="109"/>
      <c r="C3210" s="109"/>
      <c r="D3210" s="109"/>
      <c r="E3210" s="109"/>
      <c r="F3210" s="109"/>
      <c r="G3210" s="109"/>
      <c r="H3210" s="109"/>
      <c r="I3210" s="109"/>
      <c r="J3210" s="109"/>
      <c r="L3210" s="109"/>
      <c r="M3210" s="109"/>
      <c r="N3210" s="109"/>
      <c r="Q3210" s="121"/>
      <c r="W3210" s="109"/>
    </row>
    <row r="3211" spans="1:23" ht="12.75" hidden="1">
      <c r="A3211" s="109"/>
      <c r="B3211" s="109"/>
      <c r="C3211" s="109"/>
      <c r="D3211" s="109"/>
      <c r="E3211" s="109"/>
      <c r="F3211" s="109"/>
      <c r="G3211" s="109"/>
      <c r="H3211" s="109"/>
      <c r="I3211" s="109"/>
      <c r="J3211" s="109"/>
      <c r="L3211" s="109"/>
      <c r="M3211" s="109"/>
      <c r="N3211" s="109"/>
      <c r="Q3211" s="121"/>
      <c r="W3211" s="109"/>
    </row>
    <row r="3212" spans="1:23" ht="12.75" hidden="1">
      <c r="A3212" s="109"/>
      <c r="B3212" s="109"/>
      <c r="C3212" s="109"/>
      <c r="D3212" s="109"/>
      <c r="E3212" s="109"/>
      <c r="F3212" s="109"/>
      <c r="G3212" s="109"/>
      <c r="H3212" s="109"/>
      <c r="I3212" s="109"/>
      <c r="J3212" s="109"/>
      <c r="L3212" s="109"/>
      <c r="M3212" s="109"/>
      <c r="N3212" s="109"/>
      <c r="Q3212" s="121"/>
      <c r="W3212" s="109"/>
    </row>
    <row r="3213" spans="1:23" ht="12.75" hidden="1">
      <c r="A3213" s="109"/>
      <c r="B3213" s="109"/>
      <c r="C3213" s="109"/>
      <c r="D3213" s="109"/>
      <c r="E3213" s="109"/>
      <c r="F3213" s="109"/>
      <c r="G3213" s="109"/>
      <c r="H3213" s="109"/>
      <c r="I3213" s="109"/>
      <c r="J3213" s="109"/>
      <c r="L3213" s="109"/>
      <c r="M3213" s="109"/>
      <c r="N3213" s="109"/>
      <c r="Q3213" s="121"/>
      <c r="W3213" s="109"/>
    </row>
    <row r="3214" spans="1:23" ht="12.75" hidden="1">
      <c r="A3214" s="109"/>
      <c r="B3214" s="109"/>
      <c r="C3214" s="109"/>
      <c r="D3214" s="109"/>
      <c r="E3214" s="109"/>
      <c r="F3214" s="109"/>
      <c r="G3214" s="109"/>
      <c r="H3214" s="109"/>
      <c r="I3214" s="109"/>
      <c r="J3214" s="109"/>
      <c r="L3214" s="109"/>
      <c r="M3214" s="109"/>
      <c r="N3214" s="109"/>
      <c r="Q3214" s="121"/>
      <c r="W3214" s="109"/>
    </row>
    <row r="3215" spans="1:23" ht="12.75" hidden="1">
      <c r="A3215" s="109"/>
      <c r="B3215" s="109"/>
      <c r="C3215" s="109"/>
      <c r="D3215" s="109"/>
      <c r="E3215" s="109"/>
      <c r="F3215" s="109"/>
      <c r="G3215" s="109"/>
      <c r="H3215" s="109"/>
      <c r="I3215" s="109"/>
      <c r="J3215" s="109"/>
      <c r="L3215" s="109"/>
      <c r="M3215" s="109"/>
      <c r="N3215" s="109"/>
      <c r="Q3215" s="121"/>
      <c r="W3215" s="109"/>
    </row>
    <row r="3216" spans="1:23" ht="12.75" hidden="1">
      <c r="A3216" s="109"/>
      <c r="B3216" s="109"/>
      <c r="C3216" s="109"/>
      <c r="D3216" s="109"/>
      <c r="E3216" s="109"/>
      <c r="F3216" s="109"/>
      <c r="G3216" s="109"/>
      <c r="H3216" s="109"/>
      <c r="I3216" s="109"/>
      <c r="J3216" s="109"/>
      <c r="L3216" s="109"/>
      <c r="M3216" s="109"/>
      <c r="N3216" s="109"/>
      <c r="Q3216" s="121"/>
      <c r="W3216" s="109"/>
    </row>
    <row r="3217" spans="1:23" ht="12.75" hidden="1">
      <c r="A3217" s="109"/>
      <c r="B3217" s="109"/>
      <c r="C3217" s="109"/>
      <c r="D3217" s="109"/>
      <c r="E3217" s="109"/>
      <c r="F3217" s="109"/>
      <c r="G3217" s="109"/>
      <c r="H3217" s="109"/>
      <c r="I3217" s="109"/>
      <c r="J3217" s="109"/>
      <c r="L3217" s="109"/>
      <c r="M3217" s="109"/>
      <c r="N3217" s="109"/>
      <c r="Q3217" s="121"/>
      <c r="W3217" s="109"/>
    </row>
    <row r="3218" spans="1:23" ht="12.75" hidden="1">
      <c r="A3218" s="109"/>
      <c r="B3218" s="109"/>
      <c r="C3218" s="109"/>
      <c r="D3218" s="109"/>
      <c r="E3218" s="109"/>
      <c r="F3218" s="109"/>
      <c r="G3218" s="109"/>
      <c r="H3218" s="109"/>
      <c r="I3218" s="109"/>
      <c r="J3218" s="109"/>
      <c r="L3218" s="109"/>
      <c r="M3218" s="109"/>
      <c r="N3218" s="109"/>
      <c r="Q3218" s="121"/>
      <c r="W3218" s="109"/>
    </row>
    <row r="3219" spans="1:23" ht="12.75" hidden="1">
      <c r="A3219" s="109"/>
      <c r="B3219" s="109"/>
      <c r="C3219" s="109"/>
      <c r="D3219" s="109"/>
      <c r="E3219" s="109"/>
      <c r="F3219" s="109"/>
      <c r="G3219" s="109"/>
      <c r="H3219" s="109"/>
      <c r="I3219" s="109"/>
      <c r="J3219" s="109"/>
      <c r="L3219" s="109"/>
      <c r="M3219" s="109"/>
      <c r="N3219" s="109"/>
      <c r="Q3219" s="121"/>
      <c r="W3219" s="109"/>
    </row>
    <row r="3220" spans="1:23" ht="12.75" hidden="1">
      <c r="A3220" s="109"/>
      <c r="B3220" s="109"/>
      <c r="C3220" s="109"/>
      <c r="D3220" s="109"/>
      <c r="E3220" s="109"/>
      <c r="F3220" s="109"/>
      <c r="G3220" s="109"/>
      <c r="H3220" s="109"/>
      <c r="I3220" s="109"/>
      <c r="J3220" s="109"/>
      <c r="L3220" s="109"/>
      <c r="M3220" s="109"/>
      <c r="N3220" s="109"/>
      <c r="Q3220" s="121"/>
      <c r="W3220" s="109"/>
    </row>
    <row r="3221" spans="1:23" ht="12.75" hidden="1">
      <c r="A3221" s="109"/>
      <c r="B3221" s="109"/>
      <c r="C3221" s="109"/>
      <c r="D3221" s="109"/>
      <c r="E3221" s="109"/>
      <c r="F3221" s="109"/>
      <c r="G3221" s="109"/>
      <c r="H3221" s="109"/>
      <c r="I3221" s="109"/>
      <c r="J3221" s="109"/>
      <c r="L3221" s="109"/>
      <c r="M3221" s="109"/>
      <c r="N3221" s="109"/>
      <c r="Q3221" s="121"/>
      <c r="W3221" s="109"/>
    </row>
    <row r="3222" spans="1:23" ht="12.75" hidden="1">
      <c r="A3222" s="109"/>
      <c r="B3222" s="109"/>
      <c r="C3222" s="109"/>
      <c r="D3222" s="109"/>
      <c r="E3222" s="109"/>
      <c r="F3222" s="109"/>
      <c r="G3222" s="109"/>
      <c r="H3222" s="109"/>
      <c r="I3222" s="109"/>
      <c r="J3222" s="109"/>
      <c r="L3222" s="109"/>
      <c r="M3222" s="109"/>
      <c r="N3222" s="109"/>
      <c r="Q3222" s="121"/>
      <c r="W3222" s="109"/>
    </row>
    <row r="3223" spans="1:23" ht="12.75" hidden="1">
      <c r="A3223" s="109"/>
      <c r="B3223" s="109"/>
      <c r="C3223" s="109"/>
      <c r="D3223" s="109"/>
      <c r="E3223" s="109"/>
      <c r="F3223" s="109"/>
      <c r="G3223" s="109"/>
      <c r="H3223" s="109"/>
      <c r="I3223" s="109"/>
      <c r="J3223" s="109"/>
      <c r="L3223" s="109"/>
      <c r="M3223" s="109"/>
      <c r="N3223" s="109"/>
      <c r="Q3223" s="121"/>
      <c r="W3223" s="109"/>
    </row>
    <row r="3224" spans="1:23" ht="12.75" hidden="1">
      <c r="A3224" s="109"/>
      <c r="B3224" s="109"/>
      <c r="C3224" s="109"/>
      <c r="D3224" s="109"/>
      <c r="E3224" s="109"/>
      <c r="F3224" s="109"/>
      <c r="G3224" s="109"/>
      <c r="H3224" s="109"/>
      <c r="I3224" s="109"/>
      <c r="J3224" s="109"/>
      <c r="L3224" s="109"/>
      <c r="M3224" s="109"/>
      <c r="N3224" s="109"/>
      <c r="Q3224" s="121"/>
      <c r="W3224" s="109"/>
    </row>
    <row r="3225" spans="1:23" ht="12.75" hidden="1">
      <c r="A3225" s="109"/>
      <c r="B3225" s="109"/>
      <c r="C3225" s="109"/>
      <c r="D3225" s="109"/>
      <c r="E3225" s="109"/>
      <c r="F3225" s="109"/>
      <c r="G3225" s="109"/>
      <c r="H3225" s="109"/>
      <c r="I3225" s="109"/>
      <c r="J3225" s="109"/>
      <c r="L3225" s="109"/>
      <c r="M3225" s="109"/>
      <c r="N3225" s="109"/>
      <c r="Q3225" s="121"/>
      <c r="W3225" s="109"/>
    </row>
    <row r="3226" spans="1:23" ht="12.75" hidden="1">
      <c r="A3226" s="109"/>
      <c r="B3226" s="109"/>
      <c r="C3226" s="109"/>
      <c r="D3226" s="109"/>
      <c r="E3226" s="109"/>
      <c r="F3226" s="109"/>
      <c r="G3226" s="109"/>
      <c r="H3226" s="109"/>
      <c r="I3226" s="109"/>
      <c r="J3226" s="109"/>
      <c r="L3226" s="109"/>
      <c r="M3226" s="109"/>
      <c r="N3226" s="109"/>
      <c r="Q3226" s="121"/>
      <c r="W3226" s="109"/>
    </row>
    <row r="3227" spans="1:23" ht="12.75" hidden="1">
      <c r="A3227" s="109"/>
      <c r="B3227" s="109"/>
      <c r="C3227" s="109"/>
      <c r="D3227" s="109"/>
      <c r="E3227" s="109"/>
      <c r="F3227" s="109"/>
      <c r="G3227" s="109"/>
      <c r="H3227" s="109"/>
      <c r="I3227" s="109"/>
      <c r="J3227" s="109"/>
      <c r="L3227" s="109"/>
      <c r="M3227" s="109"/>
      <c r="N3227" s="109"/>
      <c r="Q3227" s="121"/>
      <c r="W3227" s="109"/>
    </row>
    <row r="3228" spans="1:23" ht="12.75" hidden="1">
      <c r="A3228" s="109"/>
      <c r="B3228" s="109"/>
      <c r="C3228" s="109"/>
      <c r="D3228" s="109"/>
      <c r="E3228" s="109"/>
      <c r="F3228" s="109"/>
      <c r="G3228" s="109"/>
      <c r="H3228" s="109"/>
      <c r="I3228" s="109"/>
      <c r="J3228" s="109"/>
      <c r="L3228" s="109"/>
      <c r="M3228" s="109"/>
      <c r="N3228" s="109"/>
      <c r="Q3228" s="121"/>
      <c r="W3228" s="109"/>
    </row>
    <row r="3229" spans="1:23" ht="12.75" hidden="1">
      <c r="A3229" s="109"/>
      <c r="B3229" s="109"/>
      <c r="C3229" s="109"/>
      <c r="D3229" s="109"/>
      <c r="E3229" s="109"/>
      <c r="F3229" s="109"/>
      <c r="G3229" s="109"/>
      <c r="H3229" s="109"/>
      <c r="I3229" s="109"/>
      <c r="J3229" s="109"/>
      <c r="L3229" s="109"/>
      <c r="M3229" s="109"/>
      <c r="N3229" s="109"/>
      <c r="Q3229" s="121"/>
      <c r="W3229" s="109"/>
    </row>
    <row r="3230" spans="1:23" ht="12.75" hidden="1">
      <c r="A3230" s="109"/>
      <c r="B3230" s="109"/>
      <c r="C3230" s="109"/>
      <c r="D3230" s="109"/>
      <c r="E3230" s="109"/>
      <c r="F3230" s="109"/>
      <c r="G3230" s="109"/>
      <c r="H3230" s="109"/>
      <c r="I3230" s="109"/>
      <c r="J3230" s="109"/>
      <c r="L3230" s="109"/>
      <c r="M3230" s="109"/>
      <c r="N3230" s="109"/>
      <c r="Q3230" s="121"/>
      <c r="W3230" s="109"/>
    </row>
    <row r="3231" spans="1:23" ht="12.75" hidden="1">
      <c r="A3231" s="109"/>
      <c r="B3231" s="109"/>
      <c r="C3231" s="109"/>
      <c r="D3231" s="109"/>
      <c r="E3231" s="109"/>
      <c r="F3231" s="109"/>
      <c r="G3231" s="109"/>
      <c r="H3231" s="109"/>
      <c r="I3231" s="109"/>
      <c r="J3231" s="109"/>
      <c r="L3231" s="109"/>
      <c r="M3231" s="109"/>
      <c r="N3231" s="109"/>
      <c r="Q3231" s="121"/>
      <c r="W3231" s="109"/>
    </row>
    <row r="3232" spans="1:23" ht="12.75" hidden="1">
      <c r="A3232" s="109"/>
      <c r="B3232" s="109"/>
      <c r="C3232" s="109"/>
      <c r="D3232" s="109"/>
      <c r="E3232" s="109"/>
      <c r="F3232" s="109"/>
      <c r="G3232" s="109"/>
      <c r="H3232" s="109"/>
      <c r="I3232" s="109"/>
      <c r="J3232" s="109"/>
      <c r="L3232" s="109"/>
      <c r="M3232" s="109"/>
      <c r="N3232" s="109"/>
      <c r="Q3232" s="121"/>
      <c r="W3232" s="109"/>
    </row>
    <row r="3233" spans="1:23" ht="12.75" hidden="1">
      <c r="A3233" s="109"/>
      <c r="B3233" s="109"/>
      <c r="C3233" s="109"/>
      <c r="D3233" s="109"/>
      <c r="E3233" s="109"/>
      <c r="F3233" s="109"/>
      <c r="G3233" s="109"/>
      <c r="H3233" s="109"/>
      <c r="I3233" s="109"/>
      <c r="J3233" s="109"/>
      <c r="L3233" s="109"/>
      <c r="M3233" s="109"/>
      <c r="N3233" s="109"/>
      <c r="Q3233" s="121"/>
      <c r="W3233" s="109"/>
    </row>
    <row r="3234" spans="1:23" ht="12.75" hidden="1">
      <c r="A3234" s="109"/>
      <c r="B3234" s="109"/>
      <c r="C3234" s="109"/>
      <c r="D3234" s="109"/>
      <c r="E3234" s="109"/>
      <c r="F3234" s="109"/>
      <c r="G3234" s="109"/>
      <c r="H3234" s="109"/>
      <c r="I3234" s="109"/>
      <c r="J3234" s="109"/>
      <c r="L3234" s="109"/>
      <c r="M3234" s="109"/>
      <c r="N3234" s="109"/>
      <c r="Q3234" s="121"/>
      <c r="W3234" s="109"/>
    </row>
    <row r="3235" spans="1:23" ht="12.75" hidden="1">
      <c r="A3235" s="109"/>
      <c r="B3235" s="109"/>
      <c r="C3235" s="109"/>
      <c r="D3235" s="109"/>
      <c r="E3235" s="109"/>
      <c r="F3235" s="109"/>
      <c r="G3235" s="109"/>
      <c r="H3235" s="109"/>
      <c r="I3235" s="109"/>
      <c r="J3235" s="109"/>
      <c r="L3235" s="109"/>
      <c r="M3235" s="109"/>
      <c r="N3235" s="109"/>
      <c r="Q3235" s="121"/>
      <c r="W3235" s="109"/>
    </row>
    <row r="3236" spans="1:23" ht="12.75" hidden="1">
      <c r="A3236" s="109"/>
      <c r="B3236" s="109"/>
      <c r="C3236" s="109"/>
      <c r="D3236" s="109"/>
      <c r="E3236" s="109"/>
      <c r="F3236" s="109"/>
      <c r="G3236" s="109"/>
      <c r="H3236" s="109"/>
      <c r="I3236" s="109"/>
      <c r="J3236" s="109"/>
      <c r="L3236" s="109"/>
      <c r="M3236" s="109"/>
      <c r="N3236" s="109"/>
      <c r="Q3236" s="121"/>
      <c r="W3236" s="109"/>
    </row>
    <row r="3237" spans="1:23" ht="12.75" hidden="1">
      <c r="A3237" s="109"/>
      <c r="B3237" s="109"/>
      <c r="C3237" s="109"/>
      <c r="D3237" s="109"/>
      <c r="E3237" s="109"/>
      <c r="F3237" s="109"/>
      <c r="G3237" s="109"/>
      <c r="H3237" s="109"/>
      <c r="I3237" s="109"/>
      <c r="J3237" s="109"/>
      <c r="L3237" s="109"/>
      <c r="M3237" s="109"/>
      <c r="N3237" s="109"/>
      <c r="Q3237" s="121"/>
      <c r="W3237" s="109"/>
    </row>
    <row r="3238" spans="1:23" ht="12.75" hidden="1">
      <c r="A3238" s="109"/>
      <c r="B3238" s="109"/>
      <c r="C3238" s="109"/>
      <c r="D3238" s="109"/>
      <c r="E3238" s="109"/>
      <c r="F3238" s="109"/>
      <c r="G3238" s="109"/>
      <c r="H3238" s="109"/>
      <c r="I3238" s="109"/>
      <c r="J3238" s="109"/>
      <c r="L3238" s="109"/>
      <c r="M3238" s="109"/>
      <c r="N3238" s="109"/>
      <c r="Q3238" s="121"/>
      <c r="W3238" s="109"/>
    </row>
    <row r="3239" spans="1:23" ht="12.75" hidden="1">
      <c r="A3239" s="109"/>
      <c r="B3239" s="109"/>
      <c r="C3239" s="109"/>
      <c r="D3239" s="109"/>
      <c r="E3239" s="109"/>
      <c r="F3239" s="109"/>
      <c r="G3239" s="109"/>
      <c r="H3239" s="109"/>
      <c r="I3239" s="109"/>
      <c r="J3239" s="109"/>
      <c r="L3239" s="109"/>
      <c r="M3239" s="109"/>
      <c r="N3239" s="109"/>
      <c r="Q3239" s="121"/>
      <c r="W3239" s="109"/>
    </row>
    <row r="3240" spans="1:23" ht="12.75" hidden="1">
      <c r="A3240" s="109"/>
      <c r="B3240" s="109"/>
      <c r="C3240" s="109"/>
      <c r="D3240" s="109"/>
      <c r="E3240" s="109"/>
      <c r="F3240" s="109"/>
      <c r="G3240" s="109"/>
      <c r="H3240" s="109"/>
      <c r="I3240" s="109"/>
      <c r="J3240" s="109"/>
      <c r="L3240" s="109"/>
      <c r="M3240" s="109"/>
      <c r="N3240" s="109"/>
      <c r="Q3240" s="121"/>
      <c r="W3240" s="109"/>
    </row>
    <row r="3241" spans="1:23" ht="12.75" hidden="1">
      <c r="A3241" s="109"/>
      <c r="B3241" s="109"/>
      <c r="C3241" s="109"/>
      <c r="D3241" s="109"/>
      <c r="E3241" s="109"/>
      <c r="F3241" s="109"/>
      <c r="G3241" s="109"/>
      <c r="H3241" s="109"/>
      <c r="I3241" s="109"/>
      <c r="J3241" s="109"/>
      <c r="L3241" s="109"/>
      <c r="M3241" s="109"/>
      <c r="N3241" s="109"/>
      <c r="Q3241" s="121"/>
      <c r="W3241" s="109"/>
    </row>
    <row r="3242" spans="1:23" ht="12.75" hidden="1">
      <c r="A3242" s="109"/>
      <c r="B3242" s="109"/>
      <c r="C3242" s="109"/>
      <c r="D3242" s="109"/>
      <c r="E3242" s="109"/>
      <c r="F3242" s="109"/>
      <c r="G3242" s="109"/>
      <c r="H3242" s="109"/>
      <c r="I3242" s="109"/>
      <c r="J3242" s="109"/>
      <c r="L3242" s="109"/>
      <c r="M3242" s="109"/>
      <c r="N3242" s="109"/>
      <c r="Q3242" s="121"/>
      <c r="W3242" s="109"/>
    </row>
    <row r="3243" spans="1:23" ht="12.75" hidden="1">
      <c r="A3243" s="109"/>
      <c r="B3243" s="109"/>
      <c r="C3243" s="109"/>
      <c r="D3243" s="109"/>
      <c r="E3243" s="109"/>
      <c r="F3243" s="109"/>
      <c r="G3243" s="109"/>
      <c r="H3243" s="109"/>
      <c r="I3243" s="109"/>
      <c r="J3243" s="109"/>
      <c r="L3243" s="109"/>
      <c r="M3243" s="109"/>
      <c r="N3243" s="109"/>
      <c r="Q3243" s="121"/>
      <c r="W3243" s="109"/>
    </row>
    <row r="3244" spans="1:23" ht="12.75" hidden="1">
      <c r="A3244" s="109"/>
      <c r="B3244" s="109"/>
      <c r="C3244" s="109"/>
      <c r="D3244" s="109"/>
      <c r="E3244" s="109"/>
      <c r="F3244" s="109"/>
      <c r="G3244" s="109"/>
      <c r="H3244" s="109"/>
      <c r="I3244" s="109"/>
      <c r="J3244" s="109"/>
      <c r="L3244" s="109"/>
      <c r="M3244" s="109"/>
      <c r="N3244" s="109"/>
      <c r="Q3244" s="121"/>
      <c r="W3244" s="109"/>
    </row>
    <row r="3245" spans="1:23" ht="12.75" hidden="1">
      <c r="A3245" s="109"/>
      <c r="B3245" s="109"/>
      <c r="C3245" s="109"/>
      <c r="D3245" s="109"/>
      <c r="E3245" s="109"/>
      <c r="F3245" s="109"/>
      <c r="G3245" s="109"/>
      <c r="H3245" s="109"/>
      <c r="I3245" s="109"/>
      <c r="J3245" s="109"/>
      <c r="L3245" s="109"/>
      <c r="M3245" s="109"/>
      <c r="N3245" s="109"/>
      <c r="Q3245" s="121"/>
      <c r="W3245" s="109"/>
    </row>
    <row r="3246" spans="1:23" ht="12.75" hidden="1">
      <c r="A3246" s="109"/>
      <c r="B3246" s="109"/>
      <c r="C3246" s="109"/>
      <c r="D3246" s="109"/>
      <c r="E3246" s="109"/>
      <c r="F3246" s="109"/>
      <c r="G3246" s="109"/>
      <c r="H3246" s="109"/>
      <c r="I3246" s="109"/>
      <c r="J3246" s="109"/>
      <c r="L3246" s="109"/>
      <c r="M3246" s="109"/>
      <c r="N3246" s="109"/>
      <c r="Q3246" s="121"/>
      <c r="W3246" s="109"/>
    </row>
    <row r="3247" spans="1:23" ht="12.75" hidden="1">
      <c r="A3247" s="109"/>
      <c r="B3247" s="109"/>
      <c r="C3247" s="109"/>
      <c r="D3247" s="109"/>
      <c r="E3247" s="109"/>
      <c r="F3247" s="109"/>
      <c r="G3247" s="109"/>
      <c r="H3247" s="109"/>
      <c r="I3247" s="109"/>
      <c r="J3247" s="109"/>
      <c r="L3247" s="109"/>
      <c r="M3247" s="109"/>
      <c r="N3247" s="109"/>
      <c r="Q3247" s="121"/>
      <c r="W3247" s="109"/>
    </row>
    <row r="3248" spans="1:23" ht="12.75" hidden="1">
      <c r="A3248" s="109"/>
      <c r="B3248" s="109"/>
      <c r="C3248" s="109"/>
      <c r="D3248" s="109"/>
      <c r="E3248" s="109"/>
      <c r="F3248" s="109"/>
      <c r="G3248" s="109"/>
      <c r="H3248" s="109"/>
      <c r="I3248" s="109"/>
      <c r="J3248" s="109"/>
      <c r="L3248" s="109"/>
      <c r="M3248" s="109"/>
      <c r="N3248" s="109"/>
      <c r="Q3248" s="121"/>
      <c r="W3248" s="109"/>
    </row>
    <row r="3249" spans="1:23" ht="12.75" hidden="1">
      <c r="A3249" s="109"/>
      <c r="B3249" s="109"/>
      <c r="C3249" s="109"/>
      <c r="D3249" s="109"/>
      <c r="E3249" s="109"/>
      <c r="F3249" s="109"/>
      <c r="G3249" s="109"/>
      <c r="H3249" s="109"/>
      <c r="I3249" s="109"/>
      <c r="J3249" s="109"/>
      <c r="L3249" s="109"/>
      <c r="M3249" s="109"/>
      <c r="N3249" s="109"/>
      <c r="Q3249" s="121"/>
      <c r="W3249" s="109"/>
    </row>
    <row r="3250" spans="1:23" ht="12.75" hidden="1">
      <c r="A3250" s="109"/>
      <c r="B3250" s="109"/>
      <c r="C3250" s="109"/>
      <c r="D3250" s="109"/>
      <c r="E3250" s="109"/>
      <c r="F3250" s="109"/>
      <c r="G3250" s="109"/>
      <c r="H3250" s="109"/>
      <c r="I3250" s="109"/>
      <c r="J3250" s="109"/>
      <c r="L3250" s="109"/>
      <c r="M3250" s="109"/>
      <c r="N3250" s="109"/>
      <c r="Q3250" s="121"/>
      <c r="W3250" s="109"/>
    </row>
    <row r="3251" spans="1:23" ht="12.75" hidden="1">
      <c r="A3251" s="109"/>
      <c r="B3251" s="109"/>
      <c r="C3251" s="109"/>
      <c r="D3251" s="109"/>
      <c r="E3251" s="109"/>
      <c r="F3251" s="109"/>
      <c r="G3251" s="109"/>
      <c r="H3251" s="109"/>
      <c r="I3251" s="109"/>
      <c r="J3251" s="109"/>
      <c r="L3251" s="109"/>
      <c r="M3251" s="109"/>
      <c r="N3251" s="109"/>
      <c r="Q3251" s="121"/>
      <c r="W3251" s="109"/>
    </row>
    <row r="3252" spans="1:23" ht="12.75" hidden="1">
      <c r="A3252" s="109"/>
      <c r="B3252" s="109"/>
      <c r="C3252" s="109"/>
      <c r="D3252" s="109"/>
      <c r="E3252" s="109"/>
      <c r="F3252" s="109"/>
      <c r="G3252" s="109"/>
      <c r="H3252" s="109"/>
      <c r="I3252" s="109"/>
      <c r="J3252" s="109"/>
      <c r="L3252" s="109"/>
      <c r="M3252" s="109"/>
      <c r="N3252" s="109"/>
      <c r="Q3252" s="121"/>
      <c r="W3252" s="109"/>
    </row>
    <row r="3253" spans="1:23" ht="12.75" hidden="1">
      <c r="A3253" s="109"/>
      <c r="B3253" s="109"/>
      <c r="C3253" s="109"/>
      <c r="D3253" s="109"/>
      <c r="E3253" s="109"/>
      <c r="F3253" s="109"/>
      <c r="G3253" s="109"/>
      <c r="H3253" s="109"/>
      <c r="I3253" s="109"/>
      <c r="J3253" s="109"/>
      <c r="L3253" s="109"/>
      <c r="M3253" s="109"/>
      <c r="N3253" s="109"/>
      <c r="Q3253" s="121"/>
      <c r="W3253" s="109"/>
    </row>
    <row r="3254" spans="1:23" ht="12.75" hidden="1">
      <c r="A3254" s="109"/>
      <c r="B3254" s="109"/>
      <c r="C3254" s="109"/>
      <c r="D3254" s="109"/>
      <c r="E3254" s="109"/>
      <c r="F3254" s="109"/>
      <c r="G3254" s="109"/>
      <c r="H3254" s="109"/>
      <c r="I3254" s="109"/>
      <c r="J3254" s="109"/>
      <c r="L3254" s="109"/>
      <c r="M3254" s="109"/>
      <c r="N3254" s="109"/>
      <c r="Q3254" s="121"/>
      <c r="W3254" s="109"/>
    </row>
    <row r="3255" spans="1:23" ht="12.75" hidden="1">
      <c r="A3255" s="109"/>
      <c r="B3255" s="109"/>
      <c r="C3255" s="109"/>
      <c r="D3255" s="109"/>
      <c r="E3255" s="109"/>
      <c r="F3255" s="109"/>
      <c r="G3255" s="109"/>
      <c r="H3255" s="109"/>
      <c r="I3255" s="109"/>
      <c r="J3255" s="109"/>
      <c r="L3255" s="109"/>
      <c r="M3255" s="109"/>
      <c r="N3255" s="109"/>
      <c r="Q3255" s="121"/>
      <c r="W3255" s="109"/>
    </row>
    <row r="3256" spans="1:23" ht="12.75" hidden="1">
      <c r="A3256" s="109"/>
      <c r="B3256" s="109"/>
      <c r="C3256" s="109"/>
      <c r="D3256" s="109"/>
      <c r="E3256" s="109"/>
      <c r="F3256" s="109"/>
      <c r="G3256" s="109"/>
      <c r="H3256" s="109"/>
      <c r="I3256" s="109"/>
      <c r="J3256" s="109"/>
      <c r="L3256" s="109"/>
      <c r="M3256" s="109"/>
      <c r="N3256" s="109"/>
      <c r="Q3256" s="121"/>
      <c r="W3256" s="109"/>
    </row>
    <row r="3257" spans="1:23" ht="12.75" hidden="1">
      <c r="A3257" s="109"/>
      <c r="B3257" s="109"/>
      <c r="C3257" s="109"/>
      <c r="D3257" s="109"/>
      <c r="E3257" s="109"/>
      <c r="F3257" s="109"/>
      <c r="G3257" s="109"/>
      <c r="H3257" s="109"/>
      <c r="I3257" s="109"/>
      <c r="J3257" s="109"/>
      <c r="L3257" s="109"/>
      <c r="M3257" s="109"/>
      <c r="N3257" s="109"/>
      <c r="Q3257" s="121"/>
      <c r="W3257" s="109"/>
    </row>
    <row r="3258" spans="1:23" ht="12.75" hidden="1">
      <c r="A3258" s="109"/>
      <c r="B3258" s="109"/>
      <c r="C3258" s="109"/>
      <c r="D3258" s="109"/>
      <c r="E3258" s="109"/>
      <c r="F3258" s="109"/>
      <c r="G3258" s="109"/>
      <c r="H3258" s="109"/>
      <c r="I3258" s="109"/>
      <c r="J3258" s="109"/>
      <c r="L3258" s="109"/>
      <c r="M3258" s="109"/>
      <c r="N3258" s="109"/>
      <c r="Q3258" s="121"/>
      <c r="W3258" s="109"/>
    </row>
    <row r="3259" spans="1:23" ht="12.75" hidden="1">
      <c r="A3259" s="109"/>
      <c r="B3259" s="109"/>
      <c r="C3259" s="109"/>
      <c r="D3259" s="109"/>
      <c r="E3259" s="109"/>
      <c r="F3259" s="109"/>
      <c r="G3259" s="109"/>
      <c r="H3259" s="109"/>
      <c r="I3259" s="109"/>
      <c r="J3259" s="109"/>
      <c r="L3259" s="109"/>
      <c r="M3259" s="109"/>
      <c r="N3259" s="109"/>
      <c r="Q3259" s="121"/>
      <c r="W3259" s="109"/>
    </row>
    <row r="3260" spans="1:23" ht="12.75" hidden="1">
      <c r="A3260" s="109"/>
      <c r="B3260" s="109"/>
      <c r="C3260" s="109"/>
      <c r="D3260" s="109"/>
      <c r="E3260" s="109"/>
      <c r="F3260" s="109"/>
      <c r="G3260" s="109"/>
      <c r="H3260" s="109"/>
      <c r="I3260" s="109"/>
      <c r="J3260" s="109"/>
      <c r="L3260" s="109"/>
      <c r="M3260" s="109"/>
      <c r="N3260" s="109"/>
      <c r="Q3260" s="121"/>
      <c r="W3260" s="109"/>
    </row>
    <row r="3261" spans="1:23" ht="12.75" hidden="1">
      <c r="A3261" s="109"/>
      <c r="B3261" s="109"/>
      <c r="C3261" s="109"/>
      <c r="D3261" s="109"/>
      <c r="E3261" s="109"/>
      <c r="F3261" s="109"/>
      <c r="G3261" s="109"/>
      <c r="H3261" s="109"/>
      <c r="I3261" s="109"/>
      <c r="J3261" s="109"/>
      <c r="L3261" s="109"/>
      <c r="M3261" s="109"/>
      <c r="N3261" s="109"/>
      <c r="Q3261" s="121"/>
      <c r="W3261" s="109"/>
    </row>
    <row r="3262" spans="1:23" ht="12.75" hidden="1">
      <c r="A3262" s="109"/>
      <c r="B3262" s="109"/>
      <c r="C3262" s="109"/>
      <c r="D3262" s="109"/>
      <c r="E3262" s="109"/>
      <c r="F3262" s="109"/>
      <c r="G3262" s="109"/>
      <c r="H3262" s="109"/>
      <c r="I3262" s="109"/>
      <c r="J3262" s="109"/>
      <c r="L3262" s="109"/>
      <c r="M3262" s="109"/>
      <c r="N3262" s="109"/>
      <c r="Q3262" s="121"/>
      <c r="W3262" s="109"/>
    </row>
    <row r="3263" spans="1:23" ht="12.75" hidden="1">
      <c r="A3263" s="109"/>
      <c r="B3263" s="109"/>
      <c r="C3263" s="109"/>
      <c r="D3263" s="109"/>
      <c r="E3263" s="109"/>
      <c r="F3263" s="109"/>
      <c r="G3263" s="109"/>
      <c r="H3263" s="109"/>
      <c r="I3263" s="109"/>
      <c r="J3263" s="109"/>
      <c r="L3263" s="109"/>
      <c r="M3263" s="109"/>
      <c r="N3263" s="109"/>
      <c r="Q3263" s="121"/>
      <c r="W3263" s="109"/>
    </row>
    <row r="3264" spans="1:23" ht="12.75" hidden="1">
      <c r="A3264" s="109"/>
      <c r="B3264" s="109"/>
      <c r="C3264" s="109"/>
      <c r="D3264" s="109"/>
      <c r="E3264" s="109"/>
      <c r="F3264" s="109"/>
      <c r="G3264" s="109"/>
      <c r="H3264" s="109"/>
      <c r="I3264" s="109"/>
      <c r="J3264" s="109"/>
      <c r="L3264" s="109"/>
      <c r="M3264" s="109"/>
      <c r="N3264" s="109"/>
      <c r="Q3264" s="121"/>
      <c r="W3264" s="109"/>
    </row>
    <row r="3265" spans="1:23" ht="12.75" hidden="1">
      <c r="A3265" s="109"/>
      <c r="B3265" s="109"/>
      <c r="C3265" s="109"/>
      <c r="D3265" s="109"/>
      <c r="E3265" s="109"/>
      <c r="F3265" s="109"/>
      <c r="G3265" s="109"/>
      <c r="H3265" s="109"/>
      <c r="I3265" s="109"/>
      <c r="J3265" s="109"/>
      <c r="L3265" s="109"/>
      <c r="M3265" s="109"/>
      <c r="N3265" s="109"/>
      <c r="Q3265" s="121"/>
      <c r="W3265" s="109"/>
    </row>
    <row r="3266" spans="1:23" ht="12.75" hidden="1">
      <c r="A3266" s="109"/>
      <c r="B3266" s="109"/>
      <c r="C3266" s="109"/>
      <c r="D3266" s="109"/>
      <c r="E3266" s="109"/>
      <c r="F3266" s="109"/>
      <c r="G3266" s="109"/>
      <c r="H3266" s="109"/>
      <c r="I3266" s="109"/>
      <c r="J3266" s="109"/>
      <c r="L3266" s="109"/>
      <c r="M3266" s="109"/>
      <c r="N3266" s="109"/>
      <c r="Q3266" s="121"/>
      <c r="W3266" s="109"/>
    </row>
    <row r="3267" spans="1:23" ht="12.75" hidden="1">
      <c r="A3267" s="109"/>
      <c r="B3267" s="109"/>
      <c r="C3267" s="109"/>
      <c r="D3267" s="109"/>
      <c r="E3267" s="109"/>
      <c r="F3267" s="109"/>
      <c r="G3267" s="109"/>
      <c r="H3267" s="109"/>
      <c r="I3267" s="109"/>
      <c r="J3267" s="109"/>
      <c r="L3267" s="109"/>
      <c r="M3267" s="109"/>
      <c r="N3267" s="109"/>
      <c r="Q3267" s="121"/>
      <c r="W3267" s="109"/>
    </row>
    <row r="3268" spans="1:23" ht="12.75" hidden="1">
      <c r="A3268" s="109"/>
      <c r="B3268" s="109"/>
      <c r="C3268" s="109"/>
      <c r="D3268" s="109"/>
      <c r="E3268" s="109"/>
      <c r="F3268" s="109"/>
      <c r="G3268" s="109"/>
      <c r="H3268" s="109"/>
      <c r="I3268" s="109"/>
      <c r="J3268" s="109"/>
      <c r="L3268" s="109"/>
      <c r="M3268" s="109"/>
      <c r="N3268" s="109"/>
      <c r="Q3268" s="121"/>
      <c r="W3268" s="109"/>
    </row>
    <row r="3269" spans="1:23" ht="12.75" hidden="1">
      <c r="A3269" s="109"/>
      <c r="B3269" s="109"/>
      <c r="C3269" s="109"/>
      <c r="D3269" s="109"/>
      <c r="E3269" s="109"/>
      <c r="F3269" s="109"/>
      <c r="G3269" s="109"/>
      <c r="H3269" s="109"/>
      <c r="I3269" s="109"/>
      <c r="J3269" s="109"/>
      <c r="L3269" s="109"/>
      <c r="M3269" s="109"/>
      <c r="N3269" s="109"/>
      <c r="Q3269" s="121"/>
      <c r="W3269" s="109"/>
    </row>
    <row r="3270" spans="1:23" ht="12.75" hidden="1">
      <c r="A3270" s="109"/>
      <c r="B3270" s="109"/>
      <c r="C3270" s="109"/>
      <c r="D3270" s="109"/>
      <c r="E3270" s="109"/>
      <c r="F3270" s="109"/>
      <c r="G3270" s="109"/>
      <c r="H3270" s="109"/>
      <c r="I3270" s="109"/>
      <c r="J3270" s="109"/>
      <c r="L3270" s="109"/>
      <c r="M3270" s="109"/>
      <c r="N3270" s="109"/>
      <c r="Q3270" s="121"/>
      <c r="W3270" s="109"/>
    </row>
    <row r="3271" spans="1:23" ht="12.75" hidden="1">
      <c r="A3271" s="109"/>
      <c r="B3271" s="109"/>
      <c r="C3271" s="109"/>
      <c r="D3271" s="109"/>
      <c r="E3271" s="109"/>
      <c r="F3271" s="109"/>
      <c r="G3271" s="109"/>
      <c r="H3271" s="109"/>
      <c r="I3271" s="109"/>
      <c r="J3271" s="109"/>
      <c r="L3271" s="109"/>
      <c r="M3271" s="109"/>
      <c r="N3271" s="109"/>
      <c r="Q3271" s="121"/>
      <c r="W3271" s="109"/>
    </row>
    <row r="3272" spans="1:23" ht="12.75" hidden="1">
      <c r="A3272" s="109"/>
      <c r="B3272" s="109"/>
      <c r="C3272" s="109"/>
      <c r="D3272" s="109"/>
      <c r="E3272" s="109"/>
      <c r="F3272" s="109"/>
      <c r="G3272" s="109"/>
      <c r="H3272" s="109"/>
      <c r="I3272" s="109"/>
      <c r="J3272" s="109"/>
      <c r="L3272" s="109"/>
      <c r="M3272" s="109"/>
      <c r="N3272" s="109"/>
      <c r="Q3272" s="121"/>
      <c r="W3272" s="109"/>
    </row>
    <row r="3273" spans="1:23" ht="12.75" hidden="1">
      <c r="A3273" s="109"/>
      <c r="B3273" s="109"/>
      <c r="C3273" s="109"/>
      <c r="D3273" s="109"/>
      <c r="E3273" s="109"/>
      <c r="F3273" s="109"/>
      <c r="G3273" s="109"/>
      <c r="H3273" s="109"/>
      <c r="I3273" s="109"/>
      <c r="J3273" s="109"/>
      <c r="L3273" s="109"/>
      <c r="M3273" s="109"/>
      <c r="N3273" s="109"/>
      <c r="Q3273" s="121"/>
      <c r="W3273" s="109"/>
    </row>
    <row r="3274" spans="1:23" ht="12.75" hidden="1">
      <c r="A3274" s="109"/>
      <c r="B3274" s="109"/>
      <c r="C3274" s="109"/>
      <c r="D3274" s="109"/>
      <c r="E3274" s="109"/>
      <c r="F3274" s="109"/>
      <c r="G3274" s="109"/>
      <c r="H3274" s="109"/>
      <c r="I3274" s="109"/>
      <c r="J3274" s="109"/>
      <c r="L3274" s="109"/>
      <c r="M3274" s="109"/>
      <c r="N3274" s="109"/>
      <c r="Q3274" s="121"/>
      <c r="W3274" s="109"/>
    </row>
    <row r="3275" spans="1:23" ht="12.75" hidden="1">
      <c r="A3275" s="109"/>
      <c r="B3275" s="109"/>
      <c r="C3275" s="109"/>
      <c r="D3275" s="109"/>
      <c r="E3275" s="109"/>
      <c r="F3275" s="109"/>
      <c r="G3275" s="109"/>
      <c r="H3275" s="109"/>
      <c r="I3275" s="109"/>
      <c r="J3275" s="109"/>
      <c r="L3275" s="109"/>
      <c r="M3275" s="109"/>
      <c r="N3275" s="109"/>
      <c r="Q3275" s="121"/>
      <c r="W3275" s="109"/>
    </row>
    <row r="3276" spans="1:23" ht="12.75" hidden="1">
      <c r="A3276" s="109"/>
      <c r="B3276" s="109"/>
      <c r="C3276" s="109"/>
      <c r="D3276" s="109"/>
      <c r="E3276" s="109"/>
      <c r="F3276" s="109"/>
      <c r="G3276" s="109"/>
      <c r="H3276" s="109"/>
      <c r="I3276" s="109"/>
      <c r="J3276" s="109"/>
      <c r="L3276" s="109"/>
      <c r="M3276" s="109"/>
      <c r="N3276" s="109"/>
      <c r="Q3276" s="121"/>
      <c r="W3276" s="109"/>
    </row>
    <row r="3277" spans="1:23" ht="12.75" hidden="1">
      <c r="A3277" s="109"/>
      <c r="B3277" s="109"/>
      <c r="C3277" s="109"/>
      <c r="D3277" s="109"/>
      <c r="E3277" s="109"/>
      <c r="F3277" s="109"/>
      <c r="G3277" s="109"/>
      <c r="H3277" s="109"/>
      <c r="I3277" s="109"/>
      <c r="J3277" s="109"/>
      <c r="L3277" s="109"/>
      <c r="M3277" s="109"/>
      <c r="N3277" s="109"/>
      <c r="Q3277" s="121"/>
      <c r="W3277" s="109"/>
    </row>
    <row r="3278" spans="1:23" ht="12.75" hidden="1">
      <c r="A3278" s="109"/>
      <c r="B3278" s="109"/>
      <c r="C3278" s="109"/>
      <c r="D3278" s="109"/>
      <c r="E3278" s="109"/>
      <c r="F3278" s="109"/>
      <c r="G3278" s="109"/>
      <c r="H3278" s="109"/>
      <c r="I3278" s="109"/>
      <c r="J3278" s="109"/>
      <c r="L3278" s="109"/>
      <c r="M3278" s="109"/>
      <c r="N3278" s="109"/>
      <c r="Q3278" s="121"/>
      <c r="W3278" s="109"/>
    </row>
    <row r="3279" spans="1:23" ht="12.75" hidden="1">
      <c r="A3279" s="109"/>
      <c r="B3279" s="109"/>
      <c r="C3279" s="109"/>
      <c r="D3279" s="109"/>
      <c r="E3279" s="109"/>
      <c r="F3279" s="109"/>
      <c r="G3279" s="109"/>
      <c r="H3279" s="109"/>
      <c r="I3279" s="109"/>
      <c r="J3279" s="109"/>
      <c r="L3279" s="109"/>
      <c r="M3279" s="109"/>
      <c r="N3279" s="109"/>
      <c r="Q3279" s="121"/>
      <c r="W3279" s="109"/>
    </row>
    <row r="3280" spans="1:23" ht="12.75" hidden="1">
      <c r="A3280" s="109"/>
      <c r="B3280" s="109"/>
      <c r="C3280" s="109"/>
      <c r="D3280" s="109"/>
      <c r="E3280" s="109"/>
      <c r="F3280" s="109"/>
      <c r="G3280" s="109"/>
      <c r="H3280" s="109"/>
      <c r="I3280" s="109"/>
      <c r="J3280" s="109"/>
      <c r="L3280" s="109"/>
      <c r="M3280" s="109"/>
      <c r="N3280" s="109"/>
      <c r="Q3280" s="121"/>
      <c r="W3280" s="109"/>
    </row>
    <row r="3281" spans="1:23" ht="12.75" hidden="1">
      <c r="A3281" s="109"/>
      <c r="B3281" s="109"/>
      <c r="C3281" s="109"/>
      <c r="D3281" s="109"/>
      <c r="E3281" s="109"/>
      <c r="F3281" s="109"/>
      <c r="G3281" s="109"/>
      <c r="H3281" s="109"/>
      <c r="I3281" s="109"/>
      <c r="J3281" s="109"/>
      <c r="L3281" s="109"/>
      <c r="M3281" s="109"/>
      <c r="N3281" s="109"/>
      <c r="Q3281" s="121"/>
      <c r="W3281" s="109"/>
    </row>
    <row r="3282" spans="1:23" ht="12.75" hidden="1">
      <c r="A3282" s="109"/>
      <c r="B3282" s="109"/>
      <c r="C3282" s="109"/>
      <c r="D3282" s="109"/>
      <c r="E3282" s="109"/>
      <c r="F3282" s="109"/>
      <c r="G3282" s="109"/>
      <c r="H3282" s="109"/>
      <c r="I3282" s="109"/>
      <c r="J3282" s="109"/>
      <c r="L3282" s="109"/>
      <c r="M3282" s="109"/>
      <c r="N3282" s="109"/>
      <c r="Q3282" s="121"/>
      <c r="W3282" s="109"/>
    </row>
    <row r="3283" spans="1:23" ht="12.75" hidden="1">
      <c r="A3283" s="109"/>
      <c r="B3283" s="109"/>
      <c r="C3283" s="109"/>
      <c r="D3283" s="109"/>
      <c r="E3283" s="109"/>
      <c r="F3283" s="109"/>
      <c r="G3283" s="109"/>
      <c r="H3283" s="109"/>
      <c r="I3283" s="109"/>
      <c r="J3283" s="109"/>
      <c r="L3283" s="109"/>
      <c r="M3283" s="109"/>
      <c r="N3283" s="109"/>
      <c r="Q3283" s="121"/>
      <c r="W3283" s="109"/>
    </row>
    <row r="3284" spans="1:23" ht="12.75" hidden="1">
      <c r="A3284" s="109"/>
      <c r="B3284" s="109"/>
      <c r="C3284" s="109"/>
      <c r="D3284" s="109"/>
      <c r="E3284" s="109"/>
      <c r="F3284" s="109"/>
      <c r="G3284" s="109"/>
      <c r="H3284" s="109"/>
      <c r="I3284" s="109"/>
      <c r="J3284" s="109"/>
      <c r="L3284" s="109"/>
      <c r="M3284" s="109"/>
      <c r="N3284" s="109"/>
      <c r="Q3284" s="121"/>
      <c r="W3284" s="109"/>
    </row>
    <row r="3285" spans="1:23" ht="12.75" hidden="1">
      <c r="A3285" s="109"/>
      <c r="B3285" s="109"/>
      <c r="C3285" s="109"/>
      <c r="D3285" s="109"/>
      <c r="E3285" s="109"/>
      <c r="F3285" s="109"/>
      <c r="G3285" s="109"/>
      <c r="H3285" s="109"/>
      <c r="I3285" s="109"/>
      <c r="J3285" s="109"/>
      <c r="L3285" s="109"/>
      <c r="M3285" s="109"/>
      <c r="N3285" s="109"/>
      <c r="Q3285" s="121"/>
      <c r="W3285" s="109"/>
    </row>
    <row r="3286" spans="1:23" ht="12.75" hidden="1">
      <c r="A3286" s="109"/>
      <c r="B3286" s="109"/>
      <c r="C3286" s="109"/>
      <c r="D3286" s="109"/>
      <c r="E3286" s="109"/>
      <c r="F3286" s="109"/>
      <c r="G3286" s="109"/>
      <c r="H3286" s="109"/>
      <c r="I3286" s="109"/>
      <c r="J3286" s="109"/>
      <c r="L3286" s="109"/>
      <c r="M3286" s="109"/>
      <c r="N3286" s="109"/>
      <c r="Q3286" s="121"/>
      <c r="W3286" s="109"/>
    </row>
    <row r="3287" spans="1:23" ht="12.75" hidden="1">
      <c r="A3287" s="109"/>
      <c r="B3287" s="109"/>
      <c r="C3287" s="109"/>
      <c r="D3287" s="109"/>
      <c r="E3287" s="109"/>
      <c r="F3287" s="109"/>
      <c r="G3287" s="109"/>
      <c r="H3287" s="109"/>
      <c r="I3287" s="109"/>
      <c r="J3287" s="109"/>
      <c r="L3287" s="109"/>
      <c r="M3287" s="109"/>
      <c r="N3287" s="109"/>
      <c r="Q3287" s="121"/>
      <c r="W3287" s="109"/>
    </row>
    <row r="3288" spans="1:23" ht="12.75" hidden="1">
      <c r="A3288" s="109"/>
      <c r="B3288" s="109"/>
      <c r="C3288" s="109"/>
      <c r="D3288" s="109"/>
      <c r="E3288" s="109"/>
      <c r="F3288" s="109"/>
      <c r="G3288" s="109"/>
      <c r="H3288" s="109"/>
      <c r="I3288" s="109"/>
      <c r="J3288" s="109"/>
      <c r="L3288" s="109"/>
      <c r="M3288" s="109"/>
      <c r="N3288" s="109"/>
      <c r="Q3288" s="121"/>
      <c r="W3288" s="109"/>
    </row>
    <row r="3289" spans="1:23" ht="12.75" hidden="1">
      <c r="A3289" s="109"/>
      <c r="B3289" s="109"/>
      <c r="C3289" s="109"/>
      <c r="D3289" s="109"/>
      <c r="E3289" s="109"/>
      <c r="F3289" s="109"/>
      <c r="G3289" s="109"/>
      <c r="H3289" s="109"/>
      <c r="I3289" s="109"/>
      <c r="J3289" s="109"/>
      <c r="L3289" s="109"/>
      <c r="M3289" s="109"/>
      <c r="N3289" s="109"/>
      <c r="Q3289" s="121"/>
      <c r="W3289" s="109"/>
    </row>
    <row r="3290" spans="1:23" ht="12.75" hidden="1">
      <c r="A3290" s="109"/>
      <c r="B3290" s="109"/>
      <c r="C3290" s="109"/>
      <c r="D3290" s="109"/>
      <c r="E3290" s="109"/>
      <c r="F3290" s="109"/>
      <c r="G3290" s="109"/>
      <c r="H3290" s="109"/>
      <c r="I3290" s="109"/>
      <c r="J3290" s="109"/>
      <c r="L3290" s="109"/>
      <c r="M3290" s="109"/>
      <c r="N3290" s="109"/>
      <c r="Q3290" s="121"/>
      <c r="W3290" s="109"/>
    </row>
    <row r="3291" spans="1:23" ht="12.75" hidden="1">
      <c r="A3291" s="109"/>
      <c r="B3291" s="109"/>
      <c r="C3291" s="109"/>
      <c r="D3291" s="109"/>
      <c r="E3291" s="109"/>
      <c r="F3291" s="109"/>
      <c r="G3291" s="109"/>
      <c r="H3291" s="109"/>
      <c r="I3291" s="109"/>
      <c r="J3291" s="109"/>
      <c r="L3291" s="109"/>
      <c r="M3291" s="109"/>
      <c r="N3291" s="109"/>
      <c r="Q3291" s="121"/>
      <c r="W3291" s="109"/>
    </row>
    <row r="3292" spans="1:23" ht="12.75" hidden="1">
      <c r="A3292" s="109"/>
      <c r="B3292" s="109"/>
      <c r="C3292" s="109"/>
      <c r="D3292" s="109"/>
      <c r="E3292" s="109"/>
      <c r="F3292" s="109"/>
      <c r="G3292" s="109"/>
      <c r="H3292" s="109"/>
      <c r="I3292" s="109"/>
      <c r="J3292" s="109"/>
      <c r="L3292" s="109"/>
      <c r="M3292" s="109"/>
      <c r="N3292" s="109"/>
      <c r="Q3292" s="121"/>
      <c r="W3292" s="109"/>
    </row>
    <row r="3293" spans="1:23" ht="12.75" hidden="1">
      <c r="A3293" s="109"/>
      <c r="B3293" s="109"/>
      <c r="C3293" s="109"/>
      <c r="D3293" s="109"/>
      <c r="E3293" s="109"/>
      <c r="F3293" s="109"/>
      <c r="G3293" s="109"/>
      <c r="H3293" s="109"/>
      <c r="I3293" s="109"/>
      <c r="J3293" s="109"/>
      <c r="L3293" s="109"/>
      <c r="M3293" s="109"/>
      <c r="N3293" s="109"/>
      <c r="Q3293" s="121"/>
      <c r="W3293" s="109"/>
    </row>
    <row r="3294" spans="1:23" ht="12.75" hidden="1">
      <c r="A3294" s="109"/>
      <c r="B3294" s="109"/>
      <c r="C3294" s="109"/>
      <c r="D3294" s="109"/>
      <c r="E3294" s="109"/>
      <c r="F3294" s="109"/>
      <c r="G3294" s="109"/>
      <c r="H3294" s="109"/>
      <c r="I3294" s="109"/>
      <c r="J3294" s="109"/>
      <c r="L3294" s="109"/>
      <c r="M3294" s="109"/>
      <c r="N3294" s="109"/>
      <c r="Q3294" s="121"/>
      <c r="W3294" s="109"/>
    </row>
    <row r="3295" spans="1:23" ht="12.75" hidden="1">
      <c r="A3295" s="109"/>
      <c r="B3295" s="109"/>
      <c r="C3295" s="109"/>
      <c r="D3295" s="109"/>
      <c r="E3295" s="109"/>
      <c r="F3295" s="109"/>
      <c r="G3295" s="109"/>
      <c r="H3295" s="109"/>
      <c r="I3295" s="109"/>
      <c r="J3295" s="109"/>
      <c r="L3295" s="109"/>
      <c r="M3295" s="109"/>
      <c r="N3295" s="109"/>
      <c r="Q3295" s="121"/>
      <c r="W3295" s="109"/>
    </row>
    <row r="3296" spans="1:23" ht="12.75" hidden="1">
      <c r="A3296" s="109"/>
      <c r="B3296" s="109"/>
      <c r="C3296" s="109"/>
      <c r="D3296" s="109"/>
      <c r="E3296" s="109"/>
      <c r="F3296" s="109"/>
      <c r="G3296" s="109"/>
      <c r="H3296" s="109"/>
      <c r="I3296" s="109"/>
      <c r="J3296" s="109"/>
      <c r="L3296" s="109"/>
      <c r="M3296" s="109"/>
      <c r="N3296" s="109"/>
      <c r="Q3296" s="121"/>
      <c r="W3296" s="109"/>
    </row>
    <row r="3297" spans="1:23" ht="12.75" hidden="1">
      <c r="A3297" s="109"/>
      <c r="B3297" s="109"/>
      <c r="C3297" s="109"/>
      <c r="D3297" s="109"/>
      <c r="E3297" s="109"/>
      <c r="F3297" s="109"/>
      <c r="G3297" s="109"/>
      <c r="H3297" s="109"/>
      <c r="I3297" s="109"/>
      <c r="J3297" s="109"/>
      <c r="L3297" s="109"/>
      <c r="M3297" s="109"/>
      <c r="N3297" s="109"/>
      <c r="Q3297" s="121"/>
      <c r="W3297" s="109"/>
    </row>
    <row r="3298" spans="1:23" ht="12.75" hidden="1">
      <c r="A3298" s="109"/>
      <c r="B3298" s="109"/>
      <c r="C3298" s="109"/>
      <c r="D3298" s="109"/>
      <c r="E3298" s="109"/>
      <c r="F3298" s="109"/>
      <c r="G3298" s="109"/>
      <c r="H3298" s="109"/>
      <c r="I3298" s="109"/>
      <c r="J3298" s="109"/>
      <c r="L3298" s="109"/>
      <c r="M3298" s="109"/>
      <c r="N3298" s="109"/>
      <c r="Q3298" s="121"/>
      <c r="W3298" s="109"/>
    </row>
    <row r="3299" spans="1:23" ht="12.75" hidden="1">
      <c r="A3299" s="109"/>
      <c r="B3299" s="109"/>
      <c r="C3299" s="109"/>
      <c r="D3299" s="109"/>
      <c r="E3299" s="109"/>
      <c r="F3299" s="109"/>
      <c r="G3299" s="109"/>
      <c r="H3299" s="109"/>
      <c r="I3299" s="109"/>
      <c r="J3299" s="109"/>
      <c r="L3299" s="109"/>
      <c r="M3299" s="109"/>
      <c r="N3299" s="109"/>
      <c r="Q3299" s="121"/>
      <c r="W3299" s="109"/>
    </row>
    <row r="3300" spans="1:23" ht="12.75" hidden="1">
      <c r="A3300" s="109"/>
      <c r="B3300" s="109"/>
      <c r="C3300" s="109"/>
      <c r="D3300" s="109"/>
      <c r="E3300" s="109"/>
      <c r="F3300" s="109"/>
      <c r="G3300" s="109"/>
      <c r="H3300" s="109"/>
      <c r="I3300" s="109"/>
      <c r="J3300" s="109"/>
      <c r="L3300" s="109"/>
      <c r="M3300" s="109"/>
      <c r="N3300" s="109"/>
      <c r="Q3300" s="121"/>
      <c r="W3300" s="109"/>
    </row>
    <row r="3301" spans="1:23" ht="12.75" hidden="1">
      <c r="A3301" s="109"/>
      <c r="B3301" s="109"/>
      <c r="C3301" s="109"/>
      <c r="D3301" s="109"/>
      <c r="E3301" s="109"/>
      <c r="F3301" s="109"/>
      <c r="G3301" s="109"/>
      <c r="H3301" s="109"/>
      <c r="I3301" s="109"/>
      <c r="J3301" s="109"/>
      <c r="L3301" s="109"/>
      <c r="M3301" s="109"/>
      <c r="N3301" s="109"/>
      <c r="Q3301" s="121"/>
      <c r="W3301" s="109"/>
    </row>
    <row r="3302" spans="1:23" ht="12.75" hidden="1">
      <c r="A3302" s="109"/>
      <c r="B3302" s="109"/>
      <c r="C3302" s="109"/>
      <c r="D3302" s="109"/>
      <c r="E3302" s="109"/>
      <c r="F3302" s="109"/>
      <c r="G3302" s="109"/>
      <c r="H3302" s="109"/>
      <c r="I3302" s="109"/>
      <c r="J3302" s="109"/>
      <c r="L3302" s="109"/>
      <c r="M3302" s="109"/>
      <c r="N3302" s="109"/>
      <c r="Q3302" s="121"/>
      <c r="W3302" s="109"/>
    </row>
    <row r="3303" spans="1:23" ht="12.75" hidden="1">
      <c r="A3303" s="109"/>
      <c r="B3303" s="109"/>
      <c r="C3303" s="109"/>
      <c r="D3303" s="109"/>
      <c r="E3303" s="109"/>
      <c r="F3303" s="109"/>
      <c r="G3303" s="109"/>
      <c r="H3303" s="109"/>
      <c r="I3303" s="109"/>
      <c r="J3303" s="109"/>
      <c r="L3303" s="109"/>
      <c r="M3303" s="109"/>
      <c r="N3303" s="109"/>
      <c r="Q3303" s="121"/>
      <c r="W3303" s="109"/>
    </row>
    <row r="3304" spans="1:23" ht="12.75" hidden="1">
      <c r="A3304" s="109"/>
      <c r="B3304" s="109"/>
      <c r="C3304" s="109"/>
      <c r="D3304" s="109"/>
      <c r="E3304" s="109"/>
      <c r="F3304" s="109"/>
      <c r="G3304" s="109"/>
      <c r="H3304" s="109"/>
      <c r="I3304" s="109"/>
      <c r="J3304" s="109"/>
      <c r="L3304" s="109"/>
      <c r="M3304" s="109"/>
      <c r="N3304" s="109"/>
      <c r="Q3304" s="121"/>
      <c r="W3304" s="109"/>
    </row>
    <row r="3305" spans="1:23" ht="12.75" hidden="1">
      <c r="A3305" s="109"/>
      <c r="B3305" s="109"/>
      <c r="C3305" s="109"/>
      <c r="D3305" s="109"/>
      <c r="E3305" s="109"/>
      <c r="F3305" s="109"/>
      <c r="G3305" s="109"/>
      <c r="H3305" s="109"/>
      <c r="I3305" s="109"/>
      <c r="J3305" s="109"/>
      <c r="L3305" s="109"/>
      <c r="M3305" s="109"/>
      <c r="N3305" s="109"/>
      <c r="Q3305" s="121"/>
      <c r="W3305" s="109"/>
    </row>
    <row r="3306" spans="1:23" ht="12.75" hidden="1">
      <c r="A3306" s="109"/>
      <c r="B3306" s="109"/>
      <c r="C3306" s="109"/>
      <c r="D3306" s="109"/>
      <c r="E3306" s="109"/>
      <c r="F3306" s="109"/>
      <c r="G3306" s="109"/>
      <c r="H3306" s="109"/>
      <c r="I3306" s="109"/>
      <c r="J3306" s="109"/>
      <c r="L3306" s="109"/>
      <c r="M3306" s="109"/>
      <c r="N3306" s="109"/>
      <c r="Q3306" s="121"/>
      <c r="W3306" s="109"/>
    </row>
    <row r="3307" spans="1:23" ht="12.75" hidden="1">
      <c r="A3307" s="109"/>
      <c r="B3307" s="109"/>
      <c r="C3307" s="109"/>
      <c r="D3307" s="109"/>
      <c r="E3307" s="109"/>
      <c r="F3307" s="109"/>
      <c r="G3307" s="109"/>
      <c r="H3307" s="109"/>
      <c r="I3307" s="109"/>
      <c r="J3307" s="109"/>
      <c r="L3307" s="109"/>
      <c r="M3307" s="109"/>
      <c r="N3307" s="109"/>
      <c r="Q3307" s="121"/>
      <c r="W3307" s="109"/>
    </row>
    <row r="3308" spans="1:23" ht="12.75" hidden="1">
      <c r="A3308" s="109"/>
      <c r="B3308" s="109"/>
      <c r="C3308" s="109"/>
      <c r="D3308" s="109"/>
      <c r="E3308" s="109"/>
      <c r="F3308" s="109"/>
      <c r="G3308" s="109"/>
      <c r="H3308" s="109"/>
      <c r="I3308" s="109"/>
      <c r="J3308" s="109"/>
      <c r="L3308" s="109"/>
      <c r="M3308" s="109"/>
      <c r="N3308" s="109"/>
      <c r="Q3308" s="121"/>
      <c r="W3308" s="109"/>
    </row>
    <row r="3309" spans="1:23" ht="12.75" hidden="1">
      <c r="A3309" s="109"/>
      <c r="B3309" s="109"/>
      <c r="C3309" s="109"/>
      <c r="D3309" s="109"/>
      <c r="E3309" s="109"/>
      <c r="F3309" s="109"/>
      <c r="G3309" s="109"/>
      <c r="H3309" s="109"/>
      <c r="I3309" s="109"/>
      <c r="J3309" s="109"/>
      <c r="L3309" s="109"/>
      <c r="M3309" s="109"/>
      <c r="N3309" s="109"/>
      <c r="Q3309" s="121"/>
      <c r="W3309" s="109"/>
    </row>
    <row r="3310" spans="1:23" ht="12.75" hidden="1">
      <c r="A3310" s="109"/>
      <c r="B3310" s="109"/>
      <c r="C3310" s="109"/>
      <c r="D3310" s="109"/>
      <c r="E3310" s="109"/>
      <c r="F3310" s="109"/>
      <c r="G3310" s="109"/>
      <c r="H3310" s="109"/>
      <c r="I3310" s="109"/>
      <c r="J3310" s="109"/>
      <c r="L3310" s="109"/>
      <c r="M3310" s="109"/>
      <c r="N3310" s="109"/>
      <c r="Q3310" s="121"/>
      <c r="W3310" s="109"/>
    </row>
    <row r="3311" spans="1:23" ht="12.75" hidden="1">
      <c r="A3311" s="109"/>
      <c r="B3311" s="109"/>
      <c r="C3311" s="109"/>
      <c r="D3311" s="109"/>
      <c r="E3311" s="109"/>
      <c r="F3311" s="109"/>
      <c r="G3311" s="109"/>
      <c r="H3311" s="109"/>
      <c r="I3311" s="109"/>
      <c r="J3311" s="109"/>
      <c r="L3311" s="109"/>
      <c r="M3311" s="109"/>
      <c r="N3311" s="109"/>
      <c r="Q3311" s="121"/>
      <c r="W3311" s="109"/>
    </row>
    <row r="3312" spans="1:23" ht="12.75" hidden="1">
      <c r="A3312" s="109"/>
      <c r="B3312" s="109"/>
      <c r="C3312" s="109"/>
      <c r="D3312" s="109"/>
      <c r="E3312" s="109"/>
      <c r="F3312" s="109"/>
      <c r="G3312" s="109"/>
      <c r="H3312" s="109"/>
      <c r="I3312" s="109"/>
      <c r="J3312" s="109"/>
      <c r="L3312" s="109"/>
      <c r="M3312" s="109"/>
      <c r="N3312" s="109"/>
      <c r="Q3312" s="121"/>
      <c r="W3312" s="109"/>
    </row>
    <row r="3313" spans="1:23" ht="12.75" hidden="1">
      <c r="A3313" s="109"/>
      <c r="B3313" s="109"/>
      <c r="C3313" s="109"/>
      <c r="D3313" s="109"/>
      <c r="E3313" s="109"/>
      <c r="F3313" s="109"/>
      <c r="G3313" s="109"/>
      <c r="H3313" s="109"/>
      <c r="I3313" s="109"/>
      <c r="J3313" s="109"/>
      <c r="L3313" s="109"/>
      <c r="M3313" s="109"/>
      <c r="N3313" s="109"/>
      <c r="Q3313" s="121"/>
      <c r="W3313" s="109"/>
    </row>
    <row r="3314" spans="1:23" ht="12.75" hidden="1">
      <c r="A3314" s="109"/>
      <c r="B3314" s="109"/>
      <c r="C3314" s="109"/>
      <c r="D3314" s="109"/>
      <c r="E3314" s="109"/>
      <c r="F3314" s="109"/>
      <c r="G3314" s="109"/>
      <c r="H3314" s="109"/>
      <c r="I3314" s="109"/>
      <c r="J3314" s="109"/>
      <c r="L3314" s="109"/>
      <c r="M3314" s="109"/>
      <c r="N3314" s="109"/>
      <c r="Q3314" s="121"/>
      <c r="W3314" s="109"/>
    </row>
    <row r="3315" spans="1:23" ht="12.75" hidden="1">
      <c r="A3315" s="109"/>
      <c r="B3315" s="109"/>
      <c r="C3315" s="109"/>
      <c r="D3315" s="109"/>
      <c r="E3315" s="109"/>
      <c r="F3315" s="109"/>
      <c r="G3315" s="109"/>
      <c r="H3315" s="109"/>
      <c r="I3315" s="109"/>
      <c r="J3315" s="109"/>
      <c r="L3315" s="109"/>
      <c r="M3315" s="109"/>
      <c r="N3315" s="109"/>
      <c r="Q3315" s="121"/>
      <c r="W3315" s="109"/>
    </row>
    <row r="3316" spans="1:23" ht="12.75" hidden="1">
      <c r="A3316" s="109"/>
      <c r="B3316" s="109"/>
      <c r="C3316" s="109"/>
      <c r="D3316" s="109"/>
      <c r="E3316" s="109"/>
      <c r="F3316" s="109"/>
      <c r="G3316" s="109"/>
      <c r="H3316" s="109"/>
      <c r="I3316" s="109"/>
      <c r="J3316" s="109"/>
      <c r="L3316" s="109"/>
      <c r="M3316" s="109"/>
      <c r="N3316" s="109"/>
      <c r="Q3316" s="121"/>
      <c r="W3316" s="109"/>
    </row>
    <row r="3317" spans="1:23" ht="12.75" hidden="1">
      <c r="A3317" s="109"/>
      <c r="B3317" s="109"/>
      <c r="C3317" s="109"/>
      <c r="D3317" s="109"/>
      <c r="E3317" s="109"/>
      <c r="F3317" s="109"/>
      <c r="G3317" s="109"/>
      <c r="H3317" s="109"/>
      <c r="I3317" s="109"/>
      <c r="J3317" s="109"/>
      <c r="L3317" s="109"/>
      <c r="M3317" s="109"/>
      <c r="N3317" s="109"/>
      <c r="Q3317" s="121"/>
      <c r="W3317" s="109"/>
    </row>
    <row r="3318" spans="1:23" ht="12.75" hidden="1">
      <c r="A3318" s="109"/>
      <c r="B3318" s="109"/>
      <c r="C3318" s="109"/>
      <c r="D3318" s="109"/>
      <c r="E3318" s="109"/>
      <c r="F3318" s="109"/>
      <c r="G3318" s="109"/>
      <c r="H3318" s="109"/>
      <c r="I3318" s="109"/>
      <c r="J3318" s="109"/>
      <c r="L3318" s="109"/>
      <c r="M3318" s="109"/>
      <c r="N3318" s="109"/>
      <c r="Q3318" s="121"/>
      <c r="W3318" s="109"/>
    </row>
    <row r="3319" spans="1:23" ht="12.75" hidden="1">
      <c r="A3319" s="109"/>
      <c r="B3319" s="109"/>
      <c r="C3319" s="109"/>
      <c r="D3319" s="109"/>
      <c r="E3319" s="109"/>
      <c r="F3319" s="109"/>
      <c r="G3319" s="109"/>
      <c r="H3319" s="109"/>
      <c r="I3319" s="109"/>
      <c r="J3319" s="109"/>
      <c r="L3319" s="109"/>
      <c r="M3319" s="109"/>
      <c r="N3319" s="109"/>
      <c r="Q3319" s="121"/>
      <c r="W3319" s="109"/>
    </row>
    <row r="3320" spans="1:23" ht="12.75" hidden="1">
      <c r="A3320" s="109"/>
      <c r="B3320" s="109"/>
      <c r="C3320" s="109"/>
      <c r="D3320" s="109"/>
      <c r="E3320" s="109"/>
      <c r="F3320" s="109"/>
      <c r="G3320" s="109"/>
      <c r="H3320" s="109"/>
      <c r="I3320" s="109"/>
      <c r="J3320" s="109"/>
      <c r="L3320" s="109"/>
      <c r="M3320" s="109"/>
      <c r="N3320" s="109"/>
      <c r="Q3320" s="121"/>
      <c r="W3320" s="109"/>
    </row>
    <row r="3321" spans="1:23" ht="12.75" hidden="1">
      <c r="A3321" s="109"/>
      <c r="B3321" s="109"/>
      <c r="C3321" s="109"/>
      <c r="D3321" s="109"/>
      <c r="E3321" s="109"/>
      <c r="F3321" s="109"/>
      <c r="G3321" s="109"/>
      <c r="H3321" s="109"/>
      <c r="I3321" s="109"/>
      <c r="J3321" s="109"/>
      <c r="L3321" s="109"/>
      <c r="M3321" s="109"/>
      <c r="N3321" s="109"/>
      <c r="Q3321" s="121"/>
      <c r="W3321" s="109"/>
    </row>
    <row r="3322" spans="1:23" ht="12.75" hidden="1">
      <c r="A3322" s="109"/>
      <c r="B3322" s="109"/>
      <c r="C3322" s="109"/>
      <c r="D3322" s="109"/>
      <c r="E3322" s="109"/>
      <c r="F3322" s="109"/>
      <c r="G3322" s="109"/>
      <c r="H3322" s="109"/>
      <c r="I3322" s="109"/>
      <c r="J3322" s="109"/>
      <c r="L3322" s="109"/>
      <c r="M3322" s="109"/>
      <c r="N3322" s="109"/>
      <c r="Q3322" s="121"/>
      <c r="W3322" s="109"/>
    </row>
    <row r="3323" spans="1:23" ht="12.75" hidden="1">
      <c r="A3323" s="109"/>
      <c r="B3323" s="109"/>
      <c r="C3323" s="109"/>
      <c r="D3323" s="109"/>
      <c r="E3323" s="109"/>
      <c r="F3323" s="109"/>
      <c r="G3323" s="109"/>
      <c r="H3323" s="109"/>
      <c r="I3323" s="109"/>
      <c r="J3323" s="109"/>
      <c r="L3323" s="109"/>
      <c r="M3323" s="109"/>
      <c r="N3323" s="109"/>
      <c r="Q3323" s="121"/>
      <c r="W3323" s="109"/>
    </row>
    <row r="3324" spans="1:23" ht="12.75" hidden="1">
      <c r="A3324" s="109"/>
      <c r="B3324" s="109"/>
      <c r="C3324" s="109"/>
      <c r="D3324" s="109"/>
      <c r="E3324" s="109"/>
      <c r="F3324" s="109"/>
      <c r="G3324" s="109"/>
      <c r="H3324" s="109"/>
      <c r="I3324" s="109"/>
      <c r="J3324" s="109"/>
      <c r="L3324" s="109"/>
      <c r="M3324" s="109"/>
      <c r="N3324" s="109"/>
      <c r="Q3324" s="121"/>
      <c r="W3324" s="109"/>
    </row>
    <row r="3325" spans="1:23" ht="12.75" hidden="1">
      <c r="A3325" s="109"/>
      <c r="B3325" s="109"/>
      <c r="C3325" s="109"/>
      <c r="D3325" s="109"/>
      <c r="E3325" s="109"/>
      <c r="F3325" s="109"/>
      <c r="G3325" s="109"/>
      <c r="H3325" s="109"/>
      <c r="I3325" s="109"/>
      <c r="J3325" s="109"/>
      <c r="L3325" s="109"/>
      <c r="M3325" s="109"/>
      <c r="N3325" s="109"/>
      <c r="Q3325" s="121"/>
      <c r="W3325" s="109"/>
    </row>
    <row r="3326" spans="1:23" ht="12.75" hidden="1">
      <c r="A3326" s="109"/>
      <c r="B3326" s="109"/>
      <c r="C3326" s="109"/>
      <c r="D3326" s="109"/>
      <c r="E3326" s="109"/>
      <c r="F3326" s="109"/>
      <c r="G3326" s="109"/>
      <c r="H3326" s="109"/>
      <c r="I3326" s="109"/>
      <c r="J3326" s="109"/>
      <c r="L3326" s="109"/>
      <c r="M3326" s="109"/>
      <c r="N3326" s="109"/>
      <c r="Q3326" s="121"/>
      <c r="W3326" s="109"/>
    </row>
    <row r="3327" spans="1:23" ht="12.75" hidden="1">
      <c r="A3327" s="109"/>
      <c r="B3327" s="109"/>
      <c r="C3327" s="109"/>
      <c r="D3327" s="109"/>
      <c r="E3327" s="109"/>
      <c r="F3327" s="109"/>
      <c r="G3327" s="109"/>
      <c r="H3327" s="109"/>
      <c r="I3327" s="109"/>
      <c r="J3327" s="109"/>
      <c r="L3327" s="109"/>
      <c r="M3327" s="109"/>
      <c r="N3327" s="109"/>
      <c r="Q3327" s="121"/>
      <c r="W3327" s="109"/>
    </row>
    <row r="3328" spans="1:23" ht="12.75" hidden="1">
      <c r="A3328" s="109"/>
      <c r="B3328" s="109"/>
      <c r="C3328" s="109"/>
      <c r="D3328" s="109"/>
      <c r="E3328" s="109"/>
      <c r="F3328" s="109"/>
      <c r="G3328" s="109"/>
      <c r="H3328" s="109"/>
      <c r="I3328" s="109"/>
      <c r="J3328" s="109"/>
      <c r="L3328" s="109"/>
      <c r="M3328" s="109"/>
      <c r="N3328" s="109"/>
      <c r="Q3328" s="121"/>
      <c r="W3328" s="109"/>
    </row>
    <row r="3329" spans="1:23" ht="12.75" hidden="1">
      <c r="A3329" s="109"/>
      <c r="B3329" s="109"/>
      <c r="C3329" s="109"/>
      <c r="D3329" s="109"/>
      <c r="E3329" s="109"/>
      <c r="F3329" s="109"/>
      <c r="G3329" s="109"/>
      <c r="H3329" s="109"/>
      <c r="I3329" s="109"/>
      <c r="J3329" s="109"/>
      <c r="L3329" s="109"/>
      <c r="M3329" s="109"/>
      <c r="N3329" s="109"/>
      <c r="Q3329" s="121"/>
      <c r="W3329" s="109"/>
    </row>
    <row r="3330" spans="1:23" ht="12.75" hidden="1">
      <c r="A3330" s="109"/>
      <c r="B3330" s="109"/>
      <c r="C3330" s="109"/>
      <c r="D3330" s="109"/>
      <c r="E3330" s="109"/>
      <c r="F3330" s="109"/>
      <c r="G3330" s="109"/>
      <c r="H3330" s="109"/>
      <c r="I3330" s="109"/>
      <c r="J3330" s="109"/>
      <c r="L3330" s="109"/>
      <c r="M3330" s="109"/>
      <c r="N3330" s="109"/>
      <c r="Q3330" s="121"/>
      <c r="W3330" s="109"/>
    </row>
    <row r="3331" spans="1:23" ht="12.75" hidden="1">
      <c r="A3331" s="109"/>
      <c r="B3331" s="109"/>
      <c r="C3331" s="109"/>
      <c r="D3331" s="109"/>
      <c r="E3331" s="109"/>
      <c r="F3331" s="109"/>
      <c r="G3331" s="109"/>
      <c r="H3331" s="109"/>
      <c r="I3331" s="109"/>
      <c r="J3331" s="109"/>
      <c r="L3331" s="109"/>
      <c r="M3331" s="109"/>
      <c r="N3331" s="109"/>
      <c r="Q3331" s="121"/>
      <c r="W3331" s="109"/>
    </row>
    <row r="3332" spans="1:23" ht="12.75" hidden="1">
      <c r="A3332" s="109"/>
      <c r="B3332" s="109"/>
      <c r="C3332" s="109"/>
      <c r="D3332" s="109"/>
      <c r="E3332" s="109"/>
      <c r="F3332" s="109"/>
      <c r="G3332" s="109"/>
      <c r="H3332" s="109"/>
      <c r="I3332" s="109"/>
      <c r="J3332" s="109"/>
      <c r="L3332" s="109"/>
      <c r="M3332" s="109"/>
      <c r="N3332" s="109"/>
      <c r="Q3332" s="121"/>
      <c r="W3332" s="109"/>
    </row>
    <row r="3333" spans="1:23" ht="12.75" hidden="1">
      <c r="A3333" s="109"/>
      <c r="B3333" s="109"/>
      <c r="C3333" s="109"/>
      <c r="D3333" s="109"/>
      <c r="E3333" s="109"/>
      <c r="F3333" s="109"/>
      <c r="G3333" s="109"/>
      <c r="H3333" s="109"/>
      <c r="I3333" s="109"/>
      <c r="J3333" s="109"/>
      <c r="L3333" s="109"/>
      <c r="M3333" s="109"/>
      <c r="N3333" s="109"/>
      <c r="Q3333" s="121"/>
      <c r="W3333" s="109"/>
    </row>
    <row r="3334" spans="1:23" ht="12.75" hidden="1">
      <c r="A3334" s="109"/>
      <c r="B3334" s="109"/>
      <c r="C3334" s="109"/>
      <c r="D3334" s="109"/>
      <c r="E3334" s="109"/>
      <c r="F3334" s="109"/>
      <c r="G3334" s="109"/>
      <c r="H3334" s="109"/>
      <c r="I3334" s="109"/>
      <c r="J3334" s="109"/>
      <c r="L3334" s="109"/>
      <c r="M3334" s="109"/>
      <c r="N3334" s="109"/>
      <c r="Q3334" s="121"/>
      <c r="W3334" s="109"/>
    </row>
    <row r="3335" spans="1:23" ht="12.75" hidden="1">
      <c r="A3335" s="109"/>
      <c r="B3335" s="109"/>
      <c r="C3335" s="109"/>
      <c r="D3335" s="109"/>
      <c r="E3335" s="109"/>
      <c r="F3335" s="109"/>
      <c r="G3335" s="109"/>
      <c r="H3335" s="109"/>
      <c r="I3335" s="109"/>
      <c r="J3335" s="109"/>
      <c r="L3335" s="109"/>
      <c r="M3335" s="109"/>
      <c r="N3335" s="109"/>
      <c r="Q3335" s="121"/>
      <c r="W3335" s="109"/>
    </row>
    <row r="3336" spans="1:23" ht="12.75" hidden="1">
      <c r="A3336" s="109"/>
      <c r="B3336" s="109"/>
      <c r="C3336" s="109"/>
      <c r="D3336" s="109"/>
      <c r="E3336" s="109"/>
      <c r="F3336" s="109"/>
      <c r="G3336" s="109"/>
      <c r="H3336" s="109"/>
      <c r="I3336" s="109"/>
      <c r="J3336" s="109"/>
      <c r="L3336" s="109"/>
      <c r="M3336" s="109"/>
      <c r="N3336" s="109"/>
      <c r="Q3336" s="121"/>
      <c r="W3336" s="109"/>
    </row>
    <row r="3337" spans="1:23" ht="12.75" hidden="1">
      <c r="A3337" s="109"/>
      <c r="B3337" s="109"/>
      <c r="C3337" s="109"/>
      <c r="D3337" s="109"/>
      <c r="E3337" s="109"/>
      <c r="F3337" s="109"/>
      <c r="G3337" s="109"/>
      <c r="H3337" s="109"/>
      <c r="I3337" s="109"/>
      <c r="J3337" s="109"/>
      <c r="L3337" s="109"/>
      <c r="M3337" s="109"/>
      <c r="N3337" s="109"/>
      <c r="Q3337" s="121"/>
      <c r="W3337" s="109"/>
    </row>
    <row r="3338" spans="1:23" ht="12.75" hidden="1">
      <c r="A3338" s="109"/>
      <c r="B3338" s="109"/>
      <c r="C3338" s="109"/>
      <c r="D3338" s="109"/>
      <c r="E3338" s="109"/>
      <c r="F3338" s="109"/>
      <c r="G3338" s="109"/>
      <c r="H3338" s="109"/>
      <c r="I3338" s="109"/>
      <c r="J3338" s="109"/>
      <c r="L3338" s="109"/>
      <c r="M3338" s="109"/>
      <c r="N3338" s="109"/>
      <c r="Q3338" s="121"/>
      <c r="W3338" s="109"/>
    </row>
    <row r="3339" spans="1:23" ht="12.75" hidden="1">
      <c r="A3339" s="109"/>
      <c r="B3339" s="109"/>
      <c r="C3339" s="109"/>
      <c r="D3339" s="109"/>
      <c r="E3339" s="109"/>
      <c r="F3339" s="109"/>
      <c r="G3339" s="109"/>
      <c r="H3339" s="109"/>
      <c r="I3339" s="109"/>
      <c r="J3339" s="109"/>
      <c r="L3339" s="109"/>
      <c r="M3339" s="109"/>
      <c r="N3339" s="109"/>
      <c r="Q3339" s="121"/>
      <c r="W3339" s="109"/>
    </row>
    <row r="3340" spans="1:23" ht="12.75" hidden="1">
      <c r="A3340" s="109"/>
      <c r="B3340" s="109"/>
      <c r="C3340" s="109"/>
      <c r="D3340" s="109"/>
      <c r="E3340" s="109"/>
      <c r="F3340" s="109"/>
      <c r="G3340" s="109"/>
      <c r="H3340" s="109"/>
      <c r="I3340" s="109"/>
      <c r="J3340" s="109"/>
      <c r="L3340" s="109"/>
      <c r="M3340" s="109"/>
      <c r="N3340" s="109"/>
      <c r="Q3340" s="121"/>
      <c r="W3340" s="109"/>
    </row>
    <row r="3341" spans="1:23" ht="12.75" hidden="1">
      <c r="A3341" s="109"/>
      <c r="B3341" s="109"/>
      <c r="C3341" s="109"/>
      <c r="D3341" s="109"/>
      <c r="E3341" s="109"/>
      <c r="F3341" s="109"/>
      <c r="G3341" s="109"/>
      <c r="H3341" s="109"/>
      <c r="I3341" s="109"/>
      <c r="J3341" s="109"/>
      <c r="L3341" s="109"/>
      <c r="M3341" s="109"/>
      <c r="N3341" s="109"/>
      <c r="Q3341" s="121"/>
      <c r="W3341" s="109"/>
    </row>
    <row r="3342" spans="1:23" ht="12.75" hidden="1">
      <c r="A3342" s="109"/>
      <c r="B3342" s="109"/>
      <c r="C3342" s="109"/>
      <c r="D3342" s="109"/>
      <c r="E3342" s="109"/>
      <c r="F3342" s="109"/>
      <c r="G3342" s="109"/>
      <c r="H3342" s="109"/>
      <c r="I3342" s="109"/>
      <c r="J3342" s="109"/>
      <c r="L3342" s="109"/>
      <c r="M3342" s="109"/>
      <c r="N3342" s="109"/>
      <c r="Q3342" s="121"/>
      <c r="W3342" s="109"/>
    </row>
    <row r="3343" spans="1:23" ht="12.75" hidden="1">
      <c r="A3343" s="109"/>
      <c r="B3343" s="109"/>
      <c r="C3343" s="109"/>
      <c r="D3343" s="109"/>
      <c r="E3343" s="109"/>
      <c r="F3343" s="109"/>
      <c r="G3343" s="109"/>
      <c r="H3343" s="109"/>
      <c r="I3343" s="109"/>
      <c r="J3343" s="109"/>
      <c r="L3343" s="109"/>
      <c r="M3343" s="109"/>
      <c r="N3343" s="109"/>
      <c r="Q3343" s="121"/>
      <c r="W3343" s="109"/>
    </row>
    <row r="3344" spans="1:23" ht="12.75" hidden="1">
      <c r="A3344" s="109"/>
      <c r="B3344" s="109"/>
      <c r="C3344" s="109"/>
      <c r="D3344" s="109"/>
      <c r="E3344" s="109"/>
      <c r="F3344" s="109"/>
      <c r="G3344" s="109"/>
      <c r="H3344" s="109"/>
      <c r="I3344" s="109"/>
      <c r="J3344" s="109"/>
      <c r="L3344" s="109"/>
      <c r="M3344" s="109"/>
      <c r="N3344" s="109"/>
      <c r="Q3344" s="121"/>
      <c r="W3344" s="109"/>
    </row>
    <row r="3345" spans="1:23" ht="12.75" hidden="1">
      <c r="A3345" s="109"/>
      <c r="B3345" s="109"/>
      <c r="C3345" s="109"/>
      <c r="D3345" s="109"/>
      <c r="E3345" s="109"/>
      <c r="F3345" s="109"/>
      <c r="G3345" s="109"/>
      <c r="H3345" s="109"/>
      <c r="I3345" s="109"/>
      <c r="J3345" s="109"/>
      <c r="L3345" s="109"/>
      <c r="M3345" s="109"/>
      <c r="N3345" s="109"/>
      <c r="Q3345" s="121"/>
      <c r="W3345" s="109"/>
    </row>
    <row r="3346" spans="1:23" ht="12.75" hidden="1">
      <c r="A3346" s="109"/>
      <c r="B3346" s="109"/>
      <c r="C3346" s="109"/>
      <c r="D3346" s="109"/>
      <c r="E3346" s="109"/>
      <c r="F3346" s="109"/>
      <c r="G3346" s="109"/>
      <c r="H3346" s="109"/>
      <c r="I3346" s="109"/>
      <c r="J3346" s="109"/>
      <c r="L3346" s="109"/>
      <c r="M3346" s="109"/>
      <c r="N3346" s="109"/>
      <c r="Q3346" s="121"/>
      <c r="W3346" s="109"/>
    </row>
    <row r="3347" spans="1:23" ht="12.75" hidden="1">
      <c r="A3347" s="109"/>
      <c r="B3347" s="109"/>
      <c r="C3347" s="109"/>
      <c r="D3347" s="109"/>
      <c r="E3347" s="109"/>
      <c r="F3347" s="109"/>
      <c r="G3347" s="109"/>
      <c r="H3347" s="109"/>
      <c r="I3347" s="109"/>
      <c r="J3347" s="109"/>
      <c r="L3347" s="109"/>
      <c r="M3347" s="109"/>
      <c r="N3347" s="109"/>
      <c r="Q3347" s="121"/>
      <c r="W3347" s="109"/>
    </row>
    <row r="3348" spans="1:23" ht="12.75" hidden="1">
      <c r="A3348" s="109"/>
      <c r="B3348" s="109"/>
      <c r="C3348" s="109"/>
      <c r="D3348" s="109"/>
      <c r="E3348" s="109"/>
      <c r="F3348" s="109"/>
      <c r="G3348" s="109"/>
      <c r="H3348" s="109"/>
      <c r="I3348" s="109"/>
      <c r="J3348" s="109"/>
      <c r="L3348" s="109"/>
      <c r="M3348" s="109"/>
      <c r="N3348" s="109"/>
      <c r="Q3348" s="121"/>
      <c r="W3348" s="109"/>
    </row>
    <row r="3349" spans="1:23" ht="12.75" hidden="1">
      <c r="A3349" s="109"/>
      <c r="B3349" s="109"/>
      <c r="C3349" s="109"/>
      <c r="D3349" s="109"/>
      <c r="E3349" s="109"/>
      <c r="F3349" s="109"/>
      <c r="G3349" s="109"/>
      <c r="H3349" s="109"/>
      <c r="I3349" s="109"/>
      <c r="J3349" s="109"/>
      <c r="L3349" s="109"/>
      <c r="M3349" s="109"/>
      <c r="N3349" s="109"/>
      <c r="Q3349" s="121"/>
      <c r="W3349" s="109"/>
    </row>
    <row r="3350" spans="1:23" ht="12.75" hidden="1">
      <c r="A3350" s="109"/>
      <c r="B3350" s="109"/>
      <c r="C3350" s="109"/>
      <c r="D3350" s="109"/>
      <c r="E3350" s="109"/>
      <c r="F3350" s="109"/>
      <c r="G3350" s="109"/>
      <c r="H3350" s="109"/>
      <c r="I3350" s="109"/>
      <c r="J3350" s="109"/>
      <c r="L3350" s="109"/>
      <c r="M3350" s="109"/>
      <c r="N3350" s="109"/>
      <c r="Q3350" s="121"/>
      <c r="W3350" s="109"/>
    </row>
    <row r="3351" spans="1:23" ht="12.75" hidden="1">
      <c r="A3351" s="109"/>
      <c r="B3351" s="109"/>
      <c r="C3351" s="109"/>
      <c r="D3351" s="109"/>
      <c r="E3351" s="109"/>
      <c r="F3351" s="109"/>
      <c r="G3351" s="109"/>
      <c r="H3351" s="109"/>
      <c r="I3351" s="109"/>
      <c r="J3351" s="109"/>
      <c r="L3351" s="109"/>
      <c r="M3351" s="109"/>
      <c r="N3351" s="109"/>
      <c r="Q3351" s="121"/>
      <c r="W3351" s="109"/>
    </row>
    <row r="3352" spans="1:23" ht="12.75" hidden="1">
      <c r="A3352" s="109"/>
      <c r="B3352" s="109"/>
      <c r="C3352" s="109"/>
      <c r="D3352" s="109"/>
      <c r="E3352" s="109"/>
      <c r="F3352" s="109"/>
      <c r="G3352" s="109"/>
      <c r="H3352" s="109"/>
      <c r="I3352" s="109"/>
      <c r="J3352" s="109"/>
      <c r="L3352" s="109"/>
      <c r="M3352" s="109"/>
      <c r="N3352" s="109"/>
      <c r="Q3352" s="121"/>
      <c r="W3352" s="109"/>
    </row>
    <row r="3353" spans="1:23" ht="12.75" hidden="1">
      <c r="A3353" s="109"/>
      <c r="B3353" s="109"/>
      <c r="C3353" s="109"/>
      <c r="D3353" s="109"/>
      <c r="E3353" s="109"/>
      <c r="F3353" s="109"/>
      <c r="G3353" s="109"/>
      <c r="H3353" s="109"/>
      <c r="I3353" s="109"/>
      <c r="J3353" s="109"/>
      <c r="L3353" s="109"/>
      <c r="M3353" s="109"/>
      <c r="N3353" s="109"/>
      <c r="Q3353" s="121"/>
      <c r="W3353" s="109"/>
    </row>
    <row r="3354" spans="1:23" ht="12.75" hidden="1">
      <c r="A3354" s="109"/>
      <c r="B3354" s="109"/>
      <c r="C3354" s="109"/>
      <c r="D3354" s="109"/>
      <c r="E3354" s="109"/>
      <c r="F3354" s="109"/>
      <c r="G3354" s="109"/>
      <c r="H3354" s="109"/>
      <c r="I3354" s="109"/>
      <c r="J3354" s="109"/>
      <c r="L3354" s="109"/>
      <c r="M3354" s="109"/>
      <c r="N3354" s="109"/>
      <c r="Q3354" s="121"/>
      <c r="W3354" s="109"/>
    </row>
    <row r="3355" spans="1:23" ht="12.75" hidden="1">
      <c r="A3355" s="109"/>
      <c r="B3355" s="109"/>
      <c r="C3355" s="109"/>
      <c r="D3355" s="109"/>
      <c r="E3355" s="109"/>
      <c r="F3355" s="109"/>
      <c r="G3355" s="109"/>
      <c r="H3355" s="109"/>
      <c r="I3355" s="109"/>
      <c r="J3355" s="109"/>
      <c r="L3355" s="109"/>
      <c r="M3355" s="109"/>
      <c r="N3355" s="109"/>
      <c r="Q3355" s="121"/>
      <c r="W3355" s="109"/>
    </row>
    <row r="3356" spans="1:23" ht="12.75" hidden="1">
      <c r="A3356" s="109"/>
      <c r="B3356" s="109"/>
      <c r="C3356" s="109"/>
      <c r="D3356" s="109"/>
      <c r="E3356" s="109"/>
      <c r="F3356" s="109"/>
      <c r="G3356" s="109"/>
      <c r="H3356" s="109"/>
      <c r="I3356" s="109"/>
      <c r="J3356" s="109"/>
      <c r="L3356" s="109"/>
      <c r="M3356" s="109"/>
      <c r="N3356" s="109"/>
      <c r="Q3356" s="121"/>
      <c r="W3356" s="109"/>
    </row>
    <row r="3357" spans="1:23" ht="12.75" hidden="1">
      <c r="A3357" s="109"/>
      <c r="B3357" s="109"/>
      <c r="C3357" s="109"/>
      <c r="D3357" s="109"/>
      <c r="E3357" s="109"/>
      <c r="F3357" s="109"/>
      <c r="G3357" s="109"/>
      <c r="H3357" s="109"/>
      <c r="I3357" s="109"/>
      <c r="J3357" s="109"/>
      <c r="L3357" s="109"/>
      <c r="M3357" s="109"/>
      <c r="N3357" s="109"/>
      <c r="Q3357" s="121"/>
      <c r="W3357" s="109"/>
    </row>
    <row r="3358" spans="1:23" ht="12.75" hidden="1">
      <c r="A3358" s="109"/>
      <c r="B3358" s="109"/>
      <c r="C3358" s="109"/>
      <c r="D3358" s="109"/>
      <c r="E3358" s="109"/>
      <c r="F3358" s="109"/>
      <c r="G3358" s="109"/>
      <c r="H3358" s="109"/>
      <c r="I3358" s="109"/>
      <c r="J3358" s="109"/>
      <c r="L3358" s="109"/>
      <c r="M3358" s="109"/>
      <c r="N3358" s="109"/>
      <c r="Q3358" s="121"/>
      <c r="W3358" s="109"/>
    </row>
    <row r="3359" spans="1:23" ht="12.75" hidden="1">
      <c r="A3359" s="109"/>
      <c r="B3359" s="109"/>
      <c r="C3359" s="109"/>
      <c r="D3359" s="109"/>
      <c r="E3359" s="109"/>
      <c r="F3359" s="109"/>
      <c r="G3359" s="109"/>
      <c r="H3359" s="109"/>
      <c r="I3359" s="109"/>
      <c r="J3359" s="109"/>
      <c r="L3359" s="109"/>
      <c r="M3359" s="109"/>
      <c r="N3359" s="109"/>
      <c r="Q3359" s="121"/>
      <c r="W3359" s="109"/>
    </row>
    <row r="3360" spans="1:23" ht="12.75" hidden="1">
      <c r="A3360" s="109"/>
      <c r="B3360" s="109"/>
      <c r="C3360" s="109"/>
      <c r="D3360" s="109"/>
      <c r="E3360" s="109"/>
      <c r="F3360" s="109"/>
      <c r="G3360" s="109"/>
      <c r="H3360" s="109"/>
      <c r="I3360" s="109"/>
      <c r="J3360" s="109"/>
      <c r="L3360" s="109"/>
      <c r="M3360" s="109"/>
      <c r="N3360" s="109"/>
      <c r="Q3360" s="121"/>
      <c r="W3360" s="109"/>
    </row>
    <row r="3361" spans="1:23" ht="12.75" hidden="1">
      <c r="A3361" s="109"/>
      <c r="B3361" s="109"/>
      <c r="C3361" s="109"/>
      <c r="D3361" s="109"/>
      <c r="E3361" s="109"/>
      <c r="F3361" s="109"/>
      <c r="G3361" s="109"/>
      <c r="H3361" s="109"/>
      <c r="I3361" s="109"/>
      <c r="J3361" s="109"/>
      <c r="L3361" s="109"/>
      <c r="M3361" s="109"/>
      <c r="N3361" s="109"/>
      <c r="Q3361" s="121"/>
      <c r="W3361" s="109"/>
    </row>
    <row r="3362" spans="1:23" ht="12.75" hidden="1">
      <c r="A3362" s="109"/>
      <c r="B3362" s="109"/>
      <c r="C3362" s="109"/>
      <c r="D3362" s="109"/>
      <c r="E3362" s="109"/>
      <c r="F3362" s="109"/>
      <c r="G3362" s="109"/>
      <c r="H3362" s="109"/>
      <c r="I3362" s="109"/>
      <c r="J3362" s="109"/>
      <c r="L3362" s="109"/>
      <c r="M3362" s="109"/>
      <c r="N3362" s="109"/>
      <c r="Q3362" s="121"/>
      <c r="W3362" s="109"/>
    </row>
    <row r="3363" spans="1:23" ht="12.75" hidden="1">
      <c r="A3363" s="109"/>
      <c r="B3363" s="109"/>
      <c r="C3363" s="109"/>
      <c r="D3363" s="109"/>
      <c r="E3363" s="109"/>
      <c r="F3363" s="109"/>
      <c r="G3363" s="109"/>
      <c r="H3363" s="109"/>
      <c r="I3363" s="109"/>
      <c r="J3363" s="109"/>
      <c r="L3363" s="109"/>
      <c r="M3363" s="109"/>
      <c r="N3363" s="109"/>
      <c r="Q3363" s="121"/>
      <c r="W3363" s="109"/>
    </row>
    <row r="3364" spans="1:23" ht="12.75" hidden="1">
      <c r="A3364" s="109"/>
      <c r="B3364" s="109"/>
      <c r="C3364" s="109"/>
      <c r="D3364" s="109"/>
      <c r="E3364" s="109"/>
      <c r="F3364" s="109"/>
      <c r="G3364" s="109"/>
      <c r="H3364" s="109"/>
      <c r="I3364" s="109"/>
      <c r="J3364" s="109"/>
      <c r="L3364" s="109"/>
      <c r="M3364" s="109"/>
      <c r="N3364" s="109"/>
      <c r="Q3364" s="121"/>
      <c r="W3364" s="109"/>
    </row>
    <row r="3365" spans="1:23" ht="12.75" hidden="1">
      <c r="A3365" s="109"/>
      <c r="B3365" s="109"/>
      <c r="C3365" s="109"/>
      <c r="D3365" s="109"/>
      <c r="E3365" s="109"/>
      <c r="F3365" s="109"/>
      <c r="G3365" s="109"/>
      <c r="H3365" s="109"/>
      <c r="I3365" s="109"/>
      <c r="J3365" s="109"/>
      <c r="L3365" s="109"/>
      <c r="M3365" s="109"/>
      <c r="N3365" s="109"/>
      <c r="Q3365" s="121"/>
      <c r="W3365" s="109"/>
    </row>
    <row r="3366" spans="1:23" ht="12.75" hidden="1">
      <c r="A3366" s="109"/>
      <c r="B3366" s="109"/>
      <c r="C3366" s="109"/>
      <c r="D3366" s="109"/>
      <c r="E3366" s="109"/>
      <c r="F3366" s="109"/>
      <c r="G3366" s="109"/>
      <c r="H3366" s="109"/>
      <c r="I3366" s="109"/>
      <c r="J3366" s="109"/>
      <c r="L3366" s="109"/>
      <c r="M3366" s="109"/>
      <c r="N3366" s="109"/>
      <c r="Q3366" s="121"/>
      <c r="W3366" s="109"/>
    </row>
    <row r="3367" spans="1:23" ht="12.75" hidden="1">
      <c r="A3367" s="109"/>
      <c r="B3367" s="109"/>
      <c r="C3367" s="109"/>
      <c r="D3367" s="109"/>
      <c r="E3367" s="109"/>
      <c r="F3367" s="109"/>
      <c r="G3367" s="109"/>
      <c r="H3367" s="109"/>
      <c r="I3367" s="109"/>
      <c r="J3367" s="109"/>
      <c r="L3367" s="109"/>
      <c r="M3367" s="109"/>
      <c r="N3367" s="109"/>
      <c r="Q3367" s="121"/>
      <c r="W3367" s="109"/>
    </row>
    <row r="3368" spans="1:23" ht="12.75" hidden="1">
      <c r="A3368" s="109"/>
      <c r="B3368" s="109"/>
      <c r="C3368" s="109"/>
      <c r="D3368" s="109"/>
      <c r="E3368" s="109"/>
      <c r="F3368" s="109"/>
      <c r="G3368" s="109"/>
      <c r="H3368" s="109"/>
      <c r="I3368" s="109"/>
      <c r="J3368" s="109"/>
      <c r="L3368" s="109"/>
      <c r="M3368" s="109"/>
      <c r="N3368" s="109"/>
      <c r="Q3368" s="121"/>
      <c r="W3368" s="109"/>
    </row>
    <row r="3369" spans="1:23" ht="12.75" hidden="1">
      <c r="A3369" s="109"/>
      <c r="B3369" s="109"/>
      <c r="C3369" s="109"/>
      <c r="D3369" s="109"/>
      <c r="E3369" s="109"/>
      <c r="F3369" s="109"/>
      <c r="G3369" s="109"/>
      <c r="H3369" s="109"/>
      <c r="I3369" s="109"/>
      <c r="J3369" s="109"/>
      <c r="L3369" s="109"/>
      <c r="M3369" s="109"/>
      <c r="N3369" s="109"/>
      <c r="Q3369" s="121"/>
      <c r="W3369" s="109"/>
    </row>
    <row r="3370" spans="1:23" ht="12.75" hidden="1">
      <c r="A3370" s="109"/>
      <c r="B3370" s="109"/>
      <c r="C3370" s="109"/>
      <c r="D3370" s="109"/>
      <c r="E3370" s="109"/>
      <c r="F3370" s="109"/>
      <c r="G3370" s="109"/>
      <c r="H3370" s="109"/>
      <c r="I3370" s="109"/>
      <c r="J3370" s="109"/>
      <c r="L3370" s="109"/>
      <c r="M3370" s="109"/>
      <c r="N3370" s="109"/>
      <c r="Q3370" s="121"/>
      <c r="W3370" s="109"/>
    </row>
    <row r="3371" spans="1:23" ht="12.75" hidden="1">
      <c r="A3371" s="109"/>
      <c r="B3371" s="109"/>
      <c r="C3371" s="109"/>
      <c r="D3371" s="109"/>
      <c r="E3371" s="109"/>
      <c r="F3371" s="109"/>
      <c r="G3371" s="109"/>
      <c r="H3371" s="109"/>
      <c r="I3371" s="109"/>
      <c r="J3371" s="109"/>
      <c r="L3371" s="109"/>
      <c r="M3371" s="109"/>
      <c r="N3371" s="109"/>
      <c r="Q3371" s="121"/>
      <c r="W3371" s="109"/>
    </row>
    <row r="3372" spans="1:23" ht="12.75" hidden="1">
      <c r="A3372" s="109"/>
      <c r="B3372" s="109"/>
      <c r="C3372" s="109"/>
      <c r="D3372" s="109"/>
      <c r="E3372" s="109"/>
      <c r="F3372" s="109"/>
      <c r="G3372" s="109"/>
      <c r="H3372" s="109"/>
      <c r="I3372" s="109"/>
      <c r="J3372" s="109"/>
      <c r="L3372" s="109"/>
      <c r="M3372" s="109"/>
      <c r="N3372" s="109"/>
      <c r="Q3372" s="121"/>
      <c r="W3372" s="109"/>
    </row>
    <row r="3373" spans="1:23" ht="12.75" hidden="1">
      <c r="A3373" s="109"/>
      <c r="B3373" s="109"/>
      <c r="C3373" s="109"/>
      <c r="D3373" s="109"/>
      <c r="E3373" s="109"/>
      <c r="F3373" s="109"/>
      <c r="G3373" s="109"/>
      <c r="H3373" s="109"/>
      <c r="I3373" s="109"/>
      <c r="J3373" s="109"/>
      <c r="L3373" s="109"/>
      <c r="M3373" s="109"/>
      <c r="N3373" s="109"/>
      <c r="Q3373" s="121"/>
      <c r="W3373" s="109"/>
    </row>
    <row r="3374" spans="1:23" ht="12.75" hidden="1">
      <c r="A3374" s="109"/>
      <c r="B3374" s="109"/>
      <c r="C3374" s="109"/>
      <c r="D3374" s="109"/>
      <c r="E3374" s="109"/>
      <c r="F3374" s="109"/>
      <c r="G3374" s="109"/>
      <c r="H3374" s="109"/>
      <c r="I3374" s="109"/>
      <c r="J3374" s="109"/>
      <c r="L3374" s="109"/>
      <c r="M3374" s="109"/>
      <c r="N3374" s="109"/>
      <c r="Q3374" s="121"/>
      <c r="W3374" s="109"/>
    </row>
    <row r="3375" spans="1:23" ht="12.75" hidden="1">
      <c r="A3375" s="109"/>
      <c r="B3375" s="109"/>
      <c r="C3375" s="109"/>
      <c r="D3375" s="109"/>
      <c r="E3375" s="109"/>
      <c r="F3375" s="109"/>
      <c r="G3375" s="109"/>
      <c r="H3375" s="109"/>
      <c r="I3375" s="109"/>
      <c r="J3375" s="109"/>
      <c r="L3375" s="109"/>
      <c r="M3375" s="109"/>
      <c r="N3375" s="109"/>
      <c r="Q3375" s="121"/>
      <c r="W3375" s="109"/>
    </row>
    <row r="3376" spans="1:23" ht="12.75" hidden="1">
      <c r="A3376" s="109"/>
      <c r="B3376" s="109"/>
      <c r="C3376" s="109"/>
      <c r="D3376" s="109"/>
      <c r="E3376" s="109"/>
      <c r="F3376" s="109"/>
      <c r="G3376" s="109"/>
      <c r="H3376" s="109"/>
      <c r="I3376" s="109"/>
      <c r="J3376" s="109"/>
      <c r="L3376" s="109"/>
      <c r="M3376" s="109"/>
      <c r="N3376" s="109"/>
      <c r="Q3376" s="121"/>
      <c r="W3376" s="109"/>
    </row>
    <row r="3377" spans="1:23" ht="12.75" hidden="1">
      <c r="A3377" s="109"/>
      <c r="B3377" s="109"/>
      <c r="C3377" s="109"/>
      <c r="D3377" s="109"/>
      <c r="E3377" s="109"/>
      <c r="F3377" s="109"/>
      <c r="G3377" s="109"/>
      <c r="H3377" s="109"/>
      <c r="I3377" s="109"/>
      <c r="J3377" s="109"/>
      <c r="L3377" s="109"/>
      <c r="M3377" s="109"/>
      <c r="N3377" s="109"/>
      <c r="Q3377" s="121"/>
      <c r="W3377" s="109"/>
    </row>
    <row r="3378" spans="1:23" ht="12.75" hidden="1">
      <c r="A3378" s="109"/>
      <c r="B3378" s="109"/>
      <c r="C3378" s="109"/>
      <c r="D3378" s="109"/>
      <c r="E3378" s="109"/>
      <c r="F3378" s="109"/>
      <c r="G3378" s="109"/>
      <c r="H3378" s="109"/>
      <c r="I3378" s="109"/>
      <c r="J3378" s="109"/>
      <c r="L3378" s="109"/>
      <c r="M3378" s="109"/>
      <c r="N3378" s="109"/>
      <c r="Q3378" s="121"/>
      <c r="W3378" s="109"/>
    </row>
    <row r="3379" spans="1:23" ht="12.75" hidden="1">
      <c r="A3379" s="109"/>
      <c r="B3379" s="109"/>
      <c r="C3379" s="109"/>
      <c r="D3379" s="109"/>
      <c r="E3379" s="109"/>
      <c r="F3379" s="109"/>
      <c r="G3379" s="109"/>
      <c r="H3379" s="109"/>
      <c r="I3379" s="109"/>
      <c r="J3379" s="109"/>
      <c r="L3379" s="109"/>
      <c r="M3379" s="109"/>
      <c r="N3379" s="109"/>
      <c r="Q3379" s="121"/>
      <c r="W3379" s="109"/>
    </row>
    <row r="3380" spans="1:23" ht="12.75" hidden="1">
      <c r="A3380" s="109"/>
      <c r="B3380" s="109"/>
      <c r="C3380" s="109"/>
      <c r="D3380" s="109"/>
      <c r="E3380" s="109"/>
      <c r="F3380" s="109"/>
      <c r="G3380" s="109"/>
      <c r="H3380" s="109"/>
      <c r="I3380" s="109"/>
      <c r="J3380" s="109"/>
      <c r="L3380" s="109"/>
      <c r="M3380" s="109"/>
      <c r="N3380" s="109"/>
      <c r="Q3380" s="121"/>
      <c r="W3380" s="109"/>
    </row>
    <row r="3381" spans="1:23" ht="12.75" hidden="1">
      <c r="A3381" s="109"/>
      <c r="B3381" s="109"/>
      <c r="C3381" s="109"/>
      <c r="D3381" s="109"/>
      <c r="E3381" s="109"/>
      <c r="F3381" s="109"/>
      <c r="G3381" s="109"/>
      <c r="H3381" s="109"/>
      <c r="I3381" s="109"/>
      <c r="J3381" s="109"/>
      <c r="L3381" s="109"/>
      <c r="M3381" s="109"/>
      <c r="N3381" s="109"/>
      <c r="Q3381" s="121"/>
      <c r="W3381" s="109"/>
    </row>
    <row r="3382" spans="1:23" ht="12.75" hidden="1">
      <c r="A3382" s="109"/>
      <c r="B3382" s="109"/>
      <c r="C3382" s="109"/>
      <c r="D3382" s="109"/>
      <c r="E3382" s="109"/>
      <c r="F3382" s="109"/>
      <c r="G3382" s="109"/>
      <c r="H3382" s="109"/>
      <c r="I3382" s="109"/>
      <c r="J3382" s="109"/>
      <c r="L3382" s="109"/>
      <c r="M3382" s="109"/>
      <c r="N3382" s="109"/>
      <c r="Q3382" s="121"/>
      <c r="W3382" s="109"/>
    </row>
    <row r="3383" spans="1:23" ht="12.75" hidden="1">
      <c r="A3383" s="109"/>
      <c r="B3383" s="109"/>
      <c r="C3383" s="109"/>
      <c r="D3383" s="109"/>
      <c r="E3383" s="109"/>
      <c r="F3383" s="109"/>
      <c r="G3383" s="109"/>
      <c r="H3383" s="109"/>
      <c r="I3383" s="109"/>
      <c r="J3383" s="109"/>
      <c r="L3383" s="109"/>
      <c r="M3383" s="109"/>
      <c r="N3383" s="109"/>
      <c r="Q3383" s="121"/>
      <c r="W3383" s="109"/>
    </row>
    <row r="3384" spans="1:23" ht="12.75" hidden="1">
      <c r="A3384" s="109"/>
      <c r="B3384" s="109"/>
      <c r="C3384" s="109"/>
      <c r="D3384" s="109"/>
      <c r="E3384" s="109"/>
      <c r="F3384" s="109"/>
      <c r="G3384" s="109"/>
      <c r="H3384" s="109"/>
      <c r="I3384" s="109"/>
      <c r="J3384" s="109"/>
      <c r="L3384" s="109"/>
      <c r="M3384" s="109"/>
      <c r="N3384" s="109"/>
      <c r="Q3384" s="121"/>
      <c r="W3384" s="109"/>
    </row>
    <row r="3385" spans="1:23" ht="12.75" hidden="1">
      <c r="A3385" s="109"/>
      <c r="B3385" s="109"/>
      <c r="C3385" s="109"/>
      <c r="D3385" s="109"/>
      <c r="E3385" s="109"/>
      <c r="F3385" s="109"/>
      <c r="G3385" s="109"/>
      <c r="H3385" s="109"/>
      <c r="I3385" s="109"/>
      <c r="J3385" s="109"/>
      <c r="L3385" s="109"/>
      <c r="M3385" s="109"/>
      <c r="N3385" s="109"/>
      <c r="Q3385" s="121"/>
      <c r="W3385" s="109"/>
    </row>
    <row r="3386" spans="1:23" ht="12.75" hidden="1">
      <c r="A3386" s="109"/>
      <c r="B3386" s="109"/>
      <c r="C3386" s="109"/>
      <c r="D3386" s="109"/>
      <c r="E3386" s="109"/>
      <c r="F3386" s="109"/>
      <c r="G3386" s="109"/>
      <c r="H3386" s="109"/>
      <c r="I3386" s="109"/>
      <c r="J3386" s="109"/>
      <c r="L3386" s="109"/>
      <c r="M3386" s="109"/>
      <c r="N3386" s="109"/>
      <c r="Q3386" s="121"/>
      <c r="W3386" s="109"/>
    </row>
    <row r="3387" spans="1:23" ht="12.75" hidden="1">
      <c r="A3387" s="109"/>
      <c r="B3387" s="109"/>
      <c r="C3387" s="109"/>
      <c r="D3387" s="109"/>
      <c r="E3387" s="109"/>
      <c r="F3387" s="109"/>
      <c r="G3387" s="109"/>
      <c r="H3387" s="109"/>
      <c r="I3387" s="109"/>
      <c r="J3387" s="109"/>
      <c r="L3387" s="109"/>
      <c r="M3387" s="109"/>
      <c r="N3387" s="109"/>
      <c r="Q3387" s="121"/>
      <c r="W3387" s="109"/>
    </row>
    <row r="3388" spans="1:23" ht="12.75" hidden="1">
      <c r="A3388" s="109"/>
      <c r="B3388" s="109"/>
      <c r="C3388" s="109"/>
      <c r="D3388" s="109"/>
      <c r="E3388" s="109"/>
      <c r="F3388" s="109"/>
      <c r="G3388" s="109"/>
      <c r="H3388" s="109"/>
      <c r="I3388" s="109"/>
      <c r="J3388" s="109"/>
      <c r="L3388" s="109"/>
      <c r="M3388" s="109"/>
      <c r="N3388" s="109"/>
      <c r="Q3388" s="121"/>
      <c r="W3388" s="109"/>
    </row>
    <row r="3389" spans="1:23" ht="12.75" hidden="1">
      <c r="A3389" s="109"/>
      <c r="B3389" s="109"/>
      <c r="C3389" s="109"/>
      <c r="D3389" s="109"/>
      <c r="E3389" s="109"/>
      <c r="F3389" s="109"/>
      <c r="G3389" s="109"/>
      <c r="H3389" s="109"/>
      <c r="I3389" s="109"/>
      <c r="J3389" s="109"/>
      <c r="L3389" s="109"/>
      <c r="M3389" s="109"/>
      <c r="N3389" s="109"/>
      <c r="Q3389" s="121"/>
      <c r="W3389" s="109"/>
    </row>
    <row r="3390" spans="1:23" ht="12.75" hidden="1">
      <c r="A3390" s="109"/>
      <c r="B3390" s="109"/>
      <c r="C3390" s="109"/>
      <c r="D3390" s="109"/>
      <c r="E3390" s="109"/>
      <c r="F3390" s="109"/>
      <c r="G3390" s="109"/>
      <c r="H3390" s="109"/>
      <c r="I3390" s="109"/>
      <c r="J3390" s="109"/>
      <c r="L3390" s="109"/>
      <c r="M3390" s="109"/>
      <c r="N3390" s="109"/>
      <c r="Q3390" s="121"/>
      <c r="W3390" s="109"/>
    </row>
    <row r="3391" spans="1:23" ht="12.75" hidden="1">
      <c r="A3391" s="109"/>
      <c r="B3391" s="109"/>
      <c r="C3391" s="109"/>
      <c r="D3391" s="109"/>
      <c r="E3391" s="109"/>
      <c r="F3391" s="109"/>
      <c r="G3391" s="109"/>
      <c r="H3391" s="109"/>
      <c r="I3391" s="109"/>
      <c r="J3391" s="109"/>
      <c r="L3391" s="109"/>
      <c r="M3391" s="109"/>
      <c r="N3391" s="109"/>
      <c r="Q3391" s="121"/>
      <c r="W3391" s="109"/>
    </row>
    <row r="3392" spans="1:23" ht="12.75" hidden="1">
      <c r="A3392" s="109"/>
      <c r="B3392" s="109"/>
      <c r="C3392" s="109"/>
      <c r="D3392" s="109"/>
      <c r="E3392" s="109"/>
      <c r="F3392" s="109"/>
      <c r="G3392" s="109"/>
      <c r="H3392" s="109"/>
      <c r="I3392" s="109"/>
      <c r="J3392" s="109"/>
      <c r="L3392" s="109"/>
      <c r="M3392" s="109"/>
      <c r="N3392" s="109"/>
      <c r="Q3392" s="121"/>
      <c r="W3392" s="109"/>
    </row>
    <row r="3393" spans="1:23" ht="12.75" hidden="1">
      <c r="A3393" s="109"/>
      <c r="B3393" s="109"/>
      <c r="C3393" s="109"/>
      <c r="D3393" s="109"/>
      <c r="E3393" s="109"/>
      <c r="F3393" s="109"/>
      <c r="G3393" s="109"/>
      <c r="H3393" s="109"/>
      <c r="I3393" s="109"/>
      <c r="J3393" s="109"/>
      <c r="L3393" s="109"/>
      <c r="M3393" s="109"/>
      <c r="N3393" s="109"/>
      <c r="Q3393" s="121"/>
      <c r="W3393" s="109"/>
    </row>
    <row r="3394" spans="1:23" ht="12.75" hidden="1">
      <c r="A3394" s="109"/>
      <c r="B3394" s="109"/>
      <c r="C3394" s="109"/>
      <c r="D3394" s="109"/>
      <c r="E3394" s="109"/>
      <c r="F3394" s="109"/>
      <c r="G3394" s="109"/>
      <c r="H3394" s="109"/>
      <c r="I3394" s="109"/>
      <c r="J3394" s="109"/>
      <c r="L3394" s="109"/>
      <c r="M3394" s="109"/>
      <c r="N3394" s="109"/>
      <c r="Q3394" s="121"/>
      <c r="W3394" s="109"/>
    </row>
    <row r="3395" spans="1:23" ht="12.75" hidden="1">
      <c r="A3395" s="109"/>
      <c r="B3395" s="109"/>
      <c r="C3395" s="109"/>
      <c r="D3395" s="109"/>
      <c r="E3395" s="109"/>
      <c r="F3395" s="109"/>
      <c r="G3395" s="109"/>
      <c r="H3395" s="109"/>
      <c r="I3395" s="109"/>
      <c r="J3395" s="109"/>
      <c r="L3395" s="109"/>
      <c r="M3395" s="109"/>
      <c r="N3395" s="109"/>
      <c r="Q3395" s="121"/>
      <c r="W3395" s="109"/>
    </row>
    <row r="3396" spans="1:23" ht="12.75" hidden="1">
      <c r="A3396" s="109"/>
      <c r="B3396" s="109"/>
      <c r="C3396" s="109"/>
      <c r="D3396" s="109"/>
      <c r="E3396" s="109"/>
      <c r="F3396" s="109"/>
      <c r="G3396" s="109"/>
      <c r="H3396" s="109"/>
      <c r="I3396" s="109"/>
      <c r="J3396" s="109"/>
      <c r="L3396" s="109"/>
      <c r="M3396" s="109"/>
      <c r="N3396" s="109"/>
      <c r="Q3396" s="121"/>
      <c r="W3396" s="109"/>
    </row>
    <row r="3397" spans="1:23" ht="12.75" hidden="1">
      <c r="A3397" s="109"/>
      <c r="B3397" s="109"/>
      <c r="C3397" s="109"/>
      <c r="D3397" s="109"/>
      <c r="E3397" s="109"/>
      <c r="F3397" s="109"/>
      <c r="G3397" s="109"/>
      <c r="H3397" s="109"/>
      <c r="I3397" s="109"/>
      <c r="J3397" s="109"/>
      <c r="L3397" s="109"/>
      <c r="M3397" s="109"/>
      <c r="N3397" s="109"/>
      <c r="Q3397" s="121"/>
      <c r="W3397" s="109"/>
    </row>
    <row r="3398" spans="1:23" ht="12.75" hidden="1">
      <c r="A3398" s="109"/>
      <c r="B3398" s="109"/>
      <c r="C3398" s="109"/>
      <c r="D3398" s="109"/>
      <c r="E3398" s="109"/>
      <c r="F3398" s="109"/>
      <c r="G3398" s="109"/>
      <c r="H3398" s="109"/>
      <c r="I3398" s="109"/>
      <c r="J3398" s="109"/>
      <c r="L3398" s="109"/>
      <c r="M3398" s="109"/>
      <c r="N3398" s="109"/>
      <c r="Q3398" s="121"/>
      <c r="W3398" s="109"/>
    </row>
    <row r="3399" spans="1:23" ht="12.75" hidden="1">
      <c r="A3399" s="109"/>
      <c r="B3399" s="109"/>
      <c r="C3399" s="109"/>
      <c r="D3399" s="109"/>
      <c r="E3399" s="109"/>
      <c r="F3399" s="109"/>
      <c r="G3399" s="109"/>
      <c r="H3399" s="109"/>
      <c r="I3399" s="109"/>
      <c r="J3399" s="109"/>
      <c r="L3399" s="109"/>
      <c r="M3399" s="109"/>
      <c r="N3399" s="109"/>
      <c r="Q3399" s="121"/>
      <c r="W3399" s="109"/>
    </row>
    <row r="3400" spans="1:23" ht="12.75" hidden="1">
      <c r="A3400" s="109"/>
      <c r="B3400" s="109"/>
      <c r="C3400" s="109"/>
      <c r="D3400" s="109"/>
      <c r="E3400" s="109"/>
      <c r="F3400" s="109"/>
      <c r="G3400" s="109"/>
      <c r="H3400" s="109"/>
      <c r="I3400" s="109"/>
      <c r="J3400" s="109"/>
      <c r="L3400" s="109"/>
      <c r="M3400" s="109"/>
      <c r="N3400" s="109"/>
      <c r="Q3400" s="121"/>
      <c r="W3400" s="109"/>
    </row>
    <row r="3401" spans="1:23" ht="12.75" hidden="1">
      <c r="A3401" s="109"/>
      <c r="B3401" s="109"/>
      <c r="C3401" s="109"/>
      <c r="D3401" s="109"/>
      <c r="E3401" s="109"/>
      <c r="F3401" s="109"/>
      <c r="G3401" s="109"/>
      <c r="H3401" s="109"/>
      <c r="I3401" s="109"/>
      <c r="J3401" s="109"/>
      <c r="L3401" s="109"/>
      <c r="M3401" s="109"/>
      <c r="N3401" s="109"/>
      <c r="Q3401" s="121"/>
      <c r="W3401" s="109"/>
    </row>
    <row r="3402" spans="1:23" ht="12.75" hidden="1">
      <c r="A3402" s="109"/>
      <c r="B3402" s="109"/>
      <c r="C3402" s="109"/>
      <c r="D3402" s="109"/>
      <c r="E3402" s="109"/>
      <c r="F3402" s="109"/>
      <c r="G3402" s="109"/>
      <c r="H3402" s="109"/>
      <c r="I3402" s="109"/>
      <c r="J3402" s="109"/>
      <c r="L3402" s="109"/>
      <c r="M3402" s="109"/>
      <c r="N3402" s="109"/>
      <c r="Q3402" s="121"/>
      <c r="W3402" s="109"/>
    </row>
    <row r="3403" spans="1:23" ht="12.75" hidden="1">
      <c r="A3403" s="109"/>
      <c r="B3403" s="109"/>
      <c r="C3403" s="109"/>
      <c r="D3403" s="109"/>
      <c r="E3403" s="109"/>
      <c r="F3403" s="109"/>
      <c r="G3403" s="109"/>
      <c r="H3403" s="109"/>
      <c r="I3403" s="109"/>
      <c r="J3403" s="109"/>
      <c r="L3403" s="109"/>
      <c r="M3403" s="109"/>
      <c r="N3403" s="109"/>
      <c r="Q3403" s="121"/>
      <c r="W3403" s="109"/>
    </row>
    <row r="3404" spans="1:23" ht="12.75" hidden="1">
      <c r="A3404" s="109"/>
      <c r="B3404" s="109"/>
      <c r="C3404" s="109"/>
      <c r="D3404" s="109"/>
      <c r="E3404" s="109"/>
      <c r="F3404" s="109"/>
      <c r="G3404" s="109"/>
      <c r="H3404" s="109"/>
      <c r="I3404" s="109"/>
      <c r="J3404" s="109"/>
      <c r="L3404" s="109"/>
      <c r="M3404" s="109"/>
      <c r="N3404" s="109"/>
      <c r="Q3404" s="121"/>
      <c r="W3404" s="109"/>
    </row>
    <row r="3405" spans="1:23" ht="12.75" hidden="1">
      <c r="A3405" s="109"/>
      <c r="B3405" s="109"/>
      <c r="C3405" s="109"/>
      <c r="D3405" s="109"/>
      <c r="E3405" s="109"/>
      <c r="F3405" s="109"/>
      <c r="G3405" s="109"/>
      <c r="H3405" s="109"/>
      <c r="I3405" s="109"/>
      <c r="J3405" s="109"/>
      <c r="L3405" s="109"/>
      <c r="M3405" s="109"/>
      <c r="N3405" s="109"/>
      <c r="Q3405" s="121"/>
      <c r="W3405" s="109"/>
    </row>
    <row r="3406" spans="1:23" ht="12.75" hidden="1">
      <c r="A3406" s="109"/>
      <c r="B3406" s="109"/>
      <c r="C3406" s="109"/>
      <c r="D3406" s="109"/>
      <c r="E3406" s="109"/>
      <c r="F3406" s="109"/>
      <c r="G3406" s="109"/>
      <c r="H3406" s="109"/>
      <c r="I3406" s="109"/>
      <c r="J3406" s="109"/>
      <c r="L3406" s="109"/>
      <c r="M3406" s="109"/>
      <c r="N3406" s="109"/>
      <c r="Q3406" s="121"/>
      <c r="W3406" s="109"/>
    </row>
    <row r="3407" spans="1:23" ht="12.75" hidden="1">
      <c r="A3407" s="109"/>
      <c r="B3407" s="109"/>
      <c r="C3407" s="109"/>
      <c r="D3407" s="109"/>
      <c r="E3407" s="109"/>
      <c r="F3407" s="109"/>
      <c r="G3407" s="109"/>
      <c r="H3407" s="109"/>
      <c r="I3407" s="109"/>
      <c r="J3407" s="109"/>
      <c r="L3407" s="109"/>
      <c r="M3407" s="109"/>
      <c r="N3407" s="109"/>
      <c r="Q3407" s="121"/>
      <c r="W3407" s="109"/>
    </row>
    <row r="3408" spans="1:23" ht="12.75" hidden="1">
      <c r="A3408" s="109"/>
      <c r="B3408" s="109"/>
      <c r="C3408" s="109"/>
      <c r="D3408" s="109"/>
      <c r="E3408" s="109"/>
      <c r="F3408" s="109"/>
      <c r="G3408" s="109"/>
      <c r="H3408" s="109"/>
      <c r="I3408" s="109"/>
      <c r="J3408" s="109"/>
      <c r="L3408" s="109"/>
      <c r="M3408" s="109"/>
      <c r="N3408" s="109"/>
      <c r="Q3408" s="121"/>
      <c r="W3408" s="109"/>
    </row>
    <row r="3409" spans="1:23" ht="12.75" hidden="1">
      <c r="A3409" s="109"/>
      <c r="B3409" s="109"/>
      <c r="C3409" s="109"/>
      <c r="D3409" s="109"/>
      <c r="E3409" s="109"/>
      <c r="F3409" s="109"/>
      <c r="G3409" s="109"/>
      <c r="H3409" s="109"/>
      <c r="I3409" s="109"/>
      <c r="J3409" s="109"/>
      <c r="L3409" s="109"/>
      <c r="M3409" s="109"/>
      <c r="N3409" s="109"/>
      <c r="Q3409" s="121"/>
      <c r="W3409" s="109"/>
    </row>
    <row r="3410" spans="1:23" ht="12.75" hidden="1">
      <c r="A3410" s="109"/>
      <c r="B3410" s="109"/>
      <c r="C3410" s="109"/>
      <c r="D3410" s="109"/>
      <c r="E3410" s="109"/>
      <c r="F3410" s="109"/>
      <c r="G3410" s="109"/>
      <c r="H3410" s="109"/>
      <c r="I3410" s="109"/>
      <c r="J3410" s="109"/>
      <c r="L3410" s="109"/>
      <c r="M3410" s="109"/>
      <c r="N3410" s="109"/>
      <c r="Q3410" s="121"/>
      <c r="W3410" s="109"/>
    </row>
    <row r="3411" spans="1:23" ht="12.75" hidden="1">
      <c r="A3411" s="109"/>
      <c r="B3411" s="109"/>
      <c r="C3411" s="109"/>
      <c r="D3411" s="109"/>
      <c r="E3411" s="109"/>
      <c r="F3411" s="109"/>
      <c r="G3411" s="109"/>
      <c r="H3411" s="109"/>
      <c r="I3411" s="109"/>
      <c r="J3411" s="109"/>
      <c r="L3411" s="109"/>
      <c r="M3411" s="109"/>
      <c r="N3411" s="109"/>
      <c r="Q3411" s="121"/>
      <c r="W3411" s="109"/>
    </row>
    <row r="3412" spans="1:23" ht="12.75" hidden="1">
      <c r="A3412" s="109"/>
      <c r="B3412" s="109"/>
      <c r="C3412" s="109"/>
      <c r="D3412" s="109"/>
      <c r="E3412" s="109"/>
      <c r="F3412" s="109"/>
      <c r="G3412" s="109"/>
      <c r="H3412" s="109"/>
      <c r="I3412" s="109"/>
      <c r="J3412" s="109"/>
      <c r="L3412" s="109"/>
      <c r="M3412" s="109"/>
      <c r="N3412" s="109"/>
      <c r="Q3412" s="121"/>
      <c r="W3412" s="109"/>
    </row>
    <row r="3413" spans="1:23" ht="12.75" hidden="1">
      <c r="A3413" s="109"/>
      <c r="B3413" s="109"/>
      <c r="C3413" s="109"/>
      <c r="D3413" s="109"/>
      <c r="E3413" s="109"/>
      <c r="F3413" s="109"/>
      <c r="G3413" s="109"/>
      <c r="H3413" s="109"/>
      <c r="I3413" s="109"/>
      <c r="J3413" s="109"/>
      <c r="L3413" s="109"/>
      <c r="M3413" s="109"/>
      <c r="N3413" s="109"/>
      <c r="Q3413" s="121"/>
      <c r="W3413" s="109"/>
    </row>
    <row r="3414" spans="1:23" ht="12.75" hidden="1">
      <c r="A3414" s="109"/>
      <c r="B3414" s="109"/>
      <c r="C3414" s="109"/>
      <c r="D3414" s="109"/>
      <c r="E3414" s="109"/>
      <c r="F3414" s="109"/>
      <c r="G3414" s="109"/>
      <c r="H3414" s="109"/>
      <c r="I3414" s="109"/>
      <c r="J3414" s="109"/>
      <c r="L3414" s="109"/>
      <c r="M3414" s="109"/>
      <c r="N3414" s="109"/>
      <c r="Q3414" s="121"/>
      <c r="W3414" s="109"/>
    </row>
    <row r="3415" spans="1:23" ht="12.75" hidden="1">
      <c r="A3415" s="109"/>
      <c r="B3415" s="109"/>
      <c r="C3415" s="109"/>
      <c r="D3415" s="109"/>
      <c r="E3415" s="109"/>
      <c r="F3415" s="109"/>
      <c r="G3415" s="109"/>
      <c r="H3415" s="109"/>
      <c r="I3415" s="109"/>
      <c r="J3415" s="109"/>
      <c r="L3415" s="109"/>
      <c r="M3415" s="109"/>
      <c r="N3415" s="109"/>
      <c r="Q3415" s="121"/>
      <c r="W3415" s="109"/>
    </row>
    <row r="3416" spans="1:23" ht="12.75" hidden="1">
      <c r="A3416" s="109"/>
      <c r="B3416" s="109"/>
      <c r="C3416" s="109"/>
      <c r="D3416" s="109"/>
      <c r="E3416" s="109"/>
      <c r="F3416" s="109"/>
      <c r="G3416" s="109"/>
      <c r="H3416" s="109"/>
      <c r="I3416" s="109"/>
      <c r="J3416" s="109"/>
      <c r="L3416" s="109"/>
      <c r="M3416" s="109"/>
      <c r="N3416" s="109"/>
      <c r="Q3416" s="121"/>
      <c r="W3416" s="109"/>
    </row>
    <row r="3417" spans="1:23" ht="12.75" hidden="1">
      <c r="A3417" s="109"/>
      <c r="B3417" s="109"/>
      <c r="C3417" s="109"/>
      <c r="D3417" s="109"/>
      <c r="E3417" s="109"/>
      <c r="F3417" s="109"/>
      <c r="G3417" s="109"/>
      <c r="H3417" s="109"/>
      <c r="I3417" s="109"/>
      <c r="J3417" s="109"/>
      <c r="L3417" s="109"/>
      <c r="M3417" s="109"/>
      <c r="N3417" s="109"/>
      <c r="Q3417" s="121"/>
      <c r="W3417" s="109"/>
    </row>
    <row r="3418" spans="1:23" ht="12.75" hidden="1">
      <c r="A3418" s="109"/>
      <c r="B3418" s="109"/>
      <c r="C3418" s="109"/>
      <c r="D3418" s="109"/>
      <c r="E3418" s="109"/>
      <c r="F3418" s="109"/>
      <c r="G3418" s="109"/>
      <c r="H3418" s="109"/>
      <c r="I3418" s="109"/>
      <c r="J3418" s="109"/>
      <c r="L3418" s="109"/>
      <c r="M3418" s="109"/>
      <c r="N3418" s="109"/>
      <c r="Q3418" s="121"/>
      <c r="W3418" s="109"/>
    </row>
    <row r="3419" spans="1:23" ht="12.75" hidden="1">
      <c r="A3419" s="109"/>
      <c r="B3419" s="109"/>
      <c r="C3419" s="109"/>
      <c r="D3419" s="109"/>
      <c r="E3419" s="109"/>
      <c r="F3419" s="109"/>
      <c r="G3419" s="109"/>
      <c r="H3419" s="109"/>
      <c r="I3419" s="109"/>
      <c r="J3419" s="109"/>
      <c r="L3419" s="109"/>
      <c r="M3419" s="109"/>
      <c r="N3419" s="109"/>
      <c r="Q3419" s="121"/>
      <c r="W3419" s="109"/>
    </row>
    <row r="3420" spans="1:23" ht="12.75" hidden="1">
      <c r="A3420" s="109"/>
      <c r="B3420" s="109"/>
      <c r="C3420" s="109"/>
      <c r="D3420" s="109"/>
      <c r="E3420" s="109"/>
      <c r="F3420" s="109"/>
      <c r="G3420" s="109"/>
      <c r="H3420" s="109"/>
      <c r="I3420" s="109"/>
      <c r="J3420" s="109"/>
      <c r="L3420" s="109"/>
      <c r="M3420" s="109"/>
      <c r="N3420" s="109"/>
      <c r="Q3420" s="121"/>
      <c r="W3420" s="109"/>
    </row>
    <row r="3421" spans="1:23" ht="12.75" hidden="1">
      <c r="A3421" s="109"/>
      <c r="B3421" s="109"/>
      <c r="C3421" s="109"/>
      <c r="D3421" s="109"/>
      <c r="E3421" s="109"/>
      <c r="F3421" s="109"/>
      <c r="G3421" s="109"/>
      <c r="H3421" s="109"/>
      <c r="I3421" s="109"/>
      <c r="J3421" s="109"/>
      <c r="L3421" s="109"/>
      <c r="M3421" s="109"/>
      <c r="N3421" s="109"/>
      <c r="Q3421" s="121"/>
      <c r="W3421" s="109"/>
    </row>
    <row r="3422" spans="1:23" ht="12.75" hidden="1">
      <c r="A3422" s="109"/>
      <c r="B3422" s="109"/>
      <c r="C3422" s="109"/>
      <c r="D3422" s="109"/>
      <c r="E3422" s="109"/>
      <c r="F3422" s="109"/>
      <c r="G3422" s="109"/>
      <c r="H3422" s="109"/>
      <c r="I3422" s="109"/>
      <c r="J3422" s="109"/>
      <c r="L3422" s="109"/>
      <c r="M3422" s="109"/>
      <c r="N3422" s="109"/>
      <c r="Q3422" s="121"/>
      <c r="W3422" s="109"/>
    </row>
    <row r="3423" spans="1:23" ht="12.75" hidden="1">
      <c r="A3423" s="109"/>
      <c r="B3423" s="109"/>
      <c r="C3423" s="109"/>
      <c r="D3423" s="109"/>
      <c r="E3423" s="109"/>
      <c r="F3423" s="109"/>
      <c r="G3423" s="109"/>
      <c r="H3423" s="109"/>
      <c r="I3423" s="109"/>
      <c r="J3423" s="109"/>
      <c r="L3423" s="109"/>
      <c r="M3423" s="109"/>
      <c r="N3423" s="109"/>
      <c r="Q3423" s="121"/>
      <c r="W3423" s="109"/>
    </row>
    <row r="3424" spans="1:23" ht="12.75" hidden="1">
      <c r="A3424" s="109"/>
      <c r="B3424" s="109"/>
      <c r="C3424" s="109"/>
      <c r="D3424" s="109"/>
      <c r="E3424" s="109"/>
      <c r="F3424" s="109"/>
      <c r="G3424" s="109"/>
      <c r="H3424" s="109"/>
      <c r="I3424" s="109"/>
      <c r="J3424" s="109"/>
      <c r="L3424" s="109"/>
      <c r="M3424" s="109"/>
      <c r="N3424" s="109"/>
      <c r="Q3424" s="121"/>
      <c r="W3424" s="109"/>
    </row>
    <row r="3425" spans="1:23" ht="12.75" hidden="1">
      <c r="A3425" s="109"/>
      <c r="B3425" s="109"/>
      <c r="C3425" s="109"/>
      <c r="D3425" s="109"/>
      <c r="E3425" s="109"/>
      <c r="F3425" s="109"/>
      <c r="G3425" s="109"/>
      <c r="H3425" s="109"/>
      <c r="I3425" s="109"/>
      <c r="J3425" s="109"/>
      <c r="L3425" s="109"/>
      <c r="M3425" s="109"/>
      <c r="N3425" s="109"/>
      <c r="Q3425" s="121"/>
      <c r="W3425" s="109"/>
    </row>
    <row r="3426" spans="1:23" ht="12.75" hidden="1">
      <c r="A3426" s="109"/>
      <c r="B3426" s="109"/>
      <c r="C3426" s="109"/>
      <c r="D3426" s="109"/>
      <c r="E3426" s="109"/>
      <c r="F3426" s="109"/>
      <c r="G3426" s="109"/>
      <c r="H3426" s="109"/>
      <c r="I3426" s="109"/>
      <c r="J3426" s="109"/>
      <c r="L3426" s="109"/>
      <c r="M3426" s="109"/>
      <c r="N3426" s="109"/>
      <c r="Q3426" s="121"/>
      <c r="W3426" s="109"/>
    </row>
    <row r="3427" spans="1:23" ht="12.75" hidden="1">
      <c r="A3427" s="109"/>
      <c r="B3427" s="109"/>
      <c r="C3427" s="109"/>
      <c r="D3427" s="109"/>
      <c r="E3427" s="109"/>
      <c r="F3427" s="109"/>
      <c r="G3427" s="109"/>
      <c r="H3427" s="109"/>
      <c r="I3427" s="109"/>
      <c r="J3427" s="109"/>
      <c r="L3427" s="109"/>
      <c r="M3427" s="109"/>
      <c r="N3427" s="109"/>
      <c r="Q3427" s="121"/>
      <c r="W3427" s="109"/>
    </row>
    <row r="3428" spans="1:23" ht="12.75" hidden="1">
      <c r="A3428" s="109"/>
      <c r="B3428" s="109"/>
      <c r="C3428" s="109"/>
      <c r="D3428" s="109"/>
      <c r="E3428" s="109"/>
      <c r="F3428" s="109"/>
      <c r="G3428" s="109"/>
      <c r="H3428" s="109"/>
      <c r="I3428" s="109"/>
      <c r="J3428" s="109"/>
      <c r="L3428" s="109"/>
      <c r="M3428" s="109"/>
      <c r="N3428" s="109"/>
      <c r="Q3428" s="121"/>
      <c r="W3428" s="109"/>
    </row>
    <row r="3429" spans="1:23" ht="12.75" hidden="1">
      <c r="A3429" s="109"/>
      <c r="B3429" s="109"/>
      <c r="C3429" s="109"/>
      <c r="D3429" s="109"/>
      <c r="E3429" s="109"/>
      <c r="F3429" s="109"/>
      <c r="G3429" s="109"/>
      <c r="H3429" s="109"/>
      <c r="I3429" s="109"/>
      <c r="J3429" s="109"/>
      <c r="L3429" s="109"/>
      <c r="M3429" s="109"/>
      <c r="N3429" s="109"/>
      <c r="Q3429" s="121"/>
      <c r="W3429" s="109"/>
    </row>
    <row r="3430" spans="1:23" ht="12.75" hidden="1">
      <c r="A3430" s="109"/>
      <c r="B3430" s="109"/>
      <c r="C3430" s="109"/>
      <c r="D3430" s="109"/>
      <c r="E3430" s="109"/>
      <c r="F3430" s="109"/>
      <c r="G3430" s="109"/>
      <c r="H3430" s="109"/>
      <c r="I3430" s="109"/>
      <c r="J3430" s="109"/>
      <c r="L3430" s="109"/>
      <c r="M3430" s="109"/>
      <c r="N3430" s="109"/>
      <c r="Q3430" s="121"/>
      <c r="W3430" s="109"/>
    </row>
    <row r="3431" spans="1:23" ht="12.75" hidden="1">
      <c r="A3431" s="109"/>
      <c r="B3431" s="109"/>
      <c r="C3431" s="109"/>
      <c r="D3431" s="109"/>
      <c r="E3431" s="109"/>
      <c r="F3431" s="109"/>
      <c r="G3431" s="109"/>
      <c r="H3431" s="109"/>
      <c r="I3431" s="109"/>
      <c r="J3431" s="109"/>
      <c r="L3431" s="109"/>
      <c r="M3431" s="109"/>
      <c r="N3431" s="109"/>
      <c r="Q3431" s="121"/>
      <c r="W3431" s="109"/>
    </row>
    <row r="3432" spans="1:23" ht="12.75" hidden="1">
      <c r="A3432" s="109"/>
      <c r="B3432" s="109"/>
      <c r="C3432" s="109"/>
      <c r="D3432" s="109"/>
      <c r="E3432" s="109"/>
      <c r="F3432" s="109"/>
      <c r="G3432" s="109"/>
      <c r="H3432" s="109"/>
      <c r="I3432" s="109"/>
      <c r="J3432" s="109"/>
      <c r="L3432" s="109"/>
      <c r="M3432" s="109"/>
      <c r="N3432" s="109"/>
      <c r="Q3432" s="121"/>
      <c r="W3432" s="109"/>
    </row>
    <row r="3433" spans="1:23" ht="12.75" hidden="1">
      <c r="A3433" s="109"/>
      <c r="B3433" s="109"/>
      <c r="C3433" s="109"/>
      <c r="D3433" s="109"/>
      <c r="E3433" s="109"/>
      <c r="F3433" s="109"/>
      <c r="G3433" s="109"/>
      <c r="H3433" s="109"/>
      <c r="I3433" s="109"/>
      <c r="J3433" s="109"/>
      <c r="L3433" s="109"/>
      <c r="M3433" s="109"/>
      <c r="N3433" s="109"/>
      <c r="Q3433" s="121"/>
      <c r="W3433" s="109"/>
    </row>
    <row r="3434" spans="1:23" ht="12.75" hidden="1">
      <c r="A3434" s="109"/>
      <c r="B3434" s="109"/>
      <c r="C3434" s="109"/>
      <c r="D3434" s="109"/>
      <c r="E3434" s="109"/>
      <c r="F3434" s="109"/>
      <c r="G3434" s="109"/>
      <c r="H3434" s="109"/>
      <c r="I3434" s="109"/>
      <c r="J3434" s="109"/>
      <c r="L3434" s="109"/>
      <c r="M3434" s="109"/>
      <c r="N3434" s="109"/>
      <c r="Q3434" s="121"/>
      <c r="W3434" s="109"/>
    </row>
    <row r="3435" spans="1:23" ht="12.75" hidden="1">
      <c r="A3435" s="109"/>
      <c r="B3435" s="109"/>
      <c r="C3435" s="109"/>
      <c r="D3435" s="109"/>
      <c r="E3435" s="109"/>
      <c r="F3435" s="109"/>
      <c r="G3435" s="109"/>
      <c r="H3435" s="109"/>
      <c r="I3435" s="109"/>
      <c r="J3435" s="109"/>
      <c r="L3435" s="109"/>
      <c r="M3435" s="109"/>
      <c r="N3435" s="109"/>
      <c r="Q3435" s="121"/>
      <c r="W3435" s="109"/>
    </row>
    <row r="3436" spans="1:23" ht="12.75" hidden="1">
      <c r="A3436" s="109"/>
      <c r="B3436" s="109"/>
      <c r="C3436" s="109"/>
      <c r="D3436" s="109"/>
      <c r="E3436" s="109"/>
      <c r="F3436" s="109"/>
      <c r="G3436" s="109"/>
      <c r="H3436" s="109"/>
      <c r="I3436" s="109"/>
      <c r="J3436" s="109"/>
      <c r="L3436" s="109"/>
      <c r="M3436" s="109"/>
      <c r="N3436" s="109"/>
      <c r="Q3436" s="121"/>
      <c r="W3436" s="109"/>
    </row>
    <row r="3437" spans="1:23" ht="12.75" hidden="1">
      <c r="A3437" s="109"/>
      <c r="B3437" s="109"/>
      <c r="C3437" s="109"/>
      <c r="D3437" s="109"/>
      <c r="E3437" s="109"/>
      <c r="F3437" s="109"/>
      <c r="G3437" s="109"/>
      <c r="H3437" s="109"/>
      <c r="I3437" s="109"/>
      <c r="J3437" s="109"/>
      <c r="L3437" s="109"/>
      <c r="M3437" s="109"/>
      <c r="N3437" s="109"/>
      <c r="Q3437" s="121"/>
      <c r="W3437" s="109"/>
    </row>
    <row r="3438" spans="1:23" ht="12.75" hidden="1">
      <c r="A3438" s="109"/>
      <c r="B3438" s="109"/>
      <c r="C3438" s="109"/>
      <c r="D3438" s="109"/>
      <c r="E3438" s="109"/>
      <c r="F3438" s="109"/>
      <c r="G3438" s="109"/>
      <c r="H3438" s="109"/>
      <c r="I3438" s="109"/>
      <c r="J3438" s="109"/>
      <c r="L3438" s="109"/>
      <c r="M3438" s="109"/>
      <c r="N3438" s="109"/>
      <c r="Q3438" s="121"/>
      <c r="W3438" s="109"/>
    </row>
    <row r="3439" spans="1:23" ht="12.75" hidden="1">
      <c r="A3439" s="109"/>
      <c r="B3439" s="109"/>
      <c r="C3439" s="109"/>
      <c r="D3439" s="109"/>
      <c r="E3439" s="109"/>
      <c r="F3439" s="109"/>
      <c r="G3439" s="109"/>
      <c r="H3439" s="109"/>
      <c r="I3439" s="109"/>
      <c r="J3439" s="109"/>
      <c r="L3439" s="109"/>
      <c r="M3439" s="109"/>
      <c r="N3439" s="109"/>
      <c r="Q3439" s="121"/>
      <c r="W3439" s="109"/>
    </row>
    <row r="3440" spans="1:23" ht="12.75" hidden="1">
      <c r="A3440" s="109"/>
      <c r="B3440" s="109"/>
      <c r="C3440" s="109"/>
      <c r="D3440" s="109"/>
      <c r="E3440" s="109"/>
      <c r="F3440" s="109"/>
      <c r="G3440" s="109"/>
      <c r="H3440" s="109"/>
      <c r="I3440" s="109"/>
      <c r="J3440" s="109"/>
      <c r="L3440" s="109"/>
      <c r="M3440" s="109"/>
      <c r="N3440" s="109"/>
      <c r="Q3440" s="121"/>
      <c r="W3440" s="109"/>
    </row>
    <row r="3441" spans="1:23" ht="12.75" hidden="1">
      <c r="A3441" s="109"/>
      <c r="B3441" s="109"/>
      <c r="C3441" s="109"/>
      <c r="D3441" s="109"/>
      <c r="E3441" s="109"/>
      <c r="F3441" s="109"/>
      <c r="G3441" s="109"/>
      <c r="H3441" s="109"/>
      <c r="I3441" s="109"/>
      <c r="J3441" s="109"/>
      <c r="L3441" s="109"/>
      <c r="M3441" s="109"/>
      <c r="N3441" s="109"/>
      <c r="Q3441" s="121"/>
      <c r="W3441" s="109"/>
    </row>
    <row r="3442" spans="1:23" ht="12.75" hidden="1">
      <c r="A3442" s="109"/>
      <c r="B3442" s="109"/>
      <c r="C3442" s="109"/>
      <c r="D3442" s="109"/>
      <c r="E3442" s="109"/>
      <c r="F3442" s="109"/>
      <c r="G3442" s="109"/>
      <c r="H3442" s="109"/>
      <c r="I3442" s="109"/>
      <c r="J3442" s="109"/>
      <c r="L3442" s="109"/>
      <c r="M3442" s="109"/>
      <c r="N3442" s="109"/>
      <c r="Q3442" s="121"/>
      <c r="W3442" s="109"/>
    </row>
    <row r="3443" spans="1:23" ht="12.75" hidden="1">
      <c r="A3443" s="109"/>
      <c r="B3443" s="109"/>
      <c r="C3443" s="109"/>
      <c r="D3443" s="109"/>
      <c r="E3443" s="109"/>
      <c r="F3443" s="109"/>
      <c r="G3443" s="109"/>
      <c r="H3443" s="109"/>
      <c r="I3443" s="109"/>
      <c r="J3443" s="109"/>
      <c r="L3443" s="109"/>
      <c r="M3443" s="109"/>
      <c r="N3443" s="109"/>
      <c r="Q3443" s="121"/>
      <c r="W3443" s="109"/>
    </row>
    <row r="3444" spans="1:23" ht="12.75" hidden="1">
      <c r="A3444" s="109"/>
      <c r="B3444" s="109"/>
      <c r="C3444" s="109"/>
      <c r="D3444" s="109"/>
      <c r="E3444" s="109"/>
      <c r="F3444" s="109"/>
      <c r="G3444" s="109"/>
      <c r="H3444" s="109"/>
      <c r="I3444" s="109"/>
      <c r="J3444" s="109"/>
      <c r="L3444" s="109"/>
      <c r="M3444" s="109"/>
      <c r="N3444" s="109"/>
      <c r="Q3444" s="121"/>
      <c r="W3444" s="109"/>
    </row>
    <row r="3445" spans="1:23" ht="12.75" hidden="1">
      <c r="A3445" s="109"/>
      <c r="B3445" s="109"/>
      <c r="C3445" s="109"/>
      <c r="D3445" s="109"/>
      <c r="E3445" s="109"/>
      <c r="F3445" s="109"/>
      <c r="G3445" s="109"/>
      <c r="H3445" s="109"/>
      <c r="I3445" s="109"/>
      <c r="J3445" s="109"/>
      <c r="L3445" s="109"/>
      <c r="M3445" s="109"/>
      <c r="N3445" s="109"/>
      <c r="Q3445" s="121"/>
      <c r="W3445" s="109"/>
    </row>
    <row r="3446" spans="1:23" ht="12.75" hidden="1">
      <c r="A3446" s="109"/>
      <c r="B3446" s="109"/>
      <c r="C3446" s="109"/>
      <c r="D3446" s="109"/>
      <c r="E3446" s="109"/>
      <c r="F3446" s="109"/>
      <c r="G3446" s="109"/>
      <c r="H3446" s="109"/>
      <c r="I3446" s="109"/>
      <c r="J3446" s="109"/>
      <c r="L3446" s="109"/>
      <c r="M3446" s="109"/>
      <c r="N3446" s="109"/>
      <c r="Q3446" s="121"/>
      <c r="W3446" s="109"/>
    </row>
    <row r="3447" spans="1:23" ht="12.75" hidden="1">
      <c r="A3447" s="109"/>
      <c r="B3447" s="109"/>
      <c r="C3447" s="109"/>
      <c r="D3447" s="109"/>
      <c r="E3447" s="109"/>
      <c r="F3447" s="109"/>
      <c r="G3447" s="109"/>
      <c r="H3447" s="109"/>
      <c r="I3447" s="109"/>
      <c r="J3447" s="109"/>
      <c r="L3447" s="109"/>
      <c r="M3447" s="109"/>
      <c r="N3447" s="109"/>
      <c r="Q3447" s="121"/>
      <c r="W3447" s="109"/>
    </row>
    <row r="3448" spans="1:23" ht="12.75" hidden="1">
      <c r="A3448" s="109"/>
      <c r="B3448" s="109"/>
      <c r="C3448" s="109"/>
      <c r="D3448" s="109"/>
      <c r="E3448" s="109"/>
      <c r="F3448" s="109"/>
      <c r="G3448" s="109"/>
      <c r="H3448" s="109"/>
      <c r="I3448" s="109"/>
      <c r="J3448" s="109"/>
      <c r="L3448" s="109"/>
      <c r="M3448" s="109"/>
      <c r="N3448" s="109"/>
      <c r="Q3448" s="121"/>
      <c r="W3448" s="109"/>
    </row>
    <row r="3449" spans="1:23" ht="12.75" hidden="1">
      <c r="A3449" s="109"/>
      <c r="B3449" s="109"/>
      <c r="C3449" s="109"/>
      <c r="D3449" s="109"/>
      <c r="E3449" s="109"/>
      <c r="F3449" s="109"/>
      <c r="G3449" s="109"/>
      <c r="H3449" s="109"/>
      <c r="I3449" s="109"/>
      <c r="J3449" s="109"/>
      <c r="L3449" s="109"/>
      <c r="M3449" s="109"/>
      <c r="N3449" s="109"/>
      <c r="Q3449" s="121"/>
      <c r="W3449" s="109"/>
    </row>
    <row r="3450" spans="1:23" ht="12.75" hidden="1">
      <c r="A3450" s="109"/>
      <c r="B3450" s="109"/>
      <c r="C3450" s="109"/>
      <c r="D3450" s="109"/>
      <c r="E3450" s="109"/>
      <c r="F3450" s="109"/>
      <c r="G3450" s="109"/>
      <c r="H3450" s="109"/>
      <c r="I3450" s="109"/>
      <c r="J3450" s="109"/>
      <c r="L3450" s="109"/>
      <c r="M3450" s="109"/>
      <c r="N3450" s="109"/>
      <c r="Q3450" s="121"/>
      <c r="W3450" s="109"/>
    </row>
    <row r="3451" spans="1:23" ht="12.75" hidden="1">
      <c r="A3451" s="109"/>
      <c r="B3451" s="109"/>
      <c r="C3451" s="109"/>
      <c r="D3451" s="109"/>
      <c r="E3451" s="109"/>
      <c r="F3451" s="109"/>
      <c r="G3451" s="109"/>
      <c r="H3451" s="109"/>
      <c r="I3451" s="109"/>
      <c r="J3451" s="109"/>
      <c r="L3451" s="109"/>
      <c r="M3451" s="109"/>
      <c r="N3451" s="109"/>
      <c r="Q3451" s="121"/>
      <c r="W3451" s="109"/>
    </row>
    <row r="3452" spans="1:23" ht="12.75" hidden="1">
      <c r="A3452" s="109"/>
      <c r="B3452" s="109"/>
      <c r="C3452" s="109"/>
      <c r="D3452" s="109"/>
      <c r="E3452" s="109"/>
      <c r="F3452" s="109"/>
      <c r="G3452" s="109"/>
      <c r="H3452" s="109"/>
      <c r="I3452" s="109"/>
      <c r="J3452" s="109"/>
      <c r="L3452" s="109"/>
      <c r="M3452" s="109"/>
      <c r="N3452" s="109"/>
      <c r="Q3452" s="121"/>
      <c r="W3452" s="109"/>
    </row>
    <row r="3453" spans="1:23" ht="12.75" hidden="1">
      <c r="A3453" s="109"/>
      <c r="B3453" s="109"/>
      <c r="C3453" s="109"/>
      <c r="D3453" s="109"/>
      <c r="E3453" s="109"/>
      <c r="F3453" s="109"/>
      <c r="G3453" s="109"/>
      <c r="H3453" s="109"/>
      <c r="I3453" s="109"/>
      <c r="J3453" s="109"/>
      <c r="L3453" s="109"/>
      <c r="M3453" s="109"/>
      <c r="N3453" s="109"/>
      <c r="Q3453" s="121"/>
      <c r="W3453" s="109"/>
    </row>
    <row r="3454" spans="1:23" ht="12.75" hidden="1">
      <c r="A3454" s="109"/>
      <c r="B3454" s="109"/>
      <c r="C3454" s="109"/>
      <c r="D3454" s="109"/>
      <c r="E3454" s="109"/>
      <c r="F3454" s="109"/>
      <c r="G3454" s="109"/>
      <c r="H3454" s="109"/>
      <c r="I3454" s="109"/>
      <c r="J3454" s="109"/>
      <c r="L3454" s="109"/>
      <c r="M3454" s="109"/>
      <c r="N3454" s="109"/>
      <c r="Q3454" s="121"/>
      <c r="W3454" s="109"/>
    </row>
    <row r="3455" spans="1:23" ht="12.75" hidden="1">
      <c r="A3455" s="109"/>
      <c r="B3455" s="109"/>
      <c r="C3455" s="109"/>
      <c r="D3455" s="109"/>
      <c r="E3455" s="109"/>
      <c r="F3455" s="109"/>
      <c r="G3455" s="109"/>
      <c r="H3455" s="109"/>
      <c r="I3455" s="109"/>
      <c r="J3455" s="109"/>
      <c r="L3455" s="109"/>
      <c r="M3455" s="109"/>
      <c r="N3455" s="109"/>
      <c r="Q3455" s="121"/>
      <c r="W3455" s="109"/>
    </row>
    <row r="3456" spans="1:23" ht="12.75" hidden="1">
      <c r="A3456" s="109"/>
      <c r="B3456" s="109"/>
      <c r="C3456" s="109"/>
      <c r="D3456" s="109"/>
      <c r="E3456" s="109"/>
      <c r="F3456" s="109"/>
      <c r="G3456" s="109"/>
      <c r="H3456" s="109"/>
      <c r="I3456" s="109"/>
      <c r="J3456" s="109"/>
      <c r="L3456" s="109"/>
      <c r="M3456" s="109"/>
      <c r="N3456" s="109"/>
      <c r="Q3456" s="121"/>
      <c r="W3456" s="109"/>
    </row>
    <row r="3457" spans="1:23" ht="12.75" hidden="1">
      <c r="A3457" s="109"/>
      <c r="B3457" s="109"/>
      <c r="C3457" s="109"/>
      <c r="D3457" s="109"/>
      <c r="E3457" s="109"/>
      <c r="F3457" s="109"/>
      <c r="G3457" s="109"/>
      <c r="H3457" s="109"/>
      <c r="I3457" s="109"/>
      <c r="J3457" s="109"/>
      <c r="L3457" s="109"/>
      <c r="M3457" s="109"/>
      <c r="N3457" s="109"/>
      <c r="Q3457" s="121"/>
      <c r="W3457" s="109"/>
    </row>
    <row r="3458" spans="1:23" ht="12.75" hidden="1">
      <c r="A3458" s="109"/>
      <c r="B3458" s="109"/>
      <c r="C3458" s="109"/>
      <c r="D3458" s="109"/>
      <c r="E3458" s="109"/>
      <c r="F3458" s="109"/>
      <c r="G3458" s="109"/>
      <c r="H3458" s="109"/>
      <c r="I3458" s="109"/>
      <c r="J3458" s="109"/>
      <c r="L3458" s="109"/>
      <c r="M3458" s="109"/>
      <c r="N3458" s="109"/>
      <c r="Q3458" s="121"/>
      <c r="W3458" s="109"/>
    </row>
    <row r="3459" spans="1:23" ht="12.75" hidden="1">
      <c r="A3459" s="109"/>
      <c r="B3459" s="109"/>
      <c r="C3459" s="109"/>
      <c r="D3459" s="109"/>
      <c r="E3459" s="109"/>
      <c r="F3459" s="109"/>
      <c r="G3459" s="109"/>
      <c r="H3459" s="109"/>
      <c r="I3459" s="109"/>
      <c r="J3459" s="109"/>
      <c r="L3459" s="109"/>
      <c r="M3459" s="109"/>
      <c r="N3459" s="109"/>
      <c r="Q3459" s="121"/>
      <c r="W3459" s="109"/>
    </row>
    <row r="3460" spans="1:23" ht="12.75" hidden="1">
      <c r="A3460" s="109"/>
      <c r="B3460" s="109"/>
      <c r="C3460" s="109"/>
      <c r="D3460" s="109"/>
      <c r="E3460" s="109"/>
      <c r="F3460" s="109"/>
      <c r="G3460" s="109"/>
      <c r="H3460" s="109"/>
      <c r="I3460" s="109"/>
      <c r="J3460" s="109"/>
      <c r="L3460" s="109"/>
      <c r="M3460" s="109"/>
      <c r="N3460" s="109"/>
      <c r="Q3460" s="121"/>
      <c r="W3460" s="109"/>
    </row>
    <row r="3461" spans="1:23" ht="12.75" hidden="1">
      <c r="A3461" s="109"/>
      <c r="B3461" s="109"/>
      <c r="C3461" s="109"/>
      <c r="D3461" s="109"/>
      <c r="E3461" s="109"/>
      <c r="F3461" s="109"/>
      <c r="G3461" s="109"/>
      <c r="H3461" s="109"/>
      <c r="I3461" s="109"/>
      <c r="J3461" s="109"/>
      <c r="L3461" s="109"/>
      <c r="M3461" s="109"/>
      <c r="N3461" s="109"/>
      <c r="Q3461" s="121"/>
      <c r="W3461" s="109"/>
    </row>
    <row r="3462" spans="1:23" ht="12.75" hidden="1">
      <c r="A3462" s="109"/>
      <c r="B3462" s="109"/>
      <c r="C3462" s="109"/>
      <c r="D3462" s="109"/>
      <c r="E3462" s="109"/>
      <c r="F3462" s="109"/>
      <c r="G3462" s="109"/>
      <c r="H3462" s="109"/>
      <c r="I3462" s="109"/>
      <c r="J3462" s="109"/>
      <c r="L3462" s="109"/>
      <c r="M3462" s="109"/>
      <c r="N3462" s="109"/>
      <c r="Q3462" s="121"/>
      <c r="W3462" s="109"/>
    </row>
    <row r="3463" spans="1:23" ht="12.75" hidden="1">
      <c r="A3463" s="109"/>
      <c r="B3463" s="109"/>
      <c r="C3463" s="109"/>
      <c r="D3463" s="109"/>
      <c r="E3463" s="109"/>
      <c r="F3463" s="109"/>
      <c r="G3463" s="109"/>
      <c r="H3463" s="109"/>
      <c r="I3463" s="109"/>
      <c r="J3463" s="109"/>
      <c r="L3463" s="109"/>
      <c r="M3463" s="109"/>
      <c r="N3463" s="109"/>
      <c r="Q3463" s="121"/>
      <c r="W3463" s="109"/>
    </row>
    <row r="3464" spans="1:23" ht="12.75" hidden="1">
      <c r="A3464" s="109"/>
      <c r="B3464" s="109"/>
      <c r="C3464" s="109"/>
      <c r="D3464" s="109"/>
      <c r="E3464" s="109"/>
      <c r="F3464" s="109"/>
      <c r="G3464" s="109"/>
      <c r="H3464" s="109"/>
      <c r="I3464" s="109"/>
      <c r="J3464" s="109"/>
      <c r="L3464" s="109"/>
      <c r="M3464" s="109"/>
      <c r="N3464" s="109"/>
      <c r="Q3464" s="121"/>
      <c r="W3464" s="109"/>
    </row>
    <row r="3465" spans="1:23" ht="12.75" hidden="1">
      <c r="A3465" s="109"/>
      <c r="B3465" s="109"/>
      <c r="C3465" s="109"/>
      <c r="D3465" s="109"/>
      <c r="E3465" s="109"/>
      <c r="F3465" s="109"/>
      <c r="G3465" s="109"/>
      <c r="H3465" s="109"/>
      <c r="I3465" s="109"/>
      <c r="J3465" s="109"/>
      <c r="L3465" s="109"/>
      <c r="M3465" s="109"/>
      <c r="N3465" s="109"/>
      <c r="Q3465" s="121"/>
      <c r="W3465" s="109"/>
    </row>
    <row r="3466" spans="1:23" ht="12.75" hidden="1">
      <c r="A3466" s="109"/>
      <c r="B3466" s="109"/>
      <c r="C3466" s="109"/>
      <c r="D3466" s="109"/>
      <c r="E3466" s="109"/>
      <c r="F3466" s="109"/>
      <c r="G3466" s="109"/>
      <c r="H3466" s="109"/>
      <c r="I3466" s="109"/>
      <c r="J3466" s="109"/>
      <c r="L3466" s="109"/>
      <c r="M3466" s="109"/>
      <c r="N3466" s="109"/>
      <c r="Q3466" s="121"/>
      <c r="W3466" s="109"/>
    </row>
    <row r="3467" spans="1:23" ht="12.75" hidden="1">
      <c r="A3467" s="109"/>
      <c r="B3467" s="109"/>
      <c r="C3467" s="109"/>
      <c r="D3467" s="109"/>
      <c r="E3467" s="109"/>
      <c r="F3467" s="109"/>
      <c r="G3467" s="109"/>
      <c r="H3467" s="109"/>
      <c r="I3467" s="109"/>
      <c r="J3467" s="109"/>
      <c r="L3467" s="109"/>
      <c r="M3467" s="109"/>
      <c r="N3467" s="109"/>
      <c r="Q3467" s="121"/>
      <c r="W3467" s="109"/>
    </row>
    <row r="3468" spans="1:23" ht="12.75" hidden="1">
      <c r="A3468" s="109"/>
      <c r="B3468" s="109"/>
      <c r="C3468" s="109"/>
      <c r="D3468" s="109"/>
      <c r="E3468" s="109"/>
      <c r="F3468" s="109"/>
      <c r="G3468" s="109"/>
      <c r="H3468" s="109"/>
      <c r="I3468" s="109"/>
      <c r="J3468" s="109"/>
      <c r="L3468" s="109"/>
      <c r="M3468" s="109"/>
      <c r="N3468" s="109"/>
      <c r="Q3468" s="121"/>
      <c r="W3468" s="109"/>
    </row>
    <row r="3469" spans="1:23" ht="12.75" hidden="1">
      <c r="A3469" s="109"/>
      <c r="B3469" s="109"/>
      <c r="C3469" s="109"/>
      <c r="D3469" s="109"/>
      <c r="E3469" s="109"/>
      <c r="F3469" s="109"/>
      <c r="G3469" s="109"/>
      <c r="H3469" s="109"/>
      <c r="I3469" s="109"/>
      <c r="J3469" s="109"/>
      <c r="L3469" s="109"/>
      <c r="M3469" s="109"/>
      <c r="N3469" s="109"/>
      <c r="Q3469" s="121"/>
      <c r="W3469" s="109"/>
    </row>
    <row r="3470" spans="1:23" ht="12.75" hidden="1">
      <c r="A3470" s="109"/>
      <c r="B3470" s="109"/>
      <c r="C3470" s="109"/>
      <c r="D3470" s="109"/>
      <c r="E3470" s="109"/>
      <c r="F3470" s="109"/>
      <c r="G3470" s="109"/>
      <c r="H3470" s="109"/>
      <c r="I3470" s="109"/>
      <c r="J3470" s="109"/>
      <c r="L3470" s="109"/>
      <c r="M3470" s="109"/>
      <c r="N3470" s="109"/>
      <c r="Q3470" s="121"/>
      <c r="W3470" s="109"/>
    </row>
    <row r="3471" spans="1:23" ht="12.75" hidden="1">
      <c r="A3471" s="109"/>
      <c r="B3471" s="109"/>
      <c r="C3471" s="109"/>
      <c r="D3471" s="109"/>
      <c r="E3471" s="109"/>
      <c r="F3471" s="109"/>
      <c r="G3471" s="109"/>
      <c r="H3471" s="109"/>
      <c r="I3471" s="109"/>
      <c r="J3471" s="109"/>
      <c r="L3471" s="109"/>
      <c r="M3471" s="109"/>
      <c r="N3471" s="109"/>
      <c r="Q3471" s="121"/>
      <c r="W3471" s="109"/>
    </row>
    <row r="3472" spans="1:23" ht="12.75" hidden="1">
      <c r="A3472" s="109"/>
      <c r="B3472" s="109"/>
      <c r="C3472" s="109"/>
      <c r="D3472" s="109"/>
      <c r="E3472" s="109"/>
      <c r="F3472" s="109"/>
      <c r="G3472" s="109"/>
      <c r="H3472" s="109"/>
      <c r="I3472" s="109"/>
      <c r="J3472" s="109"/>
      <c r="L3472" s="109"/>
      <c r="M3472" s="109"/>
      <c r="N3472" s="109"/>
      <c r="Q3472" s="121"/>
      <c r="W3472" s="109"/>
    </row>
    <row r="3473" spans="1:23" ht="12.75" hidden="1">
      <c r="A3473" s="109"/>
      <c r="B3473" s="109"/>
      <c r="C3473" s="109"/>
      <c r="D3473" s="109"/>
      <c r="E3473" s="109"/>
      <c r="F3473" s="109"/>
      <c r="G3473" s="109"/>
      <c r="H3473" s="109"/>
      <c r="I3473" s="109"/>
      <c r="J3473" s="109"/>
      <c r="L3473" s="109"/>
      <c r="M3473" s="109"/>
      <c r="N3473" s="109"/>
      <c r="Q3473" s="121"/>
      <c r="W3473" s="109"/>
    </row>
    <row r="3474" spans="1:23" ht="12.75" hidden="1">
      <c r="A3474" s="109"/>
      <c r="B3474" s="109"/>
      <c r="C3474" s="109"/>
      <c r="D3474" s="109"/>
      <c r="E3474" s="109"/>
      <c r="F3474" s="109"/>
      <c r="G3474" s="109"/>
      <c r="H3474" s="109"/>
      <c r="I3474" s="109"/>
      <c r="J3474" s="109"/>
      <c r="L3474" s="109"/>
      <c r="M3474" s="109"/>
      <c r="N3474" s="109"/>
      <c r="Q3474" s="121"/>
      <c r="W3474" s="109"/>
    </row>
    <row r="3475" spans="1:23" ht="12.75" hidden="1">
      <c r="A3475" s="109"/>
      <c r="B3475" s="109"/>
      <c r="C3475" s="109"/>
      <c r="D3475" s="109"/>
      <c r="E3475" s="109"/>
      <c r="F3475" s="109"/>
      <c r="G3475" s="109"/>
      <c r="H3475" s="109"/>
      <c r="I3475" s="109"/>
      <c r="J3475" s="109"/>
      <c r="L3475" s="109"/>
      <c r="M3475" s="109"/>
      <c r="N3475" s="109"/>
      <c r="Q3475" s="121"/>
      <c r="W3475" s="109"/>
    </row>
    <row r="3476" spans="1:23" ht="12.75" hidden="1">
      <c r="A3476" s="109"/>
      <c r="B3476" s="109"/>
      <c r="C3476" s="109"/>
      <c r="D3476" s="109"/>
      <c r="E3476" s="109"/>
      <c r="F3476" s="109"/>
      <c r="G3476" s="109"/>
      <c r="H3476" s="109"/>
      <c r="I3476" s="109"/>
      <c r="J3476" s="109"/>
      <c r="L3476" s="109"/>
      <c r="M3476" s="109"/>
      <c r="N3476" s="109"/>
      <c r="Q3476" s="121"/>
      <c r="W3476" s="109"/>
    </row>
    <row r="3477" spans="1:23" ht="12.75" hidden="1">
      <c r="A3477" s="109"/>
      <c r="B3477" s="109"/>
      <c r="C3477" s="109"/>
      <c r="D3477" s="109"/>
      <c r="E3477" s="109"/>
      <c r="F3477" s="109"/>
      <c r="G3477" s="109"/>
      <c r="H3477" s="109"/>
      <c r="I3477" s="109"/>
      <c r="J3477" s="109"/>
      <c r="L3477" s="109"/>
      <c r="M3477" s="109"/>
      <c r="N3477" s="109"/>
      <c r="Q3477" s="121"/>
      <c r="W3477" s="109"/>
    </row>
    <row r="3478" spans="1:23" ht="12.75" hidden="1">
      <c r="A3478" s="109"/>
      <c r="B3478" s="109"/>
      <c r="C3478" s="109"/>
      <c r="D3478" s="109"/>
      <c r="E3478" s="109"/>
      <c r="F3478" s="109"/>
      <c r="G3478" s="109"/>
      <c r="H3478" s="109"/>
      <c r="I3478" s="109"/>
      <c r="J3478" s="109"/>
      <c r="L3478" s="109"/>
      <c r="M3478" s="109"/>
      <c r="N3478" s="109"/>
      <c r="Q3478" s="121"/>
      <c r="W3478" s="109"/>
    </row>
    <row r="3479" spans="1:23" ht="12.75" hidden="1">
      <c r="A3479" s="109"/>
      <c r="B3479" s="109"/>
      <c r="C3479" s="109"/>
      <c r="D3479" s="109"/>
      <c r="E3479" s="109"/>
      <c r="F3479" s="109"/>
      <c r="G3479" s="109"/>
      <c r="H3479" s="109"/>
      <c r="I3479" s="109"/>
      <c r="J3479" s="109"/>
      <c r="L3479" s="109"/>
      <c r="M3479" s="109"/>
      <c r="N3479" s="109"/>
      <c r="Q3479" s="121"/>
      <c r="W3479" s="109"/>
    </row>
    <row r="3480" spans="1:23" ht="12.75" hidden="1">
      <c r="A3480" s="109"/>
      <c r="B3480" s="109"/>
      <c r="C3480" s="109"/>
      <c r="D3480" s="109"/>
      <c r="E3480" s="109"/>
      <c r="F3480" s="109"/>
      <c r="G3480" s="109"/>
      <c r="H3480" s="109"/>
      <c r="I3480" s="109"/>
      <c r="J3480" s="109"/>
      <c r="L3480" s="109"/>
      <c r="M3480" s="109"/>
      <c r="N3480" s="109"/>
      <c r="Q3480" s="121"/>
      <c r="W3480" s="109"/>
    </row>
    <row r="3481" spans="1:23" ht="12.75" hidden="1">
      <c r="A3481" s="109"/>
      <c r="B3481" s="109"/>
      <c r="C3481" s="109"/>
      <c r="D3481" s="109"/>
      <c r="E3481" s="109"/>
      <c r="F3481" s="109"/>
      <c r="G3481" s="109"/>
      <c r="H3481" s="109"/>
      <c r="I3481" s="109"/>
      <c r="J3481" s="109"/>
      <c r="L3481" s="109"/>
      <c r="M3481" s="109"/>
      <c r="N3481" s="109"/>
      <c r="Q3481" s="121"/>
      <c r="W3481" s="109"/>
    </row>
    <row r="3482" spans="1:23" ht="12.75" hidden="1">
      <c r="A3482" s="109"/>
      <c r="B3482" s="109"/>
      <c r="C3482" s="109"/>
      <c r="D3482" s="109"/>
      <c r="E3482" s="109"/>
      <c r="F3482" s="109"/>
      <c r="G3482" s="109"/>
      <c r="H3482" s="109"/>
      <c r="I3482" s="109"/>
      <c r="J3482" s="109"/>
      <c r="L3482" s="109"/>
      <c r="M3482" s="109"/>
      <c r="N3482" s="109"/>
      <c r="Q3482" s="121"/>
      <c r="W3482" s="109"/>
    </row>
    <row r="3483" spans="1:23" ht="12.75" hidden="1">
      <c r="A3483" s="109"/>
      <c r="B3483" s="109"/>
      <c r="C3483" s="109"/>
      <c r="D3483" s="109"/>
      <c r="E3483" s="109"/>
      <c r="F3483" s="109"/>
      <c r="G3483" s="109"/>
      <c r="H3483" s="109"/>
      <c r="I3483" s="109"/>
      <c r="J3483" s="109"/>
      <c r="L3483" s="109"/>
      <c r="M3483" s="109"/>
      <c r="N3483" s="109"/>
      <c r="Q3483" s="121"/>
      <c r="W3483" s="109"/>
    </row>
    <row r="3484" spans="1:23" ht="12.75" hidden="1">
      <c r="A3484" s="109"/>
      <c r="B3484" s="109"/>
      <c r="C3484" s="109"/>
      <c r="D3484" s="109"/>
      <c r="E3484" s="109"/>
      <c r="F3484" s="109"/>
      <c r="G3484" s="109"/>
      <c r="H3484" s="109"/>
      <c r="I3484" s="109"/>
      <c r="J3484" s="109"/>
      <c r="L3484" s="109"/>
      <c r="M3484" s="109"/>
      <c r="N3484" s="109"/>
      <c r="Q3484" s="121"/>
      <c r="W3484" s="109"/>
    </row>
    <row r="3485" spans="1:23" ht="12.75" hidden="1">
      <c r="A3485" s="109"/>
      <c r="B3485" s="109"/>
      <c r="C3485" s="109"/>
      <c r="D3485" s="109"/>
      <c r="E3485" s="109"/>
      <c r="F3485" s="109"/>
      <c r="G3485" s="109"/>
      <c r="H3485" s="109"/>
      <c r="I3485" s="109"/>
      <c r="J3485" s="109"/>
      <c r="L3485" s="109"/>
      <c r="M3485" s="109"/>
      <c r="N3485" s="109"/>
      <c r="Q3485" s="121"/>
      <c r="W3485" s="109"/>
    </row>
    <row r="3486" spans="1:23" ht="12.75" hidden="1">
      <c r="A3486" s="109"/>
      <c r="B3486" s="109"/>
      <c r="C3486" s="109"/>
      <c r="D3486" s="109"/>
      <c r="E3486" s="109"/>
      <c r="F3486" s="109"/>
      <c r="G3486" s="109"/>
      <c r="H3486" s="109"/>
      <c r="I3486" s="109"/>
      <c r="J3486" s="109"/>
      <c r="L3486" s="109"/>
      <c r="M3486" s="109"/>
      <c r="N3486" s="109"/>
      <c r="Q3486" s="121"/>
      <c r="W3486" s="109"/>
    </row>
    <row r="3487" spans="1:23" ht="12.75" hidden="1">
      <c r="A3487" s="109"/>
      <c r="B3487" s="109"/>
      <c r="C3487" s="109"/>
      <c r="D3487" s="109"/>
      <c r="E3487" s="109"/>
      <c r="F3487" s="109"/>
      <c r="G3487" s="109"/>
      <c r="H3487" s="109"/>
      <c r="I3487" s="109"/>
      <c r="J3487" s="109"/>
      <c r="L3487" s="109"/>
      <c r="M3487" s="109"/>
      <c r="N3487" s="109"/>
      <c r="Q3487" s="121"/>
      <c r="W3487" s="109"/>
    </row>
    <row r="3488" spans="1:23" ht="12.75" hidden="1">
      <c r="A3488" s="109"/>
      <c r="B3488" s="109"/>
      <c r="C3488" s="109"/>
      <c r="D3488" s="109"/>
      <c r="E3488" s="109"/>
      <c r="F3488" s="109"/>
      <c r="G3488" s="109"/>
      <c r="H3488" s="109"/>
      <c r="I3488" s="109"/>
      <c r="J3488" s="109"/>
      <c r="L3488" s="109"/>
      <c r="M3488" s="109"/>
      <c r="N3488" s="109"/>
      <c r="Q3488" s="121"/>
      <c r="W3488" s="109"/>
    </row>
    <row r="3489" spans="1:23" ht="12.75" hidden="1">
      <c r="A3489" s="109"/>
      <c r="B3489" s="109"/>
      <c r="C3489" s="109"/>
      <c r="D3489" s="109"/>
      <c r="E3489" s="109"/>
      <c r="F3489" s="109"/>
      <c r="G3489" s="109"/>
      <c r="H3489" s="109"/>
      <c r="I3489" s="109"/>
      <c r="J3489" s="109"/>
      <c r="L3489" s="109"/>
      <c r="M3489" s="109"/>
      <c r="N3489" s="109"/>
      <c r="Q3489" s="121"/>
      <c r="W3489" s="109"/>
    </row>
    <row r="3490" spans="1:23" ht="12.75" hidden="1">
      <c r="A3490" s="109"/>
      <c r="B3490" s="109"/>
      <c r="C3490" s="109"/>
      <c r="D3490" s="109"/>
      <c r="E3490" s="109"/>
      <c r="F3490" s="109"/>
      <c r="G3490" s="109"/>
      <c r="H3490" s="109"/>
      <c r="I3490" s="109"/>
      <c r="J3490" s="109"/>
      <c r="L3490" s="109"/>
      <c r="M3490" s="109"/>
      <c r="N3490" s="109"/>
      <c r="Q3490" s="121"/>
      <c r="W3490" s="109"/>
    </row>
    <row r="3491" spans="1:23" ht="12.75" hidden="1">
      <c r="A3491" s="109"/>
      <c r="B3491" s="109"/>
      <c r="C3491" s="109"/>
      <c r="D3491" s="109"/>
      <c r="E3491" s="109"/>
      <c r="F3491" s="109"/>
      <c r="G3491" s="109"/>
      <c r="H3491" s="109"/>
      <c r="I3491" s="109"/>
      <c r="J3491" s="109"/>
      <c r="L3491" s="109"/>
      <c r="M3491" s="109"/>
      <c r="N3491" s="109"/>
      <c r="Q3491" s="121"/>
      <c r="W3491" s="109"/>
    </row>
    <row r="3492" spans="1:23" ht="12.75" hidden="1">
      <c r="A3492" s="109"/>
      <c r="B3492" s="109"/>
      <c r="C3492" s="109"/>
      <c r="D3492" s="109"/>
      <c r="E3492" s="109"/>
      <c r="F3492" s="109"/>
      <c r="G3492" s="109"/>
      <c r="H3492" s="109"/>
      <c r="I3492" s="109"/>
      <c r="J3492" s="109"/>
      <c r="L3492" s="109"/>
      <c r="M3492" s="109"/>
      <c r="N3492" s="109"/>
      <c r="Q3492" s="121"/>
      <c r="W3492" s="109"/>
    </row>
    <row r="3493" spans="1:23" ht="12.75" hidden="1">
      <c r="A3493" s="109"/>
      <c r="B3493" s="109"/>
      <c r="C3493" s="109"/>
      <c r="D3493" s="109"/>
      <c r="E3493" s="109"/>
      <c r="F3493" s="109"/>
      <c r="G3493" s="109"/>
      <c r="H3493" s="109"/>
      <c r="I3493" s="109"/>
      <c r="J3493" s="109"/>
      <c r="L3493" s="109"/>
      <c r="M3493" s="109"/>
      <c r="N3493" s="109"/>
      <c r="Q3493" s="121"/>
      <c r="W3493" s="109"/>
    </row>
    <row r="3494" spans="1:23" ht="12.75" hidden="1">
      <c r="A3494" s="109"/>
      <c r="B3494" s="109"/>
      <c r="C3494" s="109"/>
      <c r="D3494" s="109"/>
      <c r="E3494" s="109"/>
      <c r="F3494" s="109"/>
      <c r="G3494" s="109"/>
      <c r="H3494" s="109"/>
      <c r="I3494" s="109"/>
      <c r="J3494" s="109"/>
      <c r="L3494" s="109"/>
      <c r="M3494" s="109"/>
      <c r="N3494" s="109"/>
      <c r="Q3494" s="121"/>
      <c r="W3494" s="109"/>
    </row>
    <row r="3495" spans="1:23" ht="12.75" hidden="1">
      <c r="A3495" s="109"/>
      <c r="B3495" s="109"/>
      <c r="C3495" s="109"/>
      <c r="D3495" s="109"/>
      <c r="E3495" s="109"/>
      <c r="F3495" s="109"/>
      <c r="G3495" s="109"/>
      <c r="H3495" s="109"/>
      <c r="I3495" s="109"/>
      <c r="J3495" s="109"/>
      <c r="L3495" s="109"/>
      <c r="M3495" s="109"/>
      <c r="N3495" s="109"/>
      <c r="Q3495" s="121"/>
      <c r="W3495" s="109"/>
    </row>
    <row r="3496" spans="1:23" ht="12.75" hidden="1">
      <c r="A3496" s="109"/>
      <c r="B3496" s="109"/>
      <c r="C3496" s="109"/>
      <c r="D3496" s="109"/>
      <c r="E3496" s="109"/>
      <c r="F3496" s="109"/>
      <c r="G3496" s="109"/>
      <c r="H3496" s="109"/>
      <c r="I3496" s="109"/>
      <c r="J3496" s="109"/>
      <c r="L3496" s="109"/>
      <c r="M3496" s="109"/>
      <c r="N3496" s="109"/>
      <c r="Q3496" s="121"/>
      <c r="W3496" s="109"/>
    </row>
    <row r="3497" spans="1:23" ht="12.75" hidden="1">
      <c r="A3497" s="109"/>
      <c r="B3497" s="109"/>
      <c r="C3497" s="109"/>
      <c r="D3497" s="109"/>
      <c r="E3497" s="109"/>
      <c r="F3497" s="109"/>
      <c r="G3497" s="109"/>
      <c r="H3497" s="109"/>
      <c r="I3497" s="109"/>
      <c r="J3497" s="109"/>
      <c r="L3497" s="109"/>
      <c r="M3497" s="109"/>
      <c r="N3497" s="109"/>
      <c r="Q3497" s="121"/>
      <c r="W3497" s="109"/>
    </row>
    <row r="3498" spans="1:23" ht="12.75" hidden="1">
      <c r="A3498" s="109"/>
      <c r="B3498" s="109"/>
      <c r="C3498" s="109"/>
      <c r="D3498" s="109"/>
      <c r="E3498" s="109"/>
      <c r="F3498" s="109"/>
      <c r="G3498" s="109"/>
      <c r="H3498" s="109"/>
      <c r="I3498" s="109"/>
      <c r="J3498" s="109"/>
      <c r="L3498" s="109"/>
      <c r="M3498" s="109"/>
      <c r="N3498" s="109"/>
      <c r="Q3498" s="121"/>
      <c r="W3498" s="109"/>
    </row>
    <row r="3499" spans="1:23" ht="12.75" hidden="1">
      <c r="A3499" s="109"/>
      <c r="B3499" s="109"/>
      <c r="C3499" s="109"/>
      <c r="D3499" s="109"/>
      <c r="E3499" s="109"/>
      <c r="F3499" s="109"/>
      <c r="G3499" s="109"/>
      <c r="H3499" s="109"/>
      <c r="I3499" s="109"/>
      <c r="J3499" s="109"/>
      <c r="L3499" s="109"/>
      <c r="M3499" s="109"/>
      <c r="N3499" s="109"/>
      <c r="Q3499" s="121"/>
      <c r="W3499" s="109"/>
    </row>
    <row r="3500" spans="1:23" ht="12.75" hidden="1">
      <c r="A3500" s="109"/>
      <c r="B3500" s="109"/>
      <c r="C3500" s="109"/>
      <c r="D3500" s="109"/>
      <c r="E3500" s="109"/>
      <c r="F3500" s="109"/>
      <c r="G3500" s="109"/>
      <c r="H3500" s="109"/>
      <c r="I3500" s="109"/>
      <c r="J3500" s="109"/>
      <c r="L3500" s="109"/>
      <c r="M3500" s="109"/>
      <c r="N3500" s="109"/>
      <c r="Q3500" s="121"/>
      <c r="W3500" s="109"/>
    </row>
    <row r="3501" spans="1:23" ht="12.75" hidden="1">
      <c r="A3501" s="109"/>
      <c r="B3501" s="109"/>
      <c r="C3501" s="109"/>
      <c r="D3501" s="109"/>
      <c r="E3501" s="109"/>
      <c r="F3501" s="109"/>
      <c r="G3501" s="109"/>
      <c r="H3501" s="109"/>
      <c r="I3501" s="109"/>
      <c r="J3501" s="109"/>
      <c r="L3501" s="109"/>
      <c r="M3501" s="109"/>
      <c r="N3501" s="109"/>
      <c r="Q3501" s="121"/>
      <c r="W3501" s="109"/>
    </row>
    <row r="3502" spans="1:23" ht="12.75" hidden="1">
      <c r="A3502" s="109"/>
      <c r="B3502" s="109"/>
      <c r="C3502" s="109"/>
      <c r="D3502" s="109"/>
      <c r="E3502" s="109"/>
      <c r="F3502" s="109"/>
      <c r="G3502" s="109"/>
      <c r="H3502" s="109"/>
      <c r="I3502" s="109"/>
      <c r="J3502" s="109"/>
      <c r="L3502" s="109"/>
      <c r="M3502" s="109"/>
      <c r="N3502" s="109"/>
      <c r="Q3502" s="121"/>
      <c r="W3502" s="109"/>
    </row>
    <row r="3503" spans="1:23" ht="12.75" hidden="1">
      <c r="A3503" s="109"/>
      <c r="B3503" s="109"/>
      <c r="C3503" s="109"/>
      <c r="D3503" s="109"/>
      <c r="E3503" s="109"/>
      <c r="F3503" s="109"/>
      <c r="G3503" s="109"/>
      <c r="H3503" s="109"/>
      <c r="I3503" s="109"/>
      <c r="J3503" s="109"/>
      <c r="L3503" s="109"/>
      <c r="M3503" s="109"/>
      <c r="N3503" s="109"/>
      <c r="Q3503" s="121"/>
      <c r="W3503" s="109"/>
    </row>
    <row r="3504" spans="1:23" ht="12.75" hidden="1">
      <c r="A3504" s="109"/>
      <c r="B3504" s="109"/>
      <c r="C3504" s="109"/>
      <c r="D3504" s="109"/>
      <c r="E3504" s="109"/>
      <c r="F3504" s="109"/>
      <c r="G3504" s="109"/>
      <c r="H3504" s="109"/>
      <c r="I3504" s="109"/>
      <c r="J3504" s="109"/>
      <c r="L3504" s="109"/>
      <c r="M3504" s="109"/>
      <c r="N3504" s="109"/>
      <c r="Q3504" s="121"/>
      <c r="W3504" s="109"/>
    </row>
    <row r="3505" spans="1:23" ht="12.75" hidden="1">
      <c r="A3505" s="109"/>
      <c r="B3505" s="109"/>
      <c r="C3505" s="109"/>
      <c r="D3505" s="109"/>
      <c r="E3505" s="109"/>
      <c r="F3505" s="109"/>
      <c r="G3505" s="109"/>
      <c r="H3505" s="109"/>
      <c r="I3505" s="109"/>
      <c r="J3505" s="109"/>
      <c r="L3505" s="109"/>
      <c r="M3505" s="109"/>
      <c r="N3505" s="109"/>
      <c r="Q3505" s="121"/>
      <c r="W3505" s="109"/>
    </row>
    <row r="3506" spans="1:23" ht="12.75" hidden="1">
      <c r="A3506" s="109"/>
      <c r="B3506" s="109"/>
      <c r="C3506" s="109"/>
      <c r="D3506" s="109"/>
      <c r="E3506" s="109"/>
      <c r="F3506" s="109"/>
      <c r="G3506" s="109"/>
      <c r="H3506" s="109"/>
      <c r="I3506" s="109"/>
      <c r="J3506" s="109"/>
      <c r="L3506" s="109"/>
      <c r="M3506" s="109"/>
      <c r="N3506" s="109"/>
      <c r="Q3506" s="121"/>
      <c r="W3506" s="109"/>
    </row>
    <row r="3507" spans="1:23" ht="12.75" hidden="1">
      <c r="A3507" s="109"/>
      <c r="B3507" s="109"/>
      <c r="C3507" s="109"/>
      <c r="D3507" s="109"/>
      <c r="E3507" s="109"/>
      <c r="F3507" s="109"/>
      <c r="G3507" s="109"/>
      <c r="H3507" s="109"/>
      <c r="I3507" s="109"/>
      <c r="J3507" s="109"/>
      <c r="L3507" s="109"/>
      <c r="M3507" s="109"/>
      <c r="N3507" s="109"/>
      <c r="Q3507" s="121"/>
      <c r="W3507" s="109"/>
    </row>
    <row r="3508" spans="1:23" ht="12.75" hidden="1">
      <c r="A3508" s="109"/>
      <c r="B3508" s="109"/>
      <c r="C3508" s="109"/>
      <c r="D3508" s="109"/>
      <c r="E3508" s="109"/>
      <c r="F3508" s="109"/>
      <c r="G3508" s="109"/>
      <c r="H3508" s="109"/>
      <c r="I3508" s="109"/>
      <c r="J3508" s="109"/>
      <c r="L3508" s="109"/>
      <c r="M3508" s="109"/>
      <c r="N3508" s="109"/>
      <c r="Q3508" s="121"/>
      <c r="W3508" s="109"/>
    </row>
    <row r="3509" spans="1:23" ht="12.75" hidden="1">
      <c r="A3509" s="109"/>
      <c r="B3509" s="109"/>
      <c r="C3509" s="109"/>
      <c r="D3509" s="109"/>
      <c r="E3509" s="109"/>
      <c r="F3509" s="109"/>
      <c r="G3509" s="109"/>
      <c r="H3509" s="109"/>
      <c r="I3509" s="109"/>
      <c r="J3509" s="109"/>
      <c r="L3509" s="109"/>
      <c r="M3509" s="109"/>
      <c r="N3509" s="109"/>
      <c r="Q3509" s="121"/>
      <c r="W3509" s="109"/>
    </row>
    <row r="3510" spans="1:23" ht="12.75" hidden="1">
      <c r="A3510" s="109"/>
      <c r="B3510" s="109"/>
      <c r="C3510" s="109"/>
      <c r="D3510" s="109"/>
      <c r="E3510" s="109"/>
      <c r="F3510" s="109"/>
      <c r="G3510" s="109"/>
      <c r="H3510" s="109"/>
      <c r="I3510" s="109"/>
      <c r="J3510" s="109"/>
      <c r="L3510" s="109"/>
      <c r="M3510" s="109"/>
      <c r="N3510" s="109"/>
      <c r="Q3510" s="121"/>
      <c r="W3510" s="109"/>
    </row>
    <row r="3511" spans="1:23" ht="12.75" hidden="1">
      <c r="A3511" s="109"/>
      <c r="B3511" s="109"/>
      <c r="C3511" s="109"/>
      <c r="D3511" s="109"/>
      <c r="E3511" s="109"/>
      <c r="F3511" s="109"/>
      <c r="G3511" s="109"/>
      <c r="H3511" s="109"/>
      <c r="I3511" s="109"/>
      <c r="J3511" s="109"/>
      <c r="L3511" s="109"/>
      <c r="M3511" s="109"/>
      <c r="N3511" s="109"/>
      <c r="Q3511" s="121"/>
      <c r="W3511" s="109"/>
    </row>
    <row r="3512" spans="1:23" ht="12.75" hidden="1">
      <c r="A3512" s="109"/>
      <c r="B3512" s="109"/>
      <c r="C3512" s="109"/>
      <c r="D3512" s="109"/>
      <c r="E3512" s="109"/>
      <c r="F3512" s="109"/>
      <c r="G3512" s="109"/>
      <c r="H3512" s="109"/>
      <c r="I3512" s="109"/>
      <c r="J3512" s="109"/>
      <c r="L3512" s="109"/>
      <c r="M3512" s="109"/>
      <c r="N3512" s="109"/>
      <c r="Q3512" s="121"/>
      <c r="W3512" s="109"/>
    </row>
    <row r="3513" spans="1:23" ht="12.75" hidden="1">
      <c r="A3513" s="109"/>
      <c r="B3513" s="109"/>
      <c r="C3513" s="109"/>
      <c r="D3513" s="109"/>
      <c r="E3513" s="109"/>
      <c r="F3513" s="109"/>
      <c r="G3513" s="109"/>
      <c r="H3513" s="109"/>
      <c r="I3513" s="109"/>
      <c r="J3513" s="109"/>
      <c r="L3513" s="109"/>
      <c r="M3513" s="109"/>
      <c r="N3513" s="109"/>
      <c r="Q3513" s="121"/>
      <c r="W3513" s="109"/>
    </row>
    <row r="3514" spans="1:23" ht="12.75" hidden="1">
      <c r="A3514" s="109"/>
      <c r="B3514" s="109"/>
      <c r="C3514" s="109"/>
      <c r="D3514" s="109"/>
      <c r="E3514" s="109"/>
      <c r="F3514" s="109"/>
      <c r="G3514" s="109"/>
      <c r="H3514" s="109"/>
      <c r="I3514" s="109"/>
      <c r="J3514" s="109"/>
      <c r="L3514" s="109"/>
      <c r="M3514" s="109"/>
      <c r="N3514" s="109"/>
      <c r="Q3514" s="121"/>
      <c r="W3514" s="109"/>
    </row>
    <row r="3515" spans="1:23" ht="12.75" hidden="1">
      <c r="A3515" s="109"/>
      <c r="B3515" s="109"/>
      <c r="C3515" s="109"/>
      <c r="D3515" s="109"/>
      <c r="E3515" s="109"/>
      <c r="F3515" s="109"/>
      <c r="G3515" s="109"/>
      <c r="H3515" s="109"/>
      <c r="I3515" s="109"/>
      <c r="J3515" s="109"/>
      <c r="L3515" s="109"/>
      <c r="M3515" s="109"/>
      <c r="N3515" s="109"/>
      <c r="Q3515" s="121"/>
      <c r="W3515" s="109"/>
    </row>
    <row r="3516" spans="1:23" ht="12.75" hidden="1">
      <c r="A3516" s="109"/>
      <c r="B3516" s="109"/>
      <c r="C3516" s="109"/>
      <c r="D3516" s="109"/>
      <c r="E3516" s="109"/>
      <c r="F3516" s="109"/>
      <c r="G3516" s="109"/>
      <c r="H3516" s="109"/>
      <c r="I3516" s="109"/>
      <c r="J3516" s="109"/>
      <c r="L3516" s="109"/>
      <c r="M3516" s="109"/>
      <c r="N3516" s="109"/>
      <c r="Q3516" s="121"/>
      <c r="W3516" s="109"/>
    </row>
    <row r="3517" spans="1:23" ht="12.75" hidden="1">
      <c r="A3517" s="109"/>
      <c r="B3517" s="109"/>
      <c r="C3517" s="109"/>
      <c r="D3517" s="109"/>
      <c r="E3517" s="109"/>
      <c r="F3517" s="109"/>
      <c r="G3517" s="109"/>
      <c r="H3517" s="109"/>
      <c r="I3517" s="109"/>
      <c r="J3517" s="109"/>
      <c r="L3517" s="109"/>
      <c r="M3517" s="109"/>
      <c r="N3517" s="109"/>
      <c r="Q3517" s="121"/>
      <c r="W3517" s="109"/>
    </row>
    <row r="3518" spans="1:23" ht="12.75" hidden="1">
      <c r="A3518" s="109"/>
      <c r="B3518" s="109"/>
      <c r="C3518" s="109"/>
      <c r="D3518" s="109"/>
      <c r="E3518" s="109"/>
      <c r="F3518" s="109"/>
      <c r="G3518" s="109"/>
      <c r="H3518" s="109"/>
      <c r="I3518" s="109"/>
      <c r="J3518" s="109"/>
      <c r="L3518" s="109"/>
      <c r="M3518" s="109"/>
      <c r="N3518" s="109"/>
      <c r="Q3518" s="121"/>
      <c r="W3518" s="109"/>
    </row>
    <row r="3519" spans="1:23" ht="12.75" hidden="1">
      <c r="A3519" s="109"/>
      <c r="B3519" s="109"/>
      <c r="C3519" s="109"/>
      <c r="D3519" s="109"/>
      <c r="E3519" s="109"/>
      <c r="F3519" s="109"/>
      <c r="G3519" s="109"/>
      <c r="H3519" s="109"/>
      <c r="I3519" s="109"/>
      <c r="J3519" s="109"/>
      <c r="L3519" s="109"/>
      <c r="M3519" s="109"/>
      <c r="N3519" s="109"/>
      <c r="Q3519" s="121"/>
      <c r="W3519" s="109"/>
    </row>
    <row r="3520" spans="1:23" ht="12.75" hidden="1">
      <c r="A3520" s="109"/>
      <c r="B3520" s="109"/>
      <c r="C3520" s="109"/>
      <c r="D3520" s="109"/>
      <c r="E3520" s="109"/>
      <c r="F3520" s="109"/>
      <c r="G3520" s="109"/>
      <c r="H3520" s="109"/>
      <c r="I3520" s="109"/>
      <c r="J3520" s="109"/>
      <c r="L3520" s="109"/>
      <c r="M3520" s="109"/>
      <c r="N3520" s="109"/>
      <c r="Q3520" s="121"/>
      <c r="W3520" s="109"/>
    </row>
    <row r="3521" spans="1:23" ht="12.75" hidden="1">
      <c r="A3521" s="109"/>
      <c r="B3521" s="109"/>
      <c r="C3521" s="109"/>
      <c r="D3521" s="109"/>
      <c r="E3521" s="109"/>
      <c r="F3521" s="109"/>
      <c r="G3521" s="109"/>
      <c r="H3521" s="109"/>
      <c r="I3521" s="109"/>
      <c r="J3521" s="109"/>
      <c r="L3521" s="109"/>
      <c r="M3521" s="109"/>
      <c r="N3521" s="109"/>
      <c r="Q3521" s="121"/>
      <c r="W3521" s="109"/>
    </row>
    <row r="3522" spans="1:23" ht="12.75" hidden="1">
      <c r="A3522" s="109"/>
      <c r="B3522" s="109"/>
      <c r="C3522" s="109"/>
      <c r="D3522" s="109"/>
      <c r="E3522" s="109"/>
      <c r="F3522" s="109"/>
      <c r="G3522" s="109"/>
      <c r="H3522" s="109"/>
      <c r="I3522" s="109"/>
      <c r="J3522" s="109"/>
      <c r="L3522" s="109"/>
      <c r="M3522" s="109"/>
      <c r="N3522" s="109"/>
      <c r="Q3522" s="121"/>
      <c r="W3522" s="109"/>
    </row>
    <row r="3523" spans="1:23" ht="12.75" hidden="1">
      <c r="A3523" s="109"/>
      <c r="B3523" s="109"/>
      <c r="C3523" s="109"/>
      <c r="D3523" s="109"/>
      <c r="E3523" s="109"/>
      <c r="F3523" s="109"/>
      <c r="G3523" s="109"/>
      <c r="H3523" s="109"/>
      <c r="I3523" s="109"/>
      <c r="J3523" s="109"/>
      <c r="L3523" s="109"/>
      <c r="M3523" s="109"/>
      <c r="N3523" s="109"/>
      <c r="Q3523" s="121"/>
      <c r="W3523" s="109"/>
    </row>
    <row r="3524" spans="1:23" ht="12.75" hidden="1">
      <c r="A3524" s="109"/>
      <c r="B3524" s="109"/>
      <c r="C3524" s="109"/>
      <c r="D3524" s="109"/>
      <c r="E3524" s="109"/>
      <c r="F3524" s="109"/>
      <c r="G3524" s="109"/>
      <c r="H3524" s="109"/>
      <c r="I3524" s="109"/>
      <c r="J3524" s="109"/>
      <c r="L3524" s="109"/>
      <c r="M3524" s="109"/>
      <c r="N3524" s="109"/>
      <c r="Q3524" s="121"/>
      <c r="W3524" s="109"/>
    </row>
    <row r="3525" spans="1:23" ht="12.75" hidden="1">
      <c r="A3525" s="109"/>
      <c r="B3525" s="109"/>
      <c r="C3525" s="109"/>
      <c r="D3525" s="109"/>
      <c r="E3525" s="109"/>
      <c r="F3525" s="109"/>
      <c r="G3525" s="109"/>
      <c r="H3525" s="109"/>
      <c r="I3525" s="109"/>
      <c r="J3525" s="109"/>
      <c r="L3525" s="109"/>
      <c r="M3525" s="109"/>
      <c r="N3525" s="109"/>
      <c r="Q3525" s="121"/>
      <c r="W3525" s="109"/>
    </row>
    <row r="3526" spans="1:23" ht="12.75" hidden="1">
      <c r="A3526" s="109"/>
      <c r="B3526" s="109"/>
      <c r="C3526" s="109"/>
      <c r="D3526" s="109"/>
      <c r="E3526" s="109"/>
      <c r="F3526" s="109"/>
      <c r="G3526" s="109"/>
      <c r="H3526" s="109"/>
      <c r="I3526" s="109"/>
      <c r="J3526" s="109"/>
      <c r="L3526" s="109"/>
      <c r="M3526" s="109"/>
      <c r="N3526" s="109"/>
      <c r="Q3526" s="121"/>
      <c r="W3526" s="109"/>
    </row>
    <row r="3527" spans="1:23" ht="12.75" hidden="1">
      <c r="A3527" s="109"/>
      <c r="B3527" s="109"/>
      <c r="C3527" s="109"/>
      <c r="D3527" s="109"/>
      <c r="E3527" s="109"/>
      <c r="F3527" s="109"/>
      <c r="G3527" s="109"/>
      <c r="H3527" s="109"/>
      <c r="I3527" s="109"/>
      <c r="J3527" s="109"/>
      <c r="L3527" s="109"/>
      <c r="M3527" s="109"/>
      <c r="N3527" s="109"/>
      <c r="Q3527" s="121"/>
      <c r="W3527" s="109"/>
    </row>
    <row r="3528" spans="1:23" ht="12.75" hidden="1">
      <c r="A3528" s="109"/>
      <c r="B3528" s="109"/>
      <c r="C3528" s="109"/>
      <c r="D3528" s="109"/>
      <c r="E3528" s="109"/>
      <c r="F3528" s="109"/>
      <c r="G3528" s="109"/>
      <c r="H3528" s="109"/>
      <c r="I3528" s="109"/>
      <c r="J3528" s="109"/>
      <c r="L3528" s="109"/>
      <c r="M3528" s="109"/>
      <c r="N3528" s="109"/>
      <c r="Q3528" s="121"/>
      <c r="W3528" s="109"/>
    </row>
    <row r="3529" spans="1:23" ht="12.75" hidden="1">
      <c r="A3529" s="109"/>
      <c r="B3529" s="109"/>
      <c r="C3529" s="109"/>
      <c r="D3529" s="109"/>
      <c r="E3529" s="109"/>
      <c r="F3529" s="109"/>
      <c r="G3529" s="109"/>
      <c r="H3529" s="109"/>
      <c r="I3529" s="109"/>
      <c r="J3529" s="109"/>
      <c r="L3529" s="109"/>
      <c r="M3529" s="109"/>
      <c r="N3529" s="109"/>
      <c r="Q3529" s="121"/>
      <c r="W3529" s="109"/>
    </row>
    <row r="3530" spans="1:23" ht="12.75" hidden="1">
      <c r="A3530" s="109"/>
      <c r="B3530" s="109"/>
      <c r="C3530" s="109"/>
      <c r="D3530" s="109"/>
      <c r="E3530" s="109"/>
      <c r="F3530" s="109"/>
      <c r="G3530" s="109"/>
      <c r="H3530" s="109"/>
      <c r="I3530" s="109"/>
      <c r="J3530" s="109"/>
      <c r="L3530" s="109"/>
      <c r="M3530" s="109"/>
      <c r="N3530" s="109"/>
      <c r="Q3530" s="121"/>
      <c r="W3530" s="109"/>
    </row>
    <row r="3531" spans="1:23" ht="12.75" hidden="1">
      <c r="A3531" s="109"/>
      <c r="B3531" s="109"/>
      <c r="C3531" s="109"/>
      <c r="D3531" s="109"/>
      <c r="E3531" s="109"/>
      <c r="F3531" s="109"/>
      <c r="G3531" s="109"/>
      <c r="H3531" s="109"/>
      <c r="I3531" s="109"/>
      <c r="J3531" s="109"/>
      <c r="L3531" s="109"/>
      <c r="M3531" s="109"/>
      <c r="N3531" s="109"/>
      <c r="Q3531" s="121"/>
      <c r="W3531" s="109"/>
    </row>
    <row r="3532" spans="1:23" ht="12.75" hidden="1">
      <c r="A3532" s="109"/>
      <c r="B3532" s="109"/>
      <c r="C3532" s="109"/>
      <c r="D3532" s="109"/>
      <c r="E3532" s="109"/>
      <c r="F3532" s="109"/>
      <c r="G3532" s="109"/>
      <c r="H3532" s="109"/>
      <c r="I3532" s="109"/>
      <c r="J3532" s="109"/>
      <c r="L3532" s="109"/>
      <c r="M3532" s="109"/>
      <c r="N3532" s="109"/>
      <c r="Q3532" s="121"/>
      <c r="W3532" s="109"/>
    </row>
    <row r="3533" spans="1:23" ht="12.75" hidden="1">
      <c r="A3533" s="109"/>
      <c r="B3533" s="109"/>
      <c r="C3533" s="109"/>
      <c r="D3533" s="109"/>
      <c r="E3533" s="109"/>
      <c r="F3533" s="109"/>
      <c r="G3533" s="109"/>
      <c r="H3533" s="109"/>
      <c r="I3533" s="109"/>
      <c r="J3533" s="109"/>
      <c r="L3533" s="109"/>
      <c r="M3533" s="109"/>
      <c r="N3533" s="109"/>
      <c r="Q3533" s="121"/>
      <c r="W3533" s="109"/>
    </row>
    <row r="3534" spans="1:23" ht="12.75" hidden="1">
      <c r="A3534" s="109"/>
      <c r="B3534" s="109"/>
      <c r="C3534" s="109"/>
      <c r="D3534" s="109"/>
      <c r="E3534" s="109"/>
      <c r="F3534" s="109"/>
      <c r="G3534" s="109"/>
      <c r="H3534" s="109"/>
      <c r="I3534" s="109"/>
      <c r="J3534" s="109"/>
      <c r="L3534" s="109"/>
      <c r="M3534" s="109"/>
      <c r="N3534" s="109"/>
      <c r="Q3534" s="121"/>
      <c r="W3534" s="109"/>
    </row>
    <row r="3535" spans="1:23" ht="12.75" hidden="1">
      <c r="A3535" s="109"/>
      <c r="B3535" s="109"/>
      <c r="C3535" s="109"/>
      <c r="D3535" s="109"/>
      <c r="E3535" s="109"/>
      <c r="F3535" s="109"/>
      <c r="G3535" s="109"/>
      <c r="H3535" s="109"/>
      <c r="I3535" s="109"/>
      <c r="J3535" s="109"/>
      <c r="L3535" s="109"/>
      <c r="M3535" s="109"/>
      <c r="N3535" s="109"/>
      <c r="Q3535" s="121"/>
      <c r="W3535" s="109"/>
    </row>
    <row r="3536" spans="1:23" ht="12.75" hidden="1">
      <c r="A3536" s="109"/>
      <c r="B3536" s="109"/>
      <c r="C3536" s="109"/>
      <c r="D3536" s="109"/>
      <c r="E3536" s="109"/>
      <c r="F3536" s="109"/>
      <c r="G3536" s="109"/>
      <c r="H3536" s="109"/>
      <c r="I3536" s="109"/>
      <c r="J3536" s="109"/>
      <c r="L3536" s="109"/>
      <c r="M3536" s="109"/>
      <c r="N3536" s="109"/>
      <c r="Q3536" s="121"/>
      <c r="W3536" s="109"/>
    </row>
    <row r="3537" spans="1:23" ht="12.75" hidden="1">
      <c r="A3537" s="109"/>
      <c r="B3537" s="109"/>
      <c r="C3537" s="109"/>
      <c r="D3537" s="109"/>
      <c r="E3537" s="109"/>
      <c r="F3537" s="109"/>
      <c r="G3537" s="109"/>
      <c r="H3537" s="109"/>
      <c r="I3537" s="109"/>
      <c r="J3537" s="109"/>
      <c r="L3537" s="109"/>
      <c r="M3537" s="109"/>
      <c r="N3537" s="109"/>
      <c r="Q3537" s="121"/>
      <c r="W3537" s="109"/>
    </row>
    <row r="3538" spans="1:23" ht="12.75" hidden="1">
      <c r="A3538" s="109"/>
      <c r="B3538" s="109"/>
      <c r="C3538" s="109"/>
      <c r="D3538" s="109"/>
      <c r="E3538" s="109"/>
      <c r="F3538" s="109"/>
      <c r="G3538" s="109"/>
      <c r="H3538" s="109"/>
      <c r="I3538" s="109"/>
      <c r="J3538" s="109"/>
      <c r="L3538" s="109"/>
      <c r="M3538" s="109"/>
      <c r="N3538" s="109"/>
      <c r="Q3538" s="121"/>
      <c r="W3538" s="109"/>
    </row>
    <row r="3539" spans="1:23" ht="12.75" hidden="1">
      <c r="A3539" s="109"/>
      <c r="B3539" s="109"/>
      <c r="C3539" s="109"/>
      <c r="D3539" s="109"/>
      <c r="E3539" s="109"/>
      <c r="F3539" s="109"/>
      <c r="G3539" s="109"/>
      <c r="H3539" s="109"/>
      <c r="I3539" s="109"/>
      <c r="J3539" s="109"/>
      <c r="L3539" s="109"/>
      <c r="M3539" s="109"/>
      <c r="N3539" s="109"/>
      <c r="Q3539" s="121"/>
      <c r="W3539" s="109"/>
    </row>
    <row r="3540" spans="1:23" ht="12.75" hidden="1">
      <c r="A3540" s="109"/>
      <c r="B3540" s="109"/>
      <c r="C3540" s="109"/>
      <c r="D3540" s="109"/>
      <c r="E3540" s="109"/>
      <c r="F3540" s="109"/>
      <c r="G3540" s="109"/>
      <c r="H3540" s="109"/>
      <c r="I3540" s="109"/>
      <c r="J3540" s="109"/>
      <c r="L3540" s="109"/>
      <c r="M3540" s="109"/>
      <c r="N3540" s="109"/>
      <c r="Q3540" s="121"/>
      <c r="W3540" s="109"/>
    </row>
    <row r="3541" spans="1:23" ht="12.75" hidden="1">
      <c r="A3541" s="109"/>
      <c r="B3541" s="109"/>
      <c r="C3541" s="109"/>
      <c r="D3541" s="109"/>
      <c r="E3541" s="109"/>
      <c r="F3541" s="109"/>
      <c r="G3541" s="109"/>
      <c r="H3541" s="109"/>
      <c r="I3541" s="109"/>
      <c r="J3541" s="109"/>
      <c r="L3541" s="109"/>
      <c r="M3541" s="109"/>
      <c r="N3541" s="109"/>
      <c r="Q3541" s="121"/>
      <c r="W3541" s="109"/>
    </row>
    <row r="3542" spans="1:23" ht="12.75" hidden="1">
      <c r="A3542" s="109"/>
      <c r="B3542" s="109"/>
      <c r="C3542" s="109"/>
      <c r="D3542" s="109"/>
      <c r="E3542" s="109"/>
      <c r="F3542" s="109"/>
      <c r="G3542" s="109"/>
      <c r="H3542" s="109"/>
      <c r="I3542" s="109"/>
      <c r="J3542" s="109"/>
      <c r="L3542" s="109"/>
      <c r="M3542" s="109"/>
      <c r="N3542" s="109"/>
      <c r="Q3542" s="121"/>
      <c r="W3542" s="109"/>
    </row>
    <row r="3543" spans="1:23" ht="12.75" hidden="1">
      <c r="A3543" s="109"/>
      <c r="B3543" s="109"/>
      <c r="C3543" s="109"/>
      <c r="D3543" s="109"/>
      <c r="E3543" s="109"/>
      <c r="F3543" s="109"/>
      <c r="G3543" s="109"/>
      <c r="H3543" s="109"/>
      <c r="I3543" s="109"/>
      <c r="J3543" s="109"/>
      <c r="L3543" s="109"/>
      <c r="M3543" s="109"/>
      <c r="N3543" s="109"/>
      <c r="Q3543" s="121"/>
      <c r="W3543" s="109"/>
    </row>
    <row r="3544" spans="1:23" ht="12.75" hidden="1">
      <c r="A3544" s="109"/>
      <c r="B3544" s="109"/>
      <c r="C3544" s="109"/>
      <c r="D3544" s="109"/>
      <c r="E3544" s="109"/>
      <c r="F3544" s="109"/>
      <c r="G3544" s="109"/>
      <c r="H3544" s="109"/>
      <c r="I3544" s="109"/>
      <c r="J3544" s="109"/>
      <c r="L3544" s="109"/>
      <c r="M3544" s="109"/>
      <c r="N3544" s="109"/>
      <c r="Q3544" s="121"/>
      <c r="W3544" s="109"/>
    </row>
    <row r="3545" spans="1:23" ht="12.75" hidden="1">
      <c r="A3545" s="109"/>
      <c r="B3545" s="109"/>
      <c r="C3545" s="109"/>
      <c r="D3545" s="109"/>
      <c r="E3545" s="109"/>
      <c r="F3545" s="109"/>
      <c r="G3545" s="109"/>
      <c r="H3545" s="109"/>
      <c r="I3545" s="109"/>
      <c r="J3545" s="109"/>
      <c r="L3545" s="109"/>
      <c r="M3545" s="109"/>
      <c r="N3545" s="109"/>
      <c r="Q3545" s="121"/>
      <c r="W3545" s="109"/>
    </row>
    <row r="3546" spans="1:23" ht="12.75" hidden="1">
      <c r="A3546" s="109"/>
      <c r="B3546" s="109"/>
      <c r="C3546" s="109"/>
      <c r="D3546" s="109"/>
      <c r="E3546" s="109"/>
      <c r="F3546" s="109"/>
      <c r="G3546" s="109"/>
      <c r="H3546" s="109"/>
      <c r="I3546" s="109"/>
      <c r="J3546" s="109"/>
      <c r="L3546" s="109"/>
      <c r="M3546" s="109"/>
      <c r="N3546" s="109"/>
      <c r="Q3546" s="121"/>
      <c r="W3546" s="109"/>
    </row>
    <row r="3547" spans="1:23" ht="12.75" hidden="1">
      <c r="A3547" s="109"/>
      <c r="B3547" s="109"/>
      <c r="C3547" s="109"/>
      <c r="D3547" s="109"/>
      <c r="E3547" s="109"/>
      <c r="F3547" s="109"/>
      <c r="G3547" s="109"/>
      <c r="H3547" s="109"/>
      <c r="I3547" s="109"/>
      <c r="J3547" s="109"/>
      <c r="L3547" s="109"/>
      <c r="M3547" s="109"/>
      <c r="N3547" s="109"/>
      <c r="Q3547" s="121"/>
      <c r="W3547" s="109"/>
    </row>
    <row r="3548" spans="1:23" ht="12.75" hidden="1">
      <c r="A3548" s="109"/>
      <c r="B3548" s="109"/>
      <c r="C3548" s="109"/>
      <c r="D3548" s="109"/>
      <c r="E3548" s="109"/>
      <c r="F3548" s="109"/>
      <c r="G3548" s="109"/>
      <c r="H3548" s="109"/>
      <c r="I3548" s="109"/>
      <c r="J3548" s="109"/>
      <c r="L3548" s="109"/>
      <c r="M3548" s="109"/>
      <c r="N3548" s="109"/>
      <c r="Q3548" s="121"/>
      <c r="W3548" s="109"/>
    </row>
    <row r="3549" spans="1:23" ht="12.75" hidden="1">
      <c r="A3549" s="109"/>
      <c r="B3549" s="109"/>
      <c r="C3549" s="109"/>
      <c r="D3549" s="109"/>
      <c r="E3549" s="109"/>
      <c r="F3549" s="109"/>
      <c r="G3549" s="109"/>
      <c r="H3549" s="109"/>
      <c r="I3549" s="109"/>
      <c r="J3549" s="109"/>
      <c r="L3549" s="109"/>
      <c r="M3549" s="109"/>
      <c r="N3549" s="109"/>
      <c r="Q3549" s="121"/>
      <c r="W3549" s="109"/>
    </row>
    <row r="3550" spans="1:23" ht="12.75" hidden="1">
      <c r="A3550" s="109"/>
      <c r="B3550" s="109"/>
      <c r="C3550" s="109"/>
      <c r="D3550" s="109"/>
      <c r="E3550" s="109"/>
      <c r="F3550" s="109"/>
      <c r="G3550" s="109"/>
      <c r="H3550" s="109"/>
      <c r="I3550" s="109"/>
      <c r="J3550" s="109"/>
      <c r="L3550" s="109"/>
      <c r="M3550" s="109"/>
      <c r="N3550" s="109"/>
      <c r="Q3550" s="121"/>
      <c r="W3550" s="109"/>
    </row>
    <row r="3551" spans="1:23" ht="12.75" hidden="1">
      <c r="A3551" s="109"/>
      <c r="B3551" s="109"/>
      <c r="C3551" s="109"/>
      <c r="D3551" s="109"/>
      <c r="E3551" s="109"/>
      <c r="F3551" s="109"/>
      <c r="G3551" s="109"/>
      <c r="H3551" s="109"/>
      <c r="I3551" s="109"/>
      <c r="J3551" s="109"/>
      <c r="L3551" s="109"/>
      <c r="M3551" s="109"/>
      <c r="N3551" s="109"/>
      <c r="Q3551" s="121"/>
      <c r="W3551" s="109"/>
    </row>
    <row r="3552" spans="1:23" ht="12.75" hidden="1">
      <c r="A3552" s="109"/>
      <c r="B3552" s="109"/>
      <c r="C3552" s="109"/>
      <c r="D3552" s="109"/>
      <c r="E3552" s="109"/>
      <c r="F3552" s="109"/>
      <c r="G3552" s="109"/>
      <c r="H3552" s="109"/>
      <c r="I3552" s="109"/>
      <c r="J3552" s="109"/>
      <c r="L3552" s="109"/>
      <c r="M3552" s="109"/>
      <c r="N3552" s="109"/>
      <c r="Q3552" s="121"/>
      <c r="W3552" s="109"/>
    </row>
    <row r="3553" spans="1:23" ht="12.75" hidden="1">
      <c r="A3553" s="109"/>
      <c r="B3553" s="109"/>
      <c r="C3553" s="109"/>
      <c r="D3553" s="109"/>
      <c r="E3553" s="109"/>
      <c r="F3553" s="109"/>
      <c r="G3553" s="109"/>
      <c r="H3553" s="109"/>
      <c r="I3553" s="109"/>
      <c r="J3553" s="109"/>
      <c r="L3553" s="109"/>
      <c r="M3553" s="109"/>
      <c r="N3553" s="109"/>
      <c r="Q3553" s="121"/>
      <c r="W3553" s="109"/>
    </row>
    <row r="3554" spans="1:23" ht="12.75" hidden="1">
      <c r="A3554" s="109"/>
      <c r="B3554" s="109"/>
      <c r="C3554" s="109"/>
      <c r="D3554" s="109"/>
      <c r="E3554" s="109"/>
      <c r="F3554" s="109"/>
      <c r="G3554" s="109"/>
      <c r="H3554" s="109"/>
      <c r="I3554" s="109"/>
      <c r="J3554" s="109"/>
      <c r="L3554" s="109"/>
      <c r="M3554" s="109"/>
      <c r="N3554" s="109"/>
      <c r="Q3554" s="121"/>
      <c r="W3554" s="109"/>
    </row>
    <row r="3555" spans="1:23" ht="12.75" hidden="1">
      <c r="A3555" s="109"/>
      <c r="B3555" s="109"/>
      <c r="C3555" s="109"/>
      <c r="D3555" s="109"/>
      <c r="E3555" s="109"/>
      <c r="F3555" s="109"/>
      <c r="G3555" s="109"/>
      <c r="H3555" s="109"/>
      <c r="I3555" s="109"/>
      <c r="J3555" s="109"/>
      <c r="L3555" s="109"/>
      <c r="M3555" s="109"/>
      <c r="N3555" s="109"/>
      <c r="Q3555" s="121"/>
      <c r="W3555" s="109"/>
    </row>
    <row r="3556" spans="1:23" ht="12.75" hidden="1">
      <c r="A3556" s="109"/>
      <c r="B3556" s="109"/>
      <c r="C3556" s="109"/>
      <c r="D3556" s="109"/>
      <c r="E3556" s="109"/>
      <c r="F3556" s="109"/>
      <c r="G3556" s="109"/>
      <c r="H3556" s="109"/>
      <c r="I3556" s="109"/>
      <c r="J3556" s="109"/>
      <c r="L3556" s="109"/>
      <c r="M3556" s="109"/>
      <c r="N3556" s="109"/>
      <c r="Q3556" s="121"/>
      <c r="W3556" s="109"/>
    </row>
    <row r="3557" spans="1:23" ht="12.75" hidden="1">
      <c r="A3557" s="109"/>
      <c r="B3557" s="109"/>
      <c r="C3557" s="109"/>
      <c r="D3557" s="109"/>
      <c r="E3557" s="109"/>
      <c r="F3557" s="109"/>
      <c r="G3557" s="109"/>
      <c r="H3557" s="109"/>
      <c r="I3557" s="109"/>
      <c r="J3557" s="109"/>
      <c r="L3557" s="109"/>
      <c r="M3557" s="109"/>
      <c r="N3557" s="109"/>
      <c r="Q3557" s="121"/>
      <c r="W3557" s="109"/>
    </row>
    <row r="3558" spans="1:23" ht="12.75" hidden="1">
      <c r="A3558" s="109"/>
      <c r="B3558" s="109"/>
      <c r="C3558" s="109"/>
      <c r="D3558" s="109"/>
      <c r="E3558" s="109"/>
      <c r="F3558" s="109"/>
      <c r="G3558" s="109"/>
      <c r="H3558" s="109"/>
      <c r="I3558" s="109"/>
      <c r="J3558" s="109"/>
      <c r="L3558" s="109"/>
      <c r="M3558" s="109"/>
      <c r="N3558" s="109"/>
      <c r="Q3558" s="121"/>
      <c r="W3558" s="109"/>
    </row>
    <row r="3559" spans="1:23" ht="12.75" hidden="1">
      <c r="A3559" s="109"/>
      <c r="B3559" s="109"/>
      <c r="C3559" s="109"/>
      <c r="D3559" s="109"/>
      <c r="E3559" s="109"/>
      <c r="F3559" s="109"/>
      <c r="G3559" s="109"/>
      <c r="H3559" s="109"/>
      <c r="I3559" s="109"/>
      <c r="J3559" s="109"/>
      <c r="L3559" s="109"/>
      <c r="M3559" s="109"/>
      <c r="N3559" s="109"/>
      <c r="Q3559" s="121"/>
      <c r="W3559" s="109"/>
    </row>
    <row r="3560" spans="1:23" ht="12.75" hidden="1">
      <c r="A3560" s="109"/>
      <c r="B3560" s="109"/>
      <c r="C3560" s="109"/>
      <c r="D3560" s="109"/>
      <c r="E3560" s="109"/>
      <c r="F3560" s="109"/>
      <c r="G3560" s="109"/>
      <c r="H3560" s="109"/>
      <c r="I3560" s="109"/>
      <c r="J3560" s="109"/>
      <c r="L3560" s="109"/>
      <c r="M3560" s="109"/>
      <c r="N3560" s="109"/>
      <c r="Q3560" s="121"/>
      <c r="W3560" s="109"/>
    </row>
    <row r="3561" spans="1:23" ht="12.75" hidden="1">
      <c r="A3561" s="109"/>
      <c r="B3561" s="109"/>
      <c r="C3561" s="109"/>
      <c r="D3561" s="109"/>
      <c r="E3561" s="109"/>
      <c r="F3561" s="109"/>
      <c r="G3561" s="109"/>
      <c r="H3561" s="109"/>
      <c r="I3561" s="109"/>
      <c r="J3561" s="109"/>
      <c r="L3561" s="109"/>
      <c r="M3561" s="109"/>
      <c r="N3561" s="109"/>
      <c r="Q3561" s="121"/>
      <c r="W3561" s="109"/>
    </row>
    <row r="3562" spans="1:23" ht="12.75" hidden="1">
      <c r="A3562" s="109"/>
      <c r="B3562" s="109"/>
      <c r="C3562" s="109"/>
      <c r="D3562" s="109"/>
      <c r="E3562" s="109"/>
      <c r="F3562" s="109"/>
      <c r="G3562" s="109"/>
      <c r="H3562" s="109"/>
      <c r="I3562" s="109"/>
      <c r="J3562" s="109"/>
      <c r="L3562" s="109"/>
      <c r="M3562" s="109"/>
      <c r="N3562" s="109"/>
      <c r="Q3562" s="121"/>
      <c r="W3562" s="109"/>
    </row>
    <row r="3563" spans="1:23" ht="12.75" hidden="1">
      <c r="A3563" s="109"/>
      <c r="B3563" s="109"/>
      <c r="C3563" s="109"/>
      <c r="D3563" s="109"/>
      <c r="E3563" s="109"/>
      <c r="F3563" s="109"/>
      <c r="G3563" s="109"/>
      <c r="H3563" s="109"/>
      <c r="I3563" s="109"/>
      <c r="J3563" s="109"/>
      <c r="L3563" s="109"/>
      <c r="M3563" s="109"/>
      <c r="N3563" s="109"/>
      <c r="Q3563" s="121"/>
      <c r="W3563" s="109"/>
    </row>
    <row r="3564" spans="1:23" ht="12.75" hidden="1">
      <c r="A3564" s="109"/>
      <c r="B3564" s="109"/>
      <c r="C3564" s="109"/>
      <c r="D3564" s="109"/>
      <c r="E3564" s="109"/>
      <c r="F3564" s="109"/>
      <c r="G3564" s="109"/>
      <c r="H3564" s="109"/>
      <c r="I3564" s="109"/>
      <c r="J3564" s="109"/>
      <c r="L3564" s="109"/>
      <c r="M3564" s="109"/>
      <c r="N3564" s="109"/>
      <c r="Q3564" s="121"/>
      <c r="W3564" s="109"/>
    </row>
    <row r="3565" spans="1:23" ht="12.75" hidden="1">
      <c r="A3565" s="109"/>
      <c r="B3565" s="109"/>
      <c r="C3565" s="109"/>
      <c r="D3565" s="109"/>
      <c r="E3565" s="109"/>
      <c r="F3565" s="109"/>
      <c r="G3565" s="109"/>
      <c r="H3565" s="109"/>
      <c r="I3565" s="109"/>
      <c r="J3565" s="109"/>
      <c r="L3565" s="109"/>
      <c r="M3565" s="109"/>
      <c r="N3565" s="109"/>
      <c r="Q3565" s="121"/>
      <c r="W3565" s="109"/>
    </row>
    <row r="3566" spans="1:23" ht="12.75" hidden="1">
      <c r="A3566" s="109"/>
      <c r="B3566" s="109"/>
      <c r="C3566" s="109"/>
      <c r="D3566" s="109"/>
      <c r="E3566" s="109"/>
      <c r="F3566" s="109"/>
      <c r="G3566" s="109"/>
      <c r="H3566" s="109"/>
      <c r="I3566" s="109"/>
      <c r="J3566" s="109"/>
      <c r="L3566" s="109"/>
      <c r="M3566" s="109"/>
      <c r="N3566" s="109"/>
      <c r="Q3566" s="121"/>
      <c r="W3566" s="109"/>
    </row>
    <row r="3567" spans="1:23" ht="12.75" hidden="1">
      <c r="A3567" s="109"/>
      <c r="B3567" s="109"/>
      <c r="C3567" s="109"/>
      <c r="D3567" s="109"/>
      <c r="E3567" s="109"/>
      <c r="F3567" s="109"/>
      <c r="G3567" s="109"/>
      <c r="H3567" s="109"/>
      <c r="I3567" s="109"/>
      <c r="J3567" s="109"/>
      <c r="L3567" s="109"/>
      <c r="M3567" s="109"/>
      <c r="N3567" s="109"/>
      <c r="Q3567" s="121"/>
      <c r="W3567" s="109"/>
    </row>
    <row r="3568" spans="1:23" ht="12.75" hidden="1">
      <c r="A3568" s="109"/>
      <c r="B3568" s="109"/>
      <c r="C3568" s="109"/>
      <c r="D3568" s="109"/>
      <c r="E3568" s="109"/>
      <c r="F3568" s="109"/>
      <c r="G3568" s="109"/>
      <c r="H3568" s="109"/>
      <c r="I3568" s="109"/>
      <c r="J3568" s="109"/>
      <c r="L3568" s="109"/>
      <c r="M3568" s="109"/>
      <c r="N3568" s="109"/>
      <c r="Q3568" s="121"/>
      <c r="W3568" s="109"/>
    </row>
    <row r="3569" spans="1:23" ht="12.75" hidden="1">
      <c r="A3569" s="109"/>
      <c r="B3569" s="109"/>
      <c r="C3569" s="109"/>
      <c r="D3569" s="109"/>
      <c r="E3569" s="109"/>
      <c r="F3569" s="109"/>
      <c r="G3569" s="109"/>
      <c r="H3569" s="109"/>
      <c r="I3569" s="109"/>
      <c r="J3569" s="109"/>
      <c r="L3569" s="109"/>
      <c r="M3569" s="109"/>
      <c r="N3569" s="109"/>
      <c r="Q3569" s="121"/>
      <c r="W3569" s="109"/>
    </row>
    <row r="3570" spans="1:23" ht="12.75" hidden="1">
      <c r="A3570" s="109"/>
      <c r="B3570" s="109"/>
      <c r="C3570" s="109"/>
      <c r="D3570" s="109"/>
      <c r="E3570" s="109"/>
      <c r="F3570" s="109"/>
      <c r="G3570" s="109"/>
      <c r="H3570" s="109"/>
      <c r="I3570" s="109"/>
      <c r="J3570" s="109"/>
      <c r="L3570" s="109"/>
      <c r="M3570" s="109"/>
      <c r="N3570" s="109"/>
      <c r="Q3570" s="121"/>
      <c r="W3570" s="109"/>
    </row>
    <row r="3571" spans="1:23" ht="12.75" hidden="1">
      <c r="A3571" s="109"/>
      <c r="B3571" s="109"/>
      <c r="C3571" s="109"/>
      <c r="D3571" s="109"/>
      <c r="E3571" s="109"/>
      <c r="F3571" s="109"/>
      <c r="G3571" s="109"/>
      <c r="H3571" s="109"/>
      <c r="I3571" s="109"/>
      <c r="J3571" s="109"/>
      <c r="L3571" s="109"/>
      <c r="M3571" s="109"/>
      <c r="N3571" s="109"/>
      <c r="Q3571" s="121"/>
      <c r="W3571" s="109"/>
    </row>
    <row r="3572" spans="1:23" ht="12.75" hidden="1">
      <c r="A3572" s="109"/>
      <c r="B3572" s="109"/>
      <c r="C3572" s="109"/>
      <c r="D3572" s="109"/>
      <c r="E3572" s="109"/>
      <c r="F3572" s="109"/>
      <c r="G3572" s="109"/>
      <c r="H3572" s="109"/>
      <c r="I3572" s="109"/>
      <c r="J3572" s="109"/>
      <c r="L3572" s="109"/>
      <c r="M3572" s="109"/>
      <c r="N3572" s="109"/>
      <c r="Q3572" s="121"/>
      <c r="W3572" s="109"/>
    </row>
    <row r="3573" spans="1:23" ht="12.75" hidden="1">
      <c r="A3573" s="109"/>
      <c r="B3573" s="109"/>
      <c r="C3573" s="109"/>
      <c r="D3573" s="109"/>
      <c r="E3573" s="109"/>
      <c r="F3573" s="109"/>
      <c r="G3573" s="109"/>
      <c r="H3573" s="109"/>
      <c r="I3573" s="109"/>
      <c r="J3573" s="109"/>
      <c r="L3573" s="109"/>
      <c r="M3573" s="109"/>
      <c r="N3573" s="109"/>
      <c r="Q3573" s="121"/>
      <c r="W3573" s="109"/>
    </row>
    <row r="3574" spans="1:23" ht="12.75" hidden="1">
      <c r="A3574" s="109"/>
      <c r="B3574" s="109"/>
      <c r="C3574" s="109"/>
      <c r="D3574" s="109"/>
      <c r="E3574" s="109"/>
      <c r="F3574" s="109"/>
      <c r="G3574" s="109"/>
      <c r="H3574" s="109"/>
      <c r="I3574" s="109"/>
      <c r="J3574" s="109"/>
      <c r="L3574" s="109"/>
      <c r="M3574" s="109"/>
      <c r="N3574" s="109"/>
      <c r="Q3574" s="121"/>
      <c r="W3574" s="109"/>
    </row>
    <row r="3575" spans="1:23" ht="12.75" hidden="1">
      <c r="A3575" s="109"/>
      <c r="B3575" s="109"/>
      <c r="C3575" s="109"/>
      <c r="D3575" s="109"/>
      <c r="E3575" s="109"/>
      <c r="F3575" s="109"/>
      <c r="G3575" s="109"/>
      <c r="H3575" s="109"/>
      <c r="I3575" s="109"/>
      <c r="J3575" s="109"/>
      <c r="L3575" s="109"/>
      <c r="M3575" s="109"/>
      <c r="N3575" s="109"/>
      <c r="Q3575" s="121"/>
      <c r="W3575" s="109"/>
    </row>
    <row r="3576" spans="1:23" ht="12.75" hidden="1">
      <c r="A3576" s="109"/>
      <c r="B3576" s="109"/>
      <c r="C3576" s="109"/>
      <c r="D3576" s="109"/>
      <c r="E3576" s="109"/>
      <c r="F3576" s="109"/>
      <c r="G3576" s="109"/>
      <c r="H3576" s="109"/>
      <c r="I3576" s="109"/>
      <c r="J3576" s="109"/>
      <c r="L3576" s="109"/>
      <c r="M3576" s="109"/>
      <c r="N3576" s="109"/>
      <c r="Q3576" s="121"/>
      <c r="W3576" s="109"/>
    </row>
    <row r="3577" spans="1:23" ht="12.75" hidden="1">
      <c r="A3577" s="109"/>
      <c r="B3577" s="109"/>
      <c r="C3577" s="109"/>
      <c r="D3577" s="109"/>
      <c r="E3577" s="109"/>
      <c r="F3577" s="109"/>
      <c r="G3577" s="109"/>
      <c r="H3577" s="109"/>
      <c r="I3577" s="109"/>
      <c r="J3577" s="109"/>
      <c r="L3577" s="109"/>
      <c r="M3577" s="109"/>
      <c r="N3577" s="109"/>
      <c r="Q3577" s="121"/>
      <c r="W3577" s="109"/>
    </row>
    <row r="3578" spans="1:23" ht="12.75" hidden="1">
      <c r="A3578" s="109"/>
      <c r="B3578" s="109"/>
      <c r="C3578" s="109"/>
      <c r="D3578" s="109"/>
      <c r="E3578" s="109"/>
      <c r="F3578" s="109"/>
      <c r="G3578" s="109"/>
      <c r="H3578" s="109"/>
      <c r="I3578" s="109"/>
      <c r="J3578" s="109"/>
      <c r="L3578" s="109"/>
      <c r="M3578" s="109"/>
      <c r="N3578" s="109"/>
      <c r="Q3578" s="121"/>
      <c r="W3578" s="109"/>
    </row>
    <row r="3579" spans="1:23" ht="12.75" hidden="1">
      <c r="A3579" s="109"/>
      <c r="B3579" s="109"/>
      <c r="C3579" s="109"/>
      <c r="D3579" s="109"/>
      <c r="E3579" s="109"/>
      <c r="F3579" s="109"/>
      <c r="G3579" s="109"/>
      <c r="H3579" s="109"/>
      <c r="I3579" s="109"/>
      <c r="J3579" s="109"/>
      <c r="L3579" s="109"/>
      <c r="M3579" s="109"/>
      <c r="N3579" s="109"/>
      <c r="Q3579" s="121"/>
      <c r="W3579" s="109"/>
    </row>
    <row r="3580" spans="1:23" ht="12.75" hidden="1">
      <c r="A3580" s="109"/>
      <c r="B3580" s="109"/>
      <c r="C3580" s="109"/>
      <c r="D3580" s="109"/>
      <c r="E3580" s="109"/>
      <c r="F3580" s="109"/>
      <c r="G3580" s="109"/>
      <c r="H3580" s="109"/>
      <c r="I3580" s="109"/>
      <c r="J3580" s="109"/>
      <c r="L3580" s="109"/>
      <c r="M3580" s="109"/>
      <c r="N3580" s="109"/>
      <c r="Q3580" s="121"/>
      <c r="W3580" s="109"/>
    </row>
    <row r="3581" spans="1:23" ht="12.75" hidden="1">
      <c r="A3581" s="109"/>
      <c r="B3581" s="109"/>
      <c r="C3581" s="109"/>
      <c r="D3581" s="109"/>
      <c r="E3581" s="109"/>
      <c r="F3581" s="109"/>
      <c r="G3581" s="109"/>
      <c r="H3581" s="109"/>
      <c r="I3581" s="109"/>
      <c r="J3581" s="109"/>
      <c r="L3581" s="109"/>
      <c r="M3581" s="109"/>
      <c r="N3581" s="109"/>
      <c r="Q3581" s="121"/>
      <c r="W3581" s="109"/>
    </row>
    <row r="3582" spans="1:23" ht="12.75" hidden="1">
      <c r="A3582" s="109"/>
      <c r="B3582" s="109"/>
      <c r="C3582" s="109"/>
      <c r="D3582" s="109"/>
      <c r="E3582" s="109"/>
      <c r="F3582" s="109"/>
      <c r="G3582" s="109"/>
      <c r="H3582" s="109"/>
      <c r="I3582" s="109"/>
      <c r="J3582" s="109"/>
      <c r="L3582" s="109"/>
      <c r="M3582" s="109"/>
      <c r="N3582" s="109"/>
      <c r="Q3582" s="121"/>
      <c r="W3582" s="109"/>
    </row>
    <row r="3583" spans="1:23" ht="12.75" hidden="1">
      <c r="A3583" s="109"/>
      <c r="B3583" s="109"/>
      <c r="C3583" s="109"/>
      <c r="D3583" s="109"/>
      <c r="E3583" s="109"/>
      <c r="F3583" s="109"/>
      <c r="G3583" s="109"/>
      <c r="H3583" s="109"/>
      <c r="I3583" s="109"/>
      <c r="J3583" s="109"/>
      <c r="L3583" s="109"/>
      <c r="M3583" s="109"/>
      <c r="N3583" s="109"/>
      <c r="Q3583" s="121"/>
      <c r="W3583" s="109"/>
    </row>
    <row r="3584" spans="1:23" ht="12.75" hidden="1">
      <c r="A3584" s="109"/>
      <c r="B3584" s="109"/>
      <c r="C3584" s="109"/>
      <c r="D3584" s="109"/>
      <c r="E3584" s="109"/>
      <c r="F3584" s="109"/>
      <c r="G3584" s="109"/>
      <c r="H3584" s="109"/>
      <c r="I3584" s="109"/>
      <c r="J3584" s="109"/>
      <c r="L3584" s="109"/>
      <c r="M3584" s="109"/>
      <c r="N3584" s="109"/>
      <c r="Q3584" s="121"/>
      <c r="W3584" s="109"/>
    </row>
    <row r="3585" spans="1:23" ht="12.75" hidden="1">
      <c r="A3585" s="109"/>
      <c r="B3585" s="109"/>
      <c r="C3585" s="109"/>
      <c r="D3585" s="109"/>
      <c r="E3585" s="109"/>
      <c r="F3585" s="109"/>
      <c r="G3585" s="109"/>
      <c r="H3585" s="109"/>
      <c r="I3585" s="109"/>
      <c r="J3585" s="109"/>
      <c r="L3585" s="109"/>
      <c r="M3585" s="109"/>
      <c r="N3585" s="109"/>
      <c r="Q3585" s="121"/>
      <c r="W3585" s="109"/>
    </row>
    <row r="3586" spans="1:23" ht="12.75" hidden="1">
      <c r="A3586" s="109"/>
      <c r="B3586" s="109"/>
      <c r="C3586" s="109"/>
      <c r="D3586" s="109"/>
      <c r="E3586" s="109"/>
      <c r="F3586" s="109"/>
      <c r="G3586" s="109"/>
      <c r="H3586" s="109"/>
      <c r="I3586" s="109"/>
      <c r="J3586" s="109"/>
      <c r="L3586" s="109"/>
      <c r="M3586" s="109"/>
      <c r="N3586" s="109"/>
      <c r="Q3586" s="121"/>
      <c r="W3586" s="109"/>
    </row>
    <row r="3587" spans="1:23" ht="12.75" hidden="1">
      <c r="A3587" s="109"/>
      <c r="B3587" s="109"/>
      <c r="C3587" s="109"/>
      <c r="D3587" s="109"/>
      <c r="E3587" s="109"/>
      <c r="F3587" s="109"/>
      <c r="G3587" s="109"/>
      <c r="H3587" s="109"/>
      <c r="I3587" s="109"/>
      <c r="J3587" s="109"/>
      <c r="L3587" s="109"/>
      <c r="M3587" s="109"/>
      <c r="N3587" s="109"/>
      <c r="Q3587" s="121"/>
      <c r="W3587" s="109"/>
    </row>
    <row r="3588" spans="1:23" ht="12.75" hidden="1">
      <c r="A3588" s="109"/>
      <c r="B3588" s="109"/>
      <c r="C3588" s="109"/>
      <c r="D3588" s="109"/>
      <c r="E3588" s="109"/>
      <c r="F3588" s="109"/>
      <c r="G3588" s="109"/>
      <c r="H3588" s="109"/>
      <c r="I3588" s="109"/>
      <c r="J3588" s="109"/>
      <c r="L3588" s="109"/>
      <c r="M3588" s="109"/>
      <c r="N3588" s="109"/>
      <c r="Q3588" s="121"/>
      <c r="W3588" s="109"/>
    </row>
    <row r="3589" spans="1:23" ht="12.75" hidden="1">
      <c r="A3589" s="109"/>
      <c r="B3589" s="109"/>
      <c r="C3589" s="109"/>
      <c r="D3589" s="109"/>
      <c r="E3589" s="109"/>
      <c r="F3589" s="109"/>
      <c r="G3589" s="109"/>
      <c r="H3589" s="109"/>
      <c r="I3589" s="109"/>
      <c r="J3589" s="109"/>
      <c r="L3589" s="109"/>
      <c r="M3589" s="109"/>
      <c r="N3589" s="109"/>
      <c r="Q3589" s="121"/>
      <c r="W3589" s="109"/>
    </row>
    <row r="3590" spans="1:23" ht="12.75" hidden="1">
      <c r="A3590" s="109"/>
      <c r="B3590" s="109"/>
      <c r="C3590" s="109"/>
      <c r="D3590" s="109"/>
      <c r="E3590" s="109"/>
      <c r="F3590" s="109"/>
      <c r="G3590" s="109"/>
      <c r="H3590" s="109"/>
      <c r="I3590" s="109"/>
      <c r="J3590" s="109"/>
      <c r="L3590" s="109"/>
      <c r="M3590" s="109"/>
      <c r="N3590" s="109"/>
      <c r="Q3590" s="121"/>
      <c r="W3590" s="109"/>
    </row>
    <row r="3591" spans="1:23" ht="12.75" hidden="1">
      <c r="A3591" s="109"/>
      <c r="B3591" s="109"/>
      <c r="C3591" s="109"/>
      <c r="D3591" s="109"/>
      <c r="E3591" s="109"/>
      <c r="F3591" s="109"/>
      <c r="G3591" s="109"/>
      <c r="H3591" s="109"/>
      <c r="I3591" s="109"/>
      <c r="J3591" s="109"/>
      <c r="L3591" s="109"/>
      <c r="M3591" s="109"/>
      <c r="N3591" s="109"/>
      <c r="Q3591" s="121"/>
      <c r="W3591" s="109"/>
    </row>
    <row r="3592" spans="1:23" ht="12.75" hidden="1">
      <c r="A3592" s="109"/>
      <c r="B3592" s="109"/>
      <c r="C3592" s="109"/>
      <c r="D3592" s="109"/>
      <c r="E3592" s="109"/>
      <c r="F3592" s="109"/>
      <c r="G3592" s="109"/>
      <c r="H3592" s="109"/>
      <c r="I3592" s="109"/>
      <c r="J3592" s="109"/>
      <c r="L3592" s="109"/>
      <c r="M3592" s="109"/>
      <c r="N3592" s="109"/>
      <c r="Q3592" s="121"/>
      <c r="W3592" s="109"/>
    </row>
    <row r="3593" spans="1:23" ht="12.75" hidden="1">
      <c r="A3593" s="109"/>
      <c r="B3593" s="109"/>
      <c r="C3593" s="109"/>
      <c r="D3593" s="109"/>
      <c r="E3593" s="109"/>
      <c r="F3593" s="109"/>
      <c r="G3593" s="109"/>
      <c r="H3593" s="109"/>
      <c r="I3593" s="109"/>
      <c r="J3593" s="109"/>
      <c r="L3593" s="109"/>
      <c r="M3593" s="109"/>
      <c r="N3593" s="109"/>
      <c r="Q3593" s="121"/>
      <c r="W3593" s="109"/>
    </row>
    <row r="3594" spans="1:23" ht="12.75" hidden="1">
      <c r="A3594" s="109"/>
      <c r="B3594" s="109"/>
      <c r="C3594" s="109"/>
      <c r="D3594" s="109"/>
      <c r="E3594" s="109"/>
      <c r="F3594" s="109"/>
      <c r="G3594" s="109"/>
      <c r="H3594" s="109"/>
      <c r="I3594" s="109"/>
      <c r="J3594" s="109"/>
      <c r="L3594" s="109"/>
      <c r="M3594" s="109"/>
      <c r="N3594" s="109"/>
      <c r="Q3594" s="121"/>
      <c r="W3594" s="109"/>
    </row>
    <row r="3595" spans="1:23" ht="12.75" hidden="1">
      <c r="A3595" s="109"/>
      <c r="B3595" s="109"/>
      <c r="C3595" s="109"/>
      <c r="D3595" s="109"/>
      <c r="E3595" s="109"/>
      <c r="F3595" s="109"/>
      <c r="G3595" s="109"/>
      <c r="H3595" s="109"/>
      <c r="I3595" s="109"/>
      <c r="J3595" s="109"/>
      <c r="L3595" s="109"/>
      <c r="M3595" s="109"/>
      <c r="N3595" s="109"/>
      <c r="Q3595" s="121"/>
      <c r="W3595" s="109"/>
    </row>
    <row r="3596" spans="1:23" ht="12.75" hidden="1">
      <c r="A3596" s="109"/>
      <c r="B3596" s="109"/>
      <c r="C3596" s="109"/>
      <c r="D3596" s="109"/>
      <c r="E3596" s="109"/>
      <c r="F3596" s="109"/>
      <c r="G3596" s="109"/>
      <c r="H3596" s="109"/>
      <c r="I3596" s="109"/>
      <c r="J3596" s="109"/>
      <c r="L3596" s="109"/>
      <c r="M3596" s="109"/>
      <c r="N3596" s="109"/>
      <c r="Q3596" s="121"/>
      <c r="W3596" s="109"/>
    </row>
    <row r="3597" spans="1:23" ht="12.75" hidden="1">
      <c r="A3597" s="109"/>
      <c r="B3597" s="109"/>
      <c r="C3597" s="109"/>
      <c r="D3597" s="109"/>
      <c r="E3597" s="109"/>
      <c r="F3597" s="109"/>
      <c r="G3597" s="109"/>
      <c r="H3597" s="109"/>
      <c r="I3597" s="109"/>
      <c r="J3597" s="109"/>
      <c r="L3597" s="109"/>
      <c r="M3597" s="109"/>
      <c r="N3597" s="109"/>
      <c r="Q3597" s="121"/>
      <c r="W3597" s="109"/>
    </row>
    <row r="3598" spans="1:23" ht="12.75" hidden="1">
      <c r="A3598" s="109"/>
      <c r="B3598" s="109"/>
      <c r="C3598" s="109"/>
      <c r="D3598" s="109"/>
      <c r="E3598" s="109"/>
      <c r="F3598" s="109"/>
      <c r="G3598" s="109"/>
      <c r="H3598" s="109"/>
      <c r="I3598" s="109"/>
      <c r="J3598" s="109"/>
      <c r="L3598" s="109"/>
      <c r="M3598" s="109"/>
      <c r="N3598" s="109"/>
      <c r="Q3598" s="121"/>
      <c r="W3598" s="109"/>
    </row>
    <row r="3599" spans="1:23" ht="12.75" hidden="1">
      <c r="A3599" s="109"/>
      <c r="B3599" s="109"/>
      <c r="C3599" s="109"/>
      <c r="D3599" s="109"/>
      <c r="E3599" s="109"/>
      <c r="F3599" s="109"/>
      <c r="G3599" s="109"/>
      <c r="H3599" s="109"/>
      <c r="I3599" s="109"/>
      <c r="J3599" s="109"/>
      <c r="L3599" s="109"/>
      <c r="M3599" s="109"/>
      <c r="N3599" s="109"/>
      <c r="Q3599" s="121"/>
      <c r="W3599" s="109"/>
    </row>
    <row r="3600" spans="1:23" ht="12.75" hidden="1">
      <c r="A3600" s="109"/>
      <c r="B3600" s="109"/>
      <c r="C3600" s="109"/>
      <c r="D3600" s="109"/>
      <c r="E3600" s="109"/>
      <c r="F3600" s="109"/>
      <c r="G3600" s="109"/>
      <c r="H3600" s="109"/>
      <c r="I3600" s="109"/>
      <c r="J3600" s="109"/>
      <c r="L3600" s="109"/>
      <c r="M3600" s="109"/>
      <c r="N3600" s="109"/>
      <c r="Q3600" s="121"/>
      <c r="W3600" s="109"/>
    </row>
    <row r="3601" spans="1:23" ht="12.75" hidden="1">
      <c r="A3601" s="109"/>
      <c r="B3601" s="109"/>
      <c r="C3601" s="109"/>
      <c r="D3601" s="109"/>
      <c r="E3601" s="109"/>
      <c r="F3601" s="109"/>
      <c r="G3601" s="109"/>
      <c r="H3601" s="109"/>
      <c r="I3601" s="109"/>
      <c r="J3601" s="109"/>
      <c r="L3601" s="109"/>
      <c r="M3601" s="109"/>
      <c r="N3601" s="109"/>
      <c r="Q3601" s="121"/>
      <c r="W3601" s="109"/>
    </row>
    <row r="3602" spans="1:23" ht="12.75" hidden="1">
      <c r="A3602" s="109"/>
      <c r="B3602" s="109"/>
      <c r="C3602" s="109"/>
      <c r="D3602" s="109"/>
      <c r="E3602" s="109"/>
      <c r="F3602" s="109"/>
      <c r="G3602" s="109"/>
      <c r="H3602" s="109"/>
      <c r="I3602" s="109"/>
      <c r="J3602" s="109"/>
      <c r="L3602" s="109"/>
      <c r="M3602" s="109"/>
      <c r="N3602" s="109"/>
      <c r="Q3602" s="121"/>
      <c r="W3602" s="109"/>
    </row>
    <row r="3603" spans="1:23" ht="12.75" hidden="1">
      <c r="A3603" s="109"/>
      <c r="B3603" s="109"/>
      <c r="C3603" s="109"/>
      <c r="D3603" s="109"/>
      <c r="E3603" s="109"/>
      <c r="F3603" s="109"/>
      <c r="G3603" s="109"/>
      <c r="H3603" s="109"/>
      <c r="I3603" s="109"/>
      <c r="J3603" s="109"/>
      <c r="L3603" s="109"/>
      <c r="M3603" s="109"/>
      <c r="N3603" s="109"/>
      <c r="Q3603" s="121"/>
      <c r="W3603" s="109"/>
    </row>
    <row r="3604" spans="1:23" ht="12.75" hidden="1">
      <c r="A3604" s="109"/>
      <c r="B3604" s="109"/>
      <c r="C3604" s="109"/>
      <c r="D3604" s="109"/>
      <c r="E3604" s="109"/>
      <c r="F3604" s="109"/>
      <c r="G3604" s="109"/>
      <c r="H3604" s="109"/>
      <c r="I3604" s="109"/>
      <c r="J3604" s="109"/>
      <c r="L3604" s="109"/>
      <c r="M3604" s="109"/>
      <c r="N3604" s="109"/>
      <c r="Q3604" s="121"/>
      <c r="W3604" s="109"/>
    </row>
    <row r="3605" spans="1:23" ht="12.75" hidden="1">
      <c r="A3605" s="109"/>
      <c r="B3605" s="109"/>
      <c r="C3605" s="109"/>
      <c r="D3605" s="109"/>
      <c r="E3605" s="109"/>
      <c r="F3605" s="109"/>
      <c r="G3605" s="109"/>
      <c r="H3605" s="109"/>
      <c r="I3605" s="109"/>
      <c r="J3605" s="109"/>
      <c r="L3605" s="109"/>
      <c r="M3605" s="109"/>
      <c r="N3605" s="109"/>
      <c r="Q3605" s="121"/>
      <c r="W3605" s="109"/>
    </row>
    <row r="3606" spans="1:23" ht="12.75" hidden="1">
      <c r="A3606" s="109"/>
      <c r="B3606" s="109"/>
      <c r="C3606" s="109"/>
      <c r="D3606" s="109"/>
      <c r="E3606" s="109"/>
      <c r="F3606" s="109"/>
      <c r="G3606" s="109"/>
      <c r="H3606" s="109"/>
      <c r="I3606" s="109"/>
      <c r="J3606" s="109"/>
      <c r="L3606" s="109"/>
      <c r="M3606" s="109"/>
      <c r="N3606" s="109"/>
      <c r="Q3606" s="121"/>
      <c r="W3606" s="109"/>
    </row>
    <row r="3607" spans="1:23" ht="12.75" hidden="1">
      <c r="A3607" s="109"/>
      <c r="B3607" s="109"/>
      <c r="C3607" s="109"/>
      <c r="D3607" s="109"/>
      <c r="E3607" s="109"/>
      <c r="F3607" s="109"/>
      <c r="G3607" s="109"/>
      <c r="H3607" s="109"/>
      <c r="I3607" s="109"/>
      <c r="J3607" s="109"/>
      <c r="L3607" s="109"/>
      <c r="M3607" s="109"/>
      <c r="N3607" s="109"/>
      <c r="Q3607" s="121"/>
      <c r="W3607" s="109"/>
    </row>
    <row r="3608" spans="1:23" ht="12.75" hidden="1">
      <c r="A3608" s="109"/>
      <c r="B3608" s="109"/>
      <c r="C3608" s="109"/>
      <c r="D3608" s="109"/>
      <c r="E3608" s="109"/>
      <c r="F3608" s="109"/>
      <c r="G3608" s="109"/>
      <c r="H3608" s="109"/>
      <c r="I3608" s="109"/>
      <c r="J3608" s="109"/>
      <c r="L3608" s="109"/>
      <c r="M3608" s="109"/>
      <c r="N3608" s="109"/>
      <c r="Q3608" s="121"/>
      <c r="W3608" s="109"/>
    </row>
    <row r="3609" spans="1:23" ht="12.75" hidden="1">
      <c r="A3609" s="109"/>
      <c r="B3609" s="109"/>
      <c r="C3609" s="109"/>
      <c r="D3609" s="109"/>
      <c r="E3609" s="109"/>
      <c r="F3609" s="109"/>
      <c r="G3609" s="109"/>
      <c r="H3609" s="109"/>
      <c r="I3609" s="109"/>
      <c r="J3609" s="109"/>
      <c r="L3609" s="109"/>
      <c r="M3609" s="109"/>
      <c r="N3609" s="109"/>
      <c r="Q3609" s="121"/>
      <c r="W3609" s="109"/>
    </row>
    <row r="3610" spans="1:23" ht="12.75" hidden="1">
      <c r="A3610" s="109"/>
      <c r="B3610" s="109"/>
      <c r="C3610" s="109"/>
      <c r="D3610" s="109"/>
      <c r="E3610" s="109"/>
      <c r="F3610" s="109"/>
      <c r="G3610" s="109"/>
      <c r="H3610" s="109"/>
      <c r="I3610" s="109"/>
      <c r="J3610" s="109"/>
      <c r="L3610" s="109"/>
      <c r="M3610" s="109"/>
      <c r="N3610" s="109"/>
      <c r="Q3610" s="121"/>
      <c r="W3610" s="109"/>
    </row>
    <row r="3611" spans="1:23" ht="12.75" hidden="1">
      <c r="A3611" s="109"/>
      <c r="B3611" s="109"/>
      <c r="C3611" s="109"/>
      <c r="D3611" s="109"/>
      <c r="E3611" s="109"/>
      <c r="F3611" s="109"/>
      <c r="G3611" s="109"/>
      <c r="H3611" s="109"/>
      <c r="I3611" s="109"/>
      <c r="J3611" s="109"/>
      <c r="L3611" s="109"/>
      <c r="M3611" s="109"/>
      <c r="N3611" s="109"/>
      <c r="Q3611" s="121"/>
      <c r="W3611" s="109"/>
    </row>
    <row r="3612" spans="1:23" ht="12.75" hidden="1">
      <c r="A3612" s="109"/>
      <c r="B3612" s="109"/>
      <c r="C3612" s="109"/>
      <c r="D3612" s="109"/>
      <c r="E3612" s="109"/>
      <c r="F3612" s="109"/>
      <c r="G3612" s="109"/>
      <c r="H3612" s="109"/>
      <c r="I3612" s="109"/>
      <c r="J3612" s="109"/>
      <c r="L3612" s="109"/>
      <c r="M3612" s="109"/>
      <c r="N3612" s="109"/>
      <c r="Q3612" s="121"/>
      <c r="W3612" s="109"/>
    </row>
    <row r="3613" spans="1:23" ht="12.75" hidden="1">
      <c r="A3613" s="109"/>
      <c r="B3613" s="109"/>
      <c r="C3613" s="109"/>
      <c r="D3613" s="109"/>
      <c r="E3613" s="109"/>
      <c r="F3613" s="109"/>
      <c r="G3613" s="109"/>
      <c r="H3613" s="109"/>
      <c r="I3613" s="109"/>
      <c r="J3613" s="109"/>
      <c r="L3613" s="109"/>
      <c r="M3613" s="109"/>
      <c r="N3613" s="109"/>
      <c r="Q3613" s="121"/>
      <c r="W3613" s="109"/>
    </row>
    <row r="3614" spans="1:23" ht="12.75" hidden="1">
      <c r="A3614" s="109"/>
      <c r="B3614" s="109"/>
      <c r="C3614" s="109"/>
      <c r="D3614" s="109"/>
      <c r="E3614" s="109"/>
      <c r="F3614" s="109"/>
      <c r="G3614" s="109"/>
      <c r="H3614" s="109"/>
      <c r="I3614" s="109"/>
      <c r="J3614" s="109"/>
      <c r="L3614" s="109"/>
      <c r="M3614" s="109"/>
      <c r="N3614" s="109"/>
      <c r="Q3614" s="121"/>
      <c r="W3614" s="109"/>
    </row>
    <row r="3615" spans="1:23" ht="12.75" hidden="1">
      <c r="A3615" s="109"/>
      <c r="B3615" s="109"/>
      <c r="C3615" s="109"/>
      <c r="D3615" s="109"/>
      <c r="E3615" s="109"/>
      <c r="F3615" s="109"/>
      <c r="G3615" s="109"/>
      <c r="H3615" s="109"/>
      <c r="I3615" s="109"/>
      <c r="J3615" s="109"/>
      <c r="L3615" s="109"/>
      <c r="M3615" s="109"/>
      <c r="N3615" s="109"/>
      <c r="Q3615" s="121"/>
      <c r="W3615" s="109"/>
    </row>
    <row r="3616" spans="1:23" ht="12.75" hidden="1">
      <c r="A3616" s="109"/>
      <c r="B3616" s="109"/>
      <c r="C3616" s="109"/>
      <c r="D3616" s="109"/>
      <c r="E3616" s="109"/>
      <c r="F3616" s="109"/>
      <c r="G3616" s="109"/>
      <c r="H3616" s="109"/>
      <c r="I3616" s="109"/>
      <c r="J3616" s="109"/>
      <c r="L3616" s="109"/>
      <c r="M3616" s="109"/>
      <c r="N3616" s="109"/>
      <c r="Q3616" s="121"/>
      <c r="W3616" s="109"/>
    </row>
    <row r="3617" spans="1:23" ht="12.75" hidden="1">
      <c r="A3617" s="109"/>
      <c r="B3617" s="109"/>
      <c r="C3617" s="109"/>
      <c r="D3617" s="109"/>
      <c r="E3617" s="109"/>
      <c r="F3617" s="109"/>
      <c r="G3617" s="109"/>
      <c r="H3617" s="109"/>
      <c r="I3617" s="109"/>
      <c r="J3617" s="109"/>
      <c r="L3617" s="109"/>
      <c r="M3617" s="109"/>
      <c r="N3617" s="109"/>
      <c r="Q3617" s="121"/>
      <c r="W3617" s="109"/>
    </row>
    <row r="3618" spans="1:23" ht="12.75" hidden="1">
      <c r="A3618" s="109"/>
      <c r="B3618" s="109"/>
      <c r="C3618" s="109"/>
      <c r="D3618" s="109"/>
      <c r="E3618" s="109"/>
      <c r="F3618" s="109"/>
      <c r="G3618" s="109"/>
      <c r="H3618" s="109"/>
      <c r="I3618" s="109"/>
      <c r="J3618" s="109"/>
      <c r="L3618" s="109"/>
      <c r="M3618" s="109"/>
      <c r="N3618" s="109"/>
      <c r="Q3618" s="121"/>
      <c r="W3618" s="109"/>
    </row>
    <row r="3619" spans="1:23" ht="12.75" hidden="1">
      <c r="A3619" s="109"/>
      <c r="B3619" s="109"/>
      <c r="C3619" s="109"/>
      <c r="D3619" s="109"/>
      <c r="E3619" s="109"/>
      <c r="F3619" s="109"/>
      <c r="G3619" s="109"/>
      <c r="H3619" s="109"/>
      <c r="I3619" s="109"/>
      <c r="J3619" s="109"/>
      <c r="L3619" s="109"/>
      <c r="M3619" s="109"/>
      <c r="N3619" s="109"/>
      <c r="Q3619" s="121"/>
      <c r="W3619" s="109"/>
    </row>
    <row r="3620" spans="1:23" ht="12.75" hidden="1">
      <c r="A3620" s="109"/>
      <c r="B3620" s="109"/>
      <c r="C3620" s="109"/>
      <c r="D3620" s="109"/>
      <c r="E3620" s="109"/>
      <c r="F3620" s="109"/>
      <c r="G3620" s="109"/>
      <c r="H3620" s="109"/>
      <c r="I3620" s="109"/>
      <c r="J3620" s="109"/>
      <c r="L3620" s="109"/>
      <c r="M3620" s="109"/>
      <c r="N3620" s="109"/>
      <c r="Q3620" s="121"/>
      <c r="W3620" s="109"/>
    </row>
    <row r="3621" spans="1:23" ht="12.75" hidden="1">
      <c r="A3621" s="109"/>
      <c r="B3621" s="109"/>
      <c r="C3621" s="109"/>
      <c r="D3621" s="109"/>
      <c r="E3621" s="109"/>
      <c r="F3621" s="109"/>
      <c r="G3621" s="109"/>
      <c r="H3621" s="109"/>
      <c r="I3621" s="109"/>
      <c r="J3621" s="109"/>
      <c r="L3621" s="109"/>
      <c r="M3621" s="109"/>
      <c r="N3621" s="109"/>
      <c r="Q3621" s="121"/>
      <c r="W3621" s="109"/>
    </row>
    <row r="3622" spans="1:23" ht="12.75" hidden="1">
      <c r="A3622" s="109"/>
      <c r="B3622" s="109"/>
      <c r="C3622" s="109"/>
      <c r="D3622" s="109"/>
      <c r="E3622" s="109"/>
      <c r="F3622" s="109"/>
      <c r="G3622" s="109"/>
      <c r="H3622" s="109"/>
      <c r="I3622" s="109"/>
      <c r="J3622" s="109"/>
      <c r="L3622" s="109"/>
      <c r="M3622" s="109"/>
      <c r="N3622" s="109"/>
      <c r="Q3622" s="121"/>
      <c r="W3622" s="109"/>
    </row>
    <row r="3623" spans="1:23" ht="12.75" hidden="1">
      <c r="A3623" s="109"/>
      <c r="B3623" s="109"/>
      <c r="C3623" s="109"/>
      <c r="D3623" s="109"/>
      <c r="E3623" s="109"/>
      <c r="F3623" s="109"/>
      <c r="G3623" s="109"/>
      <c r="H3623" s="109"/>
      <c r="I3623" s="109"/>
      <c r="J3623" s="109"/>
      <c r="L3623" s="109"/>
      <c r="M3623" s="109"/>
      <c r="N3623" s="109"/>
      <c r="Q3623" s="121"/>
      <c r="W3623" s="109"/>
    </row>
    <row r="3624" spans="1:23" ht="12.75" hidden="1">
      <c r="A3624" s="109"/>
      <c r="B3624" s="109"/>
      <c r="C3624" s="109"/>
      <c r="D3624" s="109"/>
      <c r="E3624" s="109"/>
      <c r="F3624" s="109"/>
      <c r="G3624" s="109"/>
      <c r="H3624" s="109"/>
      <c r="I3624" s="109"/>
      <c r="J3624" s="109"/>
      <c r="L3624" s="109"/>
      <c r="M3624" s="109"/>
      <c r="N3624" s="109"/>
      <c r="Q3624" s="121"/>
      <c r="W3624" s="109"/>
    </row>
    <row r="3625" spans="1:23" ht="12.75" hidden="1">
      <c r="A3625" s="109"/>
      <c r="B3625" s="109"/>
      <c r="C3625" s="109"/>
      <c r="D3625" s="109"/>
      <c r="E3625" s="109"/>
      <c r="F3625" s="109"/>
      <c r="G3625" s="109"/>
      <c r="H3625" s="109"/>
      <c r="I3625" s="109"/>
      <c r="J3625" s="109"/>
      <c r="L3625" s="109"/>
      <c r="M3625" s="109"/>
      <c r="N3625" s="109"/>
      <c r="Q3625" s="121"/>
      <c r="W3625" s="109"/>
    </row>
    <row r="3626" spans="1:23" ht="12.75" hidden="1">
      <c r="A3626" s="109"/>
      <c r="B3626" s="109"/>
      <c r="C3626" s="109"/>
      <c r="D3626" s="109"/>
      <c r="E3626" s="109"/>
      <c r="F3626" s="109"/>
      <c r="G3626" s="109"/>
      <c r="H3626" s="109"/>
      <c r="I3626" s="109"/>
      <c r="J3626" s="109"/>
      <c r="L3626" s="109"/>
      <c r="M3626" s="109"/>
      <c r="N3626" s="109"/>
      <c r="Q3626" s="121"/>
      <c r="W3626" s="109"/>
    </row>
    <row r="3627" spans="1:23" ht="12.75" hidden="1">
      <c r="A3627" s="109"/>
      <c r="B3627" s="109"/>
      <c r="C3627" s="109"/>
      <c r="D3627" s="109"/>
      <c r="E3627" s="109"/>
      <c r="F3627" s="109"/>
      <c r="G3627" s="109"/>
      <c r="H3627" s="109"/>
      <c r="I3627" s="109"/>
      <c r="J3627" s="109"/>
      <c r="L3627" s="109"/>
      <c r="M3627" s="109"/>
      <c r="N3627" s="109"/>
      <c r="Q3627" s="121"/>
      <c r="W3627" s="109"/>
    </row>
    <row r="3628" spans="1:23" ht="12.75" hidden="1">
      <c r="A3628" s="109"/>
      <c r="B3628" s="109"/>
      <c r="C3628" s="109"/>
      <c r="D3628" s="109"/>
      <c r="E3628" s="109"/>
      <c r="F3628" s="109"/>
      <c r="G3628" s="109"/>
      <c r="H3628" s="109"/>
      <c r="I3628" s="109"/>
      <c r="J3628" s="109"/>
      <c r="L3628" s="109"/>
      <c r="M3628" s="109"/>
      <c r="N3628" s="109"/>
      <c r="Q3628" s="121"/>
      <c r="W3628" s="109"/>
    </row>
    <row r="3629" spans="1:23" ht="12.75" hidden="1">
      <c r="A3629" s="109"/>
      <c r="B3629" s="109"/>
      <c r="C3629" s="109"/>
      <c r="D3629" s="109"/>
      <c r="E3629" s="109"/>
      <c r="F3629" s="109"/>
      <c r="G3629" s="109"/>
      <c r="H3629" s="109"/>
      <c r="I3629" s="109"/>
      <c r="J3629" s="109"/>
      <c r="L3629" s="109"/>
      <c r="M3629" s="109"/>
      <c r="N3629" s="109"/>
      <c r="Q3629" s="121"/>
      <c r="W3629" s="109"/>
    </row>
    <row r="3630" spans="1:23" ht="12.75" hidden="1">
      <c r="A3630" s="109"/>
      <c r="B3630" s="109"/>
      <c r="C3630" s="109"/>
      <c r="D3630" s="109"/>
      <c r="E3630" s="109"/>
      <c r="F3630" s="109"/>
      <c r="G3630" s="109"/>
      <c r="H3630" s="109"/>
      <c r="I3630" s="109"/>
      <c r="J3630" s="109"/>
      <c r="L3630" s="109"/>
      <c r="M3630" s="109"/>
      <c r="N3630" s="109"/>
      <c r="Q3630" s="121"/>
      <c r="W3630" s="109"/>
    </row>
    <row r="3631" spans="1:23" ht="12.75" hidden="1">
      <c r="A3631" s="109"/>
      <c r="B3631" s="109"/>
      <c r="C3631" s="109"/>
      <c r="D3631" s="109"/>
      <c r="E3631" s="109"/>
      <c r="F3631" s="109"/>
      <c r="G3631" s="109"/>
      <c r="H3631" s="109"/>
      <c r="I3631" s="109"/>
      <c r="J3631" s="109"/>
      <c r="L3631" s="109"/>
      <c r="M3631" s="109"/>
      <c r="N3631" s="109"/>
      <c r="Q3631" s="121"/>
      <c r="W3631" s="109"/>
    </row>
    <row r="3632" spans="1:23" ht="12.75" hidden="1">
      <c r="A3632" s="109"/>
      <c r="B3632" s="109"/>
      <c r="C3632" s="109"/>
      <c r="D3632" s="109"/>
      <c r="E3632" s="109"/>
      <c r="F3632" s="109"/>
      <c r="G3632" s="109"/>
      <c r="H3632" s="109"/>
      <c r="I3632" s="109"/>
      <c r="J3632" s="109"/>
      <c r="L3632" s="109"/>
      <c r="M3632" s="109"/>
      <c r="N3632" s="109"/>
      <c r="Q3632" s="121"/>
      <c r="W3632" s="109"/>
    </row>
    <row r="3633" spans="1:23" ht="12.75" hidden="1">
      <c r="A3633" s="109"/>
      <c r="B3633" s="109"/>
      <c r="C3633" s="109"/>
      <c r="D3633" s="109"/>
      <c r="E3633" s="109"/>
      <c r="F3633" s="109"/>
      <c r="G3633" s="109"/>
      <c r="H3633" s="109"/>
      <c r="I3633" s="109"/>
      <c r="J3633" s="109"/>
      <c r="L3633" s="109"/>
      <c r="M3633" s="109"/>
      <c r="N3633" s="109"/>
      <c r="Q3633" s="121"/>
      <c r="W3633" s="109"/>
    </row>
    <row r="3634" spans="1:23" ht="12.75" hidden="1">
      <c r="A3634" s="109"/>
      <c r="B3634" s="109"/>
      <c r="C3634" s="109"/>
      <c r="D3634" s="109"/>
      <c r="E3634" s="109"/>
      <c r="F3634" s="109"/>
      <c r="G3634" s="109"/>
      <c r="H3634" s="109"/>
      <c r="I3634" s="109"/>
      <c r="J3634" s="109"/>
      <c r="L3634" s="109"/>
      <c r="M3634" s="109"/>
      <c r="N3634" s="109"/>
      <c r="Q3634" s="121"/>
      <c r="W3634" s="109"/>
    </row>
    <row r="3635" spans="1:23" ht="12.75" hidden="1">
      <c r="A3635" s="109"/>
      <c r="B3635" s="109"/>
      <c r="C3635" s="109"/>
      <c r="D3635" s="109"/>
      <c r="E3635" s="109"/>
      <c r="F3635" s="109"/>
      <c r="G3635" s="109"/>
      <c r="H3635" s="109"/>
      <c r="I3635" s="109"/>
      <c r="J3635" s="109"/>
      <c r="L3635" s="109"/>
      <c r="M3635" s="109"/>
      <c r="N3635" s="109"/>
      <c r="Q3635" s="121"/>
      <c r="W3635" s="109"/>
    </row>
    <row r="3636" spans="1:23" ht="12.75" hidden="1">
      <c r="A3636" s="109"/>
      <c r="B3636" s="109"/>
      <c r="C3636" s="109"/>
      <c r="D3636" s="109"/>
      <c r="E3636" s="109"/>
      <c r="F3636" s="109"/>
      <c r="G3636" s="109"/>
      <c r="H3636" s="109"/>
      <c r="I3636" s="109"/>
      <c r="J3636" s="109"/>
      <c r="L3636" s="109"/>
      <c r="M3636" s="109"/>
      <c r="N3636" s="109"/>
      <c r="Q3636" s="121"/>
      <c r="W3636" s="109"/>
    </row>
    <row r="3637" spans="1:23" ht="12.75" hidden="1">
      <c r="A3637" s="109"/>
      <c r="B3637" s="109"/>
      <c r="C3637" s="109"/>
      <c r="D3637" s="109"/>
      <c r="E3637" s="109"/>
      <c r="F3637" s="109"/>
      <c r="G3637" s="109"/>
      <c r="H3637" s="109"/>
      <c r="I3637" s="109"/>
      <c r="J3637" s="109"/>
      <c r="L3637" s="109"/>
      <c r="M3637" s="109"/>
      <c r="N3637" s="109"/>
      <c r="Q3637" s="121"/>
      <c r="W3637" s="109"/>
    </row>
    <row r="3638" spans="1:23" ht="12.75" hidden="1">
      <c r="A3638" s="109"/>
      <c r="B3638" s="109"/>
      <c r="C3638" s="109"/>
      <c r="D3638" s="109"/>
      <c r="E3638" s="109"/>
      <c r="F3638" s="109"/>
      <c r="G3638" s="109"/>
      <c r="H3638" s="109"/>
      <c r="I3638" s="109"/>
      <c r="J3638" s="109"/>
      <c r="L3638" s="109"/>
      <c r="M3638" s="109"/>
      <c r="N3638" s="109"/>
      <c r="Q3638" s="121"/>
      <c r="W3638" s="109"/>
    </row>
    <row r="3639" spans="1:23" ht="12.75" hidden="1">
      <c r="A3639" s="109"/>
      <c r="B3639" s="109"/>
      <c r="C3639" s="109"/>
      <c r="D3639" s="109"/>
      <c r="E3639" s="109"/>
      <c r="F3639" s="109"/>
      <c r="G3639" s="109"/>
      <c r="H3639" s="109"/>
      <c r="I3639" s="109"/>
      <c r="J3639" s="109"/>
      <c r="L3639" s="109"/>
      <c r="M3639" s="109"/>
      <c r="N3639" s="109"/>
      <c r="Q3639" s="121"/>
      <c r="W3639" s="109"/>
    </row>
    <row r="3640" spans="1:23" ht="12.75" hidden="1">
      <c r="A3640" s="109"/>
      <c r="B3640" s="109"/>
      <c r="C3640" s="109"/>
      <c r="D3640" s="109"/>
      <c r="E3640" s="109"/>
      <c r="F3640" s="109"/>
      <c r="G3640" s="109"/>
      <c r="H3640" s="109"/>
      <c r="I3640" s="109"/>
      <c r="J3640" s="109"/>
      <c r="L3640" s="109"/>
      <c r="M3640" s="109"/>
      <c r="N3640" s="109"/>
      <c r="Q3640" s="121"/>
      <c r="W3640" s="109"/>
    </row>
    <row r="3641" spans="1:23" ht="12.75" hidden="1">
      <c r="A3641" s="109"/>
      <c r="B3641" s="109"/>
      <c r="C3641" s="109"/>
      <c r="D3641" s="109"/>
      <c r="E3641" s="109"/>
      <c r="F3641" s="109"/>
      <c r="G3641" s="109"/>
      <c r="H3641" s="109"/>
      <c r="I3641" s="109"/>
      <c r="J3641" s="109"/>
      <c r="L3641" s="109"/>
      <c r="M3641" s="109"/>
      <c r="N3641" s="109"/>
      <c r="Q3641" s="121"/>
      <c r="W3641" s="109"/>
    </row>
    <row r="3642" spans="1:23" ht="12.75" hidden="1">
      <c r="A3642" s="109"/>
      <c r="B3642" s="109"/>
      <c r="C3642" s="109"/>
      <c r="D3642" s="109"/>
      <c r="E3642" s="109"/>
      <c r="F3642" s="109"/>
      <c r="G3642" s="109"/>
      <c r="H3642" s="109"/>
      <c r="I3642" s="109"/>
      <c r="J3642" s="109"/>
      <c r="L3642" s="109"/>
      <c r="M3642" s="109"/>
      <c r="N3642" s="109"/>
      <c r="Q3642" s="121"/>
      <c r="W3642" s="109"/>
    </row>
    <row r="3643" spans="1:23" ht="12.75" hidden="1">
      <c r="A3643" s="109"/>
      <c r="B3643" s="109"/>
      <c r="C3643" s="109"/>
      <c r="D3643" s="109"/>
      <c r="E3643" s="109"/>
      <c r="F3643" s="109"/>
      <c r="G3643" s="109"/>
      <c r="H3643" s="109"/>
      <c r="I3643" s="109"/>
      <c r="J3643" s="109"/>
      <c r="L3643" s="109"/>
      <c r="M3643" s="109"/>
      <c r="N3643" s="109"/>
      <c r="Q3643" s="121"/>
      <c r="W3643" s="109"/>
    </row>
    <row r="3644" spans="1:23" ht="12.75" hidden="1">
      <c r="A3644" s="109"/>
      <c r="B3644" s="109"/>
      <c r="C3644" s="109"/>
      <c r="D3644" s="109"/>
      <c r="E3644" s="109"/>
      <c r="F3644" s="109"/>
      <c r="G3644" s="109"/>
      <c r="H3644" s="109"/>
      <c r="I3644" s="109"/>
      <c r="J3644" s="109"/>
      <c r="L3644" s="109"/>
      <c r="M3644" s="109"/>
      <c r="N3644" s="109"/>
      <c r="Q3644" s="121"/>
      <c r="W3644" s="109"/>
    </row>
    <row r="3645" spans="1:23" ht="12.75" hidden="1">
      <c r="A3645" s="109"/>
      <c r="B3645" s="109"/>
      <c r="C3645" s="109"/>
      <c r="D3645" s="109"/>
      <c r="E3645" s="109"/>
      <c r="F3645" s="109"/>
      <c r="G3645" s="109"/>
      <c r="H3645" s="109"/>
      <c r="I3645" s="109"/>
      <c r="J3645" s="109"/>
      <c r="L3645" s="109"/>
      <c r="M3645" s="109"/>
      <c r="N3645" s="109"/>
      <c r="Q3645" s="121"/>
      <c r="W3645" s="109"/>
    </row>
    <row r="3646" spans="1:23" ht="12.75" hidden="1">
      <c r="A3646" s="109"/>
      <c r="B3646" s="109"/>
      <c r="C3646" s="109"/>
      <c r="D3646" s="109"/>
      <c r="E3646" s="109"/>
      <c r="F3646" s="109"/>
      <c r="G3646" s="109"/>
      <c r="H3646" s="109"/>
      <c r="I3646" s="109"/>
      <c r="J3646" s="109"/>
      <c r="L3646" s="109"/>
      <c r="M3646" s="109"/>
      <c r="N3646" s="109"/>
      <c r="Q3646" s="121"/>
      <c r="W3646" s="109"/>
    </row>
    <row r="3647" spans="1:23" ht="12.75" hidden="1">
      <c r="A3647" s="109"/>
      <c r="B3647" s="109"/>
      <c r="C3647" s="109"/>
      <c r="D3647" s="109"/>
      <c r="E3647" s="109"/>
      <c r="F3647" s="109"/>
      <c r="G3647" s="109"/>
      <c r="H3647" s="109"/>
      <c r="I3647" s="109"/>
      <c r="J3647" s="109"/>
      <c r="L3647" s="109"/>
      <c r="M3647" s="109"/>
      <c r="N3647" s="109"/>
      <c r="Q3647" s="121"/>
      <c r="W3647" s="109"/>
    </row>
    <row r="3648" spans="1:23" ht="12.75" hidden="1">
      <c r="A3648" s="109"/>
      <c r="B3648" s="109"/>
      <c r="C3648" s="109"/>
      <c r="D3648" s="109"/>
      <c r="E3648" s="109"/>
      <c r="F3648" s="109"/>
      <c r="G3648" s="109"/>
      <c r="H3648" s="109"/>
      <c r="I3648" s="109"/>
      <c r="J3648" s="109"/>
      <c r="L3648" s="109"/>
      <c r="M3648" s="109"/>
      <c r="N3648" s="109"/>
      <c r="Q3648" s="121"/>
      <c r="W3648" s="109"/>
    </row>
    <row r="3649" spans="1:23" ht="12.75" hidden="1">
      <c r="A3649" s="109"/>
      <c r="B3649" s="109"/>
      <c r="C3649" s="109"/>
      <c r="D3649" s="109"/>
      <c r="E3649" s="109"/>
      <c r="F3649" s="109"/>
      <c r="G3649" s="109"/>
      <c r="H3649" s="109"/>
      <c r="I3649" s="109"/>
      <c r="J3649" s="109"/>
      <c r="L3649" s="109"/>
      <c r="M3649" s="109"/>
      <c r="N3649" s="109"/>
      <c r="Q3649" s="121"/>
      <c r="W3649" s="109"/>
    </row>
    <row r="3650" spans="1:23" ht="12.75" hidden="1">
      <c r="A3650" s="109"/>
      <c r="B3650" s="109"/>
      <c r="C3650" s="109"/>
      <c r="D3650" s="109"/>
      <c r="E3650" s="109"/>
      <c r="F3650" s="109"/>
      <c r="G3650" s="109"/>
      <c r="H3650" s="109"/>
      <c r="I3650" s="109"/>
      <c r="J3650" s="109"/>
      <c r="L3650" s="109"/>
      <c r="M3650" s="109"/>
      <c r="N3650" s="109"/>
      <c r="Q3650" s="121"/>
      <c r="W3650" s="109"/>
    </row>
    <row r="3651" spans="1:23" ht="12.75" hidden="1">
      <c r="A3651" s="109"/>
      <c r="B3651" s="109"/>
      <c r="C3651" s="109"/>
      <c r="D3651" s="109"/>
      <c r="E3651" s="109"/>
      <c r="F3651" s="109"/>
      <c r="G3651" s="109"/>
      <c r="H3651" s="109"/>
      <c r="I3651" s="109"/>
      <c r="J3651" s="109"/>
      <c r="L3651" s="109"/>
      <c r="M3651" s="109"/>
      <c r="N3651" s="109"/>
      <c r="Q3651" s="121"/>
      <c r="W3651" s="109"/>
    </row>
    <row r="3652" spans="1:23" ht="12.75" hidden="1">
      <c r="A3652" s="109"/>
      <c r="B3652" s="109"/>
      <c r="C3652" s="109"/>
      <c r="D3652" s="109"/>
      <c r="E3652" s="109"/>
      <c r="F3652" s="109"/>
      <c r="G3652" s="109"/>
      <c r="H3652" s="109"/>
      <c r="I3652" s="109"/>
      <c r="J3652" s="109"/>
      <c r="L3652" s="109"/>
      <c r="M3652" s="109"/>
      <c r="N3652" s="109"/>
      <c r="Q3652" s="121"/>
      <c r="W3652" s="109"/>
    </row>
    <row r="3653" spans="1:23" ht="12.75" hidden="1">
      <c r="A3653" s="109"/>
      <c r="B3653" s="109"/>
      <c r="C3653" s="109"/>
      <c r="D3653" s="109"/>
      <c r="E3653" s="109"/>
      <c r="F3653" s="109"/>
      <c r="G3653" s="109"/>
      <c r="H3653" s="109"/>
      <c r="I3653" s="109"/>
      <c r="J3653" s="109"/>
      <c r="L3653" s="109"/>
      <c r="M3653" s="109"/>
      <c r="N3653" s="109"/>
      <c r="Q3653" s="121"/>
      <c r="W3653" s="109"/>
    </row>
    <row r="3654" spans="1:23" ht="12.75" hidden="1">
      <c r="A3654" s="109"/>
      <c r="B3654" s="109"/>
      <c r="C3654" s="109"/>
      <c r="D3654" s="109"/>
      <c r="E3654" s="109"/>
      <c r="F3654" s="109"/>
      <c r="G3654" s="109"/>
      <c r="H3654" s="109"/>
      <c r="I3654" s="109"/>
      <c r="J3654" s="109"/>
      <c r="L3654" s="109"/>
      <c r="M3654" s="109"/>
      <c r="N3654" s="109"/>
      <c r="Q3654" s="121"/>
      <c r="W3654" s="109"/>
    </row>
    <row r="3655" spans="1:23" ht="12.75" hidden="1">
      <c r="A3655" s="109"/>
      <c r="B3655" s="109"/>
      <c r="C3655" s="109"/>
      <c r="D3655" s="109"/>
      <c r="E3655" s="109"/>
      <c r="F3655" s="109"/>
      <c r="G3655" s="109"/>
      <c r="H3655" s="109"/>
      <c r="I3655" s="109"/>
      <c r="J3655" s="109"/>
      <c r="L3655" s="109"/>
      <c r="M3655" s="109"/>
      <c r="N3655" s="109"/>
      <c r="Q3655" s="121"/>
      <c r="W3655" s="109"/>
    </row>
    <row r="3656" spans="1:23" ht="12.75" hidden="1">
      <c r="A3656" s="109"/>
      <c r="B3656" s="109"/>
      <c r="C3656" s="109"/>
      <c r="D3656" s="109"/>
      <c r="E3656" s="109"/>
      <c r="F3656" s="109"/>
      <c r="G3656" s="109"/>
      <c r="H3656" s="109"/>
      <c r="I3656" s="109"/>
      <c r="J3656" s="109"/>
      <c r="L3656" s="109"/>
      <c r="M3656" s="109"/>
      <c r="N3656" s="109"/>
      <c r="Q3656" s="121"/>
      <c r="W3656" s="109"/>
    </row>
    <row r="3657" spans="1:23" ht="12.75" hidden="1">
      <c r="A3657" s="109"/>
      <c r="B3657" s="109"/>
      <c r="C3657" s="109"/>
      <c r="D3657" s="109"/>
      <c r="E3657" s="109"/>
      <c r="F3657" s="109"/>
      <c r="G3657" s="109"/>
      <c r="H3657" s="109"/>
      <c r="I3657" s="109"/>
      <c r="J3657" s="109"/>
      <c r="L3657" s="109"/>
      <c r="M3657" s="109"/>
      <c r="N3657" s="109"/>
      <c r="Q3657" s="121"/>
      <c r="W3657" s="109"/>
    </row>
    <row r="3658" spans="1:23" ht="12.75" hidden="1">
      <c r="A3658" s="109"/>
      <c r="B3658" s="109"/>
      <c r="C3658" s="109"/>
      <c r="D3658" s="109"/>
      <c r="E3658" s="109"/>
      <c r="F3658" s="109"/>
      <c r="G3658" s="109"/>
      <c r="H3658" s="109"/>
      <c r="I3658" s="109"/>
      <c r="J3658" s="109"/>
      <c r="L3658" s="109"/>
      <c r="M3658" s="109"/>
      <c r="N3658" s="109"/>
      <c r="Q3658" s="121"/>
      <c r="W3658" s="109"/>
    </row>
    <row r="3659" spans="1:23" ht="12.75" hidden="1">
      <c r="A3659" s="109"/>
      <c r="B3659" s="109"/>
      <c r="C3659" s="109"/>
      <c r="D3659" s="109"/>
      <c r="E3659" s="109"/>
      <c r="F3659" s="109"/>
      <c r="G3659" s="109"/>
      <c r="H3659" s="109"/>
      <c r="I3659" s="109"/>
      <c r="J3659" s="109"/>
      <c r="L3659" s="109"/>
      <c r="M3659" s="109"/>
      <c r="N3659" s="109"/>
      <c r="Q3659" s="121"/>
      <c r="W3659" s="109"/>
    </row>
    <row r="3660" spans="1:23" ht="12.75" hidden="1">
      <c r="A3660" s="109"/>
      <c r="B3660" s="109"/>
      <c r="C3660" s="109"/>
      <c r="D3660" s="109"/>
      <c r="E3660" s="109"/>
      <c r="F3660" s="109"/>
      <c r="G3660" s="109"/>
      <c r="H3660" s="109"/>
      <c r="I3660" s="109"/>
      <c r="J3660" s="109"/>
      <c r="L3660" s="109"/>
      <c r="M3660" s="109"/>
      <c r="N3660" s="109"/>
      <c r="Q3660" s="121"/>
      <c r="W3660" s="109"/>
    </row>
    <row r="3661" spans="1:23" ht="12.75" hidden="1">
      <c r="A3661" s="109"/>
      <c r="B3661" s="109"/>
      <c r="C3661" s="109"/>
      <c r="D3661" s="109"/>
      <c r="E3661" s="109"/>
      <c r="F3661" s="109"/>
      <c r="G3661" s="109"/>
      <c r="H3661" s="109"/>
      <c r="I3661" s="109"/>
      <c r="J3661" s="109"/>
      <c r="L3661" s="109"/>
      <c r="M3661" s="109"/>
      <c r="N3661" s="109"/>
      <c r="Q3661" s="121"/>
      <c r="W3661" s="109"/>
    </row>
    <row r="3662" spans="1:23" ht="12.75" hidden="1">
      <c r="A3662" s="109"/>
      <c r="B3662" s="109"/>
      <c r="C3662" s="109"/>
      <c r="D3662" s="109"/>
      <c r="E3662" s="109"/>
      <c r="F3662" s="109"/>
      <c r="G3662" s="109"/>
      <c r="H3662" s="109"/>
      <c r="I3662" s="109"/>
      <c r="J3662" s="109"/>
      <c r="L3662" s="109"/>
      <c r="M3662" s="109"/>
      <c r="N3662" s="109"/>
      <c r="Q3662" s="121"/>
      <c r="W3662" s="109"/>
    </row>
    <row r="3663" spans="1:23" ht="12.75" hidden="1">
      <c r="A3663" s="109"/>
      <c r="B3663" s="109"/>
      <c r="C3663" s="109"/>
      <c r="D3663" s="109"/>
      <c r="E3663" s="109"/>
      <c r="F3663" s="109"/>
      <c r="G3663" s="109"/>
      <c r="H3663" s="109"/>
      <c r="I3663" s="109"/>
      <c r="J3663" s="109"/>
      <c r="L3663" s="109"/>
      <c r="M3663" s="109"/>
      <c r="N3663" s="109"/>
      <c r="Q3663" s="121"/>
      <c r="W3663" s="109"/>
    </row>
    <row r="3664" spans="1:23" ht="12.75" hidden="1">
      <c r="A3664" s="109"/>
      <c r="B3664" s="109"/>
      <c r="C3664" s="109"/>
      <c r="D3664" s="109"/>
      <c r="E3664" s="109"/>
      <c r="F3664" s="109"/>
      <c r="G3664" s="109"/>
      <c r="H3664" s="109"/>
      <c r="I3664" s="109"/>
      <c r="J3664" s="109"/>
      <c r="L3664" s="109"/>
      <c r="M3664" s="109"/>
      <c r="N3664" s="109"/>
      <c r="Q3664" s="121"/>
      <c r="W3664" s="109"/>
    </row>
    <row r="3665" spans="1:23" ht="12.75" hidden="1">
      <c r="A3665" s="109"/>
      <c r="B3665" s="109"/>
      <c r="C3665" s="109"/>
      <c r="D3665" s="109"/>
      <c r="E3665" s="109"/>
      <c r="F3665" s="109"/>
      <c r="G3665" s="109"/>
      <c r="H3665" s="109"/>
      <c r="I3665" s="109"/>
      <c r="J3665" s="109"/>
      <c r="L3665" s="109"/>
      <c r="M3665" s="109"/>
      <c r="N3665" s="109"/>
      <c r="Q3665" s="121"/>
      <c r="W3665" s="109"/>
    </row>
    <row r="3666" spans="1:23" ht="12.75" hidden="1">
      <c r="A3666" s="109"/>
      <c r="B3666" s="109"/>
      <c r="C3666" s="109"/>
      <c r="D3666" s="109"/>
      <c r="E3666" s="109"/>
      <c r="F3666" s="109"/>
      <c r="G3666" s="109"/>
      <c r="H3666" s="109"/>
      <c r="I3666" s="109"/>
      <c r="J3666" s="109"/>
      <c r="L3666" s="109"/>
      <c r="M3666" s="109"/>
      <c r="N3666" s="109"/>
      <c r="Q3666" s="121"/>
      <c r="W3666" s="109"/>
    </row>
    <row r="3667" spans="1:23" ht="12.75" hidden="1">
      <c r="A3667" s="109"/>
      <c r="B3667" s="109"/>
      <c r="C3667" s="109"/>
      <c r="D3667" s="109"/>
      <c r="E3667" s="109"/>
      <c r="F3667" s="109"/>
      <c r="G3667" s="109"/>
      <c r="H3667" s="109"/>
      <c r="I3667" s="109"/>
      <c r="J3667" s="109"/>
      <c r="L3667" s="109"/>
      <c r="M3667" s="109"/>
      <c r="N3667" s="109"/>
      <c r="Q3667" s="121"/>
      <c r="W3667" s="109"/>
    </row>
    <row r="3668" spans="1:23" ht="12.75" hidden="1">
      <c r="A3668" s="109"/>
      <c r="B3668" s="109"/>
      <c r="C3668" s="109"/>
      <c r="D3668" s="109"/>
      <c r="E3668" s="109"/>
      <c r="F3668" s="109"/>
      <c r="G3668" s="109"/>
      <c r="H3668" s="109"/>
      <c r="I3668" s="109"/>
      <c r="J3668" s="109"/>
      <c r="L3668" s="109"/>
      <c r="M3668" s="109"/>
      <c r="N3668" s="109"/>
      <c r="Q3668" s="121"/>
      <c r="W3668" s="109"/>
    </row>
    <row r="3669" spans="1:23" ht="12.75" hidden="1">
      <c r="A3669" s="109"/>
      <c r="B3669" s="109"/>
      <c r="C3669" s="109"/>
      <c r="D3669" s="109"/>
      <c r="E3669" s="109"/>
      <c r="F3669" s="109"/>
      <c r="G3669" s="109"/>
      <c r="H3669" s="109"/>
      <c r="I3669" s="109"/>
      <c r="J3669" s="109"/>
      <c r="L3669" s="109"/>
      <c r="M3669" s="109"/>
      <c r="N3669" s="109"/>
      <c r="Q3669" s="121"/>
      <c r="W3669" s="109"/>
    </row>
    <row r="3670" spans="1:23" ht="12.75" hidden="1">
      <c r="A3670" s="109"/>
      <c r="B3670" s="109"/>
      <c r="C3670" s="109"/>
      <c r="D3670" s="109"/>
      <c r="E3670" s="109"/>
      <c r="F3670" s="109"/>
      <c r="G3670" s="109"/>
      <c r="H3670" s="109"/>
      <c r="I3670" s="109"/>
      <c r="J3670" s="109"/>
      <c r="L3670" s="109"/>
      <c r="M3670" s="109"/>
      <c r="N3670" s="109"/>
      <c r="Q3670" s="121"/>
      <c r="W3670" s="109"/>
    </row>
    <row r="3671" spans="1:23" ht="12.75" hidden="1">
      <c r="A3671" s="109"/>
      <c r="B3671" s="109"/>
      <c r="C3671" s="109"/>
      <c r="D3671" s="109"/>
      <c r="E3671" s="109"/>
      <c r="F3671" s="109"/>
      <c r="G3671" s="109"/>
      <c r="H3671" s="109"/>
      <c r="I3671" s="109"/>
      <c r="J3671" s="109"/>
      <c r="L3671" s="109"/>
      <c r="M3671" s="109"/>
      <c r="N3671" s="109"/>
      <c r="Q3671" s="121"/>
      <c r="W3671" s="109"/>
    </row>
    <row r="3672" spans="1:23" ht="12.75" hidden="1">
      <c r="A3672" s="109"/>
      <c r="B3672" s="109"/>
      <c r="C3672" s="109"/>
      <c r="D3672" s="109"/>
      <c r="E3672" s="109"/>
      <c r="F3672" s="109"/>
      <c r="G3672" s="109"/>
      <c r="H3672" s="109"/>
      <c r="I3672" s="109"/>
      <c r="J3672" s="109"/>
      <c r="L3672" s="109"/>
      <c r="M3672" s="109"/>
      <c r="N3672" s="109"/>
      <c r="Q3672" s="121"/>
      <c r="W3672" s="109"/>
    </row>
    <row r="3673" spans="1:23" ht="12.75" hidden="1">
      <c r="A3673" s="109"/>
      <c r="B3673" s="109"/>
      <c r="C3673" s="109"/>
      <c r="D3673" s="109"/>
      <c r="E3673" s="109"/>
      <c r="F3673" s="109"/>
      <c r="G3673" s="109"/>
      <c r="H3673" s="109"/>
      <c r="I3673" s="109"/>
      <c r="J3673" s="109"/>
      <c r="L3673" s="109"/>
      <c r="M3673" s="109"/>
      <c r="N3673" s="109"/>
      <c r="Q3673" s="121"/>
      <c r="W3673" s="109"/>
    </row>
    <row r="3674" spans="1:23" ht="12.75" hidden="1">
      <c r="A3674" s="109"/>
      <c r="B3674" s="109"/>
      <c r="C3674" s="109"/>
      <c r="D3674" s="109"/>
      <c r="E3674" s="109"/>
      <c r="F3674" s="109"/>
      <c r="G3674" s="109"/>
      <c r="H3674" s="109"/>
      <c r="I3674" s="109"/>
      <c r="J3674" s="109"/>
      <c r="L3674" s="109"/>
      <c r="M3674" s="109"/>
      <c r="N3674" s="109"/>
      <c r="Q3674" s="121"/>
      <c r="W3674" s="109"/>
    </row>
    <row r="3675" spans="1:23" ht="12.75" hidden="1">
      <c r="A3675" s="109"/>
      <c r="B3675" s="109"/>
      <c r="C3675" s="109"/>
      <c r="D3675" s="109"/>
      <c r="E3675" s="109"/>
      <c r="F3675" s="109"/>
      <c r="G3675" s="109"/>
      <c r="H3675" s="109"/>
      <c r="I3675" s="109"/>
      <c r="J3675" s="109"/>
      <c r="L3675" s="109"/>
      <c r="M3675" s="109"/>
      <c r="N3675" s="109"/>
      <c r="Q3675" s="121"/>
      <c r="W3675" s="109"/>
    </row>
    <row r="3676" spans="1:23" ht="12.75" hidden="1">
      <c r="A3676" s="109"/>
      <c r="B3676" s="109"/>
      <c r="C3676" s="109"/>
      <c r="D3676" s="109"/>
      <c r="E3676" s="109"/>
      <c r="F3676" s="109"/>
      <c r="G3676" s="109"/>
      <c r="H3676" s="109"/>
      <c r="I3676" s="109"/>
      <c r="J3676" s="109"/>
      <c r="L3676" s="109"/>
      <c r="M3676" s="109"/>
      <c r="N3676" s="109"/>
      <c r="Q3676" s="121"/>
      <c r="W3676" s="109"/>
    </row>
    <row r="3677" spans="1:23" ht="12.75" hidden="1">
      <c r="A3677" s="109"/>
      <c r="B3677" s="109"/>
      <c r="C3677" s="109"/>
      <c r="D3677" s="109"/>
      <c r="E3677" s="109"/>
      <c r="F3677" s="109"/>
      <c r="G3677" s="109"/>
      <c r="H3677" s="109"/>
      <c r="I3677" s="109"/>
      <c r="J3677" s="109"/>
      <c r="L3677" s="109"/>
      <c r="M3677" s="109"/>
      <c r="N3677" s="109"/>
      <c r="Q3677" s="121"/>
      <c r="W3677" s="109"/>
    </row>
    <row r="3678" spans="1:23" ht="12.75" hidden="1">
      <c r="A3678" s="109"/>
      <c r="B3678" s="109"/>
      <c r="C3678" s="109"/>
      <c r="D3678" s="109"/>
      <c r="E3678" s="109"/>
      <c r="F3678" s="109"/>
      <c r="G3678" s="109"/>
      <c r="H3678" s="109"/>
      <c r="I3678" s="109"/>
      <c r="J3678" s="109"/>
      <c r="L3678" s="109"/>
      <c r="M3678" s="109"/>
      <c r="N3678" s="109"/>
      <c r="Q3678" s="121"/>
      <c r="W3678" s="109"/>
    </row>
    <row r="3679" spans="1:23" ht="12.75" hidden="1">
      <c r="A3679" s="109"/>
      <c r="B3679" s="109"/>
      <c r="C3679" s="109"/>
      <c r="D3679" s="109"/>
      <c r="E3679" s="109"/>
      <c r="F3679" s="109"/>
      <c r="G3679" s="109"/>
      <c r="H3679" s="109"/>
      <c r="I3679" s="109"/>
      <c r="J3679" s="109"/>
      <c r="L3679" s="109"/>
      <c r="M3679" s="109"/>
      <c r="N3679" s="109"/>
      <c r="Q3679" s="121"/>
      <c r="W3679" s="109"/>
    </row>
    <row r="3680" spans="1:23" ht="12.75" hidden="1">
      <c r="A3680" s="109"/>
      <c r="B3680" s="109"/>
      <c r="C3680" s="109"/>
      <c r="D3680" s="109"/>
      <c r="E3680" s="109"/>
      <c r="F3680" s="109"/>
      <c r="G3680" s="109"/>
      <c r="H3680" s="109"/>
      <c r="I3680" s="109"/>
      <c r="J3680" s="109"/>
      <c r="L3680" s="109"/>
      <c r="M3680" s="109"/>
      <c r="N3680" s="109"/>
      <c r="Q3680" s="121"/>
      <c r="W3680" s="109"/>
    </row>
    <row r="3681" spans="1:23" ht="12.75" hidden="1">
      <c r="A3681" s="109"/>
      <c r="B3681" s="109"/>
      <c r="C3681" s="109"/>
      <c r="D3681" s="109"/>
      <c r="E3681" s="109"/>
      <c r="F3681" s="109"/>
      <c r="G3681" s="109"/>
      <c r="H3681" s="109"/>
      <c r="I3681" s="109"/>
      <c r="J3681" s="109"/>
      <c r="L3681" s="109"/>
      <c r="M3681" s="109"/>
      <c r="N3681" s="109"/>
      <c r="Q3681" s="121"/>
      <c r="W3681" s="109"/>
    </row>
    <row r="3682" spans="1:23" ht="12.75" hidden="1">
      <c r="A3682" s="109"/>
      <c r="B3682" s="109"/>
      <c r="C3682" s="109"/>
      <c r="D3682" s="109"/>
      <c r="E3682" s="109"/>
      <c r="F3682" s="109"/>
      <c r="G3682" s="109"/>
      <c r="H3682" s="109"/>
      <c r="I3682" s="109"/>
      <c r="J3682" s="109"/>
      <c r="L3682" s="109"/>
      <c r="M3682" s="109"/>
      <c r="N3682" s="109"/>
      <c r="Q3682" s="121"/>
      <c r="W3682" s="109"/>
    </row>
    <row r="3683" spans="1:23" ht="12.75" hidden="1">
      <c r="A3683" s="109"/>
      <c r="B3683" s="109"/>
      <c r="C3683" s="109"/>
      <c r="D3683" s="109"/>
      <c r="E3683" s="109"/>
      <c r="F3683" s="109"/>
      <c r="G3683" s="109"/>
      <c r="H3683" s="109"/>
      <c r="I3683" s="109"/>
      <c r="J3683" s="109"/>
      <c r="L3683" s="109"/>
      <c r="M3683" s="109"/>
      <c r="N3683" s="109"/>
      <c r="Q3683" s="121"/>
      <c r="W3683" s="109"/>
    </row>
    <row r="3684" spans="1:23" ht="12.75" hidden="1">
      <c r="A3684" s="109"/>
      <c r="B3684" s="109"/>
      <c r="C3684" s="109"/>
      <c r="D3684" s="109"/>
      <c r="E3684" s="109"/>
      <c r="F3684" s="109"/>
      <c r="G3684" s="109"/>
      <c r="H3684" s="109"/>
      <c r="I3684" s="109"/>
      <c r="J3684" s="109"/>
      <c r="L3684" s="109"/>
      <c r="M3684" s="109"/>
      <c r="N3684" s="109"/>
      <c r="Q3684" s="121"/>
      <c r="W3684" s="109"/>
    </row>
    <row r="3685" spans="1:23" ht="12.75" hidden="1">
      <c r="A3685" s="109"/>
      <c r="B3685" s="109"/>
      <c r="C3685" s="109"/>
      <c r="D3685" s="109"/>
      <c r="E3685" s="109"/>
      <c r="F3685" s="109"/>
      <c r="G3685" s="109"/>
      <c r="H3685" s="109"/>
      <c r="I3685" s="109"/>
      <c r="J3685" s="109"/>
      <c r="L3685" s="109"/>
      <c r="M3685" s="109"/>
      <c r="N3685" s="109"/>
      <c r="Q3685" s="121"/>
      <c r="W3685" s="109"/>
    </row>
    <row r="3686" spans="1:23" ht="12.75" hidden="1">
      <c r="A3686" s="109"/>
      <c r="B3686" s="109"/>
      <c r="C3686" s="109"/>
      <c r="D3686" s="109"/>
      <c r="E3686" s="109"/>
      <c r="F3686" s="109"/>
      <c r="G3686" s="109"/>
      <c r="H3686" s="109"/>
      <c r="I3686" s="109"/>
      <c r="J3686" s="109"/>
      <c r="L3686" s="109"/>
      <c r="M3686" s="109"/>
      <c r="N3686" s="109"/>
      <c r="Q3686" s="121"/>
      <c r="W3686" s="109"/>
    </row>
    <row r="3687" spans="1:23" ht="12.75" hidden="1">
      <c r="A3687" s="109"/>
      <c r="B3687" s="109"/>
      <c r="C3687" s="109"/>
      <c r="D3687" s="109"/>
      <c r="E3687" s="109"/>
      <c r="F3687" s="109"/>
      <c r="G3687" s="109"/>
      <c r="H3687" s="109"/>
      <c r="I3687" s="109"/>
      <c r="J3687" s="109"/>
      <c r="L3687" s="109"/>
      <c r="M3687" s="109"/>
      <c r="N3687" s="109"/>
      <c r="Q3687" s="121"/>
      <c r="W3687" s="109"/>
    </row>
    <row r="3688" spans="1:23" ht="12.75" hidden="1">
      <c r="A3688" s="109"/>
      <c r="B3688" s="109"/>
      <c r="C3688" s="109"/>
      <c r="D3688" s="109"/>
      <c r="E3688" s="109"/>
      <c r="F3688" s="109"/>
      <c r="G3688" s="109"/>
      <c r="H3688" s="109"/>
      <c r="I3688" s="109"/>
      <c r="J3688" s="109"/>
      <c r="L3688" s="109"/>
      <c r="M3688" s="109"/>
      <c r="N3688" s="109"/>
      <c r="Q3688" s="121"/>
      <c r="W3688" s="109"/>
    </row>
    <row r="3689" spans="1:23" ht="12.75" hidden="1">
      <c r="A3689" s="109"/>
      <c r="B3689" s="109"/>
      <c r="C3689" s="109"/>
      <c r="D3689" s="109"/>
      <c r="E3689" s="109"/>
      <c r="F3689" s="109"/>
      <c r="G3689" s="109"/>
      <c r="H3689" s="109"/>
      <c r="I3689" s="109"/>
      <c r="J3689" s="109"/>
      <c r="L3689" s="109"/>
      <c r="M3689" s="109"/>
      <c r="N3689" s="109"/>
      <c r="Q3689" s="121"/>
      <c r="W3689" s="109"/>
    </row>
    <row r="3690" spans="1:23" ht="12.75" hidden="1">
      <c r="A3690" s="109"/>
      <c r="B3690" s="109"/>
      <c r="C3690" s="109"/>
      <c r="D3690" s="109"/>
      <c r="E3690" s="109"/>
      <c r="F3690" s="109"/>
      <c r="G3690" s="109"/>
      <c r="H3690" s="109"/>
      <c r="I3690" s="109"/>
      <c r="J3690" s="109"/>
      <c r="L3690" s="109"/>
      <c r="M3690" s="109"/>
      <c r="N3690" s="109"/>
      <c r="Q3690" s="121"/>
      <c r="W3690" s="109"/>
    </row>
    <row r="3691" spans="1:23" ht="12.75" hidden="1">
      <c r="A3691" s="109"/>
      <c r="B3691" s="109"/>
      <c r="C3691" s="109"/>
      <c r="D3691" s="109"/>
      <c r="E3691" s="109"/>
      <c r="F3691" s="109"/>
      <c r="G3691" s="109"/>
      <c r="H3691" s="109"/>
      <c r="I3691" s="109"/>
      <c r="J3691" s="109"/>
      <c r="L3691" s="109"/>
      <c r="M3691" s="109"/>
      <c r="N3691" s="109"/>
      <c r="Q3691" s="121"/>
      <c r="W3691" s="109"/>
    </row>
    <row r="3692" spans="1:23" ht="12.75" hidden="1">
      <c r="A3692" s="109"/>
      <c r="B3692" s="109"/>
      <c r="C3692" s="109"/>
      <c r="D3692" s="109"/>
      <c r="E3692" s="109"/>
      <c r="F3692" s="109"/>
      <c r="G3692" s="109"/>
      <c r="H3692" s="109"/>
      <c r="I3692" s="109"/>
      <c r="J3692" s="109"/>
      <c r="L3692" s="109"/>
      <c r="M3692" s="109"/>
      <c r="N3692" s="109"/>
      <c r="Q3692" s="121"/>
      <c r="W3692" s="109"/>
    </row>
    <row r="3693" spans="1:23" ht="12.75" hidden="1">
      <c r="A3693" s="109"/>
      <c r="B3693" s="109"/>
      <c r="C3693" s="109"/>
      <c r="D3693" s="109"/>
      <c r="E3693" s="109"/>
      <c r="F3693" s="109"/>
      <c r="G3693" s="109"/>
      <c r="H3693" s="109"/>
      <c r="I3693" s="109"/>
      <c r="J3693" s="109"/>
      <c r="L3693" s="109"/>
      <c r="M3693" s="109"/>
      <c r="N3693" s="109"/>
      <c r="Q3693" s="121"/>
      <c r="W3693" s="109"/>
    </row>
    <row r="3694" spans="1:23" ht="12.75" hidden="1">
      <c r="A3694" s="109"/>
      <c r="B3694" s="109"/>
      <c r="C3694" s="109"/>
      <c r="D3694" s="109"/>
      <c r="E3694" s="109"/>
      <c r="F3694" s="109"/>
      <c r="G3694" s="109"/>
      <c r="H3694" s="109"/>
      <c r="I3694" s="109"/>
      <c r="J3694" s="109"/>
      <c r="L3694" s="109"/>
      <c r="M3694" s="109"/>
      <c r="N3694" s="109"/>
      <c r="Q3694" s="121"/>
      <c r="W3694" s="109"/>
    </row>
    <row r="3695" spans="1:23" ht="12.75" hidden="1">
      <c r="A3695" s="109"/>
      <c r="B3695" s="109"/>
      <c r="C3695" s="109"/>
      <c r="D3695" s="109"/>
      <c r="E3695" s="109"/>
      <c r="F3695" s="109"/>
      <c r="G3695" s="109"/>
      <c r="H3695" s="109"/>
      <c r="I3695" s="109"/>
      <c r="J3695" s="109"/>
      <c r="L3695" s="109"/>
      <c r="M3695" s="109"/>
      <c r="N3695" s="109"/>
      <c r="Q3695" s="121"/>
      <c r="W3695" s="109"/>
    </row>
    <row r="3696" spans="1:23" ht="12.75" hidden="1">
      <c r="A3696" s="109"/>
      <c r="B3696" s="109"/>
      <c r="C3696" s="109"/>
      <c r="D3696" s="109"/>
      <c r="E3696" s="109"/>
      <c r="F3696" s="109"/>
      <c r="G3696" s="109"/>
      <c r="H3696" s="109"/>
      <c r="I3696" s="109"/>
      <c r="J3696" s="109"/>
      <c r="L3696" s="109"/>
      <c r="M3696" s="109"/>
      <c r="N3696" s="109"/>
      <c r="Q3696" s="121"/>
      <c r="W3696" s="109"/>
    </row>
    <row r="3697" spans="1:23" ht="12.75" hidden="1">
      <c r="A3697" s="109"/>
      <c r="B3697" s="109"/>
      <c r="C3697" s="109"/>
      <c r="D3697" s="109"/>
      <c r="E3697" s="109"/>
      <c r="F3697" s="109"/>
      <c r="G3697" s="109"/>
      <c r="H3697" s="109"/>
      <c r="I3697" s="109"/>
      <c r="J3697" s="109"/>
      <c r="L3697" s="109"/>
      <c r="M3697" s="109"/>
      <c r="N3697" s="109"/>
      <c r="Q3697" s="121"/>
      <c r="W3697" s="109"/>
    </row>
    <row r="3698" spans="1:23" ht="12.75" hidden="1">
      <c r="A3698" s="109"/>
      <c r="B3698" s="109"/>
      <c r="C3698" s="109"/>
      <c r="D3698" s="109"/>
      <c r="E3698" s="109"/>
      <c r="F3698" s="109"/>
      <c r="G3698" s="109"/>
      <c r="H3698" s="109"/>
      <c r="I3698" s="109"/>
      <c r="J3698" s="109"/>
      <c r="L3698" s="109"/>
      <c r="M3698" s="109"/>
      <c r="N3698" s="109"/>
      <c r="Q3698" s="121"/>
      <c r="W3698" s="109"/>
    </row>
    <row r="3699" spans="1:23" ht="12.75" hidden="1">
      <c r="A3699" s="109"/>
      <c r="B3699" s="109"/>
      <c r="C3699" s="109"/>
      <c r="D3699" s="109"/>
      <c r="E3699" s="109"/>
      <c r="F3699" s="109"/>
      <c r="G3699" s="109"/>
      <c r="H3699" s="109"/>
      <c r="I3699" s="109"/>
      <c r="J3699" s="109"/>
      <c r="L3699" s="109"/>
      <c r="M3699" s="109"/>
      <c r="N3699" s="109"/>
      <c r="Q3699" s="121"/>
      <c r="W3699" s="109"/>
    </row>
    <row r="3700" spans="1:23" ht="12.75" hidden="1">
      <c r="A3700" s="109"/>
      <c r="B3700" s="109"/>
      <c r="C3700" s="109"/>
      <c r="D3700" s="109"/>
      <c r="E3700" s="109"/>
      <c r="F3700" s="109"/>
      <c r="G3700" s="109"/>
      <c r="H3700" s="109"/>
      <c r="I3700" s="109"/>
      <c r="J3700" s="109"/>
      <c r="L3700" s="109"/>
      <c r="M3700" s="109"/>
      <c r="N3700" s="109"/>
      <c r="Q3700" s="121"/>
      <c r="W3700" s="109"/>
    </row>
    <row r="3701" spans="1:23" ht="12.75" hidden="1">
      <c r="A3701" s="109"/>
      <c r="B3701" s="109"/>
      <c r="C3701" s="109"/>
      <c r="D3701" s="109"/>
      <c r="E3701" s="109"/>
      <c r="F3701" s="109"/>
      <c r="G3701" s="109"/>
      <c r="H3701" s="109"/>
      <c r="I3701" s="109"/>
      <c r="J3701" s="109"/>
      <c r="L3701" s="109"/>
      <c r="M3701" s="109"/>
      <c r="N3701" s="109"/>
      <c r="Q3701" s="121"/>
      <c r="W3701" s="109"/>
    </row>
    <row r="3702" spans="1:23" ht="12.75" hidden="1">
      <c r="A3702" s="109"/>
      <c r="B3702" s="109"/>
      <c r="C3702" s="109"/>
      <c r="D3702" s="109"/>
      <c r="E3702" s="109"/>
      <c r="F3702" s="109"/>
      <c r="G3702" s="109"/>
      <c r="H3702" s="109"/>
      <c r="I3702" s="109"/>
      <c r="J3702" s="109"/>
      <c r="L3702" s="109"/>
      <c r="M3702" s="109"/>
      <c r="N3702" s="109"/>
      <c r="Q3702" s="121"/>
      <c r="W3702" s="109"/>
    </row>
    <row r="3703" spans="1:23" ht="12.75" hidden="1">
      <c r="A3703" s="109"/>
      <c r="B3703" s="109"/>
      <c r="C3703" s="109"/>
      <c r="D3703" s="109"/>
      <c r="E3703" s="109"/>
      <c r="F3703" s="109"/>
      <c r="G3703" s="109"/>
      <c r="H3703" s="109"/>
      <c r="I3703" s="109"/>
      <c r="J3703" s="109"/>
      <c r="L3703" s="109"/>
      <c r="M3703" s="109"/>
      <c r="N3703" s="109"/>
      <c r="Q3703" s="121"/>
      <c r="W3703" s="109"/>
    </row>
    <row r="3704" spans="1:23" ht="12.75" hidden="1">
      <c r="A3704" s="109"/>
      <c r="B3704" s="109"/>
      <c r="C3704" s="109"/>
      <c r="D3704" s="109"/>
      <c r="E3704" s="109"/>
      <c r="F3704" s="109"/>
      <c r="G3704" s="109"/>
      <c r="H3704" s="109"/>
      <c r="I3704" s="109"/>
      <c r="J3704" s="109"/>
      <c r="L3704" s="109"/>
      <c r="M3704" s="109"/>
      <c r="N3704" s="109"/>
      <c r="Q3704" s="121"/>
      <c r="W3704" s="109"/>
    </row>
    <row r="3705" spans="1:23" ht="12.75" hidden="1">
      <c r="A3705" s="109"/>
      <c r="B3705" s="109"/>
      <c r="C3705" s="109"/>
      <c r="D3705" s="109"/>
      <c r="E3705" s="109"/>
      <c r="F3705" s="109"/>
      <c r="G3705" s="109"/>
      <c r="H3705" s="109"/>
      <c r="I3705" s="109"/>
      <c r="J3705" s="109"/>
      <c r="L3705" s="109"/>
      <c r="M3705" s="109"/>
      <c r="N3705" s="109"/>
      <c r="Q3705" s="121"/>
      <c r="W3705" s="109"/>
    </row>
    <row r="3706" spans="1:23" ht="12.75" hidden="1">
      <c r="A3706" s="109"/>
      <c r="B3706" s="109"/>
      <c r="C3706" s="109"/>
      <c r="D3706" s="109"/>
      <c r="E3706" s="109"/>
      <c r="F3706" s="109"/>
      <c r="G3706" s="109"/>
      <c r="H3706" s="109"/>
      <c r="I3706" s="109"/>
      <c r="J3706" s="109"/>
      <c r="L3706" s="109"/>
      <c r="M3706" s="109"/>
      <c r="N3706" s="109"/>
      <c r="Q3706" s="121"/>
      <c r="W3706" s="109"/>
    </row>
    <row r="3707" spans="1:23" ht="12.75" hidden="1">
      <c r="A3707" s="109"/>
      <c r="B3707" s="109"/>
      <c r="C3707" s="109"/>
      <c r="D3707" s="109"/>
      <c r="E3707" s="109"/>
      <c r="F3707" s="109"/>
      <c r="G3707" s="109"/>
      <c r="H3707" s="109"/>
      <c r="I3707" s="109"/>
      <c r="J3707" s="109"/>
      <c r="L3707" s="109"/>
      <c r="M3707" s="109"/>
      <c r="N3707" s="109"/>
      <c r="Q3707" s="121"/>
      <c r="W3707" s="109"/>
    </row>
    <row r="3708" spans="1:23" ht="12.75" hidden="1">
      <c r="A3708" s="109"/>
      <c r="B3708" s="109"/>
      <c r="C3708" s="109"/>
      <c r="D3708" s="109"/>
      <c r="E3708" s="109"/>
      <c r="F3708" s="109"/>
      <c r="G3708" s="109"/>
      <c r="H3708" s="109"/>
      <c r="I3708" s="109"/>
      <c r="J3708" s="109"/>
      <c r="L3708" s="109"/>
      <c r="M3708" s="109"/>
      <c r="N3708" s="109"/>
      <c r="Q3708" s="121"/>
      <c r="W3708" s="109"/>
    </row>
    <row r="3709" spans="1:23" ht="12.75" hidden="1">
      <c r="A3709" s="109"/>
      <c r="B3709" s="109"/>
      <c r="C3709" s="109"/>
      <c r="D3709" s="109"/>
      <c r="E3709" s="109"/>
      <c r="F3709" s="109"/>
      <c r="G3709" s="109"/>
      <c r="H3709" s="109"/>
      <c r="I3709" s="109"/>
      <c r="J3709" s="109"/>
      <c r="L3709" s="109"/>
      <c r="M3709" s="109"/>
      <c r="N3709" s="109"/>
      <c r="Q3709" s="121"/>
      <c r="W3709" s="109"/>
    </row>
    <row r="3710" spans="1:23" ht="12.75" hidden="1">
      <c r="A3710" s="109"/>
      <c r="B3710" s="109"/>
      <c r="C3710" s="109"/>
      <c r="D3710" s="109"/>
      <c r="E3710" s="109"/>
      <c r="F3710" s="109"/>
      <c r="G3710" s="109"/>
      <c r="H3710" s="109"/>
      <c r="I3710" s="109"/>
      <c r="J3710" s="109"/>
      <c r="L3710" s="109"/>
      <c r="M3710" s="109"/>
      <c r="N3710" s="109"/>
      <c r="Q3710" s="121"/>
      <c r="W3710" s="109"/>
    </row>
    <row r="3711" spans="1:23" ht="12.75" hidden="1">
      <c r="A3711" s="109"/>
      <c r="B3711" s="109"/>
      <c r="C3711" s="109"/>
      <c r="D3711" s="109"/>
      <c r="E3711" s="109"/>
      <c r="F3711" s="109"/>
      <c r="G3711" s="109"/>
      <c r="H3711" s="109"/>
      <c r="I3711" s="109"/>
      <c r="J3711" s="109"/>
      <c r="L3711" s="109"/>
      <c r="M3711" s="109"/>
      <c r="N3711" s="109"/>
      <c r="Q3711" s="121"/>
      <c r="W3711" s="109"/>
    </row>
    <row r="3712" spans="1:23" ht="12.75" hidden="1">
      <c r="A3712" s="109"/>
      <c r="B3712" s="109"/>
      <c r="C3712" s="109"/>
      <c r="D3712" s="109"/>
      <c r="E3712" s="109"/>
      <c r="F3712" s="109"/>
      <c r="G3712" s="109"/>
      <c r="H3712" s="109"/>
      <c r="I3712" s="109"/>
      <c r="J3712" s="109"/>
      <c r="L3712" s="109"/>
      <c r="M3712" s="109"/>
      <c r="N3712" s="109"/>
      <c r="Q3712" s="121"/>
      <c r="W3712" s="109"/>
    </row>
    <row r="3713" spans="1:23" ht="12.75" hidden="1">
      <c r="A3713" s="109"/>
      <c r="B3713" s="109"/>
      <c r="C3713" s="109"/>
      <c r="D3713" s="109"/>
      <c r="E3713" s="109"/>
      <c r="F3713" s="109"/>
      <c r="G3713" s="109"/>
      <c r="H3713" s="109"/>
      <c r="I3713" s="109"/>
      <c r="J3713" s="109"/>
      <c r="L3713" s="109"/>
      <c r="M3713" s="109"/>
      <c r="N3713" s="109"/>
      <c r="Q3713" s="121"/>
      <c r="W3713" s="109"/>
    </row>
    <row r="3714" spans="1:23" ht="12.75" hidden="1">
      <c r="A3714" s="109"/>
      <c r="B3714" s="109"/>
      <c r="C3714" s="109"/>
      <c r="D3714" s="109"/>
      <c r="E3714" s="109"/>
      <c r="F3714" s="109"/>
      <c r="G3714" s="109"/>
      <c r="H3714" s="109"/>
      <c r="I3714" s="109"/>
      <c r="J3714" s="109"/>
      <c r="L3714" s="109"/>
      <c r="M3714" s="109"/>
      <c r="N3714" s="109"/>
      <c r="Q3714" s="121"/>
      <c r="W3714" s="109"/>
    </row>
    <row r="3715" spans="1:23" ht="12.75" hidden="1">
      <c r="A3715" s="109"/>
      <c r="B3715" s="109"/>
      <c r="C3715" s="109"/>
      <c r="D3715" s="109"/>
      <c r="E3715" s="109"/>
      <c r="F3715" s="109"/>
      <c r="G3715" s="109"/>
      <c r="H3715" s="109"/>
      <c r="I3715" s="109"/>
      <c r="J3715" s="109"/>
      <c r="L3715" s="109"/>
      <c r="M3715" s="109"/>
      <c r="N3715" s="109"/>
      <c r="Q3715" s="121"/>
      <c r="W3715" s="109"/>
    </row>
    <row r="3716" spans="1:23" ht="12.75" hidden="1">
      <c r="A3716" s="109"/>
      <c r="B3716" s="109"/>
      <c r="C3716" s="109"/>
      <c r="D3716" s="109"/>
      <c r="E3716" s="109"/>
      <c r="F3716" s="109"/>
      <c r="G3716" s="109"/>
      <c r="H3716" s="109"/>
      <c r="I3716" s="109"/>
      <c r="J3716" s="109"/>
      <c r="L3716" s="109"/>
      <c r="M3716" s="109"/>
      <c r="N3716" s="109"/>
      <c r="Q3716" s="121"/>
      <c r="W3716" s="109"/>
    </row>
    <row r="3717" spans="1:23" ht="12.75" hidden="1">
      <c r="A3717" s="109"/>
      <c r="B3717" s="109"/>
      <c r="C3717" s="109"/>
      <c r="D3717" s="109"/>
      <c r="E3717" s="109"/>
      <c r="F3717" s="109"/>
      <c r="G3717" s="109"/>
      <c r="H3717" s="109"/>
      <c r="I3717" s="109"/>
      <c r="J3717" s="109"/>
      <c r="L3717" s="109"/>
      <c r="M3717" s="109"/>
      <c r="N3717" s="109"/>
      <c r="Q3717" s="121"/>
      <c r="W3717" s="109"/>
    </row>
    <row r="3718" spans="1:23" ht="12.75" hidden="1">
      <c r="A3718" s="109"/>
      <c r="B3718" s="109"/>
      <c r="C3718" s="109"/>
      <c r="D3718" s="109"/>
      <c r="E3718" s="109"/>
      <c r="F3718" s="109"/>
      <c r="G3718" s="109"/>
      <c r="H3718" s="109"/>
      <c r="I3718" s="109"/>
      <c r="J3718" s="109"/>
      <c r="L3718" s="109"/>
      <c r="M3718" s="109"/>
      <c r="N3718" s="109"/>
      <c r="Q3718" s="121"/>
      <c r="W3718" s="109"/>
    </row>
    <row r="3719" spans="1:23" ht="12.75" hidden="1">
      <c r="A3719" s="109"/>
      <c r="B3719" s="109"/>
      <c r="C3719" s="109"/>
      <c r="D3719" s="109"/>
      <c r="E3719" s="109"/>
      <c r="F3719" s="109"/>
      <c r="G3719" s="109"/>
      <c r="H3719" s="109"/>
      <c r="I3719" s="109"/>
      <c r="J3719" s="109"/>
      <c r="L3719" s="109"/>
      <c r="M3719" s="109"/>
      <c r="N3719" s="109"/>
      <c r="Q3719" s="121"/>
      <c r="W3719" s="109"/>
    </row>
    <row r="3720" spans="1:23" ht="12.75" hidden="1">
      <c r="A3720" s="109"/>
      <c r="B3720" s="109"/>
      <c r="C3720" s="109"/>
      <c r="D3720" s="109"/>
      <c r="E3720" s="109"/>
      <c r="F3720" s="109"/>
      <c r="G3720" s="109"/>
      <c r="H3720" s="109"/>
      <c r="I3720" s="109"/>
      <c r="J3720" s="109"/>
      <c r="L3720" s="109"/>
      <c r="M3720" s="109"/>
      <c r="N3720" s="109"/>
      <c r="Q3720" s="121"/>
      <c r="W3720" s="109"/>
    </row>
    <row r="3721" spans="1:23" ht="12.75" hidden="1">
      <c r="A3721" s="109"/>
      <c r="B3721" s="109"/>
      <c r="C3721" s="109"/>
      <c r="D3721" s="109"/>
      <c r="E3721" s="109"/>
      <c r="F3721" s="109"/>
      <c r="G3721" s="109"/>
      <c r="H3721" s="109"/>
      <c r="I3721" s="109"/>
      <c r="J3721" s="109"/>
      <c r="L3721" s="109"/>
      <c r="M3721" s="109"/>
      <c r="N3721" s="109"/>
      <c r="Q3721" s="121"/>
      <c r="W3721" s="109"/>
    </row>
    <row r="3722" spans="1:23" ht="12.75" hidden="1">
      <c r="A3722" s="109"/>
      <c r="B3722" s="109"/>
      <c r="C3722" s="109"/>
      <c r="D3722" s="109"/>
      <c r="E3722" s="109"/>
      <c r="F3722" s="109"/>
      <c r="G3722" s="109"/>
      <c r="H3722" s="109"/>
      <c r="I3722" s="109"/>
      <c r="J3722" s="109"/>
      <c r="L3722" s="109"/>
      <c r="M3722" s="109"/>
      <c r="N3722" s="109"/>
      <c r="Q3722" s="121"/>
      <c r="W3722" s="109"/>
    </row>
    <row r="3723" spans="1:23" ht="12.75" hidden="1">
      <c r="A3723" s="109"/>
      <c r="B3723" s="109"/>
      <c r="C3723" s="109"/>
      <c r="D3723" s="109"/>
      <c r="E3723" s="109"/>
      <c r="F3723" s="109"/>
      <c r="G3723" s="109"/>
      <c r="H3723" s="109"/>
      <c r="I3723" s="109"/>
      <c r="J3723" s="109"/>
      <c r="L3723" s="109"/>
      <c r="M3723" s="109"/>
      <c r="N3723" s="109"/>
      <c r="Q3723" s="121"/>
      <c r="W3723" s="109"/>
    </row>
    <row r="3724" spans="1:23" ht="12.75" hidden="1">
      <c r="A3724" s="109"/>
      <c r="B3724" s="109"/>
      <c r="C3724" s="109"/>
      <c r="D3724" s="109"/>
      <c r="E3724" s="109"/>
      <c r="F3724" s="109"/>
      <c r="G3724" s="109"/>
      <c r="H3724" s="109"/>
      <c r="I3724" s="109"/>
      <c r="J3724" s="109"/>
      <c r="L3724" s="109"/>
      <c r="M3724" s="109"/>
      <c r="N3724" s="109"/>
      <c r="Q3724" s="121"/>
      <c r="W3724" s="109"/>
    </row>
    <row r="3725" spans="1:23" ht="12.75" hidden="1">
      <c r="A3725" s="109"/>
      <c r="B3725" s="109"/>
      <c r="C3725" s="109"/>
      <c r="D3725" s="109"/>
      <c r="E3725" s="109"/>
      <c r="F3725" s="109"/>
      <c r="G3725" s="109"/>
      <c r="H3725" s="109"/>
      <c r="I3725" s="109"/>
      <c r="J3725" s="109"/>
      <c r="L3725" s="109"/>
      <c r="M3725" s="109"/>
      <c r="N3725" s="109"/>
      <c r="Q3725" s="121"/>
      <c r="W3725" s="109"/>
    </row>
    <row r="3726" spans="1:23" ht="12.75" hidden="1">
      <c r="A3726" s="109"/>
      <c r="B3726" s="109"/>
      <c r="C3726" s="109"/>
      <c r="D3726" s="109"/>
      <c r="E3726" s="109"/>
      <c r="F3726" s="109"/>
      <c r="G3726" s="109"/>
      <c r="H3726" s="109"/>
      <c r="I3726" s="109"/>
      <c r="J3726" s="109"/>
      <c r="L3726" s="109"/>
      <c r="M3726" s="109"/>
      <c r="N3726" s="109"/>
      <c r="Q3726" s="121"/>
      <c r="W3726" s="109"/>
    </row>
    <row r="3727" spans="1:23" ht="12.75" hidden="1">
      <c r="A3727" s="109"/>
      <c r="B3727" s="109"/>
      <c r="C3727" s="109"/>
      <c r="D3727" s="109"/>
      <c r="E3727" s="109"/>
      <c r="F3727" s="109"/>
      <c r="G3727" s="109"/>
      <c r="H3727" s="109"/>
      <c r="I3727" s="109"/>
      <c r="J3727" s="109"/>
      <c r="L3727" s="109"/>
      <c r="M3727" s="109"/>
      <c r="N3727" s="109"/>
      <c r="Q3727" s="121"/>
      <c r="W3727" s="109"/>
    </row>
    <row r="3728" spans="1:23" ht="12.75" hidden="1">
      <c r="A3728" s="109"/>
      <c r="B3728" s="109"/>
      <c r="C3728" s="109"/>
      <c r="D3728" s="109"/>
      <c r="E3728" s="109"/>
      <c r="F3728" s="109"/>
      <c r="G3728" s="109"/>
      <c r="H3728" s="109"/>
      <c r="I3728" s="109"/>
      <c r="J3728" s="109"/>
      <c r="L3728" s="109"/>
      <c r="M3728" s="109"/>
      <c r="N3728" s="109"/>
      <c r="Q3728" s="121"/>
      <c r="W3728" s="109"/>
    </row>
    <row r="3729" spans="1:23" ht="12.75" hidden="1">
      <c r="A3729" s="109"/>
      <c r="B3729" s="109"/>
      <c r="C3729" s="109"/>
      <c r="D3729" s="109"/>
      <c r="E3729" s="109"/>
      <c r="F3729" s="109"/>
      <c r="G3729" s="109"/>
      <c r="H3729" s="109"/>
      <c r="I3729" s="109"/>
      <c r="J3729" s="109"/>
      <c r="L3729" s="109"/>
      <c r="M3729" s="109"/>
      <c r="N3729" s="109"/>
      <c r="Q3729" s="121"/>
      <c r="W3729" s="109"/>
    </row>
    <row r="3730" spans="1:23" ht="12.75" hidden="1">
      <c r="A3730" s="109"/>
      <c r="B3730" s="109"/>
      <c r="C3730" s="109"/>
      <c r="D3730" s="109"/>
      <c r="E3730" s="109"/>
      <c r="F3730" s="109"/>
      <c r="G3730" s="109"/>
      <c r="H3730" s="109"/>
      <c r="I3730" s="109"/>
      <c r="J3730" s="109"/>
      <c r="L3730" s="109"/>
      <c r="M3730" s="109"/>
      <c r="N3730" s="109"/>
      <c r="Q3730" s="121"/>
      <c r="W3730" s="109"/>
    </row>
    <row r="3731" spans="1:23" ht="12.75" hidden="1">
      <c r="A3731" s="109"/>
      <c r="B3731" s="109"/>
      <c r="C3731" s="109"/>
      <c r="D3731" s="109"/>
      <c r="E3731" s="109"/>
      <c r="F3731" s="109"/>
      <c r="G3731" s="109"/>
      <c r="H3731" s="109"/>
      <c r="I3731" s="109"/>
      <c r="J3731" s="109"/>
      <c r="L3731" s="109"/>
      <c r="M3731" s="109"/>
      <c r="N3731" s="109"/>
      <c r="Q3731" s="121"/>
      <c r="W3731" s="109"/>
    </row>
    <row r="3732" spans="1:23" ht="12.75" hidden="1">
      <c r="A3732" s="109"/>
      <c r="B3732" s="109"/>
      <c r="C3732" s="109"/>
      <c r="D3732" s="109"/>
      <c r="E3732" s="109"/>
      <c r="F3732" s="109"/>
      <c r="G3732" s="109"/>
      <c r="H3732" s="109"/>
      <c r="I3732" s="109"/>
      <c r="J3732" s="109"/>
      <c r="L3732" s="109"/>
      <c r="M3732" s="109"/>
      <c r="N3732" s="109"/>
      <c r="Q3732" s="121"/>
      <c r="W3732" s="109"/>
    </row>
    <row r="3733" spans="1:23" ht="12.75" hidden="1">
      <c r="A3733" s="109"/>
      <c r="B3733" s="109"/>
      <c r="C3733" s="109"/>
      <c r="D3733" s="109"/>
      <c r="E3733" s="109"/>
      <c r="F3733" s="109"/>
      <c r="G3733" s="109"/>
      <c r="H3733" s="109"/>
      <c r="I3733" s="109"/>
      <c r="J3733" s="109"/>
      <c r="L3733" s="109"/>
      <c r="M3733" s="109"/>
      <c r="N3733" s="109"/>
      <c r="Q3733" s="121"/>
      <c r="W3733" s="109"/>
    </row>
    <row r="3734" spans="1:23" ht="12.75" hidden="1">
      <c r="A3734" s="109"/>
      <c r="B3734" s="109"/>
      <c r="C3734" s="109"/>
      <c r="D3734" s="109"/>
      <c r="E3734" s="109"/>
      <c r="F3734" s="109"/>
      <c r="G3734" s="109"/>
      <c r="H3734" s="109"/>
      <c r="I3734" s="109"/>
      <c r="J3734" s="109"/>
      <c r="L3734" s="109"/>
      <c r="M3734" s="109"/>
      <c r="N3734" s="109"/>
      <c r="Q3734" s="121"/>
      <c r="W3734" s="109"/>
    </row>
    <row r="3735" spans="1:23" ht="12.75" hidden="1">
      <c r="A3735" s="109"/>
      <c r="B3735" s="109"/>
      <c r="C3735" s="109"/>
      <c r="D3735" s="109"/>
      <c r="E3735" s="109"/>
      <c r="F3735" s="109"/>
      <c r="G3735" s="109"/>
      <c r="H3735" s="109"/>
      <c r="I3735" s="109"/>
      <c r="J3735" s="109"/>
      <c r="L3735" s="109"/>
      <c r="M3735" s="109"/>
      <c r="N3735" s="109"/>
      <c r="Q3735" s="121"/>
      <c r="W3735" s="109"/>
    </row>
    <row r="3736" spans="1:23" ht="12.75" hidden="1">
      <c r="A3736" s="109"/>
      <c r="B3736" s="109"/>
      <c r="C3736" s="109"/>
      <c r="D3736" s="109"/>
      <c r="E3736" s="109"/>
      <c r="F3736" s="109"/>
      <c r="G3736" s="109"/>
      <c r="H3736" s="109"/>
      <c r="I3736" s="109"/>
      <c r="J3736" s="109"/>
      <c r="L3736" s="109"/>
      <c r="M3736" s="109"/>
      <c r="N3736" s="109"/>
      <c r="Q3736" s="121"/>
      <c r="W3736" s="109"/>
    </row>
    <row r="3737" spans="1:23" ht="12.75" hidden="1">
      <c r="A3737" s="109"/>
      <c r="B3737" s="109"/>
      <c r="C3737" s="109"/>
      <c r="D3737" s="109"/>
      <c r="E3737" s="109"/>
      <c r="F3737" s="109"/>
      <c r="G3737" s="109"/>
      <c r="H3737" s="109"/>
      <c r="I3737" s="109"/>
      <c r="J3737" s="109"/>
      <c r="L3737" s="109"/>
      <c r="M3737" s="109"/>
      <c r="N3737" s="109"/>
      <c r="Q3737" s="121"/>
      <c r="W3737" s="109"/>
    </row>
    <row r="3738" spans="1:23" ht="12.75" hidden="1">
      <c r="A3738" s="109"/>
      <c r="B3738" s="109"/>
      <c r="C3738" s="109"/>
      <c r="D3738" s="109"/>
      <c r="E3738" s="109"/>
      <c r="F3738" s="109"/>
      <c r="G3738" s="109"/>
      <c r="H3738" s="109"/>
      <c r="I3738" s="109"/>
      <c r="J3738" s="109"/>
      <c r="L3738" s="109"/>
      <c r="M3738" s="109"/>
      <c r="N3738" s="109"/>
      <c r="Q3738" s="121"/>
      <c r="W3738" s="109"/>
    </row>
    <row r="3739" spans="1:23" ht="12.75" hidden="1">
      <c r="A3739" s="109"/>
      <c r="B3739" s="109"/>
      <c r="C3739" s="109"/>
      <c r="D3739" s="109"/>
      <c r="E3739" s="109"/>
      <c r="F3739" s="109"/>
      <c r="G3739" s="109"/>
      <c r="H3739" s="109"/>
      <c r="I3739" s="109"/>
      <c r="J3739" s="109"/>
      <c r="L3739" s="109"/>
      <c r="M3739" s="109"/>
      <c r="N3739" s="109"/>
      <c r="Q3739" s="121"/>
      <c r="W3739" s="109"/>
    </row>
    <row r="3740" spans="1:23" ht="12.75" hidden="1">
      <c r="A3740" s="109"/>
      <c r="B3740" s="109"/>
      <c r="C3740" s="109"/>
      <c r="D3740" s="109"/>
      <c r="E3740" s="109"/>
      <c r="F3740" s="109"/>
      <c r="G3740" s="109"/>
      <c r="H3740" s="109"/>
      <c r="I3740" s="109"/>
      <c r="J3740" s="109"/>
      <c r="L3740" s="109"/>
      <c r="M3740" s="109"/>
      <c r="N3740" s="109"/>
      <c r="Q3740" s="121"/>
      <c r="W3740" s="109"/>
    </row>
    <row r="3741" spans="1:23" ht="12.75" hidden="1">
      <c r="A3741" s="109"/>
      <c r="B3741" s="109"/>
      <c r="C3741" s="109"/>
      <c r="D3741" s="109"/>
      <c r="E3741" s="109"/>
      <c r="F3741" s="109"/>
      <c r="G3741" s="109"/>
      <c r="H3741" s="109"/>
      <c r="I3741" s="109"/>
      <c r="J3741" s="109"/>
      <c r="L3741" s="109"/>
      <c r="M3741" s="109"/>
      <c r="N3741" s="109"/>
      <c r="Q3741" s="121"/>
      <c r="W3741" s="109"/>
    </row>
    <row r="3742" spans="1:23" ht="12.75" hidden="1">
      <c r="A3742" s="109"/>
      <c r="B3742" s="109"/>
      <c r="C3742" s="109"/>
      <c r="D3742" s="109"/>
      <c r="E3742" s="109"/>
      <c r="F3742" s="109"/>
      <c r="G3742" s="109"/>
      <c r="H3742" s="109"/>
      <c r="I3742" s="109"/>
      <c r="J3742" s="109"/>
      <c r="L3742" s="109"/>
      <c r="M3742" s="109"/>
      <c r="N3742" s="109"/>
      <c r="Q3742" s="121"/>
      <c r="W3742" s="109"/>
    </row>
    <row r="3743" spans="1:23" ht="12.75" hidden="1">
      <c r="A3743" s="109"/>
      <c r="B3743" s="109"/>
      <c r="C3743" s="109"/>
      <c r="D3743" s="109"/>
      <c r="E3743" s="109"/>
      <c r="F3743" s="109"/>
      <c r="G3743" s="109"/>
      <c r="H3743" s="109"/>
      <c r="I3743" s="109"/>
      <c r="J3743" s="109"/>
      <c r="L3743" s="109"/>
      <c r="M3743" s="109"/>
      <c r="N3743" s="109"/>
      <c r="Q3743" s="121"/>
      <c r="W3743" s="109"/>
    </row>
    <row r="3744" spans="1:23" ht="12.75" hidden="1">
      <c r="A3744" s="109"/>
      <c r="B3744" s="109"/>
      <c r="C3744" s="109"/>
      <c r="D3744" s="109"/>
      <c r="E3744" s="109"/>
      <c r="F3744" s="109"/>
      <c r="G3744" s="109"/>
      <c r="H3744" s="109"/>
      <c r="I3744" s="109"/>
      <c r="J3744" s="109"/>
      <c r="L3744" s="109"/>
      <c r="M3744" s="109"/>
      <c r="N3744" s="109"/>
      <c r="Q3744" s="121"/>
      <c r="W3744" s="109"/>
    </row>
    <row r="3745" spans="1:23" ht="12.75" hidden="1">
      <c r="A3745" s="109"/>
      <c r="B3745" s="109"/>
      <c r="C3745" s="109"/>
      <c r="D3745" s="109"/>
      <c r="E3745" s="109"/>
      <c r="F3745" s="109"/>
      <c r="G3745" s="109"/>
      <c r="H3745" s="109"/>
      <c r="I3745" s="109"/>
      <c r="J3745" s="109"/>
      <c r="L3745" s="109"/>
      <c r="M3745" s="109"/>
      <c r="N3745" s="109"/>
      <c r="Q3745" s="121"/>
      <c r="W3745" s="109"/>
    </row>
    <row r="3746" spans="1:23" ht="12.75" hidden="1">
      <c r="A3746" s="109"/>
      <c r="B3746" s="109"/>
      <c r="C3746" s="109"/>
      <c r="D3746" s="109"/>
      <c r="E3746" s="109"/>
      <c r="F3746" s="109"/>
      <c r="G3746" s="109"/>
      <c r="H3746" s="109"/>
      <c r="I3746" s="109"/>
      <c r="J3746" s="109"/>
      <c r="L3746" s="109"/>
      <c r="M3746" s="109"/>
      <c r="N3746" s="109"/>
      <c r="Q3746" s="121"/>
      <c r="W3746" s="109"/>
    </row>
    <row r="3747" spans="1:23" ht="12.75" hidden="1">
      <c r="A3747" s="109"/>
      <c r="B3747" s="109"/>
      <c r="C3747" s="109"/>
      <c r="D3747" s="109"/>
      <c r="E3747" s="109"/>
      <c r="F3747" s="109"/>
      <c r="G3747" s="109"/>
      <c r="H3747" s="109"/>
      <c r="I3747" s="109"/>
      <c r="J3747" s="109"/>
      <c r="L3747" s="109"/>
      <c r="M3747" s="109"/>
      <c r="N3747" s="109"/>
      <c r="Q3747" s="121"/>
      <c r="W3747" s="109"/>
    </row>
    <row r="3748" spans="1:23" ht="12.75" hidden="1">
      <c r="A3748" s="109"/>
      <c r="B3748" s="109"/>
      <c r="C3748" s="109"/>
      <c r="D3748" s="109"/>
      <c r="E3748" s="109"/>
      <c r="F3748" s="109"/>
      <c r="G3748" s="109"/>
      <c r="H3748" s="109"/>
      <c r="I3748" s="109"/>
      <c r="J3748" s="109"/>
      <c r="L3748" s="109"/>
      <c r="M3748" s="109"/>
      <c r="N3748" s="109"/>
      <c r="Q3748" s="121"/>
      <c r="W3748" s="109"/>
    </row>
    <row r="3749" spans="1:23" ht="12.75" hidden="1">
      <c r="A3749" s="109"/>
      <c r="B3749" s="109"/>
      <c r="C3749" s="109"/>
      <c r="D3749" s="109"/>
      <c r="E3749" s="109"/>
      <c r="F3749" s="109"/>
      <c r="G3749" s="109"/>
      <c r="H3749" s="109"/>
      <c r="I3749" s="109"/>
      <c r="J3749" s="109"/>
      <c r="L3749" s="109"/>
      <c r="M3749" s="109"/>
      <c r="N3749" s="109"/>
      <c r="Q3749" s="121"/>
      <c r="W3749" s="109"/>
    </row>
    <row r="3750" spans="1:23" ht="12.75" hidden="1">
      <c r="A3750" s="109"/>
      <c r="B3750" s="109"/>
      <c r="C3750" s="109"/>
      <c r="D3750" s="109"/>
      <c r="E3750" s="109"/>
      <c r="F3750" s="109"/>
      <c r="G3750" s="109"/>
      <c r="H3750" s="109"/>
      <c r="I3750" s="109"/>
      <c r="J3750" s="109"/>
      <c r="L3750" s="109"/>
      <c r="M3750" s="109"/>
      <c r="N3750" s="109"/>
      <c r="Q3750" s="121"/>
      <c r="W3750" s="109"/>
    </row>
    <row r="3751" spans="1:23" ht="12.75" hidden="1">
      <c r="A3751" s="109"/>
      <c r="B3751" s="109"/>
      <c r="C3751" s="109"/>
      <c r="D3751" s="109"/>
      <c r="E3751" s="109"/>
      <c r="F3751" s="109"/>
      <c r="G3751" s="109"/>
      <c r="H3751" s="109"/>
      <c r="I3751" s="109"/>
      <c r="J3751" s="109"/>
      <c r="L3751" s="109"/>
      <c r="M3751" s="109"/>
      <c r="N3751" s="109"/>
      <c r="Q3751" s="121"/>
      <c r="W3751" s="109"/>
    </row>
    <row r="3752" spans="1:23" ht="12.75" hidden="1">
      <c r="A3752" s="109"/>
      <c r="B3752" s="109"/>
      <c r="C3752" s="109"/>
      <c r="D3752" s="109"/>
      <c r="E3752" s="109"/>
      <c r="F3752" s="109"/>
      <c r="G3752" s="109"/>
      <c r="H3752" s="109"/>
      <c r="I3752" s="109"/>
      <c r="J3752" s="109"/>
      <c r="L3752" s="109"/>
      <c r="M3752" s="109"/>
      <c r="N3752" s="109"/>
      <c r="Q3752" s="121"/>
      <c r="W3752" s="109"/>
    </row>
    <row r="3753" spans="1:23" ht="12.75" hidden="1">
      <c r="A3753" s="109"/>
      <c r="B3753" s="109"/>
      <c r="C3753" s="109"/>
      <c r="D3753" s="109"/>
      <c r="E3753" s="109"/>
      <c r="F3753" s="109"/>
      <c r="G3753" s="109"/>
      <c r="H3753" s="109"/>
      <c r="I3753" s="109"/>
      <c r="J3753" s="109"/>
      <c r="L3753" s="109"/>
      <c r="M3753" s="109"/>
      <c r="N3753" s="109"/>
      <c r="Q3753" s="121"/>
      <c r="W3753" s="109"/>
    </row>
    <row r="3754" spans="1:23" ht="12.75" hidden="1">
      <c r="A3754" s="109"/>
      <c r="B3754" s="109"/>
      <c r="C3754" s="109"/>
      <c r="D3754" s="109"/>
      <c r="E3754" s="109"/>
      <c r="F3754" s="109"/>
      <c r="G3754" s="109"/>
      <c r="H3754" s="109"/>
      <c r="I3754" s="109"/>
      <c r="J3754" s="109"/>
      <c r="L3754" s="109"/>
      <c r="M3754" s="109"/>
      <c r="N3754" s="109"/>
      <c r="Q3754" s="121"/>
      <c r="W3754" s="109"/>
    </row>
    <row r="3755" spans="1:23" ht="12.75" hidden="1">
      <c r="A3755" s="109"/>
      <c r="B3755" s="109"/>
      <c r="C3755" s="109"/>
      <c r="D3755" s="109"/>
      <c r="E3755" s="109"/>
      <c r="F3755" s="109"/>
      <c r="G3755" s="109"/>
      <c r="H3755" s="109"/>
      <c r="I3755" s="109"/>
      <c r="J3755" s="109"/>
      <c r="L3755" s="109"/>
      <c r="M3755" s="109"/>
      <c r="N3755" s="109"/>
      <c r="Q3755" s="121"/>
      <c r="W3755" s="109"/>
    </row>
    <row r="3756" spans="1:23" ht="12.75" hidden="1">
      <c r="A3756" s="109"/>
      <c r="B3756" s="109"/>
      <c r="C3756" s="109"/>
      <c r="D3756" s="109"/>
      <c r="E3756" s="109"/>
      <c r="F3756" s="109"/>
      <c r="G3756" s="109"/>
      <c r="H3756" s="109"/>
      <c r="I3756" s="109"/>
      <c r="J3756" s="109"/>
      <c r="L3756" s="109"/>
      <c r="M3756" s="109"/>
      <c r="N3756" s="109"/>
      <c r="Q3756" s="121"/>
      <c r="W3756" s="109"/>
    </row>
    <row r="3757" spans="1:23" ht="12.75" hidden="1">
      <c r="A3757" s="109"/>
      <c r="B3757" s="109"/>
      <c r="C3757" s="109"/>
      <c r="D3757" s="109"/>
      <c r="E3757" s="109"/>
      <c r="F3757" s="109"/>
      <c r="G3757" s="109"/>
      <c r="H3757" s="109"/>
      <c r="I3757" s="109"/>
      <c r="J3757" s="109"/>
      <c r="L3757" s="109"/>
      <c r="M3757" s="109"/>
      <c r="N3757" s="109"/>
      <c r="Q3757" s="121"/>
      <c r="W3757" s="109"/>
    </row>
    <row r="3758" spans="1:23" ht="12.75" hidden="1">
      <c r="A3758" s="109"/>
      <c r="B3758" s="109"/>
      <c r="C3758" s="109"/>
      <c r="D3758" s="109"/>
      <c r="E3758" s="109"/>
      <c r="F3758" s="109"/>
      <c r="G3758" s="109"/>
      <c r="H3758" s="109"/>
      <c r="I3758" s="109"/>
      <c r="J3758" s="109"/>
      <c r="L3758" s="109"/>
      <c r="M3758" s="109"/>
      <c r="N3758" s="109"/>
      <c r="Q3758" s="121"/>
      <c r="W3758" s="109"/>
    </row>
    <row r="3759" spans="1:23" ht="12.75" hidden="1">
      <c r="A3759" s="109"/>
      <c r="B3759" s="109"/>
      <c r="C3759" s="109"/>
      <c r="D3759" s="109"/>
      <c r="E3759" s="109"/>
      <c r="F3759" s="109"/>
      <c r="G3759" s="109"/>
      <c r="H3759" s="109"/>
      <c r="I3759" s="109"/>
      <c r="J3759" s="109"/>
      <c r="L3759" s="109"/>
      <c r="M3759" s="109"/>
      <c r="N3759" s="109"/>
      <c r="Q3759" s="121"/>
      <c r="W3759" s="109"/>
    </row>
    <row r="3760" spans="1:23" ht="12.75" hidden="1">
      <c r="A3760" s="109"/>
      <c r="B3760" s="109"/>
      <c r="C3760" s="109"/>
      <c r="D3760" s="109"/>
      <c r="E3760" s="109"/>
      <c r="F3760" s="109"/>
      <c r="G3760" s="109"/>
      <c r="H3760" s="109"/>
      <c r="I3760" s="109"/>
      <c r="J3760" s="109"/>
      <c r="L3760" s="109"/>
      <c r="M3760" s="109"/>
      <c r="N3760" s="109"/>
      <c r="Q3760" s="121"/>
      <c r="W3760" s="109"/>
    </row>
    <row r="3761" spans="1:23" ht="12.75" hidden="1">
      <c r="A3761" s="109"/>
      <c r="B3761" s="109"/>
      <c r="C3761" s="109"/>
      <c r="D3761" s="109"/>
      <c r="E3761" s="109"/>
      <c r="F3761" s="109"/>
      <c r="G3761" s="109"/>
      <c r="H3761" s="109"/>
      <c r="I3761" s="109"/>
      <c r="J3761" s="109"/>
      <c r="L3761" s="109"/>
      <c r="M3761" s="109"/>
      <c r="N3761" s="109"/>
      <c r="Q3761" s="121"/>
      <c r="W3761" s="109"/>
    </row>
    <row r="3762" spans="1:23" ht="12.75" hidden="1">
      <c r="A3762" s="109"/>
      <c r="B3762" s="109"/>
      <c r="C3762" s="109"/>
      <c r="D3762" s="109"/>
      <c r="E3762" s="109"/>
      <c r="F3762" s="109"/>
      <c r="G3762" s="109"/>
      <c r="H3762" s="109"/>
      <c r="I3762" s="109"/>
      <c r="J3762" s="109"/>
      <c r="L3762" s="109"/>
      <c r="M3762" s="109"/>
      <c r="N3762" s="109"/>
      <c r="Q3762" s="121"/>
      <c r="W3762" s="109"/>
    </row>
    <row r="3763" spans="1:23" ht="12.75" hidden="1">
      <c r="A3763" s="109"/>
      <c r="B3763" s="109"/>
      <c r="C3763" s="109"/>
      <c r="D3763" s="109"/>
      <c r="E3763" s="109"/>
      <c r="F3763" s="109"/>
      <c r="G3763" s="109"/>
      <c r="H3763" s="109"/>
      <c r="I3763" s="109"/>
      <c r="J3763" s="109"/>
      <c r="L3763" s="109"/>
      <c r="M3763" s="109"/>
      <c r="N3763" s="109"/>
      <c r="Q3763" s="121"/>
      <c r="W3763" s="109"/>
    </row>
    <row r="3764" spans="1:23" ht="12.75" hidden="1">
      <c r="A3764" s="109"/>
      <c r="B3764" s="109"/>
      <c r="C3764" s="109"/>
      <c r="D3764" s="109"/>
      <c r="E3764" s="109"/>
      <c r="F3764" s="109"/>
      <c r="G3764" s="109"/>
      <c r="H3764" s="109"/>
      <c r="I3764" s="109"/>
      <c r="J3764" s="109"/>
      <c r="L3764" s="109"/>
      <c r="M3764" s="109"/>
      <c r="N3764" s="109"/>
      <c r="Q3764" s="121"/>
      <c r="W3764" s="109"/>
    </row>
    <row r="3765" spans="1:23" ht="12.75" hidden="1">
      <c r="A3765" s="109"/>
      <c r="B3765" s="109"/>
      <c r="C3765" s="109"/>
      <c r="D3765" s="109"/>
      <c r="E3765" s="109"/>
      <c r="F3765" s="109"/>
      <c r="G3765" s="109"/>
      <c r="H3765" s="109"/>
      <c r="I3765" s="109"/>
      <c r="J3765" s="109"/>
      <c r="L3765" s="109"/>
      <c r="M3765" s="109"/>
      <c r="N3765" s="109"/>
      <c r="Q3765" s="121"/>
      <c r="W3765" s="109"/>
    </row>
    <row r="3766" spans="1:23" ht="12.75" hidden="1">
      <c r="A3766" s="109"/>
      <c r="B3766" s="109"/>
      <c r="C3766" s="109"/>
      <c r="D3766" s="109"/>
      <c r="E3766" s="109"/>
      <c r="F3766" s="109"/>
      <c r="G3766" s="109"/>
      <c r="H3766" s="109"/>
      <c r="I3766" s="109"/>
      <c r="J3766" s="109"/>
      <c r="L3766" s="109"/>
      <c r="M3766" s="109"/>
      <c r="N3766" s="109"/>
      <c r="Q3766" s="121"/>
      <c r="W3766" s="109"/>
    </row>
    <row r="3767" spans="1:23" ht="12.75" hidden="1">
      <c r="A3767" s="109"/>
      <c r="B3767" s="109"/>
      <c r="C3767" s="109"/>
      <c r="D3767" s="109"/>
      <c r="E3767" s="109"/>
      <c r="F3767" s="109"/>
      <c r="G3767" s="109"/>
      <c r="H3767" s="109"/>
      <c r="I3767" s="109"/>
      <c r="J3767" s="109"/>
      <c r="L3767" s="109"/>
      <c r="M3767" s="109"/>
      <c r="N3767" s="109"/>
      <c r="Q3767" s="121"/>
      <c r="W3767" s="109"/>
    </row>
    <row r="3768" spans="1:23" ht="12.75" hidden="1">
      <c r="A3768" s="109"/>
      <c r="B3768" s="109"/>
      <c r="C3768" s="109"/>
      <c r="D3768" s="109"/>
      <c r="E3768" s="109"/>
      <c r="F3768" s="109"/>
      <c r="G3768" s="109"/>
      <c r="H3768" s="109"/>
      <c r="I3768" s="109"/>
      <c r="J3768" s="109"/>
      <c r="L3768" s="109"/>
      <c r="M3768" s="109"/>
      <c r="N3768" s="109"/>
      <c r="Q3768" s="121"/>
      <c r="W3768" s="109"/>
    </row>
    <row r="3769" spans="1:23" ht="12.75" hidden="1">
      <c r="A3769" s="109"/>
      <c r="B3769" s="109"/>
      <c r="C3769" s="109"/>
      <c r="D3769" s="109"/>
      <c r="E3769" s="109"/>
      <c r="F3769" s="109"/>
      <c r="G3769" s="109"/>
      <c r="H3769" s="109"/>
      <c r="I3769" s="109"/>
      <c r="J3769" s="109"/>
      <c r="L3769" s="109"/>
      <c r="M3769" s="109"/>
      <c r="N3769" s="109"/>
      <c r="Q3769" s="121"/>
      <c r="W3769" s="109"/>
    </row>
    <row r="3770" spans="1:23" ht="12.75" hidden="1">
      <c r="A3770" s="109"/>
      <c r="B3770" s="109"/>
      <c r="C3770" s="109"/>
      <c r="D3770" s="109"/>
      <c r="E3770" s="109"/>
      <c r="F3770" s="109"/>
      <c r="G3770" s="109"/>
      <c r="H3770" s="109"/>
      <c r="I3770" s="109"/>
      <c r="J3770" s="109"/>
      <c r="L3770" s="109"/>
      <c r="M3770" s="109"/>
      <c r="N3770" s="109"/>
      <c r="Q3770" s="121"/>
      <c r="W3770" s="109"/>
    </row>
    <row r="3771" spans="1:23" ht="12.75" hidden="1">
      <c r="A3771" s="109"/>
      <c r="B3771" s="109"/>
      <c r="C3771" s="109"/>
      <c r="D3771" s="109"/>
      <c r="E3771" s="109"/>
      <c r="F3771" s="109"/>
      <c r="G3771" s="109"/>
      <c r="H3771" s="109"/>
      <c r="I3771" s="109"/>
      <c r="J3771" s="109"/>
      <c r="L3771" s="109"/>
      <c r="M3771" s="109"/>
      <c r="N3771" s="109"/>
      <c r="Q3771" s="121"/>
      <c r="W3771" s="109"/>
    </row>
    <row r="3772" spans="1:23" ht="12.75" hidden="1">
      <c r="A3772" s="109"/>
      <c r="B3772" s="109"/>
      <c r="C3772" s="109"/>
      <c r="D3772" s="109"/>
      <c r="E3772" s="109"/>
      <c r="F3772" s="109"/>
      <c r="G3772" s="109"/>
      <c r="H3772" s="109"/>
      <c r="I3772" s="109"/>
      <c r="J3772" s="109"/>
      <c r="L3772" s="109"/>
      <c r="M3772" s="109"/>
      <c r="N3772" s="109"/>
      <c r="Q3772" s="121"/>
      <c r="W3772" s="109"/>
    </row>
    <row r="3773" spans="1:23" ht="12.75" hidden="1">
      <c r="A3773" s="109"/>
      <c r="B3773" s="109"/>
      <c r="C3773" s="109"/>
      <c r="D3773" s="109"/>
      <c r="E3773" s="109"/>
      <c r="F3773" s="109"/>
      <c r="G3773" s="109"/>
      <c r="H3773" s="109"/>
      <c r="I3773" s="109"/>
      <c r="J3773" s="109"/>
      <c r="L3773" s="109"/>
      <c r="M3773" s="109"/>
      <c r="N3773" s="109"/>
      <c r="Q3773" s="121"/>
      <c r="W3773" s="109"/>
    </row>
    <row r="3774" spans="1:23" ht="12.75" hidden="1">
      <c r="A3774" s="109"/>
      <c r="B3774" s="109"/>
      <c r="C3774" s="109"/>
      <c r="D3774" s="109"/>
      <c r="E3774" s="109"/>
      <c r="F3774" s="109"/>
      <c r="G3774" s="109"/>
      <c r="H3774" s="109"/>
      <c r="I3774" s="109"/>
      <c r="J3774" s="109"/>
      <c r="L3774" s="109"/>
      <c r="M3774" s="109"/>
      <c r="N3774" s="109"/>
      <c r="Q3774" s="121"/>
      <c r="W3774" s="109"/>
    </row>
    <row r="3775" spans="1:23" ht="12.75" hidden="1">
      <c r="A3775" s="109"/>
      <c r="B3775" s="109"/>
      <c r="C3775" s="109"/>
      <c r="D3775" s="109"/>
      <c r="E3775" s="109"/>
      <c r="F3775" s="109"/>
      <c r="G3775" s="109"/>
      <c r="H3775" s="109"/>
      <c r="I3775" s="109"/>
      <c r="J3775" s="109"/>
      <c r="L3775" s="109"/>
      <c r="M3775" s="109"/>
      <c r="N3775" s="109"/>
      <c r="Q3775" s="121"/>
      <c r="W3775" s="109"/>
    </row>
    <row r="3776" spans="1:23" ht="12.75" hidden="1">
      <c r="A3776" s="109"/>
      <c r="B3776" s="109"/>
      <c r="C3776" s="109"/>
      <c r="D3776" s="109"/>
      <c r="E3776" s="109"/>
      <c r="F3776" s="109"/>
      <c r="G3776" s="109"/>
      <c r="H3776" s="109"/>
      <c r="I3776" s="109"/>
      <c r="J3776" s="109"/>
      <c r="L3776" s="109"/>
      <c r="M3776" s="109"/>
      <c r="N3776" s="109"/>
      <c r="Q3776" s="121"/>
      <c r="W3776" s="109"/>
    </row>
    <row r="3777" spans="1:23" ht="12.75" hidden="1">
      <c r="A3777" s="109"/>
      <c r="B3777" s="109"/>
      <c r="C3777" s="109"/>
      <c r="D3777" s="109"/>
      <c r="E3777" s="109"/>
      <c r="F3777" s="109"/>
      <c r="G3777" s="109"/>
      <c r="H3777" s="109"/>
      <c r="I3777" s="109"/>
      <c r="J3777" s="109"/>
      <c r="L3777" s="109"/>
      <c r="M3777" s="109"/>
      <c r="N3777" s="109"/>
      <c r="Q3777" s="121"/>
      <c r="W3777" s="109"/>
    </row>
    <row r="3778" spans="1:23" ht="12.75" hidden="1">
      <c r="A3778" s="109"/>
      <c r="B3778" s="109"/>
      <c r="C3778" s="109"/>
      <c r="D3778" s="109"/>
      <c r="E3778" s="109"/>
      <c r="F3778" s="109"/>
      <c r="G3778" s="109"/>
      <c r="H3778" s="109"/>
      <c r="I3778" s="109"/>
      <c r="J3778" s="109"/>
      <c r="L3778" s="109"/>
      <c r="M3778" s="109"/>
      <c r="N3778" s="109"/>
      <c r="Q3778" s="121"/>
      <c r="W3778" s="109"/>
    </row>
    <row r="3779" spans="1:23" ht="12.75" hidden="1">
      <c r="A3779" s="109"/>
      <c r="B3779" s="109"/>
      <c r="C3779" s="109"/>
      <c r="D3779" s="109"/>
      <c r="E3779" s="109"/>
      <c r="F3779" s="109"/>
      <c r="G3779" s="109"/>
      <c r="H3779" s="109"/>
      <c r="I3779" s="109"/>
      <c r="J3779" s="109"/>
      <c r="L3779" s="109"/>
      <c r="M3779" s="109"/>
      <c r="N3779" s="109"/>
      <c r="Q3779" s="121"/>
      <c r="W3779" s="109"/>
    </row>
    <row r="3780" spans="1:23" ht="12.75" hidden="1">
      <c r="A3780" s="109"/>
      <c r="B3780" s="109"/>
      <c r="C3780" s="109"/>
      <c r="D3780" s="109"/>
      <c r="E3780" s="109"/>
      <c r="F3780" s="109"/>
      <c r="G3780" s="109"/>
      <c r="H3780" s="109"/>
      <c r="I3780" s="109"/>
      <c r="J3780" s="109"/>
      <c r="L3780" s="109"/>
      <c r="M3780" s="109"/>
      <c r="N3780" s="109"/>
      <c r="Q3780" s="121"/>
      <c r="W3780" s="109"/>
    </row>
    <row r="3781" spans="1:23" ht="12.75" hidden="1">
      <c r="A3781" s="109"/>
      <c r="B3781" s="109"/>
      <c r="C3781" s="109"/>
      <c r="D3781" s="109"/>
      <c r="E3781" s="109"/>
      <c r="F3781" s="109"/>
      <c r="G3781" s="109"/>
      <c r="H3781" s="109"/>
      <c r="I3781" s="109"/>
      <c r="J3781" s="109"/>
      <c r="L3781" s="109"/>
      <c r="M3781" s="109"/>
      <c r="N3781" s="109"/>
      <c r="Q3781" s="121"/>
      <c r="W3781" s="109"/>
    </row>
    <row r="3782" spans="1:23" ht="12.75" hidden="1">
      <c r="A3782" s="109"/>
      <c r="B3782" s="109"/>
      <c r="C3782" s="109"/>
      <c r="D3782" s="109"/>
      <c r="E3782" s="109"/>
      <c r="F3782" s="109"/>
      <c r="G3782" s="109"/>
      <c r="H3782" s="109"/>
      <c r="I3782" s="109"/>
      <c r="J3782" s="109"/>
      <c r="L3782" s="109"/>
      <c r="M3782" s="109"/>
      <c r="N3782" s="109"/>
      <c r="Q3782" s="121"/>
      <c r="W3782" s="109"/>
    </row>
    <row r="3783" spans="1:23" ht="12.75" hidden="1">
      <c r="A3783" s="109"/>
      <c r="B3783" s="109"/>
      <c r="C3783" s="109"/>
      <c r="D3783" s="109"/>
      <c r="E3783" s="109"/>
      <c r="F3783" s="109"/>
      <c r="G3783" s="109"/>
      <c r="H3783" s="109"/>
      <c r="I3783" s="109"/>
      <c r="J3783" s="109"/>
      <c r="L3783" s="109"/>
      <c r="M3783" s="109"/>
      <c r="N3783" s="109"/>
      <c r="Q3783" s="121"/>
      <c r="W3783" s="109"/>
    </row>
    <row r="3784" spans="1:23" ht="12.75" hidden="1">
      <c r="A3784" s="109"/>
      <c r="B3784" s="109"/>
      <c r="C3784" s="109"/>
      <c r="D3784" s="109"/>
      <c r="E3784" s="109"/>
      <c r="F3784" s="109"/>
      <c r="G3784" s="109"/>
      <c r="H3784" s="109"/>
      <c r="I3784" s="109"/>
      <c r="J3784" s="109"/>
      <c r="L3784" s="109"/>
      <c r="M3784" s="109"/>
      <c r="N3784" s="109"/>
      <c r="Q3784" s="121"/>
      <c r="W3784" s="109"/>
    </row>
    <row r="3785" spans="1:23" ht="12.75" hidden="1">
      <c r="A3785" s="109"/>
      <c r="B3785" s="109"/>
      <c r="C3785" s="109"/>
      <c r="D3785" s="109"/>
      <c r="E3785" s="109"/>
      <c r="F3785" s="109"/>
      <c r="G3785" s="109"/>
      <c r="H3785" s="109"/>
      <c r="I3785" s="109"/>
      <c r="J3785" s="109"/>
      <c r="L3785" s="109"/>
      <c r="M3785" s="109"/>
      <c r="N3785" s="109"/>
      <c r="Q3785" s="121"/>
      <c r="W3785" s="109"/>
    </row>
    <row r="3786" spans="1:23" ht="12.75" hidden="1">
      <c r="A3786" s="109"/>
      <c r="B3786" s="109"/>
      <c r="C3786" s="109"/>
      <c r="D3786" s="109"/>
      <c r="E3786" s="109"/>
      <c r="F3786" s="109"/>
      <c r="G3786" s="109"/>
      <c r="H3786" s="109"/>
      <c r="I3786" s="109"/>
      <c r="J3786" s="109"/>
      <c r="L3786" s="109"/>
      <c r="M3786" s="109"/>
      <c r="N3786" s="109"/>
      <c r="Q3786" s="121"/>
      <c r="W3786" s="109"/>
    </row>
    <row r="3787" spans="1:23" ht="12.75" hidden="1">
      <c r="A3787" s="109"/>
      <c r="B3787" s="109"/>
      <c r="C3787" s="109"/>
      <c r="D3787" s="109"/>
      <c r="E3787" s="109"/>
      <c r="F3787" s="109"/>
      <c r="G3787" s="109"/>
      <c r="H3787" s="109"/>
      <c r="I3787" s="109"/>
      <c r="J3787" s="109"/>
      <c r="L3787" s="109"/>
      <c r="M3787" s="109"/>
      <c r="N3787" s="109"/>
      <c r="Q3787" s="121"/>
      <c r="W3787" s="109"/>
    </row>
    <row r="3788" spans="1:23" ht="12.75" hidden="1">
      <c r="A3788" s="109"/>
      <c r="B3788" s="109"/>
      <c r="C3788" s="109"/>
      <c r="D3788" s="109"/>
      <c r="E3788" s="109"/>
      <c r="F3788" s="109"/>
      <c r="G3788" s="109"/>
      <c r="H3788" s="109"/>
      <c r="I3788" s="109"/>
      <c r="J3788" s="109"/>
      <c r="L3788" s="109"/>
      <c r="M3788" s="109"/>
      <c r="N3788" s="109"/>
      <c r="Q3788" s="121"/>
      <c r="W3788" s="109"/>
    </row>
    <row r="3789" spans="1:23" ht="12.75" hidden="1">
      <c r="A3789" s="109"/>
      <c r="B3789" s="109"/>
      <c r="C3789" s="109"/>
      <c r="D3789" s="109"/>
      <c r="E3789" s="109"/>
      <c r="F3789" s="109"/>
      <c r="G3789" s="109"/>
      <c r="H3789" s="109"/>
      <c r="I3789" s="109"/>
      <c r="J3789" s="109"/>
      <c r="L3789" s="109"/>
      <c r="M3789" s="109"/>
      <c r="N3789" s="109"/>
      <c r="Q3789" s="121"/>
      <c r="W3789" s="109"/>
    </row>
    <row r="3790" spans="1:23" ht="12.75" hidden="1">
      <c r="A3790" s="109"/>
      <c r="B3790" s="109"/>
      <c r="C3790" s="109"/>
      <c r="D3790" s="109"/>
      <c r="E3790" s="109"/>
      <c r="F3790" s="109"/>
      <c r="G3790" s="109"/>
      <c r="H3790" s="109"/>
      <c r="I3790" s="109"/>
      <c r="J3790" s="109"/>
      <c r="L3790" s="109"/>
      <c r="M3790" s="109"/>
      <c r="N3790" s="109"/>
      <c r="Q3790" s="121"/>
      <c r="W3790" s="109"/>
    </row>
    <row r="3791" spans="1:23" ht="12.75" hidden="1">
      <c r="A3791" s="109"/>
      <c r="B3791" s="109"/>
      <c r="C3791" s="109"/>
      <c r="D3791" s="109"/>
      <c r="E3791" s="109"/>
      <c r="F3791" s="109"/>
      <c r="G3791" s="109"/>
      <c r="H3791" s="109"/>
      <c r="I3791" s="109"/>
      <c r="J3791" s="109"/>
      <c r="L3791" s="109"/>
      <c r="M3791" s="109"/>
      <c r="N3791" s="109"/>
      <c r="Q3791" s="121"/>
      <c r="W3791" s="109"/>
    </row>
    <row r="3792" spans="1:23" ht="12.75" hidden="1">
      <c r="A3792" s="109"/>
      <c r="B3792" s="109"/>
      <c r="C3792" s="109"/>
      <c r="D3792" s="109"/>
      <c r="E3792" s="109"/>
      <c r="F3792" s="109"/>
      <c r="G3792" s="109"/>
      <c r="H3792" s="109"/>
      <c r="I3792" s="109"/>
      <c r="J3792" s="109"/>
      <c r="L3792" s="109"/>
      <c r="M3792" s="109"/>
      <c r="N3792" s="109"/>
      <c r="Q3792" s="121"/>
      <c r="W3792" s="109"/>
    </row>
    <row r="3793" spans="1:23" ht="12.75" hidden="1">
      <c r="A3793" s="109"/>
      <c r="B3793" s="109"/>
      <c r="C3793" s="109"/>
      <c r="D3793" s="109"/>
      <c r="E3793" s="109"/>
      <c r="F3793" s="109"/>
      <c r="G3793" s="109"/>
      <c r="H3793" s="109"/>
      <c r="I3793" s="109"/>
      <c r="J3793" s="109"/>
      <c r="L3793" s="109"/>
      <c r="M3793" s="109"/>
      <c r="N3793" s="109"/>
      <c r="Q3793" s="121"/>
      <c r="W3793" s="109"/>
    </row>
    <row r="3794" spans="1:23" ht="12.75" hidden="1">
      <c r="A3794" s="109"/>
      <c r="B3794" s="109"/>
      <c r="C3794" s="109"/>
      <c r="D3794" s="109"/>
      <c r="E3794" s="109"/>
      <c r="F3794" s="109"/>
      <c r="G3794" s="109"/>
      <c r="H3794" s="109"/>
      <c r="I3794" s="109"/>
      <c r="J3794" s="109"/>
      <c r="L3794" s="109"/>
      <c r="M3794" s="109"/>
      <c r="N3794" s="109"/>
      <c r="Q3794" s="121"/>
      <c r="W3794" s="109"/>
    </row>
    <row r="3795" spans="1:23" ht="12.75" hidden="1">
      <c r="A3795" s="109"/>
      <c r="B3795" s="109"/>
      <c r="C3795" s="109"/>
      <c r="D3795" s="109"/>
      <c r="E3795" s="109"/>
      <c r="F3795" s="109"/>
      <c r="G3795" s="109"/>
      <c r="H3795" s="109"/>
      <c r="I3795" s="109"/>
      <c r="J3795" s="109"/>
      <c r="L3795" s="109"/>
      <c r="M3795" s="109"/>
      <c r="N3795" s="109"/>
      <c r="Q3795" s="121"/>
      <c r="W3795" s="109"/>
    </row>
    <row r="3796" spans="1:23" ht="12.75" hidden="1">
      <c r="A3796" s="109"/>
      <c r="B3796" s="109"/>
      <c r="C3796" s="109"/>
      <c r="D3796" s="109"/>
      <c r="E3796" s="109"/>
      <c r="F3796" s="109"/>
      <c r="G3796" s="109"/>
      <c r="H3796" s="109"/>
      <c r="I3796" s="109"/>
      <c r="J3796" s="109"/>
      <c r="L3796" s="109"/>
      <c r="M3796" s="109"/>
      <c r="N3796" s="109"/>
      <c r="Q3796" s="121"/>
      <c r="W3796" s="109"/>
    </row>
    <row r="3797" spans="1:23" ht="12.75" hidden="1">
      <c r="A3797" s="109"/>
      <c r="B3797" s="109"/>
      <c r="C3797" s="109"/>
      <c r="D3797" s="109"/>
      <c r="E3797" s="109"/>
      <c r="F3797" s="109"/>
      <c r="G3797" s="109"/>
      <c r="H3797" s="109"/>
      <c r="I3797" s="109"/>
      <c r="J3797" s="109"/>
      <c r="L3797" s="109"/>
      <c r="M3797" s="109"/>
      <c r="N3797" s="109"/>
      <c r="Q3797" s="121"/>
      <c r="W3797" s="109"/>
    </row>
    <row r="3798" spans="1:23" ht="12.75" hidden="1">
      <c r="A3798" s="109"/>
      <c r="B3798" s="109"/>
      <c r="C3798" s="109"/>
      <c r="D3798" s="109"/>
      <c r="E3798" s="109"/>
      <c r="F3798" s="109"/>
      <c r="G3798" s="109"/>
      <c r="H3798" s="109"/>
      <c r="I3798" s="109"/>
      <c r="J3798" s="109"/>
      <c r="L3798" s="109"/>
      <c r="M3798" s="109"/>
      <c r="N3798" s="109"/>
      <c r="Q3798" s="121"/>
      <c r="W3798" s="109"/>
    </row>
    <row r="3799" spans="1:23" ht="12.75" hidden="1">
      <c r="A3799" s="109"/>
      <c r="B3799" s="109"/>
      <c r="C3799" s="109"/>
      <c r="D3799" s="109"/>
      <c r="E3799" s="109"/>
      <c r="F3799" s="109"/>
      <c r="G3799" s="109"/>
      <c r="H3799" s="109"/>
      <c r="I3799" s="109"/>
      <c r="J3799" s="109"/>
      <c r="L3799" s="109"/>
      <c r="M3799" s="109"/>
      <c r="N3799" s="109"/>
      <c r="Q3799" s="121"/>
      <c r="W3799" s="109"/>
    </row>
    <row r="3800" spans="1:23" ht="12.75" hidden="1">
      <c r="A3800" s="109"/>
      <c r="B3800" s="109"/>
      <c r="C3800" s="109"/>
      <c r="D3800" s="109"/>
      <c r="E3800" s="109"/>
      <c r="F3800" s="109"/>
      <c r="G3800" s="109"/>
      <c r="H3800" s="109"/>
      <c r="I3800" s="109"/>
      <c r="J3800" s="109"/>
      <c r="L3800" s="109"/>
      <c r="M3800" s="109"/>
      <c r="N3800" s="109"/>
      <c r="Q3800" s="121"/>
      <c r="W3800" s="109"/>
    </row>
    <row r="3801" spans="1:23" ht="12.75" hidden="1">
      <c r="A3801" s="109"/>
      <c r="B3801" s="109"/>
      <c r="C3801" s="109"/>
      <c r="D3801" s="109"/>
      <c r="E3801" s="109"/>
      <c r="F3801" s="109"/>
      <c r="G3801" s="109"/>
      <c r="H3801" s="109"/>
      <c r="I3801" s="109"/>
      <c r="J3801" s="109"/>
      <c r="L3801" s="109"/>
      <c r="M3801" s="109"/>
      <c r="N3801" s="109"/>
      <c r="Q3801" s="121"/>
      <c r="W3801" s="109"/>
    </row>
    <row r="3802" spans="1:23" ht="12.75" hidden="1">
      <c r="A3802" s="109"/>
      <c r="B3802" s="109"/>
      <c r="C3802" s="109"/>
      <c r="D3802" s="109"/>
      <c r="E3802" s="109"/>
      <c r="F3802" s="109"/>
      <c r="G3802" s="109"/>
      <c r="H3802" s="109"/>
      <c r="I3802" s="109"/>
      <c r="J3802" s="109"/>
      <c r="L3802" s="109"/>
      <c r="M3802" s="109"/>
      <c r="N3802" s="109"/>
      <c r="Q3802" s="121"/>
      <c r="W3802" s="109"/>
    </row>
    <row r="3803" spans="1:23" ht="12.75" hidden="1">
      <c r="A3803" s="109"/>
      <c r="B3803" s="109"/>
      <c r="C3803" s="109"/>
      <c r="D3803" s="109"/>
      <c r="E3803" s="109"/>
      <c r="F3803" s="109"/>
      <c r="G3803" s="109"/>
      <c r="H3803" s="109"/>
      <c r="I3803" s="109"/>
      <c r="J3803" s="109"/>
      <c r="L3803" s="109"/>
      <c r="M3803" s="109"/>
      <c r="N3803" s="109"/>
      <c r="Q3803" s="121"/>
      <c r="W3803" s="109"/>
    </row>
    <row r="3804" spans="1:23" ht="12.75" hidden="1">
      <c r="A3804" s="109"/>
      <c r="B3804" s="109"/>
      <c r="C3804" s="109"/>
      <c r="D3804" s="109"/>
      <c r="E3804" s="109"/>
      <c r="F3804" s="109"/>
      <c r="G3804" s="109"/>
      <c r="H3804" s="109"/>
      <c r="I3804" s="109"/>
      <c r="J3804" s="109"/>
      <c r="L3804" s="109"/>
      <c r="M3804" s="109"/>
      <c r="N3804" s="109"/>
      <c r="Q3804" s="121"/>
      <c r="W3804" s="109"/>
    </row>
    <row r="3805" spans="1:23" ht="12.75" hidden="1">
      <c r="A3805" s="109"/>
      <c r="B3805" s="109"/>
      <c r="C3805" s="109"/>
      <c r="D3805" s="109"/>
      <c r="E3805" s="109"/>
      <c r="F3805" s="109"/>
      <c r="G3805" s="109"/>
      <c r="H3805" s="109"/>
      <c r="I3805" s="109"/>
      <c r="J3805" s="109"/>
      <c r="L3805" s="109"/>
      <c r="M3805" s="109"/>
      <c r="N3805" s="109"/>
      <c r="Q3805" s="121"/>
      <c r="W3805" s="109"/>
    </row>
    <row r="3806" spans="1:23" ht="12.75" hidden="1">
      <c r="A3806" s="109"/>
      <c r="B3806" s="109"/>
      <c r="C3806" s="109"/>
      <c r="D3806" s="109"/>
      <c r="E3806" s="109"/>
      <c r="F3806" s="109"/>
      <c r="G3806" s="109"/>
      <c r="H3806" s="109"/>
      <c r="I3806" s="109"/>
      <c r="J3806" s="109"/>
      <c r="L3806" s="109"/>
      <c r="M3806" s="109"/>
      <c r="N3806" s="109"/>
      <c r="Q3806" s="121"/>
      <c r="W3806" s="109"/>
    </row>
    <row r="3807" spans="1:23" ht="12.75" hidden="1">
      <c r="A3807" s="109"/>
      <c r="B3807" s="109"/>
      <c r="C3807" s="109"/>
      <c r="D3807" s="109"/>
      <c r="E3807" s="109"/>
      <c r="F3807" s="109"/>
      <c r="G3807" s="109"/>
      <c r="H3807" s="109"/>
      <c r="I3807" s="109"/>
      <c r="J3807" s="109"/>
      <c r="L3807" s="109"/>
      <c r="M3807" s="109"/>
      <c r="N3807" s="109"/>
      <c r="Q3807" s="121"/>
      <c r="W3807" s="109"/>
    </row>
    <row r="3808" spans="1:23" ht="12.75" hidden="1">
      <c r="A3808" s="109"/>
      <c r="B3808" s="109"/>
      <c r="C3808" s="109"/>
      <c r="D3808" s="109"/>
      <c r="E3808" s="109"/>
      <c r="F3808" s="109"/>
      <c r="G3808" s="109"/>
      <c r="H3808" s="109"/>
      <c r="I3808" s="109"/>
      <c r="J3808" s="109"/>
      <c r="L3808" s="109"/>
      <c r="M3808" s="109"/>
      <c r="N3808" s="109"/>
      <c r="Q3808" s="121"/>
      <c r="W3808" s="109"/>
    </row>
    <row r="3809" spans="1:23" ht="12.75" hidden="1">
      <c r="A3809" s="109"/>
      <c r="B3809" s="109"/>
      <c r="C3809" s="109"/>
      <c r="D3809" s="109"/>
      <c r="E3809" s="109"/>
      <c r="F3809" s="109"/>
      <c r="G3809" s="109"/>
      <c r="H3809" s="109"/>
      <c r="I3809" s="109"/>
      <c r="J3809" s="109"/>
      <c r="L3809" s="109"/>
      <c r="M3809" s="109"/>
      <c r="N3809" s="109"/>
      <c r="Q3809" s="121"/>
      <c r="W3809" s="109"/>
    </row>
    <row r="3810" spans="1:23" ht="12.75" hidden="1">
      <c r="A3810" s="109"/>
      <c r="B3810" s="109"/>
      <c r="C3810" s="109"/>
      <c r="D3810" s="109"/>
      <c r="E3810" s="109"/>
      <c r="F3810" s="109"/>
      <c r="G3810" s="109"/>
      <c r="H3810" s="109"/>
      <c r="I3810" s="109"/>
      <c r="J3810" s="109"/>
      <c r="L3810" s="109"/>
      <c r="M3810" s="109"/>
      <c r="N3810" s="109"/>
      <c r="Q3810" s="121"/>
      <c r="W3810" s="109"/>
    </row>
    <row r="3811" spans="1:23" ht="12.75" hidden="1">
      <c r="A3811" s="109"/>
      <c r="B3811" s="109"/>
      <c r="C3811" s="109"/>
      <c r="D3811" s="109"/>
      <c r="E3811" s="109"/>
      <c r="F3811" s="109"/>
      <c r="G3811" s="109"/>
      <c r="H3811" s="109"/>
      <c r="I3811" s="109"/>
      <c r="J3811" s="109"/>
      <c r="L3811" s="109"/>
      <c r="M3811" s="109"/>
      <c r="N3811" s="109"/>
      <c r="Q3811" s="121"/>
      <c r="W3811" s="109"/>
    </row>
    <row r="3812" spans="1:23" ht="12.75" hidden="1">
      <c r="A3812" s="109"/>
      <c r="B3812" s="109"/>
      <c r="C3812" s="109"/>
      <c r="D3812" s="109"/>
      <c r="E3812" s="109"/>
      <c r="F3812" s="109"/>
      <c r="G3812" s="109"/>
      <c r="H3812" s="109"/>
      <c r="I3812" s="109"/>
      <c r="J3812" s="109"/>
      <c r="L3812" s="109"/>
      <c r="M3812" s="109"/>
      <c r="N3812" s="109"/>
      <c r="Q3812" s="121"/>
      <c r="W3812" s="109"/>
    </row>
    <row r="3813" spans="1:23" ht="12.75" hidden="1">
      <c r="A3813" s="109"/>
      <c r="B3813" s="109"/>
      <c r="C3813" s="109"/>
      <c r="D3813" s="109"/>
      <c r="E3813" s="109"/>
      <c r="F3813" s="109"/>
      <c r="G3813" s="109"/>
      <c r="H3813" s="109"/>
      <c r="I3813" s="109"/>
      <c r="J3813" s="109"/>
      <c r="L3813" s="109"/>
      <c r="M3813" s="109"/>
      <c r="N3813" s="109"/>
      <c r="Q3813" s="121"/>
      <c r="W3813" s="109"/>
    </row>
    <row r="3814" spans="1:23" ht="12.75" hidden="1">
      <c r="A3814" s="109"/>
      <c r="B3814" s="109"/>
      <c r="C3814" s="109"/>
      <c r="D3814" s="109"/>
      <c r="E3814" s="109"/>
      <c r="F3814" s="109"/>
      <c r="G3814" s="109"/>
      <c r="H3814" s="109"/>
      <c r="I3814" s="109"/>
      <c r="J3814" s="109"/>
      <c r="L3814" s="109"/>
      <c r="M3814" s="109"/>
      <c r="N3814" s="109"/>
      <c r="Q3814" s="121"/>
      <c r="W3814" s="109"/>
    </row>
    <row r="3815" spans="1:23" ht="12.75" hidden="1">
      <c r="A3815" s="109"/>
      <c r="B3815" s="109"/>
      <c r="C3815" s="109"/>
      <c r="D3815" s="109"/>
      <c r="E3815" s="109"/>
      <c r="F3815" s="109"/>
      <c r="G3815" s="109"/>
      <c r="H3815" s="109"/>
      <c r="I3815" s="109"/>
      <c r="J3815" s="109"/>
      <c r="L3815" s="109"/>
      <c r="M3815" s="109"/>
      <c r="N3815" s="109"/>
      <c r="Q3815" s="121"/>
      <c r="W3815" s="109"/>
    </row>
    <row r="3816" spans="1:23" ht="12.75" hidden="1">
      <c r="A3816" s="109"/>
      <c r="B3816" s="109"/>
      <c r="C3816" s="109"/>
      <c r="D3816" s="109"/>
      <c r="E3816" s="109"/>
      <c r="F3816" s="109"/>
      <c r="G3816" s="109"/>
      <c r="H3816" s="109"/>
      <c r="I3816" s="109"/>
      <c r="J3816" s="109"/>
      <c r="L3816" s="109"/>
      <c r="M3816" s="109"/>
      <c r="N3816" s="109"/>
      <c r="Q3816" s="121"/>
      <c r="W3816" s="109"/>
    </row>
    <row r="3817" spans="1:23" ht="12.75" hidden="1">
      <c r="A3817" s="109"/>
      <c r="B3817" s="109"/>
      <c r="C3817" s="109"/>
      <c r="D3817" s="109"/>
      <c r="E3817" s="109"/>
      <c r="F3817" s="109"/>
      <c r="G3817" s="109"/>
      <c r="H3817" s="109"/>
      <c r="I3817" s="109"/>
      <c r="J3817" s="109"/>
      <c r="L3817" s="109"/>
      <c r="M3817" s="109"/>
      <c r="N3817" s="109"/>
      <c r="Q3817" s="121"/>
      <c r="W3817" s="109"/>
    </row>
    <row r="3818" spans="1:23" ht="12.75" hidden="1">
      <c r="A3818" s="109"/>
      <c r="B3818" s="109"/>
      <c r="C3818" s="109"/>
      <c r="D3818" s="109"/>
      <c r="E3818" s="109"/>
      <c r="F3818" s="109"/>
      <c r="G3818" s="109"/>
      <c r="H3818" s="109"/>
      <c r="I3818" s="109"/>
      <c r="J3818" s="109"/>
      <c r="L3818" s="109"/>
      <c r="M3818" s="109"/>
      <c r="N3818" s="109"/>
      <c r="Q3818" s="121"/>
      <c r="W3818" s="109"/>
    </row>
    <row r="3819" spans="1:23" ht="12.75" hidden="1">
      <c r="A3819" s="109"/>
      <c r="B3819" s="109"/>
      <c r="C3819" s="109"/>
      <c r="D3819" s="109"/>
      <c r="E3819" s="109"/>
      <c r="F3819" s="109"/>
      <c r="G3819" s="109"/>
      <c r="H3819" s="109"/>
      <c r="I3819" s="109"/>
      <c r="J3819" s="109"/>
      <c r="L3819" s="109"/>
      <c r="M3819" s="109"/>
      <c r="N3819" s="109"/>
      <c r="Q3819" s="121"/>
      <c r="W3819" s="109"/>
    </row>
    <row r="3820" spans="1:23" ht="12.75" hidden="1">
      <c r="A3820" s="109"/>
      <c r="B3820" s="109"/>
      <c r="C3820" s="109"/>
      <c r="D3820" s="109"/>
      <c r="E3820" s="109"/>
      <c r="F3820" s="109"/>
      <c r="G3820" s="109"/>
      <c r="H3820" s="109"/>
      <c r="I3820" s="109"/>
      <c r="J3820" s="109"/>
      <c r="L3820" s="109"/>
      <c r="M3820" s="109"/>
      <c r="N3820" s="109"/>
      <c r="Q3820" s="121"/>
      <c r="W3820" s="109"/>
    </row>
    <row r="3821" spans="1:23" ht="12.75" hidden="1">
      <c r="A3821" s="109"/>
      <c r="B3821" s="109"/>
      <c r="C3821" s="109"/>
      <c r="D3821" s="109"/>
      <c r="E3821" s="109"/>
      <c r="F3821" s="109"/>
      <c r="G3821" s="109"/>
      <c r="H3821" s="109"/>
      <c r="I3821" s="109"/>
      <c r="J3821" s="109"/>
      <c r="L3821" s="109"/>
      <c r="M3821" s="109"/>
      <c r="N3821" s="109"/>
      <c r="Q3821" s="121"/>
      <c r="W3821" s="109"/>
    </row>
    <row r="3822" spans="1:23" ht="12.75" hidden="1">
      <c r="A3822" s="109"/>
      <c r="B3822" s="109"/>
      <c r="C3822" s="109"/>
      <c r="D3822" s="109"/>
      <c r="E3822" s="109"/>
      <c r="F3822" s="109"/>
      <c r="G3822" s="109"/>
      <c r="H3822" s="109"/>
      <c r="I3822" s="109"/>
      <c r="J3822" s="109"/>
      <c r="L3822" s="109"/>
      <c r="M3822" s="109"/>
      <c r="N3822" s="109"/>
      <c r="Q3822" s="121"/>
      <c r="W3822" s="109"/>
    </row>
    <row r="3823" spans="1:23" ht="12.75" hidden="1">
      <c r="A3823" s="109"/>
      <c r="B3823" s="109"/>
      <c r="C3823" s="109"/>
      <c r="D3823" s="109"/>
      <c r="E3823" s="109"/>
      <c r="F3823" s="109"/>
      <c r="G3823" s="109"/>
      <c r="H3823" s="109"/>
      <c r="I3823" s="109"/>
      <c r="J3823" s="109"/>
      <c r="L3823" s="109"/>
      <c r="M3823" s="109"/>
      <c r="N3823" s="109"/>
      <c r="Q3823" s="121"/>
      <c r="W3823" s="109"/>
    </row>
    <row r="3824" spans="1:23" ht="12.75" hidden="1">
      <c r="A3824" s="109"/>
      <c r="B3824" s="109"/>
      <c r="C3824" s="109"/>
      <c r="D3824" s="109"/>
      <c r="E3824" s="109"/>
      <c r="F3824" s="109"/>
      <c r="G3824" s="109"/>
      <c r="H3824" s="109"/>
      <c r="I3824" s="109"/>
      <c r="J3824" s="109"/>
      <c r="L3824" s="109"/>
      <c r="M3824" s="109"/>
      <c r="N3824" s="109"/>
      <c r="Q3824" s="121"/>
      <c r="W3824" s="109"/>
    </row>
    <row r="3825" spans="1:23" ht="12.75" hidden="1">
      <c r="A3825" s="109"/>
      <c r="B3825" s="109"/>
      <c r="C3825" s="109"/>
      <c r="D3825" s="109"/>
      <c r="E3825" s="109"/>
      <c r="F3825" s="109"/>
      <c r="G3825" s="109"/>
      <c r="H3825" s="109"/>
      <c r="I3825" s="109"/>
      <c r="J3825" s="109"/>
      <c r="L3825" s="109"/>
      <c r="M3825" s="109"/>
      <c r="N3825" s="109"/>
      <c r="Q3825" s="121"/>
      <c r="W3825" s="109"/>
    </row>
    <row r="3826" spans="1:23" ht="12.75" hidden="1">
      <c r="A3826" s="109"/>
      <c r="B3826" s="109"/>
      <c r="C3826" s="109"/>
      <c r="D3826" s="109"/>
      <c r="E3826" s="109"/>
      <c r="F3826" s="109"/>
      <c r="G3826" s="109"/>
      <c r="H3826" s="109"/>
      <c r="I3826" s="109"/>
      <c r="J3826" s="109"/>
      <c r="L3826" s="109"/>
      <c r="M3826" s="109"/>
      <c r="N3826" s="109"/>
      <c r="Q3826" s="121"/>
      <c r="W3826" s="109"/>
    </row>
    <row r="3827" spans="1:23" ht="12.75" hidden="1">
      <c r="A3827" s="109"/>
      <c r="B3827" s="109"/>
      <c r="C3827" s="109"/>
      <c r="D3827" s="109"/>
      <c r="E3827" s="109"/>
      <c r="F3827" s="109"/>
      <c r="G3827" s="109"/>
      <c r="H3827" s="109"/>
      <c r="I3827" s="109"/>
      <c r="J3827" s="109"/>
      <c r="L3827" s="109"/>
      <c r="M3827" s="109"/>
      <c r="N3827" s="109"/>
      <c r="Q3827" s="121"/>
      <c r="W3827" s="109"/>
    </row>
    <row r="3828" spans="1:23" ht="12.75" hidden="1">
      <c r="A3828" s="109"/>
      <c r="B3828" s="109"/>
      <c r="C3828" s="109"/>
      <c r="D3828" s="109"/>
      <c r="E3828" s="109"/>
      <c r="F3828" s="109"/>
      <c r="G3828" s="109"/>
      <c r="H3828" s="109"/>
      <c r="I3828" s="109"/>
      <c r="J3828" s="109"/>
      <c r="L3828" s="109"/>
      <c r="M3828" s="109"/>
      <c r="N3828" s="109"/>
      <c r="Q3828" s="121"/>
      <c r="W3828" s="109"/>
    </row>
    <row r="3829" spans="1:23" ht="12.75" hidden="1">
      <c r="A3829" s="109"/>
      <c r="B3829" s="109"/>
      <c r="C3829" s="109"/>
      <c r="D3829" s="109"/>
      <c r="E3829" s="109"/>
      <c r="F3829" s="109"/>
      <c r="G3829" s="109"/>
      <c r="H3829" s="109"/>
      <c r="I3829" s="109"/>
      <c r="J3829" s="109"/>
      <c r="L3829" s="109"/>
      <c r="M3829" s="109"/>
      <c r="N3829" s="109"/>
      <c r="Q3829" s="121"/>
      <c r="W3829" s="109"/>
    </row>
    <row r="3830" spans="1:23" ht="12.75" hidden="1">
      <c r="A3830" s="109"/>
      <c r="B3830" s="109"/>
      <c r="C3830" s="109"/>
      <c r="D3830" s="109"/>
      <c r="E3830" s="109"/>
      <c r="F3830" s="109"/>
      <c r="G3830" s="109"/>
      <c r="H3830" s="109"/>
      <c r="I3830" s="109"/>
      <c r="J3830" s="109"/>
      <c r="L3830" s="109"/>
      <c r="M3830" s="109"/>
      <c r="N3830" s="109"/>
      <c r="Q3830" s="121"/>
      <c r="W3830" s="109"/>
    </row>
    <row r="3831" spans="1:23" ht="12.75" hidden="1">
      <c r="A3831" s="109"/>
      <c r="B3831" s="109"/>
      <c r="C3831" s="109"/>
      <c r="D3831" s="109"/>
      <c r="E3831" s="109"/>
      <c r="F3831" s="109"/>
      <c r="G3831" s="109"/>
      <c r="H3831" s="109"/>
      <c r="I3831" s="109"/>
      <c r="J3831" s="109"/>
      <c r="L3831" s="109"/>
      <c r="M3831" s="109"/>
      <c r="N3831" s="109"/>
      <c r="Q3831" s="121"/>
      <c r="W3831" s="109"/>
    </row>
    <row r="3832" spans="1:23" ht="12.75" hidden="1">
      <c r="A3832" s="109"/>
      <c r="B3832" s="109"/>
      <c r="C3832" s="109"/>
      <c r="D3832" s="109"/>
      <c r="E3832" s="109"/>
      <c r="F3832" s="109"/>
      <c r="G3832" s="109"/>
      <c r="H3832" s="109"/>
      <c r="I3832" s="109"/>
      <c r="J3832" s="109"/>
      <c r="L3832" s="109"/>
      <c r="M3832" s="109"/>
      <c r="N3832" s="109"/>
      <c r="Q3832" s="121"/>
      <c r="W3832" s="109"/>
    </row>
    <row r="3833" spans="1:23" ht="12.75" hidden="1">
      <c r="A3833" s="109"/>
      <c r="B3833" s="109"/>
      <c r="C3833" s="109"/>
      <c r="D3833" s="109"/>
      <c r="E3833" s="109"/>
      <c r="F3833" s="109"/>
      <c r="G3833" s="109"/>
      <c r="H3833" s="109"/>
      <c r="I3833" s="109"/>
      <c r="J3833" s="109"/>
      <c r="L3833" s="109"/>
      <c r="M3833" s="109"/>
      <c r="N3833" s="109"/>
      <c r="Q3833" s="121"/>
      <c r="W3833" s="109"/>
    </row>
    <row r="3834" spans="1:23" ht="12.75" hidden="1">
      <c r="A3834" s="109"/>
      <c r="B3834" s="109"/>
      <c r="C3834" s="109"/>
      <c r="D3834" s="109"/>
      <c r="E3834" s="109"/>
      <c r="F3834" s="109"/>
      <c r="G3834" s="109"/>
      <c r="H3834" s="109"/>
      <c r="I3834" s="109"/>
      <c r="J3834" s="109"/>
      <c r="L3834" s="109"/>
      <c r="M3834" s="109"/>
      <c r="N3834" s="109"/>
      <c r="Q3834" s="121"/>
      <c r="W3834" s="109"/>
    </row>
    <row r="3835" spans="1:23" ht="12.75" hidden="1">
      <c r="A3835" s="109"/>
      <c r="B3835" s="109"/>
      <c r="C3835" s="109"/>
      <c r="D3835" s="109"/>
      <c r="E3835" s="109"/>
      <c r="F3835" s="109"/>
      <c r="G3835" s="109"/>
      <c r="H3835" s="109"/>
      <c r="I3835" s="109"/>
      <c r="J3835" s="109"/>
      <c r="L3835" s="109"/>
      <c r="M3835" s="109"/>
      <c r="N3835" s="109"/>
      <c r="Q3835" s="121"/>
      <c r="W3835" s="109"/>
    </row>
    <row r="3836" spans="1:23" ht="12.75" hidden="1">
      <c r="A3836" s="109"/>
      <c r="B3836" s="109"/>
      <c r="C3836" s="109"/>
      <c r="D3836" s="109"/>
      <c r="E3836" s="109"/>
      <c r="F3836" s="109"/>
      <c r="G3836" s="109"/>
      <c r="H3836" s="109"/>
      <c r="I3836" s="109"/>
      <c r="J3836" s="109"/>
      <c r="L3836" s="109"/>
      <c r="M3836" s="109"/>
      <c r="N3836" s="109"/>
      <c r="Q3836" s="121"/>
      <c r="W3836" s="109"/>
    </row>
    <row r="3837" spans="1:23" ht="12.75" hidden="1">
      <c r="A3837" s="109"/>
      <c r="B3837" s="109"/>
      <c r="C3837" s="109"/>
      <c r="D3837" s="109"/>
      <c r="E3837" s="109"/>
      <c r="F3837" s="109"/>
      <c r="G3837" s="109"/>
      <c r="H3837" s="109"/>
      <c r="I3837" s="109"/>
      <c r="J3837" s="109"/>
      <c r="L3837" s="109"/>
      <c r="M3837" s="109"/>
      <c r="N3837" s="109"/>
      <c r="Q3837" s="121"/>
      <c r="W3837" s="109"/>
    </row>
    <row r="3838" spans="1:23" ht="12.75" hidden="1">
      <c r="A3838" s="109"/>
      <c r="B3838" s="109"/>
      <c r="C3838" s="109"/>
      <c r="D3838" s="109"/>
      <c r="E3838" s="109"/>
      <c r="F3838" s="109"/>
      <c r="G3838" s="109"/>
      <c r="H3838" s="109"/>
      <c r="I3838" s="109"/>
      <c r="J3838" s="109"/>
      <c r="L3838" s="109"/>
      <c r="M3838" s="109"/>
      <c r="N3838" s="109"/>
      <c r="Q3838" s="121"/>
      <c r="W3838" s="109"/>
    </row>
    <row r="3839" spans="1:23" ht="12.75" hidden="1">
      <c r="A3839" s="109"/>
      <c r="B3839" s="109"/>
      <c r="C3839" s="109"/>
      <c r="D3839" s="109"/>
      <c r="E3839" s="109"/>
      <c r="F3839" s="109"/>
      <c r="G3839" s="109"/>
      <c r="H3839" s="109"/>
      <c r="I3839" s="109"/>
      <c r="J3839" s="109"/>
      <c r="L3839" s="109"/>
      <c r="M3839" s="109"/>
      <c r="N3839" s="109"/>
      <c r="Q3839" s="121"/>
      <c r="W3839" s="109"/>
    </row>
    <row r="3840" spans="1:23" ht="12.75" hidden="1">
      <c r="A3840" s="109"/>
      <c r="B3840" s="109"/>
      <c r="C3840" s="109"/>
      <c r="D3840" s="109"/>
      <c r="E3840" s="109"/>
      <c r="F3840" s="109"/>
      <c r="G3840" s="109"/>
      <c r="H3840" s="109"/>
      <c r="I3840" s="109"/>
      <c r="J3840" s="109"/>
      <c r="L3840" s="109"/>
      <c r="M3840" s="109"/>
      <c r="N3840" s="109"/>
      <c r="Q3840" s="121"/>
      <c r="W3840" s="109"/>
    </row>
    <row r="3841" spans="1:23" ht="12.75" hidden="1">
      <c r="A3841" s="109"/>
      <c r="B3841" s="109"/>
      <c r="C3841" s="109"/>
      <c r="D3841" s="109"/>
      <c r="E3841" s="109"/>
      <c r="F3841" s="109"/>
      <c r="G3841" s="109"/>
      <c r="H3841" s="109"/>
      <c r="I3841" s="109"/>
      <c r="J3841" s="109"/>
      <c r="L3841" s="109"/>
      <c r="M3841" s="109"/>
      <c r="N3841" s="109"/>
      <c r="Q3841" s="121"/>
      <c r="W3841" s="109"/>
    </row>
    <row r="3842" spans="1:23" ht="12.75" hidden="1">
      <c r="A3842" s="109"/>
      <c r="B3842" s="109"/>
      <c r="C3842" s="109"/>
      <c r="D3842" s="109"/>
      <c r="E3842" s="109"/>
      <c r="F3842" s="109"/>
      <c r="G3842" s="109"/>
      <c r="H3842" s="109"/>
      <c r="I3842" s="109"/>
      <c r="J3842" s="109"/>
      <c r="L3842" s="109"/>
      <c r="M3842" s="109"/>
      <c r="N3842" s="109"/>
      <c r="Q3842" s="121"/>
      <c r="W3842" s="109"/>
    </row>
    <row r="3843" spans="1:23" ht="12.75" hidden="1">
      <c r="A3843" s="109"/>
      <c r="B3843" s="109"/>
      <c r="C3843" s="109"/>
      <c r="D3843" s="109"/>
      <c r="E3843" s="109"/>
      <c r="F3843" s="109"/>
      <c r="G3843" s="109"/>
      <c r="H3843" s="109"/>
      <c r="I3843" s="109"/>
      <c r="J3843" s="109"/>
      <c r="L3843" s="109"/>
      <c r="M3843" s="109"/>
      <c r="N3843" s="109"/>
      <c r="Q3843" s="121"/>
      <c r="W3843" s="109"/>
    </row>
    <row r="3844" spans="1:23" ht="12.75" hidden="1">
      <c r="A3844" s="109"/>
      <c r="B3844" s="109"/>
      <c r="C3844" s="109"/>
      <c r="D3844" s="109"/>
      <c r="E3844" s="109"/>
      <c r="F3844" s="109"/>
      <c r="G3844" s="109"/>
      <c r="H3844" s="109"/>
      <c r="I3844" s="109"/>
      <c r="J3844" s="109"/>
      <c r="L3844" s="109"/>
      <c r="M3844" s="109"/>
      <c r="N3844" s="109"/>
      <c r="Q3844" s="121"/>
      <c r="W3844" s="109"/>
    </row>
    <row r="3845" spans="1:23" ht="12.75" hidden="1">
      <c r="A3845" s="109"/>
      <c r="B3845" s="109"/>
      <c r="C3845" s="109"/>
      <c r="D3845" s="109"/>
      <c r="E3845" s="109"/>
      <c r="F3845" s="109"/>
      <c r="G3845" s="109"/>
      <c r="H3845" s="109"/>
      <c r="I3845" s="109"/>
      <c r="J3845" s="109"/>
      <c r="L3845" s="109"/>
      <c r="M3845" s="109"/>
      <c r="N3845" s="109"/>
      <c r="Q3845" s="121"/>
      <c r="W3845" s="109"/>
    </row>
    <row r="3846" spans="1:23" ht="12.75" hidden="1">
      <c r="A3846" s="109"/>
      <c r="B3846" s="109"/>
      <c r="C3846" s="109"/>
      <c r="D3846" s="109"/>
      <c r="E3846" s="109"/>
      <c r="F3846" s="109"/>
      <c r="G3846" s="109"/>
      <c r="H3846" s="109"/>
      <c r="I3846" s="109"/>
      <c r="J3846" s="109"/>
      <c r="L3846" s="109"/>
      <c r="M3846" s="109"/>
      <c r="N3846" s="109"/>
      <c r="Q3846" s="121"/>
      <c r="W3846" s="109"/>
    </row>
    <row r="3847" spans="1:23" ht="12.75" hidden="1">
      <c r="A3847" s="109"/>
      <c r="B3847" s="109"/>
      <c r="C3847" s="109"/>
      <c r="D3847" s="109"/>
      <c r="E3847" s="109"/>
      <c r="F3847" s="109"/>
      <c r="G3847" s="109"/>
      <c r="H3847" s="109"/>
      <c r="I3847" s="109"/>
      <c r="J3847" s="109"/>
      <c r="L3847" s="109"/>
      <c r="M3847" s="109"/>
      <c r="N3847" s="109"/>
      <c r="Q3847" s="121"/>
      <c r="W3847" s="109"/>
    </row>
    <row r="3848" spans="1:23" ht="12.75" hidden="1">
      <c r="A3848" s="109"/>
      <c r="B3848" s="109"/>
      <c r="C3848" s="109"/>
      <c r="D3848" s="109"/>
      <c r="E3848" s="109"/>
      <c r="F3848" s="109"/>
      <c r="G3848" s="109"/>
      <c r="H3848" s="109"/>
      <c r="I3848" s="109"/>
      <c r="J3848" s="109"/>
      <c r="L3848" s="109"/>
      <c r="M3848" s="109"/>
      <c r="N3848" s="109"/>
      <c r="Q3848" s="121"/>
      <c r="W3848" s="109"/>
    </row>
    <row r="3849" spans="1:23" ht="12.75" hidden="1">
      <c r="A3849" s="109"/>
      <c r="B3849" s="109"/>
      <c r="C3849" s="109"/>
      <c r="D3849" s="109"/>
      <c r="E3849" s="109"/>
      <c r="F3849" s="109"/>
      <c r="G3849" s="109"/>
      <c r="H3849" s="109"/>
      <c r="I3849" s="109"/>
      <c r="J3849" s="109"/>
      <c r="L3849" s="109"/>
      <c r="M3849" s="109"/>
      <c r="N3849" s="109"/>
      <c r="Q3849" s="121"/>
      <c r="W3849" s="109"/>
    </row>
    <row r="3850" spans="1:23" ht="12.75" hidden="1">
      <c r="A3850" s="109"/>
      <c r="B3850" s="109"/>
      <c r="C3850" s="109"/>
      <c r="D3850" s="109"/>
      <c r="E3850" s="109"/>
      <c r="F3850" s="109"/>
      <c r="G3850" s="109"/>
      <c r="H3850" s="109"/>
      <c r="I3850" s="109"/>
      <c r="J3850" s="109"/>
      <c r="L3850" s="109"/>
      <c r="M3850" s="109"/>
      <c r="N3850" s="109"/>
      <c r="Q3850" s="121"/>
      <c r="W3850" s="109"/>
    </row>
    <row r="3851" spans="1:23" ht="12.75" hidden="1">
      <c r="A3851" s="109"/>
      <c r="B3851" s="109"/>
      <c r="C3851" s="109"/>
      <c r="D3851" s="109"/>
      <c r="E3851" s="109"/>
      <c r="F3851" s="109"/>
      <c r="G3851" s="109"/>
      <c r="H3851" s="109"/>
      <c r="I3851" s="109"/>
      <c r="J3851" s="109"/>
      <c r="L3851" s="109"/>
      <c r="M3851" s="109"/>
      <c r="N3851" s="109"/>
      <c r="Q3851" s="121"/>
      <c r="W3851" s="109"/>
    </row>
    <row r="3852" spans="1:23" ht="12.75" hidden="1">
      <c r="A3852" s="109"/>
      <c r="B3852" s="109"/>
      <c r="C3852" s="109"/>
      <c r="D3852" s="109"/>
      <c r="E3852" s="109"/>
      <c r="F3852" s="109"/>
      <c r="G3852" s="109"/>
      <c r="H3852" s="109"/>
      <c r="I3852" s="109"/>
      <c r="J3852" s="109"/>
      <c r="L3852" s="109"/>
      <c r="M3852" s="109"/>
      <c r="N3852" s="109"/>
      <c r="Q3852" s="121"/>
      <c r="W3852" s="109"/>
    </row>
    <row r="3853" spans="1:23" ht="12.75" hidden="1">
      <c r="A3853" s="109"/>
      <c r="B3853" s="109"/>
      <c r="C3853" s="109"/>
      <c r="D3853" s="109"/>
      <c r="E3853" s="109"/>
      <c r="F3853" s="109"/>
      <c r="G3853" s="109"/>
      <c r="H3853" s="109"/>
      <c r="I3853" s="109"/>
      <c r="J3853" s="109"/>
      <c r="L3853" s="109"/>
      <c r="M3853" s="109"/>
      <c r="N3853" s="109"/>
      <c r="Q3853" s="121"/>
      <c r="W3853" s="109"/>
    </row>
    <row r="3854" spans="1:23" ht="12.75" hidden="1">
      <c r="A3854" s="109"/>
      <c r="B3854" s="109"/>
      <c r="C3854" s="109"/>
      <c r="D3854" s="109"/>
      <c r="E3854" s="109"/>
      <c r="F3854" s="109"/>
      <c r="G3854" s="109"/>
      <c r="H3854" s="109"/>
      <c r="I3854" s="109"/>
      <c r="J3854" s="109"/>
      <c r="L3854" s="109"/>
      <c r="M3854" s="109"/>
      <c r="N3854" s="109"/>
      <c r="Q3854" s="121"/>
      <c r="W3854" s="109"/>
    </row>
    <row r="3855" spans="1:23" ht="12.75" hidden="1">
      <c r="A3855" s="109"/>
      <c r="B3855" s="109"/>
      <c r="C3855" s="109"/>
      <c r="D3855" s="109"/>
      <c r="E3855" s="109"/>
      <c r="F3855" s="109"/>
      <c r="G3855" s="109"/>
      <c r="H3855" s="109"/>
      <c r="I3855" s="109"/>
      <c r="J3855" s="109"/>
      <c r="L3855" s="109"/>
      <c r="M3855" s="109"/>
      <c r="N3855" s="109"/>
      <c r="Q3855" s="121"/>
      <c r="W3855" s="109"/>
    </row>
    <row r="3856" spans="1:23" ht="12.75" hidden="1">
      <c r="A3856" s="109"/>
      <c r="B3856" s="109"/>
      <c r="C3856" s="109"/>
      <c r="D3856" s="109"/>
      <c r="E3856" s="109"/>
      <c r="F3856" s="109"/>
      <c r="G3856" s="109"/>
      <c r="H3856" s="109"/>
      <c r="I3856" s="109"/>
      <c r="J3856" s="109"/>
      <c r="L3856" s="109"/>
      <c r="M3856" s="109"/>
      <c r="N3856" s="109"/>
      <c r="Q3856" s="121"/>
      <c r="W3856" s="109"/>
    </row>
    <row r="3857" spans="1:23" ht="12.75" hidden="1">
      <c r="A3857" s="109"/>
      <c r="B3857" s="109"/>
      <c r="C3857" s="109"/>
      <c r="D3857" s="109"/>
      <c r="E3857" s="109"/>
      <c r="F3857" s="109"/>
      <c r="G3857" s="109"/>
      <c r="H3857" s="109"/>
      <c r="I3857" s="109"/>
      <c r="J3857" s="109"/>
      <c r="L3857" s="109"/>
      <c r="M3857" s="109"/>
      <c r="N3857" s="109"/>
      <c r="Q3857" s="121"/>
      <c r="W3857" s="109"/>
    </row>
    <row r="3858" spans="1:23" ht="12.75" hidden="1">
      <c r="A3858" s="109"/>
      <c r="B3858" s="109"/>
      <c r="C3858" s="109"/>
      <c r="D3858" s="109"/>
      <c r="E3858" s="109"/>
      <c r="F3858" s="109"/>
      <c r="G3858" s="109"/>
      <c r="H3858" s="109"/>
      <c r="I3858" s="109"/>
      <c r="J3858" s="109"/>
      <c r="L3858" s="109"/>
      <c r="M3858" s="109"/>
      <c r="N3858" s="109"/>
      <c r="Q3858" s="121"/>
      <c r="W3858" s="109"/>
    </row>
    <row r="3859" spans="1:23" ht="12.75" hidden="1">
      <c r="A3859" s="109"/>
      <c r="B3859" s="109"/>
      <c r="C3859" s="109"/>
      <c r="D3859" s="109"/>
      <c r="E3859" s="109"/>
      <c r="F3859" s="109"/>
      <c r="G3859" s="109"/>
      <c r="H3859" s="109"/>
      <c r="I3859" s="109"/>
      <c r="J3859" s="109"/>
      <c r="L3859" s="109"/>
      <c r="M3859" s="109"/>
      <c r="N3859" s="109"/>
      <c r="Q3859" s="121"/>
      <c r="W3859" s="109"/>
    </row>
    <row r="3860" spans="1:23" ht="12.75" hidden="1">
      <c r="A3860" s="109"/>
      <c r="B3860" s="109"/>
      <c r="C3860" s="109"/>
      <c r="D3860" s="109"/>
      <c r="E3860" s="109"/>
      <c r="F3860" s="109"/>
      <c r="G3860" s="109"/>
      <c r="H3860" s="109"/>
      <c r="I3860" s="109"/>
      <c r="J3860" s="109"/>
      <c r="L3860" s="109"/>
      <c r="M3860" s="109"/>
      <c r="N3860" s="109"/>
      <c r="Q3860" s="121"/>
      <c r="W3860" s="109"/>
    </row>
    <row r="3861" spans="1:23" ht="12.75" hidden="1">
      <c r="A3861" s="109"/>
      <c r="B3861" s="109"/>
      <c r="C3861" s="109"/>
      <c r="D3861" s="109"/>
      <c r="E3861" s="109"/>
      <c r="F3861" s="109"/>
      <c r="G3861" s="109"/>
      <c r="H3861" s="109"/>
      <c r="I3861" s="109"/>
      <c r="J3861" s="109"/>
      <c r="L3861" s="109"/>
      <c r="M3861" s="109"/>
      <c r="N3861" s="109"/>
      <c r="Q3861" s="121"/>
      <c r="W3861" s="109"/>
    </row>
    <row r="3862" spans="1:23" ht="12.75" hidden="1">
      <c r="A3862" s="109"/>
      <c r="B3862" s="109"/>
      <c r="C3862" s="109"/>
      <c r="D3862" s="109"/>
      <c r="E3862" s="109"/>
      <c r="F3862" s="109"/>
      <c r="G3862" s="109"/>
      <c r="H3862" s="109"/>
      <c r="I3862" s="109"/>
      <c r="J3862" s="109"/>
      <c r="L3862" s="109"/>
      <c r="M3862" s="109"/>
      <c r="N3862" s="109"/>
      <c r="Q3862" s="121"/>
      <c r="W3862" s="109"/>
    </row>
    <row r="3863" spans="1:23" ht="12.75" hidden="1">
      <c r="A3863" s="109"/>
      <c r="B3863" s="109"/>
      <c r="C3863" s="109"/>
      <c r="D3863" s="109"/>
      <c r="E3863" s="109"/>
      <c r="F3863" s="109"/>
      <c r="G3863" s="109"/>
      <c r="H3863" s="109"/>
      <c r="I3863" s="109"/>
      <c r="J3863" s="109"/>
      <c r="L3863" s="109"/>
      <c r="M3863" s="109"/>
      <c r="N3863" s="109"/>
      <c r="Q3863" s="121"/>
      <c r="W3863" s="109"/>
    </row>
    <row r="3864" spans="1:23" ht="12.75" hidden="1">
      <c r="A3864" s="109"/>
      <c r="B3864" s="109"/>
      <c r="C3864" s="109"/>
      <c r="D3864" s="109"/>
      <c r="E3864" s="109"/>
      <c r="F3864" s="109"/>
      <c r="G3864" s="109"/>
      <c r="H3864" s="109"/>
      <c r="I3864" s="109"/>
      <c r="J3864" s="109"/>
      <c r="L3864" s="109"/>
      <c r="M3864" s="109"/>
      <c r="N3864" s="109"/>
      <c r="Q3864" s="121"/>
      <c r="W3864" s="109"/>
    </row>
    <row r="3865" spans="1:23" ht="12.75" hidden="1">
      <c r="A3865" s="109"/>
      <c r="B3865" s="109"/>
      <c r="C3865" s="109"/>
      <c r="D3865" s="109"/>
      <c r="E3865" s="109"/>
      <c r="F3865" s="109"/>
      <c r="G3865" s="109"/>
      <c r="H3865" s="109"/>
      <c r="I3865" s="109"/>
      <c r="J3865" s="109"/>
      <c r="L3865" s="109"/>
      <c r="M3865" s="109"/>
      <c r="N3865" s="109"/>
      <c r="Q3865" s="121"/>
      <c r="W3865" s="109"/>
    </row>
    <row r="3866" spans="1:23" ht="12.75" hidden="1">
      <c r="A3866" s="109"/>
      <c r="B3866" s="109"/>
      <c r="C3866" s="109"/>
      <c r="D3866" s="109"/>
      <c r="E3866" s="109"/>
      <c r="F3866" s="109"/>
      <c r="G3866" s="109"/>
      <c r="H3866" s="109"/>
      <c r="I3866" s="109"/>
      <c r="J3866" s="109"/>
      <c r="L3866" s="109"/>
      <c r="M3866" s="109"/>
      <c r="N3866" s="109"/>
      <c r="Q3866" s="121"/>
      <c r="W3866" s="109"/>
    </row>
    <row r="3867" spans="1:23" ht="12.75" hidden="1">
      <c r="A3867" s="109"/>
      <c r="B3867" s="109"/>
      <c r="C3867" s="109"/>
      <c r="D3867" s="109"/>
      <c r="E3867" s="109"/>
      <c r="F3867" s="109"/>
      <c r="G3867" s="109"/>
      <c r="H3867" s="109"/>
      <c r="I3867" s="109"/>
      <c r="J3867" s="109"/>
      <c r="L3867" s="109"/>
      <c r="M3867" s="109"/>
      <c r="N3867" s="109"/>
      <c r="Q3867" s="121"/>
      <c r="W3867" s="109"/>
    </row>
    <row r="3868" spans="1:23" ht="12.75" hidden="1">
      <c r="A3868" s="109"/>
      <c r="B3868" s="109"/>
      <c r="C3868" s="109"/>
      <c r="D3868" s="109"/>
      <c r="E3868" s="109"/>
      <c r="F3868" s="109"/>
      <c r="G3868" s="109"/>
      <c r="H3868" s="109"/>
      <c r="I3868" s="109"/>
      <c r="J3868" s="109"/>
      <c r="L3868" s="109"/>
      <c r="M3868" s="109"/>
      <c r="N3868" s="109"/>
      <c r="Q3868" s="121"/>
      <c r="W3868" s="109"/>
    </row>
    <row r="3869" spans="1:23" ht="12.75" hidden="1">
      <c r="A3869" s="109"/>
      <c r="B3869" s="109"/>
      <c r="C3869" s="109"/>
      <c r="D3869" s="109"/>
      <c r="E3869" s="109"/>
      <c r="F3869" s="109"/>
      <c r="G3869" s="109"/>
      <c r="H3869" s="109"/>
      <c r="I3869" s="109"/>
      <c r="J3869" s="109"/>
      <c r="L3869" s="109"/>
      <c r="M3869" s="109"/>
      <c r="N3869" s="109"/>
      <c r="Q3869" s="121"/>
      <c r="W3869" s="109"/>
    </row>
    <row r="3870" spans="1:23" ht="12.75" hidden="1">
      <c r="A3870" s="109"/>
      <c r="B3870" s="109"/>
      <c r="C3870" s="109"/>
      <c r="D3870" s="109"/>
      <c r="E3870" s="109"/>
      <c r="F3870" s="109"/>
      <c r="G3870" s="109"/>
      <c r="H3870" s="109"/>
      <c r="I3870" s="109"/>
      <c r="J3870" s="109"/>
      <c r="L3870" s="109"/>
      <c r="M3870" s="109"/>
      <c r="N3870" s="109"/>
      <c r="Q3870" s="121"/>
      <c r="W3870" s="109"/>
    </row>
    <row r="3871" spans="1:23" ht="12.75" hidden="1">
      <c r="A3871" s="109"/>
      <c r="B3871" s="109"/>
      <c r="C3871" s="109"/>
      <c r="D3871" s="109"/>
      <c r="E3871" s="109"/>
      <c r="F3871" s="109"/>
      <c r="G3871" s="109"/>
      <c r="H3871" s="109"/>
      <c r="I3871" s="109"/>
      <c r="J3871" s="109"/>
      <c r="L3871" s="109"/>
      <c r="M3871" s="109"/>
      <c r="N3871" s="109"/>
      <c r="Q3871" s="121"/>
      <c r="W3871" s="109"/>
    </row>
    <row r="3872" spans="1:23" ht="12.75" hidden="1">
      <c r="A3872" s="109"/>
      <c r="B3872" s="109"/>
      <c r="C3872" s="109"/>
      <c r="D3872" s="109"/>
      <c r="E3872" s="109"/>
      <c r="F3872" s="109"/>
      <c r="G3872" s="109"/>
      <c r="H3872" s="109"/>
      <c r="I3872" s="109"/>
      <c r="J3872" s="109"/>
      <c r="L3872" s="109"/>
      <c r="M3872" s="109"/>
      <c r="N3872" s="109"/>
      <c r="Q3872" s="121"/>
      <c r="W3872" s="109"/>
    </row>
    <row r="3873" spans="1:23" ht="12.75" hidden="1">
      <c r="A3873" s="109"/>
      <c r="B3873" s="109"/>
      <c r="C3873" s="109"/>
      <c r="D3873" s="109"/>
      <c r="E3873" s="109"/>
      <c r="F3873" s="109"/>
      <c r="G3873" s="109"/>
      <c r="H3873" s="109"/>
      <c r="I3873" s="109"/>
      <c r="J3873" s="109"/>
      <c r="L3873" s="109"/>
      <c r="M3873" s="109"/>
      <c r="N3873" s="109"/>
      <c r="Q3873" s="121"/>
      <c r="W3873" s="109"/>
    </row>
    <row r="3874" spans="1:23" ht="12.75" hidden="1">
      <c r="A3874" s="109"/>
      <c r="B3874" s="109"/>
      <c r="C3874" s="109"/>
      <c r="D3874" s="109"/>
      <c r="E3874" s="109"/>
      <c r="F3874" s="109"/>
      <c r="G3874" s="109"/>
      <c r="H3874" s="109"/>
      <c r="I3874" s="109"/>
      <c r="J3874" s="109"/>
      <c r="L3874" s="109"/>
      <c r="M3874" s="109"/>
      <c r="N3874" s="109"/>
      <c r="Q3874" s="121"/>
      <c r="W3874" s="109"/>
    </row>
    <row r="3875" spans="1:23" ht="12.75" hidden="1">
      <c r="A3875" s="109"/>
      <c r="B3875" s="109"/>
      <c r="C3875" s="109"/>
      <c r="D3875" s="109"/>
      <c r="E3875" s="109"/>
      <c r="F3875" s="109"/>
      <c r="G3875" s="109"/>
      <c r="H3875" s="109"/>
      <c r="I3875" s="109"/>
      <c r="J3875" s="109"/>
      <c r="L3875" s="109"/>
      <c r="M3875" s="109"/>
      <c r="N3875" s="109"/>
      <c r="Q3875" s="121"/>
      <c r="W3875" s="109"/>
    </row>
    <row r="3876" spans="1:23" ht="12.75" hidden="1">
      <c r="A3876" s="109"/>
      <c r="B3876" s="109"/>
      <c r="C3876" s="109"/>
      <c r="D3876" s="109"/>
      <c r="E3876" s="109"/>
      <c r="F3876" s="109"/>
      <c r="G3876" s="109"/>
      <c r="H3876" s="109"/>
      <c r="I3876" s="109"/>
      <c r="J3876" s="109"/>
      <c r="L3876" s="109"/>
      <c r="M3876" s="109"/>
      <c r="N3876" s="109"/>
      <c r="Q3876" s="121"/>
      <c r="W3876" s="109"/>
    </row>
    <row r="3877" spans="1:23" ht="12.75" hidden="1">
      <c r="A3877" s="109"/>
      <c r="B3877" s="109"/>
      <c r="C3877" s="109"/>
      <c r="D3877" s="109"/>
      <c r="E3877" s="109"/>
      <c r="F3877" s="109"/>
      <c r="G3877" s="109"/>
      <c r="H3877" s="109"/>
      <c r="I3877" s="109"/>
      <c r="J3877" s="109"/>
      <c r="L3877" s="109"/>
      <c r="M3877" s="109"/>
      <c r="N3877" s="109"/>
      <c r="Q3877" s="121"/>
      <c r="W3877" s="109"/>
    </row>
    <row r="3878" spans="1:23" ht="12.75" hidden="1">
      <c r="A3878" s="109"/>
      <c r="B3878" s="109"/>
      <c r="C3878" s="109"/>
      <c r="D3878" s="109"/>
      <c r="E3878" s="109"/>
      <c r="F3878" s="109"/>
      <c r="G3878" s="109"/>
      <c r="H3878" s="109"/>
      <c r="I3878" s="109"/>
      <c r="J3878" s="109"/>
      <c r="L3878" s="109"/>
      <c r="M3878" s="109"/>
      <c r="N3878" s="109"/>
      <c r="Q3878" s="121"/>
      <c r="W3878" s="109"/>
    </row>
    <row r="3879" spans="1:23" ht="12.75" hidden="1">
      <c r="A3879" s="109"/>
      <c r="B3879" s="109"/>
      <c r="C3879" s="109"/>
      <c r="D3879" s="109"/>
      <c r="E3879" s="109"/>
      <c r="F3879" s="109"/>
      <c r="G3879" s="109"/>
      <c r="H3879" s="109"/>
      <c r="I3879" s="109"/>
      <c r="J3879" s="109"/>
      <c r="L3879" s="109"/>
      <c r="M3879" s="109"/>
      <c r="N3879" s="109"/>
      <c r="Q3879" s="121"/>
      <c r="W3879" s="109"/>
    </row>
    <row r="3880" spans="1:23" ht="12.75" hidden="1">
      <c r="A3880" s="109"/>
      <c r="B3880" s="109"/>
      <c r="C3880" s="109"/>
      <c r="D3880" s="109"/>
      <c r="E3880" s="109"/>
      <c r="F3880" s="109"/>
      <c r="G3880" s="109"/>
      <c r="H3880" s="109"/>
      <c r="I3880" s="109"/>
      <c r="J3880" s="109"/>
      <c r="L3880" s="109"/>
      <c r="M3880" s="109"/>
      <c r="N3880" s="109"/>
      <c r="Q3880" s="121"/>
      <c r="W3880" s="109"/>
    </row>
    <row r="3881" spans="1:23" ht="12.75" hidden="1">
      <c r="A3881" s="109"/>
      <c r="B3881" s="109"/>
      <c r="C3881" s="109"/>
      <c r="D3881" s="109"/>
      <c r="E3881" s="109"/>
      <c r="F3881" s="109"/>
      <c r="G3881" s="109"/>
      <c r="H3881" s="109"/>
      <c r="I3881" s="109"/>
      <c r="J3881" s="109"/>
      <c r="L3881" s="109"/>
      <c r="M3881" s="109"/>
      <c r="N3881" s="109"/>
      <c r="Q3881" s="121"/>
      <c r="W3881" s="109"/>
    </row>
    <row r="3882" spans="1:23" ht="12.75" hidden="1">
      <c r="A3882" s="109"/>
      <c r="B3882" s="109"/>
      <c r="C3882" s="109"/>
      <c r="D3882" s="109"/>
      <c r="E3882" s="109"/>
      <c r="F3882" s="109"/>
      <c r="G3882" s="109"/>
      <c r="H3882" s="109"/>
      <c r="I3882" s="109"/>
      <c r="J3882" s="109"/>
      <c r="L3882" s="109"/>
      <c r="M3882" s="109"/>
      <c r="N3882" s="109"/>
      <c r="Q3882" s="121"/>
      <c r="W3882" s="109"/>
    </row>
    <row r="3883" spans="1:23" ht="12.75" hidden="1">
      <c r="A3883" s="109"/>
      <c r="B3883" s="109"/>
      <c r="C3883" s="109"/>
      <c r="D3883" s="109"/>
      <c r="E3883" s="109"/>
      <c r="F3883" s="109"/>
      <c r="G3883" s="109"/>
      <c r="H3883" s="109"/>
      <c r="I3883" s="109"/>
      <c r="J3883" s="109"/>
      <c r="L3883" s="109"/>
      <c r="M3883" s="109"/>
      <c r="N3883" s="109"/>
      <c r="Q3883" s="121"/>
      <c r="W3883" s="109"/>
    </row>
    <row r="3884" spans="1:23" ht="12.75" hidden="1">
      <c r="A3884" s="109"/>
      <c r="B3884" s="109"/>
      <c r="C3884" s="109"/>
      <c r="D3884" s="109"/>
      <c r="E3884" s="109"/>
      <c r="F3884" s="109"/>
      <c r="G3884" s="109"/>
      <c r="H3884" s="109"/>
      <c r="I3884" s="109"/>
      <c r="J3884" s="109"/>
      <c r="L3884" s="109"/>
      <c r="M3884" s="109"/>
      <c r="N3884" s="109"/>
      <c r="Q3884" s="121"/>
      <c r="W3884" s="109"/>
    </row>
    <row r="3885" spans="1:23" ht="12.75" hidden="1">
      <c r="A3885" s="109"/>
      <c r="B3885" s="109"/>
      <c r="C3885" s="109"/>
      <c r="D3885" s="109"/>
      <c r="E3885" s="109"/>
      <c r="F3885" s="109"/>
      <c r="G3885" s="109"/>
      <c r="H3885" s="109"/>
      <c r="I3885" s="109"/>
      <c r="J3885" s="109"/>
      <c r="L3885" s="109"/>
      <c r="M3885" s="109"/>
      <c r="N3885" s="109"/>
      <c r="Q3885" s="121"/>
      <c r="W3885" s="109"/>
    </row>
    <row r="3886" spans="1:23" ht="12.75" hidden="1">
      <c r="A3886" s="109"/>
      <c r="B3886" s="109"/>
      <c r="C3886" s="109"/>
      <c r="D3886" s="109"/>
      <c r="E3886" s="109"/>
      <c r="F3886" s="109"/>
      <c r="G3886" s="109"/>
      <c r="H3886" s="109"/>
      <c r="I3886" s="109"/>
      <c r="J3886" s="109"/>
      <c r="L3886" s="109"/>
      <c r="M3886" s="109"/>
      <c r="N3886" s="109"/>
      <c r="Q3886" s="121"/>
      <c r="W3886" s="109"/>
    </row>
    <row r="3887" spans="1:23" ht="12.75" hidden="1">
      <c r="A3887" s="109"/>
      <c r="B3887" s="109"/>
      <c r="C3887" s="109"/>
      <c r="D3887" s="109"/>
      <c r="E3887" s="109"/>
      <c r="F3887" s="109"/>
      <c r="G3887" s="109"/>
      <c r="H3887" s="109"/>
      <c r="I3887" s="109"/>
      <c r="J3887" s="109"/>
      <c r="L3887" s="109"/>
      <c r="M3887" s="109"/>
      <c r="N3887" s="109"/>
      <c r="Q3887" s="121"/>
      <c r="W3887" s="109"/>
    </row>
    <row r="3888" spans="1:23" ht="12.75" hidden="1">
      <c r="A3888" s="109"/>
      <c r="B3888" s="109"/>
      <c r="C3888" s="109"/>
      <c r="D3888" s="109"/>
      <c r="E3888" s="109"/>
      <c r="F3888" s="109"/>
      <c r="G3888" s="109"/>
      <c r="H3888" s="109"/>
      <c r="I3888" s="109"/>
      <c r="J3888" s="109"/>
      <c r="L3888" s="109"/>
      <c r="M3888" s="109"/>
      <c r="N3888" s="109"/>
      <c r="Q3888" s="121"/>
      <c r="W3888" s="109"/>
    </row>
    <row r="3889" spans="1:23" ht="12.75" hidden="1">
      <c r="A3889" s="109"/>
      <c r="B3889" s="109"/>
      <c r="C3889" s="109"/>
      <c r="D3889" s="109"/>
      <c r="E3889" s="109"/>
      <c r="F3889" s="109"/>
      <c r="G3889" s="109"/>
      <c r="H3889" s="109"/>
      <c r="I3889" s="109"/>
      <c r="J3889" s="109"/>
      <c r="L3889" s="109"/>
      <c r="M3889" s="109"/>
      <c r="N3889" s="109"/>
      <c r="Q3889" s="121"/>
      <c r="W3889" s="109"/>
    </row>
    <row r="3890" spans="1:23" ht="12.75" hidden="1">
      <c r="A3890" s="109"/>
      <c r="B3890" s="109"/>
      <c r="C3890" s="109"/>
      <c r="D3890" s="109"/>
      <c r="E3890" s="109"/>
      <c r="F3890" s="109"/>
      <c r="G3890" s="109"/>
      <c r="H3890" s="109"/>
      <c r="I3890" s="109"/>
      <c r="J3890" s="109"/>
      <c r="L3890" s="109"/>
      <c r="M3890" s="109"/>
      <c r="N3890" s="109"/>
      <c r="Q3890" s="121"/>
      <c r="W3890" s="109"/>
    </row>
    <row r="3891" spans="1:23" ht="12.75" hidden="1">
      <c r="A3891" s="109"/>
      <c r="B3891" s="109"/>
      <c r="C3891" s="109"/>
      <c r="D3891" s="109"/>
      <c r="E3891" s="109"/>
      <c r="F3891" s="109"/>
      <c r="G3891" s="109"/>
      <c r="H3891" s="109"/>
      <c r="I3891" s="109"/>
      <c r="J3891" s="109"/>
      <c r="L3891" s="109"/>
      <c r="M3891" s="109"/>
      <c r="N3891" s="109"/>
      <c r="Q3891" s="121"/>
      <c r="W3891" s="109"/>
    </row>
    <row r="3892" spans="1:23" ht="12.75" hidden="1">
      <c r="A3892" s="109"/>
      <c r="B3892" s="109"/>
      <c r="C3892" s="109"/>
      <c r="D3892" s="109"/>
      <c r="E3892" s="109"/>
      <c r="F3892" s="109"/>
      <c r="G3892" s="109"/>
      <c r="H3892" s="109"/>
      <c r="I3892" s="109"/>
      <c r="J3892" s="109"/>
      <c r="L3892" s="109"/>
      <c r="M3892" s="109"/>
      <c r="N3892" s="109"/>
      <c r="Q3892" s="121"/>
      <c r="W3892" s="109"/>
    </row>
    <row r="3893" spans="1:23" ht="12.75" hidden="1">
      <c r="A3893" s="109"/>
      <c r="B3893" s="109"/>
      <c r="C3893" s="109"/>
      <c r="D3893" s="109"/>
      <c r="E3893" s="109"/>
      <c r="F3893" s="109"/>
      <c r="G3893" s="109"/>
      <c r="H3893" s="109"/>
      <c r="I3893" s="109"/>
      <c r="J3893" s="109"/>
      <c r="L3893" s="109"/>
      <c r="M3893" s="109"/>
      <c r="N3893" s="109"/>
      <c r="Q3893" s="121"/>
      <c r="W3893" s="109"/>
    </row>
    <row r="3894" spans="1:23" ht="12.75" hidden="1">
      <c r="A3894" s="109"/>
      <c r="B3894" s="109"/>
      <c r="C3894" s="109"/>
      <c r="D3894" s="109"/>
      <c r="E3894" s="109"/>
      <c r="F3894" s="109"/>
      <c r="G3894" s="109"/>
      <c r="H3894" s="109"/>
      <c r="I3894" s="109"/>
      <c r="J3894" s="109"/>
      <c r="L3894" s="109"/>
      <c r="M3894" s="109"/>
      <c r="N3894" s="109"/>
      <c r="Q3894" s="121"/>
      <c r="W3894" s="109"/>
    </row>
    <row r="3895" spans="1:23" ht="12.75" hidden="1">
      <c r="A3895" s="109"/>
      <c r="B3895" s="109"/>
      <c r="C3895" s="109"/>
      <c r="D3895" s="109"/>
      <c r="E3895" s="109"/>
      <c r="F3895" s="109"/>
      <c r="G3895" s="109"/>
      <c r="H3895" s="109"/>
      <c r="I3895" s="109"/>
      <c r="J3895" s="109"/>
      <c r="L3895" s="109"/>
      <c r="M3895" s="109"/>
      <c r="N3895" s="109"/>
      <c r="Q3895" s="121"/>
      <c r="W3895" s="109"/>
    </row>
    <row r="3896" spans="1:23" ht="12.75" hidden="1">
      <c r="A3896" s="109"/>
      <c r="B3896" s="109"/>
      <c r="C3896" s="109"/>
      <c r="D3896" s="109"/>
      <c r="E3896" s="109"/>
      <c r="F3896" s="109"/>
      <c r="G3896" s="109"/>
      <c r="H3896" s="109"/>
      <c r="I3896" s="109"/>
      <c r="J3896" s="109"/>
      <c r="L3896" s="109"/>
      <c r="M3896" s="109"/>
      <c r="N3896" s="109"/>
      <c r="Q3896" s="121"/>
      <c r="W3896" s="109"/>
    </row>
    <row r="3897" spans="1:23" ht="12.75" hidden="1">
      <c r="A3897" s="109"/>
      <c r="B3897" s="109"/>
      <c r="C3897" s="109"/>
      <c r="D3897" s="109"/>
      <c r="E3897" s="109"/>
      <c r="F3897" s="109"/>
      <c r="G3897" s="109"/>
      <c r="H3897" s="109"/>
      <c r="I3897" s="109"/>
      <c r="J3897" s="109"/>
      <c r="L3897" s="109"/>
      <c r="M3897" s="109"/>
      <c r="N3897" s="109"/>
      <c r="Q3897" s="121"/>
      <c r="W3897" s="109"/>
    </row>
    <row r="3898" spans="1:23" ht="12.75" hidden="1">
      <c r="A3898" s="109"/>
      <c r="B3898" s="109"/>
      <c r="C3898" s="109"/>
      <c r="D3898" s="109"/>
      <c r="E3898" s="109"/>
      <c r="F3898" s="109"/>
      <c r="G3898" s="109"/>
      <c r="H3898" s="109"/>
      <c r="I3898" s="109"/>
      <c r="J3898" s="109"/>
      <c r="L3898" s="109"/>
      <c r="M3898" s="109"/>
      <c r="N3898" s="109"/>
      <c r="Q3898" s="121"/>
      <c r="W3898" s="109"/>
    </row>
    <row r="3899" spans="1:23" ht="12.75" hidden="1">
      <c r="A3899" s="109"/>
      <c r="B3899" s="109"/>
      <c r="C3899" s="109"/>
      <c r="D3899" s="109"/>
      <c r="E3899" s="109"/>
      <c r="F3899" s="109"/>
      <c r="G3899" s="109"/>
      <c r="H3899" s="109"/>
      <c r="I3899" s="109"/>
      <c r="J3899" s="109"/>
      <c r="L3899" s="109"/>
      <c r="M3899" s="109"/>
      <c r="N3899" s="109"/>
      <c r="Q3899" s="121"/>
      <c r="W3899" s="109"/>
    </row>
    <row r="3900" spans="1:23" ht="12.75" hidden="1">
      <c r="A3900" s="109"/>
      <c r="B3900" s="109"/>
      <c r="C3900" s="109"/>
      <c r="D3900" s="109"/>
      <c r="E3900" s="109"/>
      <c r="F3900" s="109"/>
      <c r="G3900" s="109"/>
      <c r="H3900" s="109"/>
      <c r="I3900" s="109"/>
      <c r="J3900" s="109"/>
      <c r="L3900" s="109"/>
      <c r="M3900" s="109"/>
      <c r="N3900" s="109"/>
      <c r="Q3900" s="121"/>
      <c r="W3900" s="109"/>
    </row>
    <row r="3901" spans="1:23" ht="12.75" hidden="1">
      <c r="A3901" s="109"/>
      <c r="B3901" s="109"/>
      <c r="C3901" s="109"/>
      <c r="D3901" s="109"/>
      <c r="E3901" s="109"/>
      <c r="F3901" s="109"/>
      <c r="G3901" s="109"/>
      <c r="H3901" s="109"/>
      <c r="I3901" s="109"/>
      <c r="J3901" s="109"/>
      <c r="L3901" s="109"/>
      <c r="M3901" s="109"/>
      <c r="N3901" s="109"/>
      <c r="Q3901" s="121"/>
      <c r="W3901" s="109"/>
    </row>
    <row r="3902" spans="1:23" ht="12.75" hidden="1">
      <c r="A3902" s="109"/>
      <c r="B3902" s="109"/>
      <c r="C3902" s="109"/>
      <c r="D3902" s="109"/>
      <c r="E3902" s="109"/>
      <c r="F3902" s="109"/>
      <c r="G3902" s="109"/>
      <c r="H3902" s="109"/>
      <c r="I3902" s="109"/>
      <c r="J3902" s="109"/>
      <c r="L3902" s="109"/>
      <c r="M3902" s="109"/>
      <c r="N3902" s="109"/>
      <c r="Q3902" s="121"/>
      <c r="W3902" s="109"/>
    </row>
    <row r="3903" spans="1:23" ht="12.75" hidden="1">
      <c r="A3903" s="109"/>
      <c r="B3903" s="109"/>
      <c r="C3903" s="109"/>
      <c r="D3903" s="109"/>
      <c r="E3903" s="109"/>
      <c r="F3903" s="109"/>
      <c r="G3903" s="109"/>
      <c r="H3903" s="109"/>
      <c r="I3903" s="109"/>
      <c r="J3903" s="109"/>
      <c r="L3903" s="109"/>
      <c r="M3903" s="109"/>
      <c r="N3903" s="109"/>
      <c r="Q3903" s="121"/>
      <c r="W3903" s="109"/>
    </row>
    <row r="3904" spans="1:23" ht="12.75" hidden="1">
      <c r="A3904" s="109"/>
      <c r="B3904" s="109"/>
      <c r="C3904" s="109"/>
      <c r="D3904" s="109"/>
      <c r="E3904" s="109"/>
      <c r="F3904" s="109"/>
      <c r="G3904" s="109"/>
      <c r="H3904" s="109"/>
      <c r="I3904" s="109"/>
      <c r="J3904" s="109"/>
      <c r="L3904" s="109"/>
      <c r="M3904" s="109"/>
      <c r="N3904" s="109"/>
      <c r="Q3904" s="121"/>
      <c r="W3904" s="109"/>
    </row>
    <row r="3905" spans="1:23" ht="12.75" hidden="1">
      <c r="A3905" s="109"/>
      <c r="B3905" s="109"/>
      <c r="C3905" s="109"/>
      <c r="D3905" s="109"/>
      <c r="E3905" s="109"/>
      <c r="F3905" s="109"/>
      <c r="G3905" s="109"/>
      <c r="H3905" s="109"/>
      <c r="I3905" s="109"/>
      <c r="J3905" s="109"/>
      <c r="L3905" s="109"/>
      <c r="M3905" s="109"/>
      <c r="N3905" s="109"/>
      <c r="Q3905" s="121"/>
      <c r="W3905" s="109"/>
    </row>
    <row r="3906" spans="1:23" ht="12.75" hidden="1">
      <c r="A3906" s="109"/>
      <c r="B3906" s="109"/>
      <c r="C3906" s="109"/>
      <c r="D3906" s="109"/>
      <c r="E3906" s="109"/>
      <c r="F3906" s="109"/>
      <c r="G3906" s="109"/>
      <c r="H3906" s="109"/>
      <c r="I3906" s="109"/>
      <c r="J3906" s="109"/>
      <c r="L3906" s="109"/>
      <c r="M3906" s="109"/>
      <c r="N3906" s="109"/>
      <c r="Q3906" s="121"/>
      <c r="W3906" s="109"/>
    </row>
    <row r="3907" spans="1:23" ht="12.75" hidden="1">
      <c r="A3907" s="109"/>
      <c r="B3907" s="109"/>
      <c r="C3907" s="109"/>
      <c r="D3907" s="109"/>
      <c r="E3907" s="109"/>
      <c r="F3907" s="109"/>
      <c r="G3907" s="109"/>
      <c r="H3907" s="109"/>
      <c r="I3907" s="109"/>
      <c r="J3907" s="109"/>
      <c r="L3907" s="109"/>
      <c r="M3907" s="109"/>
      <c r="N3907" s="109"/>
      <c r="Q3907" s="121"/>
      <c r="W3907" s="109"/>
    </row>
    <row r="3908" spans="1:23" ht="12.75" hidden="1">
      <c r="A3908" s="109"/>
      <c r="B3908" s="109"/>
      <c r="C3908" s="109"/>
      <c r="D3908" s="109"/>
      <c r="E3908" s="109"/>
      <c r="F3908" s="109"/>
      <c r="G3908" s="109"/>
      <c r="H3908" s="109"/>
      <c r="I3908" s="109"/>
      <c r="J3908" s="109"/>
      <c r="L3908" s="109"/>
      <c r="M3908" s="109"/>
      <c r="N3908" s="109"/>
      <c r="Q3908" s="121"/>
      <c r="W3908" s="109"/>
    </row>
    <row r="3909" spans="1:23" ht="12.75" hidden="1">
      <c r="A3909" s="109"/>
      <c r="B3909" s="109"/>
      <c r="C3909" s="109"/>
      <c r="D3909" s="109"/>
      <c r="E3909" s="109"/>
      <c r="F3909" s="109"/>
      <c r="G3909" s="109"/>
      <c r="H3909" s="109"/>
      <c r="I3909" s="109"/>
      <c r="J3909" s="109"/>
      <c r="L3909" s="109"/>
      <c r="M3909" s="109"/>
      <c r="N3909" s="109"/>
      <c r="Q3909" s="121"/>
      <c r="W3909" s="109"/>
    </row>
    <row r="3910" spans="1:23" ht="12.75" hidden="1">
      <c r="A3910" s="109"/>
      <c r="B3910" s="109"/>
      <c r="C3910" s="109"/>
      <c r="D3910" s="109"/>
      <c r="E3910" s="109"/>
      <c r="F3910" s="109"/>
      <c r="G3910" s="109"/>
      <c r="H3910" s="109"/>
      <c r="I3910" s="109"/>
      <c r="J3910" s="109"/>
      <c r="L3910" s="109"/>
      <c r="M3910" s="109"/>
      <c r="N3910" s="109"/>
      <c r="Q3910" s="121"/>
      <c r="W3910" s="109"/>
    </row>
    <row r="3911" spans="1:23" ht="12.75" hidden="1">
      <c r="A3911" s="109"/>
      <c r="B3911" s="109"/>
      <c r="C3911" s="109"/>
      <c r="D3911" s="109"/>
      <c r="E3911" s="109"/>
      <c r="F3911" s="109"/>
      <c r="G3911" s="109"/>
      <c r="H3911" s="109"/>
      <c r="I3911" s="109"/>
      <c r="J3911" s="109"/>
      <c r="L3911" s="109"/>
      <c r="M3911" s="109"/>
      <c r="N3911" s="109"/>
      <c r="Q3911" s="121"/>
      <c r="W3911" s="109"/>
    </row>
    <row r="3912" spans="1:23" ht="12.75" hidden="1">
      <c r="A3912" s="109"/>
      <c r="B3912" s="109"/>
      <c r="C3912" s="109"/>
      <c r="D3912" s="109"/>
      <c r="E3912" s="109"/>
      <c r="F3912" s="109"/>
      <c r="G3912" s="109"/>
      <c r="H3912" s="109"/>
      <c r="I3912" s="109"/>
      <c r="J3912" s="109"/>
      <c r="L3912" s="109"/>
      <c r="M3912" s="109"/>
      <c r="N3912" s="109"/>
      <c r="Q3912" s="121"/>
      <c r="W3912" s="109"/>
    </row>
    <row r="3913" spans="1:23" ht="12.75" hidden="1">
      <c r="A3913" s="109"/>
      <c r="B3913" s="109"/>
      <c r="C3913" s="109"/>
      <c r="D3913" s="109"/>
      <c r="E3913" s="109"/>
      <c r="F3913" s="109"/>
      <c r="G3913" s="109"/>
      <c r="H3913" s="109"/>
      <c r="I3913" s="109"/>
      <c r="J3913" s="109"/>
      <c r="L3913" s="109"/>
      <c r="M3913" s="109"/>
      <c r="N3913" s="109"/>
      <c r="Q3913" s="121"/>
      <c r="W3913" s="109"/>
    </row>
    <row r="3914" spans="1:23" ht="12.75" hidden="1">
      <c r="A3914" s="109"/>
      <c r="B3914" s="109"/>
      <c r="C3914" s="109"/>
      <c r="D3914" s="109"/>
      <c r="E3914" s="109"/>
      <c r="F3914" s="109"/>
      <c r="G3914" s="109"/>
      <c r="H3914" s="109"/>
      <c r="I3914" s="109"/>
      <c r="J3914" s="109"/>
      <c r="L3914" s="109"/>
      <c r="M3914" s="109"/>
      <c r="N3914" s="109"/>
      <c r="Q3914" s="121"/>
      <c r="W3914" s="109"/>
    </row>
    <row r="3915" spans="1:23" ht="12.75" hidden="1">
      <c r="A3915" s="109"/>
      <c r="B3915" s="109"/>
      <c r="C3915" s="109"/>
      <c r="D3915" s="109"/>
      <c r="E3915" s="109"/>
      <c r="F3915" s="109"/>
      <c r="G3915" s="109"/>
      <c r="H3915" s="109"/>
      <c r="I3915" s="109"/>
      <c r="J3915" s="109"/>
      <c r="L3915" s="109"/>
      <c r="M3915" s="109"/>
      <c r="N3915" s="109"/>
      <c r="Q3915" s="121"/>
      <c r="W3915" s="109"/>
    </row>
    <row r="3916" spans="1:23" ht="12.75" hidden="1">
      <c r="A3916" s="109"/>
      <c r="B3916" s="109"/>
      <c r="C3916" s="109"/>
      <c r="D3916" s="109"/>
      <c r="E3916" s="109"/>
      <c r="F3916" s="109"/>
      <c r="G3916" s="109"/>
      <c r="H3916" s="109"/>
      <c r="I3916" s="109"/>
      <c r="J3916" s="109"/>
      <c r="L3916" s="109"/>
      <c r="M3916" s="109"/>
      <c r="N3916" s="109"/>
      <c r="Q3916" s="121"/>
      <c r="W3916" s="109"/>
    </row>
    <row r="3917" spans="1:23" ht="12.75" hidden="1">
      <c r="A3917" s="109"/>
      <c r="B3917" s="109"/>
      <c r="C3917" s="109"/>
      <c r="D3917" s="109"/>
      <c r="E3917" s="109"/>
      <c r="F3917" s="109"/>
      <c r="G3917" s="109"/>
      <c r="H3917" s="109"/>
      <c r="I3917" s="109"/>
      <c r="J3917" s="109"/>
      <c r="L3917" s="109"/>
      <c r="M3917" s="109"/>
      <c r="N3917" s="109"/>
      <c r="Q3917" s="121"/>
      <c r="W3917" s="109"/>
    </row>
    <row r="3918" spans="1:23" ht="12.75" hidden="1">
      <c r="A3918" s="109"/>
      <c r="B3918" s="109"/>
      <c r="C3918" s="109"/>
      <c r="D3918" s="109"/>
      <c r="E3918" s="109"/>
      <c r="F3918" s="109"/>
      <c r="G3918" s="109"/>
      <c r="H3918" s="109"/>
      <c r="I3918" s="109"/>
      <c r="J3918" s="109"/>
      <c r="L3918" s="109"/>
      <c r="M3918" s="109"/>
      <c r="N3918" s="109"/>
      <c r="Q3918" s="121"/>
      <c r="W3918" s="109"/>
    </row>
    <row r="3919" spans="1:23" ht="12.75" hidden="1">
      <c r="A3919" s="109"/>
      <c r="B3919" s="109"/>
      <c r="C3919" s="109"/>
      <c r="D3919" s="109"/>
      <c r="E3919" s="109"/>
      <c r="F3919" s="109"/>
      <c r="G3919" s="109"/>
      <c r="H3919" s="109"/>
      <c r="I3919" s="109"/>
      <c r="J3919" s="109"/>
      <c r="L3919" s="109"/>
      <c r="M3919" s="109"/>
      <c r="N3919" s="109"/>
      <c r="Q3919" s="121"/>
      <c r="W3919" s="109"/>
    </row>
    <row r="3920" spans="1:23" ht="12.75" hidden="1">
      <c r="A3920" s="109"/>
      <c r="B3920" s="109"/>
      <c r="C3920" s="109"/>
      <c r="D3920" s="109"/>
      <c r="E3920" s="109"/>
      <c r="F3920" s="109"/>
      <c r="G3920" s="109"/>
      <c r="H3920" s="109"/>
      <c r="I3920" s="109"/>
      <c r="J3920" s="109"/>
      <c r="L3920" s="109"/>
      <c r="M3920" s="109"/>
      <c r="N3920" s="109"/>
      <c r="Q3920" s="121"/>
      <c r="W3920" s="109"/>
    </row>
    <row r="3921" spans="1:23" ht="12.75" hidden="1">
      <c r="A3921" s="109"/>
      <c r="B3921" s="109"/>
      <c r="C3921" s="109"/>
      <c r="D3921" s="109"/>
      <c r="E3921" s="109"/>
      <c r="F3921" s="109"/>
      <c r="G3921" s="109"/>
      <c r="H3921" s="109"/>
      <c r="I3921" s="109"/>
      <c r="J3921" s="109"/>
      <c r="L3921" s="109"/>
      <c r="M3921" s="109"/>
      <c r="N3921" s="109"/>
      <c r="Q3921" s="121"/>
      <c r="W3921" s="109"/>
    </row>
    <row r="3922" spans="1:23" ht="12.75" hidden="1">
      <c r="A3922" s="109"/>
      <c r="B3922" s="109"/>
      <c r="C3922" s="109"/>
      <c r="D3922" s="109"/>
      <c r="E3922" s="109"/>
      <c r="F3922" s="109"/>
      <c r="G3922" s="109"/>
      <c r="H3922" s="109"/>
      <c r="I3922" s="109"/>
      <c r="J3922" s="109"/>
      <c r="L3922" s="109"/>
      <c r="M3922" s="109"/>
      <c r="N3922" s="109"/>
      <c r="Q3922" s="121"/>
      <c r="W3922" s="109"/>
    </row>
    <row r="3923" spans="1:23" ht="12.75" hidden="1">
      <c r="A3923" s="109"/>
      <c r="B3923" s="109"/>
      <c r="C3923" s="109"/>
      <c r="D3923" s="109"/>
      <c r="E3923" s="109"/>
      <c r="F3923" s="109"/>
      <c r="G3923" s="109"/>
      <c r="H3923" s="109"/>
      <c r="I3923" s="109"/>
      <c r="J3923" s="109"/>
      <c r="L3923" s="109"/>
      <c r="M3923" s="109"/>
      <c r="N3923" s="109"/>
      <c r="Q3923" s="121"/>
      <c r="W3923" s="109"/>
    </row>
    <row r="3924" spans="1:23" ht="12.75" hidden="1">
      <c r="A3924" s="109"/>
      <c r="B3924" s="109"/>
      <c r="C3924" s="109"/>
      <c r="D3924" s="109"/>
      <c r="E3924" s="109"/>
      <c r="F3924" s="109"/>
      <c r="G3924" s="109"/>
      <c r="H3924" s="109"/>
      <c r="I3924" s="109"/>
      <c r="J3924" s="109"/>
      <c r="L3924" s="109"/>
      <c r="M3924" s="109"/>
      <c r="N3924" s="109"/>
      <c r="Q3924" s="121"/>
      <c r="W3924" s="109"/>
    </row>
    <row r="3925" spans="1:23" ht="12.75" hidden="1">
      <c r="A3925" s="109"/>
      <c r="B3925" s="109"/>
      <c r="C3925" s="109"/>
      <c r="D3925" s="109"/>
      <c r="E3925" s="109"/>
      <c r="F3925" s="109"/>
      <c r="G3925" s="109"/>
      <c r="H3925" s="109"/>
      <c r="I3925" s="109"/>
      <c r="J3925" s="109"/>
      <c r="L3925" s="109"/>
      <c r="M3925" s="109"/>
      <c r="N3925" s="109"/>
      <c r="Q3925" s="121"/>
      <c r="W3925" s="109"/>
    </row>
    <row r="3926" spans="1:23" ht="12.75" hidden="1">
      <c r="A3926" s="109"/>
      <c r="B3926" s="109"/>
      <c r="C3926" s="109"/>
      <c r="D3926" s="109"/>
      <c r="E3926" s="109"/>
      <c r="F3926" s="109"/>
      <c r="G3926" s="109"/>
      <c r="H3926" s="109"/>
      <c r="I3926" s="109"/>
      <c r="J3926" s="109"/>
      <c r="L3926" s="109"/>
      <c r="M3926" s="109"/>
      <c r="N3926" s="109"/>
      <c r="Q3926" s="121"/>
      <c r="W3926" s="109"/>
    </row>
    <row r="3927" spans="1:23" ht="12.75" hidden="1">
      <c r="A3927" s="109"/>
      <c r="B3927" s="109"/>
      <c r="C3927" s="109"/>
      <c r="D3927" s="109"/>
      <c r="E3927" s="109"/>
      <c r="F3927" s="109"/>
      <c r="G3927" s="109"/>
      <c r="H3927" s="109"/>
      <c r="I3927" s="109"/>
      <c r="J3927" s="109"/>
      <c r="L3927" s="109"/>
      <c r="M3927" s="109"/>
      <c r="N3927" s="109"/>
      <c r="Q3927" s="121"/>
      <c r="W3927" s="109"/>
    </row>
    <row r="3928" spans="1:23" ht="12.75" hidden="1">
      <c r="A3928" s="109"/>
      <c r="B3928" s="109"/>
      <c r="C3928" s="109"/>
      <c r="D3928" s="109"/>
      <c r="E3928" s="109"/>
      <c r="F3928" s="109"/>
      <c r="G3928" s="109"/>
      <c r="H3928" s="109"/>
      <c r="I3928" s="109"/>
      <c r="J3928" s="109"/>
      <c r="L3928" s="109"/>
      <c r="M3928" s="109"/>
      <c r="N3928" s="109"/>
      <c r="Q3928" s="121"/>
      <c r="W3928" s="109"/>
    </row>
    <row r="3929" spans="1:23" ht="12.75" hidden="1">
      <c r="A3929" s="109"/>
      <c r="B3929" s="109"/>
      <c r="C3929" s="109"/>
      <c r="D3929" s="109"/>
      <c r="E3929" s="109"/>
      <c r="F3929" s="109"/>
      <c r="G3929" s="109"/>
      <c r="H3929" s="109"/>
      <c r="I3929" s="109"/>
      <c r="J3929" s="109"/>
      <c r="L3929" s="109"/>
      <c r="M3929" s="109"/>
      <c r="N3929" s="109"/>
      <c r="Q3929" s="121"/>
      <c r="W3929" s="109"/>
    </row>
    <row r="3930" spans="1:23" ht="12.75" hidden="1">
      <c r="A3930" s="109"/>
      <c r="B3930" s="109"/>
      <c r="C3930" s="109"/>
      <c r="D3930" s="109"/>
      <c r="E3930" s="109"/>
      <c r="F3930" s="109"/>
      <c r="G3930" s="109"/>
      <c r="H3930" s="109"/>
      <c r="I3930" s="109"/>
      <c r="J3930" s="109"/>
      <c r="L3930" s="109"/>
      <c r="M3930" s="109"/>
      <c r="N3930" s="109"/>
      <c r="Q3930" s="121"/>
      <c r="W3930" s="109"/>
    </row>
    <row r="3931" spans="1:23" ht="12.75" hidden="1">
      <c r="A3931" s="109"/>
      <c r="B3931" s="109"/>
      <c r="C3931" s="109"/>
      <c r="D3931" s="109"/>
      <c r="E3931" s="109"/>
      <c r="F3931" s="109"/>
      <c r="G3931" s="109"/>
      <c r="H3931" s="109"/>
      <c r="I3931" s="109"/>
      <c r="J3931" s="109"/>
      <c r="L3931" s="109"/>
      <c r="M3931" s="109"/>
      <c r="N3931" s="109"/>
      <c r="Q3931" s="121"/>
      <c r="W3931" s="109"/>
    </row>
    <row r="3932" spans="1:23" ht="12.75" hidden="1">
      <c r="A3932" s="109"/>
      <c r="B3932" s="109"/>
      <c r="C3932" s="109"/>
      <c r="D3932" s="109"/>
      <c r="E3932" s="109"/>
      <c r="F3932" s="109"/>
      <c r="G3932" s="109"/>
      <c r="H3932" s="109"/>
      <c r="I3932" s="109"/>
      <c r="J3932" s="109"/>
      <c r="L3932" s="109"/>
      <c r="M3932" s="109"/>
      <c r="N3932" s="109"/>
      <c r="Q3932" s="121"/>
      <c r="W3932" s="109"/>
    </row>
    <row r="3933" spans="1:23" ht="12.75" hidden="1">
      <c r="A3933" s="109"/>
      <c r="B3933" s="109"/>
      <c r="C3933" s="109"/>
      <c r="D3933" s="109"/>
      <c r="E3933" s="109"/>
      <c r="F3933" s="109"/>
      <c r="G3933" s="109"/>
      <c r="H3933" s="109"/>
      <c r="I3933" s="109"/>
      <c r="J3933" s="109"/>
      <c r="L3933" s="109"/>
      <c r="M3933" s="109"/>
      <c r="N3933" s="109"/>
      <c r="Q3933" s="121"/>
      <c r="W3933" s="109"/>
    </row>
    <row r="3934" spans="1:23" ht="12.75" hidden="1">
      <c r="A3934" s="109"/>
      <c r="B3934" s="109"/>
      <c r="C3934" s="109"/>
      <c r="D3934" s="109"/>
      <c r="E3934" s="109"/>
      <c r="F3934" s="109"/>
      <c r="G3934" s="109"/>
      <c r="H3934" s="109"/>
      <c r="I3934" s="109"/>
      <c r="J3934" s="109"/>
      <c r="L3934" s="109"/>
      <c r="M3934" s="109"/>
      <c r="N3934" s="109"/>
      <c r="Q3934" s="121"/>
      <c r="W3934" s="109"/>
    </row>
    <row r="3935" spans="1:23" ht="12.75" hidden="1">
      <c r="A3935" s="109"/>
      <c r="B3935" s="109"/>
      <c r="C3935" s="109"/>
      <c r="D3935" s="109"/>
      <c r="E3935" s="109"/>
      <c r="F3935" s="109"/>
      <c r="G3935" s="109"/>
      <c r="H3935" s="109"/>
      <c r="I3935" s="109"/>
      <c r="J3935" s="109"/>
      <c r="L3935" s="109"/>
      <c r="M3935" s="109"/>
      <c r="N3935" s="109"/>
      <c r="Q3935" s="121"/>
      <c r="W3935" s="109"/>
    </row>
    <row r="3936" spans="1:23" ht="12.75" hidden="1">
      <c r="A3936" s="109"/>
      <c r="B3936" s="109"/>
      <c r="C3936" s="109"/>
      <c r="D3936" s="109"/>
      <c r="E3936" s="109"/>
      <c r="F3936" s="109"/>
      <c r="G3936" s="109"/>
      <c r="H3936" s="109"/>
      <c r="I3936" s="109"/>
      <c r="J3936" s="109"/>
      <c r="L3936" s="109"/>
      <c r="M3936" s="109"/>
      <c r="N3936" s="109"/>
      <c r="Q3936" s="121"/>
      <c r="W3936" s="109"/>
    </row>
    <row r="3937" spans="1:23" ht="12.75" hidden="1">
      <c r="A3937" s="109"/>
      <c r="B3937" s="109"/>
      <c r="C3937" s="109"/>
      <c r="D3937" s="109"/>
      <c r="E3937" s="109"/>
      <c r="F3937" s="109"/>
      <c r="G3937" s="109"/>
      <c r="H3937" s="109"/>
      <c r="I3937" s="109"/>
      <c r="J3937" s="109"/>
      <c r="L3937" s="109"/>
      <c r="M3937" s="109"/>
      <c r="N3937" s="109"/>
      <c r="Q3937" s="121"/>
      <c r="W3937" s="109"/>
    </row>
    <row r="3938" spans="1:23" ht="12.75" hidden="1">
      <c r="A3938" s="109"/>
      <c r="B3938" s="109"/>
      <c r="C3938" s="109"/>
      <c r="D3938" s="109"/>
      <c r="E3938" s="109"/>
      <c r="F3938" s="109"/>
      <c r="G3938" s="109"/>
      <c r="H3938" s="109"/>
      <c r="I3938" s="109"/>
      <c r="J3938" s="109"/>
      <c r="L3938" s="109"/>
      <c r="M3938" s="109"/>
      <c r="N3938" s="109"/>
      <c r="Q3938" s="121"/>
      <c r="W3938" s="109"/>
    </row>
    <row r="3939" spans="1:23" ht="12.75" hidden="1">
      <c r="A3939" s="109"/>
      <c r="B3939" s="109"/>
      <c r="C3939" s="109"/>
      <c r="D3939" s="109"/>
      <c r="E3939" s="109"/>
      <c r="F3939" s="109"/>
      <c r="G3939" s="109"/>
      <c r="H3939" s="109"/>
      <c r="I3939" s="109"/>
      <c r="J3939" s="109"/>
      <c r="L3939" s="109"/>
      <c r="M3939" s="109"/>
      <c r="N3939" s="109"/>
      <c r="Q3939" s="121"/>
      <c r="W3939" s="109"/>
    </row>
    <row r="3940" spans="1:23" ht="12.75" hidden="1">
      <c r="A3940" s="109"/>
      <c r="B3940" s="109"/>
      <c r="C3940" s="109"/>
      <c r="D3940" s="109"/>
      <c r="E3940" s="109"/>
      <c r="F3940" s="109"/>
      <c r="G3940" s="109"/>
      <c r="H3940" s="109"/>
      <c r="I3940" s="109"/>
      <c r="J3940" s="109"/>
      <c r="L3940" s="109"/>
      <c r="M3940" s="109"/>
      <c r="N3940" s="109"/>
      <c r="Q3940" s="121"/>
      <c r="W3940" s="109"/>
    </row>
    <row r="3941" spans="1:23" ht="12.75" hidden="1">
      <c r="A3941" s="109"/>
      <c r="B3941" s="109"/>
      <c r="C3941" s="109"/>
      <c r="D3941" s="109"/>
      <c r="E3941" s="109"/>
      <c r="F3941" s="109"/>
      <c r="G3941" s="109"/>
      <c r="H3941" s="109"/>
      <c r="I3941" s="109"/>
      <c r="J3941" s="109"/>
      <c r="L3941" s="109"/>
      <c r="M3941" s="109"/>
      <c r="N3941" s="109"/>
      <c r="Q3941" s="121"/>
      <c r="W3941" s="109"/>
    </row>
    <row r="3942" spans="1:23" ht="12.75" hidden="1">
      <c r="A3942" s="109"/>
      <c r="B3942" s="109"/>
      <c r="C3942" s="109"/>
      <c r="D3942" s="109"/>
      <c r="E3942" s="109"/>
      <c r="F3942" s="109"/>
      <c r="G3942" s="109"/>
      <c r="H3942" s="109"/>
      <c r="I3942" s="109"/>
      <c r="J3942" s="109"/>
      <c r="L3942" s="109"/>
      <c r="M3942" s="109"/>
      <c r="N3942" s="109"/>
      <c r="Q3942" s="121"/>
      <c r="W3942" s="109"/>
    </row>
    <row r="3943" spans="1:23" ht="12.75" hidden="1">
      <c r="A3943" s="109"/>
      <c r="B3943" s="109"/>
      <c r="C3943" s="109"/>
      <c r="D3943" s="109"/>
      <c r="E3943" s="109"/>
      <c r="F3943" s="109"/>
      <c r="G3943" s="109"/>
      <c r="H3943" s="109"/>
      <c r="I3943" s="109"/>
      <c r="J3943" s="109"/>
      <c r="L3943" s="109"/>
      <c r="M3943" s="109"/>
      <c r="N3943" s="109"/>
      <c r="Q3943" s="121"/>
      <c r="W3943" s="109"/>
    </row>
    <row r="3944" spans="1:23" ht="12.75" hidden="1">
      <c r="A3944" s="109"/>
      <c r="B3944" s="109"/>
      <c r="C3944" s="109"/>
      <c r="D3944" s="109"/>
      <c r="E3944" s="109"/>
      <c r="F3944" s="109"/>
      <c r="G3944" s="109"/>
      <c r="H3944" s="109"/>
      <c r="I3944" s="109"/>
      <c r="J3944" s="109"/>
      <c r="L3944" s="109"/>
      <c r="M3944" s="109"/>
      <c r="N3944" s="109"/>
      <c r="Q3944" s="121"/>
      <c r="W3944" s="109"/>
    </row>
    <row r="3945" spans="1:23" ht="12.75" hidden="1">
      <c r="A3945" s="109"/>
      <c r="B3945" s="109"/>
      <c r="C3945" s="109"/>
      <c r="D3945" s="109"/>
      <c r="E3945" s="109"/>
      <c r="F3945" s="109"/>
      <c r="G3945" s="109"/>
      <c r="H3945" s="109"/>
      <c r="I3945" s="109"/>
      <c r="J3945" s="109"/>
      <c r="L3945" s="109"/>
      <c r="M3945" s="109"/>
      <c r="N3945" s="109"/>
      <c r="Q3945" s="121"/>
      <c r="W3945" s="109"/>
    </row>
    <row r="3946" spans="1:23" ht="12.75" hidden="1">
      <c r="A3946" s="109"/>
      <c r="B3946" s="109"/>
      <c r="C3946" s="109"/>
      <c r="D3946" s="109"/>
      <c r="E3946" s="109"/>
      <c r="F3946" s="109"/>
      <c r="G3946" s="109"/>
      <c r="H3946" s="109"/>
      <c r="I3946" s="109"/>
      <c r="J3946" s="109"/>
      <c r="L3946" s="109"/>
      <c r="M3946" s="109"/>
      <c r="N3946" s="109"/>
      <c r="Q3946" s="121"/>
      <c r="W3946" s="109"/>
    </row>
    <row r="3947" spans="1:23" ht="12.75" hidden="1">
      <c r="A3947" s="109"/>
      <c r="B3947" s="109"/>
      <c r="C3947" s="109"/>
      <c r="D3947" s="109"/>
      <c r="E3947" s="109"/>
      <c r="F3947" s="109"/>
      <c r="G3947" s="109"/>
      <c r="H3947" s="109"/>
      <c r="I3947" s="109"/>
      <c r="J3947" s="109"/>
      <c r="L3947" s="109"/>
      <c r="M3947" s="109"/>
      <c r="N3947" s="109"/>
      <c r="Q3947" s="121"/>
      <c r="W3947" s="109"/>
    </row>
    <row r="3948" spans="1:23" ht="12.75" hidden="1">
      <c r="A3948" s="109"/>
      <c r="B3948" s="109"/>
      <c r="C3948" s="109"/>
      <c r="D3948" s="109"/>
      <c r="E3948" s="109"/>
      <c r="F3948" s="109"/>
      <c r="G3948" s="109"/>
      <c r="H3948" s="109"/>
      <c r="I3948" s="109"/>
      <c r="J3948" s="109"/>
      <c r="L3948" s="109"/>
      <c r="M3948" s="109"/>
      <c r="N3948" s="109"/>
      <c r="Q3948" s="121"/>
      <c r="W3948" s="109"/>
    </row>
    <row r="3949" spans="1:23" ht="12.75" hidden="1">
      <c r="A3949" s="109"/>
      <c r="B3949" s="109"/>
      <c r="C3949" s="109"/>
      <c r="D3949" s="109"/>
      <c r="E3949" s="109"/>
      <c r="F3949" s="109"/>
      <c r="G3949" s="109"/>
      <c r="H3949" s="109"/>
      <c r="I3949" s="109"/>
      <c r="J3949" s="109"/>
      <c r="L3949" s="109"/>
      <c r="M3949" s="109"/>
      <c r="N3949" s="109"/>
      <c r="Q3949" s="121"/>
      <c r="W3949" s="109"/>
    </row>
    <row r="3950" spans="1:23" ht="12.75" hidden="1">
      <c r="A3950" s="109"/>
      <c r="B3950" s="109"/>
      <c r="C3950" s="109"/>
      <c r="D3950" s="109"/>
      <c r="E3950" s="109"/>
      <c r="F3950" s="109"/>
      <c r="G3950" s="109"/>
      <c r="H3950" s="109"/>
      <c r="I3950" s="109"/>
      <c r="J3950" s="109"/>
      <c r="L3950" s="109"/>
      <c r="M3950" s="109"/>
      <c r="N3950" s="109"/>
      <c r="Q3950" s="121"/>
      <c r="W3950" s="109"/>
    </row>
    <row r="3951" spans="1:23" ht="12.75" hidden="1">
      <c r="A3951" s="109"/>
      <c r="B3951" s="109"/>
      <c r="C3951" s="109"/>
      <c r="D3951" s="109"/>
      <c r="E3951" s="109"/>
      <c r="F3951" s="109"/>
      <c r="G3951" s="109"/>
      <c r="H3951" s="109"/>
      <c r="I3951" s="109"/>
      <c r="J3951" s="109"/>
      <c r="L3951" s="109"/>
      <c r="M3951" s="109"/>
      <c r="N3951" s="109"/>
      <c r="Q3951" s="121"/>
      <c r="W3951" s="109"/>
    </row>
    <row r="3952" spans="1:23" ht="12.75" hidden="1">
      <c r="A3952" s="109"/>
      <c r="B3952" s="109"/>
      <c r="C3952" s="109"/>
      <c r="D3952" s="109"/>
      <c r="E3952" s="109"/>
      <c r="F3952" s="109"/>
      <c r="G3952" s="109"/>
      <c r="H3952" s="109"/>
      <c r="I3952" s="109"/>
      <c r="J3952" s="109"/>
      <c r="L3952" s="109"/>
      <c r="M3952" s="109"/>
      <c r="N3952" s="109"/>
      <c r="Q3952" s="121"/>
      <c r="W3952" s="109"/>
    </row>
    <row r="3953" spans="1:23" ht="12.75" hidden="1">
      <c r="A3953" s="109"/>
      <c r="B3953" s="109"/>
      <c r="C3953" s="109"/>
      <c r="D3953" s="109"/>
      <c r="E3953" s="109"/>
      <c r="F3953" s="109"/>
      <c r="G3953" s="109"/>
      <c r="H3953" s="109"/>
      <c r="I3953" s="109"/>
      <c r="J3953" s="109"/>
      <c r="L3953" s="109"/>
      <c r="M3953" s="109"/>
      <c r="N3953" s="109"/>
      <c r="Q3953" s="121"/>
      <c r="W3953" s="109"/>
    </row>
    <row r="3954" spans="1:23" ht="12.75" hidden="1">
      <c r="A3954" s="109"/>
      <c r="B3954" s="109"/>
      <c r="C3954" s="109"/>
      <c r="D3954" s="109"/>
      <c r="E3954" s="109"/>
      <c r="F3954" s="109"/>
      <c r="G3954" s="109"/>
      <c r="H3954" s="109"/>
      <c r="I3954" s="109"/>
      <c r="J3954" s="109"/>
      <c r="L3954" s="109"/>
      <c r="M3954" s="109"/>
      <c r="N3954" s="109"/>
      <c r="Q3954" s="121"/>
      <c r="W3954" s="109"/>
    </row>
    <row r="3955" spans="1:23" ht="12.75" hidden="1">
      <c r="A3955" s="109"/>
      <c r="B3955" s="109"/>
      <c r="C3955" s="109"/>
      <c r="D3955" s="109"/>
      <c r="E3955" s="109"/>
      <c r="F3955" s="109"/>
      <c r="G3955" s="109"/>
      <c r="H3955" s="109"/>
      <c r="I3955" s="109"/>
      <c r="J3955" s="109"/>
      <c r="L3955" s="109"/>
      <c r="M3955" s="109"/>
      <c r="N3955" s="109"/>
      <c r="Q3955" s="121"/>
      <c r="W3955" s="109"/>
    </row>
    <row r="3956" spans="1:23" ht="12.75" hidden="1">
      <c r="A3956" s="109"/>
      <c r="B3956" s="109"/>
      <c r="C3956" s="109"/>
      <c r="D3956" s="109"/>
      <c r="E3956" s="109"/>
      <c r="F3956" s="109"/>
      <c r="G3956" s="109"/>
      <c r="H3956" s="109"/>
      <c r="I3956" s="109"/>
      <c r="J3956" s="109"/>
      <c r="L3956" s="109"/>
      <c r="M3956" s="109"/>
      <c r="N3956" s="109"/>
      <c r="Q3956" s="121"/>
      <c r="W3956" s="109"/>
    </row>
    <row r="3957" spans="1:23" ht="12.75" hidden="1">
      <c r="A3957" s="109"/>
      <c r="B3957" s="109"/>
      <c r="C3957" s="109"/>
      <c r="D3957" s="109"/>
      <c r="E3957" s="109"/>
      <c r="F3957" s="109"/>
      <c r="G3957" s="109"/>
      <c r="H3957" s="109"/>
      <c r="I3957" s="109"/>
      <c r="J3957" s="109"/>
      <c r="L3957" s="109"/>
      <c r="M3957" s="109"/>
      <c r="N3957" s="109"/>
      <c r="Q3957" s="121"/>
      <c r="W3957" s="109"/>
    </row>
    <row r="3958" spans="1:23" ht="12.75" hidden="1">
      <c r="A3958" s="109"/>
      <c r="B3958" s="109"/>
      <c r="C3958" s="109"/>
      <c r="D3958" s="109"/>
      <c r="E3958" s="109"/>
      <c r="F3958" s="109"/>
      <c r="G3958" s="109"/>
      <c r="H3958" s="109"/>
      <c r="I3958" s="109"/>
      <c r="J3958" s="109"/>
      <c r="L3958" s="109"/>
      <c r="M3958" s="109"/>
      <c r="N3958" s="109"/>
      <c r="Q3958" s="121"/>
      <c r="W3958" s="109"/>
    </row>
    <row r="3959" spans="1:23" ht="12.75" hidden="1">
      <c r="A3959" s="109"/>
      <c r="B3959" s="109"/>
      <c r="C3959" s="109"/>
      <c r="D3959" s="109"/>
      <c r="E3959" s="109"/>
      <c r="F3959" s="109"/>
      <c r="G3959" s="109"/>
      <c r="H3959" s="109"/>
      <c r="I3959" s="109"/>
      <c r="J3959" s="109"/>
      <c r="L3959" s="109"/>
      <c r="M3959" s="109"/>
      <c r="N3959" s="109"/>
      <c r="Q3959" s="121"/>
      <c r="W3959" s="109"/>
    </row>
    <row r="3960" spans="1:23" ht="12.75" hidden="1">
      <c r="A3960" s="109"/>
      <c r="B3960" s="109"/>
      <c r="C3960" s="109"/>
      <c r="D3960" s="109"/>
      <c r="E3960" s="109"/>
      <c r="F3960" s="109"/>
      <c r="G3960" s="109"/>
      <c r="H3960" s="109"/>
      <c r="I3960" s="109"/>
      <c r="J3960" s="109"/>
      <c r="L3960" s="109"/>
      <c r="M3960" s="109"/>
      <c r="N3960" s="109"/>
      <c r="Q3960" s="121"/>
      <c r="W3960" s="109"/>
    </row>
    <row r="3961" spans="1:23" ht="12.75" hidden="1">
      <c r="A3961" s="109"/>
      <c r="B3961" s="109"/>
      <c r="C3961" s="109"/>
      <c r="D3961" s="109"/>
      <c r="E3961" s="109"/>
      <c r="F3961" s="109"/>
      <c r="G3961" s="109"/>
      <c r="H3961" s="109"/>
      <c r="I3961" s="109"/>
      <c r="J3961" s="109"/>
      <c r="L3961" s="109"/>
      <c r="M3961" s="109"/>
      <c r="N3961" s="109"/>
      <c r="Q3961" s="121"/>
      <c r="W3961" s="109"/>
    </row>
    <row r="3962" spans="1:23" ht="12.75" hidden="1">
      <c r="A3962" s="109"/>
      <c r="B3962" s="109"/>
      <c r="C3962" s="109"/>
      <c r="D3962" s="109"/>
      <c r="E3962" s="109"/>
      <c r="F3962" s="109"/>
      <c r="G3962" s="109"/>
      <c r="H3962" s="109"/>
      <c r="I3962" s="109"/>
      <c r="J3962" s="109"/>
      <c r="L3962" s="109"/>
      <c r="M3962" s="109"/>
      <c r="N3962" s="109"/>
      <c r="Q3962" s="121"/>
      <c r="W3962" s="109"/>
    </row>
    <row r="3963" spans="1:23" ht="12.75" hidden="1">
      <c r="A3963" s="109"/>
      <c r="B3963" s="109"/>
      <c r="C3963" s="109"/>
      <c r="D3963" s="109"/>
      <c r="E3963" s="109"/>
      <c r="F3963" s="109"/>
      <c r="G3963" s="109"/>
      <c r="H3963" s="109"/>
      <c r="I3963" s="109"/>
      <c r="J3963" s="109"/>
      <c r="L3963" s="109"/>
      <c r="M3963" s="109"/>
      <c r="N3963" s="109"/>
      <c r="Q3963" s="121"/>
      <c r="W3963" s="109"/>
    </row>
    <row r="3964" spans="1:23" ht="12.75" hidden="1">
      <c r="A3964" s="109"/>
      <c r="B3964" s="109"/>
      <c r="C3964" s="109"/>
      <c r="D3964" s="109"/>
      <c r="E3964" s="109"/>
      <c r="F3964" s="109"/>
      <c r="G3964" s="109"/>
      <c r="H3964" s="109"/>
      <c r="I3964" s="109"/>
      <c r="J3964" s="109"/>
      <c r="L3964" s="109"/>
      <c r="M3964" s="109"/>
      <c r="N3964" s="109"/>
      <c r="Q3964" s="121"/>
      <c r="W3964" s="109"/>
    </row>
    <row r="3965" spans="1:23" ht="12.75" hidden="1">
      <c r="A3965" s="109"/>
      <c r="B3965" s="109"/>
      <c r="C3965" s="109"/>
      <c r="D3965" s="109"/>
      <c r="E3965" s="109"/>
      <c r="F3965" s="109"/>
      <c r="G3965" s="109"/>
      <c r="H3965" s="109"/>
      <c r="I3965" s="109"/>
      <c r="J3965" s="109"/>
      <c r="L3965" s="109"/>
      <c r="M3965" s="109"/>
      <c r="N3965" s="109"/>
      <c r="Q3965" s="121"/>
      <c r="W3965" s="109"/>
    </row>
    <row r="3966" spans="1:23" ht="12.75" hidden="1">
      <c r="A3966" s="109"/>
      <c r="B3966" s="109"/>
      <c r="C3966" s="109"/>
      <c r="D3966" s="109"/>
      <c r="E3966" s="109"/>
      <c r="F3966" s="109"/>
      <c r="G3966" s="109"/>
      <c r="H3966" s="109"/>
      <c r="I3966" s="109"/>
      <c r="J3966" s="109"/>
      <c r="L3966" s="109"/>
      <c r="M3966" s="109"/>
      <c r="N3966" s="109"/>
      <c r="Q3966" s="121"/>
      <c r="W3966" s="109"/>
    </row>
    <row r="3967" spans="1:23" ht="12.75" hidden="1">
      <c r="A3967" s="109"/>
      <c r="B3967" s="109"/>
      <c r="C3967" s="109"/>
      <c r="D3967" s="109"/>
      <c r="E3967" s="109"/>
      <c r="F3967" s="109"/>
      <c r="G3967" s="109"/>
      <c r="H3967" s="109"/>
      <c r="I3967" s="109"/>
      <c r="J3967" s="109"/>
      <c r="L3967" s="109"/>
      <c r="M3967" s="109"/>
      <c r="N3967" s="109"/>
      <c r="Q3967" s="121"/>
      <c r="W3967" s="109"/>
    </row>
    <row r="3968" spans="1:23" ht="12.75" hidden="1">
      <c r="A3968" s="109"/>
      <c r="B3968" s="109"/>
      <c r="C3968" s="109"/>
      <c r="D3968" s="109"/>
      <c r="E3968" s="109"/>
      <c r="F3968" s="109"/>
      <c r="G3968" s="109"/>
      <c r="H3968" s="109"/>
      <c r="I3968" s="109"/>
      <c r="J3968" s="109"/>
      <c r="L3968" s="109"/>
      <c r="M3968" s="109"/>
      <c r="N3968" s="109"/>
      <c r="Q3968" s="121"/>
      <c r="W3968" s="109"/>
    </row>
    <row r="3969" spans="1:23" ht="12.75" hidden="1">
      <c r="A3969" s="109"/>
      <c r="B3969" s="109"/>
      <c r="C3969" s="109"/>
      <c r="D3969" s="109"/>
      <c r="E3969" s="109"/>
      <c r="F3969" s="109"/>
      <c r="G3969" s="109"/>
      <c r="H3969" s="109"/>
      <c r="I3969" s="109"/>
      <c r="J3969" s="109"/>
      <c r="L3969" s="109"/>
      <c r="M3969" s="109"/>
      <c r="N3969" s="109"/>
      <c r="Q3969" s="121"/>
      <c r="W3969" s="109"/>
    </row>
    <row r="3970" spans="1:23" ht="12.75" hidden="1">
      <c r="A3970" s="109"/>
      <c r="B3970" s="109"/>
      <c r="C3970" s="109"/>
      <c r="D3970" s="109"/>
      <c r="E3970" s="109"/>
      <c r="F3970" s="109"/>
      <c r="G3970" s="109"/>
      <c r="H3970" s="109"/>
      <c r="I3970" s="109"/>
      <c r="J3970" s="109"/>
      <c r="L3970" s="109"/>
      <c r="M3970" s="109"/>
      <c r="N3970" s="109"/>
      <c r="Q3970" s="121"/>
      <c r="W3970" s="109"/>
    </row>
    <row r="3971" spans="1:23" ht="12.75" hidden="1">
      <c r="A3971" s="109"/>
      <c r="B3971" s="109"/>
      <c r="C3971" s="109"/>
      <c r="D3971" s="109"/>
      <c r="E3971" s="109"/>
      <c r="F3971" s="109"/>
      <c r="G3971" s="109"/>
      <c r="H3971" s="109"/>
      <c r="I3971" s="109"/>
      <c r="J3971" s="109"/>
      <c r="L3971" s="109"/>
      <c r="M3971" s="109"/>
      <c r="N3971" s="109"/>
      <c r="Q3971" s="121"/>
      <c r="W3971" s="109"/>
    </row>
    <row r="3972" spans="1:23" ht="12.75" hidden="1">
      <c r="A3972" s="109"/>
      <c r="B3972" s="109"/>
      <c r="C3972" s="109"/>
      <c r="D3972" s="109"/>
      <c r="E3972" s="109"/>
      <c r="F3972" s="109"/>
      <c r="G3972" s="109"/>
      <c r="H3972" s="109"/>
      <c r="I3972" s="109"/>
      <c r="J3972" s="109"/>
      <c r="L3972" s="109"/>
      <c r="M3972" s="109"/>
      <c r="N3972" s="109"/>
      <c r="Q3972" s="121"/>
      <c r="W3972" s="109"/>
    </row>
    <row r="3973" spans="1:23" ht="12.75" hidden="1">
      <c r="A3973" s="109"/>
      <c r="B3973" s="109"/>
      <c r="C3973" s="109"/>
      <c r="D3973" s="109"/>
      <c r="E3973" s="109"/>
      <c r="F3973" s="109"/>
      <c r="G3973" s="109"/>
      <c r="H3973" s="109"/>
      <c r="I3973" s="109"/>
      <c r="J3973" s="109"/>
      <c r="L3973" s="109"/>
      <c r="M3973" s="109"/>
      <c r="N3973" s="109"/>
      <c r="Q3973" s="121"/>
      <c r="W3973" s="109"/>
    </row>
    <row r="3974" spans="1:23" ht="12.75" hidden="1">
      <c r="A3974" s="109"/>
      <c r="B3974" s="109"/>
      <c r="C3974" s="109"/>
      <c r="D3974" s="109"/>
      <c r="E3974" s="109"/>
      <c r="F3974" s="109"/>
      <c r="G3974" s="109"/>
      <c r="H3974" s="109"/>
      <c r="I3974" s="109"/>
      <c r="J3974" s="109"/>
      <c r="L3974" s="109"/>
      <c r="M3974" s="109"/>
      <c r="N3974" s="109"/>
      <c r="Q3974" s="121"/>
      <c r="W3974" s="109"/>
    </row>
    <row r="3975" spans="1:23" ht="12.75" hidden="1">
      <c r="A3975" s="109"/>
      <c r="B3975" s="109"/>
      <c r="C3975" s="109"/>
      <c r="D3975" s="109"/>
      <c r="E3975" s="109"/>
      <c r="F3975" s="109"/>
      <c r="G3975" s="109"/>
      <c r="H3975" s="109"/>
      <c r="I3975" s="109"/>
      <c r="J3975" s="109"/>
      <c r="L3975" s="109"/>
      <c r="M3975" s="109"/>
      <c r="N3975" s="109"/>
      <c r="Q3975" s="121"/>
      <c r="W3975" s="109"/>
    </row>
    <row r="3976" spans="1:23" ht="12.75" hidden="1">
      <c r="A3976" s="109"/>
      <c r="B3976" s="109"/>
      <c r="C3976" s="109"/>
      <c r="D3976" s="109"/>
      <c r="E3976" s="109"/>
      <c r="F3976" s="109"/>
      <c r="G3976" s="109"/>
      <c r="H3976" s="109"/>
      <c r="I3976" s="109"/>
      <c r="J3976" s="109"/>
      <c r="L3976" s="109"/>
      <c r="M3976" s="109"/>
      <c r="N3976" s="109"/>
      <c r="Q3976" s="121"/>
      <c r="W3976" s="109"/>
    </row>
    <row r="3977" spans="1:23" ht="12.75" hidden="1">
      <c r="A3977" s="109"/>
      <c r="B3977" s="109"/>
      <c r="C3977" s="109"/>
      <c r="D3977" s="109"/>
      <c r="E3977" s="109"/>
      <c r="F3977" s="109"/>
      <c r="G3977" s="109"/>
      <c r="H3977" s="109"/>
      <c r="I3977" s="109"/>
      <c r="J3977" s="109"/>
      <c r="L3977" s="109"/>
      <c r="M3977" s="109"/>
      <c r="N3977" s="109"/>
      <c r="Q3977" s="121"/>
      <c r="W3977" s="109"/>
    </row>
    <row r="3978" spans="1:23" ht="12.75" hidden="1">
      <c r="A3978" s="109"/>
      <c r="B3978" s="109"/>
      <c r="C3978" s="109"/>
      <c r="D3978" s="109"/>
      <c r="E3978" s="109"/>
      <c r="F3978" s="109"/>
      <c r="G3978" s="109"/>
      <c r="H3978" s="109"/>
      <c r="I3978" s="109"/>
      <c r="J3978" s="109"/>
      <c r="L3978" s="109"/>
      <c r="M3978" s="109"/>
      <c r="N3978" s="109"/>
      <c r="Q3978" s="121"/>
      <c r="W3978" s="109"/>
    </row>
    <row r="3979" spans="1:23" ht="12.75" hidden="1">
      <c r="A3979" s="109"/>
      <c r="B3979" s="109"/>
      <c r="C3979" s="109"/>
      <c r="D3979" s="109"/>
      <c r="E3979" s="109"/>
      <c r="F3979" s="109"/>
      <c r="G3979" s="109"/>
      <c r="H3979" s="109"/>
      <c r="I3979" s="109"/>
      <c r="J3979" s="109"/>
      <c r="L3979" s="109"/>
      <c r="M3979" s="109"/>
      <c r="N3979" s="109"/>
      <c r="Q3979" s="121"/>
      <c r="W3979" s="109"/>
    </row>
    <row r="3980" spans="1:23" ht="12.75" hidden="1">
      <c r="A3980" s="109"/>
      <c r="B3980" s="109"/>
      <c r="C3980" s="109"/>
      <c r="D3980" s="109"/>
      <c r="E3980" s="109"/>
      <c r="F3980" s="109"/>
      <c r="G3980" s="109"/>
      <c r="H3980" s="109"/>
      <c r="I3980" s="109"/>
      <c r="J3980" s="109"/>
      <c r="L3980" s="109"/>
      <c r="M3980" s="109"/>
      <c r="N3980" s="109"/>
      <c r="Q3980" s="121"/>
      <c r="W3980" s="109"/>
    </row>
    <row r="3981" spans="1:23" ht="12.75" hidden="1">
      <c r="A3981" s="109"/>
      <c r="B3981" s="109"/>
      <c r="C3981" s="109"/>
      <c r="D3981" s="109"/>
      <c r="E3981" s="109"/>
      <c r="F3981" s="109"/>
      <c r="G3981" s="109"/>
      <c r="H3981" s="109"/>
      <c r="I3981" s="109"/>
      <c r="J3981" s="109"/>
      <c r="L3981" s="109"/>
      <c r="M3981" s="109"/>
      <c r="N3981" s="109"/>
      <c r="Q3981" s="121"/>
      <c r="W3981" s="109"/>
    </row>
    <row r="3982" spans="1:23" ht="12.75" hidden="1">
      <c r="A3982" s="109"/>
      <c r="B3982" s="109"/>
      <c r="C3982" s="109"/>
      <c r="D3982" s="109"/>
      <c r="E3982" s="109"/>
      <c r="F3982" s="109"/>
      <c r="G3982" s="109"/>
      <c r="H3982" s="109"/>
      <c r="I3982" s="109"/>
      <c r="J3982" s="109"/>
      <c r="L3982" s="109"/>
      <c r="M3982" s="109"/>
      <c r="N3982" s="109"/>
      <c r="Q3982" s="121"/>
      <c r="W3982" s="109"/>
    </row>
    <row r="3983" spans="1:23" ht="12.75" hidden="1">
      <c r="A3983" s="109"/>
      <c r="B3983" s="109"/>
      <c r="C3983" s="109"/>
      <c r="D3983" s="109"/>
      <c r="E3983" s="109"/>
      <c r="F3983" s="109"/>
      <c r="G3983" s="109"/>
      <c r="H3983" s="109"/>
      <c r="I3983" s="109"/>
      <c r="J3983" s="109"/>
      <c r="L3983" s="109"/>
      <c r="M3983" s="109"/>
      <c r="N3983" s="109"/>
      <c r="Q3983" s="121"/>
      <c r="W3983" s="109"/>
    </row>
    <row r="3984" spans="1:23" ht="12.75" hidden="1">
      <c r="A3984" s="109"/>
      <c r="B3984" s="109"/>
      <c r="C3984" s="109"/>
      <c r="D3984" s="109"/>
      <c r="E3984" s="109"/>
      <c r="F3984" s="109"/>
      <c r="G3984" s="109"/>
      <c r="H3984" s="109"/>
      <c r="I3984" s="109"/>
      <c r="J3984" s="109"/>
      <c r="L3984" s="109"/>
      <c r="M3984" s="109"/>
      <c r="N3984" s="109"/>
      <c r="Q3984" s="121"/>
      <c r="W3984" s="109"/>
    </row>
    <row r="3985" spans="1:23" ht="12.75" hidden="1">
      <c r="A3985" s="109"/>
      <c r="B3985" s="109"/>
      <c r="C3985" s="109"/>
      <c r="D3985" s="109"/>
      <c r="E3985" s="109"/>
      <c r="F3985" s="109"/>
      <c r="G3985" s="109"/>
      <c r="H3985" s="109"/>
      <c r="I3985" s="109"/>
      <c r="J3985" s="109"/>
      <c r="L3985" s="109"/>
      <c r="M3985" s="109"/>
      <c r="N3985" s="109"/>
      <c r="Q3985" s="121"/>
      <c r="W3985" s="109"/>
    </row>
    <row r="3986" spans="1:23" ht="12.75" hidden="1">
      <c r="A3986" s="109"/>
      <c r="B3986" s="109"/>
      <c r="C3986" s="109"/>
      <c r="D3986" s="109"/>
      <c r="E3986" s="109"/>
      <c r="F3986" s="109"/>
      <c r="G3986" s="109"/>
      <c r="H3986" s="109"/>
      <c r="I3986" s="109"/>
      <c r="J3986" s="109"/>
      <c r="L3986" s="109"/>
      <c r="M3986" s="109"/>
      <c r="N3986" s="109"/>
      <c r="Q3986" s="121"/>
      <c r="W3986" s="109"/>
    </row>
    <row r="3987" spans="1:23" ht="12.75" hidden="1">
      <c r="A3987" s="109"/>
      <c r="B3987" s="109"/>
      <c r="C3987" s="109"/>
      <c r="D3987" s="109"/>
      <c r="E3987" s="109"/>
      <c r="F3987" s="109"/>
      <c r="G3987" s="109"/>
      <c r="H3987" s="109"/>
      <c r="I3987" s="109"/>
      <c r="J3987" s="109"/>
      <c r="L3987" s="109"/>
      <c r="M3987" s="109"/>
      <c r="N3987" s="109"/>
      <c r="Q3987" s="121"/>
      <c r="W3987" s="109"/>
    </row>
    <row r="3988" spans="1:23" ht="12.75" hidden="1">
      <c r="A3988" s="109"/>
      <c r="B3988" s="109"/>
      <c r="C3988" s="109"/>
      <c r="D3988" s="109"/>
      <c r="E3988" s="109"/>
      <c r="F3988" s="109"/>
      <c r="G3988" s="109"/>
      <c r="H3988" s="109"/>
      <c r="I3988" s="109"/>
      <c r="J3988" s="109"/>
      <c r="L3988" s="109"/>
      <c r="M3988" s="109"/>
      <c r="N3988" s="109"/>
      <c r="Q3988" s="121"/>
      <c r="W3988" s="109"/>
    </row>
    <row r="3989" spans="1:23" ht="12.75" hidden="1">
      <c r="A3989" s="109"/>
      <c r="B3989" s="109"/>
      <c r="C3989" s="109"/>
      <c r="D3989" s="109"/>
      <c r="E3989" s="109"/>
      <c r="F3989" s="109"/>
      <c r="G3989" s="109"/>
      <c r="H3989" s="109"/>
      <c r="I3989" s="109"/>
      <c r="J3989" s="109"/>
      <c r="L3989" s="109"/>
      <c r="M3989" s="109"/>
      <c r="N3989" s="109"/>
      <c r="Q3989" s="121"/>
      <c r="W3989" s="109"/>
    </row>
    <row r="3990" spans="1:23" ht="12.75" hidden="1">
      <c r="A3990" s="109"/>
      <c r="B3990" s="109"/>
      <c r="C3990" s="109"/>
      <c r="D3990" s="109"/>
      <c r="E3990" s="109"/>
      <c r="F3990" s="109"/>
      <c r="G3990" s="109"/>
      <c r="H3990" s="109"/>
      <c r="I3990" s="109"/>
      <c r="J3990" s="109"/>
      <c r="L3990" s="109"/>
      <c r="M3990" s="109"/>
      <c r="N3990" s="109"/>
      <c r="Q3990" s="121"/>
      <c r="W3990" s="109"/>
    </row>
    <row r="3991" spans="1:23" ht="12.75" hidden="1">
      <c r="A3991" s="109"/>
      <c r="B3991" s="109"/>
      <c r="C3991" s="109"/>
      <c r="D3991" s="109"/>
      <c r="E3991" s="109"/>
      <c r="F3991" s="109"/>
      <c r="G3991" s="109"/>
      <c r="H3991" s="109"/>
      <c r="I3991" s="109"/>
      <c r="J3991" s="109"/>
      <c r="L3991" s="109"/>
      <c r="M3991" s="109"/>
      <c r="N3991" s="109"/>
      <c r="Q3991" s="121"/>
      <c r="W3991" s="109"/>
    </row>
    <row r="3992" spans="1:23" ht="12.75" hidden="1">
      <c r="A3992" s="109"/>
      <c r="B3992" s="109"/>
      <c r="C3992" s="109"/>
      <c r="D3992" s="109"/>
      <c r="E3992" s="109"/>
      <c r="F3992" s="109"/>
      <c r="G3992" s="109"/>
      <c r="H3992" s="109"/>
      <c r="I3992" s="109"/>
      <c r="J3992" s="109"/>
      <c r="L3992" s="109"/>
      <c r="M3992" s="109"/>
      <c r="N3992" s="109"/>
      <c r="Q3992" s="121"/>
      <c r="W3992" s="109"/>
    </row>
    <row r="3993" spans="1:23" ht="12.75" hidden="1">
      <c r="A3993" s="109"/>
      <c r="B3993" s="109"/>
      <c r="C3993" s="109"/>
      <c r="D3993" s="109"/>
      <c r="E3993" s="109"/>
      <c r="F3993" s="109"/>
      <c r="G3993" s="109"/>
      <c r="H3993" s="109"/>
      <c r="I3993" s="109"/>
      <c r="J3993" s="109"/>
      <c r="L3993" s="109"/>
      <c r="M3993" s="109"/>
      <c r="N3993" s="109"/>
      <c r="Q3993" s="121"/>
      <c r="W3993" s="109"/>
    </row>
    <row r="3994" spans="1:23" ht="12.75" hidden="1">
      <c r="A3994" s="109"/>
      <c r="B3994" s="109"/>
      <c r="C3994" s="109"/>
      <c r="D3994" s="109"/>
      <c r="E3994" s="109"/>
      <c r="F3994" s="109"/>
      <c r="G3994" s="109"/>
      <c r="H3994" s="109"/>
      <c r="I3994" s="109"/>
      <c r="J3994" s="109"/>
      <c r="L3994" s="109"/>
      <c r="M3994" s="109"/>
      <c r="N3994" s="109"/>
      <c r="Q3994" s="121"/>
      <c r="W3994" s="109"/>
    </row>
    <row r="3995" spans="1:23" ht="12.75" hidden="1">
      <c r="A3995" s="109"/>
      <c r="B3995" s="109"/>
      <c r="C3995" s="109"/>
      <c r="D3995" s="109"/>
      <c r="E3995" s="109"/>
      <c r="F3995" s="109"/>
      <c r="G3995" s="109"/>
      <c r="H3995" s="109"/>
      <c r="I3995" s="109"/>
      <c r="J3995" s="109"/>
      <c r="L3995" s="109"/>
      <c r="M3995" s="109"/>
      <c r="N3995" s="109"/>
      <c r="Q3995" s="121"/>
      <c r="W3995" s="109"/>
    </row>
    <row r="3996" spans="1:23" ht="12.75" hidden="1">
      <c r="A3996" s="109"/>
      <c r="B3996" s="109"/>
      <c r="C3996" s="109"/>
      <c r="D3996" s="109"/>
      <c r="E3996" s="109"/>
      <c r="F3996" s="109"/>
      <c r="G3996" s="109"/>
      <c r="H3996" s="109"/>
      <c r="I3996" s="109"/>
      <c r="J3996" s="109"/>
      <c r="L3996" s="109"/>
      <c r="M3996" s="109"/>
      <c r="N3996" s="109"/>
      <c r="Q3996" s="121"/>
      <c r="W3996" s="109"/>
    </row>
    <row r="3997" spans="1:23" ht="12.75" hidden="1">
      <c r="A3997" s="109"/>
      <c r="B3997" s="109"/>
      <c r="C3997" s="109"/>
      <c r="D3997" s="109"/>
      <c r="E3997" s="109"/>
      <c r="F3997" s="109"/>
      <c r="G3997" s="109"/>
      <c r="H3997" s="109"/>
      <c r="I3997" s="109"/>
      <c r="J3997" s="109"/>
      <c r="L3997" s="109"/>
      <c r="M3997" s="109"/>
      <c r="N3997" s="109"/>
      <c r="Q3997" s="121"/>
      <c r="W3997" s="109"/>
    </row>
    <row r="3998" spans="1:23" ht="12.75" hidden="1">
      <c r="A3998" s="109"/>
      <c r="B3998" s="109"/>
      <c r="C3998" s="109"/>
      <c r="D3998" s="109"/>
      <c r="E3998" s="109"/>
      <c r="F3998" s="109"/>
      <c r="G3998" s="109"/>
      <c r="H3998" s="109"/>
      <c r="I3998" s="109"/>
      <c r="J3998" s="109"/>
      <c r="L3998" s="109"/>
      <c r="M3998" s="109"/>
      <c r="N3998" s="109"/>
      <c r="Q3998" s="121"/>
      <c r="W3998" s="109"/>
    </row>
    <row r="3999" spans="1:23" ht="12.75" hidden="1">
      <c r="A3999" s="109"/>
      <c r="B3999" s="109"/>
      <c r="C3999" s="109"/>
      <c r="D3999" s="109"/>
      <c r="E3999" s="109"/>
      <c r="F3999" s="109"/>
      <c r="G3999" s="109"/>
      <c r="H3999" s="109"/>
      <c r="I3999" s="109"/>
      <c r="J3999" s="109"/>
      <c r="L3999" s="109"/>
      <c r="M3999" s="109"/>
      <c r="N3999" s="109"/>
      <c r="Q3999" s="121"/>
      <c r="W3999" s="109"/>
    </row>
    <row r="4000" spans="1:23" ht="12.75" hidden="1">
      <c r="A4000" s="109"/>
      <c r="B4000" s="109"/>
      <c r="C4000" s="109"/>
      <c r="D4000" s="109"/>
      <c r="E4000" s="109"/>
      <c r="F4000" s="109"/>
      <c r="G4000" s="109"/>
      <c r="H4000" s="109"/>
      <c r="I4000" s="109"/>
      <c r="J4000" s="109"/>
      <c r="L4000" s="109"/>
      <c r="M4000" s="109"/>
      <c r="N4000" s="109"/>
      <c r="Q4000" s="121"/>
      <c r="W4000" s="109"/>
    </row>
    <row r="4001" spans="1:23" ht="12.75" hidden="1">
      <c r="A4001" s="109"/>
      <c r="B4001" s="109"/>
      <c r="C4001" s="109"/>
      <c r="D4001" s="109"/>
      <c r="E4001" s="109"/>
      <c r="F4001" s="109"/>
      <c r="G4001" s="109"/>
      <c r="H4001" s="109"/>
      <c r="I4001" s="109"/>
      <c r="J4001" s="109"/>
      <c r="L4001" s="109"/>
      <c r="M4001" s="109"/>
      <c r="N4001" s="109"/>
      <c r="Q4001" s="121"/>
      <c r="W4001" s="109"/>
    </row>
    <row r="4002" spans="1:23" ht="12.75" hidden="1">
      <c r="A4002" s="109"/>
      <c r="B4002" s="109"/>
      <c r="C4002" s="109"/>
      <c r="D4002" s="109"/>
      <c r="E4002" s="109"/>
      <c r="F4002" s="109"/>
      <c r="G4002" s="109"/>
      <c r="H4002" s="109"/>
      <c r="I4002" s="109"/>
      <c r="J4002" s="109"/>
      <c r="L4002" s="109"/>
      <c r="M4002" s="109"/>
      <c r="N4002" s="109"/>
      <c r="Q4002" s="121"/>
      <c r="W4002" s="109"/>
    </row>
    <row r="4003" spans="1:23" ht="12.75" hidden="1">
      <c r="A4003" s="109"/>
      <c r="B4003" s="109"/>
      <c r="C4003" s="109"/>
      <c r="D4003" s="109"/>
      <c r="E4003" s="109"/>
      <c r="F4003" s="109"/>
      <c r="G4003" s="109"/>
      <c r="H4003" s="109"/>
      <c r="I4003" s="109"/>
      <c r="J4003" s="109"/>
      <c r="L4003" s="109"/>
      <c r="M4003" s="109"/>
      <c r="N4003" s="109"/>
      <c r="Q4003" s="121"/>
      <c r="W4003" s="109"/>
    </row>
    <row r="4004" spans="1:23" ht="12.75" hidden="1">
      <c r="A4004" s="109"/>
      <c r="B4004" s="109"/>
      <c r="C4004" s="109"/>
      <c r="D4004" s="109"/>
      <c r="E4004" s="109"/>
      <c r="F4004" s="109"/>
      <c r="G4004" s="109"/>
      <c r="H4004" s="109"/>
      <c r="I4004" s="109"/>
      <c r="J4004" s="109"/>
      <c r="L4004" s="109"/>
      <c r="M4004" s="109"/>
      <c r="N4004" s="109"/>
      <c r="Q4004" s="121"/>
      <c r="W4004" s="109"/>
    </row>
    <row r="4005" spans="1:23" ht="12.75" hidden="1">
      <c r="A4005" s="109"/>
      <c r="B4005" s="109"/>
      <c r="C4005" s="109"/>
      <c r="D4005" s="109"/>
      <c r="E4005" s="109"/>
      <c r="F4005" s="109"/>
      <c r="G4005" s="109"/>
      <c r="H4005" s="109"/>
      <c r="I4005" s="109"/>
      <c r="J4005" s="109"/>
      <c r="L4005" s="109"/>
      <c r="M4005" s="109"/>
      <c r="N4005" s="109"/>
      <c r="Q4005" s="121"/>
      <c r="W4005" s="109"/>
    </row>
    <row r="4006" spans="1:23" ht="12.75" hidden="1">
      <c r="A4006" s="109"/>
      <c r="B4006" s="109"/>
      <c r="C4006" s="109"/>
      <c r="D4006" s="109"/>
      <c r="E4006" s="109"/>
      <c r="F4006" s="109"/>
      <c r="G4006" s="109"/>
      <c r="H4006" s="109"/>
      <c r="I4006" s="109"/>
      <c r="J4006" s="109"/>
      <c r="L4006" s="109"/>
      <c r="M4006" s="109"/>
      <c r="N4006" s="109"/>
      <c r="Q4006" s="121"/>
      <c r="W4006" s="109"/>
    </row>
    <row r="4007" spans="1:23" ht="12.75" hidden="1">
      <c r="A4007" s="109"/>
      <c r="B4007" s="109"/>
      <c r="C4007" s="109"/>
      <c r="D4007" s="109"/>
      <c r="E4007" s="109"/>
      <c r="F4007" s="109"/>
      <c r="G4007" s="109"/>
      <c r="H4007" s="109"/>
      <c r="I4007" s="109"/>
      <c r="J4007" s="109"/>
      <c r="L4007" s="109"/>
      <c r="M4007" s="109"/>
      <c r="N4007" s="109"/>
      <c r="Q4007" s="121"/>
      <c r="W4007" s="109"/>
    </row>
    <row r="4008" spans="1:23" ht="12.75" hidden="1">
      <c r="A4008" s="109"/>
      <c r="B4008" s="109"/>
      <c r="C4008" s="109"/>
      <c r="D4008" s="109"/>
      <c r="E4008" s="109"/>
      <c r="F4008" s="109"/>
      <c r="G4008" s="109"/>
      <c r="H4008" s="109"/>
      <c r="I4008" s="109"/>
      <c r="J4008" s="109"/>
      <c r="L4008" s="109"/>
      <c r="M4008" s="109"/>
      <c r="N4008" s="109"/>
      <c r="Q4008" s="121"/>
      <c r="W4008" s="109"/>
    </row>
    <row r="4009" spans="1:23" ht="12.75" hidden="1">
      <c r="A4009" s="109"/>
      <c r="B4009" s="109"/>
      <c r="C4009" s="109"/>
      <c r="D4009" s="109"/>
      <c r="E4009" s="109"/>
      <c r="F4009" s="109"/>
      <c r="G4009" s="109"/>
      <c r="H4009" s="109"/>
      <c r="I4009" s="109"/>
      <c r="J4009" s="109"/>
      <c r="L4009" s="109"/>
      <c r="M4009" s="109"/>
      <c r="N4009" s="109"/>
      <c r="Q4009" s="121"/>
      <c r="W4009" s="109"/>
    </row>
    <row r="4010" spans="1:23" ht="12.75" hidden="1">
      <c r="A4010" s="109"/>
      <c r="B4010" s="109"/>
      <c r="C4010" s="109"/>
      <c r="D4010" s="109"/>
      <c r="E4010" s="109"/>
      <c r="F4010" s="109"/>
      <c r="G4010" s="109"/>
      <c r="H4010" s="109"/>
      <c r="I4010" s="109"/>
      <c r="J4010" s="109"/>
      <c r="L4010" s="109"/>
      <c r="M4010" s="109"/>
      <c r="N4010" s="109"/>
      <c r="Q4010" s="121"/>
      <c r="W4010" s="109"/>
    </row>
    <row r="4011" spans="1:23" ht="12.75" hidden="1">
      <c r="A4011" s="109"/>
      <c r="B4011" s="109"/>
      <c r="C4011" s="109"/>
      <c r="D4011" s="109"/>
      <c r="E4011" s="109"/>
      <c r="F4011" s="109"/>
      <c r="G4011" s="109"/>
      <c r="H4011" s="109"/>
      <c r="I4011" s="109"/>
      <c r="J4011" s="109"/>
      <c r="L4011" s="109"/>
      <c r="M4011" s="109"/>
      <c r="N4011" s="109"/>
      <c r="Q4011" s="121"/>
      <c r="W4011" s="109"/>
    </row>
    <row r="4012" spans="1:23" ht="12.75" hidden="1">
      <c r="A4012" s="109"/>
      <c r="B4012" s="109"/>
      <c r="C4012" s="109"/>
      <c r="D4012" s="109"/>
      <c r="E4012" s="109"/>
      <c r="F4012" s="109"/>
      <c r="G4012" s="109"/>
      <c r="H4012" s="109"/>
      <c r="I4012" s="109"/>
      <c r="J4012" s="109"/>
      <c r="L4012" s="109"/>
      <c r="M4012" s="109"/>
      <c r="N4012" s="109"/>
      <c r="Q4012" s="121"/>
      <c r="W4012" s="109"/>
    </row>
    <row r="4013" spans="1:23" ht="12.75" hidden="1">
      <c r="A4013" s="109"/>
      <c r="B4013" s="109"/>
      <c r="C4013" s="109"/>
      <c r="D4013" s="109"/>
      <c r="E4013" s="109"/>
      <c r="F4013" s="109"/>
      <c r="G4013" s="109"/>
      <c r="H4013" s="109"/>
      <c r="I4013" s="109"/>
      <c r="J4013" s="109"/>
      <c r="L4013" s="109"/>
      <c r="M4013" s="109"/>
      <c r="N4013" s="109"/>
      <c r="Q4013" s="121"/>
      <c r="W4013" s="109"/>
    </row>
    <row r="4014" spans="1:23" ht="12.75" hidden="1">
      <c r="A4014" s="109"/>
      <c r="B4014" s="109"/>
      <c r="C4014" s="109"/>
      <c r="D4014" s="109"/>
      <c r="E4014" s="109"/>
      <c r="F4014" s="109"/>
      <c r="G4014" s="109"/>
      <c r="H4014" s="109"/>
      <c r="I4014" s="109"/>
      <c r="J4014" s="109"/>
      <c r="L4014" s="109"/>
      <c r="M4014" s="109"/>
      <c r="N4014" s="109"/>
      <c r="Q4014" s="121"/>
      <c r="W4014" s="109"/>
    </row>
    <row r="4015" spans="1:23" ht="12.75" hidden="1">
      <c r="A4015" s="109"/>
      <c r="B4015" s="109"/>
      <c r="C4015" s="109"/>
      <c r="D4015" s="109"/>
      <c r="E4015" s="109"/>
      <c r="F4015" s="109"/>
      <c r="G4015" s="109"/>
      <c r="H4015" s="109"/>
      <c r="I4015" s="109"/>
      <c r="J4015" s="109"/>
      <c r="L4015" s="109"/>
      <c r="M4015" s="109"/>
      <c r="N4015" s="109"/>
      <c r="Q4015" s="121"/>
      <c r="W4015" s="109"/>
    </row>
    <row r="4016" spans="1:23" ht="12.75" hidden="1">
      <c r="A4016" s="109"/>
      <c r="B4016" s="109"/>
      <c r="C4016" s="109"/>
      <c r="D4016" s="109"/>
      <c r="E4016" s="109"/>
      <c r="F4016" s="109"/>
      <c r="G4016" s="109"/>
      <c r="H4016" s="109"/>
      <c r="I4016" s="109"/>
      <c r="J4016" s="109"/>
      <c r="L4016" s="109"/>
      <c r="M4016" s="109"/>
      <c r="N4016" s="109"/>
      <c r="Q4016" s="121"/>
      <c r="W4016" s="109"/>
    </row>
    <row r="4017" spans="1:23" ht="12.75" hidden="1">
      <c r="A4017" s="109"/>
      <c r="B4017" s="109"/>
      <c r="C4017" s="109"/>
      <c r="D4017" s="109"/>
      <c r="E4017" s="109"/>
      <c r="F4017" s="109"/>
      <c r="G4017" s="109"/>
      <c r="H4017" s="109"/>
      <c r="I4017" s="109"/>
      <c r="J4017" s="109"/>
      <c r="L4017" s="109"/>
      <c r="M4017" s="109"/>
      <c r="N4017" s="109"/>
      <c r="Q4017" s="121"/>
      <c r="W4017" s="109"/>
    </row>
    <row r="4018" spans="1:23" ht="12.75" hidden="1">
      <c r="A4018" s="109"/>
      <c r="B4018" s="109"/>
      <c r="C4018" s="109"/>
      <c r="D4018" s="109"/>
      <c r="E4018" s="109"/>
      <c r="F4018" s="109"/>
      <c r="G4018" s="109"/>
      <c r="H4018" s="109"/>
      <c r="I4018" s="109"/>
      <c r="J4018" s="109"/>
      <c r="L4018" s="109"/>
      <c r="M4018" s="109"/>
      <c r="N4018" s="109"/>
      <c r="Q4018" s="121"/>
      <c r="W4018" s="109"/>
    </row>
    <row r="4019" spans="1:23" ht="12.75" hidden="1">
      <c r="A4019" s="109"/>
      <c r="B4019" s="109"/>
      <c r="C4019" s="109"/>
      <c r="D4019" s="109"/>
      <c r="E4019" s="109"/>
      <c r="F4019" s="109"/>
      <c r="G4019" s="109"/>
      <c r="H4019" s="109"/>
      <c r="I4019" s="109"/>
      <c r="J4019" s="109"/>
      <c r="L4019" s="109"/>
      <c r="M4019" s="109"/>
      <c r="N4019" s="109"/>
      <c r="Q4019" s="121"/>
      <c r="W4019" s="109"/>
    </row>
    <row r="4020" spans="1:23" ht="12.75" hidden="1">
      <c r="A4020" s="109"/>
      <c r="B4020" s="109"/>
      <c r="C4020" s="109"/>
      <c r="D4020" s="109"/>
      <c r="E4020" s="109"/>
      <c r="F4020" s="109"/>
      <c r="G4020" s="109"/>
      <c r="H4020" s="109"/>
      <c r="I4020" s="109"/>
      <c r="J4020" s="109"/>
      <c r="L4020" s="109"/>
      <c r="M4020" s="109"/>
      <c r="N4020" s="109"/>
      <c r="Q4020" s="121"/>
      <c r="W4020" s="109"/>
    </row>
    <row r="4021" spans="1:23" ht="12.75" hidden="1">
      <c r="A4021" s="109"/>
      <c r="B4021" s="109"/>
      <c r="C4021" s="109"/>
      <c r="D4021" s="109"/>
      <c r="E4021" s="109"/>
      <c r="F4021" s="109"/>
      <c r="G4021" s="109"/>
      <c r="H4021" s="109"/>
      <c r="I4021" s="109"/>
      <c r="J4021" s="109"/>
      <c r="L4021" s="109"/>
      <c r="M4021" s="109"/>
      <c r="N4021" s="109"/>
      <c r="Q4021" s="121"/>
      <c r="W4021" s="109"/>
    </row>
    <row r="4022" spans="1:23" ht="12.75" hidden="1">
      <c r="A4022" s="109"/>
      <c r="B4022" s="109"/>
      <c r="C4022" s="109"/>
      <c r="D4022" s="109"/>
      <c r="E4022" s="109"/>
      <c r="F4022" s="109"/>
      <c r="G4022" s="109"/>
      <c r="H4022" s="109"/>
      <c r="I4022" s="109"/>
      <c r="J4022" s="109"/>
      <c r="L4022" s="109"/>
      <c r="M4022" s="109"/>
      <c r="N4022" s="109"/>
      <c r="Q4022" s="121"/>
      <c r="W4022" s="109"/>
    </row>
    <row r="4023" spans="1:23" ht="12.75" hidden="1">
      <c r="A4023" s="109"/>
      <c r="B4023" s="109"/>
      <c r="C4023" s="109"/>
      <c r="D4023" s="109"/>
      <c r="E4023" s="109"/>
      <c r="F4023" s="109"/>
      <c r="G4023" s="109"/>
      <c r="H4023" s="109"/>
      <c r="I4023" s="109"/>
      <c r="J4023" s="109"/>
      <c r="L4023" s="109"/>
      <c r="M4023" s="109"/>
      <c r="N4023" s="109"/>
      <c r="Q4023" s="121"/>
      <c r="W4023" s="109"/>
    </row>
    <row r="4024" spans="1:23" ht="12.75" hidden="1">
      <c r="A4024" s="109"/>
      <c r="B4024" s="109"/>
      <c r="C4024" s="109"/>
      <c r="D4024" s="109"/>
      <c r="E4024" s="109"/>
      <c r="F4024" s="109"/>
      <c r="G4024" s="109"/>
      <c r="H4024" s="109"/>
      <c r="I4024" s="109"/>
      <c r="J4024" s="109"/>
      <c r="L4024" s="109"/>
      <c r="M4024" s="109"/>
      <c r="N4024" s="109"/>
      <c r="Q4024" s="121"/>
      <c r="W4024" s="109"/>
    </row>
    <row r="4025" spans="1:23" ht="12.75" hidden="1">
      <c r="A4025" s="109"/>
      <c r="B4025" s="109"/>
      <c r="C4025" s="109"/>
      <c r="D4025" s="109"/>
      <c r="E4025" s="109"/>
      <c r="F4025" s="109"/>
      <c r="G4025" s="109"/>
      <c r="H4025" s="109"/>
      <c r="I4025" s="109"/>
      <c r="J4025" s="109"/>
      <c r="L4025" s="109"/>
      <c r="M4025" s="109"/>
      <c r="N4025" s="109"/>
      <c r="Q4025" s="121"/>
      <c r="W4025" s="109"/>
    </row>
    <row r="4026" spans="1:23" ht="12.75" hidden="1">
      <c r="A4026" s="109"/>
      <c r="B4026" s="109"/>
      <c r="C4026" s="109"/>
      <c r="D4026" s="109"/>
      <c r="E4026" s="109"/>
      <c r="F4026" s="109"/>
      <c r="G4026" s="109"/>
      <c r="H4026" s="109"/>
      <c r="I4026" s="109"/>
      <c r="J4026" s="109"/>
      <c r="L4026" s="109"/>
      <c r="M4026" s="109"/>
      <c r="N4026" s="109"/>
      <c r="Q4026" s="121"/>
      <c r="W4026" s="109"/>
    </row>
    <row r="4027" spans="1:23" ht="12.75" hidden="1">
      <c r="A4027" s="109"/>
      <c r="B4027" s="109"/>
      <c r="C4027" s="109"/>
      <c r="D4027" s="109"/>
      <c r="E4027" s="109"/>
      <c r="F4027" s="109"/>
      <c r="G4027" s="109"/>
      <c r="H4027" s="109"/>
      <c r="I4027" s="109"/>
      <c r="J4027" s="109"/>
      <c r="L4027" s="109"/>
      <c r="M4027" s="109"/>
      <c r="N4027" s="109"/>
      <c r="Q4027" s="121"/>
      <c r="W4027" s="109"/>
    </row>
    <row r="4028" spans="1:23" ht="12.75" hidden="1">
      <c r="A4028" s="109"/>
      <c r="B4028" s="109"/>
      <c r="C4028" s="109"/>
      <c r="D4028" s="109"/>
      <c r="E4028" s="109"/>
      <c r="F4028" s="109"/>
      <c r="G4028" s="109"/>
      <c r="H4028" s="109"/>
      <c r="I4028" s="109"/>
      <c r="J4028" s="109"/>
      <c r="L4028" s="109"/>
      <c r="M4028" s="109"/>
      <c r="N4028" s="109"/>
      <c r="Q4028" s="121"/>
      <c r="W4028" s="109"/>
    </row>
    <row r="4029" spans="1:23" ht="12.75" hidden="1">
      <c r="A4029" s="109"/>
      <c r="B4029" s="109"/>
      <c r="C4029" s="109"/>
      <c r="D4029" s="109"/>
      <c r="E4029" s="109"/>
      <c r="F4029" s="109"/>
      <c r="G4029" s="109"/>
      <c r="H4029" s="109"/>
      <c r="I4029" s="109"/>
      <c r="J4029" s="109"/>
      <c r="L4029" s="109"/>
      <c r="M4029" s="109"/>
      <c r="N4029" s="109"/>
      <c r="Q4029" s="121"/>
      <c r="W4029" s="109"/>
    </row>
    <row r="4030" spans="1:23" ht="12.75" hidden="1">
      <c r="A4030" s="109"/>
      <c r="B4030" s="109"/>
      <c r="C4030" s="109"/>
      <c r="D4030" s="109"/>
      <c r="E4030" s="109"/>
      <c r="F4030" s="109"/>
      <c r="G4030" s="109"/>
      <c r="H4030" s="109"/>
      <c r="I4030" s="109"/>
      <c r="J4030" s="109"/>
      <c r="L4030" s="109"/>
      <c r="M4030" s="109"/>
      <c r="N4030" s="109"/>
      <c r="Q4030" s="121"/>
      <c r="W4030" s="109"/>
    </row>
    <row r="4031" spans="1:23" ht="12.75" hidden="1">
      <c r="A4031" s="109"/>
      <c r="B4031" s="109"/>
      <c r="C4031" s="109"/>
      <c r="D4031" s="109"/>
      <c r="E4031" s="109"/>
      <c r="F4031" s="109"/>
      <c r="G4031" s="109"/>
      <c r="H4031" s="109"/>
      <c r="I4031" s="109"/>
      <c r="J4031" s="109"/>
      <c r="L4031" s="109"/>
      <c r="M4031" s="109"/>
      <c r="N4031" s="109"/>
      <c r="Q4031" s="121"/>
      <c r="W4031" s="109"/>
    </row>
    <row r="4032" spans="1:23" ht="12.75" hidden="1">
      <c r="A4032" s="109"/>
      <c r="B4032" s="109"/>
      <c r="C4032" s="109"/>
      <c r="D4032" s="109"/>
      <c r="E4032" s="109"/>
      <c r="F4032" s="109"/>
      <c r="G4032" s="109"/>
      <c r="H4032" s="109"/>
      <c r="I4032" s="109"/>
      <c r="J4032" s="109"/>
      <c r="L4032" s="109"/>
      <c r="M4032" s="109"/>
      <c r="N4032" s="109"/>
      <c r="Q4032" s="121"/>
      <c r="W4032" s="109"/>
    </row>
    <row r="4033" spans="1:23" ht="12.75" hidden="1">
      <c r="A4033" s="109"/>
      <c r="B4033" s="109"/>
      <c r="C4033" s="109"/>
      <c r="D4033" s="109"/>
      <c r="E4033" s="109"/>
      <c r="F4033" s="109"/>
      <c r="G4033" s="109"/>
      <c r="H4033" s="109"/>
      <c r="I4033" s="109"/>
      <c r="J4033" s="109"/>
      <c r="L4033" s="109"/>
      <c r="M4033" s="109"/>
      <c r="N4033" s="109"/>
      <c r="Q4033" s="121"/>
      <c r="W4033" s="109"/>
    </row>
    <row r="4034" spans="1:23" ht="12.75" hidden="1">
      <c r="A4034" s="109"/>
      <c r="B4034" s="109"/>
      <c r="C4034" s="109"/>
      <c r="D4034" s="109"/>
      <c r="E4034" s="109"/>
      <c r="F4034" s="109"/>
      <c r="G4034" s="109"/>
      <c r="H4034" s="109"/>
      <c r="I4034" s="109"/>
      <c r="J4034" s="109"/>
      <c r="L4034" s="109"/>
      <c r="M4034" s="109"/>
      <c r="N4034" s="109"/>
      <c r="Q4034" s="121"/>
      <c r="W4034" s="109"/>
    </row>
    <row r="4035" spans="1:23" ht="12.75" hidden="1">
      <c r="A4035" s="109"/>
      <c r="B4035" s="109"/>
      <c r="C4035" s="109"/>
      <c r="D4035" s="109"/>
      <c r="E4035" s="109"/>
      <c r="F4035" s="109"/>
      <c r="G4035" s="109"/>
      <c r="H4035" s="109"/>
      <c r="I4035" s="109"/>
      <c r="J4035" s="109"/>
      <c r="L4035" s="109"/>
      <c r="M4035" s="109"/>
      <c r="N4035" s="109"/>
      <c r="Q4035" s="121"/>
      <c r="W4035" s="109"/>
    </row>
    <row r="4036" spans="1:23" ht="12.75" hidden="1">
      <c r="A4036" s="109"/>
      <c r="B4036" s="109"/>
      <c r="C4036" s="109"/>
      <c r="D4036" s="109"/>
      <c r="E4036" s="109"/>
      <c r="F4036" s="109"/>
      <c r="G4036" s="109"/>
      <c r="H4036" s="109"/>
      <c r="I4036" s="109"/>
      <c r="J4036" s="109"/>
      <c r="L4036" s="109"/>
      <c r="M4036" s="109"/>
      <c r="N4036" s="109"/>
      <c r="Q4036" s="121"/>
      <c r="W4036" s="109"/>
    </row>
    <row r="4037" spans="1:23" ht="12.75" hidden="1">
      <c r="A4037" s="109"/>
      <c r="B4037" s="109"/>
      <c r="C4037" s="109"/>
      <c r="D4037" s="109"/>
      <c r="E4037" s="109"/>
      <c r="F4037" s="109"/>
      <c r="G4037" s="109"/>
      <c r="H4037" s="109"/>
      <c r="I4037" s="109"/>
      <c r="J4037" s="109"/>
      <c r="L4037" s="109"/>
      <c r="M4037" s="109"/>
      <c r="N4037" s="109"/>
      <c r="Q4037" s="121"/>
      <c r="W4037" s="109"/>
    </row>
    <row r="4038" spans="1:23" ht="12.75" hidden="1">
      <c r="A4038" s="109"/>
      <c r="B4038" s="109"/>
      <c r="C4038" s="109"/>
      <c r="D4038" s="109"/>
      <c r="E4038" s="109"/>
      <c r="F4038" s="109"/>
      <c r="G4038" s="109"/>
      <c r="H4038" s="109"/>
      <c r="I4038" s="109"/>
      <c r="J4038" s="109"/>
      <c r="L4038" s="109"/>
      <c r="M4038" s="109"/>
      <c r="N4038" s="109"/>
      <c r="Q4038" s="121"/>
      <c r="W4038" s="109"/>
    </row>
    <row r="4039" spans="1:23" ht="12.75" hidden="1">
      <c r="A4039" s="109"/>
      <c r="B4039" s="109"/>
      <c r="C4039" s="109"/>
      <c r="D4039" s="109"/>
      <c r="E4039" s="109"/>
      <c r="F4039" s="109"/>
      <c r="G4039" s="109"/>
      <c r="H4039" s="109"/>
      <c r="I4039" s="109"/>
      <c r="J4039" s="109"/>
      <c r="L4039" s="109"/>
      <c r="M4039" s="109"/>
      <c r="N4039" s="109"/>
      <c r="Q4039" s="121"/>
      <c r="W4039" s="109"/>
    </row>
    <row r="4040" spans="1:23" ht="12.75" hidden="1">
      <c r="A4040" s="109"/>
      <c r="B4040" s="109"/>
      <c r="C4040" s="109"/>
      <c r="D4040" s="109"/>
      <c r="E4040" s="109"/>
      <c r="F4040" s="109"/>
      <c r="G4040" s="109"/>
      <c r="H4040" s="109"/>
      <c r="I4040" s="109"/>
      <c r="J4040" s="109"/>
      <c r="L4040" s="109"/>
      <c r="M4040" s="109"/>
      <c r="N4040" s="109"/>
      <c r="Q4040" s="121"/>
      <c r="W4040" s="109"/>
    </row>
    <row r="4041" spans="1:23" ht="12.75" hidden="1">
      <c r="A4041" s="109"/>
      <c r="B4041" s="109"/>
      <c r="C4041" s="109"/>
      <c r="D4041" s="109"/>
      <c r="E4041" s="109"/>
      <c r="F4041" s="109"/>
      <c r="G4041" s="109"/>
      <c r="H4041" s="109"/>
      <c r="I4041" s="109"/>
      <c r="J4041" s="109"/>
      <c r="L4041" s="109"/>
      <c r="M4041" s="109"/>
      <c r="N4041" s="109"/>
      <c r="Q4041" s="121"/>
      <c r="W4041" s="109"/>
    </row>
    <row r="4042" spans="1:23" ht="12.75" hidden="1">
      <c r="A4042" s="109"/>
      <c r="B4042" s="109"/>
      <c r="C4042" s="109"/>
      <c r="D4042" s="109"/>
      <c r="E4042" s="109"/>
      <c r="F4042" s="109"/>
      <c r="G4042" s="109"/>
      <c r="H4042" s="109"/>
      <c r="I4042" s="109"/>
      <c r="J4042" s="109"/>
      <c r="L4042" s="109"/>
      <c r="M4042" s="109"/>
      <c r="N4042" s="109"/>
      <c r="Q4042" s="121"/>
      <c r="W4042" s="109"/>
    </row>
    <row r="4043" spans="1:23" ht="12.75" hidden="1">
      <c r="A4043" s="109"/>
      <c r="B4043" s="109"/>
      <c r="C4043" s="109"/>
      <c r="D4043" s="109"/>
      <c r="E4043" s="109"/>
      <c r="F4043" s="109"/>
      <c r="G4043" s="109"/>
      <c r="H4043" s="109"/>
      <c r="I4043" s="109"/>
      <c r="J4043" s="109"/>
      <c r="L4043" s="109"/>
      <c r="M4043" s="109"/>
      <c r="N4043" s="109"/>
      <c r="Q4043" s="121"/>
      <c r="W4043" s="109"/>
    </row>
    <row r="4044" spans="1:23" ht="12.75" hidden="1">
      <c r="A4044" s="109"/>
      <c r="B4044" s="109"/>
      <c r="C4044" s="109"/>
      <c r="D4044" s="109"/>
      <c r="E4044" s="109"/>
      <c r="F4044" s="109"/>
      <c r="G4044" s="109"/>
      <c r="H4044" s="109"/>
      <c r="I4044" s="109"/>
      <c r="J4044" s="109"/>
      <c r="L4044" s="109"/>
      <c r="M4044" s="109"/>
      <c r="N4044" s="109"/>
      <c r="Q4044" s="121"/>
      <c r="W4044" s="109"/>
    </row>
    <row r="4045" spans="1:23" ht="12.75" hidden="1">
      <c r="A4045" s="109"/>
      <c r="B4045" s="109"/>
      <c r="C4045" s="109"/>
      <c r="D4045" s="109"/>
      <c r="E4045" s="109"/>
      <c r="F4045" s="109"/>
      <c r="G4045" s="109"/>
      <c r="H4045" s="109"/>
      <c r="I4045" s="109"/>
      <c r="J4045" s="109"/>
      <c r="L4045" s="109"/>
      <c r="M4045" s="109"/>
      <c r="N4045" s="109"/>
      <c r="Q4045" s="121"/>
      <c r="W4045" s="109"/>
    </row>
    <row r="4046" spans="1:23" ht="12.75" hidden="1">
      <c r="A4046" s="109"/>
      <c r="B4046" s="109"/>
      <c r="C4046" s="109"/>
      <c r="D4046" s="109"/>
      <c r="E4046" s="109"/>
      <c r="F4046" s="109"/>
      <c r="G4046" s="109"/>
      <c r="H4046" s="109"/>
      <c r="I4046" s="109"/>
      <c r="J4046" s="109"/>
      <c r="L4046" s="109"/>
      <c r="M4046" s="109"/>
      <c r="N4046" s="109"/>
      <c r="Q4046" s="121"/>
      <c r="W4046" s="109"/>
    </row>
    <row r="4047" spans="1:23" ht="12.75" hidden="1">
      <c r="A4047" s="109"/>
      <c r="B4047" s="109"/>
      <c r="C4047" s="109"/>
      <c r="D4047" s="109"/>
      <c r="E4047" s="109"/>
      <c r="F4047" s="109"/>
      <c r="G4047" s="109"/>
      <c r="H4047" s="109"/>
      <c r="I4047" s="109"/>
      <c r="J4047" s="109"/>
      <c r="L4047" s="109"/>
      <c r="M4047" s="109"/>
      <c r="N4047" s="109"/>
      <c r="Q4047" s="121"/>
      <c r="W4047" s="109"/>
    </row>
    <row r="4048" spans="1:23" ht="12.75" hidden="1">
      <c r="A4048" s="109"/>
      <c r="B4048" s="109"/>
      <c r="C4048" s="109"/>
      <c r="D4048" s="109"/>
      <c r="E4048" s="109"/>
      <c r="F4048" s="109"/>
      <c r="G4048" s="109"/>
      <c r="H4048" s="109"/>
      <c r="I4048" s="109"/>
      <c r="J4048" s="109"/>
      <c r="L4048" s="109"/>
      <c r="M4048" s="109"/>
      <c r="N4048" s="109"/>
      <c r="Q4048" s="121"/>
      <c r="W4048" s="109"/>
    </row>
    <row r="4049" spans="1:23" ht="12.75" hidden="1">
      <c r="A4049" s="109"/>
      <c r="B4049" s="109"/>
      <c r="C4049" s="109"/>
      <c r="D4049" s="109"/>
      <c r="E4049" s="109"/>
      <c r="F4049" s="109"/>
      <c r="G4049" s="109"/>
      <c r="H4049" s="109"/>
      <c r="I4049" s="109"/>
      <c r="J4049" s="109"/>
      <c r="L4049" s="109"/>
      <c r="M4049" s="109"/>
      <c r="N4049" s="109"/>
      <c r="Q4049" s="121"/>
      <c r="W4049" s="109"/>
    </row>
    <row r="4050" spans="1:23" ht="12.75" hidden="1">
      <c r="A4050" s="109"/>
      <c r="B4050" s="109"/>
      <c r="C4050" s="109"/>
      <c r="D4050" s="109"/>
      <c r="E4050" s="109"/>
      <c r="F4050" s="109"/>
      <c r="G4050" s="109"/>
      <c r="H4050" s="109"/>
      <c r="I4050" s="109"/>
      <c r="J4050" s="109"/>
      <c r="L4050" s="109"/>
      <c r="M4050" s="109"/>
      <c r="N4050" s="109"/>
      <c r="Q4050" s="121"/>
      <c r="W4050" s="109"/>
    </row>
    <row r="4051" spans="1:23" ht="12.75" hidden="1">
      <c r="A4051" s="109"/>
      <c r="B4051" s="109"/>
      <c r="C4051" s="109"/>
      <c r="D4051" s="109"/>
      <c r="E4051" s="109"/>
      <c r="F4051" s="109"/>
      <c r="G4051" s="109"/>
      <c r="H4051" s="109"/>
      <c r="I4051" s="109"/>
      <c r="J4051" s="109"/>
      <c r="L4051" s="109"/>
      <c r="M4051" s="109"/>
      <c r="N4051" s="109"/>
      <c r="Q4051" s="121"/>
      <c r="W4051" s="109"/>
    </row>
    <row r="4052" spans="1:23" ht="12.75" hidden="1">
      <c r="A4052" s="109"/>
      <c r="B4052" s="109"/>
      <c r="C4052" s="109"/>
      <c r="D4052" s="109"/>
      <c r="E4052" s="109"/>
      <c r="F4052" s="109"/>
      <c r="G4052" s="109"/>
      <c r="H4052" s="109"/>
      <c r="I4052" s="109"/>
      <c r="J4052" s="109"/>
      <c r="L4052" s="109"/>
      <c r="M4052" s="109"/>
      <c r="N4052" s="109"/>
      <c r="Q4052" s="121"/>
      <c r="W4052" s="109"/>
    </row>
    <row r="4053" spans="1:23" ht="12.75" hidden="1">
      <c r="A4053" s="109"/>
      <c r="B4053" s="109"/>
      <c r="C4053" s="109"/>
      <c r="D4053" s="109"/>
      <c r="E4053" s="109"/>
      <c r="F4053" s="109"/>
      <c r="G4053" s="109"/>
      <c r="H4053" s="109"/>
      <c r="I4053" s="109"/>
      <c r="J4053" s="109"/>
      <c r="L4053" s="109"/>
      <c r="M4053" s="109"/>
      <c r="N4053" s="109"/>
      <c r="Q4053" s="121"/>
      <c r="W4053" s="109"/>
    </row>
    <row r="4054" spans="1:23" ht="12.75" hidden="1">
      <c r="A4054" s="109"/>
      <c r="B4054" s="109"/>
      <c r="C4054" s="109"/>
      <c r="D4054" s="109"/>
      <c r="E4054" s="109"/>
      <c r="F4054" s="109"/>
      <c r="G4054" s="109"/>
      <c r="H4054" s="109"/>
      <c r="I4054" s="109"/>
      <c r="J4054" s="109"/>
      <c r="L4054" s="109"/>
      <c r="M4054" s="109"/>
      <c r="N4054" s="109"/>
      <c r="Q4054" s="121"/>
      <c r="W4054" s="109"/>
    </row>
    <row r="4055" spans="1:23" ht="12.75" hidden="1">
      <c r="A4055" s="109"/>
      <c r="B4055" s="109"/>
      <c r="C4055" s="109"/>
      <c r="D4055" s="109"/>
      <c r="E4055" s="109"/>
      <c r="F4055" s="109"/>
      <c r="G4055" s="109"/>
      <c r="H4055" s="109"/>
      <c r="I4055" s="109"/>
      <c r="J4055" s="109"/>
      <c r="L4055" s="109"/>
      <c r="M4055" s="109"/>
      <c r="N4055" s="109"/>
      <c r="Q4055" s="121"/>
      <c r="W4055" s="109"/>
    </row>
    <row r="4056" spans="1:23" ht="12.75" hidden="1">
      <c r="A4056" s="109"/>
      <c r="B4056" s="109"/>
      <c r="C4056" s="109"/>
      <c r="D4056" s="109"/>
      <c r="E4056" s="109"/>
      <c r="F4056" s="109"/>
      <c r="G4056" s="109"/>
      <c r="H4056" s="109"/>
      <c r="I4056" s="109"/>
      <c r="J4056" s="109"/>
      <c r="L4056" s="109"/>
      <c r="M4056" s="109"/>
      <c r="N4056" s="109"/>
      <c r="Q4056" s="121"/>
      <c r="W4056" s="109"/>
    </row>
    <row r="4057" spans="1:23" ht="12.75" hidden="1">
      <c r="A4057" s="109"/>
      <c r="B4057" s="109"/>
      <c r="C4057" s="109"/>
      <c r="D4057" s="109"/>
      <c r="E4057" s="109"/>
      <c r="F4057" s="109"/>
      <c r="G4057" s="109"/>
      <c r="H4057" s="109"/>
      <c r="I4057" s="109"/>
      <c r="J4057" s="109"/>
      <c r="L4057" s="109"/>
      <c r="M4057" s="109"/>
      <c r="N4057" s="109"/>
      <c r="Q4057" s="121"/>
      <c r="W4057" s="109"/>
    </row>
    <row r="4058" spans="1:23" ht="12.75" hidden="1">
      <c r="A4058" s="109"/>
      <c r="B4058" s="109"/>
      <c r="C4058" s="109"/>
      <c r="D4058" s="109"/>
      <c r="E4058" s="109"/>
      <c r="F4058" s="109"/>
      <c r="G4058" s="109"/>
      <c r="H4058" s="109"/>
      <c r="I4058" s="109"/>
      <c r="J4058" s="109"/>
      <c r="L4058" s="109"/>
      <c r="M4058" s="109"/>
      <c r="N4058" s="109"/>
      <c r="Q4058" s="121"/>
      <c r="W4058" s="109"/>
    </row>
    <row r="4059" spans="1:23" ht="12.75" hidden="1">
      <c r="A4059" s="109"/>
      <c r="B4059" s="109"/>
      <c r="C4059" s="109"/>
      <c r="D4059" s="109"/>
      <c r="E4059" s="109"/>
      <c r="F4059" s="109"/>
      <c r="G4059" s="109"/>
      <c r="H4059" s="109"/>
      <c r="I4059" s="109"/>
      <c r="J4059" s="109"/>
      <c r="L4059" s="109"/>
      <c r="M4059" s="109"/>
      <c r="N4059" s="109"/>
      <c r="Q4059" s="121"/>
      <c r="W4059" s="109"/>
    </row>
    <row r="4060" spans="1:23" ht="12.75" hidden="1">
      <c r="A4060" s="109"/>
      <c r="B4060" s="109"/>
      <c r="C4060" s="109"/>
      <c r="D4060" s="109"/>
      <c r="E4060" s="109"/>
      <c r="F4060" s="109"/>
      <c r="G4060" s="109"/>
      <c r="H4060" s="109"/>
      <c r="I4060" s="109"/>
      <c r="J4060" s="109"/>
      <c r="L4060" s="109"/>
      <c r="M4060" s="109"/>
      <c r="N4060" s="109"/>
      <c r="Q4060" s="121"/>
      <c r="W4060" s="109"/>
    </row>
    <row r="4061" spans="1:23" ht="12.75" hidden="1">
      <c r="A4061" s="109"/>
      <c r="B4061" s="109"/>
      <c r="C4061" s="109"/>
      <c r="D4061" s="109"/>
      <c r="E4061" s="109"/>
      <c r="F4061" s="109"/>
      <c r="G4061" s="109"/>
      <c r="H4061" s="109"/>
      <c r="I4061" s="109"/>
      <c r="J4061" s="109"/>
      <c r="L4061" s="109"/>
      <c r="M4061" s="109"/>
      <c r="N4061" s="109"/>
      <c r="Q4061" s="121"/>
      <c r="W4061" s="109"/>
    </row>
    <row r="4062" spans="1:23" ht="12.75" hidden="1">
      <c r="A4062" s="109"/>
      <c r="B4062" s="109"/>
      <c r="C4062" s="109"/>
      <c r="D4062" s="109"/>
      <c r="E4062" s="109"/>
      <c r="F4062" s="109"/>
      <c r="G4062" s="109"/>
      <c r="H4062" s="109"/>
      <c r="I4062" s="109"/>
      <c r="J4062" s="109"/>
      <c r="L4062" s="109"/>
      <c r="M4062" s="109"/>
      <c r="N4062" s="109"/>
      <c r="Q4062" s="121"/>
      <c r="W4062" s="109"/>
    </row>
    <row r="4063" spans="1:23" ht="12.75" hidden="1">
      <c r="A4063" s="109"/>
      <c r="B4063" s="109"/>
      <c r="C4063" s="109"/>
      <c r="D4063" s="109"/>
      <c r="E4063" s="109"/>
      <c r="F4063" s="109"/>
      <c r="G4063" s="109"/>
      <c r="H4063" s="109"/>
      <c r="I4063" s="109"/>
      <c r="J4063" s="109"/>
      <c r="L4063" s="109"/>
      <c r="M4063" s="109"/>
      <c r="N4063" s="109"/>
      <c r="Q4063" s="121"/>
      <c r="W4063" s="109"/>
    </row>
    <row r="4064" spans="1:23" ht="12.75" hidden="1">
      <c r="A4064" s="109"/>
      <c r="B4064" s="109"/>
      <c r="C4064" s="109"/>
      <c r="D4064" s="109"/>
      <c r="E4064" s="109"/>
      <c r="F4064" s="109"/>
      <c r="G4064" s="109"/>
      <c r="H4064" s="109"/>
      <c r="I4064" s="109"/>
      <c r="J4064" s="109"/>
      <c r="L4064" s="109"/>
      <c r="M4064" s="109"/>
      <c r="N4064" s="109"/>
      <c r="Q4064" s="121"/>
      <c r="W4064" s="109"/>
    </row>
    <row r="4065" spans="1:23" ht="12.75" hidden="1">
      <c r="A4065" s="109"/>
      <c r="B4065" s="109"/>
      <c r="C4065" s="109"/>
      <c r="D4065" s="109"/>
      <c r="E4065" s="109"/>
      <c r="F4065" s="109"/>
      <c r="G4065" s="109"/>
      <c r="H4065" s="109"/>
      <c r="I4065" s="109"/>
      <c r="J4065" s="109"/>
      <c r="L4065" s="109"/>
      <c r="M4065" s="109"/>
      <c r="N4065" s="109"/>
      <c r="Q4065" s="121"/>
      <c r="W4065" s="109"/>
    </row>
    <row r="4066" spans="1:23" ht="12.75" hidden="1">
      <c r="A4066" s="109"/>
      <c r="B4066" s="109"/>
      <c r="C4066" s="109"/>
      <c r="D4066" s="109"/>
      <c r="E4066" s="109"/>
      <c r="F4066" s="109"/>
      <c r="G4066" s="109"/>
      <c r="H4066" s="109"/>
      <c r="I4066" s="109"/>
      <c r="J4066" s="109"/>
      <c r="L4066" s="109"/>
      <c r="M4066" s="109"/>
      <c r="N4066" s="109"/>
      <c r="Q4066" s="121"/>
      <c r="W4066" s="109"/>
    </row>
    <row r="4067" spans="1:23" ht="12.75" hidden="1">
      <c r="A4067" s="109"/>
      <c r="B4067" s="109"/>
      <c r="C4067" s="109"/>
      <c r="D4067" s="109"/>
      <c r="E4067" s="109"/>
      <c r="F4067" s="109"/>
      <c r="G4067" s="109"/>
      <c r="H4067" s="109"/>
      <c r="I4067" s="109"/>
      <c r="J4067" s="109"/>
      <c r="L4067" s="109"/>
      <c r="M4067" s="109"/>
      <c r="N4067" s="109"/>
      <c r="Q4067" s="121"/>
      <c r="W4067" s="109"/>
    </row>
    <row r="4068" spans="1:23" ht="12.75" hidden="1">
      <c r="A4068" s="109"/>
      <c r="B4068" s="109"/>
      <c r="C4068" s="109"/>
      <c r="D4068" s="109"/>
      <c r="E4068" s="109"/>
      <c r="F4068" s="109"/>
      <c r="G4068" s="109"/>
      <c r="H4068" s="109"/>
      <c r="I4068" s="109"/>
      <c r="J4068" s="109"/>
      <c r="L4068" s="109"/>
      <c r="M4068" s="109"/>
      <c r="N4068" s="109"/>
      <c r="Q4068" s="121"/>
      <c r="W4068" s="109"/>
    </row>
    <row r="4069" spans="1:23" ht="12.75" hidden="1">
      <c r="A4069" s="109"/>
      <c r="B4069" s="109"/>
      <c r="C4069" s="109"/>
      <c r="D4069" s="109"/>
      <c r="E4069" s="109"/>
      <c r="F4069" s="109"/>
      <c r="G4069" s="109"/>
      <c r="H4069" s="109"/>
      <c r="I4069" s="109"/>
      <c r="J4069" s="109"/>
      <c r="L4069" s="109"/>
      <c r="M4069" s="109"/>
      <c r="N4069" s="109"/>
      <c r="Q4069" s="121"/>
      <c r="W4069" s="109"/>
    </row>
    <row r="4070" spans="1:23" ht="12.75" hidden="1">
      <c r="A4070" s="109"/>
      <c r="B4070" s="109"/>
      <c r="C4070" s="109"/>
      <c r="D4070" s="109"/>
      <c r="E4070" s="109"/>
      <c r="F4070" s="109"/>
      <c r="G4070" s="109"/>
      <c r="H4070" s="109"/>
      <c r="I4070" s="109"/>
      <c r="J4070" s="109"/>
      <c r="L4070" s="109"/>
      <c r="M4070" s="109"/>
      <c r="N4070" s="109"/>
      <c r="Q4070" s="121"/>
      <c r="W4070" s="109"/>
    </row>
    <row r="4071" spans="1:23" ht="12.75" hidden="1">
      <c r="A4071" s="109"/>
      <c r="B4071" s="109"/>
      <c r="C4071" s="109"/>
      <c r="D4071" s="109"/>
      <c r="E4071" s="109"/>
      <c r="F4071" s="109"/>
      <c r="G4071" s="109"/>
      <c r="H4071" s="109"/>
      <c r="I4071" s="109"/>
      <c r="J4071" s="109"/>
      <c r="L4071" s="109"/>
      <c r="M4071" s="109"/>
      <c r="N4071" s="109"/>
      <c r="Q4071" s="121"/>
      <c r="W4071" s="109"/>
    </row>
    <row r="4072" spans="1:23" ht="12.75" hidden="1">
      <c r="A4072" s="109"/>
      <c r="B4072" s="109"/>
      <c r="C4072" s="109"/>
      <c r="D4072" s="109"/>
      <c r="E4072" s="109"/>
      <c r="F4072" s="109"/>
      <c r="G4072" s="109"/>
      <c r="H4072" s="109"/>
      <c r="I4072" s="109"/>
      <c r="J4072" s="109"/>
      <c r="L4072" s="109"/>
      <c r="M4072" s="109"/>
      <c r="N4072" s="109"/>
      <c r="Q4072" s="121"/>
      <c r="W4072" s="109"/>
    </row>
    <row r="4073" spans="1:23" ht="12.75" hidden="1">
      <c r="A4073" s="109"/>
      <c r="B4073" s="109"/>
      <c r="C4073" s="109"/>
      <c r="D4073" s="109"/>
      <c r="E4073" s="109"/>
      <c r="F4073" s="109"/>
      <c r="G4073" s="109"/>
      <c r="H4073" s="109"/>
      <c r="I4073" s="109"/>
      <c r="J4073" s="109"/>
      <c r="L4073" s="109"/>
      <c r="M4073" s="109"/>
      <c r="N4073" s="109"/>
      <c r="Q4073" s="121"/>
      <c r="W4073" s="109"/>
    </row>
    <row r="4074" spans="1:23" ht="12.75" hidden="1">
      <c r="A4074" s="109"/>
      <c r="B4074" s="109"/>
      <c r="C4074" s="109"/>
      <c r="D4074" s="109"/>
      <c r="E4074" s="109"/>
      <c r="F4074" s="109"/>
      <c r="G4074" s="109"/>
      <c r="H4074" s="109"/>
      <c r="I4074" s="109"/>
      <c r="J4074" s="109"/>
      <c r="L4074" s="109"/>
      <c r="M4074" s="109"/>
      <c r="N4074" s="109"/>
      <c r="Q4074" s="121"/>
      <c r="W4074" s="109"/>
    </row>
    <row r="4075" spans="1:23" ht="12.75" hidden="1">
      <c r="A4075" s="109"/>
      <c r="B4075" s="109"/>
      <c r="C4075" s="109"/>
      <c r="D4075" s="109"/>
      <c r="E4075" s="109"/>
      <c r="F4075" s="109"/>
      <c r="G4075" s="109"/>
      <c r="H4075" s="109"/>
      <c r="I4075" s="109"/>
      <c r="J4075" s="109"/>
      <c r="L4075" s="109"/>
      <c r="M4075" s="109"/>
      <c r="N4075" s="109"/>
      <c r="Q4075" s="121"/>
      <c r="W4075" s="109"/>
    </row>
    <row r="4076" spans="1:23" ht="12.75" hidden="1">
      <c r="A4076" s="109"/>
      <c r="B4076" s="109"/>
      <c r="C4076" s="109"/>
      <c r="D4076" s="109"/>
      <c r="E4076" s="109"/>
      <c r="F4076" s="109"/>
      <c r="G4076" s="109"/>
      <c r="H4076" s="109"/>
      <c r="I4076" s="109"/>
      <c r="J4076" s="109"/>
      <c r="L4076" s="109"/>
      <c r="M4076" s="109"/>
      <c r="N4076" s="109"/>
      <c r="Q4076" s="121"/>
      <c r="W4076" s="109"/>
    </row>
    <row r="4077" spans="1:23" ht="12.75" hidden="1">
      <c r="A4077" s="109"/>
      <c r="B4077" s="109"/>
      <c r="C4077" s="109"/>
      <c r="D4077" s="109"/>
      <c r="E4077" s="109"/>
      <c r="F4077" s="109"/>
      <c r="G4077" s="109"/>
      <c r="H4077" s="109"/>
      <c r="I4077" s="109"/>
      <c r="J4077" s="109"/>
      <c r="L4077" s="109"/>
      <c r="M4077" s="109"/>
      <c r="N4077" s="109"/>
      <c r="Q4077" s="121"/>
      <c r="W4077" s="109"/>
    </row>
    <row r="4078" spans="1:23" ht="12.75" hidden="1">
      <c r="A4078" s="109"/>
      <c r="B4078" s="109"/>
      <c r="C4078" s="109"/>
      <c r="D4078" s="109"/>
      <c r="E4078" s="109"/>
      <c r="F4078" s="109"/>
      <c r="G4078" s="109"/>
      <c r="H4078" s="109"/>
      <c r="I4078" s="109"/>
      <c r="J4078" s="109"/>
      <c r="L4078" s="109"/>
      <c r="M4078" s="109"/>
      <c r="N4078" s="109"/>
      <c r="Q4078" s="121"/>
      <c r="W4078" s="109"/>
    </row>
    <row r="4079" spans="1:23" ht="12.75" hidden="1">
      <c r="A4079" s="109"/>
      <c r="B4079" s="109"/>
      <c r="C4079" s="109"/>
      <c r="D4079" s="109"/>
      <c r="E4079" s="109"/>
      <c r="F4079" s="109"/>
      <c r="G4079" s="109"/>
      <c r="H4079" s="109"/>
      <c r="I4079" s="109"/>
      <c r="J4079" s="109"/>
      <c r="L4079" s="109"/>
      <c r="M4079" s="109"/>
      <c r="N4079" s="109"/>
      <c r="Q4079" s="121"/>
      <c r="W4079" s="109"/>
    </row>
    <row r="4080" spans="1:23" ht="12.75" hidden="1">
      <c r="A4080" s="109"/>
      <c r="B4080" s="109"/>
      <c r="C4080" s="109"/>
      <c r="D4080" s="109"/>
      <c r="E4080" s="109"/>
      <c r="F4080" s="109"/>
      <c r="G4080" s="109"/>
      <c r="H4080" s="109"/>
      <c r="I4080" s="109"/>
      <c r="J4080" s="109"/>
      <c r="L4080" s="109"/>
      <c r="M4080" s="109"/>
      <c r="N4080" s="109"/>
      <c r="Q4080" s="121"/>
      <c r="W4080" s="109"/>
    </row>
    <row r="4081" spans="1:23" ht="12.75" hidden="1">
      <c r="A4081" s="109"/>
      <c r="B4081" s="109"/>
      <c r="C4081" s="109"/>
      <c r="D4081" s="109"/>
      <c r="E4081" s="109"/>
      <c r="F4081" s="109"/>
      <c r="G4081" s="109"/>
      <c r="H4081" s="109"/>
      <c r="I4081" s="109"/>
      <c r="J4081" s="109"/>
      <c r="L4081" s="109"/>
      <c r="M4081" s="109"/>
      <c r="N4081" s="109"/>
      <c r="Q4081" s="121"/>
      <c r="W4081" s="109"/>
    </row>
    <row r="4082" spans="1:23" ht="12.75" hidden="1">
      <c r="A4082" s="109"/>
      <c r="B4082" s="109"/>
      <c r="C4082" s="109"/>
      <c r="D4082" s="109"/>
      <c r="E4082" s="109"/>
      <c r="F4082" s="109"/>
      <c r="G4082" s="109"/>
      <c r="H4082" s="109"/>
      <c r="I4082" s="109"/>
      <c r="J4082" s="109"/>
      <c r="L4082" s="109"/>
      <c r="M4082" s="109"/>
      <c r="N4082" s="109"/>
      <c r="Q4082" s="121"/>
      <c r="W4082" s="109"/>
    </row>
    <row r="4083" spans="1:23" ht="12.75" hidden="1">
      <c r="A4083" s="109"/>
      <c r="B4083" s="109"/>
      <c r="C4083" s="109"/>
      <c r="D4083" s="109"/>
      <c r="E4083" s="109"/>
      <c r="F4083" s="109"/>
      <c r="G4083" s="109"/>
      <c r="H4083" s="109"/>
      <c r="I4083" s="109"/>
      <c r="J4083" s="109"/>
      <c r="L4083" s="109"/>
      <c r="M4083" s="109"/>
      <c r="N4083" s="109"/>
      <c r="Q4083" s="121"/>
      <c r="W4083" s="109"/>
    </row>
    <row r="4084" spans="1:23" ht="12.75" hidden="1">
      <c r="A4084" s="109"/>
      <c r="B4084" s="109"/>
      <c r="C4084" s="109"/>
      <c r="D4084" s="109"/>
      <c r="E4084" s="109"/>
      <c r="F4084" s="109"/>
      <c r="G4084" s="109"/>
      <c r="H4084" s="109"/>
      <c r="I4084" s="109"/>
      <c r="J4084" s="109"/>
      <c r="L4084" s="109"/>
      <c r="M4084" s="109"/>
      <c r="N4084" s="109"/>
      <c r="Q4084" s="121"/>
      <c r="W4084" s="109"/>
    </row>
    <row r="4085" spans="1:23" ht="12.75" hidden="1">
      <c r="A4085" s="109"/>
      <c r="B4085" s="109"/>
      <c r="C4085" s="109"/>
      <c r="D4085" s="109"/>
      <c r="E4085" s="109"/>
      <c r="F4085" s="109"/>
      <c r="G4085" s="109"/>
      <c r="H4085" s="109"/>
      <c r="I4085" s="109"/>
      <c r="J4085" s="109"/>
      <c r="L4085" s="109"/>
      <c r="M4085" s="109"/>
      <c r="N4085" s="109"/>
      <c r="Q4085" s="121"/>
      <c r="W4085" s="109"/>
    </row>
    <row r="4086" spans="1:23" ht="12.75" hidden="1">
      <c r="A4086" s="109"/>
      <c r="B4086" s="109"/>
      <c r="C4086" s="109"/>
      <c r="D4086" s="109"/>
      <c r="E4086" s="109"/>
      <c r="F4086" s="109"/>
      <c r="G4086" s="109"/>
      <c r="H4086" s="109"/>
      <c r="I4086" s="109"/>
      <c r="J4086" s="109"/>
      <c r="L4086" s="109"/>
      <c r="M4086" s="109"/>
      <c r="N4086" s="109"/>
      <c r="Q4086" s="121"/>
      <c r="W4086" s="109"/>
    </row>
    <row r="4087" spans="1:23" ht="12.75" hidden="1">
      <c r="A4087" s="109"/>
      <c r="B4087" s="109"/>
      <c r="C4087" s="109"/>
      <c r="D4087" s="109"/>
      <c r="E4087" s="109"/>
      <c r="F4087" s="109"/>
      <c r="G4087" s="109"/>
      <c r="H4087" s="109"/>
      <c r="I4087" s="109"/>
      <c r="J4087" s="109"/>
      <c r="L4087" s="109"/>
      <c r="M4087" s="109"/>
      <c r="N4087" s="109"/>
      <c r="Q4087" s="121"/>
      <c r="W4087" s="109"/>
    </row>
    <row r="4088" spans="1:23" ht="12.75" hidden="1">
      <c r="A4088" s="109"/>
      <c r="B4088" s="109"/>
      <c r="C4088" s="109"/>
      <c r="D4088" s="109"/>
      <c r="E4088" s="109"/>
      <c r="F4088" s="109"/>
      <c r="G4088" s="109"/>
      <c r="H4088" s="109"/>
      <c r="I4088" s="109"/>
      <c r="J4088" s="109"/>
      <c r="L4088" s="109"/>
      <c r="M4088" s="109"/>
      <c r="N4088" s="109"/>
      <c r="Q4088" s="121"/>
      <c r="W4088" s="109"/>
    </row>
    <row r="4089" spans="1:23" ht="12.75" hidden="1">
      <c r="A4089" s="109"/>
      <c r="B4089" s="109"/>
      <c r="C4089" s="109"/>
      <c r="D4089" s="109"/>
      <c r="E4089" s="109"/>
      <c r="F4089" s="109"/>
      <c r="G4089" s="109"/>
      <c r="H4089" s="109"/>
      <c r="I4089" s="109"/>
      <c r="J4089" s="109"/>
      <c r="L4089" s="109"/>
      <c r="M4089" s="109"/>
      <c r="N4089" s="109"/>
      <c r="Q4089" s="121"/>
      <c r="W4089" s="109"/>
    </row>
    <row r="4090" spans="1:23" ht="12.75" hidden="1">
      <c r="A4090" s="109"/>
      <c r="B4090" s="109"/>
      <c r="C4090" s="109"/>
      <c r="D4090" s="109"/>
      <c r="E4090" s="109"/>
      <c r="F4090" s="109"/>
      <c r="G4090" s="109"/>
      <c r="H4090" s="109"/>
      <c r="I4090" s="109"/>
      <c r="J4090" s="109"/>
      <c r="L4090" s="109"/>
      <c r="M4090" s="109"/>
      <c r="N4090" s="109"/>
      <c r="Q4090" s="121"/>
      <c r="W4090" s="109"/>
    </row>
    <row r="4091" spans="1:23" ht="12.75" hidden="1">
      <c r="A4091" s="109"/>
      <c r="B4091" s="109"/>
      <c r="C4091" s="109"/>
      <c r="D4091" s="109"/>
      <c r="E4091" s="109"/>
      <c r="F4091" s="109"/>
      <c r="G4091" s="109"/>
      <c r="H4091" s="109"/>
      <c r="I4091" s="109"/>
      <c r="J4091" s="109"/>
      <c r="L4091" s="109"/>
      <c r="M4091" s="109"/>
      <c r="N4091" s="109"/>
      <c r="Q4091" s="121"/>
      <c r="W4091" s="109"/>
    </row>
    <row r="4092" spans="1:23" ht="12.75" hidden="1">
      <c r="A4092" s="109"/>
      <c r="B4092" s="109"/>
      <c r="C4092" s="109"/>
      <c r="D4092" s="109"/>
      <c r="E4092" s="109"/>
      <c r="F4092" s="109"/>
      <c r="G4092" s="109"/>
      <c r="H4092" s="109"/>
      <c r="I4092" s="109"/>
      <c r="J4092" s="109"/>
      <c r="L4092" s="109"/>
      <c r="M4092" s="109"/>
      <c r="N4092" s="109"/>
      <c r="Q4092" s="121"/>
      <c r="W4092" s="109"/>
    </row>
    <row r="4093" spans="1:23" ht="12.75" hidden="1">
      <c r="A4093" s="109"/>
      <c r="B4093" s="109"/>
      <c r="C4093" s="109"/>
      <c r="D4093" s="109"/>
      <c r="E4093" s="109"/>
      <c r="F4093" s="109"/>
      <c r="G4093" s="109"/>
      <c r="H4093" s="109"/>
      <c r="I4093" s="109"/>
      <c r="J4093" s="109"/>
      <c r="L4093" s="109"/>
      <c r="M4093" s="109"/>
      <c r="N4093" s="109"/>
      <c r="Q4093" s="121"/>
      <c r="W4093" s="109"/>
    </row>
    <row r="4094" spans="1:23" ht="12.75" hidden="1">
      <c r="A4094" s="109"/>
      <c r="B4094" s="109"/>
      <c r="C4094" s="109"/>
      <c r="D4094" s="109"/>
      <c r="E4094" s="109"/>
      <c r="F4094" s="109"/>
      <c r="G4094" s="109"/>
      <c r="H4094" s="109"/>
      <c r="I4094" s="109"/>
      <c r="J4094" s="109"/>
      <c r="L4094" s="109"/>
      <c r="M4094" s="109"/>
      <c r="N4094" s="109"/>
      <c r="Q4094" s="121"/>
      <c r="W4094" s="109"/>
    </row>
    <row r="4095" spans="1:23" ht="12.75" hidden="1">
      <c r="A4095" s="109"/>
      <c r="B4095" s="109"/>
      <c r="C4095" s="109"/>
      <c r="D4095" s="109"/>
      <c r="E4095" s="109"/>
      <c r="F4095" s="109"/>
      <c r="G4095" s="109"/>
      <c r="H4095" s="109"/>
      <c r="I4095" s="109"/>
      <c r="J4095" s="109"/>
      <c r="L4095" s="109"/>
      <c r="M4095" s="109"/>
      <c r="N4095" s="109"/>
      <c r="Q4095" s="121"/>
      <c r="W4095" s="109"/>
    </row>
    <row r="4096" spans="1:23" ht="12.75" hidden="1">
      <c r="A4096" s="109"/>
      <c r="B4096" s="109"/>
      <c r="C4096" s="109"/>
      <c r="D4096" s="109"/>
      <c r="E4096" s="109"/>
      <c r="F4096" s="109"/>
      <c r="G4096" s="109"/>
      <c r="H4096" s="109"/>
      <c r="I4096" s="109"/>
      <c r="J4096" s="109"/>
      <c r="L4096" s="109"/>
      <c r="M4096" s="109"/>
      <c r="N4096" s="109"/>
      <c r="Q4096" s="121"/>
      <c r="W4096" s="109"/>
    </row>
    <row r="4097" spans="1:23" ht="12.75" hidden="1">
      <c r="A4097" s="109"/>
      <c r="B4097" s="109"/>
      <c r="C4097" s="109"/>
      <c r="D4097" s="109"/>
      <c r="E4097" s="109"/>
      <c r="F4097" s="109"/>
      <c r="G4097" s="109"/>
      <c r="H4097" s="109"/>
      <c r="I4097" s="109"/>
      <c r="J4097" s="109"/>
      <c r="L4097" s="109"/>
      <c r="M4097" s="109"/>
      <c r="N4097" s="109"/>
      <c r="Q4097" s="121"/>
      <c r="W4097" s="109"/>
    </row>
    <row r="4098" spans="1:23" ht="12.75" hidden="1">
      <c r="A4098" s="109"/>
      <c r="B4098" s="109"/>
      <c r="C4098" s="109"/>
      <c r="D4098" s="109"/>
      <c r="E4098" s="109"/>
      <c r="F4098" s="109"/>
      <c r="G4098" s="109"/>
      <c r="H4098" s="109"/>
      <c r="I4098" s="109"/>
      <c r="J4098" s="109"/>
      <c r="L4098" s="109"/>
      <c r="M4098" s="109"/>
      <c r="N4098" s="109"/>
      <c r="Q4098" s="121"/>
      <c r="W4098" s="109"/>
    </row>
    <row r="4099" spans="1:23" ht="12.75" hidden="1">
      <c r="A4099" s="109"/>
      <c r="B4099" s="109"/>
      <c r="C4099" s="109"/>
      <c r="D4099" s="109"/>
      <c r="E4099" s="109"/>
      <c r="F4099" s="109"/>
      <c r="G4099" s="109"/>
      <c r="H4099" s="109"/>
      <c r="I4099" s="109"/>
      <c r="J4099" s="109"/>
      <c r="L4099" s="109"/>
      <c r="M4099" s="109"/>
      <c r="N4099" s="109"/>
      <c r="Q4099" s="121"/>
      <c r="W4099" s="109"/>
    </row>
    <row r="4100" spans="1:23" ht="12.75" hidden="1">
      <c r="A4100" s="109"/>
      <c r="B4100" s="109"/>
      <c r="C4100" s="109"/>
      <c r="D4100" s="109"/>
      <c r="E4100" s="109"/>
      <c r="F4100" s="109"/>
      <c r="G4100" s="109"/>
      <c r="H4100" s="109"/>
      <c r="I4100" s="109"/>
      <c r="J4100" s="109"/>
      <c r="L4100" s="109"/>
      <c r="M4100" s="109"/>
      <c r="N4100" s="109"/>
      <c r="Q4100" s="121"/>
      <c r="W4100" s="109"/>
    </row>
    <row r="4101" spans="1:23" ht="12.75" hidden="1">
      <c r="A4101" s="109"/>
      <c r="B4101" s="109"/>
      <c r="C4101" s="109"/>
      <c r="D4101" s="109"/>
      <c r="E4101" s="109"/>
      <c r="F4101" s="109"/>
      <c r="G4101" s="109"/>
      <c r="H4101" s="109"/>
      <c r="I4101" s="109"/>
      <c r="J4101" s="109"/>
      <c r="L4101" s="109"/>
      <c r="M4101" s="109"/>
      <c r="N4101" s="109"/>
      <c r="Q4101" s="121"/>
      <c r="W4101" s="109"/>
    </row>
    <row r="4102" spans="1:23" ht="12.75" hidden="1">
      <c r="A4102" s="109"/>
      <c r="B4102" s="109"/>
      <c r="C4102" s="109"/>
      <c r="D4102" s="109"/>
      <c r="E4102" s="109"/>
      <c r="F4102" s="109"/>
      <c r="G4102" s="109"/>
      <c r="H4102" s="109"/>
      <c r="I4102" s="109"/>
      <c r="J4102" s="109"/>
      <c r="L4102" s="109"/>
      <c r="M4102" s="109"/>
      <c r="N4102" s="109"/>
      <c r="Q4102" s="121"/>
      <c r="W4102" s="109"/>
    </row>
    <row r="4103" spans="1:23" ht="12.75" hidden="1">
      <c r="A4103" s="109"/>
      <c r="B4103" s="109"/>
      <c r="C4103" s="109"/>
      <c r="D4103" s="109"/>
      <c r="E4103" s="109"/>
      <c r="F4103" s="109"/>
      <c r="G4103" s="109"/>
      <c r="H4103" s="109"/>
      <c r="I4103" s="109"/>
      <c r="J4103" s="109"/>
      <c r="L4103" s="109"/>
      <c r="M4103" s="109"/>
      <c r="N4103" s="109"/>
      <c r="Q4103" s="121"/>
      <c r="W4103" s="109"/>
    </row>
    <row r="4104" spans="1:23" ht="12.75" hidden="1">
      <c r="A4104" s="109"/>
      <c r="B4104" s="109"/>
      <c r="C4104" s="109"/>
      <c r="D4104" s="109"/>
      <c r="E4104" s="109"/>
      <c r="F4104" s="109"/>
      <c r="G4104" s="109"/>
      <c r="H4104" s="109"/>
      <c r="I4104" s="109"/>
      <c r="J4104" s="109"/>
      <c r="L4104" s="109"/>
      <c r="M4104" s="109"/>
      <c r="N4104" s="109"/>
      <c r="Q4104" s="121"/>
      <c r="W4104" s="109"/>
    </row>
    <row r="4105" spans="1:23" ht="12.75" hidden="1">
      <c r="A4105" s="109"/>
      <c r="B4105" s="109"/>
      <c r="C4105" s="109"/>
      <c r="D4105" s="109"/>
      <c r="E4105" s="109"/>
      <c r="F4105" s="109"/>
      <c r="G4105" s="109"/>
      <c r="H4105" s="109"/>
      <c r="I4105" s="109"/>
      <c r="J4105" s="109"/>
      <c r="L4105" s="109"/>
      <c r="M4105" s="109"/>
      <c r="N4105" s="109"/>
      <c r="Q4105" s="121"/>
      <c r="W4105" s="109"/>
    </row>
    <row r="4106" spans="1:23" ht="12.75" hidden="1">
      <c r="A4106" s="109"/>
      <c r="B4106" s="109"/>
      <c r="C4106" s="109"/>
      <c r="D4106" s="109"/>
      <c r="E4106" s="109"/>
      <c r="F4106" s="109"/>
      <c r="G4106" s="109"/>
      <c r="H4106" s="109"/>
      <c r="I4106" s="109"/>
      <c r="J4106" s="109"/>
      <c r="L4106" s="109"/>
      <c r="M4106" s="109"/>
      <c r="N4106" s="109"/>
      <c r="Q4106" s="121"/>
      <c r="W4106" s="109"/>
    </row>
    <row r="4107" spans="1:23" ht="12.75" hidden="1">
      <c r="A4107" s="109"/>
      <c r="B4107" s="109"/>
      <c r="C4107" s="109"/>
      <c r="D4107" s="109"/>
      <c r="E4107" s="109"/>
      <c r="F4107" s="109"/>
      <c r="G4107" s="109"/>
      <c r="H4107" s="109"/>
      <c r="I4107" s="109"/>
      <c r="J4107" s="109"/>
      <c r="L4107" s="109"/>
      <c r="M4107" s="109"/>
      <c r="N4107" s="109"/>
      <c r="Q4107" s="121"/>
      <c r="W4107" s="109"/>
    </row>
    <row r="4108" spans="1:23" ht="12.75" hidden="1">
      <c r="A4108" s="109"/>
      <c r="B4108" s="109"/>
      <c r="C4108" s="109"/>
      <c r="D4108" s="109"/>
      <c r="E4108" s="109"/>
      <c r="F4108" s="109"/>
      <c r="G4108" s="109"/>
      <c r="H4108" s="109"/>
      <c r="I4108" s="109"/>
      <c r="J4108" s="109"/>
      <c r="L4108" s="109"/>
      <c r="M4108" s="109"/>
      <c r="N4108" s="109"/>
      <c r="Q4108" s="121"/>
      <c r="W4108" s="109"/>
    </row>
    <row r="4109" spans="1:23" ht="12.75" hidden="1">
      <c r="A4109" s="109"/>
      <c r="B4109" s="109"/>
      <c r="C4109" s="109"/>
      <c r="D4109" s="109"/>
      <c r="E4109" s="109"/>
      <c r="F4109" s="109"/>
      <c r="G4109" s="109"/>
      <c r="H4109" s="109"/>
      <c r="I4109" s="109"/>
      <c r="J4109" s="109"/>
      <c r="L4109" s="109"/>
      <c r="M4109" s="109"/>
      <c r="N4109" s="109"/>
      <c r="Q4109" s="121"/>
      <c r="W4109" s="109"/>
    </row>
    <row r="4110" spans="1:23" ht="12.75" hidden="1">
      <c r="A4110" s="109"/>
      <c r="B4110" s="109"/>
      <c r="C4110" s="109"/>
      <c r="D4110" s="109"/>
      <c r="E4110" s="109"/>
      <c r="F4110" s="109"/>
      <c r="G4110" s="109"/>
      <c r="H4110" s="109"/>
      <c r="I4110" s="109"/>
      <c r="J4110" s="109"/>
      <c r="L4110" s="109"/>
      <c r="M4110" s="109"/>
      <c r="N4110" s="109"/>
      <c r="Q4110" s="121"/>
      <c r="W4110" s="109"/>
    </row>
    <row r="4111" spans="1:23" ht="12.75" hidden="1">
      <c r="A4111" s="109"/>
      <c r="B4111" s="109"/>
      <c r="C4111" s="109"/>
      <c r="D4111" s="109"/>
      <c r="E4111" s="109"/>
      <c r="F4111" s="109"/>
      <c r="G4111" s="109"/>
      <c r="H4111" s="109"/>
      <c r="I4111" s="109"/>
      <c r="J4111" s="109"/>
      <c r="L4111" s="109"/>
      <c r="M4111" s="109"/>
      <c r="N4111" s="109"/>
      <c r="Q4111" s="121"/>
      <c r="W4111" s="109"/>
    </row>
    <row r="4112" spans="1:23" ht="12.75" hidden="1">
      <c r="A4112" s="109"/>
      <c r="B4112" s="109"/>
      <c r="C4112" s="109"/>
      <c r="D4112" s="109"/>
      <c r="E4112" s="109"/>
      <c r="F4112" s="109"/>
      <c r="G4112" s="109"/>
      <c r="H4112" s="109"/>
      <c r="I4112" s="109"/>
      <c r="J4112" s="109"/>
      <c r="L4112" s="109"/>
      <c r="M4112" s="109"/>
      <c r="N4112" s="109"/>
      <c r="Q4112" s="121"/>
      <c r="W4112" s="109"/>
    </row>
    <row r="4113" spans="1:23" ht="12.75" hidden="1">
      <c r="A4113" s="109"/>
      <c r="B4113" s="109"/>
      <c r="C4113" s="109"/>
      <c r="D4113" s="109"/>
      <c r="E4113" s="109"/>
      <c r="F4113" s="109"/>
      <c r="G4113" s="109"/>
      <c r="H4113" s="109"/>
      <c r="I4113" s="109"/>
      <c r="J4113" s="109"/>
      <c r="L4113" s="109"/>
      <c r="M4113" s="109"/>
      <c r="N4113" s="109"/>
      <c r="Q4113" s="121"/>
      <c r="W4113" s="109"/>
    </row>
    <row r="4114" spans="1:23" ht="12.75" hidden="1">
      <c r="A4114" s="109"/>
      <c r="B4114" s="109"/>
      <c r="C4114" s="109"/>
      <c r="D4114" s="109"/>
      <c r="E4114" s="109"/>
      <c r="F4114" s="109"/>
      <c r="G4114" s="109"/>
      <c r="H4114" s="109"/>
      <c r="I4114" s="109"/>
      <c r="J4114" s="109"/>
      <c r="L4114" s="109"/>
      <c r="M4114" s="109"/>
      <c r="N4114" s="109"/>
      <c r="Q4114" s="121"/>
      <c r="W4114" s="109"/>
    </row>
    <row r="4115" spans="1:23" ht="12.75" hidden="1">
      <c r="A4115" s="109"/>
      <c r="B4115" s="109"/>
      <c r="C4115" s="109"/>
      <c r="D4115" s="109"/>
      <c r="E4115" s="109"/>
      <c r="F4115" s="109"/>
      <c r="G4115" s="109"/>
      <c r="H4115" s="109"/>
      <c r="I4115" s="109"/>
      <c r="J4115" s="109"/>
      <c r="L4115" s="109"/>
      <c r="M4115" s="109"/>
      <c r="N4115" s="109"/>
      <c r="Q4115" s="121"/>
      <c r="W4115" s="109"/>
    </row>
    <row r="4116" spans="1:23" ht="12.75" hidden="1">
      <c r="A4116" s="109"/>
      <c r="B4116" s="109"/>
      <c r="C4116" s="109"/>
      <c r="D4116" s="109"/>
      <c r="E4116" s="109"/>
      <c r="F4116" s="109"/>
      <c r="G4116" s="109"/>
      <c r="H4116" s="109"/>
      <c r="I4116" s="109"/>
      <c r="J4116" s="109"/>
      <c r="L4116" s="109"/>
      <c r="M4116" s="109"/>
      <c r="N4116" s="109"/>
      <c r="Q4116" s="121"/>
      <c r="W4116" s="109"/>
    </row>
    <row r="4117" spans="1:23" ht="12.75" hidden="1">
      <c r="A4117" s="109"/>
      <c r="B4117" s="109"/>
      <c r="C4117" s="109"/>
      <c r="D4117" s="109"/>
      <c r="E4117" s="109"/>
      <c r="F4117" s="109"/>
      <c r="G4117" s="109"/>
      <c r="H4117" s="109"/>
      <c r="I4117" s="109"/>
      <c r="J4117" s="109"/>
      <c r="L4117" s="109"/>
      <c r="M4117" s="109"/>
      <c r="N4117" s="109"/>
      <c r="Q4117" s="121"/>
      <c r="W4117" s="109"/>
    </row>
    <row r="4118" spans="1:23" ht="12.75" hidden="1">
      <c r="A4118" s="109"/>
      <c r="B4118" s="109"/>
      <c r="C4118" s="109"/>
      <c r="D4118" s="109"/>
      <c r="E4118" s="109"/>
      <c r="F4118" s="109"/>
      <c r="G4118" s="109"/>
      <c r="H4118" s="109"/>
      <c r="I4118" s="109"/>
      <c r="J4118" s="109"/>
      <c r="L4118" s="109"/>
      <c r="M4118" s="109"/>
      <c r="N4118" s="109"/>
      <c r="Q4118" s="121"/>
      <c r="W4118" s="109"/>
    </row>
    <row r="4119" spans="1:23" ht="12.75" hidden="1">
      <c r="A4119" s="109"/>
      <c r="B4119" s="109"/>
      <c r="C4119" s="109"/>
      <c r="D4119" s="109"/>
      <c r="E4119" s="109"/>
      <c r="F4119" s="109"/>
      <c r="G4119" s="109"/>
      <c r="H4119" s="109"/>
      <c r="I4119" s="109"/>
      <c r="J4119" s="109"/>
      <c r="L4119" s="109"/>
      <c r="M4119" s="109"/>
      <c r="N4119" s="109"/>
      <c r="Q4119" s="121"/>
      <c r="W4119" s="109"/>
    </row>
    <row r="4120" spans="1:23" ht="12.75" hidden="1">
      <c r="A4120" s="109"/>
      <c r="B4120" s="109"/>
      <c r="C4120" s="109"/>
      <c r="D4120" s="109"/>
      <c r="E4120" s="109"/>
      <c r="F4120" s="109"/>
      <c r="G4120" s="109"/>
      <c r="H4120" s="109"/>
      <c r="I4120" s="109"/>
      <c r="J4120" s="109"/>
      <c r="L4120" s="109"/>
      <c r="M4120" s="109"/>
      <c r="N4120" s="109"/>
      <c r="Q4120" s="121"/>
      <c r="W4120" s="109"/>
    </row>
    <row r="4121" spans="1:23" ht="12.75" hidden="1">
      <c r="A4121" s="109"/>
      <c r="B4121" s="109"/>
      <c r="C4121" s="109"/>
      <c r="D4121" s="109"/>
      <c r="E4121" s="109"/>
      <c r="F4121" s="109"/>
      <c r="G4121" s="109"/>
      <c r="H4121" s="109"/>
      <c r="I4121" s="109"/>
      <c r="J4121" s="109"/>
      <c r="L4121" s="109"/>
      <c r="M4121" s="109"/>
      <c r="N4121" s="109"/>
      <c r="Q4121" s="121"/>
      <c r="W4121" s="109"/>
    </row>
    <row r="4122" spans="1:23" ht="12.75" hidden="1">
      <c r="A4122" s="109"/>
      <c r="B4122" s="109"/>
      <c r="C4122" s="109"/>
      <c r="D4122" s="109"/>
      <c r="E4122" s="109"/>
      <c r="F4122" s="109"/>
      <c r="G4122" s="109"/>
      <c r="H4122" s="109"/>
      <c r="I4122" s="109"/>
      <c r="J4122" s="109"/>
      <c r="L4122" s="109"/>
      <c r="M4122" s="109"/>
      <c r="N4122" s="109"/>
      <c r="Q4122" s="121"/>
      <c r="W4122" s="109"/>
    </row>
    <row r="4123" spans="1:23" ht="12.75" hidden="1">
      <c r="A4123" s="109"/>
      <c r="B4123" s="109"/>
      <c r="C4123" s="109"/>
      <c r="D4123" s="109"/>
      <c r="E4123" s="109"/>
      <c r="F4123" s="109"/>
      <c r="G4123" s="109"/>
      <c r="H4123" s="109"/>
      <c r="I4123" s="109"/>
      <c r="J4123" s="109"/>
      <c r="L4123" s="109"/>
      <c r="M4123" s="109"/>
      <c r="N4123" s="109"/>
      <c r="Q4123" s="121"/>
      <c r="W4123" s="109"/>
    </row>
    <row r="4124" spans="1:23" ht="12.75" hidden="1">
      <c r="A4124" s="109"/>
      <c r="B4124" s="109"/>
      <c r="C4124" s="109"/>
      <c r="D4124" s="109"/>
      <c r="E4124" s="109"/>
      <c r="F4124" s="109"/>
      <c r="G4124" s="109"/>
      <c r="H4124" s="109"/>
      <c r="I4124" s="109"/>
      <c r="J4124" s="109"/>
      <c r="L4124" s="109"/>
      <c r="M4124" s="109"/>
      <c r="N4124" s="109"/>
      <c r="Q4124" s="121"/>
      <c r="W4124" s="109"/>
    </row>
    <row r="4125" spans="1:23" ht="12.75" hidden="1">
      <c r="A4125" s="109"/>
      <c r="B4125" s="109"/>
      <c r="C4125" s="109"/>
      <c r="D4125" s="109"/>
      <c r="E4125" s="109"/>
      <c r="F4125" s="109"/>
      <c r="G4125" s="109"/>
      <c r="H4125" s="109"/>
      <c r="I4125" s="109"/>
      <c r="J4125" s="109"/>
      <c r="L4125" s="109"/>
      <c r="M4125" s="109"/>
      <c r="N4125" s="109"/>
      <c r="Q4125" s="121"/>
      <c r="W4125" s="109"/>
    </row>
    <row r="4126" spans="1:23" ht="12.75" hidden="1">
      <c r="A4126" s="109"/>
      <c r="B4126" s="109"/>
      <c r="C4126" s="109"/>
      <c r="D4126" s="109"/>
      <c r="E4126" s="109"/>
      <c r="F4126" s="109"/>
      <c r="G4126" s="109"/>
      <c r="H4126" s="109"/>
      <c r="I4126" s="109"/>
      <c r="J4126" s="109"/>
      <c r="L4126" s="109"/>
      <c r="M4126" s="109"/>
      <c r="N4126" s="109"/>
      <c r="Q4126" s="121"/>
      <c r="W4126" s="109"/>
    </row>
    <row r="4127" spans="1:23" ht="12.75" hidden="1">
      <c r="A4127" s="109"/>
      <c r="B4127" s="109"/>
      <c r="C4127" s="109"/>
      <c r="D4127" s="109"/>
      <c r="E4127" s="109"/>
      <c r="F4127" s="109"/>
      <c r="G4127" s="109"/>
      <c r="H4127" s="109"/>
      <c r="I4127" s="109"/>
      <c r="J4127" s="109"/>
      <c r="L4127" s="109"/>
      <c r="M4127" s="109"/>
      <c r="N4127" s="109"/>
      <c r="Q4127" s="121"/>
      <c r="W4127" s="109"/>
    </row>
    <row r="4128" spans="1:23" ht="12.75" hidden="1">
      <c r="A4128" s="109"/>
      <c r="B4128" s="109"/>
      <c r="C4128" s="109"/>
      <c r="D4128" s="109"/>
      <c r="E4128" s="109"/>
      <c r="F4128" s="109"/>
      <c r="G4128" s="109"/>
      <c r="H4128" s="109"/>
      <c r="I4128" s="109"/>
      <c r="J4128" s="109"/>
      <c r="L4128" s="109"/>
      <c r="M4128" s="109"/>
      <c r="N4128" s="109"/>
      <c r="Q4128" s="121"/>
      <c r="W4128" s="109"/>
    </row>
    <row r="4129" spans="1:23" ht="12.75" hidden="1">
      <c r="A4129" s="109"/>
      <c r="B4129" s="109"/>
      <c r="C4129" s="109"/>
      <c r="D4129" s="109"/>
      <c r="E4129" s="109"/>
      <c r="F4129" s="109"/>
      <c r="G4129" s="109"/>
      <c r="H4129" s="109"/>
      <c r="I4129" s="109"/>
      <c r="J4129" s="109"/>
      <c r="L4129" s="109"/>
      <c r="M4129" s="109"/>
      <c r="N4129" s="109"/>
      <c r="Q4129" s="121"/>
      <c r="W4129" s="109"/>
    </row>
    <row r="4130" spans="1:23" ht="12.75" hidden="1">
      <c r="A4130" s="109"/>
      <c r="B4130" s="109"/>
      <c r="C4130" s="109"/>
      <c r="D4130" s="109"/>
      <c r="E4130" s="109"/>
      <c r="F4130" s="109"/>
      <c r="G4130" s="109"/>
      <c r="H4130" s="109"/>
      <c r="I4130" s="109"/>
      <c r="J4130" s="109"/>
      <c r="L4130" s="109"/>
      <c r="M4130" s="109"/>
      <c r="N4130" s="109"/>
      <c r="Q4130" s="121"/>
      <c r="W4130" s="109"/>
    </row>
    <row r="4131" spans="1:23" ht="12.75" hidden="1">
      <c r="A4131" s="109"/>
      <c r="B4131" s="109"/>
      <c r="C4131" s="109"/>
      <c r="D4131" s="109"/>
      <c r="E4131" s="109"/>
      <c r="F4131" s="109"/>
      <c r="G4131" s="109"/>
      <c r="H4131" s="109"/>
      <c r="I4131" s="109"/>
      <c r="J4131" s="109"/>
      <c r="L4131" s="109"/>
      <c r="M4131" s="109"/>
      <c r="N4131" s="109"/>
      <c r="Q4131" s="121"/>
      <c r="W4131" s="109"/>
    </row>
    <row r="4132" spans="1:23" ht="12.75" hidden="1">
      <c r="A4132" s="109"/>
      <c r="B4132" s="109"/>
      <c r="C4132" s="109"/>
      <c r="D4132" s="109"/>
      <c r="E4132" s="109"/>
      <c r="F4132" s="109"/>
      <c r="G4132" s="109"/>
      <c r="H4132" s="109"/>
      <c r="I4132" s="109"/>
      <c r="J4132" s="109"/>
      <c r="L4132" s="109"/>
      <c r="M4132" s="109"/>
      <c r="N4132" s="109"/>
      <c r="Q4132" s="121"/>
      <c r="W4132" s="109"/>
    </row>
    <row r="4133" spans="1:23" ht="12.75" hidden="1">
      <c r="A4133" s="109"/>
      <c r="B4133" s="109"/>
      <c r="C4133" s="109"/>
      <c r="D4133" s="109"/>
      <c r="E4133" s="109"/>
      <c r="F4133" s="109"/>
      <c r="G4133" s="109"/>
      <c r="H4133" s="109"/>
      <c r="I4133" s="109"/>
      <c r="J4133" s="109"/>
      <c r="L4133" s="109"/>
      <c r="M4133" s="109"/>
      <c r="N4133" s="109"/>
      <c r="Q4133" s="121"/>
      <c r="W4133" s="109"/>
    </row>
    <row r="4134" spans="1:23" ht="12.75" hidden="1">
      <c r="A4134" s="109"/>
      <c r="B4134" s="109"/>
      <c r="C4134" s="109"/>
      <c r="D4134" s="109"/>
      <c r="E4134" s="109"/>
      <c r="F4134" s="109"/>
      <c r="G4134" s="109"/>
      <c r="H4134" s="109"/>
      <c r="I4134" s="109"/>
      <c r="J4134" s="109"/>
      <c r="L4134" s="109"/>
      <c r="M4134" s="109"/>
      <c r="N4134" s="109"/>
      <c r="Q4134" s="121"/>
      <c r="W4134" s="109"/>
    </row>
    <row r="4135" spans="1:23" ht="12.75" hidden="1">
      <c r="A4135" s="109"/>
      <c r="B4135" s="109"/>
      <c r="C4135" s="109"/>
      <c r="D4135" s="109"/>
      <c r="E4135" s="109"/>
      <c r="F4135" s="109"/>
      <c r="G4135" s="109"/>
      <c r="H4135" s="109"/>
      <c r="I4135" s="109"/>
      <c r="J4135" s="109"/>
      <c r="L4135" s="109"/>
      <c r="M4135" s="109"/>
      <c r="N4135" s="109"/>
      <c r="Q4135" s="121"/>
      <c r="W4135" s="109"/>
    </row>
    <row r="4136" spans="1:23" ht="12.75" hidden="1">
      <c r="A4136" s="109"/>
      <c r="B4136" s="109"/>
      <c r="C4136" s="109"/>
      <c r="D4136" s="109"/>
      <c r="E4136" s="109"/>
      <c r="F4136" s="109"/>
      <c r="G4136" s="109"/>
      <c r="H4136" s="109"/>
      <c r="I4136" s="109"/>
      <c r="J4136" s="109"/>
      <c r="L4136" s="109"/>
      <c r="M4136" s="109"/>
      <c r="N4136" s="109"/>
      <c r="Q4136" s="121"/>
      <c r="W4136" s="109"/>
    </row>
    <row r="4137" spans="1:23" ht="12.75" hidden="1">
      <c r="A4137" s="109"/>
      <c r="B4137" s="109"/>
      <c r="C4137" s="109"/>
      <c r="D4137" s="109"/>
      <c r="E4137" s="109"/>
      <c r="F4137" s="109"/>
      <c r="G4137" s="109"/>
      <c r="H4137" s="109"/>
      <c r="I4137" s="109"/>
      <c r="J4137" s="109"/>
      <c r="L4137" s="109"/>
      <c r="M4137" s="109"/>
      <c r="N4137" s="109"/>
      <c r="Q4137" s="121"/>
      <c r="W4137" s="109"/>
    </row>
    <row r="4138" spans="1:23" ht="12.75" hidden="1">
      <c r="A4138" s="109"/>
      <c r="B4138" s="109"/>
      <c r="C4138" s="109"/>
      <c r="D4138" s="109"/>
      <c r="E4138" s="109"/>
      <c r="F4138" s="109"/>
      <c r="G4138" s="109"/>
      <c r="H4138" s="109"/>
      <c r="I4138" s="109"/>
      <c r="J4138" s="109"/>
      <c r="L4138" s="109"/>
      <c r="M4138" s="109"/>
      <c r="N4138" s="109"/>
      <c r="Q4138" s="121"/>
      <c r="W4138" s="109"/>
    </row>
    <row r="4139" spans="1:23" ht="12.75" hidden="1">
      <c r="A4139" s="109"/>
      <c r="B4139" s="109"/>
      <c r="C4139" s="109"/>
      <c r="D4139" s="109"/>
      <c r="E4139" s="109"/>
      <c r="F4139" s="109"/>
      <c r="G4139" s="109"/>
      <c r="H4139" s="109"/>
      <c r="I4139" s="109"/>
      <c r="J4139" s="109"/>
      <c r="L4139" s="109"/>
      <c r="M4139" s="109"/>
      <c r="N4139" s="109"/>
      <c r="Q4139" s="121"/>
      <c r="W4139" s="109"/>
    </row>
    <row r="4140" spans="1:23" ht="12.75" hidden="1">
      <c r="A4140" s="109"/>
      <c r="B4140" s="109"/>
      <c r="C4140" s="109"/>
      <c r="D4140" s="109"/>
      <c r="E4140" s="109"/>
      <c r="F4140" s="109"/>
      <c r="G4140" s="109"/>
      <c r="H4140" s="109"/>
      <c r="I4140" s="109"/>
      <c r="J4140" s="109"/>
      <c r="L4140" s="109"/>
      <c r="M4140" s="109"/>
      <c r="N4140" s="109"/>
      <c r="Q4140" s="121"/>
      <c r="W4140" s="109"/>
    </row>
    <row r="4141" spans="1:23" ht="12.75" hidden="1">
      <c r="A4141" s="109"/>
      <c r="B4141" s="109"/>
      <c r="C4141" s="109"/>
      <c r="D4141" s="109"/>
      <c r="E4141" s="109"/>
      <c r="F4141" s="109"/>
      <c r="G4141" s="109"/>
      <c r="H4141" s="109"/>
      <c r="I4141" s="109"/>
      <c r="J4141" s="109"/>
      <c r="L4141" s="109"/>
      <c r="M4141" s="109"/>
      <c r="N4141" s="109"/>
      <c r="Q4141" s="121"/>
      <c r="W4141" s="109"/>
    </row>
    <row r="4142" spans="1:23" ht="12.75" hidden="1">
      <c r="A4142" s="109"/>
      <c r="B4142" s="109"/>
      <c r="C4142" s="109"/>
      <c r="D4142" s="109"/>
      <c r="E4142" s="109"/>
      <c r="F4142" s="109"/>
      <c r="G4142" s="109"/>
      <c r="H4142" s="109"/>
      <c r="I4142" s="109"/>
      <c r="J4142" s="109"/>
      <c r="L4142" s="109"/>
      <c r="M4142" s="109"/>
      <c r="N4142" s="109"/>
      <c r="Q4142" s="121"/>
      <c r="W4142" s="109"/>
    </row>
    <row r="4143" spans="1:23" ht="12.75" hidden="1">
      <c r="A4143" s="109"/>
      <c r="B4143" s="109"/>
      <c r="C4143" s="109"/>
      <c r="D4143" s="109"/>
      <c r="E4143" s="109"/>
      <c r="F4143" s="109"/>
      <c r="G4143" s="109"/>
      <c r="H4143" s="109"/>
      <c r="I4143" s="109"/>
      <c r="J4143" s="109"/>
      <c r="L4143" s="109"/>
      <c r="M4143" s="109"/>
      <c r="N4143" s="109"/>
      <c r="Q4143" s="121"/>
      <c r="W4143" s="109"/>
    </row>
    <row r="4144" spans="1:23" ht="12.75" hidden="1">
      <c r="A4144" s="109"/>
      <c r="B4144" s="109"/>
      <c r="C4144" s="109"/>
      <c r="D4144" s="109"/>
      <c r="E4144" s="109"/>
      <c r="F4144" s="109"/>
      <c r="G4144" s="109"/>
      <c r="H4144" s="109"/>
      <c r="I4144" s="109"/>
      <c r="J4144" s="109"/>
      <c r="L4144" s="109"/>
      <c r="M4144" s="109"/>
      <c r="N4144" s="109"/>
      <c r="Q4144" s="121"/>
      <c r="W4144" s="109"/>
    </row>
    <row r="4145" spans="1:23" ht="12.75" hidden="1">
      <c r="A4145" s="109"/>
      <c r="B4145" s="109"/>
      <c r="C4145" s="109"/>
      <c r="D4145" s="109"/>
      <c r="E4145" s="109"/>
      <c r="F4145" s="109"/>
      <c r="G4145" s="109"/>
      <c r="H4145" s="109"/>
      <c r="I4145" s="109"/>
      <c r="J4145" s="109"/>
      <c r="L4145" s="109"/>
      <c r="M4145" s="109"/>
      <c r="N4145" s="109"/>
      <c r="Q4145" s="121"/>
      <c r="W4145" s="109"/>
    </row>
    <row r="4146" spans="1:23" ht="12.75" hidden="1">
      <c r="A4146" s="109"/>
      <c r="B4146" s="109"/>
      <c r="C4146" s="109"/>
      <c r="D4146" s="109"/>
      <c r="E4146" s="109"/>
      <c r="F4146" s="109"/>
      <c r="G4146" s="109"/>
      <c r="H4146" s="109"/>
      <c r="I4146" s="109"/>
      <c r="J4146" s="109"/>
      <c r="L4146" s="109"/>
      <c r="M4146" s="109"/>
      <c r="N4146" s="109"/>
      <c r="Q4146" s="121"/>
      <c r="W4146" s="109"/>
    </row>
    <row r="4147" spans="1:23" ht="12.75" hidden="1">
      <c r="A4147" s="109"/>
      <c r="B4147" s="109"/>
      <c r="C4147" s="109"/>
      <c r="D4147" s="109"/>
      <c r="E4147" s="109"/>
      <c r="F4147" s="109"/>
      <c r="G4147" s="109"/>
      <c r="H4147" s="109"/>
      <c r="I4147" s="109"/>
      <c r="J4147" s="109"/>
      <c r="L4147" s="109"/>
      <c r="M4147" s="109"/>
      <c r="N4147" s="109"/>
      <c r="Q4147" s="121"/>
      <c r="W4147" s="109"/>
    </row>
    <row r="4148" spans="1:23" ht="12.75" hidden="1">
      <c r="A4148" s="109"/>
      <c r="B4148" s="109"/>
      <c r="C4148" s="109"/>
      <c r="D4148" s="109"/>
      <c r="E4148" s="109"/>
      <c r="F4148" s="109"/>
      <c r="G4148" s="109"/>
      <c r="H4148" s="109"/>
      <c r="I4148" s="109"/>
      <c r="J4148" s="109"/>
      <c r="L4148" s="109"/>
      <c r="M4148" s="109"/>
      <c r="N4148" s="109"/>
      <c r="Q4148" s="121"/>
      <c r="W4148" s="109"/>
    </row>
    <row r="4149" spans="1:23" ht="12.75" hidden="1">
      <c r="A4149" s="109"/>
      <c r="B4149" s="109"/>
      <c r="C4149" s="109"/>
      <c r="D4149" s="109"/>
      <c r="E4149" s="109"/>
      <c r="F4149" s="109"/>
      <c r="G4149" s="109"/>
      <c r="H4149" s="109"/>
      <c r="I4149" s="109"/>
      <c r="J4149" s="109"/>
      <c r="L4149" s="109"/>
      <c r="M4149" s="109"/>
      <c r="N4149" s="109"/>
      <c r="Q4149" s="121"/>
      <c r="W4149" s="109"/>
    </row>
    <row r="4150" spans="1:23" ht="12.75" hidden="1">
      <c r="A4150" s="109"/>
      <c r="B4150" s="109"/>
      <c r="C4150" s="109"/>
      <c r="D4150" s="109"/>
      <c r="E4150" s="109"/>
      <c r="F4150" s="109"/>
      <c r="G4150" s="109"/>
      <c r="H4150" s="109"/>
      <c r="I4150" s="109"/>
      <c r="J4150" s="109"/>
      <c r="L4150" s="109"/>
      <c r="M4150" s="109"/>
      <c r="N4150" s="109"/>
      <c r="Q4150" s="121"/>
      <c r="W4150" s="109"/>
    </row>
    <row r="4151" spans="1:23" ht="12.75" hidden="1">
      <c r="A4151" s="109"/>
      <c r="B4151" s="109"/>
      <c r="C4151" s="109"/>
      <c r="D4151" s="109"/>
      <c r="E4151" s="109"/>
      <c r="F4151" s="109"/>
      <c r="G4151" s="109"/>
      <c r="H4151" s="109"/>
      <c r="I4151" s="109"/>
      <c r="J4151" s="109"/>
      <c r="L4151" s="109"/>
      <c r="M4151" s="109"/>
      <c r="N4151" s="109"/>
      <c r="Q4151" s="121"/>
      <c r="W4151" s="109"/>
    </row>
    <row r="4152" spans="1:23" ht="12.75" hidden="1">
      <c r="A4152" s="109"/>
      <c r="B4152" s="109"/>
      <c r="C4152" s="109"/>
      <c r="D4152" s="109"/>
      <c r="E4152" s="109"/>
      <c r="F4152" s="109"/>
      <c r="G4152" s="109"/>
      <c r="H4152" s="109"/>
      <c r="I4152" s="109"/>
      <c r="J4152" s="109"/>
      <c r="L4152" s="109"/>
      <c r="M4152" s="109"/>
      <c r="N4152" s="109"/>
      <c r="Q4152" s="121"/>
      <c r="W4152" s="109"/>
    </row>
    <row r="4153" spans="1:23" ht="12.75" hidden="1">
      <c r="A4153" s="109"/>
      <c r="B4153" s="109"/>
      <c r="C4153" s="109"/>
      <c r="D4153" s="109"/>
      <c r="E4153" s="109"/>
      <c r="F4153" s="109"/>
      <c r="G4153" s="109"/>
      <c r="H4153" s="109"/>
      <c r="I4153" s="109"/>
      <c r="J4153" s="109"/>
      <c r="L4153" s="109"/>
      <c r="M4153" s="109"/>
      <c r="N4153" s="109"/>
      <c r="Q4153" s="121"/>
      <c r="W4153" s="109"/>
    </row>
    <row r="4154" spans="1:23" ht="12.75" hidden="1">
      <c r="A4154" s="109"/>
      <c r="B4154" s="109"/>
      <c r="C4154" s="109"/>
      <c r="D4154" s="109"/>
      <c r="E4154" s="109"/>
      <c r="F4154" s="109"/>
      <c r="G4154" s="109"/>
      <c r="H4154" s="109"/>
      <c r="I4154" s="109"/>
      <c r="J4154" s="109"/>
      <c r="L4154" s="109"/>
      <c r="M4154" s="109"/>
      <c r="N4154" s="109"/>
      <c r="Q4154" s="121"/>
      <c r="W4154" s="109"/>
    </row>
    <row r="4155" spans="1:23" ht="12.75" hidden="1">
      <c r="A4155" s="109"/>
      <c r="B4155" s="109"/>
      <c r="C4155" s="109"/>
      <c r="D4155" s="109"/>
      <c r="E4155" s="109"/>
      <c r="F4155" s="109"/>
      <c r="G4155" s="109"/>
      <c r="H4155" s="109"/>
      <c r="I4155" s="109"/>
      <c r="J4155" s="109"/>
      <c r="L4155" s="109"/>
      <c r="M4155" s="109"/>
      <c r="N4155" s="109"/>
      <c r="Q4155" s="121"/>
      <c r="W4155" s="109"/>
    </row>
    <row r="4156" spans="1:23" ht="12.75" hidden="1">
      <c r="A4156" s="109"/>
      <c r="B4156" s="109"/>
      <c r="C4156" s="109"/>
      <c r="D4156" s="109"/>
      <c r="E4156" s="109"/>
      <c r="F4156" s="109"/>
      <c r="G4156" s="109"/>
      <c r="H4156" s="109"/>
      <c r="I4156" s="109"/>
      <c r="J4156" s="109"/>
      <c r="L4156" s="109"/>
      <c r="M4156" s="109"/>
      <c r="N4156" s="109"/>
      <c r="Q4156" s="121"/>
      <c r="W4156" s="109"/>
    </row>
    <row r="4157" spans="1:23" ht="12.75" hidden="1">
      <c r="A4157" s="109"/>
      <c r="B4157" s="109"/>
      <c r="C4157" s="109"/>
      <c r="D4157" s="109"/>
      <c r="E4157" s="109"/>
      <c r="F4157" s="109"/>
      <c r="G4157" s="109"/>
      <c r="H4157" s="109"/>
      <c r="I4157" s="109"/>
      <c r="J4157" s="109"/>
      <c r="L4157" s="109"/>
      <c r="M4157" s="109"/>
      <c r="N4157" s="109"/>
      <c r="Q4157" s="121"/>
      <c r="W4157" s="109"/>
    </row>
    <row r="4158" spans="1:23" ht="12.75" hidden="1">
      <c r="A4158" s="109"/>
      <c r="B4158" s="109"/>
      <c r="C4158" s="109"/>
      <c r="D4158" s="109"/>
      <c r="E4158" s="109"/>
      <c r="F4158" s="109"/>
      <c r="G4158" s="109"/>
      <c r="H4158" s="109"/>
      <c r="I4158" s="109"/>
      <c r="J4158" s="109"/>
      <c r="L4158" s="109"/>
      <c r="M4158" s="109"/>
      <c r="N4158" s="109"/>
      <c r="Q4158" s="121"/>
      <c r="W4158" s="109"/>
    </row>
    <row r="4159" spans="1:23" ht="12.75" hidden="1">
      <c r="A4159" s="109"/>
      <c r="B4159" s="109"/>
      <c r="C4159" s="109"/>
      <c r="D4159" s="109"/>
      <c r="E4159" s="109"/>
      <c r="F4159" s="109"/>
      <c r="G4159" s="109"/>
      <c r="H4159" s="109"/>
      <c r="I4159" s="109"/>
      <c r="J4159" s="109"/>
      <c r="L4159" s="109"/>
      <c r="M4159" s="109"/>
      <c r="N4159" s="109"/>
      <c r="Q4159" s="121"/>
      <c r="W4159" s="109"/>
    </row>
    <row r="4160" spans="1:23" ht="12.75" hidden="1">
      <c r="A4160" s="109"/>
      <c r="B4160" s="109"/>
      <c r="C4160" s="109"/>
      <c r="D4160" s="109"/>
      <c r="E4160" s="109"/>
      <c r="F4160" s="109"/>
      <c r="G4160" s="109"/>
      <c r="H4160" s="109"/>
      <c r="I4160" s="109"/>
      <c r="J4160" s="109"/>
      <c r="L4160" s="109"/>
      <c r="M4160" s="109"/>
      <c r="N4160" s="109"/>
      <c r="Q4160" s="121"/>
      <c r="W4160" s="109"/>
    </row>
    <row r="4161" spans="1:23" ht="12.75" hidden="1">
      <c r="A4161" s="109"/>
      <c r="B4161" s="109"/>
      <c r="C4161" s="109"/>
      <c r="D4161" s="109"/>
      <c r="E4161" s="109"/>
      <c r="F4161" s="109"/>
      <c r="G4161" s="109"/>
      <c r="H4161" s="109"/>
      <c r="I4161" s="109"/>
      <c r="J4161" s="109"/>
      <c r="L4161" s="109"/>
      <c r="M4161" s="109"/>
      <c r="N4161" s="109"/>
      <c r="Q4161" s="121"/>
      <c r="W4161" s="109"/>
    </row>
    <row r="4162" spans="1:23" ht="12.75" hidden="1">
      <c r="A4162" s="109"/>
      <c r="B4162" s="109"/>
      <c r="C4162" s="109"/>
      <c r="D4162" s="109"/>
      <c r="E4162" s="109"/>
      <c r="F4162" s="109"/>
      <c r="G4162" s="109"/>
      <c r="H4162" s="109"/>
      <c r="I4162" s="109"/>
      <c r="J4162" s="109"/>
      <c r="L4162" s="109"/>
      <c r="M4162" s="109"/>
      <c r="N4162" s="109"/>
      <c r="Q4162" s="121"/>
      <c r="W4162" s="109"/>
    </row>
    <row r="4163" spans="1:23" ht="12.75" hidden="1">
      <c r="A4163" s="109"/>
      <c r="B4163" s="109"/>
      <c r="C4163" s="109"/>
      <c r="D4163" s="109"/>
      <c r="E4163" s="109"/>
      <c r="F4163" s="109"/>
      <c r="G4163" s="109"/>
      <c r="H4163" s="109"/>
      <c r="I4163" s="109"/>
      <c r="J4163" s="109"/>
      <c r="L4163" s="109"/>
      <c r="M4163" s="109"/>
      <c r="N4163" s="109"/>
      <c r="Q4163" s="121"/>
      <c r="W4163" s="109"/>
    </row>
    <row r="4164" spans="1:23" ht="12.75" hidden="1">
      <c r="A4164" s="109"/>
      <c r="B4164" s="109"/>
      <c r="C4164" s="109"/>
      <c r="D4164" s="109"/>
      <c r="E4164" s="109"/>
      <c r="F4164" s="109"/>
      <c r="G4164" s="109"/>
      <c r="H4164" s="109"/>
      <c r="I4164" s="109"/>
      <c r="J4164" s="109"/>
      <c r="L4164" s="109"/>
      <c r="M4164" s="109"/>
      <c r="N4164" s="109"/>
      <c r="Q4164" s="121"/>
      <c r="W4164" s="109"/>
    </row>
    <row r="4165" spans="1:23" ht="12.75" hidden="1">
      <c r="A4165" s="109"/>
      <c r="B4165" s="109"/>
      <c r="C4165" s="109"/>
      <c r="D4165" s="109"/>
      <c r="E4165" s="109"/>
      <c r="F4165" s="109"/>
      <c r="G4165" s="109"/>
      <c r="H4165" s="109"/>
      <c r="I4165" s="109"/>
      <c r="J4165" s="109"/>
      <c r="L4165" s="109"/>
      <c r="M4165" s="109"/>
      <c r="N4165" s="109"/>
      <c r="Q4165" s="121"/>
      <c r="W4165" s="109"/>
    </row>
    <row r="4166" spans="1:23" ht="12.75" hidden="1">
      <c r="A4166" s="109"/>
      <c r="B4166" s="109"/>
      <c r="C4166" s="109"/>
      <c r="D4166" s="109"/>
      <c r="E4166" s="109"/>
      <c r="F4166" s="109"/>
      <c r="G4166" s="109"/>
      <c r="H4166" s="109"/>
      <c r="I4166" s="109"/>
      <c r="J4166" s="109"/>
      <c r="L4166" s="109"/>
      <c r="M4166" s="109"/>
      <c r="N4166" s="109"/>
      <c r="Q4166" s="121"/>
      <c r="W4166" s="109"/>
    </row>
    <row r="4167" spans="1:23" ht="12.75" hidden="1">
      <c r="A4167" s="109"/>
      <c r="B4167" s="109"/>
      <c r="C4167" s="109"/>
      <c r="D4167" s="109"/>
      <c r="E4167" s="109"/>
      <c r="F4167" s="109"/>
      <c r="G4167" s="109"/>
      <c r="H4167" s="109"/>
      <c r="I4167" s="109"/>
      <c r="J4167" s="109"/>
      <c r="L4167" s="109"/>
      <c r="M4167" s="109"/>
      <c r="N4167" s="109"/>
      <c r="Q4167" s="121"/>
      <c r="W4167" s="109"/>
    </row>
    <row r="4168" spans="1:23" ht="12.75" hidden="1">
      <c r="A4168" s="109"/>
      <c r="B4168" s="109"/>
      <c r="C4168" s="109"/>
      <c r="D4168" s="109"/>
      <c r="E4168" s="109"/>
      <c r="F4168" s="109"/>
      <c r="G4168" s="109"/>
      <c r="H4168" s="109"/>
      <c r="I4168" s="109"/>
      <c r="J4168" s="109"/>
      <c r="L4168" s="109"/>
      <c r="M4168" s="109"/>
      <c r="N4168" s="109"/>
      <c r="Q4168" s="121"/>
      <c r="W4168" s="109"/>
    </row>
    <row r="4169" spans="1:23" ht="12.75" hidden="1">
      <c r="A4169" s="109"/>
      <c r="B4169" s="109"/>
      <c r="C4169" s="109"/>
      <c r="D4169" s="109"/>
      <c r="E4169" s="109"/>
      <c r="F4169" s="109"/>
      <c r="G4169" s="109"/>
      <c r="H4169" s="109"/>
      <c r="I4169" s="109"/>
      <c r="J4169" s="109"/>
      <c r="L4169" s="109"/>
      <c r="M4169" s="109"/>
      <c r="N4169" s="109"/>
      <c r="Q4169" s="121"/>
      <c r="W4169" s="109"/>
    </row>
    <row r="4170" spans="1:23" ht="12.75" hidden="1">
      <c r="A4170" s="109"/>
      <c r="B4170" s="109"/>
      <c r="C4170" s="109"/>
      <c r="D4170" s="109"/>
      <c r="E4170" s="109"/>
      <c r="F4170" s="109"/>
      <c r="G4170" s="109"/>
      <c r="H4170" s="109"/>
      <c r="I4170" s="109"/>
      <c r="J4170" s="109"/>
      <c r="L4170" s="109"/>
      <c r="M4170" s="109"/>
      <c r="N4170" s="109"/>
      <c r="Q4170" s="121"/>
      <c r="W4170" s="109"/>
    </row>
    <row r="4171" spans="1:23" ht="12.75" hidden="1">
      <c r="A4171" s="109"/>
      <c r="B4171" s="109"/>
      <c r="C4171" s="109"/>
      <c r="D4171" s="109"/>
      <c r="E4171" s="109"/>
      <c r="F4171" s="109"/>
      <c r="G4171" s="109"/>
      <c r="H4171" s="109"/>
      <c r="I4171" s="109"/>
      <c r="J4171" s="109"/>
      <c r="L4171" s="109"/>
      <c r="M4171" s="109"/>
      <c r="N4171" s="109"/>
      <c r="Q4171" s="121"/>
      <c r="W4171" s="109"/>
    </row>
    <row r="4172" spans="1:23" ht="12.75" hidden="1">
      <c r="A4172" s="109"/>
      <c r="B4172" s="109"/>
      <c r="C4172" s="109"/>
      <c r="D4172" s="109"/>
      <c r="E4172" s="109"/>
      <c r="F4172" s="109"/>
      <c r="G4172" s="109"/>
      <c r="H4172" s="109"/>
      <c r="I4172" s="109"/>
      <c r="J4172" s="109"/>
      <c r="L4172" s="109"/>
      <c r="M4172" s="109"/>
      <c r="N4172" s="109"/>
      <c r="Q4172" s="121"/>
      <c r="W4172" s="109"/>
    </row>
    <row r="4173" spans="1:23" ht="12.75" hidden="1">
      <c r="A4173" s="109"/>
      <c r="B4173" s="109"/>
      <c r="C4173" s="109"/>
      <c r="D4173" s="109"/>
      <c r="E4173" s="109"/>
      <c r="F4173" s="109"/>
      <c r="G4173" s="109"/>
      <c r="H4173" s="109"/>
      <c r="I4173" s="109"/>
      <c r="J4173" s="109"/>
      <c r="L4173" s="109"/>
      <c r="M4173" s="109"/>
      <c r="N4173" s="109"/>
      <c r="Q4173" s="121"/>
      <c r="W4173" s="109"/>
    </row>
    <row r="4174" spans="1:23" ht="12.75" hidden="1">
      <c r="A4174" s="109"/>
      <c r="B4174" s="109"/>
      <c r="C4174" s="109"/>
      <c r="D4174" s="109"/>
      <c r="E4174" s="109"/>
      <c r="F4174" s="109"/>
      <c r="G4174" s="109"/>
      <c r="H4174" s="109"/>
      <c r="I4174" s="109"/>
      <c r="J4174" s="109"/>
      <c r="L4174" s="109"/>
      <c r="M4174" s="109"/>
      <c r="N4174" s="109"/>
      <c r="Q4174" s="121"/>
      <c r="W4174" s="109"/>
    </row>
    <row r="4175" spans="1:23" ht="12.75" hidden="1">
      <c r="A4175" s="109"/>
      <c r="B4175" s="109"/>
      <c r="C4175" s="109"/>
      <c r="D4175" s="109"/>
      <c r="E4175" s="109"/>
      <c r="F4175" s="109"/>
      <c r="G4175" s="109"/>
      <c r="H4175" s="109"/>
      <c r="I4175" s="109"/>
      <c r="J4175" s="109"/>
      <c r="L4175" s="109"/>
      <c r="M4175" s="109"/>
      <c r="N4175" s="109"/>
      <c r="Q4175" s="121"/>
      <c r="W4175" s="109"/>
    </row>
    <row r="4176" spans="1:23" ht="12.75" hidden="1">
      <c r="A4176" s="109"/>
      <c r="B4176" s="109"/>
      <c r="C4176" s="109"/>
      <c r="D4176" s="109"/>
      <c r="E4176" s="109"/>
      <c r="F4176" s="109"/>
      <c r="G4176" s="109"/>
      <c r="H4176" s="109"/>
      <c r="I4176" s="109"/>
      <c r="J4176" s="109"/>
      <c r="L4176" s="109"/>
      <c r="M4176" s="109"/>
      <c r="N4176" s="109"/>
      <c r="Q4176" s="121"/>
      <c r="W4176" s="109"/>
    </row>
    <row r="4177" spans="1:23" ht="12.75" hidden="1">
      <c r="A4177" s="109"/>
      <c r="B4177" s="109"/>
      <c r="C4177" s="109"/>
      <c r="D4177" s="109"/>
      <c r="E4177" s="109"/>
      <c r="F4177" s="109"/>
      <c r="G4177" s="109"/>
      <c r="H4177" s="109"/>
      <c r="I4177" s="109"/>
      <c r="J4177" s="109"/>
      <c r="L4177" s="109"/>
      <c r="M4177" s="109"/>
      <c r="N4177" s="109"/>
      <c r="Q4177" s="121"/>
      <c r="W4177" s="109"/>
    </row>
    <row r="4178" spans="1:23" ht="12.75" hidden="1">
      <c r="A4178" s="109"/>
      <c r="B4178" s="109"/>
      <c r="C4178" s="109"/>
      <c r="D4178" s="109"/>
      <c r="E4178" s="109"/>
      <c r="F4178" s="109"/>
      <c r="G4178" s="109"/>
      <c r="H4178" s="109"/>
      <c r="I4178" s="109"/>
      <c r="J4178" s="109"/>
      <c r="L4178" s="109"/>
      <c r="M4178" s="109"/>
      <c r="N4178" s="109"/>
      <c r="Q4178" s="121"/>
      <c r="W4178" s="109"/>
    </row>
    <row r="4179" spans="1:23" ht="12.75" hidden="1">
      <c r="A4179" s="109"/>
      <c r="B4179" s="109"/>
      <c r="C4179" s="109"/>
      <c r="D4179" s="109"/>
      <c r="E4179" s="109"/>
      <c r="F4179" s="109"/>
      <c r="G4179" s="109"/>
      <c r="H4179" s="109"/>
      <c r="I4179" s="109"/>
      <c r="J4179" s="109"/>
      <c r="L4179" s="109"/>
      <c r="M4179" s="109"/>
      <c r="N4179" s="109"/>
      <c r="Q4179" s="121"/>
      <c r="W4179" s="109"/>
    </row>
    <row r="4180" spans="1:23" ht="12.75" hidden="1">
      <c r="A4180" s="109"/>
      <c r="B4180" s="109"/>
      <c r="C4180" s="109"/>
      <c r="D4180" s="109"/>
      <c r="E4180" s="109"/>
      <c r="F4180" s="109"/>
      <c r="G4180" s="109"/>
      <c r="H4180" s="109"/>
      <c r="I4180" s="109"/>
      <c r="J4180" s="109"/>
      <c r="L4180" s="109"/>
      <c r="M4180" s="109"/>
      <c r="N4180" s="109"/>
      <c r="Q4180" s="121"/>
      <c r="W4180" s="109"/>
    </row>
    <row r="4181" spans="1:23" ht="12.75" hidden="1">
      <c r="A4181" s="109"/>
      <c r="B4181" s="109"/>
      <c r="C4181" s="109"/>
      <c r="D4181" s="109"/>
      <c r="E4181" s="109"/>
      <c r="F4181" s="109"/>
      <c r="G4181" s="109"/>
      <c r="H4181" s="109"/>
      <c r="I4181" s="109"/>
      <c r="J4181" s="109"/>
      <c r="L4181" s="109"/>
      <c r="M4181" s="109"/>
      <c r="N4181" s="109"/>
      <c r="Q4181" s="121"/>
      <c r="W4181" s="109"/>
    </row>
    <row r="4182" spans="1:23" ht="12.75" hidden="1">
      <c r="A4182" s="109"/>
      <c r="B4182" s="109"/>
      <c r="C4182" s="109"/>
      <c r="D4182" s="109"/>
      <c r="E4182" s="109"/>
      <c r="F4182" s="109"/>
      <c r="G4182" s="109"/>
      <c r="H4182" s="109"/>
      <c r="I4182" s="109"/>
      <c r="J4182" s="109"/>
      <c r="L4182" s="109"/>
      <c r="M4182" s="109"/>
      <c r="N4182" s="109"/>
      <c r="Q4182" s="121"/>
      <c r="W4182" s="109"/>
    </row>
    <row r="4183" spans="1:23" ht="12.75" hidden="1">
      <c r="A4183" s="109"/>
      <c r="B4183" s="109"/>
      <c r="C4183" s="109"/>
      <c r="D4183" s="109"/>
      <c r="E4183" s="109"/>
      <c r="F4183" s="109"/>
      <c r="G4183" s="109"/>
      <c r="H4183" s="109"/>
      <c r="I4183" s="109"/>
      <c r="J4183" s="109"/>
      <c r="L4183" s="109"/>
      <c r="M4183" s="109"/>
      <c r="N4183" s="109"/>
      <c r="Q4183" s="121"/>
      <c r="W4183" s="109"/>
    </row>
    <row r="4184" spans="1:23" ht="12.75" hidden="1">
      <c r="A4184" s="109"/>
      <c r="B4184" s="109"/>
      <c r="C4184" s="109"/>
      <c r="D4184" s="109"/>
      <c r="E4184" s="109"/>
      <c r="F4184" s="109"/>
      <c r="G4184" s="109"/>
      <c r="H4184" s="109"/>
      <c r="I4184" s="109"/>
      <c r="J4184" s="109"/>
      <c r="L4184" s="109"/>
      <c r="M4184" s="109"/>
      <c r="N4184" s="109"/>
      <c r="Q4184" s="121"/>
      <c r="W4184" s="109"/>
    </row>
    <row r="4185" spans="1:23" ht="12.75" hidden="1">
      <c r="A4185" s="109"/>
      <c r="B4185" s="109"/>
      <c r="C4185" s="109"/>
      <c r="D4185" s="109"/>
      <c r="E4185" s="109"/>
      <c r="F4185" s="109"/>
      <c r="G4185" s="109"/>
      <c r="H4185" s="109"/>
      <c r="I4185" s="109"/>
      <c r="J4185" s="109"/>
      <c r="L4185" s="109"/>
      <c r="M4185" s="109"/>
      <c r="N4185" s="109"/>
      <c r="Q4185" s="121"/>
      <c r="W4185" s="109"/>
    </row>
    <row r="4186" spans="1:23" ht="12.75" hidden="1">
      <c r="A4186" s="109"/>
      <c r="B4186" s="109"/>
      <c r="C4186" s="109"/>
      <c r="D4186" s="109"/>
      <c r="E4186" s="109"/>
      <c r="F4186" s="109"/>
      <c r="G4186" s="109"/>
      <c r="H4186" s="109"/>
      <c r="I4186" s="109"/>
      <c r="J4186" s="109"/>
      <c r="L4186" s="109"/>
      <c r="M4186" s="109"/>
      <c r="N4186" s="109"/>
      <c r="Q4186" s="121"/>
      <c r="W4186" s="109"/>
    </row>
    <row r="4187" spans="1:23" ht="12.75" hidden="1">
      <c r="A4187" s="109"/>
      <c r="B4187" s="109"/>
      <c r="C4187" s="109"/>
      <c r="D4187" s="109"/>
      <c r="E4187" s="109"/>
      <c r="F4187" s="109"/>
      <c r="G4187" s="109"/>
      <c r="H4187" s="109"/>
      <c r="I4187" s="109"/>
      <c r="J4187" s="109"/>
      <c r="L4187" s="109"/>
      <c r="M4187" s="109"/>
      <c r="N4187" s="109"/>
      <c r="Q4187" s="121"/>
      <c r="W4187" s="109"/>
    </row>
    <row r="4188" spans="1:23" ht="12.75" hidden="1">
      <c r="A4188" s="109"/>
      <c r="B4188" s="109"/>
      <c r="C4188" s="109"/>
      <c r="D4188" s="109"/>
      <c r="E4188" s="109"/>
      <c r="F4188" s="109"/>
      <c r="G4188" s="109"/>
      <c r="H4188" s="109"/>
      <c r="I4188" s="109"/>
      <c r="J4188" s="109"/>
      <c r="L4188" s="109"/>
      <c r="M4188" s="109"/>
      <c r="N4188" s="109"/>
      <c r="Q4188" s="121"/>
      <c r="W4188" s="109"/>
    </row>
    <row r="4189" spans="1:23" ht="12.75" hidden="1">
      <c r="A4189" s="109"/>
      <c r="B4189" s="109"/>
      <c r="C4189" s="109"/>
      <c r="D4189" s="109"/>
      <c r="E4189" s="109"/>
      <c r="F4189" s="109"/>
      <c r="G4189" s="109"/>
      <c r="H4189" s="109"/>
      <c r="I4189" s="109"/>
      <c r="J4189" s="109"/>
      <c r="L4189" s="109"/>
      <c r="M4189" s="109"/>
      <c r="N4189" s="109"/>
      <c r="Q4189" s="121"/>
      <c r="W4189" s="109"/>
    </row>
    <row r="4190" spans="1:23" ht="12.75" hidden="1">
      <c r="A4190" s="109"/>
      <c r="B4190" s="109"/>
      <c r="C4190" s="109"/>
      <c r="D4190" s="109"/>
      <c r="E4190" s="109"/>
      <c r="F4190" s="109"/>
      <c r="G4190" s="109"/>
      <c r="H4190" s="109"/>
      <c r="I4190" s="109"/>
      <c r="J4190" s="109"/>
      <c r="L4190" s="109"/>
      <c r="M4190" s="109"/>
      <c r="N4190" s="109"/>
      <c r="Q4190" s="121"/>
      <c r="W4190" s="109"/>
    </row>
    <row r="4191" spans="1:23" ht="12.75" hidden="1">
      <c r="A4191" s="109"/>
      <c r="B4191" s="109"/>
      <c r="C4191" s="109"/>
      <c r="D4191" s="109"/>
      <c r="E4191" s="109"/>
      <c r="F4191" s="109"/>
      <c r="G4191" s="109"/>
      <c r="H4191" s="109"/>
      <c r="I4191" s="109"/>
      <c r="J4191" s="109"/>
      <c r="L4191" s="109"/>
      <c r="M4191" s="109"/>
      <c r="N4191" s="109"/>
      <c r="Q4191" s="121"/>
      <c r="W4191" s="109"/>
    </row>
    <row r="4192" spans="1:23" ht="12.75" hidden="1">
      <c r="A4192" s="109"/>
      <c r="B4192" s="109"/>
      <c r="C4192" s="109"/>
      <c r="D4192" s="109"/>
      <c r="E4192" s="109"/>
      <c r="F4192" s="109"/>
      <c r="G4192" s="109"/>
      <c r="H4192" s="109"/>
      <c r="I4192" s="109"/>
      <c r="J4192" s="109"/>
      <c r="L4192" s="109"/>
      <c r="M4192" s="109"/>
      <c r="N4192" s="109"/>
      <c r="Q4192" s="121"/>
      <c r="W4192" s="109"/>
    </row>
    <row r="4193" spans="1:23" ht="12.75" hidden="1">
      <c r="A4193" s="109"/>
      <c r="B4193" s="109"/>
      <c r="C4193" s="109"/>
      <c r="D4193" s="109"/>
      <c r="E4193" s="109"/>
      <c r="F4193" s="109"/>
      <c r="G4193" s="109"/>
      <c r="H4193" s="109"/>
      <c r="I4193" s="109"/>
      <c r="J4193" s="109"/>
      <c r="L4193" s="109"/>
      <c r="M4193" s="109"/>
      <c r="N4193" s="109"/>
      <c r="Q4193" s="121"/>
      <c r="W4193" s="109"/>
    </row>
    <row r="4194" spans="1:23" ht="12.75" hidden="1">
      <c r="A4194" s="109"/>
      <c r="B4194" s="109"/>
      <c r="C4194" s="109"/>
      <c r="D4194" s="109"/>
      <c r="E4194" s="109"/>
      <c r="F4194" s="109"/>
      <c r="G4194" s="109"/>
      <c r="H4194" s="109"/>
      <c r="I4194" s="109"/>
      <c r="J4194" s="109"/>
      <c r="L4194" s="109"/>
      <c r="M4194" s="109"/>
      <c r="N4194" s="109"/>
      <c r="Q4194" s="121"/>
      <c r="W4194" s="109"/>
    </row>
    <row r="4195" spans="1:23" ht="12.75" hidden="1">
      <c r="A4195" s="109"/>
      <c r="B4195" s="109"/>
      <c r="C4195" s="109"/>
      <c r="D4195" s="109"/>
      <c r="E4195" s="109"/>
      <c r="F4195" s="109"/>
      <c r="G4195" s="109"/>
      <c r="H4195" s="109"/>
      <c r="I4195" s="109"/>
      <c r="J4195" s="109"/>
      <c r="L4195" s="109"/>
      <c r="M4195" s="109"/>
      <c r="N4195" s="109"/>
      <c r="Q4195" s="121"/>
      <c r="W4195" s="109"/>
    </row>
    <row r="4196" spans="1:23" ht="12.75" hidden="1">
      <c r="A4196" s="109"/>
      <c r="B4196" s="109"/>
      <c r="C4196" s="109"/>
      <c r="D4196" s="109"/>
      <c r="E4196" s="109"/>
      <c r="F4196" s="109"/>
      <c r="G4196" s="109"/>
      <c r="H4196" s="109"/>
      <c r="I4196" s="109"/>
      <c r="J4196" s="109"/>
      <c r="L4196" s="109"/>
      <c r="M4196" s="109"/>
      <c r="N4196" s="109"/>
      <c r="Q4196" s="121"/>
      <c r="W4196" s="109"/>
    </row>
    <row r="4197" spans="1:23" ht="12.75" hidden="1">
      <c r="A4197" s="109"/>
      <c r="B4197" s="109"/>
      <c r="C4197" s="109"/>
      <c r="D4197" s="109"/>
      <c r="E4197" s="109"/>
      <c r="F4197" s="109"/>
      <c r="G4197" s="109"/>
      <c r="H4197" s="109"/>
      <c r="I4197" s="109"/>
      <c r="J4197" s="109"/>
      <c r="L4197" s="109"/>
      <c r="M4197" s="109"/>
      <c r="N4197" s="109"/>
      <c r="Q4197" s="121"/>
      <c r="W4197" s="109"/>
    </row>
    <row r="4198" spans="1:23" ht="12.75" hidden="1">
      <c r="A4198" s="109"/>
      <c r="B4198" s="109"/>
      <c r="C4198" s="109"/>
      <c r="D4198" s="109"/>
      <c r="E4198" s="109"/>
      <c r="F4198" s="109"/>
      <c r="G4198" s="109"/>
      <c r="H4198" s="109"/>
      <c r="I4198" s="109"/>
      <c r="J4198" s="109"/>
      <c r="L4198" s="109"/>
      <c r="M4198" s="109"/>
      <c r="N4198" s="109"/>
      <c r="Q4198" s="121"/>
      <c r="W4198" s="109"/>
    </row>
    <row r="4199" spans="1:23" ht="12.75" hidden="1">
      <c r="A4199" s="109"/>
      <c r="B4199" s="109"/>
      <c r="C4199" s="109"/>
      <c r="D4199" s="109"/>
      <c r="E4199" s="109"/>
      <c r="F4199" s="109"/>
      <c r="G4199" s="109"/>
      <c r="H4199" s="109"/>
      <c r="I4199" s="109"/>
      <c r="J4199" s="109"/>
      <c r="L4199" s="109"/>
      <c r="M4199" s="109"/>
      <c r="N4199" s="109"/>
      <c r="Q4199" s="121"/>
      <c r="W4199" s="109"/>
    </row>
    <row r="4200" spans="1:23" ht="12.75" hidden="1">
      <c r="A4200" s="109"/>
      <c r="B4200" s="109"/>
      <c r="C4200" s="109"/>
      <c r="D4200" s="109"/>
      <c r="E4200" s="109"/>
      <c r="F4200" s="109"/>
      <c r="G4200" s="109"/>
      <c r="H4200" s="109"/>
      <c r="I4200" s="109"/>
      <c r="J4200" s="109"/>
      <c r="L4200" s="109"/>
      <c r="M4200" s="109"/>
      <c r="N4200" s="109"/>
      <c r="Q4200" s="121"/>
      <c r="W4200" s="109"/>
    </row>
    <row r="4201" spans="1:23" ht="12.75" hidden="1">
      <c r="A4201" s="109"/>
      <c r="B4201" s="109"/>
      <c r="C4201" s="109"/>
      <c r="D4201" s="109"/>
      <c r="E4201" s="109"/>
      <c r="F4201" s="109"/>
      <c r="G4201" s="109"/>
      <c r="H4201" s="109"/>
      <c r="I4201" s="109"/>
      <c r="J4201" s="109"/>
      <c r="L4201" s="109"/>
      <c r="M4201" s="109"/>
      <c r="N4201" s="109"/>
      <c r="Q4201" s="121"/>
      <c r="W4201" s="109"/>
    </row>
    <row r="4202" spans="1:23" ht="12.75" hidden="1">
      <c r="A4202" s="109"/>
      <c r="B4202" s="109"/>
      <c r="C4202" s="109"/>
      <c r="D4202" s="109"/>
      <c r="E4202" s="109"/>
      <c r="F4202" s="109"/>
      <c r="G4202" s="109"/>
      <c r="H4202" s="109"/>
      <c r="I4202" s="109"/>
      <c r="J4202" s="109"/>
      <c r="L4202" s="109"/>
      <c r="M4202" s="109"/>
      <c r="N4202" s="109"/>
      <c r="Q4202" s="121"/>
      <c r="W4202" s="109"/>
    </row>
    <row r="4203" spans="1:23" ht="12.75" hidden="1">
      <c r="A4203" s="109"/>
      <c r="B4203" s="109"/>
      <c r="C4203" s="109"/>
      <c r="D4203" s="109"/>
      <c r="E4203" s="109"/>
      <c r="F4203" s="109"/>
      <c r="G4203" s="109"/>
      <c r="H4203" s="109"/>
      <c r="I4203" s="109"/>
      <c r="J4203" s="109"/>
      <c r="L4203" s="109"/>
      <c r="M4203" s="109"/>
      <c r="N4203" s="109"/>
      <c r="Q4203" s="121"/>
      <c r="W4203" s="109"/>
    </row>
    <row r="4204" spans="1:23" ht="12.75" hidden="1">
      <c r="A4204" s="109"/>
      <c r="B4204" s="109"/>
      <c r="C4204" s="109"/>
      <c r="D4204" s="109"/>
      <c r="E4204" s="109"/>
      <c r="F4204" s="109"/>
      <c r="G4204" s="109"/>
      <c r="H4204" s="109"/>
      <c r="I4204" s="109"/>
      <c r="J4204" s="109"/>
      <c r="L4204" s="109"/>
      <c r="M4204" s="109"/>
      <c r="N4204" s="109"/>
      <c r="Q4204" s="121"/>
      <c r="W4204" s="109"/>
    </row>
    <row r="4205" spans="1:23" ht="12.75" hidden="1">
      <c r="A4205" s="109"/>
      <c r="B4205" s="109"/>
      <c r="C4205" s="109"/>
      <c r="D4205" s="109"/>
      <c r="E4205" s="109"/>
      <c r="F4205" s="109"/>
      <c r="G4205" s="109"/>
      <c r="H4205" s="109"/>
      <c r="I4205" s="109"/>
      <c r="J4205" s="109"/>
      <c r="L4205" s="109"/>
      <c r="M4205" s="109"/>
      <c r="N4205" s="109"/>
      <c r="Q4205" s="121"/>
      <c r="W4205" s="109"/>
    </row>
    <row r="4206" spans="1:23" ht="12.75" hidden="1">
      <c r="A4206" s="109"/>
      <c r="B4206" s="109"/>
      <c r="C4206" s="109"/>
      <c r="D4206" s="109"/>
      <c r="E4206" s="109"/>
      <c r="F4206" s="109"/>
      <c r="G4206" s="109"/>
      <c r="H4206" s="109"/>
      <c r="I4206" s="109"/>
      <c r="J4206" s="109"/>
      <c r="L4206" s="109"/>
      <c r="M4206" s="109"/>
      <c r="N4206" s="109"/>
      <c r="Q4206" s="121"/>
      <c r="W4206" s="109"/>
    </row>
    <row r="4207" spans="1:23" ht="12.75" hidden="1">
      <c r="A4207" s="109"/>
      <c r="B4207" s="109"/>
      <c r="C4207" s="109"/>
      <c r="D4207" s="109"/>
      <c r="E4207" s="109"/>
      <c r="F4207" s="109"/>
      <c r="G4207" s="109"/>
      <c r="H4207" s="109"/>
      <c r="I4207" s="109"/>
      <c r="J4207" s="109"/>
      <c r="L4207" s="109"/>
      <c r="M4207" s="109"/>
      <c r="N4207" s="109"/>
      <c r="Q4207" s="121"/>
      <c r="W4207" s="109"/>
    </row>
    <row r="4208" spans="1:23" ht="12.75" hidden="1">
      <c r="A4208" s="109"/>
      <c r="B4208" s="109"/>
      <c r="C4208" s="109"/>
      <c r="D4208" s="109"/>
      <c r="E4208" s="109"/>
      <c r="F4208" s="109"/>
      <c r="G4208" s="109"/>
      <c r="H4208" s="109"/>
      <c r="I4208" s="109"/>
      <c r="J4208" s="109"/>
      <c r="L4208" s="109"/>
      <c r="M4208" s="109"/>
      <c r="N4208" s="109"/>
      <c r="Q4208" s="121"/>
      <c r="W4208" s="109"/>
    </row>
    <row r="4209" spans="1:23" ht="12.75" hidden="1">
      <c r="A4209" s="109"/>
      <c r="B4209" s="109"/>
      <c r="C4209" s="109"/>
      <c r="D4209" s="109"/>
      <c r="E4209" s="109"/>
      <c r="F4209" s="109"/>
      <c r="G4209" s="109"/>
      <c r="H4209" s="109"/>
      <c r="I4209" s="109"/>
      <c r="J4209" s="109"/>
      <c r="L4209" s="109"/>
      <c r="M4209" s="109"/>
      <c r="N4209" s="109"/>
      <c r="Q4209" s="121"/>
      <c r="W4209" s="109"/>
    </row>
    <row r="4210" spans="1:23" ht="12.75" hidden="1">
      <c r="A4210" s="109"/>
      <c r="B4210" s="109"/>
      <c r="C4210" s="109"/>
      <c r="D4210" s="109"/>
      <c r="E4210" s="109"/>
      <c r="F4210" s="109"/>
      <c r="G4210" s="109"/>
      <c r="H4210" s="109"/>
      <c r="I4210" s="109"/>
      <c r="J4210" s="109"/>
      <c r="L4210" s="109"/>
      <c r="M4210" s="109"/>
      <c r="N4210" s="109"/>
      <c r="Q4210" s="121"/>
      <c r="W4210" s="109"/>
    </row>
    <row r="4211" spans="1:23" ht="12.75" hidden="1">
      <c r="A4211" s="109"/>
      <c r="B4211" s="109"/>
      <c r="C4211" s="109"/>
      <c r="D4211" s="109"/>
      <c r="E4211" s="109"/>
      <c r="F4211" s="109"/>
      <c r="G4211" s="109"/>
      <c r="H4211" s="109"/>
      <c r="I4211" s="109"/>
      <c r="J4211" s="109"/>
      <c r="L4211" s="109"/>
      <c r="M4211" s="109"/>
      <c r="N4211" s="109"/>
      <c r="Q4211" s="121"/>
      <c r="W4211" s="109"/>
    </row>
    <row r="4212" spans="1:23" ht="12.75" hidden="1">
      <c r="A4212" s="109"/>
      <c r="B4212" s="109"/>
      <c r="C4212" s="109"/>
      <c r="D4212" s="109"/>
      <c r="E4212" s="109"/>
      <c r="F4212" s="109"/>
      <c r="G4212" s="109"/>
      <c r="H4212" s="109"/>
      <c r="I4212" s="109"/>
      <c r="J4212" s="109"/>
      <c r="L4212" s="109"/>
      <c r="M4212" s="109"/>
      <c r="N4212" s="109"/>
      <c r="Q4212" s="121"/>
      <c r="W4212" s="109"/>
    </row>
    <row r="4213" spans="1:23" ht="12.75" hidden="1">
      <c r="A4213" s="109"/>
      <c r="B4213" s="109"/>
      <c r="C4213" s="109"/>
      <c r="D4213" s="109"/>
      <c r="E4213" s="109"/>
      <c r="F4213" s="109"/>
      <c r="G4213" s="109"/>
      <c r="H4213" s="109"/>
      <c r="I4213" s="109"/>
      <c r="J4213" s="109"/>
      <c r="L4213" s="109"/>
      <c r="M4213" s="109"/>
      <c r="N4213" s="109"/>
      <c r="Q4213" s="121"/>
      <c r="W4213" s="109"/>
    </row>
    <row r="4214" spans="1:23" ht="12.75" hidden="1">
      <c r="A4214" s="109"/>
      <c r="B4214" s="109"/>
      <c r="C4214" s="109"/>
      <c r="D4214" s="109"/>
      <c r="E4214" s="109"/>
      <c r="F4214" s="109"/>
      <c r="G4214" s="109"/>
      <c r="H4214" s="109"/>
      <c r="I4214" s="109"/>
      <c r="J4214" s="109"/>
      <c r="L4214" s="109"/>
      <c r="M4214" s="109"/>
      <c r="N4214" s="109"/>
      <c r="Q4214" s="121"/>
      <c r="W4214" s="109"/>
    </row>
    <row r="4215" spans="1:23" ht="12.75" hidden="1">
      <c r="A4215" s="109"/>
      <c r="B4215" s="109"/>
      <c r="C4215" s="109"/>
      <c r="D4215" s="109"/>
      <c r="E4215" s="109"/>
      <c r="F4215" s="109"/>
      <c r="G4215" s="109"/>
      <c r="H4215" s="109"/>
      <c r="I4215" s="109"/>
      <c r="J4215" s="109"/>
      <c r="L4215" s="109"/>
      <c r="M4215" s="109"/>
      <c r="N4215" s="109"/>
      <c r="Q4215" s="121"/>
      <c r="W4215" s="109"/>
    </row>
    <row r="4216" spans="1:23" ht="12.75" hidden="1">
      <c r="A4216" s="109"/>
      <c r="B4216" s="109"/>
      <c r="C4216" s="109"/>
      <c r="D4216" s="109"/>
      <c r="E4216" s="109"/>
      <c r="F4216" s="109"/>
      <c r="G4216" s="109"/>
      <c r="H4216" s="109"/>
      <c r="I4216" s="109"/>
      <c r="J4216" s="109"/>
      <c r="L4216" s="109"/>
      <c r="M4216" s="109"/>
      <c r="N4216" s="109"/>
      <c r="Q4216" s="121"/>
      <c r="W4216" s="109"/>
    </row>
    <row r="4217" spans="1:23" ht="12.75" hidden="1">
      <c r="A4217" s="109"/>
      <c r="B4217" s="109"/>
      <c r="C4217" s="109"/>
      <c r="D4217" s="109"/>
      <c r="E4217" s="109"/>
      <c r="F4217" s="109"/>
      <c r="G4217" s="109"/>
      <c r="H4217" s="109"/>
      <c r="I4217" s="109"/>
      <c r="J4217" s="109"/>
      <c r="L4217" s="109"/>
      <c r="M4217" s="109"/>
      <c r="N4217" s="109"/>
      <c r="Q4217" s="121"/>
      <c r="W4217" s="109"/>
    </row>
    <row r="4218" spans="1:23" ht="12.75" hidden="1">
      <c r="A4218" s="109"/>
      <c r="B4218" s="109"/>
      <c r="C4218" s="109"/>
      <c r="D4218" s="109"/>
      <c r="E4218" s="109"/>
      <c r="F4218" s="109"/>
      <c r="G4218" s="109"/>
      <c r="H4218" s="109"/>
      <c r="I4218" s="109"/>
      <c r="J4218" s="109"/>
      <c r="L4218" s="109"/>
      <c r="M4218" s="109"/>
      <c r="N4218" s="109"/>
      <c r="Q4218" s="121"/>
      <c r="W4218" s="109"/>
    </row>
    <row r="4219" spans="1:23" ht="12.75" hidden="1">
      <c r="A4219" s="109"/>
      <c r="B4219" s="109"/>
      <c r="C4219" s="109"/>
      <c r="D4219" s="109"/>
      <c r="E4219" s="109"/>
      <c r="F4219" s="109"/>
      <c r="G4219" s="109"/>
      <c r="H4219" s="109"/>
      <c r="I4219" s="109"/>
      <c r="J4219" s="109"/>
      <c r="L4219" s="109"/>
      <c r="M4219" s="109"/>
      <c r="N4219" s="109"/>
      <c r="Q4219" s="121"/>
      <c r="W4219" s="109"/>
    </row>
    <row r="4220" spans="1:23" ht="12.75" hidden="1">
      <c r="A4220" s="109"/>
      <c r="B4220" s="109"/>
      <c r="C4220" s="109"/>
      <c r="D4220" s="109"/>
      <c r="E4220" s="109"/>
      <c r="F4220" s="109"/>
      <c r="G4220" s="109"/>
      <c r="H4220" s="109"/>
      <c r="I4220" s="109"/>
      <c r="J4220" s="109"/>
      <c r="L4220" s="109"/>
      <c r="M4220" s="109"/>
      <c r="N4220" s="109"/>
      <c r="Q4220" s="121"/>
      <c r="W4220" s="109"/>
    </row>
    <row r="4221" spans="1:23" ht="12.75" hidden="1">
      <c r="A4221" s="109"/>
      <c r="B4221" s="109"/>
      <c r="C4221" s="109"/>
      <c r="D4221" s="109"/>
      <c r="E4221" s="109"/>
      <c r="F4221" s="109"/>
      <c r="G4221" s="109"/>
      <c r="H4221" s="109"/>
      <c r="I4221" s="109"/>
      <c r="J4221" s="109"/>
      <c r="L4221" s="109"/>
      <c r="M4221" s="109"/>
      <c r="N4221" s="109"/>
      <c r="Q4221" s="121"/>
      <c r="W4221" s="109"/>
    </row>
    <row r="4222" spans="1:23" ht="12.75" hidden="1">
      <c r="A4222" s="109"/>
      <c r="B4222" s="109"/>
      <c r="C4222" s="109"/>
      <c r="D4222" s="109"/>
      <c r="E4222" s="109"/>
      <c r="F4222" s="109"/>
      <c r="G4222" s="109"/>
      <c r="H4222" s="109"/>
      <c r="I4222" s="109"/>
      <c r="J4222" s="109"/>
      <c r="L4222" s="109"/>
      <c r="M4222" s="109"/>
      <c r="N4222" s="109"/>
      <c r="Q4222" s="121"/>
      <c r="W4222" s="109"/>
    </row>
    <row r="4223" spans="1:23" ht="12.75" hidden="1">
      <c r="A4223" s="109"/>
      <c r="B4223" s="109"/>
      <c r="C4223" s="109"/>
      <c r="D4223" s="109"/>
      <c r="E4223" s="109"/>
      <c r="F4223" s="109"/>
      <c r="G4223" s="109"/>
      <c r="H4223" s="109"/>
      <c r="I4223" s="109"/>
      <c r="J4223" s="109"/>
      <c r="L4223" s="109"/>
      <c r="M4223" s="109"/>
      <c r="N4223" s="109"/>
      <c r="Q4223" s="121"/>
      <c r="W4223" s="109"/>
    </row>
    <row r="4224" spans="1:23" ht="12.75" hidden="1">
      <c r="A4224" s="109"/>
      <c r="B4224" s="109"/>
      <c r="C4224" s="109"/>
      <c r="D4224" s="109"/>
      <c r="E4224" s="109"/>
      <c r="F4224" s="109"/>
      <c r="G4224" s="109"/>
      <c r="H4224" s="109"/>
      <c r="I4224" s="109"/>
      <c r="J4224" s="109"/>
      <c r="L4224" s="109"/>
      <c r="M4224" s="109"/>
      <c r="N4224" s="109"/>
      <c r="Q4224" s="121"/>
      <c r="W4224" s="109"/>
    </row>
    <row r="4225" spans="1:23" ht="12.75" hidden="1">
      <c r="A4225" s="109"/>
      <c r="B4225" s="109"/>
      <c r="C4225" s="109"/>
      <c r="D4225" s="109"/>
      <c r="E4225" s="109"/>
      <c r="F4225" s="109"/>
      <c r="G4225" s="109"/>
      <c r="H4225" s="109"/>
      <c r="I4225" s="109"/>
      <c r="J4225" s="109"/>
      <c r="L4225" s="109"/>
      <c r="M4225" s="109"/>
      <c r="N4225" s="109"/>
      <c r="Q4225" s="121"/>
      <c r="W4225" s="109"/>
    </row>
    <row r="4226" spans="1:23" ht="12.75" hidden="1">
      <c r="A4226" s="109"/>
      <c r="B4226" s="109"/>
      <c r="C4226" s="109"/>
      <c r="D4226" s="109"/>
      <c r="E4226" s="109"/>
      <c r="F4226" s="109"/>
      <c r="G4226" s="109"/>
      <c r="H4226" s="109"/>
      <c r="I4226" s="109"/>
      <c r="J4226" s="109"/>
      <c r="L4226" s="109"/>
      <c r="M4226" s="109"/>
      <c r="N4226" s="109"/>
      <c r="Q4226" s="121"/>
      <c r="W4226" s="109"/>
    </row>
    <row r="4227" spans="1:23" ht="12.75" hidden="1">
      <c r="A4227" s="109"/>
      <c r="B4227" s="109"/>
      <c r="C4227" s="109"/>
      <c r="D4227" s="109"/>
      <c r="E4227" s="109"/>
      <c r="F4227" s="109"/>
      <c r="G4227" s="109"/>
      <c r="H4227" s="109"/>
      <c r="I4227" s="109"/>
      <c r="J4227" s="109"/>
      <c r="L4227" s="109"/>
      <c r="M4227" s="109"/>
      <c r="N4227" s="109"/>
      <c r="Q4227" s="121"/>
      <c r="W4227" s="109"/>
    </row>
    <row r="4228" spans="1:23" ht="12.75" hidden="1">
      <c r="A4228" s="109"/>
      <c r="B4228" s="109"/>
      <c r="C4228" s="109"/>
      <c r="D4228" s="109"/>
      <c r="E4228" s="109"/>
      <c r="F4228" s="109"/>
      <c r="G4228" s="109"/>
      <c r="H4228" s="109"/>
      <c r="I4228" s="109"/>
      <c r="J4228" s="109"/>
      <c r="L4228" s="109"/>
      <c r="M4228" s="109"/>
      <c r="N4228" s="109"/>
      <c r="Q4228" s="121"/>
      <c r="W4228" s="109"/>
    </row>
    <row r="4229" spans="1:23" ht="12.75" hidden="1">
      <c r="A4229" s="109"/>
      <c r="B4229" s="109"/>
      <c r="C4229" s="109"/>
      <c r="D4229" s="109"/>
      <c r="E4229" s="109"/>
      <c r="F4229" s="109"/>
      <c r="G4229" s="109"/>
      <c r="H4229" s="109"/>
      <c r="I4229" s="109"/>
      <c r="J4229" s="109"/>
      <c r="L4229" s="109"/>
      <c r="M4229" s="109"/>
      <c r="N4229" s="109"/>
      <c r="Q4229" s="121"/>
      <c r="W4229" s="109"/>
    </row>
    <row r="4230" spans="1:23" ht="12.75" hidden="1">
      <c r="A4230" s="109"/>
      <c r="B4230" s="109"/>
      <c r="C4230" s="109"/>
      <c r="D4230" s="109"/>
      <c r="E4230" s="109"/>
      <c r="F4230" s="109"/>
      <c r="G4230" s="109"/>
      <c r="H4230" s="109"/>
      <c r="I4230" s="109"/>
      <c r="J4230" s="109"/>
      <c r="L4230" s="109"/>
      <c r="M4230" s="109"/>
      <c r="N4230" s="109"/>
      <c r="Q4230" s="121"/>
      <c r="W4230" s="109"/>
    </row>
    <row r="4231" spans="1:23" ht="12.75" hidden="1">
      <c r="A4231" s="109"/>
      <c r="B4231" s="109"/>
      <c r="C4231" s="109"/>
      <c r="D4231" s="109"/>
      <c r="E4231" s="109"/>
      <c r="F4231" s="109"/>
      <c r="G4231" s="109"/>
      <c r="H4231" s="109"/>
      <c r="I4231" s="109"/>
      <c r="J4231" s="109"/>
      <c r="L4231" s="109"/>
      <c r="M4231" s="109"/>
      <c r="N4231" s="109"/>
      <c r="Q4231" s="121"/>
      <c r="W4231" s="109"/>
    </row>
    <row r="4232" spans="1:23" ht="12.75" hidden="1">
      <c r="A4232" s="109"/>
      <c r="B4232" s="109"/>
      <c r="C4232" s="109"/>
      <c r="D4232" s="109"/>
      <c r="E4232" s="109"/>
      <c r="F4232" s="109"/>
      <c r="G4232" s="109"/>
      <c r="H4232" s="109"/>
      <c r="I4232" s="109"/>
      <c r="J4232" s="109"/>
      <c r="L4232" s="109"/>
      <c r="M4232" s="109"/>
      <c r="N4232" s="109"/>
      <c r="Q4232" s="121"/>
      <c r="W4232" s="109"/>
    </row>
    <row r="4233" spans="1:23" ht="12.75" hidden="1">
      <c r="A4233" s="109"/>
      <c r="B4233" s="109"/>
      <c r="C4233" s="109"/>
      <c r="D4233" s="109"/>
      <c r="E4233" s="109"/>
      <c r="F4233" s="109"/>
      <c r="G4233" s="109"/>
      <c r="H4233" s="109"/>
      <c r="I4233" s="109"/>
      <c r="J4233" s="109"/>
      <c r="L4233" s="109"/>
      <c r="M4233" s="109"/>
      <c r="N4233" s="109"/>
      <c r="Q4233" s="121"/>
      <c r="W4233" s="109"/>
    </row>
    <row r="4234" spans="1:23" ht="12.75" hidden="1">
      <c r="A4234" s="109"/>
      <c r="B4234" s="109"/>
      <c r="C4234" s="109"/>
      <c r="D4234" s="109"/>
      <c r="E4234" s="109"/>
      <c r="F4234" s="109"/>
      <c r="G4234" s="109"/>
      <c r="H4234" s="109"/>
      <c r="I4234" s="109"/>
      <c r="J4234" s="109"/>
      <c r="L4234" s="109"/>
      <c r="M4234" s="109"/>
      <c r="N4234" s="109"/>
      <c r="Q4234" s="121"/>
      <c r="W4234" s="109"/>
    </row>
    <row r="4235" spans="1:23" ht="12.75" hidden="1">
      <c r="A4235" s="109"/>
      <c r="B4235" s="109"/>
      <c r="C4235" s="109"/>
      <c r="D4235" s="109"/>
      <c r="E4235" s="109"/>
      <c r="F4235" s="109"/>
      <c r="G4235" s="109"/>
      <c r="H4235" s="109"/>
      <c r="I4235" s="109"/>
      <c r="J4235" s="109"/>
      <c r="L4235" s="109"/>
      <c r="M4235" s="109"/>
      <c r="N4235" s="109"/>
      <c r="Q4235" s="121"/>
      <c r="W4235" s="109"/>
    </row>
    <row r="4236" spans="1:23" ht="12.75" hidden="1">
      <c r="A4236" s="109"/>
      <c r="B4236" s="109"/>
      <c r="C4236" s="109"/>
      <c r="D4236" s="109"/>
      <c r="E4236" s="109"/>
      <c r="F4236" s="109"/>
      <c r="G4236" s="109"/>
      <c r="H4236" s="109"/>
      <c r="I4236" s="109"/>
      <c r="J4236" s="109"/>
      <c r="L4236" s="109"/>
      <c r="M4236" s="109"/>
      <c r="N4236" s="109"/>
      <c r="Q4236" s="121"/>
      <c r="W4236" s="109"/>
    </row>
    <row r="4237" spans="1:23" ht="12.75" hidden="1">
      <c r="A4237" s="109"/>
      <c r="B4237" s="109"/>
      <c r="C4237" s="109"/>
      <c r="D4237" s="109"/>
      <c r="E4237" s="109"/>
      <c r="F4237" s="109"/>
      <c r="G4237" s="109"/>
      <c r="H4237" s="109"/>
      <c r="I4237" s="109"/>
      <c r="J4237" s="109"/>
      <c r="L4237" s="109"/>
      <c r="M4237" s="109"/>
      <c r="N4237" s="109"/>
      <c r="Q4237" s="121"/>
      <c r="W4237" s="109"/>
    </row>
    <row r="4238" spans="1:23" ht="12.75" hidden="1">
      <c r="A4238" s="109"/>
      <c r="B4238" s="109"/>
      <c r="C4238" s="109"/>
      <c r="D4238" s="109"/>
      <c r="E4238" s="109"/>
      <c r="F4238" s="109"/>
      <c r="G4238" s="109"/>
      <c r="H4238" s="109"/>
      <c r="I4238" s="109"/>
      <c r="J4238" s="109"/>
      <c r="L4238" s="109"/>
      <c r="M4238" s="109"/>
      <c r="N4238" s="109"/>
      <c r="Q4238" s="121"/>
      <c r="W4238" s="109"/>
    </row>
    <row r="4239" spans="1:23" ht="12.75" hidden="1">
      <c r="A4239" s="109"/>
      <c r="B4239" s="109"/>
      <c r="C4239" s="109"/>
      <c r="D4239" s="109"/>
      <c r="E4239" s="109"/>
      <c r="F4239" s="109"/>
      <c r="G4239" s="109"/>
      <c r="H4239" s="109"/>
      <c r="I4239" s="109"/>
      <c r="J4239" s="109"/>
      <c r="L4239" s="109"/>
      <c r="M4239" s="109"/>
      <c r="N4239" s="109"/>
      <c r="Q4239" s="121"/>
      <c r="W4239" s="109"/>
    </row>
    <row r="4240" spans="1:23" ht="12.75" hidden="1">
      <c r="A4240" s="109"/>
      <c r="B4240" s="109"/>
      <c r="C4240" s="109"/>
      <c r="D4240" s="109"/>
      <c r="E4240" s="109"/>
      <c r="F4240" s="109"/>
      <c r="G4240" s="109"/>
      <c r="H4240" s="109"/>
      <c r="I4240" s="109"/>
      <c r="J4240" s="109"/>
      <c r="L4240" s="109"/>
      <c r="M4240" s="109"/>
      <c r="N4240" s="109"/>
      <c r="Q4240" s="121"/>
      <c r="W4240" s="109"/>
    </row>
    <row r="4241" spans="1:23" ht="12.75" hidden="1">
      <c r="A4241" s="109"/>
      <c r="B4241" s="109"/>
      <c r="C4241" s="109"/>
      <c r="D4241" s="109"/>
      <c r="E4241" s="109"/>
      <c r="F4241" s="109"/>
      <c r="G4241" s="109"/>
      <c r="H4241" s="109"/>
      <c r="I4241" s="109"/>
      <c r="J4241" s="109"/>
      <c r="L4241" s="109"/>
      <c r="M4241" s="109"/>
      <c r="N4241" s="109"/>
      <c r="Q4241" s="121"/>
      <c r="W4241" s="109"/>
    </row>
    <row r="4242" spans="1:23" ht="12.75" hidden="1">
      <c r="A4242" s="109"/>
      <c r="B4242" s="109"/>
      <c r="C4242" s="109"/>
      <c r="D4242" s="109"/>
      <c r="E4242" s="109"/>
      <c r="F4242" s="109"/>
      <c r="G4242" s="109"/>
      <c r="H4242" s="109"/>
      <c r="I4242" s="109"/>
      <c r="J4242" s="109"/>
      <c r="L4242" s="109"/>
      <c r="M4242" s="109"/>
      <c r="N4242" s="109"/>
      <c r="Q4242" s="121"/>
      <c r="W4242" s="109"/>
    </row>
    <row r="4243" spans="1:23" ht="12.75" hidden="1">
      <c r="A4243" s="109"/>
      <c r="B4243" s="109"/>
      <c r="C4243" s="109"/>
      <c r="D4243" s="109"/>
      <c r="E4243" s="109"/>
      <c r="F4243" s="109"/>
      <c r="G4243" s="109"/>
      <c r="H4243" s="109"/>
      <c r="I4243" s="109"/>
      <c r="J4243" s="109"/>
      <c r="L4243" s="109"/>
      <c r="M4243" s="109"/>
      <c r="N4243" s="109"/>
      <c r="Q4243" s="121"/>
      <c r="W4243" s="109"/>
    </row>
    <row r="4244" spans="1:23" ht="12.75" hidden="1">
      <c r="A4244" s="109"/>
      <c r="B4244" s="109"/>
      <c r="C4244" s="109"/>
      <c r="D4244" s="109"/>
      <c r="E4244" s="109"/>
      <c r="F4244" s="109"/>
      <c r="G4244" s="109"/>
      <c r="H4244" s="109"/>
      <c r="I4244" s="109"/>
      <c r="J4244" s="109"/>
      <c r="L4244" s="109"/>
      <c r="M4244" s="109"/>
      <c r="N4244" s="109"/>
      <c r="Q4244" s="121"/>
      <c r="W4244" s="109"/>
    </row>
    <row r="4245" spans="1:23" ht="12.75" hidden="1">
      <c r="A4245" s="109"/>
      <c r="B4245" s="109"/>
      <c r="C4245" s="109"/>
      <c r="D4245" s="109"/>
      <c r="E4245" s="109"/>
      <c r="F4245" s="109"/>
      <c r="G4245" s="109"/>
      <c r="H4245" s="109"/>
      <c r="I4245" s="109"/>
      <c r="J4245" s="109"/>
      <c r="L4245" s="109"/>
      <c r="M4245" s="109"/>
      <c r="N4245" s="109"/>
      <c r="Q4245" s="121"/>
      <c r="W4245" s="109"/>
    </row>
    <row r="4246" spans="1:23" ht="12.75" hidden="1">
      <c r="A4246" s="109"/>
      <c r="B4246" s="109"/>
      <c r="C4246" s="109"/>
      <c r="D4246" s="109"/>
      <c r="E4246" s="109"/>
      <c r="F4246" s="109"/>
      <c r="G4246" s="109"/>
      <c r="H4246" s="109"/>
      <c r="I4246" s="109"/>
      <c r="J4246" s="109"/>
      <c r="L4246" s="109"/>
      <c r="M4246" s="109"/>
      <c r="N4246" s="109"/>
      <c r="Q4246" s="121"/>
      <c r="W4246" s="109"/>
    </row>
    <row r="4247" spans="1:23" ht="12.75" hidden="1">
      <c r="A4247" s="109"/>
      <c r="B4247" s="109"/>
      <c r="C4247" s="109"/>
      <c r="D4247" s="109"/>
      <c r="E4247" s="109"/>
      <c r="F4247" s="109"/>
      <c r="G4247" s="109"/>
      <c r="H4247" s="109"/>
      <c r="I4247" s="109"/>
      <c r="J4247" s="109"/>
      <c r="L4247" s="109"/>
      <c r="M4247" s="109"/>
      <c r="N4247" s="109"/>
      <c r="Q4247" s="121"/>
      <c r="W4247" s="109"/>
    </row>
    <row r="4248" spans="1:23" ht="12.75" hidden="1">
      <c r="A4248" s="109"/>
      <c r="B4248" s="109"/>
      <c r="C4248" s="109"/>
      <c r="D4248" s="109"/>
      <c r="E4248" s="109"/>
      <c r="F4248" s="109"/>
      <c r="G4248" s="109"/>
      <c r="H4248" s="109"/>
      <c r="I4248" s="109"/>
      <c r="J4248" s="109"/>
      <c r="L4248" s="109"/>
      <c r="M4248" s="109"/>
      <c r="N4248" s="109"/>
      <c r="Q4248" s="121"/>
      <c r="W4248" s="109"/>
    </row>
    <row r="4249" spans="1:23" ht="12.75" hidden="1">
      <c r="A4249" s="109"/>
      <c r="B4249" s="109"/>
      <c r="C4249" s="109"/>
      <c r="D4249" s="109"/>
      <c r="E4249" s="109"/>
      <c r="F4249" s="109"/>
      <c r="G4249" s="109"/>
      <c r="H4249" s="109"/>
      <c r="I4249" s="109"/>
      <c r="J4249" s="109"/>
      <c r="L4249" s="109"/>
      <c r="M4249" s="109"/>
      <c r="N4249" s="109"/>
      <c r="Q4249" s="121"/>
      <c r="W4249" s="109"/>
    </row>
    <row r="4250" spans="1:23" ht="12.75" hidden="1">
      <c r="A4250" s="109"/>
      <c r="B4250" s="109"/>
      <c r="C4250" s="109"/>
      <c r="D4250" s="109"/>
      <c r="E4250" s="109"/>
      <c r="F4250" s="109"/>
      <c r="G4250" s="109"/>
      <c r="H4250" s="109"/>
      <c r="I4250" s="109"/>
      <c r="J4250" s="109"/>
      <c r="L4250" s="109"/>
      <c r="M4250" s="109"/>
      <c r="N4250" s="109"/>
      <c r="Q4250" s="121"/>
      <c r="W4250" s="109"/>
    </row>
    <row r="4251" spans="1:23" ht="12.75" hidden="1">
      <c r="A4251" s="109"/>
      <c r="B4251" s="109"/>
      <c r="C4251" s="109"/>
      <c r="D4251" s="109"/>
      <c r="E4251" s="109"/>
      <c r="F4251" s="109"/>
      <c r="G4251" s="109"/>
      <c r="H4251" s="109"/>
      <c r="I4251" s="109"/>
      <c r="J4251" s="109"/>
      <c r="L4251" s="109"/>
      <c r="M4251" s="109"/>
      <c r="N4251" s="109"/>
      <c r="Q4251" s="121"/>
      <c r="W4251" s="109"/>
    </row>
    <row r="4252" spans="1:23" ht="12.75" hidden="1">
      <c r="A4252" s="109"/>
      <c r="B4252" s="109"/>
      <c r="C4252" s="109"/>
      <c r="D4252" s="109"/>
      <c r="E4252" s="109"/>
      <c r="F4252" s="109"/>
      <c r="G4252" s="109"/>
      <c r="H4252" s="109"/>
      <c r="I4252" s="109"/>
      <c r="J4252" s="109"/>
      <c r="L4252" s="109"/>
      <c r="M4252" s="109"/>
      <c r="N4252" s="109"/>
      <c r="Q4252" s="121"/>
      <c r="W4252" s="109"/>
    </row>
    <row r="4253" spans="1:23" ht="12.75" hidden="1">
      <c r="A4253" s="109"/>
      <c r="B4253" s="109"/>
      <c r="C4253" s="109"/>
      <c r="D4253" s="109"/>
      <c r="E4253" s="109"/>
      <c r="F4253" s="109"/>
      <c r="G4253" s="109"/>
      <c r="H4253" s="109"/>
      <c r="I4253" s="109"/>
      <c r="J4253" s="109"/>
      <c r="L4253" s="109"/>
      <c r="M4253" s="109"/>
      <c r="N4253" s="109"/>
      <c r="Q4253" s="121"/>
      <c r="W4253" s="109"/>
    </row>
    <row r="4254" spans="1:23" ht="12.75" hidden="1">
      <c r="A4254" s="109"/>
      <c r="B4254" s="109"/>
      <c r="C4254" s="109"/>
      <c r="D4254" s="109"/>
      <c r="E4254" s="109"/>
      <c r="F4254" s="109"/>
      <c r="G4254" s="109"/>
      <c r="H4254" s="109"/>
      <c r="I4254" s="109"/>
      <c r="J4254" s="109"/>
      <c r="L4254" s="109"/>
      <c r="M4254" s="109"/>
      <c r="N4254" s="109"/>
      <c r="Q4254" s="121"/>
      <c r="W4254" s="109"/>
    </row>
    <row r="4255" spans="1:23" ht="12.75" hidden="1">
      <c r="A4255" s="109"/>
      <c r="B4255" s="109"/>
      <c r="C4255" s="109"/>
      <c r="D4255" s="109"/>
      <c r="E4255" s="109"/>
      <c r="F4255" s="109"/>
      <c r="G4255" s="109"/>
      <c r="H4255" s="109"/>
      <c r="I4255" s="109"/>
      <c r="J4255" s="109"/>
      <c r="L4255" s="109"/>
      <c r="M4255" s="109"/>
      <c r="N4255" s="109"/>
      <c r="Q4255" s="121"/>
      <c r="W4255" s="109"/>
    </row>
    <row r="4256" spans="1:23" ht="12.75" hidden="1">
      <c r="A4256" s="109"/>
      <c r="B4256" s="109"/>
      <c r="C4256" s="109"/>
      <c r="D4256" s="109"/>
      <c r="E4256" s="109"/>
      <c r="F4256" s="109"/>
      <c r="G4256" s="109"/>
      <c r="H4256" s="109"/>
      <c r="I4256" s="109"/>
      <c r="J4256" s="109"/>
      <c r="L4256" s="109"/>
      <c r="M4256" s="109"/>
      <c r="N4256" s="109"/>
      <c r="Q4256" s="121"/>
      <c r="W4256" s="109"/>
    </row>
    <row r="4257" spans="1:23" ht="12.75" hidden="1">
      <c r="A4257" s="109"/>
      <c r="B4257" s="109"/>
      <c r="C4257" s="109"/>
      <c r="D4257" s="109"/>
      <c r="E4257" s="109"/>
      <c r="F4257" s="109"/>
      <c r="G4257" s="109"/>
      <c r="H4257" s="109"/>
      <c r="I4257" s="109"/>
      <c r="J4257" s="109"/>
      <c r="L4257" s="109"/>
      <c r="M4257" s="109"/>
      <c r="N4257" s="109"/>
      <c r="Q4257" s="121"/>
      <c r="W4257" s="109"/>
    </row>
    <row r="4258" spans="1:23" ht="12.75" hidden="1">
      <c r="A4258" s="109"/>
      <c r="B4258" s="109"/>
      <c r="C4258" s="109"/>
      <c r="D4258" s="109"/>
      <c r="E4258" s="109"/>
      <c r="F4258" s="109"/>
      <c r="G4258" s="109"/>
      <c r="H4258" s="109"/>
      <c r="I4258" s="109"/>
      <c r="J4258" s="109"/>
      <c r="L4258" s="109"/>
      <c r="M4258" s="109"/>
      <c r="N4258" s="109"/>
      <c r="Q4258" s="121"/>
      <c r="W4258" s="109"/>
    </row>
    <row r="4259" spans="1:23" ht="12.75" hidden="1">
      <c r="A4259" s="109"/>
      <c r="B4259" s="109"/>
      <c r="C4259" s="109"/>
      <c r="D4259" s="109"/>
      <c r="E4259" s="109"/>
      <c r="F4259" s="109"/>
      <c r="G4259" s="109"/>
      <c r="H4259" s="109"/>
      <c r="I4259" s="109"/>
      <c r="J4259" s="109"/>
      <c r="L4259" s="109"/>
      <c r="M4259" s="109"/>
      <c r="N4259" s="109"/>
      <c r="Q4259" s="121"/>
      <c r="W4259" s="109"/>
    </row>
    <row r="4260" spans="1:23" ht="12.75" hidden="1">
      <c r="A4260" s="109"/>
      <c r="B4260" s="109"/>
      <c r="C4260" s="109"/>
      <c r="D4260" s="109"/>
      <c r="E4260" s="109"/>
      <c r="F4260" s="109"/>
      <c r="G4260" s="109"/>
      <c r="H4260" s="109"/>
      <c r="I4260" s="109"/>
      <c r="J4260" s="109"/>
      <c r="L4260" s="109"/>
      <c r="M4260" s="109"/>
      <c r="N4260" s="109"/>
      <c r="Q4260" s="121"/>
      <c r="W4260" s="109"/>
    </row>
    <row r="4261" spans="1:23" ht="12.75" hidden="1">
      <c r="A4261" s="109"/>
      <c r="B4261" s="109"/>
      <c r="C4261" s="109"/>
      <c r="D4261" s="109"/>
      <c r="E4261" s="109"/>
      <c r="F4261" s="109"/>
      <c r="G4261" s="109"/>
      <c r="H4261" s="109"/>
      <c r="I4261" s="109"/>
      <c r="J4261" s="109"/>
      <c r="L4261" s="109"/>
      <c r="M4261" s="109"/>
      <c r="N4261" s="109"/>
      <c r="Q4261" s="121"/>
      <c r="W4261" s="109"/>
    </row>
    <row r="4262" spans="1:23" ht="12.75" hidden="1">
      <c r="A4262" s="109"/>
      <c r="B4262" s="109"/>
      <c r="C4262" s="109"/>
      <c r="D4262" s="109"/>
      <c r="E4262" s="109"/>
      <c r="F4262" s="109"/>
      <c r="G4262" s="109"/>
      <c r="H4262" s="109"/>
      <c r="I4262" s="109"/>
      <c r="J4262" s="109"/>
      <c r="L4262" s="109"/>
      <c r="M4262" s="109"/>
      <c r="N4262" s="109"/>
      <c r="Q4262" s="121"/>
      <c r="W4262" s="109"/>
    </row>
    <row r="4263" spans="1:23" ht="12.75" hidden="1">
      <c r="A4263" s="109"/>
      <c r="B4263" s="109"/>
      <c r="C4263" s="109"/>
      <c r="D4263" s="109"/>
      <c r="E4263" s="109"/>
      <c r="F4263" s="109"/>
      <c r="G4263" s="109"/>
      <c r="H4263" s="109"/>
      <c r="I4263" s="109"/>
      <c r="J4263" s="109"/>
      <c r="L4263" s="109"/>
      <c r="M4263" s="109"/>
      <c r="N4263" s="109"/>
      <c r="Q4263" s="121"/>
      <c r="W4263" s="109"/>
    </row>
    <row r="4264" spans="1:23" ht="12.75" hidden="1">
      <c r="A4264" s="109"/>
      <c r="B4264" s="109"/>
      <c r="C4264" s="109"/>
      <c r="D4264" s="109"/>
      <c r="E4264" s="109"/>
      <c r="F4264" s="109"/>
      <c r="G4264" s="109"/>
      <c r="H4264" s="109"/>
      <c r="I4264" s="109"/>
      <c r="J4264" s="109"/>
      <c r="L4264" s="109"/>
      <c r="M4264" s="109"/>
      <c r="N4264" s="109"/>
      <c r="Q4264" s="121"/>
      <c r="W4264" s="109"/>
    </row>
    <row r="4265" spans="1:23" ht="12.75" hidden="1">
      <c r="A4265" s="109"/>
      <c r="B4265" s="109"/>
      <c r="C4265" s="109"/>
      <c r="D4265" s="109"/>
      <c r="E4265" s="109"/>
      <c r="F4265" s="109"/>
      <c r="G4265" s="109"/>
      <c r="H4265" s="109"/>
      <c r="I4265" s="109"/>
      <c r="J4265" s="109"/>
      <c r="L4265" s="109"/>
      <c r="M4265" s="109"/>
      <c r="N4265" s="109"/>
      <c r="Q4265" s="121"/>
      <c r="W4265" s="109"/>
    </row>
    <row r="4266" spans="1:23" ht="12.75" hidden="1">
      <c r="A4266" s="109"/>
      <c r="B4266" s="109"/>
      <c r="C4266" s="109"/>
      <c r="D4266" s="109"/>
      <c r="E4266" s="109"/>
      <c r="F4266" s="109"/>
      <c r="G4266" s="109"/>
      <c r="H4266" s="109"/>
      <c r="I4266" s="109"/>
      <c r="J4266" s="109"/>
      <c r="L4266" s="109"/>
      <c r="M4266" s="109"/>
      <c r="N4266" s="109"/>
      <c r="Q4266" s="121"/>
      <c r="W4266" s="109"/>
    </row>
    <row r="4267" spans="1:23" ht="12.75" hidden="1">
      <c r="A4267" s="109"/>
      <c r="B4267" s="109"/>
      <c r="C4267" s="109"/>
      <c r="D4267" s="109"/>
      <c r="E4267" s="109"/>
      <c r="F4267" s="109"/>
      <c r="G4267" s="109"/>
      <c r="H4267" s="109"/>
      <c r="I4267" s="109"/>
      <c r="J4267" s="109"/>
      <c r="L4267" s="109"/>
      <c r="M4267" s="109"/>
      <c r="N4267" s="109"/>
      <c r="Q4267" s="121"/>
      <c r="W4267" s="109"/>
    </row>
    <row r="4268" spans="1:23" ht="12.75" hidden="1">
      <c r="A4268" s="109"/>
      <c r="B4268" s="109"/>
      <c r="C4268" s="109"/>
      <c r="D4268" s="109"/>
      <c r="E4268" s="109"/>
      <c r="F4268" s="109"/>
      <c r="G4268" s="109"/>
      <c r="H4268" s="109"/>
      <c r="I4268" s="109"/>
      <c r="J4268" s="109"/>
      <c r="L4268" s="109"/>
      <c r="M4268" s="109"/>
      <c r="N4268" s="109"/>
      <c r="Q4268" s="121"/>
      <c r="W4268" s="109"/>
    </row>
    <row r="4269" spans="1:23" ht="12.75" hidden="1">
      <c r="A4269" s="109"/>
      <c r="B4269" s="109"/>
      <c r="C4269" s="109"/>
      <c r="D4269" s="109"/>
      <c r="E4269" s="109"/>
      <c r="F4269" s="109"/>
      <c r="G4269" s="109"/>
      <c r="H4269" s="109"/>
      <c r="I4269" s="109"/>
      <c r="J4269" s="109"/>
      <c r="L4269" s="109"/>
      <c r="M4269" s="109"/>
      <c r="N4269" s="109"/>
      <c r="Q4269" s="121"/>
      <c r="W4269" s="109"/>
    </row>
    <row r="4270" spans="1:23" ht="12.75" hidden="1">
      <c r="A4270" s="109"/>
      <c r="B4270" s="109"/>
      <c r="C4270" s="109"/>
      <c r="D4270" s="109"/>
      <c r="E4270" s="109"/>
      <c r="F4270" s="109"/>
      <c r="G4270" s="109"/>
      <c r="H4270" s="109"/>
      <c r="I4270" s="109"/>
      <c r="J4270" s="109"/>
      <c r="L4270" s="109"/>
      <c r="M4270" s="109"/>
      <c r="N4270" s="109"/>
      <c r="Q4270" s="121"/>
      <c r="W4270" s="109"/>
    </row>
    <row r="4271" spans="1:23" ht="12.75" hidden="1">
      <c r="A4271" s="109"/>
      <c r="B4271" s="109"/>
      <c r="C4271" s="109"/>
      <c r="D4271" s="109"/>
      <c r="E4271" s="109"/>
      <c r="F4271" s="109"/>
      <c r="G4271" s="109"/>
      <c r="H4271" s="109"/>
      <c r="I4271" s="109"/>
      <c r="J4271" s="109"/>
      <c r="L4271" s="109"/>
      <c r="M4271" s="109"/>
      <c r="N4271" s="109"/>
      <c r="Q4271" s="121"/>
      <c r="W4271" s="109"/>
    </row>
    <row r="4272" spans="1:23" ht="12.75" hidden="1">
      <c r="A4272" s="109"/>
      <c r="B4272" s="109"/>
      <c r="C4272" s="109"/>
      <c r="D4272" s="109"/>
      <c r="E4272" s="109"/>
      <c r="F4272" s="109"/>
      <c r="G4272" s="109"/>
      <c r="H4272" s="109"/>
      <c r="I4272" s="109"/>
      <c r="J4272" s="109"/>
      <c r="L4272" s="109"/>
      <c r="M4272" s="109"/>
      <c r="N4272" s="109"/>
      <c r="Q4272" s="121"/>
      <c r="W4272" s="109"/>
    </row>
    <row r="4273" spans="1:23" ht="12.75" hidden="1">
      <c r="A4273" s="109"/>
      <c r="B4273" s="109"/>
      <c r="C4273" s="109"/>
      <c r="D4273" s="109"/>
      <c r="E4273" s="109"/>
      <c r="F4273" s="109"/>
      <c r="G4273" s="109"/>
      <c r="H4273" s="109"/>
      <c r="I4273" s="109"/>
      <c r="J4273" s="109"/>
      <c r="L4273" s="109"/>
      <c r="M4273" s="109"/>
      <c r="N4273" s="109"/>
      <c r="Q4273" s="121"/>
      <c r="W4273" s="109"/>
    </row>
    <row r="4274" spans="1:23" ht="12.75" hidden="1">
      <c r="A4274" s="109"/>
      <c r="B4274" s="109"/>
      <c r="C4274" s="109"/>
      <c r="D4274" s="109"/>
      <c r="E4274" s="109"/>
      <c r="F4274" s="109"/>
      <c r="G4274" s="109"/>
      <c r="H4274" s="109"/>
      <c r="I4274" s="109"/>
      <c r="J4274" s="109"/>
      <c r="L4274" s="109"/>
      <c r="M4274" s="109"/>
      <c r="N4274" s="109"/>
      <c r="Q4274" s="121"/>
      <c r="W4274" s="109"/>
    </row>
    <row r="4275" spans="1:23" ht="12.75" hidden="1">
      <c r="A4275" s="109"/>
      <c r="B4275" s="109"/>
      <c r="C4275" s="109"/>
      <c r="D4275" s="109"/>
      <c r="E4275" s="109"/>
      <c r="F4275" s="109"/>
      <c r="G4275" s="109"/>
      <c r="H4275" s="109"/>
      <c r="I4275" s="109"/>
      <c r="J4275" s="109"/>
      <c r="L4275" s="109"/>
      <c r="M4275" s="109"/>
      <c r="N4275" s="109"/>
      <c r="Q4275" s="121"/>
      <c r="W4275" s="109"/>
    </row>
    <row r="4276" spans="1:23" ht="12.75" hidden="1">
      <c r="A4276" s="109"/>
      <c r="B4276" s="109"/>
      <c r="C4276" s="109"/>
      <c r="D4276" s="109"/>
      <c r="E4276" s="109"/>
      <c r="F4276" s="109"/>
      <c r="G4276" s="109"/>
      <c r="H4276" s="109"/>
      <c r="I4276" s="109"/>
      <c r="J4276" s="109"/>
      <c r="L4276" s="109"/>
      <c r="M4276" s="109"/>
      <c r="N4276" s="109"/>
      <c r="Q4276" s="121"/>
      <c r="W4276" s="109"/>
    </row>
    <row r="4277" spans="1:23" ht="12.75" hidden="1">
      <c r="A4277" s="109"/>
      <c r="B4277" s="109"/>
      <c r="C4277" s="109"/>
      <c r="D4277" s="109"/>
      <c r="E4277" s="109"/>
      <c r="F4277" s="109"/>
      <c r="G4277" s="109"/>
      <c r="H4277" s="109"/>
      <c r="I4277" s="109"/>
      <c r="J4277" s="109"/>
      <c r="L4277" s="109"/>
      <c r="M4277" s="109"/>
      <c r="N4277" s="109"/>
      <c r="Q4277" s="121"/>
      <c r="W4277" s="109"/>
    </row>
    <row r="4278" spans="1:23" ht="12.75" hidden="1">
      <c r="A4278" s="109"/>
      <c r="B4278" s="109"/>
      <c r="C4278" s="109"/>
      <c r="D4278" s="109"/>
      <c r="E4278" s="109"/>
      <c r="F4278" s="109"/>
      <c r="G4278" s="109"/>
      <c r="H4278" s="109"/>
      <c r="I4278" s="109"/>
      <c r="J4278" s="109"/>
      <c r="L4278" s="109"/>
      <c r="M4278" s="109"/>
      <c r="N4278" s="109"/>
      <c r="Q4278" s="121"/>
      <c r="W4278" s="109"/>
    </row>
    <row r="4279" spans="1:23" ht="12.75" hidden="1">
      <c r="A4279" s="109"/>
      <c r="B4279" s="109"/>
      <c r="C4279" s="109"/>
      <c r="D4279" s="109"/>
      <c r="E4279" s="109"/>
      <c r="F4279" s="109"/>
      <c r="G4279" s="109"/>
      <c r="H4279" s="109"/>
      <c r="I4279" s="109"/>
      <c r="J4279" s="109"/>
      <c r="L4279" s="109"/>
      <c r="M4279" s="109"/>
      <c r="N4279" s="109"/>
      <c r="Q4279" s="121"/>
      <c r="W4279" s="109"/>
    </row>
    <row r="4280" spans="1:23" ht="12.75" hidden="1">
      <c r="A4280" s="109"/>
      <c r="B4280" s="109"/>
      <c r="C4280" s="109"/>
      <c r="D4280" s="109"/>
      <c r="E4280" s="109"/>
      <c r="F4280" s="109"/>
      <c r="G4280" s="109"/>
      <c r="H4280" s="109"/>
      <c r="I4280" s="109"/>
      <c r="J4280" s="109"/>
      <c r="L4280" s="109"/>
      <c r="M4280" s="109"/>
      <c r="N4280" s="109"/>
      <c r="Q4280" s="121"/>
      <c r="W4280" s="109"/>
    </row>
    <row r="4281" spans="1:23" ht="12.75" hidden="1">
      <c r="A4281" s="109"/>
      <c r="B4281" s="109"/>
      <c r="C4281" s="109"/>
      <c r="D4281" s="109"/>
      <c r="E4281" s="109"/>
      <c r="F4281" s="109"/>
      <c r="G4281" s="109"/>
      <c r="H4281" s="109"/>
      <c r="I4281" s="109"/>
      <c r="J4281" s="109"/>
      <c r="L4281" s="109"/>
      <c r="M4281" s="109"/>
      <c r="N4281" s="109"/>
      <c r="Q4281" s="121"/>
      <c r="W4281" s="109"/>
    </row>
    <row r="4282" spans="1:23" ht="12.75" hidden="1">
      <c r="A4282" s="109"/>
      <c r="B4282" s="109"/>
      <c r="C4282" s="109"/>
      <c r="D4282" s="109"/>
      <c r="E4282" s="109"/>
      <c r="F4282" s="109"/>
      <c r="G4282" s="109"/>
      <c r="H4282" s="109"/>
      <c r="I4282" s="109"/>
      <c r="J4282" s="109"/>
      <c r="L4282" s="109"/>
      <c r="M4282" s="109"/>
      <c r="N4282" s="109"/>
      <c r="Q4282" s="121"/>
      <c r="W4282" s="109"/>
    </row>
    <row r="4283" spans="1:23" ht="12.75" hidden="1">
      <c r="A4283" s="109"/>
      <c r="B4283" s="109"/>
      <c r="C4283" s="109"/>
      <c r="D4283" s="109"/>
      <c r="E4283" s="109"/>
      <c r="F4283" s="109"/>
      <c r="G4283" s="109"/>
      <c r="H4283" s="109"/>
      <c r="I4283" s="109"/>
      <c r="J4283" s="109"/>
      <c r="L4283" s="109"/>
      <c r="M4283" s="109"/>
      <c r="N4283" s="109"/>
      <c r="Q4283" s="121"/>
      <c r="W4283" s="109"/>
    </row>
    <row r="4284" spans="1:23" ht="12.75" hidden="1">
      <c r="A4284" s="109"/>
      <c r="B4284" s="109"/>
      <c r="C4284" s="109"/>
      <c r="D4284" s="109"/>
      <c r="E4284" s="109"/>
      <c r="F4284" s="109"/>
      <c r="G4284" s="109"/>
      <c r="H4284" s="109"/>
      <c r="I4284" s="109"/>
      <c r="J4284" s="109"/>
      <c r="L4284" s="109"/>
      <c r="M4284" s="109"/>
      <c r="N4284" s="109"/>
      <c r="Q4284" s="121"/>
      <c r="W4284" s="109"/>
    </row>
    <row r="4285" spans="1:23" ht="12.75" hidden="1">
      <c r="A4285" s="109"/>
      <c r="B4285" s="109"/>
      <c r="C4285" s="109"/>
      <c r="D4285" s="109"/>
      <c r="E4285" s="109"/>
      <c r="F4285" s="109"/>
      <c r="G4285" s="109"/>
      <c r="H4285" s="109"/>
      <c r="I4285" s="109"/>
      <c r="J4285" s="109"/>
      <c r="L4285" s="109"/>
      <c r="M4285" s="109"/>
      <c r="N4285" s="109"/>
      <c r="Q4285" s="121"/>
      <c r="W4285" s="109"/>
    </row>
    <row r="4286" spans="1:23" ht="12.75" hidden="1">
      <c r="A4286" s="109"/>
      <c r="B4286" s="109"/>
      <c r="C4286" s="109"/>
      <c r="D4286" s="109"/>
      <c r="E4286" s="109"/>
      <c r="F4286" s="109"/>
      <c r="G4286" s="109"/>
      <c r="H4286" s="109"/>
      <c r="I4286" s="109"/>
      <c r="J4286" s="109"/>
      <c r="L4286" s="109"/>
      <c r="M4286" s="109"/>
      <c r="N4286" s="109"/>
      <c r="Q4286" s="121"/>
      <c r="W4286" s="109"/>
    </row>
    <row r="4287" spans="1:23" ht="12.75" hidden="1">
      <c r="A4287" s="109"/>
      <c r="B4287" s="109"/>
      <c r="C4287" s="109"/>
      <c r="D4287" s="109"/>
      <c r="E4287" s="109"/>
      <c r="F4287" s="109"/>
      <c r="G4287" s="109"/>
      <c r="H4287" s="109"/>
      <c r="I4287" s="109"/>
      <c r="J4287" s="109"/>
      <c r="L4287" s="109"/>
      <c r="M4287" s="109"/>
      <c r="N4287" s="109"/>
      <c r="Q4287" s="121"/>
      <c r="W4287" s="109"/>
    </row>
    <row r="4288" spans="1:23" ht="12.75" hidden="1">
      <c r="A4288" s="109"/>
      <c r="B4288" s="109"/>
      <c r="C4288" s="109"/>
      <c r="D4288" s="109"/>
      <c r="E4288" s="109"/>
      <c r="F4288" s="109"/>
      <c r="G4288" s="109"/>
      <c r="H4288" s="109"/>
      <c r="I4288" s="109"/>
      <c r="J4288" s="109"/>
      <c r="L4288" s="109"/>
      <c r="M4288" s="109"/>
      <c r="N4288" s="109"/>
      <c r="Q4288" s="121"/>
      <c r="W4288" s="109"/>
    </row>
    <row r="4289" spans="1:23" ht="12.75" hidden="1">
      <c r="A4289" s="109"/>
      <c r="B4289" s="109"/>
      <c r="C4289" s="109"/>
      <c r="D4289" s="109"/>
      <c r="E4289" s="109"/>
      <c r="F4289" s="109"/>
      <c r="G4289" s="109"/>
      <c r="H4289" s="109"/>
      <c r="I4289" s="109"/>
      <c r="J4289" s="109"/>
      <c r="L4289" s="109"/>
      <c r="M4289" s="109"/>
      <c r="N4289" s="109"/>
      <c r="Q4289" s="121"/>
      <c r="W4289" s="109"/>
    </row>
    <row r="4290" spans="1:23" ht="12.75" hidden="1">
      <c r="A4290" s="109"/>
      <c r="B4290" s="109"/>
      <c r="C4290" s="109"/>
      <c r="D4290" s="109"/>
      <c r="E4290" s="109"/>
      <c r="F4290" s="109"/>
      <c r="G4290" s="109"/>
      <c r="H4290" s="109"/>
      <c r="I4290" s="109"/>
      <c r="J4290" s="109"/>
      <c r="L4290" s="109"/>
      <c r="M4290" s="109"/>
      <c r="N4290" s="109"/>
      <c r="Q4290" s="121"/>
      <c r="W4290" s="109"/>
    </row>
    <row r="4291" spans="1:23" ht="12.75" hidden="1">
      <c r="A4291" s="109"/>
      <c r="B4291" s="109"/>
      <c r="C4291" s="109"/>
      <c r="D4291" s="109"/>
      <c r="E4291" s="109"/>
      <c r="F4291" s="109"/>
      <c r="G4291" s="109"/>
      <c r="H4291" s="109"/>
      <c r="I4291" s="109"/>
      <c r="J4291" s="109"/>
      <c r="L4291" s="109"/>
      <c r="M4291" s="109"/>
      <c r="N4291" s="109"/>
      <c r="Q4291" s="121"/>
      <c r="W4291" s="109"/>
    </row>
    <row r="4292" spans="1:23" ht="12.75" hidden="1">
      <c r="A4292" s="109"/>
      <c r="B4292" s="109"/>
      <c r="C4292" s="109"/>
      <c r="D4292" s="109"/>
      <c r="E4292" s="109"/>
      <c r="F4292" s="109"/>
      <c r="G4292" s="109"/>
      <c r="H4292" s="109"/>
      <c r="I4292" s="109"/>
      <c r="J4292" s="109"/>
      <c r="L4292" s="109"/>
      <c r="M4292" s="109"/>
      <c r="N4292" s="109"/>
      <c r="Q4292" s="121"/>
      <c r="W4292" s="109"/>
    </row>
    <row r="4293" spans="1:23" ht="12.75" hidden="1">
      <c r="A4293" s="109"/>
      <c r="B4293" s="109"/>
      <c r="C4293" s="109"/>
      <c r="D4293" s="109"/>
      <c r="E4293" s="109"/>
      <c r="F4293" s="109"/>
      <c r="G4293" s="109"/>
      <c r="H4293" s="109"/>
      <c r="I4293" s="109"/>
      <c r="J4293" s="109"/>
      <c r="L4293" s="109"/>
      <c r="M4293" s="109"/>
      <c r="N4293" s="109"/>
      <c r="Q4293" s="121"/>
      <c r="W4293" s="109"/>
    </row>
    <row r="4294" spans="1:23" ht="12.75" hidden="1">
      <c r="A4294" s="109"/>
      <c r="B4294" s="109"/>
      <c r="C4294" s="109"/>
      <c r="D4294" s="109"/>
      <c r="E4294" s="109"/>
      <c r="F4294" s="109"/>
      <c r="G4294" s="109"/>
      <c r="H4294" s="109"/>
      <c r="I4294" s="109"/>
      <c r="J4294" s="109"/>
      <c r="L4294" s="109"/>
      <c r="M4294" s="109"/>
      <c r="N4294" s="109"/>
      <c r="Q4294" s="121"/>
      <c r="W4294" s="109"/>
    </row>
    <row r="4295" spans="1:23" ht="12.75" hidden="1">
      <c r="A4295" s="109"/>
      <c r="B4295" s="109"/>
      <c r="C4295" s="109"/>
      <c r="D4295" s="109"/>
      <c r="E4295" s="109"/>
      <c r="F4295" s="109"/>
      <c r="G4295" s="109"/>
      <c r="H4295" s="109"/>
      <c r="I4295" s="109"/>
      <c r="J4295" s="109"/>
      <c r="L4295" s="109"/>
      <c r="M4295" s="109"/>
      <c r="N4295" s="109"/>
      <c r="Q4295" s="121"/>
      <c r="W4295" s="109"/>
    </row>
    <row r="4296" spans="1:23" ht="12.75" hidden="1">
      <c r="A4296" s="109"/>
      <c r="B4296" s="109"/>
      <c r="C4296" s="109"/>
      <c r="D4296" s="109"/>
      <c r="E4296" s="109"/>
      <c r="F4296" s="109"/>
      <c r="G4296" s="109"/>
      <c r="H4296" s="109"/>
      <c r="I4296" s="109"/>
      <c r="J4296" s="109"/>
      <c r="L4296" s="109"/>
      <c r="M4296" s="109"/>
      <c r="N4296" s="109"/>
      <c r="Q4296" s="121"/>
      <c r="W4296" s="109"/>
    </row>
    <row r="4297" spans="1:23" ht="12.75" hidden="1">
      <c r="A4297" s="109"/>
      <c r="B4297" s="109"/>
      <c r="C4297" s="109"/>
      <c r="D4297" s="109"/>
      <c r="E4297" s="109"/>
      <c r="F4297" s="109"/>
      <c r="G4297" s="109"/>
      <c r="H4297" s="109"/>
      <c r="I4297" s="109"/>
      <c r="J4297" s="109"/>
      <c r="L4297" s="109"/>
      <c r="M4297" s="109"/>
      <c r="N4297" s="109"/>
      <c r="Q4297" s="121"/>
      <c r="W4297" s="109"/>
    </row>
    <row r="4298" spans="1:23" ht="12.75" hidden="1">
      <c r="A4298" s="109"/>
      <c r="B4298" s="109"/>
      <c r="C4298" s="109"/>
      <c r="D4298" s="109"/>
      <c r="E4298" s="109"/>
      <c r="F4298" s="109"/>
      <c r="G4298" s="109"/>
      <c r="H4298" s="109"/>
      <c r="I4298" s="109"/>
      <c r="J4298" s="109"/>
      <c r="L4298" s="109"/>
      <c r="M4298" s="109"/>
      <c r="N4298" s="109"/>
      <c r="Q4298" s="121"/>
      <c r="W4298" s="109"/>
    </row>
    <row r="4299" spans="1:23" ht="12.75" hidden="1">
      <c r="A4299" s="109"/>
      <c r="B4299" s="109"/>
      <c r="C4299" s="109"/>
      <c r="D4299" s="109"/>
      <c r="E4299" s="109"/>
      <c r="F4299" s="109"/>
      <c r="G4299" s="109"/>
      <c r="H4299" s="109"/>
      <c r="I4299" s="109"/>
      <c r="J4299" s="109"/>
      <c r="L4299" s="109"/>
      <c r="M4299" s="109"/>
      <c r="N4299" s="109"/>
      <c r="Q4299" s="121"/>
      <c r="W4299" s="109"/>
    </row>
    <row r="4300" spans="1:23" ht="12.75" hidden="1">
      <c r="A4300" s="109"/>
      <c r="B4300" s="109"/>
      <c r="C4300" s="109"/>
      <c r="D4300" s="109"/>
      <c r="E4300" s="109"/>
      <c r="F4300" s="109"/>
      <c r="G4300" s="109"/>
      <c r="H4300" s="109"/>
      <c r="I4300" s="109"/>
      <c r="J4300" s="109"/>
      <c r="L4300" s="109"/>
      <c r="M4300" s="109"/>
      <c r="N4300" s="109"/>
      <c r="Q4300" s="121"/>
      <c r="W4300" s="109"/>
    </row>
    <row r="4301" spans="1:23" ht="12.75" hidden="1">
      <c r="A4301" s="109"/>
      <c r="B4301" s="109"/>
      <c r="C4301" s="109"/>
      <c r="D4301" s="109"/>
      <c r="E4301" s="109"/>
      <c r="F4301" s="109"/>
      <c r="G4301" s="109"/>
      <c r="H4301" s="109"/>
      <c r="I4301" s="109"/>
      <c r="J4301" s="109"/>
      <c r="L4301" s="109"/>
      <c r="M4301" s="109"/>
      <c r="N4301" s="109"/>
      <c r="Q4301" s="121"/>
      <c r="W4301" s="109"/>
    </row>
    <row r="4302" spans="1:23" ht="12.75" hidden="1">
      <c r="A4302" s="109"/>
      <c r="B4302" s="109"/>
      <c r="C4302" s="109"/>
      <c r="D4302" s="109"/>
      <c r="E4302" s="109"/>
      <c r="F4302" s="109"/>
      <c r="G4302" s="109"/>
      <c r="H4302" s="109"/>
      <c r="I4302" s="109"/>
      <c r="J4302" s="109"/>
      <c r="L4302" s="109"/>
      <c r="M4302" s="109"/>
      <c r="N4302" s="109"/>
      <c r="Q4302" s="121"/>
      <c r="W4302" s="109"/>
    </row>
    <row r="4303" spans="1:23" ht="12.75" hidden="1">
      <c r="A4303" s="109"/>
      <c r="B4303" s="109"/>
      <c r="C4303" s="109"/>
      <c r="D4303" s="109"/>
      <c r="E4303" s="109"/>
      <c r="F4303" s="109"/>
      <c r="G4303" s="109"/>
      <c r="H4303" s="109"/>
      <c r="I4303" s="109"/>
      <c r="J4303" s="109"/>
      <c r="L4303" s="109"/>
      <c r="M4303" s="109"/>
      <c r="N4303" s="109"/>
      <c r="Q4303" s="121"/>
      <c r="W4303" s="109"/>
    </row>
    <row r="4304" spans="1:23" ht="12.75" hidden="1">
      <c r="A4304" s="109"/>
      <c r="B4304" s="109"/>
      <c r="C4304" s="109"/>
      <c r="D4304" s="109"/>
      <c r="E4304" s="109"/>
      <c r="F4304" s="109"/>
      <c r="G4304" s="109"/>
      <c r="H4304" s="109"/>
      <c r="I4304" s="109"/>
      <c r="J4304" s="109"/>
      <c r="L4304" s="109"/>
      <c r="M4304" s="109"/>
      <c r="N4304" s="109"/>
      <c r="Q4304" s="121"/>
      <c r="W4304" s="109"/>
    </row>
    <row r="4305" spans="1:23" ht="12.75" hidden="1">
      <c r="A4305" s="109"/>
      <c r="B4305" s="109"/>
      <c r="C4305" s="109"/>
      <c r="D4305" s="109"/>
      <c r="E4305" s="109"/>
      <c r="F4305" s="109"/>
      <c r="G4305" s="109"/>
      <c r="H4305" s="109"/>
      <c r="I4305" s="109"/>
      <c r="J4305" s="109"/>
      <c r="L4305" s="109"/>
      <c r="M4305" s="109"/>
      <c r="N4305" s="109"/>
      <c r="Q4305" s="121"/>
      <c r="W4305" s="109"/>
    </row>
    <row r="4306" spans="1:23" ht="12.75" hidden="1">
      <c r="A4306" s="109"/>
      <c r="B4306" s="109"/>
      <c r="C4306" s="109"/>
      <c r="D4306" s="109"/>
      <c r="E4306" s="109"/>
      <c r="F4306" s="109"/>
      <c r="G4306" s="109"/>
      <c r="H4306" s="109"/>
      <c r="I4306" s="109"/>
      <c r="J4306" s="109"/>
      <c r="L4306" s="109"/>
      <c r="M4306" s="109"/>
      <c r="N4306" s="109"/>
      <c r="Q4306" s="121"/>
      <c r="W4306" s="109"/>
    </row>
    <row r="4307" spans="1:23" ht="12.75" hidden="1">
      <c r="A4307" s="109"/>
      <c r="B4307" s="109"/>
      <c r="C4307" s="109"/>
      <c r="D4307" s="109"/>
      <c r="E4307" s="109"/>
      <c r="F4307" s="109"/>
      <c r="G4307" s="109"/>
      <c r="H4307" s="109"/>
      <c r="I4307" s="109"/>
      <c r="J4307" s="109"/>
      <c r="L4307" s="109"/>
      <c r="M4307" s="109"/>
      <c r="N4307" s="109"/>
      <c r="Q4307" s="121"/>
      <c r="W4307" s="109"/>
    </row>
    <row r="4308" spans="1:23" ht="12.75" hidden="1">
      <c r="A4308" s="109"/>
      <c r="B4308" s="109"/>
      <c r="C4308" s="109"/>
      <c r="D4308" s="109"/>
      <c r="E4308" s="109"/>
      <c r="F4308" s="109"/>
      <c r="G4308" s="109"/>
      <c r="H4308" s="109"/>
      <c r="I4308" s="109"/>
      <c r="J4308" s="109"/>
      <c r="L4308" s="109"/>
      <c r="M4308" s="109"/>
      <c r="N4308" s="109"/>
      <c r="Q4308" s="121"/>
      <c r="W4308" s="109"/>
    </row>
    <row r="4309" spans="1:23" ht="12.75" hidden="1">
      <c r="A4309" s="109"/>
      <c r="B4309" s="109"/>
      <c r="C4309" s="109"/>
      <c r="D4309" s="109"/>
      <c r="E4309" s="109"/>
      <c r="F4309" s="109"/>
      <c r="G4309" s="109"/>
      <c r="H4309" s="109"/>
      <c r="I4309" s="109"/>
      <c r="J4309" s="109"/>
      <c r="L4309" s="109"/>
      <c r="M4309" s="109"/>
      <c r="N4309" s="109"/>
      <c r="Q4309" s="121"/>
      <c r="W4309" s="109"/>
    </row>
    <row r="4310" spans="1:23" ht="12.75" hidden="1">
      <c r="A4310" s="109"/>
      <c r="B4310" s="109"/>
      <c r="C4310" s="109"/>
      <c r="D4310" s="109"/>
      <c r="E4310" s="109"/>
      <c r="F4310" s="109"/>
      <c r="G4310" s="109"/>
      <c r="H4310" s="109"/>
      <c r="I4310" s="109"/>
      <c r="J4310" s="109"/>
      <c r="L4310" s="109"/>
      <c r="M4310" s="109"/>
      <c r="N4310" s="109"/>
      <c r="Q4310" s="121"/>
      <c r="W4310" s="109"/>
    </row>
    <row r="4311" spans="1:23" ht="12.75" hidden="1">
      <c r="A4311" s="109"/>
      <c r="B4311" s="109"/>
      <c r="C4311" s="109"/>
      <c r="D4311" s="109"/>
      <c r="E4311" s="109"/>
      <c r="F4311" s="109"/>
      <c r="G4311" s="109"/>
      <c r="H4311" s="109"/>
      <c r="I4311" s="109"/>
      <c r="J4311" s="109"/>
      <c r="L4311" s="109"/>
      <c r="M4311" s="109"/>
      <c r="N4311" s="109"/>
      <c r="Q4311" s="121"/>
      <c r="W4311" s="109"/>
    </row>
    <row r="4312" spans="1:23" ht="12.75" hidden="1">
      <c r="A4312" s="109"/>
      <c r="B4312" s="109"/>
      <c r="C4312" s="109"/>
      <c r="D4312" s="109"/>
      <c r="E4312" s="109"/>
      <c r="F4312" s="109"/>
      <c r="G4312" s="109"/>
      <c r="H4312" s="109"/>
      <c r="I4312" s="109"/>
      <c r="J4312" s="109"/>
      <c r="L4312" s="109"/>
      <c r="M4312" s="109"/>
      <c r="N4312" s="109"/>
      <c r="Q4312" s="121"/>
      <c r="W4312" s="109"/>
    </row>
    <row r="4313" spans="1:23" ht="12.75" hidden="1">
      <c r="A4313" s="109"/>
      <c r="B4313" s="109"/>
      <c r="C4313" s="109"/>
      <c r="D4313" s="109"/>
      <c r="E4313" s="109"/>
      <c r="F4313" s="109"/>
      <c r="G4313" s="109"/>
      <c r="H4313" s="109"/>
      <c r="I4313" s="109"/>
      <c r="J4313" s="109"/>
      <c r="L4313" s="109"/>
      <c r="M4313" s="109"/>
      <c r="N4313" s="109"/>
      <c r="Q4313" s="121"/>
      <c r="W4313" s="109"/>
    </row>
    <row r="4314" spans="1:23" ht="12.75" hidden="1">
      <c r="A4314" s="109"/>
      <c r="B4314" s="109"/>
      <c r="C4314" s="109"/>
      <c r="D4314" s="109"/>
      <c r="E4314" s="109"/>
      <c r="F4314" s="109"/>
      <c r="G4314" s="109"/>
      <c r="H4314" s="109"/>
      <c r="I4314" s="109"/>
      <c r="J4314" s="109"/>
      <c r="L4314" s="109"/>
      <c r="M4314" s="109"/>
      <c r="N4314" s="109"/>
      <c r="Q4314" s="121"/>
      <c r="W4314" s="109"/>
    </row>
    <row r="4315" spans="1:23" ht="12.75" hidden="1">
      <c r="A4315" s="109"/>
      <c r="B4315" s="109"/>
      <c r="C4315" s="109"/>
      <c r="D4315" s="109"/>
      <c r="E4315" s="109"/>
      <c r="F4315" s="109"/>
      <c r="G4315" s="109"/>
      <c r="H4315" s="109"/>
      <c r="I4315" s="109"/>
      <c r="J4315" s="109"/>
      <c r="L4315" s="109"/>
      <c r="M4315" s="109"/>
      <c r="N4315" s="109"/>
      <c r="Q4315" s="121"/>
      <c r="W4315" s="109"/>
    </row>
    <row r="4316" spans="1:23" ht="12.75" hidden="1">
      <c r="A4316" s="109"/>
      <c r="B4316" s="109"/>
      <c r="C4316" s="109"/>
      <c r="D4316" s="109"/>
      <c r="E4316" s="109"/>
      <c r="F4316" s="109"/>
      <c r="G4316" s="109"/>
      <c r="H4316" s="109"/>
      <c r="I4316" s="109"/>
      <c r="J4316" s="109"/>
      <c r="L4316" s="109"/>
      <c r="M4316" s="109"/>
      <c r="N4316" s="109"/>
      <c r="Q4316" s="121"/>
      <c r="W4316" s="109"/>
    </row>
    <row r="4317" spans="1:23" ht="12.75" hidden="1">
      <c r="A4317" s="109"/>
      <c r="B4317" s="109"/>
      <c r="C4317" s="109"/>
      <c r="D4317" s="109"/>
      <c r="E4317" s="109"/>
      <c r="F4317" s="109"/>
      <c r="G4317" s="109"/>
      <c r="H4317" s="109"/>
      <c r="I4317" s="109"/>
      <c r="J4317" s="109"/>
      <c r="L4317" s="109"/>
      <c r="M4317" s="109"/>
      <c r="N4317" s="109"/>
      <c r="Q4317" s="121"/>
      <c r="W4317" s="109"/>
    </row>
    <row r="4318" spans="1:23" ht="12.75" hidden="1">
      <c r="A4318" s="109"/>
      <c r="B4318" s="109"/>
      <c r="C4318" s="109"/>
      <c r="D4318" s="109"/>
      <c r="E4318" s="109"/>
      <c r="F4318" s="109"/>
      <c r="G4318" s="109"/>
      <c r="H4318" s="109"/>
      <c r="I4318" s="109"/>
      <c r="J4318" s="109"/>
      <c r="L4318" s="109"/>
      <c r="M4318" s="109"/>
      <c r="N4318" s="109"/>
      <c r="Q4318" s="121"/>
      <c r="W4318" s="109"/>
    </row>
    <row r="4319" spans="1:23" ht="12.75" hidden="1">
      <c r="A4319" s="109"/>
      <c r="B4319" s="109"/>
      <c r="C4319" s="109"/>
      <c r="D4319" s="109"/>
      <c r="E4319" s="109"/>
      <c r="F4319" s="109"/>
      <c r="G4319" s="109"/>
      <c r="H4319" s="109"/>
      <c r="I4319" s="109"/>
      <c r="J4319" s="109"/>
      <c r="L4319" s="109"/>
      <c r="M4319" s="109"/>
      <c r="N4319" s="109"/>
      <c r="Q4319" s="121"/>
      <c r="W4319" s="109"/>
    </row>
    <row r="4320" spans="1:23" ht="12.75" hidden="1">
      <c r="A4320" s="109"/>
      <c r="B4320" s="109"/>
      <c r="C4320" s="109"/>
      <c r="D4320" s="109"/>
      <c r="E4320" s="109"/>
      <c r="F4320" s="109"/>
      <c r="G4320" s="109"/>
      <c r="H4320" s="109"/>
      <c r="I4320" s="109"/>
      <c r="J4320" s="109"/>
      <c r="L4320" s="109"/>
      <c r="M4320" s="109"/>
      <c r="N4320" s="109"/>
      <c r="Q4320" s="121"/>
      <c r="W4320" s="109"/>
    </row>
    <row r="4321" spans="1:23" ht="12.75" hidden="1">
      <c r="A4321" s="109"/>
      <c r="B4321" s="109"/>
      <c r="C4321" s="109"/>
      <c r="D4321" s="109"/>
      <c r="E4321" s="109"/>
      <c r="F4321" s="109"/>
      <c r="G4321" s="109"/>
      <c r="H4321" s="109"/>
      <c r="I4321" s="109"/>
      <c r="J4321" s="109"/>
      <c r="L4321" s="109"/>
      <c r="M4321" s="109"/>
      <c r="N4321" s="109"/>
      <c r="Q4321" s="121"/>
      <c r="W4321" s="109"/>
    </row>
    <row r="4322" spans="1:23" ht="12.75" hidden="1">
      <c r="A4322" s="109"/>
      <c r="B4322" s="109"/>
      <c r="C4322" s="109"/>
      <c r="D4322" s="109"/>
      <c r="E4322" s="109"/>
      <c r="F4322" s="109"/>
      <c r="G4322" s="109"/>
      <c r="H4322" s="109"/>
      <c r="I4322" s="109"/>
      <c r="J4322" s="109"/>
      <c r="L4322" s="109"/>
      <c r="M4322" s="109"/>
      <c r="N4322" s="109"/>
      <c r="Q4322" s="121"/>
      <c r="W4322" s="109"/>
    </row>
    <row r="4323" spans="1:23" ht="12.75" hidden="1">
      <c r="A4323" s="109"/>
      <c r="B4323" s="109"/>
      <c r="C4323" s="109"/>
      <c r="D4323" s="109"/>
      <c r="E4323" s="109"/>
      <c r="F4323" s="109"/>
      <c r="G4323" s="109"/>
      <c r="H4323" s="109"/>
      <c r="I4323" s="109"/>
      <c r="J4323" s="109"/>
      <c r="L4323" s="109"/>
      <c r="M4323" s="109"/>
      <c r="N4323" s="109"/>
      <c r="Q4323" s="121"/>
      <c r="W4323" s="109"/>
    </row>
    <row r="4324" spans="1:23" ht="12.75" hidden="1">
      <c r="A4324" s="109"/>
      <c r="B4324" s="109"/>
      <c r="C4324" s="109"/>
      <c r="D4324" s="109"/>
      <c r="E4324" s="109"/>
      <c r="F4324" s="109"/>
      <c r="G4324" s="109"/>
      <c r="H4324" s="109"/>
      <c r="I4324" s="109"/>
      <c r="J4324" s="109"/>
      <c r="L4324" s="109"/>
      <c r="M4324" s="109"/>
      <c r="N4324" s="109"/>
      <c r="Q4324" s="121"/>
      <c r="W4324" s="109"/>
    </row>
    <row r="4325" spans="1:23" ht="12.75" hidden="1">
      <c r="A4325" s="109"/>
      <c r="B4325" s="109"/>
      <c r="C4325" s="109"/>
      <c r="D4325" s="109"/>
      <c r="E4325" s="109"/>
      <c r="F4325" s="109"/>
      <c r="G4325" s="109"/>
      <c r="H4325" s="109"/>
      <c r="I4325" s="109"/>
      <c r="J4325" s="109"/>
      <c r="L4325" s="109"/>
      <c r="M4325" s="109"/>
      <c r="N4325" s="109"/>
      <c r="Q4325" s="121"/>
      <c r="W4325" s="109"/>
    </row>
    <row r="4326" spans="1:23" ht="12.75" hidden="1">
      <c r="A4326" s="109"/>
      <c r="B4326" s="109"/>
      <c r="C4326" s="109"/>
      <c r="D4326" s="109"/>
      <c r="E4326" s="109"/>
      <c r="F4326" s="109"/>
      <c r="G4326" s="109"/>
      <c r="H4326" s="109"/>
      <c r="I4326" s="109"/>
      <c r="J4326" s="109"/>
      <c r="L4326" s="109"/>
      <c r="M4326" s="109"/>
      <c r="N4326" s="109"/>
      <c r="Q4326" s="121"/>
      <c r="W4326" s="109"/>
    </row>
    <row r="4327" spans="1:23" ht="12.75" hidden="1">
      <c r="A4327" s="109"/>
      <c r="B4327" s="109"/>
      <c r="C4327" s="109"/>
      <c r="D4327" s="109"/>
      <c r="E4327" s="109"/>
      <c r="F4327" s="109"/>
      <c r="G4327" s="109"/>
      <c r="H4327" s="109"/>
      <c r="I4327" s="109"/>
      <c r="J4327" s="109"/>
      <c r="L4327" s="109"/>
      <c r="M4327" s="109"/>
      <c r="N4327" s="109"/>
      <c r="Q4327" s="121"/>
      <c r="W4327" s="109"/>
    </row>
    <row r="4328" spans="1:23" ht="12.75" hidden="1">
      <c r="A4328" s="109"/>
      <c r="B4328" s="109"/>
      <c r="C4328" s="109"/>
      <c r="D4328" s="109"/>
      <c r="E4328" s="109"/>
      <c r="F4328" s="109"/>
      <c r="G4328" s="109"/>
      <c r="H4328" s="109"/>
      <c r="I4328" s="109"/>
      <c r="J4328" s="109"/>
      <c r="L4328" s="109"/>
      <c r="M4328" s="109"/>
      <c r="N4328" s="109"/>
      <c r="Q4328" s="121"/>
      <c r="W4328" s="109"/>
    </row>
    <row r="4329" spans="1:23" ht="12.75" hidden="1">
      <c r="A4329" s="109"/>
      <c r="B4329" s="109"/>
      <c r="C4329" s="109"/>
      <c r="D4329" s="109"/>
      <c r="E4329" s="109"/>
      <c r="F4329" s="109"/>
      <c r="G4329" s="109"/>
      <c r="H4329" s="109"/>
      <c r="I4329" s="109"/>
      <c r="J4329" s="109"/>
      <c r="L4329" s="109"/>
      <c r="M4329" s="109"/>
      <c r="N4329" s="109"/>
      <c r="Q4329" s="121"/>
      <c r="W4329" s="109"/>
    </row>
    <row r="4330" spans="1:23" ht="12.75" hidden="1">
      <c r="A4330" s="109"/>
      <c r="B4330" s="109"/>
      <c r="C4330" s="109"/>
      <c r="D4330" s="109"/>
      <c r="E4330" s="109"/>
      <c r="F4330" s="109"/>
      <c r="G4330" s="109"/>
      <c r="H4330" s="109"/>
      <c r="I4330" s="109"/>
      <c r="J4330" s="109"/>
      <c r="L4330" s="109"/>
      <c r="M4330" s="109"/>
      <c r="N4330" s="109"/>
      <c r="Q4330" s="121"/>
      <c r="W4330" s="109"/>
    </row>
    <row r="4331" spans="1:23" ht="12.75" hidden="1">
      <c r="A4331" s="109"/>
      <c r="B4331" s="109"/>
      <c r="C4331" s="109"/>
      <c r="D4331" s="109"/>
      <c r="E4331" s="109"/>
      <c r="F4331" s="109"/>
      <c r="G4331" s="109"/>
      <c r="H4331" s="109"/>
      <c r="I4331" s="109"/>
      <c r="J4331" s="109"/>
      <c r="L4331" s="109"/>
      <c r="M4331" s="109"/>
      <c r="N4331" s="109"/>
      <c r="Q4331" s="121"/>
      <c r="W4331" s="109"/>
    </row>
    <row r="4332" spans="1:23" ht="12.75" hidden="1">
      <c r="A4332" s="109"/>
      <c r="B4332" s="109"/>
      <c r="C4332" s="109"/>
      <c r="D4332" s="109"/>
      <c r="E4332" s="109"/>
      <c r="F4332" s="109"/>
      <c r="G4332" s="109"/>
      <c r="H4332" s="109"/>
      <c r="I4332" s="109"/>
      <c r="J4332" s="109"/>
      <c r="L4332" s="109"/>
      <c r="M4332" s="109"/>
      <c r="N4332" s="109"/>
      <c r="Q4332" s="121"/>
      <c r="W4332" s="109"/>
    </row>
    <row r="4333" spans="1:23" ht="12.75" hidden="1">
      <c r="A4333" s="109"/>
      <c r="B4333" s="109"/>
      <c r="C4333" s="109"/>
      <c r="D4333" s="109"/>
      <c r="E4333" s="109"/>
      <c r="F4333" s="109"/>
      <c r="G4333" s="109"/>
      <c r="H4333" s="109"/>
      <c r="I4333" s="109"/>
      <c r="J4333" s="109"/>
      <c r="L4333" s="109"/>
      <c r="M4333" s="109"/>
      <c r="N4333" s="109"/>
      <c r="Q4333" s="121"/>
      <c r="W4333" s="109"/>
    </row>
    <row r="4334" spans="1:23" ht="12.75" hidden="1">
      <c r="A4334" s="109"/>
      <c r="B4334" s="109"/>
      <c r="C4334" s="109"/>
      <c r="D4334" s="109"/>
      <c r="E4334" s="109"/>
      <c r="F4334" s="109"/>
      <c r="G4334" s="109"/>
      <c r="H4334" s="109"/>
      <c r="I4334" s="109"/>
      <c r="J4334" s="109"/>
      <c r="L4334" s="109"/>
      <c r="M4334" s="109"/>
      <c r="N4334" s="109"/>
      <c r="Q4334" s="121"/>
      <c r="W4334" s="109"/>
    </row>
    <row r="4335" spans="1:23" ht="12.75" hidden="1">
      <c r="A4335" s="109"/>
      <c r="B4335" s="109"/>
      <c r="C4335" s="109"/>
      <c r="D4335" s="109"/>
      <c r="E4335" s="109"/>
      <c r="F4335" s="109"/>
      <c r="G4335" s="109"/>
      <c r="H4335" s="109"/>
      <c r="I4335" s="109"/>
      <c r="J4335" s="109"/>
      <c r="L4335" s="109"/>
      <c r="M4335" s="109"/>
      <c r="N4335" s="109"/>
      <c r="Q4335" s="121"/>
      <c r="W4335" s="109"/>
    </row>
    <row r="4336" spans="1:23" ht="12.75" hidden="1">
      <c r="A4336" s="109"/>
      <c r="B4336" s="109"/>
      <c r="C4336" s="109"/>
      <c r="D4336" s="109"/>
      <c r="E4336" s="109"/>
      <c r="F4336" s="109"/>
      <c r="G4336" s="109"/>
      <c r="H4336" s="109"/>
      <c r="I4336" s="109"/>
      <c r="J4336" s="109"/>
      <c r="L4336" s="109"/>
      <c r="M4336" s="109"/>
      <c r="N4336" s="109"/>
      <c r="Q4336" s="121"/>
      <c r="W4336" s="109"/>
    </row>
    <row r="4337" spans="1:23" ht="12.75" hidden="1">
      <c r="A4337" s="109"/>
      <c r="B4337" s="109"/>
      <c r="C4337" s="109"/>
      <c r="D4337" s="109"/>
      <c r="E4337" s="109"/>
      <c r="F4337" s="109"/>
      <c r="G4337" s="109"/>
      <c r="H4337" s="109"/>
      <c r="I4337" s="109"/>
      <c r="J4337" s="109"/>
      <c r="L4337" s="109"/>
      <c r="M4337" s="109"/>
      <c r="N4337" s="109"/>
      <c r="Q4337" s="121"/>
      <c r="W4337" s="109"/>
    </row>
    <row r="4338" spans="1:23" ht="12.75" hidden="1">
      <c r="A4338" s="109"/>
      <c r="B4338" s="109"/>
      <c r="C4338" s="109"/>
      <c r="D4338" s="109"/>
      <c r="E4338" s="109"/>
      <c r="F4338" s="109"/>
      <c r="G4338" s="109"/>
      <c r="H4338" s="109"/>
      <c r="I4338" s="109"/>
      <c r="J4338" s="109"/>
      <c r="L4338" s="109"/>
      <c r="M4338" s="109"/>
      <c r="N4338" s="109"/>
      <c r="Q4338" s="121"/>
      <c r="W4338" s="109"/>
    </row>
    <row r="4339" spans="1:23" ht="12.75" hidden="1">
      <c r="A4339" s="109"/>
      <c r="B4339" s="109"/>
      <c r="C4339" s="109"/>
      <c r="D4339" s="109"/>
      <c r="E4339" s="109"/>
      <c r="F4339" s="109"/>
      <c r="G4339" s="109"/>
      <c r="H4339" s="109"/>
      <c r="I4339" s="109"/>
      <c r="J4339" s="109"/>
      <c r="L4339" s="109"/>
      <c r="M4339" s="109"/>
      <c r="N4339" s="109"/>
      <c r="Q4339" s="121"/>
      <c r="W4339" s="109"/>
    </row>
    <row r="4340" spans="1:23" ht="12.75" hidden="1">
      <c r="A4340" s="109"/>
      <c r="B4340" s="109"/>
      <c r="C4340" s="109"/>
      <c r="D4340" s="109"/>
      <c r="E4340" s="109"/>
      <c r="F4340" s="109"/>
      <c r="G4340" s="109"/>
      <c r="H4340" s="109"/>
      <c r="I4340" s="109"/>
      <c r="J4340" s="109"/>
      <c r="L4340" s="109"/>
      <c r="M4340" s="109"/>
      <c r="N4340" s="109"/>
      <c r="Q4340" s="121"/>
      <c r="W4340" s="109"/>
    </row>
    <row r="4341" spans="1:23" ht="12.75" hidden="1">
      <c r="A4341" s="109"/>
      <c r="B4341" s="109"/>
      <c r="C4341" s="109"/>
      <c r="D4341" s="109"/>
      <c r="E4341" s="109"/>
      <c r="F4341" s="109"/>
      <c r="G4341" s="109"/>
      <c r="H4341" s="109"/>
      <c r="I4341" s="109"/>
      <c r="J4341" s="109"/>
      <c r="L4341" s="109"/>
      <c r="M4341" s="109"/>
      <c r="N4341" s="109"/>
      <c r="Q4341" s="121"/>
      <c r="W4341" s="109"/>
    </row>
    <row r="4342" spans="1:23" ht="12.75" hidden="1">
      <c r="A4342" s="109"/>
      <c r="B4342" s="109"/>
      <c r="C4342" s="109"/>
      <c r="D4342" s="109"/>
      <c r="E4342" s="109"/>
      <c r="F4342" s="109"/>
      <c r="G4342" s="109"/>
      <c r="H4342" s="109"/>
      <c r="I4342" s="109"/>
      <c r="J4342" s="109"/>
      <c r="L4342" s="109"/>
      <c r="M4342" s="109"/>
      <c r="N4342" s="109"/>
      <c r="Q4342" s="121"/>
      <c r="W4342" s="109"/>
    </row>
    <row r="4343" spans="1:23" ht="12.75" hidden="1">
      <c r="A4343" s="109"/>
      <c r="B4343" s="109"/>
      <c r="C4343" s="109"/>
      <c r="D4343" s="109"/>
      <c r="E4343" s="109"/>
      <c r="F4343" s="109"/>
      <c r="G4343" s="109"/>
      <c r="H4343" s="109"/>
      <c r="I4343" s="109"/>
      <c r="J4343" s="109"/>
      <c r="L4343" s="109"/>
      <c r="M4343" s="109"/>
      <c r="N4343" s="109"/>
      <c r="Q4343" s="121"/>
      <c r="W4343" s="109"/>
    </row>
    <row r="4344" spans="1:23" ht="12.75" hidden="1">
      <c r="A4344" s="109"/>
      <c r="B4344" s="109"/>
      <c r="C4344" s="109"/>
      <c r="D4344" s="109"/>
      <c r="E4344" s="109"/>
      <c r="F4344" s="109"/>
      <c r="G4344" s="109"/>
      <c r="H4344" s="109"/>
      <c r="I4344" s="109"/>
      <c r="J4344" s="109"/>
      <c r="L4344" s="109"/>
      <c r="M4344" s="109"/>
      <c r="N4344" s="109"/>
      <c r="Q4344" s="121"/>
      <c r="W4344" s="109"/>
    </row>
    <row r="4345" spans="1:23" ht="12.75" hidden="1">
      <c r="A4345" s="109"/>
      <c r="B4345" s="109"/>
      <c r="C4345" s="109"/>
      <c r="D4345" s="109"/>
      <c r="E4345" s="109"/>
      <c r="F4345" s="109"/>
      <c r="G4345" s="109"/>
      <c r="H4345" s="109"/>
      <c r="I4345" s="109"/>
      <c r="J4345" s="109"/>
      <c r="L4345" s="109"/>
      <c r="M4345" s="109"/>
      <c r="N4345" s="109"/>
      <c r="Q4345" s="121"/>
      <c r="W4345" s="109"/>
    </row>
    <row r="4346" spans="1:23" ht="12.75" hidden="1">
      <c r="A4346" s="109"/>
      <c r="B4346" s="109"/>
      <c r="C4346" s="109"/>
      <c r="D4346" s="109"/>
      <c r="E4346" s="109"/>
      <c r="F4346" s="109"/>
      <c r="G4346" s="109"/>
      <c r="H4346" s="109"/>
      <c r="I4346" s="109"/>
      <c r="J4346" s="109"/>
      <c r="L4346" s="109"/>
      <c r="M4346" s="109"/>
      <c r="N4346" s="109"/>
      <c r="Q4346" s="121"/>
      <c r="W4346" s="109"/>
    </row>
    <row r="4347" spans="1:23" ht="12.75" hidden="1">
      <c r="A4347" s="109"/>
      <c r="B4347" s="109"/>
      <c r="C4347" s="109"/>
      <c r="D4347" s="109"/>
      <c r="E4347" s="109"/>
      <c r="F4347" s="109"/>
      <c r="G4347" s="109"/>
      <c r="H4347" s="109"/>
      <c r="I4347" s="109"/>
      <c r="J4347" s="109"/>
      <c r="L4347" s="109"/>
      <c r="M4347" s="109"/>
      <c r="N4347" s="109"/>
      <c r="Q4347" s="121"/>
      <c r="W4347" s="109"/>
    </row>
    <row r="4348" spans="1:23" ht="12.75" hidden="1">
      <c r="A4348" s="109"/>
      <c r="B4348" s="109"/>
      <c r="C4348" s="109"/>
      <c r="D4348" s="109"/>
      <c r="E4348" s="109"/>
      <c r="F4348" s="109"/>
      <c r="G4348" s="109"/>
      <c r="H4348" s="109"/>
      <c r="I4348" s="109"/>
      <c r="J4348" s="109"/>
      <c r="L4348" s="109"/>
      <c r="M4348" s="109"/>
      <c r="N4348" s="109"/>
      <c r="Q4348" s="121"/>
      <c r="W4348" s="109"/>
    </row>
    <row r="4349" spans="1:23" ht="12.75" hidden="1">
      <c r="A4349" s="109"/>
      <c r="B4349" s="109"/>
      <c r="C4349" s="109"/>
      <c r="D4349" s="109"/>
      <c r="E4349" s="109"/>
      <c r="F4349" s="109"/>
      <c r="G4349" s="109"/>
      <c r="H4349" s="109"/>
      <c r="I4349" s="109"/>
      <c r="J4349" s="109"/>
      <c r="L4349" s="109"/>
      <c r="M4349" s="109"/>
      <c r="N4349" s="109"/>
      <c r="Q4349" s="121"/>
      <c r="W4349" s="109"/>
    </row>
    <row r="4350" spans="1:23" ht="12.75" hidden="1">
      <c r="A4350" s="109"/>
      <c r="B4350" s="109"/>
      <c r="C4350" s="109"/>
      <c r="D4350" s="109"/>
      <c r="E4350" s="109"/>
      <c r="F4350" s="109"/>
      <c r="G4350" s="109"/>
      <c r="H4350" s="109"/>
      <c r="I4350" s="109"/>
      <c r="J4350" s="109"/>
      <c r="L4350" s="109"/>
      <c r="M4350" s="109"/>
      <c r="N4350" s="109"/>
      <c r="Q4350" s="121"/>
      <c r="W4350" s="109"/>
    </row>
    <row r="4351" spans="1:23" ht="12.75" hidden="1">
      <c r="A4351" s="109"/>
      <c r="B4351" s="109"/>
      <c r="C4351" s="109"/>
      <c r="D4351" s="109"/>
      <c r="E4351" s="109"/>
      <c r="F4351" s="109"/>
      <c r="G4351" s="109"/>
      <c r="H4351" s="109"/>
      <c r="I4351" s="109"/>
      <c r="J4351" s="109"/>
      <c r="L4351" s="109"/>
      <c r="M4351" s="109"/>
      <c r="N4351" s="109"/>
      <c r="Q4351" s="121"/>
      <c r="W4351" s="109"/>
    </row>
    <row r="4352" spans="1:23" ht="12.75" hidden="1">
      <c r="A4352" s="109"/>
      <c r="B4352" s="109"/>
      <c r="C4352" s="109"/>
      <c r="D4352" s="109"/>
      <c r="E4352" s="109"/>
      <c r="F4352" s="109"/>
      <c r="G4352" s="109"/>
      <c r="H4352" s="109"/>
      <c r="I4352" s="109"/>
      <c r="J4352" s="109"/>
      <c r="L4352" s="109"/>
      <c r="M4352" s="109"/>
      <c r="N4352" s="109"/>
      <c r="Q4352" s="121"/>
      <c r="W4352" s="109"/>
    </row>
    <row r="4353" spans="1:23" ht="12.75" hidden="1">
      <c r="A4353" s="109"/>
      <c r="B4353" s="109"/>
      <c r="C4353" s="109"/>
      <c r="D4353" s="109"/>
      <c r="E4353" s="109"/>
      <c r="F4353" s="109"/>
      <c r="G4353" s="109"/>
      <c r="H4353" s="109"/>
      <c r="I4353" s="109"/>
      <c r="J4353" s="109"/>
      <c r="L4353" s="109"/>
      <c r="M4353" s="109"/>
      <c r="N4353" s="109"/>
      <c r="Q4353" s="121"/>
      <c r="W4353" s="109"/>
    </row>
    <row r="4354" spans="1:23" ht="12.75" hidden="1">
      <c r="A4354" s="109"/>
      <c r="B4354" s="109"/>
      <c r="C4354" s="109"/>
      <c r="D4354" s="109"/>
      <c r="E4354" s="109"/>
      <c r="F4354" s="109"/>
      <c r="G4354" s="109"/>
      <c r="H4354" s="109"/>
      <c r="I4354" s="109"/>
      <c r="J4354" s="109"/>
      <c r="L4354" s="109"/>
      <c r="M4354" s="109"/>
      <c r="N4354" s="109"/>
      <c r="Q4354" s="121"/>
      <c r="W4354" s="109"/>
    </row>
    <row r="4355" spans="1:23" ht="12.75" hidden="1">
      <c r="A4355" s="109"/>
      <c r="B4355" s="109"/>
      <c r="C4355" s="109"/>
      <c r="D4355" s="109"/>
      <c r="E4355" s="109"/>
      <c r="F4355" s="109"/>
      <c r="G4355" s="109"/>
      <c r="H4355" s="109"/>
      <c r="I4355" s="109"/>
      <c r="J4355" s="109"/>
      <c r="L4355" s="109"/>
      <c r="M4355" s="109"/>
      <c r="N4355" s="109"/>
      <c r="Q4355" s="121"/>
      <c r="W4355" s="109"/>
    </row>
    <row r="4356" spans="1:23" ht="12.75" hidden="1">
      <c r="A4356" s="109"/>
      <c r="B4356" s="109"/>
      <c r="C4356" s="109"/>
      <c r="D4356" s="109"/>
      <c r="E4356" s="109"/>
      <c r="F4356" s="109"/>
      <c r="G4356" s="109"/>
      <c r="H4356" s="109"/>
      <c r="I4356" s="109"/>
      <c r="J4356" s="109"/>
      <c r="L4356" s="109"/>
      <c r="M4356" s="109"/>
      <c r="N4356" s="109"/>
      <c r="Q4356" s="121"/>
      <c r="W4356" s="109"/>
    </row>
    <row r="4357" spans="1:23" ht="12.75" hidden="1">
      <c r="A4357" s="109"/>
      <c r="B4357" s="109"/>
      <c r="C4357" s="109"/>
      <c r="D4357" s="109"/>
      <c r="E4357" s="109"/>
      <c r="F4357" s="109"/>
      <c r="G4357" s="109"/>
      <c r="H4357" s="109"/>
      <c r="I4357" s="109"/>
      <c r="J4357" s="109"/>
      <c r="L4357" s="109"/>
      <c r="M4357" s="109"/>
      <c r="N4357" s="109"/>
      <c r="Q4357" s="121"/>
      <c r="W4357" s="109"/>
    </row>
    <row r="4358" spans="1:23" ht="12.75" hidden="1">
      <c r="A4358" s="109"/>
      <c r="B4358" s="109"/>
      <c r="C4358" s="109"/>
      <c r="D4358" s="109"/>
      <c r="E4358" s="109"/>
      <c r="F4358" s="109"/>
      <c r="G4358" s="109"/>
      <c r="H4358" s="109"/>
      <c r="I4358" s="109"/>
      <c r="J4358" s="109"/>
      <c r="L4358" s="109"/>
      <c r="M4358" s="109"/>
      <c r="N4358" s="109"/>
      <c r="Q4358" s="121"/>
      <c r="W4358" s="109"/>
    </row>
    <row r="4359" spans="1:23" ht="12.75" hidden="1">
      <c r="A4359" s="109"/>
      <c r="B4359" s="109"/>
      <c r="C4359" s="109"/>
      <c r="D4359" s="109"/>
      <c r="E4359" s="109"/>
      <c r="F4359" s="109"/>
      <c r="G4359" s="109"/>
      <c r="H4359" s="109"/>
      <c r="I4359" s="109"/>
      <c r="J4359" s="109"/>
      <c r="L4359" s="109"/>
      <c r="M4359" s="109"/>
      <c r="N4359" s="109"/>
      <c r="Q4359" s="121"/>
      <c r="W4359" s="109"/>
    </row>
    <row r="4360" spans="1:23" ht="12.75" hidden="1">
      <c r="A4360" s="109"/>
      <c r="B4360" s="109"/>
      <c r="C4360" s="109"/>
      <c r="D4360" s="109"/>
      <c r="E4360" s="109"/>
      <c r="F4360" s="109"/>
      <c r="G4360" s="109"/>
      <c r="H4360" s="109"/>
      <c r="I4360" s="109"/>
      <c r="J4360" s="109"/>
      <c r="L4360" s="109"/>
      <c r="M4360" s="109"/>
      <c r="N4360" s="109"/>
      <c r="Q4360" s="121"/>
      <c r="W4360" s="109"/>
    </row>
    <row r="4361" spans="1:23" ht="12.75" hidden="1">
      <c r="A4361" s="109"/>
      <c r="B4361" s="109"/>
      <c r="C4361" s="109"/>
      <c r="D4361" s="109"/>
      <c r="E4361" s="109"/>
      <c r="F4361" s="109"/>
      <c r="G4361" s="109"/>
      <c r="H4361" s="109"/>
      <c r="I4361" s="109"/>
      <c r="J4361" s="109"/>
      <c r="L4361" s="109"/>
      <c r="M4361" s="109"/>
      <c r="N4361" s="109"/>
      <c r="Q4361" s="121"/>
      <c r="W4361" s="109"/>
    </row>
    <row r="4362" spans="1:23" ht="12.75" hidden="1">
      <c r="A4362" s="109"/>
      <c r="B4362" s="109"/>
      <c r="C4362" s="109"/>
      <c r="D4362" s="109"/>
      <c r="E4362" s="109"/>
      <c r="F4362" s="109"/>
      <c r="G4362" s="109"/>
      <c r="H4362" s="109"/>
      <c r="I4362" s="109"/>
      <c r="J4362" s="109"/>
      <c r="L4362" s="109"/>
      <c r="M4362" s="109"/>
      <c r="N4362" s="109"/>
      <c r="Q4362" s="121"/>
      <c r="W4362" s="109"/>
    </row>
    <row r="4363" spans="1:23" ht="12.75" hidden="1">
      <c r="A4363" s="109"/>
      <c r="B4363" s="109"/>
      <c r="C4363" s="109"/>
      <c r="D4363" s="109"/>
      <c r="E4363" s="109"/>
      <c r="F4363" s="109"/>
      <c r="G4363" s="109"/>
      <c r="H4363" s="109"/>
      <c r="I4363" s="109"/>
      <c r="J4363" s="109"/>
      <c r="L4363" s="109"/>
      <c r="M4363" s="109"/>
      <c r="N4363" s="109"/>
      <c r="Q4363" s="121"/>
      <c r="W4363" s="109"/>
    </row>
    <row r="4364" spans="1:23" ht="12.75" hidden="1">
      <c r="A4364" s="109"/>
      <c r="B4364" s="109"/>
      <c r="C4364" s="109"/>
      <c r="D4364" s="109"/>
      <c r="E4364" s="109"/>
      <c r="F4364" s="109"/>
      <c r="G4364" s="109"/>
      <c r="H4364" s="109"/>
      <c r="I4364" s="109"/>
      <c r="J4364" s="109"/>
      <c r="L4364" s="109"/>
      <c r="M4364" s="109"/>
      <c r="N4364" s="109"/>
      <c r="Q4364" s="121"/>
      <c r="W4364" s="109"/>
    </row>
    <row r="4365" spans="1:23" ht="12.75" hidden="1">
      <c r="A4365" s="109"/>
      <c r="B4365" s="109"/>
      <c r="C4365" s="109"/>
      <c r="D4365" s="109"/>
      <c r="E4365" s="109"/>
      <c r="F4365" s="109"/>
      <c r="G4365" s="109"/>
      <c r="H4365" s="109"/>
      <c r="I4365" s="109"/>
      <c r="J4365" s="109"/>
      <c r="L4365" s="109"/>
      <c r="M4365" s="109"/>
      <c r="N4365" s="109"/>
      <c r="Q4365" s="121"/>
      <c r="W4365" s="109"/>
    </row>
    <row r="4366" spans="1:23" ht="12.75" hidden="1">
      <c r="A4366" s="109"/>
      <c r="B4366" s="109"/>
      <c r="C4366" s="109"/>
      <c r="D4366" s="109"/>
      <c r="E4366" s="109"/>
      <c r="F4366" s="109"/>
      <c r="G4366" s="109"/>
      <c r="H4366" s="109"/>
      <c r="I4366" s="109"/>
      <c r="J4366" s="109"/>
      <c r="L4366" s="109"/>
      <c r="M4366" s="109"/>
      <c r="N4366" s="109"/>
      <c r="Q4366" s="121"/>
      <c r="W4366" s="109"/>
    </row>
    <row r="4367" spans="1:23" ht="12.75" hidden="1">
      <c r="A4367" s="109"/>
      <c r="B4367" s="109"/>
      <c r="C4367" s="109"/>
      <c r="D4367" s="109"/>
      <c r="E4367" s="109"/>
      <c r="F4367" s="109"/>
      <c r="G4367" s="109"/>
      <c r="H4367" s="109"/>
      <c r="I4367" s="109"/>
      <c r="J4367" s="109"/>
      <c r="L4367" s="109"/>
      <c r="M4367" s="109"/>
      <c r="N4367" s="109"/>
      <c r="Q4367" s="121"/>
      <c r="W4367" s="109"/>
    </row>
    <row r="4368" spans="1:23" ht="12.75" hidden="1">
      <c r="A4368" s="109"/>
      <c r="B4368" s="109"/>
      <c r="C4368" s="109"/>
      <c r="D4368" s="109"/>
      <c r="E4368" s="109"/>
      <c r="F4368" s="109"/>
      <c r="G4368" s="109"/>
      <c r="H4368" s="109"/>
      <c r="I4368" s="109"/>
      <c r="J4368" s="109"/>
      <c r="L4368" s="109"/>
      <c r="M4368" s="109"/>
      <c r="N4368" s="109"/>
      <c r="Q4368" s="121"/>
      <c r="W4368" s="109"/>
    </row>
    <row r="4369" spans="1:23" ht="12.75" hidden="1">
      <c r="A4369" s="109"/>
      <c r="B4369" s="109"/>
      <c r="C4369" s="109"/>
      <c r="D4369" s="109"/>
      <c r="E4369" s="109"/>
      <c r="F4369" s="109"/>
      <c r="G4369" s="109"/>
      <c r="H4369" s="109"/>
      <c r="I4369" s="109"/>
      <c r="J4369" s="109"/>
      <c r="L4369" s="109"/>
      <c r="M4369" s="109"/>
      <c r="N4369" s="109"/>
      <c r="Q4369" s="121"/>
      <c r="W4369" s="109"/>
    </row>
    <row r="4370" spans="1:23" ht="12.75" hidden="1">
      <c r="A4370" s="109"/>
      <c r="B4370" s="109"/>
      <c r="C4370" s="109"/>
      <c r="D4370" s="109"/>
      <c r="E4370" s="109"/>
      <c r="F4370" s="109"/>
      <c r="G4370" s="109"/>
      <c r="H4370" s="109"/>
      <c r="I4370" s="109"/>
      <c r="J4370" s="109"/>
      <c r="L4370" s="109"/>
      <c r="M4370" s="109"/>
      <c r="N4370" s="109"/>
      <c r="Q4370" s="121"/>
      <c r="W4370" s="109"/>
    </row>
    <row r="4371" spans="1:23" ht="12.75" hidden="1">
      <c r="A4371" s="109"/>
      <c r="B4371" s="109"/>
      <c r="C4371" s="109"/>
      <c r="D4371" s="109"/>
      <c r="E4371" s="109"/>
      <c r="F4371" s="109"/>
      <c r="G4371" s="109"/>
      <c r="H4371" s="109"/>
      <c r="I4371" s="109"/>
      <c r="J4371" s="109"/>
      <c r="L4371" s="109"/>
      <c r="M4371" s="109"/>
      <c r="N4371" s="109"/>
      <c r="Q4371" s="121"/>
      <c r="W4371" s="109"/>
    </row>
    <row r="4372" spans="1:23" ht="12.75" hidden="1">
      <c r="A4372" s="109"/>
      <c r="B4372" s="109"/>
      <c r="C4372" s="109"/>
      <c r="D4372" s="109"/>
      <c r="E4372" s="109"/>
      <c r="F4372" s="109"/>
      <c r="G4372" s="109"/>
      <c r="H4372" s="109"/>
      <c r="I4372" s="109"/>
      <c r="J4372" s="109"/>
      <c r="L4372" s="109"/>
      <c r="M4372" s="109"/>
      <c r="N4372" s="109"/>
      <c r="Q4372" s="121"/>
      <c r="W4372" s="109"/>
    </row>
    <row r="4373" spans="1:23" ht="12.75" hidden="1">
      <c r="A4373" s="109"/>
      <c r="B4373" s="109"/>
      <c r="C4373" s="109"/>
      <c r="D4373" s="109"/>
      <c r="E4373" s="109"/>
      <c r="F4373" s="109"/>
      <c r="G4373" s="109"/>
      <c r="H4373" s="109"/>
      <c r="I4373" s="109"/>
      <c r="J4373" s="109"/>
      <c r="L4373" s="109"/>
      <c r="M4373" s="109"/>
      <c r="N4373" s="109"/>
      <c r="Q4373" s="121"/>
      <c r="W4373" s="109"/>
    </row>
    <row r="4374" spans="1:23" ht="12.75" hidden="1">
      <c r="A4374" s="109"/>
      <c r="B4374" s="109"/>
      <c r="C4374" s="109"/>
      <c r="D4374" s="109"/>
      <c r="E4374" s="109"/>
      <c r="F4374" s="109"/>
      <c r="G4374" s="109"/>
      <c r="H4374" s="109"/>
      <c r="I4374" s="109"/>
      <c r="J4374" s="109"/>
      <c r="L4374" s="109"/>
      <c r="M4374" s="109"/>
      <c r="N4374" s="109"/>
      <c r="Q4374" s="121"/>
      <c r="W4374" s="109"/>
    </row>
    <row r="4375" spans="1:23" ht="12.75" hidden="1">
      <c r="A4375" s="109"/>
      <c r="B4375" s="109"/>
      <c r="C4375" s="109"/>
      <c r="D4375" s="109"/>
      <c r="E4375" s="109"/>
      <c r="F4375" s="109"/>
      <c r="G4375" s="109"/>
      <c r="H4375" s="109"/>
      <c r="I4375" s="109"/>
      <c r="J4375" s="109"/>
      <c r="L4375" s="109"/>
      <c r="M4375" s="109"/>
      <c r="N4375" s="109"/>
      <c r="Q4375" s="121"/>
      <c r="W4375" s="109"/>
    </row>
    <row r="4376" spans="1:23" ht="12.75" hidden="1">
      <c r="A4376" s="109"/>
      <c r="B4376" s="109"/>
      <c r="C4376" s="109"/>
      <c r="D4376" s="109"/>
      <c r="E4376" s="109"/>
      <c r="F4376" s="109"/>
      <c r="G4376" s="109"/>
      <c r="H4376" s="109"/>
      <c r="I4376" s="109"/>
      <c r="J4376" s="109"/>
      <c r="L4376" s="109"/>
      <c r="M4376" s="109"/>
      <c r="N4376" s="109"/>
      <c r="Q4376" s="121"/>
      <c r="W4376" s="109"/>
    </row>
    <row r="4377" spans="1:23" ht="12.75" hidden="1">
      <c r="A4377" s="109"/>
      <c r="B4377" s="109"/>
      <c r="C4377" s="109"/>
      <c r="D4377" s="109"/>
      <c r="E4377" s="109"/>
      <c r="F4377" s="109"/>
      <c r="G4377" s="109"/>
      <c r="H4377" s="109"/>
      <c r="I4377" s="109"/>
      <c r="J4377" s="109"/>
      <c r="L4377" s="109"/>
      <c r="M4377" s="109"/>
      <c r="N4377" s="109"/>
      <c r="Q4377" s="121"/>
      <c r="W4377" s="109"/>
    </row>
    <row r="4378" spans="1:23" ht="12.75" hidden="1">
      <c r="A4378" s="109"/>
      <c r="B4378" s="109"/>
      <c r="C4378" s="109"/>
      <c r="D4378" s="109"/>
      <c r="E4378" s="109"/>
      <c r="F4378" s="109"/>
      <c r="G4378" s="109"/>
      <c r="H4378" s="109"/>
      <c r="I4378" s="109"/>
      <c r="J4378" s="109"/>
      <c r="L4378" s="109"/>
      <c r="M4378" s="109"/>
      <c r="N4378" s="109"/>
      <c r="Q4378" s="121"/>
      <c r="W4378" s="109"/>
    </row>
    <row r="4379" spans="1:23" ht="12.75" hidden="1">
      <c r="A4379" s="109"/>
      <c r="B4379" s="109"/>
      <c r="C4379" s="109"/>
      <c r="D4379" s="109"/>
      <c r="E4379" s="109"/>
      <c r="F4379" s="109"/>
      <c r="G4379" s="109"/>
      <c r="H4379" s="109"/>
      <c r="I4379" s="109"/>
      <c r="J4379" s="109"/>
      <c r="L4379" s="109"/>
      <c r="M4379" s="109"/>
      <c r="N4379" s="109"/>
      <c r="Q4379" s="121"/>
      <c r="W4379" s="109"/>
    </row>
    <row r="4380" spans="1:23" ht="12.75" hidden="1">
      <c r="A4380" s="109"/>
      <c r="B4380" s="109"/>
      <c r="C4380" s="109"/>
      <c r="D4380" s="109"/>
      <c r="E4380" s="109"/>
      <c r="F4380" s="109"/>
      <c r="G4380" s="109"/>
      <c r="H4380" s="109"/>
      <c r="I4380" s="109"/>
      <c r="J4380" s="109"/>
      <c r="L4380" s="109"/>
      <c r="M4380" s="109"/>
      <c r="N4380" s="109"/>
      <c r="Q4380" s="121"/>
      <c r="W4380" s="109"/>
    </row>
    <row r="4381" spans="1:23" ht="12.75" hidden="1">
      <c r="A4381" s="109"/>
      <c r="B4381" s="109"/>
      <c r="C4381" s="109"/>
      <c r="D4381" s="109"/>
      <c r="E4381" s="109"/>
      <c r="F4381" s="109"/>
      <c r="G4381" s="109"/>
      <c r="H4381" s="109"/>
      <c r="I4381" s="109"/>
      <c r="J4381" s="109"/>
      <c r="L4381" s="109"/>
      <c r="M4381" s="109"/>
      <c r="N4381" s="109"/>
      <c r="Q4381" s="121"/>
      <c r="W4381" s="109"/>
    </row>
    <row r="4382" spans="1:23" ht="12.75" hidden="1">
      <c r="A4382" s="109"/>
      <c r="B4382" s="109"/>
      <c r="C4382" s="109"/>
      <c r="D4382" s="109"/>
      <c r="E4382" s="109"/>
      <c r="F4382" s="109"/>
      <c r="G4382" s="109"/>
      <c r="H4382" s="109"/>
      <c r="I4382" s="109"/>
      <c r="J4382" s="109"/>
      <c r="L4382" s="109"/>
      <c r="M4382" s="109"/>
      <c r="N4382" s="109"/>
      <c r="Q4382" s="121"/>
      <c r="W4382" s="109"/>
    </row>
    <row r="4383" spans="1:23" ht="12.75" hidden="1">
      <c r="A4383" s="109"/>
      <c r="B4383" s="109"/>
      <c r="C4383" s="109"/>
      <c r="D4383" s="109"/>
      <c r="E4383" s="109"/>
      <c r="F4383" s="109"/>
      <c r="G4383" s="109"/>
      <c r="H4383" s="109"/>
      <c r="I4383" s="109"/>
      <c r="J4383" s="109"/>
      <c r="L4383" s="109"/>
      <c r="M4383" s="109"/>
      <c r="N4383" s="109"/>
      <c r="Q4383" s="121"/>
      <c r="W4383" s="109"/>
    </row>
    <row r="4384" spans="1:23" ht="12.75" hidden="1">
      <c r="A4384" s="109"/>
      <c r="B4384" s="109"/>
      <c r="C4384" s="109"/>
      <c r="D4384" s="109"/>
      <c r="E4384" s="109"/>
      <c r="F4384" s="109"/>
      <c r="G4384" s="109"/>
      <c r="H4384" s="109"/>
      <c r="I4384" s="109"/>
      <c r="J4384" s="109"/>
      <c r="L4384" s="109"/>
      <c r="M4384" s="109"/>
      <c r="N4384" s="109"/>
      <c r="Q4384" s="121"/>
      <c r="W4384" s="109"/>
    </row>
    <row r="4385" spans="1:23" ht="12.75" hidden="1">
      <c r="A4385" s="109"/>
      <c r="B4385" s="109"/>
      <c r="C4385" s="109"/>
      <c r="D4385" s="109"/>
      <c r="E4385" s="109"/>
      <c r="F4385" s="109"/>
      <c r="G4385" s="109"/>
      <c r="H4385" s="109"/>
      <c r="I4385" s="109"/>
      <c r="J4385" s="109"/>
      <c r="L4385" s="109"/>
      <c r="M4385" s="109"/>
      <c r="N4385" s="109"/>
      <c r="Q4385" s="121"/>
      <c r="W4385" s="109"/>
    </row>
    <row r="4386" spans="1:23" ht="12.75" hidden="1">
      <c r="A4386" s="109"/>
      <c r="B4386" s="109"/>
      <c r="C4386" s="109"/>
      <c r="D4386" s="109"/>
      <c r="E4386" s="109"/>
      <c r="F4386" s="109"/>
      <c r="G4386" s="109"/>
      <c r="H4386" s="109"/>
      <c r="I4386" s="109"/>
      <c r="J4386" s="109"/>
      <c r="L4386" s="109"/>
      <c r="M4386" s="109"/>
      <c r="N4386" s="109"/>
      <c r="Q4386" s="121"/>
      <c r="W4386" s="109"/>
    </row>
    <row r="4387" spans="1:23" ht="12.75" hidden="1">
      <c r="A4387" s="109"/>
      <c r="B4387" s="109"/>
      <c r="C4387" s="109"/>
      <c r="D4387" s="109"/>
      <c r="E4387" s="109"/>
      <c r="F4387" s="109"/>
      <c r="G4387" s="109"/>
      <c r="H4387" s="109"/>
      <c r="I4387" s="109"/>
      <c r="J4387" s="109"/>
      <c r="L4387" s="109"/>
      <c r="M4387" s="109"/>
      <c r="N4387" s="109"/>
      <c r="Q4387" s="121"/>
      <c r="W4387" s="109"/>
    </row>
    <row r="4388" spans="1:23" ht="12.75" hidden="1">
      <c r="A4388" s="109"/>
      <c r="B4388" s="109"/>
      <c r="C4388" s="109"/>
      <c r="D4388" s="109"/>
      <c r="E4388" s="109"/>
      <c r="F4388" s="109"/>
      <c r="G4388" s="109"/>
      <c r="H4388" s="109"/>
      <c r="I4388" s="109"/>
      <c r="J4388" s="109"/>
      <c r="L4388" s="109"/>
      <c r="M4388" s="109"/>
      <c r="N4388" s="109"/>
      <c r="Q4388" s="121"/>
      <c r="W4388" s="109"/>
    </row>
    <row r="4389" spans="1:23" ht="12.75" hidden="1">
      <c r="A4389" s="109"/>
      <c r="B4389" s="109"/>
      <c r="C4389" s="109"/>
      <c r="D4389" s="109"/>
      <c r="E4389" s="109"/>
      <c r="F4389" s="109"/>
      <c r="G4389" s="109"/>
      <c r="H4389" s="109"/>
      <c r="I4389" s="109"/>
      <c r="J4389" s="109"/>
      <c r="L4389" s="109"/>
      <c r="M4389" s="109"/>
      <c r="N4389" s="109"/>
      <c r="Q4389" s="121"/>
      <c r="W4389" s="109"/>
    </row>
    <row r="4390" spans="1:23" ht="12.75" hidden="1">
      <c r="A4390" s="109"/>
      <c r="B4390" s="109"/>
      <c r="C4390" s="109"/>
      <c r="D4390" s="109"/>
      <c r="E4390" s="109"/>
      <c r="F4390" s="109"/>
      <c r="G4390" s="109"/>
      <c r="H4390" s="109"/>
      <c r="I4390" s="109"/>
      <c r="J4390" s="109"/>
      <c r="L4390" s="109"/>
      <c r="M4390" s="109"/>
      <c r="N4390" s="109"/>
      <c r="Q4390" s="121"/>
      <c r="W4390" s="109"/>
    </row>
    <row r="4391" spans="1:23" ht="12.75" hidden="1">
      <c r="A4391" s="109"/>
      <c r="B4391" s="109"/>
      <c r="C4391" s="109"/>
      <c r="D4391" s="109"/>
      <c r="E4391" s="109"/>
      <c r="F4391" s="109"/>
      <c r="G4391" s="109"/>
      <c r="H4391" s="109"/>
      <c r="I4391" s="109"/>
      <c r="J4391" s="109"/>
      <c r="L4391" s="109"/>
      <c r="M4391" s="109"/>
      <c r="N4391" s="109"/>
      <c r="Q4391" s="121"/>
      <c r="W4391" s="109"/>
    </row>
    <row r="4392" spans="1:23" ht="12.75" hidden="1">
      <c r="A4392" s="109"/>
      <c r="B4392" s="109"/>
      <c r="C4392" s="109"/>
      <c r="D4392" s="109"/>
      <c r="E4392" s="109"/>
      <c r="F4392" s="109"/>
      <c r="G4392" s="109"/>
      <c r="H4392" s="109"/>
      <c r="I4392" s="109"/>
      <c r="J4392" s="109"/>
      <c r="L4392" s="109"/>
      <c r="M4392" s="109"/>
      <c r="N4392" s="109"/>
      <c r="Q4392" s="121"/>
      <c r="W4392" s="109"/>
    </row>
    <row r="4393" spans="1:23" ht="12.75" hidden="1">
      <c r="A4393" s="109"/>
      <c r="B4393" s="109"/>
      <c r="C4393" s="109"/>
      <c r="D4393" s="109"/>
      <c r="E4393" s="109"/>
      <c r="F4393" s="109"/>
      <c r="G4393" s="109"/>
      <c r="H4393" s="109"/>
      <c r="I4393" s="109"/>
      <c r="J4393" s="109"/>
      <c r="L4393" s="109"/>
      <c r="M4393" s="109"/>
      <c r="N4393" s="109"/>
      <c r="Q4393" s="121"/>
      <c r="W4393" s="109"/>
    </row>
    <row r="4394" spans="1:23" ht="12.75" hidden="1">
      <c r="A4394" s="109"/>
      <c r="B4394" s="109"/>
      <c r="C4394" s="109"/>
      <c r="D4394" s="109"/>
      <c r="E4394" s="109"/>
      <c r="F4394" s="109"/>
      <c r="G4394" s="109"/>
      <c r="H4394" s="109"/>
      <c r="I4394" s="109"/>
      <c r="J4394" s="109"/>
      <c r="L4394" s="109"/>
      <c r="M4394" s="109"/>
      <c r="N4394" s="109"/>
      <c r="Q4394" s="121"/>
      <c r="W4394" s="109"/>
    </row>
    <row r="4395" spans="1:23" ht="12.75" hidden="1">
      <c r="A4395" s="109"/>
      <c r="B4395" s="109"/>
      <c r="C4395" s="109"/>
      <c r="D4395" s="109"/>
      <c r="E4395" s="109"/>
      <c r="F4395" s="109"/>
      <c r="G4395" s="109"/>
      <c r="H4395" s="109"/>
      <c r="I4395" s="109"/>
      <c r="J4395" s="109"/>
      <c r="L4395" s="109"/>
      <c r="M4395" s="109"/>
      <c r="N4395" s="109"/>
      <c r="Q4395" s="121"/>
      <c r="W4395" s="109"/>
    </row>
    <row r="4396" spans="1:23" ht="12.75" hidden="1">
      <c r="A4396" s="109"/>
      <c r="B4396" s="109"/>
      <c r="C4396" s="109"/>
      <c r="D4396" s="109"/>
      <c r="E4396" s="109"/>
      <c r="F4396" s="109"/>
      <c r="G4396" s="109"/>
      <c r="H4396" s="109"/>
      <c r="I4396" s="109"/>
      <c r="J4396" s="109"/>
      <c r="L4396" s="109"/>
      <c r="M4396" s="109"/>
      <c r="N4396" s="109"/>
      <c r="Q4396" s="121"/>
      <c r="W4396" s="109"/>
    </row>
    <row r="4397" spans="1:23" ht="12.75" hidden="1">
      <c r="A4397" s="109"/>
      <c r="B4397" s="109"/>
      <c r="C4397" s="109"/>
      <c r="D4397" s="109"/>
      <c r="E4397" s="109"/>
      <c r="F4397" s="109"/>
      <c r="G4397" s="109"/>
      <c r="H4397" s="109"/>
      <c r="I4397" s="109"/>
      <c r="J4397" s="109"/>
      <c r="L4397" s="109"/>
      <c r="M4397" s="109"/>
      <c r="N4397" s="109"/>
      <c r="Q4397" s="121"/>
      <c r="W4397" s="109"/>
    </row>
    <row r="4398" spans="1:23" ht="12.75" hidden="1">
      <c r="A4398" s="109"/>
      <c r="B4398" s="109"/>
      <c r="C4398" s="109"/>
      <c r="D4398" s="109"/>
      <c r="E4398" s="109"/>
      <c r="F4398" s="109"/>
      <c r="G4398" s="109"/>
      <c r="H4398" s="109"/>
      <c r="I4398" s="109"/>
      <c r="J4398" s="109"/>
      <c r="L4398" s="109"/>
      <c r="M4398" s="109"/>
      <c r="N4398" s="109"/>
      <c r="Q4398" s="121"/>
      <c r="W4398" s="109"/>
    </row>
    <row r="4399" spans="1:23" ht="12.75" hidden="1">
      <c r="A4399" s="109"/>
      <c r="B4399" s="109"/>
      <c r="C4399" s="109"/>
      <c r="D4399" s="109"/>
      <c r="E4399" s="109"/>
      <c r="F4399" s="109"/>
      <c r="G4399" s="109"/>
      <c r="H4399" s="109"/>
      <c r="I4399" s="109"/>
      <c r="J4399" s="109"/>
      <c r="L4399" s="109"/>
      <c r="M4399" s="109"/>
      <c r="N4399" s="109"/>
      <c r="Q4399" s="121"/>
      <c r="W4399" s="109"/>
    </row>
    <row r="4400" spans="1:23" ht="12.75" hidden="1">
      <c r="A4400" s="109"/>
      <c r="B4400" s="109"/>
      <c r="C4400" s="109"/>
      <c r="D4400" s="109"/>
      <c r="E4400" s="109"/>
      <c r="F4400" s="109"/>
      <c r="G4400" s="109"/>
      <c r="H4400" s="109"/>
      <c r="I4400" s="109"/>
      <c r="J4400" s="109"/>
      <c r="L4400" s="109"/>
      <c r="M4400" s="109"/>
      <c r="N4400" s="109"/>
      <c r="Q4400" s="121"/>
      <c r="W4400" s="109"/>
    </row>
    <row r="4401" spans="1:23" ht="12.75" hidden="1">
      <c r="A4401" s="109"/>
      <c r="B4401" s="109"/>
      <c r="C4401" s="109"/>
      <c r="D4401" s="109"/>
      <c r="E4401" s="109"/>
      <c r="F4401" s="109"/>
      <c r="G4401" s="109"/>
      <c r="H4401" s="109"/>
      <c r="I4401" s="109"/>
      <c r="J4401" s="109"/>
      <c r="L4401" s="109"/>
      <c r="M4401" s="109"/>
      <c r="N4401" s="109"/>
      <c r="Q4401" s="121"/>
      <c r="W4401" s="109"/>
    </row>
    <row r="4402" spans="1:23" ht="12.75" hidden="1">
      <c r="A4402" s="109"/>
      <c r="B4402" s="109"/>
      <c r="C4402" s="109"/>
      <c r="D4402" s="109"/>
      <c r="E4402" s="109"/>
      <c r="F4402" s="109"/>
      <c r="G4402" s="109"/>
      <c r="H4402" s="109"/>
      <c r="I4402" s="109"/>
      <c r="J4402" s="109"/>
      <c r="L4402" s="109"/>
      <c r="M4402" s="109"/>
      <c r="N4402" s="109"/>
      <c r="Q4402" s="121"/>
      <c r="W4402" s="109"/>
    </row>
    <row r="4403" spans="1:23" ht="12.75" hidden="1">
      <c r="A4403" s="109"/>
      <c r="B4403" s="109"/>
      <c r="C4403" s="109"/>
      <c r="D4403" s="109"/>
      <c r="E4403" s="109"/>
      <c r="F4403" s="109"/>
      <c r="G4403" s="109"/>
      <c r="H4403" s="109"/>
      <c r="I4403" s="109"/>
      <c r="J4403" s="109"/>
      <c r="L4403" s="109"/>
      <c r="M4403" s="109"/>
      <c r="N4403" s="109"/>
      <c r="Q4403" s="121"/>
      <c r="W4403" s="109"/>
    </row>
    <row r="4404" spans="1:23" ht="12.75" hidden="1">
      <c r="A4404" s="109"/>
      <c r="B4404" s="109"/>
      <c r="C4404" s="109"/>
      <c r="D4404" s="109"/>
      <c r="E4404" s="109"/>
      <c r="F4404" s="109"/>
      <c r="G4404" s="109"/>
      <c r="H4404" s="109"/>
      <c r="I4404" s="109"/>
      <c r="J4404" s="109"/>
      <c r="L4404" s="109"/>
      <c r="M4404" s="109"/>
      <c r="N4404" s="109"/>
      <c r="Q4404" s="121"/>
      <c r="W4404" s="109"/>
    </row>
    <row r="4405" spans="1:23" ht="12.75" hidden="1">
      <c r="A4405" s="109"/>
      <c r="B4405" s="109"/>
      <c r="C4405" s="109"/>
      <c r="D4405" s="109"/>
      <c r="E4405" s="109"/>
      <c r="F4405" s="109"/>
      <c r="G4405" s="109"/>
      <c r="H4405" s="109"/>
      <c r="I4405" s="109"/>
      <c r="J4405" s="109"/>
      <c r="L4405" s="109"/>
      <c r="M4405" s="109"/>
      <c r="N4405" s="109"/>
      <c r="Q4405" s="121"/>
      <c r="W4405" s="109"/>
    </row>
    <row r="4406" spans="1:23" ht="12.75" hidden="1">
      <c r="A4406" s="109"/>
      <c r="B4406" s="109"/>
      <c r="C4406" s="109"/>
      <c r="D4406" s="109"/>
      <c r="E4406" s="109"/>
      <c r="F4406" s="109"/>
      <c r="G4406" s="109"/>
      <c r="H4406" s="109"/>
      <c r="I4406" s="109"/>
      <c r="J4406" s="109"/>
      <c r="L4406" s="109"/>
      <c r="M4406" s="109"/>
      <c r="N4406" s="109"/>
      <c r="Q4406" s="121"/>
      <c r="W4406" s="109"/>
    </row>
    <row r="4407" spans="1:23" ht="12.75" hidden="1">
      <c r="A4407" s="109"/>
      <c r="B4407" s="109"/>
      <c r="C4407" s="109"/>
      <c r="D4407" s="109"/>
      <c r="E4407" s="109"/>
      <c r="F4407" s="109"/>
      <c r="G4407" s="109"/>
      <c r="H4407" s="109"/>
      <c r="I4407" s="109"/>
      <c r="J4407" s="109"/>
      <c r="L4407" s="109"/>
      <c r="M4407" s="109"/>
      <c r="N4407" s="109"/>
      <c r="Q4407" s="121"/>
      <c r="W4407" s="109"/>
    </row>
    <row r="4408" spans="1:23" ht="12.75" hidden="1">
      <c r="A4408" s="109"/>
      <c r="B4408" s="109"/>
      <c r="C4408" s="109"/>
      <c r="D4408" s="109"/>
      <c r="E4408" s="109"/>
      <c r="F4408" s="109"/>
      <c r="G4408" s="109"/>
      <c r="H4408" s="109"/>
      <c r="I4408" s="109"/>
      <c r="J4408" s="109"/>
      <c r="L4408" s="109"/>
      <c r="M4408" s="109"/>
      <c r="N4408" s="109"/>
      <c r="Q4408" s="121"/>
      <c r="W4408" s="109"/>
    </row>
    <row r="4409" spans="1:23" ht="12.75" hidden="1">
      <c r="A4409" s="109"/>
      <c r="B4409" s="109"/>
      <c r="C4409" s="109"/>
      <c r="D4409" s="109"/>
      <c r="E4409" s="109"/>
      <c r="F4409" s="109"/>
      <c r="G4409" s="109"/>
      <c r="H4409" s="109"/>
      <c r="I4409" s="109"/>
      <c r="J4409" s="109"/>
      <c r="L4409" s="109"/>
      <c r="M4409" s="109"/>
      <c r="N4409" s="109"/>
      <c r="Q4409" s="121"/>
      <c r="W4409" s="109"/>
    </row>
    <row r="4410" spans="1:23" ht="12.75" hidden="1">
      <c r="A4410" s="109"/>
      <c r="B4410" s="109"/>
      <c r="C4410" s="109"/>
      <c r="D4410" s="109"/>
      <c r="E4410" s="109"/>
      <c r="F4410" s="109"/>
      <c r="G4410" s="109"/>
      <c r="H4410" s="109"/>
      <c r="I4410" s="109"/>
      <c r="J4410" s="109"/>
      <c r="L4410" s="109"/>
      <c r="M4410" s="109"/>
      <c r="N4410" s="109"/>
      <c r="Q4410" s="121"/>
      <c r="W4410" s="109"/>
    </row>
    <row r="4411" spans="1:23" ht="12.75" hidden="1">
      <c r="A4411" s="109"/>
      <c r="B4411" s="109"/>
      <c r="C4411" s="109"/>
      <c r="D4411" s="109"/>
      <c r="E4411" s="109"/>
      <c r="F4411" s="109"/>
      <c r="G4411" s="109"/>
      <c r="H4411" s="109"/>
      <c r="I4411" s="109"/>
      <c r="J4411" s="109"/>
      <c r="L4411" s="109"/>
      <c r="M4411" s="109"/>
      <c r="N4411" s="109"/>
      <c r="Q4411" s="121"/>
      <c r="W4411" s="109"/>
    </row>
    <row r="4412" spans="1:23" ht="12.75" hidden="1">
      <c r="A4412" s="109"/>
      <c r="B4412" s="109"/>
      <c r="C4412" s="109"/>
      <c r="D4412" s="109"/>
      <c r="E4412" s="109"/>
      <c r="F4412" s="109"/>
      <c r="G4412" s="109"/>
      <c r="H4412" s="109"/>
      <c r="I4412" s="109"/>
      <c r="J4412" s="109"/>
      <c r="L4412" s="109"/>
      <c r="M4412" s="109"/>
      <c r="N4412" s="109"/>
      <c r="Q4412" s="121"/>
      <c r="W4412" s="109"/>
    </row>
    <row r="4413" spans="1:23" ht="12.75" hidden="1">
      <c r="A4413" s="109"/>
      <c r="B4413" s="109"/>
      <c r="C4413" s="109"/>
      <c r="D4413" s="109"/>
      <c r="E4413" s="109"/>
      <c r="F4413" s="109"/>
      <c r="G4413" s="109"/>
      <c r="H4413" s="109"/>
      <c r="I4413" s="109"/>
      <c r="J4413" s="109"/>
      <c r="L4413" s="109"/>
      <c r="M4413" s="109"/>
      <c r="N4413" s="109"/>
      <c r="Q4413" s="121"/>
      <c r="W4413" s="109"/>
    </row>
    <row r="4414" spans="1:23" ht="12.75" hidden="1">
      <c r="A4414" s="109"/>
      <c r="B4414" s="109"/>
      <c r="C4414" s="109"/>
      <c r="D4414" s="109"/>
      <c r="E4414" s="109"/>
      <c r="F4414" s="109"/>
      <c r="G4414" s="109"/>
      <c r="H4414" s="109"/>
      <c r="I4414" s="109"/>
      <c r="J4414" s="109"/>
      <c r="L4414" s="109"/>
      <c r="M4414" s="109"/>
      <c r="N4414" s="109"/>
      <c r="Q4414" s="121"/>
      <c r="W4414" s="109"/>
    </row>
    <row r="4415" spans="1:23" ht="12.75" hidden="1">
      <c r="A4415" s="109"/>
      <c r="B4415" s="109"/>
      <c r="C4415" s="109"/>
      <c r="D4415" s="109"/>
      <c r="E4415" s="109"/>
      <c r="F4415" s="109"/>
      <c r="G4415" s="109"/>
      <c r="H4415" s="109"/>
      <c r="I4415" s="109"/>
      <c r="J4415" s="109"/>
      <c r="L4415" s="109"/>
      <c r="M4415" s="109"/>
      <c r="N4415" s="109"/>
      <c r="Q4415" s="121"/>
      <c r="W4415" s="109"/>
    </row>
    <row r="4416" spans="1:23" ht="12.75" hidden="1">
      <c r="A4416" s="109"/>
      <c r="B4416" s="109"/>
      <c r="C4416" s="109"/>
      <c r="D4416" s="109"/>
      <c r="E4416" s="109"/>
      <c r="F4416" s="109"/>
      <c r="G4416" s="109"/>
      <c r="H4416" s="109"/>
      <c r="I4416" s="109"/>
      <c r="J4416" s="109"/>
      <c r="L4416" s="109"/>
      <c r="M4416" s="109"/>
      <c r="N4416" s="109"/>
      <c r="Q4416" s="121"/>
      <c r="W4416" s="109"/>
    </row>
    <row r="4417" spans="1:23" ht="12.75" hidden="1">
      <c r="A4417" s="109"/>
      <c r="B4417" s="109"/>
      <c r="C4417" s="109"/>
      <c r="D4417" s="109"/>
      <c r="E4417" s="109"/>
      <c r="F4417" s="109"/>
      <c r="G4417" s="109"/>
      <c r="H4417" s="109"/>
      <c r="I4417" s="109"/>
      <c r="J4417" s="109"/>
      <c r="L4417" s="109"/>
      <c r="M4417" s="109"/>
      <c r="N4417" s="109"/>
      <c r="Q4417" s="121"/>
      <c r="W4417" s="109"/>
    </row>
    <row r="4418" spans="1:23" ht="12.75" hidden="1">
      <c r="A4418" s="109"/>
      <c r="B4418" s="109"/>
      <c r="C4418" s="109"/>
      <c r="D4418" s="109"/>
      <c r="E4418" s="109"/>
      <c r="F4418" s="109"/>
      <c r="G4418" s="109"/>
      <c r="H4418" s="109"/>
      <c r="I4418" s="109"/>
      <c r="J4418" s="109"/>
      <c r="L4418" s="109"/>
      <c r="M4418" s="109"/>
      <c r="N4418" s="109"/>
      <c r="Q4418" s="121"/>
      <c r="W4418" s="109"/>
    </row>
    <row r="4419" spans="1:23" ht="12.75" hidden="1">
      <c r="A4419" s="109"/>
      <c r="B4419" s="109"/>
      <c r="C4419" s="109"/>
      <c r="D4419" s="109"/>
      <c r="E4419" s="109"/>
      <c r="F4419" s="109"/>
      <c r="G4419" s="109"/>
      <c r="H4419" s="109"/>
      <c r="I4419" s="109"/>
      <c r="J4419" s="109"/>
      <c r="L4419" s="109"/>
      <c r="M4419" s="109"/>
      <c r="N4419" s="109"/>
      <c r="Q4419" s="121"/>
      <c r="W4419" s="109"/>
    </row>
    <row r="4420" spans="1:23" ht="12.75" hidden="1">
      <c r="A4420" s="109"/>
      <c r="B4420" s="109"/>
      <c r="C4420" s="109"/>
      <c r="D4420" s="109"/>
      <c r="E4420" s="109"/>
      <c r="F4420" s="109"/>
      <c r="G4420" s="109"/>
      <c r="H4420" s="109"/>
      <c r="I4420" s="109"/>
      <c r="J4420" s="109"/>
      <c r="L4420" s="109"/>
      <c r="M4420" s="109"/>
      <c r="N4420" s="109"/>
      <c r="Q4420" s="121"/>
      <c r="W4420" s="109"/>
    </row>
    <row r="4421" spans="1:23" ht="12.75" hidden="1">
      <c r="A4421" s="109"/>
      <c r="B4421" s="109"/>
      <c r="C4421" s="109"/>
      <c r="D4421" s="109"/>
      <c r="E4421" s="109"/>
      <c r="F4421" s="109"/>
      <c r="G4421" s="109"/>
      <c r="H4421" s="109"/>
      <c r="I4421" s="109"/>
      <c r="J4421" s="109"/>
      <c r="L4421" s="109"/>
      <c r="M4421" s="109"/>
      <c r="N4421" s="109"/>
      <c r="Q4421" s="121"/>
      <c r="W4421" s="109"/>
    </row>
    <row r="4422" spans="1:23" ht="12.75" hidden="1">
      <c r="A4422" s="109"/>
      <c r="B4422" s="109"/>
      <c r="C4422" s="109"/>
      <c r="D4422" s="109"/>
      <c r="E4422" s="109"/>
      <c r="F4422" s="109"/>
      <c r="G4422" s="109"/>
      <c r="H4422" s="109"/>
      <c r="I4422" s="109"/>
      <c r="J4422" s="109"/>
      <c r="L4422" s="109"/>
      <c r="M4422" s="109"/>
      <c r="N4422" s="109"/>
      <c r="Q4422" s="121"/>
      <c r="W4422" s="109"/>
    </row>
    <row r="4423" spans="1:23" ht="12.75" hidden="1">
      <c r="A4423" s="109"/>
      <c r="B4423" s="109"/>
      <c r="C4423" s="109"/>
      <c r="D4423" s="109"/>
      <c r="E4423" s="109"/>
      <c r="F4423" s="109"/>
      <c r="G4423" s="109"/>
      <c r="H4423" s="109"/>
      <c r="I4423" s="109"/>
      <c r="J4423" s="109"/>
      <c r="L4423" s="109"/>
      <c r="M4423" s="109"/>
      <c r="N4423" s="109"/>
      <c r="Q4423" s="121"/>
      <c r="W4423" s="109"/>
    </row>
    <row r="4424" spans="1:23" ht="12.75" hidden="1">
      <c r="A4424" s="109"/>
      <c r="B4424" s="109"/>
      <c r="C4424" s="109"/>
      <c r="D4424" s="109"/>
      <c r="E4424" s="109"/>
      <c r="F4424" s="109"/>
      <c r="G4424" s="109"/>
      <c r="H4424" s="109"/>
      <c r="I4424" s="109"/>
      <c r="J4424" s="109"/>
      <c r="L4424" s="109"/>
      <c r="M4424" s="109"/>
      <c r="N4424" s="109"/>
      <c r="Q4424" s="121"/>
      <c r="W4424" s="109"/>
    </row>
    <row r="4425" spans="1:23" ht="12.75" hidden="1">
      <c r="A4425" s="109"/>
      <c r="B4425" s="109"/>
      <c r="C4425" s="109"/>
      <c r="D4425" s="109"/>
      <c r="E4425" s="109"/>
      <c r="F4425" s="109"/>
      <c r="G4425" s="109"/>
      <c r="H4425" s="109"/>
      <c r="I4425" s="109"/>
      <c r="J4425" s="109"/>
      <c r="L4425" s="109"/>
      <c r="M4425" s="109"/>
      <c r="N4425" s="109"/>
      <c r="Q4425" s="121"/>
      <c r="W4425" s="109"/>
    </row>
    <row r="4426" spans="1:23" ht="12.75" hidden="1">
      <c r="A4426" s="109"/>
      <c r="B4426" s="109"/>
      <c r="C4426" s="109"/>
      <c r="D4426" s="109"/>
      <c r="E4426" s="109"/>
      <c r="F4426" s="109"/>
      <c r="G4426" s="109"/>
      <c r="H4426" s="109"/>
      <c r="I4426" s="109"/>
      <c r="J4426" s="109"/>
      <c r="L4426" s="109"/>
      <c r="M4426" s="109"/>
      <c r="N4426" s="109"/>
      <c r="Q4426" s="121"/>
      <c r="W4426" s="109"/>
    </row>
    <row r="4427" spans="1:23" ht="12.75" hidden="1">
      <c r="A4427" s="109"/>
      <c r="B4427" s="109"/>
      <c r="C4427" s="109"/>
      <c r="D4427" s="109"/>
      <c r="E4427" s="109"/>
      <c r="F4427" s="109"/>
      <c r="G4427" s="109"/>
      <c r="H4427" s="109"/>
      <c r="I4427" s="109"/>
      <c r="J4427" s="109"/>
      <c r="L4427" s="109"/>
      <c r="M4427" s="109"/>
      <c r="N4427" s="109"/>
      <c r="Q4427" s="121"/>
      <c r="W4427" s="109"/>
    </row>
    <row r="4428" spans="1:23" ht="12.75" hidden="1">
      <c r="A4428" s="109"/>
      <c r="B4428" s="109"/>
      <c r="C4428" s="109"/>
      <c r="D4428" s="109"/>
      <c r="E4428" s="109"/>
      <c r="F4428" s="109"/>
      <c r="G4428" s="109"/>
      <c r="H4428" s="109"/>
      <c r="I4428" s="109"/>
      <c r="J4428" s="109"/>
      <c r="L4428" s="109"/>
      <c r="M4428" s="109"/>
      <c r="N4428" s="109"/>
      <c r="Q4428" s="121"/>
      <c r="W4428" s="109"/>
    </row>
    <row r="4429" spans="1:23" ht="12.75" hidden="1">
      <c r="A4429" s="109"/>
      <c r="B4429" s="109"/>
      <c r="C4429" s="109"/>
      <c r="D4429" s="109"/>
      <c r="E4429" s="109"/>
      <c r="F4429" s="109"/>
      <c r="G4429" s="109"/>
      <c r="H4429" s="109"/>
      <c r="I4429" s="109"/>
      <c r="J4429" s="109"/>
      <c r="L4429" s="109"/>
      <c r="M4429" s="109"/>
      <c r="N4429" s="109"/>
      <c r="Q4429" s="121"/>
      <c r="W4429" s="109"/>
    </row>
    <row r="4430" spans="1:23" ht="12.75" hidden="1">
      <c r="A4430" s="109"/>
      <c r="B4430" s="109"/>
      <c r="C4430" s="109"/>
      <c r="D4430" s="109"/>
      <c r="E4430" s="109"/>
      <c r="F4430" s="109"/>
      <c r="G4430" s="109"/>
      <c r="H4430" s="109"/>
      <c r="I4430" s="109"/>
      <c r="J4430" s="109"/>
      <c r="L4430" s="109"/>
      <c r="M4430" s="109"/>
      <c r="N4430" s="109"/>
      <c r="Q4430" s="121"/>
      <c r="W4430" s="109"/>
    </row>
    <row r="4431" spans="1:23" ht="12.75" hidden="1">
      <c r="A4431" s="109"/>
      <c r="B4431" s="109"/>
      <c r="C4431" s="109"/>
      <c r="D4431" s="109"/>
      <c r="E4431" s="109"/>
      <c r="F4431" s="109"/>
      <c r="G4431" s="109"/>
      <c r="H4431" s="109"/>
      <c r="I4431" s="109"/>
      <c r="J4431" s="109"/>
      <c r="L4431" s="109"/>
      <c r="M4431" s="109"/>
      <c r="N4431" s="109"/>
      <c r="Q4431" s="121"/>
      <c r="W4431" s="109"/>
    </row>
    <row r="4432" spans="1:23" ht="12.75" hidden="1">
      <c r="A4432" s="109"/>
      <c r="B4432" s="109"/>
      <c r="C4432" s="109"/>
      <c r="D4432" s="109"/>
      <c r="E4432" s="109"/>
      <c r="F4432" s="109"/>
      <c r="G4432" s="109"/>
      <c r="H4432" s="109"/>
      <c r="I4432" s="109"/>
      <c r="J4432" s="109"/>
      <c r="L4432" s="109"/>
      <c r="M4432" s="109"/>
      <c r="N4432" s="109"/>
      <c r="Q4432" s="121"/>
      <c r="W4432" s="109"/>
    </row>
    <row r="4433" spans="1:23" ht="12.75" hidden="1">
      <c r="A4433" s="109"/>
      <c r="B4433" s="109"/>
      <c r="C4433" s="109"/>
      <c r="D4433" s="109"/>
      <c r="E4433" s="109"/>
      <c r="F4433" s="109"/>
      <c r="G4433" s="109"/>
      <c r="H4433" s="109"/>
      <c r="I4433" s="109"/>
      <c r="J4433" s="109"/>
      <c r="L4433" s="109"/>
      <c r="M4433" s="109"/>
      <c r="N4433" s="109"/>
      <c r="Q4433" s="121"/>
      <c r="W4433" s="109"/>
    </row>
    <row r="4434" spans="1:23" ht="12.75" hidden="1">
      <c r="A4434" s="109"/>
      <c r="B4434" s="109"/>
      <c r="C4434" s="109"/>
      <c r="D4434" s="109"/>
      <c r="E4434" s="109"/>
      <c r="F4434" s="109"/>
      <c r="G4434" s="109"/>
      <c r="H4434" s="109"/>
      <c r="I4434" s="109"/>
      <c r="J4434" s="109"/>
      <c r="L4434" s="109"/>
      <c r="M4434" s="109"/>
      <c r="N4434" s="109"/>
      <c r="Q4434" s="121"/>
      <c r="W4434" s="109"/>
    </row>
    <row r="4435" spans="1:23" ht="12.75" hidden="1">
      <c r="A4435" s="109"/>
      <c r="B4435" s="109"/>
      <c r="C4435" s="109"/>
      <c r="D4435" s="109"/>
      <c r="E4435" s="109"/>
      <c r="F4435" s="109"/>
      <c r="G4435" s="109"/>
      <c r="H4435" s="109"/>
      <c r="I4435" s="109"/>
      <c r="J4435" s="109"/>
      <c r="L4435" s="109"/>
      <c r="M4435" s="109"/>
      <c r="N4435" s="109"/>
      <c r="Q4435" s="121"/>
      <c r="W4435" s="109"/>
    </row>
    <row r="4436" spans="1:23" ht="12.75" hidden="1">
      <c r="A4436" s="109"/>
      <c r="B4436" s="109"/>
      <c r="C4436" s="109"/>
      <c r="D4436" s="109"/>
      <c r="E4436" s="109"/>
      <c r="F4436" s="109"/>
      <c r="G4436" s="109"/>
      <c r="H4436" s="109"/>
      <c r="I4436" s="109"/>
      <c r="J4436" s="109"/>
      <c r="L4436" s="109"/>
      <c r="M4436" s="109"/>
      <c r="N4436" s="109"/>
      <c r="Q4436" s="121"/>
      <c r="W4436" s="109"/>
    </row>
    <row r="4437" spans="1:23" ht="12.75" hidden="1">
      <c r="A4437" s="109"/>
      <c r="B4437" s="109"/>
      <c r="C4437" s="109"/>
      <c r="D4437" s="109"/>
      <c r="E4437" s="109"/>
      <c r="F4437" s="109"/>
      <c r="G4437" s="109"/>
      <c r="H4437" s="109"/>
      <c r="I4437" s="109"/>
      <c r="J4437" s="109"/>
      <c r="L4437" s="109"/>
      <c r="M4437" s="109"/>
      <c r="N4437" s="109"/>
      <c r="Q4437" s="121"/>
      <c r="W4437" s="109"/>
    </row>
    <row r="4438" spans="1:23" ht="12.75" hidden="1">
      <c r="A4438" s="109"/>
      <c r="B4438" s="109"/>
      <c r="C4438" s="109"/>
      <c r="D4438" s="109"/>
      <c r="E4438" s="109"/>
      <c r="F4438" s="109"/>
      <c r="G4438" s="109"/>
      <c r="H4438" s="109"/>
      <c r="I4438" s="109"/>
      <c r="J4438" s="109"/>
      <c r="L4438" s="109"/>
      <c r="M4438" s="109"/>
      <c r="N4438" s="109"/>
      <c r="Q4438" s="121"/>
      <c r="W4438" s="109"/>
    </row>
    <row r="4439" spans="1:23" ht="12.75" hidden="1">
      <c r="A4439" s="109"/>
      <c r="B4439" s="109"/>
      <c r="C4439" s="109"/>
      <c r="D4439" s="109"/>
      <c r="E4439" s="109"/>
      <c r="F4439" s="109"/>
      <c r="G4439" s="109"/>
      <c r="H4439" s="109"/>
      <c r="I4439" s="109"/>
      <c r="J4439" s="109"/>
      <c r="L4439" s="109"/>
      <c r="M4439" s="109"/>
      <c r="N4439" s="109"/>
      <c r="Q4439" s="121"/>
      <c r="W4439" s="109"/>
    </row>
    <row r="4440" spans="1:23" ht="12.75" hidden="1">
      <c r="A4440" s="109"/>
      <c r="B4440" s="109"/>
      <c r="C4440" s="109"/>
      <c r="D4440" s="109"/>
      <c r="E4440" s="109"/>
      <c r="F4440" s="109"/>
      <c r="G4440" s="109"/>
      <c r="H4440" s="109"/>
      <c r="I4440" s="109"/>
      <c r="J4440" s="109"/>
      <c r="L4440" s="109"/>
      <c r="M4440" s="109"/>
      <c r="N4440" s="109"/>
      <c r="Q4440" s="121"/>
      <c r="W4440" s="109"/>
    </row>
    <row r="4441" spans="1:23" ht="12.75" hidden="1">
      <c r="A4441" s="109"/>
      <c r="B4441" s="109"/>
      <c r="C4441" s="109"/>
      <c r="D4441" s="109"/>
      <c r="E4441" s="109"/>
      <c r="F4441" s="109"/>
      <c r="G4441" s="109"/>
      <c r="H4441" s="109"/>
      <c r="I4441" s="109"/>
      <c r="J4441" s="109"/>
      <c r="L4441" s="109"/>
      <c r="M4441" s="109"/>
      <c r="N4441" s="109"/>
      <c r="Q4441" s="121"/>
      <c r="W4441" s="109"/>
    </row>
    <row r="4442" spans="1:23" ht="12.75" hidden="1">
      <c r="A4442" s="109"/>
      <c r="B4442" s="109"/>
      <c r="C4442" s="109"/>
      <c r="D4442" s="109"/>
      <c r="E4442" s="109"/>
      <c r="F4442" s="109"/>
      <c r="G4442" s="109"/>
      <c r="H4442" s="109"/>
      <c r="I4442" s="109"/>
      <c r="J4442" s="109"/>
      <c r="L4442" s="109"/>
      <c r="M4442" s="109"/>
      <c r="N4442" s="109"/>
      <c r="Q4442" s="121"/>
      <c r="W4442" s="109"/>
    </row>
    <row r="4443" spans="1:23" ht="12.75" hidden="1">
      <c r="A4443" s="109"/>
      <c r="B4443" s="109"/>
      <c r="C4443" s="109"/>
      <c r="D4443" s="109"/>
      <c r="E4443" s="109"/>
      <c r="F4443" s="109"/>
      <c r="G4443" s="109"/>
      <c r="H4443" s="109"/>
      <c r="I4443" s="109"/>
      <c r="J4443" s="109"/>
      <c r="L4443" s="109"/>
      <c r="M4443" s="109"/>
      <c r="N4443" s="109"/>
      <c r="Q4443" s="121"/>
      <c r="W4443" s="109"/>
    </row>
    <row r="4444" spans="1:23" ht="12.75" hidden="1">
      <c r="A4444" s="109"/>
      <c r="B4444" s="109"/>
      <c r="C4444" s="109"/>
      <c r="D4444" s="109"/>
      <c r="E4444" s="109"/>
      <c r="F4444" s="109"/>
      <c r="G4444" s="109"/>
      <c r="H4444" s="109"/>
      <c r="I4444" s="109"/>
      <c r="J4444" s="109"/>
      <c r="L4444" s="109"/>
      <c r="M4444" s="109"/>
      <c r="N4444" s="109"/>
      <c r="Q4444" s="121"/>
      <c r="W4444" s="109"/>
    </row>
    <row r="4445" spans="1:23" ht="12.75" hidden="1">
      <c r="A4445" s="109"/>
      <c r="B4445" s="109"/>
      <c r="C4445" s="109"/>
      <c r="D4445" s="109"/>
      <c r="E4445" s="109"/>
      <c r="F4445" s="109"/>
      <c r="G4445" s="109"/>
      <c r="H4445" s="109"/>
      <c r="I4445" s="109"/>
      <c r="J4445" s="109"/>
      <c r="L4445" s="109"/>
      <c r="M4445" s="109"/>
      <c r="N4445" s="109"/>
      <c r="Q4445" s="121"/>
      <c r="W4445" s="109"/>
    </row>
    <row r="4446" spans="1:23" ht="12.75" hidden="1">
      <c r="A4446" s="109"/>
      <c r="B4446" s="109"/>
      <c r="C4446" s="109"/>
      <c r="D4446" s="109"/>
      <c r="E4446" s="109"/>
      <c r="F4446" s="109"/>
      <c r="G4446" s="109"/>
      <c r="H4446" s="109"/>
      <c r="I4446" s="109"/>
      <c r="J4446" s="109"/>
      <c r="L4446" s="109"/>
      <c r="M4446" s="109"/>
      <c r="N4446" s="109"/>
      <c r="Q4446" s="121"/>
      <c r="W4446" s="109"/>
    </row>
    <row r="4447" spans="1:23" ht="12.75" hidden="1">
      <c r="A4447" s="109"/>
      <c r="B4447" s="109"/>
      <c r="C4447" s="109"/>
      <c r="D4447" s="109"/>
      <c r="E4447" s="109"/>
      <c r="F4447" s="109"/>
      <c r="G4447" s="109"/>
      <c r="H4447" s="109"/>
      <c r="I4447" s="109"/>
      <c r="J4447" s="109"/>
      <c r="L4447" s="109"/>
      <c r="M4447" s="109"/>
      <c r="N4447" s="109"/>
      <c r="Q4447" s="121"/>
      <c r="W4447" s="109"/>
    </row>
    <row r="4448" spans="1:23" ht="12.75" hidden="1">
      <c r="A4448" s="109"/>
      <c r="B4448" s="109"/>
      <c r="C4448" s="109"/>
      <c r="D4448" s="109"/>
      <c r="E4448" s="109"/>
      <c r="F4448" s="109"/>
      <c r="G4448" s="109"/>
      <c r="H4448" s="109"/>
      <c r="I4448" s="109"/>
      <c r="J4448" s="109"/>
      <c r="L4448" s="109"/>
      <c r="M4448" s="109"/>
      <c r="N4448" s="109"/>
      <c r="Q4448" s="121"/>
      <c r="W4448" s="109"/>
    </row>
    <row r="4449" spans="1:23" ht="12.75" hidden="1">
      <c r="A4449" s="109"/>
      <c r="B4449" s="109"/>
      <c r="C4449" s="109"/>
      <c r="D4449" s="109"/>
      <c r="E4449" s="109"/>
      <c r="F4449" s="109"/>
      <c r="G4449" s="109"/>
      <c r="H4449" s="109"/>
      <c r="I4449" s="109"/>
      <c r="J4449" s="109"/>
      <c r="L4449" s="109"/>
      <c r="M4449" s="109"/>
      <c r="N4449" s="109"/>
      <c r="Q4449" s="121"/>
      <c r="W4449" s="109"/>
    </row>
    <row r="4450" spans="1:23" ht="12.75" hidden="1">
      <c r="A4450" s="109"/>
      <c r="B4450" s="109"/>
      <c r="C4450" s="109"/>
      <c r="D4450" s="109"/>
      <c r="E4450" s="109"/>
      <c r="F4450" s="109"/>
      <c r="G4450" s="109"/>
      <c r="H4450" s="109"/>
      <c r="I4450" s="109"/>
      <c r="J4450" s="109"/>
      <c r="L4450" s="109"/>
      <c r="M4450" s="109"/>
      <c r="N4450" s="109"/>
      <c r="Q4450" s="121"/>
      <c r="W4450" s="109"/>
    </row>
    <row r="4451" spans="1:23" ht="12.75" hidden="1">
      <c r="A4451" s="109"/>
      <c r="B4451" s="109"/>
      <c r="C4451" s="109"/>
      <c r="D4451" s="109"/>
      <c r="E4451" s="109"/>
      <c r="F4451" s="109"/>
      <c r="G4451" s="109"/>
      <c r="H4451" s="109"/>
      <c r="I4451" s="109"/>
      <c r="J4451" s="109"/>
      <c r="L4451" s="109"/>
      <c r="M4451" s="109"/>
      <c r="N4451" s="109"/>
      <c r="Q4451" s="121"/>
      <c r="W4451" s="109"/>
    </row>
    <row r="4452" spans="1:23" ht="12.75" hidden="1">
      <c r="A4452" s="109"/>
      <c r="B4452" s="109"/>
      <c r="C4452" s="109"/>
      <c r="D4452" s="109"/>
      <c r="E4452" s="109"/>
      <c r="F4452" s="109"/>
      <c r="G4452" s="109"/>
      <c r="H4452" s="109"/>
      <c r="I4452" s="109"/>
      <c r="J4452" s="109"/>
      <c r="L4452" s="109"/>
      <c r="M4452" s="109"/>
      <c r="N4452" s="109"/>
      <c r="Q4452" s="121"/>
      <c r="W4452" s="109"/>
    </row>
    <row r="4453" spans="1:23" ht="12.75" hidden="1">
      <c r="A4453" s="109"/>
      <c r="B4453" s="109"/>
      <c r="C4453" s="109"/>
      <c r="D4453" s="109"/>
      <c r="E4453" s="109"/>
      <c r="F4453" s="109"/>
      <c r="G4453" s="109"/>
      <c r="H4453" s="109"/>
      <c r="I4453" s="109"/>
      <c r="J4453" s="109"/>
      <c r="L4453" s="109"/>
      <c r="M4453" s="109"/>
      <c r="N4453" s="109"/>
      <c r="Q4453" s="121"/>
      <c r="W4453" s="109"/>
    </row>
    <row r="4454" spans="1:23" ht="12.75" hidden="1">
      <c r="A4454" s="109"/>
      <c r="B4454" s="109"/>
      <c r="C4454" s="109"/>
      <c r="D4454" s="109"/>
      <c r="E4454" s="109"/>
      <c r="F4454" s="109"/>
      <c r="G4454" s="109"/>
      <c r="H4454" s="109"/>
      <c r="I4454" s="109"/>
      <c r="J4454" s="109"/>
      <c r="L4454" s="109"/>
      <c r="M4454" s="109"/>
      <c r="N4454" s="109"/>
      <c r="Q4454" s="121"/>
      <c r="W4454" s="109"/>
    </row>
    <row r="4455" spans="1:23" ht="12.75" hidden="1">
      <c r="A4455" s="109"/>
      <c r="B4455" s="109"/>
      <c r="C4455" s="109"/>
      <c r="D4455" s="109"/>
      <c r="E4455" s="109"/>
      <c r="F4455" s="109"/>
      <c r="G4455" s="109"/>
      <c r="H4455" s="109"/>
      <c r="I4455" s="109"/>
      <c r="J4455" s="109"/>
      <c r="L4455" s="109"/>
      <c r="M4455" s="109"/>
      <c r="N4455" s="109"/>
      <c r="Q4455" s="121"/>
      <c r="W4455" s="109"/>
    </row>
    <row r="4456" spans="1:23" ht="12.75" hidden="1">
      <c r="A4456" s="109"/>
      <c r="B4456" s="109"/>
      <c r="C4456" s="109"/>
      <c r="D4456" s="109"/>
      <c r="E4456" s="109"/>
      <c r="F4456" s="109"/>
      <c r="G4456" s="109"/>
      <c r="H4456" s="109"/>
      <c r="I4456" s="109"/>
      <c r="J4456" s="109"/>
      <c r="L4456" s="109"/>
      <c r="M4456" s="109"/>
      <c r="N4456" s="109"/>
      <c r="Q4456" s="121"/>
      <c r="W4456" s="109"/>
    </row>
    <row r="4457" spans="1:23" ht="12.75" hidden="1">
      <c r="A4457" s="109"/>
      <c r="B4457" s="109"/>
      <c r="C4457" s="109"/>
      <c r="D4457" s="109"/>
      <c r="E4457" s="109"/>
      <c r="F4457" s="109"/>
      <c r="G4457" s="109"/>
      <c r="H4457" s="109"/>
      <c r="I4457" s="109"/>
      <c r="J4457" s="109"/>
      <c r="L4457" s="109"/>
      <c r="M4457" s="109"/>
      <c r="N4457" s="109"/>
      <c r="Q4457" s="121"/>
      <c r="W4457" s="109"/>
    </row>
    <row r="4458" spans="1:23" ht="12.75" hidden="1">
      <c r="A4458" s="109"/>
      <c r="B4458" s="109"/>
      <c r="C4458" s="109"/>
      <c r="D4458" s="109"/>
      <c r="E4458" s="109"/>
      <c r="F4458" s="109"/>
      <c r="G4458" s="109"/>
      <c r="H4458" s="109"/>
      <c r="I4458" s="109"/>
      <c r="J4458" s="109"/>
      <c r="L4458" s="109"/>
      <c r="M4458" s="109"/>
      <c r="N4458" s="109"/>
      <c r="Q4458" s="121"/>
      <c r="W4458" s="109"/>
    </row>
    <row r="4459" spans="1:23" ht="12.75" hidden="1">
      <c r="A4459" s="109"/>
      <c r="B4459" s="109"/>
      <c r="C4459" s="109"/>
      <c r="D4459" s="109"/>
      <c r="E4459" s="109"/>
      <c r="F4459" s="109"/>
      <c r="G4459" s="109"/>
      <c r="H4459" s="109"/>
      <c r="I4459" s="109"/>
      <c r="J4459" s="109"/>
      <c r="L4459" s="109"/>
      <c r="M4459" s="109"/>
      <c r="N4459" s="109"/>
      <c r="Q4459" s="121"/>
      <c r="W4459" s="109"/>
    </row>
    <row r="4460" spans="1:23" ht="12.75" hidden="1">
      <c r="A4460" s="109"/>
      <c r="B4460" s="109"/>
      <c r="C4460" s="109"/>
      <c r="D4460" s="109"/>
      <c r="E4460" s="109"/>
      <c r="F4460" s="109"/>
      <c r="G4460" s="109"/>
      <c r="H4460" s="109"/>
      <c r="I4460" s="109"/>
      <c r="J4460" s="109"/>
      <c r="L4460" s="109"/>
      <c r="M4460" s="109"/>
      <c r="N4460" s="109"/>
      <c r="Q4460" s="121"/>
      <c r="W4460" s="109"/>
    </row>
    <row r="4461" spans="1:23" ht="12.75" hidden="1">
      <c r="A4461" s="109"/>
      <c r="B4461" s="109"/>
      <c r="C4461" s="109"/>
      <c r="D4461" s="109"/>
      <c r="E4461" s="109"/>
      <c r="F4461" s="109"/>
      <c r="G4461" s="109"/>
      <c r="H4461" s="109"/>
      <c r="I4461" s="109"/>
      <c r="J4461" s="109"/>
      <c r="L4461" s="109"/>
      <c r="M4461" s="109"/>
      <c r="N4461" s="109"/>
      <c r="Q4461" s="121"/>
      <c r="W4461" s="109"/>
    </row>
    <row r="4462" spans="1:23" ht="12.75" hidden="1">
      <c r="A4462" s="109"/>
      <c r="B4462" s="109"/>
      <c r="C4462" s="109"/>
      <c r="D4462" s="109"/>
      <c r="E4462" s="109"/>
      <c r="F4462" s="109"/>
      <c r="G4462" s="109"/>
      <c r="H4462" s="109"/>
      <c r="I4462" s="109"/>
      <c r="J4462" s="109"/>
      <c r="L4462" s="109"/>
      <c r="M4462" s="109"/>
      <c r="N4462" s="109"/>
      <c r="Q4462" s="121"/>
      <c r="W4462" s="109"/>
    </row>
    <row r="4463" spans="1:23" ht="12.75" hidden="1">
      <c r="A4463" s="109"/>
      <c r="B4463" s="109"/>
      <c r="C4463" s="109"/>
      <c r="D4463" s="109"/>
      <c r="E4463" s="109"/>
      <c r="F4463" s="109"/>
      <c r="G4463" s="109"/>
      <c r="H4463" s="109"/>
      <c r="I4463" s="109"/>
      <c r="J4463" s="109"/>
      <c r="L4463" s="109"/>
      <c r="M4463" s="109"/>
      <c r="N4463" s="109"/>
      <c r="Q4463" s="121"/>
      <c r="W4463" s="109"/>
    </row>
    <row r="4464" spans="1:23" ht="12.75" hidden="1">
      <c r="A4464" s="109"/>
      <c r="B4464" s="109"/>
      <c r="C4464" s="109"/>
      <c r="D4464" s="109"/>
      <c r="E4464" s="109"/>
      <c r="F4464" s="109"/>
      <c r="G4464" s="109"/>
      <c r="H4464" s="109"/>
      <c r="I4464" s="109"/>
      <c r="J4464" s="109"/>
      <c r="L4464" s="109"/>
      <c r="M4464" s="109"/>
      <c r="N4464" s="109"/>
      <c r="Q4464" s="121"/>
      <c r="W4464" s="109"/>
    </row>
    <row r="4465" spans="1:23" ht="12.75" hidden="1">
      <c r="A4465" s="109"/>
      <c r="B4465" s="109"/>
      <c r="C4465" s="109"/>
      <c r="D4465" s="109"/>
      <c r="E4465" s="109"/>
      <c r="F4465" s="109"/>
      <c r="G4465" s="109"/>
      <c r="H4465" s="109"/>
      <c r="I4465" s="109"/>
      <c r="J4465" s="109"/>
      <c r="L4465" s="109"/>
      <c r="M4465" s="109"/>
      <c r="N4465" s="109"/>
      <c r="Q4465" s="121"/>
      <c r="W4465" s="109"/>
    </row>
    <row r="4466" spans="1:23" ht="12.75" hidden="1">
      <c r="A4466" s="109"/>
      <c r="B4466" s="109"/>
      <c r="C4466" s="109"/>
      <c r="D4466" s="109"/>
      <c r="E4466" s="109"/>
      <c r="F4466" s="109"/>
      <c r="G4466" s="109"/>
      <c r="H4466" s="109"/>
      <c r="I4466" s="109"/>
      <c r="J4466" s="109"/>
      <c r="L4466" s="109"/>
      <c r="M4466" s="109"/>
      <c r="N4466" s="109"/>
      <c r="Q4466" s="121"/>
      <c r="W4466" s="109"/>
    </row>
    <row r="4467" spans="1:23" ht="12.75" hidden="1">
      <c r="A4467" s="109"/>
      <c r="B4467" s="109"/>
      <c r="C4467" s="109"/>
      <c r="D4467" s="109"/>
      <c r="E4467" s="109"/>
      <c r="F4467" s="109"/>
      <c r="G4467" s="109"/>
      <c r="H4467" s="109"/>
      <c r="I4467" s="109"/>
      <c r="J4467" s="109"/>
      <c r="L4467" s="109"/>
      <c r="M4467" s="109"/>
      <c r="N4467" s="109"/>
      <c r="Q4467" s="121"/>
      <c r="W4467" s="109"/>
    </row>
    <row r="4468" spans="1:23" ht="12.75" hidden="1">
      <c r="A4468" s="109"/>
      <c r="B4468" s="109"/>
      <c r="C4468" s="109"/>
      <c r="D4468" s="109"/>
      <c r="E4468" s="109"/>
      <c r="F4468" s="109"/>
      <c r="G4468" s="109"/>
      <c r="H4468" s="109"/>
      <c r="I4468" s="109"/>
      <c r="J4468" s="109"/>
      <c r="L4468" s="109"/>
      <c r="M4468" s="109"/>
      <c r="N4468" s="109"/>
      <c r="Q4468" s="121"/>
      <c r="W4468" s="109"/>
    </row>
    <row r="4469" spans="1:23" ht="12.75" hidden="1">
      <c r="A4469" s="109"/>
      <c r="B4469" s="109"/>
      <c r="C4469" s="109"/>
      <c r="D4469" s="109"/>
      <c r="E4469" s="109"/>
      <c r="F4469" s="109"/>
      <c r="G4469" s="109"/>
      <c r="H4469" s="109"/>
      <c r="I4469" s="109"/>
      <c r="J4469" s="109"/>
      <c r="L4469" s="109"/>
      <c r="M4469" s="109"/>
      <c r="N4469" s="109"/>
      <c r="Q4469" s="121"/>
      <c r="W4469" s="109"/>
    </row>
    <row r="4470" spans="1:23" ht="12.75" hidden="1">
      <c r="A4470" s="109"/>
      <c r="B4470" s="109"/>
      <c r="C4470" s="109"/>
      <c r="D4470" s="109"/>
      <c r="E4470" s="109"/>
      <c r="F4470" s="109"/>
      <c r="G4470" s="109"/>
      <c r="H4470" s="109"/>
      <c r="I4470" s="109"/>
      <c r="J4470" s="109"/>
      <c r="L4470" s="109"/>
      <c r="M4470" s="109"/>
      <c r="N4470" s="109"/>
      <c r="Q4470" s="121"/>
      <c r="W4470" s="109"/>
    </row>
    <row r="4471" spans="1:23" ht="12.75" hidden="1">
      <c r="A4471" s="109"/>
      <c r="B4471" s="109"/>
      <c r="C4471" s="109"/>
      <c r="D4471" s="109"/>
      <c r="E4471" s="109"/>
      <c r="F4471" s="109"/>
      <c r="G4471" s="109"/>
      <c r="H4471" s="109"/>
      <c r="I4471" s="109"/>
      <c r="J4471" s="109"/>
      <c r="L4471" s="109"/>
      <c r="M4471" s="109"/>
      <c r="N4471" s="109"/>
      <c r="Q4471" s="121"/>
      <c r="W4471" s="109"/>
    </row>
    <row r="4472" spans="1:23" ht="12.75" hidden="1">
      <c r="A4472" s="109"/>
      <c r="B4472" s="109"/>
      <c r="C4472" s="109"/>
      <c r="D4472" s="109"/>
      <c r="E4472" s="109"/>
      <c r="F4472" s="109"/>
      <c r="G4472" s="109"/>
      <c r="H4472" s="109"/>
      <c r="I4472" s="109"/>
      <c r="J4472" s="109"/>
      <c r="L4472" s="109"/>
      <c r="M4472" s="109"/>
      <c r="N4472" s="109"/>
      <c r="Q4472" s="121"/>
      <c r="W4472" s="109"/>
    </row>
    <row r="4473" spans="1:23" ht="12.75" hidden="1">
      <c r="A4473" s="109"/>
      <c r="B4473" s="109"/>
      <c r="C4473" s="109"/>
      <c r="D4473" s="109"/>
      <c r="E4473" s="109"/>
      <c r="F4473" s="109"/>
      <c r="G4473" s="109"/>
      <c r="H4473" s="109"/>
      <c r="I4473" s="109"/>
      <c r="J4473" s="109"/>
      <c r="L4473" s="109"/>
      <c r="M4473" s="109"/>
      <c r="N4473" s="109"/>
      <c r="Q4473" s="121"/>
      <c r="W4473" s="109"/>
    </row>
    <row r="4474" spans="1:23" ht="12.75" hidden="1">
      <c r="A4474" s="109"/>
      <c r="B4474" s="109"/>
      <c r="C4474" s="109"/>
      <c r="D4474" s="109"/>
      <c r="E4474" s="109"/>
      <c r="F4474" s="109"/>
      <c r="G4474" s="109"/>
      <c r="H4474" s="109"/>
      <c r="I4474" s="109"/>
      <c r="J4474" s="109"/>
      <c r="L4474" s="109"/>
      <c r="M4474" s="109"/>
      <c r="N4474" s="109"/>
      <c r="Q4474" s="121"/>
      <c r="W4474" s="109"/>
    </row>
    <row r="4475" spans="1:23" ht="12.75" hidden="1">
      <c r="A4475" s="109"/>
      <c r="B4475" s="109"/>
      <c r="C4475" s="109"/>
      <c r="D4475" s="109"/>
      <c r="E4475" s="109"/>
      <c r="F4475" s="109"/>
      <c r="G4475" s="109"/>
      <c r="H4475" s="109"/>
      <c r="I4475" s="109"/>
      <c r="J4475" s="109"/>
      <c r="L4475" s="109"/>
      <c r="M4475" s="109"/>
      <c r="N4475" s="109"/>
      <c r="Q4475" s="121"/>
      <c r="W4475" s="109"/>
    </row>
    <row r="4476" spans="1:23" ht="12.75" hidden="1">
      <c r="A4476" s="109"/>
      <c r="B4476" s="109"/>
      <c r="C4476" s="109"/>
      <c r="D4476" s="109"/>
      <c r="E4476" s="109"/>
      <c r="F4476" s="109"/>
      <c r="G4476" s="109"/>
      <c r="H4476" s="109"/>
      <c r="I4476" s="109"/>
      <c r="J4476" s="109"/>
      <c r="L4476" s="109"/>
      <c r="M4476" s="109"/>
      <c r="N4476" s="109"/>
      <c r="Q4476" s="121"/>
      <c r="W4476" s="109"/>
    </row>
    <row r="4477" spans="1:23" ht="12.75" hidden="1">
      <c r="A4477" s="109"/>
      <c r="B4477" s="109"/>
      <c r="C4477" s="109"/>
      <c r="D4477" s="109"/>
      <c r="E4477" s="109"/>
      <c r="F4477" s="109"/>
      <c r="G4477" s="109"/>
      <c r="H4477" s="109"/>
      <c r="I4477" s="109"/>
      <c r="J4477" s="109"/>
      <c r="L4477" s="109"/>
      <c r="M4477" s="109"/>
      <c r="N4477" s="109"/>
      <c r="Q4477" s="121"/>
      <c r="W4477" s="109"/>
    </row>
    <row r="4478" spans="1:23" ht="12.75" hidden="1">
      <c r="A4478" s="109"/>
      <c r="B4478" s="109"/>
      <c r="C4478" s="109"/>
      <c r="D4478" s="109"/>
      <c r="E4478" s="109"/>
      <c r="F4478" s="109"/>
      <c r="G4478" s="109"/>
      <c r="H4478" s="109"/>
      <c r="I4478" s="109"/>
      <c r="J4478" s="109"/>
      <c r="L4478" s="109"/>
      <c r="M4478" s="109"/>
      <c r="N4478" s="109"/>
      <c r="Q4478" s="121"/>
      <c r="W4478" s="109"/>
    </row>
    <row r="4479" spans="1:23" ht="12.75" hidden="1">
      <c r="A4479" s="109"/>
      <c r="B4479" s="109"/>
      <c r="C4479" s="109"/>
      <c r="D4479" s="109"/>
      <c r="E4479" s="109"/>
      <c r="F4479" s="109"/>
      <c r="G4479" s="109"/>
      <c r="H4479" s="109"/>
      <c r="I4479" s="109"/>
      <c r="J4479" s="109"/>
      <c r="L4479" s="109"/>
      <c r="M4479" s="109"/>
      <c r="N4479" s="109"/>
      <c r="Q4479" s="121"/>
      <c r="W4479" s="109"/>
    </row>
    <row r="4480" spans="1:23" ht="12.75" hidden="1">
      <c r="A4480" s="109"/>
      <c r="B4480" s="109"/>
      <c r="C4480" s="109"/>
      <c r="D4480" s="109"/>
      <c r="E4480" s="109"/>
      <c r="F4480" s="109"/>
      <c r="G4480" s="109"/>
      <c r="H4480" s="109"/>
      <c r="I4480" s="109"/>
      <c r="J4480" s="109"/>
      <c r="L4480" s="109"/>
      <c r="M4480" s="109"/>
      <c r="N4480" s="109"/>
      <c r="Q4480" s="121"/>
      <c r="W4480" s="109"/>
    </row>
    <row r="4481" spans="1:23" ht="12.75" hidden="1">
      <c r="A4481" s="109"/>
      <c r="B4481" s="109"/>
      <c r="C4481" s="109"/>
      <c r="D4481" s="109"/>
      <c r="E4481" s="109"/>
      <c r="F4481" s="109"/>
      <c r="G4481" s="109"/>
      <c r="H4481" s="109"/>
      <c r="I4481" s="109"/>
      <c r="J4481" s="109"/>
      <c r="L4481" s="109"/>
      <c r="M4481" s="109"/>
      <c r="N4481" s="109"/>
      <c r="Q4481" s="121"/>
      <c r="W4481" s="109"/>
    </row>
    <row r="4482" spans="1:23" ht="12.75" hidden="1">
      <c r="A4482" s="109"/>
      <c r="B4482" s="109"/>
      <c r="C4482" s="109"/>
      <c r="D4482" s="109"/>
      <c r="E4482" s="109"/>
      <c r="F4482" s="109"/>
      <c r="G4482" s="109"/>
      <c r="H4482" s="109"/>
      <c r="I4482" s="109"/>
      <c r="J4482" s="109"/>
      <c r="L4482" s="109"/>
      <c r="M4482" s="109"/>
      <c r="N4482" s="109"/>
      <c r="Q4482" s="121"/>
      <c r="W4482" s="109"/>
    </row>
    <row r="4483" spans="1:23" ht="12.75" hidden="1">
      <c r="A4483" s="109"/>
      <c r="B4483" s="109"/>
      <c r="C4483" s="109"/>
      <c r="D4483" s="109"/>
      <c r="E4483" s="109"/>
      <c r="F4483" s="109"/>
      <c r="G4483" s="109"/>
      <c r="H4483" s="109"/>
      <c r="I4483" s="109"/>
      <c r="J4483" s="109"/>
      <c r="L4483" s="109"/>
      <c r="M4483" s="109"/>
      <c r="N4483" s="109"/>
      <c r="Q4483" s="121"/>
      <c r="W4483" s="109"/>
    </row>
    <row r="4484" spans="1:23" ht="12.75" hidden="1">
      <c r="A4484" s="109"/>
      <c r="B4484" s="109"/>
      <c r="C4484" s="109"/>
      <c r="D4484" s="109"/>
      <c r="E4484" s="109"/>
      <c r="F4484" s="109"/>
      <c r="G4484" s="109"/>
      <c r="H4484" s="109"/>
      <c r="I4484" s="109"/>
      <c r="J4484" s="109"/>
      <c r="L4484" s="109"/>
      <c r="M4484" s="109"/>
      <c r="N4484" s="109"/>
      <c r="Q4484" s="121"/>
      <c r="W4484" s="109"/>
    </row>
    <row r="4485" spans="1:23" ht="12.75" hidden="1">
      <c r="A4485" s="109"/>
      <c r="B4485" s="109"/>
      <c r="C4485" s="109"/>
      <c r="D4485" s="109"/>
      <c r="E4485" s="109"/>
      <c r="F4485" s="109"/>
      <c r="G4485" s="109"/>
      <c r="H4485" s="109"/>
      <c r="I4485" s="109"/>
      <c r="J4485" s="109"/>
      <c r="L4485" s="109"/>
      <c r="M4485" s="109"/>
      <c r="N4485" s="109"/>
      <c r="Q4485" s="121"/>
      <c r="W4485" s="109"/>
    </row>
    <row r="4486" spans="1:23" ht="12.75" hidden="1">
      <c r="A4486" s="109"/>
      <c r="B4486" s="109"/>
      <c r="C4486" s="109"/>
      <c r="D4486" s="109"/>
      <c r="E4486" s="109"/>
      <c r="F4486" s="109"/>
      <c r="G4486" s="109"/>
      <c r="H4486" s="109"/>
      <c r="I4486" s="109"/>
      <c r="J4486" s="109"/>
      <c r="L4486" s="109"/>
      <c r="M4486" s="109"/>
      <c r="N4486" s="109"/>
      <c r="Q4486" s="121"/>
      <c r="W4486" s="109"/>
    </row>
    <row r="4487" spans="1:23" ht="12.75" hidden="1">
      <c r="A4487" s="109"/>
      <c r="B4487" s="109"/>
      <c r="C4487" s="109"/>
      <c r="D4487" s="109"/>
      <c r="E4487" s="109"/>
      <c r="F4487" s="109"/>
      <c r="G4487" s="109"/>
      <c r="H4487" s="109"/>
      <c r="I4487" s="109"/>
      <c r="J4487" s="109"/>
      <c r="L4487" s="109"/>
      <c r="M4487" s="109"/>
      <c r="N4487" s="109"/>
      <c r="Q4487" s="121"/>
      <c r="W4487" s="109"/>
    </row>
    <row r="4488" spans="1:23" ht="12.75" hidden="1">
      <c r="A4488" s="109"/>
      <c r="B4488" s="109"/>
      <c r="C4488" s="109"/>
      <c r="D4488" s="109"/>
      <c r="E4488" s="109"/>
      <c r="F4488" s="109"/>
      <c r="G4488" s="109"/>
      <c r="H4488" s="109"/>
      <c r="I4488" s="109"/>
      <c r="J4488" s="109"/>
      <c r="L4488" s="109"/>
      <c r="M4488" s="109"/>
      <c r="N4488" s="109"/>
      <c r="Q4488" s="121"/>
      <c r="W4488" s="109"/>
    </row>
    <row r="4489" spans="1:23" ht="12.75" hidden="1">
      <c r="A4489" s="109"/>
      <c r="B4489" s="109"/>
      <c r="C4489" s="109"/>
      <c r="D4489" s="109"/>
      <c r="E4489" s="109"/>
      <c r="F4489" s="109"/>
      <c r="G4489" s="109"/>
      <c r="H4489" s="109"/>
      <c r="I4489" s="109"/>
      <c r="J4489" s="109"/>
      <c r="L4489" s="109"/>
      <c r="M4489" s="109"/>
      <c r="N4489" s="109"/>
      <c r="Q4489" s="121"/>
      <c r="W4489" s="109"/>
    </row>
    <row r="4490" spans="1:23" ht="12.75" hidden="1">
      <c r="A4490" s="109"/>
      <c r="B4490" s="109"/>
      <c r="C4490" s="109"/>
      <c r="D4490" s="109"/>
      <c r="E4490" s="109"/>
      <c r="F4490" s="109"/>
      <c r="G4490" s="109"/>
      <c r="H4490" s="109"/>
      <c r="I4490" s="109"/>
      <c r="J4490" s="109"/>
      <c r="L4490" s="109"/>
      <c r="M4490" s="109"/>
      <c r="N4490" s="109"/>
      <c r="Q4490" s="121"/>
      <c r="W4490" s="109"/>
    </row>
    <row r="4491" spans="1:23" ht="12.75" hidden="1">
      <c r="A4491" s="109"/>
      <c r="B4491" s="109"/>
      <c r="C4491" s="109"/>
      <c r="D4491" s="109"/>
      <c r="E4491" s="109"/>
      <c r="F4491" s="109"/>
      <c r="G4491" s="109"/>
      <c r="H4491" s="109"/>
      <c r="I4491" s="109"/>
      <c r="J4491" s="109"/>
      <c r="L4491" s="109"/>
      <c r="M4491" s="109"/>
      <c r="N4491" s="109"/>
      <c r="Q4491" s="121"/>
      <c r="W4491" s="109"/>
    </row>
    <row r="4492" spans="1:23" ht="12.75" hidden="1">
      <c r="A4492" s="109"/>
      <c r="B4492" s="109"/>
      <c r="C4492" s="109"/>
      <c r="D4492" s="109"/>
      <c r="E4492" s="109"/>
      <c r="F4492" s="109"/>
      <c r="G4492" s="109"/>
      <c r="H4492" s="109"/>
      <c r="I4492" s="109"/>
      <c r="J4492" s="109"/>
      <c r="L4492" s="109"/>
      <c r="M4492" s="109"/>
      <c r="N4492" s="109"/>
      <c r="Q4492" s="121"/>
      <c r="W4492" s="109"/>
    </row>
    <row r="4493" spans="1:23" ht="12.75" hidden="1">
      <c r="A4493" s="109"/>
      <c r="B4493" s="109"/>
      <c r="C4493" s="109"/>
      <c r="D4493" s="109"/>
      <c r="E4493" s="109"/>
      <c r="F4493" s="109"/>
      <c r="G4493" s="109"/>
      <c r="H4493" s="109"/>
      <c r="I4493" s="109"/>
      <c r="J4493" s="109"/>
      <c r="L4493" s="109"/>
      <c r="M4493" s="109"/>
      <c r="N4493" s="109"/>
      <c r="Q4493" s="121"/>
      <c r="W4493" s="109"/>
    </row>
    <row r="4494" spans="1:23" ht="12.75" hidden="1">
      <c r="A4494" s="109"/>
      <c r="B4494" s="109"/>
      <c r="C4494" s="109"/>
      <c r="D4494" s="109"/>
      <c r="E4494" s="109"/>
      <c r="F4494" s="109"/>
      <c r="G4494" s="109"/>
      <c r="H4494" s="109"/>
      <c r="I4494" s="109"/>
      <c r="J4494" s="109"/>
      <c r="L4494" s="109"/>
      <c r="M4494" s="109"/>
      <c r="N4494" s="109"/>
      <c r="Q4494" s="121"/>
      <c r="W4494" s="109"/>
    </row>
    <row r="4495" spans="1:23" ht="12.75" hidden="1">
      <c r="A4495" s="109"/>
      <c r="B4495" s="109"/>
      <c r="C4495" s="109"/>
      <c r="D4495" s="109"/>
      <c r="E4495" s="109"/>
      <c r="F4495" s="109"/>
      <c r="G4495" s="109"/>
      <c r="H4495" s="109"/>
      <c r="I4495" s="109"/>
      <c r="J4495" s="109"/>
      <c r="L4495" s="109"/>
      <c r="M4495" s="109"/>
      <c r="N4495" s="109"/>
      <c r="Q4495" s="121"/>
      <c r="W4495" s="109"/>
    </row>
    <row r="4496" spans="1:23" ht="12.75" hidden="1">
      <c r="A4496" s="109"/>
      <c r="B4496" s="109"/>
      <c r="C4496" s="109"/>
      <c r="D4496" s="109"/>
      <c r="E4496" s="109"/>
      <c r="F4496" s="109"/>
      <c r="G4496" s="109"/>
      <c r="H4496" s="109"/>
      <c r="I4496" s="109"/>
      <c r="J4496" s="109"/>
      <c r="L4496" s="109"/>
      <c r="M4496" s="109"/>
      <c r="N4496" s="109"/>
      <c r="Q4496" s="121"/>
      <c r="W4496" s="109"/>
    </row>
    <row r="4497" spans="1:23" ht="12.75" hidden="1">
      <c r="A4497" s="109"/>
      <c r="B4497" s="109"/>
      <c r="C4497" s="109"/>
      <c r="D4497" s="109"/>
      <c r="E4497" s="109"/>
      <c r="F4497" s="109"/>
      <c r="G4497" s="109"/>
      <c r="H4497" s="109"/>
      <c r="I4497" s="109"/>
      <c r="J4497" s="109"/>
      <c r="L4497" s="109"/>
      <c r="M4497" s="109"/>
      <c r="N4497" s="109"/>
      <c r="Q4497" s="121"/>
      <c r="W4497" s="109"/>
    </row>
    <row r="4498" spans="1:23" ht="12.75" hidden="1">
      <c r="A4498" s="109"/>
      <c r="B4498" s="109"/>
      <c r="C4498" s="109"/>
      <c r="D4498" s="109"/>
      <c r="E4498" s="109"/>
      <c r="F4498" s="109"/>
      <c r="G4498" s="109"/>
      <c r="H4498" s="109"/>
      <c r="I4498" s="109"/>
      <c r="J4498" s="109"/>
      <c r="L4498" s="109"/>
      <c r="M4498" s="109"/>
      <c r="N4498" s="109"/>
      <c r="Q4498" s="121"/>
      <c r="W4498" s="109"/>
    </row>
    <row r="4499" spans="1:23" ht="12.75" hidden="1">
      <c r="A4499" s="109"/>
      <c r="B4499" s="109"/>
      <c r="C4499" s="109"/>
      <c r="D4499" s="109"/>
      <c r="E4499" s="109"/>
      <c r="F4499" s="109"/>
      <c r="G4499" s="109"/>
      <c r="H4499" s="109"/>
      <c r="I4499" s="109"/>
      <c r="J4499" s="109"/>
      <c r="L4499" s="109"/>
      <c r="M4499" s="109"/>
      <c r="N4499" s="109"/>
      <c r="Q4499" s="121"/>
      <c r="W4499" s="109"/>
    </row>
    <row r="4500" spans="1:23" ht="12.75" hidden="1">
      <c r="A4500" s="109"/>
      <c r="B4500" s="109"/>
      <c r="C4500" s="109"/>
      <c r="D4500" s="109"/>
      <c r="E4500" s="109"/>
      <c r="F4500" s="109"/>
      <c r="G4500" s="109"/>
      <c r="H4500" s="109"/>
      <c r="I4500" s="109"/>
      <c r="J4500" s="109"/>
      <c r="L4500" s="109"/>
      <c r="M4500" s="109"/>
      <c r="N4500" s="109"/>
      <c r="Q4500" s="121"/>
      <c r="W4500" s="109"/>
    </row>
    <row r="4501" spans="1:23" ht="12.75" hidden="1">
      <c r="A4501" s="109"/>
      <c r="B4501" s="109"/>
      <c r="C4501" s="109"/>
      <c r="D4501" s="109"/>
      <c r="E4501" s="109"/>
      <c r="F4501" s="109"/>
      <c r="G4501" s="109"/>
      <c r="H4501" s="109"/>
      <c r="I4501" s="109"/>
      <c r="J4501" s="109"/>
      <c r="L4501" s="109"/>
      <c r="M4501" s="109"/>
      <c r="N4501" s="109"/>
      <c r="Q4501" s="121"/>
      <c r="W4501" s="109"/>
    </row>
    <row r="4502" spans="1:23" ht="12.75" hidden="1">
      <c r="A4502" s="109"/>
      <c r="B4502" s="109"/>
      <c r="C4502" s="109"/>
      <c r="D4502" s="109"/>
      <c r="E4502" s="109"/>
      <c r="F4502" s="109"/>
      <c r="G4502" s="109"/>
      <c r="H4502" s="109"/>
      <c r="I4502" s="109"/>
      <c r="J4502" s="109"/>
      <c r="L4502" s="109"/>
      <c r="M4502" s="109"/>
      <c r="N4502" s="109"/>
      <c r="Q4502" s="121"/>
      <c r="W4502" s="109"/>
    </row>
    <row r="4503" spans="1:23" ht="12.75" hidden="1">
      <c r="A4503" s="109"/>
      <c r="B4503" s="109"/>
      <c r="C4503" s="109"/>
      <c r="D4503" s="109"/>
      <c r="E4503" s="109"/>
      <c r="F4503" s="109"/>
      <c r="G4503" s="109"/>
      <c r="H4503" s="109"/>
      <c r="I4503" s="109"/>
      <c r="J4503" s="109"/>
      <c r="L4503" s="109"/>
      <c r="M4503" s="109"/>
      <c r="N4503" s="109"/>
      <c r="Q4503" s="121"/>
      <c r="W4503" s="109"/>
    </row>
    <row r="4504" spans="1:23" ht="12.75" hidden="1">
      <c r="A4504" s="109"/>
      <c r="B4504" s="109"/>
      <c r="C4504" s="109"/>
      <c r="D4504" s="109"/>
      <c r="E4504" s="109"/>
      <c r="F4504" s="109"/>
      <c r="G4504" s="109"/>
      <c r="H4504" s="109"/>
      <c r="I4504" s="109"/>
      <c r="J4504" s="109"/>
      <c r="L4504" s="109"/>
      <c r="M4504" s="109"/>
      <c r="N4504" s="109"/>
      <c r="Q4504" s="121"/>
      <c r="W4504" s="109"/>
    </row>
    <row r="4505" spans="1:23" ht="12.75" hidden="1">
      <c r="A4505" s="109"/>
      <c r="B4505" s="109"/>
      <c r="C4505" s="109"/>
      <c r="D4505" s="109"/>
      <c r="E4505" s="109"/>
      <c r="F4505" s="109"/>
      <c r="G4505" s="109"/>
      <c r="H4505" s="109"/>
      <c r="I4505" s="109"/>
      <c r="J4505" s="109"/>
      <c r="L4505" s="109"/>
      <c r="M4505" s="109"/>
      <c r="N4505" s="109"/>
      <c r="Q4505" s="121"/>
      <c r="W4505" s="109"/>
    </row>
    <row r="4506" spans="1:23" ht="12.75" hidden="1">
      <c r="A4506" s="109"/>
      <c r="B4506" s="109"/>
      <c r="C4506" s="109"/>
      <c r="D4506" s="109"/>
      <c r="E4506" s="109"/>
      <c r="F4506" s="109"/>
      <c r="G4506" s="109"/>
      <c r="H4506" s="109"/>
      <c r="I4506" s="109"/>
      <c r="J4506" s="109"/>
      <c r="L4506" s="109"/>
      <c r="M4506" s="109"/>
      <c r="N4506" s="109"/>
      <c r="Q4506" s="121"/>
      <c r="W4506" s="109"/>
    </row>
    <row r="4507" spans="1:23" ht="12.75" hidden="1">
      <c r="A4507" s="109"/>
      <c r="B4507" s="109"/>
      <c r="C4507" s="109"/>
      <c r="D4507" s="109"/>
      <c r="E4507" s="109"/>
      <c r="F4507" s="109"/>
      <c r="G4507" s="109"/>
      <c r="H4507" s="109"/>
      <c r="I4507" s="109"/>
      <c r="J4507" s="109"/>
      <c r="L4507" s="109"/>
      <c r="M4507" s="109"/>
      <c r="N4507" s="109"/>
      <c r="Q4507" s="121"/>
      <c r="W4507" s="109"/>
    </row>
    <row r="4508" spans="1:23" ht="12.75" hidden="1">
      <c r="A4508" s="109"/>
      <c r="B4508" s="109"/>
      <c r="C4508" s="109"/>
      <c r="D4508" s="109"/>
      <c r="E4508" s="109"/>
      <c r="F4508" s="109"/>
      <c r="G4508" s="109"/>
      <c r="H4508" s="109"/>
      <c r="I4508" s="109"/>
      <c r="J4508" s="109"/>
      <c r="L4508" s="109"/>
      <c r="M4508" s="109"/>
      <c r="N4508" s="109"/>
      <c r="Q4508" s="121"/>
      <c r="W4508" s="109"/>
    </row>
    <row r="4509" spans="1:23" ht="12.75" hidden="1">
      <c r="A4509" s="109"/>
      <c r="B4509" s="109"/>
      <c r="C4509" s="109"/>
      <c r="D4509" s="109"/>
      <c r="E4509" s="109"/>
      <c r="F4509" s="109"/>
      <c r="G4509" s="109"/>
      <c r="H4509" s="109"/>
      <c r="I4509" s="109"/>
      <c r="J4509" s="109"/>
      <c r="L4509" s="109"/>
      <c r="M4509" s="109"/>
      <c r="N4509" s="109"/>
      <c r="Q4509" s="121"/>
      <c r="W4509" s="109"/>
    </row>
    <row r="4510" spans="1:23" ht="12.75" hidden="1">
      <c r="A4510" s="109"/>
      <c r="B4510" s="109"/>
      <c r="C4510" s="109"/>
      <c r="D4510" s="109"/>
      <c r="E4510" s="109"/>
      <c r="F4510" s="109"/>
      <c r="G4510" s="109"/>
      <c r="H4510" s="109"/>
      <c r="I4510" s="109"/>
      <c r="J4510" s="109"/>
      <c r="L4510" s="109"/>
      <c r="M4510" s="109"/>
      <c r="N4510" s="109"/>
      <c r="Q4510" s="121"/>
      <c r="W4510" s="109"/>
    </row>
    <row r="4511" spans="1:23" ht="12.75" hidden="1">
      <c r="A4511" s="109"/>
      <c r="B4511" s="109"/>
      <c r="C4511" s="109"/>
      <c r="D4511" s="109"/>
      <c r="E4511" s="109"/>
      <c r="F4511" s="109"/>
      <c r="G4511" s="109"/>
      <c r="H4511" s="109"/>
      <c r="I4511" s="109"/>
      <c r="J4511" s="109"/>
      <c r="L4511" s="109"/>
      <c r="M4511" s="109"/>
      <c r="N4511" s="109"/>
      <c r="Q4511" s="121"/>
      <c r="W4511" s="109"/>
    </row>
    <row r="4512" spans="1:23" ht="12.75" hidden="1">
      <c r="A4512" s="109"/>
      <c r="B4512" s="109"/>
      <c r="C4512" s="109"/>
      <c r="D4512" s="109"/>
      <c r="E4512" s="109"/>
      <c r="F4512" s="109"/>
      <c r="G4512" s="109"/>
      <c r="H4512" s="109"/>
      <c r="I4512" s="109"/>
      <c r="J4512" s="109"/>
      <c r="L4512" s="109"/>
      <c r="M4512" s="109"/>
      <c r="N4512" s="109"/>
      <c r="Q4512" s="121"/>
      <c r="W4512" s="109"/>
    </row>
    <row r="4513" spans="1:23" ht="12.75" hidden="1">
      <c r="A4513" s="109"/>
      <c r="B4513" s="109"/>
      <c r="C4513" s="109"/>
      <c r="D4513" s="109"/>
      <c r="E4513" s="109"/>
      <c r="F4513" s="109"/>
      <c r="G4513" s="109"/>
      <c r="H4513" s="109"/>
      <c r="I4513" s="109"/>
      <c r="J4513" s="109"/>
      <c r="L4513" s="109"/>
      <c r="M4513" s="109"/>
      <c r="N4513" s="109"/>
      <c r="Q4513" s="121"/>
      <c r="W4513" s="109"/>
    </row>
    <row r="4514" spans="1:23" ht="12.75" hidden="1">
      <c r="A4514" s="109"/>
      <c r="B4514" s="109"/>
      <c r="C4514" s="109"/>
      <c r="D4514" s="109"/>
      <c r="E4514" s="109"/>
      <c r="F4514" s="109"/>
      <c r="G4514" s="109"/>
      <c r="H4514" s="109"/>
      <c r="I4514" s="109"/>
      <c r="J4514" s="109"/>
      <c r="L4514" s="109"/>
      <c r="M4514" s="109"/>
      <c r="N4514" s="109"/>
      <c r="Q4514" s="121"/>
      <c r="W4514" s="109"/>
    </row>
    <row r="4515" spans="1:23" ht="12.75" hidden="1">
      <c r="A4515" s="109"/>
      <c r="B4515" s="109"/>
      <c r="C4515" s="109"/>
      <c r="D4515" s="109"/>
      <c r="E4515" s="109"/>
      <c r="F4515" s="109"/>
      <c r="G4515" s="109"/>
      <c r="H4515" s="109"/>
      <c r="I4515" s="109"/>
      <c r="J4515" s="109"/>
      <c r="L4515" s="109"/>
      <c r="M4515" s="109"/>
      <c r="N4515" s="109"/>
      <c r="Q4515" s="121"/>
      <c r="W4515" s="109"/>
    </row>
    <row r="4516" spans="1:23" ht="12.75" hidden="1">
      <c r="A4516" s="109"/>
      <c r="B4516" s="109"/>
      <c r="C4516" s="109"/>
      <c r="D4516" s="109"/>
      <c r="E4516" s="109"/>
      <c r="F4516" s="109"/>
      <c r="G4516" s="109"/>
      <c r="H4516" s="109"/>
      <c r="I4516" s="109"/>
      <c r="J4516" s="109"/>
      <c r="L4516" s="109"/>
      <c r="M4516" s="109"/>
      <c r="N4516" s="109"/>
      <c r="Q4516" s="121"/>
      <c r="W4516" s="109"/>
    </row>
    <row r="4517" spans="1:23" ht="12.75" hidden="1">
      <c r="A4517" s="109"/>
      <c r="B4517" s="109"/>
      <c r="C4517" s="109"/>
      <c r="D4517" s="109"/>
      <c r="E4517" s="109"/>
      <c r="F4517" s="109"/>
      <c r="G4517" s="109"/>
      <c r="H4517" s="109"/>
      <c r="I4517" s="109"/>
      <c r="J4517" s="109"/>
      <c r="L4517" s="109"/>
      <c r="M4517" s="109"/>
      <c r="N4517" s="109"/>
      <c r="Q4517" s="121"/>
      <c r="W4517" s="109"/>
    </row>
    <row r="4518" spans="1:23" ht="12.75" hidden="1">
      <c r="A4518" s="109"/>
      <c r="B4518" s="109"/>
      <c r="C4518" s="109"/>
      <c r="D4518" s="109"/>
      <c r="E4518" s="109"/>
      <c r="F4518" s="109"/>
      <c r="G4518" s="109"/>
      <c r="H4518" s="109"/>
      <c r="I4518" s="109"/>
      <c r="J4518" s="109"/>
      <c r="L4518" s="109"/>
      <c r="M4518" s="109"/>
      <c r="N4518" s="109"/>
      <c r="Q4518" s="121"/>
      <c r="W4518" s="109"/>
    </row>
    <row r="4519" spans="1:23" ht="12.75" hidden="1">
      <c r="A4519" s="109"/>
      <c r="B4519" s="109"/>
      <c r="C4519" s="109"/>
      <c r="D4519" s="109"/>
      <c r="E4519" s="109"/>
      <c r="F4519" s="109"/>
      <c r="G4519" s="109"/>
      <c r="H4519" s="109"/>
      <c r="I4519" s="109"/>
      <c r="J4519" s="109"/>
      <c r="L4519" s="109"/>
      <c r="M4519" s="109"/>
      <c r="N4519" s="109"/>
      <c r="Q4519" s="121"/>
      <c r="W4519" s="109"/>
    </row>
    <row r="4520" spans="1:23" ht="12.75" hidden="1">
      <c r="A4520" s="109"/>
      <c r="B4520" s="109"/>
      <c r="C4520" s="109"/>
      <c r="D4520" s="109"/>
      <c r="E4520" s="109"/>
      <c r="F4520" s="109"/>
      <c r="G4520" s="109"/>
      <c r="H4520" s="109"/>
      <c r="I4520" s="109"/>
      <c r="J4520" s="109"/>
      <c r="L4520" s="109"/>
      <c r="M4520" s="109"/>
      <c r="N4520" s="109"/>
      <c r="Q4520" s="121"/>
      <c r="W4520" s="109"/>
    </row>
    <row r="4521" spans="1:23" ht="12.75" hidden="1">
      <c r="A4521" s="109"/>
      <c r="B4521" s="109"/>
      <c r="C4521" s="109"/>
      <c r="D4521" s="109"/>
      <c r="E4521" s="109"/>
      <c r="F4521" s="109"/>
      <c r="G4521" s="109"/>
      <c r="H4521" s="109"/>
      <c r="I4521" s="109"/>
      <c r="J4521" s="109"/>
      <c r="L4521" s="109"/>
      <c r="M4521" s="109"/>
      <c r="N4521" s="109"/>
      <c r="Q4521" s="121"/>
      <c r="W4521" s="109"/>
    </row>
    <row r="4522" spans="1:23" ht="12.75" hidden="1">
      <c r="A4522" s="109"/>
      <c r="B4522" s="109"/>
      <c r="C4522" s="109"/>
      <c r="D4522" s="109"/>
      <c r="E4522" s="109"/>
      <c r="F4522" s="109"/>
      <c r="G4522" s="109"/>
      <c r="H4522" s="109"/>
      <c r="I4522" s="109"/>
      <c r="J4522" s="109"/>
      <c r="L4522" s="109"/>
      <c r="M4522" s="109"/>
      <c r="N4522" s="109"/>
      <c r="Q4522" s="121"/>
      <c r="W4522" s="109"/>
    </row>
    <row r="4523" spans="1:23" ht="12.75" hidden="1">
      <c r="A4523" s="109"/>
      <c r="B4523" s="109"/>
      <c r="C4523" s="109"/>
      <c r="D4523" s="109"/>
      <c r="E4523" s="109"/>
      <c r="F4523" s="109"/>
      <c r="G4523" s="109"/>
      <c r="H4523" s="109"/>
      <c r="I4523" s="109"/>
      <c r="J4523" s="109"/>
      <c r="L4523" s="109"/>
      <c r="M4523" s="109"/>
      <c r="N4523" s="109"/>
      <c r="Q4523" s="121"/>
      <c r="W4523" s="109"/>
    </row>
    <row r="4524" spans="1:23" ht="12.75" hidden="1">
      <c r="A4524" s="109"/>
      <c r="B4524" s="109"/>
      <c r="C4524" s="109"/>
      <c r="D4524" s="109"/>
      <c r="E4524" s="109"/>
      <c r="F4524" s="109"/>
      <c r="G4524" s="109"/>
      <c r="H4524" s="109"/>
      <c r="I4524" s="109"/>
      <c r="J4524" s="109"/>
      <c r="L4524" s="109"/>
      <c r="M4524" s="109"/>
      <c r="N4524" s="109"/>
      <c r="Q4524" s="121"/>
      <c r="W4524" s="109"/>
    </row>
    <row r="4525" spans="1:23" ht="12.75" hidden="1">
      <c r="A4525" s="109"/>
      <c r="B4525" s="109"/>
      <c r="C4525" s="109"/>
      <c r="D4525" s="109"/>
      <c r="E4525" s="109"/>
      <c r="F4525" s="109"/>
      <c r="G4525" s="109"/>
      <c r="H4525" s="109"/>
      <c r="I4525" s="109"/>
      <c r="J4525" s="109"/>
      <c r="L4525" s="109"/>
      <c r="M4525" s="109"/>
      <c r="N4525" s="109"/>
      <c r="Q4525" s="121"/>
      <c r="W4525" s="109"/>
    </row>
    <row r="4526" spans="1:23" ht="12.75" hidden="1">
      <c r="A4526" s="109"/>
      <c r="B4526" s="109"/>
      <c r="C4526" s="109"/>
      <c r="D4526" s="109"/>
      <c r="E4526" s="109"/>
      <c r="F4526" s="109"/>
      <c r="G4526" s="109"/>
      <c r="H4526" s="109"/>
      <c r="I4526" s="109"/>
      <c r="J4526" s="109"/>
      <c r="L4526" s="109"/>
      <c r="M4526" s="109"/>
      <c r="N4526" s="109"/>
      <c r="Q4526" s="121"/>
      <c r="W4526" s="109"/>
    </row>
    <row r="4527" spans="1:23" ht="12.75" hidden="1">
      <c r="A4527" s="109"/>
      <c r="B4527" s="109"/>
      <c r="C4527" s="109"/>
      <c r="D4527" s="109"/>
      <c r="E4527" s="109"/>
      <c r="F4527" s="109"/>
      <c r="G4527" s="109"/>
      <c r="H4527" s="109"/>
      <c r="I4527" s="109"/>
      <c r="J4527" s="109"/>
      <c r="L4527" s="109"/>
      <c r="M4527" s="109"/>
      <c r="N4527" s="109"/>
      <c r="Q4527" s="121"/>
      <c r="W4527" s="109"/>
    </row>
    <row r="4528" spans="1:23" ht="12.75" hidden="1">
      <c r="A4528" s="109"/>
      <c r="B4528" s="109"/>
      <c r="C4528" s="109"/>
      <c r="D4528" s="109"/>
      <c r="E4528" s="109"/>
      <c r="F4528" s="109"/>
      <c r="G4528" s="109"/>
      <c r="H4528" s="109"/>
      <c r="I4528" s="109"/>
      <c r="J4528" s="109"/>
      <c r="L4528" s="109"/>
      <c r="M4528" s="109"/>
      <c r="N4528" s="109"/>
      <c r="Q4528" s="121"/>
      <c r="W4528" s="109"/>
    </row>
    <row r="4529" spans="1:23" ht="12.75" hidden="1">
      <c r="A4529" s="109"/>
      <c r="B4529" s="109"/>
      <c r="C4529" s="109"/>
      <c r="D4529" s="109"/>
      <c r="E4529" s="109"/>
      <c r="F4529" s="109"/>
      <c r="G4529" s="109"/>
      <c r="H4529" s="109"/>
      <c r="I4529" s="109"/>
      <c r="J4529" s="109"/>
      <c r="L4529" s="109"/>
      <c r="M4529" s="109"/>
      <c r="N4529" s="109"/>
      <c r="Q4529" s="121"/>
      <c r="W4529" s="109"/>
    </row>
    <row r="4530" spans="1:23" ht="12.75" hidden="1">
      <c r="A4530" s="109"/>
      <c r="B4530" s="109"/>
      <c r="C4530" s="109"/>
      <c r="D4530" s="109"/>
      <c r="E4530" s="109"/>
      <c r="F4530" s="109"/>
      <c r="G4530" s="109"/>
      <c r="H4530" s="109"/>
      <c r="I4530" s="109"/>
      <c r="J4530" s="109"/>
      <c r="L4530" s="109"/>
      <c r="M4530" s="109"/>
      <c r="N4530" s="109"/>
      <c r="Q4530" s="121"/>
      <c r="W4530" s="109"/>
    </row>
    <row r="4531" spans="1:23" ht="12.75" hidden="1">
      <c r="A4531" s="109"/>
      <c r="B4531" s="109"/>
      <c r="C4531" s="109"/>
      <c r="D4531" s="109"/>
      <c r="E4531" s="109"/>
      <c r="F4531" s="109"/>
      <c r="G4531" s="109"/>
      <c r="H4531" s="109"/>
      <c r="I4531" s="109"/>
      <c r="J4531" s="109"/>
      <c r="L4531" s="109"/>
      <c r="M4531" s="109"/>
      <c r="N4531" s="109"/>
      <c r="Q4531" s="121"/>
      <c r="W4531" s="109"/>
    </row>
    <row r="4532" spans="1:23" ht="12.75" hidden="1">
      <c r="A4532" s="109"/>
      <c r="B4532" s="109"/>
      <c r="C4532" s="109"/>
      <c r="D4532" s="109"/>
      <c r="E4532" s="109"/>
      <c r="F4532" s="109"/>
      <c r="G4532" s="109"/>
      <c r="H4532" s="109"/>
      <c r="I4532" s="109"/>
      <c r="J4532" s="109"/>
      <c r="L4532" s="109"/>
      <c r="M4532" s="109"/>
      <c r="N4532" s="109"/>
      <c r="Q4532" s="121"/>
      <c r="W4532" s="109"/>
    </row>
    <row r="4533" spans="1:23" ht="12.75" hidden="1">
      <c r="A4533" s="109"/>
      <c r="B4533" s="109"/>
      <c r="C4533" s="109"/>
      <c r="D4533" s="109"/>
      <c r="E4533" s="109"/>
      <c r="F4533" s="109"/>
      <c r="G4533" s="109"/>
      <c r="H4533" s="109"/>
      <c r="I4533" s="109"/>
      <c r="J4533" s="109"/>
      <c r="L4533" s="109"/>
      <c r="M4533" s="109"/>
      <c r="N4533" s="109"/>
      <c r="Q4533" s="121"/>
      <c r="W4533" s="109"/>
    </row>
    <row r="4534" spans="1:23" ht="12.75" hidden="1">
      <c r="A4534" s="109"/>
      <c r="B4534" s="109"/>
      <c r="C4534" s="109"/>
      <c r="D4534" s="109"/>
      <c r="E4534" s="109"/>
      <c r="F4534" s="109"/>
      <c r="G4534" s="109"/>
      <c r="H4534" s="109"/>
      <c r="I4534" s="109"/>
      <c r="J4534" s="109"/>
      <c r="L4534" s="109"/>
      <c r="M4534" s="109"/>
      <c r="N4534" s="109"/>
      <c r="Q4534" s="121"/>
      <c r="W4534" s="109"/>
    </row>
    <row r="4535" spans="1:23" ht="12.75" hidden="1">
      <c r="A4535" s="109"/>
      <c r="B4535" s="109"/>
      <c r="C4535" s="109"/>
      <c r="D4535" s="109"/>
      <c r="E4535" s="109"/>
      <c r="F4535" s="109"/>
      <c r="G4535" s="109"/>
      <c r="H4535" s="109"/>
      <c r="I4535" s="109"/>
      <c r="J4535" s="109"/>
      <c r="L4535" s="109"/>
      <c r="M4535" s="109"/>
      <c r="N4535" s="109"/>
      <c r="Q4535" s="121"/>
      <c r="W4535" s="109"/>
    </row>
    <row r="4536" spans="1:23" ht="12.75" hidden="1">
      <c r="A4536" s="109"/>
      <c r="B4536" s="109"/>
      <c r="C4536" s="109"/>
      <c r="D4536" s="109"/>
      <c r="E4536" s="109"/>
      <c r="F4536" s="109"/>
      <c r="G4536" s="109"/>
      <c r="H4536" s="109"/>
      <c r="I4536" s="109"/>
      <c r="J4536" s="109"/>
      <c r="L4536" s="109"/>
      <c r="M4536" s="109"/>
      <c r="N4536" s="109"/>
      <c r="Q4536" s="121"/>
      <c r="W4536" s="109"/>
    </row>
    <row r="4537" spans="1:23" ht="12.75" hidden="1">
      <c r="A4537" s="109"/>
      <c r="B4537" s="109"/>
      <c r="C4537" s="109"/>
      <c r="D4537" s="109"/>
      <c r="E4537" s="109"/>
      <c r="F4537" s="109"/>
      <c r="G4537" s="109"/>
      <c r="H4537" s="109"/>
      <c r="I4537" s="109"/>
      <c r="J4537" s="109"/>
      <c r="L4537" s="109"/>
      <c r="M4537" s="109"/>
      <c r="N4537" s="109"/>
      <c r="Q4537" s="121"/>
      <c r="W4537" s="109"/>
    </row>
    <row r="4538" spans="1:23" ht="12.75" hidden="1">
      <c r="A4538" s="109"/>
      <c r="B4538" s="109"/>
      <c r="C4538" s="109"/>
      <c r="D4538" s="109"/>
      <c r="E4538" s="109"/>
      <c r="F4538" s="109"/>
      <c r="G4538" s="109"/>
      <c r="H4538" s="109"/>
      <c r="I4538" s="109"/>
      <c r="J4538" s="109"/>
      <c r="L4538" s="109"/>
      <c r="M4538" s="109"/>
      <c r="N4538" s="109"/>
      <c r="Q4538" s="121"/>
      <c r="W4538" s="109"/>
    </row>
    <row r="4539" spans="1:23" ht="12.75" hidden="1">
      <c r="A4539" s="109"/>
      <c r="B4539" s="109"/>
      <c r="C4539" s="109"/>
      <c r="D4539" s="109"/>
      <c r="E4539" s="109"/>
      <c r="F4539" s="109"/>
      <c r="G4539" s="109"/>
      <c r="H4539" s="109"/>
      <c r="I4539" s="109"/>
      <c r="J4539" s="109"/>
      <c r="L4539" s="109"/>
      <c r="M4539" s="109"/>
      <c r="N4539" s="109"/>
      <c r="Q4539" s="121"/>
      <c r="W4539" s="109"/>
    </row>
    <row r="4540" spans="1:23" ht="12.75" hidden="1">
      <c r="A4540" s="109"/>
      <c r="B4540" s="109"/>
      <c r="C4540" s="109"/>
      <c r="D4540" s="109"/>
      <c r="E4540" s="109"/>
      <c r="F4540" s="109"/>
      <c r="G4540" s="109"/>
      <c r="H4540" s="109"/>
      <c r="I4540" s="109"/>
      <c r="J4540" s="109"/>
      <c r="L4540" s="109"/>
      <c r="M4540" s="109"/>
      <c r="N4540" s="109"/>
      <c r="Q4540" s="121"/>
      <c r="W4540" s="109"/>
    </row>
    <row r="4541" spans="1:23" ht="12.75" hidden="1">
      <c r="A4541" s="109"/>
      <c r="B4541" s="109"/>
      <c r="C4541" s="109"/>
      <c r="D4541" s="109"/>
      <c r="E4541" s="109"/>
      <c r="F4541" s="109"/>
      <c r="G4541" s="109"/>
      <c r="H4541" s="109"/>
      <c r="I4541" s="109"/>
      <c r="J4541" s="109"/>
      <c r="L4541" s="109"/>
      <c r="M4541" s="109"/>
      <c r="N4541" s="109"/>
      <c r="Q4541" s="121"/>
      <c r="W4541" s="109"/>
    </row>
    <row r="4542" spans="1:23" ht="12.75" hidden="1">
      <c r="A4542" s="109"/>
      <c r="B4542" s="109"/>
      <c r="C4542" s="109"/>
      <c r="D4542" s="109"/>
      <c r="E4542" s="109"/>
      <c r="F4542" s="109"/>
      <c r="G4542" s="109"/>
      <c r="H4542" s="109"/>
      <c r="I4542" s="109"/>
      <c r="J4542" s="109"/>
      <c r="L4542" s="109"/>
      <c r="M4542" s="109"/>
      <c r="N4542" s="109"/>
      <c r="Q4542" s="121"/>
      <c r="W4542" s="109"/>
    </row>
    <row r="4543" spans="1:23" ht="12.75" hidden="1">
      <c r="A4543" s="109"/>
      <c r="B4543" s="109"/>
      <c r="C4543" s="109"/>
      <c r="D4543" s="109"/>
      <c r="E4543" s="109"/>
      <c r="F4543" s="109"/>
      <c r="G4543" s="109"/>
      <c r="H4543" s="109"/>
      <c r="I4543" s="109"/>
      <c r="J4543" s="109"/>
      <c r="L4543" s="109"/>
      <c r="M4543" s="109"/>
      <c r="N4543" s="109"/>
      <c r="Q4543" s="121"/>
      <c r="W4543" s="109"/>
    </row>
    <row r="4544" spans="1:23" ht="12.75" hidden="1">
      <c r="A4544" s="109"/>
      <c r="B4544" s="109"/>
      <c r="C4544" s="109"/>
      <c r="D4544" s="109"/>
      <c r="E4544" s="109"/>
      <c r="F4544" s="109"/>
      <c r="G4544" s="109"/>
      <c r="H4544" s="109"/>
      <c r="I4544" s="109"/>
      <c r="J4544" s="109"/>
      <c r="L4544" s="109"/>
      <c r="M4544" s="109"/>
      <c r="N4544" s="109"/>
      <c r="Q4544" s="121"/>
      <c r="W4544" s="109"/>
    </row>
    <row r="4545" spans="1:23" ht="12.75" hidden="1">
      <c r="A4545" s="109"/>
      <c r="B4545" s="109"/>
      <c r="C4545" s="109"/>
      <c r="D4545" s="109"/>
      <c r="E4545" s="109"/>
      <c r="F4545" s="109"/>
      <c r="G4545" s="109"/>
      <c r="H4545" s="109"/>
      <c r="I4545" s="109"/>
      <c r="J4545" s="109"/>
      <c r="L4545" s="109"/>
      <c r="M4545" s="109"/>
      <c r="N4545" s="109"/>
      <c r="Q4545" s="121"/>
      <c r="W4545" s="109"/>
    </row>
    <row r="4546" spans="1:23" ht="12.75" hidden="1">
      <c r="A4546" s="109"/>
      <c r="B4546" s="109"/>
      <c r="C4546" s="109"/>
      <c r="D4546" s="109"/>
      <c r="E4546" s="109"/>
      <c r="F4546" s="109"/>
      <c r="G4546" s="109"/>
      <c r="H4546" s="109"/>
      <c r="I4546" s="109"/>
      <c r="J4546" s="109"/>
      <c r="L4546" s="109"/>
      <c r="M4546" s="109"/>
      <c r="N4546" s="109"/>
      <c r="Q4546" s="121"/>
      <c r="W4546" s="109"/>
    </row>
    <row r="4547" spans="1:23" ht="12.75" hidden="1">
      <c r="A4547" s="109"/>
      <c r="B4547" s="109"/>
      <c r="C4547" s="109"/>
      <c r="D4547" s="109"/>
      <c r="E4547" s="109"/>
      <c r="F4547" s="109"/>
      <c r="G4547" s="109"/>
      <c r="H4547" s="109"/>
      <c r="I4547" s="109"/>
      <c r="J4547" s="109"/>
      <c r="L4547" s="109"/>
      <c r="M4547" s="109"/>
      <c r="N4547" s="109"/>
      <c r="Q4547" s="121"/>
      <c r="W4547" s="109"/>
    </row>
    <row r="4548" spans="1:23" ht="12.75" hidden="1">
      <c r="A4548" s="109"/>
      <c r="B4548" s="109"/>
      <c r="C4548" s="109"/>
      <c r="D4548" s="109"/>
      <c r="E4548" s="109"/>
      <c r="F4548" s="109"/>
      <c r="G4548" s="109"/>
      <c r="H4548" s="109"/>
      <c r="I4548" s="109"/>
      <c r="J4548" s="109"/>
      <c r="L4548" s="109"/>
      <c r="M4548" s="109"/>
      <c r="N4548" s="109"/>
      <c r="Q4548" s="121"/>
      <c r="W4548" s="109"/>
    </row>
    <row r="4549" spans="1:23" ht="12.75" hidden="1">
      <c r="A4549" s="109"/>
      <c r="B4549" s="109"/>
      <c r="C4549" s="109"/>
      <c r="D4549" s="109"/>
      <c r="E4549" s="109"/>
      <c r="F4549" s="109"/>
      <c r="G4549" s="109"/>
      <c r="H4549" s="109"/>
      <c r="I4549" s="109"/>
      <c r="J4549" s="109"/>
      <c r="L4549" s="109"/>
      <c r="M4549" s="109"/>
      <c r="N4549" s="109"/>
      <c r="Q4549" s="121"/>
      <c r="W4549" s="109"/>
    </row>
    <row r="4550" spans="1:23" ht="12.75" hidden="1">
      <c r="A4550" s="109"/>
      <c r="B4550" s="109"/>
      <c r="C4550" s="109"/>
      <c r="D4550" s="109"/>
      <c r="E4550" s="109"/>
      <c r="F4550" s="109"/>
      <c r="G4550" s="109"/>
      <c r="H4550" s="109"/>
      <c r="I4550" s="109"/>
      <c r="J4550" s="109"/>
      <c r="L4550" s="109"/>
      <c r="M4550" s="109"/>
      <c r="N4550" s="109"/>
      <c r="Q4550" s="121"/>
      <c r="W4550" s="109"/>
    </row>
    <row r="4551" spans="1:23" ht="12.75" hidden="1">
      <c r="A4551" s="109"/>
      <c r="B4551" s="109"/>
      <c r="C4551" s="109"/>
      <c r="D4551" s="109"/>
      <c r="E4551" s="109"/>
      <c r="F4551" s="109"/>
      <c r="G4551" s="109"/>
      <c r="H4551" s="109"/>
      <c r="I4551" s="109"/>
      <c r="J4551" s="109"/>
      <c r="L4551" s="109"/>
      <c r="M4551" s="109"/>
      <c r="N4551" s="109"/>
      <c r="Q4551" s="121"/>
      <c r="W4551" s="109"/>
    </row>
    <row r="4552" spans="1:23" ht="12.75" hidden="1">
      <c r="A4552" s="109"/>
      <c r="B4552" s="109"/>
      <c r="C4552" s="109"/>
      <c r="D4552" s="109"/>
      <c r="E4552" s="109"/>
      <c r="F4552" s="109"/>
      <c r="G4552" s="109"/>
      <c r="H4552" s="109"/>
      <c r="I4552" s="109"/>
      <c r="J4552" s="109"/>
      <c r="L4552" s="109"/>
      <c r="M4552" s="109"/>
      <c r="N4552" s="109"/>
      <c r="Q4552" s="121"/>
      <c r="W4552" s="109"/>
    </row>
    <row r="4553" spans="1:23" ht="12.75" hidden="1">
      <c r="A4553" s="109"/>
      <c r="B4553" s="109"/>
      <c r="C4553" s="109"/>
      <c r="D4553" s="109"/>
      <c r="E4553" s="109"/>
      <c r="F4553" s="109"/>
      <c r="G4553" s="109"/>
      <c r="H4553" s="109"/>
      <c r="I4553" s="109"/>
      <c r="J4553" s="109"/>
      <c r="L4553" s="109"/>
      <c r="M4553" s="109"/>
      <c r="N4553" s="109"/>
      <c r="Q4553" s="121"/>
      <c r="W4553" s="109"/>
    </row>
    <row r="4554" spans="1:23" ht="12.75" hidden="1">
      <c r="A4554" s="109"/>
      <c r="B4554" s="109"/>
      <c r="C4554" s="109"/>
      <c r="D4554" s="109"/>
      <c r="E4554" s="109"/>
      <c r="F4554" s="109"/>
      <c r="G4554" s="109"/>
      <c r="H4554" s="109"/>
      <c r="I4554" s="109"/>
      <c r="J4554" s="109"/>
      <c r="L4554" s="109"/>
      <c r="M4554" s="109"/>
      <c r="N4554" s="109"/>
      <c r="Q4554" s="121"/>
      <c r="W4554" s="109"/>
    </row>
    <row r="4555" spans="1:23" ht="12.75" hidden="1">
      <c r="A4555" s="109"/>
      <c r="B4555" s="109"/>
      <c r="C4555" s="109"/>
      <c r="D4555" s="109"/>
      <c r="E4555" s="109"/>
      <c r="F4555" s="109"/>
      <c r="G4555" s="109"/>
      <c r="H4555" s="109"/>
      <c r="I4555" s="109"/>
      <c r="J4555" s="109"/>
      <c r="L4555" s="109"/>
      <c r="M4555" s="109"/>
      <c r="N4555" s="109"/>
      <c r="Q4555" s="121"/>
      <c r="W4555" s="109"/>
    </row>
    <row r="4556" spans="1:23" ht="12.75" hidden="1">
      <c r="A4556" s="109"/>
      <c r="B4556" s="109"/>
      <c r="C4556" s="109"/>
      <c r="D4556" s="109"/>
      <c r="E4556" s="109"/>
      <c r="F4556" s="109"/>
      <c r="G4556" s="109"/>
      <c r="H4556" s="109"/>
      <c r="I4556" s="109"/>
      <c r="J4556" s="109"/>
      <c r="L4556" s="109"/>
      <c r="M4556" s="109"/>
      <c r="N4556" s="109"/>
      <c r="Q4556" s="121"/>
      <c r="W4556" s="109"/>
    </row>
    <row r="4557" spans="1:23" ht="12.75" hidden="1">
      <c r="A4557" s="109"/>
      <c r="B4557" s="109"/>
      <c r="C4557" s="109"/>
      <c r="D4557" s="109"/>
      <c r="E4557" s="109"/>
      <c r="F4557" s="109"/>
      <c r="G4557" s="109"/>
      <c r="H4557" s="109"/>
      <c r="I4557" s="109"/>
      <c r="J4557" s="109"/>
      <c r="L4557" s="109"/>
      <c r="M4557" s="109"/>
      <c r="N4557" s="109"/>
      <c r="Q4557" s="121"/>
      <c r="W4557" s="109"/>
    </row>
    <row r="4558" spans="1:23" ht="12.75" hidden="1">
      <c r="A4558" s="109"/>
      <c r="B4558" s="109"/>
      <c r="C4558" s="109"/>
      <c r="D4558" s="109"/>
      <c r="E4558" s="109"/>
      <c r="F4558" s="109"/>
      <c r="G4558" s="109"/>
      <c r="H4558" s="109"/>
      <c r="I4558" s="109"/>
      <c r="J4558" s="109"/>
      <c r="L4558" s="109"/>
      <c r="M4558" s="109"/>
      <c r="N4558" s="109"/>
      <c r="Q4558" s="121"/>
      <c r="W4558" s="109"/>
    </row>
    <row r="4559" spans="1:23" ht="12.75" hidden="1">
      <c r="A4559" s="109"/>
      <c r="B4559" s="109"/>
      <c r="C4559" s="109"/>
      <c r="D4559" s="109"/>
      <c r="E4559" s="109"/>
      <c r="F4559" s="109"/>
      <c r="G4559" s="109"/>
      <c r="H4559" s="109"/>
      <c r="I4559" s="109"/>
      <c r="J4559" s="109"/>
      <c r="L4559" s="109"/>
      <c r="M4559" s="109"/>
      <c r="N4559" s="109"/>
      <c r="Q4559" s="121"/>
      <c r="W4559" s="109"/>
    </row>
    <row r="4560" spans="1:23" ht="12.75" hidden="1">
      <c r="A4560" s="109"/>
      <c r="B4560" s="109"/>
      <c r="C4560" s="109"/>
      <c r="D4560" s="109"/>
      <c r="E4560" s="109"/>
      <c r="F4560" s="109"/>
      <c r="G4560" s="109"/>
      <c r="H4560" s="109"/>
      <c r="I4560" s="109"/>
      <c r="J4560" s="109"/>
      <c r="L4560" s="109"/>
      <c r="M4560" s="109"/>
      <c r="N4560" s="109"/>
      <c r="Q4560" s="121"/>
      <c r="W4560" s="109"/>
    </row>
    <row r="4561" spans="1:23" ht="12.75" hidden="1">
      <c r="A4561" s="109"/>
      <c r="B4561" s="109"/>
      <c r="C4561" s="109"/>
      <c r="D4561" s="109"/>
      <c r="E4561" s="109"/>
      <c r="F4561" s="109"/>
      <c r="G4561" s="109"/>
      <c r="H4561" s="109"/>
      <c r="I4561" s="109"/>
      <c r="J4561" s="109"/>
      <c r="L4561" s="109"/>
      <c r="M4561" s="109"/>
      <c r="N4561" s="109"/>
      <c r="Q4561" s="121"/>
      <c r="W4561" s="109"/>
    </row>
    <row r="4562" spans="1:23" ht="12.75" hidden="1">
      <c r="A4562" s="109"/>
      <c r="B4562" s="109"/>
      <c r="C4562" s="109"/>
      <c r="D4562" s="109"/>
      <c r="E4562" s="109"/>
      <c r="F4562" s="109"/>
      <c r="G4562" s="109"/>
      <c r="H4562" s="109"/>
      <c r="I4562" s="109"/>
      <c r="J4562" s="109"/>
      <c r="L4562" s="109"/>
      <c r="M4562" s="109"/>
      <c r="N4562" s="109"/>
      <c r="Q4562" s="121"/>
      <c r="W4562" s="109"/>
    </row>
    <row r="4563" spans="1:23" ht="12.75" hidden="1">
      <c r="A4563" s="109"/>
      <c r="B4563" s="109"/>
      <c r="C4563" s="109"/>
      <c r="D4563" s="109"/>
      <c r="E4563" s="109"/>
      <c r="F4563" s="109"/>
      <c r="G4563" s="109"/>
      <c r="H4563" s="109"/>
      <c r="I4563" s="109"/>
      <c r="J4563" s="109"/>
      <c r="L4563" s="109"/>
      <c r="M4563" s="109"/>
      <c r="N4563" s="109"/>
      <c r="Q4563" s="121"/>
      <c r="W4563" s="109"/>
    </row>
    <row r="4564" spans="1:23" ht="12.75" hidden="1">
      <c r="A4564" s="109"/>
      <c r="B4564" s="109"/>
      <c r="C4564" s="109"/>
      <c r="D4564" s="109"/>
      <c r="E4564" s="109"/>
      <c r="F4564" s="109"/>
      <c r="G4564" s="109"/>
      <c r="H4564" s="109"/>
      <c r="I4564" s="109"/>
      <c r="J4564" s="109"/>
      <c r="L4564" s="109"/>
      <c r="M4564" s="109"/>
      <c r="N4564" s="109"/>
      <c r="Q4564" s="121"/>
      <c r="W4564" s="109"/>
    </row>
    <row r="4565" spans="1:23" ht="12.75" hidden="1">
      <c r="A4565" s="109"/>
      <c r="B4565" s="109"/>
      <c r="C4565" s="109"/>
      <c r="D4565" s="109"/>
      <c r="E4565" s="109"/>
      <c r="F4565" s="109"/>
      <c r="G4565" s="109"/>
      <c r="H4565" s="109"/>
      <c r="I4565" s="109"/>
      <c r="J4565" s="109"/>
      <c r="L4565" s="109"/>
      <c r="M4565" s="109"/>
      <c r="N4565" s="109"/>
      <c r="Q4565" s="121"/>
      <c r="W4565" s="109"/>
    </row>
    <row r="4566" spans="1:23" ht="12.75" hidden="1">
      <c r="A4566" s="109"/>
      <c r="B4566" s="109"/>
      <c r="C4566" s="109"/>
      <c r="D4566" s="109"/>
      <c r="E4566" s="109"/>
      <c r="F4566" s="109"/>
      <c r="G4566" s="109"/>
      <c r="H4566" s="109"/>
      <c r="I4566" s="109"/>
      <c r="J4566" s="109"/>
      <c r="L4566" s="109"/>
      <c r="M4566" s="109"/>
      <c r="N4566" s="109"/>
      <c r="Q4566" s="121"/>
      <c r="W4566" s="109"/>
    </row>
    <row r="4567" spans="1:23" ht="12.75" hidden="1">
      <c r="A4567" s="109"/>
      <c r="B4567" s="109"/>
      <c r="C4567" s="109"/>
      <c r="D4567" s="109"/>
      <c r="E4567" s="109"/>
      <c r="F4567" s="109"/>
      <c r="G4567" s="109"/>
      <c r="H4567" s="109"/>
      <c r="I4567" s="109"/>
      <c r="J4567" s="109"/>
      <c r="L4567" s="109"/>
      <c r="M4567" s="109"/>
      <c r="N4567" s="109"/>
      <c r="Q4567" s="121"/>
      <c r="W4567" s="109"/>
    </row>
    <row r="4568" spans="1:23" ht="12.75" hidden="1">
      <c r="A4568" s="109"/>
      <c r="B4568" s="109"/>
      <c r="C4568" s="109"/>
      <c r="D4568" s="109"/>
      <c r="E4568" s="109"/>
      <c r="F4568" s="109"/>
      <c r="G4568" s="109"/>
      <c r="H4568" s="109"/>
      <c r="I4568" s="109"/>
      <c r="J4568" s="109"/>
      <c r="L4568" s="109"/>
      <c r="M4568" s="109"/>
      <c r="N4568" s="109"/>
      <c r="Q4568" s="121"/>
      <c r="W4568" s="109"/>
    </row>
    <row r="4569" spans="1:23" ht="12.75" hidden="1">
      <c r="A4569" s="109"/>
      <c r="B4569" s="109"/>
      <c r="C4569" s="109"/>
      <c r="D4569" s="109"/>
      <c r="E4569" s="109"/>
      <c r="F4569" s="109"/>
      <c r="G4569" s="109"/>
      <c r="H4569" s="109"/>
      <c r="I4569" s="109"/>
      <c r="J4569" s="109"/>
      <c r="L4569" s="109"/>
      <c r="M4569" s="109"/>
      <c r="N4569" s="109"/>
      <c r="Q4569" s="121"/>
      <c r="W4569" s="109"/>
    </row>
    <row r="4570" spans="1:23" ht="12.75" hidden="1">
      <c r="A4570" s="109"/>
      <c r="B4570" s="109"/>
      <c r="C4570" s="109"/>
      <c r="D4570" s="109"/>
      <c r="E4570" s="109"/>
      <c r="F4570" s="109"/>
      <c r="G4570" s="109"/>
      <c r="H4570" s="109"/>
      <c r="I4570" s="109"/>
      <c r="J4570" s="109"/>
      <c r="L4570" s="109"/>
      <c r="M4570" s="109"/>
      <c r="N4570" s="109"/>
      <c r="Q4570" s="121"/>
      <c r="W4570" s="109"/>
    </row>
    <row r="4571" spans="1:23" ht="12.75" hidden="1">
      <c r="A4571" s="109"/>
      <c r="B4571" s="109"/>
      <c r="C4571" s="109"/>
      <c r="D4571" s="109"/>
      <c r="E4571" s="109"/>
      <c r="F4571" s="109"/>
      <c r="G4571" s="109"/>
      <c r="H4571" s="109"/>
      <c r="I4571" s="109"/>
      <c r="J4571" s="109"/>
      <c r="L4571" s="109"/>
      <c r="M4571" s="109"/>
      <c r="N4571" s="109"/>
      <c r="Q4571" s="121"/>
      <c r="W4571" s="109"/>
    </row>
    <row r="4572" spans="1:23" ht="12.75" hidden="1">
      <c r="A4572" s="109"/>
      <c r="B4572" s="109"/>
      <c r="C4572" s="109"/>
      <c r="D4572" s="109"/>
      <c r="E4572" s="109"/>
      <c r="F4572" s="109"/>
      <c r="G4572" s="109"/>
      <c r="H4572" s="109"/>
      <c r="I4572" s="109"/>
      <c r="J4572" s="109"/>
      <c r="L4572" s="109"/>
      <c r="M4572" s="109"/>
      <c r="N4572" s="109"/>
      <c r="Q4572" s="121"/>
      <c r="W4572" s="109"/>
    </row>
    <row r="4573" spans="1:23" ht="12.75" hidden="1">
      <c r="A4573" s="109"/>
      <c r="B4573" s="109"/>
      <c r="C4573" s="109"/>
      <c r="D4573" s="109"/>
      <c r="E4573" s="109"/>
      <c r="F4573" s="109"/>
      <c r="G4573" s="109"/>
      <c r="H4573" s="109"/>
      <c r="I4573" s="109"/>
      <c r="J4573" s="109"/>
      <c r="L4573" s="109"/>
      <c r="M4573" s="109"/>
      <c r="N4573" s="109"/>
      <c r="Q4573" s="121"/>
      <c r="W4573" s="109"/>
    </row>
    <row r="4574" spans="1:23" ht="12.75" hidden="1">
      <c r="A4574" s="109"/>
      <c r="B4574" s="109"/>
      <c r="C4574" s="109"/>
      <c r="D4574" s="109"/>
      <c r="E4574" s="109"/>
      <c r="F4574" s="109"/>
      <c r="G4574" s="109"/>
      <c r="H4574" s="109"/>
      <c r="I4574" s="109"/>
      <c r="J4574" s="109"/>
      <c r="L4574" s="109"/>
      <c r="M4574" s="109"/>
      <c r="N4574" s="109"/>
      <c r="Q4574" s="121"/>
      <c r="W4574" s="109"/>
    </row>
    <row r="4575" spans="1:23" ht="12.75" hidden="1">
      <c r="A4575" s="109"/>
      <c r="B4575" s="109"/>
      <c r="C4575" s="109"/>
      <c r="D4575" s="109"/>
      <c r="E4575" s="109"/>
      <c r="F4575" s="109"/>
      <c r="G4575" s="109"/>
      <c r="H4575" s="109"/>
      <c r="I4575" s="109"/>
      <c r="J4575" s="109"/>
      <c r="L4575" s="109"/>
      <c r="M4575" s="109"/>
      <c r="N4575" s="109"/>
      <c r="Q4575" s="121"/>
      <c r="W4575" s="109"/>
    </row>
    <row r="4576" spans="1:23" ht="12.75" hidden="1">
      <c r="A4576" s="109"/>
      <c r="B4576" s="109"/>
      <c r="C4576" s="109"/>
      <c r="D4576" s="109"/>
      <c r="E4576" s="109"/>
      <c r="F4576" s="109"/>
      <c r="G4576" s="109"/>
      <c r="H4576" s="109"/>
      <c r="I4576" s="109"/>
      <c r="J4576" s="109"/>
      <c r="L4576" s="109"/>
      <c r="M4576" s="109"/>
      <c r="N4576" s="109"/>
      <c r="Q4576" s="121"/>
      <c r="W4576" s="109"/>
    </row>
    <row r="4577" spans="1:23" ht="12.75" hidden="1">
      <c r="A4577" s="109"/>
      <c r="B4577" s="109"/>
      <c r="C4577" s="109"/>
      <c r="D4577" s="109"/>
      <c r="E4577" s="109"/>
      <c r="F4577" s="109"/>
      <c r="G4577" s="109"/>
      <c r="H4577" s="109"/>
      <c r="I4577" s="109"/>
      <c r="J4577" s="109"/>
      <c r="L4577" s="109"/>
      <c r="M4577" s="109"/>
      <c r="N4577" s="109"/>
      <c r="Q4577" s="121"/>
      <c r="W4577" s="109"/>
    </row>
    <row r="4578" spans="1:23" ht="12.75" hidden="1">
      <c r="A4578" s="109"/>
      <c r="B4578" s="109"/>
      <c r="C4578" s="109"/>
      <c r="D4578" s="109"/>
      <c r="E4578" s="109"/>
      <c r="F4578" s="109"/>
      <c r="G4578" s="109"/>
      <c r="H4578" s="109"/>
      <c r="I4578" s="109"/>
      <c r="J4578" s="109"/>
      <c r="L4578" s="109"/>
      <c r="M4578" s="109"/>
      <c r="N4578" s="109"/>
      <c r="Q4578" s="121"/>
      <c r="W4578" s="109"/>
    </row>
    <row r="4579" spans="1:23" ht="12.75" hidden="1">
      <c r="A4579" s="109"/>
      <c r="B4579" s="109"/>
      <c r="C4579" s="109"/>
      <c r="D4579" s="109"/>
      <c r="E4579" s="109"/>
      <c r="F4579" s="109"/>
      <c r="G4579" s="109"/>
      <c r="H4579" s="109"/>
      <c r="I4579" s="109"/>
      <c r="J4579" s="109"/>
      <c r="L4579" s="109"/>
      <c r="M4579" s="109"/>
      <c r="N4579" s="109"/>
      <c r="Q4579" s="121"/>
      <c r="W4579" s="109"/>
    </row>
    <row r="4580" spans="1:23" ht="12.75" hidden="1">
      <c r="A4580" s="109"/>
      <c r="B4580" s="109"/>
      <c r="C4580" s="109"/>
      <c r="D4580" s="109"/>
      <c r="E4580" s="109"/>
      <c r="F4580" s="109"/>
      <c r="G4580" s="109"/>
      <c r="H4580" s="109"/>
      <c r="I4580" s="109"/>
      <c r="J4580" s="109"/>
      <c r="L4580" s="109"/>
      <c r="M4580" s="109"/>
      <c r="N4580" s="109"/>
      <c r="Q4580" s="121"/>
      <c r="W4580" s="109"/>
    </row>
    <row r="4581" spans="1:23" ht="12.75" hidden="1">
      <c r="A4581" s="109"/>
      <c r="B4581" s="109"/>
      <c r="C4581" s="109"/>
      <c r="D4581" s="109"/>
      <c r="E4581" s="109"/>
      <c r="F4581" s="109"/>
      <c r="G4581" s="109"/>
      <c r="H4581" s="109"/>
      <c r="I4581" s="109"/>
      <c r="J4581" s="109"/>
      <c r="L4581" s="109"/>
      <c r="M4581" s="109"/>
      <c r="N4581" s="109"/>
      <c r="Q4581" s="121"/>
      <c r="W4581" s="109"/>
    </row>
    <row r="4582" spans="1:23" ht="12.75" hidden="1">
      <c r="A4582" s="109"/>
      <c r="B4582" s="109"/>
      <c r="C4582" s="109"/>
      <c r="D4582" s="109"/>
      <c r="E4582" s="109"/>
      <c r="F4582" s="109"/>
      <c r="G4582" s="109"/>
      <c r="H4582" s="109"/>
      <c r="I4582" s="109"/>
      <c r="J4582" s="109"/>
      <c r="L4582" s="109"/>
      <c r="M4582" s="109"/>
      <c r="N4582" s="109"/>
      <c r="Q4582" s="121"/>
      <c r="W4582" s="109"/>
    </row>
    <row r="4583" spans="1:23" ht="12.75" hidden="1">
      <c r="A4583" s="109"/>
      <c r="B4583" s="109"/>
      <c r="C4583" s="109"/>
      <c r="D4583" s="109"/>
      <c r="E4583" s="109"/>
      <c r="F4583" s="109"/>
      <c r="G4583" s="109"/>
      <c r="H4583" s="109"/>
      <c r="I4583" s="109"/>
      <c r="J4583" s="109"/>
      <c r="L4583" s="109"/>
      <c r="M4583" s="109"/>
      <c r="N4583" s="109"/>
      <c r="Q4583" s="121"/>
      <c r="W4583" s="109"/>
    </row>
    <row r="4584" spans="1:23" ht="12.75" hidden="1">
      <c r="A4584" s="109"/>
      <c r="B4584" s="109"/>
      <c r="C4584" s="109"/>
      <c r="D4584" s="109"/>
      <c r="E4584" s="109"/>
      <c r="F4584" s="109"/>
      <c r="G4584" s="109"/>
      <c r="H4584" s="109"/>
      <c r="I4584" s="109"/>
      <c r="J4584" s="109"/>
      <c r="L4584" s="109"/>
      <c r="M4584" s="109"/>
      <c r="N4584" s="109"/>
      <c r="Q4584" s="121"/>
      <c r="W4584" s="109"/>
    </row>
    <row r="4585" spans="1:23" ht="12.75" hidden="1">
      <c r="A4585" s="109"/>
      <c r="B4585" s="109"/>
      <c r="C4585" s="109"/>
      <c r="D4585" s="109"/>
      <c r="E4585" s="109"/>
      <c r="F4585" s="109"/>
      <c r="G4585" s="109"/>
      <c r="H4585" s="109"/>
      <c r="I4585" s="109"/>
      <c r="J4585" s="109"/>
      <c r="L4585" s="109"/>
      <c r="M4585" s="109"/>
      <c r="N4585" s="109"/>
      <c r="Q4585" s="121"/>
      <c r="W4585" s="109"/>
    </row>
    <row r="4586" spans="1:23" ht="12.75" hidden="1">
      <c r="A4586" s="109"/>
      <c r="B4586" s="109"/>
      <c r="C4586" s="109"/>
      <c r="D4586" s="109"/>
      <c r="E4586" s="109"/>
      <c r="F4586" s="109"/>
      <c r="G4586" s="109"/>
      <c r="H4586" s="109"/>
      <c r="I4586" s="109"/>
      <c r="J4586" s="109"/>
      <c r="L4586" s="109"/>
      <c r="M4586" s="109"/>
      <c r="N4586" s="109"/>
      <c r="Q4586" s="121"/>
      <c r="W4586" s="109"/>
    </row>
    <row r="4587" spans="1:23" ht="12.75" hidden="1">
      <c r="A4587" s="109"/>
      <c r="B4587" s="109"/>
      <c r="C4587" s="109"/>
      <c r="D4587" s="109"/>
      <c r="E4587" s="109"/>
      <c r="F4587" s="109"/>
      <c r="G4587" s="109"/>
      <c r="H4587" s="109"/>
      <c r="I4587" s="109"/>
      <c r="J4587" s="109"/>
      <c r="L4587" s="109"/>
      <c r="M4587" s="109"/>
      <c r="N4587" s="109"/>
      <c r="Q4587" s="121"/>
      <c r="W4587" s="109"/>
    </row>
    <row r="4588" spans="1:23" ht="12.75" hidden="1">
      <c r="A4588" s="109"/>
      <c r="B4588" s="109"/>
      <c r="C4588" s="109"/>
      <c r="D4588" s="109"/>
      <c r="E4588" s="109"/>
      <c r="F4588" s="109"/>
      <c r="G4588" s="109"/>
      <c r="H4588" s="109"/>
      <c r="I4588" s="109"/>
      <c r="J4588" s="109"/>
      <c r="L4588" s="109"/>
      <c r="M4588" s="109"/>
      <c r="N4588" s="109"/>
      <c r="Q4588" s="121"/>
      <c r="W4588" s="109"/>
    </row>
    <row r="4589" spans="1:23" ht="12.75" hidden="1">
      <c r="A4589" s="109"/>
      <c r="B4589" s="109"/>
      <c r="C4589" s="109"/>
      <c r="D4589" s="109"/>
      <c r="E4589" s="109"/>
      <c r="F4589" s="109"/>
      <c r="G4589" s="109"/>
      <c r="H4589" s="109"/>
      <c r="I4589" s="109"/>
      <c r="J4589" s="109"/>
      <c r="L4589" s="109"/>
      <c r="M4589" s="109"/>
      <c r="N4589" s="109"/>
      <c r="Q4589" s="121"/>
      <c r="W4589" s="109"/>
    </row>
    <row r="4590" spans="1:23" ht="12.75" hidden="1">
      <c r="A4590" s="109"/>
      <c r="B4590" s="109"/>
      <c r="C4590" s="109"/>
      <c r="D4590" s="109"/>
      <c r="E4590" s="109"/>
      <c r="F4590" s="109"/>
      <c r="G4590" s="109"/>
      <c r="H4590" s="109"/>
      <c r="I4590" s="109"/>
      <c r="J4590" s="109"/>
      <c r="L4590" s="109"/>
      <c r="M4590" s="109"/>
      <c r="N4590" s="109"/>
      <c r="Q4590" s="121"/>
      <c r="W4590" s="109"/>
    </row>
    <row r="4591" spans="1:23" ht="12.75" hidden="1">
      <c r="A4591" s="109"/>
      <c r="B4591" s="109"/>
      <c r="C4591" s="109"/>
      <c r="D4591" s="109"/>
      <c r="E4591" s="109"/>
      <c r="F4591" s="109"/>
      <c r="G4591" s="109"/>
      <c r="H4591" s="109"/>
      <c r="I4591" s="109"/>
      <c r="J4591" s="109"/>
      <c r="L4591" s="109"/>
      <c r="M4591" s="109"/>
      <c r="N4591" s="109"/>
      <c r="Q4591" s="121"/>
      <c r="W4591" s="109"/>
    </row>
    <row r="4592" spans="1:23" ht="12.75" hidden="1">
      <c r="A4592" s="109"/>
      <c r="B4592" s="109"/>
      <c r="C4592" s="109"/>
      <c r="D4592" s="109"/>
      <c r="E4592" s="109"/>
      <c r="F4592" s="109"/>
      <c r="G4592" s="109"/>
      <c r="H4592" s="109"/>
      <c r="I4592" s="109"/>
      <c r="J4592" s="109"/>
      <c r="L4592" s="109"/>
      <c r="M4592" s="109"/>
      <c r="N4592" s="109"/>
      <c r="Q4592" s="121"/>
      <c r="W4592" s="109"/>
    </row>
    <row r="4593" spans="1:23" ht="12.75" hidden="1">
      <c r="A4593" s="109"/>
      <c r="B4593" s="109"/>
      <c r="C4593" s="109"/>
      <c r="D4593" s="109"/>
      <c r="E4593" s="109"/>
      <c r="F4593" s="109"/>
      <c r="G4593" s="109"/>
      <c r="H4593" s="109"/>
      <c r="I4593" s="109"/>
      <c r="J4593" s="109"/>
      <c r="L4593" s="109"/>
      <c r="M4593" s="109"/>
      <c r="N4593" s="109"/>
      <c r="Q4593" s="121"/>
      <c r="W4593" s="109"/>
    </row>
    <row r="4594" spans="1:23" ht="12.75" hidden="1">
      <c r="A4594" s="109"/>
      <c r="B4594" s="109"/>
      <c r="C4594" s="109"/>
      <c r="D4594" s="109"/>
      <c r="E4594" s="109"/>
      <c r="F4594" s="109"/>
      <c r="G4594" s="109"/>
      <c r="H4594" s="109"/>
      <c r="I4594" s="109"/>
      <c r="J4594" s="109"/>
      <c r="L4594" s="109"/>
      <c r="M4594" s="109"/>
      <c r="N4594" s="109"/>
      <c r="Q4594" s="121"/>
      <c r="W4594" s="109"/>
    </row>
    <row r="4595" spans="1:23" ht="12.75" hidden="1">
      <c r="A4595" s="109"/>
      <c r="B4595" s="109"/>
      <c r="C4595" s="109"/>
      <c r="D4595" s="109"/>
      <c r="E4595" s="109"/>
      <c r="F4595" s="109"/>
      <c r="G4595" s="109"/>
      <c r="H4595" s="109"/>
      <c r="I4595" s="109"/>
      <c r="J4595" s="109"/>
      <c r="L4595" s="109"/>
      <c r="M4595" s="109"/>
      <c r="N4595" s="109"/>
      <c r="Q4595" s="121"/>
      <c r="W4595" s="109"/>
    </row>
    <row r="4596" spans="1:23" ht="12.75" hidden="1">
      <c r="A4596" s="109"/>
      <c r="B4596" s="109"/>
      <c r="C4596" s="109"/>
      <c r="D4596" s="109"/>
      <c r="E4596" s="109"/>
      <c r="F4596" s="109"/>
      <c r="G4596" s="109"/>
      <c r="H4596" s="109"/>
      <c r="I4596" s="109"/>
      <c r="J4596" s="109"/>
      <c r="L4596" s="109"/>
      <c r="M4596" s="109"/>
      <c r="N4596" s="109"/>
      <c r="Q4596" s="121"/>
      <c r="W4596" s="109"/>
    </row>
    <row r="4597" spans="1:23" ht="12.75" hidden="1">
      <c r="A4597" s="109"/>
      <c r="B4597" s="109"/>
      <c r="C4597" s="109"/>
      <c r="D4597" s="109"/>
      <c r="E4597" s="109"/>
      <c r="F4597" s="109"/>
      <c r="G4597" s="109"/>
      <c r="H4597" s="109"/>
      <c r="I4597" s="109"/>
      <c r="J4597" s="109"/>
      <c r="L4597" s="109"/>
      <c r="M4597" s="109"/>
      <c r="N4597" s="109"/>
      <c r="Q4597" s="121"/>
      <c r="W4597" s="109"/>
    </row>
    <row r="4598" spans="1:23" ht="12.75" hidden="1">
      <c r="A4598" s="109"/>
      <c r="B4598" s="109"/>
      <c r="C4598" s="109"/>
      <c r="D4598" s="109"/>
      <c r="E4598" s="109"/>
      <c r="F4598" s="109"/>
      <c r="G4598" s="109"/>
      <c r="H4598" s="109"/>
      <c r="I4598" s="109"/>
      <c r="J4598" s="109"/>
      <c r="L4598" s="109"/>
      <c r="M4598" s="109"/>
      <c r="N4598" s="109"/>
      <c r="Q4598" s="121"/>
      <c r="W4598" s="109"/>
    </row>
    <row r="4599" spans="1:23" ht="12.75" hidden="1">
      <c r="A4599" s="109"/>
      <c r="B4599" s="109"/>
      <c r="C4599" s="109"/>
      <c r="D4599" s="109"/>
      <c r="E4599" s="109"/>
      <c r="F4599" s="109"/>
      <c r="G4599" s="109"/>
      <c r="H4599" s="109"/>
      <c r="I4599" s="109"/>
      <c r="J4599" s="109"/>
      <c r="L4599" s="109"/>
      <c r="M4599" s="109"/>
      <c r="N4599" s="109"/>
      <c r="Q4599" s="121"/>
      <c r="W4599" s="109"/>
    </row>
    <row r="4600" spans="1:23" ht="12.75" hidden="1">
      <c r="A4600" s="109"/>
      <c r="B4600" s="109"/>
      <c r="C4600" s="109"/>
      <c r="D4600" s="109"/>
      <c r="E4600" s="109"/>
      <c r="F4600" s="109"/>
      <c r="G4600" s="109"/>
      <c r="H4600" s="109"/>
      <c r="I4600" s="109"/>
      <c r="J4600" s="109"/>
      <c r="L4600" s="109"/>
      <c r="M4600" s="109"/>
      <c r="N4600" s="109"/>
      <c r="Q4600" s="121"/>
      <c r="W4600" s="109"/>
    </row>
    <row r="4601" spans="1:23" ht="12.75" hidden="1">
      <c r="A4601" s="109"/>
      <c r="B4601" s="109"/>
      <c r="C4601" s="109"/>
      <c r="D4601" s="109"/>
      <c r="E4601" s="109"/>
      <c r="F4601" s="109"/>
      <c r="G4601" s="109"/>
      <c r="H4601" s="109"/>
      <c r="I4601" s="109"/>
      <c r="J4601" s="109"/>
      <c r="L4601" s="109"/>
      <c r="M4601" s="109"/>
      <c r="N4601" s="109"/>
      <c r="Q4601" s="121"/>
      <c r="W4601" s="109"/>
    </row>
    <row r="4602" spans="1:23" ht="12.75" hidden="1">
      <c r="A4602" s="109"/>
      <c r="B4602" s="109"/>
      <c r="C4602" s="109"/>
      <c r="D4602" s="109"/>
      <c r="E4602" s="109"/>
      <c r="F4602" s="109"/>
      <c r="G4602" s="109"/>
      <c r="H4602" s="109"/>
      <c r="I4602" s="109"/>
      <c r="J4602" s="109"/>
      <c r="L4602" s="109"/>
      <c r="M4602" s="109"/>
      <c r="N4602" s="109"/>
      <c r="Q4602" s="121"/>
      <c r="W4602" s="109"/>
    </row>
    <row r="4603" spans="1:23" ht="12.75" hidden="1">
      <c r="A4603" s="109"/>
      <c r="B4603" s="109"/>
      <c r="C4603" s="109"/>
      <c r="D4603" s="109"/>
      <c r="E4603" s="109"/>
      <c r="F4603" s="109"/>
      <c r="G4603" s="109"/>
      <c r="H4603" s="109"/>
      <c r="I4603" s="109"/>
      <c r="J4603" s="109"/>
      <c r="L4603" s="109"/>
      <c r="M4603" s="109"/>
      <c r="N4603" s="109"/>
      <c r="Q4603" s="121"/>
      <c r="W4603" s="109"/>
    </row>
    <row r="4604" spans="1:23" ht="12.75" hidden="1">
      <c r="A4604" s="109"/>
      <c r="B4604" s="109"/>
      <c r="C4604" s="109"/>
      <c r="D4604" s="109"/>
      <c r="E4604" s="109"/>
      <c r="F4604" s="109"/>
      <c r="G4604" s="109"/>
      <c r="H4604" s="109"/>
      <c r="I4604" s="109"/>
      <c r="J4604" s="109"/>
      <c r="L4604" s="109"/>
      <c r="M4604" s="109"/>
      <c r="N4604" s="109"/>
      <c r="Q4604" s="121"/>
      <c r="W4604" s="109"/>
    </row>
    <row r="4605" spans="1:23" ht="12.75" hidden="1">
      <c r="A4605" s="109"/>
      <c r="B4605" s="109"/>
      <c r="C4605" s="109"/>
      <c r="D4605" s="109"/>
      <c r="E4605" s="109"/>
      <c r="F4605" s="109"/>
      <c r="G4605" s="109"/>
      <c r="H4605" s="109"/>
      <c r="I4605" s="109"/>
      <c r="J4605" s="109"/>
      <c r="L4605" s="109"/>
      <c r="M4605" s="109"/>
      <c r="N4605" s="109"/>
      <c r="Q4605" s="121"/>
      <c r="W4605" s="109"/>
    </row>
    <row r="4606" spans="1:23" ht="12.75" hidden="1">
      <c r="A4606" s="109"/>
      <c r="B4606" s="109"/>
      <c r="C4606" s="109"/>
      <c r="D4606" s="109"/>
      <c r="E4606" s="109"/>
      <c r="F4606" s="109"/>
      <c r="G4606" s="109"/>
      <c r="H4606" s="109"/>
      <c r="I4606" s="109"/>
      <c r="J4606" s="109"/>
      <c r="L4606" s="109"/>
      <c r="M4606" s="109"/>
      <c r="N4606" s="109"/>
      <c r="Q4606" s="121"/>
      <c r="W4606" s="109"/>
    </row>
    <row r="4607" spans="1:23" ht="12.75" hidden="1">
      <c r="A4607" s="109"/>
      <c r="B4607" s="109"/>
      <c r="C4607" s="109"/>
      <c r="D4607" s="109"/>
      <c r="E4607" s="109"/>
      <c r="F4607" s="109"/>
      <c r="G4607" s="109"/>
      <c r="H4607" s="109"/>
      <c r="I4607" s="109"/>
      <c r="J4607" s="109"/>
      <c r="L4607" s="109"/>
      <c r="M4607" s="109"/>
      <c r="N4607" s="109"/>
      <c r="Q4607" s="121"/>
      <c r="W4607" s="109"/>
    </row>
    <row r="4608" spans="1:23" ht="12.75" hidden="1">
      <c r="A4608" s="109"/>
      <c r="B4608" s="109"/>
      <c r="C4608" s="109"/>
      <c r="D4608" s="109"/>
      <c r="E4608" s="109"/>
      <c r="F4608" s="109"/>
      <c r="G4608" s="109"/>
      <c r="H4608" s="109"/>
      <c r="I4608" s="109"/>
      <c r="J4608" s="109"/>
      <c r="L4608" s="109"/>
      <c r="M4608" s="109"/>
      <c r="N4608" s="109"/>
      <c r="Q4608" s="121"/>
      <c r="W4608" s="109"/>
    </row>
    <row r="4609" spans="1:23" ht="12.75" hidden="1">
      <c r="A4609" s="109"/>
      <c r="B4609" s="109"/>
      <c r="C4609" s="109"/>
      <c r="D4609" s="109"/>
      <c r="E4609" s="109"/>
      <c r="F4609" s="109"/>
      <c r="G4609" s="109"/>
      <c r="H4609" s="109"/>
      <c r="I4609" s="109"/>
      <c r="J4609" s="109"/>
      <c r="L4609" s="109"/>
      <c r="M4609" s="109"/>
      <c r="N4609" s="109"/>
      <c r="Q4609" s="121"/>
      <c r="W4609" s="109"/>
    </row>
    <row r="4610" spans="1:23" ht="12.75" hidden="1">
      <c r="A4610" s="109"/>
      <c r="B4610" s="109"/>
      <c r="C4610" s="109"/>
      <c r="D4610" s="109"/>
      <c r="E4610" s="109"/>
      <c r="F4610" s="109"/>
      <c r="G4610" s="109"/>
      <c r="H4610" s="109"/>
      <c r="I4610" s="109"/>
      <c r="J4610" s="109"/>
      <c r="L4610" s="109"/>
      <c r="M4610" s="109"/>
      <c r="N4610" s="109"/>
      <c r="Q4610" s="121"/>
      <c r="W4610" s="109"/>
    </row>
    <row r="4611" spans="1:23" ht="12.75" hidden="1">
      <c r="A4611" s="109"/>
      <c r="B4611" s="109"/>
      <c r="C4611" s="109"/>
      <c r="D4611" s="109"/>
      <c r="E4611" s="109"/>
      <c r="F4611" s="109"/>
      <c r="G4611" s="109"/>
      <c r="H4611" s="109"/>
      <c r="I4611" s="109"/>
      <c r="J4611" s="109"/>
      <c r="L4611" s="109"/>
      <c r="M4611" s="109"/>
      <c r="N4611" s="109"/>
      <c r="Q4611" s="121"/>
      <c r="W4611" s="109"/>
    </row>
    <row r="4612" spans="1:23" ht="12.75" hidden="1">
      <c r="A4612" s="109"/>
      <c r="B4612" s="109"/>
      <c r="C4612" s="109"/>
      <c r="D4612" s="109"/>
      <c r="E4612" s="109"/>
      <c r="F4612" s="109"/>
      <c r="G4612" s="109"/>
      <c r="H4612" s="109"/>
      <c r="I4612" s="109"/>
      <c r="J4612" s="109"/>
      <c r="L4612" s="109"/>
      <c r="M4612" s="109"/>
      <c r="N4612" s="109"/>
      <c r="Q4612" s="121"/>
      <c r="W4612" s="109"/>
    </row>
    <row r="4613" spans="1:23" ht="12.75" hidden="1">
      <c r="A4613" s="109"/>
      <c r="B4613" s="109"/>
      <c r="C4613" s="109"/>
      <c r="D4613" s="109"/>
      <c r="E4613" s="109"/>
      <c r="F4613" s="109"/>
      <c r="G4613" s="109"/>
      <c r="H4613" s="109"/>
      <c r="I4613" s="109"/>
      <c r="J4613" s="109"/>
      <c r="L4613" s="109"/>
      <c r="M4613" s="109"/>
      <c r="N4613" s="109"/>
      <c r="Q4613" s="121"/>
      <c r="W4613" s="109"/>
    </row>
    <row r="4614" spans="1:23" ht="12.75" hidden="1">
      <c r="A4614" s="109"/>
      <c r="B4614" s="109"/>
      <c r="C4614" s="109"/>
      <c r="D4614" s="109"/>
      <c r="E4614" s="109"/>
      <c r="F4614" s="109"/>
      <c r="G4614" s="109"/>
      <c r="H4614" s="109"/>
      <c r="I4614" s="109"/>
      <c r="J4614" s="109"/>
      <c r="L4614" s="109"/>
      <c r="M4614" s="109"/>
      <c r="N4614" s="109"/>
      <c r="Q4614" s="121"/>
      <c r="W4614" s="109"/>
    </row>
    <row r="4615" spans="1:23" ht="12.75" hidden="1">
      <c r="A4615" s="109"/>
      <c r="B4615" s="109"/>
      <c r="C4615" s="109"/>
      <c r="D4615" s="109"/>
      <c r="E4615" s="109"/>
      <c r="F4615" s="109"/>
      <c r="G4615" s="109"/>
      <c r="H4615" s="109"/>
      <c r="I4615" s="109"/>
      <c r="J4615" s="109"/>
      <c r="L4615" s="109"/>
      <c r="M4615" s="109"/>
      <c r="N4615" s="109"/>
      <c r="Q4615" s="121"/>
      <c r="W4615" s="109"/>
    </row>
    <row r="4616" spans="1:23" ht="12.75" hidden="1">
      <c r="A4616" s="109"/>
      <c r="B4616" s="109"/>
      <c r="C4616" s="109"/>
      <c r="D4616" s="109"/>
      <c r="E4616" s="109"/>
      <c r="F4616" s="109"/>
      <c r="G4616" s="109"/>
      <c r="H4616" s="109"/>
      <c r="I4616" s="109"/>
      <c r="J4616" s="109"/>
      <c r="L4616" s="109"/>
      <c r="M4616" s="109"/>
      <c r="N4616" s="109"/>
      <c r="Q4616" s="121"/>
      <c r="W4616" s="109"/>
    </row>
    <row r="4617" spans="1:23" ht="12.75" hidden="1">
      <c r="A4617" s="109"/>
      <c r="B4617" s="109"/>
      <c r="C4617" s="109"/>
      <c r="D4617" s="109"/>
      <c r="E4617" s="109"/>
      <c r="F4617" s="109"/>
      <c r="G4617" s="109"/>
      <c r="H4617" s="109"/>
      <c r="I4617" s="109"/>
      <c r="J4617" s="109"/>
      <c r="L4617" s="109"/>
      <c r="M4617" s="109"/>
      <c r="N4617" s="109"/>
      <c r="Q4617" s="121"/>
      <c r="W4617" s="109"/>
    </row>
    <row r="4618" spans="1:23" ht="12.75" hidden="1">
      <c r="A4618" s="109"/>
      <c r="B4618" s="109"/>
      <c r="C4618" s="109"/>
      <c r="D4618" s="109"/>
      <c r="E4618" s="109"/>
      <c r="F4618" s="109"/>
      <c r="G4618" s="109"/>
      <c r="H4618" s="109"/>
      <c r="I4618" s="109"/>
      <c r="J4618" s="109"/>
      <c r="L4618" s="109"/>
      <c r="M4618" s="109"/>
      <c r="N4618" s="109"/>
      <c r="Q4618" s="121"/>
      <c r="W4618" s="109"/>
    </row>
    <row r="4619" spans="1:23" ht="12.75" hidden="1">
      <c r="A4619" s="109"/>
      <c r="B4619" s="109"/>
      <c r="C4619" s="109"/>
      <c r="D4619" s="109"/>
      <c r="E4619" s="109"/>
      <c r="F4619" s="109"/>
      <c r="G4619" s="109"/>
      <c r="H4619" s="109"/>
      <c r="I4619" s="109"/>
      <c r="J4619" s="109"/>
      <c r="L4619" s="109"/>
      <c r="M4619" s="109"/>
      <c r="N4619" s="109"/>
      <c r="Q4619" s="121"/>
      <c r="W4619" s="109"/>
    </row>
    <row r="4620" spans="1:23" ht="12.75" hidden="1">
      <c r="A4620" s="109"/>
      <c r="B4620" s="109"/>
      <c r="C4620" s="109"/>
      <c r="D4620" s="109"/>
      <c r="E4620" s="109"/>
      <c r="F4620" s="109"/>
      <c r="G4620" s="109"/>
      <c r="H4620" s="109"/>
      <c r="I4620" s="109"/>
      <c r="J4620" s="109"/>
      <c r="L4620" s="109"/>
      <c r="M4620" s="109"/>
      <c r="N4620" s="109"/>
      <c r="Q4620" s="121"/>
      <c r="W4620" s="109"/>
    </row>
    <row r="4621" spans="1:23" ht="12.75" hidden="1">
      <c r="A4621" s="109"/>
      <c r="B4621" s="109"/>
      <c r="C4621" s="109"/>
      <c r="D4621" s="109"/>
      <c r="E4621" s="109"/>
      <c r="F4621" s="109"/>
      <c r="G4621" s="109"/>
      <c r="H4621" s="109"/>
      <c r="I4621" s="109"/>
      <c r="J4621" s="109"/>
      <c r="L4621" s="109"/>
      <c r="M4621" s="109"/>
      <c r="N4621" s="109"/>
      <c r="Q4621" s="121"/>
      <c r="W4621" s="109"/>
    </row>
    <row r="4622" spans="1:23" ht="12.75" hidden="1">
      <c r="A4622" s="109"/>
      <c r="B4622" s="109"/>
      <c r="C4622" s="109"/>
      <c r="D4622" s="109"/>
      <c r="E4622" s="109"/>
      <c r="F4622" s="109"/>
      <c r="G4622" s="109"/>
      <c r="H4622" s="109"/>
      <c r="I4622" s="109"/>
      <c r="J4622" s="109"/>
      <c r="L4622" s="109"/>
      <c r="M4622" s="109"/>
      <c r="N4622" s="109"/>
      <c r="Q4622" s="121"/>
      <c r="W4622" s="109"/>
    </row>
    <row r="4623" spans="1:23" ht="12.75" hidden="1">
      <c r="A4623" s="109"/>
      <c r="B4623" s="109"/>
      <c r="C4623" s="109"/>
      <c r="D4623" s="109"/>
      <c r="E4623" s="109"/>
      <c r="F4623" s="109"/>
      <c r="G4623" s="109"/>
      <c r="H4623" s="109"/>
      <c r="I4623" s="109"/>
      <c r="J4623" s="109"/>
      <c r="L4623" s="109"/>
      <c r="M4623" s="109"/>
      <c r="N4623" s="109"/>
      <c r="Q4623" s="121"/>
      <c r="W4623" s="109"/>
    </row>
    <row r="4624" spans="1:23" ht="12.75" hidden="1">
      <c r="A4624" s="109"/>
      <c r="B4624" s="109"/>
      <c r="C4624" s="109"/>
      <c r="D4624" s="109"/>
      <c r="E4624" s="109"/>
      <c r="F4624" s="109"/>
      <c r="G4624" s="109"/>
      <c r="H4624" s="109"/>
      <c r="I4624" s="109"/>
      <c r="J4624" s="109"/>
      <c r="L4624" s="109"/>
      <c r="M4624" s="109"/>
      <c r="N4624" s="109"/>
      <c r="Q4624" s="121"/>
      <c r="W4624" s="109"/>
    </row>
    <row r="4625" spans="1:23" ht="12.75" hidden="1">
      <c r="A4625" s="109"/>
      <c r="B4625" s="109"/>
      <c r="C4625" s="109"/>
      <c r="D4625" s="109"/>
      <c r="E4625" s="109"/>
      <c r="F4625" s="109"/>
      <c r="G4625" s="109"/>
      <c r="H4625" s="109"/>
      <c r="I4625" s="109"/>
      <c r="J4625" s="109"/>
      <c r="L4625" s="109"/>
      <c r="M4625" s="109"/>
      <c r="N4625" s="109"/>
      <c r="Q4625" s="121"/>
      <c r="W4625" s="109"/>
    </row>
    <row r="4626" spans="1:23" ht="12.75" hidden="1">
      <c r="A4626" s="109"/>
      <c r="B4626" s="109"/>
      <c r="C4626" s="109"/>
      <c r="D4626" s="109"/>
      <c r="E4626" s="109"/>
      <c r="F4626" s="109"/>
      <c r="G4626" s="109"/>
      <c r="H4626" s="109"/>
      <c r="I4626" s="109"/>
      <c r="J4626" s="109"/>
      <c r="L4626" s="109"/>
      <c r="M4626" s="109"/>
      <c r="N4626" s="109"/>
      <c r="Q4626" s="121"/>
      <c r="W4626" s="109"/>
    </row>
    <row r="4627" spans="1:23" ht="12.75" hidden="1">
      <c r="A4627" s="109"/>
      <c r="B4627" s="109"/>
      <c r="C4627" s="109"/>
      <c r="D4627" s="109"/>
      <c r="E4627" s="109"/>
      <c r="F4627" s="109"/>
      <c r="G4627" s="109"/>
      <c r="H4627" s="109"/>
      <c r="I4627" s="109"/>
      <c r="J4627" s="109"/>
      <c r="L4627" s="109"/>
      <c r="M4627" s="109"/>
      <c r="N4627" s="109"/>
      <c r="Q4627" s="121"/>
      <c r="W4627" s="109"/>
    </row>
    <row r="4628" spans="1:23" ht="12.75" hidden="1">
      <c r="A4628" s="109"/>
      <c r="B4628" s="109"/>
      <c r="C4628" s="109"/>
      <c r="D4628" s="109"/>
      <c r="E4628" s="109"/>
      <c r="F4628" s="109"/>
      <c r="G4628" s="109"/>
      <c r="H4628" s="109"/>
      <c r="I4628" s="109"/>
      <c r="J4628" s="109"/>
      <c r="L4628" s="109"/>
      <c r="M4628" s="109"/>
      <c r="N4628" s="109"/>
      <c r="Q4628" s="121"/>
      <c r="W4628" s="109"/>
    </row>
    <row r="4629" spans="1:23" ht="12.75" hidden="1">
      <c r="A4629" s="109"/>
      <c r="B4629" s="109"/>
      <c r="C4629" s="109"/>
      <c r="D4629" s="109"/>
      <c r="E4629" s="109"/>
      <c r="F4629" s="109"/>
      <c r="G4629" s="109"/>
      <c r="H4629" s="109"/>
      <c r="I4629" s="109"/>
      <c r="J4629" s="109"/>
      <c r="L4629" s="109"/>
      <c r="M4629" s="109"/>
      <c r="N4629" s="109"/>
      <c r="Q4629" s="121"/>
      <c r="W4629" s="109"/>
    </row>
    <row r="4630" spans="1:23" ht="12.75" hidden="1">
      <c r="A4630" s="109"/>
      <c r="B4630" s="109"/>
      <c r="C4630" s="109"/>
      <c r="D4630" s="109"/>
      <c r="E4630" s="109"/>
      <c r="F4630" s="109"/>
      <c r="G4630" s="109"/>
      <c r="H4630" s="109"/>
      <c r="I4630" s="109"/>
      <c r="J4630" s="109"/>
      <c r="L4630" s="109"/>
      <c r="M4630" s="109"/>
      <c r="N4630" s="109"/>
      <c r="Q4630" s="121"/>
      <c r="W4630" s="109"/>
    </row>
    <row r="4631" spans="1:23" ht="12.75" hidden="1">
      <c r="A4631" s="109"/>
      <c r="B4631" s="109"/>
      <c r="C4631" s="109"/>
      <c r="D4631" s="109"/>
      <c r="E4631" s="109"/>
      <c r="F4631" s="109"/>
      <c r="G4631" s="109"/>
      <c r="H4631" s="109"/>
      <c r="I4631" s="109"/>
      <c r="J4631" s="109"/>
      <c r="L4631" s="109"/>
      <c r="M4631" s="109"/>
      <c r="N4631" s="109"/>
      <c r="Q4631" s="121"/>
      <c r="W4631" s="109"/>
    </row>
    <row r="4632" spans="1:23" ht="12.75" hidden="1">
      <c r="A4632" s="109"/>
      <c r="B4632" s="109"/>
      <c r="C4632" s="109"/>
      <c r="D4632" s="109"/>
      <c r="E4632" s="109"/>
      <c r="F4632" s="109"/>
      <c r="G4632" s="109"/>
      <c r="H4632" s="109"/>
      <c r="I4632" s="109"/>
      <c r="J4632" s="109"/>
      <c r="L4632" s="109"/>
      <c r="M4632" s="109"/>
      <c r="N4632" s="109"/>
      <c r="Q4632" s="121"/>
      <c r="W4632" s="109"/>
    </row>
    <row r="4633" spans="1:23" ht="12.75" hidden="1">
      <c r="A4633" s="109"/>
      <c r="B4633" s="109"/>
      <c r="C4633" s="109"/>
      <c r="D4633" s="109"/>
      <c r="E4633" s="109"/>
      <c r="F4633" s="109"/>
      <c r="G4633" s="109"/>
      <c r="H4633" s="109"/>
      <c r="I4633" s="109"/>
      <c r="J4633" s="109"/>
      <c r="L4633" s="109"/>
      <c r="M4633" s="109"/>
      <c r="N4633" s="109"/>
      <c r="Q4633" s="121"/>
      <c r="W4633" s="109"/>
    </row>
    <row r="4634" spans="1:23" ht="12.75" hidden="1">
      <c r="A4634" s="109"/>
      <c r="B4634" s="109"/>
      <c r="C4634" s="109"/>
      <c r="D4634" s="109"/>
      <c r="E4634" s="109"/>
      <c r="F4634" s="109"/>
      <c r="G4634" s="109"/>
      <c r="H4634" s="109"/>
      <c r="I4634" s="109"/>
      <c r="J4634" s="109"/>
      <c r="L4634" s="109"/>
      <c r="M4634" s="109"/>
      <c r="N4634" s="109"/>
      <c r="Q4634" s="121"/>
      <c r="W4634" s="109"/>
    </row>
    <row r="4635" spans="1:23" ht="12.75" hidden="1">
      <c r="A4635" s="109"/>
      <c r="B4635" s="109"/>
      <c r="C4635" s="109"/>
      <c r="D4635" s="109"/>
      <c r="E4635" s="109"/>
      <c r="F4635" s="109"/>
      <c r="G4635" s="109"/>
      <c r="H4635" s="109"/>
      <c r="I4635" s="109"/>
      <c r="J4635" s="109"/>
      <c r="L4635" s="109"/>
      <c r="M4635" s="109"/>
      <c r="N4635" s="109"/>
      <c r="Q4635" s="121"/>
      <c r="W4635" s="109"/>
    </row>
    <row r="4636" spans="1:23" ht="12.75" hidden="1">
      <c r="A4636" s="109"/>
      <c r="B4636" s="109"/>
      <c r="C4636" s="109"/>
      <c r="D4636" s="109"/>
      <c r="E4636" s="109"/>
      <c r="F4636" s="109"/>
      <c r="G4636" s="109"/>
      <c r="H4636" s="109"/>
      <c r="I4636" s="109"/>
      <c r="J4636" s="109"/>
      <c r="L4636" s="109"/>
      <c r="M4636" s="109"/>
      <c r="N4636" s="109"/>
      <c r="Q4636" s="121"/>
      <c r="W4636" s="109"/>
    </row>
    <row r="4637" spans="1:23" ht="12.75" hidden="1">
      <c r="A4637" s="109"/>
      <c r="B4637" s="109"/>
      <c r="C4637" s="109"/>
      <c r="D4637" s="109"/>
      <c r="E4637" s="109"/>
      <c r="F4637" s="109"/>
      <c r="G4637" s="109"/>
      <c r="H4637" s="109"/>
      <c r="I4637" s="109"/>
      <c r="J4637" s="109"/>
      <c r="L4637" s="109"/>
      <c r="M4637" s="109"/>
      <c r="N4637" s="109"/>
      <c r="Q4637" s="121"/>
      <c r="W4637" s="109"/>
    </row>
    <row r="4638" spans="1:23" ht="12.75" hidden="1">
      <c r="A4638" s="109"/>
      <c r="B4638" s="109"/>
      <c r="C4638" s="109"/>
      <c r="D4638" s="109"/>
      <c r="E4638" s="109"/>
      <c r="F4638" s="109"/>
      <c r="G4638" s="109"/>
      <c r="H4638" s="109"/>
      <c r="I4638" s="109"/>
      <c r="J4638" s="109"/>
      <c r="L4638" s="109"/>
      <c r="M4638" s="109"/>
      <c r="N4638" s="109"/>
      <c r="Q4638" s="121"/>
      <c r="W4638" s="109"/>
    </row>
    <row r="4639" spans="1:23" ht="12.75" hidden="1">
      <c r="A4639" s="109"/>
      <c r="B4639" s="109"/>
      <c r="C4639" s="109"/>
      <c r="D4639" s="109"/>
      <c r="E4639" s="109"/>
      <c r="F4639" s="109"/>
      <c r="G4639" s="109"/>
      <c r="H4639" s="109"/>
      <c r="I4639" s="109"/>
      <c r="J4639" s="109"/>
      <c r="L4639" s="109"/>
      <c r="M4639" s="109"/>
      <c r="N4639" s="109"/>
      <c r="Q4639" s="121"/>
      <c r="W4639" s="109"/>
    </row>
    <row r="4640" spans="1:23" ht="12.75" hidden="1">
      <c r="A4640" s="109"/>
      <c r="B4640" s="109"/>
      <c r="C4640" s="109"/>
      <c r="D4640" s="109"/>
      <c r="E4640" s="109"/>
      <c r="F4640" s="109"/>
      <c r="G4640" s="109"/>
      <c r="H4640" s="109"/>
      <c r="I4640" s="109"/>
      <c r="J4640" s="109"/>
      <c r="L4640" s="109"/>
      <c r="M4640" s="109"/>
      <c r="N4640" s="109"/>
      <c r="Q4640" s="121"/>
      <c r="W4640" s="109"/>
    </row>
    <row r="4641" spans="1:23" ht="12.75" hidden="1">
      <c r="A4641" s="109"/>
      <c r="B4641" s="109"/>
      <c r="C4641" s="109"/>
      <c r="D4641" s="109"/>
      <c r="E4641" s="109"/>
      <c r="F4641" s="109"/>
      <c r="G4641" s="109"/>
      <c r="H4641" s="109"/>
      <c r="I4641" s="109"/>
      <c r="J4641" s="109"/>
      <c r="L4641" s="109"/>
      <c r="M4641" s="109"/>
      <c r="N4641" s="109"/>
      <c r="Q4641" s="121"/>
      <c r="W4641" s="109"/>
    </row>
    <row r="4642" spans="1:23" ht="12.75" hidden="1">
      <c r="A4642" s="109"/>
      <c r="B4642" s="109"/>
      <c r="C4642" s="109"/>
      <c r="D4642" s="109"/>
      <c r="E4642" s="109"/>
      <c r="F4642" s="109"/>
      <c r="G4642" s="109"/>
      <c r="H4642" s="109"/>
      <c r="I4642" s="109"/>
      <c r="J4642" s="109"/>
      <c r="L4642" s="109"/>
      <c r="M4642" s="109"/>
      <c r="N4642" s="109"/>
      <c r="Q4642" s="121"/>
      <c r="W4642" s="109"/>
    </row>
    <row r="4643" spans="1:23" ht="12.75" hidden="1">
      <c r="A4643" s="109"/>
      <c r="B4643" s="109"/>
      <c r="C4643" s="109"/>
      <c r="D4643" s="109"/>
      <c r="E4643" s="109"/>
      <c r="F4643" s="109"/>
      <c r="G4643" s="109"/>
      <c r="H4643" s="109"/>
      <c r="I4643" s="109"/>
      <c r="J4643" s="109"/>
      <c r="L4643" s="109"/>
      <c r="M4643" s="109"/>
      <c r="N4643" s="109"/>
      <c r="Q4643" s="121"/>
      <c r="W4643" s="109"/>
    </row>
    <row r="4644" spans="1:23" ht="12.75" hidden="1">
      <c r="A4644" s="109"/>
      <c r="B4644" s="109"/>
      <c r="C4644" s="109"/>
      <c r="D4644" s="109"/>
      <c r="E4644" s="109"/>
      <c r="F4644" s="109"/>
      <c r="G4644" s="109"/>
      <c r="H4644" s="109"/>
      <c r="I4644" s="109"/>
      <c r="J4644" s="109"/>
      <c r="L4644" s="109"/>
      <c r="M4644" s="109"/>
      <c r="N4644" s="109"/>
      <c r="Q4644" s="121"/>
      <c r="W4644" s="109"/>
    </row>
    <row r="4645" spans="1:23" ht="12.75" hidden="1">
      <c r="A4645" s="109"/>
      <c r="B4645" s="109"/>
      <c r="C4645" s="109"/>
      <c r="D4645" s="109"/>
      <c r="E4645" s="109"/>
      <c r="F4645" s="109"/>
      <c r="G4645" s="109"/>
      <c r="H4645" s="109"/>
      <c r="I4645" s="109"/>
      <c r="J4645" s="109"/>
      <c r="L4645" s="109"/>
      <c r="M4645" s="109"/>
      <c r="N4645" s="109"/>
      <c r="Q4645" s="121"/>
      <c r="W4645" s="109"/>
    </row>
    <row r="4646" spans="1:23" ht="12.75" hidden="1">
      <c r="A4646" s="109"/>
      <c r="B4646" s="109"/>
      <c r="C4646" s="109"/>
      <c r="D4646" s="109"/>
      <c r="E4646" s="109"/>
      <c r="F4646" s="109"/>
      <c r="G4646" s="109"/>
      <c r="H4646" s="109"/>
      <c r="I4646" s="109"/>
      <c r="J4646" s="109"/>
      <c r="L4646" s="109"/>
      <c r="M4646" s="109"/>
      <c r="N4646" s="109"/>
      <c r="Q4646" s="121"/>
      <c r="W4646" s="109"/>
    </row>
    <row r="4647" spans="1:23" ht="12.75" hidden="1">
      <c r="A4647" s="109"/>
      <c r="B4647" s="109"/>
      <c r="C4647" s="109"/>
      <c r="D4647" s="109"/>
      <c r="E4647" s="109"/>
      <c r="F4647" s="109"/>
      <c r="G4647" s="109"/>
      <c r="H4647" s="109"/>
      <c r="I4647" s="109"/>
      <c r="J4647" s="109"/>
      <c r="L4647" s="109"/>
      <c r="M4647" s="109"/>
      <c r="N4647" s="109"/>
      <c r="Q4647" s="121"/>
      <c r="W4647" s="109"/>
    </row>
    <row r="4648" spans="1:23" ht="12.75" hidden="1">
      <c r="A4648" s="109"/>
      <c r="B4648" s="109"/>
      <c r="C4648" s="109"/>
      <c r="D4648" s="109"/>
      <c r="E4648" s="109"/>
      <c r="F4648" s="109"/>
      <c r="G4648" s="109"/>
      <c r="H4648" s="109"/>
      <c r="I4648" s="109"/>
      <c r="J4648" s="109"/>
      <c r="L4648" s="109"/>
      <c r="M4648" s="109"/>
      <c r="N4648" s="109"/>
      <c r="Q4648" s="121"/>
      <c r="W4648" s="109"/>
    </row>
    <row r="4649" spans="1:23" ht="12.75" hidden="1">
      <c r="A4649" s="109"/>
      <c r="B4649" s="109"/>
      <c r="C4649" s="109"/>
      <c r="D4649" s="109"/>
      <c r="E4649" s="109"/>
      <c r="F4649" s="109"/>
      <c r="G4649" s="109"/>
      <c r="H4649" s="109"/>
      <c r="I4649" s="109"/>
      <c r="J4649" s="109"/>
      <c r="L4649" s="109"/>
      <c r="M4649" s="109"/>
      <c r="N4649" s="109"/>
      <c r="Q4649" s="121"/>
      <c r="W4649" s="109"/>
    </row>
    <row r="4650" spans="1:23" ht="12.75" hidden="1">
      <c r="A4650" s="109"/>
      <c r="B4650" s="109"/>
      <c r="C4650" s="109"/>
      <c r="D4650" s="109"/>
      <c r="E4650" s="109"/>
      <c r="F4650" s="109"/>
      <c r="G4650" s="109"/>
      <c r="H4650" s="109"/>
      <c r="I4650" s="109"/>
      <c r="J4650" s="109"/>
      <c r="L4650" s="109"/>
      <c r="M4650" s="109"/>
      <c r="N4650" s="109"/>
      <c r="Q4650" s="121"/>
      <c r="W4650" s="109"/>
    </row>
    <row r="4651" spans="1:23" ht="12.75" hidden="1">
      <c r="A4651" s="109"/>
      <c r="B4651" s="109"/>
      <c r="C4651" s="109"/>
      <c r="D4651" s="109"/>
      <c r="E4651" s="109"/>
      <c r="F4651" s="109"/>
      <c r="G4651" s="109"/>
      <c r="H4651" s="109"/>
      <c r="I4651" s="109"/>
      <c r="J4651" s="109"/>
      <c r="L4651" s="109"/>
      <c r="M4651" s="109"/>
      <c r="N4651" s="109"/>
      <c r="Q4651" s="121"/>
      <c r="W4651" s="109"/>
    </row>
    <row r="4652" spans="1:23" ht="12.75" hidden="1">
      <c r="A4652" s="109"/>
      <c r="B4652" s="109"/>
      <c r="C4652" s="109"/>
      <c r="D4652" s="109"/>
      <c r="E4652" s="109"/>
      <c r="F4652" s="109"/>
      <c r="G4652" s="109"/>
      <c r="H4652" s="109"/>
      <c r="I4652" s="109"/>
      <c r="J4652" s="109"/>
      <c r="L4652" s="109"/>
      <c r="M4652" s="109"/>
      <c r="N4652" s="109"/>
      <c r="Q4652" s="121"/>
      <c r="W4652" s="109"/>
    </row>
    <row r="4653" spans="1:23" ht="12.75" hidden="1">
      <c r="A4653" s="109"/>
      <c r="B4653" s="109"/>
      <c r="C4653" s="109"/>
      <c r="D4653" s="109"/>
      <c r="E4653" s="109"/>
      <c r="F4653" s="109"/>
      <c r="G4653" s="109"/>
      <c r="H4653" s="109"/>
      <c r="I4653" s="109"/>
      <c r="J4653" s="109"/>
      <c r="L4653" s="109"/>
      <c r="M4653" s="109"/>
      <c r="N4653" s="109"/>
      <c r="Q4653" s="121"/>
      <c r="W4653" s="109"/>
    </row>
    <row r="4654" spans="1:23" ht="12.75" hidden="1">
      <c r="A4654" s="109"/>
      <c r="B4654" s="109"/>
      <c r="C4654" s="109"/>
      <c r="D4654" s="109"/>
      <c r="E4654" s="109"/>
      <c r="F4654" s="109"/>
      <c r="G4654" s="109"/>
      <c r="H4654" s="109"/>
      <c r="I4654" s="109"/>
      <c r="J4654" s="109"/>
      <c r="L4654" s="109"/>
      <c r="M4654" s="109"/>
      <c r="N4654" s="109"/>
      <c r="Q4654" s="121"/>
      <c r="W4654" s="109"/>
    </row>
    <row r="4655" spans="1:23" ht="12.75" hidden="1">
      <c r="A4655" s="109"/>
      <c r="B4655" s="109"/>
      <c r="C4655" s="109"/>
      <c r="D4655" s="109"/>
      <c r="E4655" s="109"/>
      <c r="F4655" s="109"/>
      <c r="G4655" s="109"/>
      <c r="H4655" s="109"/>
      <c r="I4655" s="109"/>
      <c r="J4655" s="109"/>
      <c r="L4655" s="109"/>
      <c r="M4655" s="109"/>
      <c r="N4655" s="109"/>
      <c r="Q4655" s="121"/>
      <c r="W4655" s="109"/>
    </row>
    <row r="4656" spans="1:23" ht="12.75" hidden="1">
      <c r="A4656" s="109"/>
      <c r="B4656" s="109"/>
      <c r="C4656" s="109"/>
      <c r="D4656" s="109"/>
      <c r="E4656" s="109"/>
      <c r="F4656" s="109"/>
      <c r="G4656" s="109"/>
      <c r="H4656" s="109"/>
      <c r="I4656" s="109"/>
      <c r="J4656" s="109"/>
      <c r="L4656" s="109"/>
      <c r="M4656" s="109"/>
      <c r="N4656" s="109"/>
      <c r="Q4656" s="121"/>
      <c r="W4656" s="109"/>
    </row>
    <row r="4657" spans="1:23" ht="12.75" hidden="1">
      <c r="A4657" s="109"/>
      <c r="B4657" s="109"/>
      <c r="C4657" s="109"/>
      <c r="D4657" s="109"/>
      <c r="E4657" s="109"/>
      <c r="F4657" s="109"/>
      <c r="G4657" s="109"/>
      <c r="H4657" s="109"/>
      <c r="I4657" s="109"/>
      <c r="J4657" s="109"/>
      <c r="L4657" s="109"/>
      <c r="M4657" s="109"/>
      <c r="N4657" s="109"/>
      <c r="Q4657" s="121"/>
      <c r="W4657" s="109"/>
    </row>
    <row r="4658" spans="1:23" ht="12.75" hidden="1">
      <c r="A4658" s="109"/>
      <c r="B4658" s="109"/>
      <c r="C4658" s="109"/>
      <c r="D4658" s="109"/>
      <c r="E4658" s="109"/>
      <c r="F4658" s="109"/>
      <c r="G4658" s="109"/>
      <c r="H4658" s="109"/>
      <c r="I4658" s="109"/>
      <c r="J4658" s="109"/>
      <c r="L4658" s="109"/>
      <c r="M4658" s="109"/>
      <c r="N4658" s="109"/>
      <c r="Q4658" s="121"/>
      <c r="W4658" s="109"/>
    </row>
    <row r="4659" spans="1:23" ht="12.75" hidden="1">
      <c r="A4659" s="109"/>
      <c r="B4659" s="109"/>
      <c r="C4659" s="109"/>
      <c r="D4659" s="109"/>
      <c r="E4659" s="109"/>
      <c r="F4659" s="109"/>
      <c r="G4659" s="109"/>
      <c r="H4659" s="109"/>
      <c r="I4659" s="109"/>
      <c r="J4659" s="109"/>
      <c r="L4659" s="109"/>
      <c r="M4659" s="109"/>
      <c r="N4659" s="109"/>
      <c r="Q4659" s="121"/>
      <c r="W4659" s="109"/>
    </row>
    <row r="4660" spans="1:23" ht="12.75" hidden="1">
      <c r="A4660" s="109"/>
      <c r="B4660" s="109"/>
      <c r="C4660" s="109"/>
      <c r="D4660" s="109"/>
      <c r="E4660" s="109"/>
      <c r="F4660" s="109"/>
      <c r="G4660" s="109"/>
      <c r="H4660" s="109"/>
      <c r="I4660" s="109"/>
      <c r="J4660" s="109"/>
      <c r="L4660" s="109"/>
      <c r="M4660" s="109"/>
      <c r="N4660" s="109"/>
      <c r="Q4660" s="121"/>
      <c r="W4660" s="109"/>
    </row>
    <row r="4661" spans="1:23" ht="12.75" hidden="1">
      <c r="A4661" s="109"/>
      <c r="B4661" s="109"/>
      <c r="C4661" s="109"/>
      <c r="D4661" s="109"/>
      <c r="E4661" s="109"/>
      <c r="F4661" s="109"/>
      <c r="G4661" s="109"/>
      <c r="H4661" s="109"/>
      <c r="I4661" s="109"/>
      <c r="J4661" s="109"/>
      <c r="L4661" s="109"/>
      <c r="M4661" s="109"/>
      <c r="N4661" s="109"/>
      <c r="Q4661" s="121"/>
      <c r="W4661" s="109"/>
    </row>
    <row r="4662" spans="1:23" ht="12.75" hidden="1">
      <c r="A4662" s="109"/>
      <c r="B4662" s="109"/>
      <c r="C4662" s="109"/>
      <c r="D4662" s="109"/>
      <c r="E4662" s="109"/>
      <c r="F4662" s="109"/>
      <c r="G4662" s="109"/>
      <c r="H4662" s="109"/>
      <c r="I4662" s="109"/>
      <c r="J4662" s="109"/>
      <c r="L4662" s="109"/>
      <c r="M4662" s="109"/>
      <c r="N4662" s="109"/>
      <c r="Q4662" s="121"/>
      <c r="W4662" s="109"/>
    </row>
    <row r="4663" spans="1:23" ht="12.75" hidden="1">
      <c r="A4663" s="109"/>
      <c r="B4663" s="109"/>
      <c r="C4663" s="109"/>
      <c r="D4663" s="109"/>
      <c r="E4663" s="109"/>
      <c r="F4663" s="109"/>
      <c r="G4663" s="109"/>
      <c r="H4663" s="109"/>
      <c r="I4663" s="109"/>
      <c r="J4663" s="109"/>
      <c r="L4663" s="109"/>
      <c r="M4663" s="109"/>
      <c r="N4663" s="109"/>
      <c r="Q4663" s="121"/>
      <c r="W4663" s="109"/>
    </row>
    <row r="4664" spans="1:23" ht="12.75" hidden="1">
      <c r="A4664" s="109"/>
      <c r="B4664" s="109"/>
      <c r="C4664" s="109"/>
      <c r="D4664" s="109"/>
      <c r="E4664" s="109"/>
      <c r="F4664" s="109"/>
      <c r="G4664" s="109"/>
      <c r="H4664" s="109"/>
      <c r="I4664" s="109"/>
      <c r="J4664" s="109"/>
      <c r="L4664" s="109"/>
      <c r="M4664" s="109"/>
      <c r="N4664" s="109"/>
      <c r="Q4664" s="121"/>
      <c r="W4664" s="109"/>
    </row>
    <row r="4665" spans="1:23" ht="12.75" hidden="1">
      <c r="A4665" s="109"/>
      <c r="B4665" s="109"/>
      <c r="C4665" s="109"/>
      <c r="D4665" s="109"/>
      <c r="E4665" s="109"/>
      <c r="F4665" s="109"/>
      <c r="G4665" s="109"/>
      <c r="H4665" s="109"/>
      <c r="I4665" s="109"/>
      <c r="J4665" s="109"/>
      <c r="L4665" s="109"/>
      <c r="M4665" s="109"/>
      <c r="N4665" s="109"/>
      <c r="Q4665" s="121"/>
      <c r="W4665" s="109"/>
    </row>
    <row r="4666" spans="1:23" ht="12.75" hidden="1">
      <c r="A4666" s="109"/>
      <c r="B4666" s="109"/>
      <c r="C4666" s="109"/>
      <c r="D4666" s="109"/>
      <c r="E4666" s="109"/>
      <c r="F4666" s="109"/>
      <c r="G4666" s="109"/>
      <c r="H4666" s="109"/>
      <c r="I4666" s="109"/>
      <c r="J4666" s="109"/>
      <c r="L4666" s="109"/>
      <c r="M4666" s="109"/>
      <c r="N4666" s="109"/>
      <c r="Q4666" s="121"/>
      <c r="W4666" s="109"/>
    </row>
    <row r="4667" spans="1:23" ht="12.75" hidden="1">
      <c r="A4667" s="109"/>
      <c r="B4667" s="109"/>
      <c r="C4667" s="109"/>
      <c r="D4667" s="109"/>
      <c r="E4667" s="109"/>
      <c r="F4667" s="109"/>
      <c r="G4667" s="109"/>
      <c r="H4667" s="109"/>
      <c r="I4667" s="109"/>
      <c r="J4667" s="109"/>
      <c r="L4667" s="109"/>
      <c r="M4667" s="109"/>
      <c r="N4667" s="109"/>
      <c r="Q4667" s="121"/>
      <c r="W4667" s="109"/>
    </row>
    <row r="4668" spans="1:23" ht="12.75" hidden="1">
      <c r="A4668" s="109"/>
      <c r="B4668" s="109"/>
      <c r="C4668" s="109"/>
      <c r="D4668" s="109"/>
      <c r="E4668" s="109"/>
      <c r="F4668" s="109"/>
      <c r="G4668" s="109"/>
      <c r="H4668" s="109"/>
      <c r="I4668" s="109"/>
      <c r="J4668" s="109"/>
      <c r="L4668" s="109"/>
      <c r="M4668" s="109"/>
      <c r="N4668" s="109"/>
      <c r="Q4668" s="121"/>
      <c r="W4668" s="109"/>
    </row>
    <row r="4669" spans="1:23" ht="12.75" hidden="1">
      <c r="A4669" s="109"/>
      <c r="B4669" s="109"/>
      <c r="C4669" s="109"/>
      <c r="D4669" s="109"/>
      <c r="E4669" s="109"/>
      <c r="F4669" s="109"/>
      <c r="G4669" s="109"/>
      <c r="H4669" s="109"/>
      <c r="I4669" s="109"/>
      <c r="J4669" s="109"/>
      <c r="L4669" s="109"/>
      <c r="M4669" s="109"/>
      <c r="N4669" s="109"/>
      <c r="Q4669" s="121"/>
      <c r="W4669" s="109"/>
    </row>
    <row r="4670" spans="1:23" ht="12.75" hidden="1">
      <c r="A4670" s="109"/>
      <c r="B4670" s="109"/>
      <c r="C4670" s="109"/>
      <c r="D4670" s="109"/>
      <c r="E4670" s="109"/>
      <c r="F4670" s="109"/>
      <c r="G4670" s="109"/>
      <c r="H4670" s="109"/>
      <c r="I4670" s="109"/>
      <c r="J4670" s="109"/>
      <c r="L4670" s="109"/>
      <c r="M4670" s="109"/>
      <c r="N4670" s="109"/>
      <c r="Q4670" s="121"/>
      <c r="W4670" s="109"/>
    </row>
    <row r="4671" spans="1:23" ht="12.75" hidden="1">
      <c r="A4671" s="109"/>
      <c r="B4671" s="109"/>
      <c r="C4671" s="109"/>
      <c r="D4671" s="109"/>
      <c r="E4671" s="109"/>
      <c r="F4671" s="109"/>
      <c r="G4671" s="109"/>
      <c r="H4671" s="109"/>
      <c r="I4671" s="109"/>
      <c r="J4671" s="109"/>
      <c r="L4671" s="109"/>
      <c r="M4671" s="109"/>
      <c r="N4671" s="109"/>
      <c r="Q4671" s="121"/>
      <c r="W4671" s="109"/>
    </row>
    <row r="4672" spans="1:23" ht="12.75" hidden="1">
      <c r="A4672" s="109"/>
      <c r="B4672" s="109"/>
      <c r="C4672" s="109"/>
      <c r="D4672" s="109"/>
      <c r="E4672" s="109"/>
      <c r="F4672" s="109"/>
      <c r="G4672" s="109"/>
      <c r="H4672" s="109"/>
      <c r="I4672" s="109"/>
      <c r="J4672" s="109"/>
      <c r="L4672" s="109"/>
      <c r="M4672" s="109"/>
      <c r="N4672" s="109"/>
      <c r="Q4672" s="121"/>
      <c r="W4672" s="109"/>
    </row>
    <row r="4673" spans="1:23" ht="12.75" hidden="1">
      <c r="A4673" s="109"/>
      <c r="B4673" s="109"/>
      <c r="C4673" s="109"/>
      <c r="D4673" s="109"/>
      <c r="E4673" s="109"/>
      <c r="F4673" s="109"/>
      <c r="G4673" s="109"/>
      <c r="H4673" s="109"/>
      <c r="I4673" s="109"/>
      <c r="J4673" s="109"/>
      <c r="L4673" s="109"/>
      <c r="M4673" s="109"/>
      <c r="N4673" s="109"/>
      <c r="Q4673" s="121"/>
      <c r="W4673" s="109"/>
    </row>
    <row r="4674" spans="1:23" ht="12.75" hidden="1">
      <c r="A4674" s="109"/>
      <c r="B4674" s="109"/>
      <c r="C4674" s="109"/>
      <c r="D4674" s="109"/>
      <c r="E4674" s="109"/>
      <c r="F4674" s="109"/>
      <c r="G4674" s="109"/>
      <c r="H4674" s="109"/>
      <c r="I4674" s="109"/>
      <c r="J4674" s="109"/>
      <c r="L4674" s="109"/>
      <c r="M4674" s="109"/>
      <c r="N4674" s="109"/>
      <c r="Q4674" s="121"/>
      <c r="W4674" s="109"/>
    </row>
    <row r="4675" spans="1:23" ht="12.75" hidden="1">
      <c r="A4675" s="109"/>
      <c r="B4675" s="109"/>
      <c r="C4675" s="109"/>
      <c r="D4675" s="109"/>
      <c r="E4675" s="109"/>
      <c r="F4675" s="109"/>
      <c r="G4675" s="109"/>
      <c r="H4675" s="109"/>
      <c r="I4675" s="109"/>
      <c r="J4675" s="109"/>
      <c r="L4675" s="109"/>
      <c r="M4675" s="109"/>
      <c r="N4675" s="109"/>
      <c r="Q4675" s="121"/>
      <c r="W4675" s="109"/>
    </row>
    <row r="4676" spans="1:23" ht="12.75" hidden="1">
      <c r="A4676" s="109"/>
      <c r="B4676" s="109"/>
      <c r="C4676" s="109"/>
      <c r="D4676" s="109"/>
      <c r="E4676" s="109"/>
      <c r="F4676" s="109"/>
      <c r="G4676" s="109"/>
      <c r="H4676" s="109"/>
      <c r="I4676" s="109"/>
      <c r="J4676" s="109"/>
      <c r="L4676" s="109"/>
      <c r="M4676" s="109"/>
      <c r="N4676" s="109"/>
      <c r="Q4676" s="121"/>
      <c r="W4676" s="109"/>
    </row>
    <row r="4677" spans="1:23" ht="12.75" hidden="1">
      <c r="A4677" s="109"/>
      <c r="B4677" s="109"/>
      <c r="C4677" s="109"/>
      <c r="D4677" s="109"/>
      <c r="E4677" s="109"/>
      <c r="F4677" s="109"/>
      <c r="G4677" s="109"/>
      <c r="H4677" s="109"/>
      <c r="I4677" s="109"/>
      <c r="J4677" s="109"/>
      <c r="L4677" s="109"/>
      <c r="M4677" s="109"/>
      <c r="N4677" s="109"/>
      <c r="Q4677" s="121"/>
      <c r="W4677" s="109"/>
    </row>
    <row r="4678" spans="1:23" ht="12.75" hidden="1">
      <c r="A4678" s="109"/>
      <c r="B4678" s="109"/>
      <c r="C4678" s="109"/>
      <c r="D4678" s="109"/>
      <c r="E4678" s="109"/>
      <c r="F4678" s="109"/>
      <c r="G4678" s="109"/>
      <c r="H4678" s="109"/>
      <c r="I4678" s="109"/>
      <c r="J4678" s="109"/>
      <c r="L4678" s="109"/>
      <c r="M4678" s="109"/>
      <c r="N4678" s="109"/>
      <c r="Q4678" s="121"/>
      <c r="W4678" s="109"/>
    </row>
    <row r="4679" spans="1:23" ht="12.75" hidden="1">
      <c r="A4679" s="109"/>
      <c r="B4679" s="109"/>
      <c r="C4679" s="109"/>
      <c r="D4679" s="109"/>
      <c r="E4679" s="109"/>
      <c r="F4679" s="109"/>
      <c r="G4679" s="109"/>
      <c r="H4679" s="109"/>
      <c r="I4679" s="109"/>
      <c r="J4679" s="109"/>
      <c r="L4679" s="109"/>
      <c r="M4679" s="109"/>
      <c r="N4679" s="109"/>
      <c r="Q4679" s="121"/>
      <c r="W4679" s="109"/>
    </row>
    <row r="4680" spans="1:23" ht="12.75" hidden="1">
      <c r="A4680" s="109"/>
      <c r="B4680" s="109"/>
      <c r="C4680" s="109"/>
      <c r="D4680" s="109"/>
      <c r="E4680" s="109"/>
      <c r="F4680" s="109"/>
      <c r="G4680" s="109"/>
      <c r="H4680" s="109"/>
      <c r="I4680" s="109"/>
      <c r="J4680" s="109"/>
      <c r="L4680" s="109"/>
      <c r="M4680" s="109"/>
      <c r="N4680" s="109"/>
      <c r="Q4680" s="121"/>
      <c r="W4680" s="109"/>
    </row>
    <row r="4681" spans="1:23" ht="12.75" hidden="1">
      <c r="A4681" s="109"/>
      <c r="B4681" s="109"/>
      <c r="C4681" s="109"/>
      <c r="D4681" s="109"/>
      <c r="E4681" s="109"/>
      <c r="F4681" s="109"/>
      <c r="G4681" s="109"/>
      <c r="H4681" s="109"/>
      <c r="I4681" s="109"/>
      <c r="J4681" s="109"/>
      <c r="L4681" s="109"/>
      <c r="M4681" s="109"/>
      <c r="N4681" s="109"/>
      <c r="Q4681" s="121"/>
      <c r="W4681" s="109"/>
    </row>
    <row r="4682" spans="1:23" ht="12.75" hidden="1">
      <c r="A4682" s="109"/>
      <c r="B4682" s="109"/>
      <c r="C4682" s="109"/>
      <c r="D4682" s="109"/>
      <c r="E4682" s="109"/>
      <c r="F4682" s="109"/>
      <c r="G4682" s="109"/>
      <c r="H4682" s="109"/>
      <c r="I4682" s="109"/>
      <c r="J4682" s="109"/>
      <c r="L4682" s="109"/>
      <c r="M4682" s="109"/>
      <c r="N4682" s="109"/>
      <c r="Q4682" s="121"/>
      <c r="W4682" s="109"/>
    </row>
    <row r="4683" spans="1:23" ht="12.75" hidden="1">
      <c r="A4683" s="109"/>
      <c r="B4683" s="109"/>
      <c r="C4683" s="109"/>
      <c r="D4683" s="109"/>
      <c r="E4683" s="109"/>
      <c r="F4683" s="109"/>
      <c r="G4683" s="109"/>
      <c r="H4683" s="109"/>
      <c r="I4683" s="109"/>
      <c r="J4683" s="109"/>
      <c r="L4683" s="109"/>
      <c r="M4683" s="109"/>
      <c r="N4683" s="109"/>
      <c r="Q4683" s="121"/>
      <c r="W4683" s="109"/>
    </row>
    <row r="4684" spans="1:23" ht="12.75" hidden="1">
      <c r="A4684" s="109"/>
      <c r="B4684" s="109"/>
      <c r="C4684" s="109"/>
      <c r="D4684" s="109"/>
      <c r="E4684" s="109"/>
      <c r="F4684" s="109"/>
      <c r="G4684" s="109"/>
      <c r="H4684" s="109"/>
      <c r="I4684" s="109"/>
      <c r="J4684" s="109"/>
      <c r="L4684" s="109"/>
      <c r="M4684" s="109"/>
      <c r="N4684" s="109"/>
      <c r="Q4684" s="121"/>
      <c r="W4684" s="109"/>
    </row>
    <row r="4685" spans="1:23" ht="12.75" hidden="1">
      <c r="A4685" s="109"/>
      <c r="B4685" s="109"/>
      <c r="C4685" s="109"/>
      <c r="D4685" s="109"/>
      <c r="E4685" s="109"/>
      <c r="F4685" s="109"/>
      <c r="G4685" s="109"/>
      <c r="H4685" s="109"/>
      <c r="I4685" s="109"/>
      <c r="J4685" s="109"/>
      <c r="L4685" s="109"/>
      <c r="M4685" s="109"/>
      <c r="N4685" s="109"/>
      <c r="Q4685" s="121"/>
      <c r="W4685" s="109"/>
    </row>
    <row r="4686" spans="1:23" ht="12.75" hidden="1">
      <c r="A4686" s="109"/>
      <c r="B4686" s="109"/>
      <c r="C4686" s="109"/>
      <c r="D4686" s="109"/>
      <c r="E4686" s="109"/>
      <c r="F4686" s="109"/>
      <c r="G4686" s="109"/>
      <c r="H4686" s="109"/>
      <c r="I4686" s="109"/>
      <c r="J4686" s="109"/>
      <c r="L4686" s="109"/>
      <c r="M4686" s="109"/>
      <c r="N4686" s="109"/>
      <c r="Q4686" s="121"/>
      <c r="W4686" s="109"/>
    </row>
    <row r="4687" spans="1:23" ht="12.75" hidden="1">
      <c r="A4687" s="109"/>
      <c r="B4687" s="109"/>
      <c r="C4687" s="109"/>
      <c r="D4687" s="109"/>
      <c r="E4687" s="109"/>
      <c r="F4687" s="109"/>
      <c r="G4687" s="109"/>
      <c r="H4687" s="109"/>
      <c r="I4687" s="109"/>
      <c r="J4687" s="109"/>
      <c r="L4687" s="109"/>
      <c r="M4687" s="109"/>
      <c r="N4687" s="109"/>
      <c r="Q4687" s="121"/>
      <c r="W4687" s="109"/>
    </row>
    <row r="4688" spans="1:23" ht="12.75" hidden="1">
      <c r="A4688" s="109"/>
      <c r="B4688" s="109"/>
      <c r="C4688" s="109"/>
      <c r="D4688" s="109"/>
      <c r="E4688" s="109"/>
      <c r="F4688" s="109"/>
      <c r="G4688" s="109"/>
      <c r="H4688" s="109"/>
      <c r="I4688" s="109"/>
      <c r="J4688" s="109"/>
      <c r="L4688" s="109"/>
      <c r="M4688" s="109"/>
      <c r="N4688" s="109"/>
      <c r="Q4688" s="121"/>
      <c r="W4688" s="109"/>
    </row>
    <row r="4689" spans="1:23" ht="12.75" hidden="1">
      <c r="A4689" s="109"/>
      <c r="B4689" s="109"/>
      <c r="C4689" s="109"/>
      <c r="D4689" s="109"/>
      <c r="E4689" s="109"/>
      <c r="F4689" s="109"/>
      <c r="G4689" s="109"/>
      <c r="H4689" s="109"/>
      <c r="I4689" s="109"/>
      <c r="J4689" s="109"/>
      <c r="L4689" s="109"/>
      <c r="M4689" s="109"/>
      <c r="N4689" s="109"/>
      <c r="Q4689" s="121"/>
      <c r="W4689" s="109"/>
    </row>
    <row r="4690" spans="1:23" ht="12.75" hidden="1">
      <c r="A4690" s="109"/>
      <c r="B4690" s="109"/>
      <c r="C4690" s="109"/>
      <c r="D4690" s="109"/>
      <c r="E4690" s="109"/>
      <c r="F4690" s="109"/>
      <c r="G4690" s="109"/>
      <c r="H4690" s="109"/>
      <c r="I4690" s="109"/>
      <c r="J4690" s="109"/>
      <c r="L4690" s="109"/>
      <c r="M4690" s="109"/>
      <c r="N4690" s="109"/>
      <c r="Q4690" s="121"/>
      <c r="W4690" s="109"/>
    </row>
    <row r="4691" spans="1:23" ht="12.75" hidden="1">
      <c r="A4691" s="109"/>
      <c r="B4691" s="109"/>
      <c r="C4691" s="109"/>
      <c r="D4691" s="109"/>
      <c r="E4691" s="109"/>
      <c r="F4691" s="109"/>
      <c r="G4691" s="109"/>
      <c r="H4691" s="109"/>
      <c r="I4691" s="109"/>
      <c r="J4691" s="109"/>
      <c r="L4691" s="109"/>
      <c r="M4691" s="109"/>
      <c r="N4691" s="109"/>
      <c r="Q4691" s="121"/>
      <c r="W4691" s="109"/>
    </row>
    <row r="4692" spans="1:23" ht="12.75" hidden="1">
      <c r="A4692" s="109"/>
      <c r="B4692" s="109"/>
      <c r="C4692" s="109"/>
      <c r="D4692" s="109"/>
      <c r="E4692" s="109"/>
      <c r="F4692" s="109"/>
      <c r="G4692" s="109"/>
      <c r="H4692" s="109"/>
      <c r="I4692" s="109"/>
      <c r="J4692" s="109"/>
      <c r="L4692" s="109"/>
      <c r="M4692" s="109"/>
      <c r="N4692" s="109"/>
      <c r="Q4692" s="121"/>
      <c r="W4692" s="109"/>
    </row>
    <row r="4693" spans="1:23" ht="12.75" hidden="1">
      <c r="A4693" s="109"/>
      <c r="B4693" s="109"/>
      <c r="C4693" s="109"/>
      <c r="D4693" s="109"/>
      <c r="E4693" s="109"/>
      <c r="F4693" s="109"/>
      <c r="G4693" s="109"/>
      <c r="H4693" s="109"/>
      <c r="I4693" s="109"/>
      <c r="J4693" s="109"/>
      <c r="L4693" s="109"/>
      <c r="M4693" s="109"/>
      <c r="N4693" s="109"/>
      <c r="Q4693" s="121"/>
      <c r="W4693" s="109"/>
    </row>
    <row r="4694" spans="1:23" ht="12.75" hidden="1">
      <c r="A4694" s="109"/>
      <c r="B4694" s="109"/>
      <c r="C4694" s="109"/>
      <c r="D4694" s="109"/>
      <c r="E4694" s="109"/>
      <c r="F4694" s="109"/>
      <c r="G4694" s="109"/>
      <c r="H4694" s="109"/>
      <c r="I4694" s="109"/>
      <c r="J4694" s="109"/>
      <c r="L4694" s="109"/>
      <c r="M4694" s="109"/>
      <c r="N4694" s="109"/>
      <c r="Q4694" s="121"/>
      <c r="W4694" s="109"/>
    </row>
    <row r="4695" spans="1:23" ht="12.75" hidden="1">
      <c r="A4695" s="109"/>
      <c r="B4695" s="109"/>
      <c r="C4695" s="109"/>
      <c r="D4695" s="109"/>
      <c r="E4695" s="109"/>
      <c r="F4695" s="109"/>
      <c r="G4695" s="109"/>
      <c r="H4695" s="109"/>
      <c r="I4695" s="109"/>
      <c r="J4695" s="109"/>
      <c r="L4695" s="109"/>
      <c r="M4695" s="109"/>
      <c r="N4695" s="109"/>
      <c r="Q4695" s="121"/>
      <c r="W4695" s="109"/>
    </row>
    <row r="4696" spans="1:23" ht="12.75" hidden="1">
      <c r="A4696" s="109"/>
      <c r="B4696" s="109"/>
      <c r="C4696" s="109"/>
      <c r="D4696" s="109"/>
      <c r="E4696" s="109"/>
      <c r="F4696" s="109"/>
      <c r="G4696" s="109"/>
      <c r="H4696" s="109"/>
      <c r="I4696" s="109"/>
      <c r="J4696" s="109"/>
      <c r="L4696" s="109"/>
      <c r="M4696" s="109"/>
      <c r="N4696" s="109"/>
      <c r="Q4696" s="121"/>
      <c r="W4696" s="109"/>
    </row>
    <row r="4697" spans="1:23" ht="12.75" hidden="1">
      <c r="A4697" s="109"/>
      <c r="B4697" s="109"/>
      <c r="C4697" s="109"/>
      <c r="D4697" s="109"/>
      <c r="E4697" s="109"/>
      <c r="F4697" s="109"/>
      <c r="G4697" s="109"/>
      <c r="H4697" s="109"/>
      <c r="I4697" s="109"/>
      <c r="J4697" s="109"/>
      <c r="L4697" s="109"/>
      <c r="M4697" s="109"/>
      <c r="N4697" s="109"/>
      <c r="Q4697" s="121"/>
      <c r="W4697" s="109"/>
    </row>
    <row r="4698" spans="1:23" ht="12.75" hidden="1">
      <c r="A4698" s="109"/>
      <c r="B4698" s="109"/>
      <c r="C4698" s="109"/>
      <c r="D4698" s="109"/>
      <c r="E4698" s="109"/>
      <c r="F4698" s="109"/>
      <c r="G4698" s="109"/>
      <c r="H4698" s="109"/>
      <c r="I4698" s="109"/>
      <c r="J4698" s="109"/>
      <c r="L4698" s="109"/>
      <c r="M4698" s="109"/>
      <c r="N4698" s="109"/>
      <c r="Q4698" s="121"/>
      <c r="W4698" s="109"/>
    </row>
    <row r="4699" spans="1:23" ht="12.75" hidden="1">
      <c r="A4699" s="109"/>
      <c r="B4699" s="109"/>
      <c r="C4699" s="109"/>
      <c r="D4699" s="109"/>
      <c r="E4699" s="109"/>
      <c r="F4699" s="109"/>
      <c r="G4699" s="109"/>
      <c r="H4699" s="109"/>
      <c r="I4699" s="109"/>
      <c r="J4699" s="109"/>
      <c r="L4699" s="109"/>
      <c r="M4699" s="109"/>
      <c r="N4699" s="109"/>
      <c r="Q4699" s="121"/>
      <c r="W4699" s="109"/>
    </row>
    <row r="4700" spans="1:23" ht="12.75" hidden="1">
      <c r="A4700" s="109"/>
      <c r="B4700" s="109"/>
      <c r="C4700" s="109"/>
      <c r="D4700" s="109"/>
      <c r="E4700" s="109"/>
      <c r="F4700" s="109"/>
      <c r="G4700" s="109"/>
      <c r="H4700" s="109"/>
      <c r="I4700" s="109"/>
      <c r="J4700" s="109"/>
      <c r="L4700" s="109"/>
      <c r="M4700" s="109"/>
      <c r="N4700" s="109"/>
      <c r="Q4700" s="121"/>
      <c r="W4700" s="109"/>
    </row>
    <row r="4701" spans="1:23" ht="12.75" hidden="1">
      <c r="A4701" s="109"/>
      <c r="B4701" s="109"/>
      <c r="C4701" s="109"/>
      <c r="D4701" s="109"/>
      <c r="E4701" s="109"/>
      <c r="F4701" s="109"/>
      <c r="G4701" s="109"/>
      <c r="H4701" s="109"/>
      <c r="I4701" s="109"/>
      <c r="J4701" s="109"/>
      <c r="L4701" s="109"/>
      <c r="M4701" s="109"/>
      <c r="N4701" s="109"/>
      <c r="Q4701" s="121"/>
      <c r="W4701" s="109"/>
    </row>
    <row r="4702" spans="1:23" ht="12.75" hidden="1">
      <c r="A4702" s="109"/>
      <c r="B4702" s="109"/>
      <c r="C4702" s="109"/>
      <c r="D4702" s="109"/>
      <c r="E4702" s="109"/>
      <c r="F4702" s="109"/>
      <c r="G4702" s="109"/>
      <c r="H4702" s="109"/>
      <c r="I4702" s="109"/>
      <c r="J4702" s="109"/>
      <c r="L4702" s="109"/>
      <c r="M4702" s="109"/>
      <c r="N4702" s="109"/>
      <c r="Q4702" s="121"/>
      <c r="W4702" s="109"/>
    </row>
    <row r="4703" spans="1:23" ht="12.75" hidden="1">
      <c r="A4703" s="109"/>
      <c r="B4703" s="109"/>
      <c r="C4703" s="109"/>
      <c r="D4703" s="109"/>
      <c r="E4703" s="109"/>
      <c r="F4703" s="109"/>
      <c r="G4703" s="109"/>
      <c r="H4703" s="109"/>
      <c r="I4703" s="109"/>
      <c r="J4703" s="109"/>
      <c r="L4703" s="109"/>
      <c r="M4703" s="109"/>
      <c r="N4703" s="109"/>
      <c r="Q4703" s="121"/>
      <c r="W4703" s="109"/>
    </row>
    <row r="4704" spans="1:23" ht="12.75" hidden="1">
      <c r="A4704" s="109"/>
      <c r="B4704" s="109"/>
      <c r="C4704" s="109"/>
      <c r="D4704" s="109"/>
      <c r="E4704" s="109"/>
      <c r="F4704" s="109"/>
      <c r="G4704" s="109"/>
      <c r="H4704" s="109"/>
      <c r="I4704" s="109"/>
      <c r="J4704" s="109"/>
      <c r="L4704" s="109"/>
      <c r="M4704" s="109"/>
      <c r="N4704" s="109"/>
      <c r="Q4704" s="121"/>
      <c r="W4704" s="109"/>
    </row>
    <row r="4705" spans="1:23" ht="12.75" hidden="1">
      <c r="A4705" s="109"/>
      <c r="B4705" s="109"/>
      <c r="C4705" s="109"/>
      <c r="D4705" s="109"/>
      <c r="E4705" s="109"/>
      <c r="F4705" s="109"/>
      <c r="G4705" s="109"/>
      <c r="H4705" s="109"/>
      <c r="I4705" s="109"/>
      <c r="J4705" s="109"/>
      <c r="L4705" s="109"/>
      <c r="M4705" s="109"/>
      <c r="N4705" s="109"/>
      <c r="Q4705" s="121"/>
      <c r="W4705" s="109"/>
    </row>
    <row r="4706" spans="1:23" ht="12.75" hidden="1">
      <c r="A4706" s="109"/>
      <c r="B4706" s="109"/>
      <c r="C4706" s="109"/>
      <c r="D4706" s="109"/>
      <c r="E4706" s="109"/>
      <c r="F4706" s="109"/>
      <c r="G4706" s="109"/>
      <c r="H4706" s="109"/>
      <c r="I4706" s="109"/>
      <c r="J4706" s="109"/>
      <c r="L4706" s="109"/>
      <c r="M4706" s="109"/>
      <c r="N4706" s="109"/>
      <c r="Q4706" s="121"/>
      <c r="W4706" s="109"/>
    </row>
    <row r="4707" spans="1:23" ht="12.75" hidden="1">
      <c r="A4707" s="109"/>
      <c r="B4707" s="109"/>
      <c r="C4707" s="109"/>
      <c r="D4707" s="109"/>
      <c r="E4707" s="109"/>
      <c r="F4707" s="109"/>
      <c r="G4707" s="109"/>
      <c r="H4707" s="109"/>
      <c r="I4707" s="109"/>
      <c r="J4707" s="109"/>
      <c r="L4707" s="109"/>
      <c r="M4707" s="109"/>
      <c r="N4707" s="109"/>
      <c r="Q4707" s="121"/>
      <c r="W4707" s="109"/>
    </row>
    <row r="4708" spans="1:23" ht="12.75" hidden="1">
      <c r="A4708" s="109"/>
      <c r="B4708" s="109"/>
      <c r="C4708" s="109"/>
      <c r="D4708" s="109"/>
      <c r="E4708" s="109"/>
      <c r="F4708" s="109"/>
      <c r="G4708" s="109"/>
      <c r="H4708" s="109"/>
      <c r="I4708" s="109"/>
      <c r="J4708" s="109"/>
      <c r="L4708" s="109"/>
      <c r="M4708" s="109"/>
      <c r="N4708" s="109"/>
      <c r="Q4708" s="121"/>
      <c r="W4708" s="109"/>
    </row>
    <row r="4709" spans="1:23" ht="12.75" hidden="1">
      <c r="A4709" s="109"/>
      <c r="B4709" s="109"/>
      <c r="C4709" s="109"/>
      <c r="D4709" s="109"/>
      <c r="E4709" s="109"/>
      <c r="F4709" s="109"/>
      <c r="G4709" s="109"/>
      <c r="H4709" s="109"/>
      <c r="I4709" s="109"/>
      <c r="J4709" s="109"/>
      <c r="L4709" s="109"/>
      <c r="M4709" s="109"/>
      <c r="N4709" s="109"/>
      <c r="Q4709" s="121"/>
      <c r="W4709" s="109"/>
    </row>
    <row r="4710" spans="1:23" ht="12.75" hidden="1">
      <c r="A4710" s="109"/>
      <c r="B4710" s="109"/>
      <c r="C4710" s="109"/>
      <c r="D4710" s="109"/>
      <c r="E4710" s="109"/>
      <c r="F4710" s="109"/>
      <c r="G4710" s="109"/>
      <c r="H4710" s="109"/>
      <c r="I4710" s="109"/>
      <c r="J4710" s="109"/>
      <c r="L4710" s="109"/>
      <c r="M4710" s="109"/>
      <c r="N4710" s="109"/>
      <c r="Q4710" s="121"/>
      <c r="W4710" s="109"/>
    </row>
    <row r="4711" spans="1:23" ht="12.75" hidden="1">
      <c r="A4711" s="109"/>
      <c r="B4711" s="109"/>
      <c r="C4711" s="109"/>
      <c r="D4711" s="109"/>
      <c r="E4711" s="109"/>
      <c r="F4711" s="109"/>
      <c r="G4711" s="109"/>
      <c r="H4711" s="109"/>
      <c r="I4711" s="109"/>
      <c r="J4711" s="109"/>
      <c r="L4711" s="109"/>
      <c r="M4711" s="109"/>
      <c r="N4711" s="109"/>
      <c r="Q4711" s="121"/>
      <c r="W4711" s="109"/>
    </row>
    <row r="4712" spans="1:23" ht="12.75" hidden="1">
      <c r="A4712" s="109"/>
      <c r="B4712" s="109"/>
      <c r="C4712" s="109"/>
      <c r="D4712" s="109"/>
      <c r="E4712" s="109"/>
      <c r="F4712" s="109"/>
      <c r="G4712" s="109"/>
      <c r="H4712" s="109"/>
      <c r="I4712" s="109"/>
      <c r="J4712" s="109"/>
      <c r="L4712" s="109"/>
      <c r="M4712" s="109"/>
      <c r="N4712" s="109"/>
      <c r="Q4712" s="121"/>
      <c r="W4712" s="109"/>
    </row>
    <row r="4713" spans="1:23" ht="12.75" hidden="1">
      <c r="A4713" s="109"/>
      <c r="B4713" s="109"/>
      <c r="C4713" s="109"/>
      <c r="D4713" s="109"/>
      <c r="E4713" s="109"/>
      <c r="F4713" s="109"/>
      <c r="G4713" s="109"/>
      <c r="H4713" s="109"/>
      <c r="I4713" s="109"/>
      <c r="J4713" s="109"/>
      <c r="L4713" s="109"/>
      <c r="M4713" s="109"/>
      <c r="N4713" s="109"/>
      <c r="Q4713" s="121"/>
      <c r="W4713" s="109"/>
    </row>
    <row r="4714" spans="1:23" ht="12.75" hidden="1">
      <c r="A4714" s="109"/>
      <c r="B4714" s="109"/>
      <c r="C4714" s="109"/>
      <c r="D4714" s="109"/>
      <c r="E4714" s="109"/>
      <c r="F4714" s="109"/>
      <c r="G4714" s="109"/>
      <c r="H4714" s="109"/>
      <c r="I4714" s="109"/>
      <c r="J4714" s="109"/>
      <c r="L4714" s="109"/>
      <c r="M4714" s="109"/>
      <c r="N4714" s="109"/>
      <c r="Q4714" s="121"/>
      <c r="W4714" s="109"/>
    </row>
    <row r="4715" spans="1:23" ht="12.75" hidden="1">
      <c r="A4715" s="109"/>
      <c r="B4715" s="109"/>
      <c r="C4715" s="109"/>
      <c r="D4715" s="109"/>
      <c r="E4715" s="109"/>
      <c r="F4715" s="109"/>
      <c r="G4715" s="109"/>
      <c r="H4715" s="109"/>
      <c r="I4715" s="109"/>
      <c r="J4715" s="109"/>
      <c r="L4715" s="109"/>
      <c r="M4715" s="109"/>
      <c r="N4715" s="109"/>
      <c r="Q4715" s="121"/>
      <c r="W4715" s="109"/>
    </row>
    <row r="4716" spans="1:23" ht="12.75" hidden="1">
      <c r="A4716" s="109"/>
      <c r="B4716" s="109"/>
      <c r="C4716" s="109"/>
      <c r="D4716" s="109"/>
      <c r="E4716" s="109"/>
      <c r="F4716" s="109"/>
      <c r="G4716" s="109"/>
      <c r="H4716" s="109"/>
      <c r="I4716" s="109"/>
      <c r="J4716" s="109"/>
      <c r="L4716" s="109"/>
      <c r="M4716" s="109"/>
      <c r="N4716" s="109"/>
      <c r="Q4716" s="121"/>
      <c r="W4716" s="109"/>
    </row>
    <row r="4717" spans="1:23" ht="12.75" hidden="1">
      <c r="A4717" s="109"/>
      <c r="B4717" s="109"/>
      <c r="C4717" s="109"/>
      <c r="D4717" s="109"/>
      <c r="E4717" s="109"/>
      <c r="F4717" s="109"/>
      <c r="G4717" s="109"/>
      <c r="H4717" s="109"/>
      <c r="I4717" s="109"/>
      <c r="J4717" s="109"/>
      <c r="L4717" s="109"/>
      <c r="M4717" s="109"/>
      <c r="N4717" s="109"/>
      <c r="Q4717" s="121"/>
      <c r="W4717" s="109"/>
    </row>
    <row r="4718" spans="1:23" ht="12.75" hidden="1">
      <c r="A4718" s="109"/>
      <c r="B4718" s="109"/>
      <c r="C4718" s="109"/>
      <c r="D4718" s="109"/>
      <c r="E4718" s="109"/>
      <c r="F4718" s="109"/>
      <c r="G4718" s="109"/>
      <c r="H4718" s="109"/>
      <c r="I4718" s="109"/>
      <c r="J4718" s="109"/>
      <c r="L4718" s="109"/>
      <c r="M4718" s="109"/>
      <c r="N4718" s="109"/>
      <c r="Q4718" s="121"/>
      <c r="W4718" s="109"/>
    </row>
    <row r="4719" spans="1:23" ht="12.75" hidden="1">
      <c r="A4719" s="109"/>
      <c r="B4719" s="109"/>
      <c r="C4719" s="109"/>
      <c r="D4719" s="109"/>
      <c r="E4719" s="109"/>
      <c r="F4719" s="109"/>
      <c r="G4719" s="109"/>
      <c r="H4719" s="109"/>
      <c r="I4719" s="109"/>
      <c r="J4719" s="109"/>
      <c r="L4719" s="109"/>
      <c r="M4719" s="109"/>
      <c r="N4719" s="109"/>
      <c r="Q4719" s="121"/>
      <c r="W4719" s="109"/>
    </row>
    <row r="4720" spans="1:23" ht="12.75" hidden="1">
      <c r="A4720" s="109"/>
      <c r="B4720" s="109"/>
      <c r="C4720" s="109"/>
      <c r="D4720" s="109"/>
      <c r="E4720" s="109"/>
      <c r="F4720" s="109"/>
      <c r="G4720" s="109"/>
      <c r="H4720" s="109"/>
      <c r="I4720" s="109"/>
      <c r="J4720" s="109"/>
      <c r="L4720" s="109"/>
      <c r="M4720" s="109"/>
      <c r="N4720" s="109"/>
      <c r="Q4720" s="121"/>
      <c r="W4720" s="109"/>
    </row>
    <row r="4721" spans="1:23" ht="12.75" hidden="1">
      <c r="A4721" s="109"/>
      <c r="B4721" s="109"/>
      <c r="C4721" s="109"/>
      <c r="D4721" s="109"/>
      <c r="E4721" s="109"/>
      <c r="F4721" s="109"/>
      <c r="G4721" s="109"/>
      <c r="H4721" s="109"/>
      <c r="I4721" s="109"/>
      <c r="J4721" s="109"/>
      <c r="L4721" s="109"/>
      <c r="M4721" s="109"/>
      <c r="N4721" s="109"/>
      <c r="Q4721" s="121"/>
      <c r="W4721" s="109"/>
    </row>
    <row r="4722" spans="1:23" ht="12.75" hidden="1">
      <c r="A4722" s="109"/>
      <c r="B4722" s="109"/>
      <c r="C4722" s="109"/>
      <c r="D4722" s="109"/>
      <c r="E4722" s="109"/>
      <c r="F4722" s="109"/>
      <c r="G4722" s="109"/>
      <c r="H4722" s="109"/>
      <c r="I4722" s="109"/>
      <c r="J4722" s="109"/>
      <c r="L4722" s="109"/>
      <c r="M4722" s="109"/>
      <c r="N4722" s="109"/>
      <c r="Q4722" s="121"/>
      <c r="W4722" s="109"/>
    </row>
    <row r="4723" spans="1:23" ht="12.75" hidden="1">
      <c r="A4723" s="109"/>
      <c r="B4723" s="109"/>
      <c r="C4723" s="109"/>
      <c r="D4723" s="109"/>
      <c r="E4723" s="109"/>
      <c r="F4723" s="109"/>
      <c r="G4723" s="109"/>
      <c r="H4723" s="109"/>
      <c r="I4723" s="109"/>
      <c r="J4723" s="109"/>
      <c r="L4723" s="109"/>
      <c r="M4723" s="109"/>
      <c r="N4723" s="109"/>
      <c r="Q4723" s="121"/>
      <c r="W4723" s="109"/>
    </row>
    <row r="4724" spans="1:23" ht="12.75" hidden="1">
      <c r="A4724" s="109"/>
      <c r="B4724" s="109"/>
      <c r="C4724" s="109"/>
      <c r="D4724" s="109"/>
      <c r="E4724" s="109"/>
      <c r="F4724" s="109"/>
      <c r="G4724" s="109"/>
      <c r="H4724" s="109"/>
      <c r="I4724" s="109"/>
      <c r="J4724" s="109"/>
      <c r="L4724" s="109"/>
      <c r="M4724" s="109"/>
      <c r="N4724" s="109"/>
      <c r="Q4724" s="121"/>
      <c r="W4724" s="109"/>
    </row>
    <row r="4725" spans="1:23" ht="12.75" hidden="1">
      <c r="A4725" s="109"/>
      <c r="B4725" s="109"/>
      <c r="C4725" s="109"/>
      <c r="D4725" s="109"/>
      <c r="E4725" s="109"/>
      <c r="F4725" s="109"/>
      <c r="G4725" s="109"/>
      <c r="H4725" s="109"/>
      <c r="I4725" s="109"/>
      <c r="J4725" s="109"/>
      <c r="L4725" s="109"/>
      <c r="M4725" s="109"/>
      <c r="N4725" s="109"/>
      <c r="Q4725" s="121"/>
      <c r="W4725" s="109"/>
    </row>
    <row r="4726" spans="1:23" ht="12.75" hidden="1">
      <c r="A4726" s="109"/>
      <c r="B4726" s="109"/>
      <c r="C4726" s="109"/>
      <c r="D4726" s="109"/>
      <c r="E4726" s="109"/>
      <c r="F4726" s="109"/>
      <c r="G4726" s="109"/>
      <c r="H4726" s="109"/>
      <c r="I4726" s="109"/>
      <c r="J4726" s="109"/>
      <c r="L4726" s="109"/>
      <c r="M4726" s="109"/>
      <c r="N4726" s="109"/>
      <c r="Q4726" s="121"/>
      <c r="W4726" s="109"/>
    </row>
    <row r="4727" spans="1:23" ht="12.75" hidden="1">
      <c r="A4727" s="109"/>
      <c r="B4727" s="109"/>
      <c r="C4727" s="109"/>
      <c r="D4727" s="109"/>
      <c r="E4727" s="109"/>
      <c r="F4727" s="109"/>
      <c r="G4727" s="109"/>
      <c r="H4727" s="109"/>
      <c r="I4727" s="109"/>
      <c r="J4727" s="109"/>
      <c r="L4727" s="109"/>
      <c r="M4727" s="109"/>
      <c r="N4727" s="109"/>
      <c r="Q4727" s="121"/>
      <c r="W4727" s="109"/>
    </row>
    <row r="4728" spans="1:23" ht="12.75" hidden="1">
      <c r="A4728" s="109"/>
      <c r="B4728" s="109"/>
      <c r="C4728" s="109"/>
      <c r="D4728" s="109"/>
      <c r="E4728" s="109"/>
      <c r="F4728" s="109"/>
      <c r="G4728" s="109"/>
      <c r="H4728" s="109"/>
      <c r="I4728" s="109"/>
      <c r="J4728" s="109"/>
      <c r="L4728" s="109"/>
      <c r="M4728" s="109"/>
      <c r="N4728" s="109"/>
      <c r="Q4728" s="121"/>
      <c r="W4728" s="109"/>
    </row>
    <row r="4729" spans="1:23" ht="12.75" hidden="1">
      <c r="A4729" s="109"/>
      <c r="B4729" s="109"/>
      <c r="C4729" s="109"/>
      <c r="D4729" s="109"/>
      <c r="E4729" s="109"/>
      <c r="F4729" s="109"/>
      <c r="G4729" s="109"/>
      <c r="H4729" s="109"/>
      <c r="I4729" s="109"/>
      <c r="J4729" s="109"/>
      <c r="L4729" s="109"/>
      <c r="M4729" s="109"/>
      <c r="N4729" s="109"/>
      <c r="Q4729" s="121"/>
      <c r="W4729" s="109"/>
    </row>
    <row r="4730" spans="1:23" ht="12.75" hidden="1">
      <c r="A4730" s="109"/>
      <c r="B4730" s="109"/>
      <c r="C4730" s="109"/>
      <c r="D4730" s="109"/>
      <c r="E4730" s="109"/>
      <c r="F4730" s="109"/>
      <c r="G4730" s="109"/>
      <c r="H4730" s="109"/>
      <c r="I4730" s="109"/>
      <c r="J4730" s="109"/>
      <c r="L4730" s="109"/>
      <c r="M4730" s="109"/>
      <c r="N4730" s="109"/>
      <c r="Q4730" s="121"/>
      <c r="W4730" s="109"/>
    </row>
    <row r="4731" spans="1:23" ht="12.75" hidden="1">
      <c r="A4731" s="109"/>
      <c r="B4731" s="109"/>
      <c r="C4731" s="109"/>
      <c r="D4731" s="109"/>
      <c r="E4731" s="109"/>
      <c r="F4731" s="109"/>
      <c r="G4731" s="109"/>
      <c r="H4731" s="109"/>
      <c r="I4731" s="109"/>
      <c r="J4731" s="109"/>
      <c r="L4731" s="109"/>
      <c r="M4731" s="109"/>
      <c r="N4731" s="109"/>
      <c r="Q4731" s="121"/>
      <c r="W4731" s="109"/>
    </row>
    <row r="4732" spans="1:23" ht="12.75" hidden="1">
      <c r="A4732" s="109"/>
      <c r="B4732" s="109"/>
      <c r="C4732" s="109"/>
      <c r="D4732" s="109"/>
      <c r="E4732" s="109"/>
      <c r="F4732" s="109"/>
      <c r="G4732" s="109"/>
      <c r="H4732" s="109"/>
      <c r="I4732" s="109"/>
      <c r="J4732" s="109"/>
      <c r="L4732" s="109"/>
      <c r="M4732" s="109"/>
      <c r="N4732" s="109"/>
      <c r="Q4732" s="121"/>
      <c r="W4732" s="109"/>
    </row>
    <row r="4733" spans="1:23" ht="12.75" hidden="1">
      <c r="A4733" s="109"/>
      <c r="B4733" s="109"/>
      <c r="C4733" s="109"/>
      <c r="D4733" s="109"/>
      <c r="E4733" s="109"/>
      <c r="F4733" s="109"/>
      <c r="G4733" s="109"/>
      <c r="H4733" s="109"/>
      <c r="I4733" s="109"/>
      <c r="J4733" s="109"/>
      <c r="L4733" s="109"/>
      <c r="M4733" s="109"/>
      <c r="N4733" s="109"/>
      <c r="Q4733" s="121"/>
      <c r="W4733" s="109"/>
    </row>
    <row r="4734" spans="1:23" ht="12.75" hidden="1">
      <c r="A4734" s="109"/>
      <c r="B4734" s="109"/>
      <c r="C4734" s="109"/>
      <c r="D4734" s="109"/>
      <c r="E4734" s="109"/>
      <c r="F4734" s="109"/>
      <c r="G4734" s="109"/>
      <c r="H4734" s="109"/>
      <c r="I4734" s="109"/>
      <c r="J4734" s="109"/>
      <c r="L4734" s="109"/>
      <c r="M4734" s="109"/>
      <c r="N4734" s="109"/>
      <c r="Q4734" s="121"/>
      <c r="W4734" s="109"/>
    </row>
    <row r="4735" spans="1:23" ht="12.75" hidden="1">
      <c r="A4735" s="109"/>
      <c r="B4735" s="109"/>
      <c r="C4735" s="109"/>
      <c r="D4735" s="109"/>
      <c r="E4735" s="109"/>
      <c r="F4735" s="109"/>
      <c r="G4735" s="109"/>
      <c r="H4735" s="109"/>
      <c r="I4735" s="109"/>
      <c r="J4735" s="109"/>
      <c r="L4735" s="109"/>
      <c r="M4735" s="109"/>
      <c r="N4735" s="109"/>
      <c r="Q4735" s="121"/>
      <c r="W4735" s="109"/>
    </row>
    <row r="4736" spans="1:23" ht="12.75" hidden="1">
      <c r="A4736" s="109"/>
      <c r="B4736" s="109"/>
      <c r="C4736" s="109"/>
      <c r="D4736" s="109"/>
      <c r="E4736" s="109"/>
      <c r="F4736" s="109"/>
      <c r="G4736" s="109"/>
      <c r="H4736" s="109"/>
      <c r="I4736" s="109"/>
      <c r="J4736" s="109"/>
      <c r="L4736" s="109"/>
      <c r="M4736" s="109"/>
      <c r="N4736" s="109"/>
      <c r="Q4736" s="121"/>
      <c r="W4736" s="109"/>
    </row>
    <row r="4737" spans="1:23" ht="12.75" hidden="1">
      <c r="A4737" s="109"/>
      <c r="B4737" s="109"/>
      <c r="C4737" s="109"/>
      <c r="D4737" s="109"/>
      <c r="E4737" s="109"/>
      <c r="F4737" s="109"/>
      <c r="G4737" s="109"/>
      <c r="H4737" s="109"/>
      <c r="I4737" s="109"/>
      <c r="J4737" s="109"/>
      <c r="L4737" s="109"/>
      <c r="M4737" s="109"/>
      <c r="N4737" s="109"/>
      <c r="Q4737" s="121"/>
      <c r="W4737" s="109"/>
    </row>
    <row r="4738" spans="1:23" ht="12.75" hidden="1">
      <c r="A4738" s="109"/>
      <c r="B4738" s="109"/>
      <c r="C4738" s="109"/>
      <c r="D4738" s="109"/>
      <c r="E4738" s="109"/>
      <c r="F4738" s="109"/>
      <c r="G4738" s="109"/>
      <c r="H4738" s="109"/>
      <c r="I4738" s="109"/>
      <c r="J4738" s="109"/>
      <c r="L4738" s="109"/>
      <c r="M4738" s="109"/>
      <c r="N4738" s="109"/>
      <c r="Q4738" s="121"/>
      <c r="W4738" s="109"/>
    </row>
    <row r="4739" spans="1:23" ht="12.75" hidden="1">
      <c r="A4739" s="109"/>
      <c r="B4739" s="109"/>
      <c r="C4739" s="109"/>
      <c r="D4739" s="109"/>
      <c r="E4739" s="109"/>
      <c r="F4739" s="109"/>
      <c r="G4739" s="109"/>
      <c r="H4739" s="109"/>
      <c r="I4739" s="109"/>
      <c r="J4739" s="109"/>
      <c r="L4739" s="109"/>
      <c r="M4739" s="109"/>
      <c r="N4739" s="109"/>
      <c r="Q4739" s="121"/>
      <c r="W4739" s="109"/>
    </row>
    <row r="4740" spans="1:23" ht="12.75" hidden="1">
      <c r="A4740" s="109"/>
      <c r="B4740" s="109"/>
      <c r="C4740" s="109"/>
      <c r="D4740" s="109"/>
      <c r="E4740" s="109"/>
      <c r="F4740" s="109"/>
      <c r="G4740" s="109"/>
      <c r="H4740" s="109"/>
      <c r="I4740" s="109"/>
      <c r="J4740" s="109"/>
      <c r="L4740" s="109"/>
      <c r="M4740" s="109"/>
      <c r="N4740" s="109"/>
      <c r="Q4740" s="121"/>
      <c r="W4740" s="109"/>
    </row>
    <row r="4741" spans="1:23" ht="12.75" hidden="1">
      <c r="A4741" s="109"/>
      <c r="B4741" s="109"/>
      <c r="C4741" s="109"/>
      <c r="D4741" s="109"/>
      <c r="E4741" s="109"/>
      <c r="F4741" s="109"/>
      <c r="G4741" s="109"/>
      <c r="H4741" s="109"/>
      <c r="I4741" s="109"/>
      <c r="J4741" s="109"/>
      <c r="L4741" s="109"/>
      <c r="M4741" s="109"/>
      <c r="N4741" s="109"/>
      <c r="Q4741" s="121"/>
      <c r="W4741" s="109"/>
    </row>
    <row r="4742" spans="1:23" ht="12.75" hidden="1">
      <c r="A4742" s="109"/>
      <c r="B4742" s="109"/>
      <c r="C4742" s="109"/>
      <c r="D4742" s="109"/>
      <c r="E4742" s="109"/>
      <c r="F4742" s="109"/>
      <c r="G4742" s="109"/>
      <c r="H4742" s="109"/>
      <c r="I4742" s="109"/>
      <c r="J4742" s="109"/>
      <c r="L4742" s="109"/>
      <c r="M4742" s="109"/>
      <c r="N4742" s="109"/>
      <c r="Q4742" s="121"/>
      <c r="W4742" s="109"/>
    </row>
    <row r="4743" spans="1:23" ht="12.75" hidden="1">
      <c r="A4743" s="109"/>
      <c r="B4743" s="109"/>
      <c r="C4743" s="109"/>
      <c r="D4743" s="109"/>
      <c r="E4743" s="109"/>
      <c r="F4743" s="109"/>
      <c r="G4743" s="109"/>
      <c r="H4743" s="109"/>
      <c r="I4743" s="109"/>
      <c r="J4743" s="109"/>
      <c r="L4743" s="109"/>
      <c r="M4743" s="109"/>
      <c r="N4743" s="109"/>
      <c r="Q4743" s="121"/>
      <c r="W4743" s="109"/>
    </row>
    <row r="4744" spans="1:23" ht="12.75" hidden="1">
      <c r="A4744" s="109"/>
      <c r="B4744" s="109"/>
      <c r="C4744" s="109"/>
      <c r="D4744" s="109"/>
      <c r="E4744" s="109"/>
      <c r="F4744" s="109"/>
      <c r="G4744" s="109"/>
      <c r="H4744" s="109"/>
      <c r="I4744" s="109"/>
      <c r="J4744" s="109"/>
      <c r="L4744" s="109"/>
      <c r="M4744" s="109"/>
      <c r="N4744" s="109"/>
      <c r="Q4744" s="121"/>
      <c r="W4744" s="109"/>
    </row>
    <row r="4745" spans="1:23" ht="12.75" hidden="1">
      <c r="A4745" s="109"/>
      <c r="B4745" s="109"/>
      <c r="C4745" s="109"/>
      <c r="D4745" s="109"/>
      <c r="E4745" s="109"/>
      <c r="F4745" s="109"/>
      <c r="G4745" s="109"/>
      <c r="H4745" s="109"/>
      <c r="I4745" s="109"/>
      <c r="J4745" s="109"/>
      <c r="L4745" s="109"/>
      <c r="M4745" s="109"/>
      <c r="N4745" s="109"/>
      <c r="Q4745" s="121"/>
      <c r="W4745" s="109"/>
    </row>
    <row r="4746" spans="1:23" ht="12.75" hidden="1">
      <c r="A4746" s="109"/>
      <c r="B4746" s="109"/>
      <c r="C4746" s="109"/>
      <c r="D4746" s="109"/>
      <c r="E4746" s="109"/>
      <c r="F4746" s="109"/>
      <c r="G4746" s="109"/>
      <c r="H4746" s="109"/>
      <c r="I4746" s="109"/>
      <c r="J4746" s="109"/>
      <c r="L4746" s="109"/>
      <c r="M4746" s="109"/>
      <c r="N4746" s="109"/>
      <c r="Q4746" s="121"/>
      <c r="W4746" s="109"/>
    </row>
    <row r="4747" spans="1:23" ht="12.75" hidden="1">
      <c r="A4747" s="109"/>
      <c r="B4747" s="109"/>
      <c r="C4747" s="109"/>
      <c r="D4747" s="109"/>
      <c r="E4747" s="109"/>
      <c r="F4747" s="109"/>
      <c r="G4747" s="109"/>
      <c r="H4747" s="109"/>
      <c r="I4747" s="109"/>
      <c r="J4747" s="109"/>
      <c r="L4747" s="109"/>
      <c r="M4747" s="109"/>
      <c r="N4747" s="109"/>
      <c r="Q4747" s="121"/>
      <c r="W4747" s="109"/>
    </row>
    <row r="4748" spans="1:23" ht="12.75" hidden="1">
      <c r="A4748" s="109"/>
      <c r="B4748" s="109"/>
      <c r="C4748" s="109"/>
      <c r="D4748" s="109"/>
      <c r="E4748" s="109"/>
      <c r="F4748" s="109"/>
      <c r="G4748" s="109"/>
      <c r="H4748" s="109"/>
      <c r="I4748" s="109"/>
      <c r="J4748" s="109"/>
      <c r="L4748" s="109"/>
      <c r="M4748" s="109"/>
      <c r="N4748" s="109"/>
      <c r="Q4748" s="121"/>
      <c r="W4748" s="109"/>
    </row>
    <row r="4749" spans="1:23" ht="12.75" hidden="1">
      <c r="A4749" s="109"/>
      <c r="B4749" s="109"/>
      <c r="C4749" s="109"/>
      <c r="D4749" s="109"/>
      <c r="E4749" s="109"/>
      <c r="F4749" s="109"/>
      <c r="G4749" s="109"/>
      <c r="H4749" s="109"/>
      <c r="I4749" s="109"/>
      <c r="J4749" s="109"/>
      <c r="L4749" s="109"/>
      <c r="M4749" s="109"/>
      <c r="N4749" s="109"/>
      <c r="Q4749" s="121"/>
      <c r="W4749" s="109"/>
    </row>
    <row r="4750" spans="1:23" ht="12.75" hidden="1">
      <c r="A4750" s="109"/>
      <c r="B4750" s="109"/>
      <c r="C4750" s="109"/>
      <c r="D4750" s="109"/>
      <c r="E4750" s="109"/>
      <c r="F4750" s="109"/>
      <c r="G4750" s="109"/>
      <c r="H4750" s="109"/>
      <c r="I4750" s="109"/>
      <c r="J4750" s="109"/>
      <c r="L4750" s="109"/>
      <c r="M4750" s="109"/>
      <c r="N4750" s="109"/>
      <c r="Q4750" s="121"/>
      <c r="W4750" s="109"/>
    </row>
    <row r="4751" spans="1:23" ht="12.75" hidden="1">
      <c r="A4751" s="109"/>
      <c r="B4751" s="109"/>
      <c r="C4751" s="109"/>
      <c r="D4751" s="109"/>
      <c r="E4751" s="109"/>
      <c r="F4751" s="109"/>
      <c r="G4751" s="109"/>
      <c r="H4751" s="109"/>
      <c r="I4751" s="109"/>
      <c r="J4751" s="109"/>
      <c r="L4751" s="109"/>
      <c r="M4751" s="109"/>
      <c r="N4751" s="109"/>
      <c r="Q4751" s="121"/>
      <c r="W4751" s="109"/>
    </row>
    <row r="4752" spans="1:23" ht="12.75" hidden="1">
      <c r="A4752" s="109"/>
      <c r="B4752" s="109"/>
      <c r="C4752" s="109"/>
      <c r="D4752" s="109"/>
      <c r="E4752" s="109"/>
      <c r="F4752" s="109"/>
      <c r="G4752" s="109"/>
      <c r="H4752" s="109"/>
      <c r="I4752" s="109"/>
      <c r="J4752" s="109"/>
      <c r="L4752" s="109"/>
      <c r="M4752" s="109"/>
      <c r="N4752" s="109"/>
      <c r="Q4752" s="121"/>
      <c r="W4752" s="109"/>
    </row>
    <row r="4753" spans="1:23" ht="12.75" hidden="1">
      <c r="A4753" s="109"/>
      <c r="B4753" s="109"/>
      <c r="C4753" s="109"/>
      <c r="D4753" s="109"/>
      <c r="E4753" s="109"/>
      <c r="F4753" s="109"/>
      <c r="G4753" s="109"/>
      <c r="H4753" s="109"/>
      <c r="I4753" s="109"/>
      <c r="J4753" s="109"/>
      <c r="L4753" s="109"/>
      <c r="M4753" s="109"/>
      <c r="N4753" s="109"/>
      <c r="Q4753" s="121"/>
      <c r="W4753" s="109"/>
    </row>
    <row r="4754" spans="1:23" ht="12.75" hidden="1">
      <c r="A4754" s="109"/>
      <c r="B4754" s="109"/>
      <c r="C4754" s="109"/>
      <c r="D4754" s="109"/>
      <c r="E4754" s="109"/>
      <c r="F4754" s="109"/>
      <c r="G4754" s="109"/>
      <c r="H4754" s="109"/>
      <c r="I4754" s="109"/>
      <c r="J4754" s="109"/>
      <c r="L4754" s="109"/>
      <c r="M4754" s="109"/>
      <c r="N4754" s="109"/>
      <c r="Q4754" s="121"/>
      <c r="W4754" s="109"/>
    </row>
    <row r="4755" spans="1:23" ht="12.75" hidden="1">
      <c r="A4755" s="109"/>
      <c r="B4755" s="109"/>
      <c r="C4755" s="109"/>
      <c r="D4755" s="109"/>
      <c r="E4755" s="109"/>
      <c r="F4755" s="109"/>
      <c r="G4755" s="109"/>
      <c r="H4755" s="109"/>
      <c r="I4755" s="109"/>
      <c r="J4755" s="109"/>
      <c r="L4755" s="109"/>
      <c r="M4755" s="109"/>
      <c r="N4755" s="109"/>
      <c r="Q4755" s="121"/>
      <c r="W4755" s="109"/>
    </row>
    <row r="4756" spans="1:23" ht="12.75" hidden="1">
      <c r="A4756" s="109"/>
      <c r="B4756" s="109"/>
      <c r="C4756" s="109"/>
      <c r="D4756" s="109"/>
      <c r="E4756" s="109"/>
      <c r="F4756" s="109"/>
      <c r="G4756" s="109"/>
      <c r="H4756" s="109"/>
      <c r="I4756" s="109"/>
      <c r="J4756" s="109"/>
      <c r="L4756" s="109"/>
      <c r="M4756" s="109"/>
      <c r="N4756" s="109"/>
      <c r="Q4756" s="121"/>
      <c r="W4756" s="109"/>
    </row>
    <row r="4757" spans="1:23" ht="12.75" hidden="1">
      <c r="A4757" s="109"/>
      <c r="B4757" s="109"/>
      <c r="C4757" s="109"/>
      <c r="D4757" s="109"/>
      <c r="E4757" s="109"/>
      <c r="F4757" s="109"/>
      <c r="G4757" s="109"/>
      <c r="H4757" s="109"/>
      <c r="I4757" s="109"/>
      <c r="J4757" s="109"/>
      <c r="L4757" s="109"/>
      <c r="M4757" s="109"/>
      <c r="N4757" s="109"/>
      <c r="Q4757" s="121"/>
      <c r="W4757" s="109"/>
    </row>
    <row r="4758" spans="1:23" ht="12.75" hidden="1">
      <c r="A4758" s="109"/>
      <c r="B4758" s="109"/>
      <c r="C4758" s="109"/>
      <c r="D4758" s="109"/>
      <c r="E4758" s="109"/>
      <c r="F4758" s="109"/>
      <c r="G4758" s="109"/>
      <c r="H4758" s="109"/>
      <c r="I4758" s="109"/>
      <c r="J4758" s="109"/>
      <c r="L4758" s="109"/>
      <c r="M4758" s="109"/>
      <c r="N4758" s="109"/>
      <c r="Q4758" s="121"/>
      <c r="W4758" s="109"/>
    </row>
    <row r="4759" spans="1:23" ht="12.75" hidden="1">
      <c r="A4759" s="109"/>
      <c r="B4759" s="109"/>
      <c r="C4759" s="109"/>
      <c r="D4759" s="109"/>
      <c r="E4759" s="109"/>
      <c r="F4759" s="109"/>
      <c r="G4759" s="109"/>
      <c r="H4759" s="109"/>
      <c r="I4759" s="109"/>
      <c r="J4759" s="109"/>
      <c r="L4759" s="109"/>
      <c r="M4759" s="109"/>
      <c r="N4759" s="109"/>
      <c r="Q4759" s="121"/>
      <c r="W4759" s="109"/>
    </row>
    <row r="4760" spans="1:23" ht="12.75" hidden="1">
      <c r="A4760" s="109"/>
      <c r="B4760" s="109"/>
      <c r="C4760" s="109"/>
      <c r="D4760" s="109"/>
      <c r="E4760" s="109"/>
      <c r="F4760" s="109"/>
      <c r="G4760" s="109"/>
      <c r="H4760" s="109"/>
      <c r="I4760" s="109"/>
      <c r="J4760" s="109"/>
      <c r="L4760" s="109"/>
      <c r="M4760" s="109"/>
      <c r="N4760" s="109"/>
      <c r="Q4760" s="121"/>
      <c r="W4760" s="109"/>
    </row>
    <row r="4761" spans="1:23" ht="12.75" hidden="1">
      <c r="A4761" s="109"/>
      <c r="B4761" s="109"/>
      <c r="C4761" s="109"/>
      <c r="D4761" s="109"/>
      <c r="E4761" s="109"/>
      <c r="F4761" s="109"/>
      <c r="G4761" s="109"/>
      <c r="H4761" s="109"/>
      <c r="I4761" s="109"/>
      <c r="J4761" s="109"/>
      <c r="L4761" s="109"/>
      <c r="M4761" s="109"/>
      <c r="N4761" s="109"/>
      <c r="Q4761" s="121"/>
      <c r="W4761" s="109"/>
    </row>
    <row r="4762" spans="1:23" ht="12.75" hidden="1">
      <c r="A4762" s="109"/>
      <c r="B4762" s="109"/>
      <c r="C4762" s="109"/>
      <c r="D4762" s="109"/>
      <c r="E4762" s="109"/>
      <c r="F4762" s="109"/>
      <c r="G4762" s="109"/>
      <c r="H4762" s="109"/>
      <c r="I4762" s="109"/>
      <c r="J4762" s="109"/>
      <c r="L4762" s="109"/>
      <c r="M4762" s="109"/>
      <c r="N4762" s="109"/>
      <c r="Q4762" s="121"/>
      <c r="W4762" s="109"/>
    </row>
    <row r="4763" spans="1:23" ht="12.75" hidden="1">
      <c r="A4763" s="109"/>
      <c r="B4763" s="109"/>
      <c r="C4763" s="109"/>
      <c r="D4763" s="109"/>
      <c r="E4763" s="109"/>
      <c r="F4763" s="109"/>
      <c r="G4763" s="109"/>
      <c r="H4763" s="109"/>
      <c r="I4763" s="109"/>
      <c r="J4763" s="109"/>
      <c r="L4763" s="109"/>
      <c r="M4763" s="109"/>
      <c r="N4763" s="109"/>
      <c r="Q4763" s="121"/>
      <c r="W4763" s="109"/>
    </row>
    <row r="4764" spans="1:23" ht="12.75" hidden="1">
      <c r="A4764" s="109"/>
      <c r="B4764" s="109"/>
      <c r="C4764" s="109"/>
      <c r="D4764" s="109"/>
      <c r="E4764" s="109"/>
      <c r="F4764" s="109"/>
      <c r="G4764" s="109"/>
      <c r="H4764" s="109"/>
      <c r="I4764" s="109"/>
      <c r="J4764" s="109"/>
      <c r="L4764" s="109"/>
      <c r="M4764" s="109"/>
      <c r="N4764" s="109"/>
      <c r="Q4764" s="121"/>
      <c r="W4764" s="109"/>
    </row>
    <row r="4765" spans="1:23" ht="12.75" hidden="1">
      <c r="A4765" s="109"/>
      <c r="B4765" s="109"/>
      <c r="C4765" s="109"/>
      <c r="D4765" s="109"/>
      <c r="E4765" s="109"/>
      <c r="F4765" s="109"/>
      <c r="G4765" s="109"/>
      <c r="H4765" s="109"/>
      <c r="I4765" s="109"/>
      <c r="J4765" s="109"/>
      <c r="L4765" s="109"/>
      <c r="M4765" s="109"/>
      <c r="N4765" s="109"/>
      <c r="Q4765" s="121"/>
      <c r="W4765" s="109"/>
    </row>
    <row r="4766" spans="1:23" ht="12.75" hidden="1">
      <c r="A4766" s="109"/>
      <c r="B4766" s="109"/>
      <c r="C4766" s="109"/>
      <c r="D4766" s="109"/>
      <c r="E4766" s="109"/>
      <c r="F4766" s="109"/>
      <c r="G4766" s="109"/>
      <c r="H4766" s="109"/>
      <c r="I4766" s="109"/>
      <c r="J4766" s="109"/>
      <c r="L4766" s="109"/>
      <c r="M4766" s="109"/>
      <c r="N4766" s="109"/>
      <c r="Q4766" s="121"/>
      <c r="W4766" s="109"/>
    </row>
    <row r="4767" spans="1:23" ht="12.75" hidden="1">
      <c r="A4767" s="109"/>
      <c r="B4767" s="109"/>
      <c r="C4767" s="109"/>
      <c r="D4767" s="109"/>
      <c r="E4767" s="109"/>
      <c r="F4767" s="109"/>
      <c r="G4767" s="109"/>
      <c r="H4767" s="109"/>
      <c r="I4767" s="109"/>
      <c r="J4767" s="109"/>
      <c r="L4767" s="109"/>
      <c r="M4767" s="109"/>
      <c r="N4767" s="109"/>
      <c r="Q4767" s="121"/>
      <c r="W4767" s="109"/>
    </row>
    <row r="4768" spans="1:23" ht="12.75" hidden="1">
      <c r="A4768" s="109"/>
      <c r="B4768" s="109"/>
      <c r="C4768" s="109"/>
      <c r="D4768" s="109"/>
      <c r="E4768" s="109"/>
      <c r="F4768" s="109"/>
      <c r="G4768" s="109"/>
      <c r="H4768" s="109"/>
      <c r="I4768" s="109"/>
      <c r="J4768" s="109"/>
      <c r="L4768" s="109"/>
      <c r="M4768" s="109"/>
      <c r="N4768" s="109"/>
      <c r="Q4768" s="121"/>
      <c r="W4768" s="109"/>
    </row>
    <row r="4769" spans="1:23" ht="12.75" hidden="1">
      <c r="A4769" s="109"/>
      <c r="B4769" s="109"/>
      <c r="C4769" s="109"/>
      <c r="D4769" s="109"/>
      <c r="E4769" s="109"/>
      <c r="F4769" s="109"/>
      <c r="G4769" s="109"/>
      <c r="H4769" s="109"/>
      <c r="I4769" s="109"/>
      <c r="J4769" s="109"/>
      <c r="L4769" s="109"/>
      <c r="M4769" s="109"/>
      <c r="N4769" s="109"/>
      <c r="Q4769" s="121"/>
      <c r="W4769" s="109"/>
    </row>
    <row r="4770" spans="1:23" ht="12.75" hidden="1">
      <c r="A4770" s="109"/>
      <c r="B4770" s="109"/>
      <c r="C4770" s="109"/>
      <c r="D4770" s="109"/>
      <c r="E4770" s="109"/>
      <c r="F4770" s="109"/>
      <c r="G4770" s="109"/>
      <c r="H4770" s="109"/>
      <c r="I4770" s="109"/>
      <c r="J4770" s="109"/>
      <c r="L4770" s="109"/>
      <c r="M4770" s="109"/>
      <c r="N4770" s="109"/>
      <c r="Q4770" s="121"/>
      <c r="W4770" s="109"/>
    </row>
    <row r="4771" spans="1:23" ht="12.75" hidden="1">
      <c r="A4771" s="109"/>
      <c r="B4771" s="109"/>
      <c r="C4771" s="109"/>
      <c r="D4771" s="109"/>
      <c r="E4771" s="109"/>
      <c r="F4771" s="109"/>
      <c r="G4771" s="109"/>
      <c r="H4771" s="109"/>
      <c r="I4771" s="109"/>
      <c r="J4771" s="109"/>
      <c r="L4771" s="109"/>
      <c r="M4771" s="109"/>
      <c r="N4771" s="109"/>
      <c r="Q4771" s="121"/>
      <c r="W4771" s="109"/>
    </row>
    <row r="4772" spans="1:23" ht="12.75" hidden="1">
      <c r="A4772" s="109"/>
      <c r="B4772" s="109"/>
      <c r="C4772" s="109"/>
      <c r="D4772" s="109"/>
      <c r="E4772" s="109"/>
      <c r="F4772" s="109"/>
      <c r="G4772" s="109"/>
      <c r="H4772" s="109"/>
      <c r="I4772" s="109"/>
      <c r="J4772" s="109"/>
      <c r="L4772" s="109"/>
      <c r="M4772" s="109"/>
      <c r="N4772" s="109"/>
      <c r="Q4772" s="121"/>
      <c r="W4772" s="109"/>
    </row>
    <row r="4773" spans="1:23" ht="12.75" hidden="1">
      <c r="A4773" s="109"/>
      <c r="B4773" s="109"/>
      <c r="C4773" s="109"/>
      <c r="D4773" s="109"/>
      <c r="E4773" s="109"/>
      <c r="F4773" s="109"/>
      <c r="G4773" s="109"/>
      <c r="H4773" s="109"/>
      <c r="I4773" s="109"/>
      <c r="J4773" s="109"/>
      <c r="L4773" s="109"/>
      <c r="M4773" s="109"/>
      <c r="N4773" s="109"/>
      <c r="Q4773" s="121"/>
      <c r="W4773" s="109"/>
    </row>
    <row r="4774" spans="1:23" ht="12.75" hidden="1">
      <c r="A4774" s="109"/>
      <c r="B4774" s="109"/>
      <c r="C4774" s="109"/>
      <c r="D4774" s="109"/>
      <c r="E4774" s="109"/>
      <c r="F4774" s="109"/>
      <c r="G4774" s="109"/>
      <c r="H4774" s="109"/>
      <c r="I4774" s="109"/>
      <c r="J4774" s="109"/>
      <c r="L4774" s="109"/>
      <c r="M4774" s="109"/>
      <c r="N4774" s="109"/>
      <c r="Q4774" s="121"/>
      <c r="W4774" s="109"/>
    </row>
    <row r="4775" spans="1:23" ht="12.75" hidden="1">
      <c r="A4775" s="109"/>
      <c r="B4775" s="109"/>
      <c r="C4775" s="109"/>
      <c r="D4775" s="109"/>
      <c r="E4775" s="109"/>
      <c r="F4775" s="109"/>
      <c r="G4775" s="109"/>
      <c r="H4775" s="109"/>
      <c r="I4775" s="109"/>
      <c r="J4775" s="109"/>
      <c r="L4775" s="109"/>
      <c r="M4775" s="109"/>
      <c r="N4775" s="109"/>
      <c r="Q4775" s="121"/>
      <c r="W4775" s="109"/>
    </row>
    <row r="4776" spans="1:23" ht="12.75" hidden="1">
      <c r="A4776" s="109"/>
      <c r="B4776" s="109"/>
      <c r="C4776" s="109"/>
      <c r="D4776" s="109"/>
      <c r="E4776" s="109"/>
      <c r="F4776" s="109"/>
      <c r="G4776" s="109"/>
      <c r="H4776" s="109"/>
      <c r="I4776" s="109"/>
      <c r="J4776" s="109"/>
      <c r="L4776" s="109"/>
      <c r="M4776" s="109"/>
      <c r="N4776" s="109"/>
      <c r="Q4776" s="121"/>
      <c r="W4776" s="109"/>
    </row>
    <row r="4777" spans="1:23" ht="12.75" hidden="1">
      <c r="A4777" s="109"/>
      <c r="B4777" s="109"/>
      <c r="C4777" s="109"/>
      <c r="D4777" s="109"/>
      <c r="E4777" s="109"/>
      <c r="F4777" s="109"/>
      <c r="G4777" s="109"/>
      <c r="H4777" s="109"/>
      <c r="I4777" s="109"/>
      <c r="J4777" s="109"/>
      <c r="L4777" s="109"/>
      <c r="M4777" s="109"/>
      <c r="N4777" s="109"/>
      <c r="Q4777" s="121"/>
      <c r="W4777" s="109"/>
    </row>
    <row r="4778" spans="1:23" ht="12.75" hidden="1">
      <c r="A4778" s="109"/>
      <c r="B4778" s="109"/>
      <c r="C4778" s="109"/>
      <c r="D4778" s="109"/>
      <c r="E4778" s="109"/>
      <c r="F4778" s="109"/>
      <c r="G4778" s="109"/>
      <c r="H4778" s="109"/>
      <c r="I4778" s="109"/>
      <c r="J4778" s="109"/>
      <c r="L4778" s="109"/>
      <c r="M4778" s="109"/>
      <c r="N4778" s="109"/>
      <c r="Q4778" s="121"/>
      <c r="W4778" s="109"/>
    </row>
    <row r="4779" spans="1:23" ht="12.75" hidden="1">
      <c r="A4779" s="109"/>
      <c r="B4779" s="109"/>
      <c r="C4779" s="109"/>
      <c r="D4779" s="109"/>
      <c r="E4779" s="109"/>
      <c r="F4779" s="109"/>
      <c r="G4779" s="109"/>
      <c r="H4779" s="109"/>
      <c r="I4779" s="109"/>
      <c r="J4779" s="109"/>
      <c r="L4779" s="109"/>
      <c r="M4779" s="109"/>
      <c r="N4779" s="109"/>
      <c r="Q4779" s="121"/>
      <c r="W4779" s="109"/>
    </row>
    <row r="4780" spans="1:23" ht="12.75" hidden="1">
      <c r="A4780" s="109"/>
      <c r="B4780" s="109"/>
      <c r="C4780" s="109"/>
      <c r="D4780" s="109"/>
      <c r="E4780" s="109"/>
      <c r="F4780" s="109"/>
      <c r="G4780" s="109"/>
      <c r="H4780" s="109"/>
      <c r="I4780" s="109"/>
      <c r="J4780" s="109"/>
      <c r="L4780" s="109"/>
      <c r="M4780" s="109"/>
      <c r="N4780" s="109"/>
      <c r="Q4780" s="121"/>
      <c r="W4780" s="109"/>
    </row>
    <row r="4781" spans="1:23" ht="12.75" hidden="1">
      <c r="A4781" s="109"/>
      <c r="B4781" s="109"/>
      <c r="C4781" s="109"/>
      <c r="D4781" s="109"/>
      <c r="E4781" s="109"/>
      <c r="F4781" s="109"/>
      <c r="G4781" s="109"/>
      <c r="H4781" s="109"/>
      <c r="I4781" s="109"/>
      <c r="J4781" s="109"/>
      <c r="L4781" s="109"/>
      <c r="M4781" s="109"/>
      <c r="N4781" s="109"/>
      <c r="Q4781" s="121"/>
      <c r="W4781" s="109"/>
    </row>
    <row r="4782" spans="1:23" ht="12.75" hidden="1">
      <c r="A4782" s="109"/>
      <c r="B4782" s="109"/>
      <c r="C4782" s="109"/>
      <c r="D4782" s="109"/>
      <c r="E4782" s="109"/>
      <c r="F4782" s="109"/>
      <c r="G4782" s="109"/>
      <c r="H4782" s="109"/>
      <c r="I4782" s="109"/>
      <c r="J4782" s="109"/>
      <c r="L4782" s="109"/>
      <c r="M4782" s="109"/>
      <c r="N4782" s="109"/>
      <c r="Q4782" s="121"/>
      <c r="W4782" s="109"/>
    </row>
    <row r="4783" spans="1:23" ht="12.75" hidden="1">
      <c r="A4783" s="109"/>
      <c r="B4783" s="109"/>
      <c r="C4783" s="109"/>
      <c r="D4783" s="109"/>
      <c r="E4783" s="109"/>
      <c r="F4783" s="109"/>
      <c r="G4783" s="109"/>
      <c r="H4783" s="109"/>
      <c r="I4783" s="109"/>
      <c r="J4783" s="109"/>
      <c r="L4783" s="109"/>
      <c r="M4783" s="109"/>
      <c r="N4783" s="109"/>
      <c r="Q4783" s="121"/>
      <c r="W4783" s="109"/>
    </row>
    <row r="4784" spans="1:23" ht="12.75" hidden="1">
      <c r="A4784" s="109"/>
      <c r="B4784" s="109"/>
      <c r="C4784" s="109"/>
      <c r="D4784" s="109"/>
      <c r="E4784" s="109"/>
      <c r="F4784" s="109"/>
      <c r="G4784" s="109"/>
      <c r="H4784" s="109"/>
      <c r="I4784" s="109"/>
      <c r="J4784" s="109"/>
      <c r="L4784" s="109"/>
      <c r="M4784" s="109"/>
      <c r="N4784" s="109"/>
      <c r="Q4784" s="121"/>
      <c r="W4784" s="109"/>
    </row>
    <row r="4785" spans="1:23" ht="12.75" hidden="1">
      <c r="A4785" s="109"/>
      <c r="B4785" s="109"/>
      <c r="C4785" s="109"/>
      <c r="D4785" s="109"/>
      <c r="E4785" s="109"/>
      <c r="F4785" s="109"/>
      <c r="G4785" s="109"/>
      <c r="H4785" s="109"/>
      <c r="I4785" s="109"/>
      <c r="J4785" s="109"/>
      <c r="L4785" s="109"/>
      <c r="M4785" s="109"/>
      <c r="N4785" s="109"/>
      <c r="Q4785" s="121"/>
      <c r="W4785" s="109"/>
    </row>
    <row r="4786" spans="1:23" ht="12.75" hidden="1">
      <c r="A4786" s="109"/>
      <c r="B4786" s="109"/>
      <c r="C4786" s="109"/>
      <c r="D4786" s="109"/>
      <c r="E4786" s="109"/>
      <c r="F4786" s="109"/>
      <c r="G4786" s="109"/>
      <c r="H4786" s="109"/>
      <c r="I4786" s="109"/>
      <c r="J4786" s="109"/>
      <c r="L4786" s="109"/>
      <c r="M4786" s="109"/>
      <c r="N4786" s="109"/>
      <c r="Q4786" s="121"/>
      <c r="W4786" s="109"/>
    </row>
    <row r="4787" spans="1:23" ht="12.75" hidden="1">
      <c r="A4787" s="109"/>
      <c r="B4787" s="109"/>
      <c r="C4787" s="109"/>
      <c r="D4787" s="109"/>
      <c r="E4787" s="109"/>
      <c r="F4787" s="109"/>
      <c r="G4787" s="109"/>
      <c r="H4787" s="109"/>
      <c r="I4787" s="109"/>
      <c r="J4787" s="109"/>
      <c r="L4787" s="109"/>
      <c r="M4787" s="109"/>
      <c r="N4787" s="109"/>
      <c r="Q4787" s="121"/>
      <c r="W4787" s="109"/>
    </row>
    <row r="4788" spans="1:23" ht="12.75" hidden="1">
      <c r="A4788" s="109"/>
      <c r="B4788" s="109"/>
      <c r="C4788" s="109"/>
      <c r="D4788" s="109"/>
      <c r="E4788" s="109"/>
      <c r="F4788" s="109"/>
      <c r="G4788" s="109"/>
      <c r="H4788" s="109"/>
      <c r="I4788" s="109"/>
      <c r="J4788" s="109"/>
      <c r="L4788" s="109"/>
      <c r="M4788" s="109"/>
      <c r="N4788" s="109"/>
      <c r="Q4788" s="121"/>
      <c r="W4788" s="109"/>
    </row>
    <row r="4789" spans="1:23" ht="12.75" hidden="1">
      <c r="A4789" s="109"/>
      <c r="B4789" s="109"/>
      <c r="C4789" s="109"/>
      <c r="D4789" s="109"/>
      <c r="E4789" s="109"/>
      <c r="F4789" s="109"/>
      <c r="G4789" s="109"/>
      <c r="H4789" s="109"/>
      <c r="I4789" s="109"/>
      <c r="J4789" s="109"/>
      <c r="L4789" s="109"/>
      <c r="M4789" s="109"/>
      <c r="N4789" s="109"/>
      <c r="Q4789" s="121"/>
      <c r="W4789" s="109"/>
    </row>
    <row r="4790" spans="1:23" ht="12.75" hidden="1">
      <c r="A4790" s="109"/>
      <c r="B4790" s="109"/>
      <c r="C4790" s="109"/>
      <c r="D4790" s="109"/>
      <c r="E4790" s="109"/>
      <c r="F4790" s="109"/>
      <c r="G4790" s="109"/>
      <c r="H4790" s="109"/>
      <c r="I4790" s="109"/>
      <c r="J4790" s="109"/>
      <c r="L4790" s="109"/>
      <c r="M4790" s="109"/>
      <c r="N4790" s="109"/>
      <c r="Q4790" s="121"/>
      <c r="W4790" s="109"/>
    </row>
    <row r="4791" spans="1:23" ht="12.75" hidden="1">
      <c r="A4791" s="109"/>
      <c r="B4791" s="109"/>
      <c r="C4791" s="109"/>
      <c r="D4791" s="109"/>
      <c r="E4791" s="109"/>
      <c r="F4791" s="109"/>
      <c r="G4791" s="109"/>
      <c r="H4791" s="109"/>
      <c r="I4791" s="109"/>
      <c r="J4791" s="109"/>
      <c r="L4791" s="109"/>
      <c r="M4791" s="109"/>
      <c r="N4791" s="109"/>
      <c r="Q4791" s="121"/>
      <c r="W4791" s="109"/>
    </row>
    <row r="4792" spans="1:23" ht="12.75" hidden="1">
      <c r="A4792" s="109"/>
      <c r="B4792" s="109"/>
      <c r="C4792" s="109"/>
      <c r="D4792" s="109"/>
      <c r="E4792" s="109"/>
      <c r="F4792" s="109"/>
      <c r="G4792" s="109"/>
      <c r="H4792" s="109"/>
      <c r="I4792" s="109"/>
      <c r="J4792" s="109"/>
      <c r="L4792" s="109"/>
      <c r="M4792" s="109"/>
      <c r="N4792" s="109"/>
      <c r="Q4792" s="121"/>
      <c r="W4792" s="109"/>
    </row>
    <row r="4793" spans="1:23" ht="12.75" hidden="1">
      <c r="A4793" s="109"/>
      <c r="B4793" s="109"/>
      <c r="C4793" s="109"/>
      <c r="D4793" s="109"/>
      <c r="E4793" s="109"/>
      <c r="F4793" s="109"/>
      <c r="G4793" s="109"/>
      <c r="H4793" s="109"/>
      <c r="I4793" s="109"/>
      <c r="J4793" s="109"/>
      <c r="L4793" s="109"/>
      <c r="M4793" s="109"/>
      <c r="N4793" s="109"/>
      <c r="Q4793" s="121"/>
      <c r="W4793" s="109"/>
    </row>
    <row r="4794" spans="1:23" ht="12.75" hidden="1">
      <c r="A4794" s="109"/>
      <c r="B4794" s="109"/>
      <c r="C4794" s="109"/>
      <c r="D4794" s="109"/>
      <c r="E4794" s="109"/>
      <c r="F4794" s="109"/>
      <c r="G4794" s="109"/>
      <c r="H4794" s="109"/>
      <c r="I4794" s="109"/>
      <c r="J4794" s="109"/>
      <c r="L4794" s="109"/>
      <c r="M4794" s="109"/>
      <c r="N4794" s="109"/>
      <c r="Q4794" s="121"/>
      <c r="W4794" s="109"/>
    </row>
    <row r="4795" spans="1:23" ht="12.75" hidden="1">
      <c r="A4795" s="109"/>
      <c r="B4795" s="109"/>
      <c r="C4795" s="109"/>
      <c r="D4795" s="109"/>
      <c r="E4795" s="109"/>
      <c r="F4795" s="109"/>
      <c r="G4795" s="109"/>
      <c r="H4795" s="109"/>
      <c r="I4795" s="109"/>
      <c r="J4795" s="109"/>
      <c r="L4795" s="109"/>
      <c r="M4795" s="109"/>
      <c r="N4795" s="109"/>
      <c r="Q4795" s="121"/>
      <c r="W4795" s="109"/>
    </row>
    <row r="4796" spans="1:23" ht="12.75" hidden="1">
      <c r="A4796" s="109"/>
      <c r="B4796" s="109"/>
      <c r="C4796" s="109"/>
      <c r="D4796" s="109"/>
      <c r="E4796" s="109"/>
      <c r="F4796" s="109"/>
      <c r="G4796" s="109"/>
      <c r="H4796" s="109"/>
      <c r="I4796" s="109"/>
      <c r="J4796" s="109"/>
      <c r="L4796" s="109"/>
      <c r="M4796" s="109"/>
      <c r="N4796" s="109"/>
      <c r="Q4796" s="121"/>
      <c r="W4796" s="109"/>
    </row>
    <row r="4797" spans="1:23" ht="12.75" hidden="1">
      <c r="A4797" s="109"/>
      <c r="B4797" s="109"/>
      <c r="C4797" s="109"/>
      <c r="D4797" s="109"/>
      <c r="E4797" s="109"/>
      <c r="F4797" s="109"/>
      <c r="G4797" s="109"/>
      <c r="H4797" s="109"/>
      <c r="I4797" s="109"/>
      <c r="J4797" s="109"/>
      <c r="L4797" s="109"/>
      <c r="M4797" s="109"/>
      <c r="N4797" s="109"/>
      <c r="Q4797" s="121"/>
      <c r="W4797" s="109"/>
    </row>
    <row r="4798" spans="1:23" ht="12.75" hidden="1">
      <c r="A4798" s="109"/>
      <c r="B4798" s="109"/>
      <c r="C4798" s="109"/>
      <c r="D4798" s="109"/>
      <c r="E4798" s="109"/>
      <c r="F4798" s="109"/>
      <c r="G4798" s="109"/>
      <c r="H4798" s="109"/>
      <c r="I4798" s="109"/>
      <c r="J4798" s="109"/>
      <c r="L4798" s="109"/>
      <c r="M4798" s="109"/>
      <c r="N4798" s="109"/>
      <c r="Q4798" s="121"/>
      <c r="W4798" s="109"/>
    </row>
    <row r="4799" spans="1:23" ht="12.75" hidden="1">
      <c r="A4799" s="109"/>
      <c r="B4799" s="109"/>
      <c r="C4799" s="109"/>
      <c r="D4799" s="109"/>
      <c r="E4799" s="109"/>
      <c r="F4799" s="109"/>
      <c r="G4799" s="109"/>
      <c r="H4799" s="109"/>
      <c r="I4799" s="109"/>
      <c r="J4799" s="109"/>
      <c r="L4799" s="109"/>
      <c r="M4799" s="109"/>
      <c r="N4799" s="109"/>
      <c r="Q4799" s="121"/>
      <c r="W4799" s="109"/>
    </row>
    <row r="4800" spans="1:23" ht="12.75" hidden="1">
      <c r="A4800" s="109"/>
      <c r="B4800" s="109"/>
      <c r="C4800" s="109"/>
      <c r="D4800" s="109"/>
      <c r="E4800" s="109"/>
      <c r="F4800" s="109"/>
      <c r="G4800" s="109"/>
      <c r="H4800" s="109"/>
      <c r="I4800" s="109"/>
      <c r="J4800" s="109"/>
      <c r="L4800" s="109"/>
      <c r="M4800" s="109"/>
      <c r="N4800" s="109"/>
      <c r="Q4800" s="121"/>
      <c r="W4800" s="109"/>
    </row>
    <row r="4801" spans="1:23" ht="12.75" hidden="1">
      <c r="A4801" s="109"/>
      <c r="B4801" s="109"/>
      <c r="C4801" s="109"/>
      <c r="D4801" s="109"/>
      <c r="E4801" s="109"/>
      <c r="F4801" s="109"/>
      <c r="G4801" s="109"/>
      <c r="H4801" s="109"/>
      <c r="I4801" s="109"/>
      <c r="J4801" s="109"/>
      <c r="L4801" s="109"/>
      <c r="M4801" s="109"/>
      <c r="N4801" s="109"/>
      <c r="Q4801" s="121"/>
      <c r="W4801" s="109"/>
    </row>
    <row r="4802" spans="1:23" ht="12.75" hidden="1">
      <c r="A4802" s="109"/>
      <c r="B4802" s="109"/>
      <c r="C4802" s="109"/>
      <c r="D4802" s="109"/>
      <c r="E4802" s="109"/>
      <c r="F4802" s="109"/>
      <c r="G4802" s="109"/>
      <c r="H4802" s="109"/>
      <c r="I4802" s="109"/>
      <c r="J4802" s="109"/>
      <c r="L4802" s="109"/>
      <c r="M4802" s="109"/>
      <c r="N4802" s="109"/>
      <c r="Q4802" s="121"/>
      <c r="W4802" s="109"/>
    </row>
    <row r="4803" spans="1:23" ht="12.75" hidden="1">
      <c r="A4803" s="109"/>
      <c r="B4803" s="109"/>
      <c r="C4803" s="109"/>
      <c r="D4803" s="109"/>
      <c r="E4803" s="109"/>
      <c r="F4803" s="109"/>
      <c r="G4803" s="109"/>
      <c r="H4803" s="109"/>
      <c r="I4803" s="109"/>
      <c r="J4803" s="109"/>
      <c r="L4803" s="109"/>
      <c r="M4803" s="109"/>
      <c r="N4803" s="109"/>
      <c r="Q4803" s="121"/>
      <c r="W4803" s="109"/>
    </row>
    <row r="4804" spans="1:23" ht="12.75" hidden="1">
      <c r="A4804" s="109"/>
      <c r="B4804" s="109"/>
      <c r="C4804" s="109"/>
      <c r="D4804" s="109"/>
      <c r="E4804" s="109"/>
      <c r="F4804" s="109"/>
      <c r="G4804" s="109"/>
      <c r="H4804" s="109"/>
      <c r="I4804" s="109"/>
      <c r="J4804" s="109"/>
      <c r="L4804" s="109"/>
      <c r="M4804" s="109"/>
      <c r="N4804" s="109"/>
      <c r="Q4804" s="121"/>
      <c r="W4804" s="109"/>
    </row>
    <row r="4805" spans="1:23" ht="12.75" hidden="1">
      <c r="A4805" s="109"/>
      <c r="B4805" s="109"/>
      <c r="C4805" s="109"/>
      <c r="D4805" s="109"/>
      <c r="E4805" s="109"/>
      <c r="F4805" s="109"/>
      <c r="G4805" s="109"/>
      <c r="H4805" s="109"/>
      <c r="I4805" s="109"/>
      <c r="J4805" s="109"/>
      <c r="L4805" s="109"/>
      <c r="M4805" s="109"/>
      <c r="N4805" s="109"/>
      <c r="Q4805" s="121"/>
      <c r="W4805" s="109"/>
    </row>
    <row r="4806" spans="1:23" ht="12.75" hidden="1">
      <c r="A4806" s="109"/>
      <c r="B4806" s="109"/>
      <c r="C4806" s="109"/>
      <c r="D4806" s="109"/>
      <c r="E4806" s="109"/>
      <c r="F4806" s="109"/>
      <c r="G4806" s="109"/>
      <c r="H4806" s="109"/>
      <c r="I4806" s="109"/>
      <c r="J4806" s="109"/>
      <c r="L4806" s="109"/>
      <c r="M4806" s="109"/>
      <c r="N4806" s="109"/>
      <c r="Q4806" s="121"/>
      <c r="W4806" s="109"/>
    </row>
    <row r="4807" spans="1:23" ht="12.75" hidden="1">
      <c r="A4807" s="109"/>
      <c r="B4807" s="109"/>
      <c r="C4807" s="109"/>
      <c r="D4807" s="109"/>
      <c r="E4807" s="109"/>
      <c r="F4807" s="109"/>
      <c r="G4807" s="109"/>
      <c r="H4807" s="109"/>
      <c r="I4807" s="109"/>
      <c r="J4807" s="109"/>
      <c r="L4807" s="109"/>
      <c r="M4807" s="109"/>
      <c r="N4807" s="109"/>
      <c r="Q4807" s="121"/>
      <c r="W4807" s="109"/>
    </row>
    <row r="4808" spans="1:23" ht="12.75" hidden="1">
      <c r="A4808" s="109"/>
      <c r="B4808" s="109"/>
      <c r="C4808" s="109"/>
      <c r="D4808" s="109"/>
      <c r="E4808" s="109"/>
      <c r="F4808" s="109"/>
      <c r="G4808" s="109"/>
      <c r="H4808" s="109"/>
      <c r="I4808" s="109"/>
      <c r="J4808" s="109"/>
      <c r="L4808" s="109"/>
      <c r="M4808" s="109"/>
      <c r="N4808" s="109"/>
      <c r="Q4808" s="121"/>
      <c r="W4808" s="109"/>
    </row>
    <row r="4809" spans="1:23" ht="12.75" hidden="1">
      <c r="A4809" s="109"/>
      <c r="B4809" s="109"/>
      <c r="C4809" s="109"/>
      <c r="D4809" s="109"/>
      <c r="E4809" s="109"/>
      <c r="F4809" s="109"/>
      <c r="G4809" s="109"/>
      <c r="H4809" s="109"/>
      <c r="I4809" s="109"/>
      <c r="J4809" s="109"/>
      <c r="L4809" s="109"/>
      <c r="M4809" s="109"/>
      <c r="N4809" s="109"/>
      <c r="Q4809" s="121"/>
      <c r="W4809" s="109"/>
    </row>
    <row r="4810" spans="1:23" ht="12.75" hidden="1">
      <c r="A4810" s="109"/>
      <c r="B4810" s="109"/>
      <c r="C4810" s="109"/>
      <c r="D4810" s="109"/>
      <c r="E4810" s="109"/>
      <c r="F4810" s="109"/>
      <c r="G4810" s="109"/>
      <c r="H4810" s="109"/>
      <c r="I4810" s="109"/>
      <c r="J4810" s="109"/>
      <c r="L4810" s="109"/>
      <c r="M4810" s="109"/>
      <c r="N4810" s="109"/>
      <c r="Q4810" s="121"/>
      <c r="W4810" s="109"/>
    </row>
    <row r="4811" spans="1:23" ht="12.75" hidden="1">
      <c r="A4811" s="109"/>
      <c r="B4811" s="109"/>
      <c r="C4811" s="109"/>
      <c r="D4811" s="109"/>
      <c r="E4811" s="109"/>
      <c r="F4811" s="109"/>
      <c r="G4811" s="109"/>
      <c r="H4811" s="109"/>
      <c r="I4811" s="109"/>
      <c r="J4811" s="109"/>
      <c r="L4811" s="109"/>
      <c r="M4811" s="109"/>
      <c r="N4811" s="109"/>
      <c r="Q4811" s="121"/>
      <c r="W4811" s="109"/>
    </row>
    <row r="4812" spans="1:23" ht="12.75" hidden="1">
      <c r="A4812" s="109"/>
      <c r="B4812" s="109"/>
      <c r="C4812" s="109"/>
      <c r="D4812" s="109"/>
      <c r="E4812" s="109"/>
      <c r="F4812" s="109"/>
      <c r="G4812" s="109"/>
      <c r="H4812" s="109"/>
      <c r="I4812" s="109"/>
      <c r="J4812" s="109"/>
      <c r="L4812" s="109"/>
      <c r="M4812" s="109"/>
      <c r="N4812" s="109"/>
      <c r="Q4812" s="121"/>
      <c r="W4812" s="109"/>
    </row>
    <row r="4813" spans="1:23" ht="12.75" hidden="1">
      <c r="A4813" s="109"/>
      <c r="B4813" s="109"/>
      <c r="C4813" s="109"/>
      <c r="D4813" s="109"/>
      <c r="E4813" s="109"/>
      <c r="F4813" s="109"/>
      <c r="G4813" s="109"/>
      <c r="H4813" s="109"/>
      <c r="I4813" s="109"/>
      <c r="J4813" s="109"/>
      <c r="L4813" s="109"/>
      <c r="M4813" s="109"/>
      <c r="N4813" s="109"/>
      <c r="Q4813" s="121"/>
      <c r="W4813" s="109"/>
    </row>
    <row r="4814" spans="1:23" ht="12.75" hidden="1">
      <c r="A4814" s="109"/>
      <c r="B4814" s="109"/>
      <c r="C4814" s="109"/>
      <c r="D4814" s="109"/>
      <c r="E4814" s="109"/>
      <c r="F4814" s="109"/>
      <c r="G4814" s="109"/>
      <c r="H4814" s="109"/>
      <c r="I4814" s="109"/>
      <c r="J4814" s="109"/>
      <c r="L4814" s="109"/>
      <c r="M4814" s="109"/>
      <c r="N4814" s="109"/>
      <c r="Q4814" s="121"/>
      <c r="W4814" s="109"/>
    </row>
    <row r="4815" spans="1:23" ht="12.75" hidden="1">
      <c r="A4815" s="109"/>
      <c r="B4815" s="109"/>
      <c r="C4815" s="109"/>
      <c r="D4815" s="109"/>
      <c r="E4815" s="109"/>
      <c r="F4815" s="109"/>
      <c r="G4815" s="109"/>
      <c r="H4815" s="109"/>
      <c r="I4815" s="109"/>
      <c r="J4815" s="109"/>
      <c r="L4815" s="109"/>
      <c r="M4815" s="109"/>
      <c r="N4815" s="109"/>
      <c r="Q4815" s="121"/>
      <c r="W4815" s="109"/>
    </row>
    <row r="4816" spans="1:23" ht="12.75" hidden="1">
      <c r="A4816" s="109"/>
      <c r="B4816" s="109"/>
      <c r="C4816" s="109"/>
      <c r="D4816" s="109"/>
      <c r="E4816" s="109"/>
      <c r="F4816" s="109"/>
      <c r="G4816" s="109"/>
      <c r="H4816" s="109"/>
      <c r="I4816" s="109"/>
      <c r="J4816" s="109"/>
      <c r="L4816" s="109"/>
      <c r="M4816" s="109"/>
      <c r="N4816" s="109"/>
      <c r="Q4816" s="121"/>
      <c r="W4816" s="109"/>
    </row>
    <row r="4817" spans="1:23" ht="12.75" hidden="1">
      <c r="A4817" s="109"/>
      <c r="B4817" s="109"/>
      <c r="C4817" s="109"/>
      <c r="D4817" s="109"/>
      <c r="E4817" s="109"/>
      <c r="F4817" s="109"/>
      <c r="G4817" s="109"/>
      <c r="H4817" s="109"/>
      <c r="I4817" s="109"/>
      <c r="J4817" s="109"/>
      <c r="L4817" s="109"/>
      <c r="M4817" s="109"/>
      <c r="N4817" s="109"/>
      <c r="Q4817" s="121"/>
      <c r="W4817" s="109"/>
    </row>
    <row r="4818" spans="1:23" ht="12.75" hidden="1">
      <c r="A4818" s="109"/>
      <c r="B4818" s="109"/>
      <c r="C4818" s="109"/>
      <c r="D4818" s="109"/>
      <c r="E4818" s="109"/>
      <c r="F4818" s="109"/>
      <c r="G4818" s="109"/>
      <c r="H4818" s="109"/>
      <c r="I4818" s="109"/>
      <c r="J4818" s="109"/>
      <c r="L4818" s="109"/>
      <c r="M4818" s="109"/>
      <c r="N4818" s="109"/>
      <c r="Q4818" s="121"/>
      <c r="W4818" s="109"/>
    </row>
    <row r="4819" spans="1:23" ht="12.75" hidden="1">
      <c r="A4819" s="109"/>
      <c r="B4819" s="109"/>
      <c r="C4819" s="109"/>
      <c r="D4819" s="109"/>
      <c r="E4819" s="109"/>
      <c r="F4819" s="109"/>
      <c r="G4819" s="109"/>
      <c r="H4819" s="109"/>
      <c r="I4819" s="109"/>
      <c r="J4819" s="109"/>
      <c r="L4819" s="109"/>
      <c r="M4819" s="109"/>
      <c r="N4819" s="109"/>
      <c r="Q4819" s="121"/>
      <c r="W4819" s="109"/>
    </row>
    <row r="4820" spans="1:23" ht="12.75" hidden="1">
      <c r="A4820" s="109"/>
      <c r="B4820" s="109"/>
      <c r="C4820" s="109"/>
      <c r="D4820" s="109"/>
      <c r="E4820" s="109"/>
      <c r="F4820" s="109"/>
      <c r="G4820" s="109"/>
      <c r="H4820" s="109"/>
      <c r="I4820" s="109"/>
      <c r="J4820" s="109"/>
      <c r="L4820" s="109"/>
      <c r="M4820" s="109"/>
      <c r="N4820" s="109"/>
      <c r="Q4820" s="121"/>
      <c r="W4820" s="109"/>
    </row>
    <row r="4821" spans="1:23" ht="12.75" hidden="1">
      <c r="A4821" s="109"/>
      <c r="B4821" s="109"/>
      <c r="C4821" s="109"/>
      <c r="D4821" s="109"/>
      <c r="E4821" s="109"/>
      <c r="F4821" s="109"/>
      <c r="G4821" s="109"/>
      <c r="H4821" s="109"/>
      <c r="I4821" s="109"/>
      <c r="J4821" s="109"/>
      <c r="L4821" s="109"/>
      <c r="M4821" s="109"/>
      <c r="N4821" s="109"/>
      <c r="Q4821" s="121"/>
      <c r="W4821" s="109"/>
    </row>
    <row r="4822" spans="1:23" ht="12.75" hidden="1">
      <c r="A4822" s="109"/>
      <c r="B4822" s="109"/>
      <c r="C4822" s="109"/>
      <c r="D4822" s="109"/>
      <c r="E4822" s="109"/>
      <c r="F4822" s="109"/>
      <c r="G4822" s="109"/>
      <c r="H4822" s="109"/>
      <c r="I4822" s="109"/>
      <c r="J4822" s="109"/>
      <c r="L4822" s="109"/>
      <c r="M4822" s="109"/>
      <c r="N4822" s="109"/>
      <c r="Q4822" s="121"/>
      <c r="W4822" s="109"/>
    </row>
    <row r="4823" spans="1:23" ht="12.75" hidden="1">
      <c r="A4823" s="109"/>
      <c r="B4823" s="109"/>
      <c r="C4823" s="109"/>
      <c r="D4823" s="109"/>
      <c r="E4823" s="109"/>
      <c r="F4823" s="109"/>
      <c r="G4823" s="109"/>
      <c r="H4823" s="109"/>
      <c r="I4823" s="109"/>
      <c r="J4823" s="109"/>
      <c r="L4823" s="109"/>
      <c r="M4823" s="109"/>
      <c r="N4823" s="109"/>
      <c r="Q4823" s="121"/>
      <c r="W4823" s="109"/>
    </row>
    <row r="4824" spans="1:23" ht="12.75" hidden="1">
      <c r="A4824" s="109"/>
      <c r="B4824" s="109"/>
      <c r="C4824" s="109"/>
      <c r="D4824" s="109"/>
      <c r="E4824" s="109"/>
      <c r="F4824" s="109"/>
      <c r="G4824" s="109"/>
      <c r="H4824" s="109"/>
      <c r="I4824" s="109"/>
      <c r="J4824" s="109"/>
      <c r="L4824" s="109"/>
      <c r="M4824" s="109"/>
      <c r="N4824" s="109"/>
      <c r="Q4824" s="121"/>
      <c r="W4824" s="109"/>
    </row>
    <row r="4825" spans="1:23" ht="12.75" hidden="1">
      <c r="A4825" s="109"/>
      <c r="B4825" s="109"/>
      <c r="C4825" s="109"/>
      <c r="D4825" s="109"/>
      <c r="E4825" s="109"/>
      <c r="F4825" s="109"/>
      <c r="G4825" s="109"/>
      <c r="H4825" s="109"/>
      <c r="I4825" s="109"/>
      <c r="J4825" s="109"/>
      <c r="L4825" s="109"/>
      <c r="M4825" s="109"/>
      <c r="N4825" s="109"/>
      <c r="Q4825" s="121"/>
      <c r="W4825" s="109"/>
    </row>
    <row r="4826" spans="1:23" ht="12.75" hidden="1">
      <c r="A4826" s="109"/>
      <c r="B4826" s="109"/>
      <c r="C4826" s="109"/>
      <c r="D4826" s="109"/>
      <c r="E4826" s="109"/>
      <c r="F4826" s="109"/>
      <c r="G4826" s="109"/>
      <c r="H4826" s="109"/>
      <c r="I4826" s="109"/>
      <c r="J4826" s="109"/>
      <c r="L4826" s="109"/>
      <c r="M4826" s="109"/>
      <c r="N4826" s="109"/>
      <c r="Q4826" s="121"/>
      <c r="W4826" s="109"/>
    </row>
    <row r="4827" spans="1:23" ht="12.75" hidden="1">
      <c r="A4827" s="109"/>
      <c r="B4827" s="109"/>
      <c r="C4827" s="109"/>
      <c r="D4827" s="109"/>
      <c r="E4827" s="109"/>
      <c r="F4827" s="109"/>
      <c r="G4827" s="109"/>
      <c r="H4827" s="109"/>
      <c r="I4827" s="109"/>
      <c r="J4827" s="109"/>
      <c r="L4827" s="109"/>
      <c r="M4827" s="109"/>
      <c r="N4827" s="109"/>
      <c r="Q4827" s="121"/>
      <c r="W4827" s="109"/>
    </row>
    <row r="4828" spans="1:23" ht="12.75" hidden="1">
      <c r="A4828" s="109"/>
      <c r="B4828" s="109"/>
      <c r="C4828" s="109"/>
      <c r="D4828" s="109"/>
      <c r="E4828" s="109"/>
      <c r="F4828" s="109"/>
      <c r="G4828" s="109"/>
      <c r="H4828" s="109"/>
      <c r="I4828" s="109"/>
      <c r="J4828" s="109"/>
      <c r="L4828" s="109"/>
      <c r="M4828" s="109"/>
      <c r="N4828" s="109"/>
      <c r="Q4828" s="121"/>
      <c r="W4828" s="109"/>
    </row>
    <row r="4829" spans="1:23" ht="12.75" hidden="1">
      <c r="A4829" s="109"/>
      <c r="B4829" s="109"/>
      <c r="C4829" s="109"/>
      <c r="D4829" s="109"/>
      <c r="E4829" s="109"/>
      <c r="F4829" s="109"/>
      <c r="G4829" s="109"/>
      <c r="H4829" s="109"/>
      <c r="I4829" s="109"/>
      <c r="J4829" s="109"/>
      <c r="L4829" s="109"/>
      <c r="M4829" s="109"/>
      <c r="N4829" s="109"/>
      <c r="Q4829" s="121"/>
      <c r="W4829" s="109"/>
    </row>
    <row r="4830" spans="1:23" ht="12.75" hidden="1">
      <c r="A4830" s="109"/>
      <c r="B4830" s="109"/>
      <c r="C4830" s="109"/>
      <c r="D4830" s="109"/>
      <c r="E4830" s="109"/>
      <c r="F4830" s="109"/>
      <c r="G4830" s="109"/>
      <c r="H4830" s="109"/>
      <c r="I4830" s="109"/>
      <c r="J4830" s="109"/>
      <c r="L4830" s="109"/>
      <c r="M4830" s="109"/>
      <c r="N4830" s="109"/>
      <c r="Q4830" s="121"/>
      <c r="W4830" s="109"/>
    </row>
    <row r="4831" spans="1:23" ht="12.75" hidden="1">
      <c r="A4831" s="109"/>
      <c r="B4831" s="109"/>
      <c r="C4831" s="109"/>
      <c r="D4831" s="109"/>
      <c r="E4831" s="109"/>
      <c r="F4831" s="109"/>
      <c r="G4831" s="109"/>
      <c r="H4831" s="109"/>
      <c r="I4831" s="109"/>
      <c r="J4831" s="109"/>
      <c r="L4831" s="109"/>
      <c r="M4831" s="109"/>
      <c r="N4831" s="109"/>
      <c r="Q4831" s="121"/>
      <c r="W4831" s="109"/>
    </row>
    <row r="4832" spans="1:23" ht="12.75" hidden="1">
      <c r="A4832" s="109"/>
      <c r="B4832" s="109"/>
      <c r="C4832" s="109"/>
      <c r="D4832" s="109"/>
      <c r="E4832" s="109"/>
      <c r="F4832" s="109"/>
      <c r="G4832" s="109"/>
      <c r="H4832" s="109"/>
      <c r="I4832" s="109"/>
      <c r="J4832" s="109"/>
      <c r="L4832" s="109"/>
      <c r="M4832" s="109"/>
      <c r="N4832" s="109"/>
      <c r="Q4832" s="121"/>
      <c r="W4832" s="109"/>
    </row>
    <row r="4833" spans="1:23" ht="12.75" hidden="1">
      <c r="A4833" s="109"/>
      <c r="B4833" s="109"/>
      <c r="C4833" s="109"/>
      <c r="D4833" s="109"/>
      <c r="E4833" s="109"/>
      <c r="F4833" s="109"/>
      <c r="G4833" s="109"/>
      <c r="H4833" s="109"/>
      <c r="I4833" s="109"/>
      <c r="J4833" s="109"/>
      <c r="L4833" s="109"/>
      <c r="M4833" s="109"/>
      <c r="N4833" s="109"/>
      <c r="Q4833" s="121"/>
      <c r="W4833" s="109"/>
    </row>
    <row r="4834" spans="1:23" ht="12.75" hidden="1">
      <c r="A4834" s="109"/>
      <c r="B4834" s="109"/>
      <c r="C4834" s="109"/>
      <c r="D4834" s="109"/>
      <c r="E4834" s="109"/>
      <c r="F4834" s="109"/>
      <c r="G4834" s="109"/>
      <c r="H4834" s="109"/>
      <c r="I4834" s="109"/>
      <c r="J4834" s="109"/>
      <c r="L4834" s="109"/>
      <c r="M4834" s="109"/>
      <c r="N4834" s="109"/>
      <c r="Q4834" s="121"/>
      <c r="W4834" s="109"/>
    </row>
    <row r="4835" spans="1:23" ht="12.75" hidden="1">
      <c r="A4835" s="109"/>
      <c r="B4835" s="109"/>
      <c r="C4835" s="109"/>
      <c r="D4835" s="109"/>
      <c r="E4835" s="109"/>
      <c r="F4835" s="109"/>
      <c r="G4835" s="109"/>
      <c r="H4835" s="109"/>
      <c r="I4835" s="109"/>
      <c r="J4835" s="109"/>
      <c r="L4835" s="109"/>
      <c r="M4835" s="109"/>
      <c r="N4835" s="109"/>
      <c r="Q4835" s="121"/>
      <c r="W4835" s="109"/>
    </row>
    <row r="4836" spans="1:23" ht="12.75" hidden="1">
      <c r="A4836" s="109"/>
      <c r="B4836" s="109"/>
      <c r="C4836" s="109"/>
      <c r="D4836" s="109"/>
      <c r="E4836" s="109"/>
      <c r="F4836" s="109"/>
      <c r="G4836" s="109"/>
      <c r="H4836" s="109"/>
      <c r="I4836" s="109"/>
      <c r="J4836" s="109"/>
      <c r="L4836" s="109"/>
      <c r="M4836" s="109"/>
      <c r="N4836" s="109"/>
      <c r="Q4836" s="121"/>
      <c r="W4836" s="109"/>
    </row>
    <row r="4837" spans="1:23" ht="12.75" hidden="1">
      <c r="A4837" s="109"/>
      <c r="B4837" s="109"/>
      <c r="C4837" s="109"/>
      <c r="D4837" s="109"/>
      <c r="E4837" s="109"/>
      <c r="F4837" s="109"/>
      <c r="G4837" s="109"/>
      <c r="H4837" s="109"/>
      <c r="I4837" s="109"/>
      <c r="J4837" s="109"/>
      <c r="L4837" s="109"/>
      <c r="M4837" s="109"/>
      <c r="N4837" s="109"/>
      <c r="Q4837" s="121"/>
      <c r="W4837" s="109"/>
    </row>
    <row r="4838" spans="1:23" ht="12.75" hidden="1">
      <c r="A4838" s="109"/>
      <c r="B4838" s="109"/>
      <c r="C4838" s="109"/>
      <c r="D4838" s="109"/>
      <c r="E4838" s="109"/>
      <c r="F4838" s="109"/>
      <c r="G4838" s="109"/>
      <c r="H4838" s="109"/>
      <c r="I4838" s="109"/>
      <c r="J4838" s="109"/>
      <c r="L4838" s="109"/>
      <c r="M4838" s="109"/>
      <c r="N4838" s="109"/>
      <c r="Q4838" s="121"/>
      <c r="W4838" s="109"/>
    </row>
    <row r="4839" spans="1:23" ht="12.75" hidden="1">
      <c r="A4839" s="109"/>
      <c r="B4839" s="109"/>
      <c r="C4839" s="109"/>
      <c r="D4839" s="109"/>
      <c r="E4839" s="109"/>
      <c r="F4839" s="109"/>
      <c r="G4839" s="109"/>
      <c r="H4839" s="109"/>
      <c r="I4839" s="109"/>
      <c r="J4839" s="109"/>
      <c r="L4839" s="109"/>
      <c r="M4839" s="109"/>
      <c r="N4839" s="109"/>
      <c r="Q4839" s="121"/>
      <c r="W4839" s="109"/>
    </row>
    <row r="4840" spans="1:23" ht="12.75" hidden="1">
      <c r="A4840" s="109"/>
      <c r="B4840" s="109"/>
      <c r="C4840" s="109"/>
      <c r="D4840" s="109"/>
      <c r="E4840" s="109"/>
      <c r="F4840" s="109"/>
      <c r="G4840" s="109"/>
      <c r="H4840" s="109"/>
      <c r="I4840" s="109"/>
      <c r="J4840" s="109"/>
      <c r="L4840" s="109"/>
      <c r="M4840" s="109"/>
      <c r="N4840" s="109"/>
      <c r="Q4840" s="121"/>
      <c r="W4840" s="109"/>
    </row>
    <row r="4841" spans="1:23" ht="12.75" hidden="1">
      <c r="A4841" s="109"/>
      <c r="B4841" s="109"/>
      <c r="C4841" s="109"/>
      <c r="D4841" s="109"/>
      <c r="E4841" s="109"/>
      <c r="F4841" s="109"/>
      <c r="G4841" s="109"/>
      <c r="H4841" s="109"/>
      <c r="I4841" s="109"/>
      <c r="J4841" s="109"/>
      <c r="L4841" s="109"/>
      <c r="M4841" s="109"/>
      <c r="N4841" s="109"/>
      <c r="Q4841" s="121"/>
      <c r="W4841" s="109"/>
    </row>
    <row r="4842" spans="1:23" ht="12.75" hidden="1">
      <c r="A4842" s="109"/>
      <c r="B4842" s="109"/>
      <c r="C4842" s="109"/>
      <c r="D4842" s="109"/>
      <c r="E4842" s="109"/>
      <c r="F4842" s="109"/>
      <c r="G4842" s="109"/>
      <c r="H4842" s="109"/>
      <c r="I4842" s="109"/>
      <c r="J4842" s="109"/>
      <c r="L4842" s="109"/>
      <c r="M4842" s="109"/>
      <c r="N4842" s="109"/>
      <c r="Q4842" s="121"/>
      <c r="W4842" s="109"/>
    </row>
    <row r="4843" spans="1:23" ht="12.75" hidden="1">
      <c r="A4843" s="109"/>
      <c r="B4843" s="109"/>
      <c r="C4843" s="109"/>
      <c r="D4843" s="109"/>
      <c r="E4843" s="109"/>
      <c r="F4843" s="109"/>
      <c r="G4843" s="109"/>
      <c r="H4843" s="109"/>
      <c r="I4843" s="109"/>
      <c r="J4843" s="109"/>
      <c r="L4843" s="109"/>
      <c r="M4843" s="109"/>
      <c r="N4843" s="109"/>
      <c r="Q4843" s="121"/>
      <c r="W4843" s="109"/>
    </row>
    <row r="4844" spans="1:23" ht="12.75" hidden="1">
      <c r="A4844" s="109"/>
      <c r="B4844" s="109"/>
      <c r="C4844" s="109"/>
      <c r="D4844" s="109"/>
      <c r="E4844" s="109"/>
      <c r="F4844" s="109"/>
      <c r="G4844" s="109"/>
      <c r="H4844" s="109"/>
      <c r="I4844" s="109"/>
      <c r="J4844" s="109"/>
      <c r="L4844" s="109"/>
      <c r="M4844" s="109"/>
      <c r="N4844" s="109"/>
      <c r="Q4844" s="121"/>
      <c r="W4844" s="109"/>
    </row>
    <row r="4845" spans="1:23" ht="12.75" hidden="1">
      <c r="A4845" s="109"/>
      <c r="B4845" s="109"/>
      <c r="C4845" s="109"/>
      <c r="D4845" s="109"/>
      <c r="E4845" s="109"/>
      <c r="F4845" s="109"/>
      <c r="G4845" s="109"/>
      <c r="H4845" s="109"/>
      <c r="I4845" s="109"/>
      <c r="J4845" s="109"/>
      <c r="L4845" s="109"/>
      <c r="M4845" s="109"/>
      <c r="N4845" s="109"/>
      <c r="Q4845" s="121"/>
      <c r="W4845" s="109"/>
    </row>
    <row r="4846" spans="1:23" ht="12.75" hidden="1">
      <c r="A4846" s="109"/>
      <c r="B4846" s="109"/>
      <c r="C4846" s="109"/>
      <c r="D4846" s="109"/>
      <c r="E4846" s="109"/>
      <c r="F4846" s="109"/>
      <c r="G4846" s="109"/>
      <c r="H4846" s="109"/>
      <c r="I4846" s="109"/>
      <c r="J4846" s="109"/>
      <c r="L4846" s="109"/>
      <c r="M4846" s="109"/>
      <c r="N4846" s="109"/>
      <c r="Q4846" s="121"/>
      <c r="W4846" s="109"/>
    </row>
    <row r="4847" spans="1:23" ht="12.75" hidden="1">
      <c r="A4847" s="109"/>
      <c r="B4847" s="109"/>
      <c r="C4847" s="109"/>
      <c r="D4847" s="109"/>
      <c r="E4847" s="109"/>
      <c r="F4847" s="109"/>
      <c r="G4847" s="109"/>
      <c r="H4847" s="109"/>
      <c r="I4847" s="109"/>
      <c r="J4847" s="109"/>
      <c r="L4847" s="109"/>
      <c r="M4847" s="109"/>
      <c r="N4847" s="109"/>
      <c r="Q4847" s="121"/>
      <c r="W4847" s="109"/>
    </row>
    <row r="4848" spans="1:23" ht="12.75" hidden="1">
      <c r="A4848" s="109"/>
      <c r="B4848" s="109"/>
      <c r="C4848" s="109"/>
      <c r="D4848" s="109"/>
      <c r="E4848" s="109"/>
      <c r="F4848" s="109"/>
      <c r="G4848" s="109"/>
      <c r="H4848" s="109"/>
      <c r="I4848" s="109"/>
      <c r="J4848" s="109"/>
      <c r="L4848" s="109"/>
      <c r="M4848" s="109"/>
      <c r="N4848" s="109"/>
      <c r="Q4848" s="121"/>
      <c r="W4848" s="109"/>
    </row>
    <row r="4849" spans="1:23" ht="12.75" hidden="1">
      <c r="A4849" s="109"/>
      <c r="B4849" s="109"/>
      <c r="C4849" s="109"/>
      <c r="D4849" s="109"/>
      <c r="E4849" s="109"/>
      <c r="F4849" s="109"/>
      <c r="G4849" s="109"/>
      <c r="H4849" s="109"/>
      <c r="I4849" s="109"/>
      <c r="J4849" s="109"/>
      <c r="L4849" s="109"/>
      <c r="M4849" s="109"/>
      <c r="N4849" s="109"/>
      <c r="Q4849" s="121"/>
      <c r="W4849" s="109"/>
    </row>
    <row r="4850" spans="1:23" ht="12.75" hidden="1">
      <c r="A4850" s="109"/>
      <c r="B4850" s="109"/>
      <c r="C4850" s="109"/>
      <c r="D4850" s="109"/>
      <c r="E4850" s="109"/>
      <c r="F4850" s="109"/>
      <c r="G4850" s="109"/>
      <c r="H4850" s="109"/>
      <c r="I4850" s="109"/>
      <c r="J4850" s="109"/>
      <c r="L4850" s="109"/>
      <c r="M4850" s="109"/>
      <c r="N4850" s="109"/>
      <c r="Q4850" s="121"/>
      <c r="W4850" s="109"/>
    </row>
    <row r="4851" spans="1:23" ht="12.75" hidden="1">
      <c r="A4851" s="109"/>
      <c r="B4851" s="109"/>
      <c r="C4851" s="109"/>
      <c r="D4851" s="109"/>
      <c r="E4851" s="109"/>
      <c r="F4851" s="109"/>
      <c r="G4851" s="109"/>
      <c r="H4851" s="109"/>
      <c r="I4851" s="109"/>
      <c r="J4851" s="109"/>
      <c r="L4851" s="109"/>
      <c r="M4851" s="109"/>
      <c r="N4851" s="109"/>
      <c r="Q4851" s="121"/>
      <c r="W4851" s="109"/>
    </row>
    <row r="4852" spans="1:23" ht="12.75" hidden="1">
      <c r="A4852" s="109"/>
      <c r="B4852" s="109"/>
      <c r="C4852" s="109"/>
      <c r="D4852" s="109"/>
      <c r="E4852" s="109"/>
      <c r="F4852" s="109"/>
      <c r="G4852" s="109"/>
      <c r="H4852" s="109"/>
      <c r="I4852" s="109"/>
      <c r="J4852" s="109"/>
      <c r="L4852" s="109"/>
      <c r="M4852" s="109"/>
      <c r="N4852" s="109"/>
      <c r="Q4852" s="121"/>
      <c r="W4852" s="109"/>
    </row>
    <row r="4853" spans="1:23" ht="12.75" hidden="1">
      <c r="A4853" s="109"/>
      <c r="B4853" s="109"/>
      <c r="C4853" s="109"/>
      <c r="D4853" s="109"/>
      <c r="E4853" s="109"/>
      <c r="F4853" s="109"/>
      <c r="G4853" s="109"/>
      <c r="H4853" s="109"/>
      <c r="I4853" s="109"/>
      <c r="J4853" s="109"/>
      <c r="L4853" s="109"/>
      <c r="M4853" s="109"/>
      <c r="N4853" s="109"/>
      <c r="Q4853" s="121"/>
      <c r="W4853" s="109"/>
    </row>
    <row r="4854" spans="1:23" ht="12.75" hidden="1">
      <c r="A4854" s="109"/>
      <c r="B4854" s="109"/>
      <c r="C4854" s="109"/>
      <c r="D4854" s="109"/>
      <c r="E4854" s="109"/>
      <c r="F4854" s="109"/>
      <c r="G4854" s="109"/>
      <c r="H4854" s="109"/>
      <c r="I4854" s="109"/>
      <c r="J4854" s="109"/>
      <c r="L4854" s="109"/>
      <c r="M4854" s="109"/>
      <c r="N4854" s="109"/>
      <c r="Q4854" s="121"/>
      <c r="W4854" s="109"/>
    </row>
    <row r="4855" spans="1:23" ht="12.75" hidden="1">
      <c r="A4855" s="109"/>
      <c r="B4855" s="109"/>
      <c r="C4855" s="109"/>
      <c r="D4855" s="109"/>
      <c r="E4855" s="109"/>
      <c r="F4855" s="109"/>
      <c r="G4855" s="109"/>
      <c r="H4855" s="109"/>
      <c r="I4855" s="109"/>
      <c r="J4855" s="109"/>
      <c r="L4855" s="109"/>
      <c r="M4855" s="109"/>
      <c r="N4855" s="109"/>
      <c r="Q4855" s="121"/>
      <c r="W4855" s="109"/>
    </row>
    <row r="4856" spans="1:23" ht="12.75" hidden="1">
      <c r="A4856" s="109"/>
      <c r="B4856" s="109"/>
      <c r="C4856" s="109"/>
      <c r="D4856" s="109"/>
      <c r="E4856" s="109"/>
      <c r="F4856" s="109"/>
      <c r="G4856" s="109"/>
      <c r="H4856" s="109"/>
      <c r="I4856" s="109"/>
      <c r="J4856" s="109"/>
      <c r="L4856" s="109"/>
      <c r="M4856" s="109"/>
      <c r="N4856" s="109"/>
      <c r="Q4856" s="121"/>
      <c r="W4856" s="109"/>
    </row>
    <row r="4857" spans="1:23" ht="12.75" hidden="1">
      <c r="A4857" s="109"/>
      <c r="B4857" s="109"/>
      <c r="C4857" s="109"/>
      <c r="D4857" s="109"/>
      <c r="E4857" s="109"/>
      <c r="F4857" s="109"/>
      <c r="G4857" s="109"/>
      <c r="H4857" s="109"/>
      <c r="I4857" s="109"/>
      <c r="J4857" s="109"/>
      <c r="L4857" s="109"/>
      <c r="M4857" s="109"/>
      <c r="N4857" s="109"/>
      <c r="Q4857" s="121"/>
      <c r="W4857" s="109"/>
    </row>
    <row r="4858" spans="1:23" ht="12.75" hidden="1">
      <c r="A4858" s="109"/>
      <c r="B4858" s="109"/>
      <c r="C4858" s="109"/>
      <c r="D4858" s="109"/>
      <c r="E4858" s="109"/>
      <c r="F4858" s="109"/>
      <c r="G4858" s="109"/>
      <c r="H4858" s="109"/>
      <c r="I4858" s="109"/>
      <c r="J4858" s="109"/>
      <c r="L4858" s="109"/>
      <c r="M4858" s="109"/>
      <c r="N4858" s="109"/>
      <c r="Q4858" s="121"/>
      <c r="W4858" s="109"/>
    </row>
    <row r="4859" spans="1:23" ht="12.75" hidden="1">
      <c r="A4859" s="109"/>
      <c r="B4859" s="109"/>
      <c r="C4859" s="109"/>
      <c r="D4859" s="109"/>
      <c r="E4859" s="109"/>
      <c r="F4859" s="109"/>
      <c r="G4859" s="109"/>
      <c r="H4859" s="109"/>
      <c r="I4859" s="109"/>
      <c r="J4859" s="109"/>
      <c r="L4859" s="109"/>
      <c r="M4859" s="109"/>
      <c r="N4859" s="109"/>
      <c r="Q4859" s="121"/>
      <c r="W4859" s="109"/>
    </row>
    <row r="4860" spans="1:23" ht="12.75" hidden="1">
      <c r="A4860" s="109"/>
      <c r="B4860" s="109"/>
      <c r="C4860" s="109"/>
      <c r="D4860" s="109"/>
      <c r="E4860" s="109"/>
      <c r="F4860" s="109"/>
      <c r="G4860" s="109"/>
      <c r="H4860" s="109"/>
      <c r="I4860" s="109"/>
      <c r="J4860" s="109"/>
      <c r="L4860" s="109"/>
      <c r="M4860" s="109"/>
      <c r="N4860" s="109"/>
      <c r="Q4860" s="121"/>
      <c r="W4860" s="109"/>
    </row>
    <row r="4861" spans="1:23" ht="12.75" hidden="1">
      <c r="A4861" s="109"/>
      <c r="B4861" s="109"/>
      <c r="C4861" s="109"/>
      <c r="D4861" s="109"/>
      <c r="E4861" s="109"/>
      <c r="F4861" s="109"/>
      <c r="G4861" s="109"/>
      <c r="H4861" s="109"/>
      <c r="I4861" s="109"/>
      <c r="J4861" s="109"/>
      <c r="L4861" s="109"/>
      <c r="M4861" s="109"/>
      <c r="N4861" s="109"/>
      <c r="Q4861" s="121"/>
      <c r="W4861" s="109"/>
    </row>
    <row r="4862" spans="1:23" ht="12.75" hidden="1">
      <c r="A4862" s="109"/>
      <c r="B4862" s="109"/>
      <c r="C4862" s="109"/>
      <c r="D4862" s="109"/>
      <c r="E4862" s="109"/>
      <c r="F4862" s="109"/>
      <c r="G4862" s="109"/>
      <c r="H4862" s="109"/>
      <c r="I4862" s="109"/>
      <c r="J4862" s="109"/>
      <c r="L4862" s="109"/>
      <c r="M4862" s="109"/>
      <c r="N4862" s="109"/>
      <c r="Q4862" s="121"/>
      <c r="W4862" s="109"/>
    </row>
    <row r="4863" spans="1:23" ht="12.75" hidden="1">
      <c r="A4863" s="109"/>
      <c r="B4863" s="109"/>
      <c r="C4863" s="109"/>
      <c r="D4863" s="109"/>
      <c r="E4863" s="109"/>
      <c r="F4863" s="109"/>
      <c r="G4863" s="109"/>
      <c r="H4863" s="109"/>
      <c r="I4863" s="109"/>
      <c r="J4863" s="109"/>
      <c r="L4863" s="109"/>
      <c r="M4863" s="109"/>
      <c r="N4863" s="109"/>
      <c r="Q4863" s="121"/>
      <c r="W4863" s="109"/>
    </row>
    <row r="4864" spans="1:23" ht="12.75" hidden="1">
      <c r="A4864" s="109"/>
      <c r="B4864" s="109"/>
      <c r="C4864" s="109"/>
      <c r="D4864" s="109"/>
      <c r="E4864" s="109"/>
      <c r="F4864" s="109"/>
      <c r="G4864" s="109"/>
      <c r="H4864" s="109"/>
      <c r="I4864" s="109"/>
      <c r="J4864" s="109"/>
      <c r="L4864" s="109"/>
      <c r="M4864" s="109"/>
      <c r="N4864" s="109"/>
      <c r="Q4864" s="121"/>
      <c r="W4864" s="109"/>
    </row>
    <row r="4865" spans="1:23" ht="12.75" hidden="1">
      <c r="A4865" s="109"/>
      <c r="B4865" s="109"/>
      <c r="C4865" s="109"/>
      <c r="D4865" s="109"/>
      <c r="E4865" s="109"/>
      <c r="F4865" s="109"/>
      <c r="G4865" s="109"/>
      <c r="H4865" s="109"/>
      <c r="I4865" s="109"/>
      <c r="J4865" s="109"/>
      <c r="L4865" s="109"/>
      <c r="M4865" s="109"/>
      <c r="N4865" s="109"/>
      <c r="Q4865" s="121"/>
      <c r="W4865" s="109"/>
    </row>
    <row r="4866" spans="1:23" ht="12.75" hidden="1">
      <c r="A4866" s="109"/>
      <c r="B4866" s="109"/>
      <c r="C4866" s="109"/>
      <c r="D4866" s="109"/>
      <c r="E4866" s="109"/>
      <c r="F4866" s="109"/>
      <c r="G4866" s="109"/>
      <c r="H4866" s="109"/>
      <c r="I4866" s="109"/>
      <c r="J4866" s="109"/>
      <c r="L4866" s="109"/>
      <c r="M4866" s="109"/>
      <c r="N4866" s="109"/>
      <c r="Q4866" s="121"/>
      <c r="W4866" s="109"/>
    </row>
    <row r="4867" spans="1:23" ht="12.75" hidden="1">
      <c r="A4867" s="109"/>
      <c r="B4867" s="109"/>
      <c r="C4867" s="109"/>
      <c r="D4867" s="109"/>
      <c r="E4867" s="109"/>
      <c r="F4867" s="109"/>
      <c r="G4867" s="109"/>
      <c r="H4867" s="109"/>
      <c r="I4867" s="109"/>
      <c r="J4867" s="109"/>
      <c r="L4867" s="109"/>
      <c r="M4867" s="109"/>
      <c r="N4867" s="109"/>
      <c r="Q4867" s="121"/>
      <c r="W4867" s="109"/>
    </row>
    <row r="4868" spans="1:23" ht="12.75" hidden="1">
      <c r="A4868" s="109"/>
      <c r="B4868" s="109"/>
      <c r="C4868" s="109"/>
      <c r="D4868" s="109"/>
      <c r="E4868" s="109"/>
      <c r="F4868" s="109"/>
      <c r="G4868" s="109"/>
      <c r="H4868" s="109"/>
      <c r="I4868" s="109"/>
      <c r="J4868" s="109"/>
      <c r="L4868" s="109"/>
      <c r="M4868" s="109"/>
      <c r="N4868" s="109"/>
      <c r="Q4868" s="121"/>
      <c r="W4868" s="109"/>
    </row>
    <row r="4869" spans="1:23" ht="12.75" hidden="1">
      <c r="A4869" s="109"/>
      <c r="B4869" s="109"/>
      <c r="C4869" s="109"/>
      <c r="D4869" s="109"/>
      <c r="E4869" s="109"/>
      <c r="F4869" s="109"/>
      <c r="G4869" s="109"/>
      <c r="H4869" s="109"/>
      <c r="I4869" s="109"/>
      <c r="J4869" s="109"/>
      <c r="L4869" s="109"/>
      <c r="M4869" s="109"/>
      <c r="N4869" s="109"/>
      <c r="Q4869" s="121"/>
      <c r="W4869" s="109"/>
    </row>
    <row r="4870" spans="1:23" ht="12.75" hidden="1">
      <c r="A4870" s="109"/>
      <c r="B4870" s="109"/>
      <c r="C4870" s="109"/>
      <c r="D4870" s="109"/>
      <c r="E4870" s="109"/>
      <c r="F4870" s="109"/>
      <c r="G4870" s="109"/>
      <c r="H4870" s="109"/>
      <c r="I4870" s="109"/>
      <c r="J4870" s="109"/>
      <c r="L4870" s="109"/>
      <c r="M4870" s="109"/>
      <c r="N4870" s="109"/>
      <c r="Q4870" s="121"/>
      <c r="W4870" s="109"/>
    </row>
    <row r="4871" spans="1:23" ht="12.75" hidden="1">
      <c r="A4871" s="109"/>
      <c r="B4871" s="109"/>
      <c r="C4871" s="109"/>
      <c r="D4871" s="109"/>
      <c r="E4871" s="109"/>
      <c r="F4871" s="109"/>
      <c r="G4871" s="109"/>
      <c r="H4871" s="109"/>
      <c r="I4871" s="109"/>
      <c r="J4871" s="109"/>
      <c r="L4871" s="109"/>
      <c r="M4871" s="109"/>
      <c r="N4871" s="109"/>
      <c r="Q4871" s="121"/>
      <c r="W4871" s="109"/>
    </row>
    <row r="4872" spans="1:23" ht="12.75" hidden="1">
      <c r="A4872" s="109"/>
      <c r="B4872" s="109"/>
      <c r="C4872" s="109"/>
      <c r="D4872" s="109"/>
      <c r="E4872" s="109"/>
      <c r="F4872" s="109"/>
      <c r="G4872" s="109"/>
      <c r="H4872" s="109"/>
      <c r="I4872" s="109"/>
      <c r="J4872" s="109"/>
      <c r="L4872" s="109"/>
      <c r="M4872" s="109"/>
      <c r="N4872" s="109"/>
      <c r="Q4872" s="121"/>
      <c r="W4872" s="109"/>
    </row>
    <row r="4873" spans="1:23" ht="12.75" hidden="1">
      <c r="A4873" s="109"/>
      <c r="B4873" s="109"/>
      <c r="C4873" s="109"/>
      <c r="D4873" s="109"/>
      <c r="E4873" s="109"/>
      <c r="F4873" s="109"/>
      <c r="G4873" s="109"/>
      <c r="H4873" s="109"/>
      <c r="I4873" s="109"/>
      <c r="J4873" s="109"/>
      <c r="L4873" s="109"/>
      <c r="M4873" s="109"/>
      <c r="N4873" s="109"/>
      <c r="Q4873" s="121"/>
      <c r="W4873" s="109"/>
    </row>
    <row r="4874" spans="1:23" ht="12.75" hidden="1">
      <c r="A4874" s="109"/>
      <c r="B4874" s="109"/>
      <c r="C4874" s="109"/>
      <c r="D4874" s="109"/>
      <c r="E4874" s="109"/>
      <c r="F4874" s="109"/>
      <c r="G4874" s="109"/>
      <c r="H4874" s="109"/>
      <c r="I4874" s="109"/>
      <c r="J4874" s="109"/>
      <c r="L4874" s="109"/>
      <c r="M4874" s="109"/>
      <c r="N4874" s="109"/>
      <c r="Q4874" s="121"/>
      <c r="W4874" s="109"/>
    </row>
    <row r="4875" spans="1:23" ht="12.75" hidden="1">
      <c r="A4875" s="109"/>
      <c r="B4875" s="109"/>
      <c r="C4875" s="109"/>
      <c r="D4875" s="109"/>
      <c r="E4875" s="109"/>
      <c r="F4875" s="109"/>
      <c r="G4875" s="109"/>
      <c r="H4875" s="109"/>
      <c r="I4875" s="109"/>
      <c r="J4875" s="109"/>
      <c r="L4875" s="109"/>
      <c r="M4875" s="109"/>
      <c r="N4875" s="109"/>
      <c r="Q4875" s="121"/>
      <c r="W4875" s="109"/>
    </row>
    <row r="4876" spans="1:23" ht="12.75" hidden="1">
      <c r="A4876" s="109"/>
      <c r="B4876" s="109"/>
      <c r="C4876" s="109"/>
      <c r="D4876" s="109"/>
      <c r="E4876" s="109"/>
      <c r="F4876" s="109"/>
      <c r="G4876" s="109"/>
      <c r="H4876" s="109"/>
      <c r="I4876" s="109"/>
      <c r="J4876" s="109"/>
      <c r="L4876" s="109"/>
      <c r="M4876" s="109"/>
      <c r="N4876" s="109"/>
      <c r="Q4876" s="121"/>
      <c r="W4876" s="109"/>
    </row>
    <row r="4877" spans="1:23" ht="12.75" hidden="1">
      <c r="A4877" s="109"/>
      <c r="B4877" s="109"/>
      <c r="C4877" s="109"/>
      <c r="D4877" s="109"/>
      <c r="E4877" s="109"/>
      <c r="F4877" s="109"/>
      <c r="G4877" s="109"/>
      <c r="H4877" s="109"/>
      <c r="I4877" s="109"/>
      <c r="J4877" s="109"/>
      <c r="L4877" s="109"/>
      <c r="M4877" s="109"/>
      <c r="N4877" s="109"/>
      <c r="Q4877" s="121"/>
      <c r="W4877" s="109"/>
    </row>
    <row r="4878" spans="1:23" ht="12.75" hidden="1">
      <c r="A4878" s="109"/>
      <c r="B4878" s="109"/>
      <c r="C4878" s="109"/>
      <c r="D4878" s="109"/>
      <c r="E4878" s="109"/>
      <c r="F4878" s="109"/>
      <c r="G4878" s="109"/>
      <c r="H4878" s="109"/>
      <c r="I4878" s="109"/>
      <c r="J4878" s="109"/>
      <c r="L4878" s="109"/>
      <c r="M4878" s="109"/>
      <c r="N4878" s="109"/>
      <c r="Q4878" s="121"/>
      <c r="W4878" s="109"/>
    </row>
    <row r="4879" spans="1:23" ht="12.75" hidden="1">
      <c r="A4879" s="109"/>
      <c r="B4879" s="109"/>
      <c r="C4879" s="109"/>
      <c r="D4879" s="109"/>
      <c r="E4879" s="109"/>
      <c r="F4879" s="109"/>
      <c r="G4879" s="109"/>
      <c r="H4879" s="109"/>
      <c r="I4879" s="109"/>
      <c r="J4879" s="109"/>
      <c r="L4879" s="109"/>
      <c r="M4879" s="109"/>
      <c r="N4879" s="109"/>
      <c r="Q4879" s="121"/>
      <c r="W4879" s="109"/>
    </row>
    <row r="4880" spans="1:23" ht="12.75" hidden="1">
      <c r="A4880" s="109"/>
      <c r="B4880" s="109"/>
      <c r="C4880" s="109"/>
      <c r="D4880" s="109"/>
      <c r="E4880" s="109"/>
      <c r="F4880" s="109"/>
      <c r="G4880" s="109"/>
      <c r="H4880" s="109"/>
      <c r="I4880" s="109"/>
      <c r="J4880" s="109"/>
      <c r="L4880" s="109"/>
      <c r="M4880" s="109"/>
      <c r="N4880" s="109"/>
      <c r="Q4880" s="121"/>
      <c r="W4880" s="109"/>
    </row>
    <row r="4881" spans="1:23" ht="12.75" hidden="1">
      <c r="A4881" s="109"/>
      <c r="B4881" s="109"/>
      <c r="C4881" s="109"/>
      <c r="D4881" s="109"/>
      <c r="E4881" s="109"/>
      <c r="F4881" s="109"/>
      <c r="G4881" s="109"/>
      <c r="H4881" s="109"/>
      <c r="I4881" s="109"/>
      <c r="J4881" s="109"/>
      <c r="L4881" s="109"/>
      <c r="M4881" s="109"/>
      <c r="N4881" s="109"/>
      <c r="Q4881" s="121"/>
      <c r="W4881" s="109"/>
    </row>
    <row r="4882" spans="1:23" ht="12.75" hidden="1">
      <c r="A4882" s="109"/>
      <c r="B4882" s="109"/>
      <c r="C4882" s="109"/>
      <c r="D4882" s="109"/>
      <c r="E4882" s="109"/>
      <c r="F4882" s="109"/>
      <c r="G4882" s="109"/>
      <c r="H4882" s="109"/>
      <c r="I4882" s="109"/>
      <c r="J4882" s="109"/>
      <c r="L4882" s="109"/>
      <c r="M4882" s="109"/>
      <c r="N4882" s="109"/>
      <c r="Q4882" s="121"/>
      <c r="W4882" s="109"/>
    </row>
    <row r="4883" spans="1:23" ht="12.75" hidden="1">
      <c r="A4883" s="109"/>
      <c r="B4883" s="109"/>
      <c r="C4883" s="109"/>
      <c r="D4883" s="109"/>
      <c r="E4883" s="109"/>
      <c r="F4883" s="109"/>
      <c r="G4883" s="109"/>
      <c r="H4883" s="109"/>
      <c r="I4883" s="109"/>
      <c r="J4883" s="109"/>
      <c r="L4883" s="109"/>
      <c r="M4883" s="109"/>
      <c r="N4883" s="109"/>
      <c r="Q4883" s="121"/>
      <c r="W4883" s="109"/>
    </row>
    <row r="4884" spans="1:23" ht="12.75" hidden="1">
      <c r="A4884" s="109"/>
      <c r="B4884" s="109"/>
      <c r="C4884" s="109"/>
      <c r="D4884" s="109"/>
      <c r="E4884" s="109"/>
      <c r="F4884" s="109"/>
      <c r="G4884" s="109"/>
      <c r="H4884" s="109"/>
      <c r="I4884" s="109"/>
      <c r="J4884" s="109"/>
      <c r="L4884" s="109"/>
      <c r="M4884" s="109"/>
      <c r="N4884" s="109"/>
      <c r="Q4884" s="121"/>
      <c r="W4884" s="109"/>
    </row>
    <row r="4885" spans="1:23" ht="12.75" hidden="1">
      <c r="A4885" s="109"/>
      <c r="B4885" s="109"/>
      <c r="C4885" s="109"/>
      <c r="D4885" s="109"/>
      <c r="E4885" s="109"/>
      <c r="F4885" s="109"/>
      <c r="G4885" s="109"/>
      <c r="H4885" s="109"/>
      <c r="I4885" s="109"/>
      <c r="J4885" s="109"/>
      <c r="L4885" s="109"/>
      <c r="M4885" s="109"/>
      <c r="N4885" s="109"/>
      <c r="Q4885" s="121"/>
      <c r="W4885" s="109"/>
    </row>
    <row r="4886" spans="1:23" ht="12.75" hidden="1">
      <c r="A4886" s="109"/>
      <c r="B4886" s="109"/>
      <c r="C4886" s="109"/>
      <c r="D4886" s="109"/>
      <c r="E4886" s="109"/>
      <c r="F4886" s="109"/>
      <c r="G4886" s="109"/>
      <c r="H4886" s="109"/>
      <c r="I4886" s="109"/>
      <c r="J4886" s="109"/>
      <c r="L4886" s="109"/>
      <c r="M4886" s="109"/>
      <c r="N4886" s="109"/>
      <c r="Q4886" s="121"/>
      <c r="W4886" s="109"/>
    </row>
    <row r="4887" spans="1:23" ht="12.75" hidden="1">
      <c r="A4887" s="109"/>
      <c r="B4887" s="109"/>
      <c r="C4887" s="109"/>
      <c r="D4887" s="109"/>
      <c r="E4887" s="109"/>
      <c r="F4887" s="109"/>
      <c r="G4887" s="109"/>
      <c r="H4887" s="109"/>
      <c r="I4887" s="109"/>
      <c r="J4887" s="109"/>
      <c r="L4887" s="109"/>
      <c r="M4887" s="109"/>
      <c r="N4887" s="109"/>
      <c r="Q4887" s="121"/>
      <c r="W4887" s="109"/>
    </row>
    <row r="4888" spans="1:23" ht="12.75" hidden="1">
      <c r="A4888" s="109"/>
      <c r="B4888" s="109"/>
      <c r="C4888" s="109"/>
      <c r="D4888" s="109"/>
      <c r="E4888" s="109"/>
      <c r="F4888" s="109"/>
      <c r="G4888" s="109"/>
      <c r="H4888" s="109"/>
      <c r="I4888" s="109"/>
      <c r="J4888" s="109"/>
      <c r="L4888" s="109"/>
      <c r="M4888" s="109"/>
      <c r="N4888" s="109"/>
      <c r="Q4888" s="121"/>
      <c r="W4888" s="109"/>
    </row>
    <row r="4889" spans="1:23" ht="12.75" hidden="1">
      <c r="A4889" s="109"/>
      <c r="B4889" s="109"/>
      <c r="C4889" s="109"/>
      <c r="D4889" s="109"/>
      <c r="E4889" s="109"/>
      <c r="F4889" s="109"/>
      <c r="G4889" s="109"/>
      <c r="H4889" s="109"/>
      <c r="I4889" s="109"/>
      <c r="J4889" s="109"/>
      <c r="L4889" s="109"/>
      <c r="M4889" s="109"/>
      <c r="N4889" s="109"/>
      <c r="Q4889" s="121"/>
      <c r="W4889" s="109"/>
    </row>
    <row r="4890" spans="1:23" ht="12.75" hidden="1">
      <c r="A4890" s="109"/>
      <c r="B4890" s="109"/>
      <c r="C4890" s="109"/>
      <c r="D4890" s="109"/>
      <c r="E4890" s="109"/>
      <c r="F4890" s="109"/>
      <c r="G4890" s="109"/>
      <c r="H4890" s="109"/>
      <c r="I4890" s="109"/>
      <c r="J4890" s="109"/>
      <c r="L4890" s="109"/>
      <c r="M4890" s="109"/>
      <c r="N4890" s="109"/>
      <c r="Q4890" s="121"/>
      <c r="W4890" s="109"/>
    </row>
    <row r="4891" spans="1:23" ht="12.75" hidden="1">
      <c r="A4891" s="109"/>
      <c r="B4891" s="109"/>
      <c r="C4891" s="109"/>
      <c r="D4891" s="109"/>
      <c r="E4891" s="109"/>
      <c r="F4891" s="109"/>
      <c r="G4891" s="109"/>
      <c r="H4891" s="109"/>
      <c r="I4891" s="109"/>
      <c r="J4891" s="109"/>
      <c r="L4891" s="109"/>
      <c r="M4891" s="109"/>
      <c r="N4891" s="109"/>
      <c r="Q4891" s="121"/>
      <c r="W4891" s="109"/>
    </row>
    <row r="4892" spans="1:23" ht="12.75" hidden="1">
      <c r="A4892" s="109"/>
      <c r="B4892" s="109"/>
      <c r="C4892" s="109"/>
      <c r="D4892" s="109"/>
      <c r="E4892" s="109"/>
      <c r="F4892" s="109"/>
      <c r="G4892" s="109"/>
      <c r="H4892" s="109"/>
      <c r="I4892" s="109"/>
      <c r="J4892" s="109"/>
      <c r="L4892" s="109"/>
      <c r="M4892" s="109"/>
      <c r="N4892" s="109"/>
      <c r="Q4892" s="121"/>
      <c r="W4892" s="109"/>
    </row>
    <row r="4893" spans="1:23" ht="12.75" hidden="1">
      <c r="A4893" s="109"/>
      <c r="B4893" s="109"/>
      <c r="C4893" s="109"/>
      <c r="D4893" s="109"/>
      <c r="E4893" s="109"/>
      <c r="F4893" s="109"/>
      <c r="G4893" s="109"/>
      <c r="H4893" s="109"/>
      <c r="I4893" s="109"/>
      <c r="J4893" s="109"/>
      <c r="L4893" s="109"/>
      <c r="M4893" s="109"/>
      <c r="N4893" s="109"/>
      <c r="Q4893" s="121"/>
      <c r="W4893" s="109"/>
    </row>
    <row r="4894" spans="1:23" ht="12.75" hidden="1">
      <c r="A4894" s="109"/>
      <c r="B4894" s="109"/>
      <c r="C4894" s="109"/>
      <c r="D4894" s="109"/>
      <c r="E4894" s="109"/>
      <c r="F4894" s="109"/>
      <c r="G4894" s="109"/>
      <c r="H4894" s="109"/>
      <c r="I4894" s="109"/>
      <c r="J4894" s="109"/>
      <c r="L4894" s="109"/>
      <c r="M4894" s="109"/>
      <c r="N4894" s="109"/>
      <c r="Q4894" s="121"/>
      <c r="W4894" s="109"/>
    </row>
    <row r="4895" spans="1:23" ht="12.75" hidden="1">
      <c r="A4895" s="109"/>
      <c r="B4895" s="109"/>
      <c r="C4895" s="109"/>
      <c r="D4895" s="109"/>
      <c r="E4895" s="109"/>
      <c r="F4895" s="109"/>
      <c r="G4895" s="109"/>
      <c r="H4895" s="109"/>
      <c r="I4895" s="109"/>
      <c r="J4895" s="109"/>
      <c r="L4895" s="109"/>
      <c r="M4895" s="109"/>
      <c r="N4895" s="109"/>
      <c r="Q4895" s="121"/>
      <c r="W4895" s="109"/>
    </row>
    <row r="4896" spans="1:23" ht="12.75" hidden="1">
      <c r="A4896" s="109"/>
      <c r="B4896" s="109"/>
      <c r="C4896" s="109"/>
      <c r="D4896" s="109"/>
      <c r="E4896" s="109"/>
      <c r="F4896" s="109"/>
      <c r="G4896" s="109"/>
      <c r="H4896" s="109"/>
      <c r="I4896" s="109"/>
      <c r="J4896" s="109"/>
      <c r="L4896" s="109"/>
      <c r="M4896" s="109"/>
      <c r="N4896" s="109"/>
      <c r="Q4896" s="121"/>
      <c r="W4896" s="109"/>
    </row>
    <row r="4897" spans="1:23" ht="12.75" hidden="1">
      <c r="A4897" s="109"/>
      <c r="B4897" s="109"/>
      <c r="C4897" s="109"/>
      <c r="D4897" s="109"/>
      <c r="E4897" s="109"/>
      <c r="F4897" s="109"/>
      <c r="G4897" s="109"/>
      <c r="H4897" s="109"/>
      <c r="I4897" s="109"/>
      <c r="J4897" s="109"/>
      <c r="L4897" s="109"/>
      <c r="M4897" s="109"/>
      <c r="N4897" s="109"/>
      <c r="Q4897" s="121"/>
      <c r="W4897" s="109"/>
    </row>
    <row r="4898" spans="1:23" ht="12.75" hidden="1">
      <c r="A4898" s="109"/>
      <c r="B4898" s="109"/>
      <c r="C4898" s="109"/>
      <c r="D4898" s="109"/>
      <c r="E4898" s="109"/>
      <c r="F4898" s="109"/>
      <c r="G4898" s="109"/>
      <c r="H4898" s="109"/>
      <c r="I4898" s="109"/>
      <c r="J4898" s="109"/>
      <c r="L4898" s="109"/>
      <c r="M4898" s="109"/>
      <c r="N4898" s="109"/>
      <c r="Q4898" s="121"/>
      <c r="W4898" s="109"/>
    </row>
    <row r="4899" spans="1:23" ht="12.75" hidden="1">
      <c r="A4899" s="109"/>
      <c r="B4899" s="109"/>
      <c r="C4899" s="109"/>
      <c r="D4899" s="109"/>
      <c r="E4899" s="109"/>
      <c r="F4899" s="109"/>
      <c r="G4899" s="109"/>
      <c r="H4899" s="109"/>
      <c r="I4899" s="109"/>
      <c r="J4899" s="109"/>
      <c r="L4899" s="109"/>
      <c r="M4899" s="109"/>
      <c r="N4899" s="109"/>
      <c r="Q4899" s="121"/>
      <c r="W4899" s="109"/>
    </row>
    <row r="4900" spans="1:23" ht="12.75" hidden="1">
      <c r="A4900" s="109"/>
      <c r="B4900" s="109"/>
      <c r="C4900" s="109"/>
      <c r="D4900" s="109"/>
      <c r="E4900" s="109"/>
      <c r="F4900" s="109"/>
      <c r="G4900" s="109"/>
      <c r="H4900" s="109"/>
      <c r="I4900" s="109"/>
      <c r="J4900" s="109"/>
      <c r="L4900" s="109"/>
      <c r="M4900" s="109"/>
      <c r="N4900" s="109"/>
      <c r="Q4900" s="121"/>
      <c r="W4900" s="109"/>
    </row>
    <row r="4901" spans="1:23" ht="12.75" hidden="1">
      <c r="A4901" s="109"/>
      <c r="B4901" s="109"/>
      <c r="C4901" s="109"/>
      <c r="D4901" s="109"/>
      <c r="E4901" s="109"/>
      <c r="F4901" s="109"/>
      <c r="G4901" s="109"/>
      <c r="H4901" s="109"/>
      <c r="I4901" s="109"/>
      <c r="J4901" s="109"/>
      <c r="L4901" s="109"/>
      <c r="M4901" s="109"/>
      <c r="N4901" s="109"/>
      <c r="Q4901" s="121"/>
      <c r="W4901" s="109"/>
    </row>
    <row r="4902" spans="1:23" ht="12.75" hidden="1">
      <c r="A4902" s="109"/>
      <c r="B4902" s="109"/>
      <c r="C4902" s="109"/>
      <c r="D4902" s="109"/>
      <c r="E4902" s="109"/>
      <c r="F4902" s="109"/>
      <c r="G4902" s="109"/>
      <c r="H4902" s="109"/>
      <c r="I4902" s="109"/>
      <c r="J4902" s="109"/>
      <c r="L4902" s="109"/>
      <c r="M4902" s="109"/>
      <c r="N4902" s="109"/>
      <c r="Q4902" s="121"/>
      <c r="W4902" s="109"/>
    </row>
    <row r="4903" spans="1:23" ht="12.75" hidden="1">
      <c r="A4903" s="109"/>
      <c r="B4903" s="109"/>
      <c r="C4903" s="109"/>
      <c r="D4903" s="109"/>
      <c r="E4903" s="109"/>
      <c r="F4903" s="109"/>
      <c r="G4903" s="109"/>
      <c r="H4903" s="109"/>
      <c r="I4903" s="109"/>
      <c r="J4903" s="109"/>
      <c r="L4903" s="109"/>
      <c r="M4903" s="109"/>
      <c r="N4903" s="109"/>
      <c r="Q4903" s="121"/>
      <c r="W4903" s="109"/>
    </row>
    <row r="4904" spans="1:23" ht="12.75" hidden="1">
      <c r="A4904" s="109"/>
      <c r="B4904" s="109"/>
      <c r="C4904" s="109"/>
      <c r="D4904" s="109"/>
      <c r="E4904" s="109"/>
      <c r="F4904" s="109"/>
      <c r="G4904" s="109"/>
      <c r="H4904" s="109"/>
      <c r="I4904" s="109"/>
      <c r="J4904" s="109"/>
      <c r="L4904" s="109"/>
      <c r="M4904" s="109"/>
      <c r="N4904" s="109"/>
      <c r="Q4904" s="121"/>
      <c r="W4904" s="109"/>
    </row>
    <row r="4905" spans="1:23" ht="12.75" hidden="1">
      <c r="A4905" s="109"/>
      <c r="B4905" s="109"/>
      <c r="C4905" s="109"/>
      <c r="D4905" s="109"/>
      <c r="E4905" s="109"/>
      <c r="F4905" s="109"/>
      <c r="G4905" s="109"/>
      <c r="H4905" s="109"/>
      <c r="I4905" s="109"/>
      <c r="J4905" s="109"/>
      <c r="L4905" s="109"/>
      <c r="M4905" s="109"/>
      <c r="N4905" s="109"/>
      <c r="Q4905" s="121"/>
      <c r="W4905" s="109"/>
    </row>
    <row r="4906" spans="1:23" ht="12.75" hidden="1">
      <c r="A4906" s="109"/>
      <c r="B4906" s="109"/>
      <c r="C4906" s="109"/>
      <c r="D4906" s="109"/>
      <c r="E4906" s="109"/>
      <c r="F4906" s="109"/>
      <c r="G4906" s="109"/>
      <c r="H4906" s="109"/>
      <c r="I4906" s="109"/>
      <c r="J4906" s="109"/>
      <c r="L4906" s="109"/>
      <c r="M4906" s="109"/>
      <c r="N4906" s="109"/>
      <c r="Q4906" s="121"/>
      <c r="W4906" s="109"/>
    </row>
    <row r="4907" spans="1:23" ht="12.75" hidden="1">
      <c r="A4907" s="109"/>
      <c r="B4907" s="109"/>
      <c r="C4907" s="109"/>
      <c r="D4907" s="109"/>
      <c r="E4907" s="109"/>
      <c r="F4907" s="109"/>
      <c r="G4907" s="109"/>
      <c r="H4907" s="109"/>
      <c r="I4907" s="109"/>
      <c r="J4907" s="109"/>
      <c r="L4907" s="109"/>
      <c r="M4907" s="109"/>
      <c r="N4907" s="109"/>
      <c r="Q4907" s="121"/>
      <c r="W4907" s="109"/>
    </row>
    <row r="4908" spans="1:23" ht="12.75" hidden="1">
      <c r="A4908" s="109"/>
      <c r="B4908" s="109"/>
      <c r="C4908" s="109"/>
      <c r="D4908" s="109"/>
      <c r="E4908" s="109"/>
      <c r="F4908" s="109"/>
      <c r="G4908" s="109"/>
      <c r="H4908" s="109"/>
      <c r="I4908" s="109"/>
      <c r="J4908" s="109"/>
      <c r="L4908" s="109"/>
      <c r="M4908" s="109"/>
      <c r="N4908" s="109"/>
      <c r="Q4908" s="121"/>
      <c r="W4908" s="109"/>
    </row>
    <row r="4909" spans="1:23" ht="12.75" hidden="1">
      <c r="A4909" s="109"/>
      <c r="B4909" s="109"/>
      <c r="C4909" s="109"/>
      <c r="D4909" s="109"/>
      <c r="E4909" s="109"/>
      <c r="F4909" s="109"/>
      <c r="G4909" s="109"/>
      <c r="H4909" s="109"/>
      <c r="I4909" s="109"/>
      <c r="J4909" s="109"/>
      <c r="L4909" s="109"/>
      <c r="M4909" s="109"/>
      <c r="N4909" s="109"/>
      <c r="Q4909" s="121"/>
      <c r="W4909" s="109"/>
    </row>
    <row r="4910" spans="1:23" ht="12.75" hidden="1">
      <c r="A4910" s="109"/>
      <c r="B4910" s="109"/>
      <c r="C4910" s="109"/>
      <c r="D4910" s="109"/>
      <c r="E4910" s="109"/>
      <c r="F4910" s="109"/>
      <c r="G4910" s="109"/>
      <c r="H4910" s="109"/>
      <c r="I4910" s="109"/>
      <c r="J4910" s="109"/>
      <c r="L4910" s="109"/>
      <c r="M4910" s="109"/>
      <c r="N4910" s="109"/>
      <c r="Q4910" s="121"/>
      <c r="W4910" s="109"/>
    </row>
    <row r="4911" spans="1:23" ht="12.75" hidden="1">
      <c r="A4911" s="109"/>
      <c r="B4911" s="109"/>
      <c r="C4911" s="109"/>
      <c r="D4911" s="109"/>
      <c r="E4911" s="109"/>
      <c r="F4911" s="109"/>
      <c r="G4911" s="109"/>
      <c r="H4911" s="109"/>
      <c r="I4911" s="109"/>
      <c r="J4911" s="109"/>
      <c r="L4911" s="109"/>
      <c r="M4911" s="109"/>
      <c r="N4911" s="109"/>
      <c r="Q4911" s="121"/>
      <c r="W4911" s="109"/>
    </row>
    <row r="4912" spans="1:23" ht="12.75" hidden="1">
      <c r="A4912" s="109"/>
      <c r="B4912" s="109"/>
      <c r="C4912" s="109"/>
      <c r="D4912" s="109"/>
      <c r="E4912" s="109"/>
      <c r="F4912" s="109"/>
      <c r="G4912" s="109"/>
      <c r="H4912" s="109"/>
      <c r="I4912" s="109"/>
      <c r="J4912" s="109"/>
      <c r="L4912" s="109"/>
      <c r="M4912" s="109"/>
      <c r="N4912" s="109"/>
      <c r="Q4912" s="121"/>
      <c r="W4912" s="109"/>
    </row>
    <row r="4913" spans="1:23" ht="12.75" hidden="1">
      <c r="A4913" s="109"/>
      <c r="B4913" s="109"/>
      <c r="C4913" s="109"/>
      <c r="D4913" s="109"/>
      <c r="E4913" s="109"/>
      <c r="F4913" s="109"/>
      <c r="G4913" s="109"/>
      <c r="H4913" s="109"/>
      <c r="I4913" s="109"/>
      <c r="J4913" s="109"/>
      <c r="L4913" s="109"/>
      <c r="M4913" s="109"/>
      <c r="N4913" s="109"/>
      <c r="Q4913" s="121"/>
      <c r="W4913" s="109"/>
    </row>
    <row r="4914" spans="1:23" ht="12.75" hidden="1">
      <c r="A4914" s="109"/>
      <c r="B4914" s="109"/>
      <c r="C4914" s="109"/>
      <c r="D4914" s="109"/>
      <c r="E4914" s="109"/>
      <c r="F4914" s="109"/>
      <c r="G4914" s="109"/>
      <c r="H4914" s="109"/>
      <c r="I4914" s="109"/>
      <c r="J4914" s="109"/>
      <c r="L4914" s="109"/>
      <c r="M4914" s="109"/>
      <c r="N4914" s="109"/>
      <c r="Q4914" s="121"/>
      <c r="W4914" s="109"/>
    </row>
    <row r="4915" spans="1:23" ht="12.75" hidden="1">
      <c r="A4915" s="109"/>
      <c r="B4915" s="109"/>
      <c r="C4915" s="109"/>
      <c r="D4915" s="109"/>
      <c r="E4915" s="109"/>
      <c r="F4915" s="109"/>
      <c r="G4915" s="109"/>
      <c r="H4915" s="109"/>
      <c r="I4915" s="109"/>
      <c r="J4915" s="109"/>
      <c r="L4915" s="109"/>
      <c r="M4915" s="109"/>
      <c r="N4915" s="109"/>
      <c r="Q4915" s="121"/>
      <c r="W4915" s="109"/>
    </row>
    <row r="4916" spans="1:23" ht="12.75" hidden="1">
      <c r="A4916" s="109"/>
      <c r="B4916" s="109"/>
      <c r="C4916" s="109"/>
      <c r="D4916" s="109"/>
      <c r="E4916" s="109"/>
      <c r="F4916" s="109"/>
      <c r="G4916" s="109"/>
      <c r="H4916" s="109"/>
      <c r="I4916" s="109"/>
      <c r="J4916" s="109"/>
      <c r="L4916" s="109"/>
      <c r="M4916" s="109"/>
      <c r="N4916" s="109"/>
      <c r="Q4916" s="121"/>
      <c r="W4916" s="109"/>
    </row>
    <row r="4917" spans="1:23" ht="12.75" hidden="1">
      <c r="A4917" s="109"/>
      <c r="B4917" s="109"/>
      <c r="C4917" s="109"/>
      <c r="D4917" s="109"/>
      <c r="E4917" s="109"/>
      <c r="F4917" s="109"/>
      <c r="G4917" s="109"/>
      <c r="H4917" s="109"/>
      <c r="I4917" s="109"/>
      <c r="J4917" s="109"/>
      <c r="L4917" s="109"/>
      <c r="M4917" s="109"/>
      <c r="N4917" s="109"/>
      <c r="Q4917" s="121"/>
      <c r="W4917" s="109"/>
    </row>
    <row r="4918" spans="1:23" ht="12.75" hidden="1">
      <c r="A4918" s="109"/>
      <c r="B4918" s="109"/>
      <c r="C4918" s="109"/>
      <c r="D4918" s="109"/>
      <c r="E4918" s="109"/>
      <c r="F4918" s="109"/>
      <c r="G4918" s="109"/>
      <c r="H4918" s="109"/>
      <c r="I4918" s="109"/>
      <c r="J4918" s="109"/>
      <c r="L4918" s="109"/>
      <c r="M4918" s="109"/>
      <c r="N4918" s="109"/>
      <c r="Q4918" s="121"/>
      <c r="W4918" s="109"/>
    </row>
    <row r="4919" spans="1:23" ht="12.75" hidden="1">
      <c r="A4919" s="109"/>
      <c r="B4919" s="109"/>
      <c r="C4919" s="109"/>
      <c r="D4919" s="109"/>
      <c r="E4919" s="109"/>
      <c r="F4919" s="109"/>
      <c r="G4919" s="109"/>
      <c r="H4919" s="109"/>
      <c r="I4919" s="109"/>
      <c r="J4919" s="109"/>
      <c r="L4919" s="109"/>
      <c r="M4919" s="109"/>
      <c r="N4919" s="109"/>
      <c r="Q4919" s="121"/>
      <c r="W4919" s="109"/>
    </row>
    <row r="4920" spans="1:23" ht="12.75" hidden="1">
      <c r="A4920" s="109"/>
      <c r="B4920" s="109"/>
      <c r="C4920" s="109"/>
      <c r="D4920" s="109"/>
      <c r="E4920" s="109"/>
      <c r="F4920" s="109"/>
      <c r="G4920" s="109"/>
      <c r="H4920" s="109"/>
      <c r="I4920" s="109"/>
      <c r="J4920" s="109"/>
      <c r="L4920" s="109"/>
      <c r="M4920" s="109"/>
      <c r="N4920" s="109"/>
      <c r="Q4920" s="121"/>
      <c r="W4920" s="109"/>
    </row>
    <row r="4921" spans="1:23" ht="12.75" hidden="1">
      <c r="A4921" s="109"/>
      <c r="B4921" s="109"/>
      <c r="C4921" s="109"/>
      <c r="D4921" s="109"/>
      <c r="E4921" s="109"/>
      <c r="F4921" s="109"/>
      <c r="G4921" s="109"/>
      <c r="H4921" s="109"/>
      <c r="I4921" s="109"/>
      <c r="J4921" s="109"/>
      <c r="L4921" s="109"/>
      <c r="M4921" s="109"/>
      <c r="N4921" s="109"/>
      <c r="Q4921" s="121"/>
      <c r="W4921" s="109"/>
    </row>
    <row r="4922" spans="1:23" ht="12.75" hidden="1">
      <c r="A4922" s="109"/>
      <c r="B4922" s="109"/>
      <c r="C4922" s="109"/>
      <c r="D4922" s="109"/>
      <c r="E4922" s="109"/>
      <c r="F4922" s="109"/>
      <c r="G4922" s="109"/>
      <c r="H4922" s="109"/>
      <c r="I4922" s="109"/>
      <c r="J4922" s="109"/>
      <c r="L4922" s="109"/>
      <c r="M4922" s="109"/>
      <c r="N4922" s="109"/>
      <c r="Q4922" s="121"/>
      <c r="W4922" s="109"/>
    </row>
    <row r="4923" spans="1:23" ht="12.75" hidden="1">
      <c r="A4923" s="109"/>
      <c r="B4923" s="109"/>
      <c r="C4923" s="109"/>
      <c r="D4923" s="109"/>
      <c r="E4923" s="109"/>
      <c r="F4923" s="109"/>
      <c r="G4923" s="109"/>
      <c r="H4923" s="109"/>
      <c r="I4923" s="109"/>
      <c r="J4923" s="109"/>
      <c r="L4923" s="109"/>
      <c r="M4923" s="109"/>
      <c r="N4923" s="109"/>
      <c r="Q4923" s="121"/>
      <c r="W4923" s="109"/>
    </row>
    <row r="4924" spans="1:23" ht="12.75" hidden="1">
      <c r="A4924" s="109"/>
      <c r="B4924" s="109"/>
      <c r="C4924" s="109"/>
      <c r="D4924" s="109"/>
      <c r="E4924" s="109"/>
      <c r="F4924" s="109"/>
      <c r="G4924" s="109"/>
      <c r="H4924" s="109"/>
      <c r="I4924" s="109"/>
      <c r="J4924" s="109"/>
      <c r="L4924" s="109"/>
      <c r="M4924" s="109"/>
      <c r="N4924" s="109"/>
      <c r="Q4924" s="121"/>
      <c r="W4924" s="109"/>
    </row>
    <row r="4925" spans="1:23" ht="12.75" hidden="1">
      <c r="A4925" s="109"/>
      <c r="B4925" s="109"/>
      <c r="C4925" s="109"/>
      <c r="D4925" s="109"/>
      <c r="E4925" s="109"/>
      <c r="F4925" s="109"/>
      <c r="G4925" s="109"/>
      <c r="H4925" s="109"/>
      <c r="I4925" s="109"/>
      <c r="J4925" s="109"/>
      <c r="L4925" s="109"/>
      <c r="M4925" s="109"/>
      <c r="N4925" s="109"/>
      <c r="Q4925" s="121"/>
      <c r="W4925" s="109"/>
    </row>
    <row r="4926" spans="1:23" ht="12.75" hidden="1">
      <c r="A4926" s="109"/>
      <c r="B4926" s="109"/>
      <c r="C4926" s="109"/>
      <c r="D4926" s="109"/>
      <c r="E4926" s="109"/>
      <c r="F4926" s="109"/>
      <c r="G4926" s="109"/>
      <c r="H4926" s="109"/>
      <c r="I4926" s="109"/>
      <c r="J4926" s="109"/>
      <c r="L4926" s="109"/>
      <c r="M4926" s="109"/>
      <c r="N4926" s="109"/>
      <c r="Q4926" s="121"/>
      <c r="W4926" s="109"/>
    </row>
    <row r="4927" spans="1:23" ht="12.75" hidden="1">
      <c r="A4927" s="109"/>
      <c r="B4927" s="109"/>
      <c r="C4927" s="109"/>
      <c r="D4927" s="109"/>
      <c r="E4927" s="109"/>
      <c r="F4927" s="109"/>
      <c r="G4927" s="109"/>
      <c r="H4927" s="109"/>
      <c r="I4927" s="109"/>
      <c r="J4927" s="109"/>
      <c r="L4927" s="109"/>
      <c r="M4927" s="109"/>
      <c r="N4927" s="109"/>
      <c r="Q4927" s="121"/>
      <c r="W4927" s="109"/>
    </row>
    <row r="4928" spans="1:23" ht="12.75" hidden="1">
      <c r="A4928" s="109"/>
      <c r="B4928" s="109"/>
      <c r="C4928" s="109"/>
      <c r="D4928" s="109"/>
      <c r="E4928" s="109"/>
      <c r="F4928" s="109"/>
      <c r="G4928" s="109"/>
      <c r="H4928" s="109"/>
      <c r="I4928" s="109"/>
      <c r="J4928" s="109"/>
      <c r="L4928" s="109"/>
      <c r="M4928" s="109"/>
      <c r="N4928" s="109"/>
      <c r="Q4928" s="121"/>
      <c r="W4928" s="109"/>
    </row>
    <row r="4929" spans="1:23" ht="12.75" hidden="1">
      <c r="A4929" s="109"/>
      <c r="B4929" s="109"/>
      <c r="C4929" s="109"/>
      <c r="D4929" s="109"/>
      <c r="E4929" s="109"/>
      <c r="F4929" s="109"/>
      <c r="G4929" s="109"/>
      <c r="H4929" s="109"/>
      <c r="I4929" s="109"/>
      <c r="J4929" s="109"/>
      <c r="L4929" s="109"/>
      <c r="M4929" s="109"/>
      <c r="N4929" s="109"/>
      <c r="Q4929" s="121"/>
      <c r="W4929" s="109"/>
    </row>
    <row r="4930" spans="1:23" ht="12.75" hidden="1">
      <c r="A4930" s="109"/>
      <c r="B4930" s="109"/>
      <c r="C4930" s="109"/>
      <c r="D4930" s="109"/>
      <c r="E4930" s="109"/>
      <c r="F4930" s="109"/>
      <c r="G4930" s="109"/>
      <c r="H4930" s="109"/>
      <c r="I4930" s="109"/>
      <c r="J4930" s="109"/>
      <c r="L4930" s="109"/>
      <c r="M4930" s="109"/>
      <c r="N4930" s="109"/>
      <c r="Q4930" s="121"/>
      <c r="W4930" s="109"/>
    </row>
    <row r="4931" spans="1:23" ht="12.75" hidden="1">
      <c r="A4931" s="109"/>
      <c r="B4931" s="109"/>
      <c r="C4931" s="109"/>
      <c r="D4931" s="109"/>
      <c r="E4931" s="109"/>
      <c r="F4931" s="109"/>
      <c r="G4931" s="109"/>
      <c r="H4931" s="109"/>
      <c r="I4931" s="109"/>
      <c r="J4931" s="109"/>
      <c r="L4931" s="109"/>
      <c r="M4931" s="109"/>
      <c r="N4931" s="109"/>
      <c r="Q4931" s="121"/>
      <c r="W4931" s="109"/>
    </row>
    <row r="4932" spans="1:23" ht="12.75" hidden="1">
      <c r="A4932" s="109"/>
      <c r="B4932" s="109"/>
      <c r="C4932" s="109"/>
      <c r="D4932" s="109"/>
      <c r="E4932" s="109"/>
      <c r="F4932" s="109"/>
      <c r="G4932" s="109"/>
      <c r="H4932" s="109"/>
      <c r="I4932" s="109"/>
      <c r="J4932" s="109"/>
      <c r="L4932" s="109"/>
      <c r="M4932" s="109"/>
      <c r="N4932" s="109"/>
      <c r="Q4932" s="121"/>
      <c r="W4932" s="109"/>
    </row>
    <row r="4933" spans="1:23" ht="12.75" hidden="1">
      <c r="A4933" s="109"/>
      <c r="B4933" s="109"/>
      <c r="C4933" s="109"/>
      <c r="D4933" s="109"/>
      <c r="E4933" s="109"/>
      <c r="F4933" s="109"/>
      <c r="G4933" s="109"/>
      <c r="H4933" s="109"/>
      <c r="I4933" s="109"/>
      <c r="J4933" s="109"/>
      <c r="L4933" s="109"/>
      <c r="M4933" s="109"/>
      <c r="N4933" s="109"/>
      <c r="Q4933" s="121"/>
      <c r="W4933" s="109"/>
    </row>
    <row r="4934" spans="1:23" ht="12.75" hidden="1">
      <c r="A4934" s="109"/>
      <c r="B4934" s="109"/>
      <c r="C4934" s="109"/>
      <c r="D4934" s="109"/>
      <c r="E4934" s="109"/>
      <c r="F4934" s="109"/>
      <c r="G4934" s="109"/>
      <c r="H4934" s="109"/>
      <c r="I4934" s="109"/>
      <c r="J4934" s="109"/>
      <c r="L4934" s="109"/>
      <c r="M4934" s="109"/>
      <c r="N4934" s="109"/>
      <c r="Q4934" s="121"/>
      <c r="W4934" s="109"/>
    </row>
    <row r="4935" spans="1:23" ht="12.75" hidden="1">
      <c r="A4935" s="109"/>
      <c r="B4935" s="109"/>
      <c r="C4935" s="109"/>
      <c r="D4935" s="109"/>
      <c r="E4935" s="109"/>
      <c r="F4935" s="109"/>
      <c r="G4935" s="109"/>
      <c r="H4935" s="109"/>
      <c r="I4935" s="109"/>
      <c r="J4935" s="109"/>
      <c r="L4935" s="109"/>
      <c r="M4935" s="109"/>
      <c r="N4935" s="109"/>
      <c r="Q4935" s="121"/>
      <c r="W4935" s="109"/>
    </row>
    <row r="4936" spans="1:23" ht="12.75" hidden="1">
      <c r="A4936" s="109"/>
      <c r="B4936" s="109"/>
      <c r="C4936" s="109"/>
      <c r="D4936" s="109"/>
      <c r="E4936" s="109"/>
      <c r="F4936" s="109"/>
      <c r="G4936" s="109"/>
      <c r="H4936" s="109"/>
      <c r="I4936" s="109"/>
      <c r="J4936" s="109"/>
      <c r="L4936" s="109"/>
      <c r="M4936" s="109"/>
      <c r="N4936" s="109"/>
      <c r="Q4936" s="121"/>
      <c r="W4936" s="109"/>
    </row>
    <row r="4937" spans="1:23" ht="12.75" hidden="1">
      <c r="A4937" s="109"/>
      <c r="B4937" s="109"/>
      <c r="C4937" s="109"/>
      <c r="D4937" s="109"/>
      <c r="E4937" s="109"/>
      <c r="F4937" s="109"/>
      <c r="G4937" s="109"/>
      <c r="H4937" s="109"/>
      <c r="I4937" s="109"/>
      <c r="J4937" s="109"/>
      <c r="L4937" s="109"/>
      <c r="M4937" s="109"/>
      <c r="N4937" s="109"/>
      <c r="Q4937" s="121"/>
      <c r="W4937" s="109"/>
    </row>
    <row r="4938" spans="1:23" ht="12.75" hidden="1">
      <c r="A4938" s="109"/>
      <c r="B4938" s="109"/>
      <c r="C4938" s="109"/>
      <c r="D4938" s="109"/>
      <c r="E4938" s="109"/>
      <c r="F4938" s="109"/>
      <c r="G4938" s="109"/>
      <c r="H4938" s="109"/>
      <c r="I4938" s="109"/>
      <c r="J4938" s="109"/>
      <c r="L4938" s="109"/>
      <c r="M4938" s="109"/>
      <c r="N4938" s="109"/>
      <c r="Q4938" s="121"/>
      <c r="W4938" s="109"/>
    </row>
    <row r="4939" spans="1:23" ht="12.75" hidden="1">
      <c r="A4939" s="109"/>
      <c r="B4939" s="109"/>
      <c r="C4939" s="109"/>
      <c r="D4939" s="109"/>
      <c r="E4939" s="109"/>
      <c r="F4939" s="109"/>
      <c r="G4939" s="109"/>
      <c r="H4939" s="109"/>
      <c r="I4939" s="109"/>
      <c r="J4939" s="109"/>
      <c r="L4939" s="109"/>
      <c r="M4939" s="109"/>
      <c r="N4939" s="109"/>
      <c r="Q4939" s="121"/>
      <c r="W4939" s="109"/>
    </row>
    <row r="4940" spans="1:23" ht="12.75" hidden="1">
      <c r="A4940" s="109"/>
      <c r="B4940" s="109"/>
      <c r="C4940" s="109"/>
      <c r="D4940" s="109"/>
      <c r="E4940" s="109"/>
      <c r="F4940" s="109"/>
      <c r="G4940" s="109"/>
      <c r="H4940" s="109"/>
      <c r="I4940" s="109"/>
      <c r="J4940" s="109"/>
      <c r="L4940" s="109"/>
      <c r="M4940" s="109"/>
      <c r="N4940" s="109"/>
      <c r="Q4940" s="121"/>
      <c r="W4940" s="109"/>
    </row>
    <row r="4941" spans="1:23" ht="12.75" hidden="1">
      <c r="A4941" s="109"/>
      <c r="B4941" s="109"/>
      <c r="C4941" s="109"/>
      <c r="D4941" s="109"/>
      <c r="E4941" s="109"/>
      <c r="F4941" s="109"/>
      <c r="G4941" s="109"/>
      <c r="H4941" s="109"/>
      <c r="I4941" s="109"/>
      <c r="J4941" s="109"/>
      <c r="L4941" s="109"/>
      <c r="M4941" s="109"/>
      <c r="N4941" s="109"/>
      <c r="Q4941" s="121"/>
      <c r="W4941" s="109"/>
    </row>
    <row r="4942" spans="1:23" ht="12.75" hidden="1">
      <c r="A4942" s="109"/>
      <c r="B4942" s="109"/>
      <c r="C4942" s="109"/>
      <c r="D4942" s="109"/>
      <c r="E4942" s="109"/>
      <c r="F4942" s="109"/>
      <c r="G4942" s="109"/>
      <c r="H4942" s="109"/>
      <c r="I4942" s="109"/>
      <c r="J4942" s="109"/>
      <c r="L4942" s="109"/>
      <c r="M4942" s="109"/>
      <c r="N4942" s="109"/>
      <c r="Q4942" s="121"/>
      <c r="W4942" s="109"/>
    </row>
    <row r="4943" spans="1:23" ht="12.75" hidden="1">
      <c r="A4943" s="109"/>
      <c r="B4943" s="109"/>
      <c r="C4943" s="109"/>
      <c r="D4943" s="109"/>
      <c r="E4943" s="109"/>
      <c r="F4943" s="109"/>
      <c r="G4943" s="109"/>
      <c r="H4943" s="109"/>
      <c r="I4943" s="109"/>
      <c r="J4943" s="109"/>
      <c r="L4943" s="109"/>
      <c r="M4943" s="109"/>
      <c r="N4943" s="109"/>
      <c r="Q4943" s="121"/>
      <c r="W4943" s="109"/>
    </row>
    <row r="4944" spans="1:23" ht="12.75" hidden="1">
      <c r="A4944" s="109"/>
      <c r="B4944" s="109"/>
      <c r="C4944" s="109"/>
      <c r="D4944" s="109"/>
      <c r="E4944" s="109"/>
      <c r="F4944" s="109"/>
      <c r="G4944" s="109"/>
      <c r="H4944" s="109"/>
      <c r="I4944" s="109"/>
      <c r="J4944" s="109"/>
      <c r="L4944" s="109"/>
      <c r="M4944" s="109"/>
      <c r="N4944" s="109"/>
      <c r="Q4944" s="121"/>
      <c r="W4944" s="109"/>
    </row>
    <row r="4945" spans="1:23" ht="12.75" hidden="1">
      <c r="A4945" s="109"/>
      <c r="B4945" s="109"/>
      <c r="C4945" s="109"/>
      <c r="D4945" s="109"/>
      <c r="E4945" s="109"/>
      <c r="F4945" s="109"/>
      <c r="G4945" s="109"/>
      <c r="H4945" s="109"/>
      <c r="I4945" s="109"/>
      <c r="J4945" s="109"/>
      <c r="L4945" s="109"/>
      <c r="M4945" s="109"/>
      <c r="N4945" s="109"/>
      <c r="Q4945" s="121"/>
      <c r="W4945" s="109"/>
    </row>
    <row r="4946" spans="1:23" ht="12.75" hidden="1">
      <c r="A4946" s="109"/>
      <c r="B4946" s="109"/>
      <c r="C4946" s="109"/>
      <c r="D4946" s="109"/>
      <c r="E4946" s="109"/>
      <c r="F4946" s="109"/>
      <c r="G4946" s="109"/>
      <c r="H4946" s="109"/>
      <c r="I4946" s="109"/>
      <c r="J4946" s="109"/>
      <c r="L4946" s="109"/>
      <c r="M4946" s="109"/>
      <c r="N4946" s="109"/>
      <c r="Q4946" s="121"/>
      <c r="W4946" s="109"/>
    </row>
    <row r="4947" spans="1:23" ht="12.75" hidden="1">
      <c r="A4947" s="109"/>
      <c r="B4947" s="109"/>
      <c r="C4947" s="109"/>
      <c r="D4947" s="109"/>
      <c r="E4947" s="109"/>
      <c r="F4947" s="109"/>
      <c r="G4947" s="109"/>
      <c r="H4947" s="109"/>
      <c r="I4947" s="109"/>
      <c r="J4947" s="109"/>
      <c r="L4947" s="109"/>
      <c r="M4947" s="109"/>
      <c r="N4947" s="109"/>
      <c r="Q4947" s="121"/>
      <c r="W4947" s="109"/>
    </row>
    <row r="4948" spans="1:23" ht="12.75" hidden="1">
      <c r="A4948" s="109"/>
      <c r="B4948" s="109"/>
      <c r="C4948" s="109"/>
      <c r="D4948" s="109"/>
      <c r="E4948" s="109"/>
      <c r="F4948" s="109"/>
      <c r="G4948" s="109"/>
      <c r="H4948" s="109"/>
      <c r="I4948" s="109"/>
      <c r="J4948" s="109"/>
      <c r="L4948" s="109"/>
      <c r="M4948" s="109"/>
      <c r="N4948" s="109"/>
      <c r="Q4948" s="121"/>
      <c r="W4948" s="109"/>
    </row>
    <row r="4949" spans="1:23" ht="12.75" hidden="1">
      <c r="A4949" s="109"/>
      <c r="B4949" s="109"/>
      <c r="C4949" s="109"/>
      <c r="D4949" s="109"/>
      <c r="E4949" s="109"/>
      <c r="F4949" s="109"/>
      <c r="G4949" s="109"/>
      <c r="H4949" s="109"/>
      <c r="I4949" s="109"/>
      <c r="J4949" s="109"/>
      <c r="L4949" s="109"/>
      <c r="M4949" s="109"/>
      <c r="N4949" s="109"/>
      <c r="Q4949" s="121"/>
      <c r="W4949" s="109"/>
    </row>
    <row r="4950" spans="1:23" ht="12.75" hidden="1">
      <c r="A4950" s="109"/>
      <c r="B4950" s="109"/>
      <c r="C4950" s="109"/>
      <c r="D4950" s="109"/>
      <c r="E4950" s="109"/>
      <c r="F4950" s="109"/>
      <c r="G4950" s="109"/>
      <c r="H4950" s="109"/>
      <c r="I4950" s="109"/>
      <c r="J4950" s="109"/>
      <c r="L4950" s="109"/>
      <c r="M4950" s="109"/>
      <c r="N4950" s="109"/>
      <c r="Q4950" s="121"/>
      <c r="W4950" s="109"/>
    </row>
    <row r="4951" spans="1:23" ht="12.75" hidden="1">
      <c r="A4951" s="109"/>
      <c r="B4951" s="109"/>
      <c r="C4951" s="109"/>
      <c r="D4951" s="109"/>
      <c r="E4951" s="109"/>
      <c r="F4951" s="109"/>
      <c r="G4951" s="109"/>
      <c r="H4951" s="109"/>
      <c r="I4951" s="109"/>
      <c r="J4951" s="109"/>
      <c r="L4951" s="109"/>
      <c r="M4951" s="109"/>
      <c r="N4951" s="109"/>
      <c r="Q4951" s="121"/>
      <c r="W4951" s="109"/>
    </row>
    <row r="4952" spans="1:23" ht="12.75" hidden="1">
      <c r="A4952" s="109"/>
      <c r="B4952" s="109"/>
      <c r="C4952" s="109"/>
      <c r="D4952" s="109"/>
      <c r="E4952" s="109"/>
      <c r="F4952" s="109"/>
      <c r="G4952" s="109"/>
      <c r="H4952" s="109"/>
      <c r="I4952" s="109"/>
      <c r="J4952" s="109"/>
      <c r="L4952" s="109"/>
      <c r="M4952" s="109"/>
      <c r="N4952" s="109"/>
      <c r="Q4952" s="121"/>
      <c r="W4952" s="109"/>
    </row>
    <row r="4953" spans="1:23" ht="12.75" hidden="1">
      <c r="A4953" s="109"/>
      <c r="B4953" s="109"/>
      <c r="C4953" s="109"/>
      <c r="D4953" s="109"/>
      <c r="E4953" s="109"/>
      <c r="F4953" s="109"/>
      <c r="G4953" s="109"/>
      <c r="H4953" s="109"/>
      <c r="I4953" s="109"/>
      <c r="J4953" s="109"/>
      <c r="L4953" s="109"/>
      <c r="M4953" s="109"/>
      <c r="N4953" s="109"/>
      <c r="Q4953" s="121"/>
      <c r="W4953" s="109"/>
    </row>
    <row r="4954" spans="1:23" ht="12.75" hidden="1">
      <c r="A4954" s="109"/>
      <c r="B4954" s="109"/>
      <c r="C4954" s="109"/>
      <c r="D4954" s="109"/>
      <c r="E4954" s="109"/>
      <c r="F4954" s="109"/>
      <c r="G4954" s="109"/>
      <c r="H4954" s="109"/>
      <c r="I4954" s="109"/>
      <c r="J4954" s="109"/>
      <c r="L4954" s="109"/>
      <c r="M4954" s="109"/>
      <c r="N4954" s="109"/>
      <c r="Q4954" s="121"/>
      <c r="W4954" s="109"/>
    </row>
    <row r="4955" spans="1:23" ht="12.75" hidden="1">
      <c r="A4955" s="109"/>
      <c r="B4955" s="109"/>
      <c r="C4955" s="109"/>
      <c r="D4955" s="109"/>
      <c r="E4955" s="109"/>
      <c r="F4955" s="109"/>
      <c r="G4955" s="109"/>
      <c r="H4955" s="109"/>
      <c r="I4955" s="109"/>
      <c r="J4955" s="109"/>
      <c r="L4955" s="109"/>
      <c r="M4955" s="109"/>
      <c r="N4955" s="109"/>
      <c r="Q4955" s="121"/>
      <c r="W4955" s="109"/>
    </row>
    <row r="4956" spans="1:23" ht="12.75" hidden="1">
      <c r="A4956" s="109"/>
      <c r="B4956" s="109"/>
      <c r="C4956" s="109"/>
      <c r="D4956" s="109"/>
      <c r="E4956" s="109"/>
      <c r="F4956" s="109"/>
      <c r="G4956" s="109"/>
      <c r="H4956" s="109"/>
      <c r="I4956" s="109"/>
      <c r="J4956" s="109"/>
      <c r="L4956" s="109"/>
      <c r="M4956" s="109"/>
      <c r="N4956" s="109"/>
      <c r="Q4956" s="121"/>
      <c r="W4956" s="109"/>
    </row>
    <row r="4957" spans="1:23" ht="12.75" hidden="1">
      <c r="A4957" s="109"/>
      <c r="B4957" s="109"/>
      <c r="C4957" s="109"/>
      <c r="D4957" s="109"/>
      <c r="E4957" s="109"/>
      <c r="F4957" s="109"/>
      <c r="G4957" s="109"/>
      <c r="H4957" s="109"/>
      <c r="I4957" s="109"/>
      <c r="J4957" s="109"/>
      <c r="L4957" s="109"/>
      <c r="M4957" s="109"/>
      <c r="N4957" s="109"/>
      <c r="Q4957" s="121"/>
      <c r="W4957" s="109"/>
    </row>
    <row r="4958" spans="1:23" ht="12.75" hidden="1">
      <c r="A4958" s="109"/>
      <c r="B4958" s="109"/>
      <c r="C4958" s="109"/>
      <c r="D4958" s="109"/>
      <c r="E4958" s="109"/>
      <c r="F4958" s="109"/>
      <c r="G4958" s="109"/>
      <c r="H4958" s="109"/>
      <c r="I4958" s="109"/>
      <c r="J4958" s="109"/>
      <c r="L4958" s="109"/>
      <c r="M4958" s="109"/>
      <c r="N4958" s="109"/>
      <c r="Q4958" s="121"/>
      <c r="W4958" s="109"/>
    </row>
    <row r="4959" spans="1:23" ht="12.75" hidden="1">
      <c r="A4959" s="109"/>
      <c r="B4959" s="109"/>
      <c r="C4959" s="109"/>
      <c r="D4959" s="109"/>
      <c r="E4959" s="109"/>
      <c r="F4959" s="109"/>
      <c r="G4959" s="109"/>
      <c r="H4959" s="109"/>
      <c r="I4959" s="109"/>
      <c r="J4959" s="109"/>
      <c r="L4959" s="109"/>
      <c r="M4959" s="109"/>
      <c r="N4959" s="109"/>
      <c r="Q4959" s="121"/>
      <c r="W4959" s="109"/>
    </row>
    <row r="4960" spans="1:23" ht="12.75" hidden="1">
      <c r="A4960" s="109"/>
      <c r="B4960" s="109"/>
      <c r="C4960" s="109"/>
      <c r="D4960" s="109"/>
      <c r="E4960" s="109"/>
      <c r="F4960" s="109"/>
      <c r="G4960" s="109"/>
      <c r="H4960" s="109"/>
      <c r="I4960" s="109"/>
      <c r="J4960" s="109"/>
      <c r="L4960" s="109"/>
      <c r="M4960" s="109"/>
      <c r="N4960" s="109"/>
      <c r="Q4960" s="121"/>
      <c r="W4960" s="109"/>
    </row>
    <row r="4961" spans="1:23" ht="12.75" hidden="1">
      <c r="A4961" s="109"/>
      <c r="B4961" s="109"/>
      <c r="C4961" s="109"/>
      <c r="D4961" s="109"/>
      <c r="E4961" s="109"/>
      <c r="F4961" s="109"/>
      <c r="G4961" s="109"/>
      <c r="H4961" s="109"/>
      <c r="I4961" s="109"/>
      <c r="J4961" s="109"/>
      <c r="L4961" s="109"/>
      <c r="M4961" s="109"/>
      <c r="N4961" s="109"/>
      <c r="Q4961" s="121"/>
      <c r="W4961" s="109"/>
    </row>
    <row r="4962" spans="1:23" ht="12.75" hidden="1">
      <c r="A4962" s="109"/>
      <c r="B4962" s="109"/>
      <c r="C4962" s="109"/>
      <c r="D4962" s="109"/>
      <c r="E4962" s="109"/>
      <c r="F4962" s="109"/>
      <c r="G4962" s="109"/>
      <c r="H4962" s="109"/>
      <c r="I4962" s="109"/>
      <c r="J4962" s="109"/>
      <c r="L4962" s="109"/>
      <c r="M4962" s="109"/>
      <c r="N4962" s="109"/>
      <c r="Q4962" s="121"/>
      <c r="W4962" s="109"/>
    </row>
    <row r="4963" spans="1:23" ht="12.75" hidden="1">
      <c r="A4963" s="109"/>
      <c r="B4963" s="109"/>
      <c r="C4963" s="109"/>
      <c r="D4963" s="109"/>
      <c r="E4963" s="109"/>
      <c r="F4963" s="109"/>
      <c r="G4963" s="109"/>
      <c r="H4963" s="109"/>
      <c r="I4963" s="109"/>
      <c r="J4963" s="109"/>
      <c r="L4963" s="109"/>
      <c r="M4963" s="109"/>
      <c r="N4963" s="109"/>
      <c r="Q4963" s="121"/>
      <c r="W4963" s="109"/>
    </row>
    <row r="4964" spans="1:23" ht="12.75" hidden="1">
      <c r="A4964" s="109"/>
      <c r="B4964" s="109"/>
      <c r="C4964" s="109"/>
      <c r="D4964" s="109"/>
      <c r="E4964" s="109"/>
      <c r="F4964" s="109"/>
      <c r="G4964" s="109"/>
      <c r="H4964" s="109"/>
      <c r="I4964" s="109"/>
      <c r="J4964" s="109"/>
      <c r="L4964" s="109"/>
      <c r="M4964" s="109"/>
      <c r="N4964" s="109"/>
      <c r="Q4964" s="121"/>
      <c r="W4964" s="109"/>
    </row>
    <row r="4965" spans="1:23" ht="12.75" hidden="1">
      <c r="A4965" s="109"/>
      <c r="B4965" s="109"/>
      <c r="C4965" s="109"/>
      <c r="D4965" s="109"/>
      <c r="E4965" s="109"/>
      <c r="F4965" s="109"/>
      <c r="G4965" s="109"/>
      <c r="H4965" s="109"/>
      <c r="I4965" s="109"/>
      <c r="J4965" s="109"/>
      <c r="L4965" s="109"/>
      <c r="M4965" s="109"/>
      <c r="N4965" s="109"/>
      <c r="Q4965" s="121"/>
      <c r="W4965" s="109"/>
    </row>
    <row r="4966" spans="1:23" ht="12.75" hidden="1">
      <c r="A4966" s="109"/>
      <c r="B4966" s="109"/>
      <c r="C4966" s="109"/>
      <c r="D4966" s="109"/>
      <c r="E4966" s="109"/>
      <c r="F4966" s="109"/>
      <c r="G4966" s="109"/>
      <c r="H4966" s="109"/>
      <c r="I4966" s="109"/>
      <c r="J4966" s="109"/>
      <c r="L4966" s="109"/>
      <c r="M4966" s="109"/>
      <c r="N4966" s="109"/>
      <c r="Q4966" s="121"/>
      <c r="W4966" s="109"/>
    </row>
    <row r="4967" spans="1:23" ht="12.75" hidden="1">
      <c r="A4967" s="109"/>
      <c r="B4967" s="109"/>
      <c r="C4967" s="109"/>
      <c r="D4967" s="109"/>
      <c r="E4967" s="109"/>
      <c r="F4967" s="109"/>
      <c r="G4967" s="109"/>
      <c r="H4967" s="109"/>
      <c r="I4967" s="109"/>
      <c r="J4967" s="109"/>
      <c r="L4967" s="109"/>
      <c r="M4967" s="109"/>
      <c r="N4967" s="109"/>
      <c r="Q4967" s="121"/>
      <c r="W4967" s="109"/>
    </row>
    <row r="4968" spans="1:23" ht="12.75" hidden="1">
      <c r="A4968" s="109"/>
      <c r="B4968" s="109"/>
      <c r="C4968" s="109"/>
      <c r="D4968" s="109"/>
      <c r="E4968" s="109"/>
      <c r="F4968" s="109"/>
      <c r="G4968" s="109"/>
      <c r="H4968" s="109"/>
      <c r="I4968" s="109"/>
      <c r="J4968" s="109"/>
      <c r="L4968" s="109"/>
      <c r="M4968" s="109"/>
      <c r="N4968" s="109"/>
      <c r="Q4968" s="121"/>
      <c r="W4968" s="109"/>
    </row>
    <row r="4969" spans="1:23" ht="12.75" hidden="1">
      <c r="A4969" s="109"/>
      <c r="B4969" s="109"/>
      <c r="C4969" s="109"/>
      <c r="D4969" s="109"/>
      <c r="E4969" s="109"/>
      <c r="F4969" s="109"/>
      <c r="G4969" s="109"/>
      <c r="H4969" s="109"/>
      <c r="I4969" s="109"/>
      <c r="J4969" s="109"/>
      <c r="L4969" s="109"/>
      <c r="M4969" s="109"/>
      <c r="N4969" s="109"/>
      <c r="Q4969" s="121"/>
      <c r="W4969" s="109"/>
    </row>
    <row r="4970" spans="1:23" ht="12.75" hidden="1">
      <c r="A4970" s="109"/>
      <c r="B4970" s="109"/>
      <c r="C4970" s="109"/>
      <c r="D4970" s="109"/>
      <c r="E4970" s="109"/>
      <c r="F4970" s="109"/>
      <c r="G4970" s="109"/>
      <c r="H4970" s="109"/>
      <c r="I4970" s="109"/>
      <c r="J4970" s="109"/>
      <c r="L4970" s="109"/>
      <c r="M4970" s="109"/>
      <c r="N4970" s="109"/>
      <c r="Q4970" s="121"/>
      <c r="W4970" s="109"/>
    </row>
    <row r="4971" spans="1:23" ht="12.75" hidden="1">
      <c r="A4971" s="109"/>
      <c r="B4971" s="109"/>
      <c r="C4971" s="109"/>
      <c r="D4971" s="109"/>
      <c r="E4971" s="109"/>
      <c r="F4971" s="109"/>
      <c r="G4971" s="109"/>
      <c r="H4971" s="109"/>
      <c r="I4971" s="109"/>
      <c r="J4971" s="109"/>
      <c r="L4971" s="109"/>
      <c r="M4971" s="109"/>
      <c r="N4971" s="109"/>
      <c r="Q4971" s="121"/>
      <c r="W4971" s="109"/>
    </row>
    <row r="4972" spans="1:23" ht="12.75" hidden="1">
      <c r="A4972" s="109"/>
      <c r="B4972" s="109"/>
      <c r="C4972" s="109"/>
      <c r="D4972" s="109"/>
      <c r="E4972" s="109"/>
      <c r="F4972" s="109"/>
      <c r="G4972" s="109"/>
      <c r="H4972" s="109"/>
      <c r="I4972" s="109"/>
      <c r="J4972" s="109"/>
      <c r="L4972" s="109"/>
      <c r="M4972" s="109"/>
      <c r="N4972" s="109"/>
      <c r="Q4972" s="121"/>
      <c r="W4972" s="109"/>
    </row>
    <row r="4973" spans="1:23" ht="12.75" hidden="1">
      <c r="A4973" s="109"/>
      <c r="B4973" s="109"/>
      <c r="C4973" s="109"/>
      <c r="D4973" s="109"/>
      <c r="E4973" s="109"/>
      <c r="F4973" s="109"/>
      <c r="G4973" s="109"/>
      <c r="H4973" s="109"/>
      <c r="I4973" s="109"/>
      <c r="J4973" s="109"/>
      <c r="L4973" s="109"/>
      <c r="M4973" s="109"/>
      <c r="N4973" s="109"/>
      <c r="Q4973" s="121"/>
      <c r="W4973" s="109"/>
    </row>
    <row r="4974" spans="1:23" ht="12.75" hidden="1">
      <c r="A4974" s="109"/>
      <c r="B4974" s="109"/>
      <c r="C4974" s="109"/>
      <c r="D4974" s="109"/>
      <c r="E4974" s="109"/>
      <c r="F4974" s="109"/>
      <c r="G4974" s="109"/>
      <c r="H4974" s="109"/>
      <c r="I4974" s="109"/>
      <c r="J4974" s="109"/>
      <c r="L4974" s="109"/>
      <c r="M4974" s="109"/>
      <c r="N4974" s="109"/>
      <c r="Q4974" s="121"/>
      <c r="W4974" s="109"/>
    </row>
    <row r="4975" spans="1:23" ht="12.75" hidden="1">
      <c r="A4975" s="109"/>
      <c r="B4975" s="109"/>
      <c r="C4975" s="109"/>
      <c r="D4975" s="109"/>
      <c r="E4975" s="109"/>
      <c r="F4975" s="109"/>
      <c r="G4975" s="109"/>
      <c r="H4975" s="109"/>
      <c r="I4975" s="109"/>
      <c r="J4975" s="109"/>
      <c r="L4975" s="109"/>
      <c r="M4975" s="109"/>
      <c r="N4975" s="109"/>
      <c r="Q4975" s="121"/>
      <c r="W4975" s="109"/>
    </row>
    <row r="4976" spans="1:23" ht="12.75" hidden="1">
      <c r="A4976" s="109"/>
      <c r="B4976" s="109"/>
      <c r="C4976" s="109"/>
      <c r="D4976" s="109"/>
      <c r="E4976" s="109"/>
      <c r="F4976" s="109"/>
      <c r="G4976" s="109"/>
      <c r="H4976" s="109"/>
      <c r="I4976" s="109"/>
      <c r="J4976" s="109"/>
      <c r="L4976" s="109"/>
      <c r="M4976" s="109"/>
      <c r="N4976" s="109"/>
      <c r="Q4976" s="121"/>
      <c r="W4976" s="109"/>
    </row>
    <row r="4977" spans="1:23" ht="12.75" hidden="1">
      <c r="A4977" s="109"/>
      <c r="B4977" s="109"/>
      <c r="C4977" s="109"/>
      <c r="D4977" s="109"/>
      <c r="E4977" s="109"/>
      <c r="F4977" s="109"/>
      <c r="G4977" s="109"/>
      <c r="H4977" s="109"/>
      <c r="I4977" s="109"/>
      <c r="J4977" s="109"/>
      <c r="L4977" s="109"/>
      <c r="M4977" s="109"/>
      <c r="N4977" s="109"/>
      <c r="Q4977" s="121"/>
      <c r="W4977" s="109"/>
    </row>
    <row r="4978" spans="1:23" ht="12.75" hidden="1">
      <c r="A4978" s="109"/>
      <c r="B4978" s="109"/>
      <c r="C4978" s="109"/>
      <c r="D4978" s="109"/>
      <c r="E4978" s="109"/>
      <c r="F4978" s="109"/>
      <c r="G4978" s="109"/>
      <c r="H4978" s="109"/>
      <c r="I4978" s="109"/>
      <c r="J4978" s="109"/>
      <c r="L4978" s="109"/>
      <c r="M4978" s="109"/>
      <c r="N4978" s="109"/>
      <c r="Q4978" s="121"/>
      <c r="W4978" s="109"/>
    </row>
    <row r="4979" spans="1:23" ht="12.75" hidden="1">
      <c r="A4979" s="109"/>
      <c r="B4979" s="109"/>
      <c r="C4979" s="109"/>
      <c r="D4979" s="109"/>
      <c r="E4979" s="109"/>
      <c r="F4979" s="109"/>
      <c r="G4979" s="109"/>
      <c r="H4979" s="109"/>
      <c r="I4979" s="109"/>
      <c r="J4979" s="109"/>
      <c r="L4979" s="109"/>
      <c r="M4979" s="109"/>
      <c r="N4979" s="109"/>
      <c r="Q4979" s="121"/>
      <c r="W4979" s="109"/>
    </row>
    <row r="4980" spans="1:23" ht="12.75" hidden="1">
      <c r="A4980" s="109"/>
      <c r="B4980" s="109"/>
      <c r="C4980" s="109"/>
      <c r="D4980" s="109"/>
      <c r="E4980" s="109"/>
      <c r="F4980" s="109"/>
      <c r="G4980" s="109"/>
      <c r="H4980" s="109"/>
      <c r="I4980" s="109"/>
      <c r="J4980" s="109"/>
      <c r="L4980" s="109"/>
      <c r="M4980" s="109"/>
      <c r="N4980" s="109"/>
      <c r="Q4980" s="121"/>
      <c r="W4980" s="109"/>
    </row>
    <row r="4981" spans="1:23" ht="12.75" hidden="1">
      <c r="A4981" s="109"/>
      <c r="B4981" s="109"/>
      <c r="C4981" s="109"/>
      <c r="D4981" s="109"/>
      <c r="E4981" s="109"/>
      <c r="F4981" s="109"/>
      <c r="G4981" s="109"/>
      <c r="H4981" s="109"/>
      <c r="I4981" s="109"/>
      <c r="J4981" s="109"/>
      <c r="L4981" s="109"/>
      <c r="M4981" s="109"/>
      <c r="N4981" s="109"/>
      <c r="Q4981" s="121"/>
      <c r="W4981" s="109"/>
    </row>
    <row r="4982" spans="1:23" ht="12.75" hidden="1">
      <c r="A4982" s="109"/>
      <c r="B4982" s="109"/>
      <c r="C4982" s="109"/>
      <c r="D4982" s="109"/>
      <c r="E4982" s="109"/>
      <c r="F4982" s="109"/>
      <c r="G4982" s="109"/>
      <c r="H4982" s="109"/>
      <c r="I4982" s="109"/>
      <c r="J4982" s="109"/>
      <c r="L4982" s="109"/>
      <c r="M4982" s="109"/>
      <c r="N4982" s="109"/>
      <c r="Q4982" s="121"/>
      <c r="W4982" s="109"/>
    </row>
    <row r="4983" spans="1:23" ht="12.75" hidden="1">
      <c r="A4983" s="109"/>
      <c r="B4983" s="109"/>
      <c r="C4983" s="109"/>
      <c r="D4983" s="109"/>
      <c r="E4983" s="109"/>
      <c r="F4983" s="109"/>
      <c r="G4983" s="109"/>
      <c r="H4983" s="109"/>
      <c r="I4983" s="109"/>
      <c r="J4983" s="109"/>
      <c r="L4983" s="109"/>
      <c r="M4983" s="109"/>
      <c r="N4983" s="109"/>
      <c r="Q4983" s="121"/>
      <c r="W4983" s="109"/>
    </row>
    <row r="4984" spans="1:23" ht="12.75" hidden="1">
      <c r="A4984" s="109"/>
      <c r="B4984" s="109"/>
      <c r="C4984" s="109"/>
      <c r="D4984" s="109"/>
      <c r="E4984" s="109"/>
      <c r="F4984" s="109"/>
      <c r="G4984" s="109"/>
      <c r="H4984" s="109"/>
      <c r="I4984" s="109"/>
      <c r="J4984" s="109"/>
      <c r="L4984" s="109"/>
      <c r="M4984" s="109"/>
      <c r="N4984" s="109"/>
      <c r="Q4984" s="121"/>
      <c r="W4984" s="109"/>
    </row>
    <row r="4985" spans="1:23" ht="12.75" hidden="1">
      <c r="A4985" s="109"/>
      <c r="B4985" s="109"/>
      <c r="C4985" s="109"/>
      <c r="D4985" s="109"/>
      <c r="E4985" s="109"/>
      <c r="F4985" s="109"/>
      <c r="G4985" s="109"/>
      <c r="H4985" s="109"/>
      <c r="I4985" s="109"/>
      <c r="J4985" s="109"/>
      <c r="L4985" s="109"/>
      <c r="M4985" s="109"/>
      <c r="N4985" s="109"/>
      <c r="Q4985" s="121"/>
      <c r="W4985" s="109"/>
    </row>
    <row r="4986" spans="1:23" ht="12.75" hidden="1">
      <c r="A4986" s="109"/>
      <c r="B4986" s="109"/>
      <c r="C4986" s="109"/>
      <c r="D4986" s="109"/>
      <c r="E4986" s="109"/>
      <c r="F4986" s="109"/>
      <c r="G4986" s="109"/>
      <c r="H4986" s="109"/>
      <c r="I4986" s="109"/>
      <c r="J4986" s="109"/>
      <c r="L4986" s="109"/>
      <c r="M4986" s="109"/>
      <c r="N4986" s="109"/>
      <c r="Q4986" s="121"/>
      <c r="W4986" s="109"/>
    </row>
    <row r="4987" spans="1:23" ht="12.75" hidden="1">
      <c r="A4987" s="109"/>
      <c r="B4987" s="109"/>
      <c r="C4987" s="109"/>
      <c r="D4987" s="109"/>
      <c r="E4987" s="109"/>
      <c r="F4987" s="109"/>
      <c r="G4987" s="109"/>
      <c r="H4987" s="109"/>
      <c r="I4987" s="109"/>
      <c r="J4987" s="109"/>
      <c r="L4987" s="109"/>
      <c r="M4987" s="109"/>
      <c r="N4987" s="109"/>
      <c r="Q4987" s="121"/>
      <c r="W4987" s="109"/>
    </row>
    <row r="4988" spans="1:23" ht="12.75" hidden="1">
      <c r="A4988" s="109"/>
      <c r="B4988" s="109"/>
      <c r="C4988" s="109"/>
      <c r="D4988" s="109"/>
      <c r="E4988" s="109"/>
      <c r="F4988" s="109"/>
      <c r="G4988" s="109"/>
      <c r="H4988" s="109"/>
      <c r="I4988" s="109"/>
      <c r="J4988" s="109"/>
      <c r="L4988" s="109"/>
      <c r="M4988" s="109"/>
      <c r="N4988" s="109"/>
      <c r="Q4988" s="121"/>
      <c r="W4988" s="109"/>
    </row>
    <row r="4989" spans="1:23" ht="12.75" hidden="1">
      <c r="A4989" s="109"/>
      <c r="B4989" s="109"/>
      <c r="C4989" s="109"/>
      <c r="D4989" s="109"/>
      <c r="E4989" s="109"/>
      <c r="F4989" s="109"/>
      <c r="G4989" s="109"/>
      <c r="H4989" s="109"/>
      <c r="I4989" s="109"/>
      <c r="J4989" s="109"/>
      <c r="L4989" s="109"/>
      <c r="M4989" s="109"/>
      <c r="N4989" s="109"/>
      <c r="Q4989" s="121"/>
      <c r="W4989" s="109"/>
    </row>
    <row r="4990" spans="1:23" ht="12.75" hidden="1">
      <c r="A4990" s="109"/>
      <c r="B4990" s="109"/>
      <c r="C4990" s="109"/>
      <c r="D4990" s="109"/>
      <c r="E4990" s="109"/>
      <c r="F4990" s="109"/>
      <c r="G4990" s="109"/>
      <c r="H4990" s="109"/>
      <c r="I4990" s="109"/>
      <c r="J4990" s="109"/>
      <c r="L4990" s="109"/>
      <c r="M4990" s="109"/>
      <c r="N4990" s="109"/>
      <c r="Q4990" s="121"/>
      <c r="W4990" s="109"/>
    </row>
    <row r="4991" spans="1:23" ht="12.75" hidden="1">
      <c r="A4991" s="109"/>
      <c r="B4991" s="109"/>
      <c r="C4991" s="109"/>
      <c r="D4991" s="109"/>
      <c r="E4991" s="109"/>
      <c r="F4991" s="109"/>
      <c r="G4991" s="109"/>
      <c r="H4991" s="109"/>
      <c r="I4991" s="109"/>
      <c r="J4991" s="109"/>
      <c r="L4991" s="109"/>
      <c r="M4991" s="109"/>
      <c r="N4991" s="109"/>
      <c r="Q4991" s="121"/>
      <c r="W4991" s="109"/>
    </row>
    <row r="4992" spans="1:23" ht="12.75" hidden="1">
      <c r="A4992" s="109"/>
      <c r="B4992" s="109"/>
      <c r="C4992" s="109"/>
      <c r="D4992" s="109"/>
      <c r="E4992" s="109"/>
      <c r="F4992" s="109"/>
      <c r="G4992" s="109"/>
      <c r="H4992" s="109"/>
      <c r="I4992" s="109"/>
      <c r="J4992" s="109"/>
      <c r="L4992" s="109"/>
      <c r="M4992" s="109"/>
      <c r="N4992" s="109"/>
      <c r="Q4992" s="121"/>
      <c r="W4992" s="109"/>
    </row>
    <row r="4993" spans="1:23" ht="12.75" hidden="1">
      <c r="A4993" s="109"/>
      <c r="B4993" s="109"/>
      <c r="C4993" s="109"/>
      <c r="D4993" s="109"/>
      <c r="E4993" s="109"/>
      <c r="F4993" s="109"/>
      <c r="G4993" s="109"/>
      <c r="H4993" s="109"/>
      <c r="I4993" s="109"/>
      <c r="J4993" s="109"/>
      <c r="L4993" s="109"/>
      <c r="M4993" s="109"/>
      <c r="N4993" s="109"/>
      <c r="Q4993" s="121"/>
      <c r="W4993" s="109"/>
    </row>
    <row r="4994" spans="1:23" ht="12.75" hidden="1">
      <c r="A4994" s="109"/>
      <c r="B4994" s="109"/>
      <c r="C4994" s="109"/>
      <c r="D4994" s="109"/>
      <c r="E4994" s="109"/>
      <c r="F4994" s="109"/>
      <c r="G4994" s="109"/>
      <c r="H4994" s="109"/>
      <c r="I4994" s="109"/>
      <c r="J4994" s="109"/>
      <c r="L4994" s="109"/>
      <c r="M4994" s="109"/>
      <c r="N4994" s="109"/>
      <c r="Q4994" s="121"/>
      <c r="W4994" s="109"/>
    </row>
    <row r="4995" spans="1:23" ht="12.75" hidden="1">
      <c r="A4995" s="109"/>
      <c r="B4995" s="109"/>
      <c r="C4995" s="109"/>
      <c r="D4995" s="109"/>
      <c r="E4995" s="109"/>
      <c r="F4995" s="109"/>
      <c r="G4995" s="109"/>
      <c r="H4995" s="109"/>
      <c r="I4995" s="109"/>
      <c r="J4995" s="109"/>
      <c r="L4995" s="109"/>
      <c r="M4995" s="109"/>
      <c r="N4995" s="109"/>
      <c r="Q4995" s="121"/>
      <c r="W4995" s="109"/>
    </row>
    <row r="4996" spans="1:23" ht="12.75" hidden="1">
      <c r="A4996" s="109"/>
      <c r="B4996" s="109"/>
      <c r="C4996" s="109"/>
      <c r="D4996" s="109"/>
      <c r="E4996" s="109"/>
      <c r="F4996" s="109"/>
      <c r="G4996" s="109"/>
      <c r="H4996" s="109"/>
      <c r="I4996" s="109"/>
      <c r="J4996" s="109"/>
      <c r="L4996" s="109"/>
      <c r="M4996" s="109"/>
      <c r="N4996" s="109"/>
      <c r="Q4996" s="121"/>
      <c r="W4996" s="109"/>
    </row>
    <row r="4997" spans="1:23" ht="12.75" hidden="1">
      <c r="A4997" s="109"/>
      <c r="B4997" s="109"/>
      <c r="C4997" s="109"/>
      <c r="D4997" s="109"/>
      <c r="E4997" s="109"/>
      <c r="F4997" s="109"/>
      <c r="G4997" s="109"/>
      <c r="H4997" s="109"/>
      <c r="I4997" s="109"/>
      <c r="J4997" s="109"/>
      <c r="L4997" s="109"/>
      <c r="M4997" s="109"/>
      <c r="N4997" s="109"/>
      <c r="Q4997" s="121"/>
      <c r="W4997" s="109"/>
    </row>
    <row r="4998" spans="1:23" ht="12.75" hidden="1">
      <c r="A4998" s="109"/>
      <c r="B4998" s="109"/>
      <c r="C4998" s="109"/>
      <c r="D4998" s="109"/>
      <c r="E4998" s="109"/>
      <c r="F4998" s="109"/>
      <c r="G4998" s="109"/>
      <c r="H4998" s="109"/>
      <c r="I4998" s="109"/>
      <c r="J4998" s="109"/>
      <c r="L4998" s="109"/>
      <c r="M4998" s="109"/>
      <c r="N4998" s="109"/>
      <c r="Q4998" s="121"/>
      <c r="W4998" s="109"/>
    </row>
    <row r="4999" spans="1:23" ht="12.75" hidden="1">
      <c r="A4999" s="109"/>
      <c r="B4999" s="109"/>
      <c r="C4999" s="109"/>
      <c r="D4999" s="109"/>
      <c r="E4999" s="109"/>
      <c r="F4999" s="109"/>
      <c r="G4999" s="109"/>
      <c r="H4999" s="109"/>
      <c r="I4999" s="109"/>
      <c r="J4999" s="109"/>
      <c r="L4999" s="109"/>
      <c r="M4999" s="109"/>
      <c r="N4999" s="109"/>
      <c r="Q4999" s="121"/>
      <c r="W4999" s="109"/>
    </row>
    <row r="5000" spans="1:23" ht="12.75" hidden="1">
      <c r="A5000" s="109"/>
      <c r="B5000" s="109"/>
      <c r="C5000" s="109"/>
      <c r="D5000" s="109"/>
      <c r="E5000" s="109"/>
      <c r="F5000" s="109"/>
      <c r="G5000" s="109"/>
      <c r="H5000" s="109"/>
      <c r="I5000" s="109"/>
      <c r="J5000" s="109"/>
      <c r="L5000" s="109"/>
      <c r="M5000" s="109"/>
      <c r="N5000" s="109"/>
      <c r="Q5000" s="121"/>
      <c r="W5000" s="109"/>
    </row>
    <row r="5001" spans="1:23" ht="12.75" hidden="1">
      <c r="A5001" s="109"/>
      <c r="B5001" s="109"/>
      <c r="C5001" s="109"/>
      <c r="D5001" s="109"/>
      <c r="E5001" s="109"/>
      <c r="F5001" s="109"/>
      <c r="G5001" s="109"/>
      <c r="H5001" s="109"/>
      <c r="I5001" s="109"/>
      <c r="J5001" s="109"/>
      <c r="L5001" s="109"/>
      <c r="M5001" s="109"/>
      <c r="N5001" s="109"/>
      <c r="Q5001" s="121"/>
      <c r="W5001" s="109"/>
    </row>
    <row r="5002" spans="1:23" ht="12.75" hidden="1">
      <c r="A5002" s="109"/>
      <c r="B5002" s="109"/>
      <c r="C5002" s="109"/>
      <c r="D5002" s="109"/>
      <c r="E5002" s="109"/>
      <c r="F5002" s="109"/>
      <c r="G5002" s="109"/>
      <c r="H5002" s="109"/>
      <c r="I5002" s="109"/>
      <c r="J5002" s="109"/>
      <c r="L5002" s="109"/>
      <c r="M5002" s="109"/>
      <c r="N5002" s="109"/>
      <c r="Q5002" s="121"/>
      <c r="W5002" s="109"/>
    </row>
    <row r="5003" spans="1:23" ht="12.75" hidden="1">
      <c r="A5003" s="109"/>
      <c r="B5003" s="109"/>
      <c r="C5003" s="109"/>
      <c r="D5003" s="109"/>
      <c r="E5003" s="109"/>
      <c r="F5003" s="109"/>
      <c r="G5003" s="109"/>
      <c r="H5003" s="109"/>
      <c r="I5003" s="109"/>
      <c r="J5003" s="109"/>
      <c r="L5003" s="109"/>
      <c r="M5003" s="109"/>
      <c r="N5003" s="109"/>
      <c r="Q5003" s="121"/>
      <c r="W5003" s="109"/>
    </row>
    <row r="5004" spans="1:23" ht="12.75" hidden="1">
      <c r="A5004" s="109"/>
      <c r="B5004" s="109"/>
      <c r="C5004" s="109"/>
      <c r="D5004" s="109"/>
      <c r="E5004" s="109"/>
      <c r="F5004" s="109"/>
      <c r="G5004" s="109"/>
      <c r="H5004" s="109"/>
      <c r="I5004" s="109"/>
      <c r="J5004" s="109"/>
      <c r="L5004" s="109"/>
      <c r="M5004" s="109"/>
      <c r="N5004" s="109"/>
      <c r="Q5004" s="121"/>
      <c r="W5004" s="109"/>
    </row>
    <row r="5005" spans="1:23" ht="12.75" hidden="1">
      <c r="A5005" s="109"/>
      <c r="B5005" s="109"/>
      <c r="C5005" s="109"/>
      <c r="D5005" s="109"/>
      <c r="E5005" s="109"/>
      <c r="F5005" s="109"/>
      <c r="G5005" s="109"/>
      <c r="H5005" s="109"/>
      <c r="I5005" s="109"/>
      <c r="J5005" s="109"/>
      <c r="L5005" s="109"/>
      <c r="M5005" s="109"/>
      <c r="N5005" s="109"/>
      <c r="Q5005" s="121"/>
      <c r="W5005" s="109"/>
    </row>
    <row r="5006" spans="1:23" ht="12.75" hidden="1">
      <c r="A5006" s="109"/>
      <c r="B5006" s="109"/>
      <c r="C5006" s="109"/>
      <c r="D5006" s="109"/>
      <c r="E5006" s="109"/>
      <c r="F5006" s="109"/>
      <c r="G5006" s="109"/>
      <c r="H5006" s="109"/>
      <c r="I5006" s="109"/>
      <c r="J5006" s="109"/>
      <c r="L5006" s="109"/>
      <c r="M5006" s="109"/>
      <c r="N5006" s="109"/>
      <c r="Q5006" s="121"/>
      <c r="W5006" s="109"/>
    </row>
    <row r="5007" spans="1:23" ht="12.75" hidden="1">
      <c r="A5007" s="109"/>
      <c r="B5007" s="109"/>
      <c r="C5007" s="109"/>
      <c r="D5007" s="109"/>
      <c r="E5007" s="109"/>
      <c r="F5007" s="109"/>
      <c r="G5007" s="109"/>
      <c r="H5007" s="109"/>
      <c r="I5007" s="109"/>
      <c r="J5007" s="109"/>
      <c r="L5007" s="109"/>
      <c r="M5007" s="109"/>
      <c r="N5007" s="109"/>
      <c r="Q5007" s="121"/>
      <c r="W5007" s="109"/>
    </row>
    <row r="5008" spans="1:23" ht="12.75" hidden="1">
      <c r="A5008" s="109"/>
      <c r="B5008" s="109"/>
      <c r="C5008" s="109"/>
      <c r="D5008" s="109"/>
      <c r="E5008" s="109"/>
      <c r="F5008" s="109"/>
      <c r="G5008" s="109"/>
      <c r="H5008" s="109"/>
      <c r="I5008" s="109"/>
      <c r="J5008" s="109"/>
      <c r="L5008" s="109"/>
      <c r="M5008" s="109"/>
      <c r="N5008" s="109"/>
      <c r="Q5008" s="121"/>
      <c r="W5008" s="109"/>
    </row>
    <row r="5009" spans="1:23" ht="12.75" hidden="1">
      <c r="A5009" s="109"/>
      <c r="B5009" s="109"/>
      <c r="C5009" s="109"/>
      <c r="D5009" s="109"/>
      <c r="E5009" s="109"/>
      <c r="F5009" s="109"/>
      <c r="G5009" s="109"/>
      <c r="H5009" s="109"/>
      <c r="I5009" s="109"/>
      <c r="J5009" s="109"/>
      <c r="L5009" s="109"/>
      <c r="M5009" s="109"/>
      <c r="N5009" s="109"/>
      <c r="Q5009" s="121"/>
      <c r="W5009" s="109"/>
    </row>
    <row r="5010" spans="1:23" ht="12.75" hidden="1">
      <c r="A5010" s="109"/>
      <c r="B5010" s="109"/>
      <c r="C5010" s="109"/>
      <c r="D5010" s="109"/>
      <c r="E5010" s="109"/>
      <c r="F5010" s="109"/>
      <c r="G5010" s="109"/>
      <c r="H5010" s="109"/>
      <c r="I5010" s="109"/>
      <c r="J5010" s="109"/>
      <c r="L5010" s="109"/>
      <c r="M5010" s="109"/>
      <c r="N5010" s="109"/>
      <c r="Q5010" s="121"/>
      <c r="W5010" s="109"/>
    </row>
    <row r="5011" spans="1:23" ht="12.75" hidden="1">
      <c r="A5011" s="109"/>
      <c r="B5011" s="109"/>
      <c r="C5011" s="109"/>
      <c r="D5011" s="109"/>
      <c r="E5011" s="109"/>
      <c r="F5011" s="109"/>
      <c r="G5011" s="109"/>
      <c r="H5011" s="109"/>
      <c r="I5011" s="109"/>
      <c r="J5011" s="109"/>
      <c r="L5011" s="109"/>
      <c r="M5011" s="109"/>
      <c r="N5011" s="109"/>
      <c r="Q5011" s="121"/>
      <c r="W5011" s="109"/>
    </row>
    <row r="5012" spans="1:23" ht="12.75" hidden="1">
      <c r="A5012" s="109"/>
      <c r="B5012" s="109"/>
      <c r="C5012" s="109"/>
      <c r="D5012" s="109"/>
      <c r="E5012" s="109"/>
      <c r="F5012" s="109"/>
      <c r="G5012" s="109"/>
      <c r="H5012" s="109"/>
      <c r="I5012" s="109"/>
      <c r="J5012" s="109"/>
      <c r="L5012" s="109"/>
      <c r="M5012" s="109"/>
      <c r="N5012" s="109"/>
      <c r="Q5012" s="121"/>
      <c r="W5012" s="109"/>
    </row>
    <row r="5013" spans="1:23" ht="12.75" hidden="1">
      <c r="A5013" s="109"/>
      <c r="B5013" s="109"/>
      <c r="C5013" s="109"/>
      <c r="D5013" s="109"/>
      <c r="E5013" s="109"/>
      <c r="F5013" s="109"/>
      <c r="G5013" s="109"/>
      <c r="H5013" s="109"/>
      <c r="I5013" s="109"/>
      <c r="J5013" s="109"/>
      <c r="L5013" s="109"/>
      <c r="M5013" s="109"/>
      <c r="N5013" s="109"/>
      <c r="Q5013" s="121"/>
      <c r="W5013" s="109"/>
    </row>
    <row r="5014" spans="1:23" ht="12.75" hidden="1">
      <c r="A5014" s="109"/>
      <c r="B5014" s="109"/>
      <c r="C5014" s="109"/>
      <c r="D5014" s="109"/>
      <c r="E5014" s="109"/>
      <c r="F5014" s="109"/>
      <c r="G5014" s="109"/>
      <c r="H5014" s="109"/>
      <c r="I5014" s="109"/>
      <c r="J5014" s="109"/>
      <c r="L5014" s="109"/>
      <c r="M5014" s="109"/>
      <c r="N5014" s="109"/>
      <c r="Q5014" s="121"/>
      <c r="W5014" s="109"/>
    </row>
    <row r="5015" spans="1:23" ht="12.75" hidden="1">
      <c r="A5015" s="109"/>
      <c r="B5015" s="109"/>
      <c r="C5015" s="109"/>
      <c r="D5015" s="109"/>
      <c r="E5015" s="109"/>
      <c r="F5015" s="109"/>
      <c r="G5015" s="109"/>
      <c r="H5015" s="109"/>
      <c r="I5015" s="109"/>
      <c r="J5015" s="109"/>
      <c r="L5015" s="109"/>
      <c r="M5015" s="109"/>
      <c r="N5015" s="109"/>
      <c r="Q5015" s="121"/>
      <c r="W5015" s="109"/>
    </row>
    <row r="5016" spans="1:23" ht="12.75" hidden="1">
      <c r="A5016" s="109"/>
      <c r="B5016" s="109"/>
      <c r="C5016" s="109"/>
      <c r="D5016" s="109"/>
      <c r="E5016" s="109"/>
      <c r="F5016" s="109"/>
      <c r="G5016" s="109"/>
      <c r="H5016" s="109"/>
      <c r="I5016" s="109"/>
      <c r="J5016" s="109"/>
      <c r="L5016" s="109"/>
      <c r="M5016" s="109"/>
      <c r="N5016" s="109"/>
      <c r="Q5016" s="121"/>
      <c r="W5016" s="109"/>
    </row>
    <row r="5017" spans="1:23" ht="12.75" hidden="1">
      <c r="A5017" s="109"/>
      <c r="B5017" s="109"/>
      <c r="C5017" s="109"/>
      <c r="D5017" s="109"/>
      <c r="E5017" s="109"/>
      <c r="F5017" s="109"/>
      <c r="G5017" s="109"/>
      <c r="H5017" s="109"/>
      <c r="I5017" s="109"/>
      <c r="J5017" s="109"/>
      <c r="L5017" s="109"/>
      <c r="M5017" s="109"/>
      <c r="N5017" s="109"/>
      <c r="Q5017" s="121"/>
      <c r="W5017" s="109"/>
    </row>
    <row r="5018" spans="1:23" ht="12.75" hidden="1">
      <c r="A5018" s="109"/>
      <c r="B5018" s="109"/>
      <c r="C5018" s="109"/>
      <c r="D5018" s="109"/>
      <c r="E5018" s="109"/>
      <c r="F5018" s="109"/>
      <c r="G5018" s="109"/>
      <c r="H5018" s="109"/>
      <c r="I5018" s="109"/>
      <c r="J5018" s="109"/>
      <c r="L5018" s="109"/>
      <c r="M5018" s="109"/>
      <c r="N5018" s="109"/>
      <c r="Q5018" s="121"/>
      <c r="W5018" s="109"/>
    </row>
    <row r="5019" spans="1:23" ht="12.75" hidden="1">
      <c r="A5019" s="109"/>
      <c r="B5019" s="109"/>
      <c r="C5019" s="109"/>
      <c r="D5019" s="109"/>
      <c r="E5019" s="109"/>
      <c r="F5019" s="109"/>
      <c r="G5019" s="109"/>
      <c r="H5019" s="109"/>
      <c r="I5019" s="109"/>
      <c r="J5019" s="109"/>
      <c r="L5019" s="109"/>
      <c r="M5019" s="109"/>
      <c r="N5019" s="109"/>
      <c r="Q5019" s="121"/>
      <c r="W5019" s="109"/>
    </row>
    <row r="5020" spans="1:23" ht="12.75" hidden="1">
      <c r="A5020" s="109"/>
      <c r="B5020" s="109"/>
      <c r="C5020" s="109"/>
      <c r="D5020" s="109"/>
      <c r="E5020" s="109"/>
      <c r="F5020" s="109"/>
      <c r="G5020" s="109"/>
      <c r="H5020" s="109"/>
      <c r="I5020" s="109"/>
      <c r="J5020" s="109"/>
      <c r="L5020" s="109"/>
      <c r="M5020" s="109"/>
      <c r="N5020" s="109"/>
      <c r="Q5020" s="121"/>
      <c r="W5020" s="109"/>
    </row>
    <row r="5021" spans="1:23" ht="12.75" hidden="1">
      <c r="A5021" s="109"/>
      <c r="B5021" s="109"/>
      <c r="C5021" s="109"/>
      <c r="D5021" s="109"/>
      <c r="E5021" s="109"/>
      <c r="F5021" s="109"/>
      <c r="G5021" s="109"/>
      <c r="H5021" s="109"/>
      <c r="I5021" s="109"/>
      <c r="J5021" s="109"/>
      <c r="L5021" s="109"/>
      <c r="M5021" s="109"/>
      <c r="N5021" s="109"/>
      <c r="Q5021" s="121"/>
      <c r="W5021" s="109"/>
    </row>
    <row r="5022" spans="1:23" ht="12.75" hidden="1">
      <c r="A5022" s="109"/>
      <c r="B5022" s="109"/>
      <c r="C5022" s="109"/>
      <c r="D5022" s="109"/>
      <c r="E5022" s="109"/>
      <c r="F5022" s="109"/>
      <c r="G5022" s="109"/>
      <c r="H5022" s="109"/>
      <c r="I5022" s="109"/>
      <c r="J5022" s="109"/>
      <c r="L5022" s="109"/>
      <c r="M5022" s="109"/>
      <c r="N5022" s="109"/>
      <c r="Q5022" s="121"/>
      <c r="W5022" s="109"/>
    </row>
    <row r="5023" spans="1:23" ht="12.75" hidden="1">
      <c r="A5023" s="109"/>
      <c r="B5023" s="109"/>
      <c r="C5023" s="109"/>
      <c r="D5023" s="109"/>
      <c r="E5023" s="109"/>
      <c r="F5023" s="109"/>
      <c r="G5023" s="109"/>
      <c r="H5023" s="109"/>
      <c r="I5023" s="109"/>
      <c r="J5023" s="109"/>
      <c r="L5023" s="109"/>
      <c r="M5023" s="109"/>
      <c r="N5023" s="109"/>
      <c r="Q5023" s="121"/>
      <c r="W5023" s="109"/>
    </row>
    <row r="5024" spans="1:23" ht="12.75" hidden="1">
      <c r="A5024" s="109"/>
      <c r="B5024" s="109"/>
      <c r="C5024" s="109"/>
      <c r="D5024" s="109"/>
      <c r="E5024" s="109"/>
      <c r="F5024" s="109"/>
      <c r="G5024" s="109"/>
      <c r="H5024" s="109"/>
      <c r="I5024" s="109"/>
      <c r="J5024" s="109"/>
      <c r="L5024" s="109"/>
      <c r="M5024" s="109"/>
      <c r="N5024" s="109"/>
      <c r="Q5024" s="121"/>
      <c r="W5024" s="109"/>
    </row>
    <row r="5025" spans="1:23" ht="12.75" hidden="1">
      <c r="A5025" s="109"/>
      <c r="B5025" s="109"/>
      <c r="C5025" s="109"/>
      <c r="D5025" s="109"/>
      <c r="E5025" s="109"/>
      <c r="F5025" s="109"/>
      <c r="G5025" s="109"/>
      <c r="H5025" s="109"/>
      <c r="I5025" s="109"/>
      <c r="J5025" s="109"/>
      <c r="L5025" s="109"/>
      <c r="M5025" s="109"/>
      <c r="N5025" s="109"/>
      <c r="Q5025" s="121"/>
      <c r="W5025" s="109"/>
    </row>
    <row r="5026" spans="1:23" ht="12.75" hidden="1">
      <c r="A5026" s="109"/>
      <c r="B5026" s="109"/>
      <c r="C5026" s="109"/>
      <c r="D5026" s="109"/>
      <c r="E5026" s="109"/>
      <c r="F5026" s="109"/>
      <c r="G5026" s="109"/>
      <c r="H5026" s="109"/>
      <c r="I5026" s="109"/>
      <c r="J5026" s="109"/>
      <c r="L5026" s="109"/>
      <c r="M5026" s="109"/>
      <c r="N5026" s="109"/>
      <c r="Q5026" s="121"/>
      <c r="W5026" s="109"/>
    </row>
    <row r="5027" spans="1:23" ht="12.75" hidden="1">
      <c r="A5027" s="109"/>
      <c r="B5027" s="109"/>
      <c r="C5027" s="109"/>
      <c r="D5027" s="109"/>
      <c r="E5027" s="109"/>
      <c r="F5027" s="109"/>
      <c r="G5027" s="109"/>
      <c r="H5027" s="109"/>
      <c r="I5027" s="109"/>
      <c r="J5027" s="109"/>
      <c r="L5027" s="109"/>
      <c r="M5027" s="109"/>
      <c r="N5027" s="109"/>
      <c r="Q5027" s="121"/>
      <c r="W5027" s="109"/>
    </row>
    <row r="5028" spans="1:23" ht="12.75" hidden="1">
      <c r="A5028" s="109"/>
      <c r="B5028" s="109"/>
      <c r="C5028" s="109"/>
      <c r="D5028" s="109"/>
      <c r="E5028" s="109"/>
      <c r="F5028" s="109"/>
      <c r="G5028" s="109"/>
      <c r="H5028" s="109"/>
      <c r="I5028" s="109"/>
      <c r="J5028" s="109"/>
      <c r="L5028" s="109"/>
      <c r="M5028" s="109"/>
      <c r="N5028" s="109"/>
      <c r="Q5028" s="121"/>
      <c r="W5028" s="109"/>
    </row>
    <row r="5029" spans="1:23" ht="12.75" hidden="1">
      <c r="A5029" s="109"/>
      <c r="B5029" s="109"/>
      <c r="C5029" s="109"/>
      <c r="D5029" s="109"/>
      <c r="E5029" s="109"/>
      <c r="F5029" s="109"/>
      <c r="G5029" s="109"/>
      <c r="H5029" s="109"/>
      <c r="I5029" s="109"/>
      <c r="J5029" s="109"/>
      <c r="L5029" s="109"/>
      <c r="M5029" s="109"/>
      <c r="N5029" s="109"/>
      <c r="Q5029" s="121"/>
      <c r="W5029" s="109"/>
    </row>
    <row r="5030" spans="1:23" ht="12.75" hidden="1">
      <c r="A5030" s="109"/>
      <c r="B5030" s="109"/>
      <c r="C5030" s="109"/>
      <c r="D5030" s="109"/>
      <c r="E5030" s="109"/>
      <c r="F5030" s="109"/>
      <c r="G5030" s="109"/>
      <c r="H5030" s="109"/>
      <c r="I5030" s="109"/>
      <c r="J5030" s="109"/>
      <c r="L5030" s="109"/>
      <c r="M5030" s="109"/>
      <c r="N5030" s="109"/>
      <c r="Q5030" s="121"/>
      <c r="W5030" s="109"/>
    </row>
    <row r="5031" spans="1:23" ht="12.75" hidden="1">
      <c r="A5031" s="109"/>
      <c r="B5031" s="109"/>
      <c r="C5031" s="109"/>
      <c r="D5031" s="109"/>
      <c r="E5031" s="109"/>
      <c r="F5031" s="109"/>
      <c r="G5031" s="109"/>
      <c r="H5031" s="109"/>
      <c r="I5031" s="109"/>
      <c r="J5031" s="109"/>
      <c r="L5031" s="109"/>
      <c r="M5031" s="109"/>
      <c r="N5031" s="109"/>
      <c r="Q5031" s="121"/>
      <c r="W5031" s="109"/>
    </row>
    <row r="5032" spans="1:23" ht="12.75" hidden="1">
      <c r="A5032" s="109"/>
      <c r="B5032" s="109"/>
      <c r="C5032" s="109"/>
      <c r="D5032" s="109"/>
      <c r="E5032" s="109"/>
      <c r="F5032" s="109"/>
      <c r="G5032" s="109"/>
      <c r="H5032" s="109"/>
      <c r="I5032" s="109"/>
      <c r="J5032" s="109"/>
      <c r="L5032" s="109"/>
      <c r="M5032" s="109"/>
      <c r="N5032" s="109"/>
      <c r="Q5032" s="121"/>
      <c r="W5032" s="109"/>
    </row>
    <row r="5033" spans="1:23" ht="12.75" hidden="1">
      <c r="A5033" s="109"/>
      <c r="B5033" s="109"/>
      <c r="C5033" s="109"/>
      <c r="D5033" s="109"/>
      <c r="E5033" s="109"/>
      <c r="F5033" s="109"/>
      <c r="G5033" s="109"/>
      <c r="H5033" s="109"/>
      <c r="I5033" s="109"/>
      <c r="J5033" s="109"/>
      <c r="L5033" s="109"/>
      <c r="M5033" s="109"/>
      <c r="N5033" s="109"/>
      <c r="Q5033" s="121"/>
      <c r="W5033" s="109"/>
    </row>
    <row r="5034" spans="1:23" ht="12.75" hidden="1">
      <c r="A5034" s="109"/>
      <c r="B5034" s="109"/>
      <c r="C5034" s="109"/>
      <c r="D5034" s="109"/>
      <c r="E5034" s="109"/>
      <c r="F5034" s="109"/>
      <c r="G5034" s="109"/>
      <c r="H5034" s="109"/>
      <c r="I5034" s="109"/>
      <c r="J5034" s="109"/>
      <c r="L5034" s="109"/>
      <c r="M5034" s="109"/>
      <c r="N5034" s="109"/>
      <c r="Q5034" s="121"/>
      <c r="W5034" s="109"/>
    </row>
    <row r="5035" spans="1:23" ht="12.75" hidden="1">
      <c r="A5035" s="109"/>
      <c r="B5035" s="109"/>
      <c r="C5035" s="109"/>
      <c r="D5035" s="109"/>
      <c r="E5035" s="109"/>
      <c r="F5035" s="109"/>
      <c r="G5035" s="109"/>
      <c r="H5035" s="109"/>
      <c r="I5035" s="109"/>
      <c r="J5035" s="109"/>
      <c r="L5035" s="109"/>
      <c r="M5035" s="109"/>
      <c r="N5035" s="109"/>
      <c r="Q5035" s="121"/>
      <c r="W5035" s="109"/>
    </row>
    <row r="5036" spans="1:23" ht="12.75" hidden="1">
      <c r="A5036" s="109"/>
      <c r="B5036" s="109"/>
      <c r="C5036" s="109"/>
      <c r="D5036" s="109"/>
      <c r="E5036" s="109"/>
      <c r="F5036" s="109"/>
      <c r="G5036" s="109"/>
      <c r="H5036" s="109"/>
      <c r="I5036" s="109"/>
      <c r="J5036" s="109"/>
      <c r="L5036" s="109"/>
      <c r="M5036" s="109"/>
      <c r="N5036" s="109"/>
      <c r="Q5036" s="121"/>
      <c r="W5036" s="109"/>
    </row>
    <row r="5037" spans="1:23" ht="12.75" hidden="1">
      <c r="A5037" s="109"/>
      <c r="B5037" s="109"/>
      <c r="C5037" s="109"/>
      <c r="D5037" s="109"/>
      <c r="E5037" s="109"/>
      <c r="F5037" s="109"/>
      <c r="G5037" s="109"/>
      <c r="H5037" s="109"/>
      <c r="I5037" s="109"/>
      <c r="J5037" s="109"/>
      <c r="L5037" s="109"/>
      <c r="M5037" s="109"/>
      <c r="N5037" s="109"/>
      <c r="Q5037" s="121"/>
      <c r="W5037" s="109"/>
    </row>
    <row r="5038" spans="1:23" ht="12.75" hidden="1">
      <c r="A5038" s="109"/>
      <c r="B5038" s="109"/>
      <c r="C5038" s="109"/>
      <c r="D5038" s="109"/>
      <c r="E5038" s="109"/>
      <c r="F5038" s="109"/>
      <c r="G5038" s="109"/>
      <c r="H5038" s="109"/>
      <c r="I5038" s="109"/>
      <c r="J5038" s="109"/>
      <c r="L5038" s="109"/>
      <c r="M5038" s="109"/>
      <c r="N5038" s="109"/>
      <c r="Q5038" s="121"/>
      <c r="W5038" s="109"/>
    </row>
    <row r="5039" spans="1:23" ht="12.75" hidden="1">
      <c r="A5039" s="109"/>
      <c r="B5039" s="109"/>
      <c r="C5039" s="109"/>
      <c r="D5039" s="109"/>
      <c r="E5039" s="109"/>
      <c r="F5039" s="109"/>
      <c r="G5039" s="109"/>
      <c r="H5039" s="109"/>
      <c r="I5039" s="109"/>
      <c r="J5039" s="109"/>
      <c r="L5039" s="109"/>
      <c r="M5039" s="109"/>
      <c r="N5039" s="109"/>
      <c r="Q5039" s="121"/>
      <c r="W5039" s="109"/>
    </row>
    <row r="5040" spans="1:23" ht="12.75" hidden="1">
      <c r="A5040" s="109"/>
      <c r="B5040" s="109"/>
      <c r="C5040" s="109"/>
      <c r="D5040" s="109"/>
      <c r="E5040" s="109"/>
      <c r="F5040" s="109"/>
      <c r="G5040" s="109"/>
      <c r="H5040" s="109"/>
      <c r="I5040" s="109"/>
      <c r="J5040" s="109"/>
      <c r="L5040" s="109"/>
      <c r="M5040" s="109"/>
      <c r="N5040" s="109"/>
      <c r="Q5040" s="121"/>
      <c r="W5040" s="109"/>
    </row>
    <row r="5041" spans="1:23" ht="12.75" hidden="1">
      <c r="A5041" s="109"/>
      <c r="B5041" s="109"/>
      <c r="C5041" s="109"/>
      <c r="D5041" s="109"/>
      <c r="E5041" s="109"/>
      <c r="F5041" s="109"/>
      <c r="G5041" s="109"/>
      <c r="H5041" s="109"/>
      <c r="I5041" s="109"/>
      <c r="J5041" s="109"/>
      <c r="L5041" s="109"/>
      <c r="M5041" s="109"/>
      <c r="N5041" s="109"/>
      <c r="Q5041" s="121"/>
      <c r="W5041" s="109"/>
    </row>
    <row r="5042" spans="1:23" ht="12.75" hidden="1">
      <c r="A5042" s="109"/>
      <c r="B5042" s="109"/>
      <c r="C5042" s="109"/>
      <c r="D5042" s="109"/>
      <c r="E5042" s="109"/>
      <c r="F5042" s="109"/>
      <c r="G5042" s="109"/>
      <c r="H5042" s="109"/>
      <c r="I5042" s="109"/>
      <c r="J5042" s="109"/>
      <c r="L5042" s="109"/>
      <c r="M5042" s="109"/>
      <c r="N5042" s="109"/>
      <c r="Q5042" s="121"/>
      <c r="W5042" s="109"/>
    </row>
    <row r="5043" spans="1:23" ht="12.75" hidden="1">
      <c r="A5043" s="109"/>
      <c r="B5043" s="109"/>
      <c r="C5043" s="109"/>
      <c r="D5043" s="109"/>
      <c r="E5043" s="109"/>
      <c r="F5043" s="109"/>
      <c r="G5043" s="109"/>
      <c r="H5043" s="109"/>
      <c r="I5043" s="109"/>
      <c r="J5043" s="109"/>
      <c r="L5043" s="109"/>
      <c r="M5043" s="109"/>
      <c r="N5043" s="109"/>
      <c r="Q5043" s="121"/>
      <c r="W5043" s="109"/>
    </row>
    <row r="5044" spans="1:23" ht="12.75" hidden="1">
      <c r="A5044" s="109"/>
      <c r="B5044" s="109"/>
      <c r="C5044" s="109"/>
      <c r="D5044" s="109"/>
      <c r="E5044" s="109"/>
      <c r="F5044" s="109"/>
      <c r="G5044" s="109"/>
      <c r="H5044" s="109"/>
      <c r="I5044" s="109"/>
      <c r="J5044" s="109"/>
      <c r="L5044" s="109"/>
      <c r="M5044" s="109"/>
      <c r="N5044" s="109"/>
      <c r="Q5044" s="121"/>
      <c r="W5044" s="109"/>
    </row>
    <row r="5045" spans="1:23" ht="12.75" hidden="1">
      <c r="A5045" s="109"/>
      <c r="B5045" s="109"/>
      <c r="C5045" s="109"/>
      <c r="D5045" s="109"/>
      <c r="E5045" s="109"/>
      <c r="F5045" s="109"/>
      <c r="G5045" s="109"/>
      <c r="H5045" s="109"/>
      <c r="I5045" s="109"/>
      <c r="J5045" s="109"/>
      <c r="L5045" s="109"/>
      <c r="M5045" s="109"/>
      <c r="N5045" s="109"/>
      <c r="Q5045" s="121"/>
      <c r="W5045" s="109"/>
    </row>
    <row r="5046" spans="1:23" ht="12.75" hidden="1">
      <c r="A5046" s="109"/>
      <c r="B5046" s="109"/>
      <c r="C5046" s="109"/>
      <c r="D5046" s="109"/>
      <c r="E5046" s="109"/>
      <c r="F5046" s="109"/>
      <c r="G5046" s="109"/>
      <c r="H5046" s="109"/>
      <c r="I5046" s="109"/>
      <c r="J5046" s="109"/>
      <c r="L5046" s="109"/>
      <c r="M5046" s="109"/>
      <c r="N5046" s="109"/>
      <c r="Q5046" s="121"/>
      <c r="W5046" s="109"/>
    </row>
    <row r="5047" spans="1:23" ht="12.75" hidden="1">
      <c r="A5047" s="109"/>
      <c r="B5047" s="109"/>
      <c r="C5047" s="109"/>
      <c r="D5047" s="109"/>
      <c r="E5047" s="109"/>
      <c r="F5047" s="109"/>
      <c r="G5047" s="109"/>
      <c r="H5047" s="109"/>
      <c r="I5047" s="109"/>
      <c r="J5047" s="109"/>
      <c r="L5047" s="109"/>
      <c r="M5047" s="109"/>
      <c r="N5047" s="109"/>
      <c r="Q5047" s="121"/>
      <c r="W5047" s="109"/>
    </row>
    <row r="5048" spans="1:23" ht="12.75" hidden="1">
      <c r="A5048" s="109"/>
      <c r="B5048" s="109"/>
      <c r="C5048" s="109"/>
      <c r="D5048" s="109"/>
      <c r="E5048" s="109"/>
      <c r="F5048" s="109"/>
      <c r="G5048" s="109"/>
      <c r="H5048" s="109"/>
      <c r="I5048" s="109"/>
      <c r="J5048" s="109"/>
      <c r="L5048" s="109"/>
      <c r="M5048" s="109"/>
      <c r="N5048" s="109"/>
      <c r="Q5048" s="121"/>
      <c r="W5048" s="109"/>
    </row>
    <row r="5049" spans="1:23" ht="12.75" hidden="1">
      <c r="A5049" s="109"/>
      <c r="B5049" s="109"/>
      <c r="C5049" s="109"/>
      <c r="D5049" s="109"/>
      <c r="E5049" s="109"/>
      <c r="F5049" s="109"/>
      <c r="G5049" s="109"/>
      <c r="H5049" s="109"/>
      <c r="I5049" s="109"/>
      <c r="J5049" s="109"/>
      <c r="L5049" s="109"/>
      <c r="M5049" s="109"/>
      <c r="N5049" s="109"/>
      <c r="Q5049" s="121"/>
      <c r="W5049" s="109"/>
    </row>
    <row r="5050" spans="1:23" ht="12.75" hidden="1">
      <c r="A5050" s="109"/>
      <c r="B5050" s="109"/>
      <c r="C5050" s="109"/>
      <c r="D5050" s="109"/>
      <c r="E5050" s="109"/>
      <c r="F5050" s="109"/>
      <c r="G5050" s="109"/>
      <c r="H5050" s="109"/>
      <c r="I5050" s="109"/>
      <c r="J5050" s="109"/>
      <c r="L5050" s="109"/>
      <c r="M5050" s="109"/>
      <c r="N5050" s="109"/>
      <c r="Q5050" s="121"/>
      <c r="W5050" s="109"/>
    </row>
    <row r="5051" spans="1:23" ht="12.75" hidden="1">
      <c r="A5051" s="109"/>
      <c r="B5051" s="109"/>
      <c r="C5051" s="109"/>
      <c r="D5051" s="109"/>
      <c r="E5051" s="109"/>
      <c r="F5051" s="109"/>
      <c r="G5051" s="109"/>
      <c r="H5051" s="109"/>
      <c r="I5051" s="109"/>
      <c r="J5051" s="109"/>
      <c r="L5051" s="109"/>
      <c r="M5051" s="109"/>
      <c r="N5051" s="109"/>
      <c r="Q5051" s="121"/>
      <c r="W5051" s="109"/>
    </row>
    <row r="5052" spans="1:23" ht="12.75" hidden="1">
      <c r="A5052" s="109"/>
      <c r="B5052" s="109"/>
      <c r="C5052" s="109"/>
      <c r="D5052" s="109"/>
      <c r="E5052" s="109"/>
      <c r="F5052" s="109"/>
      <c r="G5052" s="109"/>
      <c r="H5052" s="109"/>
      <c r="I5052" s="109"/>
      <c r="J5052" s="109"/>
      <c r="L5052" s="109"/>
      <c r="M5052" s="109"/>
      <c r="N5052" s="109"/>
      <c r="Q5052" s="121"/>
      <c r="W5052" s="109"/>
    </row>
    <row r="5053" spans="1:23" ht="12.75" hidden="1">
      <c r="A5053" s="109"/>
      <c r="B5053" s="109"/>
      <c r="C5053" s="109"/>
      <c r="D5053" s="109"/>
      <c r="E5053" s="109"/>
      <c r="F5053" s="109"/>
      <c r="G5053" s="109"/>
      <c r="H5053" s="109"/>
      <c r="I5053" s="109"/>
      <c r="J5053" s="109"/>
      <c r="L5053" s="109"/>
      <c r="M5053" s="109"/>
      <c r="N5053" s="109"/>
      <c r="Q5053" s="121"/>
      <c r="W5053" s="109"/>
    </row>
    <row r="5054" spans="1:23" ht="12.75" hidden="1">
      <c r="A5054" s="109"/>
      <c r="B5054" s="109"/>
      <c r="C5054" s="109"/>
      <c r="D5054" s="109"/>
      <c r="E5054" s="109"/>
      <c r="F5054" s="109"/>
      <c r="G5054" s="109"/>
      <c r="H5054" s="109"/>
      <c r="I5054" s="109"/>
      <c r="J5054" s="109"/>
      <c r="L5054" s="109"/>
      <c r="M5054" s="109"/>
      <c r="N5054" s="109"/>
      <c r="Q5054" s="121"/>
      <c r="W5054" s="109"/>
    </row>
    <row r="5055" spans="1:23" ht="12.75" hidden="1">
      <c r="A5055" s="109"/>
      <c r="B5055" s="109"/>
      <c r="C5055" s="109"/>
      <c r="D5055" s="109"/>
      <c r="E5055" s="109"/>
      <c r="F5055" s="109"/>
      <c r="G5055" s="109"/>
      <c r="H5055" s="109"/>
      <c r="I5055" s="109"/>
      <c r="J5055" s="109"/>
      <c r="L5055" s="109"/>
      <c r="M5055" s="109"/>
      <c r="N5055" s="109"/>
      <c r="Q5055" s="121"/>
      <c r="W5055" s="109"/>
    </row>
    <row r="5056" spans="1:23" ht="12.75" hidden="1">
      <c r="A5056" s="109"/>
      <c r="B5056" s="109"/>
      <c r="C5056" s="109"/>
      <c r="D5056" s="109"/>
      <c r="E5056" s="109"/>
      <c r="F5056" s="109"/>
      <c r="G5056" s="109"/>
      <c r="H5056" s="109"/>
      <c r="I5056" s="109"/>
      <c r="J5056" s="109"/>
      <c r="L5056" s="109"/>
      <c r="M5056" s="109"/>
      <c r="N5056" s="109"/>
      <c r="Q5056" s="121"/>
      <c r="W5056" s="109"/>
    </row>
    <row r="5057" spans="1:23" ht="12.75" hidden="1">
      <c r="A5057" s="109"/>
      <c r="B5057" s="109"/>
      <c r="C5057" s="109"/>
      <c r="D5057" s="109"/>
      <c r="E5057" s="109"/>
      <c r="F5057" s="109"/>
      <c r="G5057" s="109"/>
      <c r="H5057" s="109"/>
      <c r="I5057" s="109"/>
      <c r="J5057" s="109"/>
      <c r="L5057" s="109"/>
      <c r="M5057" s="109"/>
      <c r="N5057" s="109"/>
      <c r="Q5057" s="121"/>
      <c r="W5057" s="109"/>
    </row>
    <row r="5058" spans="1:23" ht="12.75" hidden="1">
      <c r="A5058" s="109"/>
      <c r="B5058" s="109"/>
      <c r="C5058" s="109"/>
      <c r="D5058" s="109"/>
      <c r="E5058" s="109"/>
      <c r="F5058" s="109"/>
      <c r="G5058" s="109"/>
      <c r="H5058" s="109"/>
      <c r="I5058" s="109"/>
      <c r="J5058" s="109"/>
      <c r="L5058" s="109"/>
      <c r="M5058" s="109"/>
      <c r="N5058" s="109"/>
      <c r="Q5058" s="121"/>
      <c r="W5058" s="109"/>
    </row>
    <row r="5059" spans="1:23" ht="12.75" hidden="1">
      <c r="A5059" s="109"/>
      <c r="B5059" s="109"/>
      <c r="C5059" s="109"/>
      <c r="D5059" s="109"/>
      <c r="E5059" s="109"/>
      <c r="F5059" s="109"/>
      <c r="G5059" s="109"/>
      <c r="H5059" s="109"/>
      <c r="I5059" s="109"/>
      <c r="J5059" s="109"/>
      <c r="L5059" s="109"/>
      <c r="M5059" s="109"/>
      <c r="N5059" s="109"/>
      <c r="Q5059" s="121"/>
      <c r="W5059" s="109"/>
    </row>
    <row r="5060" spans="1:23" ht="12.75" hidden="1">
      <c r="A5060" s="109"/>
      <c r="B5060" s="109"/>
      <c r="C5060" s="109"/>
      <c r="D5060" s="109"/>
      <c r="E5060" s="109"/>
      <c r="F5060" s="109"/>
      <c r="G5060" s="109"/>
      <c r="H5060" s="109"/>
      <c r="I5060" s="109"/>
      <c r="J5060" s="109"/>
      <c r="L5060" s="109"/>
      <c r="M5060" s="109"/>
      <c r="N5060" s="109"/>
      <c r="Q5060" s="121"/>
      <c r="W5060" s="109"/>
    </row>
    <row r="5061" spans="1:23" ht="12.75" hidden="1">
      <c r="A5061" s="109"/>
      <c r="B5061" s="109"/>
      <c r="C5061" s="109"/>
      <c r="D5061" s="109"/>
      <c r="E5061" s="109"/>
      <c r="F5061" s="109"/>
      <c r="G5061" s="109"/>
      <c r="H5061" s="109"/>
      <c r="I5061" s="109"/>
      <c r="J5061" s="109"/>
      <c r="L5061" s="109"/>
      <c r="M5061" s="109"/>
      <c r="N5061" s="109"/>
      <c r="Q5061" s="121"/>
      <c r="W5061" s="109"/>
    </row>
    <row r="5062" spans="1:23" ht="12.75" hidden="1">
      <c r="A5062" s="109"/>
      <c r="B5062" s="109"/>
      <c r="C5062" s="109"/>
      <c r="D5062" s="109"/>
      <c r="E5062" s="109"/>
      <c r="F5062" s="109"/>
      <c r="G5062" s="109"/>
      <c r="H5062" s="109"/>
      <c r="I5062" s="109"/>
      <c r="J5062" s="109"/>
      <c r="L5062" s="109"/>
      <c r="M5062" s="109"/>
      <c r="N5062" s="109"/>
      <c r="Q5062" s="121"/>
      <c r="W5062" s="109"/>
    </row>
    <row r="5063" spans="1:23" ht="12.75" hidden="1">
      <c r="A5063" s="109"/>
      <c r="B5063" s="109"/>
      <c r="C5063" s="109"/>
      <c r="D5063" s="109"/>
      <c r="E5063" s="109"/>
      <c r="F5063" s="109"/>
      <c r="G5063" s="109"/>
      <c r="H5063" s="109"/>
      <c r="I5063" s="109"/>
      <c r="J5063" s="109"/>
      <c r="L5063" s="109"/>
      <c r="M5063" s="109"/>
      <c r="N5063" s="109"/>
      <c r="Q5063" s="121"/>
      <c r="W5063" s="109"/>
    </row>
    <row r="5064" spans="1:23" ht="12.75" hidden="1">
      <c r="A5064" s="109"/>
      <c r="B5064" s="109"/>
      <c r="C5064" s="109"/>
      <c r="D5064" s="109"/>
      <c r="E5064" s="109"/>
      <c r="F5064" s="109"/>
      <c r="G5064" s="109"/>
      <c r="H5064" s="109"/>
      <c r="I5064" s="109"/>
      <c r="J5064" s="109"/>
      <c r="L5064" s="109"/>
      <c r="M5064" s="109"/>
      <c r="N5064" s="109"/>
      <c r="Q5064" s="121"/>
      <c r="W5064" s="109"/>
    </row>
    <row r="5065" spans="1:23" ht="12.75" hidden="1">
      <c r="A5065" s="109"/>
      <c r="B5065" s="109"/>
      <c r="C5065" s="109"/>
      <c r="D5065" s="109"/>
      <c r="E5065" s="109"/>
      <c r="F5065" s="109"/>
      <c r="G5065" s="109"/>
      <c r="H5065" s="109"/>
      <c r="I5065" s="109"/>
      <c r="J5065" s="109"/>
      <c r="L5065" s="109"/>
      <c r="M5065" s="109"/>
      <c r="N5065" s="109"/>
      <c r="Q5065" s="121"/>
      <c r="W5065" s="109"/>
    </row>
    <row r="5066" spans="1:23" ht="12.75" hidden="1">
      <c r="A5066" s="109"/>
      <c r="B5066" s="109"/>
      <c r="C5066" s="109"/>
      <c r="D5066" s="109"/>
      <c r="E5066" s="109"/>
      <c r="F5066" s="109"/>
      <c r="G5066" s="109"/>
      <c r="H5066" s="109"/>
      <c r="I5066" s="109"/>
      <c r="J5066" s="109"/>
      <c r="L5066" s="109"/>
      <c r="M5066" s="109"/>
      <c r="N5066" s="109"/>
      <c r="Q5066" s="121"/>
      <c r="W5066" s="109"/>
    </row>
    <row r="5067" spans="1:23" ht="12.75" hidden="1">
      <c r="A5067" s="109"/>
      <c r="B5067" s="109"/>
      <c r="C5067" s="109"/>
      <c r="D5067" s="109"/>
      <c r="E5067" s="109"/>
      <c r="F5067" s="109"/>
      <c r="G5067" s="109"/>
      <c r="H5067" s="109"/>
      <c r="I5067" s="109"/>
      <c r="J5067" s="109"/>
      <c r="L5067" s="109"/>
      <c r="M5067" s="109"/>
      <c r="N5067" s="109"/>
      <c r="Q5067" s="121"/>
      <c r="W5067" s="109"/>
    </row>
    <row r="5068" spans="1:23" ht="12.75" hidden="1">
      <c r="A5068" s="109"/>
      <c r="B5068" s="109"/>
      <c r="C5068" s="109"/>
      <c r="D5068" s="109"/>
      <c r="E5068" s="109"/>
      <c r="F5068" s="109"/>
      <c r="G5068" s="109"/>
      <c r="H5068" s="109"/>
      <c r="I5068" s="109"/>
      <c r="J5068" s="109"/>
      <c r="L5068" s="109"/>
      <c r="M5068" s="109"/>
      <c r="N5068" s="109"/>
      <c r="Q5068" s="121"/>
      <c r="W5068" s="109"/>
    </row>
    <row r="5069" spans="1:23" ht="12.75" hidden="1">
      <c r="A5069" s="109"/>
      <c r="B5069" s="109"/>
      <c r="C5069" s="109"/>
      <c r="D5069" s="109"/>
      <c r="E5069" s="109"/>
      <c r="F5069" s="109"/>
      <c r="G5069" s="109"/>
      <c r="H5069" s="109"/>
      <c r="I5069" s="109"/>
      <c r="J5069" s="109"/>
      <c r="L5069" s="109"/>
      <c r="M5069" s="109"/>
      <c r="N5069" s="109"/>
      <c r="Q5069" s="121"/>
      <c r="W5069" s="109"/>
    </row>
    <row r="5070" spans="1:23" ht="12.75" hidden="1">
      <c r="A5070" s="109"/>
      <c r="B5070" s="109"/>
      <c r="C5070" s="109"/>
      <c r="D5070" s="109"/>
      <c r="E5070" s="109"/>
      <c r="F5070" s="109"/>
      <c r="G5070" s="109"/>
      <c r="H5070" s="109"/>
      <c r="I5070" s="109"/>
      <c r="J5070" s="109"/>
      <c r="L5070" s="109"/>
      <c r="M5070" s="109"/>
      <c r="N5070" s="109"/>
      <c r="Q5070" s="121"/>
      <c r="W5070" s="109"/>
    </row>
    <row r="5071" spans="1:23" ht="12.75" hidden="1">
      <c r="A5071" s="109"/>
      <c r="B5071" s="109"/>
      <c r="C5071" s="109"/>
      <c r="D5071" s="109"/>
      <c r="E5071" s="109"/>
      <c r="F5071" s="109"/>
      <c r="G5071" s="109"/>
      <c r="H5071" s="109"/>
      <c r="I5071" s="109"/>
      <c r="J5071" s="109"/>
      <c r="L5071" s="109"/>
      <c r="M5071" s="109"/>
      <c r="N5071" s="109"/>
      <c r="Q5071" s="121"/>
      <c r="W5071" s="109"/>
    </row>
    <row r="5072" spans="1:23" ht="12.75" hidden="1">
      <c r="A5072" s="109"/>
      <c r="B5072" s="109"/>
      <c r="C5072" s="109"/>
      <c r="D5072" s="109"/>
      <c r="E5072" s="109"/>
      <c r="F5072" s="109"/>
      <c r="G5072" s="109"/>
      <c r="H5072" s="109"/>
      <c r="I5072" s="109"/>
      <c r="J5072" s="109"/>
      <c r="L5072" s="109"/>
      <c r="M5072" s="109"/>
      <c r="N5072" s="109"/>
      <c r="Q5072" s="121"/>
      <c r="W5072" s="109"/>
    </row>
    <row r="5073" spans="1:23" ht="12.75" hidden="1">
      <c r="A5073" s="109"/>
      <c r="B5073" s="109"/>
      <c r="C5073" s="109"/>
      <c r="D5073" s="109"/>
      <c r="E5073" s="109"/>
      <c r="F5073" s="109"/>
      <c r="G5073" s="109"/>
      <c r="H5073" s="109"/>
      <c r="I5073" s="109"/>
      <c r="J5073" s="109"/>
      <c r="L5073" s="109"/>
      <c r="M5073" s="109"/>
      <c r="N5073" s="109"/>
      <c r="Q5073" s="121"/>
      <c r="W5073" s="109"/>
    </row>
    <row r="5074" spans="1:23" ht="12.75" hidden="1">
      <c r="A5074" s="109"/>
      <c r="B5074" s="109"/>
      <c r="C5074" s="109"/>
      <c r="D5074" s="109"/>
      <c r="E5074" s="109"/>
      <c r="F5074" s="109"/>
      <c r="G5074" s="109"/>
      <c r="H5074" s="109"/>
      <c r="I5074" s="109"/>
      <c r="J5074" s="109"/>
      <c r="L5074" s="109"/>
      <c r="M5074" s="109"/>
      <c r="N5074" s="109"/>
      <c r="Q5074" s="121"/>
      <c r="W5074" s="109"/>
    </row>
    <row r="5075" spans="1:23" ht="12.75" hidden="1">
      <c r="A5075" s="109"/>
      <c r="B5075" s="109"/>
      <c r="C5075" s="109"/>
      <c r="D5075" s="109"/>
      <c r="E5075" s="109"/>
      <c r="F5075" s="109"/>
      <c r="G5075" s="109"/>
      <c r="H5075" s="109"/>
      <c r="I5075" s="109"/>
      <c r="J5075" s="109"/>
      <c r="L5075" s="109"/>
      <c r="M5075" s="109"/>
      <c r="N5075" s="109"/>
      <c r="Q5075" s="121"/>
      <c r="W5075" s="109"/>
    </row>
    <row r="5076" spans="1:23" ht="12.75" hidden="1">
      <c r="A5076" s="109"/>
      <c r="B5076" s="109"/>
      <c r="C5076" s="109"/>
      <c r="D5076" s="109"/>
      <c r="E5076" s="109"/>
      <c r="F5076" s="109"/>
      <c r="G5076" s="109"/>
      <c r="H5076" s="109"/>
      <c r="I5076" s="109"/>
      <c r="J5076" s="109"/>
      <c r="L5076" s="109"/>
      <c r="M5076" s="109"/>
      <c r="N5076" s="109"/>
      <c r="Q5076" s="121"/>
      <c r="W5076" s="109"/>
    </row>
    <row r="5077" spans="1:23" ht="12.75" hidden="1">
      <c r="A5077" s="109"/>
      <c r="B5077" s="109"/>
      <c r="C5077" s="109"/>
      <c r="D5077" s="109"/>
      <c r="E5077" s="109"/>
      <c r="F5077" s="109"/>
      <c r="G5077" s="109"/>
      <c r="H5077" s="109"/>
      <c r="I5077" s="109"/>
      <c r="J5077" s="109"/>
      <c r="L5077" s="109"/>
      <c r="M5077" s="109"/>
      <c r="N5077" s="109"/>
      <c r="Q5077" s="121"/>
      <c r="W5077" s="109"/>
    </row>
    <row r="5078" spans="1:23" ht="12.75" hidden="1">
      <c r="A5078" s="109"/>
      <c r="B5078" s="109"/>
      <c r="C5078" s="109"/>
      <c r="D5078" s="109"/>
      <c r="E5078" s="109"/>
      <c r="F5078" s="109"/>
      <c r="G5078" s="109"/>
      <c r="H5078" s="109"/>
      <c r="I5078" s="109"/>
      <c r="J5078" s="109"/>
      <c r="L5078" s="109"/>
      <c r="M5078" s="109"/>
      <c r="N5078" s="109"/>
      <c r="Q5078" s="121"/>
      <c r="W5078" s="109"/>
    </row>
    <row r="5079" spans="1:23" ht="12.75" hidden="1">
      <c r="A5079" s="109"/>
      <c r="B5079" s="109"/>
      <c r="C5079" s="109"/>
      <c r="D5079" s="109"/>
      <c r="E5079" s="109"/>
      <c r="F5079" s="109"/>
      <c r="G5079" s="109"/>
      <c r="H5079" s="109"/>
      <c r="I5079" s="109"/>
      <c r="J5079" s="109"/>
      <c r="L5079" s="109"/>
      <c r="M5079" s="109"/>
      <c r="N5079" s="109"/>
      <c r="Q5079" s="121"/>
      <c r="W5079" s="109"/>
    </row>
    <row r="5080" spans="1:23" ht="12.75" hidden="1">
      <c r="A5080" s="109"/>
      <c r="B5080" s="109"/>
      <c r="C5080" s="109"/>
      <c r="D5080" s="109"/>
      <c r="E5080" s="109"/>
      <c r="F5080" s="109"/>
      <c r="G5080" s="109"/>
      <c r="H5080" s="109"/>
      <c r="I5080" s="109"/>
      <c r="J5080" s="109"/>
      <c r="L5080" s="109"/>
      <c r="M5080" s="109"/>
      <c r="N5080" s="109"/>
      <c r="Q5080" s="121"/>
      <c r="W5080" s="109"/>
    </row>
    <row r="5081" spans="1:23" ht="12.75" hidden="1">
      <c r="A5081" s="109"/>
      <c r="B5081" s="109"/>
      <c r="C5081" s="109"/>
      <c r="D5081" s="109"/>
      <c r="E5081" s="109"/>
      <c r="F5081" s="109"/>
      <c r="G5081" s="109"/>
      <c r="H5081" s="109"/>
      <c r="I5081" s="109"/>
      <c r="J5081" s="109"/>
      <c r="L5081" s="109"/>
      <c r="M5081" s="109"/>
      <c r="N5081" s="109"/>
      <c r="Q5081" s="121"/>
      <c r="W5081" s="109"/>
    </row>
    <row r="5082" spans="1:23" ht="12.75" hidden="1">
      <c r="A5082" s="109"/>
      <c r="B5082" s="109"/>
      <c r="C5082" s="109"/>
      <c r="D5082" s="109"/>
      <c r="E5082" s="109"/>
      <c r="F5082" s="109"/>
      <c r="G5082" s="109"/>
      <c r="H5082" s="109"/>
      <c r="I5082" s="109"/>
      <c r="J5082" s="109"/>
      <c r="L5082" s="109"/>
      <c r="M5082" s="109"/>
      <c r="N5082" s="109"/>
      <c r="Q5082" s="121"/>
      <c r="W5082" s="109"/>
    </row>
    <row r="5083" spans="1:23" ht="12.75" hidden="1">
      <c r="A5083" s="109"/>
      <c r="B5083" s="109"/>
      <c r="C5083" s="109"/>
      <c r="D5083" s="109"/>
      <c r="E5083" s="109"/>
      <c r="F5083" s="109"/>
      <c r="G5083" s="109"/>
      <c r="H5083" s="109"/>
      <c r="I5083" s="109"/>
      <c r="J5083" s="109"/>
      <c r="L5083" s="109"/>
      <c r="M5083" s="109"/>
      <c r="N5083" s="109"/>
      <c r="Q5083" s="121"/>
      <c r="W5083" s="109"/>
    </row>
    <row r="5084" spans="1:23" ht="12.75" hidden="1">
      <c r="A5084" s="109"/>
      <c r="B5084" s="109"/>
      <c r="C5084" s="109"/>
      <c r="D5084" s="109"/>
      <c r="E5084" s="109"/>
      <c r="F5084" s="109"/>
      <c r="G5084" s="109"/>
      <c r="H5084" s="109"/>
      <c r="I5084" s="109"/>
      <c r="J5084" s="109"/>
      <c r="L5084" s="109"/>
      <c r="M5084" s="109"/>
      <c r="N5084" s="109"/>
      <c r="Q5084" s="121"/>
      <c r="W5084" s="109"/>
    </row>
    <row r="5085" spans="1:23" ht="12.75" hidden="1">
      <c r="A5085" s="109"/>
      <c r="B5085" s="109"/>
      <c r="C5085" s="109"/>
      <c r="D5085" s="109"/>
      <c r="E5085" s="109"/>
      <c r="F5085" s="109"/>
      <c r="G5085" s="109"/>
      <c r="H5085" s="109"/>
      <c r="I5085" s="109"/>
      <c r="J5085" s="109"/>
      <c r="L5085" s="109"/>
      <c r="M5085" s="109"/>
      <c r="N5085" s="109"/>
      <c r="Q5085" s="121"/>
      <c r="W5085" s="109"/>
    </row>
    <row r="5086" spans="1:23" ht="12.75" hidden="1">
      <c r="A5086" s="109"/>
      <c r="B5086" s="109"/>
      <c r="C5086" s="109"/>
      <c r="D5086" s="109"/>
      <c r="E5086" s="109"/>
      <c r="F5086" s="109"/>
      <c r="G5086" s="109"/>
      <c r="H5086" s="109"/>
      <c r="I5086" s="109"/>
      <c r="J5086" s="109"/>
      <c r="L5086" s="109"/>
      <c r="M5086" s="109"/>
      <c r="N5086" s="109"/>
      <c r="Q5086" s="121"/>
      <c r="W5086" s="109"/>
    </row>
    <row r="5087" spans="1:23" ht="12.75" hidden="1">
      <c r="A5087" s="109"/>
      <c r="B5087" s="109"/>
      <c r="C5087" s="109"/>
      <c r="D5087" s="109"/>
      <c r="E5087" s="109"/>
      <c r="F5087" s="109"/>
      <c r="G5087" s="109"/>
      <c r="H5087" s="109"/>
      <c r="I5087" s="109"/>
      <c r="J5087" s="109"/>
      <c r="L5087" s="109"/>
      <c r="M5087" s="109"/>
      <c r="N5087" s="109"/>
      <c r="Q5087" s="121"/>
      <c r="W5087" s="109"/>
    </row>
    <row r="5088" spans="1:23" ht="12.75" hidden="1">
      <c r="A5088" s="109"/>
      <c r="B5088" s="109"/>
      <c r="C5088" s="109"/>
      <c r="D5088" s="109"/>
      <c r="E5088" s="109"/>
      <c r="F5088" s="109"/>
      <c r="G5088" s="109"/>
      <c r="H5088" s="109"/>
      <c r="I5088" s="109"/>
      <c r="J5088" s="109"/>
      <c r="L5088" s="109"/>
      <c r="M5088" s="109"/>
      <c r="N5088" s="109"/>
      <c r="Q5088" s="121"/>
      <c r="W5088" s="109"/>
    </row>
    <row r="5089" spans="1:23" ht="12.75" hidden="1">
      <c r="A5089" s="109"/>
      <c r="B5089" s="109"/>
      <c r="C5089" s="109"/>
      <c r="D5089" s="109"/>
      <c r="E5089" s="109"/>
      <c r="F5089" s="109"/>
      <c r="G5089" s="109"/>
      <c r="H5089" s="109"/>
      <c r="I5089" s="109"/>
      <c r="J5089" s="109"/>
      <c r="L5089" s="109"/>
      <c r="M5089" s="109"/>
      <c r="N5089" s="109"/>
      <c r="Q5089" s="121"/>
      <c r="W5089" s="109"/>
    </row>
    <row r="5090" spans="1:23" ht="12.75" hidden="1">
      <c r="A5090" s="109"/>
      <c r="B5090" s="109"/>
      <c r="C5090" s="109"/>
      <c r="D5090" s="109"/>
      <c r="E5090" s="109"/>
      <c r="F5090" s="109"/>
      <c r="G5090" s="109"/>
      <c r="H5090" s="109"/>
      <c r="I5090" s="109"/>
      <c r="J5090" s="109"/>
      <c r="L5090" s="109"/>
      <c r="M5090" s="109"/>
      <c r="N5090" s="109"/>
      <c r="Q5090" s="121"/>
      <c r="W5090" s="109"/>
    </row>
    <row r="5091" spans="1:23" ht="12.75" hidden="1">
      <c r="A5091" s="109"/>
      <c r="B5091" s="109"/>
      <c r="C5091" s="109"/>
      <c r="D5091" s="109"/>
      <c r="E5091" s="109"/>
      <c r="F5091" s="109"/>
      <c r="G5091" s="109"/>
      <c r="H5091" s="109"/>
      <c r="I5091" s="109"/>
      <c r="J5091" s="109"/>
      <c r="L5091" s="109"/>
      <c r="M5091" s="109"/>
      <c r="N5091" s="109"/>
      <c r="Q5091" s="121"/>
      <c r="W5091" s="109"/>
    </row>
    <row r="5092" spans="1:23" ht="12.75" hidden="1">
      <c r="A5092" s="109"/>
      <c r="B5092" s="109"/>
      <c r="C5092" s="109"/>
      <c r="D5092" s="109"/>
      <c r="E5092" s="109"/>
      <c r="F5092" s="109"/>
      <c r="G5092" s="109"/>
      <c r="H5092" s="109"/>
      <c r="I5092" s="109"/>
      <c r="J5092" s="109"/>
      <c r="L5092" s="109"/>
      <c r="M5092" s="109"/>
      <c r="N5092" s="109"/>
      <c r="Q5092" s="121"/>
      <c r="W5092" s="109"/>
    </row>
    <row r="5093" spans="1:23" ht="12.75" hidden="1">
      <c r="A5093" s="109"/>
      <c r="B5093" s="109"/>
      <c r="C5093" s="109"/>
      <c r="D5093" s="109"/>
      <c r="E5093" s="109"/>
      <c r="F5093" s="109"/>
      <c r="G5093" s="109"/>
      <c r="H5093" s="109"/>
      <c r="I5093" s="109"/>
      <c r="J5093" s="109"/>
      <c r="L5093" s="109"/>
      <c r="M5093" s="109"/>
      <c r="N5093" s="109"/>
      <c r="Q5093" s="121"/>
      <c r="W5093" s="109"/>
    </row>
    <row r="5094" spans="1:23" ht="12.75" hidden="1">
      <c r="A5094" s="109"/>
      <c r="B5094" s="109"/>
      <c r="C5094" s="109"/>
      <c r="D5094" s="109"/>
      <c r="E5094" s="109"/>
      <c r="F5094" s="109"/>
      <c r="G5094" s="109"/>
      <c r="H5094" s="109"/>
      <c r="I5094" s="109"/>
      <c r="J5094" s="109"/>
      <c r="L5094" s="109"/>
      <c r="M5094" s="109"/>
      <c r="N5094" s="109"/>
      <c r="Q5094" s="121"/>
      <c r="W5094" s="109"/>
    </row>
    <row r="5095" spans="1:23" ht="12.75" hidden="1">
      <c r="A5095" s="109"/>
      <c r="B5095" s="109"/>
      <c r="C5095" s="109"/>
      <c r="D5095" s="109"/>
      <c r="E5095" s="109"/>
      <c r="F5095" s="109"/>
      <c r="G5095" s="109"/>
      <c r="H5095" s="109"/>
      <c r="I5095" s="109"/>
      <c r="J5095" s="109"/>
      <c r="L5095" s="109"/>
      <c r="M5095" s="109"/>
      <c r="N5095" s="109"/>
      <c r="Q5095" s="121"/>
      <c r="W5095" s="109"/>
    </row>
    <row r="5096" spans="1:23" ht="12.75" hidden="1">
      <c r="A5096" s="109"/>
      <c r="B5096" s="109"/>
      <c r="C5096" s="109"/>
      <c r="D5096" s="109"/>
      <c r="E5096" s="109"/>
      <c r="F5096" s="109"/>
      <c r="G5096" s="109"/>
      <c r="H5096" s="109"/>
      <c r="I5096" s="109"/>
      <c r="J5096" s="109"/>
      <c r="L5096" s="109"/>
      <c r="M5096" s="109"/>
      <c r="N5096" s="109"/>
      <c r="Q5096" s="121"/>
      <c r="W5096" s="109"/>
    </row>
    <row r="5097" spans="1:23" ht="12.75" hidden="1">
      <c r="A5097" s="109"/>
      <c r="B5097" s="109"/>
      <c r="C5097" s="109"/>
      <c r="D5097" s="109"/>
      <c r="E5097" s="109"/>
      <c r="F5097" s="109"/>
      <c r="G5097" s="109"/>
      <c r="H5097" s="109"/>
      <c r="I5097" s="109"/>
      <c r="J5097" s="109"/>
      <c r="L5097" s="109"/>
      <c r="M5097" s="109"/>
      <c r="N5097" s="109"/>
      <c r="Q5097" s="121"/>
      <c r="W5097" s="109"/>
    </row>
    <row r="5098" spans="1:23" ht="12.75" hidden="1">
      <c r="A5098" s="109"/>
      <c r="B5098" s="109"/>
      <c r="C5098" s="109"/>
      <c r="D5098" s="109"/>
      <c r="E5098" s="109"/>
      <c r="F5098" s="109"/>
      <c r="G5098" s="109"/>
      <c r="H5098" s="109"/>
      <c r="I5098" s="109"/>
      <c r="J5098" s="109"/>
      <c r="L5098" s="109"/>
      <c r="M5098" s="109"/>
      <c r="N5098" s="109"/>
      <c r="Q5098" s="121"/>
      <c r="W5098" s="109"/>
    </row>
    <row r="5099" spans="1:23" ht="12.75" hidden="1">
      <c r="A5099" s="109"/>
      <c r="B5099" s="109"/>
      <c r="C5099" s="109"/>
      <c r="D5099" s="109"/>
      <c r="E5099" s="109"/>
      <c r="F5099" s="109"/>
      <c r="G5099" s="109"/>
      <c r="H5099" s="109"/>
      <c r="I5099" s="109"/>
      <c r="J5099" s="109"/>
      <c r="L5099" s="109"/>
      <c r="M5099" s="109"/>
      <c r="N5099" s="109"/>
      <c r="Q5099" s="121"/>
      <c r="W5099" s="109"/>
    </row>
    <row r="5100" spans="1:23" ht="12.75" hidden="1">
      <c r="A5100" s="109"/>
      <c r="B5100" s="109"/>
      <c r="C5100" s="109"/>
      <c r="D5100" s="109"/>
      <c r="E5100" s="109"/>
      <c r="F5100" s="109"/>
      <c r="G5100" s="109"/>
      <c r="H5100" s="109"/>
      <c r="I5100" s="109"/>
      <c r="J5100" s="109"/>
      <c r="L5100" s="109"/>
      <c r="M5100" s="109"/>
      <c r="N5100" s="109"/>
      <c r="Q5100" s="121"/>
      <c r="W5100" s="109"/>
    </row>
    <row r="5101" spans="1:23" ht="12.75" hidden="1">
      <c r="A5101" s="109"/>
      <c r="B5101" s="109"/>
      <c r="C5101" s="109"/>
      <c r="D5101" s="109"/>
      <c r="E5101" s="109"/>
      <c r="F5101" s="109"/>
      <c r="G5101" s="109"/>
      <c r="H5101" s="109"/>
      <c r="I5101" s="109"/>
      <c r="J5101" s="109"/>
      <c r="L5101" s="109"/>
      <c r="M5101" s="109"/>
      <c r="N5101" s="109"/>
      <c r="Q5101" s="121"/>
      <c r="W5101" s="109"/>
    </row>
    <row r="5102" spans="1:23" ht="12.75" hidden="1">
      <c r="A5102" s="109"/>
      <c r="B5102" s="109"/>
      <c r="C5102" s="109"/>
      <c r="D5102" s="109"/>
      <c r="E5102" s="109"/>
      <c r="F5102" s="109"/>
      <c r="G5102" s="109"/>
      <c r="H5102" s="109"/>
      <c r="I5102" s="109"/>
      <c r="J5102" s="109"/>
      <c r="L5102" s="109"/>
      <c r="M5102" s="109"/>
      <c r="N5102" s="109"/>
      <c r="Q5102" s="121"/>
      <c r="W5102" s="109"/>
    </row>
    <row r="5103" spans="1:23" ht="12.75" hidden="1">
      <c r="A5103" s="109"/>
      <c r="B5103" s="109"/>
      <c r="C5103" s="109"/>
      <c r="D5103" s="109"/>
      <c r="E5103" s="109"/>
      <c r="F5103" s="109"/>
      <c r="G5103" s="109"/>
      <c r="H5103" s="109"/>
      <c r="I5103" s="109"/>
      <c r="J5103" s="109"/>
      <c r="L5103" s="109"/>
      <c r="M5103" s="109"/>
      <c r="N5103" s="109"/>
      <c r="Q5103" s="121"/>
      <c r="W5103" s="109"/>
    </row>
    <row r="5104" spans="1:23" ht="12.75" hidden="1">
      <c r="A5104" s="109"/>
      <c r="B5104" s="109"/>
      <c r="C5104" s="109"/>
      <c r="D5104" s="109"/>
      <c r="E5104" s="109"/>
      <c r="F5104" s="109"/>
      <c r="G5104" s="109"/>
      <c r="H5104" s="109"/>
      <c r="I5104" s="109"/>
      <c r="J5104" s="109"/>
      <c r="L5104" s="109"/>
      <c r="M5104" s="109"/>
      <c r="N5104" s="109"/>
      <c r="Q5104" s="121"/>
      <c r="W5104" s="109"/>
    </row>
    <row r="5105" spans="1:23" ht="12.75" hidden="1">
      <c r="A5105" s="109"/>
      <c r="B5105" s="109"/>
      <c r="C5105" s="109"/>
      <c r="D5105" s="109"/>
      <c r="E5105" s="109"/>
      <c r="F5105" s="109"/>
      <c r="G5105" s="109"/>
      <c r="H5105" s="109"/>
      <c r="I5105" s="109"/>
      <c r="J5105" s="109"/>
      <c r="L5105" s="109"/>
      <c r="M5105" s="109"/>
      <c r="N5105" s="109"/>
      <c r="Q5105" s="121"/>
      <c r="W5105" s="109"/>
    </row>
    <row r="5106" spans="1:23" ht="12.75" hidden="1">
      <c r="A5106" s="109"/>
      <c r="B5106" s="109"/>
      <c r="C5106" s="109"/>
      <c r="D5106" s="109"/>
      <c r="E5106" s="109"/>
      <c r="F5106" s="109"/>
      <c r="G5106" s="109"/>
      <c r="H5106" s="109"/>
      <c r="I5106" s="109"/>
      <c r="J5106" s="109"/>
      <c r="L5106" s="109"/>
      <c r="M5106" s="109"/>
      <c r="N5106" s="109"/>
      <c r="Q5106" s="121"/>
      <c r="W5106" s="109"/>
    </row>
    <row r="5107" spans="1:23" ht="12.75" hidden="1">
      <c r="A5107" s="109"/>
      <c r="B5107" s="109"/>
      <c r="C5107" s="109"/>
      <c r="D5107" s="109"/>
      <c r="E5107" s="109"/>
      <c r="F5107" s="109"/>
      <c r="G5107" s="109"/>
      <c r="H5107" s="109"/>
      <c r="I5107" s="109"/>
      <c r="J5107" s="109"/>
      <c r="L5107" s="109"/>
      <c r="M5107" s="109"/>
      <c r="N5107" s="109"/>
      <c r="Q5107" s="121"/>
      <c r="W5107" s="109"/>
    </row>
    <row r="5108" spans="1:23" ht="12.75" hidden="1">
      <c r="A5108" s="109"/>
      <c r="B5108" s="109"/>
      <c r="C5108" s="109"/>
      <c r="D5108" s="109"/>
      <c r="E5108" s="109"/>
      <c r="F5108" s="109"/>
      <c r="G5108" s="109"/>
      <c r="H5108" s="109"/>
      <c r="I5108" s="109"/>
      <c r="J5108" s="109"/>
      <c r="L5108" s="109"/>
      <c r="M5108" s="109"/>
      <c r="N5108" s="109"/>
      <c r="Q5108" s="121"/>
      <c r="W5108" s="109"/>
    </row>
    <row r="5109" spans="1:23" ht="12.75" hidden="1">
      <c r="A5109" s="109"/>
      <c r="B5109" s="109"/>
      <c r="C5109" s="109"/>
      <c r="D5109" s="109"/>
      <c r="E5109" s="109"/>
      <c r="F5109" s="109"/>
      <c r="G5109" s="109"/>
      <c r="H5109" s="109"/>
      <c r="I5109" s="109"/>
      <c r="J5109" s="109"/>
      <c r="L5109" s="109"/>
      <c r="M5109" s="109"/>
      <c r="N5109" s="109"/>
      <c r="Q5109" s="121"/>
      <c r="W5109" s="109"/>
    </row>
    <row r="5110" spans="1:23" ht="12.75" hidden="1">
      <c r="A5110" s="109"/>
      <c r="B5110" s="109"/>
      <c r="C5110" s="109"/>
      <c r="D5110" s="109"/>
      <c r="E5110" s="109"/>
      <c r="F5110" s="109"/>
      <c r="G5110" s="109"/>
      <c r="H5110" s="109"/>
      <c r="I5110" s="109"/>
      <c r="J5110" s="109"/>
      <c r="L5110" s="109"/>
      <c r="M5110" s="109"/>
      <c r="N5110" s="109"/>
      <c r="Q5110" s="121"/>
      <c r="W5110" s="109"/>
    </row>
    <row r="5111" spans="1:23" ht="12.75" hidden="1">
      <c r="A5111" s="109"/>
      <c r="B5111" s="109"/>
      <c r="C5111" s="109"/>
      <c r="D5111" s="109"/>
      <c r="E5111" s="109"/>
      <c r="F5111" s="109"/>
      <c r="G5111" s="109"/>
      <c r="H5111" s="109"/>
      <c r="I5111" s="109"/>
      <c r="J5111" s="109"/>
      <c r="L5111" s="109"/>
      <c r="M5111" s="109"/>
      <c r="N5111" s="109"/>
      <c r="Q5111" s="121"/>
      <c r="W5111" s="109"/>
    </row>
    <row r="5112" spans="1:23" ht="12.75" hidden="1">
      <c r="A5112" s="109"/>
      <c r="B5112" s="109"/>
      <c r="C5112" s="109"/>
      <c r="D5112" s="109"/>
      <c r="E5112" s="109"/>
      <c r="F5112" s="109"/>
      <c r="G5112" s="109"/>
      <c r="H5112" s="109"/>
      <c r="I5112" s="109"/>
      <c r="J5112" s="109"/>
      <c r="L5112" s="109"/>
      <c r="M5112" s="109"/>
      <c r="N5112" s="109"/>
      <c r="Q5112" s="121"/>
      <c r="W5112" s="109"/>
    </row>
    <row r="5113" spans="1:23" ht="12.75" hidden="1">
      <c r="A5113" s="109"/>
      <c r="B5113" s="109"/>
      <c r="C5113" s="109"/>
      <c r="D5113" s="109"/>
      <c r="E5113" s="109"/>
      <c r="F5113" s="109"/>
      <c r="G5113" s="109"/>
      <c r="H5113" s="109"/>
      <c r="I5113" s="109"/>
      <c r="J5113" s="109"/>
      <c r="L5113" s="109"/>
      <c r="M5113" s="109"/>
      <c r="N5113" s="109"/>
      <c r="Q5113" s="121"/>
      <c r="W5113" s="109"/>
    </row>
    <row r="5114" spans="1:23" ht="12.75" hidden="1">
      <c r="A5114" s="109"/>
      <c r="B5114" s="109"/>
      <c r="C5114" s="109"/>
      <c r="D5114" s="109"/>
      <c r="E5114" s="109"/>
      <c r="F5114" s="109"/>
      <c r="G5114" s="109"/>
      <c r="H5114" s="109"/>
      <c r="I5114" s="109"/>
      <c r="J5114" s="109"/>
      <c r="L5114" s="109"/>
      <c r="M5114" s="109"/>
      <c r="N5114" s="109"/>
      <c r="Q5114" s="121"/>
      <c r="W5114" s="109"/>
    </row>
    <row r="5115" spans="1:23" ht="12.75" hidden="1">
      <c r="A5115" s="109"/>
      <c r="B5115" s="109"/>
      <c r="C5115" s="109"/>
      <c r="D5115" s="109"/>
      <c r="E5115" s="109"/>
      <c r="F5115" s="109"/>
      <c r="G5115" s="109"/>
      <c r="H5115" s="109"/>
      <c r="I5115" s="109"/>
      <c r="J5115" s="109"/>
      <c r="L5115" s="109"/>
      <c r="M5115" s="109"/>
      <c r="N5115" s="109"/>
      <c r="Q5115" s="121"/>
      <c r="W5115" s="109"/>
    </row>
    <row r="5116" spans="1:23" ht="12.75" hidden="1">
      <c r="A5116" s="109"/>
      <c r="B5116" s="109"/>
      <c r="C5116" s="109"/>
      <c r="D5116" s="109"/>
      <c r="E5116" s="109"/>
      <c r="F5116" s="109"/>
      <c r="G5116" s="109"/>
      <c r="H5116" s="109"/>
      <c r="I5116" s="109"/>
      <c r="J5116" s="109"/>
      <c r="L5116" s="109"/>
      <c r="M5116" s="109"/>
      <c r="N5116" s="109"/>
      <c r="Q5116" s="121"/>
      <c r="W5116" s="109"/>
    </row>
    <row r="5117" spans="1:23" ht="12.75" hidden="1">
      <c r="A5117" s="109"/>
      <c r="B5117" s="109"/>
      <c r="C5117" s="109"/>
      <c r="D5117" s="109"/>
      <c r="E5117" s="109"/>
      <c r="F5117" s="109"/>
      <c r="G5117" s="109"/>
      <c r="H5117" s="109"/>
      <c r="I5117" s="109"/>
      <c r="J5117" s="109"/>
      <c r="L5117" s="109"/>
      <c r="M5117" s="109"/>
      <c r="N5117" s="109"/>
      <c r="Q5117" s="121"/>
      <c r="W5117" s="109"/>
    </row>
    <row r="5118" spans="1:23" ht="12.75" hidden="1">
      <c r="A5118" s="109"/>
      <c r="B5118" s="109"/>
      <c r="C5118" s="109"/>
      <c r="D5118" s="109"/>
      <c r="E5118" s="109"/>
      <c r="F5118" s="109"/>
      <c r="G5118" s="109"/>
      <c r="H5118" s="109"/>
      <c r="I5118" s="109"/>
      <c r="J5118" s="109"/>
      <c r="L5118" s="109"/>
      <c r="M5118" s="109"/>
      <c r="N5118" s="109"/>
      <c r="Q5118" s="121"/>
      <c r="W5118" s="109"/>
    </row>
    <row r="5119" spans="1:23" ht="12.75" hidden="1">
      <c r="A5119" s="109"/>
      <c r="B5119" s="109"/>
      <c r="C5119" s="109"/>
      <c r="D5119" s="109"/>
      <c r="E5119" s="109"/>
      <c r="F5119" s="109"/>
      <c r="G5119" s="109"/>
      <c r="H5119" s="109"/>
      <c r="I5119" s="109"/>
      <c r="J5119" s="109"/>
      <c r="L5119" s="109"/>
      <c r="M5119" s="109"/>
      <c r="N5119" s="109"/>
      <c r="Q5119" s="121"/>
      <c r="W5119" s="109"/>
    </row>
    <row r="5120" spans="1:23" ht="12.75" hidden="1">
      <c r="A5120" s="109"/>
      <c r="B5120" s="109"/>
      <c r="C5120" s="109"/>
      <c r="D5120" s="109"/>
      <c r="E5120" s="109"/>
      <c r="F5120" s="109"/>
      <c r="G5120" s="109"/>
      <c r="H5120" s="109"/>
      <c r="I5120" s="109"/>
      <c r="J5120" s="109"/>
      <c r="L5120" s="109"/>
      <c r="M5120" s="109"/>
      <c r="N5120" s="109"/>
      <c r="Q5120" s="121"/>
      <c r="W5120" s="109"/>
    </row>
    <row r="5121" spans="1:23" ht="12.75" hidden="1">
      <c r="A5121" s="109"/>
      <c r="B5121" s="109"/>
      <c r="C5121" s="109"/>
      <c r="D5121" s="109"/>
      <c r="E5121" s="109"/>
      <c r="F5121" s="109"/>
      <c r="G5121" s="109"/>
      <c r="H5121" s="109"/>
      <c r="I5121" s="109"/>
      <c r="J5121" s="109"/>
      <c r="L5121" s="109"/>
      <c r="M5121" s="109"/>
      <c r="N5121" s="109"/>
      <c r="Q5121" s="121"/>
      <c r="W5121" s="109"/>
    </row>
    <row r="5122" spans="1:23" ht="12.75" hidden="1">
      <c r="A5122" s="109"/>
      <c r="B5122" s="109"/>
      <c r="C5122" s="109"/>
      <c r="D5122" s="109"/>
      <c r="E5122" s="109"/>
      <c r="F5122" s="109"/>
      <c r="G5122" s="109"/>
      <c r="H5122" s="109"/>
      <c r="I5122" s="109"/>
      <c r="J5122" s="109"/>
      <c r="L5122" s="109"/>
      <c r="M5122" s="109"/>
      <c r="N5122" s="109"/>
      <c r="Q5122" s="121"/>
      <c r="W5122" s="109"/>
    </row>
    <row r="5123" spans="1:23" ht="12.75" hidden="1">
      <c r="A5123" s="109"/>
      <c r="B5123" s="109"/>
      <c r="C5123" s="109"/>
      <c r="D5123" s="109"/>
      <c r="E5123" s="109"/>
      <c r="F5123" s="109"/>
      <c r="G5123" s="109"/>
      <c r="H5123" s="109"/>
      <c r="I5123" s="109"/>
      <c r="J5123" s="109"/>
      <c r="L5123" s="109"/>
      <c r="M5123" s="109"/>
      <c r="N5123" s="109"/>
      <c r="Q5123" s="121"/>
      <c r="W5123" s="109"/>
    </row>
    <row r="5124" spans="1:23" ht="12.75" hidden="1">
      <c r="A5124" s="109"/>
      <c r="B5124" s="109"/>
      <c r="C5124" s="109"/>
      <c r="D5124" s="109"/>
      <c r="E5124" s="109"/>
      <c r="F5124" s="109"/>
      <c r="G5124" s="109"/>
      <c r="H5124" s="109"/>
      <c r="I5124" s="109"/>
      <c r="J5124" s="109"/>
      <c r="L5124" s="109"/>
      <c r="M5124" s="109"/>
      <c r="N5124" s="109"/>
      <c r="Q5124" s="121"/>
      <c r="W5124" s="109"/>
    </row>
    <row r="5125" spans="1:23" ht="12.75" hidden="1">
      <c r="A5125" s="109"/>
      <c r="B5125" s="109"/>
      <c r="C5125" s="109"/>
      <c r="D5125" s="109"/>
      <c r="E5125" s="109"/>
      <c r="F5125" s="109"/>
      <c r="G5125" s="109"/>
      <c r="H5125" s="109"/>
      <c r="I5125" s="109"/>
      <c r="J5125" s="109"/>
      <c r="L5125" s="109"/>
      <c r="M5125" s="109"/>
      <c r="N5125" s="109"/>
      <c r="Q5125" s="121"/>
      <c r="W5125" s="109"/>
    </row>
    <row r="5126" spans="1:23" ht="12.75" hidden="1">
      <c r="A5126" s="109"/>
      <c r="B5126" s="109"/>
      <c r="C5126" s="109"/>
      <c r="D5126" s="109"/>
      <c r="E5126" s="109"/>
      <c r="F5126" s="109"/>
      <c r="G5126" s="109"/>
      <c r="H5126" s="109"/>
      <c r="I5126" s="109"/>
      <c r="J5126" s="109"/>
      <c r="L5126" s="109"/>
      <c r="M5126" s="109"/>
      <c r="N5126" s="109"/>
      <c r="Q5126" s="121"/>
      <c r="W5126" s="109"/>
    </row>
    <row r="5127" spans="1:23" ht="12.75" hidden="1">
      <c r="A5127" s="109"/>
      <c r="B5127" s="109"/>
      <c r="C5127" s="109"/>
      <c r="D5127" s="109"/>
      <c r="E5127" s="109"/>
      <c r="F5127" s="109"/>
      <c r="G5127" s="109"/>
      <c r="H5127" s="109"/>
      <c r="I5127" s="109"/>
      <c r="J5127" s="109"/>
      <c r="L5127" s="109"/>
      <c r="M5127" s="109"/>
      <c r="N5127" s="109"/>
      <c r="Q5127" s="121"/>
      <c r="W5127" s="109"/>
    </row>
    <row r="5128" spans="1:23" ht="12.75" hidden="1">
      <c r="A5128" s="109"/>
      <c r="B5128" s="109"/>
      <c r="C5128" s="109"/>
      <c r="D5128" s="109"/>
      <c r="E5128" s="109"/>
      <c r="F5128" s="109"/>
      <c r="G5128" s="109"/>
      <c r="H5128" s="109"/>
      <c r="I5128" s="109"/>
      <c r="J5128" s="109"/>
      <c r="L5128" s="109"/>
      <c r="M5128" s="109"/>
      <c r="N5128" s="109"/>
      <c r="Q5128" s="121"/>
      <c r="W5128" s="109"/>
    </row>
    <row r="5129" spans="1:23" ht="12.75" hidden="1">
      <c r="A5129" s="109"/>
      <c r="B5129" s="109"/>
      <c r="C5129" s="109"/>
      <c r="D5129" s="109"/>
      <c r="E5129" s="109"/>
      <c r="F5129" s="109"/>
      <c r="G5129" s="109"/>
      <c r="H5129" s="109"/>
      <c r="I5129" s="109"/>
      <c r="J5129" s="109"/>
      <c r="L5129" s="109"/>
      <c r="M5129" s="109"/>
      <c r="N5129" s="109"/>
      <c r="Q5129" s="121"/>
      <c r="W5129" s="109"/>
    </row>
    <row r="5130" spans="1:23" ht="12.75" hidden="1">
      <c r="A5130" s="109"/>
      <c r="B5130" s="109"/>
      <c r="C5130" s="109"/>
      <c r="D5130" s="109"/>
      <c r="E5130" s="109"/>
      <c r="F5130" s="109"/>
      <c r="G5130" s="109"/>
      <c r="H5130" s="109"/>
      <c r="I5130" s="109"/>
      <c r="J5130" s="109"/>
      <c r="L5130" s="109"/>
      <c r="M5130" s="109"/>
      <c r="N5130" s="109"/>
      <c r="Q5130" s="121"/>
      <c r="W5130" s="109"/>
    </row>
    <row r="5131" spans="1:23" ht="12.75" hidden="1">
      <c r="A5131" s="109"/>
      <c r="B5131" s="109"/>
      <c r="C5131" s="109"/>
      <c r="D5131" s="109"/>
      <c r="E5131" s="109"/>
      <c r="F5131" s="109"/>
      <c r="G5131" s="109"/>
      <c r="H5131" s="109"/>
      <c r="I5131" s="109"/>
      <c r="J5131" s="109"/>
      <c r="L5131" s="109"/>
      <c r="M5131" s="109"/>
      <c r="N5131" s="109"/>
      <c r="Q5131" s="121"/>
      <c r="W5131" s="109"/>
    </row>
    <row r="5132" spans="1:23" ht="12.75" hidden="1">
      <c r="A5132" s="109"/>
      <c r="B5132" s="109"/>
      <c r="C5132" s="109"/>
      <c r="D5132" s="109"/>
      <c r="E5132" s="109"/>
      <c r="F5132" s="109"/>
      <c r="G5132" s="109"/>
      <c r="H5132" s="109"/>
      <c r="I5132" s="109"/>
      <c r="J5132" s="109"/>
      <c r="L5132" s="109"/>
      <c r="M5132" s="109"/>
      <c r="N5132" s="109"/>
      <c r="Q5132" s="121"/>
      <c r="W5132" s="109"/>
    </row>
    <row r="5133" spans="1:23" ht="12.75" hidden="1">
      <c r="A5133" s="109"/>
      <c r="B5133" s="109"/>
      <c r="C5133" s="109"/>
      <c r="D5133" s="109"/>
      <c r="E5133" s="109"/>
      <c r="F5133" s="109"/>
      <c r="G5133" s="109"/>
      <c r="H5133" s="109"/>
      <c r="I5133" s="109"/>
      <c r="J5133" s="109"/>
      <c r="L5133" s="109"/>
      <c r="M5133" s="109"/>
      <c r="N5133" s="109"/>
      <c r="Q5133" s="121"/>
      <c r="W5133" s="109"/>
    </row>
    <row r="5134" spans="1:23" ht="12.75" hidden="1">
      <c r="A5134" s="109"/>
      <c r="B5134" s="109"/>
      <c r="C5134" s="109"/>
      <c r="D5134" s="109"/>
      <c r="E5134" s="109"/>
      <c r="F5134" s="109"/>
      <c r="G5134" s="109"/>
      <c r="H5134" s="109"/>
      <c r="I5134" s="109"/>
      <c r="J5134" s="109"/>
      <c r="L5134" s="109"/>
      <c r="M5134" s="109"/>
      <c r="N5134" s="109"/>
      <c r="Q5134" s="121"/>
      <c r="W5134" s="109"/>
    </row>
    <row r="5135" spans="1:23" ht="12.75" hidden="1">
      <c r="A5135" s="109"/>
      <c r="B5135" s="109"/>
      <c r="C5135" s="109"/>
      <c r="D5135" s="109"/>
      <c r="E5135" s="109"/>
      <c r="F5135" s="109"/>
      <c r="G5135" s="109"/>
      <c r="H5135" s="109"/>
      <c r="I5135" s="109"/>
      <c r="J5135" s="109"/>
      <c r="L5135" s="109"/>
      <c r="M5135" s="109"/>
      <c r="N5135" s="109"/>
      <c r="Q5135" s="121"/>
      <c r="W5135" s="109"/>
    </row>
    <row r="5136" spans="1:23" ht="12.75" hidden="1">
      <c r="A5136" s="109"/>
      <c r="B5136" s="109"/>
      <c r="C5136" s="109"/>
      <c r="D5136" s="109"/>
      <c r="E5136" s="109"/>
      <c r="F5136" s="109"/>
      <c r="G5136" s="109"/>
      <c r="H5136" s="109"/>
      <c r="I5136" s="109"/>
      <c r="J5136" s="109"/>
      <c r="L5136" s="109"/>
      <c r="M5136" s="109"/>
      <c r="N5136" s="109"/>
      <c r="Q5136" s="121"/>
      <c r="W5136" s="109"/>
    </row>
    <row r="5137" spans="1:23" ht="12.75" hidden="1">
      <c r="A5137" s="109"/>
      <c r="B5137" s="109"/>
      <c r="C5137" s="109"/>
      <c r="D5137" s="109"/>
      <c r="E5137" s="109"/>
      <c r="F5137" s="109"/>
      <c r="G5137" s="109"/>
      <c r="H5137" s="109"/>
      <c r="I5137" s="109"/>
      <c r="J5137" s="109"/>
      <c r="L5137" s="109"/>
      <c r="M5137" s="109"/>
      <c r="N5137" s="109"/>
      <c r="Q5137" s="121"/>
      <c r="W5137" s="109"/>
    </row>
    <row r="5138" spans="1:23" ht="12.75" hidden="1">
      <c r="A5138" s="109"/>
      <c r="B5138" s="109"/>
      <c r="C5138" s="109"/>
      <c r="D5138" s="109"/>
      <c r="E5138" s="109"/>
      <c r="F5138" s="109"/>
      <c r="G5138" s="109"/>
      <c r="H5138" s="109"/>
      <c r="I5138" s="109"/>
      <c r="J5138" s="109"/>
      <c r="L5138" s="109"/>
      <c r="M5138" s="109"/>
      <c r="N5138" s="109"/>
      <c r="Q5138" s="121"/>
      <c r="W5138" s="109"/>
    </row>
    <row r="5139" spans="1:23" ht="12.75" hidden="1">
      <c r="A5139" s="109"/>
      <c r="B5139" s="109"/>
      <c r="C5139" s="109"/>
      <c r="D5139" s="109"/>
      <c r="E5139" s="109"/>
      <c r="F5139" s="109"/>
      <c r="G5139" s="109"/>
      <c r="H5139" s="109"/>
      <c r="I5139" s="109"/>
      <c r="J5139" s="109"/>
      <c r="L5139" s="109"/>
      <c r="M5139" s="109"/>
      <c r="N5139" s="109"/>
      <c r="Q5139" s="121"/>
      <c r="W5139" s="109"/>
    </row>
    <row r="5140" spans="1:23" ht="12.75" hidden="1">
      <c r="A5140" s="109"/>
      <c r="B5140" s="109"/>
      <c r="C5140" s="109"/>
      <c r="D5140" s="109"/>
      <c r="E5140" s="109"/>
      <c r="F5140" s="109"/>
      <c r="G5140" s="109"/>
      <c r="H5140" s="109"/>
      <c r="I5140" s="109"/>
      <c r="J5140" s="109"/>
      <c r="L5140" s="109"/>
      <c r="M5140" s="109"/>
      <c r="N5140" s="109"/>
      <c r="Q5140" s="121"/>
      <c r="W5140" s="109"/>
    </row>
    <row r="5141" spans="1:23" ht="12.75" hidden="1">
      <c r="A5141" s="109"/>
      <c r="B5141" s="109"/>
      <c r="C5141" s="109"/>
      <c r="D5141" s="109"/>
      <c r="E5141" s="109"/>
      <c r="F5141" s="109"/>
      <c r="G5141" s="109"/>
      <c r="H5141" s="109"/>
      <c r="I5141" s="109"/>
      <c r="J5141" s="109"/>
      <c r="L5141" s="109"/>
      <c r="M5141" s="109"/>
      <c r="N5141" s="109"/>
      <c r="Q5141" s="121"/>
      <c r="W5141" s="109"/>
    </row>
    <row r="5142" spans="1:23" ht="12.75" hidden="1">
      <c r="A5142" s="109"/>
      <c r="B5142" s="109"/>
      <c r="C5142" s="109"/>
      <c r="D5142" s="109"/>
      <c r="E5142" s="109"/>
      <c r="F5142" s="109"/>
      <c r="G5142" s="109"/>
      <c r="H5142" s="109"/>
      <c r="I5142" s="109"/>
      <c r="J5142" s="109"/>
      <c r="L5142" s="109"/>
      <c r="M5142" s="109"/>
      <c r="N5142" s="109"/>
      <c r="Q5142" s="121"/>
      <c r="W5142" s="109"/>
    </row>
    <row r="5143" spans="1:23" ht="12.75" hidden="1">
      <c r="A5143" s="109"/>
      <c r="B5143" s="109"/>
      <c r="C5143" s="109"/>
      <c r="D5143" s="109"/>
      <c r="E5143" s="109"/>
      <c r="F5143" s="109"/>
      <c r="G5143" s="109"/>
      <c r="H5143" s="109"/>
      <c r="I5143" s="109"/>
      <c r="J5143" s="109"/>
      <c r="L5143" s="109"/>
      <c r="M5143" s="109"/>
      <c r="N5143" s="109"/>
      <c r="Q5143" s="121"/>
      <c r="W5143" s="109"/>
    </row>
    <row r="5144" spans="1:23" ht="12.75" hidden="1">
      <c r="A5144" s="109"/>
      <c r="B5144" s="109"/>
      <c r="C5144" s="109"/>
      <c r="D5144" s="109"/>
      <c r="E5144" s="109"/>
      <c r="F5144" s="109"/>
      <c r="G5144" s="109"/>
      <c r="H5144" s="109"/>
      <c r="I5144" s="109"/>
      <c r="J5144" s="109"/>
      <c r="L5144" s="109"/>
      <c r="M5144" s="109"/>
      <c r="N5144" s="109"/>
      <c r="Q5144" s="121"/>
      <c r="W5144" s="109"/>
    </row>
    <row r="5145" spans="1:23" ht="12.75" hidden="1">
      <c r="A5145" s="109"/>
      <c r="B5145" s="109"/>
      <c r="C5145" s="109"/>
      <c r="D5145" s="109"/>
      <c r="E5145" s="109"/>
      <c r="F5145" s="109"/>
      <c r="G5145" s="109"/>
      <c r="H5145" s="109"/>
      <c r="I5145" s="109"/>
      <c r="J5145" s="109"/>
      <c r="L5145" s="109"/>
      <c r="M5145" s="109"/>
      <c r="N5145" s="109"/>
      <c r="Q5145" s="121"/>
      <c r="W5145" s="109"/>
    </row>
    <row r="5146" spans="1:23" ht="12.75" hidden="1">
      <c r="A5146" s="109"/>
      <c r="B5146" s="109"/>
      <c r="C5146" s="109"/>
      <c r="D5146" s="109"/>
      <c r="E5146" s="109"/>
      <c r="F5146" s="109"/>
      <c r="G5146" s="109"/>
      <c r="H5146" s="109"/>
      <c r="I5146" s="109"/>
      <c r="J5146" s="109"/>
      <c r="L5146" s="109"/>
      <c r="M5146" s="109"/>
      <c r="N5146" s="109"/>
      <c r="Q5146" s="121"/>
      <c r="W5146" s="109"/>
    </row>
    <row r="5147" spans="1:23" ht="12.75" hidden="1">
      <c r="A5147" s="109"/>
      <c r="B5147" s="109"/>
      <c r="C5147" s="109"/>
      <c r="D5147" s="109"/>
      <c r="E5147" s="109"/>
      <c r="F5147" s="109"/>
      <c r="G5147" s="109"/>
      <c r="H5147" s="109"/>
      <c r="I5147" s="109"/>
      <c r="J5147" s="109"/>
      <c r="L5147" s="109"/>
      <c r="M5147" s="109"/>
      <c r="N5147" s="109"/>
      <c r="Q5147" s="121"/>
      <c r="W5147" s="109"/>
    </row>
    <row r="5148" spans="1:23" ht="12.75" hidden="1">
      <c r="A5148" s="109"/>
      <c r="B5148" s="109"/>
      <c r="C5148" s="109"/>
      <c r="D5148" s="109"/>
      <c r="E5148" s="109"/>
      <c r="F5148" s="109"/>
      <c r="G5148" s="109"/>
      <c r="H5148" s="109"/>
      <c r="I5148" s="109"/>
      <c r="J5148" s="109"/>
      <c r="L5148" s="109"/>
      <c r="M5148" s="109"/>
      <c r="N5148" s="109"/>
      <c r="Q5148" s="121"/>
      <c r="W5148" s="109"/>
    </row>
    <row r="5149" spans="1:23" ht="12.75" hidden="1">
      <c r="A5149" s="109"/>
      <c r="B5149" s="109"/>
      <c r="C5149" s="109"/>
      <c r="D5149" s="109"/>
      <c r="E5149" s="109"/>
      <c r="F5149" s="109"/>
      <c r="G5149" s="109"/>
      <c r="H5149" s="109"/>
      <c r="I5149" s="109"/>
      <c r="J5149" s="109"/>
      <c r="L5149" s="109"/>
      <c r="M5149" s="109"/>
      <c r="N5149" s="109"/>
      <c r="Q5149" s="121"/>
      <c r="W5149" s="109"/>
    </row>
    <row r="5150" spans="1:23" ht="12.75" hidden="1">
      <c r="A5150" s="109"/>
      <c r="B5150" s="109"/>
      <c r="C5150" s="109"/>
      <c r="D5150" s="109"/>
      <c r="E5150" s="109"/>
      <c r="F5150" s="109"/>
      <c r="G5150" s="109"/>
      <c r="H5150" s="109"/>
      <c r="I5150" s="109"/>
      <c r="J5150" s="109"/>
      <c r="L5150" s="109"/>
      <c r="M5150" s="109"/>
      <c r="N5150" s="109"/>
      <c r="Q5150" s="121"/>
      <c r="W5150" s="109"/>
    </row>
    <row r="5151" spans="1:23" ht="12.75" hidden="1">
      <c r="A5151" s="109"/>
      <c r="B5151" s="109"/>
      <c r="C5151" s="109"/>
      <c r="D5151" s="109"/>
      <c r="E5151" s="109"/>
      <c r="F5151" s="109"/>
      <c r="G5151" s="109"/>
      <c r="H5151" s="109"/>
      <c r="I5151" s="109"/>
      <c r="J5151" s="109"/>
      <c r="L5151" s="109"/>
      <c r="M5151" s="109"/>
      <c r="N5151" s="109"/>
      <c r="Q5151" s="121"/>
      <c r="W5151" s="109"/>
    </row>
    <row r="5152" spans="1:23" ht="12.75" hidden="1">
      <c r="A5152" s="109"/>
      <c r="B5152" s="109"/>
      <c r="C5152" s="109"/>
      <c r="D5152" s="109"/>
      <c r="E5152" s="109"/>
      <c r="F5152" s="109"/>
      <c r="G5152" s="109"/>
      <c r="H5152" s="109"/>
      <c r="I5152" s="109"/>
      <c r="J5152" s="109"/>
      <c r="L5152" s="109"/>
      <c r="M5152" s="109"/>
      <c r="N5152" s="109"/>
      <c r="Q5152" s="121"/>
      <c r="W5152" s="109"/>
    </row>
    <row r="5153" spans="1:23" ht="12.75" hidden="1">
      <c r="A5153" s="109"/>
      <c r="B5153" s="109"/>
      <c r="C5153" s="109"/>
      <c r="D5153" s="109"/>
      <c r="E5153" s="109"/>
      <c r="F5153" s="109"/>
      <c r="G5153" s="109"/>
      <c r="H5153" s="109"/>
      <c r="I5153" s="109"/>
      <c r="J5153" s="109"/>
      <c r="L5153" s="109"/>
      <c r="M5153" s="109"/>
      <c r="N5153" s="109"/>
      <c r="Q5153" s="121"/>
      <c r="W5153" s="109"/>
    </row>
    <row r="5154" spans="1:23" ht="12.75" hidden="1">
      <c r="A5154" s="109"/>
      <c r="B5154" s="109"/>
      <c r="C5154" s="109"/>
      <c r="D5154" s="109"/>
      <c r="E5154" s="109"/>
      <c r="F5154" s="109"/>
      <c r="G5154" s="109"/>
      <c r="H5154" s="109"/>
      <c r="I5154" s="109"/>
      <c r="J5154" s="109"/>
      <c r="L5154" s="109"/>
      <c r="M5154" s="109"/>
      <c r="N5154" s="109"/>
      <c r="Q5154" s="121"/>
      <c r="W5154" s="109"/>
    </row>
    <row r="5155" spans="1:23" ht="12.75" hidden="1">
      <c r="A5155" s="109"/>
      <c r="B5155" s="109"/>
      <c r="C5155" s="109"/>
      <c r="D5155" s="109"/>
      <c r="E5155" s="109"/>
      <c r="F5155" s="109"/>
      <c r="G5155" s="109"/>
      <c r="H5155" s="109"/>
      <c r="I5155" s="109"/>
      <c r="J5155" s="109"/>
      <c r="L5155" s="109"/>
      <c r="M5155" s="109"/>
      <c r="N5155" s="109"/>
      <c r="Q5155" s="121"/>
      <c r="W5155" s="109"/>
    </row>
    <row r="5156" spans="1:23" ht="12.75" hidden="1">
      <c r="A5156" s="109"/>
      <c r="B5156" s="109"/>
      <c r="C5156" s="109"/>
      <c r="D5156" s="109"/>
      <c r="E5156" s="109"/>
      <c r="F5156" s="109"/>
      <c r="G5156" s="109"/>
      <c r="H5156" s="109"/>
      <c r="I5156" s="109"/>
      <c r="J5156" s="109"/>
      <c r="L5156" s="109"/>
      <c r="M5156" s="109"/>
      <c r="N5156" s="109"/>
      <c r="Q5156" s="121"/>
      <c r="W5156" s="109"/>
    </row>
    <row r="5157" spans="1:23" ht="12.75" hidden="1">
      <c r="A5157" s="109"/>
      <c r="B5157" s="109"/>
      <c r="C5157" s="109"/>
      <c r="D5157" s="109"/>
      <c r="E5157" s="109"/>
      <c r="F5157" s="109"/>
      <c r="G5157" s="109"/>
      <c r="H5157" s="109"/>
      <c r="I5157" s="109"/>
      <c r="J5157" s="109"/>
      <c r="L5157" s="109"/>
      <c r="M5157" s="109"/>
      <c r="N5157" s="109"/>
      <c r="Q5157" s="121"/>
      <c r="W5157" s="109"/>
    </row>
    <row r="5158" spans="1:23" ht="12.75" hidden="1">
      <c r="A5158" s="109"/>
      <c r="B5158" s="109"/>
      <c r="C5158" s="109"/>
      <c r="D5158" s="109"/>
      <c r="E5158" s="109"/>
      <c r="F5158" s="109"/>
      <c r="G5158" s="109"/>
      <c r="H5158" s="109"/>
      <c r="I5158" s="109"/>
      <c r="J5158" s="109"/>
      <c r="L5158" s="109"/>
      <c r="M5158" s="109"/>
      <c r="N5158" s="109"/>
      <c r="Q5158" s="121"/>
      <c r="W5158" s="109"/>
    </row>
    <row r="5159" spans="1:23" ht="12.75" hidden="1">
      <c r="A5159" s="109"/>
      <c r="B5159" s="109"/>
      <c r="C5159" s="109"/>
      <c r="D5159" s="109"/>
      <c r="E5159" s="109"/>
      <c r="F5159" s="109"/>
      <c r="G5159" s="109"/>
      <c r="H5159" s="109"/>
      <c r="I5159" s="109"/>
      <c r="J5159" s="109"/>
      <c r="L5159" s="109"/>
      <c r="M5159" s="109"/>
      <c r="N5159" s="109"/>
      <c r="Q5159" s="121"/>
      <c r="W5159" s="109"/>
    </row>
    <row r="5160" spans="1:23" ht="12.75" hidden="1">
      <c r="A5160" s="109"/>
      <c r="B5160" s="109"/>
      <c r="C5160" s="109"/>
      <c r="D5160" s="109"/>
      <c r="E5160" s="109"/>
      <c r="F5160" s="109"/>
      <c r="G5160" s="109"/>
      <c r="H5160" s="109"/>
      <c r="I5160" s="109"/>
      <c r="J5160" s="109"/>
      <c r="L5160" s="109"/>
      <c r="M5160" s="109"/>
      <c r="N5160" s="109"/>
      <c r="Q5160" s="121"/>
      <c r="W5160" s="109"/>
    </row>
    <row r="5161" spans="1:23" ht="12.75" hidden="1">
      <c r="A5161" s="109"/>
      <c r="B5161" s="109"/>
      <c r="C5161" s="109"/>
      <c r="D5161" s="109"/>
      <c r="E5161" s="109"/>
      <c r="F5161" s="109"/>
      <c r="G5161" s="109"/>
      <c r="H5161" s="109"/>
      <c r="I5161" s="109"/>
      <c r="J5161" s="109"/>
      <c r="L5161" s="109"/>
      <c r="M5161" s="109"/>
      <c r="N5161" s="109"/>
      <c r="Q5161" s="121"/>
      <c r="W5161" s="109"/>
    </row>
    <row r="5162" spans="1:23" ht="12.75" hidden="1">
      <c r="A5162" s="109"/>
      <c r="B5162" s="109"/>
      <c r="C5162" s="109"/>
      <c r="D5162" s="109"/>
      <c r="E5162" s="109"/>
      <c r="F5162" s="109"/>
      <c r="G5162" s="109"/>
      <c r="H5162" s="109"/>
      <c r="I5162" s="109"/>
      <c r="J5162" s="109"/>
      <c r="L5162" s="109"/>
      <c r="M5162" s="109"/>
      <c r="N5162" s="109"/>
      <c r="Q5162" s="121"/>
      <c r="W5162" s="109"/>
    </row>
    <row r="5163" spans="1:23" ht="12.75" hidden="1">
      <c r="A5163" s="109"/>
      <c r="B5163" s="109"/>
      <c r="C5163" s="109"/>
      <c r="D5163" s="109"/>
      <c r="E5163" s="109"/>
      <c r="F5163" s="109"/>
      <c r="G5163" s="109"/>
      <c r="H5163" s="109"/>
      <c r="I5163" s="109"/>
      <c r="J5163" s="109"/>
      <c r="L5163" s="109"/>
      <c r="M5163" s="109"/>
      <c r="N5163" s="109"/>
      <c r="Q5163" s="121"/>
      <c r="W5163" s="109"/>
    </row>
    <row r="5164" spans="1:23" ht="12.75" hidden="1">
      <c r="A5164" s="109"/>
      <c r="B5164" s="109"/>
      <c r="C5164" s="109"/>
      <c r="D5164" s="109"/>
      <c r="E5164" s="109"/>
      <c r="F5164" s="109"/>
      <c r="G5164" s="109"/>
      <c r="H5164" s="109"/>
      <c r="I5164" s="109"/>
      <c r="J5164" s="109"/>
      <c r="L5164" s="109"/>
      <c r="M5164" s="109"/>
      <c r="N5164" s="109"/>
      <c r="Q5164" s="121"/>
      <c r="W5164" s="109"/>
    </row>
    <row r="5165" spans="1:23" ht="12.75" hidden="1">
      <c r="A5165" s="109"/>
      <c r="B5165" s="109"/>
      <c r="C5165" s="109"/>
      <c r="D5165" s="109"/>
      <c r="E5165" s="109"/>
      <c r="F5165" s="109"/>
      <c r="G5165" s="109"/>
      <c r="H5165" s="109"/>
      <c r="I5165" s="109"/>
      <c r="J5165" s="109"/>
      <c r="L5165" s="109"/>
      <c r="M5165" s="109"/>
      <c r="N5165" s="109"/>
      <c r="Q5165" s="121"/>
      <c r="W5165" s="109"/>
    </row>
    <row r="5166" spans="1:23" ht="12.75" hidden="1">
      <c r="A5166" s="109"/>
      <c r="B5166" s="109"/>
      <c r="C5166" s="109"/>
      <c r="D5166" s="109"/>
      <c r="E5166" s="109"/>
      <c r="F5166" s="109"/>
      <c r="G5166" s="109"/>
      <c r="H5166" s="109"/>
      <c r="I5166" s="109"/>
      <c r="J5166" s="109"/>
      <c r="L5166" s="109"/>
      <c r="M5166" s="109"/>
      <c r="N5166" s="109"/>
      <c r="Q5166" s="121"/>
      <c r="W5166" s="109"/>
    </row>
    <row r="5167" spans="1:23" ht="12.75" hidden="1">
      <c r="A5167" s="109"/>
      <c r="B5167" s="109"/>
      <c r="C5167" s="109"/>
      <c r="D5167" s="109"/>
      <c r="E5167" s="109"/>
      <c r="F5167" s="109"/>
      <c r="G5167" s="109"/>
      <c r="H5167" s="109"/>
      <c r="I5167" s="109"/>
      <c r="J5167" s="109"/>
      <c r="L5167" s="109"/>
      <c r="M5167" s="109"/>
      <c r="N5167" s="109"/>
      <c r="Q5167" s="121"/>
      <c r="W5167" s="109"/>
    </row>
    <row r="5168" spans="1:23" ht="12.75" hidden="1">
      <c r="A5168" s="109"/>
      <c r="B5168" s="109"/>
      <c r="C5168" s="109"/>
      <c r="D5168" s="109"/>
      <c r="E5168" s="109"/>
      <c r="F5168" s="109"/>
      <c r="G5168" s="109"/>
      <c r="H5168" s="109"/>
      <c r="I5168" s="109"/>
      <c r="J5168" s="109"/>
      <c r="L5168" s="109"/>
      <c r="M5168" s="109"/>
      <c r="N5168" s="109"/>
      <c r="Q5168" s="121"/>
      <c r="W5168" s="109"/>
    </row>
    <row r="5169" spans="1:23" ht="12.75" hidden="1">
      <c r="A5169" s="109"/>
      <c r="B5169" s="109"/>
      <c r="C5169" s="109"/>
      <c r="D5169" s="109"/>
      <c r="E5169" s="109"/>
      <c r="F5169" s="109"/>
      <c r="G5169" s="109"/>
      <c r="H5169" s="109"/>
      <c r="I5169" s="109"/>
      <c r="J5169" s="109"/>
      <c r="L5169" s="109"/>
      <c r="M5169" s="109"/>
      <c r="N5169" s="109"/>
      <c r="Q5169" s="121"/>
      <c r="W5169" s="109"/>
    </row>
    <row r="5170" spans="1:23" ht="12.75" hidden="1">
      <c r="A5170" s="109"/>
      <c r="B5170" s="109"/>
      <c r="C5170" s="109"/>
      <c r="D5170" s="109"/>
      <c r="E5170" s="109"/>
      <c r="F5170" s="109"/>
      <c r="G5170" s="109"/>
      <c r="H5170" s="109"/>
      <c r="I5170" s="109"/>
      <c r="J5170" s="109"/>
      <c r="L5170" s="109"/>
      <c r="M5170" s="109"/>
      <c r="N5170" s="109"/>
      <c r="Q5170" s="121"/>
      <c r="W5170" s="109"/>
    </row>
    <row r="5171" spans="1:23" ht="12.75" hidden="1">
      <c r="A5171" s="109"/>
      <c r="B5171" s="109"/>
      <c r="C5171" s="109"/>
      <c r="D5171" s="109"/>
      <c r="E5171" s="109"/>
      <c r="F5171" s="109"/>
      <c r="G5171" s="109"/>
      <c r="H5171" s="109"/>
      <c r="I5171" s="109"/>
      <c r="J5171" s="109"/>
      <c r="L5171" s="109"/>
      <c r="M5171" s="109"/>
      <c r="N5171" s="109"/>
      <c r="Q5171" s="121"/>
      <c r="W5171" s="109"/>
    </row>
    <row r="5172" spans="1:23" ht="12.75" hidden="1">
      <c r="A5172" s="109"/>
      <c r="B5172" s="109"/>
      <c r="C5172" s="109"/>
      <c r="D5172" s="109"/>
      <c r="E5172" s="109"/>
      <c r="F5172" s="109"/>
      <c r="G5172" s="109"/>
      <c r="H5172" s="109"/>
      <c r="I5172" s="109"/>
      <c r="J5172" s="109"/>
      <c r="L5172" s="109"/>
      <c r="M5172" s="109"/>
      <c r="N5172" s="109"/>
      <c r="Q5172" s="121"/>
      <c r="W5172" s="109"/>
    </row>
    <row r="5173" spans="1:23" ht="12.75" hidden="1">
      <c r="A5173" s="109"/>
      <c r="B5173" s="109"/>
      <c r="C5173" s="109"/>
      <c r="D5173" s="109"/>
      <c r="E5173" s="109"/>
      <c r="F5173" s="109"/>
      <c r="G5173" s="109"/>
      <c r="H5173" s="109"/>
      <c r="I5173" s="109"/>
      <c r="J5173" s="109"/>
      <c r="L5173" s="109"/>
      <c r="M5173" s="109"/>
      <c r="N5173" s="109"/>
      <c r="Q5173" s="121"/>
      <c r="W5173" s="109"/>
    </row>
    <row r="5174" spans="1:23" ht="12.75" hidden="1">
      <c r="A5174" s="109"/>
      <c r="B5174" s="109"/>
      <c r="C5174" s="109"/>
      <c r="D5174" s="109"/>
      <c r="E5174" s="109"/>
      <c r="F5174" s="109"/>
      <c r="G5174" s="109"/>
      <c r="H5174" s="109"/>
      <c r="I5174" s="109"/>
      <c r="J5174" s="109"/>
      <c r="L5174" s="109"/>
      <c r="M5174" s="109"/>
      <c r="N5174" s="109"/>
      <c r="Q5174" s="121"/>
      <c r="W5174" s="109"/>
    </row>
    <row r="5175" spans="1:23" ht="12.75" hidden="1">
      <c r="A5175" s="109"/>
      <c r="B5175" s="109"/>
      <c r="C5175" s="109"/>
      <c r="D5175" s="109"/>
      <c r="E5175" s="109"/>
      <c r="F5175" s="109"/>
      <c r="G5175" s="109"/>
      <c r="H5175" s="109"/>
      <c r="I5175" s="109"/>
      <c r="J5175" s="109"/>
      <c r="L5175" s="109"/>
      <c r="M5175" s="109"/>
      <c r="N5175" s="109"/>
      <c r="Q5175" s="121"/>
      <c r="W5175" s="109"/>
    </row>
    <row r="5176" spans="1:23" ht="12.75" hidden="1">
      <c r="A5176" s="109"/>
      <c r="B5176" s="109"/>
      <c r="C5176" s="109"/>
      <c r="D5176" s="109"/>
      <c r="E5176" s="109"/>
      <c r="F5176" s="109"/>
      <c r="G5176" s="109"/>
      <c r="H5176" s="109"/>
      <c r="I5176" s="109"/>
      <c r="J5176" s="109"/>
      <c r="L5176" s="109"/>
      <c r="M5176" s="109"/>
      <c r="N5176" s="109"/>
      <c r="Q5176" s="121"/>
      <c r="W5176" s="109"/>
    </row>
    <row r="5177" spans="1:23" ht="12.75" hidden="1">
      <c r="A5177" s="109"/>
      <c r="B5177" s="109"/>
      <c r="C5177" s="109"/>
      <c r="D5177" s="109"/>
      <c r="E5177" s="109"/>
      <c r="F5177" s="109"/>
      <c r="G5177" s="109"/>
      <c r="H5177" s="109"/>
      <c r="I5177" s="109"/>
      <c r="J5177" s="109"/>
      <c r="L5177" s="109"/>
      <c r="M5177" s="109"/>
      <c r="N5177" s="109"/>
      <c r="Q5177" s="121"/>
      <c r="W5177" s="109"/>
    </row>
    <row r="5178" spans="1:23" ht="12.75" hidden="1">
      <c r="A5178" s="109"/>
      <c r="B5178" s="109"/>
      <c r="C5178" s="109"/>
      <c r="D5178" s="109"/>
      <c r="E5178" s="109"/>
      <c r="F5178" s="109"/>
      <c r="G5178" s="109"/>
      <c r="H5178" s="109"/>
      <c r="I5178" s="109"/>
      <c r="J5178" s="109"/>
      <c r="L5178" s="109"/>
      <c r="M5178" s="109"/>
      <c r="N5178" s="109"/>
      <c r="Q5178" s="121"/>
      <c r="W5178" s="109"/>
    </row>
    <row r="5179" spans="1:23" ht="12.75" hidden="1">
      <c r="A5179" s="109"/>
      <c r="B5179" s="109"/>
      <c r="C5179" s="109"/>
      <c r="D5179" s="109"/>
      <c r="E5179" s="109"/>
      <c r="F5179" s="109"/>
      <c r="G5179" s="109"/>
      <c r="H5179" s="109"/>
      <c r="I5179" s="109"/>
      <c r="J5179" s="109"/>
      <c r="L5179" s="109"/>
      <c r="M5179" s="109"/>
      <c r="N5179" s="109"/>
      <c r="Q5179" s="121"/>
      <c r="W5179" s="109"/>
    </row>
    <row r="5180" spans="1:23" ht="12.75" hidden="1">
      <c r="A5180" s="109"/>
      <c r="B5180" s="109"/>
      <c r="C5180" s="109"/>
      <c r="D5180" s="109"/>
      <c r="E5180" s="109"/>
      <c r="F5180" s="109"/>
      <c r="G5180" s="109"/>
      <c r="H5180" s="109"/>
      <c r="I5180" s="109"/>
      <c r="J5180" s="109"/>
      <c r="L5180" s="109"/>
      <c r="M5180" s="109"/>
      <c r="N5180" s="109"/>
      <c r="Q5180" s="121"/>
      <c r="W5180" s="109"/>
    </row>
    <row r="5181" spans="1:23" ht="12.75" hidden="1">
      <c r="A5181" s="109"/>
      <c r="B5181" s="109"/>
      <c r="C5181" s="109"/>
      <c r="D5181" s="109"/>
      <c r="E5181" s="109"/>
      <c r="F5181" s="109"/>
      <c r="G5181" s="109"/>
      <c r="H5181" s="109"/>
      <c r="I5181" s="109"/>
      <c r="J5181" s="109"/>
      <c r="L5181" s="109"/>
      <c r="M5181" s="109"/>
      <c r="N5181" s="109"/>
      <c r="Q5181" s="121"/>
      <c r="W5181" s="109"/>
    </row>
    <row r="5182" spans="1:23" ht="12.75" hidden="1">
      <c r="A5182" s="109"/>
      <c r="B5182" s="109"/>
      <c r="C5182" s="109"/>
      <c r="D5182" s="109"/>
      <c r="E5182" s="109"/>
      <c r="F5182" s="109"/>
      <c r="G5182" s="109"/>
      <c r="H5182" s="109"/>
      <c r="I5182" s="109"/>
      <c r="J5182" s="109"/>
      <c r="L5182" s="109"/>
      <c r="M5182" s="109"/>
      <c r="N5182" s="109"/>
      <c r="Q5182" s="121"/>
      <c r="W5182" s="109"/>
    </row>
    <row r="5183" spans="1:23" ht="12.75" hidden="1">
      <c r="A5183" s="109"/>
      <c r="B5183" s="109"/>
      <c r="C5183" s="109"/>
      <c r="D5183" s="109"/>
      <c r="E5183" s="109"/>
      <c r="F5183" s="109"/>
      <c r="G5183" s="109"/>
      <c r="H5183" s="109"/>
      <c r="I5183" s="109"/>
      <c r="J5183" s="109"/>
      <c r="L5183" s="109"/>
      <c r="M5183" s="109"/>
      <c r="N5183" s="109"/>
      <c r="Q5183" s="121"/>
      <c r="W5183" s="109"/>
    </row>
    <row r="5184" spans="1:23" ht="12.75" hidden="1">
      <c r="A5184" s="109"/>
      <c r="B5184" s="109"/>
      <c r="C5184" s="109"/>
      <c r="D5184" s="109"/>
      <c r="E5184" s="109"/>
      <c r="F5184" s="109"/>
      <c r="G5184" s="109"/>
      <c r="H5184" s="109"/>
      <c r="I5184" s="109"/>
      <c r="J5184" s="109"/>
      <c r="L5184" s="109"/>
      <c r="M5184" s="109"/>
      <c r="N5184" s="109"/>
      <c r="Q5184" s="121"/>
      <c r="W5184" s="109"/>
    </row>
    <row r="5185" spans="1:23" ht="12.75" hidden="1">
      <c r="A5185" s="109"/>
      <c r="B5185" s="109"/>
      <c r="C5185" s="109"/>
      <c r="D5185" s="109"/>
      <c r="E5185" s="109"/>
      <c r="F5185" s="109"/>
      <c r="G5185" s="109"/>
      <c r="H5185" s="109"/>
      <c r="I5185" s="109"/>
      <c r="J5185" s="109"/>
      <c r="L5185" s="109"/>
      <c r="M5185" s="109"/>
      <c r="N5185" s="109"/>
      <c r="Q5185" s="121"/>
      <c r="W5185" s="109"/>
    </row>
    <row r="5186" spans="1:23" ht="12.75" hidden="1">
      <c r="A5186" s="109"/>
      <c r="B5186" s="109"/>
      <c r="C5186" s="109"/>
      <c r="D5186" s="109"/>
      <c r="E5186" s="109"/>
      <c r="F5186" s="109"/>
      <c r="G5186" s="109"/>
      <c r="H5186" s="109"/>
      <c r="I5186" s="109"/>
      <c r="J5186" s="109"/>
      <c r="L5186" s="109"/>
      <c r="M5186" s="109"/>
      <c r="N5186" s="109"/>
      <c r="Q5186" s="121"/>
      <c r="W5186" s="109"/>
    </row>
    <row r="5187" spans="1:23" ht="12.75" hidden="1">
      <c r="A5187" s="109"/>
      <c r="B5187" s="109"/>
      <c r="C5187" s="109"/>
      <c r="D5187" s="109"/>
      <c r="E5187" s="109"/>
      <c r="F5187" s="109"/>
      <c r="G5187" s="109"/>
      <c r="H5187" s="109"/>
      <c r="I5187" s="109"/>
      <c r="J5187" s="109"/>
      <c r="L5187" s="109"/>
      <c r="M5187" s="109"/>
      <c r="N5187" s="109"/>
      <c r="Q5187" s="121"/>
      <c r="W5187" s="109"/>
    </row>
    <row r="5188" spans="1:23" ht="12.75" hidden="1">
      <c r="A5188" s="109"/>
      <c r="B5188" s="109"/>
      <c r="C5188" s="109"/>
      <c r="D5188" s="109"/>
      <c r="E5188" s="109"/>
      <c r="F5188" s="109"/>
      <c r="G5188" s="109"/>
      <c r="H5188" s="109"/>
      <c r="I5188" s="109"/>
      <c r="J5188" s="109"/>
      <c r="L5188" s="109"/>
      <c r="M5188" s="109"/>
      <c r="N5188" s="109"/>
      <c r="Q5188" s="121"/>
      <c r="W5188" s="109"/>
    </row>
    <row r="5189" spans="1:23" ht="12.75" hidden="1">
      <c r="A5189" s="109"/>
      <c r="B5189" s="109"/>
      <c r="C5189" s="109"/>
      <c r="D5189" s="109"/>
      <c r="E5189" s="109"/>
      <c r="F5189" s="109"/>
      <c r="G5189" s="109"/>
      <c r="H5189" s="109"/>
      <c r="I5189" s="109"/>
      <c r="J5189" s="109"/>
      <c r="L5189" s="109"/>
      <c r="M5189" s="109"/>
      <c r="N5189" s="109"/>
      <c r="Q5189" s="121"/>
      <c r="W5189" s="109"/>
    </row>
    <row r="5190" spans="1:23" ht="12.75" hidden="1">
      <c r="A5190" s="109"/>
      <c r="B5190" s="109"/>
      <c r="C5190" s="109"/>
      <c r="D5190" s="109"/>
      <c r="E5190" s="109"/>
      <c r="F5190" s="109"/>
      <c r="G5190" s="109"/>
      <c r="H5190" s="109"/>
      <c r="I5190" s="109"/>
      <c r="J5190" s="109"/>
      <c r="L5190" s="109"/>
      <c r="M5190" s="109"/>
      <c r="N5190" s="109"/>
      <c r="Q5190" s="121"/>
      <c r="W5190" s="109"/>
    </row>
    <row r="5191" spans="1:23" ht="12.75" hidden="1">
      <c r="A5191" s="109"/>
      <c r="B5191" s="109"/>
      <c r="C5191" s="109"/>
      <c r="D5191" s="109"/>
      <c r="E5191" s="109"/>
      <c r="F5191" s="109"/>
      <c r="G5191" s="109"/>
      <c r="H5191" s="109"/>
      <c r="I5191" s="109"/>
      <c r="J5191" s="109"/>
      <c r="L5191" s="109"/>
      <c r="M5191" s="109"/>
      <c r="N5191" s="109"/>
      <c r="Q5191" s="121"/>
      <c r="W5191" s="109"/>
    </row>
    <row r="5192" spans="1:23" ht="12.75" hidden="1">
      <c r="A5192" s="109"/>
      <c r="B5192" s="109"/>
      <c r="C5192" s="109"/>
      <c r="D5192" s="109"/>
      <c r="E5192" s="109"/>
      <c r="F5192" s="109"/>
      <c r="G5192" s="109"/>
      <c r="H5192" s="109"/>
      <c r="I5192" s="109"/>
      <c r="J5192" s="109"/>
      <c r="L5192" s="109"/>
      <c r="M5192" s="109"/>
      <c r="N5192" s="109"/>
      <c r="Q5192" s="121"/>
      <c r="W5192" s="109"/>
    </row>
    <row r="5193" spans="1:23" ht="12.75" hidden="1">
      <c r="A5193" s="109"/>
      <c r="B5193" s="109"/>
      <c r="C5193" s="109"/>
      <c r="D5193" s="109"/>
      <c r="E5193" s="109"/>
      <c r="F5193" s="109"/>
      <c r="G5193" s="109"/>
      <c r="H5193" s="109"/>
      <c r="I5193" s="109"/>
      <c r="J5193" s="109"/>
      <c r="L5193" s="109"/>
      <c r="M5193" s="109"/>
      <c r="N5193" s="109"/>
      <c r="Q5193" s="121"/>
      <c r="W5193" s="109"/>
    </row>
    <row r="5194" spans="1:23" ht="12.75" hidden="1">
      <c r="A5194" s="109"/>
      <c r="B5194" s="109"/>
      <c r="C5194" s="109"/>
      <c r="D5194" s="109"/>
      <c r="E5194" s="109"/>
      <c r="F5194" s="109"/>
      <c r="G5194" s="109"/>
      <c r="H5194" s="109"/>
      <c r="I5194" s="109"/>
      <c r="J5194" s="109"/>
      <c r="L5194" s="109"/>
      <c r="M5194" s="109"/>
      <c r="N5194" s="109"/>
      <c r="Q5194" s="121"/>
      <c r="W5194" s="109"/>
    </row>
    <row r="5195" spans="1:23" ht="12.75" hidden="1">
      <c r="A5195" s="109"/>
      <c r="B5195" s="109"/>
      <c r="C5195" s="109"/>
      <c r="D5195" s="109"/>
      <c r="E5195" s="109"/>
      <c r="F5195" s="109"/>
      <c r="G5195" s="109"/>
      <c r="H5195" s="109"/>
      <c r="I5195" s="109"/>
      <c r="J5195" s="109"/>
      <c r="L5195" s="109"/>
      <c r="M5195" s="109"/>
      <c r="N5195" s="109"/>
      <c r="Q5195" s="121"/>
      <c r="W5195" s="109"/>
    </row>
    <row r="5196" spans="1:23" ht="12.75" hidden="1">
      <c r="A5196" s="109"/>
      <c r="B5196" s="109"/>
      <c r="C5196" s="109"/>
      <c r="D5196" s="109"/>
      <c r="E5196" s="109"/>
      <c r="F5196" s="109"/>
      <c r="G5196" s="109"/>
      <c r="H5196" s="109"/>
      <c r="I5196" s="109"/>
      <c r="J5196" s="109"/>
      <c r="L5196" s="109"/>
      <c r="M5196" s="109"/>
      <c r="N5196" s="109"/>
      <c r="Q5196" s="121"/>
      <c r="W5196" s="109"/>
    </row>
    <row r="5197" spans="1:23" ht="12.75" hidden="1">
      <c r="A5197" s="109"/>
      <c r="B5197" s="109"/>
      <c r="C5197" s="109"/>
      <c r="D5197" s="109"/>
      <c r="E5197" s="109"/>
      <c r="F5197" s="109"/>
      <c r="G5197" s="109"/>
      <c r="H5197" s="109"/>
      <c r="I5197" s="109"/>
      <c r="J5197" s="109"/>
      <c r="L5197" s="109"/>
      <c r="M5197" s="109"/>
      <c r="N5197" s="109"/>
      <c r="Q5197" s="121"/>
      <c r="W5197" s="109"/>
    </row>
    <row r="5198" spans="1:23" ht="12.75" hidden="1">
      <c r="A5198" s="109"/>
      <c r="B5198" s="109"/>
      <c r="C5198" s="109"/>
      <c r="D5198" s="109"/>
      <c r="E5198" s="109"/>
      <c r="F5198" s="109"/>
      <c r="G5198" s="109"/>
      <c r="H5198" s="109"/>
      <c r="I5198" s="109"/>
      <c r="J5198" s="109"/>
      <c r="L5198" s="109"/>
      <c r="M5198" s="109"/>
      <c r="N5198" s="109"/>
      <c r="Q5198" s="121"/>
      <c r="W5198" s="109"/>
    </row>
    <row r="5199" spans="1:23" ht="12.75" hidden="1">
      <c r="A5199" s="109"/>
      <c r="B5199" s="109"/>
      <c r="C5199" s="109"/>
      <c r="D5199" s="109"/>
      <c r="E5199" s="109"/>
      <c r="F5199" s="109"/>
      <c r="G5199" s="109"/>
      <c r="H5199" s="109"/>
      <c r="I5199" s="109"/>
      <c r="J5199" s="109"/>
      <c r="L5199" s="109"/>
      <c r="M5199" s="109"/>
      <c r="N5199" s="109"/>
      <c r="Q5199" s="121"/>
      <c r="W5199" s="109"/>
    </row>
    <row r="5200" spans="1:23" ht="12.75" hidden="1">
      <c r="A5200" s="109"/>
      <c r="B5200" s="109"/>
      <c r="C5200" s="109"/>
      <c r="D5200" s="109"/>
      <c r="E5200" s="109"/>
      <c r="F5200" s="109"/>
      <c r="G5200" s="109"/>
      <c r="H5200" s="109"/>
      <c r="I5200" s="109"/>
      <c r="J5200" s="109"/>
      <c r="L5200" s="109"/>
      <c r="M5200" s="109"/>
      <c r="N5200" s="109"/>
      <c r="Q5200" s="121"/>
      <c r="W5200" s="109"/>
    </row>
    <row r="5201" spans="1:23" ht="12.75" hidden="1">
      <c r="A5201" s="109"/>
      <c r="B5201" s="109"/>
      <c r="C5201" s="109"/>
      <c r="D5201" s="109"/>
      <c r="E5201" s="109"/>
      <c r="F5201" s="109"/>
      <c r="G5201" s="109"/>
      <c r="H5201" s="109"/>
      <c r="I5201" s="109"/>
      <c r="J5201" s="109"/>
      <c r="L5201" s="109"/>
      <c r="M5201" s="109"/>
      <c r="N5201" s="109"/>
      <c r="Q5201" s="121"/>
      <c r="W5201" s="109"/>
    </row>
    <row r="5202" spans="1:23" ht="12.75" hidden="1">
      <c r="A5202" s="109"/>
      <c r="B5202" s="109"/>
      <c r="C5202" s="109"/>
      <c r="D5202" s="109"/>
      <c r="E5202" s="109"/>
      <c r="F5202" s="109"/>
      <c r="G5202" s="109"/>
      <c r="H5202" s="109"/>
      <c r="I5202" s="109"/>
      <c r="J5202" s="109"/>
      <c r="L5202" s="109"/>
      <c r="M5202" s="109"/>
      <c r="N5202" s="109"/>
      <c r="Q5202" s="121"/>
      <c r="W5202" s="109"/>
    </row>
    <row r="5203" spans="1:23" ht="12.75" hidden="1">
      <c r="A5203" s="109"/>
      <c r="B5203" s="109"/>
      <c r="C5203" s="109"/>
      <c r="D5203" s="109"/>
      <c r="E5203" s="109"/>
      <c r="F5203" s="109"/>
      <c r="G5203" s="109"/>
      <c r="H5203" s="109"/>
      <c r="I5203" s="109"/>
      <c r="J5203" s="109"/>
      <c r="L5203" s="109"/>
      <c r="M5203" s="109"/>
      <c r="N5203" s="109"/>
      <c r="Q5203" s="121"/>
      <c r="W5203" s="109"/>
    </row>
    <row r="5204" spans="1:23" ht="12.75" hidden="1">
      <c r="A5204" s="109"/>
      <c r="B5204" s="109"/>
      <c r="C5204" s="109"/>
      <c r="D5204" s="109"/>
      <c r="E5204" s="109"/>
      <c r="F5204" s="109"/>
      <c r="G5204" s="109"/>
      <c r="H5204" s="109"/>
      <c r="I5204" s="109"/>
      <c r="J5204" s="109"/>
      <c r="L5204" s="109"/>
      <c r="M5204" s="109"/>
      <c r="N5204" s="109"/>
      <c r="Q5204" s="121"/>
      <c r="W5204" s="109"/>
    </row>
    <row r="5205" spans="1:23" ht="12.75" hidden="1">
      <c r="A5205" s="109"/>
      <c r="B5205" s="109"/>
      <c r="C5205" s="109"/>
      <c r="D5205" s="109"/>
      <c r="E5205" s="109"/>
      <c r="F5205" s="109"/>
      <c r="G5205" s="109"/>
      <c r="H5205" s="109"/>
      <c r="I5205" s="109"/>
      <c r="J5205" s="109"/>
      <c r="L5205" s="109"/>
      <c r="M5205" s="109"/>
      <c r="N5205" s="109"/>
      <c r="Q5205" s="121"/>
      <c r="W5205" s="109"/>
    </row>
    <row r="5206" spans="1:23" ht="12.75" hidden="1">
      <c r="A5206" s="109"/>
      <c r="B5206" s="109"/>
      <c r="C5206" s="109"/>
      <c r="D5206" s="109"/>
      <c r="E5206" s="109"/>
      <c r="F5206" s="109"/>
      <c r="G5206" s="109"/>
      <c r="H5206" s="109"/>
      <c r="I5206" s="109"/>
      <c r="J5206" s="109"/>
      <c r="L5206" s="109"/>
      <c r="M5206" s="109"/>
      <c r="N5206" s="109"/>
      <c r="Q5206" s="121"/>
      <c r="W5206" s="109"/>
    </row>
    <row r="5207" spans="1:23" ht="12.75" hidden="1">
      <c r="A5207" s="109"/>
      <c r="B5207" s="109"/>
      <c r="C5207" s="109"/>
      <c r="D5207" s="109"/>
      <c r="E5207" s="109"/>
      <c r="F5207" s="109"/>
      <c r="G5207" s="109"/>
      <c r="H5207" s="109"/>
      <c r="I5207" s="109"/>
      <c r="J5207" s="109"/>
      <c r="L5207" s="109"/>
      <c r="M5207" s="109"/>
      <c r="N5207" s="109"/>
      <c r="Q5207" s="121"/>
      <c r="W5207" s="109"/>
    </row>
    <row r="5208" spans="1:23" ht="12.75" hidden="1">
      <c r="A5208" s="109"/>
      <c r="B5208" s="109"/>
      <c r="C5208" s="109"/>
      <c r="D5208" s="109"/>
      <c r="E5208" s="109"/>
      <c r="F5208" s="109"/>
      <c r="G5208" s="109"/>
      <c r="H5208" s="109"/>
      <c r="I5208" s="109"/>
      <c r="J5208" s="109"/>
      <c r="L5208" s="109"/>
      <c r="M5208" s="109"/>
      <c r="N5208" s="109"/>
      <c r="Q5208" s="121"/>
      <c r="W5208" s="109"/>
    </row>
    <row r="5209" spans="1:23" ht="12.75" hidden="1">
      <c r="A5209" s="109"/>
      <c r="B5209" s="109"/>
      <c r="C5209" s="109"/>
      <c r="D5209" s="109"/>
      <c r="E5209" s="109"/>
      <c r="F5209" s="109"/>
      <c r="G5209" s="109"/>
      <c r="H5209" s="109"/>
      <c r="I5209" s="109"/>
      <c r="J5209" s="109"/>
      <c r="L5209" s="109"/>
      <c r="M5209" s="109"/>
      <c r="N5209" s="109"/>
      <c r="Q5209" s="121"/>
      <c r="W5209" s="109"/>
    </row>
    <row r="5210" spans="1:23" ht="12.75" hidden="1">
      <c r="A5210" s="109"/>
      <c r="B5210" s="109"/>
      <c r="C5210" s="109"/>
      <c r="D5210" s="109"/>
      <c r="E5210" s="109"/>
      <c r="F5210" s="109"/>
      <c r="G5210" s="109"/>
      <c r="H5210" s="109"/>
      <c r="I5210" s="109"/>
      <c r="J5210" s="109"/>
      <c r="L5210" s="109"/>
      <c r="M5210" s="109"/>
      <c r="N5210" s="109"/>
      <c r="Q5210" s="121"/>
      <c r="W5210" s="109"/>
    </row>
    <row r="5211" spans="1:23" ht="12.75" hidden="1">
      <c r="A5211" s="109"/>
      <c r="B5211" s="109"/>
      <c r="C5211" s="109"/>
      <c r="D5211" s="109"/>
      <c r="E5211" s="109"/>
      <c r="F5211" s="109"/>
      <c r="G5211" s="109"/>
      <c r="H5211" s="109"/>
      <c r="I5211" s="109"/>
      <c r="J5211" s="109"/>
      <c r="L5211" s="109"/>
      <c r="M5211" s="109"/>
      <c r="N5211" s="109"/>
      <c r="Q5211" s="121"/>
      <c r="W5211" s="109"/>
    </row>
    <row r="5212" spans="1:23" ht="12.75" hidden="1">
      <c r="A5212" s="109"/>
      <c r="B5212" s="109"/>
      <c r="C5212" s="109"/>
      <c r="D5212" s="109"/>
      <c r="E5212" s="109"/>
      <c r="F5212" s="109"/>
      <c r="G5212" s="109"/>
      <c r="H5212" s="109"/>
      <c r="I5212" s="109"/>
      <c r="J5212" s="109"/>
      <c r="L5212" s="109"/>
      <c r="M5212" s="109"/>
      <c r="N5212" s="109"/>
      <c r="Q5212" s="121"/>
      <c r="W5212" s="109"/>
    </row>
    <row r="5213" spans="1:23" ht="12.75" hidden="1">
      <c r="A5213" s="109"/>
      <c r="B5213" s="109"/>
      <c r="C5213" s="109"/>
      <c r="D5213" s="109"/>
      <c r="E5213" s="109"/>
      <c r="F5213" s="109"/>
      <c r="G5213" s="109"/>
      <c r="H5213" s="109"/>
      <c r="I5213" s="109"/>
      <c r="J5213" s="109"/>
      <c r="L5213" s="109"/>
      <c r="M5213" s="109"/>
      <c r="N5213" s="109"/>
      <c r="Q5213" s="121"/>
      <c r="W5213" s="109"/>
    </row>
    <row r="5214" spans="1:23" ht="12.75" hidden="1">
      <c r="A5214" s="109"/>
      <c r="B5214" s="109"/>
      <c r="C5214" s="109"/>
      <c r="D5214" s="109"/>
      <c r="E5214" s="109"/>
      <c r="F5214" s="109"/>
      <c r="G5214" s="109"/>
      <c r="H5214" s="109"/>
      <c r="I5214" s="109"/>
      <c r="J5214" s="109"/>
      <c r="L5214" s="109"/>
      <c r="M5214" s="109"/>
      <c r="N5214" s="109"/>
      <c r="Q5214" s="121"/>
      <c r="W5214" s="109"/>
    </row>
    <row r="5215" spans="1:23" ht="12.75" hidden="1">
      <c r="A5215" s="109"/>
      <c r="B5215" s="109"/>
      <c r="C5215" s="109"/>
      <c r="D5215" s="109"/>
      <c r="E5215" s="109"/>
      <c r="F5215" s="109"/>
      <c r="G5215" s="109"/>
      <c r="H5215" s="109"/>
      <c r="I5215" s="109"/>
      <c r="J5215" s="109"/>
      <c r="L5215" s="109"/>
      <c r="M5215" s="109"/>
      <c r="N5215" s="109"/>
      <c r="Q5215" s="121"/>
      <c r="W5215" s="109"/>
    </row>
    <row r="5216" spans="1:23" ht="12.75" hidden="1">
      <c r="A5216" s="109"/>
      <c r="B5216" s="109"/>
      <c r="C5216" s="109"/>
      <c r="D5216" s="109"/>
      <c r="E5216" s="109"/>
      <c r="F5216" s="109"/>
      <c r="G5216" s="109"/>
      <c r="H5216" s="109"/>
      <c r="I5216" s="109"/>
      <c r="J5216" s="109"/>
      <c r="L5216" s="109"/>
      <c r="M5216" s="109"/>
      <c r="N5216" s="109"/>
      <c r="Q5216" s="121"/>
      <c r="W5216" s="109"/>
    </row>
    <row r="5217" spans="1:23" ht="12.75" hidden="1">
      <c r="A5217" s="109"/>
      <c r="B5217" s="109"/>
      <c r="C5217" s="109"/>
      <c r="D5217" s="109"/>
      <c r="E5217" s="109"/>
      <c r="F5217" s="109"/>
      <c r="G5217" s="109"/>
      <c r="H5217" s="109"/>
      <c r="I5217" s="109"/>
      <c r="J5217" s="109"/>
      <c r="L5217" s="109"/>
      <c r="M5217" s="109"/>
      <c r="N5217" s="109"/>
      <c r="Q5217" s="121"/>
      <c r="W5217" s="109"/>
    </row>
    <row r="5218" spans="1:23" ht="12.75" hidden="1">
      <c r="A5218" s="109"/>
      <c r="B5218" s="109"/>
      <c r="C5218" s="109"/>
      <c r="D5218" s="109"/>
      <c r="E5218" s="109"/>
      <c r="F5218" s="109"/>
      <c r="G5218" s="109"/>
      <c r="H5218" s="109"/>
      <c r="I5218" s="109"/>
      <c r="J5218" s="109"/>
      <c r="L5218" s="109"/>
      <c r="M5218" s="109"/>
      <c r="N5218" s="109"/>
      <c r="Q5218" s="121"/>
      <c r="W5218" s="109"/>
    </row>
    <row r="5219" spans="1:23" ht="12.75" hidden="1">
      <c r="A5219" s="109"/>
      <c r="B5219" s="109"/>
      <c r="C5219" s="109"/>
      <c r="D5219" s="109"/>
      <c r="E5219" s="109"/>
      <c r="F5219" s="109"/>
      <c r="G5219" s="109"/>
      <c r="H5219" s="109"/>
      <c r="I5219" s="109"/>
      <c r="J5219" s="109"/>
      <c r="L5219" s="109"/>
      <c r="M5219" s="109"/>
      <c r="N5219" s="109"/>
      <c r="Q5219" s="121"/>
      <c r="W5219" s="109"/>
    </row>
    <row r="5220" spans="1:23" ht="12.75" hidden="1">
      <c r="A5220" s="109"/>
      <c r="B5220" s="109"/>
      <c r="C5220" s="109"/>
      <c r="D5220" s="109"/>
      <c r="E5220" s="109"/>
      <c r="F5220" s="109"/>
      <c r="G5220" s="109"/>
      <c r="H5220" s="109"/>
      <c r="I5220" s="109"/>
      <c r="J5220" s="109"/>
      <c r="L5220" s="109"/>
      <c r="M5220" s="109"/>
      <c r="N5220" s="109"/>
      <c r="Q5220" s="121"/>
      <c r="W5220" s="109"/>
    </row>
    <row r="5221" spans="1:23" ht="12.75" hidden="1">
      <c r="A5221" s="109"/>
      <c r="B5221" s="109"/>
      <c r="C5221" s="109"/>
      <c r="D5221" s="109"/>
      <c r="E5221" s="109"/>
      <c r="F5221" s="109"/>
      <c r="G5221" s="109"/>
      <c r="H5221" s="109"/>
      <c r="I5221" s="109"/>
      <c r="J5221" s="109"/>
      <c r="L5221" s="109"/>
      <c r="M5221" s="109"/>
      <c r="N5221" s="109"/>
      <c r="Q5221" s="121"/>
      <c r="W5221" s="109"/>
    </row>
    <row r="5222" spans="1:23" ht="12.75" hidden="1">
      <c r="A5222" s="109"/>
      <c r="B5222" s="109"/>
      <c r="C5222" s="109"/>
      <c r="D5222" s="109"/>
      <c r="E5222" s="109"/>
      <c r="F5222" s="109"/>
      <c r="G5222" s="109"/>
      <c r="H5222" s="109"/>
      <c r="I5222" s="109"/>
      <c r="J5222" s="109"/>
      <c r="L5222" s="109"/>
      <c r="M5222" s="109"/>
      <c r="N5222" s="109"/>
      <c r="Q5222" s="121"/>
      <c r="W5222" s="109"/>
    </row>
    <row r="5223" spans="1:23" ht="12.75" hidden="1">
      <c r="A5223" s="109"/>
      <c r="B5223" s="109"/>
      <c r="C5223" s="109"/>
      <c r="D5223" s="109"/>
      <c r="E5223" s="109"/>
      <c r="F5223" s="109"/>
      <c r="G5223" s="109"/>
      <c r="H5223" s="109"/>
      <c r="I5223" s="109"/>
      <c r="J5223" s="109"/>
      <c r="L5223" s="109"/>
      <c r="M5223" s="109"/>
      <c r="N5223" s="109"/>
      <c r="Q5223" s="121"/>
      <c r="W5223" s="109"/>
    </row>
    <row r="5224" spans="1:23" ht="12.75" hidden="1">
      <c r="A5224" s="109"/>
      <c r="B5224" s="109"/>
      <c r="C5224" s="109"/>
      <c r="D5224" s="109"/>
      <c r="E5224" s="109"/>
      <c r="F5224" s="109"/>
      <c r="G5224" s="109"/>
      <c r="H5224" s="109"/>
      <c r="I5224" s="109"/>
      <c r="J5224" s="109"/>
      <c r="L5224" s="109"/>
      <c r="M5224" s="109"/>
      <c r="N5224" s="109"/>
      <c r="Q5224" s="121"/>
      <c r="W5224" s="109"/>
    </row>
    <row r="5225" spans="1:23" ht="12.75" hidden="1">
      <c r="A5225" s="109"/>
      <c r="B5225" s="109"/>
      <c r="C5225" s="109"/>
      <c r="D5225" s="109"/>
      <c r="E5225" s="109"/>
      <c r="F5225" s="109"/>
      <c r="G5225" s="109"/>
      <c r="H5225" s="109"/>
      <c r="I5225" s="109"/>
      <c r="J5225" s="109"/>
      <c r="L5225" s="109"/>
      <c r="M5225" s="109"/>
      <c r="N5225" s="109"/>
      <c r="Q5225" s="121"/>
      <c r="W5225" s="109"/>
    </row>
    <row r="5226" spans="1:23" ht="12.75" hidden="1">
      <c r="A5226" s="109"/>
      <c r="B5226" s="109"/>
      <c r="C5226" s="109"/>
      <c r="D5226" s="109"/>
      <c r="E5226" s="109"/>
      <c r="F5226" s="109"/>
      <c r="G5226" s="109"/>
      <c r="H5226" s="109"/>
      <c r="I5226" s="109"/>
      <c r="J5226" s="109"/>
      <c r="L5226" s="109"/>
      <c r="M5226" s="109"/>
      <c r="N5226" s="109"/>
      <c r="Q5226" s="121"/>
      <c r="W5226" s="109"/>
    </row>
    <row r="5227" spans="1:23" ht="12.75" hidden="1">
      <c r="A5227" s="109"/>
      <c r="B5227" s="109"/>
      <c r="C5227" s="109"/>
      <c r="D5227" s="109"/>
      <c r="E5227" s="109"/>
      <c r="F5227" s="109"/>
      <c r="G5227" s="109"/>
      <c r="H5227" s="109"/>
      <c r="I5227" s="109"/>
      <c r="J5227" s="109"/>
      <c r="L5227" s="109"/>
      <c r="M5227" s="109"/>
      <c r="N5227" s="109"/>
      <c r="Q5227" s="121"/>
      <c r="W5227" s="109"/>
    </row>
    <row r="5228" spans="1:23" ht="12.75" hidden="1">
      <c r="A5228" s="109"/>
      <c r="B5228" s="109"/>
      <c r="C5228" s="109"/>
      <c r="D5228" s="109"/>
      <c r="E5228" s="109"/>
      <c r="F5228" s="109"/>
      <c r="G5228" s="109"/>
      <c r="H5228" s="109"/>
      <c r="I5228" s="109"/>
      <c r="J5228" s="109"/>
      <c r="L5228" s="109"/>
      <c r="M5228" s="109"/>
      <c r="N5228" s="109"/>
      <c r="Q5228" s="121"/>
      <c r="W5228" s="109"/>
    </row>
    <row r="5229" spans="1:23" ht="12.75" hidden="1">
      <c r="A5229" s="109"/>
      <c r="B5229" s="109"/>
      <c r="C5229" s="109"/>
      <c r="D5229" s="109"/>
      <c r="E5229" s="109"/>
      <c r="F5229" s="109"/>
      <c r="G5229" s="109"/>
      <c r="H5229" s="109"/>
      <c r="I5229" s="109"/>
      <c r="J5229" s="109"/>
      <c r="L5229" s="109"/>
      <c r="M5229" s="109"/>
      <c r="N5229" s="109"/>
      <c r="Q5229" s="121"/>
      <c r="W5229" s="109"/>
    </row>
    <row r="5230" spans="1:23" ht="12.75" hidden="1">
      <c r="A5230" s="109"/>
      <c r="B5230" s="109"/>
      <c r="C5230" s="109"/>
      <c r="D5230" s="109"/>
      <c r="E5230" s="109"/>
      <c r="F5230" s="109"/>
      <c r="G5230" s="109"/>
      <c r="H5230" s="109"/>
      <c r="I5230" s="109"/>
      <c r="J5230" s="109"/>
      <c r="L5230" s="109"/>
      <c r="M5230" s="109"/>
      <c r="N5230" s="109"/>
      <c r="Q5230" s="121"/>
      <c r="W5230" s="109"/>
    </row>
    <row r="5231" spans="1:23" ht="12.75" hidden="1">
      <c r="A5231" s="109"/>
      <c r="B5231" s="109"/>
      <c r="C5231" s="109"/>
      <c r="D5231" s="109"/>
      <c r="E5231" s="109"/>
      <c r="F5231" s="109"/>
      <c r="G5231" s="109"/>
      <c r="H5231" s="109"/>
      <c r="I5231" s="109"/>
      <c r="J5231" s="109"/>
      <c r="L5231" s="109"/>
      <c r="M5231" s="109"/>
      <c r="N5231" s="109"/>
      <c r="Q5231" s="121"/>
      <c r="W5231" s="109"/>
    </row>
    <row r="5232" spans="1:23" ht="12.75" hidden="1">
      <c r="A5232" s="109"/>
      <c r="B5232" s="109"/>
      <c r="C5232" s="109"/>
      <c r="D5232" s="109"/>
      <c r="E5232" s="109"/>
      <c r="F5232" s="109"/>
      <c r="G5232" s="109"/>
      <c r="H5232" s="109"/>
      <c r="I5232" s="109"/>
      <c r="J5232" s="109"/>
      <c r="L5232" s="109"/>
      <c r="M5232" s="109"/>
      <c r="N5232" s="109"/>
      <c r="Q5232" s="121"/>
      <c r="W5232" s="109"/>
    </row>
    <row r="5233" spans="1:23" ht="12.75" hidden="1">
      <c r="A5233" s="109"/>
      <c r="B5233" s="109"/>
      <c r="C5233" s="109"/>
      <c r="D5233" s="109"/>
      <c r="E5233" s="109"/>
      <c r="F5233" s="109"/>
      <c r="G5233" s="109"/>
      <c r="H5233" s="109"/>
      <c r="I5233" s="109"/>
      <c r="J5233" s="109"/>
      <c r="L5233" s="109"/>
      <c r="M5233" s="109"/>
      <c r="N5233" s="109"/>
      <c r="Q5233" s="121"/>
      <c r="W5233" s="109"/>
    </row>
    <row r="5234" spans="1:23" ht="12.75" hidden="1">
      <c r="A5234" s="109"/>
      <c r="B5234" s="109"/>
      <c r="C5234" s="109"/>
      <c r="D5234" s="109"/>
      <c r="E5234" s="109"/>
      <c r="F5234" s="109"/>
      <c r="G5234" s="109"/>
      <c r="H5234" s="109"/>
      <c r="I5234" s="109"/>
      <c r="J5234" s="109"/>
      <c r="L5234" s="109"/>
      <c r="M5234" s="109"/>
      <c r="N5234" s="109"/>
      <c r="Q5234" s="121"/>
      <c r="W5234" s="109"/>
    </row>
    <row r="5235" spans="1:23" ht="12.75" hidden="1">
      <c r="A5235" s="109"/>
      <c r="B5235" s="109"/>
      <c r="C5235" s="109"/>
      <c r="D5235" s="109"/>
      <c r="E5235" s="109"/>
      <c r="F5235" s="109"/>
      <c r="G5235" s="109"/>
      <c r="H5235" s="109"/>
      <c r="I5235" s="109"/>
      <c r="J5235" s="109"/>
      <c r="L5235" s="109"/>
      <c r="M5235" s="109"/>
      <c r="N5235" s="109"/>
      <c r="Q5235" s="121"/>
      <c r="W5235" s="109"/>
    </row>
    <row r="5236" spans="1:23" ht="12.75" hidden="1">
      <c r="A5236" s="109"/>
      <c r="B5236" s="109"/>
      <c r="C5236" s="109"/>
      <c r="D5236" s="109"/>
      <c r="E5236" s="109"/>
      <c r="F5236" s="109"/>
      <c r="G5236" s="109"/>
      <c r="H5236" s="109"/>
      <c r="I5236" s="109"/>
      <c r="J5236" s="109"/>
      <c r="L5236" s="109"/>
      <c r="M5236" s="109"/>
      <c r="N5236" s="109"/>
      <c r="Q5236" s="121"/>
      <c r="W5236" s="109"/>
    </row>
    <row r="5237" spans="1:23" ht="12.75" hidden="1">
      <c r="A5237" s="109"/>
      <c r="B5237" s="109"/>
      <c r="C5237" s="109"/>
      <c r="D5237" s="109"/>
      <c r="E5237" s="109"/>
      <c r="F5237" s="109"/>
      <c r="G5237" s="109"/>
      <c r="H5237" s="109"/>
      <c r="I5237" s="109"/>
      <c r="J5237" s="109"/>
      <c r="L5237" s="109"/>
      <c r="M5237" s="109"/>
      <c r="N5237" s="109"/>
      <c r="Q5237" s="121"/>
      <c r="W5237" s="109"/>
    </row>
    <row r="5238" spans="1:23" ht="12.75" hidden="1">
      <c r="A5238" s="109"/>
      <c r="B5238" s="109"/>
      <c r="C5238" s="109"/>
      <c r="D5238" s="109"/>
      <c r="E5238" s="109"/>
      <c r="F5238" s="109"/>
      <c r="G5238" s="109"/>
      <c r="H5238" s="109"/>
      <c r="I5238" s="109"/>
      <c r="J5238" s="109"/>
      <c r="L5238" s="109"/>
      <c r="M5238" s="109"/>
      <c r="N5238" s="109"/>
      <c r="Q5238" s="121"/>
      <c r="W5238" s="109"/>
    </row>
    <row r="5239" spans="1:23" ht="12.75" hidden="1">
      <c r="A5239" s="109"/>
      <c r="B5239" s="109"/>
      <c r="C5239" s="109"/>
      <c r="D5239" s="109"/>
      <c r="E5239" s="109"/>
      <c r="F5239" s="109"/>
      <c r="G5239" s="109"/>
      <c r="H5239" s="109"/>
      <c r="I5239" s="109"/>
      <c r="J5239" s="109"/>
      <c r="L5239" s="109"/>
      <c r="M5239" s="109"/>
      <c r="N5239" s="109"/>
      <c r="Q5239" s="121"/>
      <c r="W5239" s="109"/>
    </row>
    <row r="5240" spans="1:23" ht="12.75" hidden="1">
      <c r="A5240" s="109"/>
      <c r="B5240" s="109"/>
      <c r="C5240" s="109"/>
      <c r="D5240" s="109"/>
      <c r="E5240" s="109"/>
      <c r="F5240" s="109"/>
      <c r="G5240" s="109"/>
      <c r="H5240" s="109"/>
      <c r="I5240" s="109"/>
      <c r="J5240" s="109"/>
      <c r="L5240" s="109"/>
      <c r="M5240" s="109"/>
      <c r="N5240" s="109"/>
      <c r="Q5240" s="121"/>
      <c r="W5240" s="109"/>
    </row>
    <row r="5241" spans="1:23" ht="12.75" hidden="1">
      <c r="A5241" s="109"/>
      <c r="B5241" s="109"/>
      <c r="C5241" s="109"/>
      <c r="D5241" s="109"/>
      <c r="E5241" s="109"/>
      <c r="F5241" s="109"/>
      <c r="G5241" s="109"/>
      <c r="H5241" s="109"/>
      <c r="I5241" s="109"/>
      <c r="J5241" s="109"/>
      <c r="L5241" s="109"/>
      <c r="M5241" s="109"/>
      <c r="N5241" s="109"/>
      <c r="Q5241" s="121"/>
      <c r="W5241" s="109"/>
    </row>
    <row r="5242" spans="1:23" ht="12.75" hidden="1">
      <c r="A5242" s="109"/>
      <c r="B5242" s="109"/>
      <c r="C5242" s="109"/>
      <c r="D5242" s="109"/>
      <c r="E5242" s="109"/>
      <c r="F5242" s="109"/>
      <c r="G5242" s="109"/>
      <c r="H5242" s="109"/>
      <c r="I5242" s="109"/>
      <c r="J5242" s="109"/>
      <c r="L5242" s="109"/>
      <c r="M5242" s="109"/>
      <c r="N5242" s="109"/>
      <c r="Q5242" s="121"/>
      <c r="W5242" s="109"/>
    </row>
    <row r="5243" spans="1:23" ht="12.75" hidden="1">
      <c r="A5243" s="109"/>
      <c r="B5243" s="109"/>
      <c r="C5243" s="109"/>
      <c r="D5243" s="109"/>
      <c r="E5243" s="109"/>
      <c r="F5243" s="109"/>
      <c r="G5243" s="109"/>
      <c r="H5243" s="109"/>
      <c r="I5243" s="109"/>
      <c r="J5243" s="109"/>
      <c r="L5243" s="109"/>
      <c r="M5243" s="109"/>
      <c r="N5243" s="109"/>
      <c r="Q5243" s="121"/>
      <c r="W5243" s="109"/>
    </row>
    <row r="5244" spans="1:23" ht="12.75" hidden="1">
      <c r="A5244" s="109"/>
      <c r="B5244" s="109"/>
      <c r="C5244" s="109"/>
      <c r="D5244" s="109"/>
      <c r="E5244" s="109"/>
      <c r="F5244" s="109"/>
      <c r="G5244" s="109"/>
      <c r="H5244" s="109"/>
      <c r="I5244" s="109"/>
      <c r="J5244" s="109"/>
      <c r="L5244" s="109"/>
      <c r="M5244" s="109"/>
      <c r="N5244" s="109"/>
      <c r="Q5244" s="121"/>
      <c r="W5244" s="109"/>
    </row>
    <row r="5245" spans="1:23" ht="12.75" hidden="1">
      <c r="A5245" s="109"/>
      <c r="B5245" s="109"/>
      <c r="C5245" s="109"/>
      <c r="D5245" s="109"/>
      <c r="E5245" s="109"/>
      <c r="F5245" s="109"/>
      <c r="G5245" s="109"/>
      <c r="H5245" s="109"/>
      <c r="I5245" s="109"/>
      <c r="J5245" s="109"/>
      <c r="L5245" s="109"/>
      <c r="M5245" s="109"/>
      <c r="N5245" s="109"/>
      <c r="Q5245" s="121"/>
      <c r="W5245" s="109"/>
    </row>
    <row r="5246" spans="1:23" ht="12.75" hidden="1">
      <c r="A5246" s="109"/>
      <c r="B5246" s="109"/>
      <c r="C5246" s="109"/>
      <c r="D5246" s="109"/>
      <c r="E5246" s="109"/>
      <c r="F5246" s="109"/>
      <c r="G5246" s="109"/>
      <c r="H5246" s="109"/>
      <c r="I5246" s="109"/>
      <c r="J5246" s="109"/>
      <c r="L5246" s="109"/>
      <c r="M5246" s="109"/>
      <c r="N5246" s="109"/>
      <c r="Q5246" s="121"/>
      <c r="W5246" s="109"/>
    </row>
    <row r="5247" spans="1:23" ht="12.75" hidden="1">
      <c r="A5247" s="109"/>
      <c r="B5247" s="109"/>
      <c r="C5247" s="109"/>
      <c r="D5247" s="109"/>
      <c r="E5247" s="109"/>
      <c r="F5247" s="109"/>
      <c r="G5247" s="109"/>
      <c r="H5247" s="109"/>
      <c r="I5247" s="109"/>
      <c r="J5247" s="109"/>
      <c r="L5247" s="109"/>
      <c r="M5247" s="109"/>
      <c r="N5247" s="109"/>
      <c r="Q5247" s="121"/>
      <c r="W5247" s="109"/>
    </row>
    <row r="5248" spans="1:23" ht="12.75" hidden="1">
      <c r="A5248" s="109"/>
      <c r="B5248" s="109"/>
      <c r="C5248" s="109"/>
      <c r="D5248" s="109"/>
      <c r="E5248" s="109"/>
      <c r="F5248" s="109"/>
      <c r="G5248" s="109"/>
      <c r="H5248" s="109"/>
      <c r="I5248" s="109"/>
      <c r="J5248" s="109"/>
      <c r="L5248" s="109"/>
      <c r="M5248" s="109"/>
      <c r="N5248" s="109"/>
      <c r="Q5248" s="121"/>
      <c r="W5248" s="109"/>
    </row>
    <row r="5249" spans="1:23" ht="12.75" hidden="1">
      <c r="A5249" s="109"/>
      <c r="B5249" s="109"/>
      <c r="C5249" s="109"/>
      <c r="D5249" s="109"/>
      <c r="E5249" s="109"/>
      <c r="F5249" s="109"/>
      <c r="G5249" s="109"/>
      <c r="H5249" s="109"/>
      <c r="I5249" s="109"/>
      <c r="J5249" s="109"/>
      <c r="L5249" s="109"/>
      <c r="M5249" s="109"/>
      <c r="N5249" s="109"/>
      <c r="Q5249" s="121"/>
      <c r="W5249" s="109"/>
    </row>
    <row r="5250" spans="1:23" ht="12.75" hidden="1">
      <c r="A5250" s="109"/>
      <c r="B5250" s="109"/>
      <c r="C5250" s="109"/>
      <c r="D5250" s="109"/>
      <c r="E5250" s="109"/>
      <c r="F5250" s="109"/>
      <c r="G5250" s="109"/>
      <c r="H5250" s="109"/>
      <c r="I5250" s="109"/>
      <c r="J5250" s="109"/>
      <c r="L5250" s="109"/>
      <c r="M5250" s="109"/>
      <c r="N5250" s="109"/>
      <c r="Q5250" s="121"/>
      <c r="W5250" s="109"/>
    </row>
    <row r="5251" spans="1:23" ht="12.75" hidden="1">
      <c r="A5251" s="109"/>
      <c r="B5251" s="109"/>
      <c r="C5251" s="109"/>
      <c r="D5251" s="109"/>
      <c r="E5251" s="109"/>
      <c r="F5251" s="109"/>
      <c r="G5251" s="109"/>
      <c r="H5251" s="109"/>
      <c r="I5251" s="109"/>
      <c r="J5251" s="109"/>
      <c r="L5251" s="109"/>
      <c r="M5251" s="109"/>
      <c r="N5251" s="109"/>
      <c r="Q5251" s="121"/>
      <c r="W5251" s="109"/>
    </row>
    <row r="5252" spans="1:23" ht="12.75" hidden="1">
      <c r="A5252" s="109"/>
      <c r="B5252" s="109"/>
      <c r="C5252" s="109"/>
      <c r="D5252" s="109"/>
      <c r="E5252" s="109"/>
      <c r="F5252" s="109"/>
      <c r="G5252" s="109"/>
      <c r="H5252" s="109"/>
      <c r="I5252" s="109"/>
      <c r="J5252" s="109"/>
      <c r="L5252" s="109"/>
      <c r="M5252" s="109"/>
      <c r="N5252" s="109"/>
      <c r="Q5252" s="121"/>
      <c r="W5252" s="109"/>
    </row>
    <row r="5253" spans="1:23" ht="12.75" hidden="1">
      <c r="A5253" s="109"/>
      <c r="B5253" s="109"/>
      <c r="C5253" s="109"/>
      <c r="D5253" s="109"/>
      <c r="E5253" s="109"/>
      <c r="F5253" s="109"/>
      <c r="G5253" s="109"/>
      <c r="H5253" s="109"/>
      <c r="I5253" s="109"/>
      <c r="J5253" s="109"/>
      <c r="L5253" s="109"/>
      <c r="M5253" s="109"/>
      <c r="N5253" s="109"/>
      <c r="Q5253" s="121"/>
      <c r="W5253" s="109"/>
    </row>
    <row r="5254" spans="1:23" ht="12.75" hidden="1">
      <c r="A5254" s="109"/>
      <c r="B5254" s="109"/>
      <c r="C5254" s="109"/>
      <c r="D5254" s="109"/>
      <c r="E5254" s="109"/>
      <c r="F5254" s="109"/>
      <c r="G5254" s="109"/>
      <c r="H5254" s="109"/>
      <c r="I5254" s="109"/>
      <c r="J5254" s="109"/>
      <c r="L5254" s="109"/>
      <c r="M5254" s="109"/>
      <c r="N5254" s="109"/>
      <c r="Q5254" s="121"/>
      <c r="W5254" s="109"/>
    </row>
    <row r="5255" spans="1:23" ht="12.75" hidden="1">
      <c r="A5255" s="109"/>
      <c r="B5255" s="109"/>
      <c r="C5255" s="109"/>
      <c r="D5255" s="109"/>
      <c r="E5255" s="109"/>
      <c r="F5255" s="109"/>
      <c r="G5255" s="109"/>
      <c r="H5255" s="109"/>
      <c r="I5255" s="109"/>
      <c r="J5255" s="109"/>
      <c r="L5255" s="109"/>
      <c r="M5255" s="109"/>
      <c r="N5255" s="109"/>
      <c r="Q5255" s="121"/>
      <c r="W5255" s="109"/>
    </row>
    <row r="5256" spans="1:23" ht="12.75" hidden="1">
      <c r="A5256" s="109"/>
      <c r="B5256" s="109"/>
      <c r="C5256" s="109"/>
      <c r="D5256" s="109"/>
      <c r="E5256" s="109"/>
      <c r="F5256" s="109"/>
      <c r="G5256" s="109"/>
      <c r="H5256" s="109"/>
      <c r="I5256" s="109"/>
      <c r="J5256" s="109"/>
      <c r="L5256" s="109"/>
      <c r="M5256" s="109"/>
      <c r="N5256" s="109"/>
      <c r="Q5256" s="121"/>
      <c r="W5256" s="109"/>
    </row>
    <row r="5257" spans="1:23" ht="12.75" hidden="1">
      <c r="A5257" s="109"/>
      <c r="B5257" s="109"/>
      <c r="C5257" s="109"/>
      <c r="D5257" s="109"/>
      <c r="E5257" s="109"/>
      <c r="F5257" s="109"/>
      <c r="G5257" s="109"/>
      <c r="H5257" s="109"/>
      <c r="I5257" s="109"/>
      <c r="J5257" s="109"/>
      <c r="L5257" s="109"/>
      <c r="M5257" s="109"/>
      <c r="N5257" s="109"/>
      <c r="Q5257" s="121"/>
      <c r="W5257" s="109"/>
    </row>
    <row r="5258" spans="1:23" ht="12.75" hidden="1">
      <c r="A5258" s="109"/>
      <c r="B5258" s="109"/>
      <c r="C5258" s="109"/>
      <c r="D5258" s="109"/>
      <c r="E5258" s="109"/>
      <c r="F5258" s="109"/>
      <c r="G5258" s="109"/>
      <c r="H5258" s="109"/>
      <c r="I5258" s="109"/>
      <c r="J5258" s="109"/>
      <c r="L5258" s="109"/>
      <c r="M5258" s="109"/>
      <c r="N5258" s="109"/>
      <c r="Q5258" s="121"/>
      <c r="W5258" s="109"/>
    </row>
    <row r="5259" spans="1:23" ht="12.75" hidden="1">
      <c r="A5259" s="109"/>
      <c r="B5259" s="109"/>
      <c r="C5259" s="109"/>
      <c r="D5259" s="109"/>
      <c r="E5259" s="109"/>
      <c r="F5259" s="109"/>
      <c r="G5259" s="109"/>
      <c r="H5259" s="109"/>
      <c r="I5259" s="109"/>
      <c r="J5259" s="109"/>
      <c r="L5259" s="109"/>
      <c r="M5259" s="109"/>
      <c r="N5259" s="109"/>
      <c r="Q5259" s="121"/>
      <c r="W5259" s="109"/>
    </row>
    <row r="5260" spans="1:23" ht="12.75" hidden="1">
      <c r="A5260" s="109"/>
      <c r="B5260" s="109"/>
      <c r="C5260" s="109"/>
      <c r="D5260" s="109"/>
      <c r="E5260" s="109"/>
      <c r="F5260" s="109"/>
      <c r="G5260" s="109"/>
      <c r="H5260" s="109"/>
      <c r="I5260" s="109"/>
      <c r="J5260" s="109"/>
      <c r="L5260" s="109"/>
      <c r="M5260" s="109"/>
      <c r="N5260" s="109"/>
      <c r="Q5260" s="121"/>
      <c r="W5260" s="109"/>
    </row>
    <row r="5261" spans="1:23" ht="12.75" hidden="1">
      <c r="A5261" s="109"/>
      <c r="B5261" s="109"/>
      <c r="C5261" s="109"/>
      <c r="D5261" s="109"/>
      <c r="E5261" s="109"/>
      <c r="F5261" s="109"/>
      <c r="G5261" s="109"/>
      <c r="H5261" s="109"/>
      <c r="I5261" s="109"/>
      <c r="J5261" s="109"/>
      <c r="L5261" s="109"/>
      <c r="M5261" s="109"/>
      <c r="N5261" s="109"/>
      <c r="Q5261" s="121"/>
      <c r="W5261" s="109"/>
    </row>
    <row r="5262" spans="1:23" ht="12.75" hidden="1">
      <c r="A5262" s="109"/>
      <c r="B5262" s="109"/>
      <c r="C5262" s="109"/>
      <c r="D5262" s="109"/>
      <c r="E5262" s="109"/>
      <c r="F5262" s="109"/>
      <c r="G5262" s="109"/>
      <c r="H5262" s="109"/>
      <c r="I5262" s="109"/>
      <c r="J5262" s="109"/>
      <c r="L5262" s="109"/>
      <c r="M5262" s="109"/>
      <c r="N5262" s="109"/>
      <c r="Q5262" s="121"/>
      <c r="W5262" s="109"/>
    </row>
    <row r="5263" spans="1:23" ht="12.75" hidden="1">
      <c r="A5263" s="109"/>
      <c r="B5263" s="109"/>
      <c r="C5263" s="109"/>
      <c r="D5263" s="109"/>
      <c r="E5263" s="109"/>
      <c r="F5263" s="109"/>
      <c r="G5263" s="109"/>
      <c r="H5263" s="109"/>
      <c r="I5263" s="109"/>
      <c r="J5263" s="109"/>
      <c r="L5263" s="109"/>
      <c r="M5263" s="109"/>
      <c r="N5263" s="109"/>
      <c r="Q5263" s="121"/>
      <c r="W5263" s="109"/>
    </row>
    <row r="5264" spans="1:23" ht="12.75" hidden="1">
      <c r="A5264" s="109"/>
      <c r="B5264" s="109"/>
      <c r="C5264" s="109"/>
      <c r="D5264" s="109"/>
      <c r="E5264" s="109"/>
      <c r="F5264" s="109"/>
      <c r="G5264" s="109"/>
      <c r="H5264" s="109"/>
      <c r="I5264" s="109"/>
      <c r="J5264" s="109"/>
      <c r="L5264" s="109"/>
      <c r="M5264" s="109"/>
      <c r="N5264" s="109"/>
      <c r="Q5264" s="121"/>
      <c r="W5264" s="109"/>
    </row>
    <row r="5265" spans="1:23" ht="12.75" hidden="1">
      <c r="A5265" s="109"/>
      <c r="B5265" s="109"/>
      <c r="C5265" s="109"/>
      <c r="D5265" s="109"/>
      <c r="E5265" s="109"/>
      <c r="F5265" s="109"/>
      <c r="G5265" s="109"/>
      <c r="H5265" s="109"/>
      <c r="I5265" s="109"/>
      <c r="J5265" s="109"/>
      <c r="L5265" s="109"/>
      <c r="M5265" s="109"/>
      <c r="N5265" s="109"/>
      <c r="Q5265" s="121"/>
      <c r="W5265" s="109"/>
    </row>
    <row r="5266" spans="1:23" ht="12.75" hidden="1">
      <c r="A5266" s="109"/>
      <c r="B5266" s="109"/>
      <c r="C5266" s="109"/>
      <c r="D5266" s="109"/>
      <c r="E5266" s="109"/>
      <c r="F5266" s="109"/>
      <c r="G5266" s="109"/>
      <c r="H5266" s="109"/>
      <c r="I5266" s="109"/>
      <c r="J5266" s="109"/>
      <c r="L5266" s="109"/>
      <c r="M5266" s="109"/>
      <c r="N5266" s="109"/>
      <c r="Q5266" s="121"/>
      <c r="W5266" s="109"/>
    </row>
    <row r="5267" spans="1:23" ht="12.75" hidden="1">
      <c r="A5267" s="109"/>
      <c r="B5267" s="109"/>
      <c r="C5267" s="109"/>
      <c r="D5267" s="109"/>
      <c r="E5267" s="109"/>
      <c r="F5267" s="109"/>
      <c r="G5267" s="109"/>
      <c r="H5267" s="109"/>
      <c r="I5267" s="109"/>
      <c r="J5267" s="109"/>
      <c r="L5267" s="109"/>
      <c r="M5267" s="109"/>
      <c r="N5267" s="109"/>
      <c r="Q5267" s="121"/>
      <c r="W5267" s="109"/>
    </row>
    <row r="5268" spans="1:23" ht="12.75" hidden="1">
      <c r="A5268" s="109"/>
      <c r="B5268" s="109"/>
      <c r="C5268" s="109"/>
      <c r="D5268" s="109"/>
      <c r="E5268" s="109"/>
      <c r="F5268" s="109"/>
      <c r="G5268" s="109"/>
      <c r="H5268" s="109"/>
      <c r="I5268" s="109"/>
      <c r="J5268" s="109"/>
      <c r="L5268" s="109"/>
      <c r="M5268" s="109"/>
      <c r="N5268" s="109"/>
      <c r="Q5268" s="121"/>
      <c r="W5268" s="109"/>
    </row>
    <row r="5269" spans="1:23" ht="12.75" hidden="1">
      <c r="A5269" s="109"/>
      <c r="B5269" s="109"/>
      <c r="C5269" s="109"/>
      <c r="D5269" s="109"/>
      <c r="E5269" s="109"/>
      <c r="F5269" s="109"/>
      <c r="G5269" s="109"/>
      <c r="H5269" s="109"/>
      <c r="I5269" s="109"/>
      <c r="J5269" s="109"/>
      <c r="L5269" s="109"/>
      <c r="M5269" s="109"/>
      <c r="N5269" s="109"/>
      <c r="Q5269" s="121"/>
      <c r="W5269" s="109"/>
    </row>
    <row r="5270" spans="1:23" ht="12.75" hidden="1">
      <c r="A5270" s="109"/>
      <c r="B5270" s="109"/>
      <c r="C5270" s="109"/>
      <c r="D5270" s="109"/>
      <c r="E5270" s="109"/>
      <c r="F5270" s="109"/>
      <c r="G5270" s="109"/>
      <c r="H5270" s="109"/>
      <c r="I5270" s="109"/>
      <c r="J5270" s="109"/>
      <c r="L5270" s="109"/>
      <c r="M5270" s="109"/>
      <c r="N5270" s="109"/>
      <c r="Q5270" s="121"/>
      <c r="W5270" s="109"/>
    </row>
    <row r="5271" spans="1:23" ht="12.75" hidden="1">
      <c r="A5271" s="109"/>
      <c r="B5271" s="109"/>
      <c r="C5271" s="109"/>
      <c r="D5271" s="109"/>
      <c r="E5271" s="109"/>
      <c r="F5271" s="109"/>
      <c r="G5271" s="109"/>
      <c r="H5271" s="109"/>
      <c r="I5271" s="109"/>
      <c r="J5271" s="109"/>
      <c r="L5271" s="109"/>
      <c r="M5271" s="109"/>
      <c r="N5271" s="109"/>
      <c r="Q5271" s="121"/>
      <c r="W5271" s="109"/>
    </row>
    <row r="5272" spans="1:23" ht="12.75" hidden="1">
      <c r="A5272" s="109"/>
      <c r="B5272" s="109"/>
      <c r="C5272" s="109"/>
      <c r="D5272" s="109"/>
      <c r="E5272" s="109"/>
      <c r="F5272" s="109"/>
      <c r="G5272" s="109"/>
      <c r="H5272" s="109"/>
      <c r="I5272" s="109"/>
      <c r="J5272" s="109"/>
      <c r="L5272" s="109"/>
      <c r="M5272" s="109"/>
      <c r="N5272" s="109"/>
      <c r="Q5272" s="121"/>
      <c r="W5272" s="109"/>
    </row>
    <row r="5273" spans="1:23" ht="12.75" hidden="1">
      <c r="A5273" s="109"/>
      <c r="B5273" s="109"/>
      <c r="C5273" s="109"/>
      <c r="D5273" s="109"/>
      <c r="E5273" s="109"/>
      <c r="F5273" s="109"/>
      <c r="G5273" s="109"/>
      <c r="H5273" s="109"/>
      <c r="I5273" s="109"/>
      <c r="J5273" s="109"/>
      <c r="L5273" s="109"/>
      <c r="M5273" s="109"/>
      <c r="N5273" s="109"/>
      <c r="Q5273" s="121"/>
      <c r="W5273" s="109"/>
    </row>
    <row r="5274" spans="1:23" ht="12.75" hidden="1">
      <c r="A5274" s="109"/>
      <c r="B5274" s="109"/>
      <c r="C5274" s="109"/>
      <c r="D5274" s="109"/>
      <c r="E5274" s="109"/>
      <c r="F5274" s="109"/>
      <c r="G5274" s="109"/>
      <c r="H5274" s="109"/>
      <c r="I5274" s="109"/>
      <c r="J5274" s="109"/>
      <c r="L5274" s="109"/>
      <c r="M5274" s="109"/>
      <c r="N5274" s="109"/>
      <c r="Q5274" s="121"/>
      <c r="W5274" s="109"/>
    </row>
    <row r="5275" spans="1:23" ht="12.75" hidden="1">
      <c r="A5275" s="109"/>
      <c r="B5275" s="109"/>
      <c r="C5275" s="109"/>
      <c r="D5275" s="109"/>
      <c r="E5275" s="109"/>
      <c r="F5275" s="109"/>
      <c r="G5275" s="109"/>
      <c r="H5275" s="109"/>
      <c r="I5275" s="109"/>
      <c r="J5275" s="109"/>
      <c r="L5275" s="109"/>
      <c r="M5275" s="109"/>
      <c r="N5275" s="109"/>
      <c r="Q5275" s="121"/>
      <c r="W5275" s="109"/>
    </row>
    <row r="5276" spans="1:23" ht="12.75" hidden="1">
      <c r="A5276" s="109"/>
      <c r="B5276" s="109"/>
      <c r="C5276" s="109"/>
      <c r="D5276" s="109"/>
      <c r="E5276" s="109"/>
      <c r="F5276" s="109"/>
      <c r="G5276" s="109"/>
      <c r="H5276" s="109"/>
      <c r="I5276" s="109"/>
      <c r="J5276" s="109"/>
      <c r="L5276" s="109"/>
      <c r="M5276" s="109"/>
      <c r="N5276" s="109"/>
      <c r="Q5276" s="121"/>
      <c r="W5276" s="109"/>
    </row>
    <row r="5277" spans="1:23" ht="12.75" hidden="1">
      <c r="A5277" s="109"/>
      <c r="B5277" s="109"/>
      <c r="C5277" s="109"/>
      <c r="D5277" s="109"/>
      <c r="E5277" s="109"/>
      <c r="F5277" s="109"/>
      <c r="G5277" s="109"/>
      <c r="H5277" s="109"/>
      <c r="I5277" s="109"/>
      <c r="J5277" s="109"/>
      <c r="L5277" s="109"/>
      <c r="M5277" s="109"/>
      <c r="N5277" s="109"/>
      <c r="Q5277" s="121"/>
      <c r="W5277" s="109"/>
    </row>
    <row r="5278" spans="1:23" ht="12.75" hidden="1">
      <c r="A5278" s="109"/>
      <c r="B5278" s="109"/>
      <c r="C5278" s="109"/>
      <c r="D5278" s="109"/>
      <c r="E5278" s="109"/>
      <c r="F5278" s="109"/>
      <c r="G5278" s="109"/>
      <c r="H5278" s="109"/>
      <c r="I5278" s="109"/>
      <c r="J5278" s="109"/>
      <c r="L5278" s="109"/>
      <c r="M5278" s="109"/>
      <c r="N5278" s="109"/>
      <c r="Q5278" s="121"/>
      <c r="W5278" s="109"/>
    </row>
    <row r="5279" spans="1:23" ht="12.75" hidden="1">
      <c r="A5279" s="109"/>
      <c r="B5279" s="109"/>
      <c r="C5279" s="109"/>
      <c r="D5279" s="109"/>
      <c r="E5279" s="109"/>
      <c r="F5279" s="109"/>
      <c r="G5279" s="109"/>
      <c r="H5279" s="109"/>
      <c r="I5279" s="109"/>
      <c r="J5279" s="109"/>
      <c r="L5279" s="109"/>
      <c r="M5279" s="109"/>
      <c r="N5279" s="109"/>
      <c r="Q5279" s="121"/>
      <c r="W5279" s="109"/>
    </row>
    <row r="5280" spans="1:23" ht="12.75" hidden="1">
      <c r="A5280" s="109"/>
      <c r="B5280" s="109"/>
      <c r="C5280" s="109"/>
      <c r="D5280" s="109"/>
      <c r="E5280" s="109"/>
      <c r="F5280" s="109"/>
      <c r="G5280" s="109"/>
      <c r="H5280" s="109"/>
      <c r="I5280" s="109"/>
      <c r="J5280" s="109"/>
      <c r="L5280" s="109"/>
      <c r="M5280" s="109"/>
      <c r="N5280" s="109"/>
      <c r="Q5280" s="121"/>
      <c r="W5280" s="109"/>
    </row>
    <row r="5281" spans="1:23" ht="12.75" hidden="1">
      <c r="A5281" s="109"/>
      <c r="B5281" s="109"/>
      <c r="C5281" s="109"/>
      <c r="D5281" s="109"/>
      <c r="E5281" s="109"/>
      <c r="F5281" s="109"/>
      <c r="G5281" s="109"/>
      <c r="H5281" s="109"/>
      <c r="I5281" s="109"/>
      <c r="J5281" s="109"/>
      <c r="L5281" s="109"/>
      <c r="M5281" s="109"/>
      <c r="N5281" s="109"/>
      <c r="Q5281" s="121"/>
      <c r="W5281" s="109"/>
    </row>
    <row r="5282" spans="1:23" ht="12.75" hidden="1">
      <c r="A5282" s="109"/>
      <c r="B5282" s="109"/>
      <c r="C5282" s="109"/>
      <c r="D5282" s="109"/>
      <c r="E5282" s="109"/>
      <c r="F5282" s="109"/>
      <c r="G5282" s="109"/>
      <c r="H5282" s="109"/>
      <c r="I5282" s="109"/>
      <c r="J5282" s="109"/>
      <c r="L5282" s="109"/>
      <c r="M5282" s="109"/>
      <c r="N5282" s="109"/>
      <c r="Q5282" s="121"/>
      <c r="W5282" s="109"/>
    </row>
    <row r="5283" spans="1:23" ht="12.75" hidden="1">
      <c r="A5283" s="109"/>
      <c r="B5283" s="109"/>
      <c r="C5283" s="109"/>
      <c r="D5283" s="109"/>
      <c r="E5283" s="109"/>
      <c r="F5283" s="109"/>
      <c r="G5283" s="109"/>
      <c r="H5283" s="109"/>
      <c r="I5283" s="109"/>
      <c r="J5283" s="109"/>
      <c r="L5283" s="109"/>
      <c r="M5283" s="109"/>
      <c r="N5283" s="109"/>
      <c r="Q5283" s="121"/>
      <c r="W5283" s="109"/>
    </row>
    <row r="5284" spans="1:23" ht="12.75" hidden="1">
      <c r="A5284" s="109"/>
      <c r="B5284" s="109"/>
      <c r="C5284" s="109"/>
      <c r="D5284" s="109"/>
      <c r="E5284" s="109"/>
      <c r="F5284" s="109"/>
      <c r="G5284" s="109"/>
      <c r="H5284" s="109"/>
      <c r="I5284" s="109"/>
      <c r="J5284" s="109"/>
      <c r="L5284" s="109"/>
      <c r="M5284" s="109"/>
      <c r="N5284" s="109"/>
      <c r="Q5284" s="121"/>
      <c r="W5284" s="109"/>
    </row>
    <row r="5285" spans="1:23" ht="12.75" hidden="1">
      <c r="A5285" s="109"/>
      <c r="B5285" s="109"/>
      <c r="C5285" s="109"/>
      <c r="D5285" s="109"/>
      <c r="E5285" s="109"/>
      <c r="F5285" s="109"/>
      <c r="G5285" s="109"/>
      <c r="H5285" s="109"/>
      <c r="I5285" s="109"/>
      <c r="J5285" s="109"/>
      <c r="L5285" s="109"/>
      <c r="M5285" s="109"/>
      <c r="N5285" s="109"/>
      <c r="Q5285" s="121"/>
      <c r="W5285" s="109"/>
    </row>
    <row r="5286" spans="1:23" ht="12.75" hidden="1">
      <c r="A5286" s="109"/>
      <c r="B5286" s="109"/>
      <c r="C5286" s="109"/>
      <c r="D5286" s="109"/>
      <c r="E5286" s="109"/>
      <c r="F5286" s="109"/>
      <c r="G5286" s="109"/>
      <c r="H5286" s="109"/>
      <c r="I5286" s="109"/>
      <c r="J5286" s="109"/>
      <c r="L5286" s="109"/>
      <c r="M5286" s="109"/>
      <c r="N5286" s="109"/>
      <c r="Q5286" s="121"/>
      <c r="W5286" s="109"/>
    </row>
    <row r="5287" spans="1:23" ht="12.75" hidden="1">
      <c r="A5287" s="109"/>
      <c r="B5287" s="109"/>
      <c r="C5287" s="109"/>
      <c r="D5287" s="109"/>
      <c r="E5287" s="109"/>
      <c r="F5287" s="109"/>
      <c r="G5287" s="109"/>
      <c r="H5287" s="109"/>
      <c r="I5287" s="109"/>
      <c r="J5287" s="109"/>
      <c r="L5287" s="109"/>
      <c r="M5287" s="109"/>
      <c r="N5287" s="109"/>
      <c r="Q5287" s="121"/>
      <c r="W5287" s="109"/>
    </row>
    <row r="5288" spans="1:23" ht="12.75" hidden="1">
      <c r="A5288" s="109"/>
      <c r="B5288" s="109"/>
      <c r="C5288" s="109"/>
      <c r="D5288" s="109"/>
      <c r="E5288" s="109"/>
      <c r="F5288" s="109"/>
      <c r="G5288" s="109"/>
      <c r="H5288" s="109"/>
      <c r="I5288" s="109"/>
      <c r="J5288" s="109"/>
      <c r="L5288" s="109"/>
      <c r="M5288" s="109"/>
      <c r="N5288" s="109"/>
      <c r="Q5288" s="121"/>
      <c r="W5288" s="109"/>
    </row>
    <row r="5289" spans="1:23" ht="12.75" hidden="1">
      <c r="A5289" s="109"/>
      <c r="B5289" s="109"/>
      <c r="C5289" s="109"/>
      <c r="D5289" s="109"/>
      <c r="E5289" s="109"/>
      <c r="F5289" s="109"/>
      <c r="G5289" s="109"/>
      <c r="H5289" s="109"/>
      <c r="I5289" s="109"/>
      <c r="J5289" s="109"/>
      <c r="L5289" s="109"/>
      <c r="M5289" s="109"/>
      <c r="N5289" s="109"/>
      <c r="Q5289" s="121"/>
      <c r="W5289" s="109"/>
    </row>
    <row r="5290" spans="1:23" ht="12.75" hidden="1">
      <c r="A5290" s="109"/>
      <c r="B5290" s="109"/>
      <c r="C5290" s="109"/>
      <c r="D5290" s="109"/>
      <c r="E5290" s="109"/>
      <c r="F5290" s="109"/>
      <c r="G5290" s="109"/>
      <c r="H5290" s="109"/>
      <c r="I5290" s="109"/>
      <c r="J5290" s="109"/>
      <c r="L5290" s="109"/>
      <c r="M5290" s="109"/>
      <c r="N5290" s="109"/>
      <c r="Q5290" s="121"/>
      <c r="W5290" s="109"/>
    </row>
    <row r="5291" spans="1:23" ht="12.75" hidden="1">
      <c r="A5291" s="109"/>
      <c r="B5291" s="109"/>
      <c r="C5291" s="109"/>
      <c r="D5291" s="109"/>
      <c r="E5291" s="109"/>
      <c r="F5291" s="109"/>
      <c r="G5291" s="109"/>
      <c r="H5291" s="109"/>
      <c r="I5291" s="109"/>
      <c r="J5291" s="109"/>
      <c r="L5291" s="109"/>
      <c r="M5291" s="109"/>
      <c r="N5291" s="109"/>
      <c r="Q5291" s="121"/>
      <c r="W5291" s="109"/>
    </row>
    <row r="5292" spans="1:23" ht="12.75" hidden="1">
      <c r="A5292" s="109"/>
      <c r="B5292" s="109"/>
      <c r="C5292" s="109"/>
      <c r="D5292" s="109"/>
      <c r="E5292" s="109"/>
      <c r="F5292" s="109"/>
      <c r="G5292" s="109"/>
      <c r="H5292" s="109"/>
      <c r="I5292" s="109"/>
      <c r="J5292" s="109"/>
      <c r="L5292" s="109"/>
      <c r="M5292" s="109"/>
      <c r="N5292" s="109"/>
      <c r="Q5292" s="121"/>
      <c r="W5292" s="109"/>
    </row>
    <row r="5293" spans="1:23" ht="12.75" hidden="1">
      <c r="A5293" s="109"/>
      <c r="B5293" s="109"/>
      <c r="C5293" s="109"/>
      <c r="D5293" s="109"/>
      <c r="E5293" s="109"/>
      <c r="F5293" s="109"/>
      <c r="G5293" s="109"/>
      <c r="H5293" s="109"/>
      <c r="I5293" s="109"/>
      <c r="J5293" s="109"/>
      <c r="L5293" s="109"/>
      <c r="M5293" s="109"/>
      <c r="N5293" s="109"/>
      <c r="Q5293" s="121"/>
      <c r="W5293" s="109"/>
    </row>
    <row r="5294" spans="1:23" ht="12.75" hidden="1">
      <c r="A5294" s="109"/>
      <c r="B5294" s="109"/>
      <c r="C5294" s="109"/>
      <c r="D5294" s="109"/>
      <c r="E5294" s="109"/>
      <c r="F5294" s="109"/>
      <c r="G5294" s="109"/>
      <c r="H5294" s="109"/>
      <c r="I5294" s="109"/>
      <c r="J5294" s="109"/>
      <c r="L5294" s="109"/>
      <c r="M5294" s="109"/>
      <c r="N5294" s="109"/>
      <c r="Q5294" s="121"/>
      <c r="W5294" s="109"/>
    </row>
    <row r="5295" spans="1:23" ht="12.75" hidden="1">
      <c r="A5295" s="109"/>
      <c r="B5295" s="109"/>
      <c r="C5295" s="109"/>
      <c r="D5295" s="109"/>
      <c r="E5295" s="109"/>
      <c r="F5295" s="109"/>
      <c r="G5295" s="109"/>
      <c r="H5295" s="109"/>
      <c r="I5295" s="109"/>
      <c r="J5295" s="109"/>
      <c r="L5295" s="109"/>
      <c r="M5295" s="109"/>
      <c r="N5295" s="109"/>
      <c r="Q5295" s="121"/>
      <c r="W5295" s="109"/>
    </row>
    <row r="5296" spans="1:23" ht="12.75" hidden="1">
      <c r="A5296" s="109"/>
      <c r="B5296" s="109"/>
      <c r="C5296" s="109"/>
      <c r="D5296" s="109"/>
      <c r="E5296" s="109"/>
      <c r="F5296" s="109"/>
      <c r="G5296" s="109"/>
      <c r="H5296" s="109"/>
      <c r="I5296" s="109"/>
      <c r="J5296" s="109"/>
      <c r="L5296" s="109"/>
      <c r="M5296" s="109"/>
      <c r="N5296" s="109"/>
      <c r="Q5296" s="121"/>
      <c r="W5296" s="109"/>
    </row>
    <row r="5297" spans="1:23" ht="12.75" hidden="1">
      <c r="A5297" s="109"/>
      <c r="B5297" s="109"/>
      <c r="C5297" s="109"/>
      <c r="D5297" s="109"/>
      <c r="E5297" s="109"/>
      <c r="F5297" s="109"/>
      <c r="G5297" s="109"/>
      <c r="H5297" s="109"/>
      <c r="I5297" s="109"/>
      <c r="J5297" s="109"/>
      <c r="L5297" s="109"/>
      <c r="M5297" s="109"/>
      <c r="N5297" s="109"/>
      <c r="Q5297" s="121"/>
      <c r="W5297" s="109"/>
    </row>
    <row r="5298" spans="1:23" ht="12.75" hidden="1">
      <c r="A5298" s="109"/>
      <c r="B5298" s="109"/>
      <c r="C5298" s="109"/>
      <c r="D5298" s="109"/>
      <c r="E5298" s="109"/>
      <c r="F5298" s="109"/>
      <c r="G5298" s="109"/>
      <c r="H5298" s="109"/>
      <c r="I5298" s="109"/>
      <c r="J5298" s="109"/>
      <c r="L5298" s="109"/>
      <c r="M5298" s="109"/>
      <c r="N5298" s="109"/>
      <c r="Q5298" s="121"/>
      <c r="W5298" s="109"/>
    </row>
    <row r="5299" spans="1:23" ht="12.75" hidden="1">
      <c r="A5299" s="109"/>
      <c r="B5299" s="109"/>
      <c r="C5299" s="109"/>
      <c r="D5299" s="109"/>
      <c r="E5299" s="109"/>
      <c r="F5299" s="109"/>
      <c r="G5299" s="109"/>
      <c r="H5299" s="109"/>
      <c r="I5299" s="109"/>
      <c r="J5299" s="109"/>
      <c r="L5299" s="109"/>
      <c r="M5299" s="109"/>
      <c r="N5299" s="109"/>
      <c r="Q5299" s="121"/>
      <c r="W5299" s="109"/>
    </row>
    <row r="5300" spans="1:23" ht="12.75" hidden="1">
      <c r="A5300" s="109"/>
      <c r="B5300" s="109"/>
      <c r="C5300" s="109"/>
      <c r="D5300" s="109"/>
      <c r="E5300" s="109"/>
      <c r="F5300" s="109"/>
      <c r="G5300" s="109"/>
      <c r="H5300" s="109"/>
      <c r="I5300" s="109"/>
      <c r="J5300" s="109"/>
      <c r="L5300" s="109"/>
      <c r="M5300" s="109"/>
      <c r="N5300" s="109"/>
      <c r="Q5300" s="121"/>
      <c r="W5300" s="109"/>
    </row>
    <row r="5301" spans="1:23" ht="12.75" hidden="1">
      <c r="A5301" s="109"/>
      <c r="B5301" s="109"/>
      <c r="C5301" s="109"/>
      <c r="D5301" s="109"/>
      <c r="E5301" s="109"/>
      <c r="F5301" s="109"/>
      <c r="G5301" s="109"/>
      <c r="H5301" s="109"/>
      <c r="I5301" s="109"/>
      <c r="J5301" s="109"/>
      <c r="L5301" s="109"/>
      <c r="M5301" s="109"/>
      <c r="N5301" s="109"/>
      <c r="Q5301" s="121"/>
      <c r="W5301" s="109"/>
    </row>
    <row r="5302" spans="1:23" ht="12.75" hidden="1">
      <c r="A5302" s="109"/>
      <c r="B5302" s="109"/>
      <c r="C5302" s="109"/>
      <c r="D5302" s="109"/>
      <c r="E5302" s="109"/>
      <c r="F5302" s="109"/>
      <c r="G5302" s="109"/>
      <c r="H5302" s="109"/>
      <c r="I5302" s="109"/>
      <c r="J5302" s="109"/>
      <c r="L5302" s="109"/>
      <c r="M5302" s="109"/>
      <c r="N5302" s="109"/>
      <c r="Q5302" s="121"/>
      <c r="W5302" s="109"/>
    </row>
    <row r="5303" spans="1:23" ht="12.75" hidden="1">
      <c r="A5303" s="109"/>
      <c r="B5303" s="109"/>
      <c r="C5303" s="109"/>
      <c r="D5303" s="109"/>
      <c r="E5303" s="109"/>
      <c r="F5303" s="109"/>
      <c r="G5303" s="109"/>
      <c r="H5303" s="109"/>
      <c r="I5303" s="109"/>
      <c r="J5303" s="109"/>
      <c r="L5303" s="109"/>
      <c r="M5303" s="109"/>
      <c r="N5303" s="109"/>
      <c r="Q5303" s="121"/>
      <c r="W5303" s="109"/>
    </row>
    <row r="5304" spans="1:23" ht="12.75" hidden="1">
      <c r="A5304" s="109"/>
      <c r="B5304" s="109"/>
      <c r="C5304" s="109"/>
      <c r="D5304" s="109"/>
      <c r="E5304" s="109"/>
      <c r="F5304" s="109"/>
      <c r="G5304" s="109"/>
      <c r="H5304" s="109"/>
      <c r="I5304" s="109"/>
      <c r="J5304" s="109"/>
      <c r="L5304" s="109"/>
      <c r="M5304" s="109"/>
      <c r="N5304" s="109"/>
      <c r="Q5304" s="121"/>
      <c r="W5304" s="109"/>
    </row>
    <row r="5305" spans="1:23" ht="12.75" hidden="1">
      <c r="A5305" s="109"/>
      <c r="B5305" s="109"/>
      <c r="C5305" s="109"/>
      <c r="D5305" s="109"/>
      <c r="E5305" s="109"/>
      <c r="F5305" s="109"/>
      <c r="G5305" s="109"/>
      <c r="H5305" s="109"/>
      <c r="I5305" s="109"/>
      <c r="J5305" s="109"/>
      <c r="L5305" s="109"/>
      <c r="M5305" s="109"/>
      <c r="N5305" s="109"/>
      <c r="Q5305" s="121"/>
      <c r="W5305" s="109"/>
    </row>
    <row r="5306" spans="1:23" ht="12.75" hidden="1">
      <c r="A5306" s="109"/>
      <c r="B5306" s="109"/>
      <c r="C5306" s="109"/>
      <c r="D5306" s="109"/>
      <c r="E5306" s="109"/>
      <c r="F5306" s="109"/>
      <c r="G5306" s="109"/>
      <c r="H5306" s="109"/>
      <c r="I5306" s="109"/>
      <c r="J5306" s="109"/>
      <c r="L5306" s="109"/>
      <c r="M5306" s="109"/>
      <c r="N5306" s="109"/>
      <c r="Q5306" s="121"/>
      <c r="W5306" s="109"/>
    </row>
    <row r="5307" spans="1:23" ht="12.75" hidden="1">
      <c r="A5307" s="109"/>
      <c r="B5307" s="109"/>
      <c r="C5307" s="109"/>
      <c r="D5307" s="109"/>
      <c r="E5307" s="109"/>
      <c r="F5307" s="109"/>
      <c r="G5307" s="109"/>
      <c r="H5307" s="109"/>
      <c r="I5307" s="109"/>
      <c r="J5307" s="109"/>
      <c r="L5307" s="109"/>
      <c r="M5307" s="109"/>
      <c r="N5307" s="109"/>
      <c r="Q5307" s="121"/>
      <c r="W5307" s="109"/>
    </row>
    <row r="5308" spans="1:23" ht="12.75" hidden="1">
      <c r="A5308" s="109"/>
      <c r="B5308" s="109"/>
      <c r="C5308" s="109"/>
      <c r="D5308" s="109"/>
      <c r="E5308" s="109"/>
      <c r="F5308" s="109"/>
      <c r="G5308" s="109"/>
      <c r="H5308" s="109"/>
      <c r="I5308" s="109"/>
      <c r="J5308" s="109"/>
      <c r="L5308" s="109"/>
      <c r="M5308" s="109"/>
      <c r="N5308" s="109"/>
      <c r="Q5308" s="121"/>
      <c r="W5308" s="109"/>
    </row>
    <row r="5309" spans="1:23" ht="12.75" hidden="1">
      <c r="A5309" s="109"/>
      <c r="B5309" s="109"/>
      <c r="C5309" s="109"/>
      <c r="D5309" s="109"/>
      <c r="E5309" s="109"/>
      <c r="F5309" s="109"/>
      <c r="G5309" s="109"/>
      <c r="H5309" s="109"/>
      <c r="I5309" s="109"/>
      <c r="J5309" s="109"/>
      <c r="L5309" s="109"/>
      <c r="M5309" s="109"/>
      <c r="N5309" s="109"/>
      <c r="Q5309" s="121"/>
      <c r="W5309" s="109"/>
    </row>
    <row r="5310" spans="1:23" ht="12.75" hidden="1">
      <c r="A5310" s="109"/>
      <c r="B5310" s="109"/>
      <c r="C5310" s="109"/>
      <c r="D5310" s="109"/>
      <c r="E5310" s="109"/>
      <c r="F5310" s="109"/>
      <c r="G5310" s="109"/>
      <c r="H5310" s="109"/>
      <c r="I5310" s="109"/>
      <c r="J5310" s="109"/>
      <c r="L5310" s="109"/>
      <c r="M5310" s="109"/>
      <c r="N5310" s="109"/>
      <c r="Q5310" s="121"/>
      <c r="W5310" s="109"/>
    </row>
    <row r="5311" spans="1:23" ht="12.75" hidden="1">
      <c r="A5311" s="109"/>
      <c r="B5311" s="109"/>
      <c r="C5311" s="109"/>
      <c r="D5311" s="109"/>
      <c r="E5311" s="109"/>
      <c r="F5311" s="109"/>
      <c r="G5311" s="109"/>
      <c r="H5311" s="109"/>
      <c r="I5311" s="109"/>
      <c r="J5311" s="109"/>
      <c r="L5311" s="109"/>
      <c r="M5311" s="109"/>
      <c r="N5311" s="109"/>
      <c r="Q5311" s="121"/>
      <c r="W5311" s="109"/>
    </row>
    <row r="5312" spans="1:23" ht="12.75" hidden="1">
      <c r="A5312" s="109"/>
      <c r="B5312" s="109"/>
      <c r="C5312" s="109"/>
      <c r="D5312" s="109"/>
      <c r="E5312" s="109"/>
      <c r="F5312" s="109"/>
      <c r="G5312" s="109"/>
      <c r="H5312" s="109"/>
      <c r="I5312" s="109"/>
      <c r="J5312" s="109"/>
      <c r="L5312" s="109"/>
      <c r="M5312" s="109"/>
      <c r="N5312" s="109"/>
      <c r="Q5312" s="121"/>
      <c r="W5312" s="109"/>
    </row>
    <row r="5313" spans="1:23" ht="12.75" hidden="1">
      <c r="A5313" s="109"/>
      <c r="B5313" s="109"/>
      <c r="C5313" s="109"/>
      <c r="D5313" s="109"/>
      <c r="E5313" s="109"/>
      <c r="F5313" s="109"/>
      <c r="G5313" s="109"/>
      <c r="H5313" s="109"/>
      <c r="I5313" s="109"/>
      <c r="J5313" s="109"/>
      <c r="L5313" s="109"/>
      <c r="M5313" s="109"/>
      <c r="N5313" s="109"/>
      <c r="Q5313" s="121"/>
      <c r="W5313" s="109"/>
    </row>
    <row r="5314" spans="1:23" ht="12.75" hidden="1">
      <c r="A5314" s="109"/>
      <c r="B5314" s="109"/>
      <c r="C5314" s="109"/>
      <c r="D5314" s="109"/>
      <c r="E5314" s="109"/>
      <c r="F5314" s="109"/>
      <c r="G5314" s="109"/>
      <c r="H5314" s="109"/>
      <c r="I5314" s="109"/>
      <c r="J5314" s="109"/>
      <c r="L5314" s="109"/>
      <c r="M5314" s="109"/>
      <c r="N5314" s="109"/>
      <c r="Q5314" s="121"/>
      <c r="W5314" s="109"/>
    </row>
    <row r="5315" spans="1:23" ht="12.75" hidden="1">
      <c r="A5315" s="109"/>
      <c r="B5315" s="109"/>
      <c r="C5315" s="109"/>
      <c r="D5315" s="109"/>
      <c r="E5315" s="109"/>
      <c r="F5315" s="109"/>
      <c r="G5315" s="109"/>
      <c r="H5315" s="109"/>
      <c r="I5315" s="109"/>
      <c r="J5315" s="109"/>
      <c r="L5315" s="109"/>
      <c r="M5315" s="109"/>
      <c r="N5315" s="109"/>
      <c r="Q5315" s="121"/>
      <c r="W5315" s="109"/>
    </row>
    <row r="5316" spans="1:23" ht="12.75" hidden="1">
      <c r="A5316" s="109"/>
      <c r="B5316" s="109"/>
      <c r="C5316" s="109"/>
      <c r="D5316" s="109"/>
      <c r="E5316" s="109"/>
      <c r="F5316" s="109"/>
      <c r="G5316" s="109"/>
      <c r="H5316" s="109"/>
      <c r="I5316" s="109"/>
      <c r="J5316" s="109"/>
      <c r="L5316" s="109"/>
      <c r="M5316" s="109"/>
      <c r="N5316" s="109"/>
      <c r="Q5316" s="121"/>
      <c r="W5316" s="109"/>
    </row>
    <row r="5317" spans="1:23" ht="12.75" hidden="1">
      <c r="A5317" s="109"/>
      <c r="B5317" s="109"/>
      <c r="C5317" s="109"/>
      <c r="D5317" s="109"/>
      <c r="E5317" s="109"/>
      <c r="F5317" s="109"/>
      <c r="G5317" s="109"/>
      <c r="H5317" s="109"/>
      <c r="I5317" s="109"/>
      <c r="J5317" s="109"/>
      <c r="L5317" s="109"/>
      <c r="M5317" s="109"/>
      <c r="N5317" s="109"/>
      <c r="Q5317" s="121"/>
      <c r="W5317" s="109"/>
    </row>
    <row r="5318" spans="1:23" ht="12.75" hidden="1">
      <c r="A5318" s="109"/>
      <c r="B5318" s="109"/>
      <c r="C5318" s="109"/>
      <c r="D5318" s="109"/>
      <c r="E5318" s="109"/>
      <c r="F5318" s="109"/>
      <c r="G5318" s="109"/>
      <c r="H5318" s="109"/>
      <c r="I5318" s="109"/>
      <c r="J5318" s="109"/>
      <c r="L5318" s="109"/>
      <c r="M5318" s="109"/>
      <c r="N5318" s="109"/>
      <c r="Q5318" s="121"/>
      <c r="W5318" s="109"/>
    </row>
    <row r="5319" spans="1:23" ht="12.75" hidden="1">
      <c r="A5319" s="109"/>
      <c r="B5319" s="109"/>
      <c r="C5319" s="109"/>
      <c r="D5319" s="109"/>
      <c r="E5319" s="109"/>
      <c r="F5319" s="109"/>
      <c r="G5319" s="109"/>
      <c r="H5319" s="109"/>
      <c r="I5319" s="109"/>
      <c r="J5319" s="109"/>
      <c r="L5319" s="109"/>
      <c r="M5319" s="109"/>
      <c r="N5319" s="109"/>
      <c r="Q5319" s="121"/>
      <c r="W5319" s="109"/>
    </row>
    <row r="5320" spans="1:23" ht="12.75" hidden="1">
      <c r="A5320" s="109"/>
      <c r="B5320" s="109"/>
      <c r="C5320" s="109"/>
      <c r="D5320" s="109"/>
      <c r="E5320" s="109"/>
      <c r="F5320" s="109"/>
      <c r="G5320" s="109"/>
      <c r="H5320" s="109"/>
      <c r="I5320" s="109"/>
      <c r="J5320" s="109"/>
      <c r="L5320" s="109"/>
      <c r="M5320" s="109"/>
      <c r="N5320" s="109"/>
      <c r="Q5320" s="121"/>
      <c r="W5320" s="109"/>
    </row>
    <row r="5321" spans="1:23" ht="12.75" hidden="1">
      <c r="A5321" s="109"/>
      <c r="B5321" s="109"/>
      <c r="C5321" s="109"/>
      <c r="D5321" s="109"/>
      <c r="E5321" s="109"/>
      <c r="F5321" s="109"/>
      <c r="G5321" s="109"/>
      <c r="H5321" s="109"/>
      <c r="I5321" s="109"/>
      <c r="J5321" s="109"/>
      <c r="L5321" s="109"/>
      <c r="M5321" s="109"/>
      <c r="N5321" s="109"/>
      <c r="Q5321" s="121"/>
      <c r="W5321" s="109"/>
    </row>
    <row r="5322" spans="1:23" ht="12.75" hidden="1">
      <c r="A5322" s="109"/>
      <c r="B5322" s="109"/>
      <c r="C5322" s="109"/>
      <c r="D5322" s="109"/>
      <c r="E5322" s="109"/>
      <c r="F5322" s="109"/>
      <c r="G5322" s="109"/>
      <c r="H5322" s="109"/>
      <c r="I5322" s="109"/>
      <c r="J5322" s="109"/>
      <c r="L5322" s="109"/>
      <c r="M5322" s="109"/>
      <c r="N5322" s="109"/>
      <c r="Q5322" s="121"/>
      <c r="W5322" s="109"/>
    </row>
    <row r="5323" spans="1:23" ht="12.75" hidden="1">
      <c r="A5323" s="109"/>
      <c r="B5323" s="109"/>
      <c r="C5323" s="109"/>
      <c r="D5323" s="109"/>
      <c r="E5323" s="109"/>
      <c r="F5323" s="109"/>
      <c r="G5323" s="109"/>
      <c r="H5323" s="109"/>
      <c r="I5323" s="109"/>
      <c r="J5323" s="109"/>
      <c r="L5323" s="109"/>
      <c r="M5323" s="109"/>
      <c r="N5323" s="109"/>
      <c r="Q5323" s="121"/>
      <c r="W5323" s="109"/>
    </row>
    <row r="5324" spans="1:23" ht="12.75" hidden="1">
      <c r="A5324" s="109"/>
      <c r="B5324" s="109"/>
      <c r="C5324" s="109"/>
      <c r="D5324" s="109"/>
      <c r="E5324" s="109"/>
      <c r="F5324" s="109"/>
      <c r="G5324" s="109"/>
      <c r="H5324" s="109"/>
      <c r="I5324" s="109"/>
      <c r="J5324" s="109"/>
      <c r="L5324" s="109"/>
      <c r="M5324" s="109"/>
      <c r="N5324" s="109"/>
      <c r="Q5324" s="121"/>
      <c r="W5324" s="109"/>
    </row>
    <row r="5325" spans="1:23" ht="12.75" hidden="1">
      <c r="A5325" s="109"/>
      <c r="B5325" s="109"/>
      <c r="C5325" s="109"/>
      <c r="D5325" s="109"/>
      <c r="E5325" s="109"/>
      <c r="F5325" s="109"/>
      <c r="G5325" s="109"/>
      <c r="H5325" s="109"/>
      <c r="I5325" s="109"/>
      <c r="J5325" s="109"/>
      <c r="L5325" s="109"/>
      <c r="M5325" s="109"/>
      <c r="N5325" s="109"/>
      <c r="Q5325" s="121"/>
      <c r="W5325" s="109"/>
    </row>
    <row r="5326" spans="1:23" ht="12.75" hidden="1">
      <c r="A5326" s="109"/>
      <c r="B5326" s="109"/>
      <c r="C5326" s="109"/>
      <c r="D5326" s="109"/>
      <c r="E5326" s="109"/>
      <c r="F5326" s="109"/>
      <c r="G5326" s="109"/>
      <c r="H5326" s="109"/>
      <c r="I5326" s="109"/>
      <c r="J5326" s="109"/>
      <c r="L5326" s="109"/>
      <c r="M5326" s="109"/>
      <c r="N5326" s="109"/>
      <c r="Q5326" s="121"/>
      <c r="W5326" s="109"/>
    </row>
    <row r="5327" spans="1:23" ht="12.75" hidden="1">
      <c r="A5327" s="109"/>
      <c r="B5327" s="109"/>
      <c r="C5327" s="109"/>
      <c r="D5327" s="109"/>
      <c r="E5327" s="109"/>
      <c r="F5327" s="109"/>
      <c r="G5327" s="109"/>
      <c r="H5327" s="109"/>
      <c r="I5327" s="109"/>
      <c r="J5327" s="109"/>
      <c r="L5327" s="109"/>
      <c r="M5327" s="109"/>
      <c r="N5327" s="109"/>
      <c r="Q5327" s="121"/>
      <c r="W5327" s="109"/>
    </row>
    <row r="5328" spans="1:23" ht="12.75" hidden="1">
      <c r="A5328" s="109"/>
      <c r="B5328" s="109"/>
      <c r="C5328" s="109"/>
      <c r="D5328" s="109"/>
      <c r="E5328" s="109"/>
      <c r="F5328" s="109"/>
      <c r="G5328" s="109"/>
      <c r="H5328" s="109"/>
      <c r="I5328" s="109"/>
      <c r="J5328" s="109"/>
      <c r="L5328" s="109"/>
      <c r="M5328" s="109"/>
      <c r="N5328" s="109"/>
      <c r="Q5328" s="121"/>
      <c r="W5328" s="109"/>
    </row>
    <row r="5329" spans="1:23" ht="12.75" hidden="1">
      <c r="A5329" s="109"/>
      <c r="B5329" s="109"/>
      <c r="C5329" s="109"/>
      <c r="D5329" s="109"/>
      <c r="E5329" s="109"/>
      <c r="F5329" s="109"/>
      <c r="G5329" s="109"/>
      <c r="H5329" s="109"/>
      <c r="I5329" s="109"/>
      <c r="J5329" s="109"/>
      <c r="L5329" s="109"/>
      <c r="M5329" s="109"/>
      <c r="N5329" s="109"/>
      <c r="Q5329" s="121"/>
      <c r="W5329" s="109"/>
    </row>
    <row r="5330" spans="1:23" ht="12.75" hidden="1">
      <c r="A5330" s="109"/>
      <c r="B5330" s="109"/>
      <c r="C5330" s="109"/>
      <c r="D5330" s="109"/>
      <c r="E5330" s="109"/>
      <c r="F5330" s="109"/>
      <c r="G5330" s="109"/>
      <c r="H5330" s="109"/>
      <c r="I5330" s="109"/>
      <c r="J5330" s="109"/>
      <c r="L5330" s="109"/>
      <c r="M5330" s="109"/>
      <c r="N5330" s="109"/>
      <c r="Q5330" s="121"/>
      <c r="W5330" s="109"/>
    </row>
    <row r="5331" spans="1:23" ht="12.75" hidden="1">
      <c r="A5331" s="109"/>
      <c r="B5331" s="109"/>
      <c r="C5331" s="109"/>
      <c r="D5331" s="109"/>
      <c r="E5331" s="109"/>
      <c r="F5331" s="109"/>
      <c r="G5331" s="109"/>
      <c r="H5331" s="109"/>
      <c r="I5331" s="109"/>
      <c r="J5331" s="109"/>
      <c r="L5331" s="109"/>
      <c r="M5331" s="109"/>
      <c r="N5331" s="109"/>
      <c r="Q5331" s="121"/>
      <c r="W5331" s="109"/>
    </row>
    <row r="5332" spans="1:23" ht="12.75" hidden="1">
      <c r="A5332" s="109"/>
      <c r="B5332" s="109"/>
      <c r="C5332" s="109"/>
      <c r="D5332" s="109"/>
      <c r="E5332" s="109"/>
      <c r="F5332" s="109"/>
      <c r="G5332" s="109"/>
      <c r="H5332" s="109"/>
      <c r="I5332" s="109"/>
      <c r="J5332" s="109"/>
      <c r="L5332" s="109"/>
      <c r="M5332" s="109"/>
      <c r="N5332" s="109"/>
      <c r="Q5332" s="121"/>
      <c r="W5332" s="109"/>
    </row>
    <row r="5333" spans="1:23" ht="12.75" hidden="1">
      <c r="A5333" s="109"/>
      <c r="B5333" s="109"/>
      <c r="C5333" s="109"/>
      <c r="D5333" s="109"/>
      <c r="E5333" s="109"/>
      <c r="F5333" s="109"/>
      <c r="G5333" s="109"/>
      <c r="H5333" s="109"/>
      <c r="I5333" s="109"/>
      <c r="J5333" s="109"/>
      <c r="L5333" s="109"/>
      <c r="M5333" s="109"/>
      <c r="N5333" s="109"/>
      <c r="Q5333" s="121"/>
      <c r="W5333" s="109"/>
    </row>
    <row r="5334" spans="1:23" ht="12.75" hidden="1">
      <c r="A5334" s="109"/>
      <c r="B5334" s="109"/>
      <c r="C5334" s="109"/>
      <c r="D5334" s="109"/>
      <c r="E5334" s="109"/>
      <c r="F5334" s="109"/>
      <c r="G5334" s="109"/>
      <c r="H5334" s="109"/>
      <c r="I5334" s="109"/>
      <c r="J5334" s="109"/>
      <c r="L5334" s="109"/>
      <c r="M5334" s="109"/>
      <c r="N5334" s="109"/>
      <c r="Q5334" s="121"/>
      <c r="W5334" s="109"/>
    </row>
    <row r="5335" spans="1:23" ht="12.75" hidden="1">
      <c r="A5335" s="109"/>
      <c r="B5335" s="109"/>
      <c r="C5335" s="109"/>
      <c r="D5335" s="109"/>
      <c r="E5335" s="109"/>
      <c r="F5335" s="109"/>
      <c r="G5335" s="109"/>
      <c r="H5335" s="109"/>
      <c r="I5335" s="109"/>
      <c r="J5335" s="109"/>
      <c r="L5335" s="109"/>
      <c r="M5335" s="109"/>
      <c r="N5335" s="109"/>
      <c r="Q5335" s="121"/>
      <c r="W5335" s="109"/>
    </row>
    <row r="5336" spans="1:23" ht="12.75" hidden="1">
      <c r="A5336" s="109"/>
      <c r="B5336" s="109"/>
      <c r="C5336" s="109"/>
      <c r="D5336" s="109"/>
      <c r="E5336" s="109"/>
      <c r="F5336" s="109"/>
      <c r="G5336" s="109"/>
      <c r="H5336" s="109"/>
      <c r="I5336" s="109"/>
      <c r="J5336" s="109"/>
      <c r="L5336" s="109"/>
      <c r="M5336" s="109"/>
      <c r="N5336" s="109"/>
      <c r="Q5336" s="121"/>
      <c r="W5336" s="109"/>
    </row>
    <row r="5337" spans="1:23" ht="12.75" hidden="1">
      <c r="A5337" s="109"/>
      <c r="B5337" s="109"/>
      <c r="C5337" s="109"/>
      <c r="D5337" s="109"/>
      <c r="E5337" s="109"/>
      <c r="F5337" s="109"/>
      <c r="G5337" s="109"/>
      <c r="H5337" s="109"/>
      <c r="I5337" s="109"/>
      <c r="J5337" s="109"/>
      <c r="L5337" s="109"/>
      <c r="M5337" s="109"/>
      <c r="N5337" s="109"/>
      <c r="Q5337" s="121"/>
      <c r="W5337" s="109"/>
    </row>
    <row r="5338" spans="1:23" ht="12.75" hidden="1">
      <c r="A5338" s="109"/>
      <c r="B5338" s="109"/>
      <c r="C5338" s="109"/>
      <c r="D5338" s="109"/>
      <c r="E5338" s="109"/>
      <c r="F5338" s="109"/>
      <c r="G5338" s="109"/>
      <c r="H5338" s="109"/>
      <c r="I5338" s="109"/>
      <c r="J5338" s="109"/>
      <c r="L5338" s="109"/>
      <c r="M5338" s="109"/>
      <c r="N5338" s="109"/>
      <c r="Q5338" s="121"/>
      <c r="W5338" s="109"/>
    </row>
    <row r="5339" spans="1:23" ht="12.75" hidden="1">
      <c r="A5339" s="109"/>
      <c r="B5339" s="109"/>
      <c r="C5339" s="109"/>
      <c r="D5339" s="109"/>
      <c r="E5339" s="109"/>
      <c r="F5339" s="109"/>
      <c r="G5339" s="109"/>
      <c r="H5339" s="109"/>
      <c r="I5339" s="109"/>
      <c r="J5339" s="109"/>
      <c r="L5339" s="109"/>
      <c r="M5339" s="109"/>
      <c r="N5339" s="109"/>
      <c r="Q5339" s="121"/>
      <c r="W5339" s="109"/>
    </row>
    <row r="5340" spans="1:23" ht="12.75" hidden="1">
      <c r="A5340" s="109"/>
      <c r="B5340" s="109"/>
      <c r="C5340" s="109"/>
      <c r="D5340" s="109"/>
      <c r="E5340" s="109"/>
      <c r="F5340" s="109"/>
      <c r="G5340" s="109"/>
      <c r="H5340" s="109"/>
      <c r="I5340" s="109"/>
      <c r="J5340" s="109"/>
      <c r="L5340" s="109"/>
      <c r="M5340" s="109"/>
      <c r="N5340" s="109"/>
      <c r="Q5340" s="121"/>
      <c r="W5340" s="109"/>
    </row>
    <row r="5341" spans="1:23" ht="12.75" hidden="1">
      <c r="A5341" s="109"/>
      <c r="B5341" s="109"/>
      <c r="C5341" s="109"/>
      <c r="D5341" s="109"/>
      <c r="E5341" s="109"/>
      <c r="F5341" s="109"/>
      <c r="G5341" s="109"/>
      <c r="H5341" s="109"/>
      <c r="I5341" s="109"/>
      <c r="J5341" s="109"/>
      <c r="L5341" s="109"/>
      <c r="M5341" s="109"/>
      <c r="N5341" s="109"/>
      <c r="Q5341" s="121"/>
      <c r="W5341" s="109"/>
    </row>
    <row r="5342" spans="1:23" ht="12.75" hidden="1">
      <c r="A5342" s="109"/>
      <c r="B5342" s="109"/>
      <c r="C5342" s="109"/>
      <c r="D5342" s="109"/>
      <c r="E5342" s="109"/>
      <c r="F5342" s="109"/>
      <c r="G5342" s="109"/>
      <c r="H5342" s="109"/>
      <c r="I5342" s="109"/>
      <c r="J5342" s="109"/>
      <c r="L5342" s="109"/>
      <c r="M5342" s="109"/>
      <c r="N5342" s="109"/>
      <c r="Q5342" s="121"/>
      <c r="W5342" s="109"/>
    </row>
    <row r="5343" spans="1:23" ht="12.75" hidden="1">
      <c r="A5343" s="109"/>
      <c r="B5343" s="109"/>
      <c r="C5343" s="109"/>
      <c r="D5343" s="109"/>
      <c r="E5343" s="109"/>
      <c r="F5343" s="109"/>
      <c r="G5343" s="109"/>
      <c r="H5343" s="109"/>
      <c r="I5343" s="109"/>
      <c r="J5343" s="109"/>
      <c r="L5343" s="109"/>
      <c r="M5343" s="109"/>
      <c r="N5343" s="109"/>
      <c r="Q5343" s="121"/>
      <c r="W5343" s="109"/>
    </row>
    <row r="5344" spans="1:23" ht="12.75" hidden="1">
      <c r="A5344" s="109"/>
      <c r="B5344" s="109"/>
      <c r="C5344" s="109"/>
      <c r="D5344" s="109"/>
      <c r="E5344" s="109"/>
      <c r="F5344" s="109"/>
      <c r="G5344" s="109"/>
      <c r="H5344" s="109"/>
      <c r="I5344" s="109"/>
      <c r="J5344" s="109"/>
      <c r="L5344" s="109"/>
      <c r="M5344" s="109"/>
      <c r="N5344" s="109"/>
      <c r="Q5344" s="121"/>
      <c r="W5344" s="109"/>
    </row>
    <row r="5345" spans="1:23" ht="12.75" hidden="1">
      <c r="A5345" s="109"/>
      <c r="B5345" s="109"/>
      <c r="C5345" s="109"/>
      <c r="D5345" s="109"/>
      <c r="E5345" s="109"/>
      <c r="F5345" s="109"/>
      <c r="G5345" s="109"/>
      <c r="H5345" s="109"/>
      <c r="I5345" s="109"/>
      <c r="J5345" s="109"/>
      <c r="L5345" s="109"/>
      <c r="M5345" s="109"/>
      <c r="N5345" s="109"/>
      <c r="Q5345" s="121"/>
      <c r="W5345" s="109"/>
    </row>
    <row r="5346" spans="1:23" ht="12.75" hidden="1">
      <c r="A5346" s="109"/>
      <c r="B5346" s="109"/>
      <c r="C5346" s="109"/>
      <c r="D5346" s="109"/>
      <c r="E5346" s="109"/>
      <c r="F5346" s="109"/>
      <c r="G5346" s="109"/>
      <c r="H5346" s="109"/>
      <c r="I5346" s="109"/>
      <c r="J5346" s="109"/>
      <c r="L5346" s="109"/>
      <c r="M5346" s="109"/>
      <c r="N5346" s="109"/>
      <c r="Q5346" s="121"/>
      <c r="W5346" s="109"/>
    </row>
    <row r="5347" spans="1:23" ht="12.75" hidden="1">
      <c r="A5347" s="109"/>
      <c r="B5347" s="109"/>
      <c r="C5347" s="109"/>
      <c r="D5347" s="109"/>
      <c r="E5347" s="109"/>
      <c r="F5347" s="109"/>
      <c r="G5347" s="109"/>
      <c r="H5347" s="109"/>
      <c r="I5347" s="109"/>
      <c r="J5347" s="109"/>
      <c r="L5347" s="109"/>
      <c r="M5347" s="109"/>
      <c r="N5347" s="109"/>
      <c r="Q5347" s="121"/>
      <c r="W5347" s="109"/>
    </row>
    <row r="5348" spans="1:23" ht="12.75" hidden="1">
      <c r="A5348" s="109"/>
      <c r="B5348" s="109"/>
      <c r="C5348" s="109"/>
      <c r="D5348" s="109"/>
      <c r="E5348" s="109"/>
      <c r="F5348" s="109"/>
      <c r="G5348" s="109"/>
      <c r="H5348" s="109"/>
      <c r="I5348" s="109"/>
      <c r="J5348" s="109"/>
      <c r="L5348" s="109"/>
      <c r="M5348" s="109"/>
      <c r="N5348" s="109"/>
      <c r="Q5348" s="121"/>
      <c r="W5348" s="109"/>
    </row>
    <row r="5349" spans="1:23" ht="12.75" hidden="1">
      <c r="A5349" s="109"/>
      <c r="B5349" s="109"/>
      <c r="C5349" s="109"/>
      <c r="D5349" s="109"/>
      <c r="E5349" s="109"/>
      <c r="F5349" s="109"/>
      <c r="G5349" s="109"/>
      <c r="H5349" s="109"/>
      <c r="I5349" s="109"/>
      <c r="J5349" s="109"/>
      <c r="L5349" s="109"/>
      <c r="M5349" s="109"/>
      <c r="N5349" s="109"/>
      <c r="Q5349" s="121"/>
      <c r="W5349" s="109"/>
    </row>
    <row r="5350" spans="1:23" ht="12.75" hidden="1">
      <c r="A5350" s="109"/>
      <c r="B5350" s="109"/>
      <c r="C5350" s="109"/>
      <c r="D5350" s="109"/>
      <c r="E5350" s="109"/>
      <c r="F5350" s="109"/>
      <c r="G5350" s="109"/>
      <c r="H5350" s="109"/>
      <c r="I5350" s="109"/>
      <c r="J5350" s="109"/>
      <c r="L5350" s="109"/>
      <c r="M5350" s="109"/>
      <c r="N5350" s="109"/>
      <c r="Q5350" s="121"/>
      <c r="W5350" s="109"/>
    </row>
    <row r="5351" spans="1:23" ht="12.75" hidden="1">
      <c r="A5351" s="109"/>
      <c r="B5351" s="109"/>
      <c r="C5351" s="109"/>
      <c r="D5351" s="109"/>
      <c r="E5351" s="109"/>
      <c r="F5351" s="109"/>
      <c r="G5351" s="109"/>
      <c r="H5351" s="109"/>
      <c r="I5351" s="109"/>
      <c r="J5351" s="109"/>
      <c r="L5351" s="109"/>
      <c r="M5351" s="109"/>
      <c r="N5351" s="109"/>
      <c r="Q5351" s="121"/>
      <c r="W5351" s="109"/>
    </row>
    <row r="5352" spans="1:23" ht="12.75" hidden="1">
      <c r="A5352" s="109"/>
      <c r="B5352" s="109"/>
      <c r="C5352" s="109"/>
      <c r="D5352" s="109"/>
      <c r="E5352" s="109"/>
      <c r="F5352" s="109"/>
      <c r="G5352" s="109"/>
      <c r="H5352" s="109"/>
      <c r="I5352" s="109"/>
      <c r="J5352" s="109"/>
      <c r="L5352" s="109"/>
      <c r="M5352" s="109"/>
      <c r="N5352" s="109"/>
      <c r="Q5352" s="121"/>
      <c r="W5352" s="109"/>
    </row>
    <row r="5353" spans="1:23" ht="12.75" hidden="1">
      <c r="A5353" s="109"/>
      <c r="B5353" s="109"/>
      <c r="C5353" s="109"/>
      <c r="D5353" s="109"/>
      <c r="E5353" s="109"/>
      <c r="F5353" s="109"/>
      <c r="G5353" s="109"/>
      <c r="H5353" s="109"/>
      <c r="I5353" s="109"/>
      <c r="J5353" s="109"/>
      <c r="L5353" s="109"/>
      <c r="M5353" s="109"/>
      <c r="N5353" s="109"/>
      <c r="Q5353" s="121"/>
      <c r="W5353" s="109"/>
    </row>
    <row r="5354" spans="1:23" ht="12.75" hidden="1">
      <c r="A5354" s="109"/>
      <c r="B5354" s="109"/>
      <c r="C5354" s="109"/>
      <c r="D5354" s="109"/>
      <c r="E5354" s="109"/>
      <c r="F5354" s="109"/>
      <c r="G5354" s="109"/>
      <c r="H5354" s="109"/>
      <c r="I5354" s="109"/>
      <c r="J5354" s="109"/>
      <c r="L5354" s="109"/>
      <c r="M5354" s="109"/>
      <c r="N5354" s="109"/>
      <c r="Q5354" s="121"/>
      <c r="W5354" s="109"/>
    </row>
    <row r="5355" spans="1:23" ht="12.75" hidden="1">
      <c r="A5355" s="109"/>
      <c r="B5355" s="109"/>
      <c r="C5355" s="109"/>
      <c r="D5355" s="109"/>
      <c r="E5355" s="109"/>
      <c r="F5355" s="109"/>
      <c r="G5355" s="109"/>
      <c r="H5355" s="109"/>
      <c r="I5355" s="109"/>
      <c r="J5355" s="109"/>
      <c r="L5355" s="109"/>
      <c r="M5355" s="109"/>
      <c r="N5355" s="109"/>
      <c r="Q5355" s="121"/>
      <c r="W5355" s="109"/>
    </row>
    <row r="5356" spans="1:23" ht="12.75" hidden="1">
      <c r="A5356" s="109"/>
      <c r="B5356" s="109"/>
      <c r="C5356" s="109"/>
      <c r="D5356" s="109"/>
      <c r="E5356" s="109"/>
      <c r="F5356" s="109"/>
      <c r="G5356" s="109"/>
      <c r="H5356" s="109"/>
      <c r="I5356" s="109"/>
      <c r="J5356" s="109"/>
      <c r="L5356" s="109"/>
      <c r="M5356" s="109"/>
      <c r="N5356" s="109"/>
      <c r="Q5356" s="121"/>
      <c r="W5356" s="109"/>
    </row>
    <row r="5357" spans="1:23" ht="12.75" hidden="1">
      <c r="A5357" s="109"/>
      <c r="B5357" s="109"/>
      <c r="C5357" s="109"/>
      <c r="D5357" s="109"/>
      <c r="E5357" s="109"/>
      <c r="F5357" s="109"/>
      <c r="G5357" s="109"/>
      <c r="H5357" s="109"/>
      <c r="I5357" s="109"/>
      <c r="J5357" s="109"/>
      <c r="L5357" s="109"/>
      <c r="M5357" s="109"/>
      <c r="N5357" s="109"/>
      <c r="Q5357" s="121"/>
      <c r="W5357" s="109"/>
    </row>
    <row r="5358" spans="1:23" ht="12.75" hidden="1">
      <c r="A5358" s="109"/>
      <c r="B5358" s="109"/>
      <c r="C5358" s="109"/>
      <c r="D5358" s="109"/>
      <c r="E5358" s="109"/>
      <c r="F5358" s="109"/>
      <c r="G5358" s="109"/>
      <c r="H5358" s="109"/>
      <c r="I5358" s="109"/>
      <c r="J5358" s="109"/>
      <c r="L5358" s="109"/>
      <c r="M5358" s="109"/>
      <c r="N5358" s="109"/>
      <c r="Q5358" s="121"/>
      <c r="W5358" s="109"/>
    </row>
    <row r="5359" spans="1:23" ht="12.75" hidden="1">
      <c r="A5359" s="109"/>
      <c r="B5359" s="109"/>
      <c r="C5359" s="109"/>
      <c r="D5359" s="109"/>
      <c r="E5359" s="109"/>
      <c r="F5359" s="109"/>
      <c r="G5359" s="109"/>
      <c r="H5359" s="109"/>
      <c r="I5359" s="109"/>
      <c r="J5359" s="109"/>
      <c r="L5359" s="109"/>
      <c r="M5359" s="109"/>
      <c r="N5359" s="109"/>
      <c r="Q5359" s="121"/>
      <c r="W5359" s="109"/>
    </row>
    <row r="5360" spans="1:23" ht="12.75" hidden="1">
      <c r="A5360" s="109"/>
      <c r="B5360" s="109"/>
      <c r="C5360" s="109"/>
      <c r="D5360" s="109"/>
      <c r="E5360" s="109"/>
      <c r="F5360" s="109"/>
      <c r="G5360" s="109"/>
      <c r="H5360" s="109"/>
      <c r="I5360" s="109"/>
      <c r="J5360" s="109"/>
      <c r="L5360" s="109"/>
      <c r="M5360" s="109"/>
      <c r="N5360" s="109"/>
      <c r="Q5360" s="121"/>
      <c r="W5360" s="109"/>
    </row>
    <row r="5361" spans="1:23" ht="12.75" hidden="1">
      <c r="A5361" s="109"/>
      <c r="B5361" s="109"/>
      <c r="C5361" s="109"/>
      <c r="D5361" s="109"/>
      <c r="E5361" s="109"/>
      <c r="F5361" s="109"/>
      <c r="G5361" s="109"/>
      <c r="H5361" s="109"/>
      <c r="I5361" s="109"/>
      <c r="J5361" s="109"/>
      <c r="L5361" s="109"/>
      <c r="M5361" s="109"/>
      <c r="N5361" s="109"/>
      <c r="Q5361" s="121"/>
      <c r="W5361" s="109"/>
    </row>
    <row r="5362" spans="1:23" ht="12.75" hidden="1">
      <c r="A5362" s="109"/>
      <c r="B5362" s="109"/>
      <c r="C5362" s="109"/>
      <c r="D5362" s="109"/>
      <c r="E5362" s="109"/>
      <c r="F5362" s="109"/>
      <c r="G5362" s="109"/>
      <c r="H5362" s="109"/>
      <c r="I5362" s="109"/>
      <c r="J5362" s="109"/>
      <c r="L5362" s="109"/>
      <c r="M5362" s="109"/>
      <c r="N5362" s="109"/>
      <c r="Q5362" s="121"/>
      <c r="W5362" s="109"/>
    </row>
    <row r="5363" spans="1:23" ht="12.75" hidden="1">
      <c r="A5363" s="109"/>
      <c r="B5363" s="109"/>
      <c r="C5363" s="109"/>
      <c r="D5363" s="109"/>
      <c r="E5363" s="109"/>
      <c r="F5363" s="109"/>
      <c r="G5363" s="109"/>
      <c r="H5363" s="109"/>
      <c r="I5363" s="109"/>
      <c r="J5363" s="109"/>
      <c r="L5363" s="109"/>
      <c r="M5363" s="109"/>
      <c r="N5363" s="109"/>
      <c r="Q5363" s="121"/>
      <c r="W5363" s="109"/>
    </row>
    <row r="5364" spans="1:23" ht="12.75" hidden="1">
      <c r="A5364" s="109"/>
      <c r="B5364" s="109"/>
      <c r="C5364" s="109"/>
      <c r="D5364" s="109"/>
      <c r="E5364" s="109"/>
      <c r="F5364" s="109"/>
      <c r="G5364" s="109"/>
      <c r="H5364" s="109"/>
      <c r="I5364" s="109"/>
      <c r="J5364" s="109"/>
      <c r="L5364" s="109"/>
      <c r="M5364" s="109"/>
      <c r="N5364" s="109"/>
      <c r="Q5364" s="121"/>
      <c r="W5364" s="109"/>
    </row>
    <row r="5365" spans="1:23" ht="12.75" hidden="1">
      <c r="A5365" s="109"/>
      <c r="B5365" s="109"/>
      <c r="C5365" s="109"/>
      <c r="D5365" s="109"/>
      <c r="E5365" s="109"/>
      <c r="F5365" s="109"/>
      <c r="G5365" s="109"/>
      <c r="H5365" s="109"/>
      <c r="I5365" s="109"/>
      <c r="J5365" s="109"/>
      <c r="L5365" s="109"/>
      <c r="M5365" s="109"/>
      <c r="N5365" s="109"/>
      <c r="Q5365" s="121"/>
      <c r="W5365" s="109"/>
    </row>
    <row r="5366" spans="1:23" ht="12.75" hidden="1">
      <c r="A5366" s="109"/>
      <c r="B5366" s="109"/>
      <c r="C5366" s="109"/>
      <c r="D5366" s="109"/>
      <c r="E5366" s="109"/>
      <c r="F5366" s="109"/>
      <c r="G5366" s="109"/>
      <c r="H5366" s="109"/>
      <c r="I5366" s="109"/>
      <c r="J5366" s="109"/>
      <c r="L5366" s="109"/>
      <c r="M5366" s="109"/>
      <c r="N5366" s="109"/>
      <c r="Q5366" s="121"/>
      <c r="W5366" s="109"/>
    </row>
    <row r="5367" spans="1:23" ht="12.75" hidden="1">
      <c r="A5367" s="109"/>
      <c r="B5367" s="109"/>
      <c r="C5367" s="109"/>
      <c r="D5367" s="109"/>
      <c r="E5367" s="109"/>
      <c r="F5367" s="109"/>
      <c r="G5367" s="109"/>
      <c r="H5367" s="109"/>
      <c r="I5367" s="109"/>
      <c r="J5367" s="109"/>
      <c r="L5367" s="109"/>
      <c r="M5367" s="109"/>
      <c r="N5367" s="109"/>
      <c r="Q5367" s="121"/>
      <c r="W5367" s="109"/>
    </row>
    <row r="5368" spans="1:23" ht="12.75" hidden="1">
      <c r="A5368" s="109"/>
      <c r="B5368" s="109"/>
      <c r="C5368" s="109"/>
      <c r="D5368" s="109"/>
      <c r="E5368" s="109"/>
      <c r="F5368" s="109"/>
      <c r="G5368" s="109"/>
      <c r="H5368" s="109"/>
      <c r="I5368" s="109"/>
      <c r="J5368" s="109"/>
      <c r="L5368" s="109"/>
      <c r="M5368" s="109"/>
      <c r="N5368" s="109"/>
      <c r="Q5368" s="121"/>
      <c r="W5368" s="109"/>
    </row>
    <row r="5369" spans="1:23" ht="12.75" hidden="1">
      <c r="A5369" s="109"/>
      <c r="B5369" s="109"/>
      <c r="C5369" s="109"/>
      <c r="D5369" s="109"/>
      <c r="E5369" s="109"/>
      <c r="F5369" s="109"/>
      <c r="G5369" s="109"/>
      <c r="H5369" s="109"/>
      <c r="I5369" s="109"/>
      <c r="J5369" s="109"/>
      <c r="L5369" s="109"/>
      <c r="M5369" s="109"/>
      <c r="N5369" s="109"/>
      <c r="Q5369" s="121"/>
      <c r="W5369" s="109"/>
    </row>
    <row r="5370" spans="1:23" ht="12.75" hidden="1">
      <c r="A5370" s="109"/>
      <c r="B5370" s="109"/>
      <c r="C5370" s="109"/>
      <c r="D5370" s="109"/>
      <c r="E5370" s="109"/>
      <c r="F5370" s="109"/>
      <c r="G5370" s="109"/>
      <c r="H5370" s="109"/>
      <c r="I5370" s="109"/>
      <c r="J5370" s="109"/>
      <c r="L5370" s="109"/>
      <c r="M5370" s="109"/>
      <c r="N5370" s="109"/>
      <c r="Q5370" s="121"/>
      <c r="W5370" s="109"/>
    </row>
    <row r="5371" spans="1:23" ht="12.75" hidden="1">
      <c r="A5371" s="109"/>
      <c r="B5371" s="109"/>
      <c r="C5371" s="109"/>
      <c r="D5371" s="109"/>
      <c r="E5371" s="109"/>
      <c r="F5371" s="109"/>
      <c r="G5371" s="109"/>
      <c r="H5371" s="109"/>
      <c r="I5371" s="109"/>
      <c r="J5371" s="109"/>
      <c r="L5371" s="109"/>
      <c r="M5371" s="109"/>
      <c r="N5371" s="109"/>
      <c r="Q5371" s="121"/>
      <c r="W5371" s="109"/>
    </row>
    <row r="5372" spans="1:23" ht="12.75" hidden="1">
      <c r="A5372" s="109"/>
      <c r="B5372" s="109"/>
      <c r="C5372" s="109"/>
      <c r="D5372" s="109"/>
      <c r="E5372" s="109"/>
      <c r="F5372" s="109"/>
      <c r="G5372" s="109"/>
      <c r="H5372" s="109"/>
      <c r="I5372" s="109"/>
      <c r="J5372" s="109"/>
      <c r="L5372" s="109"/>
      <c r="M5372" s="109"/>
      <c r="N5372" s="109"/>
      <c r="Q5372" s="121"/>
      <c r="W5372" s="109"/>
    </row>
    <row r="5373" spans="1:23" ht="12.75" hidden="1">
      <c r="A5373" s="109"/>
      <c r="B5373" s="109"/>
      <c r="C5373" s="109"/>
      <c r="D5373" s="109"/>
      <c r="E5373" s="109"/>
      <c r="F5373" s="109"/>
      <c r="G5373" s="109"/>
      <c r="H5373" s="109"/>
      <c r="I5373" s="109"/>
      <c r="J5373" s="109"/>
      <c r="L5373" s="109"/>
      <c r="M5373" s="109"/>
      <c r="N5373" s="109"/>
      <c r="Q5373" s="121"/>
      <c r="W5373" s="109"/>
    </row>
    <row r="5374" spans="1:23" ht="12.75" hidden="1">
      <c r="A5374" s="109"/>
      <c r="B5374" s="109"/>
      <c r="C5374" s="109"/>
      <c r="D5374" s="109"/>
      <c r="E5374" s="109"/>
      <c r="F5374" s="109"/>
      <c r="G5374" s="109"/>
      <c r="H5374" s="109"/>
      <c r="I5374" s="109"/>
      <c r="J5374" s="109"/>
      <c r="L5374" s="109"/>
      <c r="M5374" s="109"/>
      <c r="N5374" s="109"/>
      <c r="Q5374" s="121"/>
      <c r="W5374" s="109"/>
    </row>
    <row r="5375" spans="1:23" ht="12.75" hidden="1">
      <c r="A5375" s="109"/>
      <c r="B5375" s="109"/>
      <c r="C5375" s="109"/>
      <c r="D5375" s="109"/>
      <c r="E5375" s="109"/>
      <c r="F5375" s="109"/>
      <c r="G5375" s="109"/>
      <c r="H5375" s="109"/>
      <c r="I5375" s="109"/>
      <c r="J5375" s="109"/>
      <c r="L5375" s="109"/>
      <c r="M5375" s="109"/>
      <c r="N5375" s="109"/>
      <c r="Q5375" s="121"/>
      <c r="W5375" s="109"/>
    </row>
    <row r="5376" spans="1:23" ht="12.75" hidden="1">
      <c r="A5376" s="109"/>
      <c r="B5376" s="109"/>
      <c r="C5376" s="109"/>
      <c r="D5376" s="109"/>
      <c r="E5376" s="109"/>
      <c r="F5376" s="109"/>
      <c r="G5376" s="109"/>
      <c r="H5376" s="109"/>
      <c r="I5376" s="109"/>
      <c r="J5376" s="109"/>
      <c r="L5376" s="109"/>
      <c r="M5376" s="109"/>
      <c r="N5376" s="109"/>
      <c r="Q5376" s="121"/>
      <c r="W5376" s="109"/>
    </row>
    <row r="5377" spans="1:23" ht="12.75" hidden="1">
      <c r="A5377" s="109"/>
      <c r="B5377" s="109"/>
      <c r="C5377" s="109"/>
      <c r="D5377" s="109"/>
      <c r="E5377" s="109"/>
      <c r="F5377" s="109"/>
      <c r="G5377" s="109"/>
      <c r="H5377" s="109"/>
      <c r="I5377" s="109"/>
      <c r="J5377" s="109"/>
      <c r="L5377" s="109"/>
      <c r="M5377" s="109"/>
      <c r="N5377" s="109"/>
      <c r="Q5377" s="121"/>
      <c r="W5377" s="109"/>
    </row>
    <row r="5378" spans="1:23" ht="12.75" hidden="1">
      <c r="A5378" s="109"/>
      <c r="B5378" s="109"/>
      <c r="C5378" s="109"/>
      <c r="D5378" s="109"/>
      <c r="E5378" s="109"/>
      <c r="F5378" s="109"/>
      <c r="G5378" s="109"/>
      <c r="H5378" s="109"/>
      <c r="I5378" s="109"/>
      <c r="J5378" s="109"/>
      <c r="L5378" s="109"/>
      <c r="M5378" s="109"/>
      <c r="N5378" s="109"/>
      <c r="Q5378" s="121"/>
      <c r="W5378" s="109"/>
    </row>
    <row r="5379" spans="1:23" ht="12.75" hidden="1">
      <c r="A5379" s="109"/>
      <c r="B5379" s="109"/>
      <c r="C5379" s="109"/>
      <c r="D5379" s="109"/>
      <c r="E5379" s="109"/>
      <c r="F5379" s="109"/>
      <c r="G5379" s="109"/>
      <c r="H5379" s="109"/>
      <c r="I5379" s="109"/>
      <c r="J5379" s="109"/>
      <c r="L5379" s="109"/>
      <c r="M5379" s="109"/>
      <c r="N5379" s="109"/>
      <c r="Q5379" s="121"/>
      <c r="W5379" s="109"/>
    </row>
    <row r="5380" spans="1:23" ht="12.75" hidden="1">
      <c r="A5380" s="109"/>
      <c r="B5380" s="109"/>
      <c r="C5380" s="109"/>
      <c r="D5380" s="109"/>
      <c r="E5380" s="109"/>
      <c r="F5380" s="109"/>
      <c r="G5380" s="109"/>
      <c r="H5380" s="109"/>
      <c r="I5380" s="109"/>
      <c r="J5380" s="109"/>
      <c r="L5380" s="109"/>
      <c r="M5380" s="109"/>
      <c r="N5380" s="109"/>
      <c r="Q5380" s="121"/>
      <c r="W5380" s="109"/>
    </row>
    <row r="5381" spans="1:23" ht="12.75" hidden="1">
      <c r="A5381" s="109"/>
      <c r="B5381" s="109"/>
      <c r="C5381" s="109"/>
      <c r="D5381" s="109"/>
      <c r="E5381" s="109"/>
      <c r="F5381" s="109"/>
      <c r="G5381" s="109"/>
      <c r="H5381" s="109"/>
      <c r="I5381" s="109"/>
      <c r="J5381" s="109"/>
      <c r="L5381" s="109"/>
      <c r="M5381" s="109"/>
      <c r="N5381" s="109"/>
      <c r="Q5381" s="121"/>
      <c r="W5381" s="109"/>
    </row>
    <row r="5382" spans="1:23" ht="12.75" hidden="1">
      <c r="A5382" s="109"/>
      <c r="B5382" s="109"/>
      <c r="C5382" s="109"/>
      <c r="D5382" s="109"/>
      <c r="E5382" s="109"/>
      <c r="F5382" s="109"/>
      <c r="G5382" s="109"/>
      <c r="H5382" s="109"/>
      <c r="I5382" s="109"/>
      <c r="J5382" s="109"/>
      <c r="L5382" s="109"/>
      <c r="M5382" s="109"/>
      <c r="N5382" s="109"/>
      <c r="Q5382" s="121"/>
      <c r="W5382" s="109"/>
    </row>
    <row r="5383" spans="1:23" ht="12.75" hidden="1">
      <c r="A5383" s="109"/>
      <c r="B5383" s="109"/>
      <c r="C5383" s="109"/>
      <c r="D5383" s="109"/>
      <c r="E5383" s="109"/>
      <c r="F5383" s="109"/>
      <c r="G5383" s="109"/>
      <c r="H5383" s="109"/>
      <c r="I5383" s="109"/>
      <c r="J5383" s="109"/>
      <c r="L5383" s="109"/>
      <c r="M5383" s="109"/>
      <c r="N5383" s="109"/>
      <c r="Q5383" s="121"/>
      <c r="W5383" s="109"/>
    </row>
    <row r="5384" spans="1:23" ht="12.75" hidden="1">
      <c r="A5384" s="109"/>
      <c r="B5384" s="109"/>
      <c r="C5384" s="109"/>
      <c r="D5384" s="109"/>
      <c r="E5384" s="109"/>
      <c r="F5384" s="109"/>
      <c r="G5384" s="109"/>
      <c r="H5384" s="109"/>
      <c r="I5384" s="109"/>
      <c r="J5384" s="109"/>
      <c r="L5384" s="109"/>
      <c r="M5384" s="109"/>
      <c r="N5384" s="109"/>
      <c r="Q5384" s="121"/>
      <c r="W5384" s="109"/>
    </row>
    <row r="5385" spans="1:23" ht="12.75" hidden="1">
      <c r="A5385" s="109"/>
      <c r="B5385" s="109"/>
      <c r="C5385" s="109"/>
      <c r="D5385" s="109"/>
      <c r="E5385" s="109"/>
      <c r="F5385" s="109"/>
      <c r="G5385" s="109"/>
      <c r="H5385" s="109"/>
      <c r="I5385" s="109"/>
      <c r="J5385" s="109"/>
      <c r="L5385" s="109"/>
      <c r="M5385" s="109"/>
      <c r="N5385" s="109"/>
      <c r="Q5385" s="121"/>
      <c r="W5385" s="109"/>
    </row>
    <row r="5386" spans="1:23" ht="12.75" hidden="1">
      <c r="A5386" s="109"/>
      <c r="B5386" s="109"/>
      <c r="C5386" s="109"/>
      <c r="D5386" s="109"/>
      <c r="E5386" s="109"/>
      <c r="F5386" s="109"/>
      <c r="G5386" s="109"/>
      <c r="H5386" s="109"/>
      <c r="I5386" s="109"/>
      <c r="J5386" s="109"/>
      <c r="L5386" s="109"/>
      <c r="M5386" s="109"/>
      <c r="N5386" s="109"/>
      <c r="Q5386" s="121"/>
      <c r="W5386" s="109"/>
    </row>
    <row r="5387" spans="1:23" ht="12.75" hidden="1">
      <c r="A5387" s="109"/>
      <c r="B5387" s="109"/>
      <c r="C5387" s="109"/>
      <c r="D5387" s="109"/>
      <c r="E5387" s="109"/>
      <c r="F5387" s="109"/>
      <c r="G5387" s="109"/>
      <c r="H5387" s="109"/>
      <c r="I5387" s="109"/>
      <c r="J5387" s="109"/>
      <c r="L5387" s="109"/>
      <c r="M5387" s="109"/>
      <c r="N5387" s="109"/>
      <c r="Q5387" s="121"/>
      <c r="W5387" s="109"/>
    </row>
    <row r="5388" spans="1:23" ht="12.75" hidden="1">
      <c r="A5388" s="109"/>
      <c r="B5388" s="109"/>
      <c r="C5388" s="109"/>
      <c r="D5388" s="109"/>
      <c r="E5388" s="109"/>
      <c r="F5388" s="109"/>
      <c r="G5388" s="109"/>
      <c r="H5388" s="109"/>
      <c r="I5388" s="109"/>
      <c r="J5388" s="109"/>
      <c r="L5388" s="109"/>
      <c r="M5388" s="109"/>
      <c r="N5388" s="109"/>
      <c r="Q5388" s="121"/>
      <c r="W5388" s="109"/>
    </row>
    <row r="5389" spans="1:23" ht="12.75" hidden="1">
      <c r="A5389" s="109"/>
      <c r="B5389" s="109"/>
      <c r="C5389" s="109"/>
      <c r="D5389" s="109"/>
      <c r="E5389" s="109"/>
      <c r="F5389" s="109"/>
      <c r="G5389" s="109"/>
      <c r="H5389" s="109"/>
      <c r="I5389" s="109"/>
      <c r="J5389" s="109"/>
      <c r="L5389" s="109"/>
      <c r="M5389" s="109"/>
      <c r="N5389" s="109"/>
      <c r="Q5389" s="121"/>
      <c r="W5389" s="109"/>
    </row>
    <row r="5390" spans="1:23" ht="12.75" hidden="1">
      <c r="A5390" s="109"/>
      <c r="B5390" s="109"/>
      <c r="C5390" s="109"/>
      <c r="D5390" s="109"/>
      <c r="E5390" s="109"/>
      <c r="F5390" s="109"/>
      <c r="G5390" s="109"/>
      <c r="H5390" s="109"/>
      <c r="I5390" s="109"/>
      <c r="J5390" s="109"/>
      <c r="L5390" s="109"/>
      <c r="M5390" s="109"/>
      <c r="N5390" s="109"/>
      <c r="Q5390" s="121"/>
      <c r="W5390" s="109"/>
    </row>
    <row r="5391" spans="1:23" ht="12.75" hidden="1">
      <c r="A5391" s="109"/>
      <c r="B5391" s="109"/>
      <c r="C5391" s="109"/>
      <c r="D5391" s="109"/>
      <c r="E5391" s="109"/>
      <c r="F5391" s="109"/>
      <c r="G5391" s="109"/>
      <c r="H5391" s="109"/>
      <c r="I5391" s="109"/>
      <c r="J5391" s="109"/>
      <c r="L5391" s="109"/>
      <c r="M5391" s="109"/>
      <c r="N5391" s="109"/>
      <c r="Q5391" s="121"/>
      <c r="W5391" s="109"/>
    </row>
    <row r="5392" spans="1:23" ht="12.75" hidden="1">
      <c r="A5392" s="109"/>
      <c r="B5392" s="109"/>
      <c r="C5392" s="109"/>
      <c r="D5392" s="109"/>
      <c r="E5392" s="109"/>
      <c r="F5392" s="109"/>
      <c r="G5392" s="109"/>
      <c r="H5392" s="109"/>
      <c r="I5392" s="109"/>
      <c r="J5392" s="109"/>
      <c r="L5392" s="109"/>
      <c r="M5392" s="109"/>
      <c r="N5392" s="109"/>
      <c r="Q5392" s="121"/>
      <c r="W5392" s="109"/>
    </row>
    <row r="5393" spans="1:23" ht="12.75" hidden="1">
      <c r="A5393" s="109"/>
      <c r="B5393" s="109"/>
      <c r="C5393" s="109"/>
      <c r="D5393" s="109"/>
      <c r="E5393" s="109"/>
      <c r="F5393" s="109"/>
      <c r="G5393" s="109"/>
      <c r="H5393" s="109"/>
      <c r="I5393" s="109"/>
      <c r="J5393" s="109"/>
      <c r="L5393" s="109"/>
      <c r="M5393" s="109"/>
      <c r="N5393" s="109"/>
      <c r="Q5393" s="121"/>
      <c r="W5393" s="109"/>
    </row>
    <row r="5394" spans="1:23" ht="12.75" hidden="1">
      <c r="A5394" s="109"/>
      <c r="B5394" s="109"/>
      <c r="C5394" s="109"/>
      <c r="D5394" s="109"/>
      <c r="E5394" s="109"/>
      <c r="F5394" s="109"/>
      <c r="G5394" s="109"/>
      <c r="H5394" s="109"/>
      <c r="I5394" s="109"/>
      <c r="J5394" s="109"/>
      <c r="L5394" s="109"/>
      <c r="M5394" s="109"/>
      <c r="N5394" s="109"/>
      <c r="Q5394" s="121"/>
      <c r="W5394" s="109"/>
    </row>
    <row r="5395" spans="1:23" ht="12.75" hidden="1">
      <c r="A5395" s="109"/>
      <c r="B5395" s="109"/>
      <c r="C5395" s="109"/>
      <c r="D5395" s="109"/>
      <c r="E5395" s="109"/>
      <c r="F5395" s="109"/>
      <c r="G5395" s="109"/>
      <c r="H5395" s="109"/>
      <c r="I5395" s="109"/>
      <c r="J5395" s="109"/>
      <c r="L5395" s="109"/>
      <c r="M5395" s="109"/>
      <c r="N5395" s="109"/>
      <c r="Q5395" s="121"/>
      <c r="W5395" s="109"/>
    </row>
    <row r="5396" spans="1:23" ht="12.75" hidden="1">
      <c r="A5396" s="109"/>
      <c r="B5396" s="109"/>
      <c r="C5396" s="109"/>
      <c r="D5396" s="109"/>
      <c r="E5396" s="109"/>
      <c r="F5396" s="109"/>
      <c r="G5396" s="109"/>
      <c r="H5396" s="109"/>
      <c r="I5396" s="109"/>
      <c r="J5396" s="109"/>
      <c r="L5396" s="109"/>
      <c r="M5396" s="109"/>
      <c r="N5396" s="109"/>
      <c r="Q5396" s="121"/>
      <c r="W5396" s="109"/>
    </row>
    <row r="5397" spans="1:23" ht="12.75" hidden="1">
      <c r="A5397" s="109"/>
      <c r="B5397" s="109"/>
      <c r="C5397" s="109"/>
      <c r="D5397" s="109"/>
      <c r="E5397" s="109"/>
      <c r="F5397" s="109"/>
      <c r="G5397" s="109"/>
      <c r="H5397" s="109"/>
      <c r="I5397" s="109"/>
      <c r="J5397" s="109"/>
      <c r="L5397" s="109"/>
      <c r="M5397" s="109"/>
      <c r="N5397" s="109"/>
      <c r="Q5397" s="121"/>
      <c r="W5397" s="109"/>
    </row>
    <row r="5398" spans="1:23" ht="12.75" hidden="1">
      <c r="A5398" s="109"/>
      <c r="B5398" s="109"/>
      <c r="C5398" s="109"/>
      <c r="D5398" s="109"/>
      <c r="E5398" s="109"/>
      <c r="F5398" s="109"/>
      <c r="G5398" s="109"/>
      <c r="H5398" s="109"/>
      <c r="I5398" s="109"/>
      <c r="J5398" s="109"/>
      <c r="L5398" s="109"/>
      <c r="M5398" s="109"/>
      <c r="N5398" s="109"/>
      <c r="Q5398" s="121"/>
      <c r="W5398" s="109"/>
    </row>
    <row r="5399" spans="1:23" ht="12.75" hidden="1">
      <c r="A5399" s="109"/>
      <c r="B5399" s="109"/>
      <c r="C5399" s="109"/>
      <c r="D5399" s="109"/>
      <c r="E5399" s="109"/>
      <c r="F5399" s="109"/>
      <c r="G5399" s="109"/>
      <c r="H5399" s="109"/>
      <c r="I5399" s="109"/>
      <c r="J5399" s="109"/>
      <c r="L5399" s="109"/>
      <c r="M5399" s="109"/>
      <c r="N5399" s="109"/>
      <c r="Q5399" s="121"/>
      <c r="W5399" s="109"/>
    </row>
    <row r="5400" spans="1:23" ht="12.75" hidden="1">
      <c r="A5400" s="109"/>
      <c r="B5400" s="109"/>
      <c r="C5400" s="109"/>
      <c r="D5400" s="109"/>
      <c r="E5400" s="109"/>
      <c r="F5400" s="109"/>
      <c r="G5400" s="109"/>
      <c r="H5400" s="109"/>
      <c r="I5400" s="109"/>
      <c r="J5400" s="109"/>
      <c r="L5400" s="109"/>
      <c r="M5400" s="109"/>
      <c r="N5400" s="109"/>
      <c r="Q5400" s="121"/>
      <c r="W5400" s="109"/>
    </row>
    <row r="5401" spans="1:23" ht="12.75" hidden="1">
      <c r="A5401" s="109"/>
      <c r="B5401" s="109"/>
      <c r="C5401" s="109"/>
      <c r="D5401" s="109"/>
      <c r="E5401" s="109"/>
      <c r="F5401" s="109"/>
      <c r="G5401" s="109"/>
      <c r="H5401" s="109"/>
      <c r="I5401" s="109"/>
      <c r="J5401" s="109"/>
      <c r="L5401" s="109"/>
      <c r="M5401" s="109"/>
      <c r="N5401" s="109"/>
      <c r="Q5401" s="121"/>
      <c r="W5401" s="109"/>
    </row>
    <row r="5402" spans="1:23" ht="12.75" hidden="1">
      <c r="A5402" s="109"/>
      <c r="B5402" s="109"/>
      <c r="C5402" s="109"/>
      <c r="D5402" s="109"/>
      <c r="E5402" s="109"/>
      <c r="F5402" s="109"/>
      <c r="G5402" s="109"/>
      <c r="H5402" s="109"/>
      <c r="I5402" s="109"/>
      <c r="J5402" s="109"/>
      <c r="L5402" s="109"/>
      <c r="M5402" s="109"/>
      <c r="N5402" s="109"/>
      <c r="Q5402" s="121"/>
      <c r="W5402" s="109"/>
    </row>
    <row r="5403" spans="1:23" ht="12.75" hidden="1">
      <c r="A5403" s="109"/>
      <c r="B5403" s="109"/>
      <c r="C5403" s="109"/>
      <c r="D5403" s="109"/>
      <c r="E5403" s="109"/>
      <c r="F5403" s="109"/>
      <c r="G5403" s="109"/>
      <c r="H5403" s="109"/>
      <c r="I5403" s="109"/>
      <c r="J5403" s="109"/>
      <c r="L5403" s="109"/>
      <c r="M5403" s="109"/>
      <c r="N5403" s="109"/>
      <c r="Q5403" s="121"/>
      <c r="W5403" s="109"/>
    </row>
    <row r="5404" spans="1:23" ht="12.75" hidden="1">
      <c r="A5404" s="109"/>
      <c r="B5404" s="109"/>
      <c r="C5404" s="109"/>
      <c r="D5404" s="109"/>
      <c r="E5404" s="109"/>
      <c r="F5404" s="109"/>
      <c r="G5404" s="109"/>
      <c r="H5404" s="109"/>
      <c r="I5404" s="109"/>
      <c r="J5404" s="109"/>
      <c r="L5404" s="109"/>
      <c r="M5404" s="109"/>
      <c r="N5404" s="109"/>
      <c r="Q5404" s="121"/>
      <c r="W5404" s="109"/>
    </row>
    <row r="5405" spans="1:23" ht="12.75" hidden="1">
      <c r="A5405" s="109"/>
      <c r="B5405" s="109"/>
      <c r="C5405" s="109"/>
      <c r="D5405" s="109"/>
      <c r="E5405" s="109"/>
      <c r="F5405" s="109"/>
      <c r="G5405" s="109"/>
      <c r="H5405" s="109"/>
      <c r="I5405" s="109"/>
      <c r="J5405" s="109"/>
      <c r="L5405" s="109"/>
      <c r="M5405" s="109"/>
      <c r="N5405" s="109"/>
      <c r="Q5405" s="121"/>
      <c r="W5405" s="109"/>
    </row>
    <row r="5406" spans="1:23" ht="12.75" hidden="1">
      <c r="A5406" s="109"/>
      <c r="B5406" s="109"/>
      <c r="C5406" s="109"/>
      <c r="D5406" s="109"/>
      <c r="E5406" s="109"/>
      <c r="F5406" s="109"/>
      <c r="G5406" s="109"/>
      <c r="H5406" s="109"/>
      <c r="I5406" s="109"/>
      <c r="J5406" s="109"/>
      <c r="L5406" s="109"/>
      <c r="M5406" s="109"/>
      <c r="N5406" s="109"/>
      <c r="Q5406" s="121"/>
      <c r="W5406" s="109"/>
    </row>
    <row r="5407" spans="1:23" ht="12.75" hidden="1">
      <c r="A5407" s="109"/>
      <c r="B5407" s="109"/>
      <c r="C5407" s="109"/>
      <c r="D5407" s="109"/>
      <c r="E5407" s="109"/>
      <c r="F5407" s="109"/>
      <c r="G5407" s="109"/>
      <c r="H5407" s="109"/>
      <c r="I5407" s="109"/>
      <c r="J5407" s="109"/>
      <c r="L5407" s="109"/>
      <c r="M5407" s="109"/>
      <c r="N5407" s="109"/>
      <c r="Q5407" s="121"/>
      <c r="W5407" s="109"/>
    </row>
    <row r="5408" spans="1:23" ht="12.75" hidden="1">
      <c r="A5408" s="109"/>
      <c r="B5408" s="109"/>
      <c r="C5408" s="109"/>
      <c r="D5408" s="109"/>
      <c r="E5408" s="109"/>
      <c r="F5408" s="109"/>
      <c r="G5408" s="109"/>
      <c r="H5408" s="109"/>
      <c r="I5408" s="109"/>
      <c r="J5408" s="109"/>
      <c r="L5408" s="109"/>
      <c r="M5408" s="109"/>
      <c r="N5408" s="109"/>
      <c r="Q5408" s="121"/>
      <c r="W5408" s="109"/>
    </row>
    <row r="5409" spans="1:23" ht="12.75" hidden="1">
      <c r="A5409" s="109"/>
      <c r="B5409" s="109"/>
      <c r="C5409" s="109"/>
      <c r="D5409" s="109"/>
      <c r="E5409" s="109"/>
      <c r="F5409" s="109"/>
      <c r="G5409" s="109"/>
      <c r="H5409" s="109"/>
      <c r="I5409" s="109"/>
      <c r="J5409" s="109"/>
      <c r="L5409" s="109"/>
      <c r="M5409" s="109"/>
      <c r="N5409" s="109"/>
      <c r="Q5409" s="121"/>
      <c r="W5409" s="109"/>
    </row>
    <row r="5410" spans="1:23" ht="12.75" hidden="1">
      <c r="A5410" s="109"/>
      <c r="B5410" s="109"/>
      <c r="C5410" s="109"/>
      <c r="D5410" s="109"/>
      <c r="E5410" s="109"/>
      <c r="F5410" s="109"/>
      <c r="G5410" s="109"/>
      <c r="H5410" s="109"/>
      <c r="I5410" s="109"/>
      <c r="J5410" s="109"/>
      <c r="L5410" s="109"/>
      <c r="M5410" s="109"/>
      <c r="N5410" s="109"/>
      <c r="Q5410" s="121"/>
      <c r="W5410" s="109"/>
    </row>
    <row r="5411" spans="1:23" ht="12.75" hidden="1">
      <c r="A5411" s="109"/>
      <c r="B5411" s="109"/>
      <c r="C5411" s="109"/>
      <c r="D5411" s="109"/>
      <c r="E5411" s="109"/>
      <c r="F5411" s="109"/>
      <c r="G5411" s="109"/>
      <c r="H5411" s="109"/>
      <c r="I5411" s="109"/>
      <c r="J5411" s="109"/>
      <c r="L5411" s="109"/>
      <c r="M5411" s="109"/>
      <c r="N5411" s="109"/>
      <c r="Q5411" s="121"/>
      <c r="W5411" s="109"/>
    </row>
    <row r="5412" spans="1:23" ht="12.75" hidden="1">
      <c r="A5412" s="109"/>
      <c r="B5412" s="109"/>
      <c r="C5412" s="109"/>
      <c r="D5412" s="109"/>
      <c r="E5412" s="109"/>
      <c r="F5412" s="109"/>
      <c r="G5412" s="109"/>
      <c r="H5412" s="109"/>
      <c r="I5412" s="109"/>
      <c r="J5412" s="109"/>
      <c r="L5412" s="109"/>
      <c r="M5412" s="109"/>
      <c r="N5412" s="109"/>
      <c r="Q5412" s="121"/>
      <c r="W5412" s="109"/>
    </row>
    <row r="5413" spans="1:23" ht="12.75" hidden="1">
      <c r="A5413" s="109"/>
      <c r="B5413" s="109"/>
      <c r="C5413" s="109"/>
      <c r="D5413" s="109"/>
      <c r="E5413" s="109"/>
      <c r="F5413" s="109"/>
      <c r="G5413" s="109"/>
      <c r="H5413" s="109"/>
      <c r="I5413" s="109"/>
      <c r="J5413" s="109"/>
      <c r="L5413" s="109"/>
      <c r="M5413" s="109"/>
      <c r="N5413" s="109"/>
      <c r="Q5413" s="121"/>
      <c r="W5413" s="109"/>
    </row>
    <row r="5414" spans="1:23" ht="12.75" hidden="1">
      <c r="A5414" s="109"/>
      <c r="B5414" s="109"/>
      <c r="C5414" s="109"/>
      <c r="D5414" s="109"/>
      <c r="E5414" s="109"/>
      <c r="F5414" s="109"/>
      <c r="G5414" s="109"/>
      <c r="H5414" s="109"/>
      <c r="I5414" s="109"/>
      <c r="J5414" s="109"/>
      <c r="L5414" s="109"/>
      <c r="M5414" s="109"/>
      <c r="N5414" s="109"/>
      <c r="Q5414" s="121"/>
      <c r="W5414" s="109"/>
    </row>
    <row r="5415" spans="1:23" ht="12.75" hidden="1">
      <c r="A5415" s="109"/>
      <c r="B5415" s="109"/>
      <c r="C5415" s="109"/>
      <c r="D5415" s="109"/>
      <c r="E5415" s="109"/>
      <c r="F5415" s="109"/>
      <c r="G5415" s="109"/>
      <c r="H5415" s="109"/>
      <c r="I5415" s="109"/>
      <c r="J5415" s="109"/>
      <c r="L5415" s="109"/>
      <c r="M5415" s="109"/>
      <c r="N5415" s="109"/>
      <c r="Q5415" s="121"/>
      <c r="W5415" s="109"/>
    </row>
    <row r="5416" spans="1:23" ht="12.75" hidden="1">
      <c r="A5416" s="109"/>
      <c r="B5416" s="109"/>
      <c r="C5416" s="109"/>
      <c r="D5416" s="109"/>
      <c r="E5416" s="109"/>
      <c r="F5416" s="109"/>
      <c r="G5416" s="109"/>
      <c r="H5416" s="109"/>
      <c r="I5416" s="109"/>
      <c r="J5416" s="109"/>
      <c r="L5416" s="109"/>
      <c r="M5416" s="109"/>
      <c r="N5416" s="109"/>
      <c r="Q5416" s="121"/>
      <c r="W5416" s="109"/>
    </row>
    <row r="5417" spans="1:23" ht="12.75" hidden="1">
      <c r="A5417" s="109"/>
      <c r="B5417" s="109"/>
      <c r="C5417" s="109"/>
      <c r="D5417" s="109"/>
      <c r="E5417" s="109"/>
      <c r="F5417" s="109"/>
      <c r="G5417" s="109"/>
      <c r="H5417" s="109"/>
      <c r="I5417" s="109"/>
      <c r="J5417" s="109"/>
      <c r="L5417" s="109"/>
      <c r="M5417" s="109"/>
      <c r="N5417" s="109"/>
      <c r="Q5417" s="121"/>
      <c r="W5417" s="109"/>
    </row>
    <row r="5418" spans="1:23" ht="12.75" hidden="1">
      <c r="A5418" s="109"/>
      <c r="B5418" s="109"/>
      <c r="C5418" s="109"/>
      <c r="D5418" s="109"/>
      <c r="E5418" s="109"/>
      <c r="F5418" s="109"/>
      <c r="G5418" s="109"/>
      <c r="H5418" s="109"/>
      <c r="I5418" s="109"/>
      <c r="J5418" s="109"/>
      <c r="L5418" s="109"/>
      <c r="M5418" s="109"/>
      <c r="N5418" s="109"/>
      <c r="Q5418" s="121"/>
      <c r="W5418" s="109"/>
    </row>
    <row r="5419" spans="1:23" ht="12.75" hidden="1">
      <c r="A5419" s="109"/>
      <c r="B5419" s="109"/>
      <c r="C5419" s="109"/>
      <c r="D5419" s="109"/>
      <c r="E5419" s="109"/>
      <c r="F5419" s="109"/>
      <c r="G5419" s="109"/>
      <c r="H5419" s="109"/>
      <c r="I5419" s="109"/>
      <c r="J5419" s="109"/>
      <c r="L5419" s="109"/>
      <c r="M5419" s="109"/>
      <c r="N5419" s="109"/>
      <c r="Q5419" s="121"/>
      <c r="W5419" s="109"/>
    </row>
    <row r="5420" spans="1:23" ht="12.75" hidden="1">
      <c r="A5420" s="109"/>
      <c r="B5420" s="109"/>
      <c r="C5420" s="109"/>
      <c r="D5420" s="109"/>
      <c r="E5420" s="109"/>
      <c r="F5420" s="109"/>
      <c r="G5420" s="109"/>
      <c r="H5420" s="109"/>
      <c r="I5420" s="109"/>
      <c r="J5420" s="109"/>
      <c r="L5420" s="109"/>
      <c r="M5420" s="109"/>
      <c r="N5420" s="109"/>
      <c r="Q5420" s="121"/>
      <c r="W5420" s="109"/>
    </row>
    <row r="5421" spans="1:23" ht="12.75" hidden="1">
      <c r="A5421" s="109"/>
      <c r="B5421" s="109"/>
      <c r="C5421" s="109"/>
      <c r="D5421" s="109"/>
      <c r="E5421" s="109"/>
      <c r="F5421" s="109"/>
      <c r="G5421" s="109"/>
      <c r="H5421" s="109"/>
      <c r="I5421" s="109"/>
      <c r="J5421" s="109"/>
      <c r="L5421" s="109"/>
      <c r="M5421" s="109"/>
      <c r="N5421" s="109"/>
      <c r="Q5421" s="121"/>
      <c r="W5421" s="109"/>
    </row>
    <row r="5422" spans="1:23" ht="12.75" hidden="1">
      <c r="A5422" s="109"/>
      <c r="B5422" s="109"/>
      <c r="C5422" s="109"/>
      <c r="D5422" s="109"/>
      <c r="E5422" s="109"/>
      <c r="F5422" s="109"/>
      <c r="G5422" s="109"/>
      <c r="H5422" s="109"/>
      <c r="I5422" s="109"/>
      <c r="J5422" s="109"/>
      <c r="L5422" s="109"/>
      <c r="M5422" s="109"/>
      <c r="N5422" s="109"/>
      <c r="Q5422" s="121"/>
      <c r="W5422" s="109"/>
    </row>
    <row r="5423" spans="1:23" ht="12.75" hidden="1">
      <c r="A5423" s="109"/>
      <c r="B5423" s="109"/>
      <c r="C5423" s="109"/>
      <c r="D5423" s="109"/>
      <c r="E5423" s="109"/>
      <c r="F5423" s="109"/>
      <c r="G5423" s="109"/>
      <c r="H5423" s="109"/>
      <c r="I5423" s="109"/>
      <c r="J5423" s="109"/>
      <c r="L5423" s="109"/>
      <c r="M5423" s="109"/>
      <c r="N5423" s="109"/>
      <c r="Q5423" s="121"/>
      <c r="W5423" s="109"/>
    </row>
    <row r="5424" spans="1:23" ht="12.75" hidden="1">
      <c r="A5424" s="109"/>
      <c r="B5424" s="109"/>
      <c r="C5424" s="109"/>
      <c r="D5424" s="109"/>
      <c r="E5424" s="109"/>
      <c r="F5424" s="109"/>
      <c r="G5424" s="109"/>
      <c r="H5424" s="109"/>
      <c r="I5424" s="109"/>
      <c r="J5424" s="109"/>
      <c r="L5424" s="109"/>
      <c r="M5424" s="109"/>
      <c r="N5424" s="109"/>
      <c r="Q5424" s="121"/>
      <c r="W5424" s="109"/>
    </row>
    <row r="5425" spans="1:23" ht="12.75" hidden="1">
      <c r="A5425" s="109"/>
      <c r="B5425" s="109"/>
      <c r="C5425" s="109"/>
      <c r="D5425" s="109"/>
      <c r="E5425" s="109"/>
      <c r="F5425" s="109"/>
      <c r="G5425" s="109"/>
      <c r="H5425" s="109"/>
      <c r="I5425" s="109"/>
      <c r="J5425" s="109"/>
      <c r="L5425" s="109"/>
      <c r="M5425" s="109"/>
      <c r="N5425" s="109"/>
      <c r="Q5425" s="121"/>
      <c r="W5425" s="109"/>
    </row>
    <row r="5426" spans="1:23" ht="12.75" hidden="1">
      <c r="A5426" s="109"/>
      <c r="B5426" s="109"/>
      <c r="C5426" s="109"/>
      <c r="D5426" s="109"/>
      <c r="E5426" s="109"/>
      <c r="F5426" s="109"/>
      <c r="G5426" s="109"/>
      <c r="H5426" s="109"/>
      <c r="I5426" s="109"/>
      <c r="J5426" s="109"/>
      <c r="L5426" s="109"/>
      <c r="M5426" s="109"/>
      <c r="N5426" s="109"/>
      <c r="Q5426" s="121"/>
      <c r="W5426" s="109"/>
    </row>
    <row r="5427" spans="1:23" ht="12.75" hidden="1">
      <c r="A5427" s="109"/>
      <c r="B5427" s="109"/>
      <c r="C5427" s="109"/>
      <c r="D5427" s="109"/>
      <c r="E5427" s="109"/>
      <c r="F5427" s="109"/>
      <c r="G5427" s="109"/>
      <c r="H5427" s="109"/>
      <c r="I5427" s="109"/>
      <c r="J5427" s="109"/>
      <c r="L5427" s="109"/>
      <c r="M5427" s="109"/>
      <c r="N5427" s="109"/>
      <c r="Q5427" s="121"/>
      <c r="W5427" s="109"/>
    </row>
    <row r="5428" spans="1:23" ht="12.75" hidden="1">
      <c r="A5428" s="109"/>
      <c r="B5428" s="109"/>
      <c r="C5428" s="109"/>
      <c r="D5428" s="109"/>
      <c r="E5428" s="109"/>
      <c r="F5428" s="109"/>
      <c r="G5428" s="109"/>
      <c r="H5428" s="109"/>
      <c r="I5428" s="109"/>
      <c r="J5428" s="109"/>
      <c r="L5428" s="109"/>
      <c r="M5428" s="109"/>
      <c r="N5428" s="109"/>
      <c r="Q5428" s="121"/>
      <c r="W5428" s="109"/>
    </row>
    <row r="5429" spans="1:23" ht="12.75" hidden="1">
      <c r="A5429" s="109"/>
      <c r="B5429" s="109"/>
      <c r="C5429" s="109"/>
      <c r="D5429" s="109"/>
      <c r="E5429" s="109"/>
      <c r="F5429" s="109"/>
      <c r="G5429" s="109"/>
      <c r="H5429" s="109"/>
      <c r="I5429" s="109"/>
      <c r="J5429" s="109"/>
      <c r="L5429" s="109"/>
      <c r="M5429" s="109"/>
      <c r="N5429" s="109"/>
      <c r="Q5429" s="121"/>
      <c r="W5429" s="109"/>
    </row>
    <row r="5430" spans="1:23" ht="12.75" hidden="1">
      <c r="A5430" s="109"/>
      <c r="B5430" s="109"/>
      <c r="C5430" s="109"/>
      <c r="D5430" s="109"/>
      <c r="E5430" s="109"/>
      <c r="F5430" s="109"/>
      <c r="G5430" s="109"/>
      <c r="H5430" s="109"/>
      <c r="I5430" s="109"/>
      <c r="J5430" s="109"/>
      <c r="L5430" s="109"/>
      <c r="M5430" s="109"/>
      <c r="N5430" s="109"/>
      <c r="Q5430" s="121"/>
      <c r="W5430" s="109"/>
    </row>
    <row r="5431" spans="1:23" ht="12.75" hidden="1">
      <c r="A5431" s="109"/>
      <c r="B5431" s="109"/>
      <c r="C5431" s="109"/>
      <c r="D5431" s="109"/>
      <c r="E5431" s="109"/>
      <c r="F5431" s="109"/>
      <c r="G5431" s="109"/>
      <c r="H5431" s="109"/>
      <c r="I5431" s="109"/>
      <c r="J5431" s="109"/>
      <c r="L5431" s="109"/>
      <c r="M5431" s="109"/>
      <c r="N5431" s="109"/>
      <c r="Q5431" s="121"/>
      <c r="W5431" s="109"/>
    </row>
    <row r="5432" spans="1:23" ht="12.75" hidden="1">
      <c r="A5432" s="109"/>
      <c r="B5432" s="109"/>
      <c r="C5432" s="109"/>
      <c r="D5432" s="109"/>
      <c r="E5432" s="109"/>
      <c r="F5432" s="109"/>
      <c r="G5432" s="109"/>
      <c r="H5432" s="109"/>
      <c r="I5432" s="109"/>
      <c r="J5432" s="109"/>
      <c r="L5432" s="109"/>
      <c r="M5432" s="109"/>
      <c r="N5432" s="109"/>
      <c r="Q5432" s="121"/>
      <c r="W5432" s="109"/>
    </row>
    <row r="5433" spans="1:23" ht="12.75" hidden="1">
      <c r="A5433" s="109"/>
      <c r="B5433" s="109"/>
      <c r="C5433" s="109"/>
      <c r="D5433" s="109"/>
      <c r="E5433" s="109"/>
      <c r="F5433" s="109"/>
      <c r="G5433" s="109"/>
      <c r="H5433" s="109"/>
      <c r="I5433" s="109"/>
      <c r="J5433" s="109"/>
      <c r="L5433" s="109"/>
      <c r="M5433" s="109"/>
      <c r="N5433" s="109"/>
      <c r="Q5433" s="121"/>
      <c r="W5433" s="109"/>
    </row>
    <row r="5434" spans="1:23" ht="12.75" hidden="1">
      <c r="A5434" s="109"/>
      <c r="B5434" s="109"/>
      <c r="C5434" s="109"/>
      <c r="D5434" s="109"/>
      <c r="E5434" s="109"/>
      <c r="F5434" s="109"/>
      <c r="G5434" s="109"/>
      <c r="H5434" s="109"/>
      <c r="I5434" s="109"/>
      <c r="J5434" s="109"/>
      <c r="L5434" s="109"/>
      <c r="M5434" s="109"/>
      <c r="N5434" s="109"/>
      <c r="Q5434" s="121"/>
      <c r="W5434" s="109"/>
    </row>
    <row r="5435" spans="1:23" ht="12.75" hidden="1">
      <c r="A5435" s="109"/>
      <c r="B5435" s="109"/>
      <c r="C5435" s="109"/>
      <c r="D5435" s="109"/>
      <c r="E5435" s="109"/>
      <c r="F5435" s="109"/>
      <c r="G5435" s="109"/>
      <c r="H5435" s="109"/>
      <c r="I5435" s="109"/>
      <c r="J5435" s="109"/>
      <c r="L5435" s="109"/>
      <c r="M5435" s="109"/>
      <c r="N5435" s="109"/>
      <c r="Q5435" s="121"/>
      <c r="W5435" s="109"/>
    </row>
    <row r="5436" spans="1:23" ht="12.75" hidden="1">
      <c r="A5436" s="109"/>
      <c r="B5436" s="109"/>
      <c r="C5436" s="109"/>
      <c r="D5436" s="109"/>
      <c r="E5436" s="109"/>
      <c r="F5436" s="109"/>
      <c r="G5436" s="109"/>
      <c r="H5436" s="109"/>
      <c r="I5436" s="109"/>
      <c r="J5436" s="109"/>
      <c r="L5436" s="109"/>
      <c r="M5436" s="109"/>
      <c r="N5436" s="109"/>
      <c r="Q5436" s="121"/>
      <c r="W5436" s="109"/>
    </row>
    <row r="5437" spans="1:23" ht="12.75" hidden="1">
      <c r="A5437" s="109"/>
      <c r="B5437" s="109"/>
      <c r="C5437" s="109"/>
      <c r="D5437" s="109"/>
      <c r="E5437" s="109"/>
      <c r="F5437" s="109"/>
      <c r="G5437" s="109"/>
      <c r="H5437" s="109"/>
      <c r="I5437" s="109"/>
      <c r="J5437" s="109"/>
      <c r="Q5437" s="121"/>
      <c r="W5437" s="109"/>
    </row>
    <row r="5438" spans="1:23" ht="12.75" hidden="1">
      <c r="A5438" s="109"/>
      <c r="B5438" s="109"/>
      <c r="C5438" s="109"/>
      <c r="D5438" s="109"/>
      <c r="E5438" s="109"/>
      <c r="F5438" s="109"/>
      <c r="G5438" s="109"/>
      <c r="H5438" s="109"/>
      <c r="I5438" s="109"/>
      <c r="J5438" s="109"/>
      <c r="Q5438" s="121"/>
      <c r="W5438" s="109"/>
    </row>
    <row r="5439" spans="1:23" ht="12.75" hidden="1">
      <c r="A5439" s="109"/>
      <c r="B5439" s="109"/>
      <c r="C5439" s="109"/>
      <c r="D5439" s="109"/>
      <c r="E5439" s="109"/>
      <c r="F5439" s="109"/>
      <c r="G5439" s="109"/>
      <c r="H5439" s="109"/>
      <c r="I5439" s="109"/>
      <c r="J5439" s="109"/>
      <c r="Q5439" s="121"/>
      <c r="W5439" s="109"/>
    </row>
    <row r="5440" spans="1:23" ht="12.75" hidden="1">
      <c r="A5440" s="109"/>
      <c r="B5440" s="109"/>
      <c r="C5440" s="109"/>
      <c r="D5440" s="109"/>
      <c r="E5440" s="109"/>
      <c r="F5440" s="109"/>
      <c r="G5440" s="109"/>
      <c r="H5440" s="109"/>
      <c r="I5440" s="109"/>
      <c r="J5440" s="109"/>
      <c r="Q5440" s="121"/>
      <c r="W5440" s="109"/>
    </row>
    <row r="5441" spans="1:23" ht="12.75" hidden="1">
      <c r="A5441" s="109"/>
      <c r="B5441" s="109"/>
      <c r="C5441" s="109"/>
      <c r="D5441" s="109"/>
      <c r="E5441" s="109"/>
      <c r="F5441" s="109"/>
      <c r="G5441" s="109"/>
      <c r="H5441" s="109"/>
      <c r="I5441" s="109"/>
      <c r="J5441" s="109"/>
      <c r="Q5441" s="121"/>
      <c r="W5441" s="109"/>
    </row>
    <row r="5442" spans="1:23" ht="12.75" hidden="1">
      <c r="A5442" s="109"/>
      <c r="B5442" s="109"/>
      <c r="C5442" s="109"/>
      <c r="D5442" s="109"/>
      <c r="E5442" s="109"/>
      <c r="F5442" s="109"/>
      <c r="G5442" s="109"/>
      <c r="H5442" s="109"/>
      <c r="I5442" s="109"/>
      <c r="J5442" s="109"/>
      <c r="Q5442" s="121"/>
      <c r="W5442" s="109"/>
    </row>
    <row r="5443" spans="1:23" ht="12.75" hidden="1">
      <c r="A5443" s="109"/>
      <c r="B5443" s="109"/>
      <c r="C5443" s="109"/>
      <c r="D5443" s="109"/>
      <c r="E5443" s="109"/>
      <c r="F5443" s="109"/>
      <c r="G5443" s="109"/>
      <c r="H5443" s="109"/>
      <c r="I5443" s="109"/>
      <c r="J5443" s="109"/>
      <c r="Q5443" s="121"/>
      <c r="W5443" s="109"/>
    </row>
    <row r="5444" spans="1:23" ht="12.75" hidden="1">
      <c r="A5444" s="109"/>
      <c r="B5444" s="109"/>
      <c r="C5444" s="109"/>
      <c r="D5444" s="109"/>
      <c r="E5444" s="109"/>
      <c r="F5444" s="109"/>
      <c r="G5444" s="109"/>
      <c r="H5444" s="109"/>
      <c r="I5444" s="109"/>
      <c r="J5444" s="109"/>
      <c r="Q5444" s="121"/>
      <c r="W5444" s="109"/>
    </row>
    <row r="5445" spans="1:23" ht="12.75" hidden="1">
      <c r="A5445" s="109"/>
      <c r="B5445" s="109"/>
      <c r="C5445" s="109"/>
      <c r="D5445" s="109"/>
      <c r="E5445" s="109"/>
      <c r="F5445" s="109"/>
      <c r="G5445" s="109"/>
      <c r="H5445" s="109"/>
      <c r="I5445" s="109"/>
      <c r="J5445" s="109"/>
      <c r="Q5445" s="121"/>
      <c r="W5445" s="109"/>
    </row>
    <row r="5446" spans="1:23" ht="12.75" hidden="1">
      <c r="A5446" s="109"/>
      <c r="B5446" s="109"/>
      <c r="C5446" s="109"/>
      <c r="D5446" s="109"/>
      <c r="E5446" s="109"/>
      <c r="F5446" s="109"/>
      <c r="G5446" s="109"/>
      <c r="H5446" s="109"/>
      <c r="I5446" s="109"/>
      <c r="J5446" s="109"/>
      <c r="Q5446" s="121"/>
      <c r="W5446" s="109"/>
    </row>
    <row r="5447" spans="1:23" ht="12.75" hidden="1">
      <c r="A5447" s="109"/>
      <c r="B5447" s="109"/>
      <c r="C5447" s="109"/>
      <c r="D5447" s="109"/>
      <c r="E5447" s="109"/>
      <c r="F5447" s="109"/>
      <c r="G5447" s="109"/>
      <c r="H5447" s="109"/>
      <c r="I5447" s="109"/>
      <c r="J5447" s="109"/>
      <c r="Q5447" s="121"/>
      <c r="W5447" s="109"/>
    </row>
    <row r="5448" spans="1:23" ht="12.75" hidden="1">
      <c r="A5448" s="109"/>
      <c r="B5448" s="109"/>
      <c r="C5448" s="109"/>
      <c r="D5448" s="109"/>
      <c r="E5448" s="109"/>
      <c r="F5448" s="109"/>
      <c r="G5448" s="109"/>
      <c r="H5448" s="109"/>
      <c r="I5448" s="109"/>
      <c r="J5448" s="109"/>
      <c r="Q5448" s="121"/>
      <c r="W5448" s="109"/>
    </row>
    <row r="5449" spans="1:23" ht="12.75" hidden="1">
      <c r="A5449" s="109"/>
      <c r="B5449" s="109"/>
      <c r="C5449" s="109"/>
      <c r="D5449" s="109"/>
      <c r="E5449" s="109"/>
      <c r="F5449" s="109"/>
      <c r="G5449" s="109"/>
      <c r="H5449" s="109"/>
      <c r="I5449" s="109"/>
      <c r="J5449" s="109"/>
      <c r="Q5449" s="121"/>
      <c r="W5449" s="109"/>
    </row>
    <row r="5450" spans="1:23" ht="12.75" hidden="1">
      <c r="A5450" s="109"/>
      <c r="B5450" s="109"/>
      <c r="C5450" s="109"/>
      <c r="D5450" s="109"/>
      <c r="E5450" s="109"/>
      <c r="F5450" s="109"/>
      <c r="G5450" s="109"/>
      <c r="H5450" s="109"/>
      <c r="I5450" s="109"/>
      <c r="J5450" s="109"/>
      <c r="Q5450" s="121"/>
      <c r="W5450" s="109"/>
    </row>
    <row r="5451" spans="1:23" ht="12.75" hidden="1">
      <c r="A5451" s="109"/>
      <c r="B5451" s="109"/>
      <c r="C5451" s="109"/>
      <c r="D5451" s="109"/>
      <c r="E5451" s="109"/>
      <c r="F5451" s="109"/>
      <c r="G5451" s="109"/>
      <c r="H5451" s="109"/>
      <c r="I5451" s="109"/>
      <c r="J5451" s="109"/>
      <c r="Q5451" s="121"/>
      <c r="W5451" s="109"/>
    </row>
    <row r="5452" spans="1:23" ht="12.75" hidden="1">
      <c r="A5452" s="109"/>
      <c r="B5452" s="109"/>
      <c r="C5452" s="109"/>
      <c r="D5452" s="109"/>
      <c r="E5452" s="109"/>
      <c r="F5452" s="109"/>
      <c r="G5452" s="109"/>
      <c r="H5452" s="109"/>
      <c r="I5452" s="109"/>
      <c r="J5452" s="109"/>
      <c r="Q5452" s="121"/>
      <c r="W5452" s="109"/>
    </row>
    <row r="5453" spans="1:23" ht="12.75" hidden="1">
      <c r="A5453" s="109"/>
      <c r="B5453" s="109"/>
      <c r="C5453" s="109"/>
      <c r="D5453" s="109"/>
      <c r="E5453" s="109"/>
      <c r="F5453" s="109"/>
      <c r="G5453" s="109"/>
      <c r="H5453" s="109"/>
      <c r="I5453" s="109"/>
      <c r="J5453" s="109"/>
      <c r="Q5453" s="121"/>
      <c r="W5453" s="109"/>
    </row>
    <row r="5454" spans="1:23" ht="12.75" hidden="1">
      <c r="A5454" s="109"/>
      <c r="B5454" s="109"/>
      <c r="C5454" s="109"/>
      <c r="D5454" s="109"/>
      <c r="E5454" s="109"/>
      <c r="F5454" s="109"/>
      <c r="G5454" s="109"/>
      <c r="H5454" s="109"/>
      <c r="I5454" s="109"/>
      <c r="J5454" s="109"/>
      <c r="Q5454" s="121"/>
      <c r="W5454" s="109"/>
    </row>
    <row r="5455" spans="1:23" ht="12.75" hidden="1">
      <c r="A5455" s="109"/>
      <c r="B5455" s="109"/>
      <c r="C5455" s="109"/>
      <c r="D5455" s="109"/>
      <c r="E5455" s="109"/>
      <c r="F5455" s="109"/>
      <c r="G5455" s="109"/>
      <c r="H5455" s="109"/>
      <c r="I5455" s="109"/>
      <c r="J5455" s="109"/>
      <c r="Q5455" s="121"/>
      <c r="W5455" s="109"/>
    </row>
    <row r="5456" spans="1:23" ht="12.75" hidden="1">
      <c r="A5456" s="109"/>
      <c r="B5456" s="109"/>
      <c r="C5456" s="109"/>
      <c r="D5456" s="109"/>
      <c r="E5456" s="109"/>
      <c r="F5456" s="109"/>
      <c r="G5456" s="109"/>
      <c r="H5456" s="109"/>
      <c r="I5456" s="109"/>
      <c r="J5456" s="109"/>
      <c r="Q5456" s="121"/>
      <c r="W5456" s="109"/>
    </row>
    <row r="5457" spans="1:23" ht="12.75" hidden="1">
      <c r="A5457" s="109"/>
      <c r="B5457" s="109"/>
      <c r="C5457" s="109"/>
      <c r="D5457" s="109"/>
      <c r="E5457" s="109"/>
      <c r="F5457" s="109"/>
      <c r="G5457" s="109"/>
      <c r="H5457" s="109"/>
      <c r="I5457" s="109"/>
      <c r="J5457" s="109"/>
      <c r="Q5457" s="121"/>
      <c r="W5457" s="109"/>
    </row>
    <row r="5458" spans="1:23" ht="12.75" hidden="1">
      <c r="A5458" s="109"/>
      <c r="B5458" s="109"/>
      <c r="C5458" s="109"/>
      <c r="D5458" s="109"/>
      <c r="E5458" s="109"/>
      <c r="F5458" s="109"/>
      <c r="G5458" s="109"/>
      <c r="H5458" s="109"/>
      <c r="I5458" s="109"/>
      <c r="J5458" s="109"/>
      <c r="Q5458" s="121"/>
      <c r="W5458" s="109"/>
    </row>
    <row r="5459" spans="1:23" ht="12.75" hidden="1">
      <c r="A5459" s="109"/>
      <c r="B5459" s="109"/>
      <c r="C5459" s="109"/>
      <c r="D5459" s="109"/>
      <c r="E5459" s="109"/>
      <c r="F5459" s="109"/>
      <c r="G5459" s="109"/>
      <c r="H5459" s="109"/>
      <c r="I5459" s="109"/>
      <c r="J5459" s="109"/>
      <c r="Q5459" s="121"/>
      <c r="W5459" s="109"/>
    </row>
    <row r="5460" spans="1:23" ht="12.75" hidden="1">
      <c r="A5460" s="109"/>
      <c r="B5460" s="109"/>
      <c r="C5460" s="109"/>
      <c r="D5460" s="109"/>
      <c r="E5460" s="109"/>
      <c r="F5460" s="109"/>
      <c r="G5460" s="109"/>
      <c r="H5460" s="109"/>
      <c r="I5460" s="109"/>
      <c r="J5460" s="109"/>
      <c r="Q5460" s="121"/>
      <c r="W5460" s="109"/>
    </row>
    <row r="5461" spans="1:23" ht="12.75" hidden="1">
      <c r="A5461" s="109"/>
      <c r="B5461" s="109"/>
      <c r="C5461" s="109"/>
      <c r="D5461" s="109"/>
      <c r="E5461" s="109"/>
      <c r="F5461" s="109"/>
      <c r="G5461" s="109"/>
      <c r="H5461" s="109"/>
      <c r="I5461" s="109"/>
      <c r="J5461" s="109"/>
      <c r="Q5461" s="121"/>
      <c r="W5461" s="109"/>
    </row>
    <row r="5462" spans="1:23" ht="12.75" hidden="1">
      <c r="A5462" s="109"/>
      <c r="B5462" s="109"/>
      <c r="C5462" s="109"/>
      <c r="D5462" s="109"/>
      <c r="E5462" s="109"/>
      <c r="F5462" s="109"/>
      <c r="G5462" s="109"/>
      <c r="H5462" s="109"/>
      <c r="I5462" s="109"/>
      <c r="J5462" s="109"/>
      <c r="Q5462" s="121"/>
      <c r="W5462" s="109"/>
    </row>
    <row r="5463" spans="1:23" ht="12.75" hidden="1">
      <c r="A5463" s="109"/>
      <c r="B5463" s="109"/>
      <c r="C5463" s="109"/>
      <c r="D5463" s="109"/>
      <c r="E5463" s="109"/>
      <c r="F5463" s="109"/>
      <c r="G5463" s="109"/>
      <c r="H5463" s="109"/>
      <c r="I5463" s="109"/>
      <c r="J5463" s="109"/>
      <c r="Q5463" s="121"/>
      <c r="W5463" s="109"/>
    </row>
    <row r="5464" spans="1:23" ht="12.75" hidden="1">
      <c r="A5464" s="109"/>
      <c r="B5464" s="109"/>
      <c r="C5464" s="109"/>
      <c r="D5464" s="109"/>
      <c r="E5464" s="109"/>
      <c r="F5464" s="109"/>
      <c r="G5464" s="109"/>
      <c r="H5464" s="109"/>
      <c r="I5464" s="109"/>
      <c r="J5464" s="109"/>
      <c r="Q5464" s="121"/>
      <c r="W5464" s="109"/>
    </row>
    <row r="5465" spans="1:23" ht="12.75" hidden="1">
      <c r="A5465" s="109"/>
      <c r="B5465" s="109"/>
      <c r="C5465" s="109"/>
      <c r="D5465" s="109"/>
      <c r="E5465" s="109"/>
      <c r="F5465" s="109"/>
      <c r="G5465" s="109"/>
      <c r="H5465" s="109"/>
      <c r="I5465" s="109"/>
      <c r="J5465" s="109"/>
      <c r="Q5465" s="121"/>
      <c r="W5465" s="109"/>
    </row>
    <row r="5466" spans="1:23" ht="12.75" hidden="1">
      <c r="A5466" s="109"/>
      <c r="B5466" s="109"/>
      <c r="C5466" s="109"/>
      <c r="D5466" s="109"/>
      <c r="E5466" s="109"/>
      <c r="F5466" s="109"/>
      <c r="G5466" s="109"/>
      <c r="H5466" s="109"/>
      <c r="I5466" s="109"/>
      <c r="J5466" s="109"/>
      <c r="Q5466" s="121"/>
      <c r="W5466" s="109"/>
    </row>
    <row r="5467" spans="1:23" ht="12.75" hidden="1">
      <c r="A5467" s="109"/>
      <c r="B5467" s="109"/>
      <c r="C5467" s="109"/>
      <c r="D5467" s="109"/>
      <c r="E5467" s="109"/>
      <c r="F5467" s="109"/>
      <c r="G5467" s="109"/>
      <c r="H5467" s="109"/>
      <c r="I5467" s="109"/>
      <c r="J5467" s="109"/>
      <c r="Q5467" s="121"/>
      <c r="W5467" s="109"/>
    </row>
    <row r="5468" spans="1:23" ht="12.75" hidden="1">
      <c r="A5468" s="109"/>
      <c r="B5468" s="109"/>
      <c r="C5468" s="109"/>
      <c r="D5468" s="109"/>
      <c r="E5468" s="109"/>
      <c r="F5468" s="109"/>
      <c r="G5468" s="109"/>
      <c r="H5468" s="109"/>
      <c r="I5468" s="109"/>
      <c r="J5468" s="109"/>
      <c r="Q5468" s="121"/>
      <c r="W5468" s="109"/>
    </row>
    <row r="5469" spans="1:23" ht="12.75" hidden="1">
      <c r="A5469" s="109"/>
      <c r="B5469" s="109"/>
      <c r="C5469" s="109"/>
      <c r="D5469" s="109"/>
      <c r="E5469" s="109"/>
      <c r="F5469" s="109"/>
      <c r="G5469" s="109"/>
      <c r="H5469" s="109"/>
      <c r="I5469" s="109"/>
      <c r="J5469" s="109"/>
      <c r="Q5469" s="121"/>
      <c r="W5469" s="109"/>
    </row>
    <row r="5470" spans="1:23" ht="12.75" hidden="1">
      <c r="A5470" s="109"/>
      <c r="B5470" s="109"/>
      <c r="C5470" s="109"/>
      <c r="D5470" s="109"/>
      <c r="E5470" s="109"/>
      <c r="F5470" s="109"/>
      <c r="G5470" s="109"/>
      <c r="H5470" s="109"/>
      <c r="I5470" s="109"/>
      <c r="J5470" s="109"/>
      <c r="Q5470" s="121"/>
      <c r="W5470" s="109"/>
    </row>
    <row r="5471" spans="1:23" ht="12.75" hidden="1">
      <c r="A5471" s="109"/>
      <c r="B5471" s="109"/>
      <c r="C5471" s="109"/>
      <c r="D5471" s="109"/>
      <c r="E5471" s="109"/>
      <c r="F5471" s="109"/>
      <c r="G5471" s="109"/>
      <c r="H5471" s="109"/>
      <c r="I5471" s="109"/>
      <c r="J5471" s="109"/>
      <c r="Q5471" s="121"/>
      <c r="W5471" s="109"/>
    </row>
    <row r="5472" spans="1:23" ht="12.75" hidden="1">
      <c r="A5472" s="109"/>
      <c r="B5472" s="109"/>
      <c r="C5472" s="109"/>
      <c r="D5472" s="109"/>
      <c r="E5472" s="109"/>
      <c r="F5472" s="109"/>
      <c r="G5472" s="109"/>
      <c r="H5472" s="109"/>
      <c r="I5472" s="109"/>
      <c r="J5472" s="109"/>
      <c r="Q5472" s="121"/>
      <c r="W5472" s="109"/>
    </row>
    <row r="5473" spans="1:23" ht="12.75" hidden="1">
      <c r="A5473" s="109"/>
      <c r="B5473" s="109"/>
      <c r="C5473" s="109"/>
      <c r="D5473" s="109"/>
      <c r="E5473" s="109"/>
      <c r="F5473" s="109"/>
      <c r="G5473" s="109"/>
      <c r="H5473" s="109"/>
      <c r="I5473" s="109"/>
      <c r="J5473" s="109"/>
      <c r="Q5473" s="121"/>
      <c r="W5473" s="109"/>
    </row>
    <row r="5474" spans="1:23" ht="12.75" hidden="1">
      <c r="A5474" s="109"/>
      <c r="B5474" s="109"/>
      <c r="C5474" s="109"/>
      <c r="D5474" s="109"/>
      <c r="E5474" s="109"/>
      <c r="F5474" s="109"/>
      <c r="G5474" s="109"/>
      <c r="H5474" s="109"/>
      <c r="I5474" s="109"/>
      <c r="J5474" s="109"/>
      <c r="Q5474" s="121"/>
      <c r="W5474" s="109"/>
    </row>
    <row r="5475" spans="1:23" ht="12.75" hidden="1">
      <c r="A5475" s="109"/>
      <c r="B5475" s="109"/>
      <c r="C5475" s="109"/>
      <c r="D5475" s="109"/>
      <c r="E5475" s="109"/>
      <c r="F5475" s="109"/>
      <c r="G5475" s="109"/>
      <c r="H5475" s="109"/>
      <c r="I5475" s="109"/>
      <c r="J5475" s="109"/>
      <c r="Q5475" s="121"/>
      <c r="W5475" s="109"/>
    </row>
    <row r="5476" spans="1:23" ht="12.75" hidden="1">
      <c r="A5476" s="109"/>
      <c r="B5476" s="109"/>
      <c r="C5476" s="109"/>
      <c r="D5476" s="109"/>
      <c r="E5476" s="109"/>
      <c r="F5476" s="109"/>
      <c r="G5476" s="109"/>
      <c r="H5476" s="109"/>
      <c r="I5476" s="109"/>
      <c r="J5476" s="109"/>
      <c r="Q5476" s="121"/>
      <c r="W5476" s="109"/>
    </row>
    <row r="5477" spans="1:23" ht="12.75" hidden="1">
      <c r="A5477" s="109"/>
      <c r="B5477" s="109"/>
      <c r="C5477" s="109"/>
      <c r="D5477" s="109"/>
      <c r="E5477" s="109"/>
      <c r="F5477" s="109"/>
      <c r="G5477" s="109"/>
      <c r="H5477" s="109"/>
      <c r="I5477" s="109"/>
      <c r="J5477" s="109"/>
      <c r="Q5477" s="121"/>
      <c r="W5477" s="109"/>
    </row>
    <row r="5478" spans="1:23" ht="12.75" hidden="1">
      <c r="A5478" s="109"/>
      <c r="B5478" s="109"/>
      <c r="C5478" s="109"/>
      <c r="D5478" s="109"/>
      <c r="E5478" s="109"/>
      <c r="F5478" s="109"/>
      <c r="G5478" s="109"/>
      <c r="H5478" s="109"/>
      <c r="I5478" s="109"/>
      <c r="J5478" s="109"/>
      <c r="Q5478" s="121"/>
      <c r="W5478" s="109"/>
    </row>
    <row r="5479" spans="1:23" ht="12.75" hidden="1">
      <c r="A5479" s="109"/>
      <c r="B5479" s="109"/>
      <c r="C5479" s="109"/>
      <c r="D5479" s="109"/>
      <c r="E5479" s="109"/>
      <c r="F5479" s="109"/>
      <c r="G5479" s="109"/>
      <c r="H5479" s="109"/>
      <c r="I5479" s="109"/>
      <c r="J5479" s="109"/>
      <c r="Q5479" s="121"/>
      <c r="W5479" s="109"/>
    </row>
    <row r="5480" spans="1:23" ht="12.75" hidden="1">
      <c r="A5480" s="109"/>
      <c r="B5480" s="109"/>
      <c r="C5480" s="109"/>
      <c r="D5480" s="109"/>
      <c r="E5480" s="109"/>
      <c r="F5480" s="109"/>
      <c r="G5480" s="109"/>
      <c r="H5480" s="109"/>
      <c r="I5480" s="109"/>
      <c r="J5480" s="109"/>
      <c r="Q5480" s="121"/>
      <c r="W5480" s="109"/>
    </row>
    <row r="5481" spans="1:23" ht="12.75" hidden="1">
      <c r="A5481" s="109"/>
      <c r="B5481" s="109"/>
      <c r="C5481" s="109"/>
      <c r="D5481" s="109"/>
      <c r="E5481" s="109"/>
      <c r="F5481" s="109"/>
      <c r="G5481" s="109"/>
      <c r="H5481" s="109"/>
      <c r="I5481" s="109"/>
      <c r="J5481" s="109"/>
      <c r="Q5481" s="121"/>
      <c r="W5481" s="109"/>
    </row>
    <row r="5482" spans="1:23" ht="12.75" hidden="1">
      <c r="A5482" s="109"/>
      <c r="B5482" s="109"/>
      <c r="C5482" s="109"/>
      <c r="D5482" s="109"/>
      <c r="E5482" s="109"/>
      <c r="F5482" s="109"/>
      <c r="G5482" s="109"/>
      <c r="H5482" s="109"/>
      <c r="I5482" s="109"/>
      <c r="J5482" s="109"/>
      <c r="Q5482" s="121"/>
      <c r="W5482" s="109"/>
    </row>
    <row r="5483" spans="1:23" ht="12.75" hidden="1">
      <c r="A5483" s="109"/>
      <c r="B5483" s="109"/>
      <c r="C5483" s="109"/>
      <c r="D5483" s="109"/>
      <c r="E5483" s="109"/>
      <c r="F5483" s="109"/>
      <c r="G5483" s="109"/>
      <c r="H5483" s="109"/>
      <c r="I5483" s="109"/>
      <c r="J5483" s="109"/>
      <c r="Q5483" s="121"/>
      <c r="W5483" s="109"/>
    </row>
    <row r="5484" spans="1:23" ht="12.75" hidden="1">
      <c r="A5484" s="109"/>
      <c r="B5484" s="109"/>
      <c r="C5484" s="109"/>
      <c r="D5484" s="109"/>
      <c r="E5484" s="109"/>
      <c r="F5484" s="109"/>
      <c r="G5484" s="109"/>
      <c r="H5484" s="109"/>
      <c r="I5484" s="109"/>
      <c r="J5484" s="109"/>
      <c r="Q5484" s="121"/>
      <c r="W5484" s="109"/>
    </row>
    <row r="5485" spans="1:23" ht="12.75" hidden="1">
      <c r="A5485" s="109"/>
      <c r="B5485" s="109"/>
      <c r="C5485" s="109"/>
      <c r="D5485" s="109"/>
      <c r="E5485" s="109"/>
      <c r="F5485" s="109"/>
      <c r="G5485" s="109"/>
      <c r="H5485" s="109"/>
      <c r="I5485" s="109"/>
      <c r="J5485" s="109"/>
      <c r="Q5485" s="121"/>
      <c r="W5485" s="109"/>
    </row>
    <row r="5486" spans="1:23" ht="12.75" hidden="1">
      <c r="A5486" s="109"/>
      <c r="B5486" s="109"/>
      <c r="C5486" s="109"/>
      <c r="D5486" s="109"/>
      <c r="E5486" s="109"/>
      <c r="F5486" s="109"/>
      <c r="G5486" s="109"/>
      <c r="H5486" s="109"/>
      <c r="I5486" s="109"/>
      <c r="J5486" s="109"/>
      <c r="Q5486" s="121"/>
      <c r="W5486" s="109"/>
    </row>
    <row r="5487" spans="1:23" ht="12.75" hidden="1">
      <c r="A5487" s="109"/>
      <c r="B5487" s="109"/>
      <c r="C5487" s="109"/>
      <c r="D5487" s="109"/>
      <c r="E5487" s="109"/>
      <c r="F5487" s="109"/>
      <c r="G5487" s="109"/>
      <c r="H5487" s="109"/>
      <c r="I5487" s="109"/>
      <c r="J5487" s="109"/>
      <c r="Q5487" s="121"/>
      <c r="W5487" s="109"/>
    </row>
    <row r="5488" spans="1:23" ht="12.75" hidden="1">
      <c r="A5488" s="109"/>
      <c r="B5488" s="109"/>
      <c r="C5488" s="109"/>
      <c r="D5488" s="109"/>
      <c r="E5488" s="109"/>
      <c r="F5488" s="109"/>
      <c r="G5488" s="109"/>
      <c r="H5488" s="109"/>
      <c r="I5488" s="109"/>
      <c r="J5488" s="109"/>
      <c r="Q5488" s="121"/>
      <c r="W5488" s="109"/>
    </row>
    <row r="5489" spans="1:23" ht="12.75" hidden="1">
      <c r="A5489" s="109"/>
      <c r="B5489" s="109"/>
      <c r="C5489" s="109"/>
      <c r="D5489" s="109"/>
      <c r="E5489" s="109"/>
      <c r="F5489" s="109"/>
      <c r="G5489" s="109"/>
      <c r="H5489" s="109"/>
      <c r="I5489" s="109"/>
      <c r="J5489" s="109"/>
      <c r="Q5489" s="121"/>
      <c r="W5489" s="109"/>
    </row>
    <row r="5490" spans="1:23" ht="12.75" hidden="1">
      <c r="A5490" s="109"/>
      <c r="B5490" s="109"/>
      <c r="C5490" s="109"/>
      <c r="D5490" s="109"/>
      <c r="E5490" s="109"/>
      <c r="F5490" s="109"/>
      <c r="G5490" s="109"/>
      <c r="H5490" s="109"/>
      <c r="I5490" s="109"/>
      <c r="J5490" s="109"/>
      <c r="Q5490" s="121"/>
      <c r="W5490" s="109"/>
    </row>
    <row r="5491" spans="1:23" ht="12.75" hidden="1">
      <c r="A5491" s="109"/>
      <c r="B5491" s="109"/>
      <c r="C5491" s="109"/>
      <c r="D5491" s="109"/>
      <c r="E5491" s="109"/>
      <c r="F5491" s="109"/>
      <c r="G5491" s="109"/>
      <c r="H5491" s="109"/>
      <c r="I5491" s="109"/>
      <c r="J5491" s="109"/>
      <c r="Q5491" s="121"/>
      <c r="W5491" s="109"/>
    </row>
    <row r="5492" spans="1:23" ht="12.75" hidden="1">
      <c r="A5492" s="109"/>
      <c r="B5492" s="109"/>
      <c r="C5492" s="109"/>
      <c r="D5492" s="109"/>
      <c r="E5492" s="109"/>
      <c r="F5492" s="109"/>
      <c r="G5492" s="109"/>
      <c r="H5492" s="109"/>
      <c r="I5492" s="109"/>
      <c r="J5492" s="109"/>
      <c r="Q5492" s="121"/>
      <c r="W5492" s="109"/>
    </row>
    <row r="5493" spans="1:23" ht="12.75" hidden="1">
      <c r="A5493" s="109"/>
      <c r="B5493" s="109"/>
      <c r="C5493" s="109"/>
      <c r="D5493" s="109"/>
      <c r="E5493" s="109"/>
      <c r="F5493" s="109"/>
      <c r="G5493" s="109"/>
      <c r="H5493" s="109"/>
      <c r="I5493" s="109"/>
      <c r="J5493" s="109"/>
      <c r="Q5493" s="121"/>
      <c r="W5493" s="109"/>
    </row>
    <row r="5494" spans="1:23" ht="12.75" hidden="1">
      <c r="A5494" s="109"/>
      <c r="B5494" s="109"/>
      <c r="C5494" s="109"/>
      <c r="D5494" s="109"/>
      <c r="E5494" s="109"/>
      <c r="F5494" s="109"/>
      <c r="G5494" s="109"/>
      <c r="H5494" s="109"/>
      <c r="I5494" s="109"/>
      <c r="J5494" s="109"/>
      <c r="Q5494" s="121"/>
      <c r="W5494" s="109"/>
    </row>
    <row r="5495" spans="1:23" ht="12.75" hidden="1">
      <c r="A5495" s="109"/>
      <c r="B5495" s="109"/>
      <c r="C5495" s="109"/>
      <c r="D5495" s="109"/>
      <c r="E5495" s="109"/>
      <c r="F5495" s="109"/>
      <c r="G5495" s="109"/>
      <c r="H5495" s="109"/>
      <c r="I5495" s="109"/>
      <c r="J5495" s="109"/>
      <c r="Q5495" s="121"/>
      <c r="W5495" s="109"/>
    </row>
    <row r="5496" spans="1:23" ht="12.75" hidden="1">
      <c r="A5496" s="109"/>
      <c r="B5496" s="109"/>
      <c r="C5496" s="109"/>
      <c r="D5496" s="109"/>
      <c r="E5496" s="109"/>
      <c r="F5496" s="109"/>
      <c r="G5496" s="109"/>
      <c r="H5496" s="109"/>
      <c r="I5496" s="109"/>
      <c r="J5496" s="109"/>
      <c r="Q5496" s="121"/>
      <c r="W5496" s="109"/>
    </row>
    <row r="5497" spans="1:23" ht="12.75" hidden="1">
      <c r="A5497" s="109"/>
      <c r="B5497" s="109"/>
      <c r="C5497" s="109"/>
      <c r="D5497" s="109"/>
      <c r="E5497" s="109"/>
      <c r="F5497" s="109"/>
      <c r="G5497" s="109"/>
      <c r="H5497" s="109"/>
      <c r="I5497" s="109"/>
      <c r="J5497" s="109"/>
      <c r="Q5497" s="121"/>
      <c r="W5497" s="109"/>
    </row>
    <row r="5498" spans="1:23" ht="12.75" hidden="1">
      <c r="A5498" s="109"/>
      <c r="B5498" s="109"/>
      <c r="C5498" s="109"/>
      <c r="D5498" s="109"/>
      <c r="E5498" s="109"/>
      <c r="F5498" s="109"/>
      <c r="G5498" s="109"/>
      <c r="H5498" s="109"/>
      <c r="I5498" s="109"/>
      <c r="J5498" s="109"/>
      <c r="Q5498" s="121"/>
      <c r="W5498" s="109"/>
    </row>
    <row r="5499" spans="1:23" ht="12.75" hidden="1">
      <c r="A5499" s="109"/>
      <c r="B5499" s="109"/>
      <c r="C5499" s="109"/>
      <c r="D5499" s="109"/>
      <c r="E5499" s="109"/>
      <c r="F5499" s="109"/>
      <c r="G5499" s="109"/>
      <c r="H5499" s="109"/>
      <c r="I5499" s="109"/>
      <c r="J5499" s="109"/>
      <c r="Q5499" s="121"/>
      <c r="W5499" s="109"/>
    </row>
    <row r="5500" spans="1:23" ht="12.75" hidden="1">
      <c r="A5500" s="109"/>
      <c r="B5500" s="109"/>
      <c r="C5500" s="109"/>
      <c r="D5500" s="109"/>
      <c r="E5500" s="109"/>
      <c r="F5500" s="109"/>
      <c r="G5500" s="109"/>
      <c r="H5500" s="109"/>
      <c r="I5500" s="109"/>
      <c r="J5500" s="109"/>
      <c r="Q5500" s="121"/>
      <c r="W5500" s="109"/>
    </row>
    <row r="5501" spans="1:23" ht="12.75" hidden="1">
      <c r="A5501" s="109"/>
      <c r="B5501" s="109"/>
      <c r="C5501" s="109"/>
      <c r="D5501" s="109"/>
      <c r="E5501" s="109"/>
      <c r="F5501" s="109"/>
      <c r="G5501" s="109"/>
      <c r="H5501" s="109"/>
      <c r="I5501" s="109"/>
      <c r="J5501" s="109"/>
      <c r="Q5501" s="121"/>
      <c r="W5501" s="109"/>
    </row>
    <row r="5502" spans="1:23" ht="12.75" hidden="1">
      <c r="A5502" s="109"/>
      <c r="B5502" s="109"/>
      <c r="C5502" s="109"/>
      <c r="D5502" s="109"/>
      <c r="E5502" s="109"/>
      <c r="F5502" s="109"/>
      <c r="G5502" s="109"/>
      <c r="H5502" s="109"/>
      <c r="I5502" s="109"/>
      <c r="J5502" s="109"/>
      <c r="Q5502" s="121"/>
      <c r="W5502" s="109"/>
    </row>
    <row r="5503" spans="1:23" ht="12.75" hidden="1">
      <c r="A5503" s="109"/>
      <c r="B5503" s="109"/>
      <c r="C5503" s="109"/>
      <c r="D5503" s="109"/>
      <c r="E5503" s="109"/>
      <c r="F5503" s="109"/>
      <c r="G5503" s="109"/>
      <c r="H5503" s="109"/>
      <c r="I5503" s="109"/>
      <c r="J5503" s="109"/>
      <c r="Q5503" s="121"/>
      <c r="W5503" s="109"/>
    </row>
    <row r="5504" spans="1:23" ht="12.75" hidden="1">
      <c r="A5504" s="109"/>
      <c r="B5504" s="109"/>
      <c r="C5504" s="109"/>
      <c r="D5504" s="109"/>
      <c r="E5504" s="109"/>
      <c r="F5504" s="109"/>
      <c r="G5504" s="109"/>
      <c r="H5504" s="109"/>
      <c r="I5504" s="109"/>
      <c r="J5504" s="109"/>
      <c r="Q5504" s="121"/>
      <c r="W5504" s="109"/>
    </row>
    <row r="5505" spans="1:23" ht="12.75" hidden="1">
      <c r="A5505" s="109"/>
      <c r="B5505" s="109"/>
      <c r="C5505" s="109"/>
      <c r="D5505" s="109"/>
      <c r="E5505" s="109"/>
      <c r="F5505" s="109"/>
      <c r="G5505" s="109"/>
      <c r="H5505" s="109"/>
      <c r="I5505" s="109"/>
      <c r="J5505" s="109"/>
      <c r="Q5505" s="121"/>
      <c r="W5505" s="109"/>
    </row>
    <row r="5506" spans="1:23" ht="12.75" hidden="1">
      <c r="A5506" s="109"/>
      <c r="B5506" s="109"/>
      <c r="C5506" s="109"/>
      <c r="D5506" s="109"/>
      <c r="E5506" s="109"/>
      <c r="F5506" s="109"/>
      <c r="G5506" s="109"/>
      <c r="H5506" s="109"/>
      <c r="I5506" s="109"/>
      <c r="J5506" s="109"/>
      <c r="Q5506" s="121"/>
      <c r="W5506" s="109"/>
    </row>
    <row r="5507" spans="1:23" ht="12.75" hidden="1">
      <c r="A5507" s="109"/>
      <c r="B5507" s="109"/>
      <c r="C5507" s="109"/>
      <c r="D5507" s="109"/>
      <c r="E5507" s="109"/>
      <c r="F5507" s="109"/>
      <c r="G5507" s="109"/>
      <c r="H5507" s="109"/>
      <c r="I5507" s="109"/>
      <c r="J5507" s="109"/>
      <c r="Q5507" s="121"/>
      <c r="W5507" s="109"/>
    </row>
    <row r="5508" spans="1:23" ht="12.75" hidden="1">
      <c r="A5508" s="109"/>
      <c r="B5508" s="109"/>
      <c r="C5508" s="109"/>
      <c r="D5508" s="109"/>
      <c r="E5508" s="109"/>
      <c r="F5508" s="109"/>
      <c r="G5508" s="109"/>
      <c r="H5508" s="109"/>
      <c r="I5508" s="109"/>
      <c r="J5508" s="109"/>
      <c r="Q5508" s="121"/>
      <c r="W5508" s="109"/>
    </row>
    <row r="5509" spans="1:23" ht="12.75" hidden="1">
      <c r="A5509" s="109"/>
      <c r="B5509" s="109"/>
      <c r="C5509" s="109"/>
      <c r="D5509" s="109"/>
      <c r="E5509" s="109"/>
      <c r="F5509" s="109"/>
      <c r="G5509" s="109"/>
      <c r="H5509" s="109"/>
      <c r="I5509" s="109"/>
      <c r="J5509" s="109"/>
      <c r="Q5509" s="121"/>
      <c r="W5509" s="109"/>
    </row>
    <row r="5510" spans="1:23" ht="12.75" hidden="1">
      <c r="A5510" s="109"/>
      <c r="B5510" s="109"/>
      <c r="C5510" s="109"/>
      <c r="D5510" s="109"/>
      <c r="E5510" s="109"/>
      <c r="F5510" s="109"/>
      <c r="G5510" s="109"/>
      <c r="H5510" s="109"/>
      <c r="I5510" s="109"/>
      <c r="J5510" s="109"/>
      <c r="Q5510" s="121"/>
      <c r="W5510" s="109"/>
    </row>
    <row r="5511" spans="1:23" ht="12.75" hidden="1">
      <c r="A5511" s="109"/>
      <c r="B5511" s="109"/>
      <c r="C5511" s="109"/>
      <c r="D5511" s="109"/>
      <c r="E5511" s="109"/>
      <c r="F5511" s="109"/>
      <c r="G5511" s="109"/>
      <c r="H5511" s="109"/>
      <c r="I5511" s="109"/>
      <c r="J5511" s="109"/>
      <c r="Q5511" s="121"/>
      <c r="W5511" s="109"/>
    </row>
    <row r="5512" spans="1:23" ht="12.75" hidden="1">
      <c r="A5512" s="109"/>
      <c r="B5512" s="109"/>
      <c r="C5512" s="109"/>
      <c r="D5512" s="109"/>
      <c r="E5512" s="109"/>
      <c r="F5512" s="109"/>
      <c r="G5512" s="109"/>
      <c r="H5512" s="109"/>
      <c r="I5512" s="109"/>
      <c r="J5512" s="109"/>
      <c r="Q5512" s="121"/>
      <c r="W5512" s="109"/>
    </row>
    <row r="5513" spans="1:23" ht="12.75" hidden="1">
      <c r="A5513" s="109"/>
      <c r="B5513" s="109"/>
      <c r="C5513" s="109"/>
      <c r="D5513" s="109"/>
      <c r="E5513" s="109"/>
      <c r="F5513" s="109"/>
      <c r="G5513" s="109"/>
      <c r="H5513" s="109"/>
      <c r="I5513" s="109"/>
      <c r="J5513" s="109"/>
      <c r="Q5513" s="121"/>
      <c r="W5513" s="109"/>
    </row>
    <row r="5514" spans="1:23" ht="12.75" hidden="1">
      <c r="A5514" s="109"/>
      <c r="B5514" s="109"/>
      <c r="C5514" s="109"/>
      <c r="D5514" s="109"/>
      <c r="E5514" s="109"/>
      <c r="F5514" s="109"/>
      <c r="G5514" s="109"/>
      <c r="H5514" s="109"/>
      <c r="I5514" s="109"/>
      <c r="J5514" s="109"/>
      <c r="Q5514" s="121"/>
      <c r="W5514" s="109"/>
    </row>
    <row r="5515" spans="1:23" ht="12.75" hidden="1">
      <c r="A5515" s="109"/>
      <c r="B5515" s="109"/>
      <c r="C5515" s="109"/>
      <c r="D5515" s="109"/>
      <c r="E5515" s="109"/>
      <c r="F5515" s="109"/>
      <c r="G5515" s="109"/>
      <c r="H5515" s="109"/>
      <c r="I5515" s="109"/>
      <c r="J5515" s="109"/>
      <c r="Q5515" s="121"/>
      <c r="W5515" s="109"/>
    </row>
    <row r="5516" spans="1:23" ht="12.75" hidden="1">
      <c r="A5516" s="109"/>
      <c r="B5516" s="109"/>
      <c r="C5516" s="109"/>
      <c r="D5516" s="109"/>
      <c r="E5516" s="109"/>
      <c r="F5516" s="109"/>
      <c r="G5516" s="109"/>
      <c r="H5516" s="109"/>
      <c r="I5516" s="109"/>
      <c r="J5516" s="109"/>
      <c r="Q5516" s="121"/>
      <c r="W5516" s="109"/>
    </row>
    <row r="5517" spans="1:23" ht="12.75" hidden="1">
      <c r="A5517" s="109"/>
      <c r="B5517" s="109"/>
      <c r="C5517" s="109"/>
      <c r="D5517" s="109"/>
      <c r="E5517" s="109"/>
      <c r="F5517" s="109"/>
      <c r="G5517" s="109"/>
      <c r="H5517" s="109"/>
      <c r="I5517" s="109"/>
      <c r="J5517" s="109"/>
      <c r="Q5517" s="121"/>
      <c r="W5517" s="109"/>
    </row>
    <row r="5518" spans="1:23" ht="12.75" hidden="1">
      <c r="A5518" s="109"/>
      <c r="B5518" s="109"/>
      <c r="C5518" s="109"/>
      <c r="D5518" s="109"/>
      <c r="E5518" s="109"/>
      <c r="F5518" s="109"/>
      <c r="G5518" s="109"/>
      <c r="H5518" s="109"/>
      <c r="I5518" s="109"/>
      <c r="J5518" s="109"/>
      <c r="Q5518" s="121"/>
      <c r="W5518" s="109"/>
    </row>
    <row r="5519" spans="1:23" ht="12.75" hidden="1">
      <c r="A5519" s="109"/>
      <c r="B5519" s="109"/>
      <c r="C5519" s="109"/>
      <c r="D5519" s="109"/>
      <c r="E5519" s="109"/>
      <c r="F5519" s="109"/>
      <c r="G5519" s="109"/>
      <c r="H5519" s="109"/>
      <c r="I5519" s="109"/>
      <c r="J5519" s="109"/>
      <c r="Q5519" s="121"/>
      <c r="W5519" s="109"/>
    </row>
    <row r="5520" spans="1:23" ht="12.75" hidden="1">
      <c r="A5520" s="109"/>
      <c r="B5520" s="109"/>
      <c r="C5520" s="109"/>
      <c r="D5520" s="109"/>
      <c r="E5520" s="109"/>
      <c r="F5520" s="109"/>
      <c r="G5520" s="109"/>
      <c r="H5520" s="109"/>
      <c r="I5520" s="109"/>
      <c r="J5520" s="109"/>
      <c r="Q5520" s="121"/>
      <c r="W5520" s="109"/>
    </row>
    <row r="5521" spans="1:23" ht="12.75" hidden="1">
      <c r="A5521" s="109"/>
      <c r="B5521" s="109"/>
      <c r="C5521" s="109"/>
      <c r="D5521" s="109"/>
      <c r="E5521" s="109"/>
      <c r="F5521" s="109"/>
      <c r="G5521" s="109"/>
      <c r="H5521" s="109"/>
      <c r="I5521" s="109"/>
      <c r="J5521" s="109"/>
      <c r="Q5521" s="121"/>
      <c r="W5521" s="109"/>
    </row>
    <row r="5522" spans="1:23" ht="12.75" hidden="1">
      <c r="A5522" s="109"/>
      <c r="B5522" s="109"/>
      <c r="C5522" s="109"/>
      <c r="D5522" s="109"/>
      <c r="E5522" s="109"/>
      <c r="F5522" s="109"/>
      <c r="G5522" s="109"/>
      <c r="H5522" s="109"/>
      <c r="I5522" s="109"/>
      <c r="J5522" s="109"/>
      <c r="Q5522" s="121"/>
      <c r="W5522" s="109"/>
    </row>
    <row r="5523" spans="1:23" ht="12.75" hidden="1">
      <c r="A5523" s="109"/>
      <c r="B5523" s="109"/>
      <c r="C5523" s="109"/>
      <c r="D5523" s="109"/>
      <c r="E5523" s="109"/>
      <c r="F5523" s="109"/>
      <c r="G5523" s="109"/>
      <c r="H5523" s="109"/>
      <c r="I5523" s="109"/>
      <c r="J5523" s="109"/>
      <c r="Q5523" s="121"/>
      <c r="W5523" s="109"/>
    </row>
    <row r="5524" spans="1:23" ht="12.75" hidden="1">
      <c r="A5524" s="109"/>
      <c r="B5524" s="109"/>
      <c r="C5524" s="109"/>
      <c r="D5524" s="109"/>
      <c r="E5524" s="109"/>
      <c r="F5524" s="109"/>
      <c r="G5524" s="109"/>
      <c r="H5524" s="109"/>
      <c r="I5524" s="109"/>
      <c r="J5524" s="109"/>
      <c r="Q5524" s="121"/>
      <c r="W5524" s="109"/>
    </row>
    <row r="5525" spans="1:23" ht="12.75" hidden="1">
      <c r="A5525" s="109"/>
      <c r="B5525" s="109"/>
      <c r="C5525" s="109"/>
      <c r="D5525" s="109"/>
      <c r="E5525" s="109"/>
      <c r="F5525" s="109"/>
      <c r="G5525" s="109"/>
      <c r="H5525" s="109"/>
      <c r="I5525" s="109"/>
      <c r="J5525" s="109"/>
      <c r="Q5525" s="121"/>
      <c r="W5525" s="109"/>
    </row>
    <row r="5526" spans="1:23" ht="12.75" hidden="1">
      <c r="A5526" s="109"/>
      <c r="B5526" s="109"/>
      <c r="C5526" s="109"/>
      <c r="D5526" s="109"/>
      <c r="E5526" s="109"/>
      <c r="F5526" s="109"/>
      <c r="G5526" s="109"/>
      <c r="H5526" s="109"/>
      <c r="I5526" s="109"/>
      <c r="J5526" s="109"/>
      <c r="Q5526" s="121"/>
      <c r="W5526" s="109"/>
    </row>
    <row r="5527" spans="1:23" ht="12.75" hidden="1">
      <c r="A5527" s="109"/>
      <c r="B5527" s="109"/>
      <c r="C5527" s="109"/>
      <c r="D5527" s="109"/>
      <c r="E5527" s="109"/>
      <c r="F5527" s="109"/>
      <c r="G5527" s="109"/>
      <c r="H5527" s="109"/>
      <c r="I5527" s="109"/>
      <c r="J5527" s="109"/>
      <c r="Q5527" s="121"/>
      <c r="W5527" s="109"/>
    </row>
    <row r="5528" spans="1:23" ht="12.75" hidden="1">
      <c r="A5528" s="109"/>
      <c r="B5528" s="109"/>
      <c r="C5528" s="109"/>
      <c r="D5528" s="109"/>
      <c r="E5528" s="109"/>
      <c r="F5528" s="109"/>
      <c r="G5528" s="109"/>
      <c r="H5528" s="109"/>
      <c r="I5528" s="109"/>
      <c r="J5528" s="109"/>
      <c r="Q5528" s="121"/>
      <c r="W5528" s="109"/>
    </row>
    <row r="5529" spans="1:23" ht="12.75" hidden="1">
      <c r="A5529" s="109"/>
      <c r="B5529" s="109"/>
      <c r="C5529" s="109"/>
      <c r="D5529" s="109"/>
      <c r="E5529" s="109"/>
      <c r="F5529" s="109"/>
      <c r="G5529" s="109"/>
      <c r="H5529" s="109"/>
      <c r="I5529" s="109"/>
      <c r="J5529" s="109"/>
      <c r="Q5529" s="121"/>
      <c r="W5529" s="109"/>
    </row>
    <row r="5530" spans="1:23" ht="12.75" hidden="1">
      <c r="A5530" s="109"/>
      <c r="B5530" s="109"/>
      <c r="C5530" s="109"/>
      <c r="D5530" s="109"/>
      <c r="E5530" s="109"/>
      <c r="F5530" s="109"/>
      <c r="G5530" s="109"/>
      <c r="H5530" s="109"/>
      <c r="I5530" s="109"/>
      <c r="J5530" s="109"/>
      <c r="Q5530" s="121"/>
      <c r="W5530" s="109"/>
    </row>
    <row r="5531" spans="1:23" ht="12.75" hidden="1">
      <c r="A5531" s="109"/>
      <c r="B5531" s="109"/>
      <c r="C5531" s="109"/>
      <c r="D5531" s="109"/>
      <c r="E5531" s="109"/>
      <c r="F5531" s="109"/>
      <c r="G5531" s="109"/>
      <c r="H5531" s="109"/>
      <c r="I5531" s="109"/>
      <c r="J5531" s="109"/>
      <c r="Q5531" s="121"/>
      <c r="W5531" s="109"/>
    </row>
    <row r="5532" spans="1:23" ht="12.75" hidden="1">
      <c r="A5532" s="109"/>
      <c r="B5532" s="109"/>
      <c r="C5532" s="109"/>
      <c r="D5532" s="109"/>
      <c r="E5532" s="109"/>
      <c r="F5532" s="109"/>
      <c r="G5532" s="109"/>
      <c r="H5532" s="109"/>
      <c r="I5532" s="109"/>
      <c r="J5532" s="109"/>
      <c r="Q5532" s="121"/>
      <c r="W5532" s="109"/>
    </row>
    <row r="5533" spans="1:23" ht="12.75" hidden="1">
      <c r="A5533" s="109"/>
      <c r="B5533" s="109"/>
      <c r="C5533" s="109"/>
      <c r="D5533" s="109"/>
      <c r="E5533" s="109"/>
      <c r="F5533" s="109"/>
      <c r="G5533" s="109"/>
      <c r="H5533" s="109"/>
      <c r="I5533" s="109"/>
      <c r="J5533" s="109"/>
      <c r="Q5533" s="121"/>
      <c r="W5533" s="109"/>
    </row>
    <row r="5534" spans="1:23" ht="12.75" hidden="1">
      <c r="A5534" s="109"/>
      <c r="B5534" s="109"/>
      <c r="C5534" s="109"/>
      <c r="D5534" s="109"/>
      <c r="E5534" s="109"/>
      <c r="F5534" s="109"/>
      <c r="G5534" s="109"/>
      <c r="H5534" s="109"/>
      <c r="I5534" s="109"/>
      <c r="J5534" s="109"/>
      <c r="Q5534" s="121"/>
      <c r="W5534" s="109"/>
    </row>
    <row r="5535" spans="1:23" ht="12.75" hidden="1">
      <c r="A5535" s="109"/>
      <c r="B5535" s="109"/>
      <c r="C5535" s="109"/>
      <c r="D5535" s="109"/>
      <c r="E5535" s="109"/>
      <c r="F5535" s="109"/>
      <c r="G5535" s="109"/>
      <c r="H5535" s="109"/>
      <c r="I5535" s="109"/>
      <c r="J5535" s="109"/>
      <c r="Q5535" s="121"/>
      <c r="W5535" s="109"/>
    </row>
    <row r="5536" spans="1:23" ht="12.75" hidden="1">
      <c r="A5536" s="109"/>
      <c r="B5536" s="109"/>
      <c r="C5536" s="109"/>
      <c r="D5536" s="109"/>
      <c r="E5536" s="109"/>
      <c r="F5536" s="109"/>
      <c r="G5536" s="109"/>
      <c r="H5536" s="109"/>
      <c r="I5536" s="109"/>
      <c r="J5536" s="109"/>
      <c r="Q5536" s="121"/>
      <c r="W5536" s="109"/>
    </row>
    <row r="5537" spans="1:23" ht="12.75" hidden="1">
      <c r="A5537" s="109"/>
      <c r="B5537" s="109"/>
      <c r="C5537" s="109"/>
      <c r="D5537" s="109"/>
      <c r="E5537" s="109"/>
      <c r="F5537" s="109"/>
      <c r="G5537" s="109"/>
      <c r="H5537" s="109"/>
      <c r="I5537" s="109"/>
      <c r="J5537" s="109"/>
      <c r="Q5537" s="121"/>
      <c r="W5537" s="109"/>
    </row>
    <row r="5538" spans="1:23" ht="12.75" hidden="1">
      <c r="A5538" s="109"/>
      <c r="B5538" s="109"/>
      <c r="C5538" s="109"/>
      <c r="D5538" s="109"/>
      <c r="E5538" s="109"/>
      <c r="F5538" s="109"/>
      <c r="G5538" s="109"/>
      <c r="H5538" s="109"/>
      <c r="I5538" s="109"/>
      <c r="J5538" s="109"/>
      <c r="Q5538" s="121"/>
      <c r="W5538" s="109"/>
    </row>
    <row r="5539" spans="1:23" ht="12.75" hidden="1">
      <c r="A5539" s="109"/>
      <c r="B5539" s="109"/>
      <c r="C5539" s="109"/>
      <c r="D5539" s="109"/>
      <c r="E5539" s="109"/>
      <c r="F5539" s="109"/>
      <c r="G5539" s="109"/>
      <c r="H5539" s="109"/>
      <c r="I5539" s="109"/>
      <c r="J5539" s="109"/>
      <c r="Q5539" s="121"/>
      <c r="W5539" s="109"/>
    </row>
    <row r="5540" spans="1:23" ht="12.75" hidden="1">
      <c r="A5540" s="109"/>
      <c r="B5540" s="109"/>
      <c r="C5540" s="109"/>
      <c r="D5540" s="109"/>
      <c r="E5540" s="109"/>
      <c r="F5540" s="109"/>
      <c r="G5540" s="109"/>
      <c r="H5540" s="109"/>
      <c r="I5540" s="109"/>
      <c r="J5540" s="109"/>
      <c r="Q5540" s="121"/>
      <c r="W5540" s="109"/>
    </row>
    <row r="5541" spans="1:23" ht="12.75" hidden="1">
      <c r="A5541" s="109"/>
      <c r="B5541" s="109"/>
      <c r="C5541" s="109"/>
      <c r="D5541" s="109"/>
      <c r="E5541" s="109"/>
      <c r="F5541" s="109"/>
      <c r="G5541" s="109"/>
      <c r="H5541" s="109"/>
      <c r="I5541" s="109"/>
      <c r="J5541" s="109"/>
      <c r="Q5541" s="121"/>
      <c r="W5541" s="109"/>
    </row>
    <row r="5542" spans="1:23" ht="12.75" hidden="1">
      <c r="A5542" s="109"/>
      <c r="B5542" s="109"/>
      <c r="C5542" s="109"/>
      <c r="D5542" s="109"/>
      <c r="E5542" s="109"/>
      <c r="F5542" s="109"/>
      <c r="G5542" s="109"/>
      <c r="H5542" s="109"/>
      <c r="I5542" s="109"/>
      <c r="J5542" s="109"/>
      <c r="Q5542" s="121"/>
      <c r="W5542" s="109"/>
    </row>
    <row r="5543" spans="1:23" ht="12.75" hidden="1">
      <c r="A5543" s="109"/>
      <c r="B5543" s="109"/>
      <c r="C5543" s="109"/>
      <c r="D5543" s="109"/>
      <c r="E5543" s="109"/>
      <c r="F5543" s="109"/>
      <c r="G5543" s="109"/>
      <c r="H5543" s="109"/>
      <c r="I5543" s="109"/>
      <c r="J5543" s="109"/>
      <c r="Q5543" s="121"/>
      <c r="W5543" s="109"/>
    </row>
    <row r="5544" spans="1:23" ht="12.75" hidden="1">
      <c r="A5544" s="109"/>
      <c r="B5544" s="109"/>
      <c r="C5544" s="109"/>
      <c r="D5544" s="109"/>
      <c r="E5544" s="109"/>
      <c r="F5544" s="109"/>
      <c r="G5544" s="109"/>
      <c r="H5544" s="109"/>
      <c r="I5544" s="109"/>
      <c r="J5544" s="109"/>
      <c r="Q5544" s="121"/>
      <c r="W5544" s="109"/>
    </row>
    <row r="5545" spans="1:23" ht="12.75" hidden="1">
      <c r="A5545" s="109"/>
      <c r="B5545" s="109"/>
      <c r="C5545" s="109"/>
      <c r="D5545" s="109"/>
      <c r="E5545" s="109"/>
      <c r="F5545" s="109"/>
      <c r="G5545" s="109"/>
      <c r="H5545" s="109"/>
      <c r="I5545" s="109"/>
      <c r="J5545" s="109"/>
      <c r="Q5545" s="121"/>
      <c r="W5545" s="109"/>
    </row>
    <row r="5546" spans="1:23" ht="12.75" hidden="1">
      <c r="A5546" s="109"/>
      <c r="B5546" s="109"/>
      <c r="C5546" s="109"/>
      <c r="D5546" s="109"/>
      <c r="E5546" s="109"/>
      <c r="F5546" s="109"/>
      <c r="G5546" s="109"/>
      <c r="H5546" s="109"/>
      <c r="I5546" s="109"/>
      <c r="J5546" s="109"/>
      <c r="Q5546" s="121"/>
      <c r="W5546" s="109"/>
    </row>
    <row r="5547" spans="1:23" ht="12.75" hidden="1">
      <c r="A5547" s="109"/>
      <c r="B5547" s="109"/>
      <c r="C5547" s="109"/>
      <c r="D5547" s="109"/>
      <c r="E5547" s="109"/>
      <c r="F5547" s="109"/>
      <c r="G5547" s="109"/>
      <c r="H5547" s="109"/>
      <c r="I5547" s="109"/>
      <c r="J5547" s="109"/>
      <c r="Q5547" s="121"/>
      <c r="W5547" s="109"/>
    </row>
    <row r="5548" spans="1:23" ht="12.75" hidden="1">
      <c r="A5548" s="109"/>
      <c r="B5548" s="109"/>
      <c r="C5548" s="109"/>
      <c r="D5548" s="109"/>
      <c r="E5548" s="109"/>
      <c r="F5548" s="109"/>
      <c r="G5548" s="109"/>
      <c r="H5548" s="109"/>
      <c r="I5548" s="109"/>
      <c r="J5548" s="109"/>
      <c r="Q5548" s="121"/>
      <c r="W5548" s="109"/>
    </row>
    <row r="5549" spans="1:23" ht="12.75" hidden="1">
      <c r="A5549" s="109"/>
      <c r="B5549" s="109"/>
      <c r="C5549" s="109"/>
      <c r="D5549" s="109"/>
      <c r="E5549" s="109"/>
      <c r="F5549" s="109"/>
      <c r="G5549" s="109"/>
      <c r="H5549" s="109"/>
      <c r="I5549" s="109"/>
      <c r="J5549" s="109"/>
      <c r="Q5549" s="121"/>
      <c r="W5549" s="109"/>
    </row>
    <row r="5550" spans="1:23" ht="12.75" hidden="1">
      <c r="A5550" s="109"/>
      <c r="B5550" s="109"/>
      <c r="C5550" s="109"/>
      <c r="D5550" s="109"/>
      <c r="E5550" s="109"/>
      <c r="F5550" s="109"/>
      <c r="G5550" s="109"/>
      <c r="H5550" s="109"/>
      <c r="I5550" s="109"/>
      <c r="J5550" s="109"/>
      <c r="Q5550" s="121"/>
      <c r="W5550" s="109"/>
    </row>
    <row r="5551" spans="1:23" ht="12.75" hidden="1">
      <c r="A5551" s="109"/>
      <c r="B5551" s="109"/>
      <c r="C5551" s="109"/>
      <c r="D5551" s="109"/>
      <c r="E5551" s="109"/>
      <c r="F5551" s="109"/>
      <c r="G5551" s="109"/>
      <c r="H5551" s="109"/>
      <c r="I5551" s="109"/>
      <c r="J5551" s="109"/>
      <c r="Q5551" s="121"/>
      <c r="W5551" s="109"/>
    </row>
    <row r="5552" spans="1:23" ht="12.75" hidden="1">
      <c r="A5552" s="109"/>
      <c r="B5552" s="109"/>
      <c r="C5552" s="109"/>
      <c r="D5552" s="109"/>
      <c r="E5552" s="109"/>
      <c r="F5552" s="109"/>
      <c r="G5552" s="109"/>
      <c r="H5552" s="109"/>
      <c r="I5552" s="109"/>
      <c r="J5552" s="109"/>
      <c r="Q5552" s="121"/>
      <c r="W5552" s="109"/>
    </row>
    <row r="5553" spans="1:23" ht="12.75" hidden="1">
      <c r="A5553" s="109"/>
      <c r="B5553" s="109"/>
      <c r="C5553" s="109"/>
      <c r="D5553" s="109"/>
      <c r="E5553" s="109"/>
      <c r="F5553" s="109"/>
      <c r="G5553" s="109"/>
      <c r="H5553" s="109"/>
      <c r="I5553" s="109"/>
      <c r="J5553" s="109"/>
      <c r="Q5553" s="121"/>
      <c r="W5553" s="109"/>
    </row>
    <row r="5554" spans="1:23" ht="12.75" hidden="1">
      <c r="A5554" s="109"/>
      <c r="B5554" s="109"/>
      <c r="C5554" s="109"/>
      <c r="D5554" s="109"/>
      <c r="E5554" s="109"/>
      <c r="F5554" s="109"/>
      <c r="G5554" s="109"/>
      <c r="H5554" s="109"/>
      <c r="I5554" s="109"/>
      <c r="J5554" s="109"/>
      <c r="Q5554" s="121"/>
      <c r="W5554" s="109"/>
    </row>
    <row r="5555" spans="1:23" ht="12.75" hidden="1">
      <c r="A5555" s="109"/>
      <c r="B5555" s="109"/>
      <c r="C5555" s="109"/>
      <c r="D5555" s="109"/>
      <c r="E5555" s="109"/>
      <c r="F5555" s="109"/>
      <c r="G5555" s="109"/>
      <c r="H5555" s="109"/>
      <c r="I5555" s="109"/>
      <c r="J5555" s="109"/>
      <c r="Q5555" s="121"/>
      <c r="W5555" s="109"/>
    </row>
    <row r="5556" spans="1:23" ht="12.75" hidden="1">
      <c r="A5556" s="109"/>
      <c r="B5556" s="109"/>
      <c r="C5556" s="109"/>
      <c r="D5556" s="109"/>
      <c r="E5556" s="109"/>
      <c r="F5556" s="109"/>
      <c r="G5556" s="109"/>
      <c r="H5556" s="109"/>
      <c r="I5556" s="109"/>
      <c r="J5556" s="109"/>
      <c r="Q5556" s="121"/>
      <c r="W5556" s="109"/>
    </row>
    <row r="5557" spans="1:23" ht="12.75" hidden="1">
      <c r="A5557" s="109"/>
      <c r="B5557" s="109"/>
      <c r="C5557" s="109"/>
      <c r="D5557" s="109"/>
      <c r="E5557" s="109"/>
      <c r="F5557" s="109"/>
      <c r="G5557" s="109"/>
      <c r="H5557" s="109"/>
      <c r="I5557" s="109"/>
      <c r="J5557" s="109"/>
      <c r="Q5557" s="121"/>
      <c r="W5557" s="109"/>
    </row>
    <row r="5558" spans="1:23" ht="12.75" hidden="1">
      <c r="A5558" s="109"/>
      <c r="B5558" s="109"/>
      <c r="C5558" s="109"/>
      <c r="D5558" s="109"/>
      <c r="E5558" s="109"/>
      <c r="F5558" s="109"/>
      <c r="G5558" s="109"/>
      <c r="H5558" s="109"/>
      <c r="I5558" s="109"/>
      <c r="J5558" s="109"/>
      <c r="Q5558" s="121"/>
      <c r="W5558" s="109"/>
    </row>
    <row r="5559" spans="1:23" ht="12.75" hidden="1">
      <c r="A5559" s="109"/>
      <c r="B5559" s="109"/>
      <c r="C5559" s="109"/>
      <c r="D5559" s="109"/>
      <c r="E5559" s="109"/>
      <c r="F5559" s="109"/>
      <c r="G5559" s="109"/>
      <c r="H5559" s="109"/>
      <c r="I5559" s="109"/>
      <c r="J5559" s="109"/>
      <c r="Q5559" s="121"/>
      <c r="W5559" s="109"/>
    </row>
    <row r="5560" spans="1:23" ht="12.75" hidden="1">
      <c r="A5560" s="109"/>
      <c r="B5560" s="109"/>
      <c r="C5560" s="109"/>
      <c r="D5560" s="109"/>
      <c r="E5560" s="109"/>
      <c r="F5560" s="109"/>
      <c r="G5560" s="109"/>
      <c r="H5560" s="109"/>
      <c r="I5560" s="109"/>
      <c r="J5560" s="109"/>
      <c r="Q5560" s="121"/>
      <c r="W5560" s="109"/>
    </row>
    <row r="5561" spans="1:23" ht="12.75" hidden="1">
      <c r="A5561" s="109"/>
      <c r="B5561" s="109"/>
      <c r="C5561" s="109"/>
      <c r="D5561" s="109"/>
      <c r="E5561" s="109"/>
      <c r="F5561" s="109"/>
      <c r="G5561" s="109"/>
      <c r="H5561" s="109"/>
      <c r="I5561" s="109"/>
      <c r="J5561" s="109"/>
      <c r="Q5561" s="121"/>
      <c r="W5561" s="109"/>
    </row>
    <row r="5562" spans="1:23" ht="12.75" hidden="1">
      <c r="A5562" s="109"/>
      <c r="B5562" s="109"/>
      <c r="C5562" s="109"/>
      <c r="D5562" s="109"/>
      <c r="E5562" s="109"/>
      <c r="F5562" s="109"/>
      <c r="G5562" s="109"/>
      <c r="H5562" s="109"/>
      <c r="I5562" s="109"/>
      <c r="J5562" s="109"/>
      <c r="Q5562" s="121"/>
      <c r="W5562" s="109"/>
    </row>
    <row r="5563" spans="1:23" ht="12.75" hidden="1">
      <c r="A5563" s="109"/>
      <c r="B5563" s="109"/>
      <c r="C5563" s="109"/>
      <c r="D5563" s="109"/>
      <c r="E5563" s="109"/>
      <c r="F5563" s="109"/>
      <c r="G5563" s="109"/>
      <c r="H5563" s="109"/>
      <c r="I5563" s="109"/>
      <c r="J5563" s="109"/>
      <c r="Q5563" s="121"/>
      <c r="W5563" s="109"/>
    </row>
    <row r="5564" spans="1:23" ht="12.75" hidden="1">
      <c r="A5564" s="109"/>
      <c r="B5564" s="109"/>
      <c r="C5564" s="109"/>
      <c r="D5564" s="109"/>
      <c r="E5564" s="109"/>
      <c r="F5564" s="109"/>
      <c r="G5564" s="109"/>
      <c r="H5564" s="109"/>
      <c r="I5564" s="109"/>
      <c r="J5564" s="109"/>
      <c r="Q5564" s="121"/>
      <c r="W5564" s="109"/>
    </row>
    <row r="5565" spans="1:23" ht="12.75" hidden="1">
      <c r="A5565" s="109"/>
      <c r="B5565" s="109"/>
      <c r="C5565" s="109"/>
      <c r="D5565" s="109"/>
      <c r="E5565" s="109"/>
      <c r="F5565" s="109"/>
      <c r="G5565" s="109"/>
      <c r="H5565" s="109"/>
      <c r="I5565" s="109"/>
      <c r="J5565" s="109"/>
      <c r="Q5565" s="121"/>
      <c r="W5565" s="109"/>
    </row>
    <row r="5566" spans="1:23" ht="12.75" hidden="1">
      <c r="A5566" s="109"/>
      <c r="B5566" s="109"/>
      <c r="C5566" s="109"/>
      <c r="D5566" s="109"/>
      <c r="E5566" s="109"/>
      <c r="F5566" s="109"/>
      <c r="G5566" s="109"/>
      <c r="H5566" s="109"/>
      <c r="I5566" s="109"/>
      <c r="J5566" s="109"/>
      <c r="Q5566" s="121"/>
      <c r="W5566" s="109"/>
    </row>
    <row r="5567" spans="1:23" ht="12.75" hidden="1">
      <c r="A5567" s="109"/>
      <c r="B5567" s="109"/>
      <c r="C5567" s="109"/>
      <c r="D5567" s="109"/>
      <c r="E5567" s="109"/>
      <c r="F5567" s="109"/>
      <c r="G5567" s="109"/>
      <c r="H5567" s="109"/>
      <c r="I5567" s="109"/>
      <c r="J5567" s="109"/>
      <c r="Q5567" s="121"/>
      <c r="W5567" s="109"/>
    </row>
    <row r="5568" spans="1:23" ht="12.75" hidden="1">
      <c r="A5568" s="109"/>
      <c r="B5568" s="109"/>
      <c r="C5568" s="109"/>
      <c r="D5568" s="109"/>
      <c r="E5568" s="109"/>
      <c r="F5568" s="109"/>
      <c r="G5568" s="109"/>
      <c r="H5568" s="109"/>
      <c r="I5568" s="109"/>
      <c r="J5568" s="109"/>
      <c r="Q5568" s="121"/>
      <c r="W5568" s="109"/>
    </row>
    <row r="5569" spans="1:23" ht="12.75" hidden="1">
      <c r="A5569" s="109"/>
      <c r="B5569" s="109"/>
      <c r="C5569" s="109"/>
      <c r="D5569" s="109"/>
      <c r="E5569" s="109"/>
      <c r="F5569" s="109"/>
      <c r="G5569" s="109"/>
      <c r="H5569" s="109"/>
      <c r="I5569" s="109"/>
      <c r="J5569" s="109"/>
      <c r="Q5569" s="121"/>
      <c r="W5569" s="109"/>
    </row>
    <row r="5570" spans="1:23" ht="12.75" hidden="1">
      <c r="A5570" s="109"/>
      <c r="B5570" s="109"/>
      <c r="C5570" s="109"/>
      <c r="D5570" s="109"/>
      <c r="E5570" s="109"/>
      <c r="F5570" s="109"/>
      <c r="G5570" s="109"/>
      <c r="H5570" s="109"/>
      <c r="I5570" s="109"/>
      <c r="J5570" s="109"/>
      <c r="Q5570" s="121"/>
      <c r="W5570" s="109"/>
    </row>
    <row r="5571" spans="1:23" ht="12.75" hidden="1">
      <c r="A5571" s="109"/>
      <c r="B5571" s="109"/>
      <c r="C5571" s="109"/>
      <c r="D5571" s="109"/>
      <c r="E5571" s="109"/>
      <c r="F5571" s="109"/>
      <c r="G5571" s="109"/>
      <c r="H5571" s="109"/>
      <c r="I5571" s="109"/>
      <c r="J5571" s="109"/>
      <c r="Q5571" s="121"/>
      <c r="W5571" s="109"/>
    </row>
    <row r="5572" spans="1:23" ht="12.75" hidden="1">
      <c r="A5572" s="109"/>
      <c r="B5572" s="109"/>
      <c r="C5572" s="109"/>
      <c r="D5572" s="109"/>
      <c r="E5572" s="109"/>
      <c r="F5572" s="109"/>
      <c r="G5572" s="109"/>
      <c r="H5572" s="109"/>
      <c r="I5572" s="109"/>
      <c r="J5572" s="109"/>
      <c r="Q5572" s="121"/>
      <c r="W5572" s="109"/>
    </row>
    <row r="5573" spans="1:23" ht="12.75" hidden="1">
      <c r="A5573" s="109"/>
      <c r="B5573" s="109"/>
      <c r="C5573" s="109"/>
      <c r="D5573" s="109"/>
      <c r="E5573" s="109"/>
      <c r="F5573" s="109"/>
      <c r="G5573" s="109"/>
      <c r="H5573" s="109"/>
      <c r="I5573" s="109"/>
      <c r="J5573" s="109"/>
      <c r="Q5573" s="121"/>
      <c r="W5573" s="109"/>
    </row>
    <row r="5574" spans="1:23" ht="12.75" hidden="1">
      <c r="A5574" s="109"/>
      <c r="B5574" s="109"/>
      <c r="C5574" s="109"/>
      <c r="D5574" s="109"/>
      <c r="E5574" s="109"/>
      <c r="F5574" s="109"/>
      <c r="G5574" s="109"/>
      <c r="H5574" s="109"/>
      <c r="I5574" s="109"/>
      <c r="J5574" s="109"/>
      <c r="Q5574" s="121"/>
      <c r="W5574" s="109"/>
    </row>
    <row r="5575" spans="1:23" ht="12.75" hidden="1">
      <c r="A5575" s="109"/>
      <c r="B5575" s="109"/>
      <c r="C5575" s="109"/>
      <c r="D5575" s="109"/>
      <c r="E5575" s="109"/>
      <c r="F5575" s="109"/>
      <c r="G5575" s="109"/>
      <c r="H5575" s="109"/>
      <c r="I5575" s="109"/>
      <c r="J5575" s="109"/>
      <c r="Q5575" s="121"/>
      <c r="W5575" s="109"/>
    </row>
    <row r="5576" spans="1:23" ht="12.75" hidden="1">
      <c r="A5576" s="109"/>
      <c r="B5576" s="109"/>
      <c r="C5576" s="109"/>
      <c r="D5576" s="109"/>
      <c r="E5576" s="109"/>
      <c r="F5576" s="109"/>
      <c r="G5576" s="109"/>
      <c r="H5576" s="109"/>
      <c r="I5576" s="109"/>
      <c r="J5576" s="109"/>
      <c r="Q5576" s="121"/>
      <c r="W5576" s="109"/>
    </row>
    <row r="5577" spans="1:23" ht="12.75" hidden="1">
      <c r="A5577" s="109"/>
      <c r="B5577" s="109"/>
      <c r="C5577" s="109"/>
      <c r="D5577" s="109"/>
      <c r="E5577" s="109"/>
      <c r="F5577" s="109"/>
      <c r="G5577" s="109"/>
      <c r="H5577" s="109"/>
      <c r="I5577" s="109"/>
      <c r="J5577" s="109"/>
      <c r="Q5577" s="121"/>
      <c r="W5577" s="109"/>
    </row>
    <row r="5578" spans="1:23" ht="12.75" hidden="1">
      <c r="A5578" s="109"/>
      <c r="B5578" s="109"/>
      <c r="C5578" s="109"/>
      <c r="D5578" s="109"/>
      <c r="E5578" s="109"/>
      <c r="F5578" s="109"/>
      <c r="G5578" s="109"/>
      <c r="H5578" s="109"/>
      <c r="I5578" s="109"/>
      <c r="J5578" s="109"/>
      <c r="Q5578" s="121"/>
      <c r="W5578" s="109"/>
    </row>
    <row r="5579" spans="1:23" ht="12.75" hidden="1">
      <c r="A5579" s="109"/>
      <c r="B5579" s="109"/>
      <c r="C5579" s="109"/>
      <c r="D5579" s="109"/>
      <c r="E5579" s="109"/>
      <c r="F5579" s="109"/>
      <c r="G5579" s="109"/>
      <c r="H5579" s="109"/>
      <c r="I5579" s="109"/>
      <c r="J5579" s="109"/>
      <c r="Q5579" s="121"/>
      <c r="W5579" s="109"/>
    </row>
    <row r="5580" spans="1:23" ht="12.75" hidden="1">
      <c r="A5580" s="109"/>
      <c r="B5580" s="109"/>
      <c r="C5580" s="109"/>
      <c r="D5580" s="109"/>
      <c r="E5580" s="109"/>
      <c r="F5580" s="109"/>
      <c r="G5580" s="109"/>
      <c r="H5580" s="109"/>
      <c r="I5580" s="109"/>
      <c r="J5580" s="109"/>
      <c r="Q5580" s="121"/>
      <c r="W5580" s="109"/>
    </row>
    <row r="5581" spans="1:23" ht="12.75" hidden="1">
      <c r="A5581" s="109"/>
      <c r="B5581" s="109"/>
      <c r="C5581" s="109"/>
      <c r="D5581" s="109"/>
      <c r="E5581" s="109"/>
      <c r="F5581" s="109"/>
      <c r="G5581" s="109"/>
      <c r="H5581" s="109"/>
      <c r="I5581" s="109"/>
      <c r="J5581" s="109"/>
      <c r="Q5581" s="121"/>
      <c r="W5581" s="109"/>
    </row>
    <row r="5582" spans="1:23" ht="12.75" hidden="1">
      <c r="A5582" s="109"/>
      <c r="B5582" s="109"/>
      <c r="C5582" s="109"/>
      <c r="D5582" s="109"/>
      <c r="E5582" s="109"/>
      <c r="F5582" s="109"/>
      <c r="G5582" s="109"/>
      <c r="H5582" s="109"/>
      <c r="I5582" s="109"/>
      <c r="J5582" s="109"/>
      <c r="Q5582" s="121"/>
      <c r="W5582" s="109"/>
    </row>
    <row r="5583" spans="1:23" ht="12.75" hidden="1">
      <c r="A5583" s="109"/>
      <c r="B5583" s="109"/>
      <c r="C5583" s="109"/>
      <c r="D5583" s="109"/>
      <c r="E5583" s="109"/>
      <c r="F5583" s="109"/>
      <c r="G5583" s="109"/>
      <c r="H5583" s="109"/>
      <c r="I5583" s="109"/>
      <c r="J5583" s="109"/>
      <c r="Q5583" s="121"/>
      <c r="W5583" s="109"/>
    </row>
    <row r="5584" spans="1:23" ht="12.75" hidden="1">
      <c r="A5584" s="109"/>
      <c r="B5584" s="109"/>
      <c r="C5584" s="109"/>
      <c r="D5584" s="109"/>
      <c r="E5584" s="109"/>
      <c r="F5584" s="109"/>
      <c r="G5584" s="109"/>
      <c r="H5584" s="109"/>
      <c r="I5584" s="109"/>
      <c r="J5584" s="109"/>
      <c r="Q5584" s="121"/>
      <c r="W5584" s="109"/>
    </row>
    <row r="5585" spans="1:23" ht="12.75" hidden="1">
      <c r="A5585" s="109"/>
      <c r="B5585" s="109"/>
      <c r="C5585" s="109"/>
      <c r="D5585" s="109"/>
      <c r="E5585" s="109"/>
      <c r="F5585" s="109"/>
      <c r="G5585" s="109"/>
      <c r="H5585" s="109"/>
      <c r="I5585" s="109"/>
      <c r="J5585" s="109"/>
      <c r="Q5585" s="121"/>
      <c r="W5585" s="109"/>
    </row>
    <row r="5586" spans="1:23" ht="12.75" hidden="1">
      <c r="A5586" s="109"/>
      <c r="B5586" s="109"/>
      <c r="C5586" s="109"/>
      <c r="D5586" s="109"/>
      <c r="E5586" s="109"/>
      <c r="F5586" s="109"/>
      <c r="G5586" s="109"/>
      <c r="H5586" s="109"/>
      <c r="I5586" s="109"/>
      <c r="J5586" s="109"/>
      <c r="Q5586" s="121"/>
      <c r="W5586" s="109"/>
    </row>
    <row r="5587" spans="1:23" ht="12.75" hidden="1">
      <c r="A5587" s="109"/>
      <c r="B5587" s="109"/>
      <c r="C5587" s="109"/>
      <c r="D5587" s="109"/>
      <c r="E5587" s="109"/>
      <c r="F5587" s="109"/>
      <c r="G5587" s="109"/>
      <c r="H5587" s="109"/>
      <c r="I5587" s="109"/>
      <c r="J5587" s="109"/>
      <c r="Q5587" s="121"/>
      <c r="W5587" s="109"/>
    </row>
    <row r="5588" spans="1:23" ht="12.75" hidden="1">
      <c r="A5588" s="109"/>
      <c r="B5588" s="109"/>
      <c r="C5588" s="109"/>
      <c r="D5588" s="109"/>
      <c r="E5588" s="109"/>
      <c r="F5588" s="109"/>
      <c r="G5588" s="109"/>
      <c r="H5588" s="109"/>
      <c r="I5588" s="109"/>
      <c r="J5588" s="109"/>
      <c r="Q5588" s="121"/>
      <c r="W5588" s="109"/>
    </row>
    <row r="5589" spans="1:23" ht="12.75" hidden="1">
      <c r="A5589" s="109"/>
      <c r="B5589" s="109"/>
      <c r="C5589" s="109"/>
      <c r="D5589" s="109"/>
      <c r="E5589" s="109"/>
      <c r="F5589" s="109"/>
      <c r="G5589" s="109"/>
      <c r="H5589" s="109"/>
      <c r="I5589" s="109"/>
      <c r="J5589" s="109"/>
      <c r="Q5589" s="121"/>
      <c r="W5589" s="109"/>
    </row>
    <row r="5590" spans="1:23" ht="12.75" hidden="1">
      <c r="A5590" s="109"/>
      <c r="B5590" s="109"/>
      <c r="C5590" s="109"/>
      <c r="D5590" s="109"/>
      <c r="E5590" s="109"/>
      <c r="F5590" s="109"/>
      <c r="G5590" s="109"/>
      <c r="H5590" s="109"/>
      <c r="I5590" s="109"/>
      <c r="J5590" s="109"/>
      <c r="Q5590" s="121"/>
      <c r="W5590" s="109"/>
    </row>
    <row r="5591" spans="1:23" ht="12.75" hidden="1">
      <c r="A5591" s="109"/>
      <c r="B5591" s="109"/>
      <c r="C5591" s="109"/>
      <c r="D5591" s="109"/>
      <c r="E5591" s="109"/>
      <c r="F5591" s="109"/>
      <c r="G5591" s="109"/>
      <c r="H5591" s="109"/>
      <c r="I5591" s="109"/>
      <c r="J5591" s="109"/>
      <c r="Q5591" s="121"/>
      <c r="W5591" s="109"/>
    </row>
    <row r="5592" spans="1:23" ht="12.75" hidden="1">
      <c r="A5592" s="109"/>
      <c r="B5592" s="109"/>
      <c r="C5592" s="109"/>
      <c r="D5592" s="109"/>
      <c r="E5592" s="109"/>
      <c r="F5592" s="109"/>
      <c r="G5592" s="109"/>
      <c r="H5592" s="109"/>
      <c r="I5592" s="109"/>
      <c r="J5592" s="109"/>
      <c r="Q5592" s="121"/>
      <c r="W5592" s="109"/>
    </row>
    <row r="5593" spans="1:23" ht="12.75" hidden="1">
      <c r="A5593" s="109"/>
      <c r="B5593" s="109"/>
      <c r="C5593" s="109"/>
      <c r="D5593" s="109"/>
      <c r="E5593" s="109"/>
      <c r="F5593" s="109"/>
      <c r="G5593" s="109"/>
      <c r="H5593" s="109"/>
      <c r="I5593" s="109"/>
      <c r="J5593" s="109"/>
      <c r="Q5593" s="121"/>
      <c r="W5593" s="109"/>
    </row>
    <row r="5594" spans="1:23" ht="12.75" hidden="1">
      <c r="A5594" s="109"/>
      <c r="B5594" s="109"/>
      <c r="C5594" s="109"/>
      <c r="D5594" s="109"/>
      <c r="E5594" s="109"/>
      <c r="F5594" s="109"/>
      <c r="G5594" s="109"/>
      <c r="H5594" s="109"/>
      <c r="I5594" s="109"/>
      <c r="J5594" s="109"/>
      <c r="Q5594" s="121"/>
      <c r="W5594" s="109"/>
    </row>
    <row r="5595" spans="1:23" ht="12.75" hidden="1">
      <c r="A5595" s="109"/>
      <c r="B5595" s="109"/>
      <c r="C5595" s="109"/>
      <c r="D5595" s="109"/>
      <c r="E5595" s="109"/>
      <c r="F5595" s="109"/>
      <c r="G5595" s="109"/>
      <c r="H5595" s="109"/>
      <c r="I5595" s="109"/>
      <c r="J5595" s="109"/>
      <c r="Q5595" s="121"/>
      <c r="W5595" s="109"/>
    </row>
    <row r="5596" spans="1:23" ht="12.75" hidden="1">
      <c r="A5596" s="109"/>
      <c r="B5596" s="109"/>
      <c r="C5596" s="109"/>
      <c r="D5596" s="109"/>
      <c r="E5596" s="109"/>
      <c r="F5596" s="109"/>
      <c r="G5596" s="109"/>
      <c r="H5596" s="109"/>
      <c r="I5596" s="109"/>
      <c r="J5596" s="109"/>
      <c r="Q5596" s="121"/>
      <c r="W5596" s="109"/>
    </row>
    <row r="5597" spans="1:23" ht="12.75" hidden="1">
      <c r="A5597" s="109"/>
      <c r="B5597" s="109"/>
      <c r="C5597" s="109"/>
      <c r="D5597" s="109"/>
      <c r="E5597" s="109"/>
      <c r="F5597" s="109"/>
      <c r="G5597" s="109"/>
      <c r="H5597" s="109"/>
      <c r="I5597" s="109"/>
      <c r="J5597" s="109"/>
      <c r="Q5597" s="121"/>
      <c r="W5597" s="109"/>
    </row>
    <row r="5598" spans="1:23" ht="12.75" hidden="1">
      <c r="A5598" s="109"/>
      <c r="B5598" s="109"/>
      <c r="C5598" s="109"/>
      <c r="D5598" s="109"/>
      <c r="E5598" s="109"/>
      <c r="F5598" s="109"/>
      <c r="G5598" s="109"/>
      <c r="H5598" s="109"/>
      <c r="I5598" s="109"/>
      <c r="J5598" s="109"/>
      <c r="Q5598" s="121"/>
      <c r="W5598" s="109"/>
    </row>
    <row r="5599" spans="1:23" ht="12.75" hidden="1">
      <c r="A5599" s="109"/>
      <c r="B5599" s="109"/>
      <c r="C5599" s="109"/>
      <c r="D5599" s="109"/>
      <c r="E5599" s="109"/>
      <c r="F5599" s="109"/>
      <c r="G5599" s="109"/>
      <c r="H5599" s="109"/>
      <c r="I5599" s="109"/>
      <c r="J5599" s="109"/>
      <c r="Q5599" s="121"/>
      <c r="W5599" s="109"/>
    </row>
    <row r="5600" spans="1:23" ht="12.75" hidden="1">
      <c r="A5600" s="109"/>
      <c r="B5600" s="109"/>
      <c r="C5600" s="109"/>
      <c r="D5600" s="109"/>
      <c r="E5600" s="109"/>
      <c r="F5600" s="109"/>
      <c r="G5600" s="109"/>
      <c r="H5600" s="109"/>
      <c r="I5600" s="109"/>
      <c r="J5600" s="109"/>
      <c r="Q5600" s="121"/>
      <c r="W5600" s="109"/>
    </row>
    <row r="5601" spans="1:23" ht="12.75" hidden="1">
      <c r="A5601" s="109"/>
      <c r="B5601" s="109"/>
      <c r="C5601" s="109"/>
      <c r="D5601" s="109"/>
      <c r="E5601" s="109"/>
      <c r="F5601" s="109"/>
      <c r="G5601" s="109"/>
      <c r="H5601" s="109"/>
      <c r="I5601" s="109"/>
      <c r="J5601" s="109"/>
      <c r="Q5601" s="121"/>
      <c r="W5601" s="109"/>
    </row>
    <row r="5602" spans="1:23" ht="12.75" hidden="1">
      <c r="A5602" s="109"/>
      <c r="B5602" s="109"/>
      <c r="C5602" s="109"/>
      <c r="D5602" s="109"/>
      <c r="E5602" s="109"/>
      <c r="F5602" s="109"/>
      <c r="G5602" s="109"/>
      <c r="H5602" s="109"/>
      <c r="I5602" s="109"/>
      <c r="J5602" s="109"/>
      <c r="Q5602" s="121"/>
      <c r="W5602" s="109"/>
    </row>
    <row r="5603" spans="1:23" ht="12.75" hidden="1">
      <c r="A5603" s="109"/>
      <c r="B5603" s="109"/>
      <c r="C5603" s="109"/>
      <c r="D5603" s="109"/>
      <c r="E5603" s="109"/>
      <c r="F5603" s="109"/>
      <c r="G5603" s="109"/>
      <c r="H5603" s="109"/>
      <c r="I5603" s="109"/>
      <c r="J5603" s="109"/>
      <c r="Q5603" s="121"/>
      <c r="W5603" s="109"/>
    </row>
    <row r="5604" spans="1:23" ht="12.75" hidden="1">
      <c r="A5604" s="109"/>
      <c r="B5604" s="109"/>
      <c r="C5604" s="109"/>
      <c r="D5604" s="109"/>
      <c r="E5604" s="109"/>
      <c r="F5604" s="109"/>
      <c r="G5604" s="109"/>
      <c r="H5604" s="109"/>
      <c r="I5604" s="109"/>
      <c r="J5604" s="109"/>
      <c r="Q5604" s="121"/>
      <c r="W5604" s="109"/>
    </row>
    <row r="5605" spans="1:23" ht="12.75" hidden="1">
      <c r="A5605" s="109"/>
      <c r="B5605" s="109"/>
      <c r="C5605" s="109"/>
      <c r="D5605" s="109"/>
      <c r="E5605" s="109"/>
      <c r="F5605" s="109"/>
      <c r="G5605" s="109"/>
      <c r="H5605" s="109"/>
      <c r="I5605" s="109"/>
      <c r="J5605" s="109"/>
      <c r="Q5605" s="121"/>
      <c r="W5605" s="109"/>
    </row>
    <row r="5606" spans="1:23" ht="12.75" hidden="1">
      <c r="A5606" s="109"/>
      <c r="B5606" s="109"/>
      <c r="C5606" s="109"/>
      <c r="D5606" s="109"/>
      <c r="E5606" s="109"/>
      <c r="F5606" s="109"/>
      <c r="G5606" s="109"/>
      <c r="H5606" s="109"/>
      <c r="I5606" s="109"/>
      <c r="J5606" s="109"/>
      <c r="Q5606" s="121"/>
      <c r="W5606" s="109"/>
    </row>
    <row r="5607" spans="1:23" ht="12.75" hidden="1">
      <c r="A5607" s="109"/>
      <c r="B5607" s="109"/>
      <c r="C5607" s="109"/>
      <c r="D5607" s="109"/>
      <c r="E5607" s="109"/>
      <c r="F5607" s="109"/>
      <c r="G5607" s="109"/>
      <c r="H5607" s="109"/>
      <c r="I5607" s="109"/>
      <c r="J5607" s="109"/>
      <c r="Q5607" s="121"/>
      <c r="W5607" s="109"/>
    </row>
    <row r="5608" spans="1:23" ht="12.75" hidden="1">
      <c r="A5608" s="109"/>
      <c r="B5608" s="109"/>
      <c r="C5608" s="109"/>
      <c r="D5608" s="109"/>
      <c r="E5608" s="109"/>
      <c r="F5608" s="109"/>
      <c r="G5608" s="109"/>
      <c r="H5608" s="109"/>
      <c r="I5608" s="109"/>
      <c r="J5608" s="109"/>
      <c r="Q5608" s="121"/>
      <c r="W5608" s="109"/>
    </row>
    <row r="5609" spans="1:23" ht="12.75" hidden="1">
      <c r="A5609" s="109"/>
      <c r="B5609" s="109"/>
      <c r="C5609" s="109"/>
      <c r="D5609" s="109"/>
      <c r="E5609" s="109"/>
      <c r="F5609" s="109"/>
      <c r="G5609" s="109"/>
      <c r="H5609" s="109"/>
      <c r="I5609" s="109"/>
      <c r="J5609" s="109"/>
      <c r="Q5609" s="121"/>
      <c r="W5609" s="109"/>
    </row>
    <row r="5610" spans="1:23" ht="12.75" hidden="1">
      <c r="A5610" s="109"/>
      <c r="B5610" s="109"/>
      <c r="C5610" s="109"/>
      <c r="D5610" s="109"/>
      <c r="E5610" s="109"/>
      <c r="F5610" s="109"/>
      <c r="G5610" s="109"/>
      <c r="H5610" s="109"/>
      <c r="I5610" s="109"/>
      <c r="J5610" s="109"/>
      <c r="Q5610" s="121"/>
      <c r="W5610" s="109"/>
    </row>
    <row r="5611" spans="1:23" ht="12.75" hidden="1">
      <c r="A5611" s="109"/>
      <c r="B5611" s="109"/>
      <c r="C5611" s="109"/>
      <c r="D5611" s="109"/>
      <c r="E5611" s="109"/>
      <c r="F5611" s="109"/>
      <c r="G5611" s="109"/>
      <c r="H5611" s="109"/>
      <c r="I5611" s="109"/>
      <c r="J5611" s="109"/>
      <c r="Q5611" s="121"/>
      <c r="W5611" s="109"/>
    </row>
    <row r="5612" spans="1:23" ht="12.75" hidden="1">
      <c r="A5612" s="109"/>
      <c r="B5612" s="109"/>
      <c r="C5612" s="109"/>
      <c r="D5612" s="109"/>
      <c r="E5612" s="109"/>
      <c r="F5612" s="109"/>
      <c r="G5612" s="109"/>
      <c r="H5612" s="109"/>
      <c r="I5612" s="109"/>
      <c r="J5612" s="109"/>
      <c r="Q5612" s="121"/>
      <c r="W5612" s="109"/>
    </row>
    <row r="5613" spans="1:23" ht="12.75" hidden="1">
      <c r="A5613" s="109"/>
      <c r="B5613" s="109"/>
      <c r="C5613" s="109"/>
      <c r="D5613" s="109"/>
      <c r="E5613" s="109"/>
      <c r="F5613" s="109"/>
      <c r="G5613" s="109"/>
      <c r="H5613" s="109"/>
      <c r="I5613" s="109"/>
      <c r="J5613" s="109"/>
      <c r="Q5613" s="121"/>
      <c r="W5613" s="109"/>
    </row>
    <row r="5614" spans="1:23" ht="12.75" hidden="1">
      <c r="A5614" s="109"/>
      <c r="B5614" s="109"/>
      <c r="C5614" s="109"/>
      <c r="D5614" s="109"/>
      <c r="E5614" s="109"/>
      <c r="F5614" s="109"/>
      <c r="G5614" s="109"/>
      <c r="H5614" s="109"/>
      <c r="I5614" s="109"/>
      <c r="J5614" s="109"/>
      <c r="Q5614" s="121"/>
      <c r="W5614" s="109"/>
    </row>
    <row r="5615" spans="1:23" ht="12.75" hidden="1">
      <c r="A5615" s="109"/>
      <c r="B5615" s="109"/>
      <c r="C5615" s="109"/>
      <c r="D5615" s="109"/>
      <c r="E5615" s="109"/>
      <c r="F5615" s="109"/>
      <c r="G5615" s="109"/>
      <c r="H5615" s="109"/>
      <c r="I5615" s="109"/>
      <c r="J5615" s="109"/>
      <c r="Q5615" s="121"/>
      <c r="W5615" s="109"/>
    </row>
    <row r="5616" spans="1:23" ht="12.75" hidden="1">
      <c r="A5616" s="109"/>
      <c r="B5616" s="109"/>
      <c r="C5616" s="109"/>
      <c r="D5616" s="109"/>
      <c r="E5616" s="109"/>
      <c r="F5616" s="109"/>
      <c r="G5616" s="109"/>
      <c r="H5616" s="109"/>
      <c r="I5616" s="109"/>
      <c r="J5616" s="109"/>
      <c r="Q5616" s="121"/>
      <c r="W5616" s="109"/>
    </row>
    <row r="5617" spans="1:23" ht="12.75" hidden="1">
      <c r="A5617" s="109"/>
      <c r="B5617" s="109"/>
      <c r="C5617" s="109"/>
      <c r="D5617" s="109"/>
      <c r="E5617" s="109"/>
      <c r="F5617" s="109"/>
      <c r="G5617" s="109"/>
      <c r="H5617" s="109"/>
      <c r="I5617" s="109"/>
      <c r="J5617" s="109"/>
      <c r="Q5617" s="121"/>
      <c r="W5617" s="109"/>
    </row>
    <row r="5618" spans="1:23" ht="12.75" hidden="1">
      <c r="A5618" s="109"/>
      <c r="B5618" s="109"/>
      <c r="C5618" s="109"/>
      <c r="D5618" s="109"/>
      <c r="E5618" s="109"/>
      <c r="F5618" s="109"/>
      <c r="G5618" s="109"/>
      <c r="H5618" s="109"/>
      <c r="I5618" s="109"/>
      <c r="J5618" s="109"/>
      <c r="Q5618" s="121"/>
      <c r="W5618" s="109"/>
    </row>
    <row r="5619" spans="1:23" ht="12.75" hidden="1">
      <c r="A5619" s="109"/>
      <c r="B5619" s="109"/>
      <c r="C5619" s="109"/>
      <c r="D5619" s="109"/>
      <c r="E5619" s="109"/>
      <c r="F5619" s="109"/>
      <c r="G5619" s="109"/>
      <c r="H5619" s="109"/>
      <c r="I5619" s="109"/>
      <c r="J5619" s="109"/>
      <c r="Q5619" s="121"/>
      <c r="W5619" s="109"/>
    </row>
    <row r="5620" spans="1:23" ht="12.75" hidden="1">
      <c r="A5620" s="109"/>
      <c r="B5620" s="109"/>
      <c r="C5620" s="109"/>
      <c r="D5620" s="109"/>
      <c r="E5620" s="109"/>
      <c r="F5620" s="109"/>
      <c r="G5620" s="109"/>
      <c r="H5620" s="109"/>
      <c r="I5620" s="109"/>
      <c r="J5620" s="109"/>
      <c r="Q5620" s="121"/>
      <c r="W5620" s="109"/>
    </row>
    <row r="5621" spans="1:23" ht="12.75" hidden="1">
      <c r="A5621" s="109"/>
      <c r="B5621" s="109"/>
      <c r="C5621" s="109"/>
      <c r="D5621" s="109"/>
      <c r="E5621" s="109"/>
      <c r="F5621" s="109"/>
      <c r="G5621" s="109"/>
      <c r="H5621" s="109"/>
      <c r="I5621" s="109"/>
      <c r="J5621" s="109"/>
      <c r="Q5621" s="121"/>
      <c r="W5621" s="109"/>
    </row>
    <row r="5622" spans="1:23" ht="12.75" hidden="1">
      <c r="A5622" s="109"/>
      <c r="B5622" s="109"/>
      <c r="C5622" s="109"/>
      <c r="D5622" s="109"/>
      <c r="E5622" s="109"/>
      <c r="F5622" s="109"/>
      <c r="G5622" s="109"/>
      <c r="H5622" s="109"/>
      <c r="I5622" s="109"/>
      <c r="J5622" s="109"/>
      <c r="Q5622" s="121"/>
      <c r="W5622" s="109"/>
    </row>
    <row r="5623" spans="1:23" ht="12.75" hidden="1">
      <c r="A5623" s="109"/>
      <c r="B5623" s="109"/>
      <c r="C5623" s="109"/>
      <c r="D5623" s="109"/>
      <c r="E5623" s="109"/>
      <c r="F5623" s="109"/>
      <c r="G5623" s="109"/>
      <c r="H5623" s="109"/>
      <c r="I5623" s="109"/>
      <c r="J5623" s="109"/>
      <c r="Q5623" s="121"/>
      <c r="W5623" s="109"/>
    </row>
    <row r="5624" spans="1:23" ht="12.75" hidden="1">
      <c r="A5624" s="109"/>
      <c r="B5624" s="109"/>
      <c r="C5624" s="109"/>
      <c r="D5624" s="109"/>
      <c r="E5624" s="109"/>
      <c r="F5624" s="109"/>
      <c r="G5624" s="109"/>
      <c r="H5624" s="109"/>
      <c r="I5624" s="109"/>
      <c r="J5624" s="109"/>
      <c r="Q5624" s="121"/>
      <c r="W5624" s="109"/>
    </row>
    <row r="5625" spans="1:23" ht="12.75" hidden="1">
      <c r="A5625" s="109"/>
      <c r="B5625" s="109"/>
      <c r="C5625" s="109"/>
      <c r="D5625" s="109"/>
      <c r="E5625" s="109"/>
      <c r="F5625" s="109"/>
      <c r="G5625" s="109"/>
      <c r="H5625" s="109"/>
      <c r="I5625" s="109"/>
      <c r="J5625" s="109"/>
      <c r="Q5625" s="121"/>
      <c r="W5625" s="109"/>
    </row>
    <row r="5626" spans="1:23" ht="12.75" hidden="1">
      <c r="A5626" s="109"/>
      <c r="B5626" s="109"/>
      <c r="C5626" s="109"/>
      <c r="D5626" s="109"/>
      <c r="E5626" s="109"/>
      <c r="F5626" s="109"/>
      <c r="G5626" s="109"/>
      <c r="H5626" s="109"/>
      <c r="I5626" s="109"/>
      <c r="J5626" s="109"/>
      <c r="Q5626" s="121"/>
      <c r="W5626" s="109"/>
    </row>
    <row r="5627" spans="1:23" ht="12.75" hidden="1">
      <c r="A5627" s="109"/>
      <c r="B5627" s="109"/>
      <c r="C5627" s="109"/>
      <c r="D5627" s="109"/>
      <c r="E5627" s="109"/>
      <c r="F5627" s="109"/>
      <c r="G5627" s="109"/>
      <c r="H5627" s="109"/>
      <c r="I5627" s="109"/>
      <c r="J5627" s="109"/>
      <c r="Q5627" s="121"/>
      <c r="W5627" s="109"/>
    </row>
    <row r="5628" spans="1:23" ht="12.75" hidden="1">
      <c r="A5628" s="109"/>
      <c r="B5628" s="109"/>
      <c r="C5628" s="109"/>
      <c r="D5628" s="109"/>
      <c r="E5628" s="109"/>
      <c r="F5628" s="109"/>
      <c r="G5628" s="109"/>
      <c r="H5628" s="109"/>
      <c r="I5628" s="109"/>
      <c r="J5628" s="109"/>
      <c r="Q5628" s="121"/>
      <c r="W5628" s="109"/>
    </row>
    <row r="5629" spans="1:23" ht="12.75" hidden="1">
      <c r="A5629" s="109"/>
      <c r="B5629" s="109"/>
      <c r="C5629" s="109"/>
      <c r="D5629" s="109"/>
      <c r="E5629" s="109"/>
      <c r="F5629" s="109"/>
      <c r="G5629" s="109"/>
      <c r="H5629" s="109"/>
      <c r="I5629" s="109"/>
      <c r="J5629" s="109"/>
      <c r="Q5629" s="121"/>
      <c r="W5629" s="109"/>
    </row>
    <row r="5630" spans="1:23" ht="12.75" hidden="1">
      <c r="A5630" s="109"/>
      <c r="B5630" s="109"/>
      <c r="C5630" s="109"/>
      <c r="D5630" s="109"/>
      <c r="E5630" s="109"/>
      <c r="F5630" s="109"/>
      <c r="G5630" s="109"/>
      <c r="H5630" s="109"/>
      <c r="I5630" s="109"/>
      <c r="J5630" s="109"/>
      <c r="Q5630" s="121"/>
      <c r="W5630" s="109"/>
    </row>
    <row r="5631" spans="1:23" ht="12.75" hidden="1">
      <c r="A5631" s="109"/>
      <c r="B5631" s="109"/>
      <c r="C5631" s="109"/>
      <c r="D5631" s="109"/>
      <c r="E5631" s="109"/>
      <c r="F5631" s="109"/>
      <c r="G5631" s="109"/>
      <c r="H5631" s="109"/>
      <c r="I5631" s="109"/>
      <c r="J5631" s="109"/>
      <c r="Q5631" s="121"/>
      <c r="W5631" s="109"/>
    </row>
    <row r="5632" spans="1:23" ht="12.75" hidden="1">
      <c r="A5632" s="109"/>
      <c r="B5632" s="109"/>
      <c r="C5632" s="109"/>
      <c r="D5632" s="109"/>
      <c r="E5632" s="109"/>
      <c r="F5632" s="109"/>
      <c r="G5632" s="109"/>
      <c r="H5632" s="109"/>
      <c r="I5632" s="109"/>
      <c r="J5632" s="109"/>
      <c r="Q5632" s="121"/>
      <c r="W5632" s="109"/>
    </row>
    <row r="5633" spans="1:23" ht="12.75" hidden="1">
      <c r="A5633" s="109"/>
      <c r="B5633" s="109"/>
      <c r="C5633" s="109"/>
      <c r="D5633" s="109"/>
      <c r="E5633" s="109"/>
      <c r="F5633" s="109"/>
      <c r="G5633" s="109"/>
      <c r="H5633" s="109"/>
      <c r="I5633" s="109"/>
      <c r="J5633" s="109"/>
      <c r="Q5633" s="121"/>
      <c r="W5633" s="109"/>
    </row>
    <row r="5634" spans="1:23" ht="12.75" hidden="1">
      <c r="A5634" s="109"/>
      <c r="B5634" s="109"/>
      <c r="C5634" s="109"/>
      <c r="D5634" s="109"/>
      <c r="E5634" s="109"/>
      <c r="F5634" s="109"/>
      <c r="G5634" s="109"/>
      <c r="H5634" s="109"/>
      <c r="I5634" s="109"/>
      <c r="J5634" s="109"/>
      <c r="Q5634" s="121"/>
      <c r="W5634" s="109"/>
    </row>
    <row r="5635" spans="1:23" ht="12.75" hidden="1">
      <c r="A5635" s="109"/>
      <c r="B5635" s="109"/>
      <c r="C5635" s="109"/>
      <c r="D5635" s="109"/>
      <c r="E5635" s="109"/>
      <c r="F5635" s="109"/>
      <c r="G5635" s="109"/>
      <c r="H5635" s="109"/>
      <c r="I5635" s="109"/>
      <c r="J5635" s="109"/>
      <c r="Q5635" s="121"/>
      <c r="W5635" s="109"/>
    </row>
    <row r="5636" spans="1:23" ht="12.75" hidden="1">
      <c r="A5636" s="109"/>
      <c r="B5636" s="109"/>
      <c r="C5636" s="109"/>
      <c r="D5636" s="109"/>
      <c r="E5636" s="109"/>
      <c r="F5636" s="109"/>
      <c r="G5636" s="109"/>
      <c r="H5636" s="109"/>
      <c r="I5636" s="109"/>
      <c r="J5636" s="109"/>
      <c r="Q5636" s="121"/>
      <c r="W5636" s="109"/>
    </row>
    <row r="5637" spans="1:23" ht="12.75" hidden="1">
      <c r="A5637" s="109"/>
      <c r="B5637" s="109"/>
      <c r="C5637" s="109"/>
      <c r="D5637" s="109"/>
      <c r="E5637" s="109"/>
      <c r="F5637" s="109"/>
      <c r="G5637" s="109"/>
      <c r="H5637" s="109"/>
      <c r="I5637" s="109"/>
      <c r="J5637" s="109"/>
      <c r="Q5637" s="121"/>
      <c r="W5637" s="109"/>
    </row>
    <row r="5638" spans="1:23" ht="12.75" hidden="1">
      <c r="A5638" s="109"/>
      <c r="B5638" s="109"/>
      <c r="C5638" s="109"/>
      <c r="D5638" s="109"/>
      <c r="E5638" s="109"/>
      <c r="F5638" s="109"/>
      <c r="G5638" s="109"/>
      <c r="H5638" s="109"/>
      <c r="I5638" s="109"/>
      <c r="J5638" s="109"/>
      <c r="Q5638" s="121"/>
      <c r="W5638" s="109"/>
    </row>
    <row r="5639" spans="1:23" ht="12.75" hidden="1">
      <c r="A5639" s="109"/>
      <c r="B5639" s="109"/>
      <c r="C5639" s="109"/>
      <c r="D5639" s="109"/>
      <c r="E5639" s="109"/>
      <c r="F5639" s="109"/>
      <c r="G5639" s="109"/>
      <c r="H5639" s="109"/>
      <c r="I5639" s="109"/>
      <c r="J5639" s="109"/>
      <c r="Q5639" s="121"/>
      <c r="W5639" s="109"/>
    </row>
    <row r="5640" spans="1:23" ht="12.75" hidden="1">
      <c r="A5640" s="109"/>
      <c r="B5640" s="109"/>
      <c r="C5640" s="109"/>
      <c r="D5640" s="109"/>
      <c r="E5640" s="109"/>
      <c r="F5640" s="109"/>
      <c r="G5640" s="109"/>
      <c r="H5640" s="109"/>
      <c r="I5640" s="109"/>
      <c r="J5640" s="109"/>
      <c r="Q5640" s="121"/>
      <c r="W5640" s="109"/>
    </row>
    <row r="5641" spans="1:23" ht="12.75" hidden="1">
      <c r="A5641" s="109"/>
      <c r="B5641" s="109"/>
      <c r="C5641" s="109"/>
      <c r="D5641" s="109"/>
      <c r="E5641" s="109"/>
      <c r="F5641" s="109"/>
      <c r="G5641" s="109"/>
      <c r="H5641" s="109"/>
      <c r="I5641" s="109"/>
      <c r="J5641" s="109"/>
      <c r="Q5641" s="121"/>
      <c r="W5641" s="109"/>
    </row>
    <row r="5642" spans="1:23" ht="12.75" hidden="1">
      <c r="A5642" s="109"/>
      <c r="B5642" s="109"/>
      <c r="C5642" s="109"/>
      <c r="D5642" s="109"/>
      <c r="E5642" s="109"/>
      <c r="F5642" s="109"/>
      <c r="G5642" s="109"/>
      <c r="H5642" s="109"/>
      <c r="I5642" s="109"/>
      <c r="J5642" s="109"/>
      <c r="Q5642" s="121"/>
      <c r="W5642" s="109"/>
    </row>
    <row r="5643" spans="1:23" ht="12.75" hidden="1">
      <c r="A5643" s="109"/>
      <c r="B5643" s="109"/>
      <c r="C5643" s="109"/>
      <c r="D5643" s="109"/>
      <c r="E5643" s="109"/>
      <c r="F5643" s="109"/>
      <c r="G5643" s="109"/>
      <c r="H5643" s="109"/>
      <c r="I5643" s="109"/>
      <c r="J5643" s="109"/>
      <c r="Q5643" s="121"/>
      <c r="W5643" s="109"/>
    </row>
    <row r="5644" spans="1:23" ht="12.75" hidden="1">
      <c r="A5644" s="109"/>
      <c r="B5644" s="109"/>
      <c r="C5644" s="109"/>
      <c r="D5644" s="109"/>
      <c r="E5644" s="109"/>
      <c r="F5644" s="109"/>
      <c r="G5644" s="109"/>
      <c r="H5644" s="109"/>
      <c r="I5644" s="109"/>
      <c r="J5644" s="109"/>
      <c r="Q5644" s="121"/>
      <c r="W5644" s="109"/>
    </row>
    <row r="5645" spans="1:23" ht="12.75" hidden="1">
      <c r="A5645" s="109"/>
      <c r="B5645" s="109"/>
      <c r="C5645" s="109"/>
      <c r="D5645" s="109"/>
      <c r="E5645" s="109"/>
      <c r="F5645" s="109"/>
      <c r="G5645" s="109"/>
      <c r="H5645" s="109"/>
      <c r="I5645" s="109"/>
      <c r="J5645" s="109"/>
      <c r="Q5645" s="121"/>
      <c r="W5645" s="109"/>
    </row>
    <row r="5646" spans="1:23" ht="12.75" hidden="1">
      <c r="A5646" s="109"/>
      <c r="B5646" s="109"/>
      <c r="C5646" s="109"/>
      <c r="D5646" s="109"/>
      <c r="E5646" s="109"/>
      <c r="F5646" s="109"/>
      <c r="G5646" s="109"/>
      <c r="H5646" s="109"/>
      <c r="I5646" s="109"/>
      <c r="J5646" s="109"/>
      <c r="Q5646" s="121"/>
      <c r="W5646" s="109"/>
    </row>
    <row r="5647" spans="1:23" ht="12.75" hidden="1">
      <c r="A5647" s="109"/>
      <c r="B5647" s="109"/>
      <c r="C5647" s="109"/>
      <c r="D5647" s="109"/>
      <c r="E5647" s="109"/>
      <c r="F5647" s="109"/>
      <c r="G5647" s="109"/>
      <c r="H5647" s="109"/>
      <c r="I5647" s="109"/>
      <c r="J5647" s="109"/>
      <c r="Q5647" s="121"/>
      <c r="W5647" s="109"/>
    </row>
    <row r="5648" spans="1:23" ht="12.75" hidden="1">
      <c r="A5648" s="109"/>
      <c r="B5648" s="109"/>
      <c r="C5648" s="109"/>
      <c r="D5648" s="109"/>
      <c r="E5648" s="109"/>
      <c r="F5648" s="109"/>
      <c r="G5648" s="109"/>
      <c r="H5648" s="109"/>
      <c r="I5648" s="109"/>
      <c r="J5648" s="109"/>
      <c r="Q5648" s="121"/>
      <c r="W5648" s="109"/>
    </row>
    <row r="5649" spans="1:23" ht="12.75" hidden="1">
      <c r="A5649" s="109"/>
      <c r="B5649" s="109"/>
      <c r="C5649" s="109"/>
      <c r="D5649" s="109"/>
      <c r="E5649" s="109"/>
      <c r="F5649" s="109"/>
      <c r="G5649" s="109"/>
      <c r="H5649" s="109"/>
      <c r="I5649" s="109"/>
      <c r="J5649" s="109"/>
      <c r="Q5649" s="121"/>
      <c r="W5649" s="109"/>
    </row>
    <row r="5650" spans="1:23" ht="12.75" hidden="1">
      <c r="A5650" s="109"/>
      <c r="B5650" s="109"/>
      <c r="C5650" s="109"/>
      <c r="D5650" s="109"/>
      <c r="E5650" s="109"/>
      <c r="F5650" s="109"/>
      <c r="G5650" s="109"/>
      <c r="H5650" s="109"/>
      <c r="I5650" s="109"/>
      <c r="J5650" s="109"/>
      <c r="Q5650" s="121"/>
      <c r="W5650" s="109"/>
    </row>
    <row r="5651" spans="1:23" ht="12.75" hidden="1">
      <c r="A5651" s="109"/>
      <c r="B5651" s="109"/>
      <c r="C5651" s="109"/>
      <c r="D5651" s="109"/>
      <c r="E5651" s="109"/>
      <c r="F5651" s="109"/>
      <c r="G5651" s="109"/>
      <c r="H5651" s="109"/>
      <c r="I5651" s="109"/>
      <c r="J5651" s="109"/>
      <c r="Q5651" s="121"/>
      <c r="W5651" s="109"/>
    </row>
    <row r="5652" spans="1:23" ht="12.75" hidden="1">
      <c r="A5652" s="109"/>
      <c r="B5652" s="109"/>
      <c r="C5652" s="109"/>
      <c r="D5652" s="109"/>
      <c r="E5652" s="109"/>
      <c r="F5652" s="109"/>
      <c r="G5652" s="109"/>
      <c r="H5652" s="109"/>
      <c r="I5652" s="109"/>
      <c r="J5652" s="109"/>
      <c r="Q5652" s="121"/>
      <c r="W5652" s="109"/>
    </row>
    <row r="5653" spans="1:23" ht="12.75" hidden="1">
      <c r="A5653" s="109"/>
      <c r="B5653" s="109"/>
      <c r="C5653" s="109"/>
      <c r="D5653" s="109"/>
      <c r="E5653" s="109"/>
      <c r="F5653" s="109"/>
      <c r="G5653" s="109"/>
      <c r="H5653" s="109"/>
      <c r="I5653" s="109"/>
      <c r="J5653" s="109"/>
      <c r="Q5653" s="121"/>
      <c r="W5653" s="109"/>
    </row>
    <row r="5654" spans="1:23" ht="12.75" hidden="1">
      <c r="A5654" s="109"/>
      <c r="B5654" s="109"/>
      <c r="C5654" s="109"/>
      <c r="D5654" s="109"/>
      <c r="E5654" s="109"/>
      <c r="F5654" s="109"/>
      <c r="G5654" s="109"/>
      <c r="H5654" s="109"/>
      <c r="I5654" s="109"/>
      <c r="J5654" s="109"/>
      <c r="Q5654" s="121"/>
      <c r="W5654" s="109"/>
    </row>
    <row r="5655" spans="1:23" ht="12.75" hidden="1">
      <c r="A5655" s="109"/>
      <c r="B5655" s="109"/>
      <c r="C5655" s="109"/>
      <c r="D5655" s="109"/>
      <c r="E5655" s="109"/>
      <c r="F5655" s="109"/>
      <c r="G5655" s="109"/>
      <c r="H5655" s="109"/>
      <c r="I5655" s="109"/>
      <c r="J5655" s="109"/>
      <c r="Q5655" s="121"/>
      <c r="W5655" s="109"/>
    </row>
    <row r="5656" spans="1:23" ht="12.75" hidden="1">
      <c r="A5656" s="109"/>
      <c r="B5656" s="109"/>
      <c r="C5656" s="109"/>
      <c r="D5656" s="109"/>
      <c r="E5656" s="109"/>
      <c r="F5656" s="109"/>
      <c r="G5656" s="109"/>
      <c r="H5656" s="109"/>
      <c r="I5656" s="109"/>
      <c r="J5656" s="109"/>
      <c r="Q5656" s="121"/>
      <c r="W5656" s="109"/>
    </row>
    <row r="5657" spans="1:23" ht="12.75" hidden="1">
      <c r="A5657" s="109"/>
      <c r="B5657" s="109"/>
      <c r="C5657" s="109"/>
      <c r="D5657" s="109"/>
      <c r="E5657" s="109"/>
      <c r="F5657" s="109"/>
      <c r="G5657" s="109"/>
      <c r="H5657" s="109"/>
      <c r="I5657" s="109"/>
      <c r="J5657" s="109"/>
      <c r="Q5657" s="121"/>
      <c r="W5657" s="109"/>
    </row>
    <row r="5658" spans="1:23" ht="12.75" hidden="1">
      <c r="A5658" s="109"/>
      <c r="B5658" s="109"/>
      <c r="C5658" s="109"/>
      <c r="D5658" s="109"/>
      <c r="E5658" s="109"/>
      <c r="F5658" s="109"/>
      <c r="G5658" s="109"/>
      <c r="H5658" s="109"/>
      <c r="I5658" s="109"/>
      <c r="J5658" s="109"/>
      <c r="Q5658" s="121"/>
      <c r="W5658" s="109"/>
    </row>
    <row r="5659" spans="1:23" ht="12.75" hidden="1">
      <c r="A5659" s="109"/>
      <c r="B5659" s="109"/>
      <c r="C5659" s="109"/>
      <c r="D5659" s="109"/>
      <c r="E5659" s="109"/>
      <c r="F5659" s="109"/>
      <c r="G5659" s="109"/>
      <c r="H5659" s="109"/>
      <c r="I5659" s="109"/>
      <c r="J5659" s="109"/>
      <c r="Q5659" s="121"/>
      <c r="W5659" s="109"/>
    </row>
    <row r="5660" spans="1:23" ht="12.75" hidden="1">
      <c r="A5660" s="109"/>
      <c r="B5660" s="109"/>
      <c r="C5660" s="109"/>
      <c r="D5660" s="109"/>
      <c r="E5660" s="109"/>
      <c r="F5660" s="109"/>
      <c r="G5660" s="109"/>
      <c r="H5660" s="109"/>
      <c r="I5660" s="109"/>
      <c r="J5660" s="109"/>
      <c r="Q5660" s="121"/>
      <c r="W5660" s="109"/>
    </row>
    <row r="5661" spans="1:23" ht="12.75" hidden="1">
      <c r="A5661" s="109"/>
      <c r="B5661" s="109"/>
      <c r="C5661" s="109"/>
      <c r="D5661" s="109"/>
      <c r="E5661" s="109"/>
      <c r="F5661" s="109"/>
      <c r="G5661" s="109"/>
      <c r="H5661" s="109"/>
      <c r="I5661" s="109"/>
      <c r="J5661" s="109"/>
      <c r="Q5661" s="121"/>
      <c r="W5661" s="109"/>
    </row>
    <row r="5662" spans="1:23" ht="12.75" hidden="1">
      <c r="A5662" s="109"/>
      <c r="B5662" s="109"/>
      <c r="C5662" s="109"/>
      <c r="D5662" s="109"/>
      <c r="E5662" s="109"/>
      <c r="F5662" s="109"/>
      <c r="G5662" s="109"/>
      <c r="H5662" s="109"/>
      <c r="I5662" s="109"/>
      <c r="J5662" s="109"/>
      <c r="Q5662" s="121"/>
      <c r="W5662" s="109"/>
    </row>
    <row r="5663" spans="1:23" ht="12.75" hidden="1">
      <c r="A5663" s="109"/>
      <c r="B5663" s="109"/>
      <c r="C5663" s="109"/>
      <c r="D5663" s="109"/>
      <c r="E5663" s="109"/>
      <c r="F5663" s="109"/>
      <c r="G5663" s="109"/>
      <c r="H5663" s="109"/>
      <c r="I5663" s="109"/>
      <c r="J5663" s="109"/>
      <c r="Q5663" s="121"/>
      <c r="W5663" s="109"/>
    </row>
    <row r="5664" spans="1:23" ht="12.75" hidden="1">
      <c r="A5664" s="109"/>
      <c r="B5664" s="109"/>
      <c r="C5664" s="109"/>
      <c r="D5664" s="109"/>
      <c r="E5664" s="109"/>
      <c r="F5664" s="109"/>
      <c r="G5664" s="109"/>
      <c r="H5664" s="109"/>
      <c r="I5664" s="109"/>
      <c r="J5664" s="109"/>
      <c r="Q5664" s="121"/>
      <c r="W5664" s="109"/>
    </row>
    <row r="5665" spans="1:23" ht="12.75" hidden="1">
      <c r="A5665" s="109"/>
      <c r="B5665" s="109"/>
      <c r="C5665" s="109"/>
      <c r="D5665" s="109"/>
      <c r="E5665" s="109"/>
      <c r="F5665" s="109"/>
      <c r="G5665" s="109"/>
      <c r="H5665" s="109"/>
      <c r="I5665" s="109"/>
      <c r="J5665" s="109"/>
      <c r="Q5665" s="121"/>
      <c r="W5665" s="109"/>
    </row>
    <row r="5666" spans="1:23" ht="12.75" hidden="1">
      <c r="A5666" s="109"/>
      <c r="B5666" s="109"/>
      <c r="C5666" s="109"/>
      <c r="D5666" s="109"/>
      <c r="E5666" s="109"/>
      <c r="F5666" s="109"/>
      <c r="G5666" s="109"/>
      <c r="H5666" s="109"/>
      <c r="I5666" s="109"/>
      <c r="J5666" s="109"/>
      <c r="Q5666" s="121"/>
      <c r="W5666" s="109"/>
    </row>
    <row r="5667" spans="1:23" ht="12.75" hidden="1">
      <c r="A5667" s="109"/>
      <c r="B5667" s="109"/>
      <c r="C5667" s="109"/>
      <c r="D5667" s="109"/>
      <c r="E5667" s="109"/>
      <c r="F5667" s="109"/>
      <c r="G5667" s="109"/>
      <c r="H5667" s="109"/>
      <c r="I5667" s="109"/>
      <c r="J5667" s="109"/>
      <c r="Q5667" s="121"/>
      <c r="W5667" s="109"/>
    </row>
    <row r="5668" spans="1:23" ht="12.75" hidden="1">
      <c r="A5668" s="109"/>
      <c r="B5668" s="109"/>
      <c r="C5668" s="109"/>
      <c r="D5668" s="109"/>
      <c r="E5668" s="109"/>
      <c r="F5668" s="109"/>
      <c r="G5668" s="109"/>
      <c r="H5668" s="109"/>
      <c r="I5668" s="109"/>
      <c r="J5668" s="109"/>
      <c r="Q5668" s="121"/>
      <c r="W5668" s="109"/>
    </row>
    <row r="5669" spans="1:23" ht="12.75" hidden="1">
      <c r="A5669" s="109"/>
      <c r="B5669" s="109"/>
      <c r="C5669" s="109"/>
      <c r="D5669" s="109"/>
      <c r="E5669" s="109"/>
      <c r="F5669" s="109"/>
      <c r="G5669" s="109"/>
      <c r="H5669" s="109"/>
      <c r="I5669" s="109"/>
      <c r="J5669" s="109"/>
      <c r="Q5669" s="121"/>
      <c r="W5669" s="109"/>
    </row>
    <row r="5670" spans="1:23" ht="12.75" hidden="1">
      <c r="A5670" s="109"/>
      <c r="B5670" s="109"/>
      <c r="C5670" s="109"/>
      <c r="D5670" s="109"/>
      <c r="E5670" s="109"/>
      <c r="F5670" s="109"/>
      <c r="G5670" s="109"/>
      <c r="H5670" s="109"/>
      <c r="I5670" s="109"/>
      <c r="J5670" s="109"/>
      <c r="Q5670" s="121"/>
      <c r="W5670" s="109"/>
    </row>
    <row r="5671" spans="1:23" ht="12.75" hidden="1">
      <c r="A5671" s="109"/>
      <c r="B5671" s="109"/>
      <c r="C5671" s="109"/>
      <c r="D5671" s="109"/>
      <c r="E5671" s="109"/>
      <c r="F5671" s="109"/>
      <c r="G5671" s="109"/>
      <c r="H5671" s="109"/>
      <c r="I5671" s="109"/>
      <c r="J5671" s="109"/>
      <c r="Q5671" s="121"/>
      <c r="W5671" s="109"/>
    </row>
    <row r="5672" spans="1:23" ht="12.75" hidden="1">
      <c r="A5672" s="109"/>
      <c r="B5672" s="109"/>
      <c r="C5672" s="109"/>
      <c r="D5672" s="109"/>
      <c r="E5672" s="109"/>
      <c r="F5672" s="109"/>
      <c r="G5672" s="109"/>
      <c r="H5672" s="109"/>
      <c r="I5672" s="109"/>
      <c r="J5672" s="109"/>
      <c r="Q5672" s="121"/>
      <c r="W5672" s="109"/>
    </row>
    <row r="5673" spans="1:23" ht="12.75" hidden="1">
      <c r="A5673" s="109"/>
      <c r="B5673" s="109"/>
      <c r="C5673" s="109"/>
      <c r="D5673" s="109"/>
      <c r="E5673" s="109"/>
      <c r="F5673" s="109"/>
      <c r="G5673" s="109"/>
      <c r="H5673" s="109"/>
      <c r="I5673" s="109"/>
      <c r="J5673" s="109"/>
      <c r="Q5673" s="121"/>
      <c r="W5673" s="109"/>
    </row>
    <row r="5674" spans="1:23" ht="12.75" hidden="1">
      <c r="A5674" s="109"/>
      <c r="B5674" s="109"/>
      <c r="C5674" s="109"/>
      <c r="D5674" s="109"/>
      <c r="E5674" s="109"/>
      <c r="F5674" s="109"/>
      <c r="G5674" s="109"/>
      <c r="H5674" s="109"/>
      <c r="I5674" s="109"/>
      <c r="J5674" s="109"/>
      <c r="Q5674" s="121"/>
      <c r="W5674" s="109"/>
    </row>
    <row r="5675" spans="1:23" ht="12.75" hidden="1">
      <c r="A5675" s="109"/>
      <c r="B5675" s="109"/>
      <c r="C5675" s="109"/>
      <c r="D5675" s="109"/>
      <c r="E5675" s="109"/>
      <c r="F5675" s="109"/>
      <c r="G5675" s="109"/>
      <c r="H5675" s="109"/>
      <c r="I5675" s="109"/>
      <c r="J5675" s="109"/>
      <c r="Q5675" s="121"/>
      <c r="W5675" s="109"/>
    </row>
    <row r="5676" spans="1:23" ht="12.75" hidden="1">
      <c r="A5676" s="109"/>
      <c r="B5676" s="109"/>
      <c r="C5676" s="109"/>
      <c r="D5676" s="109"/>
      <c r="E5676" s="109"/>
      <c r="F5676" s="109"/>
      <c r="G5676" s="109"/>
      <c r="H5676" s="109"/>
      <c r="I5676" s="109"/>
      <c r="J5676" s="109"/>
      <c r="Q5676" s="121"/>
      <c r="W5676" s="109"/>
    </row>
    <row r="5677" spans="1:23" ht="12.75" hidden="1">
      <c r="A5677" s="109"/>
      <c r="B5677" s="109"/>
      <c r="C5677" s="109"/>
      <c r="D5677" s="109"/>
      <c r="E5677" s="109"/>
      <c r="F5677" s="109"/>
      <c r="G5677" s="109"/>
      <c r="H5677" s="109"/>
      <c r="I5677" s="109"/>
      <c r="J5677" s="109"/>
      <c r="Q5677" s="121"/>
      <c r="W5677" s="109"/>
    </row>
    <row r="5678" spans="1:23" ht="12.75" hidden="1">
      <c r="A5678" s="109"/>
      <c r="B5678" s="109"/>
      <c r="C5678" s="109"/>
      <c r="D5678" s="109"/>
      <c r="E5678" s="109"/>
      <c r="F5678" s="109"/>
      <c r="G5678" s="109"/>
      <c r="H5678" s="109"/>
      <c r="I5678" s="109"/>
      <c r="J5678" s="109"/>
      <c r="Q5678" s="121"/>
      <c r="W5678" s="109"/>
    </row>
    <row r="5679" spans="1:23" ht="12.75" hidden="1">
      <c r="A5679" s="109"/>
      <c r="B5679" s="109"/>
      <c r="C5679" s="109"/>
      <c r="D5679" s="109"/>
      <c r="E5679" s="109"/>
      <c r="F5679" s="109"/>
      <c r="G5679" s="109"/>
      <c r="H5679" s="109"/>
      <c r="I5679" s="109"/>
      <c r="J5679" s="109"/>
      <c r="Q5679" s="121"/>
      <c r="W5679" s="109"/>
    </row>
    <row r="5680" spans="1:23" ht="12.75" hidden="1">
      <c r="A5680" s="109"/>
      <c r="B5680" s="109"/>
      <c r="C5680" s="109"/>
      <c r="D5680" s="109"/>
      <c r="E5680" s="109"/>
      <c r="F5680" s="109"/>
      <c r="G5680" s="109"/>
      <c r="H5680" s="109"/>
      <c r="I5680" s="109"/>
      <c r="J5680" s="109"/>
      <c r="Q5680" s="121"/>
      <c r="W5680" s="109"/>
    </row>
    <row r="5681" spans="1:23" ht="12.75" hidden="1">
      <c r="A5681" s="109"/>
      <c r="B5681" s="109"/>
      <c r="C5681" s="109"/>
      <c r="D5681" s="109"/>
      <c r="E5681" s="109"/>
      <c r="F5681" s="109"/>
      <c r="G5681" s="109"/>
      <c r="H5681" s="109"/>
      <c r="I5681" s="109"/>
      <c r="J5681" s="109"/>
      <c r="Q5681" s="121"/>
      <c r="W5681" s="109"/>
    </row>
    <row r="5682" spans="1:23" ht="12.75" hidden="1">
      <c r="A5682" s="109"/>
      <c r="B5682" s="109"/>
      <c r="C5682" s="109"/>
      <c r="D5682" s="109"/>
      <c r="E5682" s="109"/>
      <c r="F5682" s="109"/>
      <c r="G5682" s="109"/>
      <c r="H5682" s="109"/>
      <c r="I5682" s="109"/>
      <c r="J5682" s="109"/>
      <c r="Q5682" s="121"/>
      <c r="W5682" s="109"/>
    </row>
    <row r="5683" spans="1:23" ht="12.75" hidden="1">
      <c r="A5683" s="109"/>
      <c r="B5683" s="109"/>
      <c r="C5683" s="109"/>
      <c r="D5683" s="109"/>
      <c r="E5683" s="109"/>
      <c r="F5683" s="109"/>
      <c r="G5683" s="109"/>
      <c r="H5683" s="109"/>
      <c r="I5683" s="109"/>
      <c r="J5683" s="109"/>
      <c r="Q5683" s="121"/>
      <c r="W5683" s="109"/>
    </row>
    <row r="5684" spans="1:23" ht="12.75" hidden="1">
      <c r="A5684" s="109"/>
      <c r="B5684" s="109"/>
      <c r="C5684" s="109"/>
      <c r="D5684" s="109"/>
      <c r="E5684" s="109"/>
      <c r="F5684" s="109"/>
      <c r="G5684" s="109"/>
      <c r="H5684" s="109"/>
      <c r="I5684" s="109"/>
      <c r="J5684" s="109"/>
      <c r="Q5684" s="121"/>
      <c r="W5684" s="109"/>
    </row>
    <row r="5685" spans="1:23" ht="12.75" hidden="1">
      <c r="A5685" s="109"/>
      <c r="B5685" s="109"/>
      <c r="C5685" s="109"/>
      <c r="D5685" s="109"/>
      <c r="E5685" s="109"/>
      <c r="F5685" s="109"/>
      <c r="G5685" s="109"/>
      <c r="H5685" s="109"/>
      <c r="I5685" s="109"/>
      <c r="J5685" s="109"/>
      <c r="Q5685" s="121"/>
      <c r="W5685" s="109"/>
    </row>
    <row r="5686" spans="1:23" ht="12.75" hidden="1">
      <c r="A5686" s="109"/>
      <c r="B5686" s="109"/>
      <c r="C5686" s="109"/>
      <c r="D5686" s="109"/>
      <c r="E5686" s="109"/>
      <c r="F5686" s="109"/>
      <c r="G5686" s="109"/>
      <c r="H5686" s="109"/>
      <c r="I5686" s="109"/>
      <c r="J5686" s="109"/>
      <c r="Q5686" s="121"/>
      <c r="W5686" s="109"/>
    </row>
    <row r="5687" spans="1:23" ht="12.75" hidden="1">
      <c r="A5687" s="109"/>
      <c r="B5687" s="109"/>
      <c r="C5687" s="109"/>
      <c r="D5687" s="109"/>
      <c r="E5687" s="109"/>
      <c r="F5687" s="109"/>
      <c r="G5687" s="109"/>
      <c r="H5687" s="109"/>
      <c r="I5687" s="109"/>
      <c r="J5687" s="109"/>
      <c r="Q5687" s="121"/>
      <c r="W5687" s="109"/>
    </row>
    <row r="5688" spans="1:23" ht="12.75" hidden="1">
      <c r="A5688" s="109"/>
      <c r="B5688" s="109"/>
      <c r="C5688" s="109"/>
      <c r="D5688" s="109"/>
      <c r="E5688" s="109"/>
      <c r="F5688" s="109"/>
      <c r="G5688" s="109"/>
      <c r="H5688" s="109"/>
      <c r="I5688" s="109"/>
      <c r="J5688" s="109"/>
      <c r="Q5688" s="121"/>
      <c r="W5688" s="109"/>
    </row>
    <row r="5689" spans="1:23" ht="12.75" hidden="1">
      <c r="A5689" s="109"/>
      <c r="B5689" s="109"/>
      <c r="C5689" s="109"/>
      <c r="D5689" s="109"/>
      <c r="E5689" s="109"/>
      <c r="F5689" s="109"/>
      <c r="G5689" s="109"/>
      <c r="H5689" s="109"/>
      <c r="I5689" s="109"/>
      <c r="J5689" s="109"/>
      <c r="Q5689" s="121"/>
      <c r="W5689" s="109"/>
    </row>
    <row r="5690" spans="1:23" ht="12.75" hidden="1">
      <c r="A5690" s="109"/>
      <c r="B5690" s="109"/>
      <c r="C5690" s="109"/>
      <c r="D5690" s="109"/>
      <c r="E5690" s="109"/>
      <c r="F5690" s="109"/>
      <c r="G5690" s="109"/>
      <c r="H5690" s="109"/>
      <c r="I5690" s="109"/>
      <c r="J5690" s="109"/>
      <c r="Q5690" s="121"/>
      <c r="W5690" s="109"/>
    </row>
    <row r="5691" spans="1:23" ht="12.75" hidden="1">
      <c r="A5691" s="109"/>
      <c r="B5691" s="109"/>
      <c r="C5691" s="109"/>
      <c r="D5691" s="109"/>
      <c r="E5691" s="109"/>
      <c r="F5691" s="109"/>
      <c r="G5691" s="109"/>
      <c r="H5691" s="109"/>
      <c r="I5691" s="109"/>
      <c r="J5691" s="109"/>
      <c r="Q5691" s="121"/>
      <c r="W5691" s="109"/>
    </row>
    <row r="5692" spans="1:23" ht="12.75" hidden="1">
      <c r="A5692" s="109"/>
      <c r="B5692" s="109"/>
      <c r="C5692" s="109"/>
      <c r="D5692" s="109"/>
      <c r="E5692" s="109"/>
      <c r="F5692" s="109"/>
      <c r="G5692" s="109"/>
      <c r="H5692" s="109"/>
      <c r="I5692" s="109"/>
      <c r="J5692" s="109"/>
      <c r="Q5692" s="121"/>
      <c r="W5692" s="109"/>
    </row>
    <row r="5693" spans="1:23" ht="12.75" hidden="1">
      <c r="A5693" s="109"/>
      <c r="B5693" s="109"/>
      <c r="C5693" s="109"/>
      <c r="D5693" s="109"/>
      <c r="E5693" s="109"/>
      <c r="F5693" s="109"/>
      <c r="G5693" s="109"/>
      <c r="H5693" s="109"/>
      <c r="I5693" s="109"/>
      <c r="J5693" s="109"/>
      <c r="Q5693" s="121"/>
      <c r="W5693" s="109"/>
    </row>
    <row r="5694" spans="1:23" ht="12.75" hidden="1">
      <c r="A5694" s="109"/>
      <c r="B5694" s="109"/>
      <c r="C5694" s="109"/>
      <c r="D5694" s="109"/>
      <c r="E5694" s="109"/>
      <c r="F5694" s="109"/>
      <c r="G5694" s="109"/>
      <c r="H5694" s="109"/>
      <c r="I5694" s="109"/>
      <c r="J5694" s="109"/>
      <c r="Q5694" s="121"/>
      <c r="W5694" s="109"/>
    </row>
    <row r="5695" spans="1:23" ht="12.75" hidden="1">
      <c r="A5695" s="109"/>
      <c r="B5695" s="109"/>
      <c r="C5695" s="109"/>
      <c r="D5695" s="109"/>
      <c r="E5695" s="109"/>
      <c r="F5695" s="109"/>
      <c r="G5695" s="109"/>
      <c r="H5695" s="109"/>
      <c r="I5695" s="109"/>
      <c r="J5695" s="109"/>
      <c r="Q5695" s="121"/>
      <c r="W5695" s="109"/>
    </row>
    <row r="5696" spans="1:23" ht="12.75" hidden="1">
      <c r="A5696" s="109"/>
      <c r="B5696" s="109"/>
      <c r="C5696" s="109"/>
      <c r="D5696" s="109"/>
      <c r="E5696" s="109"/>
      <c r="F5696" s="109"/>
      <c r="G5696" s="109"/>
      <c r="H5696" s="109"/>
      <c r="I5696" s="109"/>
      <c r="J5696" s="109"/>
      <c r="Q5696" s="121"/>
      <c r="W5696" s="109"/>
    </row>
    <row r="5697" spans="1:23" ht="12.75" hidden="1">
      <c r="A5697" s="109"/>
      <c r="B5697" s="109"/>
      <c r="C5697" s="109"/>
      <c r="D5697" s="109"/>
      <c r="E5697" s="109"/>
      <c r="F5697" s="109"/>
      <c r="G5697" s="109"/>
      <c r="H5697" s="109"/>
      <c r="I5697" s="109"/>
      <c r="J5697" s="109"/>
      <c r="Q5697" s="121"/>
      <c r="W5697" s="109"/>
    </row>
    <row r="5698" spans="1:23" ht="12.75" hidden="1">
      <c r="A5698" s="109"/>
      <c r="B5698" s="109"/>
      <c r="C5698" s="109"/>
      <c r="D5698" s="109"/>
      <c r="E5698" s="109"/>
      <c r="F5698" s="109"/>
      <c r="G5698" s="109"/>
      <c r="H5698" s="109"/>
      <c r="I5698" s="109"/>
      <c r="J5698" s="109"/>
      <c r="Q5698" s="121"/>
      <c r="W5698" s="109"/>
    </row>
    <row r="5699" spans="1:23" ht="12.75" hidden="1">
      <c r="A5699" s="109"/>
      <c r="B5699" s="109"/>
      <c r="C5699" s="109"/>
      <c r="D5699" s="109"/>
      <c r="E5699" s="109"/>
      <c r="F5699" s="109"/>
      <c r="G5699" s="109"/>
      <c r="H5699" s="109"/>
      <c r="I5699" s="109"/>
      <c r="J5699" s="109"/>
      <c r="Q5699" s="121"/>
      <c r="W5699" s="109"/>
    </row>
    <row r="5700" spans="1:23" ht="12.75" hidden="1">
      <c r="A5700" s="109"/>
      <c r="B5700" s="109"/>
      <c r="C5700" s="109"/>
      <c r="D5700" s="109"/>
      <c r="E5700" s="109"/>
      <c r="F5700" s="109"/>
      <c r="G5700" s="109"/>
      <c r="H5700" s="109"/>
      <c r="I5700" s="109"/>
      <c r="J5700" s="109"/>
      <c r="Q5700" s="121"/>
      <c r="W5700" s="109"/>
    </row>
    <row r="5701" spans="1:23" ht="12.75" hidden="1">
      <c r="A5701" s="109"/>
      <c r="B5701" s="109"/>
      <c r="C5701" s="109"/>
      <c r="D5701" s="109"/>
      <c r="E5701" s="109"/>
      <c r="F5701" s="109"/>
      <c r="G5701" s="109"/>
      <c r="H5701" s="109"/>
      <c r="I5701" s="109"/>
      <c r="J5701" s="109"/>
      <c r="Q5701" s="121"/>
      <c r="W5701" s="109"/>
    </row>
    <row r="5702" spans="1:23" ht="12.75" hidden="1">
      <c r="A5702" s="109"/>
      <c r="B5702" s="109"/>
      <c r="C5702" s="109"/>
      <c r="D5702" s="109"/>
      <c r="E5702" s="109"/>
      <c r="F5702" s="109"/>
      <c r="G5702" s="109"/>
      <c r="H5702" s="109"/>
      <c r="I5702" s="109"/>
      <c r="J5702" s="109"/>
      <c r="Q5702" s="121"/>
      <c r="W5702" s="109"/>
    </row>
    <row r="5703" spans="1:23" ht="12.75" hidden="1">
      <c r="A5703" s="109"/>
      <c r="B5703" s="109"/>
      <c r="C5703" s="109"/>
      <c r="D5703" s="109"/>
      <c r="E5703" s="109"/>
      <c r="F5703" s="109"/>
      <c r="G5703" s="109"/>
      <c r="H5703" s="109"/>
      <c r="I5703" s="109"/>
      <c r="J5703" s="109"/>
      <c r="Q5703" s="121"/>
      <c r="W5703" s="109"/>
    </row>
    <row r="5704" spans="1:23" ht="12.75" hidden="1">
      <c r="A5704" s="109"/>
      <c r="B5704" s="109"/>
      <c r="C5704" s="109"/>
      <c r="D5704" s="109"/>
      <c r="E5704" s="109"/>
      <c r="F5704" s="109"/>
      <c r="G5704" s="109"/>
      <c r="H5704" s="109"/>
      <c r="I5704" s="109"/>
      <c r="J5704" s="109"/>
      <c r="Q5704" s="121"/>
      <c r="W5704" s="109"/>
    </row>
    <row r="5705" spans="1:23" ht="12.75" hidden="1">
      <c r="A5705" s="109"/>
      <c r="B5705" s="109"/>
      <c r="C5705" s="109"/>
      <c r="D5705" s="109"/>
      <c r="E5705" s="109"/>
      <c r="F5705" s="109"/>
      <c r="G5705" s="109"/>
      <c r="H5705" s="109"/>
      <c r="I5705" s="109"/>
      <c r="J5705" s="109"/>
      <c r="Q5705" s="121"/>
      <c r="W5705" s="109"/>
    </row>
    <row r="5706" spans="1:23" ht="12.75" hidden="1">
      <c r="A5706" s="109"/>
      <c r="B5706" s="109"/>
      <c r="C5706" s="109"/>
      <c r="D5706" s="109"/>
      <c r="E5706" s="109"/>
      <c r="F5706" s="109"/>
      <c r="G5706" s="109"/>
      <c r="H5706" s="109"/>
      <c r="I5706" s="109"/>
      <c r="J5706" s="109"/>
      <c r="Q5706" s="121"/>
      <c r="W5706" s="109"/>
    </row>
    <row r="5707" spans="1:23" ht="12.75" hidden="1">
      <c r="A5707" s="109"/>
      <c r="B5707" s="109"/>
      <c r="C5707" s="109"/>
      <c r="D5707" s="109"/>
      <c r="E5707" s="109"/>
      <c r="F5707" s="109"/>
      <c r="G5707" s="109"/>
      <c r="H5707" s="109"/>
      <c r="I5707" s="109"/>
      <c r="J5707" s="109"/>
      <c r="Q5707" s="121"/>
      <c r="W5707" s="109"/>
    </row>
    <row r="5708" spans="1:23" ht="12.75" hidden="1">
      <c r="A5708" s="109"/>
      <c r="B5708" s="109"/>
      <c r="C5708" s="109"/>
      <c r="D5708" s="109"/>
      <c r="E5708" s="109"/>
      <c r="F5708" s="109"/>
      <c r="G5708" s="109"/>
      <c r="H5708" s="109"/>
      <c r="I5708" s="109"/>
      <c r="J5708" s="109"/>
      <c r="Q5708" s="121"/>
      <c r="W5708" s="109"/>
    </row>
    <row r="5709" spans="1:23" ht="12.75" hidden="1">
      <c r="A5709" s="109"/>
      <c r="B5709" s="109"/>
      <c r="C5709" s="109"/>
      <c r="D5709" s="109"/>
      <c r="E5709" s="109"/>
      <c r="F5709" s="109"/>
      <c r="G5709" s="109"/>
      <c r="H5709" s="109"/>
      <c r="I5709" s="109"/>
      <c r="J5709" s="109"/>
      <c r="Q5709" s="121"/>
      <c r="W5709" s="109"/>
    </row>
    <row r="5710" spans="1:23" ht="12.75" hidden="1">
      <c r="A5710" s="109"/>
      <c r="B5710" s="109"/>
      <c r="C5710" s="109"/>
      <c r="D5710" s="109"/>
      <c r="E5710" s="109"/>
      <c r="F5710" s="109"/>
      <c r="G5710" s="109"/>
      <c r="H5710" s="109"/>
      <c r="I5710" s="109"/>
      <c r="J5710" s="109"/>
      <c r="Q5710" s="121"/>
      <c r="W5710" s="109"/>
    </row>
    <row r="5711" spans="1:23" ht="12.75" hidden="1">
      <c r="A5711" s="109"/>
      <c r="B5711" s="109"/>
      <c r="C5711" s="109"/>
      <c r="D5711" s="109"/>
      <c r="E5711" s="109"/>
      <c r="F5711" s="109"/>
      <c r="G5711" s="109"/>
      <c r="H5711" s="109"/>
      <c r="I5711" s="109"/>
      <c r="J5711" s="109"/>
      <c r="Q5711" s="121"/>
      <c r="W5711" s="109"/>
    </row>
    <row r="5712" spans="1:23" ht="12.75" hidden="1">
      <c r="A5712" s="109"/>
      <c r="B5712" s="109"/>
      <c r="C5712" s="109"/>
      <c r="D5712" s="109"/>
      <c r="E5712" s="109"/>
      <c r="F5712" s="109"/>
      <c r="G5712" s="109"/>
      <c r="H5712" s="109"/>
      <c r="I5712" s="109"/>
      <c r="J5712" s="109"/>
      <c r="Q5712" s="121"/>
      <c r="W5712" s="109"/>
    </row>
    <row r="5713" spans="1:23" ht="12.75" hidden="1">
      <c r="A5713" s="109"/>
      <c r="B5713" s="109"/>
      <c r="C5713" s="109"/>
      <c r="D5713" s="109"/>
      <c r="E5713" s="109"/>
      <c r="F5713" s="109"/>
      <c r="G5713" s="109"/>
      <c r="H5713" s="109"/>
      <c r="I5713" s="109"/>
      <c r="J5713" s="109"/>
      <c r="Q5713" s="121"/>
      <c r="W5713" s="109"/>
    </row>
    <row r="5714" spans="1:23" ht="12.75" hidden="1">
      <c r="A5714" s="109"/>
      <c r="B5714" s="109"/>
      <c r="C5714" s="109"/>
      <c r="D5714" s="109"/>
      <c r="E5714" s="109"/>
      <c r="F5714" s="109"/>
      <c r="G5714" s="109"/>
      <c r="H5714" s="109"/>
      <c r="I5714" s="109"/>
      <c r="J5714" s="109"/>
      <c r="Q5714" s="121"/>
      <c r="W5714" s="109"/>
    </row>
    <row r="5715" spans="1:23" ht="12.75" hidden="1">
      <c r="A5715" s="109"/>
      <c r="B5715" s="109"/>
      <c r="C5715" s="109"/>
      <c r="D5715" s="109"/>
      <c r="E5715" s="109"/>
      <c r="F5715" s="109"/>
      <c r="G5715" s="109"/>
      <c r="H5715" s="109"/>
      <c r="I5715" s="109"/>
      <c r="J5715" s="109"/>
      <c r="Q5715" s="121"/>
      <c r="W5715" s="109"/>
    </row>
    <row r="5716" spans="1:23" ht="12.75" hidden="1">
      <c r="A5716" s="109"/>
      <c r="B5716" s="109"/>
      <c r="C5716" s="109"/>
      <c r="D5716" s="109"/>
      <c r="E5716" s="109"/>
      <c r="F5716" s="109"/>
      <c r="G5716" s="109"/>
      <c r="H5716" s="109"/>
      <c r="I5716" s="109"/>
      <c r="J5716" s="109"/>
      <c r="Q5716" s="121"/>
      <c r="W5716" s="109"/>
    </row>
    <row r="5717" spans="1:23" ht="12.75" hidden="1">
      <c r="A5717" s="109"/>
      <c r="B5717" s="109"/>
      <c r="C5717" s="109"/>
      <c r="D5717" s="109"/>
      <c r="E5717" s="109"/>
      <c r="F5717" s="109"/>
      <c r="G5717" s="109"/>
      <c r="H5717" s="109"/>
      <c r="I5717" s="109"/>
      <c r="J5717" s="109"/>
      <c r="Q5717" s="121"/>
      <c r="W5717" s="109"/>
    </row>
    <row r="5718" spans="1:23" ht="12.75" hidden="1">
      <c r="A5718" s="109"/>
      <c r="B5718" s="109"/>
      <c r="C5718" s="109"/>
      <c r="D5718" s="109"/>
      <c r="E5718" s="109"/>
      <c r="F5718" s="109"/>
      <c r="G5718" s="109"/>
      <c r="H5718" s="109"/>
      <c r="I5718" s="109"/>
      <c r="J5718" s="109"/>
      <c r="Q5718" s="121"/>
      <c r="W5718" s="109"/>
    </row>
    <row r="5719" spans="1:23" ht="12.75" hidden="1">
      <c r="A5719" s="109"/>
      <c r="B5719" s="109"/>
      <c r="C5719" s="109"/>
      <c r="D5719" s="109"/>
      <c r="E5719" s="109"/>
      <c r="F5719" s="109"/>
      <c r="G5719" s="109"/>
      <c r="H5719" s="109"/>
      <c r="I5719" s="109"/>
      <c r="J5719" s="109"/>
      <c r="Q5719" s="121"/>
      <c r="W5719" s="109"/>
    </row>
    <row r="5720" spans="1:23" ht="12.75" hidden="1">
      <c r="A5720" s="109"/>
      <c r="B5720" s="109"/>
      <c r="C5720" s="109"/>
      <c r="D5720" s="109"/>
      <c r="E5720" s="109"/>
      <c r="F5720" s="109"/>
      <c r="G5720" s="109"/>
      <c r="H5720" s="109"/>
      <c r="I5720" s="109"/>
      <c r="J5720" s="109"/>
      <c r="Q5720" s="121"/>
      <c r="W5720" s="109"/>
    </row>
    <row r="5721" spans="1:23" ht="12.75" hidden="1">
      <c r="A5721" s="109"/>
      <c r="B5721" s="109"/>
      <c r="C5721" s="109"/>
      <c r="D5721" s="109"/>
      <c r="E5721" s="109"/>
      <c r="F5721" s="109"/>
      <c r="G5721" s="109"/>
      <c r="H5721" s="109"/>
      <c r="I5721" s="109"/>
      <c r="J5721" s="109"/>
      <c r="Q5721" s="121"/>
      <c r="W5721" s="109"/>
    </row>
    <row r="5722" spans="1:23" ht="12.75" hidden="1">
      <c r="A5722" s="109"/>
      <c r="B5722" s="109"/>
      <c r="C5722" s="109"/>
      <c r="D5722" s="109"/>
      <c r="E5722" s="109"/>
      <c r="F5722" s="109"/>
      <c r="G5722" s="109"/>
      <c r="H5722" s="109"/>
      <c r="I5722" s="109"/>
      <c r="J5722" s="109"/>
      <c r="Q5722" s="121"/>
      <c r="W5722" s="109"/>
    </row>
    <row r="5723" spans="1:23" ht="12.75" hidden="1">
      <c r="A5723" s="109"/>
      <c r="B5723" s="109"/>
      <c r="C5723" s="109"/>
      <c r="D5723" s="109"/>
      <c r="E5723" s="109"/>
      <c r="F5723" s="109"/>
      <c r="G5723" s="109"/>
      <c r="H5723" s="109"/>
      <c r="I5723" s="109"/>
      <c r="J5723" s="109"/>
      <c r="Q5723" s="121"/>
      <c r="W5723" s="109"/>
    </row>
    <row r="5724" spans="1:23" ht="12.75" hidden="1">
      <c r="A5724" s="109"/>
      <c r="B5724" s="109"/>
      <c r="C5724" s="109"/>
      <c r="D5724" s="109"/>
      <c r="E5724" s="109"/>
      <c r="F5724" s="109"/>
      <c r="G5724" s="109"/>
      <c r="H5724" s="109"/>
      <c r="I5724" s="109"/>
      <c r="J5724" s="109"/>
      <c r="Q5724" s="121"/>
      <c r="W5724" s="109"/>
    </row>
    <row r="5725" spans="1:23" ht="12.75" hidden="1">
      <c r="A5725" s="109"/>
      <c r="B5725" s="109"/>
      <c r="C5725" s="109"/>
      <c r="D5725" s="109"/>
      <c r="E5725" s="109"/>
      <c r="F5725" s="109"/>
      <c r="G5725" s="109"/>
      <c r="H5725" s="109"/>
      <c r="I5725" s="109"/>
      <c r="J5725" s="109"/>
      <c r="Q5725" s="121"/>
      <c r="W5725" s="109"/>
    </row>
    <row r="5726" spans="1:23" ht="12.75" hidden="1">
      <c r="A5726" s="109"/>
      <c r="B5726" s="109"/>
      <c r="C5726" s="109"/>
      <c r="D5726" s="109"/>
      <c r="E5726" s="109"/>
      <c r="F5726" s="109"/>
      <c r="G5726" s="109"/>
      <c r="H5726" s="109"/>
      <c r="I5726" s="109"/>
      <c r="J5726" s="109"/>
      <c r="Q5726" s="121"/>
      <c r="W5726" s="109"/>
    </row>
    <row r="5727" spans="1:23" ht="12.75" hidden="1">
      <c r="A5727" s="109"/>
      <c r="B5727" s="109"/>
      <c r="C5727" s="109"/>
      <c r="D5727" s="109"/>
      <c r="E5727" s="109"/>
      <c r="F5727" s="109"/>
      <c r="G5727" s="109"/>
      <c r="H5727" s="109"/>
      <c r="I5727" s="109"/>
      <c r="J5727" s="109"/>
      <c r="Q5727" s="121"/>
      <c r="W5727" s="109"/>
    </row>
    <row r="5728" spans="1:23" ht="12.75" hidden="1">
      <c r="A5728" s="109"/>
      <c r="B5728" s="109"/>
      <c r="C5728" s="109"/>
      <c r="D5728" s="109"/>
      <c r="E5728" s="109"/>
      <c r="F5728" s="109"/>
      <c r="G5728" s="109"/>
      <c r="H5728" s="109"/>
      <c r="I5728" s="109"/>
      <c r="J5728" s="109"/>
      <c r="Q5728" s="121"/>
      <c r="W5728" s="109"/>
    </row>
    <row r="5729" spans="1:23" ht="12.75" hidden="1">
      <c r="A5729" s="109"/>
      <c r="B5729" s="109"/>
      <c r="C5729" s="109"/>
      <c r="D5729" s="109"/>
      <c r="E5729" s="109"/>
      <c r="F5729" s="109"/>
      <c r="G5729" s="109"/>
      <c r="H5729" s="109"/>
      <c r="I5729" s="109"/>
      <c r="J5729" s="109"/>
      <c r="Q5729" s="121"/>
      <c r="W5729" s="109"/>
    </row>
    <row r="5730" spans="1:23" ht="12.75" hidden="1">
      <c r="A5730" s="109"/>
      <c r="B5730" s="109"/>
      <c r="C5730" s="109"/>
      <c r="D5730" s="109"/>
      <c r="E5730" s="109"/>
      <c r="F5730" s="109"/>
      <c r="G5730" s="109"/>
      <c r="H5730" s="109"/>
      <c r="I5730" s="109"/>
      <c r="J5730" s="109"/>
      <c r="Q5730" s="121"/>
      <c r="W5730" s="109"/>
    </row>
    <row r="5731" spans="1:23" ht="12.75" hidden="1">
      <c r="A5731" s="109"/>
      <c r="B5731" s="109"/>
      <c r="C5731" s="109"/>
      <c r="D5731" s="109"/>
      <c r="E5731" s="109"/>
      <c r="F5731" s="109"/>
      <c r="G5731" s="109"/>
      <c r="H5731" s="109"/>
      <c r="I5731" s="109"/>
      <c r="J5731" s="109"/>
      <c r="Q5731" s="121"/>
      <c r="W5731" s="109"/>
    </row>
    <row r="5732" spans="1:23" ht="12.75" hidden="1">
      <c r="A5732" s="109"/>
      <c r="B5732" s="109"/>
      <c r="C5732" s="109"/>
      <c r="D5732" s="109"/>
      <c r="E5732" s="109"/>
      <c r="F5732" s="109"/>
      <c r="G5732" s="109"/>
      <c r="H5732" s="109"/>
      <c r="I5732" s="109"/>
      <c r="J5732" s="109"/>
      <c r="Q5732" s="121"/>
      <c r="W5732" s="109"/>
    </row>
    <row r="5733" spans="1:23" ht="12.75" hidden="1">
      <c r="A5733" s="109"/>
      <c r="B5733" s="109"/>
      <c r="C5733" s="109"/>
      <c r="D5733" s="109"/>
      <c r="E5733" s="109"/>
      <c r="F5733" s="109"/>
      <c r="G5733" s="109"/>
      <c r="H5733" s="109"/>
      <c r="I5733" s="109"/>
      <c r="J5733" s="109"/>
      <c r="Q5733" s="121"/>
      <c r="W5733" s="109"/>
    </row>
    <row r="5734" spans="1:23" ht="12.75" hidden="1">
      <c r="A5734" s="109"/>
      <c r="B5734" s="109"/>
      <c r="C5734" s="109"/>
      <c r="D5734" s="109"/>
      <c r="E5734" s="109"/>
      <c r="F5734" s="109"/>
      <c r="G5734" s="109"/>
      <c r="H5734" s="109"/>
      <c r="I5734" s="109"/>
      <c r="J5734" s="109"/>
      <c r="Q5734" s="121"/>
      <c r="W5734" s="109"/>
    </row>
    <row r="5735" spans="1:23" ht="12.75" hidden="1">
      <c r="A5735" s="109"/>
      <c r="B5735" s="109"/>
      <c r="C5735" s="109"/>
      <c r="D5735" s="109"/>
      <c r="E5735" s="109"/>
      <c r="F5735" s="109"/>
      <c r="G5735" s="109"/>
      <c r="H5735" s="109"/>
      <c r="I5735" s="109"/>
      <c r="J5735" s="109"/>
      <c r="Q5735" s="121"/>
      <c r="W5735" s="109"/>
    </row>
    <row r="5736" spans="1:23" ht="12.75" hidden="1">
      <c r="A5736" s="109"/>
      <c r="B5736" s="109"/>
      <c r="C5736" s="109"/>
      <c r="D5736" s="109"/>
      <c r="E5736" s="109"/>
      <c r="F5736" s="109"/>
      <c r="G5736" s="109"/>
      <c r="H5736" s="109"/>
      <c r="I5736" s="109"/>
      <c r="J5736" s="109"/>
      <c r="Q5736" s="121"/>
      <c r="W5736" s="109"/>
    </row>
    <row r="5737" spans="1:23" ht="12.75" hidden="1">
      <c r="A5737" s="109"/>
      <c r="B5737" s="109"/>
      <c r="C5737" s="109"/>
      <c r="D5737" s="109"/>
      <c r="E5737" s="109"/>
      <c r="F5737" s="109"/>
      <c r="G5737" s="109"/>
      <c r="H5737" s="109"/>
      <c r="I5737" s="109"/>
      <c r="J5737" s="109"/>
      <c r="Q5737" s="121"/>
      <c r="W5737" s="109"/>
    </row>
    <row r="5738" spans="1:23" ht="12.75" hidden="1">
      <c r="A5738" s="109"/>
      <c r="B5738" s="109"/>
      <c r="C5738" s="109"/>
      <c r="D5738" s="109"/>
      <c r="E5738" s="109"/>
      <c r="F5738" s="109"/>
      <c r="G5738" s="109"/>
      <c r="H5738" s="109"/>
      <c r="I5738" s="109"/>
      <c r="J5738" s="109"/>
      <c r="Q5738" s="121"/>
      <c r="W5738" s="109"/>
    </row>
    <row r="5739" spans="1:23" ht="12.75" hidden="1">
      <c r="A5739" s="109"/>
      <c r="B5739" s="109"/>
      <c r="C5739" s="109"/>
      <c r="D5739" s="109"/>
      <c r="E5739" s="109"/>
      <c r="F5739" s="109"/>
      <c r="G5739" s="109"/>
      <c r="H5739" s="109"/>
      <c r="I5739" s="109"/>
      <c r="J5739" s="109"/>
      <c r="Q5739" s="121"/>
      <c r="W5739" s="109"/>
    </row>
    <row r="5740" spans="1:23" ht="12.75" hidden="1">
      <c r="A5740" s="109"/>
      <c r="B5740" s="109"/>
      <c r="C5740" s="109"/>
      <c r="D5740" s="109"/>
      <c r="E5740" s="109"/>
      <c r="F5740" s="109"/>
      <c r="G5740" s="109"/>
      <c r="H5740" s="109"/>
      <c r="I5740" s="109"/>
      <c r="J5740" s="109"/>
      <c r="Q5740" s="121"/>
      <c r="W5740" s="109"/>
    </row>
    <row r="5741" spans="1:23" ht="12.75" hidden="1">
      <c r="A5741" s="109"/>
      <c r="B5741" s="109"/>
      <c r="C5741" s="109"/>
      <c r="D5741" s="109"/>
      <c r="E5741" s="109"/>
      <c r="F5741" s="109"/>
      <c r="G5741" s="109"/>
      <c r="H5741" s="109"/>
      <c r="I5741" s="109"/>
      <c r="J5741" s="109"/>
      <c r="Q5741" s="121"/>
      <c r="W5741" s="109"/>
    </row>
    <row r="5742" spans="1:23" ht="12.75" hidden="1">
      <c r="A5742" s="109"/>
      <c r="B5742" s="109"/>
      <c r="C5742" s="109"/>
      <c r="D5742" s="109"/>
      <c r="E5742" s="109"/>
      <c r="F5742" s="109"/>
      <c r="G5742" s="109"/>
      <c r="H5742" s="109"/>
      <c r="I5742" s="109"/>
      <c r="J5742" s="109"/>
      <c r="Q5742" s="121"/>
      <c r="W5742" s="109"/>
    </row>
    <row r="5743" spans="1:23" ht="12.75" hidden="1">
      <c r="A5743" s="109"/>
      <c r="B5743" s="109"/>
      <c r="C5743" s="109"/>
      <c r="D5743" s="109"/>
      <c r="E5743" s="109"/>
      <c r="F5743" s="109"/>
      <c r="G5743" s="109"/>
      <c r="H5743" s="109"/>
      <c r="I5743" s="109"/>
      <c r="J5743" s="109"/>
      <c r="Q5743" s="121"/>
      <c r="W5743" s="109"/>
    </row>
    <row r="5744" spans="1:23" ht="12.75" hidden="1">
      <c r="A5744" s="109"/>
      <c r="B5744" s="109"/>
      <c r="C5744" s="109"/>
      <c r="D5744" s="109"/>
      <c r="E5744" s="109"/>
      <c r="F5744" s="109"/>
      <c r="G5744" s="109"/>
      <c r="H5744" s="109"/>
      <c r="I5744" s="109"/>
      <c r="J5744" s="109"/>
      <c r="Q5744" s="121"/>
      <c r="W5744" s="109"/>
    </row>
    <row r="5745" spans="1:23" ht="12.75" hidden="1">
      <c r="A5745" s="109"/>
      <c r="B5745" s="109"/>
      <c r="C5745" s="109"/>
      <c r="D5745" s="109"/>
      <c r="E5745" s="109"/>
      <c r="F5745" s="109"/>
      <c r="G5745" s="109"/>
      <c r="H5745" s="109"/>
      <c r="I5745" s="109"/>
      <c r="J5745" s="109"/>
      <c r="Q5745" s="121"/>
      <c r="W5745" s="109"/>
    </row>
    <row r="5746" spans="1:23" ht="12.75" hidden="1">
      <c r="A5746" s="109"/>
      <c r="B5746" s="109"/>
      <c r="C5746" s="109"/>
      <c r="D5746" s="109"/>
      <c r="E5746" s="109"/>
      <c r="F5746" s="109"/>
      <c r="G5746" s="109"/>
      <c r="H5746" s="109"/>
      <c r="I5746" s="109"/>
      <c r="J5746" s="109"/>
      <c r="Q5746" s="121"/>
      <c r="W5746" s="109"/>
    </row>
    <row r="5747" spans="1:23" ht="12.75" hidden="1">
      <c r="A5747" s="109"/>
      <c r="B5747" s="109"/>
      <c r="C5747" s="109"/>
      <c r="D5747" s="109"/>
      <c r="E5747" s="109"/>
      <c r="F5747" s="109"/>
      <c r="G5747" s="109"/>
      <c r="H5747" s="109"/>
      <c r="I5747" s="109"/>
      <c r="J5747" s="109"/>
      <c r="Q5747" s="121"/>
      <c r="W5747" s="109"/>
    </row>
    <row r="5748" spans="1:23" ht="12.75" hidden="1">
      <c r="A5748" s="109"/>
      <c r="B5748" s="109"/>
      <c r="C5748" s="109"/>
      <c r="D5748" s="109"/>
      <c r="E5748" s="109"/>
      <c r="F5748" s="109"/>
      <c r="G5748" s="109"/>
      <c r="H5748" s="109"/>
      <c r="I5748" s="109"/>
      <c r="J5748" s="109"/>
      <c r="Q5748" s="121"/>
      <c r="W5748" s="109"/>
    </row>
    <row r="5749" spans="1:23" ht="12.75" hidden="1">
      <c r="A5749" s="109"/>
      <c r="B5749" s="109"/>
      <c r="C5749" s="109"/>
      <c r="D5749" s="109"/>
      <c r="E5749" s="109"/>
      <c r="F5749" s="109"/>
      <c r="G5749" s="109"/>
      <c r="H5749" s="109"/>
      <c r="I5749" s="109"/>
      <c r="J5749" s="109"/>
      <c r="Q5749" s="121"/>
      <c r="W5749" s="109"/>
    </row>
    <row r="5750" spans="1:23" ht="12.75" hidden="1">
      <c r="A5750" s="109"/>
      <c r="B5750" s="109"/>
      <c r="C5750" s="109"/>
      <c r="D5750" s="109"/>
      <c r="E5750" s="109"/>
      <c r="F5750" s="109"/>
      <c r="G5750" s="109"/>
      <c r="H5750" s="109"/>
      <c r="I5750" s="109"/>
      <c r="J5750" s="109"/>
      <c r="Q5750" s="121"/>
      <c r="W5750" s="109"/>
    </row>
    <row r="5751" spans="1:23" ht="12.75" hidden="1">
      <c r="A5751" s="109"/>
      <c r="B5751" s="109"/>
      <c r="C5751" s="109"/>
      <c r="D5751" s="109"/>
      <c r="E5751" s="109"/>
      <c r="F5751" s="109"/>
      <c r="G5751" s="109"/>
      <c r="H5751" s="109"/>
      <c r="I5751" s="109"/>
      <c r="J5751" s="109"/>
      <c r="Q5751" s="121"/>
      <c r="W5751" s="109"/>
    </row>
    <row r="5752" spans="1:23" ht="12.75" hidden="1">
      <c r="A5752" s="109"/>
      <c r="B5752" s="109"/>
      <c r="C5752" s="109"/>
      <c r="D5752" s="109"/>
      <c r="E5752" s="109"/>
      <c r="F5752" s="109"/>
      <c r="G5752" s="109"/>
      <c r="H5752" s="109"/>
      <c r="I5752" s="109"/>
      <c r="J5752" s="109"/>
      <c r="Q5752" s="121"/>
      <c r="W5752" s="109"/>
    </row>
    <row r="5753" spans="1:23" ht="12.75" hidden="1">
      <c r="A5753" s="109"/>
      <c r="B5753" s="109"/>
      <c r="C5753" s="109"/>
      <c r="D5753" s="109"/>
      <c r="E5753" s="109"/>
      <c r="F5753" s="109"/>
      <c r="G5753" s="109"/>
      <c r="H5753" s="109"/>
      <c r="I5753" s="109"/>
      <c r="J5753" s="109"/>
      <c r="Q5753" s="121"/>
      <c r="W5753" s="109"/>
    </row>
    <row r="5754" spans="1:23" ht="12.75" hidden="1">
      <c r="A5754" s="109"/>
      <c r="B5754" s="109"/>
      <c r="C5754" s="109"/>
      <c r="D5754" s="109"/>
      <c r="E5754" s="109"/>
      <c r="F5754" s="109"/>
      <c r="G5754" s="109"/>
      <c r="H5754" s="109"/>
      <c r="I5754" s="109"/>
      <c r="J5754" s="109"/>
      <c r="Q5754" s="121"/>
      <c r="W5754" s="109"/>
    </row>
    <row r="5755" spans="1:23" ht="12.75" hidden="1">
      <c r="A5755" s="109"/>
      <c r="B5755" s="109"/>
      <c r="C5755" s="109"/>
      <c r="D5755" s="109"/>
      <c r="E5755" s="109"/>
      <c r="F5755" s="109"/>
      <c r="G5755" s="109"/>
      <c r="H5755" s="109"/>
      <c r="I5755" s="109"/>
      <c r="J5755" s="109"/>
      <c r="Q5755" s="121"/>
      <c r="W5755" s="109"/>
    </row>
    <row r="5756" spans="1:23" ht="12.75" hidden="1">
      <c r="A5756" s="109"/>
      <c r="B5756" s="109"/>
      <c r="C5756" s="109"/>
      <c r="D5756" s="109"/>
      <c r="E5756" s="109"/>
      <c r="F5756" s="109"/>
      <c r="G5756" s="109"/>
      <c r="H5756" s="109"/>
      <c r="I5756" s="109"/>
      <c r="J5756" s="109"/>
      <c r="Q5756" s="121"/>
      <c r="W5756" s="109"/>
    </row>
    <row r="5757" spans="1:23" ht="12.75" hidden="1">
      <c r="A5757" s="109"/>
      <c r="B5757" s="109"/>
      <c r="C5757" s="109"/>
      <c r="D5757" s="109"/>
      <c r="E5757" s="109"/>
      <c r="F5757" s="109"/>
      <c r="G5757" s="109"/>
      <c r="H5757" s="109"/>
      <c r="I5757" s="109"/>
      <c r="J5757" s="109"/>
      <c r="Q5757" s="121"/>
      <c r="W5757" s="109"/>
    </row>
    <row r="5758" spans="1:23" ht="12.75" hidden="1">
      <c r="A5758" s="109"/>
      <c r="B5758" s="109"/>
      <c r="C5758" s="109"/>
      <c r="D5758" s="109"/>
      <c r="E5758" s="109"/>
      <c r="F5758" s="109"/>
      <c r="G5758" s="109"/>
      <c r="H5758" s="109"/>
      <c r="I5758" s="109"/>
      <c r="J5758" s="109"/>
      <c r="Q5758" s="121"/>
      <c r="W5758" s="109"/>
    </row>
    <row r="5759" spans="1:23" ht="12.75" hidden="1">
      <c r="A5759" s="109"/>
      <c r="B5759" s="109"/>
      <c r="C5759" s="109"/>
      <c r="D5759" s="109"/>
      <c r="E5759" s="109"/>
      <c r="F5759" s="109"/>
      <c r="G5759" s="109"/>
      <c r="H5759" s="109"/>
      <c r="I5759" s="109"/>
      <c r="J5759" s="109"/>
      <c r="Q5759" s="121"/>
      <c r="W5759" s="109"/>
    </row>
    <row r="5760" spans="1:23" ht="12.75" hidden="1">
      <c r="A5760" s="109"/>
      <c r="B5760" s="109"/>
      <c r="C5760" s="109"/>
      <c r="D5760" s="109"/>
      <c r="E5760" s="109"/>
      <c r="F5760" s="109"/>
      <c r="G5760" s="109"/>
      <c r="H5760" s="109"/>
      <c r="I5760" s="109"/>
      <c r="J5760" s="109"/>
      <c r="Q5760" s="121"/>
      <c r="W5760" s="109"/>
    </row>
    <row r="5761" spans="1:23" ht="12.75" hidden="1">
      <c r="A5761" s="109"/>
      <c r="B5761" s="109"/>
      <c r="C5761" s="109"/>
      <c r="D5761" s="109"/>
      <c r="E5761" s="109"/>
      <c r="F5761" s="109"/>
      <c r="G5761" s="109"/>
      <c r="H5761" s="109"/>
      <c r="I5761" s="109"/>
      <c r="J5761" s="109"/>
      <c r="Q5761" s="121"/>
      <c r="W5761" s="109"/>
    </row>
    <row r="5762" spans="1:23" ht="12.75" hidden="1">
      <c r="A5762" s="109"/>
      <c r="B5762" s="109"/>
      <c r="C5762" s="109"/>
      <c r="D5762" s="109"/>
      <c r="E5762" s="109"/>
      <c r="F5762" s="109"/>
      <c r="G5762" s="109"/>
      <c r="H5762" s="109"/>
      <c r="I5762" s="109"/>
      <c r="J5762" s="109"/>
      <c r="Q5762" s="121"/>
      <c r="W5762" s="109"/>
    </row>
    <row r="5763" spans="1:23" ht="12.75" hidden="1">
      <c r="A5763" s="109"/>
      <c r="B5763" s="109"/>
      <c r="C5763" s="109"/>
      <c r="D5763" s="109"/>
      <c r="E5763" s="109"/>
      <c r="F5763" s="109"/>
      <c r="G5763" s="109"/>
      <c r="H5763" s="109"/>
      <c r="I5763" s="109"/>
      <c r="J5763" s="109"/>
      <c r="Q5763" s="121"/>
      <c r="W5763" s="109"/>
    </row>
    <row r="5764" spans="1:23" ht="12.75" hidden="1">
      <c r="A5764" s="109"/>
      <c r="B5764" s="109"/>
      <c r="C5764" s="109"/>
      <c r="D5764" s="109"/>
      <c r="E5764" s="109"/>
      <c r="F5764" s="109"/>
      <c r="G5764" s="109"/>
      <c r="H5764" s="109"/>
      <c r="I5764" s="109"/>
      <c r="J5764" s="109"/>
      <c r="Q5764" s="121"/>
      <c r="W5764" s="109"/>
    </row>
    <row r="5765" spans="1:23" ht="12.75" hidden="1">
      <c r="A5765" s="109"/>
      <c r="B5765" s="109"/>
      <c r="C5765" s="109"/>
      <c r="D5765" s="109"/>
      <c r="E5765" s="109"/>
      <c r="F5765" s="109"/>
      <c r="G5765" s="109"/>
      <c r="H5765" s="109"/>
      <c r="I5765" s="109"/>
      <c r="J5765" s="109"/>
      <c r="Q5765" s="121"/>
      <c r="W5765" s="109"/>
    </row>
    <row r="5766" spans="1:23" ht="12.75" hidden="1">
      <c r="A5766" s="109"/>
      <c r="B5766" s="109"/>
      <c r="C5766" s="109"/>
      <c r="D5766" s="109"/>
      <c r="E5766" s="109"/>
      <c r="F5766" s="109"/>
      <c r="G5766" s="109"/>
      <c r="H5766" s="109"/>
      <c r="I5766" s="109"/>
      <c r="J5766" s="109"/>
      <c r="Q5766" s="121"/>
      <c r="W5766" s="109"/>
    </row>
    <row r="5767" spans="1:23" ht="12.75" hidden="1">
      <c r="A5767" s="109"/>
      <c r="B5767" s="109"/>
      <c r="C5767" s="109"/>
      <c r="D5767" s="109"/>
      <c r="E5767" s="109"/>
      <c r="F5767" s="109"/>
      <c r="G5767" s="109"/>
      <c r="H5767" s="109"/>
      <c r="I5767" s="109"/>
      <c r="J5767" s="109"/>
      <c r="Q5767" s="121"/>
      <c r="W5767" s="109"/>
    </row>
    <row r="5768" spans="1:23" ht="12.75" hidden="1">
      <c r="A5768" s="109"/>
      <c r="B5768" s="109"/>
      <c r="C5768" s="109"/>
      <c r="D5768" s="109"/>
      <c r="E5768" s="109"/>
      <c r="F5768" s="109"/>
      <c r="G5768" s="109"/>
      <c r="H5768" s="109"/>
      <c r="I5768" s="109"/>
      <c r="J5768" s="109"/>
      <c r="Q5768" s="121"/>
      <c r="W5768" s="109"/>
    </row>
    <row r="5769" spans="1:23" ht="12.75" hidden="1">
      <c r="A5769" s="109"/>
      <c r="B5769" s="109"/>
      <c r="C5769" s="109"/>
      <c r="D5769" s="109"/>
      <c r="E5769" s="109"/>
      <c r="F5769" s="109"/>
      <c r="G5769" s="109"/>
      <c r="H5769" s="109"/>
      <c r="I5769" s="109"/>
      <c r="J5769" s="109"/>
      <c r="Q5769" s="121"/>
      <c r="W5769" s="109"/>
    </row>
    <row r="5770" spans="1:23" ht="12.75" hidden="1">
      <c r="A5770" s="109"/>
      <c r="B5770" s="109"/>
      <c r="C5770" s="109"/>
      <c r="D5770" s="109"/>
      <c r="E5770" s="109"/>
      <c r="F5770" s="109"/>
      <c r="G5770" s="109"/>
      <c r="H5770" s="109"/>
      <c r="I5770" s="109"/>
      <c r="J5770" s="109"/>
      <c r="Q5770" s="121"/>
      <c r="W5770" s="109"/>
    </row>
    <row r="5771" spans="1:23" ht="12.75" hidden="1">
      <c r="A5771" s="109"/>
      <c r="B5771" s="109"/>
      <c r="C5771" s="109"/>
      <c r="D5771" s="109"/>
      <c r="E5771" s="109"/>
      <c r="F5771" s="109"/>
      <c r="G5771" s="109"/>
      <c r="H5771" s="109"/>
      <c r="I5771" s="109"/>
      <c r="J5771" s="109"/>
      <c r="Q5771" s="121"/>
      <c r="W5771" s="109"/>
    </row>
    <row r="5772" spans="1:23" ht="12.75" hidden="1">
      <c r="A5772" s="109"/>
      <c r="B5772" s="109"/>
      <c r="C5772" s="109"/>
      <c r="D5772" s="109"/>
      <c r="E5772" s="109"/>
      <c r="F5772" s="109"/>
      <c r="G5772" s="109"/>
      <c r="H5772" s="109"/>
      <c r="I5772" s="109"/>
      <c r="J5772" s="109"/>
      <c r="Q5772" s="121"/>
      <c r="W5772" s="109"/>
    </row>
    <row r="5773" spans="1:23" ht="12.75" hidden="1">
      <c r="A5773" s="109"/>
      <c r="B5773" s="109"/>
      <c r="C5773" s="109"/>
      <c r="D5773" s="109"/>
      <c r="E5773" s="109"/>
      <c r="F5773" s="109"/>
      <c r="G5773" s="109"/>
      <c r="H5773" s="109"/>
      <c r="I5773" s="109"/>
      <c r="J5773" s="109"/>
      <c r="Q5773" s="121"/>
      <c r="W5773" s="109"/>
    </row>
    <row r="5774" spans="1:23" ht="12.75" hidden="1">
      <c r="A5774" s="109"/>
      <c r="B5774" s="109"/>
      <c r="C5774" s="109"/>
      <c r="D5774" s="109"/>
      <c r="E5774" s="109"/>
      <c r="F5774" s="109"/>
      <c r="G5774" s="109"/>
      <c r="H5774" s="109"/>
      <c r="I5774" s="109"/>
      <c r="J5774" s="109"/>
      <c r="Q5774" s="121"/>
      <c r="W5774" s="109"/>
    </row>
    <row r="5775" spans="1:23" ht="12.75" hidden="1">
      <c r="A5775" s="109"/>
      <c r="B5775" s="109"/>
      <c r="C5775" s="109"/>
      <c r="D5775" s="109"/>
      <c r="E5775" s="109"/>
      <c r="F5775" s="109"/>
      <c r="G5775" s="109"/>
      <c r="H5775" s="109"/>
      <c r="I5775" s="109"/>
      <c r="J5775" s="109"/>
      <c r="Q5775" s="121"/>
      <c r="W5775" s="109"/>
    </row>
    <row r="5776" spans="1:23" ht="12.75" hidden="1">
      <c r="A5776" s="109"/>
      <c r="B5776" s="109"/>
      <c r="C5776" s="109"/>
      <c r="D5776" s="109"/>
      <c r="E5776" s="109"/>
      <c r="F5776" s="109"/>
      <c r="G5776" s="109"/>
      <c r="H5776" s="109"/>
      <c r="I5776" s="109"/>
      <c r="J5776" s="109"/>
      <c r="Q5776" s="121"/>
      <c r="W5776" s="109"/>
    </row>
    <row r="5777" spans="1:23" ht="12.75" hidden="1">
      <c r="A5777" s="109"/>
      <c r="B5777" s="109"/>
      <c r="C5777" s="109"/>
      <c r="D5777" s="109"/>
      <c r="E5777" s="109"/>
      <c r="F5777" s="109"/>
      <c r="G5777" s="109"/>
      <c r="H5777" s="109"/>
      <c r="I5777" s="109"/>
      <c r="J5777" s="109"/>
      <c r="Q5777" s="121"/>
      <c r="W5777" s="109"/>
    </row>
    <row r="5778" spans="1:23" ht="12.75" hidden="1">
      <c r="A5778" s="109"/>
      <c r="B5778" s="109"/>
      <c r="C5778" s="109"/>
      <c r="D5778" s="109"/>
      <c r="E5778" s="109"/>
      <c r="F5778" s="109"/>
      <c r="G5778" s="109"/>
      <c r="H5778" s="109"/>
      <c r="I5778" s="109"/>
      <c r="J5778" s="109"/>
      <c r="Q5778" s="121"/>
      <c r="W5778" s="109"/>
    </row>
    <row r="5779" spans="1:23" ht="12.75" hidden="1">
      <c r="A5779" s="109"/>
      <c r="B5779" s="109"/>
      <c r="C5779" s="109"/>
      <c r="D5779" s="109"/>
      <c r="E5779" s="109"/>
      <c r="F5779" s="109"/>
      <c r="G5779" s="109"/>
      <c r="H5779" s="109"/>
      <c r="I5779" s="109"/>
      <c r="J5779" s="109"/>
      <c r="Q5779" s="121"/>
      <c r="W5779" s="109"/>
    </row>
    <row r="5780" spans="1:23" ht="12.75" hidden="1">
      <c r="A5780" s="109"/>
      <c r="B5780" s="109"/>
      <c r="C5780" s="109"/>
      <c r="D5780" s="109"/>
      <c r="E5780" s="109"/>
      <c r="F5780" s="109"/>
      <c r="G5780" s="109"/>
      <c r="H5780" s="109"/>
      <c r="I5780" s="109"/>
      <c r="J5780" s="109"/>
      <c r="Q5780" s="121"/>
      <c r="W5780" s="109"/>
    </row>
    <row r="5781" spans="1:23" ht="12.75" hidden="1">
      <c r="A5781" s="109"/>
      <c r="B5781" s="109"/>
      <c r="C5781" s="109"/>
      <c r="D5781" s="109"/>
      <c r="E5781" s="109"/>
      <c r="F5781" s="109"/>
      <c r="G5781" s="109"/>
      <c r="H5781" s="109"/>
      <c r="I5781" s="109"/>
      <c r="J5781" s="109"/>
      <c r="Q5781" s="121"/>
      <c r="W5781" s="109"/>
    </row>
    <row r="5782" spans="1:23" ht="12.75" hidden="1">
      <c r="A5782" s="109"/>
      <c r="B5782" s="109"/>
      <c r="C5782" s="109"/>
      <c r="D5782" s="109"/>
      <c r="E5782" s="109"/>
      <c r="F5782" s="109"/>
      <c r="G5782" s="109"/>
      <c r="H5782" s="109"/>
      <c r="I5782" s="109"/>
      <c r="J5782" s="109"/>
      <c r="Q5782" s="121"/>
      <c r="W5782" s="109"/>
    </row>
    <row r="5783" spans="1:23" ht="12.75" hidden="1">
      <c r="A5783" s="109"/>
      <c r="B5783" s="109"/>
      <c r="C5783" s="109"/>
      <c r="D5783" s="109"/>
      <c r="E5783" s="109"/>
      <c r="F5783" s="109"/>
      <c r="G5783" s="109"/>
      <c r="H5783" s="109"/>
      <c r="I5783" s="109"/>
      <c r="J5783" s="109"/>
      <c r="Q5783" s="121"/>
      <c r="W5783" s="109"/>
    </row>
    <row r="5784" spans="1:23" ht="12.75" hidden="1">
      <c r="A5784" s="109"/>
      <c r="B5784" s="109"/>
      <c r="C5784" s="109"/>
      <c r="D5784" s="109"/>
      <c r="E5784" s="109"/>
      <c r="F5784" s="109"/>
      <c r="G5784" s="109"/>
      <c r="H5784" s="109"/>
      <c r="I5784" s="109"/>
      <c r="J5784" s="109"/>
      <c r="Q5784" s="121"/>
      <c r="W5784" s="109"/>
    </row>
    <row r="5785" spans="1:23" ht="12.75" hidden="1">
      <c r="A5785" s="109"/>
      <c r="B5785" s="109"/>
      <c r="C5785" s="109"/>
      <c r="D5785" s="109"/>
      <c r="E5785" s="109"/>
      <c r="F5785" s="109"/>
      <c r="G5785" s="109"/>
      <c r="H5785" s="109"/>
      <c r="I5785" s="109"/>
      <c r="J5785" s="109"/>
      <c r="Q5785" s="121"/>
      <c r="W5785" s="109"/>
    </row>
    <row r="5786" spans="1:23" ht="12.75" hidden="1">
      <c r="A5786" s="109"/>
      <c r="B5786" s="109"/>
      <c r="C5786" s="109"/>
      <c r="D5786" s="109"/>
      <c r="E5786" s="109"/>
      <c r="F5786" s="109"/>
      <c r="G5786" s="109"/>
      <c r="H5786" s="109"/>
      <c r="I5786" s="109"/>
      <c r="J5786" s="109"/>
      <c r="Q5786" s="121"/>
      <c r="W5786" s="109"/>
    </row>
    <row r="5787" spans="1:23" ht="12.75" hidden="1">
      <c r="A5787" s="109"/>
      <c r="B5787" s="109"/>
      <c r="C5787" s="109"/>
      <c r="D5787" s="109"/>
      <c r="E5787" s="109"/>
      <c r="F5787" s="109"/>
      <c r="G5787" s="109"/>
      <c r="H5787" s="109"/>
      <c r="I5787" s="109"/>
      <c r="J5787" s="109"/>
      <c r="Q5787" s="121"/>
      <c r="W5787" s="109"/>
    </row>
    <row r="5788" spans="1:23" ht="12.75" hidden="1">
      <c r="A5788" s="109"/>
      <c r="B5788" s="109"/>
      <c r="C5788" s="109"/>
      <c r="D5788" s="109"/>
      <c r="E5788" s="109"/>
      <c r="F5788" s="109"/>
      <c r="G5788" s="109"/>
      <c r="H5788" s="109"/>
      <c r="I5788" s="109"/>
      <c r="J5788" s="109"/>
      <c r="Q5788" s="121"/>
      <c r="W5788" s="109"/>
    </row>
    <row r="5789" spans="1:23" ht="12.75" hidden="1">
      <c r="A5789" s="109"/>
      <c r="B5789" s="109"/>
      <c r="C5789" s="109"/>
      <c r="D5789" s="109"/>
      <c r="E5789" s="109"/>
      <c r="F5789" s="109"/>
      <c r="G5789" s="109"/>
      <c r="H5789" s="109"/>
      <c r="I5789" s="109"/>
      <c r="J5789" s="109"/>
      <c r="Q5789" s="121"/>
      <c r="W5789" s="109"/>
    </row>
    <row r="5790" spans="1:23" ht="12.75" hidden="1">
      <c r="A5790" s="109"/>
      <c r="B5790" s="109"/>
      <c r="C5790" s="109"/>
      <c r="D5790" s="109"/>
      <c r="E5790" s="109"/>
      <c r="F5790" s="109"/>
      <c r="G5790" s="109"/>
      <c r="H5790" s="109"/>
      <c r="I5790" s="109"/>
      <c r="J5790" s="109"/>
      <c r="Q5790" s="121"/>
      <c r="W5790" s="109"/>
    </row>
    <row r="5791" spans="1:23" ht="12.75" hidden="1">
      <c r="A5791" s="109"/>
      <c r="B5791" s="109"/>
      <c r="C5791" s="109"/>
      <c r="D5791" s="109"/>
      <c r="E5791" s="109"/>
      <c r="F5791" s="109"/>
      <c r="G5791" s="109"/>
      <c r="H5791" s="109"/>
      <c r="I5791" s="109"/>
      <c r="J5791" s="109"/>
      <c r="Q5791" s="121"/>
      <c r="W5791" s="109"/>
    </row>
    <row r="5792" spans="1:23" ht="12.75" hidden="1">
      <c r="A5792" s="109"/>
      <c r="B5792" s="109"/>
      <c r="C5792" s="109"/>
      <c r="D5792" s="109"/>
      <c r="E5792" s="109"/>
      <c r="F5792" s="109"/>
      <c r="G5792" s="109"/>
      <c r="H5792" s="109"/>
      <c r="I5792" s="109"/>
      <c r="J5792" s="109"/>
      <c r="Q5792" s="121"/>
      <c r="W5792" s="109"/>
    </row>
    <row r="5793" spans="1:23" ht="12.75" hidden="1">
      <c r="A5793" s="109"/>
      <c r="B5793" s="109"/>
      <c r="C5793" s="109"/>
      <c r="D5793" s="109"/>
      <c r="E5793" s="109"/>
      <c r="F5793" s="109"/>
      <c r="G5793" s="109"/>
      <c r="H5793" s="109"/>
      <c r="I5793" s="109"/>
      <c r="J5793" s="109"/>
      <c r="Q5793" s="121"/>
      <c r="W5793" s="109"/>
    </row>
    <row r="5794" spans="1:23" ht="12.75" hidden="1">
      <c r="A5794" s="109"/>
      <c r="B5794" s="109"/>
      <c r="C5794" s="109"/>
      <c r="D5794" s="109"/>
      <c r="E5794" s="109"/>
      <c r="F5794" s="109"/>
      <c r="G5794" s="109"/>
      <c r="H5794" s="109"/>
      <c r="I5794" s="109"/>
      <c r="J5794" s="109"/>
      <c r="Q5794" s="121"/>
      <c r="W5794" s="109"/>
    </row>
    <row r="5795" spans="1:23" ht="12.75" hidden="1">
      <c r="A5795" s="109"/>
      <c r="B5795" s="109"/>
      <c r="C5795" s="109"/>
      <c r="D5795" s="109"/>
      <c r="E5795" s="109"/>
      <c r="F5795" s="109"/>
      <c r="G5795" s="109"/>
      <c r="H5795" s="109"/>
      <c r="I5795" s="109"/>
      <c r="J5795" s="109"/>
      <c r="Q5795" s="121"/>
      <c r="W5795" s="109"/>
    </row>
    <row r="5796" spans="1:23" ht="12.75" hidden="1">
      <c r="A5796" s="109"/>
      <c r="B5796" s="109"/>
      <c r="C5796" s="109"/>
      <c r="D5796" s="109"/>
      <c r="E5796" s="109"/>
      <c r="F5796" s="109"/>
      <c r="G5796" s="109"/>
      <c r="H5796" s="109"/>
      <c r="I5796" s="109"/>
      <c r="J5796" s="109"/>
      <c r="Q5796" s="121"/>
      <c r="W5796" s="109"/>
    </row>
    <row r="5797" spans="1:23" ht="12.75" hidden="1">
      <c r="A5797" s="109"/>
      <c r="B5797" s="109"/>
      <c r="C5797" s="109"/>
      <c r="D5797" s="109"/>
      <c r="E5797" s="109"/>
      <c r="F5797" s="109"/>
      <c r="G5797" s="109"/>
      <c r="H5797" s="109"/>
      <c r="I5797" s="109"/>
      <c r="J5797" s="109"/>
      <c r="Q5797" s="121"/>
      <c r="W5797" s="109"/>
    </row>
    <row r="5798" spans="1:23" ht="12.75" hidden="1">
      <c r="A5798" s="109"/>
      <c r="B5798" s="109"/>
      <c r="C5798" s="109"/>
      <c r="D5798" s="109"/>
      <c r="E5798" s="109"/>
      <c r="F5798" s="109"/>
      <c r="G5798" s="109"/>
      <c r="H5798" s="109"/>
      <c r="I5798" s="109"/>
      <c r="J5798" s="109"/>
      <c r="Q5798" s="121"/>
      <c r="W5798" s="109"/>
    </row>
    <row r="5799" spans="1:23" ht="12.75" hidden="1">
      <c r="A5799" s="109"/>
      <c r="B5799" s="109"/>
      <c r="C5799" s="109"/>
      <c r="D5799" s="109"/>
      <c r="E5799" s="109"/>
      <c r="F5799" s="109"/>
      <c r="G5799" s="109"/>
      <c r="H5799" s="109"/>
      <c r="I5799" s="109"/>
      <c r="J5799" s="109"/>
      <c r="Q5799" s="121"/>
      <c r="W5799" s="109"/>
    </row>
    <row r="5800" spans="1:23" ht="12.75" hidden="1">
      <c r="A5800" s="109"/>
      <c r="B5800" s="109"/>
      <c r="C5800" s="109"/>
      <c r="D5800" s="109"/>
      <c r="E5800" s="109"/>
      <c r="F5800" s="109"/>
      <c r="G5800" s="109"/>
      <c r="H5800" s="109"/>
      <c r="I5800" s="109"/>
      <c r="J5800" s="109"/>
      <c r="Q5800" s="121"/>
      <c r="W5800" s="109"/>
    </row>
    <row r="5801" spans="1:23" ht="12.75" hidden="1">
      <c r="A5801" s="109"/>
      <c r="B5801" s="109"/>
      <c r="C5801" s="109"/>
      <c r="D5801" s="109"/>
      <c r="E5801" s="109"/>
      <c r="F5801" s="109"/>
      <c r="G5801" s="109"/>
      <c r="H5801" s="109"/>
      <c r="I5801" s="109"/>
      <c r="J5801" s="109"/>
      <c r="Q5801" s="121"/>
      <c r="W5801" s="109"/>
    </row>
    <row r="5802" spans="1:23" ht="12.75" hidden="1">
      <c r="A5802" s="109"/>
      <c r="B5802" s="109"/>
      <c r="C5802" s="109"/>
      <c r="D5802" s="109"/>
      <c r="E5802" s="109"/>
      <c r="F5802" s="109"/>
      <c r="G5802" s="109"/>
      <c r="H5802" s="109"/>
      <c r="I5802" s="109"/>
      <c r="J5802" s="109"/>
      <c r="Q5802" s="121"/>
      <c r="W5802" s="109"/>
    </row>
    <row r="5803" spans="1:23" ht="12.75" hidden="1">
      <c r="A5803" s="109"/>
      <c r="B5803" s="109"/>
      <c r="C5803" s="109"/>
      <c r="D5803" s="109"/>
      <c r="E5803" s="109"/>
      <c r="F5803" s="109"/>
      <c r="G5803" s="109"/>
      <c r="H5803" s="109"/>
      <c r="I5803" s="109"/>
      <c r="J5803" s="109"/>
      <c r="Q5803" s="121"/>
      <c r="W5803" s="109"/>
    </row>
    <row r="5804" spans="1:23" ht="12.75" hidden="1">
      <c r="A5804" s="109"/>
      <c r="B5804" s="109"/>
      <c r="C5804" s="109"/>
      <c r="D5804" s="109"/>
      <c r="E5804" s="109"/>
      <c r="F5804" s="109"/>
      <c r="G5804" s="109"/>
      <c r="H5804" s="109"/>
      <c r="I5804" s="109"/>
      <c r="J5804" s="109"/>
      <c r="Q5804" s="121"/>
      <c r="W5804" s="109"/>
    </row>
    <row r="5805" spans="1:23" ht="12.75" hidden="1">
      <c r="A5805" s="109"/>
      <c r="B5805" s="109"/>
      <c r="C5805" s="109"/>
      <c r="D5805" s="109"/>
      <c r="E5805" s="109"/>
      <c r="F5805" s="109"/>
      <c r="G5805" s="109"/>
      <c r="H5805" s="109"/>
      <c r="I5805" s="109"/>
      <c r="J5805" s="109"/>
      <c r="Q5805" s="121"/>
      <c r="W5805" s="109"/>
    </row>
    <row r="5806" spans="1:23" ht="12.75" hidden="1">
      <c r="A5806" s="109"/>
      <c r="B5806" s="109"/>
      <c r="C5806" s="109"/>
      <c r="D5806" s="109"/>
      <c r="E5806" s="109"/>
      <c r="F5806" s="109"/>
      <c r="G5806" s="109"/>
      <c r="H5806" s="109"/>
      <c r="I5806" s="109"/>
      <c r="J5806" s="109"/>
      <c r="Q5806" s="121"/>
      <c r="W5806" s="109"/>
    </row>
    <row r="5807" spans="1:23" ht="12.75" hidden="1">
      <c r="A5807" s="109"/>
      <c r="B5807" s="109"/>
      <c r="C5807" s="109"/>
      <c r="D5807" s="109"/>
      <c r="E5807" s="109"/>
      <c r="F5807" s="109"/>
      <c r="G5807" s="109"/>
      <c r="H5807" s="109"/>
      <c r="I5807" s="109"/>
      <c r="J5807" s="109"/>
      <c r="Q5807" s="121"/>
      <c r="W5807" s="109"/>
    </row>
    <row r="5808" spans="1:23" ht="12.75" hidden="1">
      <c r="A5808" s="109"/>
      <c r="B5808" s="109"/>
      <c r="C5808" s="109"/>
      <c r="D5808" s="109"/>
      <c r="E5808" s="109"/>
      <c r="F5808" s="109"/>
      <c r="G5808" s="109"/>
      <c r="H5808" s="109"/>
      <c r="I5808" s="109"/>
      <c r="J5808" s="109"/>
      <c r="Q5808" s="121"/>
      <c r="W5808" s="109"/>
    </row>
    <row r="5809" spans="1:23" ht="12.75" hidden="1">
      <c r="A5809" s="109"/>
      <c r="B5809" s="109"/>
      <c r="C5809" s="109"/>
      <c r="D5809" s="109"/>
      <c r="E5809" s="109"/>
      <c r="F5809" s="109"/>
      <c r="G5809" s="109"/>
      <c r="H5809" s="109"/>
      <c r="I5809" s="109"/>
      <c r="J5809" s="109"/>
      <c r="Q5809" s="121"/>
      <c r="W5809" s="109"/>
    </row>
    <row r="5810" spans="1:23" ht="12.75" hidden="1">
      <c r="A5810" s="109"/>
      <c r="B5810" s="109"/>
      <c r="C5810" s="109"/>
      <c r="D5810" s="109"/>
      <c r="E5810" s="109"/>
      <c r="F5810" s="109"/>
      <c r="G5810" s="109"/>
      <c r="H5810" s="109"/>
      <c r="I5810" s="109"/>
      <c r="J5810" s="109"/>
      <c r="Q5810" s="121"/>
      <c r="W5810" s="109"/>
    </row>
    <row r="5811" spans="1:23" ht="12.75" hidden="1">
      <c r="A5811" s="109"/>
      <c r="B5811" s="109"/>
      <c r="C5811" s="109"/>
      <c r="D5811" s="109"/>
      <c r="E5811" s="109"/>
      <c r="F5811" s="109"/>
      <c r="G5811" s="109"/>
      <c r="H5811" s="109"/>
      <c r="I5811" s="109"/>
      <c r="J5811" s="109"/>
      <c r="Q5811" s="121"/>
      <c r="W5811" s="109"/>
    </row>
    <row r="5812" spans="1:23" ht="12.75" hidden="1">
      <c r="A5812" s="109"/>
      <c r="B5812" s="109"/>
      <c r="C5812" s="109"/>
      <c r="D5812" s="109"/>
      <c r="E5812" s="109"/>
      <c r="F5812" s="109"/>
      <c r="G5812" s="109"/>
      <c r="H5812" s="109"/>
      <c r="I5812" s="109"/>
      <c r="J5812" s="109"/>
      <c r="Q5812" s="121"/>
      <c r="W5812" s="109"/>
    </row>
    <row r="5813" spans="1:23" ht="12.75" hidden="1">
      <c r="A5813" s="109"/>
      <c r="B5813" s="109"/>
      <c r="C5813" s="109"/>
      <c r="D5813" s="109"/>
      <c r="E5813" s="109"/>
      <c r="F5813" s="109"/>
      <c r="G5813" s="109"/>
      <c r="H5813" s="109"/>
      <c r="I5813" s="109"/>
      <c r="J5813" s="109"/>
      <c r="Q5813" s="121"/>
      <c r="W5813" s="109"/>
    </row>
    <row r="5814" spans="1:23" ht="12.75" hidden="1">
      <c r="A5814" s="109"/>
      <c r="B5814" s="109"/>
      <c r="C5814" s="109"/>
      <c r="D5814" s="109"/>
      <c r="E5814" s="109"/>
      <c r="F5814" s="109"/>
      <c r="G5814" s="109"/>
      <c r="H5814" s="109"/>
      <c r="I5814" s="109"/>
      <c r="J5814" s="109"/>
      <c r="Q5814" s="121"/>
      <c r="W5814" s="109"/>
    </row>
    <row r="5815" spans="1:23" ht="12.75" hidden="1">
      <c r="A5815" s="109"/>
      <c r="B5815" s="109"/>
      <c r="C5815" s="109"/>
      <c r="D5815" s="109"/>
      <c r="E5815" s="109"/>
      <c r="F5815" s="109"/>
      <c r="G5815" s="109"/>
      <c r="H5815" s="109"/>
      <c r="I5815" s="109"/>
      <c r="J5815" s="109"/>
      <c r="Q5815" s="121"/>
      <c r="W5815" s="109"/>
    </row>
    <row r="5816" spans="1:23" ht="12.75" hidden="1">
      <c r="A5816" s="109"/>
      <c r="B5816" s="109"/>
      <c r="C5816" s="109"/>
      <c r="D5816" s="109"/>
      <c r="E5816" s="109"/>
      <c r="F5816" s="109"/>
      <c r="G5816" s="109"/>
      <c r="H5816" s="109"/>
      <c r="I5816" s="109"/>
      <c r="J5816" s="109"/>
      <c r="Q5816" s="121"/>
      <c r="W5816" s="109"/>
    </row>
    <row r="5817" spans="1:23" ht="12.75" hidden="1">
      <c r="A5817" s="109"/>
      <c r="B5817" s="109"/>
      <c r="C5817" s="109"/>
      <c r="D5817" s="109"/>
      <c r="E5817" s="109"/>
      <c r="F5817" s="109"/>
      <c r="G5817" s="109"/>
      <c r="H5817" s="109"/>
      <c r="I5817" s="109"/>
      <c r="J5817" s="109"/>
      <c r="Q5817" s="121"/>
      <c r="W5817" s="109"/>
    </row>
    <row r="5818" spans="1:23" ht="12.75" hidden="1">
      <c r="A5818" s="109"/>
      <c r="B5818" s="109"/>
      <c r="C5818" s="109"/>
      <c r="D5818" s="109"/>
      <c r="E5818" s="109"/>
      <c r="F5818" s="109"/>
      <c r="G5818" s="109"/>
      <c r="H5818" s="109"/>
      <c r="I5818" s="109"/>
      <c r="J5818" s="109"/>
      <c r="Q5818" s="121"/>
      <c r="W5818" s="109"/>
    </row>
    <row r="5819" spans="1:23" ht="12.75" hidden="1">
      <c r="A5819" s="109"/>
      <c r="B5819" s="109"/>
      <c r="C5819" s="109"/>
      <c r="D5819" s="109"/>
      <c r="E5819" s="109"/>
      <c r="F5819" s="109"/>
      <c r="G5819" s="109"/>
      <c r="H5819" s="109"/>
      <c r="I5819" s="109"/>
      <c r="J5819" s="109"/>
      <c r="Q5819" s="121"/>
      <c r="W5819" s="109"/>
    </row>
    <row r="5820" spans="1:23" ht="12.75" hidden="1">
      <c r="A5820" s="109"/>
      <c r="B5820" s="109"/>
      <c r="C5820" s="109"/>
      <c r="D5820" s="109"/>
      <c r="E5820" s="109"/>
      <c r="F5820" s="109"/>
      <c r="G5820" s="109"/>
      <c r="H5820" s="109"/>
      <c r="I5820" s="109"/>
      <c r="J5820" s="109"/>
      <c r="Q5820" s="121"/>
      <c r="W5820" s="109"/>
    </row>
    <row r="5821" spans="1:23" ht="12.75" hidden="1">
      <c r="A5821" s="109"/>
      <c r="B5821" s="109"/>
      <c r="C5821" s="109"/>
      <c r="D5821" s="109"/>
      <c r="E5821" s="109"/>
      <c r="F5821" s="109"/>
      <c r="G5821" s="109"/>
      <c r="H5821" s="109"/>
      <c r="I5821" s="109"/>
      <c r="J5821" s="109"/>
      <c r="Q5821" s="121"/>
      <c r="W5821" s="109"/>
    </row>
    <row r="5822" spans="1:23" ht="12.75" hidden="1">
      <c r="A5822" s="109"/>
      <c r="B5822" s="109"/>
      <c r="C5822" s="109"/>
      <c r="D5822" s="109"/>
      <c r="E5822" s="109"/>
      <c r="F5822" s="109"/>
      <c r="G5822" s="109"/>
      <c r="H5822" s="109"/>
      <c r="I5822" s="109"/>
      <c r="J5822" s="109"/>
      <c r="Q5822" s="121"/>
      <c r="W5822" s="109"/>
    </row>
    <row r="5823" spans="1:23" ht="12.75" hidden="1">
      <c r="A5823" s="109"/>
      <c r="B5823" s="109"/>
      <c r="C5823" s="109"/>
      <c r="D5823" s="109"/>
      <c r="E5823" s="109"/>
      <c r="F5823" s="109"/>
      <c r="G5823" s="109"/>
      <c r="H5823" s="109"/>
      <c r="I5823" s="109"/>
      <c r="J5823" s="109"/>
      <c r="Q5823" s="121"/>
      <c r="W5823" s="109"/>
    </row>
    <row r="5824" spans="1:23" ht="12.75" hidden="1">
      <c r="A5824" s="109"/>
      <c r="B5824" s="109"/>
      <c r="C5824" s="109"/>
      <c r="D5824" s="109"/>
      <c r="E5824" s="109"/>
      <c r="F5824" s="109"/>
      <c r="G5824" s="109"/>
      <c r="H5824" s="109"/>
      <c r="I5824" s="109"/>
      <c r="J5824" s="109"/>
      <c r="Q5824" s="121"/>
      <c r="W5824" s="109"/>
    </row>
    <row r="5825" spans="1:23" ht="12.75" hidden="1">
      <c r="A5825" s="109"/>
      <c r="B5825" s="109"/>
      <c r="C5825" s="109"/>
      <c r="D5825" s="109"/>
      <c r="E5825" s="109"/>
      <c r="F5825" s="109"/>
      <c r="G5825" s="109"/>
      <c r="H5825" s="109"/>
      <c r="I5825" s="109"/>
      <c r="J5825" s="109"/>
      <c r="Q5825" s="121"/>
      <c r="W5825" s="109"/>
    </row>
    <row r="5826" spans="1:23" ht="12.75" hidden="1">
      <c r="A5826" s="109"/>
      <c r="B5826" s="109"/>
      <c r="C5826" s="109"/>
      <c r="D5826" s="109"/>
      <c r="E5826" s="109"/>
      <c r="F5826" s="109"/>
      <c r="G5826" s="109"/>
      <c r="H5826" s="109"/>
      <c r="I5826" s="109"/>
      <c r="J5826" s="109"/>
      <c r="Q5826" s="121"/>
      <c r="W5826" s="109"/>
    </row>
    <row r="5827" spans="1:23" ht="12.75" hidden="1">
      <c r="A5827" s="109"/>
      <c r="B5827" s="109"/>
      <c r="C5827" s="109"/>
      <c r="D5827" s="109"/>
      <c r="E5827" s="109"/>
      <c r="F5827" s="109"/>
      <c r="G5827" s="109"/>
      <c r="H5827" s="109"/>
      <c r="I5827" s="109"/>
      <c r="J5827" s="109"/>
      <c r="Q5827" s="121"/>
      <c r="W5827" s="109"/>
    </row>
    <row r="5828" spans="1:23" ht="12.75" hidden="1">
      <c r="A5828" s="109"/>
      <c r="B5828" s="109"/>
      <c r="C5828" s="109"/>
      <c r="D5828" s="109"/>
      <c r="E5828" s="109"/>
      <c r="F5828" s="109"/>
      <c r="G5828" s="109"/>
      <c r="H5828" s="109"/>
      <c r="I5828" s="109"/>
      <c r="J5828" s="109"/>
      <c r="Q5828" s="121"/>
      <c r="W5828" s="109"/>
    </row>
    <row r="5829" spans="1:23" ht="12.75" hidden="1">
      <c r="A5829" s="109"/>
      <c r="B5829" s="109"/>
      <c r="C5829" s="109"/>
      <c r="D5829" s="109"/>
      <c r="E5829" s="109"/>
      <c r="F5829" s="109"/>
      <c r="G5829" s="109"/>
      <c r="H5829" s="109"/>
      <c r="I5829" s="109"/>
      <c r="J5829" s="109"/>
      <c r="Q5829" s="121"/>
      <c r="W5829" s="109"/>
    </row>
    <row r="5830" spans="1:23" ht="12.75" hidden="1">
      <c r="A5830" s="109"/>
      <c r="B5830" s="109"/>
      <c r="C5830" s="109"/>
      <c r="D5830" s="109"/>
      <c r="E5830" s="109"/>
      <c r="F5830" s="109"/>
      <c r="G5830" s="109"/>
      <c r="H5830" s="109"/>
      <c r="I5830" s="109"/>
      <c r="J5830" s="109"/>
      <c r="Q5830" s="121"/>
      <c r="W5830" s="109"/>
    </row>
    <row r="5831" spans="1:23" ht="12.75" hidden="1">
      <c r="A5831" s="109"/>
      <c r="B5831" s="109"/>
      <c r="C5831" s="109"/>
      <c r="D5831" s="109"/>
      <c r="E5831" s="109"/>
      <c r="F5831" s="109"/>
      <c r="G5831" s="109"/>
      <c r="H5831" s="109"/>
      <c r="I5831" s="109"/>
      <c r="J5831" s="109"/>
      <c r="Q5831" s="121"/>
      <c r="W5831" s="109"/>
    </row>
    <row r="5832" spans="1:23" ht="12.75" hidden="1">
      <c r="A5832" s="109"/>
      <c r="B5832" s="109"/>
      <c r="C5832" s="109"/>
      <c r="D5832" s="109"/>
      <c r="E5832" s="109"/>
      <c r="F5832" s="109"/>
      <c r="G5832" s="109"/>
      <c r="H5832" s="109"/>
      <c r="I5832" s="109"/>
      <c r="J5832" s="109"/>
      <c r="Q5832" s="121"/>
      <c r="W5832" s="109"/>
    </row>
    <row r="5833" spans="1:23" ht="12.75" hidden="1">
      <c r="A5833" s="109"/>
      <c r="B5833" s="109"/>
      <c r="C5833" s="109"/>
      <c r="D5833" s="109"/>
      <c r="E5833" s="109"/>
      <c r="F5833" s="109"/>
      <c r="G5833" s="109"/>
      <c r="H5833" s="109"/>
      <c r="I5833" s="109"/>
      <c r="J5833" s="109"/>
      <c r="Q5833" s="121"/>
      <c r="W5833" s="109"/>
    </row>
    <row r="5834" spans="1:23" ht="12.75" hidden="1">
      <c r="A5834" s="109"/>
      <c r="B5834" s="109"/>
      <c r="C5834" s="109"/>
      <c r="D5834" s="109"/>
      <c r="E5834" s="109"/>
      <c r="F5834" s="109"/>
      <c r="G5834" s="109"/>
      <c r="H5834" s="109"/>
      <c r="I5834" s="109"/>
      <c r="J5834" s="109"/>
      <c r="Q5834" s="121"/>
      <c r="W5834" s="109"/>
    </row>
    <row r="5835" spans="1:23" ht="12.75" hidden="1">
      <c r="A5835" s="109"/>
      <c r="B5835" s="109"/>
      <c r="C5835" s="109"/>
      <c r="D5835" s="109"/>
      <c r="E5835" s="109"/>
      <c r="F5835" s="109"/>
      <c r="G5835" s="109"/>
      <c r="H5835" s="109"/>
      <c r="I5835" s="109"/>
      <c r="J5835" s="109"/>
      <c r="Q5835" s="121"/>
      <c r="W5835" s="109"/>
    </row>
    <row r="5836" spans="1:23" ht="12.75" hidden="1">
      <c r="A5836" s="109"/>
      <c r="B5836" s="109"/>
      <c r="C5836" s="109"/>
      <c r="D5836" s="109"/>
      <c r="E5836" s="109"/>
      <c r="F5836" s="109"/>
      <c r="G5836" s="109"/>
      <c r="H5836" s="109"/>
      <c r="I5836" s="109"/>
      <c r="J5836" s="109"/>
      <c r="Q5836" s="121"/>
      <c r="W5836" s="109"/>
    </row>
    <row r="5837" spans="1:23" ht="12.75" hidden="1">
      <c r="A5837" s="109"/>
      <c r="B5837" s="109"/>
      <c r="C5837" s="109"/>
      <c r="D5837" s="109"/>
      <c r="E5837" s="109"/>
      <c r="F5837" s="109"/>
      <c r="G5837" s="109"/>
      <c r="H5837" s="109"/>
      <c r="I5837" s="109"/>
      <c r="J5837" s="109"/>
      <c r="Q5837" s="121"/>
      <c r="W5837" s="109"/>
    </row>
    <row r="5838" spans="1:23" ht="12.75" hidden="1">
      <c r="A5838" s="109"/>
      <c r="B5838" s="109"/>
      <c r="C5838" s="109"/>
      <c r="D5838" s="109"/>
      <c r="E5838" s="109"/>
      <c r="F5838" s="109"/>
      <c r="G5838" s="109"/>
      <c r="H5838" s="109"/>
      <c r="I5838" s="109"/>
      <c r="J5838" s="109"/>
      <c r="Q5838" s="121"/>
      <c r="W5838" s="109"/>
    </row>
    <row r="5839" spans="1:23" ht="12.75" hidden="1">
      <c r="A5839" s="109"/>
      <c r="B5839" s="109"/>
      <c r="C5839" s="109"/>
      <c r="D5839" s="109"/>
      <c r="E5839" s="109"/>
      <c r="F5839" s="109"/>
      <c r="G5839" s="109"/>
      <c r="H5839" s="109"/>
      <c r="I5839" s="109"/>
      <c r="J5839" s="109"/>
      <c r="Q5839" s="121"/>
      <c r="W5839" s="109"/>
    </row>
    <row r="5840" spans="1:23" ht="12.75" hidden="1">
      <c r="A5840" s="109"/>
      <c r="B5840" s="109"/>
      <c r="C5840" s="109"/>
      <c r="D5840" s="109"/>
      <c r="E5840" s="109"/>
      <c r="F5840" s="109"/>
      <c r="G5840" s="109"/>
      <c r="H5840" s="109"/>
      <c r="I5840" s="109"/>
      <c r="J5840" s="109"/>
      <c r="Q5840" s="121"/>
      <c r="W5840" s="109"/>
    </row>
    <row r="5841" spans="1:23" ht="12.75" hidden="1">
      <c r="A5841" s="109"/>
      <c r="B5841" s="109"/>
      <c r="C5841" s="109"/>
      <c r="D5841" s="109"/>
      <c r="E5841" s="109"/>
      <c r="F5841" s="109"/>
      <c r="G5841" s="109"/>
      <c r="H5841" s="109"/>
      <c r="I5841" s="109"/>
      <c r="J5841" s="109"/>
      <c r="Q5841" s="121"/>
      <c r="W5841" s="109"/>
    </row>
    <row r="5842" spans="1:23" ht="12.75" hidden="1">
      <c r="A5842" s="109"/>
      <c r="B5842" s="109"/>
      <c r="C5842" s="109"/>
      <c r="D5842" s="109"/>
      <c r="E5842" s="109"/>
      <c r="F5842" s="109"/>
      <c r="G5842" s="109"/>
      <c r="H5842" s="109"/>
      <c r="I5842" s="109"/>
      <c r="J5842" s="109"/>
      <c r="Q5842" s="121"/>
      <c r="W5842" s="109"/>
    </row>
    <row r="5843" spans="1:23" ht="12.75" hidden="1">
      <c r="A5843" s="109"/>
      <c r="B5843" s="109"/>
      <c r="C5843" s="109"/>
      <c r="D5843" s="109"/>
      <c r="E5843" s="109"/>
      <c r="F5843" s="109"/>
      <c r="G5843" s="109"/>
      <c r="H5843" s="109"/>
      <c r="I5843" s="109"/>
      <c r="J5843" s="109"/>
      <c r="Q5843" s="121"/>
      <c r="W5843" s="109"/>
    </row>
    <row r="5844" spans="1:23" ht="12.75" hidden="1">
      <c r="A5844" s="109"/>
      <c r="B5844" s="109"/>
      <c r="C5844" s="109"/>
      <c r="D5844" s="109"/>
      <c r="E5844" s="109"/>
      <c r="F5844" s="109"/>
      <c r="G5844" s="109"/>
      <c r="H5844" s="109"/>
      <c r="I5844" s="109"/>
      <c r="J5844" s="109"/>
      <c r="Q5844" s="121"/>
      <c r="W5844" s="109"/>
    </row>
    <row r="5845" spans="1:23" ht="12.75" hidden="1">
      <c r="A5845" s="109"/>
      <c r="B5845" s="109"/>
      <c r="C5845" s="109"/>
      <c r="D5845" s="109"/>
      <c r="E5845" s="109"/>
      <c r="F5845" s="109"/>
      <c r="G5845" s="109"/>
      <c r="H5845" s="109"/>
      <c r="I5845" s="109"/>
      <c r="J5845" s="109"/>
      <c r="Q5845" s="121"/>
      <c r="W5845" s="109"/>
    </row>
    <row r="5846" spans="1:23" ht="12.75" hidden="1">
      <c r="A5846" s="109"/>
      <c r="B5846" s="109"/>
      <c r="C5846" s="109"/>
      <c r="D5846" s="109"/>
      <c r="E5846" s="109"/>
      <c r="F5846" s="109"/>
      <c r="G5846" s="109"/>
      <c r="H5846" s="109"/>
      <c r="I5846" s="109"/>
      <c r="J5846" s="109"/>
      <c r="Q5846" s="121"/>
      <c r="W5846" s="109"/>
    </row>
    <row r="5847" spans="1:23" ht="12.75" hidden="1">
      <c r="A5847" s="109"/>
      <c r="B5847" s="109"/>
      <c r="C5847" s="109"/>
      <c r="D5847" s="109"/>
      <c r="E5847" s="109"/>
      <c r="F5847" s="109"/>
      <c r="G5847" s="109"/>
      <c r="H5847" s="109"/>
      <c r="I5847" s="109"/>
      <c r="J5847" s="109"/>
      <c r="Q5847" s="121"/>
      <c r="W5847" s="109"/>
    </row>
    <row r="5848" spans="1:23" ht="12.75" hidden="1">
      <c r="A5848" s="109"/>
      <c r="B5848" s="109"/>
      <c r="C5848" s="109"/>
      <c r="D5848" s="109"/>
      <c r="E5848" s="109"/>
      <c r="F5848" s="109"/>
      <c r="G5848" s="109"/>
      <c r="H5848" s="109"/>
      <c r="I5848" s="109"/>
      <c r="J5848" s="109"/>
      <c r="Q5848" s="121"/>
      <c r="W5848" s="109"/>
    </row>
    <row r="5849" spans="1:23" ht="12.75" hidden="1">
      <c r="A5849" s="109"/>
      <c r="B5849" s="109"/>
      <c r="C5849" s="109"/>
      <c r="D5849" s="109"/>
      <c r="E5849" s="109"/>
      <c r="F5849" s="109"/>
      <c r="G5849" s="109"/>
      <c r="H5849" s="109"/>
      <c r="I5849" s="109"/>
      <c r="J5849" s="109"/>
      <c r="Q5849" s="121"/>
      <c r="W5849" s="109"/>
    </row>
    <row r="5850" spans="1:23" ht="12.75" hidden="1">
      <c r="A5850" s="109"/>
      <c r="B5850" s="109"/>
      <c r="C5850" s="109"/>
      <c r="D5850" s="109"/>
      <c r="E5850" s="109"/>
      <c r="F5850" s="109"/>
      <c r="G5850" s="109"/>
      <c r="H5850" s="109"/>
      <c r="I5850" s="109"/>
      <c r="J5850" s="109"/>
      <c r="Q5850" s="121"/>
      <c r="W5850" s="109"/>
    </row>
    <row r="5851" spans="1:23" ht="12.75" hidden="1">
      <c r="A5851" s="109"/>
      <c r="B5851" s="109"/>
      <c r="C5851" s="109"/>
      <c r="D5851" s="109"/>
      <c r="E5851" s="109"/>
      <c r="F5851" s="109"/>
      <c r="G5851" s="109"/>
      <c r="H5851" s="109"/>
      <c r="I5851" s="109"/>
      <c r="J5851" s="109"/>
      <c r="Q5851" s="121"/>
      <c r="W5851" s="109"/>
    </row>
    <row r="5852" spans="1:23" ht="12.75" hidden="1">
      <c r="A5852" s="109"/>
      <c r="B5852" s="109"/>
      <c r="C5852" s="109"/>
      <c r="D5852" s="109"/>
      <c r="E5852" s="109"/>
      <c r="F5852" s="109"/>
      <c r="G5852" s="109"/>
      <c r="H5852" s="109"/>
      <c r="I5852" s="109"/>
      <c r="J5852" s="109"/>
      <c r="Q5852" s="121"/>
      <c r="W5852" s="109"/>
    </row>
    <row r="5853" spans="1:23" ht="12.75" hidden="1">
      <c r="A5853" s="109"/>
      <c r="B5853" s="109"/>
      <c r="C5853" s="109"/>
      <c r="D5853" s="109"/>
      <c r="E5853" s="109"/>
      <c r="F5853" s="109"/>
      <c r="G5853" s="109"/>
      <c r="H5853" s="109"/>
      <c r="I5853" s="109"/>
      <c r="J5853" s="109"/>
      <c r="Q5853" s="121"/>
      <c r="W5853" s="109"/>
    </row>
    <row r="5854" spans="1:23" ht="12.75" hidden="1">
      <c r="A5854" s="109"/>
      <c r="B5854" s="109"/>
      <c r="C5854" s="109"/>
      <c r="D5854" s="109"/>
      <c r="E5854" s="109"/>
      <c r="F5854" s="109"/>
      <c r="G5854" s="109"/>
      <c r="H5854" s="109"/>
      <c r="I5854" s="109"/>
      <c r="J5854" s="109"/>
      <c r="Q5854" s="121"/>
      <c r="W5854" s="109"/>
    </row>
    <row r="5855" spans="1:23" ht="12.75" hidden="1">
      <c r="A5855" s="109"/>
      <c r="B5855" s="109"/>
      <c r="C5855" s="109"/>
      <c r="D5855" s="109"/>
      <c r="E5855" s="109"/>
      <c r="F5855" s="109"/>
      <c r="G5855" s="109"/>
      <c r="H5855" s="109"/>
      <c r="I5855" s="109"/>
      <c r="J5855" s="109"/>
      <c r="Q5855" s="121"/>
      <c r="W5855" s="109"/>
    </row>
    <row r="5856" spans="1:23" ht="12.75" hidden="1">
      <c r="A5856" s="109"/>
      <c r="B5856" s="109"/>
      <c r="C5856" s="109"/>
      <c r="D5856" s="109"/>
      <c r="E5856" s="109"/>
      <c r="F5856" s="109"/>
      <c r="G5856" s="109"/>
      <c r="H5856" s="109"/>
      <c r="I5856" s="109"/>
      <c r="J5856" s="109"/>
      <c r="Q5856" s="121"/>
      <c r="W5856" s="109"/>
    </row>
    <row r="5857" spans="1:23" ht="12.75" hidden="1">
      <c r="A5857" s="109"/>
      <c r="B5857" s="109"/>
      <c r="C5857" s="109"/>
      <c r="D5857" s="109"/>
      <c r="E5857" s="109"/>
      <c r="F5857" s="109"/>
      <c r="G5857" s="109"/>
      <c r="H5857" s="109"/>
      <c r="I5857" s="109"/>
      <c r="J5857" s="109"/>
      <c r="Q5857" s="121"/>
      <c r="W5857" s="109"/>
    </row>
    <row r="5858" spans="1:23" ht="12.75" hidden="1">
      <c r="A5858" s="109"/>
      <c r="B5858" s="109"/>
      <c r="C5858" s="109"/>
      <c r="D5858" s="109"/>
      <c r="E5858" s="109"/>
      <c r="F5858" s="109"/>
      <c r="G5858" s="109"/>
      <c r="H5858" s="109"/>
      <c r="I5858" s="109"/>
      <c r="J5858" s="109"/>
      <c r="Q5858" s="121"/>
      <c r="W5858" s="109"/>
    </row>
    <row r="5859" spans="1:23" ht="12.75" hidden="1">
      <c r="A5859" s="109"/>
      <c r="B5859" s="109"/>
      <c r="C5859" s="109"/>
      <c r="D5859" s="109"/>
      <c r="E5859" s="109"/>
      <c r="F5859" s="109"/>
      <c r="G5859" s="109"/>
      <c r="H5859" s="109"/>
      <c r="I5859" s="109"/>
      <c r="J5859" s="109"/>
      <c r="Q5859" s="121"/>
      <c r="W5859" s="109"/>
    </row>
    <row r="5860" spans="1:23" ht="12.75" hidden="1">
      <c r="A5860" s="109"/>
      <c r="B5860" s="109"/>
      <c r="C5860" s="109"/>
      <c r="D5860" s="109"/>
      <c r="E5860" s="109"/>
      <c r="F5860" s="109"/>
      <c r="G5860" s="109"/>
      <c r="H5860" s="109"/>
      <c r="I5860" s="109"/>
      <c r="J5860" s="109"/>
      <c r="Q5860" s="121"/>
      <c r="W5860" s="109"/>
    </row>
    <row r="5861" spans="1:23" ht="12.75" hidden="1">
      <c r="A5861" s="109"/>
      <c r="B5861" s="109"/>
      <c r="C5861" s="109"/>
      <c r="D5861" s="109"/>
      <c r="E5861" s="109"/>
      <c r="F5861" s="109"/>
      <c r="G5861" s="109"/>
      <c r="H5861" s="109"/>
      <c r="I5861" s="109"/>
      <c r="J5861" s="109"/>
      <c r="Q5861" s="121"/>
      <c r="W5861" s="109"/>
    </row>
    <row r="5862" spans="1:23" ht="12.75" hidden="1">
      <c r="A5862" s="109"/>
      <c r="B5862" s="109"/>
      <c r="C5862" s="109"/>
      <c r="D5862" s="109"/>
      <c r="E5862" s="109"/>
      <c r="F5862" s="109"/>
      <c r="G5862" s="109"/>
      <c r="H5862" s="109"/>
      <c r="I5862" s="109"/>
      <c r="J5862" s="109"/>
      <c r="Q5862" s="121"/>
      <c r="W5862" s="109"/>
    </row>
    <row r="5863" spans="1:23" ht="12.75" hidden="1">
      <c r="A5863" s="109"/>
      <c r="B5863" s="109"/>
      <c r="C5863" s="109"/>
      <c r="D5863" s="109"/>
      <c r="E5863" s="109"/>
      <c r="F5863" s="109"/>
      <c r="G5863" s="109"/>
      <c r="H5863" s="109"/>
      <c r="I5863" s="109"/>
      <c r="J5863" s="109"/>
      <c r="Q5863" s="121"/>
      <c r="W5863" s="109"/>
    </row>
    <row r="5864" spans="1:23" ht="12.75" hidden="1">
      <c r="A5864" s="109"/>
      <c r="B5864" s="109"/>
      <c r="C5864" s="109"/>
      <c r="D5864" s="109"/>
      <c r="E5864" s="109"/>
      <c r="F5864" s="109"/>
      <c r="G5864" s="109"/>
      <c r="H5864" s="109"/>
      <c r="I5864" s="109"/>
      <c r="J5864" s="109"/>
      <c r="Q5864" s="121"/>
      <c r="W5864" s="109"/>
    </row>
    <row r="5865" spans="1:23" ht="12.75" hidden="1">
      <c r="A5865" s="109"/>
      <c r="B5865" s="109"/>
      <c r="C5865" s="109"/>
      <c r="D5865" s="109"/>
      <c r="E5865" s="109"/>
      <c r="F5865" s="109"/>
      <c r="G5865" s="109"/>
      <c r="H5865" s="109"/>
      <c r="I5865" s="109"/>
      <c r="J5865" s="109"/>
      <c r="Q5865" s="121"/>
      <c r="W5865" s="109"/>
    </row>
    <row r="5866" spans="1:23" ht="12.75" hidden="1">
      <c r="A5866" s="109"/>
      <c r="B5866" s="109"/>
      <c r="C5866" s="109"/>
      <c r="D5866" s="109"/>
      <c r="E5866" s="109"/>
      <c r="F5866" s="109"/>
      <c r="G5866" s="109"/>
      <c r="H5866" s="109"/>
      <c r="I5866" s="109"/>
      <c r="J5866" s="109"/>
      <c r="Q5866" s="121"/>
      <c r="W5866" s="109"/>
    </row>
    <row r="5867" spans="1:23" ht="12.75" hidden="1">
      <c r="A5867" s="109"/>
      <c r="B5867" s="109"/>
      <c r="C5867" s="109"/>
      <c r="D5867" s="109"/>
      <c r="E5867" s="109"/>
      <c r="F5867" s="109"/>
      <c r="G5867" s="109"/>
      <c r="H5867" s="109"/>
      <c r="I5867" s="109"/>
      <c r="J5867" s="109"/>
      <c r="Q5867" s="121"/>
      <c r="W5867" s="109"/>
    </row>
    <row r="5868" spans="1:23" ht="12.75" hidden="1">
      <c r="A5868" s="109"/>
      <c r="B5868" s="109"/>
      <c r="C5868" s="109"/>
      <c r="D5868" s="109"/>
      <c r="E5868" s="109"/>
      <c r="F5868" s="109"/>
      <c r="G5868" s="109"/>
      <c r="H5868" s="109"/>
      <c r="I5868" s="109"/>
      <c r="J5868" s="109"/>
      <c r="Q5868" s="121"/>
      <c r="W5868" s="109"/>
    </row>
    <row r="5869" spans="1:23" ht="12.75" hidden="1">
      <c r="A5869" s="109"/>
      <c r="B5869" s="109"/>
      <c r="C5869" s="109"/>
      <c r="D5869" s="109"/>
      <c r="E5869" s="109"/>
      <c r="F5869" s="109"/>
      <c r="G5869" s="109"/>
      <c r="H5869" s="109"/>
      <c r="I5869" s="109"/>
      <c r="J5869" s="109"/>
      <c r="Q5869" s="121"/>
      <c r="W5869" s="109"/>
    </row>
    <row r="5870" spans="1:23" ht="12.75" hidden="1">
      <c r="A5870" s="109"/>
      <c r="B5870" s="109"/>
      <c r="C5870" s="109"/>
      <c r="D5870" s="109"/>
      <c r="E5870" s="109"/>
      <c r="F5870" s="109"/>
      <c r="G5870" s="109"/>
      <c r="H5870" s="109"/>
      <c r="I5870" s="109"/>
      <c r="J5870" s="109"/>
      <c r="Q5870" s="121"/>
      <c r="W5870" s="109"/>
    </row>
    <row r="5871" spans="1:23" ht="12.75" hidden="1">
      <c r="A5871" s="109"/>
      <c r="B5871" s="109"/>
      <c r="C5871" s="109"/>
      <c r="D5871" s="109"/>
      <c r="E5871" s="109"/>
      <c r="F5871" s="109"/>
      <c r="G5871" s="109"/>
      <c r="H5871" s="109"/>
      <c r="I5871" s="109"/>
      <c r="J5871" s="109"/>
      <c r="Q5871" s="121"/>
      <c r="W5871" s="109"/>
    </row>
    <row r="5872" spans="1:23" ht="12.75" hidden="1">
      <c r="A5872" s="109"/>
      <c r="B5872" s="109"/>
      <c r="C5872" s="109"/>
      <c r="D5872" s="109"/>
      <c r="E5872" s="109"/>
      <c r="F5872" s="109"/>
      <c r="G5872" s="109"/>
      <c r="H5872" s="109"/>
      <c r="I5872" s="109"/>
      <c r="J5872" s="109"/>
      <c r="Q5872" s="121"/>
      <c r="W5872" s="109"/>
    </row>
    <row r="5873" spans="1:23" ht="12.75" hidden="1">
      <c r="A5873" s="109"/>
      <c r="B5873" s="109"/>
      <c r="C5873" s="109"/>
      <c r="D5873" s="109"/>
      <c r="E5873" s="109"/>
      <c r="F5873" s="109"/>
      <c r="G5873" s="109"/>
      <c r="H5873" s="109"/>
      <c r="I5873" s="109"/>
      <c r="J5873" s="109"/>
      <c r="Q5873" s="121"/>
      <c r="W5873" s="109"/>
    </row>
    <row r="5874" spans="1:23" ht="12.75" hidden="1">
      <c r="A5874" s="109"/>
      <c r="B5874" s="109"/>
      <c r="C5874" s="109"/>
      <c r="D5874" s="109"/>
      <c r="E5874" s="109"/>
      <c r="F5874" s="109"/>
      <c r="G5874" s="109"/>
      <c r="H5874" s="109"/>
      <c r="I5874" s="109"/>
      <c r="J5874" s="109"/>
      <c r="Q5874" s="121"/>
      <c r="W5874" s="109"/>
    </row>
    <row r="5875" spans="1:23" ht="12.75" hidden="1">
      <c r="A5875" s="109"/>
      <c r="B5875" s="109"/>
      <c r="C5875" s="109"/>
      <c r="D5875" s="109"/>
      <c r="E5875" s="109"/>
      <c r="F5875" s="109"/>
      <c r="G5875" s="109"/>
      <c r="H5875" s="109"/>
      <c r="I5875" s="109"/>
      <c r="J5875" s="109"/>
      <c r="Q5875" s="121"/>
      <c r="W5875" s="109"/>
    </row>
    <row r="5876" spans="1:23" ht="12.75" hidden="1">
      <c r="A5876" s="109"/>
      <c r="B5876" s="109"/>
      <c r="C5876" s="109"/>
      <c r="D5876" s="109"/>
      <c r="E5876" s="109"/>
      <c r="F5876" s="109"/>
      <c r="G5876" s="109"/>
      <c r="H5876" s="109"/>
      <c r="I5876" s="109"/>
      <c r="J5876" s="109"/>
      <c r="Q5876" s="121"/>
      <c r="W5876" s="109"/>
    </row>
    <row r="5877" spans="1:23" ht="12.75" hidden="1">
      <c r="A5877" s="109"/>
      <c r="B5877" s="109"/>
      <c r="C5877" s="109"/>
      <c r="D5877" s="109"/>
      <c r="E5877" s="109"/>
      <c r="F5877" s="109"/>
      <c r="G5877" s="109"/>
      <c r="H5877" s="109"/>
      <c r="I5877" s="109"/>
      <c r="J5877" s="109"/>
      <c r="Q5877" s="121"/>
      <c r="W5877" s="109"/>
    </row>
    <row r="5878" spans="1:23" ht="12.75" hidden="1">
      <c r="A5878" s="109"/>
      <c r="B5878" s="109"/>
      <c r="C5878" s="109"/>
      <c r="D5878" s="109"/>
      <c r="E5878" s="109"/>
      <c r="F5878" s="109"/>
      <c r="G5878" s="109"/>
      <c r="H5878" s="109"/>
      <c r="I5878" s="109"/>
      <c r="J5878" s="109"/>
      <c r="Q5878" s="121"/>
      <c r="W5878" s="109"/>
    </row>
    <row r="5879" spans="1:23" ht="12.75" hidden="1">
      <c r="A5879" s="109"/>
      <c r="B5879" s="109"/>
      <c r="C5879" s="109"/>
      <c r="D5879" s="109"/>
      <c r="E5879" s="109"/>
      <c r="F5879" s="109"/>
      <c r="G5879" s="109"/>
      <c r="H5879" s="109"/>
      <c r="I5879" s="109"/>
      <c r="J5879" s="109"/>
      <c r="Q5879" s="121"/>
      <c r="W5879" s="109"/>
    </row>
    <row r="5880" spans="1:23" ht="12.75" hidden="1">
      <c r="A5880" s="109"/>
      <c r="B5880" s="109"/>
      <c r="C5880" s="109"/>
      <c r="D5880" s="109"/>
      <c r="E5880" s="109"/>
      <c r="F5880" s="109"/>
      <c r="G5880" s="109"/>
      <c r="H5880" s="109"/>
      <c r="I5880" s="109"/>
      <c r="J5880" s="109"/>
      <c r="Q5880" s="121"/>
      <c r="W5880" s="109"/>
    </row>
    <row r="5881" spans="1:23" ht="12.75" hidden="1">
      <c r="A5881" s="109"/>
      <c r="B5881" s="109"/>
      <c r="C5881" s="109"/>
      <c r="D5881" s="109"/>
      <c r="E5881" s="109"/>
      <c r="F5881" s="109"/>
      <c r="G5881" s="109"/>
      <c r="H5881" s="109"/>
      <c r="I5881" s="109"/>
      <c r="J5881" s="109"/>
      <c r="Q5881" s="121"/>
      <c r="W5881" s="109"/>
    </row>
    <row r="5882" spans="1:23" ht="12.75" hidden="1">
      <c r="A5882" s="109"/>
      <c r="B5882" s="109"/>
      <c r="C5882" s="109"/>
      <c r="D5882" s="109"/>
      <c r="E5882" s="109"/>
      <c r="F5882" s="109"/>
      <c r="G5882" s="109"/>
      <c r="H5882" s="109"/>
      <c r="I5882" s="109"/>
      <c r="J5882" s="109"/>
      <c r="Q5882" s="121"/>
      <c r="W5882" s="109"/>
    </row>
    <row r="5883" spans="1:23" ht="12.75" hidden="1">
      <c r="A5883" s="109"/>
      <c r="B5883" s="109"/>
      <c r="C5883" s="109"/>
      <c r="D5883" s="109"/>
      <c r="E5883" s="109"/>
      <c r="F5883" s="109"/>
      <c r="G5883" s="109"/>
      <c r="H5883" s="109"/>
      <c r="I5883" s="109"/>
      <c r="J5883" s="109"/>
      <c r="Q5883" s="121"/>
      <c r="W5883" s="109"/>
    </row>
    <row r="5884" spans="1:23" ht="12.75" hidden="1">
      <c r="A5884" s="109"/>
      <c r="B5884" s="109"/>
      <c r="C5884" s="109"/>
      <c r="D5884" s="109"/>
      <c r="E5884" s="109"/>
      <c r="F5884" s="109"/>
      <c r="G5884" s="109"/>
      <c r="H5884" s="109"/>
      <c r="I5884" s="109"/>
      <c r="J5884" s="109"/>
      <c r="Q5884" s="121"/>
      <c r="W5884" s="109"/>
    </row>
    <row r="5885" spans="1:23" ht="12.75" hidden="1">
      <c r="A5885" s="109"/>
      <c r="B5885" s="109"/>
      <c r="C5885" s="109"/>
      <c r="D5885" s="109"/>
      <c r="E5885" s="109"/>
      <c r="F5885" s="109"/>
      <c r="G5885" s="109"/>
      <c r="H5885" s="109"/>
      <c r="I5885" s="109"/>
      <c r="J5885" s="109"/>
      <c r="Q5885" s="121"/>
      <c r="W5885" s="109"/>
    </row>
    <row r="5886" spans="1:23" ht="12.75" hidden="1">
      <c r="A5886" s="109"/>
      <c r="B5886" s="109"/>
      <c r="C5886" s="109"/>
      <c r="D5886" s="109"/>
      <c r="E5886" s="109"/>
      <c r="F5886" s="109"/>
      <c r="G5886" s="109"/>
      <c r="H5886" s="109"/>
      <c r="I5886" s="109"/>
      <c r="J5886" s="109"/>
      <c r="Q5886" s="121"/>
      <c r="W5886" s="109"/>
    </row>
    <row r="5887" spans="1:23" ht="12.75" hidden="1">
      <c r="A5887" s="109"/>
      <c r="B5887" s="109"/>
      <c r="C5887" s="109"/>
      <c r="D5887" s="109"/>
      <c r="E5887" s="109"/>
      <c r="F5887" s="109"/>
      <c r="G5887" s="109"/>
      <c r="H5887" s="109"/>
      <c r="I5887" s="109"/>
      <c r="J5887" s="109"/>
      <c r="Q5887" s="121"/>
      <c r="W5887" s="109"/>
    </row>
    <row r="5888" spans="1:23" ht="12.75" hidden="1">
      <c r="A5888" s="109"/>
      <c r="B5888" s="109"/>
      <c r="C5888" s="109"/>
      <c r="D5888" s="109"/>
      <c r="E5888" s="109"/>
      <c r="F5888" s="109"/>
      <c r="G5888" s="109"/>
      <c r="H5888" s="109"/>
      <c r="I5888" s="109"/>
      <c r="J5888" s="109"/>
      <c r="Q5888" s="121"/>
      <c r="W5888" s="109"/>
    </row>
    <row r="5889" spans="1:23" ht="12.75" hidden="1">
      <c r="A5889" s="109"/>
      <c r="B5889" s="109"/>
      <c r="C5889" s="109"/>
      <c r="D5889" s="109"/>
      <c r="E5889" s="109"/>
      <c r="F5889" s="109"/>
      <c r="G5889" s="109"/>
      <c r="H5889" s="109"/>
      <c r="I5889" s="109"/>
      <c r="J5889" s="109"/>
      <c r="Q5889" s="121"/>
      <c r="W5889" s="109"/>
    </row>
    <row r="5890" spans="1:23" ht="12.75" hidden="1">
      <c r="A5890" s="109"/>
      <c r="B5890" s="109"/>
      <c r="C5890" s="109"/>
      <c r="D5890" s="109"/>
      <c r="E5890" s="109"/>
      <c r="F5890" s="109"/>
      <c r="G5890" s="109"/>
      <c r="H5890" s="109"/>
      <c r="I5890" s="109"/>
      <c r="J5890" s="109"/>
      <c r="Q5890" s="121"/>
      <c r="W5890" s="109"/>
    </row>
    <row r="5891" spans="1:23" ht="12.75" hidden="1">
      <c r="A5891" s="109"/>
      <c r="B5891" s="109"/>
      <c r="C5891" s="109"/>
      <c r="D5891" s="109"/>
      <c r="E5891" s="109"/>
      <c r="F5891" s="109"/>
      <c r="G5891" s="109"/>
      <c r="H5891" s="109"/>
      <c r="I5891" s="109"/>
      <c r="J5891" s="109"/>
      <c r="Q5891" s="121"/>
      <c r="W5891" s="109"/>
    </row>
    <row r="5892" spans="1:23" ht="12.75" hidden="1">
      <c r="A5892" s="109"/>
      <c r="B5892" s="109"/>
      <c r="C5892" s="109"/>
      <c r="D5892" s="109"/>
      <c r="E5892" s="109"/>
      <c r="F5892" s="109"/>
      <c r="G5892" s="109"/>
      <c r="H5892" s="109"/>
      <c r="I5892" s="109"/>
      <c r="J5892" s="109"/>
      <c r="Q5892" s="121"/>
      <c r="W5892" s="109"/>
    </row>
    <row r="5893" spans="1:23" ht="12.75" hidden="1">
      <c r="A5893" s="109"/>
      <c r="B5893" s="109"/>
      <c r="C5893" s="109"/>
      <c r="D5893" s="109"/>
      <c r="E5893" s="109"/>
      <c r="F5893" s="109"/>
      <c r="G5893" s="109"/>
      <c r="H5893" s="109"/>
      <c r="I5893" s="109"/>
      <c r="J5893" s="109"/>
      <c r="Q5893" s="121"/>
      <c r="W5893" s="109"/>
    </row>
    <row r="5894" spans="1:23" ht="12.75" hidden="1">
      <c r="A5894" s="109"/>
      <c r="B5894" s="109"/>
      <c r="C5894" s="109"/>
      <c r="D5894" s="109"/>
      <c r="E5894" s="109"/>
      <c r="F5894" s="109"/>
      <c r="G5894" s="109"/>
      <c r="H5894" s="109"/>
      <c r="I5894" s="109"/>
      <c r="J5894" s="109"/>
      <c r="Q5894" s="121"/>
      <c r="W5894" s="109"/>
    </row>
    <row r="5895" spans="1:23" ht="12.75" hidden="1">
      <c r="A5895" s="109"/>
      <c r="B5895" s="109"/>
      <c r="C5895" s="109"/>
      <c r="D5895" s="109"/>
      <c r="E5895" s="109"/>
      <c r="F5895" s="109"/>
      <c r="G5895" s="109"/>
      <c r="H5895" s="109"/>
      <c r="I5895" s="109"/>
      <c r="J5895" s="109"/>
      <c r="Q5895" s="121"/>
      <c r="W5895" s="109"/>
    </row>
    <row r="5896" spans="1:23" ht="12.75" hidden="1">
      <c r="A5896" s="109"/>
      <c r="B5896" s="109"/>
      <c r="C5896" s="109"/>
      <c r="D5896" s="109"/>
      <c r="E5896" s="109"/>
      <c r="F5896" s="109"/>
      <c r="G5896" s="109"/>
      <c r="H5896" s="109"/>
      <c r="I5896" s="109"/>
      <c r="J5896" s="109"/>
      <c r="Q5896" s="121"/>
      <c r="W5896" s="109"/>
    </row>
    <row r="5897" spans="1:23" ht="12.75" hidden="1">
      <c r="A5897" s="109"/>
      <c r="B5897" s="109"/>
      <c r="C5897" s="109"/>
      <c r="D5897" s="109"/>
      <c r="E5897" s="109"/>
      <c r="F5897" s="109"/>
      <c r="G5897" s="109"/>
      <c r="H5897" s="109"/>
      <c r="I5897" s="109"/>
      <c r="J5897" s="109"/>
      <c r="Q5897" s="121"/>
      <c r="W5897" s="109"/>
    </row>
    <row r="5898" spans="1:23" ht="12.75" hidden="1">
      <c r="A5898" s="109"/>
      <c r="B5898" s="109"/>
      <c r="C5898" s="109"/>
      <c r="D5898" s="109"/>
      <c r="E5898" s="109"/>
      <c r="F5898" s="109"/>
      <c r="G5898" s="109"/>
      <c r="H5898" s="109"/>
      <c r="I5898" s="109"/>
      <c r="J5898" s="109"/>
      <c r="Q5898" s="121"/>
      <c r="W5898" s="109"/>
    </row>
    <row r="5899" spans="1:23" ht="12.75" hidden="1">
      <c r="A5899" s="109"/>
      <c r="B5899" s="109"/>
      <c r="C5899" s="109"/>
      <c r="D5899" s="109"/>
      <c r="E5899" s="109"/>
      <c r="F5899" s="109"/>
      <c r="G5899" s="109"/>
      <c r="H5899" s="109"/>
      <c r="I5899" s="109"/>
      <c r="J5899" s="109"/>
      <c r="Q5899" s="121"/>
      <c r="W5899" s="109"/>
    </row>
    <row r="5900" spans="1:23" ht="12.75" hidden="1">
      <c r="A5900" s="109"/>
      <c r="B5900" s="109"/>
      <c r="C5900" s="109"/>
      <c r="D5900" s="109"/>
      <c r="E5900" s="109"/>
      <c r="F5900" s="109"/>
      <c r="G5900" s="109"/>
      <c r="H5900" s="109"/>
      <c r="I5900" s="109"/>
      <c r="J5900" s="109"/>
      <c r="Q5900" s="121"/>
      <c r="W5900" s="109"/>
    </row>
    <row r="5901" spans="1:23" ht="12.75" hidden="1">
      <c r="A5901" s="109"/>
      <c r="B5901" s="109"/>
      <c r="C5901" s="109"/>
      <c r="D5901" s="109"/>
      <c r="E5901" s="109"/>
      <c r="F5901" s="109"/>
      <c r="G5901" s="109"/>
      <c r="H5901" s="109"/>
      <c r="I5901" s="109"/>
      <c r="J5901" s="109"/>
      <c r="Q5901" s="121"/>
      <c r="W5901" s="109"/>
    </row>
    <row r="5902" spans="1:23" ht="12.75" hidden="1">
      <c r="A5902" s="109"/>
      <c r="B5902" s="109"/>
      <c r="C5902" s="109"/>
      <c r="D5902" s="109"/>
      <c r="E5902" s="109"/>
      <c r="F5902" s="109"/>
      <c r="G5902" s="109"/>
      <c r="H5902" s="109"/>
      <c r="I5902" s="109"/>
      <c r="J5902" s="109"/>
      <c r="Q5902" s="121"/>
      <c r="W5902" s="109"/>
    </row>
    <row r="5903" spans="1:23" ht="12.75" hidden="1">
      <c r="A5903" s="109"/>
      <c r="B5903" s="109"/>
      <c r="C5903" s="109"/>
      <c r="D5903" s="109"/>
      <c r="E5903" s="109"/>
      <c r="F5903" s="109"/>
      <c r="G5903" s="109"/>
      <c r="H5903" s="109"/>
      <c r="I5903" s="109"/>
      <c r="J5903" s="109"/>
      <c r="Q5903" s="121"/>
      <c r="W5903" s="109"/>
    </row>
    <row r="5904" spans="1:23" ht="12.75" hidden="1">
      <c r="A5904" s="109"/>
      <c r="B5904" s="109"/>
      <c r="C5904" s="109"/>
      <c r="D5904" s="109"/>
      <c r="E5904" s="109"/>
      <c r="F5904" s="109"/>
      <c r="G5904" s="109"/>
      <c r="H5904" s="109"/>
      <c r="I5904" s="109"/>
      <c r="J5904" s="109"/>
      <c r="Q5904" s="121"/>
      <c r="W5904" s="109"/>
    </row>
    <row r="5905" spans="1:23" ht="12.75" hidden="1">
      <c r="A5905" s="109"/>
      <c r="B5905" s="109"/>
      <c r="C5905" s="109"/>
      <c r="D5905" s="109"/>
      <c r="E5905" s="109"/>
      <c r="F5905" s="109"/>
      <c r="G5905" s="109"/>
      <c r="H5905" s="109"/>
      <c r="I5905" s="109"/>
      <c r="J5905" s="109"/>
      <c r="Q5905" s="121"/>
      <c r="W5905" s="109"/>
    </row>
    <row r="5906" spans="1:23" ht="12.75" hidden="1">
      <c r="A5906" s="109"/>
      <c r="B5906" s="109"/>
      <c r="C5906" s="109"/>
      <c r="D5906" s="109"/>
      <c r="E5906" s="109"/>
      <c r="F5906" s="109"/>
      <c r="G5906" s="109"/>
      <c r="H5906" s="109"/>
      <c r="I5906" s="109"/>
      <c r="J5906" s="109"/>
      <c r="Q5906" s="121"/>
      <c r="W5906" s="109"/>
    </row>
    <row r="5907" spans="1:23" ht="12.75" hidden="1">
      <c r="A5907" s="109"/>
      <c r="B5907" s="109"/>
      <c r="C5907" s="109"/>
      <c r="D5907" s="109"/>
      <c r="E5907" s="109"/>
      <c r="F5907" s="109"/>
      <c r="G5907" s="109"/>
      <c r="H5907" s="109"/>
      <c r="I5907" s="109"/>
      <c r="J5907" s="109"/>
      <c r="Q5907" s="121"/>
      <c r="W5907" s="109"/>
    </row>
    <row r="5908" spans="1:23" ht="12.75" hidden="1">
      <c r="A5908" s="109"/>
      <c r="B5908" s="109"/>
      <c r="C5908" s="109"/>
      <c r="D5908" s="109"/>
      <c r="E5908" s="109"/>
      <c r="F5908" s="109"/>
      <c r="G5908" s="109"/>
      <c r="H5908" s="109"/>
      <c r="I5908" s="109"/>
      <c r="J5908" s="109"/>
      <c r="Q5908" s="121"/>
      <c r="W5908" s="109"/>
    </row>
    <row r="5909" spans="1:23" ht="12.75" hidden="1">
      <c r="A5909" s="109"/>
      <c r="B5909" s="109"/>
      <c r="C5909" s="109"/>
      <c r="D5909" s="109"/>
      <c r="E5909" s="109"/>
      <c r="F5909" s="109"/>
      <c r="G5909" s="109"/>
      <c r="H5909" s="109"/>
      <c r="I5909" s="109"/>
      <c r="J5909" s="109"/>
      <c r="Q5909" s="121"/>
      <c r="W5909" s="109"/>
    </row>
    <row r="5910" spans="1:23" ht="12.75" hidden="1">
      <c r="A5910" s="109"/>
      <c r="B5910" s="109"/>
      <c r="C5910" s="109"/>
      <c r="D5910" s="109"/>
      <c r="E5910" s="109"/>
      <c r="F5910" s="109"/>
      <c r="G5910" s="109"/>
      <c r="H5910" s="109"/>
      <c r="I5910" s="109"/>
      <c r="J5910" s="109"/>
      <c r="Q5910" s="121"/>
      <c r="W5910" s="109"/>
    </row>
    <row r="5911" spans="1:23" ht="12.75" hidden="1">
      <c r="A5911" s="109"/>
      <c r="B5911" s="109"/>
      <c r="C5911" s="109"/>
      <c r="D5911" s="109"/>
      <c r="E5911" s="109"/>
      <c r="F5911" s="109"/>
      <c r="G5911" s="109"/>
      <c r="H5911" s="109"/>
      <c r="I5911" s="109"/>
      <c r="J5911" s="109"/>
      <c r="Q5911" s="121"/>
      <c r="W5911" s="109"/>
    </row>
    <row r="5912" spans="1:23" ht="12.75" hidden="1">
      <c r="A5912" s="109"/>
      <c r="B5912" s="109"/>
      <c r="C5912" s="109"/>
      <c r="D5912" s="109"/>
      <c r="E5912" s="109"/>
      <c r="F5912" s="109"/>
      <c r="G5912" s="109"/>
      <c r="H5912" s="109"/>
      <c r="I5912" s="109"/>
      <c r="J5912" s="109"/>
      <c r="Q5912" s="121"/>
      <c r="W5912" s="109"/>
    </row>
    <row r="5913" spans="1:23" ht="12.75" hidden="1">
      <c r="A5913" s="109"/>
      <c r="B5913" s="109"/>
      <c r="C5913" s="109"/>
      <c r="D5913" s="109"/>
      <c r="E5913" s="109"/>
      <c r="F5913" s="109"/>
      <c r="G5913" s="109"/>
      <c r="H5913" s="109"/>
      <c r="I5913" s="109"/>
      <c r="J5913" s="109"/>
      <c r="Q5913" s="121"/>
      <c r="W5913" s="109"/>
    </row>
    <row r="5914" spans="1:23" ht="12.75" hidden="1">
      <c r="A5914" s="109"/>
      <c r="B5914" s="109"/>
      <c r="C5914" s="109"/>
      <c r="D5914" s="109"/>
      <c r="E5914" s="109"/>
      <c r="F5914" s="109"/>
      <c r="G5914" s="109"/>
      <c r="H5914" s="109"/>
      <c r="I5914" s="109"/>
      <c r="J5914" s="109"/>
      <c r="Q5914" s="121"/>
      <c r="W5914" s="109"/>
    </row>
    <row r="5915" spans="1:23" ht="12.75" hidden="1">
      <c r="A5915" s="109"/>
      <c r="B5915" s="109"/>
      <c r="C5915" s="109"/>
      <c r="D5915" s="109"/>
      <c r="E5915" s="109"/>
      <c r="F5915" s="109"/>
      <c r="G5915" s="109"/>
      <c r="H5915" s="109"/>
      <c r="I5915" s="109"/>
      <c r="J5915" s="109"/>
      <c r="Q5915" s="121"/>
      <c r="W5915" s="109"/>
    </row>
    <row r="5916" spans="1:23" ht="12.75" hidden="1">
      <c r="A5916" s="109"/>
      <c r="B5916" s="109"/>
      <c r="C5916" s="109"/>
      <c r="D5916" s="109"/>
      <c r="E5916" s="109"/>
      <c r="F5916" s="109"/>
      <c r="G5916" s="109"/>
      <c r="H5916" s="109"/>
      <c r="I5916" s="109"/>
      <c r="J5916" s="109"/>
      <c r="Q5916" s="121"/>
      <c r="W5916" s="109"/>
    </row>
    <row r="5917" spans="1:23" ht="12.75" hidden="1">
      <c r="A5917" s="109"/>
      <c r="B5917" s="109"/>
      <c r="C5917" s="109"/>
      <c r="D5917" s="109"/>
      <c r="E5917" s="109"/>
      <c r="F5917" s="109"/>
      <c r="G5917" s="109"/>
      <c r="H5917" s="109"/>
      <c r="I5917" s="109"/>
      <c r="J5917" s="109"/>
      <c r="Q5917" s="121"/>
      <c r="W5917" s="109"/>
    </row>
    <row r="5918" spans="1:23" ht="12.75" hidden="1">
      <c r="A5918" s="109"/>
      <c r="B5918" s="109"/>
      <c r="C5918" s="109"/>
      <c r="D5918" s="109"/>
      <c r="E5918" s="109"/>
      <c r="F5918" s="109"/>
      <c r="G5918" s="109"/>
      <c r="H5918" s="109"/>
      <c r="I5918" s="109"/>
      <c r="J5918" s="109"/>
      <c r="Q5918" s="121"/>
      <c r="W5918" s="109"/>
    </row>
    <row r="5919" spans="1:23" ht="12.75" hidden="1">
      <c r="A5919" s="109"/>
      <c r="B5919" s="109"/>
      <c r="C5919" s="109"/>
      <c r="D5919" s="109"/>
      <c r="E5919" s="109"/>
      <c r="F5919" s="109"/>
      <c r="G5919" s="109"/>
      <c r="H5919" s="109"/>
      <c r="I5919" s="109"/>
      <c r="J5919" s="109"/>
      <c r="Q5919" s="121"/>
      <c r="W5919" s="109"/>
    </row>
    <row r="5920" spans="1:23" ht="12.75" hidden="1">
      <c r="A5920" s="109"/>
      <c r="B5920" s="109"/>
      <c r="C5920" s="109"/>
      <c r="D5920" s="109"/>
      <c r="E5920" s="109"/>
      <c r="F5920" s="109"/>
      <c r="G5920" s="109"/>
      <c r="H5920" s="109"/>
      <c r="I5920" s="109"/>
      <c r="J5920" s="109"/>
      <c r="Q5920" s="121"/>
      <c r="W5920" s="109"/>
    </row>
    <row r="5921" spans="1:23" ht="12.75" hidden="1">
      <c r="A5921" s="109"/>
      <c r="B5921" s="109"/>
      <c r="C5921" s="109"/>
      <c r="D5921" s="109"/>
      <c r="E5921" s="109"/>
      <c r="F5921" s="109"/>
      <c r="G5921" s="109"/>
      <c r="H5921" s="109"/>
      <c r="I5921" s="109"/>
      <c r="J5921" s="109"/>
      <c r="Q5921" s="121"/>
      <c r="W5921" s="109"/>
    </row>
    <row r="5922" spans="1:23" ht="12.75" hidden="1">
      <c r="A5922" s="109"/>
      <c r="B5922" s="109"/>
      <c r="C5922" s="109"/>
      <c r="D5922" s="109"/>
      <c r="E5922" s="109"/>
      <c r="F5922" s="109"/>
      <c r="G5922" s="109"/>
      <c r="H5922" s="109"/>
      <c r="I5922" s="109"/>
      <c r="J5922" s="109"/>
      <c r="Q5922" s="121"/>
      <c r="W5922" s="109"/>
    </row>
    <row r="5923" spans="1:23" ht="12.75" hidden="1">
      <c r="A5923" s="109"/>
      <c r="B5923" s="109"/>
      <c r="C5923" s="109"/>
      <c r="D5923" s="109"/>
      <c r="E5923" s="109"/>
      <c r="F5923" s="109"/>
      <c r="G5923" s="109"/>
      <c r="H5923" s="109"/>
      <c r="I5923" s="109"/>
      <c r="J5923" s="109"/>
      <c r="Q5923" s="121"/>
      <c r="W5923" s="109"/>
    </row>
    <row r="5924" spans="1:23" ht="12.75" hidden="1">
      <c r="A5924" s="109"/>
      <c r="B5924" s="109"/>
      <c r="C5924" s="109"/>
      <c r="D5924" s="109"/>
      <c r="E5924" s="109"/>
      <c r="F5924" s="109"/>
      <c r="G5924" s="109"/>
      <c r="H5924" s="109"/>
      <c r="I5924" s="109"/>
      <c r="J5924" s="109"/>
      <c r="Q5924" s="121"/>
      <c r="W5924" s="109"/>
    </row>
    <row r="5925" spans="1:23" ht="12.75" hidden="1">
      <c r="A5925" s="109"/>
      <c r="B5925" s="109"/>
      <c r="C5925" s="109"/>
      <c r="D5925" s="109"/>
      <c r="E5925" s="109"/>
      <c r="F5925" s="109"/>
      <c r="G5925" s="109"/>
      <c r="H5925" s="109"/>
      <c r="I5925" s="109"/>
      <c r="J5925" s="109"/>
      <c r="Q5925" s="121"/>
      <c r="W5925" s="109"/>
    </row>
    <row r="5926" spans="1:23" ht="12.75" hidden="1">
      <c r="A5926" s="109"/>
      <c r="B5926" s="109"/>
      <c r="C5926" s="109"/>
      <c r="D5926" s="109"/>
      <c r="E5926" s="109"/>
      <c r="F5926" s="109"/>
      <c r="G5926" s="109"/>
      <c r="H5926" s="109"/>
      <c r="I5926" s="109"/>
      <c r="J5926" s="109"/>
      <c r="Q5926" s="121"/>
      <c r="W5926" s="109"/>
    </row>
    <row r="5927" spans="1:23" ht="12.75" hidden="1">
      <c r="A5927" s="109"/>
      <c r="B5927" s="109"/>
      <c r="C5927" s="109"/>
      <c r="D5927" s="109"/>
      <c r="E5927" s="109"/>
      <c r="F5927" s="109"/>
      <c r="G5927" s="109"/>
      <c r="H5927" s="109"/>
      <c r="I5927" s="109"/>
      <c r="J5927" s="109"/>
      <c r="Q5927" s="121"/>
      <c r="W5927" s="109"/>
    </row>
    <row r="5928" spans="1:23" ht="12.75" hidden="1">
      <c r="A5928" s="109"/>
      <c r="B5928" s="109"/>
      <c r="C5928" s="109"/>
      <c r="D5928" s="109"/>
      <c r="E5928" s="109"/>
      <c r="F5928" s="109"/>
      <c r="G5928" s="109"/>
      <c r="H5928" s="109"/>
      <c r="I5928" s="109"/>
      <c r="J5928" s="109"/>
      <c r="Q5928" s="121"/>
      <c r="W5928" s="109"/>
    </row>
    <row r="5929" spans="1:23" ht="12.75" hidden="1">
      <c r="A5929" s="109"/>
      <c r="B5929" s="109"/>
      <c r="C5929" s="109"/>
      <c r="D5929" s="109"/>
      <c r="E5929" s="109"/>
      <c r="F5929" s="109"/>
      <c r="G5929" s="109"/>
      <c r="H5929" s="109"/>
      <c r="I5929" s="109"/>
      <c r="J5929" s="109"/>
      <c r="Q5929" s="121"/>
      <c r="W5929" s="109"/>
    </row>
    <row r="5930" spans="1:23" ht="12.75" hidden="1">
      <c r="A5930" s="109"/>
      <c r="B5930" s="109"/>
      <c r="C5930" s="109"/>
      <c r="D5930" s="109"/>
      <c r="E5930" s="109"/>
      <c r="F5930" s="109"/>
      <c r="G5930" s="109"/>
      <c r="H5930" s="109"/>
      <c r="I5930" s="109"/>
      <c r="J5930" s="109"/>
      <c r="Q5930" s="121"/>
      <c r="W5930" s="109"/>
    </row>
    <row r="5931" spans="1:23" ht="12.75" hidden="1">
      <c r="A5931" s="109"/>
      <c r="B5931" s="109"/>
      <c r="C5931" s="109"/>
      <c r="D5931" s="109"/>
      <c r="E5931" s="109"/>
      <c r="F5931" s="109"/>
      <c r="G5931" s="109"/>
      <c r="H5931" s="109"/>
      <c r="I5931" s="109"/>
      <c r="J5931" s="109"/>
      <c r="Q5931" s="121"/>
      <c r="W5931" s="109"/>
    </row>
    <row r="5932" spans="1:23" ht="12.75" hidden="1">
      <c r="A5932" s="109"/>
      <c r="B5932" s="109"/>
      <c r="C5932" s="109"/>
      <c r="D5932" s="109"/>
      <c r="E5932" s="109"/>
      <c r="F5932" s="109"/>
      <c r="G5932" s="109"/>
      <c r="H5932" s="109"/>
      <c r="I5932" s="109"/>
      <c r="J5932" s="109"/>
      <c r="Q5932" s="121"/>
      <c r="W5932" s="109"/>
    </row>
    <row r="5933" spans="1:23" ht="12.75" hidden="1">
      <c r="A5933" s="109"/>
      <c r="B5933" s="109"/>
      <c r="C5933" s="109"/>
      <c r="D5933" s="109"/>
      <c r="E5933" s="109"/>
      <c r="F5933" s="109"/>
      <c r="G5933" s="109"/>
      <c r="H5933" s="109"/>
      <c r="I5933" s="109"/>
      <c r="J5933" s="109"/>
      <c r="Q5933" s="121"/>
      <c r="W5933" s="109"/>
    </row>
    <row r="5934" spans="1:23" ht="12.75" hidden="1">
      <c r="A5934" s="109"/>
      <c r="B5934" s="109"/>
      <c r="C5934" s="109"/>
      <c r="D5934" s="109"/>
      <c r="E5934" s="109"/>
      <c r="F5934" s="109"/>
      <c r="G5934" s="109"/>
      <c r="H5934" s="109"/>
      <c r="I5934" s="109"/>
      <c r="J5934" s="109"/>
      <c r="Q5934" s="121"/>
      <c r="W5934" s="109"/>
    </row>
    <row r="5935" spans="1:23" ht="12.75" hidden="1">
      <c r="A5935" s="109"/>
      <c r="B5935" s="109"/>
      <c r="C5935" s="109"/>
      <c r="D5935" s="109"/>
      <c r="E5935" s="109"/>
      <c r="F5935" s="109"/>
      <c r="G5935" s="109"/>
      <c r="H5935" s="109"/>
      <c r="I5935" s="109"/>
      <c r="J5935" s="109"/>
      <c r="Q5935" s="121"/>
      <c r="W5935" s="109"/>
    </row>
    <row r="5936" spans="1:23" ht="12.75" hidden="1">
      <c r="A5936" s="109"/>
      <c r="B5936" s="109"/>
      <c r="C5936" s="109"/>
      <c r="D5936" s="109"/>
      <c r="E5936" s="109"/>
      <c r="F5936" s="109"/>
      <c r="G5936" s="109"/>
      <c r="H5936" s="109"/>
      <c r="I5936" s="109"/>
      <c r="J5936" s="109"/>
      <c r="Q5936" s="121"/>
      <c r="W5936" s="109"/>
    </row>
    <row r="5937" spans="1:23" ht="12.75" hidden="1">
      <c r="A5937" s="109"/>
      <c r="B5937" s="109"/>
      <c r="C5937" s="109"/>
      <c r="D5937" s="109"/>
      <c r="E5937" s="109"/>
      <c r="F5937" s="109"/>
      <c r="G5937" s="109"/>
      <c r="H5937" s="109"/>
      <c r="I5937" s="109"/>
      <c r="J5937" s="109"/>
      <c r="Q5937" s="121"/>
      <c r="W5937" s="109"/>
    </row>
    <row r="5938" spans="1:23" ht="12.75" hidden="1">
      <c r="A5938" s="109"/>
      <c r="B5938" s="109"/>
      <c r="C5938" s="109"/>
      <c r="D5938" s="109"/>
      <c r="E5938" s="109"/>
      <c r="F5938" s="109"/>
      <c r="G5938" s="109"/>
      <c r="H5938" s="109"/>
      <c r="I5938" s="109"/>
      <c r="J5938" s="109"/>
      <c r="Q5938" s="121"/>
      <c r="W5938" s="109"/>
    </row>
    <row r="5939" spans="1:23" ht="12.75" hidden="1">
      <c r="A5939" s="109"/>
      <c r="B5939" s="109"/>
      <c r="C5939" s="109"/>
      <c r="D5939" s="109"/>
      <c r="E5939" s="109"/>
      <c r="F5939" s="109"/>
      <c r="G5939" s="109"/>
      <c r="H5939" s="109"/>
      <c r="I5939" s="109"/>
      <c r="J5939" s="109"/>
      <c r="Q5939" s="121"/>
      <c r="W5939" s="109"/>
    </row>
    <row r="5940" spans="1:23" ht="12.75" hidden="1">
      <c r="A5940" s="109"/>
      <c r="B5940" s="109"/>
      <c r="C5940" s="109"/>
      <c r="D5940" s="109"/>
      <c r="E5940" s="109"/>
      <c r="F5940" s="109"/>
      <c r="G5940" s="109"/>
      <c r="H5940" s="109"/>
      <c r="I5940" s="109"/>
      <c r="J5940" s="109"/>
      <c r="Q5940" s="121"/>
      <c r="W5940" s="109"/>
    </row>
    <row r="5941" spans="1:23" ht="12.75" hidden="1">
      <c r="A5941" s="109"/>
      <c r="B5941" s="109"/>
      <c r="C5941" s="109"/>
      <c r="D5941" s="109"/>
      <c r="E5941" s="109"/>
      <c r="F5941" s="109"/>
      <c r="G5941" s="109"/>
      <c r="H5941" s="109"/>
      <c r="I5941" s="109"/>
      <c r="J5941" s="109"/>
      <c r="Q5941" s="121"/>
      <c r="W5941" s="109"/>
    </row>
    <row r="5942" spans="1:23" ht="12.75" hidden="1">
      <c r="A5942" s="109"/>
      <c r="B5942" s="109"/>
      <c r="C5942" s="109"/>
      <c r="D5942" s="109"/>
      <c r="E5942" s="109"/>
      <c r="F5942" s="109"/>
      <c r="G5942" s="109"/>
      <c r="H5942" s="109"/>
      <c r="I5942" s="109"/>
      <c r="J5942" s="109"/>
      <c r="Q5942" s="121"/>
      <c r="W5942" s="109"/>
    </row>
    <row r="5943" spans="1:23" ht="12.75" hidden="1">
      <c r="A5943" s="109"/>
      <c r="B5943" s="109"/>
      <c r="C5943" s="109"/>
      <c r="D5943" s="109"/>
      <c r="E5943" s="109"/>
      <c r="F5943" s="109"/>
      <c r="G5943" s="109"/>
      <c r="H5943" s="109"/>
      <c r="I5943" s="109"/>
      <c r="J5943" s="109"/>
      <c r="Q5943" s="121"/>
      <c r="W5943" s="109"/>
    </row>
    <row r="5944" spans="1:23" ht="12.75" hidden="1">
      <c r="A5944" s="109"/>
      <c r="B5944" s="109"/>
      <c r="C5944" s="109"/>
      <c r="D5944" s="109"/>
      <c r="E5944" s="109"/>
      <c r="F5944" s="109"/>
      <c r="G5944" s="109"/>
      <c r="H5944" s="109"/>
      <c r="I5944" s="109"/>
      <c r="J5944" s="109"/>
      <c r="Q5944" s="121"/>
      <c r="W5944" s="109"/>
    </row>
    <row r="5945" spans="1:23" ht="12.75" hidden="1">
      <c r="A5945" s="109"/>
      <c r="B5945" s="109"/>
      <c r="C5945" s="109"/>
      <c r="D5945" s="109"/>
      <c r="E5945" s="109"/>
      <c r="F5945" s="109"/>
      <c r="G5945" s="109"/>
      <c r="H5945" s="109"/>
      <c r="I5945" s="109"/>
      <c r="J5945" s="109"/>
      <c r="Q5945" s="121"/>
      <c r="W5945" s="109"/>
    </row>
    <row r="5946" spans="1:23" ht="12.75" hidden="1">
      <c r="A5946" s="109"/>
      <c r="B5946" s="109"/>
      <c r="C5946" s="109"/>
      <c r="D5946" s="109"/>
      <c r="E5946" s="109"/>
      <c r="F5946" s="109"/>
      <c r="G5946" s="109"/>
      <c r="H5946" s="109"/>
      <c r="I5946" s="109"/>
      <c r="J5946" s="109"/>
      <c r="Q5946" s="121"/>
      <c r="W5946" s="109"/>
    </row>
    <row r="5947" spans="1:23" ht="12.75" hidden="1">
      <c r="A5947" s="109"/>
      <c r="B5947" s="109"/>
      <c r="C5947" s="109"/>
      <c r="D5947" s="109"/>
      <c r="E5947" s="109"/>
      <c r="F5947" s="109"/>
      <c r="G5947" s="109"/>
      <c r="H5947" s="109"/>
      <c r="I5947" s="109"/>
      <c r="J5947" s="109"/>
      <c r="Q5947" s="121"/>
      <c r="W5947" s="109"/>
    </row>
    <row r="5948" spans="1:23" ht="12.75" hidden="1">
      <c r="A5948" s="109"/>
      <c r="B5948" s="109"/>
      <c r="C5948" s="109"/>
      <c r="D5948" s="109"/>
      <c r="E5948" s="109"/>
      <c r="F5948" s="109"/>
      <c r="G5948" s="109"/>
      <c r="H5948" s="109"/>
      <c r="I5948" s="109"/>
      <c r="J5948" s="109"/>
      <c r="Q5948" s="121"/>
      <c r="W5948" s="109"/>
    </row>
    <row r="5949" spans="1:23" ht="12.75" hidden="1">
      <c r="A5949" s="109"/>
      <c r="B5949" s="109"/>
      <c r="C5949" s="109"/>
      <c r="D5949" s="109"/>
      <c r="E5949" s="109"/>
      <c r="F5949" s="109"/>
      <c r="G5949" s="109"/>
      <c r="H5949" s="109"/>
      <c r="I5949" s="109"/>
      <c r="J5949" s="109"/>
      <c r="Q5949" s="121"/>
      <c r="W5949" s="109"/>
    </row>
    <row r="5950" spans="1:23" ht="12.75" hidden="1">
      <c r="A5950" s="109"/>
      <c r="B5950" s="109"/>
      <c r="C5950" s="109"/>
      <c r="D5950" s="109"/>
      <c r="E5950" s="109"/>
      <c r="F5950" s="109"/>
      <c r="G5950" s="109"/>
      <c r="H5950" s="109"/>
      <c r="I5950" s="109"/>
      <c r="J5950" s="109"/>
      <c r="Q5950" s="121"/>
      <c r="W5950" s="109"/>
    </row>
    <row r="5951" spans="1:23" ht="12.75" hidden="1">
      <c r="A5951" s="109"/>
      <c r="B5951" s="109"/>
      <c r="C5951" s="109"/>
      <c r="D5951" s="109"/>
      <c r="E5951" s="109"/>
      <c r="F5951" s="109"/>
      <c r="G5951" s="109"/>
      <c r="H5951" s="109"/>
      <c r="I5951" s="109"/>
      <c r="J5951" s="109"/>
      <c r="Q5951" s="121"/>
      <c r="W5951" s="109"/>
    </row>
    <row r="5952" spans="1:23" ht="12.75" hidden="1">
      <c r="A5952" s="109"/>
      <c r="B5952" s="109"/>
      <c r="C5952" s="109"/>
      <c r="D5952" s="109"/>
      <c r="E5952" s="109"/>
      <c r="F5952" s="109"/>
      <c r="G5952" s="109"/>
      <c r="H5952" s="109"/>
      <c r="I5952" s="109"/>
      <c r="J5952" s="109"/>
      <c r="Q5952" s="121"/>
      <c r="W5952" s="109"/>
    </row>
    <row r="5953" spans="1:23" ht="12.75" hidden="1">
      <c r="A5953" s="109"/>
      <c r="B5953" s="109"/>
      <c r="C5953" s="109"/>
      <c r="D5953" s="109"/>
      <c r="E5953" s="109"/>
      <c r="F5953" s="109"/>
      <c r="G5953" s="109"/>
      <c r="H5953" s="109"/>
      <c r="I5953" s="109"/>
      <c r="J5953" s="109"/>
      <c r="Q5953" s="121"/>
      <c r="W5953" s="109"/>
    </row>
    <row r="5954" spans="1:23" ht="12.75" hidden="1">
      <c r="A5954" s="109"/>
      <c r="B5954" s="109"/>
      <c r="C5954" s="109"/>
      <c r="D5954" s="109"/>
      <c r="E5954" s="109"/>
      <c r="F5954" s="109"/>
      <c r="G5954" s="109"/>
      <c r="H5954" s="109"/>
      <c r="I5954" s="109"/>
      <c r="J5954" s="109"/>
      <c r="Q5954" s="121"/>
      <c r="W5954" s="109"/>
    </row>
    <row r="5955" spans="1:23" ht="12.75" hidden="1">
      <c r="A5955" s="109"/>
      <c r="B5955" s="109"/>
      <c r="C5955" s="109"/>
      <c r="D5955" s="109"/>
      <c r="E5955" s="109"/>
      <c r="F5955" s="109"/>
      <c r="G5955" s="109"/>
      <c r="H5955" s="109"/>
      <c r="I5955" s="109"/>
      <c r="J5955" s="109"/>
      <c r="Q5955" s="121"/>
      <c r="W5955" s="109"/>
    </row>
    <row r="5956" spans="1:23" ht="12.75" hidden="1">
      <c r="A5956" s="109"/>
      <c r="B5956" s="109"/>
      <c r="C5956" s="109"/>
      <c r="D5956" s="109"/>
      <c r="E5956" s="109"/>
      <c r="F5956" s="109"/>
      <c r="G5956" s="109"/>
      <c r="H5956" s="109"/>
      <c r="I5956" s="109"/>
      <c r="J5956" s="109"/>
      <c r="Q5956" s="121"/>
      <c r="W5956" s="109"/>
    </row>
    <row r="5957" spans="1:23" ht="12.75" hidden="1">
      <c r="A5957" s="109"/>
      <c r="B5957" s="109"/>
      <c r="C5957" s="109"/>
      <c r="D5957" s="109"/>
      <c r="E5957" s="109"/>
      <c r="F5957" s="109"/>
      <c r="G5957" s="109"/>
      <c r="H5957" s="109"/>
      <c r="I5957" s="109"/>
      <c r="J5957" s="109"/>
      <c r="Q5957" s="121"/>
      <c r="W5957" s="109"/>
    </row>
    <row r="5958" spans="1:23" ht="12.75" hidden="1">
      <c r="A5958" s="109"/>
      <c r="B5958" s="109"/>
      <c r="C5958" s="109"/>
      <c r="D5958" s="109"/>
      <c r="E5958" s="109"/>
      <c r="F5958" s="109"/>
      <c r="G5958" s="109"/>
      <c r="H5958" s="109"/>
      <c r="I5958" s="109"/>
      <c r="J5958" s="109"/>
      <c r="Q5958" s="121"/>
      <c r="W5958" s="109"/>
    </row>
    <row r="5959" spans="1:23" ht="12.75" hidden="1">
      <c r="A5959" s="109"/>
      <c r="B5959" s="109"/>
      <c r="C5959" s="109"/>
      <c r="D5959" s="109"/>
      <c r="E5959" s="109"/>
      <c r="F5959" s="109"/>
      <c r="G5959" s="109"/>
      <c r="H5959" s="109"/>
      <c r="I5959" s="109"/>
      <c r="J5959" s="109"/>
      <c r="Q5959" s="121"/>
      <c r="W5959" s="109"/>
    </row>
    <row r="5960" spans="1:23" ht="12.75" hidden="1">
      <c r="A5960" s="109"/>
      <c r="B5960" s="109"/>
      <c r="C5960" s="109"/>
      <c r="D5960" s="109"/>
      <c r="E5960" s="109"/>
      <c r="F5960" s="109"/>
      <c r="G5960" s="109"/>
      <c r="H5960" s="109"/>
      <c r="I5960" s="109"/>
      <c r="J5960" s="109"/>
      <c r="Q5960" s="121"/>
      <c r="W5960" s="109"/>
    </row>
    <row r="5961" spans="1:23" ht="12.75" hidden="1">
      <c r="A5961" s="109"/>
      <c r="B5961" s="109"/>
      <c r="C5961" s="109"/>
      <c r="D5961" s="109"/>
      <c r="E5961" s="109"/>
      <c r="F5961" s="109"/>
      <c r="G5961" s="109"/>
      <c r="H5961" s="109"/>
      <c r="I5961" s="109"/>
      <c r="J5961" s="109"/>
      <c r="Q5961" s="121"/>
      <c r="W5961" s="109"/>
    </row>
    <row r="5962" spans="1:23" ht="12.75" hidden="1">
      <c r="A5962" s="109"/>
      <c r="B5962" s="109"/>
      <c r="C5962" s="109"/>
      <c r="D5962" s="109"/>
      <c r="E5962" s="109"/>
      <c r="F5962" s="109"/>
      <c r="G5962" s="109"/>
      <c r="H5962" s="109"/>
      <c r="I5962" s="109"/>
      <c r="J5962" s="109"/>
      <c r="Q5962" s="121"/>
      <c r="W5962" s="109"/>
    </row>
    <row r="5963" spans="1:23" ht="12.75" hidden="1">
      <c r="A5963" s="109"/>
      <c r="B5963" s="109"/>
      <c r="C5963" s="109"/>
      <c r="D5963" s="109"/>
      <c r="E5963" s="109"/>
      <c r="F5963" s="109"/>
      <c r="G5963" s="109"/>
      <c r="H5963" s="109"/>
      <c r="I5963" s="109"/>
      <c r="J5963" s="109"/>
      <c r="Q5963" s="121"/>
      <c r="W5963" s="109"/>
    </row>
    <row r="5964" spans="1:23" ht="12.75" hidden="1">
      <c r="A5964" s="109"/>
      <c r="B5964" s="109"/>
      <c r="C5964" s="109"/>
      <c r="D5964" s="109"/>
      <c r="E5964" s="109"/>
      <c r="F5964" s="109"/>
      <c r="G5964" s="109"/>
      <c r="H5964" s="109"/>
      <c r="I5964" s="109"/>
      <c r="J5964" s="109"/>
      <c r="Q5964" s="121"/>
      <c r="W5964" s="109"/>
    </row>
    <row r="5965" spans="1:23" ht="12.75" hidden="1">
      <c r="A5965" s="109"/>
      <c r="B5965" s="109"/>
      <c r="C5965" s="109"/>
      <c r="D5965" s="109"/>
      <c r="E5965" s="109"/>
      <c r="F5965" s="109"/>
      <c r="G5965" s="109"/>
      <c r="H5965" s="109"/>
      <c r="I5965" s="109"/>
      <c r="J5965" s="109"/>
      <c r="Q5965" s="121"/>
      <c r="W5965" s="109"/>
    </row>
    <row r="5966" spans="1:23" ht="12.75" hidden="1">
      <c r="A5966" s="109"/>
      <c r="B5966" s="109"/>
      <c r="C5966" s="109"/>
      <c r="D5966" s="109"/>
      <c r="E5966" s="109"/>
      <c r="F5966" s="109"/>
      <c r="G5966" s="109"/>
      <c r="H5966" s="109"/>
      <c r="I5966" s="109"/>
      <c r="J5966" s="109"/>
      <c r="Q5966" s="121"/>
      <c r="W5966" s="109"/>
    </row>
    <row r="5967" spans="1:23" ht="12.75" hidden="1">
      <c r="A5967" s="109"/>
      <c r="B5967" s="109"/>
      <c r="C5967" s="109"/>
      <c r="D5967" s="109"/>
      <c r="E5967" s="109"/>
      <c r="F5967" s="109"/>
      <c r="G5967" s="109"/>
      <c r="H5967" s="109"/>
      <c r="I5967" s="109"/>
      <c r="J5967" s="109"/>
      <c r="Q5967" s="121"/>
      <c r="W5967" s="109"/>
    </row>
    <row r="5968" spans="1:23" ht="12.75" hidden="1">
      <c r="A5968" s="109"/>
      <c r="B5968" s="109"/>
      <c r="C5968" s="109"/>
      <c r="D5968" s="109"/>
      <c r="E5968" s="109"/>
      <c r="F5968" s="109"/>
      <c r="G5968" s="109"/>
      <c r="H5968" s="109"/>
      <c r="I5968" s="109"/>
      <c r="J5968" s="109"/>
      <c r="Q5968" s="121"/>
      <c r="W5968" s="109"/>
    </row>
    <row r="5969" spans="1:23" ht="12.75" hidden="1">
      <c r="A5969" s="109"/>
      <c r="B5969" s="109"/>
      <c r="C5969" s="109"/>
      <c r="D5969" s="109"/>
      <c r="E5969" s="109"/>
      <c r="F5969" s="109"/>
      <c r="G5969" s="109"/>
      <c r="H5969" s="109"/>
      <c r="I5969" s="109"/>
      <c r="J5969" s="109"/>
      <c r="Q5969" s="121"/>
      <c r="W5969" s="109"/>
    </row>
    <row r="5970" spans="1:23" ht="12.75" hidden="1">
      <c r="A5970" s="109"/>
      <c r="B5970" s="109"/>
      <c r="C5970" s="109"/>
      <c r="D5970" s="109"/>
      <c r="E5970" s="109"/>
      <c r="F5970" s="109"/>
      <c r="G5970" s="109"/>
      <c r="H5970" s="109"/>
      <c r="I5970" s="109"/>
      <c r="J5970" s="109"/>
      <c r="Q5970" s="121"/>
      <c r="W5970" s="109"/>
    </row>
    <row r="5971" spans="1:23" ht="12.75" hidden="1">
      <c r="A5971" s="109"/>
      <c r="B5971" s="109"/>
      <c r="C5971" s="109"/>
      <c r="D5971" s="109"/>
      <c r="E5971" s="109"/>
      <c r="F5971" s="109"/>
      <c r="G5971" s="109"/>
      <c r="H5971" s="109"/>
      <c r="I5971" s="109"/>
      <c r="J5971" s="109"/>
      <c r="Q5971" s="121"/>
      <c r="W5971" s="109"/>
    </row>
    <row r="5972" spans="1:23" ht="12.75" hidden="1">
      <c r="A5972" s="109"/>
      <c r="B5972" s="109"/>
      <c r="C5972" s="109"/>
      <c r="D5972" s="109"/>
      <c r="E5972" s="109"/>
      <c r="F5972" s="109"/>
      <c r="G5972" s="109"/>
      <c r="H5972" s="109"/>
      <c r="I5972" s="109"/>
      <c r="J5972" s="109"/>
      <c r="Q5972" s="121"/>
      <c r="W5972" s="109"/>
    </row>
    <row r="5973" spans="1:23" ht="12.75" hidden="1">
      <c r="A5973" s="109"/>
      <c r="B5973" s="109"/>
      <c r="C5973" s="109"/>
      <c r="D5973" s="109"/>
      <c r="E5973" s="109"/>
      <c r="F5973" s="109"/>
      <c r="G5973" s="109"/>
      <c r="H5973" s="109"/>
      <c r="I5973" s="109"/>
      <c r="J5973" s="109"/>
      <c r="Q5973" s="121"/>
      <c r="W5973" s="109"/>
    </row>
    <row r="5974" spans="1:23" ht="12.75" hidden="1">
      <c r="A5974" s="109"/>
      <c r="B5974" s="109"/>
      <c r="C5974" s="109"/>
      <c r="D5974" s="109"/>
      <c r="E5974" s="109"/>
      <c r="F5974" s="109"/>
      <c r="G5974" s="109"/>
      <c r="H5974" s="109"/>
      <c r="I5974" s="109"/>
      <c r="J5974" s="109"/>
      <c r="Q5974" s="121"/>
      <c r="W5974" s="109"/>
    </row>
    <row r="5975" spans="1:23" ht="12.75" hidden="1">
      <c r="A5975" s="109"/>
      <c r="B5975" s="109"/>
      <c r="C5975" s="109"/>
      <c r="D5975" s="109"/>
      <c r="E5975" s="109"/>
      <c r="F5975" s="109"/>
      <c r="G5975" s="109"/>
      <c r="H5975" s="109"/>
      <c r="I5975" s="109"/>
      <c r="J5975" s="109"/>
      <c r="Q5975" s="121"/>
      <c r="W5975" s="109"/>
    </row>
    <row r="5976" spans="1:23" ht="12.75" hidden="1">
      <c r="A5976" s="109"/>
      <c r="B5976" s="109"/>
      <c r="C5976" s="109"/>
      <c r="D5976" s="109"/>
      <c r="E5976" s="109"/>
      <c r="F5976" s="109"/>
      <c r="G5976" s="109"/>
      <c r="H5976" s="109"/>
      <c r="I5976" s="109"/>
      <c r="J5976" s="109"/>
      <c r="Q5976" s="121"/>
      <c r="W5976" s="109"/>
    </row>
    <row r="5977" spans="1:23" ht="12.75" hidden="1">
      <c r="A5977" s="109"/>
      <c r="B5977" s="109"/>
      <c r="C5977" s="109"/>
      <c r="D5977" s="109"/>
      <c r="E5977" s="109"/>
      <c r="F5977" s="109"/>
      <c r="G5977" s="109"/>
      <c r="H5977" s="109"/>
      <c r="I5977" s="109"/>
      <c r="J5977" s="109"/>
      <c r="Q5977" s="121"/>
      <c r="W5977" s="109"/>
    </row>
    <row r="5978" spans="1:23" ht="12.75" hidden="1">
      <c r="A5978" s="109"/>
      <c r="B5978" s="109"/>
      <c r="C5978" s="109"/>
      <c r="D5978" s="109"/>
      <c r="E5978" s="109"/>
      <c r="F5978" s="109"/>
      <c r="G5978" s="109"/>
      <c r="H5978" s="109"/>
      <c r="I5978" s="109"/>
      <c r="J5978" s="109"/>
      <c r="Q5978" s="121"/>
      <c r="W5978" s="109"/>
    </row>
    <row r="5979" spans="1:23" ht="12.75" hidden="1">
      <c r="A5979" s="109"/>
      <c r="B5979" s="109"/>
      <c r="C5979" s="109"/>
      <c r="D5979" s="109"/>
      <c r="E5979" s="109"/>
      <c r="F5979" s="109"/>
      <c r="G5979" s="109"/>
      <c r="H5979" s="109"/>
      <c r="I5979" s="109"/>
      <c r="J5979" s="109"/>
      <c r="Q5979" s="121"/>
      <c r="W5979" s="109"/>
    </row>
    <row r="5980" spans="1:23" ht="12.75" hidden="1">
      <c r="A5980" s="109"/>
      <c r="B5980" s="109"/>
      <c r="C5980" s="109"/>
      <c r="D5980" s="109"/>
      <c r="E5980" s="109"/>
      <c r="F5980" s="109"/>
      <c r="G5980" s="109"/>
      <c r="H5980" s="109"/>
      <c r="I5980" s="109"/>
      <c r="J5980" s="109"/>
      <c r="Q5980" s="121"/>
      <c r="W5980" s="109"/>
    </row>
    <row r="5981" spans="1:23" ht="12.75" hidden="1">
      <c r="A5981" s="109"/>
      <c r="B5981" s="109"/>
      <c r="C5981" s="109"/>
      <c r="D5981" s="109"/>
      <c r="E5981" s="109"/>
      <c r="F5981" s="109"/>
      <c r="G5981" s="109"/>
      <c r="H5981" s="109"/>
      <c r="I5981" s="109"/>
      <c r="J5981" s="109"/>
      <c r="Q5981" s="121"/>
      <c r="W5981" s="109"/>
    </row>
    <row r="5982" spans="1:23" ht="12.75" hidden="1">
      <c r="A5982" s="109"/>
      <c r="B5982" s="109"/>
      <c r="C5982" s="109"/>
      <c r="D5982" s="109"/>
      <c r="E5982" s="109"/>
      <c r="F5982" s="109"/>
      <c r="G5982" s="109"/>
      <c r="H5982" s="109"/>
      <c r="I5982" s="109"/>
      <c r="J5982" s="109"/>
      <c r="Q5982" s="121"/>
      <c r="W5982" s="109"/>
    </row>
    <row r="5983" spans="1:23" ht="12.75" hidden="1">
      <c r="A5983" s="109"/>
      <c r="B5983" s="109"/>
      <c r="C5983" s="109"/>
      <c r="D5983" s="109"/>
      <c r="E5983" s="109"/>
      <c r="F5983" s="109"/>
      <c r="G5983" s="109"/>
      <c r="H5983" s="109"/>
      <c r="I5983" s="109"/>
      <c r="J5983" s="109"/>
      <c r="Q5983" s="121"/>
      <c r="W5983" s="109"/>
    </row>
    <row r="5984" spans="1:23" ht="12.75" hidden="1">
      <c r="A5984" s="109"/>
      <c r="B5984" s="109"/>
      <c r="C5984" s="109"/>
      <c r="D5984" s="109"/>
      <c r="E5984" s="109"/>
      <c r="F5984" s="109"/>
      <c r="G5984" s="109"/>
      <c r="H5984" s="109"/>
      <c r="I5984" s="109"/>
      <c r="J5984" s="109"/>
      <c r="Q5984" s="121"/>
      <c r="W5984" s="109"/>
    </row>
    <row r="5985" spans="1:23" ht="12.75" hidden="1">
      <c r="A5985" s="109"/>
      <c r="B5985" s="109"/>
      <c r="C5985" s="109"/>
      <c r="D5985" s="109"/>
      <c r="E5985" s="109"/>
      <c r="F5985" s="109"/>
      <c r="G5985" s="109"/>
      <c r="H5985" s="109"/>
      <c r="I5985" s="109"/>
      <c r="J5985" s="109"/>
      <c r="Q5985" s="121"/>
      <c r="W5985" s="109"/>
    </row>
    <row r="5986" spans="1:23" ht="12.75" hidden="1">
      <c r="A5986" s="109"/>
      <c r="B5986" s="109"/>
      <c r="C5986" s="109"/>
      <c r="D5986" s="109"/>
      <c r="E5986" s="109"/>
      <c r="F5986" s="109"/>
      <c r="G5986" s="109"/>
      <c r="H5986" s="109"/>
      <c r="I5986" s="109"/>
      <c r="J5986" s="109"/>
      <c r="Q5986" s="121"/>
      <c r="W5986" s="109"/>
    </row>
    <row r="5987" spans="1:23" ht="12.75" hidden="1">
      <c r="A5987" s="109"/>
      <c r="B5987" s="109"/>
      <c r="C5987" s="109"/>
      <c r="D5987" s="109"/>
      <c r="E5987" s="109"/>
      <c r="F5987" s="109"/>
      <c r="G5987" s="109"/>
      <c r="H5987" s="109"/>
      <c r="I5987" s="109"/>
      <c r="J5987" s="109"/>
      <c r="Q5987" s="121"/>
      <c r="W5987" s="109"/>
    </row>
    <row r="5988" spans="1:23" ht="12.75" hidden="1">
      <c r="A5988" s="109"/>
      <c r="B5988" s="109"/>
      <c r="C5988" s="109"/>
      <c r="D5988" s="109"/>
      <c r="E5988" s="109"/>
      <c r="F5988" s="109"/>
      <c r="G5988" s="109"/>
      <c r="H5988" s="109"/>
      <c r="I5988" s="109"/>
      <c r="J5988" s="109"/>
      <c r="Q5988" s="121"/>
      <c r="W5988" s="109"/>
    </row>
    <row r="5989" spans="1:23" ht="12.75" hidden="1">
      <c r="A5989" s="109"/>
      <c r="B5989" s="109"/>
      <c r="C5989" s="109"/>
      <c r="D5989" s="109"/>
      <c r="E5989" s="109"/>
      <c r="F5989" s="109"/>
      <c r="G5989" s="109"/>
      <c r="H5989" s="109"/>
      <c r="I5989" s="109"/>
      <c r="J5989" s="109"/>
      <c r="Q5989" s="121"/>
      <c r="W5989" s="109"/>
    </row>
    <row r="5990" spans="1:23" ht="12.75" hidden="1">
      <c r="A5990" s="109"/>
      <c r="B5990" s="109"/>
      <c r="C5990" s="109"/>
      <c r="D5990" s="109"/>
      <c r="E5990" s="109"/>
      <c r="F5990" s="109"/>
      <c r="G5990" s="109"/>
      <c r="H5990" s="109"/>
      <c r="I5990" s="109"/>
      <c r="J5990" s="109"/>
      <c r="Q5990" s="121"/>
      <c r="W5990" s="109"/>
    </row>
    <row r="5991" spans="1:23" ht="12.75" hidden="1">
      <c r="A5991" s="109"/>
      <c r="B5991" s="109"/>
      <c r="C5991" s="109"/>
      <c r="D5991" s="109"/>
      <c r="E5991" s="109"/>
      <c r="F5991" s="109"/>
      <c r="G5991" s="109"/>
      <c r="H5991" s="109"/>
      <c r="I5991" s="109"/>
      <c r="J5991" s="109"/>
      <c r="Q5991" s="121"/>
      <c r="W5991" s="109"/>
    </row>
    <row r="5992" spans="1:23" ht="12.75" hidden="1">
      <c r="A5992" s="109"/>
      <c r="B5992" s="109"/>
      <c r="C5992" s="109"/>
      <c r="D5992" s="109"/>
      <c r="E5992" s="109"/>
      <c r="F5992" s="109"/>
      <c r="G5992" s="109"/>
      <c r="H5992" s="109"/>
      <c r="I5992" s="109"/>
      <c r="J5992" s="109"/>
      <c r="Q5992" s="121"/>
      <c r="W5992" s="109"/>
    </row>
    <row r="5993" spans="1:23" ht="12.75" hidden="1">
      <c r="A5993" s="109"/>
      <c r="B5993" s="109"/>
      <c r="C5993" s="109"/>
      <c r="D5993" s="109"/>
      <c r="E5993" s="109"/>
      <c r="F5993" s="109"/>
      <c r="G5993" s="109"/>
      <c r="H5993" s="109"/>
      <c r="I5993" s="109"/>
      <c r="J5993" s="109"/>
      <c r="Q5993" s="121"/>
      <c r="W5993" s="109"/>
    </row>
    <row r="5994" spans="1:23" ht="12.75" hidden="1">
      <c r="A5994" s="109"/>
      <c r="B5994" s="109"/>
      <c r="C5994" s="109"/>
      <c r="D5994" s="109"/>
      <c r="E5994" s="109"/>
      <c r="F5994" s="109"/>
      <c r="G5994" s="109"/>
      <c r="H5994" s="109"/>
      <c r="I5994" s="109"/>
      <c r="J5994" s="109"/>
      <c r="Q5994" s="121"/>
      <c r="W5994" s="109"/>
    </row>
    <row r="5995" spans="1:23" ht="12.75" hidden="1">
      <c r="A5995" s="109"/>
      <c r="B5995" s="109"/>
      <c r="C5995" s="109"/>
      <c r="D5995" s="109"/>
      <c r="E5995" s="109"/>
      <c r="F5995" s="109"/>
      <c r="G5995" s="109"/>
      <c r="H5995" s="109"/>
      <c r="I5995" s="109"/>
      <c r="J5995" s="109"/>
      <c r="Q5995" s="121"/>
      <c r="W5995" s="109"/>
    </row>
    <row r="5996" spans="1:23" ht="12.75" hidden="1">
      <c r="A5996" s="109"/>
      <c r="B5996" s="109"/>
      <c r="C5996" s="109"/>
      <c r="D5996" s="109"/>
      <c r="E5996" s="109"/>
      <c r="F5996" s="109"/>
      <c r="G5996" s="109"/>
      <c r="H5996" s="109"/>
      <c r="I5996" s="109"/>
      <c r="J5996" s="109"/>
      <c r="Q5996" s="121"/>
      <c r="W5996" s="109"/>
    </row>
    <row r="5997" spans="1:23" ht="12.75" hidden="1">
      <c r="A5997" s="109"/>
      <c r="B5997" s="109"/>
      <c r="C5997" s="109"/>
      <c r="D5997" s="109"/>
      <c r="E5997" s="109"/>
      <c r="F5997" s="109"/>
      <c r="G5997" s="109"/>
      <c r="H5997" s="109"/>
      <c r="I5997" s="109"/>
      <c r="J5997" s="109"/>
      <c r="Q5997" s="121"/>
      <c r="W5997" s="109"/>
    </row>
    <row r="5998" spans="1:23" ht="12.75" hidden="1">
      <c r="A5998" s="109"/>
      <c r="B5998" s="109"/>
      <c r="C5998" s="109"/>
      <c r="D5998" s="109"/>
      <c r="E5998" s="109"/>
      <c r="F5998" s="109"/>
      <c r="G5998" s="109"/>
      <c r="H5998" s="109"/>
      <c r="I5998" s="109"/>
      <c r="J5998" s="109"/>
      <c r="Q5998" s="121"/>
      <c r="W5998" s="109"/>
    </row>
    <row r="5999" spans="1:23" ht="12.75" hidden="1">
      <c r="A5999" s="109"/>
      <c r="B5999" s="109"/>
      <c r="C5999" s="109"/>
      <c r="D5999" s="109"/>
      <c r="E5999" s="109"/>
      <c r="F5999" s="109"/>
      <c r="G5999" s="109"/>
      <c r="H5999" s="109"/>
      <c r="I5999" s="109"/>
      <c r="J5999" s="109"/>
      <c r="Q5999" s="121"/>
      <c r="W5999" s="109"/>
    </row>
    <row r="6000" spans="1:23" ht="12.75" hidden="1">
      <c r="A6000" s="109"/>
      <c r="B6000" s="109"/>
      <c r="C6000" s="109"/>
      <c r="D6000" s="109"/>
      <c r="E6000" s="109"/>
      <c r="F6000" s="109"/>
      <c r="G6000" s="109"/>
      <c r="H6000" s="109"/>
      <c r="I6000" s="109"/>
      <c r="J6000" s="109"/>
      <c r="Q6000" s="121"/>
      <c r="W6000" s="109"/>
    </row>
    <row r="6001" spans="1:23" ht="12.75" hidden="1">
      <c r="A6001" s="109"/>
      <c r="B6001" s="109"/>
      <c r="C6001" s="109"/>
      <c r="D6001" s="109"/>
      <c r="E6001" s="109"/>
      <c r="F6001" s="109"/>
      <c r="G6001" s="109"/>
      <c r="H6001" s="109"/>
      <c r="I6001" s="109"/>
      <c r="J6001" s="109"/>
      <c r="Q6001" s="121"/>
      <c r="W6001" s="109"/>
    </row>
    <row r="6002" spans="1:23" ht="12.75" hidden="1">
      <c r="A6002" s="109"/>
      <c r="B6002" s="109"/>
      <c r="C6002" s="109"/>
      <c r="D6002" s="109"/>
      <c r="E6002" s="109"/>
      <c r="F6002" s="109"/>
      <c r="G6002" s="109"/>
      <c r="H6002" s="109"/>
      <c r="I6002" s="109"/>
      <c r="J6002" s="109"/>
      <c r="Q6002" s="121"/>
      <c r="W6002" s="109"/>
    </row>
    <row r="6003" spans="1:23" ht="12.75" hidden="1">
      <c r="A6003" s="109"/>
      <c r="B6003" s="109"/>
      <c r="C6003" s="109"/>
      <c r="D6003" s="109"/>
      <c r="E6003" s="109"/>
      <c r="F6003" s="109"/>
      <c r="G6003" s="109"/>
      <c r="H6003" s="109"/>
      <c r="I6003" s="109"/>
      <c r="J6003" s="109"/>
      <c r="Q6003" s="121"/>
      <c r="W6003" s="109"/>
    </row>
    <row r="6004" spans="1:23" ht="12.75" hidden="1">
      <c r="A6004" s="109"/>
      <c r="B6004" s="109"/>
      <c r="C6004" s="109"/>
      <c r="D6004" s="109"/>
      <c r="E6004" s="109"/>
      <c r="F6004" s="109"/>
      <c r="G6004" s="109"/>
      <c r="H6004" s="109"/>
      <c r="I6004" s="109"/>
      <c r="J6004" s="109"/>
      <c r="Q6004" s="121"/>
      <c r="W6004" s="109"/>
    </row>
    <row r="6005" spans="1:23" ht="12.75" hidden="1">
      <c r="A6005" s="109"/>
      <c r="B6005" s="109"/>
      <c r="C6005" s="109"/>
      <c r="D6005" s="109"/>
      <c r="E6005" s="109"/>
      <c r="F6005" s="109"/>
      <c r="G6005" s="109"/>
      <c r="H6005" s="109"/>
      <c r="I6005" s="109"/>
      <c r="J6005" s="109"/>
      <c r="Q6005" s="121"/>
      <c r="W6005" s="109"/>
    </row>
    <row r="6006" spans="1:23" ht="12.75" hidden="1">
      <c r="A6006" s="109"/>
      <c r="B6006" s="109"/>
      <c r="C6006" s="109"/>
      <c r="D6006" s="109"/>
      <c r="E6006" s="109"/>
      <c r="F6006" s="109"/>
      <c r="G6006" s="109"/>
      <c r="H6006" s="109"/>
      <c r="I6006" s="109"/>
      <c r="J6006" s="109"/>
      <c r="Q6006" s="121"/>
      <c r="W6006" s="109"/>
    </row>
    <row r="6007" spans="1:23" ht="12.75" hidden="1">
      <c r="A6007" s="109"/>
      <c r="B6007" s="109"/>
      <c r="C6007" s="109"/>
      <c r="D6007" s="109"/>
      <c r="E6007" s="109"/>
      <c r="F6007" s="109"/>
      <c r="G6007" s="109"/>
      <c r="H6007" s="109"/>
      <c r="I6007" s="109"/>
      <c r="J6007" s="109"/>
      <c r="Q6007" s="121"/>
      <c r="W6007" s="109"/>
    </row>
    <row r="6008" spans="1:23" ht="12.75" hidden="1">
      <c r="A6008" s="109"/>
      <c r="B6008" s="109"/>
      <c r="C6008" s="109"/>
      <c r="D6008" s="109"/>
      <c r="E6008" s="109"/>
      <c r="F6008" s="109"/>
      <c r="G6008" s="109"/>
      <c r="H6008" s="109"/>
      <c r="I6008" s="109"/>
      <c r="J6008" s="109"/>
      <c r="Q6008" s="121"/>
      <c r="W6008" s="109"/>
    </row>
    <row r="6009" spans="1:23" ht="12.75" hidden="1">
      <c r="A6009" s="109"/>
      <c r="B6009" s="109"/>
      <c r="C6009" s="109"/>
      <c r="D6009" s="109"/>
      <c r="E6009" s="109"/>
      <c r="F6009" s="109"/>
      <c r="G6009" s="109"/>
      <c r="H6009" s="109"/>
      <c r="I6009" s="109"/>
      <c r="J6009" s="109"/>
      <c r="Q6009" s="121"/>
      <c r="W6009" s="109"/>
    </row>
    <row r="6010" spans="1:23" ht="12.75" hidden="1">
      <c r="A6010" s="109"/>
      <c r="B6010" s="109"/>
      <c r="C6010" s="109"/>
      <c r="D6010" s="109"/>
      <c r="E6010" s="109"/>
      <c r="F6010" s="109"/>
      <c r="G6010" s="109"/>
      <c r="H6010" s="109"/>
      <c r="I6010" s="109"/>
      <c r="J6010" s="109"/>
      <c r="Q6010" s="121"/>
      <c r="W6010" s="109"/>
    </row>
    <row r="6011" spans="1:23" ht="12.75" hidden="1">
      <c r="A6011" s="109"/>
      <c r="B6011" s="109"/>
      <c r="C6011" s="109"/>
      <c r="D6011" s="109"/>
      <c r="E6011" s="109"/>
      <c r="F6011" s="109"/>
      <c r="G6011" s="109"/>
      <c r="H6011" s="109"/>
      <c r="I6011" s="109"/>
      <c r="J6011" s="109"/>
      <c r="Q6011" s="121"/>
      <c r="W6011" s="109"/>
    </row>
    <row r="6012" spans="1:23" ht="12.75" hidden="1">
      <c r="A6012" s="109"/>
      <c r="B6012" s="109"/>
      <c r="C6012" s="109"/>
      <c r="D6012" s="109"/>
      <c r="E6012" s="109"/>
      <c r="F6012" s="109"/>
      <c r="G6012" s="109"/>
      <c r="H6012" s="109"/>
      <c r="I6012" s="109"/>
      <c r="J6012" s="109"/>
      <c r="Q6012" s="121"/>
      <c r="W6012" s="109"/>
    </row>
    <row r="6013" spans="1:23" ht="12.75" hidden="1">
      <c r="A6013" s="109"/>
      <c r="B6013" s="109"/>
      <c r="C6013" s="109"/>
      <c r="D6013" s="109"/>
      <c r="E6013" s="109"/>
      <c r="F6013" s="109"/>
      <c r="G6013" s="109"/>
      <c r="H6013" s="109"/>
      <c r="I6013" s="109"/>
      <c r="J6013" s="109"/>
      <c r="Q6013" s="121"/>
      <c r="W6013" s="109"/>
    </row>
    <row r="6014" spans="1:23" ht="12.75" hidden="1">
      <c r="A6014" s="109"/>
      <c r="B6014" s="109"/>
      <c r="C6014" s="109"/>
      <c r="D6014" s="109"/>
      <c r="E6014" s="109"/>
      <c r="F6014" s="109"/>
      <c r="G6014" s="109"/>
      <c r="H6014" s="109"/>
      <c r="I6014" s="109"/>
      <c r="J6014" s="109"/>
      <c r="Q6014" s="121"/>
      <c r="W6014" s="109"/>
    </row>
    <row r="6015" spans="1:23" ht="12.75" hidden="1">
      <c r="A6015" s="109"/>
      <c r="B6015" s="109"/>
      <c r="C6015" s="109"/>
      <c r="D6015" s="109"/>
      <c r="E6015" s="109"/>
      <c r="F6015" s="109"/>
      <c r="G6015" s="109"/>
      <c r="H6015" s="109"/>
      <c r="I6015" s="109"/>
      <c r="J6015" s="109"/>
      <c r="W6015" s="109"/>
    </row>
    <row r="6016" spans="1:23" ht="12.75" hidden="1">
      <c r="A6016" s="109"/>
      <c r="B6016" s="109"/>
      <c r="C6016" s="109"/>
      <c r="D6016" s="109"/>
      <c r="E6016" s="109"/>
      <c r="F6016" s="109"/>
      <c r="G6016" s="109"/>
      <c r="H6016" s="109"/>
      <c r="I6016" s="109"/>
      <c r="J6016" s="109"/>
      <c r="W6016" s="109"/>
    </row>
    <row r="6017" spans="1:23" ht="12.75" hidden="1">
      <c r="A6017" s="109"/>
      <c r="B6017" s="109"/>
      <c r="C6017" s="109"/>
      <c r="D6017" s="109"/>
      <c r="E6017" s="109"/>
      <c r="F6017" s="109"/>
      <c r="G6017" s="109"/>
      <c r="H6017" s="109"/>
      <c r="I6017" s="109"/>
      <c r="J6017" s="109"/>
      <c r="W6017" s="109"/>
    </row>
    <row r="6018" spans="1:23" ht="12.75" hidden="1">
      <c r="A6018" s="109"/>
      <c r="B6018" s="109"/>
      <c r="C6018" s="109"/>
      <c r="D6018" s="109"/>
      <c r="E6018" s="109"/>
      <c r="F6018" s="109"/>
      <c r="G6018" s="109"/>
      <c r="H6018" s="109"/>
      <c r="I6018" s="109"/>
      <c r="J6018" s="109"/>
      <c r="W6018" s="109"/>
    </row>
    <row r="6019" spans="1:23" ht="12.75" hidden="1">
      <c r="A6019" s="109"/>
      <c r="B6019" s="109"/>
      <c r="C6019" s="109"/>
      <c r="D6019" s="109"/>
      <c r="E6019" s="109"/>
      <c r="F6019" s="109"/>
      <c r="G6019" s="109"/>
      <c r="H6019" s="109"/>
      <c r="I6019" s="109"/>
      <c r="J6019" s="109"/>
      <c r="W6019" s="109"/>
    </row>
    <row r="6020" spans="1:23" ht="12.75" hidden="1">
      <c r="A6020" s="109"/>
      <c r="B6020" s="109"/>
      <c r="C6020" s="109"/>
      <c r="D6020" s="109"/>
      <c r="E6020" s="109"/>
      <c r="F6020" s="109"/>
      <c r="G6020" s="109"/>
      <c r="H6020" s="109"/>
      <c r="I6020" s="109"/>
      <c r="J6020" s="109"/>
      <c r="W6020" s="109"/>
    </row>
    <row r="6021" spans="1:23" ht="12.75" hidden="1">
      <c r="A6021" s="109"/>
      <c r="B6021" s="109"/>
      <c r="C6021" s="109"/>
      <c r="D6021" s="109"/>
      <c r="E6021" s="109"/>
      <c r="F6021" s="109"/>
      <c r="G6021" s="109"/>
      <c r="H6021" s="109"/>
      <c r="I6021" s="109"/>
      <c r="J6021" s="109"/>
      <c r="W6021" s="109"/>
    </row>
    <row r="6022" spans="1:23" ht="12.75" hidden="1">
      <c r="A6022" s="109"/>
      <c r="B6022" s="109"/>
      <c r="C6022" s="109"/>
      <c r="D6022" s="109"/>
      <c r="E6022" s="109"/>
      <c r="F6022" s="109"/>
      <c r="G6022" s="109"/>
      <c r="H6022" s="109"/>
      <c r="I6022" s="109"/>
      <c r="J6022" s="109"/>
      <c r="W6022" s="109"/>
    </row>
    <row r="6023" spans="1:23" ht="12.75" hidden="1">
      <c r="A6023" s="109"/>
      <c r="B6023" s="109"/>
      <c r="C6023" s="109"/>
      <c r="D6023" s="109"/>
      <c r="E6023" s="109"/>
      <c r="F6023" s="109"/>
      <c r="G6023" s="109"/>
      <c r="H6023" s="109"/>
      <c r="I6023" s="109"/>
      <c r="J6023" s="109"/>
      <c r="W6023" s="109"/>
    </row>
    <row r="6024" spans="1:23" ht="12.75" hidden="1">
      <c r="A6024" s="109"/>
      <c r="B6024" s="109"/>
      <c r="C6024" s="109"/>
      <c r="D6024" s="109"/>
      <c r="E6024" s="109"/>
      <c r="F6024" s="109"/>
      <c r="G6024" s="109"/>
      <c r="H6024" s="109"/>
      <c r="I6024" s="109"/>
      <c r="J6024" s="109"/>
      <c r="W6024" s="109"/>
    </row>
    <row r="6025" spans="1:23" ht="12.75" hidden="1">
      <c r="A6025" s="109"/>
      <c r="B6025" s="109"/>
      <c r="C6025" s="109"/>
      <c r="D6025" s="109"/>
      <c r="E6025" s="109"/>
      <c r="F6025" s="109"/>
      <c r="G6025" s="109"/>
      <c r="H6025" s="109"/>
      <c r="I6025" s="109"/>
      <c r="J6025" s="109"/>
      <c r="W6025" s="109"/>
    </row>
    <row r="6026" spans="1:23" ht="12.75" hidden="1">
      <c r="A6026" s="109"/>
      <c r="B6026" s="109"/>
      <c r="C6026" s="109"/>
      <c r="D6026" s="109"/>
      <c r="E6026" s="109"/>
      <c r="F6026" s="109"/>
      <c r="G6026" s="109"/>
      <c r="H6026" s="109"/>
      <c r="I6026" s="109"/>
      <c r="J6026" s="109"/>
      <c r="W6026" s="109"/>
    </row>
    <row r="6027" spans="1:23" ht="12.75" hidden="1">
      <c r="A6027" s="109"/>
      <c r="B6027" s="109"/>
      <c r="C6027" s="109"/>
      <c r="D6027" s="109"/>
      <c r="E6027" s="109"/>
      <c r="F6027" s="109"/>
      <c r="G6027" s="109"/>
      <c r="H6027" s="109"/>
      <c r="I6027" s="109"/>
      <c r="J6027" s="109"/>
      <c r="W6027" s="109"/>
    </row>
    <row r="6028" spans="1:23" ht="12.75" hidden="1">
      <c r="A6028" s="109"/>
      <c r="B6028" s="109"/>
      <c r="C6028" s="109"/>
      <c r="D6028" s="109"/>
      <c r="E6028" s="109"/>
      <c r="F6028" s="109"/>
      <c r="G6028" s="109"/>
      <c r="H6028" s="109"/>
      <c r="I6028" s="109"/>
      <c r="J6028" s="109"/>
      <c r="W6028" s="109"/>
    </row>
    <row r="6029" spans="1:23" ht="12.75" hidden="1">
      <c r="A6029" s="109"/>
      <c r="B6029" s="109"/>
      <c r="C6029" s="109"/>
      <c r="D6029" s="109"/>
      <c r="E6029" s="109"/>
      <c r="F6029" s="109"/>
      <c r="G6029" s="109"/>
      <c r="H6029" s="109"/>
      <c r="I6029" s="109"/>
      <c r="J6029" s="109"/>
      <c r="W6029" s="109"/>
    </row>
    <row r="6030" spans="1:23" ht="12.75" hidden="1">
      <c r="A6030" s="109"/>
      <c r="B6030" s="109"/>
      <c r="C6030" s="109"/>
      <c r="D6030" s="109"/>
      <c r="E6030" s="109"/>
      <c r="F6030" s="109"/>
      <c r="G6030" s="109"/>
      <c r="H6030" s="109"/>
      <c r="I6030" s="109"/>
      <c r="J6030" s="109"/>
      <c r="W6030" s="109"/>
    </row>
    <row r="6031" spans="1:23" ht="12.75" hidden="1">
      <c r="A6031" s="109"/>
      <c r="B6031" s="109"/>
      <c r="C6031" s="109"/>
      <c r="D6031" s="109"/>
      <c r="E6031" s="109"/>
      <c r="F6031" s="109"/>
      <c r="G6031" s="109"/>
      <c r="H6031" s="109"/>
      <c r="I6031" s="109"/>
      <c r="J6031" s="109"/>
      <c r="W6031" s="109"/>
    </row>
    <row r="6032" spans="1:23" ht="12.75" hidden="1">
      <c r="A6032" s="109"/>
      <c r="B6032" s="109"/>
      <c r="C6032" s="109"/>
      <c r="D6032" s="109"/>
      <c r="E6032" s="109"/>
      <c r="F6032" s="109"/>
      <c r="G6032" s="109"/>
      <c r="H6032" s="109"/>
      <c r="I6032" s="109"/>
      <c r="J6032" s="109"/>
      <c r="W6032" s="109"/>
    </row>
    <row r="6033" spans="1:23" ht="12.75" hidden="1">
      <c r="A6033" s="109"/>
      <c r="B6033" s="109"/>
      <c r="C6033" s="109"/>
      <c r="D6033" s="109"/>
      <c r="E6033" s="109"/>
      <c r="F6033" s="109"/>
      <c r="G6033" s="109"/>
      <c r="H6033" s="109"/>
      <c r="I6033" s="109"/>
      <c r="J6033" s="109"/>
      <c r="W6033" s="109"/>
    </row>
    <row r="6034" spans="1:23" ht="12.75" hidden="1">
      <c r="A6034" s="109"/>
      <c r="B6034" s="109"/>
      <c r="C6034" s="109"/>
      <c r="D6034" s="109"/>
      <c r="E6034" s="109"/>
      <c r="F6034" s="109"/>
      <c r="G6034" s="109"/>
      <c r="H6034" s="109"/>
      <c r="I6034" s="109"/>
      <c r="J6034" s="109"/>
      <c r="W6034" s="109"/>
    </row>
    <row r="6035" spans="1:23" ht="12.75" hidden="1">
      <c r="A6035" s="109"/>
      <c r="B6035" s="109"/>
      <c r="C6035" s="109"/>
      <c r="D6035" s="109"/>
      <c r="E6035" s="109"/>
      <c r="F6035" s="109"/>
      <c r="G6035" s="109"/>
      <c r="H6035" s="109"/>
      <c r="I6035" s="109"/>
      <c r="J6035" s="109"/>
      <c r="W6035" s="109"/>
    </row>
    <row r="6036" spans="1:23" ht="12.75" hidden="1">
      <c r="A6036" s="109"/>
      <c r="B6036" s="109"/>
      <c r="C6036" s="109"/>
      <c r="D6036" s="109"/>
      <c r="E6036" s="109"/>
      <c r="F6036" s="109"/>
      <c r="G6036" s="109"/>
      <c r="H6036" s="109"/>
      <c r="I6036" s="109"/>
      <c r="J6036" s="109"/>
      <c r="W6036" s="109"/>
    </row>
    <row r="6037" spans="1:23" ht="12.75" hidden="1">
      <c r="A6037" s="109"/>
      <c r="B6037" s="109"/>
      <c r="C6037" s="109"/>
      <c r="D6037" s="109"/>
      <c r="E6037" s="109"/>
      <c r="F6037" s="109"/>
      <c r="G6037" s="109"/>
      <c r="H6037" s="109"/>
      <c r="I6037" s="109"/>
      <c r="J6037" s="109"/>
      <c r="W6037" s="109"/>
    </row>
    <row r="6038" spans="1:23" ht="12.75" hidden="1">
      <c r="A6038" s="109"/>
      <c r="B6038" s="109"/>
      <c r="C6038" s="109"/>
      <c r="D6038" s="109"/>
      <c r="E6038" s="109"/>
      <c r="F6038" s="109"/>
      <c r="G6038" s="109"/>
      <c r="H6038" s="109"/>
      <c r="I6038" s="109"/>
      <c r="J6038" s="109"/>
      <c r="W6038" s="109"/>
    </row>
    <row r="6039" spans="1:23" ht="12.75" hidden="1">
      <c r="A6039" s="109"/>
      <c r="B6039" s="109"/>
      <c r="C6039" s="109"/>
      <c r="D6039" s="109"/>
      <c r="E6039" s="109"/>
      <c r="F6039" s="109"/>
      <c r="G6039" s="109"/>
      <c r="H6039" s="109"/>
      <c r="I6039" s="109"/>
      <c r="J6039" s="109"/>
      <c r="W6039" s="109"/>
    </row>
    <row r="6040" spans="1:23" ht="12.75" hidden="1">
      <c r="A6040" s="109"/>
      <c r="B6040" s="109"/>
      <c r="C6040" s="109"/>
      <c r="D6040" s="109"/>
      <c r="E6040" s="109"/>
      <c r="F6040" s="109"/>
      <c r="G6040" s="109"/>
      <c r="H6040" s="109"/>
      <c r="I6040" s="109"/>
      <c r="J6040" s="109"/>
      <c r="W6040" s="109"/>
    </row>
    <row r="6041" spans="1:23" ht="12.75" hidden="1">
      <c r="A6041" s="109"/>
      <c r="B6041" s="109"/>
      <c r="C6041" s="109"/>
      <c r="D6041" s="109"/>
      <c r="E6041" s="109"/>
      <c r="F6041" s="109"/>
      <c r="G6041" s="109"/>
      <c r="H6041" s="109"/>
      <c r="I6041" s="109"/>
      <c r="J6041" s="109"/>
      <c r="W6041" s="109"/>
    </row>
    <row r="6042" spans="1:23" ht="12.75" hidden="1">
      <c r="A6042" s="109"/>
      <c r="B6042" s="109"/>
      <c r="C6042" s="109"/>
      <c r="D6042" s="109"/>
      <c r="E6042" s="109"/>
      <c r="F6042" s="109"/>
      <c r="G6042" s="109"/>
      <c r="H6042" s="109"/>
      <c r="I6042" s="109"/>
      <c r="J6042" s="109"/>
      <c r="W6042" s="109"/>
    </row>
    <row r="6043" spans="1:23" ht="12.75" hidden="1">
      <c r="A6043" s="109"/>
      <c r="B6043" s="109"/>
      <c r="C6043" s="109"/>
      <c r="D6043" s="109"/>
      <c r="E6043" s="109"/>
      <c r="F6043" s="109"/>
      <c r="G6043" s="109"/>
      <c r="H6043" s="109"/>
      <c r="I6043" s="109"/>
      <c r="J6043" s="109"/>
      <c r="W6043" s="109"/>
    </row>
    <row r="6044" spans="1:23" ht="12.75" hidden="1">
      <c r="A6044" s="109"/>
      <c r="B6044" s="109"/>
      <c r="C6044" s="109"/>
      <c r="D6044" s="109"/>
      <c r="E6044" s="109"/>
      <c r="F6044" s="109"/>
      <c r="G6044" s="109"/>
      <c r="H6044" s="109"/>
      <c r="I6044" s="109"/>
      <c r="J6044" s="109"/>
      <c r="W6044" s="109"/>
    </row>
    <row r="6045" spans="1:23" ht="12.75" hidden="1">
      <c r="A6045" s="109"/>
      <c r="B6045" s="109"/>
      <c r="C6045" s="109"/>
      <c r="D6045" s="109"/>
      <c r="E6045" s="109"/>
      <c r="F6045" s="109"/>
      <c r="G6045" s="109"/>
      <c r="H6045" s="109"/>
      <c r="I6045" s="109"/>
      <c r="J6045" s="109"/>
      <c r="W6045" s="109"/>
    </row>
    <row r="6046" spans="1:23" ht="12.75" hidden="1">
      <c r="A6046" s="109"/>
      <c r="B6046" s="109"/>
      <c r="C6046" s="109"/>
      <c r="D6046" s="109"/>
      <c r="E6046" s="109"/>
      <c r="F6046" s="109"/>
      <c r="G6046" s="109"/>
      <c r="H6046" s="109"/>
      <c r="I6046" s="109"/>
      <c r="J6046" s="109"/>
      <c r="W6046" s="109"/>
    </row>
    <row r="6047" spans="1:23" ht="12.75" hidden="1">
      <c r="A6047" s="109"/>
      <c r="B6047" s="109"/>
      <c r="C6047" s="109"/>
      <c r="D6047" s="109"/>
      <c r="E6047" s="109"/>
      <c r="F6047" s="109"/>
      <c r="G6047" s="109"/>
      <c r="H6047" s="109"/>
      <c r="I6047" s="109"/>
      <c r="J6047" s="109"/>
      <c r="W6047" s="109"/>
    </row>
    <row r="6048" spans="1:23" ht="12.75" hidden="1">
      <c r="A6048" s="109"/>
      <c r="B6048" s="109"/>
      <c r="C6048" s="109"/>
      <c r="D6048" s="109"/>
      <c r="E6048" s="109"/>
      <c r="F6048" s="109"/>
      <c r="G6048" s="109"/>
      <c r="H6048" s="109"/>
      <c r="I6048" s="109"/>
      <c r="J6048" s="109"/>
      <c r="W6048" s="109"/>
    </row>
    <row r="6049" spans="1:23" ht="12.75" hidden="1">
      <c r="A6049" s="109"/>
      <c r="B6049" s="109"/>
      <c r="C6049" s="109"/>
      <c r="D6049" s="109"/>
      <c r="E6049" s="109"/>
      <c r="F6049" s="109"/>
      <c r="G6049" s="109"/>
      <c r="H6049" s="109"/>
      <c r="I6049" s="109"/>
      <c r="J6049" s="109"/>
      <c r="W6049" s="109"/>
    </row>
    <row r="6050" spans="1:23" ht="12.75" hidden="1">
      <c r="A6050" s="109"/>
      <c r="B6050" s="109"/>
      <c r="C6050" s="109"/>
      <c r="D6050" s="109"/>
      <c r="E6050" s="109"/>
      <c r="F6050" s="109"/>
      <c r="G6050" s="109"/>
      <c r="H6050" s="109"/>
      <c r="I6050" s="109"/>
      <c r="J6050" s="109"/>
      <c r="W6050" s="109"/>
    </row>
    <row r="6051" spans="1:23" ht="12.75" hidden="1">
      <c r="A6051" s="109"/>
      <c r="B6051" s="109"/>
      <c r="C6051" s="109"/>
      <c r="D6051" s="109"/>
      <c r="E6051" s="109"/>
      <c r="F6051" s="109"/>
      <c r="G6051" s="109"/>
      <c r="H6051" s="109"/>
      <c r="I6051" s="109"/>
      <c r="J6051" s="109"/>
      <c r="W6051" s="109"/>
    </row>
    <row r="6052" spans="1:23" ht="12.75" hidden="1">
      <c r="A6052" s="109"/>
      <c r="B6052" s="109"/>
      <c r="C6052" s="109"/>
      <c r="D6052" s="109"/>
      <c r="E6052" s="109"/>
      <c r="F6052" s="109"/>
      <c r="G6052" s="109"/>
      <c r="H6052" s="109"/>
      <c r="I6052" s="109"/>
      <c r="J6052" s="109"/>
      <c r="W6052" s="109"/>
    </row>
    <row r="6053" spans="1:23" ht="12.75" hidden="1">
      <c r="A6053" s="109"/>
      <c r="B6053" s="109"/>
      <c r="C6053" s="109"/>
      <c r="D6053" s="109"/>
      <c r="E6053" s="109"/>
      <c r="F6053" s="109"/>
      <c r="G6053" s="109"/>
      <c r="H6053" s="109"/>
      <c r="I6053" s="109"/>
      <c r="J6053" s="109"/>
      <c r="W6053" s="109"/>
    </row>
    <row r="6054" spans="1:23" ht="12.75" hidden="1">
      <c r="A6054" s="109"/>
      <c r="B6054" s="109"/>
      <c r="C6054" s="109"/>
      <c r="D6054" s="109"/>
      <c r="E6054" s="109"/>
      <c r="F6054" s="109"/>
      <c r="G6054" s="109"/>
      <c r="H6054" s="109"/>
      <c r="I6054" s="109"/>
      <c r="J6054" s="109"/>
      <c r="W6054" s="109"/>
    </row>
    <row r="6055" spans="1:23" ht="12.75" hidden="1">
      <c r="A6055" s="109"/>
      <c r="B6055" s="109"/>
      <c r="C6055" s="109"/>
      <c r="D6055" s="109"/>
      <c r="E6055" s="109"/>
      <c r="F6055" s="109"/>
      <c r="G6055" s="109"/>
      <c r="H6055" s="109"/>
      <c r="I6055" s="109"/>
      <c r="J6055" s="109"/>
      <c r="W6055" s="109"/>
    </row>
    <row r="6056" spans="1:23" ht="12.75" hidden="1">
      <c r="A6056" s="109"/>
      <c r="B6056" s="109"/>
      <c r="C6056" s="109"/>
      <c r="D6056" s="109"/>
      <c r="E6056" s="109"/>
      <c r="F6056" s="109"/>
      <c r="G6056" s="109"/>
      <c r="H6056" s="109"/>
      <c r="I6056" s="109"/>
      <c r="J6056" s="109"/>
      <c r="W6056" s="109"/>
    </row>
    <row r="6057" spans="1:23" ht="12.75" hidden="1">
      <c r="A6057" s="109"/>
      <c r="B6057" s="109"/>
      <c r="C6057" s="109"/>
      <c r="D6057" s="109"/>
      <c r="E6057" s="109"/>
      <c r="F6057" s="109"/>
      <c r="G6057" s="109"/>
      <c r="H6057" s="109"/>
      <c r="I6057" s="109"/>
      <c r="J6057" s="109"/>
      <c r="W6057" s="109"/>
    </row>
    <row r="6058" spans="1:23" ht="12.75" hidden="1">
      <c r="A6058" s="109"/>
      <c r="B6058" s="109"/>
      <c r="C6058" s="109"/>
      <c r="D6058" s="109"/>
      <c r="E6058" s="109"/>
      <c r="F6058" s="109"/>
      <c r="G6058" s="109"/>
      <c r="H6058" s="109"/>
      <c r="I6058" s="109"/>
      <c r="J6058" s="109"/>
      <c r="W6058" s="109"/>
    </row>
    <row r="6059" spans="1:23" ht="12.75" hidden="1">
      <c r="A6059" s="109"/>
      <c r="B6059" s="109"/>
      <c r="C6059" s="109"/>
      <c r="D6059" s="109"/>
      <c r="E6059" s="109"/>
      <c r="F6059" s="109"/>
      <c r="G6059" s="109"/>
      <c r="H6059" s="109"/>
      <c r="I6059" s="109"/>
      <c r="J6059" s="109"/>
      <c r="W6059" s="109"/>
    </row>
    <row r="6060" spans="1:23" ht="12.75" hidden="1">
      <c r="A6060" s="109"/>
      <c r="B6060" s="109"/>
      <c r="C6060" s="109"/>
      <c r="D6060" s="109"/>
      <c r="E6060" s="109"/>
      <c r="F6060" s="109"/>
      <c r="G6060" s="109"/>
      <c r="H6060" s="109"/>
      <c r="I6060" s="109"/>
      <c r="J6060" s="109"/>
      <c r="W6060" s="109"/>
    </row>
    <row r="6061" spans="1:23" ht="12.75" hidden="1">
      <c r="A6061" s="109"/>
      <c r="B6061" s="109"/>
      <c r="C6061" s="109"/>
      <c r="D6061" s="109"/>
      <c r="E6061" s="109"/>
      <c r="F6061" s="109"/>
      <c r="G6061" s="109"/>
      <c r="H6061" s="109"/>
      <c r="I6061" s="109"/>
      <c r="J6061" s="109"/>
      <c r="W6061" s="109"/>
    </row>
    <row r="6062" spans="1:23" ht="12.75" hidden="1">
      <c r="A6062" s="109"/>
      <c r="B6062" s="109"/>
      <c r="C6062" s="109"/>
      <c r="D6062" s="109"/>
      <c r="E6062" s="109"/>
      <c r="F6062" s="109"/>
      <c r="G6062" s="109"/>
      <c r="H6062" s="109"/>
      <c r="I6062" s="109"/>
      <c r="J6062" s="109"/>
      <c r="W6062" s="109"/>
    </row>
    <row r="6063" spans="1:23" ht="12.75" hidden="1">
      <c r="A6063" s="109"/>
      <c r="B6063" s="109"/>
      <c r="C6063" s="109"/>
      <c r="D6063" s="109"/>
      <c r="E6063" s="109"/>
      <c r="F6063" s="109"/>
      <c r="G6063" s="109"/>
      <c r="H6063" s="109"/>
      <c r="I6063" s="109"/>
      <c r="J6063" s="109"/>
      <c r="W6063" s="109"/>
    </row>
    <row r="6064" spans="1:23" ht="12.75" hidden="1">
      <c r="A6064" s="109"/>
      <c r="B6064" s="109"/>
      <c r="C6064" s="109"/>
      <c r="D6064" s="109"/>
      <c r="E6064" s="109"/>
      <c r="F6064" s="109"/>
      <c r="G6064" s="109"/>
      <c r="H6064" s="109"/>
      <c r="I6064" s="109"/>
      <c r="J6064" s="109"/>
      <c r="W6064" s="109"/>
    </row>
    <row r="6065" spans="1:23" ht="12.75" hidden="1">
      <c r="A6065" s="109"/>
      <c r="B6065" s="109"/>
      <c r="C6065" s="109"/>
      <c r="D6065" s="109"/>
      <c r="E6065" s="109"/>
      <c r="F6065" s="109"/>
      <c r="G6065" s="109"/>
      <c r="H6065" s="109"/>
      <c r="I6065" s="109"/>
      <c r="J6065" s="109"/>
      <c r="W6065" s="109"/>
    </row>
    <row r="6066" spans="1:23" ht="12.75" hidden="1">
      <c r="A6066" s="109"/>
      <c r="B6066" s="109"/>
      <c r="C6066" s="109"/>
      <c r="D6066" s="109"/>
      <c r="E6066" s="109"/>
      <c r="F6066" s="109"/>
      <c r="G6066" s="109"/>
      <c r="H6066" s="109"/>
      <c r="I6066" s="109"/>
      <c r="J6066" s="109"/>
      <c r="W6066" s="109"/>
    </row>
    <row r="6067" spans="1:23" ht="12.75" hidden="1">
      <c r="A6067" s="109"/>
      <c r="B6067" s="109"/>
      <c r="C6067" s="109"/>
      <c r="D6067" s="109"/>
      <c r="E6067" s="109"/>
      <c r="F6067" s="109"/>
      <c r="G6067" s="109"/>
      <c r="H6067" s="109"/>
      <c r="I6067" s="109"/>
      <c r="J6067" s="109"/>
      <c r="W6067" s="109"/>
    </row>
    <row r="6068" spans="1:23" ht="12.75" hidden="1">
      <c r="A6068" s="109"/>
      <c r="B6068" s="109"/>
      <c r="C6068" s="109"/>
      <c r="D6068" s="109"/>
      <c r="E6068" s="109"/>
      <c r="F6068" s="109"/>
      <c r="G6068" s="109"/>
      <c r="H6068" s="109"/>
      <c r="I6068" s="109"/>
      <c r="J6068" s="109"/>
      <c r="W6068" s="109"/>
    </row>
    <row r="6069" spans="1:23" ht="12.75" hidden="1">
      <c r="A6069" s="109"/>
      <c r="B6069" s="109"/>
      <c r="C6069" s="109"/>
      <c r="D6069" s="109"/>
      <c r="E6069" s="109"/>
      <c r="F6069" s="109"/>
      <c r="G6069" s="109"/>
      <c r="H6069" s="109"/>
      <c r="I6069" s="109"/>
      <c r="J6069" s="109"/>
      <c r="W6069" s="109"/>
    </row>
    <row r="6070" spans="1:23" ht="12.75" hidden="1">
      <c r="A6070" s="109"/>
      <c r="B6070" s="109"/>
      <c r="C6070" s="109"/>
      <c r="D6070" s="109"/>
      <c r="E6070" s="109"/>
      <c r="F6070" s="109"/>
      <c r="G6070" s="109"/>
      <c r="H6070" s="109"/>
      <c r="I6070" s="109"/>
      <c r="J6070" s="109"/>
      <c r="W6070" s="109"/>
    </row>
    <row r="6071" spans="1:23" ht="12.75" hidden="1">
      <c r="A6071" s="109"/>
      <c r="B6071" s="109"/>
      <c r="C6071" s="109"/>
      <c r="D6071" s="109"/>
      <c r="E6071" s="109"/>
      <c r="F6071" s="109"/>
      <c r="G6071" s="109"/>
      <c r="H6071" s="109"/>
      <c r="I6071" s="109"/>
      <c r="J6071" s="109"/>
      <c r="W6071" s="109"/>
    </row>
    <row r="6072" spans="1:23" ht="12.75" hidden="1">
      <c r="A6072" s="109"/>
      <c r="B6072" s="109"/>
      <c r="C6072" s="109"/>
      <c r="D6072" s="109"/>
      <c r="E6072" s="109"/>
      <c r="F6072" s="109"/>
      <c r="G6072" s="109"/>
      <c r="H6072" s="109"/>
      <c r="I6072" s="109"/>
      <c r="J6072" s="109"/>
      <c r="W6072" s="109"/>
    </row>
    <row r="6073" spans="1:23" ht="12.75" hidden="1">
      <c r="A6073" s="109"/>
      <c r="B6073" s="109"/>
      <c r="C6073" s="109"/>
      <c r="D6073" s="109"/>
      <c r="E6073" s="109"/>
      <c r="F6073" s="109"/>
      <c r="G6073" s="109"/>
      <c r="H6073" s="109"/>
      <c r="I6073" s="109"/>
      <c r="J6073" s="109"/>
      <c r="W6073" s="109"/>
    </row>
    <row r="6074" spans="1:23" ht="12.75" hidden="1">
      <c r="A6074" s="109"/>
      <c r="B6074" s="109"/>
      <c r="C6074" s="109"/>
      <c r="D6074" s="109"/>
      <c r="E6074" s="109"/>
      <c r="F6074" s="109"/>
      <c r="G6074" s="109"/>
      <c r="H6074" s="109"/>
      <c r="I6074" s="109"/>
      <c r="J6074" s="109"/>
      <c r="W6074" s="109"/>
    </row>
    <row r="6075" spans="1:23" ht="12.75" hidden="1">
      <c r="A6075" s="109"/>
      <c r="B6075" s="109"/>
      <c r="C6075" s="109"/>
      <c r="D6075" s="109"/>
      <c r="E6075" s="109"/>
      <c r="F6075" s="109"/>
      <c r="G6075" s="109"/>
      <c r="H6075" s="109"/>
      <c r="I6075" s="109"/>
      <c r="J6075" s="109"/>
      <c r="W6075" s="109"/>
    </row>
    <row r="6076" spans="1:23" ht="12.75" hidden="1">
      <c r="A6076" s="109"/>
      <c r="B6076" s="109"/>
      <c r="C6076" s="109"/>
      <c r="D6076" s="109"/>
      <c r="E6076" s="109"/>
      <c r="F6076" s="109"/>
      <c r="G6076" s="109"/>
      <c r="H6076" s="109"/>
      <c r="I6076" s="109"/>
      <c r="J6076" s="109"/>
      <c r="W6076" s="109"/>
    </row>
    <row r="6077" spans="1:23" ht="12.75" hidden="1">
      <c r="A6077" s="109"/>
      <c r="B6077" s="109"/>
      <c r="C6077" s="109"/>
      <c r="D6077" s="109"/>
      <c r="E6077" s="109"/>
      <c r="F6077" s="109"/>
      <c r="G6077" s="109"/>
      <c r="H6077" s="109"/>
      <c r="I6077" s="109"/>
      <c r="J6077" s="109"/>
      <c r="W6077" s="109"/>
    </row>
    <row r="6078" spans="1:23" ht="12.75" hidden="1">
      <c r="A6078" s="109"/>
      <c r="B6078" s="109"/>
      <c r="C6078" s="109"/>
      <c r="D6078" s="109"/>
      <c r="E6078" s="109"/>
      <c r="F6078" s="109"/>
      <c r="G6078" s="109"/>
      <c r="H6078" s="109"/>
      <c r="I6078" s="109"/>
      <c r="J6078" s="109"/>
      <c r="W6078" s="109"/>
    </row>
    <row r="6079" spans="1:23" ht="12.75" hidden="1">
      <c r="A6079" s="109"/>
      <c r="B6079" s="109"/>
      <c r="C6079" s="109"/>
      <c r="D6079" s="109"/>
      <c r="E6079" s="109"/>
      <c r="F6079" s="109"/>
      <c r="G6079" s="109"/>
      <c r="H6079" s="109"/>
      <c r="I6079" s="109"/>
      <c r="J6079" s="109"/>
      <c r="W6079" s="109"/>
    </row>
    <row r="6080" spans="1:23" ht="12.75" hidden="1">
      <c r="A6080" s="109"/>
      <c r="B6080" s="109"/>
      <c r="C6080" s="109"/>
      <c r="D6080" s="109"/>
      <c r="E6080" s="109"/>
      <c r="F6080" s="109"/>
      <c r="G6080" s="109"/>
      <c r="H6080" s="109"/>
      <c r="I6080" s="109"/>
      <c r="J6080" s="109"/>
      <c r="W6080" s="109"/>
    </row>
    <row r="6081" spans="1:23" ht="12.75" hidden="1">
      <c r="A6081" s="109"/>
      <c r="B6081" s="109"/>
      <c r="C6081" s="109"/>
      <c r="D6081" s="109"/>
      <c r="E6081" s="109"/>
      <c r="F6081" s="109"/>
      <c r="G6081" s="109"/>
      <c r="H6081" s="109"/>
      <c r="I6081" s="109"/>
      <c r="J6081" s="109"/>
      <c r="W6081" s="109"/>
    </row>
    <row r="6082" spans="1:23" ht="12.75" hidden="1">
      <c r="A6082" s="109"/>
      <c r="B6082" s="109"/>
      <c r="C6082" s="109"/>
      <c r="D6082" s="109"/>
      <c r="E6082" s="109"/>
      <c r="F6082" s="109"/>
      <c r="G6082" s="109"/>
      <c r="H6082" s="109"/>
      <c r="I6082" s="109"/>
      <c r="J6082" s="109"/>
      <c r="W6082" s="109"/>
    </row>
    <row r="6083" spans="1:23" ht="12.75" hidden="1">
      <c r="A6083" s="109"/>
      <c r="B6083" s="109"/>
      <c r="C6083" s="109"/>
      <c r="D6083" s="109"/>
      <c r="E6083" s="109"/>
      <c r="F6083" s="109"/>
      <c r="G6083" s="109"/>
      <c r="H6083" s="109"/>
      <c r="I6083" s="109"/>
      <c r="J6083" s="109"/>
      <c r="W6083" s="109"/>
    </row>
    <row r="6084" spans="1:23" ht="12.75" hidden="1">
      <c r="A6084" s="109"/>
      <c r="B6084" s="109"/>
      <c r="C6084" s="109"/>
      <c r="D6084" s="109"/>
      <c r="E6084" s="109"/>
      <c r="F6084" s="109"/>
      <c r="G6084" s="109"/>
      <c r="H6084" s="109"/>
      <c r="I6084" s="109"/>
      <c r="J6084" s="109"/>
      <c r="W6084" s="109"/>
    </row>
    <row r="6085" spans="1:23" ht="12.75" hidden="1">
      <c r="A6085" s="109"/>
      <c r="B6085" s="109"/>
      <c r="C6085" s="109"/>
      <c r="D6085" s="109"/>
      <c r="E6085" s="109"/>
      <c r="F6085" s="109"/>
      <c r="G6085" s="109"/>
      <c r="H6085" s="109"/>
      <c r="I6085" s="109"/>
      <c r="J6085" s="109"/>
      <c r="W6085" s="109"/>
    </row>
    <row r="6086" spans="1:23" ht="12.75" hidden="1">
      <c r="A6086" s="109"/>
      <c r="B6086" s="109"/>
      <c r="C6086" s="109"/>
      <c r="D6086" s="109"/>
      <c r="E6086" s="109"/>
      <c r="F6086" s="109"/>
      <c r="G6086" s="109"/>
      <c r="H6086" s="109"/>
      <c r="I6086" s="109"/>
      <c r="J6086" s="109"/>
      <c r="W6086" s="109"/>
    </row>
    <row r="6087" spans="1:23" ht="12.75" hidden="1">
      <c r="A6087" s="109"/>
      <c r="B6087" s="109"/>
      <c r="C6087" s="109"/>
      <c r="D6087" s="109"/>
      <c r="E6087" s="109"/>
      <c r="F6087" s="109"/>
      <c r="G6087" s="109"/>
      <c r="H6087" s="109"/>
      <c r="I6087" s="109"/>
      <c r="J6087" s="109"/>
      <c r="W6087" s="109"/>
    </row>
    <row r="6088" spans="1:23" ht="12.75" hidden="1">
      <c r="A6088" s="109"/>
      <c r="B6088" s="109"/>
      <c r="C6088" s="109"/>
      <c r="D6088" s="109"/>
      <c r="E6088" s="109"/>
      <c r="F6088" s="109"/>
      <c r="G6088" s="109"/>
      <c r="H6088" s="109"/>
      <c r="I6088" s="109"/>
      <c r="J6088" s="109"/>
      <c r="W6088" s="109"/>
    </row>
    <row r="6089" spans="1:23" ht="12.75" hidden="1">
      <c r="A6089" s="109"/>
      <c r="B6089" s="109"/>
      <c r="C6089" s="109"/>
      <c r="D6089" s="109"/>
      <c r="E6089" s="109"/>
      <c r="F6089" s="109"/>
      <c r="G6089" s="109"/>
      <c r="H6089" s="109"/>
      <c r="I6089" s="109"/>
      <c r="J6089" s="109"/>
      <c r="W6089" s="109"/>
    </row>
    <row r="6090" spans="1:23" ht="12.75" hidden="1">
      <c r="A6090" s="109"/>
      <c r="B6090" s="109"/>
      <c r="C6090" s="109"/>
      <c r="D6090" s="109"/>
      <c r="E6090" s="109"/>
      <c r="F6090" s="109"/>
      <c r="G6090" s="109"/>
      <c r="H6090" s="109"/>
      <c r="I6090" s="109"/>
      <c r="J6090" s="109"/>
      <c r="W6090" s="109"/>
    </row>
    <row r="6091" spans="1:23" ht="12.75" hidden="1">
      <c r="A6091" s="109"/>
      <c r="B6091" s="109"/>
      <c r="C6091" s="109"/>
      <c r="D6091" s="109"/>
      <c r="E6091" s="109"/>
      <c r="F6091" s="109"/>
      <c r="G6091" s="109"/>
      <c r="H6091" s="109"/>
      <c r="I6091" s="109"/>
      <c r="J6091" s="109"/>
      <c r="W6091" s="109"/>
    </row>
    <row r="6092" spans="1:23" ht="12.75" hidden="1">
      <c r="A6092" s="109"/>
      <c r="B6092" s="109"/>
      <c r="C6092" s="109"/>
      <c r="D6092" s="109"/>
      <c r="E6092" s="109"/>
      <c r="F6092" s="109"/>
      <c r="G6092" s="109"/>
      <c r="H6092" s="109"/>
      <c r="I6092" s="109"/>
      <c r="J6092" s="109"/>
      <c r="W6092" s="109"/>
    </row>
    <row r="6093" spans="1:23" ht="12.75" hidden="1">
      <c r="A6093" s="109"/>
      <c r="B6093" s="109"/>
      <c r="C6093" s="109"/>
      <c r="D6093" s="109"/>
      <c r="E6093" s="109"/>
      <c r="F6093" s="109"/>
      <c r="G6093" s="109"/>
      <c r="H6093" s="109"/>
      <c r="I6093" s="109"/>
      <c r="J6093" s="109"/>
      <c r="W6093" s="109"/>
    </row>
    <row r="6094" spans="1:23" ht="12.75" hidden="1">
      <c r="A6094" s="109"/>
      <c r="B6094" s="109"/>
      <c r="C6094" s="109"/>
      <c r="D6094" s="109"/>
      <c r="E6094" s="109"/>
      <c r="F6094" s="109"/>
      <c r="G6094" s="109"/>
      <c r="H6094" s="109"/>
      <c r="I6094" s="109"/>
      <c r="J6094" s="109"/>
      <c r="W6094" s="109"/>
    </row>
    <row r="6095" spans="1:23" ht="12.75" hidden="1">
      <c r="A6095" s="109"/>
      <c r="B6095" s="109"/>
      <c r="C6095" s="109"/>
      <c r="D6095" s="109"/>
      <c r="E6095" s="109"/>
      <c r="F6095" s="109"/>
      <c r="G6095" s="109"/>
      <c r="H6095" s="109"/>
      <c r="I6095" s="109"/>
      <c r="J6095" s="109"/>
      <c r="W6095" s="109"/>
    </row>
    <row r="6096" spans="1:23" ht="12.75" hidden="1">
      <c r="A6096" s="109"/>
      <c r="B6096" s="109"/>
      <c r="C6096" s="109"/>
      <c r="D6096" s="109"/>
      <c r="E6096" s="109"/>
      <c r="F6096" s="109"/>
      <c r="G6096" s="109"/>
      <c r="H6096" s="109"/>
      <c r="I6096" s="109"/>
      <c r="J6096" s="109"/>
      <c r="W6096" s="109"/>
    </row>
    <row r="6097" spans="1:23" ht="12.75" hidden="1">
      <c r="A6097" s="109"/>
      <c r="B6097" s="109"/>
      <c r="C6097" s="109"/>
      <c r="D6097" s="109"/>
      <c r="E6097" s="109"/>
      <c r="F6097" s="109"/>
      <c r="G6097" s="109"/>
      <c r="H6097" s="109"/>
      <c r="I6097" s="109"/>
      <c r="J6097" s="109"/>
      <c r="W6097" s="109"/>
    </row>
    <row r="6098" spans="1:23" ht="12.75" hidden="1">
      <c r="A6098" s="109"/>
      <c r="B6098" s="109"/>
      <c r="C6098" s="109"/>
      <c r="D6098" s="109"/>
      <c r="E6098" s="109"/>
      <c r="F6098" s="109"/>
      <c r="G6098" s="109"/>
      <c r="H6098" s="109"/>
      <c r="I6098" s="109"/>
      <c r="J6098" s="109"/>
      <c r="W6098" s="109"/>
    </row>
    <row r="6099" spans="1:23" ht="12.75" hidden="1">
      <c r="A6099" s="109"/>
      <c r="B6099" s="109"/>
      <c r="C6099" s="109"/>
      <c r="D6099" s="109"/>
      <c r="E6099" s="109"/>
      <c r="F6099" s="109"/>
      <c r="G6099" s="109"/>
      <c r="H6099" s="109"/>
      <c r="I6099" s="109"/>
      <c r="J6099" s="109"/>
      <c r="W6099" s="109"/>
    </row>
    <row r="6100" spans="1:23" ht="12.75" hidden="1">
      <c r="A6100" s="109"/>
      <c r="B6100" s="109"/>
      <c r="C6100" s="109"/>
      <c r="D6100" s="109"/>
      <c r="E6100" s="109"/>
      <c r="F6100" s="109"/>
      <c r="G6100" s="109"/>
      <c r="H6100" s="109"/>
      <c r="I6100" s="109"/>
      <c r="J6100" s="109"/>
      <c r="W6100" s="109"/>
    </row>
    <row r="6101" spans="1:23" ht="12.75" hidden="1">
      <c r="A6101" s="109"/>
      <c r="B6101" s="109"/>
      <c r="C6101" s="109"/>
      <c r="D6101" s="109"/>
      <c r="E6101" s="109"/>
      <c r="F6101" s="109"/>
      <c r="G6101" s="109"/>
      <c r="H6101" s="109"/>
      <c r="I6101" s="109"/>
      <c r="J6101" s="109"/>
      <c r="W6101" s="109"/>
    </row>
    <row r="6102" spans="1:23" ht="12.75" hidden="1">
      <c r="A6102" s="109"/>
      <c r="B6102" s="109"/>
      <c r="C6102" s="109"/>
      <c r="D6102" s="109"/>
      <c r="E6102" s="109"/>
      <c r="F6102" s="109"/>
      <c r="G6102" s="109"/>
      <c r="H6102" s="109"/>
      <c r="I6102" s="109"/>
      <c r="J6102" s="109"/>
      <c r="W6102" s="109"/>
    </row>
    <row r="6103" spans="1:23" ht="12.75" hidden="1">
      <c r="A6103" s="109"/>
      <c r="B6103" s="109"/>
      <c r="C6103" s="109"/>
      <c r="D6103" s="109"/>
      <c r="E6103" s="109"/>
      <c r="F6103" s="109"/>
      <c r="G6103" s="109"/>
      <c r="H6103" s="109"/>
      <c r="I6103" s="109"/>
      <c r="J6103" s="109"/>
      <c r="W6103" s="109"/>
    </row>
    <row r="6104" spans="1:23" ht="12.75" hidden="1">
      <c r="A6104" s="109"/>
      <c r="B6104" s="109"/>
      <c r="C6104" s="109"/>
      <c r="D6104" s="109"/>
      <c r="E6104" s="109"/>
      <c r="F6104" s="109"/>
      <c r="G6104" s="109"/>
      <c r="H6104" s="109"/>
      <c r="I6104" s="109"/>
      <c r="J6104" s="109"/>
      <c r="W6104" s="109"/>
    </row>
    <row r="6105" spans="1:23" ht="12.75" hidden="1">
      <c r="A6105" s="109"/>
      <c r="B6105" s="109"/>
      <c r="C6105" s="109"/>
      <c r="D6105" s="109"/>
      <c r="E6105" s="109"/>
      <c r="F6105" s="109"/>
      <c r="G6105" s="109"/>
      <c r="H6105" s="109"/>
      <c r="I6105" s="109"/>
      <c r="J6105" s="109"/>
      <c r="W6105" s="109"/>
    </row>
    <row r="6106" spans="1:23" ht="12.75" hidden="1">
      <c r="A6106" s="109"/>
      <c r="B6106" s="109"/>
      <c r="C6106" s="109"/>
      <c r="D6106" s="109"/>
      <c r="E6106" s="109"/>
      <c r="F6106" s="109"/>
      <c r="G6106" s="109"/>
      <c r="H6106" s="109"/>
      <c r="I6106" s="109"/>
      <c r="J6106" s="109"/>
      <c r="W6106" s="109"/>
    </row>
    <row r="6107" spans="1:23" ht="12.75" hidden="1">
      <c r="A6107" s="109"/>
      <c r="B6107" s="109"/>
      <c r="C6107" s="109"/>
      <c r="D6107" s="109"/>
      <c r="E6107" s="109"/>
      <c r="F6107" s="109"/>
      <c r="G6107" s="109"/>
      <c r="H6107" s="109"/>
      <c r="I6107" s="109"/>
      <c r="J6107" s="109"/>
      <c r="W6107" s="109"/>
    </row>
    <row r="6108" spans="1:23" ht="12.75" hidden="1">
      <c r="A6108" s="109"/>
      <c r="B6108" s="109"/>
      <c r="C6108" s="109"/>
      <c r="D6108" s="109"/>
      <c r="E6108" s="109"/>
      <c r="F6108" s="109"/>
      <c r="G6108" s="109"/>
      <c r="H6108" s="109"/>
      <c r="I6108" s="109"/>
      <c r="J6108" s="109"/>
      <c r="W6108" s="109"/>
    </row>
    <row r="6109" spans="1:23" ht="12.75" hidden="1">
      <c r="A6109" s="109"/>
      <c r="B6109" s="109"/>
      <c r="C6109" s="109"/>
      <c r="D6109" s="109"/>
      <c r="E6109" s="109"/>
      <c r="F6109" s="109"/>
      <c r="G6109" s="109"/>
      <c r="H6109" s="109"/>
      <c r="I6109" s="109"/>
      <c r="J6109" s="109"/>
      <c r="W6109" s="109"/>
    </row>
    <row r="6110" spans="1:23" ht="12.75" hidden="1">
      <c r="A6110" s="109"/>
      <c r="B6110" s="109"/>
      <c r="C6110" s="109"/>
      <c r="D6110" s="109"/>
      <c r="E6110" s="109"/>
      <c r="F6110" s="109"/>
      <c r="G6110" s="109"/>
      <c r="H6110" s="109"/>
      <c r="I6110" s="109"/>
      <c r="J6110" s="109"/>
      <c r="W6110" s="109"/>
    </row>
    <row r="6111" spans="1:23" ht="12.75" hidden="1">
      <c r="A6111" s="109"/>
      <c r="B6111" s="109"/>
      <c r="C6111" s="109"/>
      <c r="D6111" s="109"/>
      <c r="E6111" s="109"/>
      <c r="F6111" s="109"/>
      <c r="G6111" s="109"/>
      <c r="H6111" s="109"/>
      <c r="I6111" s="109"/>
      <c r="J6111" s="109"/>
      <c r="W6111" s="109"/>
    </row>
    <row r="6112" spans="1:23" ht="12.75" hidden="1">
      <c r="A6112" s="109"/>
      <c r="B6112" s="109"/>
      <c r="C6112" s="109"/>
      <c r="D6112" s="109"/>
      <c r="E6112" s="109"/>
      <c r="F6112" s="109"/>
      <c r="G6112" s="109"/>
      <c r="H6112" s="109"/>
      <c r="I6112" s="109"/>
      <c r="J6112" s="109"/>
      <c r="W6112" s="109"/>
    </row>
    <row r="6113" spans="1:23" ht="12.75" hidden="1">
      <c r="A6113" s="109"/>
      <c r="B6113" s="109"/>
      <c r="C6113" s="109"/>
      <c r="D6113" s="109"/>
      <c r="E6113" s="109"/>
      <c r="F6113" s="109"/>
      <c r="G6113" s="109"/>
      <c r="H6113" s="109"/>
      <c r="I6113" s="109"/>
      <c r="J6113" s="109"/>
      <c r="W6113" s="109"/>
    </row>
    <row r="6114" spans="1:23" ht="12.75" hidden="1">
      <c r="A6114" s="109"/>
      <c r="B6114" s="109"/>
      <c r="C6114" s="109"/>
      <c r="D6114" s="109"/>
      <c r="E6114" s="109"/>
      <c r="F6114" s="109"/>
      <c r="G6114" s="109"/>
      <c r="H6114" s="109"/>
      <c r="I6114" s="109"/>
      <c r="J6114" s="109"/>
      <c r="W6114" s="109"/>
    </row>
    <row r="6115" spans="1:23" ht="12.75" hidden="1">
      <c r="A6115" s="109"/>
      <c r="B6115" s="109"/>
      <c r="C6115" s="109"/>
      <c r="D6115" s="109"/>
      <c r="E6115" s="109"/>
      <c r="F6115" s="109"/>
      <c r="G6115" s="109"/>
      <c r="H6115" s="109"/>
      <c r="I6115" s="109"/>
      <c r="J6115" s="109"/>
      <c r="W6115" s="109"/>
    </row>
    <row r="6116" spans="1:23" ht="12.75" hidden="1">
      <c r="A6116" s="109"/>
      <c r="B6116" s="109"/>
      <c r="C6116" s="109"/>
      <c r="D6116" s="109"/>
      <c r="E6116" s="109"/>
      <c r="F6116" s="109"/>
      <c r="G6116" s="109"/>
      <c r="H6116" s="109"/>
      <c r="I6116" s="109"/>
      <c r="J6116" s="109"/>
      <c r="W6116" s="109"/>
    </row>
    <row r="6117" spans="1:23" ht="12.75" hidden="1">
      <c r="A6117" s="109"/>
      <c r="B6117" s="109"/>
      <c r="C6117" s="109"/>
      <c r="D6117" s="109"/>
      <c r="E6117" s="109"/>
      <c r="F6117" s="109"/>
      <c r="G6117" s="109"/>
      <c r="H6117" s="109"/>
      <c r="I6117" s="109"/>
      <c r="J6117" s="109"/>
      <c r="W6117" s="109"/>
    </row>
    <row r="6118" spans="1:23" ht="12.75" hidden="1">
      <c r="A6118" s="109"/>
      <c r="B6118" s="109"/>
      <c r="C6118" s="109"/>
      <c r="D6118" s="109"/>
      <c r="E6118" s="109"/>
      <c r="F6118" s="109"/>
      <c r="G6118" s="109"/>
      <c r="H6118" s="109"/>
      <c r="I6118" s="109"/>
      <c r="J6118" s="109"/>
      <c r="W6118" s="109"/>
    </row>
    <row r="6119" spans="1:23" ht="12.75" hidden="1">
      <c r="A6119" s="109"/>
      <c r="B6119" s="109"/>
      <c r="C6119" s="109"/>
      <c r="D6119" s="109"/>
      <c r="E6119" s="109"/>
      <c r="F6119" s="109"/>
      <c r="G6119" s="109"/>
      <c r="H6119" s="109"/>
      <c r="I6119" s="109"/>
      <c r="J6119" s="109"/>
      <c r="W6119" s="109"/>
    </row>
    <row r="6120" spans="1:23" ht="12.75" hidden="1">
      <c r="A6120" s="109"/>
      <c r="B6120" s="109"/>
      <c r="C6120" s="109"/>
      <c r="D6120" s="109"/>
      <c r="E6120" s="109"/>
      <c r="F6120" s="109"/>
      <c r="G6120" s="109"/>
      <c r="H6120" s="109"/>
      <c r="I6120" s="109"/>
      <c r="J6120" s="109"/>
      <c r="W6120" s="109"/>
    </row>
    <row r="6121" spans="1:23" ht="12.75" hidden="1">
      <c r="A6121" s="109"/>
      <c r="B6121" s="109"/>
      <c r="C6121" s="109"/>
      <c r="D6121" s="109"/>
      <c r="E6121" s="109"/>
      <c r="F6121" s="109"/>
      <c r="G6121" s="109"/>
      <c r="H6121" s="109"/>
      <c r="I6121" s="109"/>
      <c r="J6121" s="109"/>
      <c r="W6121" s="109"/>
    </row>
    <row r="6122" spans="1:23" ht="12.75" hidden="1">
      <c r="A6122" s="109"/>
      <c r="B6122" s="109"/>
      <c r="C6122" s="109"/>
      <c r="D6122" s="109"/>
      <c r="E6122" s="109"/>
      <c r="F6122" s="109"/>
      <c r="G6122" s="109"/>
      <c r="H6122" s="109"/>
      <c r="I6122" s="109"/>
      <c r="J6122" s="109"/>
      <c r="W6122" s="109"/>
    </row>
    <row r="6123" spans="1:23" ht="12.75" hidden="1">
      <c r="A6123" s="109"/>
      <c r="B6123" s="109"/>
      <c r="C6123" s="109"/>
      <c r="D6123" s="109"/>
      <c r="E6123" s="109"/>
      <c r="F6123" s="109"/>
      <c r="G6123" s="109"/>
      <c r="H6123" s="109"/>
      <c r="I6123" s="109"/>
      <c r="J6123" s="109"/>
      <c r="W6123" s="109"/>
    </row>
    <row r="6124" spans="1:23" ht="12.75" hidden="1">
      <c r="A6124" s="109"/>
      <c r="B6124" s="109"/>
      <c r="C6124" s="109"/>
      <c r="D6124" s="109"/>
      <c r="E6124" s="109"/>
      <c r="F6124" s="109"/>
      <c r="G6124" s="109"/>
      <c r="H6124" s="109"/>
      <c r="I6124" s="109"/>
      <c r="J6124" s="109"/>
      <c r="W6124" s="109"/>
    </row>
    <row r="6125" spans="1:23" ht="12.75" hidden="1">
      <c r="A6125" s="109"/>
      <c r="B6125" s="109"/>
      <c r="C6125" s="109"/>
      <c r="D6125" s="109"/>
      <c r="E6125" s="109"/>
      <c r="F6125" s="109"/>
      <c r="G6125" s="109"/>
      <c r="H6125" s="109"/>
      <c r="I6125" s="109"/>
      <c r="J6125" s="109"/>
      <c r="W6125" s="109"/>
    </row>
    <row r="6126" spans="1:23" ht="12.75" hidden="1">
      <c r="A6126" s="109"/>
      <c r="B6126" s="109"/>
      <c r="C6126" s="109"/>
      <c r="D6126" s="109"/>
      <c r="E6126" s="109"/>
      <c r="F6126" s="109"/>
      <c r="G6126" s="109"/>
      <c r="H6126" s="109"/>
      <c r="I6126" s="109"/>
      <c r="J6126" s="109"/>
      <c r="W6126" s="109"/>
    </row>
    <row r="6127" spans="1:23" ht="12.75" hidden="1">
      <c r="A6127" s="109"/>
      <c r="B6127" s="109"/>
      <c r="C6127" s="109"/>
      <c r="D6127" s="109"/>
      <c r="E6127" s="109"/>
      <c r="F6127" s="109"/>
      <c r="G6127" s="109"/>
      <c r="H6127" s="109"/>
      <c r="I6127" s="109"/>
      <c r="J6127" s="109"/>
      <c r="W6127" s="109"/>
    </row>
    <row r="6128" spans="1:23" ht="12.75" hidden="1">
      <c r="A6128" s="109"/>
      <c r="B6128" s="109"/>
      <c r="C6128" s="109"/>
      <c r="D6128" s="109"/>
      <c r="E6128" s="109"/>
      <c r="F6128" s="109"/>
      <c r="G6128" s="109"/>
      <c r="H6128" s="109"/>
      <c r="I6128" s="109"/>
      <c r="J6128" s="109"/>
      <c r="W6128" s="109"/>
    </row>
    <row r="6129" spans="1:23" ht="12.75" hidden="1">
      <c r="A6129" s="109"/>
      <c r="B6129" s="109"/>
      <c r="C6129" s="109"/>
      <c r="D6129" s="109"/>
      <c r="E6129" s="109"/>
      <c r="F6129" s="109"/>
      <c r="G6129" s="109"/>
      <c r="H6129" s="109"/>
      <c r="I6129" s="109"/>
      <c r="J6129" s="109"/>
      <c r="W6129" s="109"/>
    </row>
    <row r="6130" spans="1:23" ht="12.75" hidden="1">
      <c r="A6130" s="109"/>
      <c r="B6130" s="109"/>
      <c r="C6130" s="109"/>
      <c r="D6130" s="109"/>
      <c r="E6130" s="109"/>
      <c r="F6130" s="109"/>
      <c r="G6130" s="109"/>
      <c r="H6130" s="109"/>
      <c r="I6130" s="109"/>
      <c r="J6130" s="109"/>
      <c r="W6130" s="109"/>
    </row>
    <row r="6131" spans="1:23" ht="12.75" hidden="1">
      <c r="A6131" s="109"/>
      <c r="B6131" s="109"/>
      <c r="C6131" s="109"/>
      <c r="D6131" s="109"/>
      <c r="E6131" s="109"/>
      <c r="F6131" s="109"/>
      <c r="G6131" s="109"/>
      <c r="H6131" s="109"/>
      <c r="I6131" s="109"/>
      <c r="J6131" s="109"/>
      <c r="W6131" s="109"/>
    </row>
    <row r="6132" spans="1:23" ht="12.75" hidden="1">
      <c r="A6132" s="109"/>
      <c r="B6132" s="109"/>
      <c r="C6132" s="109"/>
      <c r="D6132" s="109"/>
      <c r="E6132" s="109"/>
      <c r="F6132" s="109"/>
      <c r="G6132" s="109"/>
      <c r="H6132" s="109"/>
      <c r="I6132" s="109"/>
      <c r="J6132" s="109"/>
      <c r="W6132" s="109"/>
    </row>
    <row r="6133" spans="1:23" ht="12.75" hidden="1">
      <c r="A6133" s="109"/>
      <c r="B6133" s="109"/>
      <c r="C6133" s="109"/>
      <c r="D6133" s="109"/>
      <c r="E6133" s="109"/>
      <c r="F6133" s="109"/>
      <c r="G6133" s="109"/>
      <c r="H6133" s="109"/>
      <c r="I6133" s="109"/>
      <c r="J6133" s="109"/>
      <c r="W6133" s="109"/>
    </row>
    <row r="6134" spans="1:23" ht="12.75" hidden="1">
      <c r="A6134" s="109"/>
      <c r="B6134" s="109"/>
      <c r="C6134" s="109"/>
      <c r="D6134" s="109"/>
      <c r="E6134" s="109"/>
      <c r="F6134" s="109"/>
      <c r="G6134" s="109"/>
      <c r="H6134" s="109"/>
      <c r="I6134" s="109"/>
      <c r="J6134" s="109"/>
      <c r="W6134" s="109"/>
    </row>
    <row r="6135" spans="1:23" ht="12.75" hidden="1">
      <c r="A6135" s="109"/>
      <c r="B6135" s="109"/>
      <c r="C6135" s="109"/>
      <c r="D6135" s="109"/>
      <c r="E6135" s="109"/>
      <c r="F6135" s="109"/>
      <c r="G6135" s="109"/>
      <c r="H6135" s="109"/>
      <c r="I6135" s="109"/>
      <c r="J6135" s="109"/>
      <c r="W6135" s="109"/>
    </row>
    <row r="6136" spans="1:23" ht="12.75" hidden="1">
      <c r="A6136" s="109"/>
      <c r="B6136" s="109"/>
      <c r="C6136" s="109"/>
      <c r="D6136" s="109"/>
      <c r="E6136" s="109"/>
      <c r="F6136" s="109"/>
      <c r="G6136" s="109"/>
      <c r="H6136" s="109"/>
      <c r="I6136" s="109"/>
      <c r="J6136" s="109"/>
      <c r="W6136" s="109"/>
    </row>
    <row r="6137" spans="1:23" ht="12.75" hidden="1">
      <c r="A6137" s="109"/>
      <c r="B6137" s="109"/>
      <c r="C6137" s="109"/>
      <c r="D6137" s="109"/>
      <c r="E6137" s="109"/>
      <c r="F6137" s="109"/>
      <c r="G6137" s="109"/>
      <c r="H6137" s="109"/>
      <c r="I6137" s="109"/>
      <c r="J6137" s="109"/>
      <c r="W6137" s="109"/>
    </row>
    <row r="6138" spans="1:23" ht="12.75" hidden="1">
      <c r="A6138" s="109"/>
      <c r="B6138" s="109"/>
      <c r="C6138" s="109"/>
      <c r="D6138" s="109"/>
      <c r="E6138" s="109"/>
      <c r="F6138" s="109"/>
      <c r="G6138" s="109"/>
      <c r="H6138" s="109"/>
      <c r="I6138" s="109"/>
      <c r="J6138" s="109"/>
      <c r="W6138" s="109"/>
    </row>
    <row r="6139" spans="1:23" ht="12.75" hidden="1">
      <c r="A6139" s="109"/>
      <c r="B6139" s="109"/>
      <c r="C6139" s="109"/>
      <c r="D6139" s="109"/>
      <c r="E6139" s="109"/>
      <c r="F6139" s="109"/>
      <c r="G6139" s="109"/>
      <c r="H6139" s="109"/>
      <c r="I6139" s="109"/>
      <c r="J6139" s="109"/>
      <c r="W6139" s="109"/>
    </row>
    <row r="6140" spans="1:23" ht="12.75" hidden="1">
      <c r="A6140" s="109"/>
      <c r="B6140" s="109"/>
      <c r="C6140" s="109"/>
      <c r="D6140" s="109"/>
      <c r="E6140" s="109"/>
      <c r="F6140" s="109"/>
      <c r="G6140" s="109"/>
      <c r="H6140" s="109"/>
      <c r="I6140" s="109"/>
      <c r="J6140" s="109"/>
      <c r="W6140" s="109"/>
    </row>
    <row r="6141" spans="1:23" ht="12.75" hidden="1">
      <c r="A6141" s="109"/>
      <c r="B6141" s="109"/>
      <c r="C6141" s="109"/>
      <c r="D6141" s="109"/>
      <c r="E6141" s="109"/>
      <c r="F6141" s="109"/>
      <c r="G6141" s="109"/>
      <c r="H6141" s="109"/>
      <c r="I6141" s="109"/>
      <c r="J6141" s="109"/>
      <c r="W6141" s="109"/>
    </row>
    <row r="6142" spans="1:23" ht="12.75" hidden="1">
      <c r="A6142" s="109"/>
      <c r="B6142" s="109"/>
      <c r="C6142" s="109"/>
      <c r="D6142" s="109"/>
      <c r="E6142" s="109"/>
      <c r="F6142" s="109"/>
      <c r="G6142" s="109"/>
      <c r="H6142" s="109"/>
      <c r="I6142" s="109"/>
      <c r="J6142" s="109"/>
      <c r="W6142" s="109"/>
    </row>
    <row r="6143" spans="1:23" ht="12.75" hidden="1">
      <c r="A6143" s="109"/>
      <c r="B6143" s="109"/>
      <c r="C6143" s="109"/>
      <c r="D6143" s="109"/>
      <c r="E6143" s="109"/>
      <c r="F6143" s="109"/>
      <c r="G6143" s="109"/>
      <c r="H6143" s="109"/>
      <c r="I6143" s="109"/>
      <c r="J6143" s="109"/>
      <c r="W6143" s="109"/>
    </row>
    <row r="6144" spans="1:23" ht="12.75" hidden="1">
      <c r="A6144" s="109"/>
      <c r="B6144" s="109"/>
      <c r="C6144" s="109"/>
      <c r="D6144" s="109"/>
      <c r="E6144" s="109"/>
      <c r="F6144" s="109"/>
      <c r="G6144" s="109"/>
      <c r="H6144" s="109"/>
      <c r="I6144" s="109"/>
      <c r="J6144" s="109"/>
      <c r="W6144" s="109"/>
    </row>
    <row r="6145" spans="1:23" ht="12.75" hidden="1">
      <c r="A6145" s="109"/>
      <c r="B6145" s="109"/>
      <c r="C6145" s="109"/>
      <c r="D6145" s="109"/>
      <c r="E6145" s="109"/>
      <c r="F6145" s="109"/>
      <c r="G6145" s="109"/>
      <c r="H6145" s="109"/>
      <c r="I6145" s="109"/>
      <c r="J6145" s="109"/>
      <c r="W6145" s="109"/>
    </row>
    <row r="6146" spans="1:23" ht="12.75" hidden="1">
      <c r="A6146" s="109"/>
      <c r="B6146" s="109"/>
      <c r="C6146" s="109"/>
      <c r="D6146" s="109"/>
      <c r="E6146" s="109"/>
      <c r="F6146" s="109"/>
      <c r="G6146" s="109"/>
      <c r="H6146" s="109"/>
      <c r="I6146" s="109"/>
      <c r="J6146" s="109"/>
      <c r="W6146" s="109"/>
    </row>
    <row r="6147" spans="1:23" ht="12.75" hidden="1">
      <c r="A6147" s="109"/>
      <c r="B6147" s="109"/>
      <c r="C6147" s="109"/>
      <c r="D6147" s="109"/>
      <c r="E6147" s="109"/>
      <c r="F6147" s="109"/>
      <c r="G6147" s="109"/>
      <c r="H6147" s="109"/>
      <c r="I6147" s="109"/>
      <c r="J6147" s="109"/>
      <c r="W6147" s="109"/>
    </row>
    <row r="6148" spans="1:23" ht="12.75" hidden="1">
      <c r="A6148" s="109"/>
      <c r="B6148" s="109"/>
      <c r="C6148" s="109"/>
      <c r="D6148" s="109"/>
      <c r="E6148" s="109"/>
      <c r="F6148" s="109"/>
      <c r="G6148" s="109"/>
      <c r="H6148" s="109"/>
      <c r="I6148" s="109"/>
      <c r="J6148" s="109"/>
      <c r="W6148" s="109"/>
    </row>
    <row r="6149" spans="1:23" ht="12.75" hidden="1">
      <c r="A6149" s="109"/>
      <c r="B6149" s="109"/>
      <c r="C6149" s="109"/>
      <c r="D6149" s="109"/>
      <c r="E6149" s="109"/>
      <c r="F6149" s="109"/>
      <c r="G6149" s="109"/>
      <c r="H6149" s="109"/>
      <c r="I6149" s="109"/>
      <c r="J6149" s="109"/>
      <c r="W6149" s="109"/>
    </row>
    <row r="6150" spans="1:23" ht="12.75" hidden="1">
      <c r="A6150" s="109"/>
      <c r="B6150" s="109"/>
      <c r="C6150" s="109"/>
      <c r="D6150" s="109"/>
      <c r="E6150" s="109"/>
      <c r="F6150" s="109"/>
      <c r="G6150" s="109"/>
      <c r="H6150" s="109"/>
      <c r="I6150" s="109"/>
      <c r="J6150" s="109"/>
      <c r="W6150" s="109"/>
    </row>
    <row r="6151" spans="1:23" ht="12.75" hidden="1">
      <c r="A6151" s="109"/>
      <c r="B6151" s="109"/>
      <c r="C6151" s="109"/>
      <c r="D6151" s="109"/>
      <c r="E6151" s="109"/>
      <c r="F6151" s="109"/>
      <c r="G6151" s="109"/>
      <c r="H6151" s="109"/>
      <c r="I6151" s="109"/>
      <c r="J6151" s="109"/>
      <c r="W6151" s="109"/>
    </row>
    <row r="6152" spans="1:23" ht="12.75" hidden="1">
      <c r="A6152" s="109"/>
      <c r="B6152" s="109"/>
      <c r="C6152" s="109"/>
      <c r="D6152" s="109"/>
      <c r="E6152" s="109"/>
      <c r="F6152" s="109"/>
      <c r="G6152" s="109"/>
      <c r="H6152" s="109"/>
      <c r="I6152" s="109"/>
      <c r="J6152" s="109"/>
      <c r="W6152" s="109"/>
    </row>
    <row r="6153" spans="1:23" ht="12.75" hidden="1">
      <c r="A6153" s="109"/>
      <c r="B6153" s="109"/>
      <c r="C6153" s="109"/>
      <c r="D6153" s="109"/>
      <c r="E6153" s="109"/>
      <c r="F6153" s="109"/>
      <c r="G6153" s="109"/>
      <c r="H6153" s="109"/>
      <c r="I6153" s="109"/>
      <c r="J6153" s="109"/>
      <c r="W6153" s="109"/>
    </row>
    <row r="6154" spans="1:23" ht="12.75" hidden="1">
      <c r="A6154" s="109"/>
      <c r="B6154" s="109"/>
      <c r="C6154" s="109"/>
      <c r="D6154" s="109"/>
      <c r="E6154" s="109"/>
      <c r="F6154" s="109"/>
      <c r="G6154" s="109"/>
      <c r="H6154" s="109"/>
      <c r="I6154" s="109"/>
      <c r="J6154" s="109"/>
      <c r="W6154" s="109"/>
    </row>
    <row r="6155" spans="1:23" ht="12.75" hidden="1">
      <c r="A6155" s="109"/>
      <c r="B6155" s="109"/>
      <c r="C6155" s="109"/>
      <c r="D6155" s="109"/>
      <c r="E6155" s="109"/>
      <c r="F6155" s="109"/>
      <c r="G6155" s="109"/>
      <c r="H6155" s="109"/>
      <c r="I6155" s="109"/>
      <c r="J6155" s="109"/>
      <c r="W6155" s="109"/>
    </row>
    <row r="6156" spans="1:23" ht="12.75" hidden="1">
      <c r="A6156" s="109"/>
      <c r="B6156" s="109"/>
      <c r="C6156" s="109"/>
      <c r="D6156" s="109"/>
      <c r="E6156" s="109"/>
      <c r="F6156" s="109"/>
      <c r="G6156" s="109"/>
      <c r="H6156" s="109"/>
      <c r="I6156" s="109"/>
      <c r="J6156" s="109"/>
      <c r="W6156" s="109"/>
    </row>
    <row r="6157" spans="1:23" ht="12.75" hidden="1">
      <c r="A6157" s="109"/>
      <c r="B6157" s="109"/>
      <c r="C6157" s="109"/>
      <c r="D6157" s="109"/>
      <c r="E6157" s="109"/>
      <c r="F6157" s="109"/>
      <c r="G6157" s="109"/>
      <c r="H6157" s="109"/>
      <c r="I6157" s="109"/>
      <c r="J6157" s="109"/>
      <c r="W6157" s="109"/>
    </row>
    <row r="6158" spans="1:23" ht="12.75" hidden="1">
      <c r="A6158" s="109"/>
      <c r="B6158" s="109"/>
      <c r="C6158" s="109"/>
      <c r="D6158" s="109"/>
      <c r="E6158" s="109"/>
      <c r="F6158" s="109"/>
      <c r="G6158" s="109"/>
      <c r="H6158" s="109"/>
      <c r="I6158" s="109"/>
      <c r="J6158" s="109"/>
      <c r="W6158" s="109"/>
    </row>
    <row r="6159" spans="1:23" ht="12.75" hidden="1">
      <c r="A6159" s="109"/>
      <c r="B6159" s="109"/>
      <c r="C6159" s="109"/>
      <c r="D6159" s="109"/>
      <c r="E6159" s="109"/>
      <c r="F6159" s="109"/>
      <c r="G6159" s="109"/>
      <c r="H6159" s="109"/>
      <c r="I6159" s="109"/>
      <c r="J6159" s="109"/>
      <c r="W6159" s="109"/>
    </row>
    <row r="6160" spans="1:23" ht="12.75" hidden="1">
      <c r="A6160" s="109"/>
      <c r="B6160" s="109"/>
      <c r="C6160" s="109"/>
      <c r="D6160" s="109"/>
      <c r="E6160" s="109"/>
      <c r="F6160" s="109"/>
      <c r="G6160" s="109"/>
      <c r="H6160" s="109"/>
      <c r="I6160" s="109"/>
      <c r="J6160" s="109"/>
      <c r="W6160" s="109"/>
    </row>
    <row r="6161" spans="1:23" ht="12.75" hidden="1">
      <c r="A6161" s="109"/>
      <c r="B6161" s="109"/>
      <c r="C6161" s="109"/>
      <c r="D6161" s="109"/>
      <c r="E6161" s="109"/>
      <c r="F6161" s="109"/>
      <c r="G6161" s="109"/>
      <c r="H6161" s="109"/>
      <c r="I6161" s="109"/>
      <c r="J6161" s="109"/>
      <c r="W6161" s="109"/>
    </row>
    <row r="6162" spans="1:23" ht="12.75" hidden="1">
      <c r="A6162" s="109"/>
      <c r="B6162" s="109"/>
      <c r="C6162" s="109"/>
      <c r="D6162" s="109"/>
      <c r="E6162" s="109"/>
      <c r="F6162" s="109"/>
      <c r="G6162" s="109"/>
      <c r="H6162" s="109"/>
      <c r="I6162" s="109"/>
      <c r="J6162" s="109"/>
      <c r="W6162" s="109"/>
    </row>
    <row r="6163" spans="1:23" ht="12.75" hidden="1">
      <c r="A6163" s="109"/>
      <c r="B6163" s="109"/>
      <c r="C6163" s="109"/>
      <c r="D6163" s="109"/>
      <c r="E6163" s="109"/>
      <c r="F6163" s="109"/>
      <c r="G6163" s="109"/>
      <c r="H6163" s="109"/>
      <c r="I6163" s="109"/>
      <c r="J6163" s="109"/>
      <c r="W6163" s="109"/>
    </row>
    <row r="6164" spans="1:23" ht="12.75" hidden="1">
      <c r="A6164" s="109"/>
      <c r="B6164" s="109"/>
      <c r="C6164" s="109"/>
      <c r="D6164" s="109"/>
      <c r="E6164" s="109"/>
      <c r="F6164" s="109"/>
      <c r="G6164" s="109"/>
      <c r="H6164" s="109"/>
      <c r="I6164" s="109"/>
      <c r="J6164" s="109"/>
      <c r="W6164" s="109"/>
    </row>
    <row r="6165" spans="1:23" ht="12.75" hidden="1">
      <c r="A6165" s="109"/>
      <c r="B6165" s="109"/>
      <c r="C6165" s="109"/>
      <c r="D6165" s="109"/>
      <c r="E6165" s="109"/>
      <c r="F6165" s="109"/>
      <c r="G6165" s="109"/>
      <c r="H6165" s="109"/>
      <c r="I6165" s="109"/>
      <c r="J6165" s="109"/>
      <c r="W6165" s="109"/>
    </row>
    <row r="6166" spans="1:23" ht="12.75" hidden="1">
      <c r="A6166" s="109"/>
      <c r="B6166" s="109"/>
      <c r="C6166" s="109"/>
      <c r="D6166" s="109"/>
      <c r="E6166" s="109"/>
      <c r="F6166" s="109"/>
      <c r="G6166" s="109"/>
      <c r="H6166" s="109"/>
      <c r="I6166" s="109"/>
      <c r="J6166" s="109"/>
      <c r="W6166" s="109"/>
    </row>
    <row r="6167" spans="1:23" ht="12.75" hidden="1">
      <c r="A6167" s="109"/>
      <c r="B6167" s="109"/>
      <c r="C6167" s="109"/>
      <c r="D6167" s="109"/>
      <c r="E6167" s="109"/>
      <c r="F6167" s="109"/>
      <c r="G6167" s="109"/>
      <c r="H6167" s="109"/>
      <c r="I6167" s="109"/>
      <c r="J6167" s="109"/>
      <c r="W6167" s="109"/>
    </row>
    <row r="6168" spans="1:23" ht="12.75" hidden="1">
      <c r="A6168" s="109"/>
      <c r="B6168" s="109"/>
      <c r="C6168" s="109"/>
      <c r="D6168" s="109"/>
      <c r="E6168" s="109"/>
      <c r="F6168" s="109"/>
      <c r="G6168" s="109"/>
      <c r="H6168" s="109"/>
      <c r="I6168" s="109"/>
      <c r="J6168" s="109"/>
      <c r="W6168" s="109"/>
    </row>
    <row r="6169" spans="1:23" ht="12.75" hidden="1">
      <c r="A6169" s="109"/>
      <c r="B6169" s="109"/>
      <c r="C6169" s="109"/>
      <c r="D6169" s="109"/>
      <c r="E6169" s="109"/>
      <c r="F6169" s="109"/>
      <c r="G6169" s="109"/>
      <c r="H6169" s="109"/>
      <c r="I6169" s="109"/>
      <c r="J6169" s="109"/>
      <c r="W6169" s="109"/>
    </row>
    <row r="6170" spans="1:23" ht="12.75" hidden="1">
      <c r="A6170" s="109"/>
      <c r="B6170" s="109"/>
      <c r="C6170" s="109"/>
      <c r="D6170" s="109"/>
      <c r="E6170" s="109"/>
      <c r="F6170" s="109"/>
      <c r="G6170" s="109"/>
      <c r="H6170" s="109"/>
      <c r="I6170" s="109"/>
      <c r="J6170" s="109"/>
      <c r="W6170" s="109"/>
    </row>
    <row r="6171" spans="1:23" ht="12.75" hidden="1">
      <c r="A6171" s="109"/>
      <c r="B6171" s="109"/>
      <c r="C6171" s="109"/>
      <c r="D6171" s="109"/>
      <c r="E6171" s="109"/>
      <c r="F6171" s="109"/>
      <c r="G6171" s="109"/>
      <c r="H6171" s="109"/>
      <c r="I6171" s="109"/>
      <c r="J6171" s="109"/>
      <c r="W6171" s="109"/>
    </row>
    <row r="6172" spans="1:23" ht="12.75" hidden="1">
      <c r="A6172" s="109"/>
      <c r="B6172" s="109"/>
      <c r="C6172" s="109"/>
      <c r="D6172" s="109"/>
      <c r="E6172" s="109"/>
      <c r="F6172" s="109"/>
      <c r="G6172" s="109"/>
      <c r="H6172" s="109"/>
      <c r="I6172" s="109"/>
      <c r="J6172" s="109"/>
      <c r="W6172" s="109"/>
    </row>
    <row r="6173" spans="1:23" ht="12.75" hidden="1">
      <c r="A6173" s="109"/>
      <c r="B6173" s="109"/>
      <c r="C6173" s="109"/>
      <c r="D6173" s="109"/>
      <c r="E6173" s="109"/>
      <c r="F6173" s="109"/>
      <c r="G6173" s="109"/>
      <c r="H6173" s="109"/>
      <c r="I6173" s="109"/>
      <c r="J6173" s="109"/>
      <c r="W6173" s="109"/>
    </row>
    <row r="6174" spans="1:23" ht="12.75" hidden="1">
      <c r="A6174" s="109"/>
      <c r="B6174" s="109"/>
      <c r="C6174" s="109"/>
      <c r="D6174" s="109"/>
      <c r="E6174" s="109"/>
      <c r="F6174" s="109"/>
      <c r="G6174" s="109"/>
      <c r="H6174" s="109"/>
      <c r="I6174" s="109"/>
      <c r="J6174" s="109"/>
      <c r="W6174" s="109"/>
    </row>
    <row r="6175" spans="1:23" ht="12.75" hidden="1">
      <c r="A6175" s="109"/>
      <c r="B6175" s="109"/>
      <c r="C6175" s="109"/>
      <c r="D6175" s="109"/>
      <c r="E6175" s="109"/>
      <c r="F6175" s="109"/>
      <c r="G6175" s="109"/>
      <c r="H6175" s="109"/>
      <c r="I6175" s="109"/>
      <c r="J6175" s="109"/>
      <c r="W6175" s="109"/>
    </row>
    <row r="6176" spans="1:23" ht="12.75" hidden="1">
      <c r="A6176" s="109"/>
      <c r="B6176" s="109"/>
      <c r="C6176" s="109"/>
      <c r="D6176" s="109"/>
      <c r="E6176" s="109"/>
      <c r="F6176" s="109"/>
      <c r="G6176" s="109"/>
      <c r="H6176" s="109"/>
      <c r="I6176" s="109"/>
      <c r="J6176" s="109"/>
      <c r="W6176" s="109"/>
    </row>
    <row r="6177" spans="1:23" ht="12.75" hidden="1">
      <c r="A6177" s="109"/>
      <c r="B6177" s="109"/>
      <c r="C6177" s="109"/>
      <c r="D6177" s="109"/>
      <c r="E6177" s="109"/>
      <c r="F6177" s="109"/>
      <c r="G6177" s="109"/>
      <c r="H6177" s="109"/>
      <c r="I6177" s="109"/>
      <c r="J6177" s="109"/>
      <c r="W6177" s="109"/>
    </row>
    <row r="6178" spans="1:23" ht="12.75" hidden="1">
      <c r="A6178" s="109"/>
      <c r="B6178" s="109"/>
      <c r="C6178" s="109"/>
      <c r="D6178" s="109"/>
      <c r="E6178" s="109"/>
      <c r="F6178" s="109"/>
      <c r="G6178" s="109"/>
      <c r="H6178" s="109"/>
      <c r="I6178" s="109"/>
      <c r="J6178" s="109"/>
      <c r="W6178" s="109"/>
    </row>
    <row r="6179" spans="1:23" ht="12.75" hidden="1">
      <c r="A6179" s="109"/>
      <c r="B6179" s="109"/>
      <c r="C6179" s="109"/>
      <c r="D6179" s="109"/>
      <c r="E6179" s="109"/>
      <c r="F6179" s="109"/>
      <c r="G6179" s="109"/>
      <c r="H6179" s="109"/>
      <c r="I6179" s="109"/>
      <c r="J6179" s="109"/>
      <c r="W6179" s="109"/>
    </row>
    <row r="6180" spans="1:23" ht="12.75" hidden="1">
      <c r="A6180" s="109"/>
      <c r="B6180" s="109"/>
      <c r="C6180" s="109"/>
      <c r="D6180" s="109"/>
      <c r="E6180" s="109"/>
      <c r="F6180" s="109"/>
      <c r="G6180" s="109"/>
      <c r="H6180" s="109"/>
      <c r="I6180" s="109"/>
      <c r="J6180" s="109"/>
      <c r="W6180" s="109"/>
    </row>
    <row r="6181" spans="1:23" ht="12.75" hidden="1">
      <c r="A6181" s="109"/>
      <c r="B6181" s="109"/>
      <c r="C6181" s="109"/>
      <c r="D6181" s="109"/>
      <c r="E6181" s="109"/>
      <c r="F6181" s="109"/>
      <c r="G6181" s="109"/>
      <c r="H6181" s="109"/>
      <c r="I6181" s="109"/>
      <c r="J6181" s="109"/>
      <c r="W6181" s="109"/>
    </row>
    <row r="6182" spans="1:23" ht="12.75" hidden="1">
      <c r="A6182" s="109"/>
      <c r="B6182" s="109"/>
      <c r="C6182" s="109"/>
      <c r="D6182" s="109"/>
      <c r="E6182" s="109"/>
      <c r="F6182" s="109"/>
      <c r="G6182" s="109"/>
      <c r="H6182" s="109"/>
      <c r="I6182" s="109"/>
      <c r="J6182" s="109"/>
      <c r="W6182" s="109"/>
    </row>
    <row r="6183" spans="1:23" ht="12.75" hidden="1">
      <c r="A6183" s="109"/>
      <c r="B6183" s="109"/>
      <c r="C6183" s="109"/>
      <c r="D6183" s="109"/>
      <c r="E6183" s="109"/>
      <c r="F6183" s="109"/>
      <c r="G6183" s="109"/>
      <c r="H6183" s="109"/>
      <c r="I6183" s="109"/>
      <c r="J6183" s="109"/>
      <c r="W6183" s="109"/>
    </row>
    <row r="6184" spans="1:23" ht="12.75" hidden="1">
      <c r="A6184" s="109"/>
      <c r="B6184" s="109"/>
      <c r="C6184" s="109"/>
      <c r="D6184" s="109"/>
      <c r="E6184" s="109"/>
      <c r="F6184" s="109"/>
      <c r="G6184" s="109"/>
      <c r="H6184" s="109"/>
      <c r="I6184" s="109"/>
      <c r="J6184" s="109"/>
      <c r="W6184" s="109"/>
    </row>
    <row r="6185" spans="1:23" ht="12.75" hidden="1">
      <c r="A6185" s="109"/>
      <c r="B6185" s="109"/>
      <c r="C6185" s="109"/>
      <c r="D6185" s="109"/>
      <c r="E6185" s="109"/>
      <c r="F6185" s="109"/>
      <c r="G6185" s="109"/>
      <c r="H6185" s="109"/>
      <c r="I6185" s="109"/>
      <c r="J6185" s="109"/>
      <c r="W6185" s="109"/>
    </row>
    <row r="6186" spans="1:23" ht="12.75" hidden="1">
      <c r="A6186" s="109"/>
      <c r="B6186" s="109"/>
      <c r="C6186" s="109"/>
      <c r="D6186" s="109"/>
      <c r="E6186" s="109"/>
      <c r="F6186" s="109"/>
      <c r="G6186" s="109"/>
      <c r="H6186" s="109"/>
      <c r="I6186" s="109"/>
      <c r="J6186" s="109"/>
      <c r="W6186" s="109"/>
    </row>
    <row r="6187" spans="1:23" ht="12.75" hidden="1">
      <c r="A6187" s="109"/>
      <c r="B6187" s="109"/>
      <c r="C6187" s="109"/>
      <c r="D6187" s="109"/>
      <c r="E6187" s="109"/>
      <c r="F6187" s="109"/>
      <c r="G6187" s="109"/>
      <c r="H6187" s="109"/>
      <c r="I6187" s="109"/>
      <c r="J6187" s="109"/>
      <c r="W6187" s="109"/>
    </row>
    <row r="6188" spans="1:23" ht="12.75" hidden="1">
      <c r="A6188" s="109"/>
      <c r="B6188" s="109"/>
      <c r="C6188" s="109"/>
      <c r="D6188" s="109"/>
      <c r="E6188" s="109"/>
      <c r="F6188" s="109"/>
      <c r="G6188" s="109"/>
      <c r="H6188" s="109"/>
      <c r="I6188" s="109"/>
      <c r="J6188" s="109"/>
      <c r="W6188" s="109"/>
    </row>
    <row r="6189" spans="1:23" ht="12.75" hidden="1">
      <c r="A6189" s="109"/>
      <c r="B6189" s="109"/>
      <c r="C6189" s="109"/>
      <c r="D6189" s="109"/>
      <c r="E6189" s="109"/>
      <c r="F6189" s="109"/>
      <c r="G6189" s="109"/>
      <c r="H6189" s="109"/>
      <c r="I6189" s="109"/>
      <c r="J6189" s="109"/>
      <c r="W6189" s="109"/>
    </row>
    <row r="6190" spans="1:23" ht="12.75" hidden="1">
      <c r="A6190" s="109"/>
      <c r="B6190" s="109"/>
      <c r="C6190" s="109"/>
      <c r="D6190" s="109"/>
      <c r="E6190" s="109"/>
      <c r="F6190" s="109"/>
      <c r="G6190" s="109"/>
      <c r="H6190" s="109"/>
      <c r="I6190" s="109"/>
      <c r="J6190" s="109"/>
      <c r="W6190" s="109"/>
    </row>
    <row r="6191" spans="1:23" ht="12.75" hidden="1">
      <c r="A6191" s="109"/>
      <c r="B6191" s="109"/>
      <c r="C6191" s="109"/>
      <c r="D6191" s="109"/>
      <c r="E6191" s="109"/>
      <c r="F6191" s="109"/>
      <c r="G6191" s="109"/>
      <c r="H6191" s="109"/>
      <c r="I6191" s="109"/>
      <c r="J6191" s="109"/>
      <c r="W6191" s="109"/>
    </row>
    <row r="6192" spans="1:23" ht="12.75" hidden="1">
      <c r="A6192" s="109"/>
      <c r="B6192" s="109"/>
      <c r="C6192" s="109"/>
      <c r="D6192" s="109"/>
      <c r="E6192" s="109"/>
      <c r="F6192" s="109"/>
      <c r="G6192" s="109"/>
      <c r="H6192" s="109"/>
      <c r="I6192" s="109"/>
      <c r="J6192" s="109"/>
      <c r="W6192" s="109"/>
    </row>
    <row r="6193" spans="1:23" ht="12.75" hidden="1">
      <c r="A6193" s="109"/>
      <c r="B6193" s="109"/>
      <c r="C6193" s="109"/>
      <c r="D6193" s="109"/>
      <c r="E6193" s="109"/>
      <c r="F6193" s="109"/>
      <c r="G6193" s="109"/>
      <c r="H6193" s="109"/>
      <c r="I6193" s="109"/>
      <c r="J6193" s="109"/>
      <c r="W6193" s="109"/>
    </row>
    <row r="6194" spans="1:23" ht="12.75" hidden="1">
      <c r="A6194" s="109"/>
      <c r="B6194" s="109"/>
      <c r="C6194" s="109"/>
      <c r="D6194" s="109"/>
      <c r="E6194" s="109"/>
      <c r="F6194" s="109"/>
      <c r="G6194" s="109"/>
      <c r="H6194" s="109"/>
      <c r="I6194" s="109"/>
      <c r="J6194" s="109"/>
      <c r="W6194" s="109"/>
    </row>
    <row r="6195" spans="1:23" ht="12.75" hidden="1">
      <c r="A6195" s="109"/>
      <c r="B6195" s="109"/>
      <c r="C6195" s="109"/>
      <c r="D6195" s="109"/>
      <c r="E6195" s="109"/>
      <c r="F6195" s="109"/>
      <c r="G6195" s="109"/>
      <c r="H6195" s="109"/>
      <c r="I6195" s="109"/>
      <c r="J6195" s="109"/>
      <c r="W6195" s="109"/>
    </row>
    <row r="6196" spans="1:23" ht="12.75" hidden="1">
      <c r="A6196" s="109"/>
      <c r="B6196" s="109"/>
      <c r="C6196" s="109"/>
      <c r="D6196" s="109"/>
      <c r="E6196" s="109"/>
      <c r="F6196" s="109"/>
      <c r="G6196" s="109"/>
      <c r="H6196" s="109"/>
      <c r="I6196" s="109"/>
      <c r="J6196" s="109"/>
      <c r="W6196" s="109"/>
    </row>
    <row r="6197" spans="1:23" ht="12.75" hidden="1">
      <c r="A6197" s="109"/>
      <c r="B6197" s="109"/>
      <c r="C6197" s="109"/>
      <c r="D6197" s="109"/>
      <c r="E6197" s="109"/>
      <c r="F6197" s="109"/>
      <c r="G6197" s="109"/>
      <c r="H6197" s="109"/>
      <c r="I6197" s="109"/>
      <c r="J6197" s="109"/>
      <c r="W6197" s="109"/>
    </row>
    <row r="6198" spans="1:23" ht="12.75" hidden="1">
      <c r="A6198" s="109"/>
      <c r="B6198" s="109"/>
      <c r="C6198" s="109"/>
      <c r="D6198" s="109"/>
      <c r="E6198" s="109"/>
      <c r="F6198" s="109"/>
      <c r="G6198" s="109"/>
      <c r="H6198" s="109"/>
      <c r="I6198" s="109"/>
      <c r="J6198" s="109"/>
      <c r="W6198" s="109"/>
    </row>
    <row r="6199" spans="1:23" ht="12.75" hidden="1">
      <c r="A6199" s="109"/>
      <c r="B6199" s="109"/>
      <c r="C6199" s="109"/>
      <c r="D6199" s="109"/>
      <c r="E6199" s="109"/>
      <c r="F6199" s="109"/>
      <c r="G6199" s="109"/>
      <c r="H6199" s="109"/>
      <c r="I6199" s="109"/>
      <c r="J6199" s="109"/>
      <c r="W6199" s="109"/>
    </row>
    <row r="6200" spans="1:23" ht="12.75" hidden="1">
      <c r="A6200" s="109"/>
      <c r="B6200" s="109"/>
      <c r="C6200" s="109"/>
      <c r="D6200" s="109"/>
      <c r="E6200" s="109"/>
      <c r="F6200" s="109"/>
      <c r="G6200" s="109"/>
      <c r="H6200" s="109"/>
      <c r="I6200" s="109"/>
      <c r="J6200" s="109"/>
      <c r="W6200" s="109"/>
    </row>
    <row r="6201" spans="1:23" ht="12.75" hidden="1">
      <c r="A6201" s="109"/>
      <c r="B6201" s="109"/>
      <c r="C6201" s="109"/>
      <c r="D6201" s="109"/>
      <c r="E6201" s="109"/>
      <c r="F6201" s="109"/>
      <c r="G6201" s="109"/>
      <c r="H6201" s="109"/>
      <c r="I6201" s="109"/>
      <c r="J6201" s="109"/>
      <c r="W6201" s="109"/>
    </row>
    <row r="6202" spans="1:23" ht="12.75" hidden="1">
      <c r="A6202" s="109"/>
      <c r="B6202" s="109"/>
      <c r="C6202" s="109"/>
      <c r="D6202" s="109"/>
      <c r="E6202" s="109"/>
      <c r="F6202" s="109"/>
      <c r="G6202" s="109"/>
      <c r="H6202" s="109"/>
      <c r="I6202" s="109"/>
      <c r="J6202" s="109"/>
      <c r="W6202" s="109"/>
    </row>
    <row r="6203" spans="1:23" ht="12.75" hidden="1">
      <c r="A6203" s="109"/>
      <c r="B6203" s="109"/>
      <c r="C6203" s="109"/>
      <c r="D6203" s="109"/>
      <c r="E6203" s="109"/>
      <c r="F6203" s="109"/>
      <c r="G6203" s="109"/>
      <c r="H6203" s="109"/>
      <c r="I6203" s="109"/>
      <c r="J6203" s="109"/>
      <c r="W6203" s="109"/>
    </row>
    <row r="6204" spans="1:23" ht="12.75" hidden="1">
      <c r="A6204" s="109"/>
      <c r="B6204" s="109"/>
      <c r="C6204" s="109"/>
      <c r="D6204" s="109"/>
      <c r="E6204" s="109"/>
      <c r="F6204" s="109"/>
      <c r="G6204" s="109"/>
      <c r="H6204" s="109"/>
      <c r="I6204" s="109"/>
      <c r="J6204" s="109"/>
      <c r="W6204" s="109"/>
    </row>
    <row r="6205" spans="1:23" ht="12.75" hidden="1">
      <c r="A6205" s="109"/>
      <c r="B6205" s="109"/>
      <c r="C6205" s="109"/>
      <c r="D6205" s="109"/>
      <c r="E6205" s="109"/>
      <c r="F6205" s="109"/>
      <c r="G6205" s="109"/>
      <c r="H6205" s="109"/>
      <c r="I6205" s="109"/>
      <c r="J6205" s="109"/>
      <c r="W6205" s="109"/>
    </row>
    <row r="6206" spans="1:23" ht="12.75" hidden="1">
      <c r="A6206" s="109"/>
      <c r="B6206" s="109"/>
      <c r="C6206" s="109"/>
      <c r="D6206" s="109"/>
      <c r="E6206" s="109"/>
      <c r="F6206" s="109"/>
      <c r="G6206" s="109"/>
      <c r="H6206" s="109"/>
      <c r="I6206" s="109"/>
      <c r="J6206" s="109"/>
      <c r="W6206" s="109"/>
    </row>
    <row r="6207" spans="1:23" ht="12.75" hidden="1">
      <c r="A6207" s="109"/>
      <c r="B6207" s="109"/>
      <c r="C6207" s="109"/>
      <c r="D6207" s="109"/>
      <c r="E6207" s="109"/>
      <c r="F6207" s="109"/>
      <c r="G6207" s="109"/>
      <c r="H6207" s="109"/>
      <c r="I6207" s="109"/>
      <c r="J6207" s="109"/>
      <c r="W6207" s="109"/>
    </row>
    <row r="6208" spans="1:23" ht="12.75" hidden="1">
      <c r="A6208" s="109"/>
      <c r="B6208" s="109"/>
      <c r="C6208" s="109"/>
      <c r="D6208" s="109"/>
      <c r="E6208" s="109"/>
      <c r="F6208" s="109"/>
      <c r="G6208" s="109"/>
      <c r="H6208" s="109"/>
      <c r="I6208" s="109"/>
      <c r="J6208" s="109"/>
      <c r="W6208" s="109"/>
    </row>
    <row r="6209" spans="1:23" ht="12.75" hidden="1">
      <c r="A6209" s="109"/>
      <c r="B6209" s="109"/>
      <c r="C6209" s="109"/>
      <c r="D6209" s="109"/>
      <c r="E6209" s="109"/>
      <c r="F6209" s="109"/>
      <c r="G6209" s="109"/>
      <c r="H6209" s="109"/>
      <c r="I6209" s="109"/>
      <c r="J6209" s="109"/>
      <c r="W6209" s="109"/>
    </row>
    <row r="6210" spans="1:23" ht="12.75" hidden="1">
      <c r="A6210" s="109"/>
      <c r="B6210" s="109"/>
      <c r="C6210" s="109"/>
      <c r="D6210" s="109"/>
      <c r="E6210" s="109"/>
      <c r="F6210" s="109"/>
      <c r="G6210" s="109"/>
      <c r="H6210" s="109"/>
      <c r="I6210" s="109"/>
      <c r="J6210" s="109"/>
      <c r="W6210" s="109"/>
    </row>
    <row r="6211" spans="1:23" ht="12.75" hidden="1">
      <c r="A6211" s="109"/>
      <c r="B6211" s="109"/>
      <c r="C6211" s="109"/>
      <c r="D6211" s="109"/>
      <c r="E6211" s="109"/>
      <c r="F6211" s="109"/>
      <c r="G6211" s="109"/>
      <c r="H6211" s="109"/>
      <c r="I6211" s="109"/>
      <c r="J6211" s="109"/>
      <c r="W6211" s="109"/>
    </row>
    <row r="6212" spans="1:23" ht="12.75" hidden="1">
      <c r="A6212" s="109"/>
      <c r="B6212" s="109"/>
      <c r="C6212" s="109"/>
      <c r="D6212" s="109"/>
      <c r="E6212" s="109"/>
      <c r="F6212" s="109"/>
      <c r="G6212" s="109"/>
      <c r="H6212" s="109"/>
      <c r="I6212" s="109"/>
      <c r="J6212" s="109"/>
      <c r="W6212" s="109"/>
    </row>
    <row r="6213" spans="1:23" ht="12.75" hidden="1">
      <c r="A6213" s="109"/>
      <c r="B6213" s="109"/>
      <c r="C6213" s="109"/>
      <c r="D6213" s="109"/>
      <c r="E6213" s="109"/>
      <c r="F6213" s="109"/>
      <c r="G6213" s="109"/>
      <c r="H6213" s="109"/>
      <c r="I6213" s="109"/>
      <c r="J6213" s="109"/>
      <c r="W6213" s="109"/>
    </row>
    <row r="6214" spans="1:23" ht="12.75" hidden="1">
      <c r="A6214" s="109"/>
      <c r="B6214" s="109"/>
      <c r="C6214" s="109"/>
      <c r="D6214" s="109"/>
      <c r="E6214" s="109"/>
      <c r="F6214" s="109"/>
      <c r="G6214" s="109"/>
      <c r="H6214" s="109"/>
      <c r="I6214" s="109"/>
      <c r="J6214" s="109"/>
      <c r="W6214" s="109"/>
    </row>
    <row r="6215" spans="1:23" ht="12.75" hidden="1">
      <c r="A6215" s="109"/>
      <c r="B6215" s="109"/>
      <c r="C6215" s="109"/>
      <c r="D6215" s="109"/>
      <c r="E6215" s="109"/>
      <c r="F6215" s="109"/>
      <c r="G6215" s="109"/>
      <c r="H6215" s="109"/>
      <c r="I6215" s="109"/>
      <c r="J6215" s="109"/>
      <c r="W6215" s="109"/>
    </row>
    <row r="6216" spans="1:23" ht="12.75" hidden="1">
      <c r="A6216" s="109"/>
      <c r="B6216" s="109"/>
      <c r="C6216" s="109"/>
      <c r="D6216" s="109"/>
      <c r="E6216" s="109"/>
      <c r="F6216" s="109"/>
      <c r="G6216" s="109"/>
      <c r="H6216" s="109"/>
      <c r="I6216" s="109"/>
      <c r="J6216" s="109"/>
      <c r="W6216" s="109"/>
    </row>
    <row r="6217" spans="1:23" ht="12.75" hidden="1">
      <c r="A6217" s="109"/>
      <c r="B6217" s="109"/>
      <c r="C6217" s="109"/>
      <c r="D6217" s="109"/>
      <c r="E6217" s="109"/>
      <c r="F6217" s="109"/>
      <c r="G6217" s="109"/>
      <c r="H6217" s="109"/>
      <c r="I6217" s="109"/>
      <c r="J6217" s="109"/>
      <c r="W6217" s="109"/>
    </row>
    <row r="6218" spans="1:23" ht="12.75" hidden="1">
      <c r="A6218" s="109"/>
      <c r="B6218" s="109"/>
      <c r="C6218" s="109"/>
      <c r="D6218" s="109"/>
      <c r="E6218" s="109"/>
      <c r="F6218" s="109"/>
      <c r="G6218" s="109"/>
      <c r="H6218" s="109"/>
      <c r="I6218" s="109"/>
      <c r="J6218" s="109"/>
      <c r="W6218" s="109"/>
    </row>
    <row r="6219" spans="1:23" ht="12.75" hidden="1">
      <c r="A6219" s="109"/>
      <c r="B6219" s="109"/>
      <c r="C6219" s="109"/>
      <c r="D6219" s="109"/>
      <c r="E6219" s="109"/>
      <c r="F6219" s="109"/>
      <c r="G6219" s="109"/>
      <c r="H6219" s="109"/>
      <c r="I6219" s="109"/>
      <c r="J6219" s="109"/>
      <c r="W6219" s="109"/>
    </row>
    <row r="6220" spans="1:23" ht="12.75" hidden="1">
      <c r="A6220" s="109"/>
      <c r="B6220" s="109"/>
      <c r="C6220" s="109"/>
      <c r="D6220" s="109"/>
      <c r="E6220" s="109"/>
      <c r="F6220" s="109"/>
      <c r="G6220" s="109"/>
      <c r="H6220" s="109"/>
      <c r="I6220" s="109"/>
      <c r="J6220" s="109"/>
      <c r="W6220" s="109"/>
    </row>
    <row r="6221" spans="1:23" ht="12.75" hidden="1">
      <c r="A6221" s="109"/>
      <c r="B6221" s="109"/>
      <c r="C6221" s="109"/>
      <c r="D6221" s="109"/>
      <c r="E6221" s="109"/>
      <c r="F6221" s="109"/>
      <c r="G6221" s="109"/>
      <c r="H6221" s="109"/>
      <c r="I6221" s="109"/>
      <c r="J6221" s="109"/>
      <c r="W6221" s="109"/>
    </row>
    <row r="6222" spans="1:23" ht="12.75" hidden="1">
      <c r="A6222" s="109"/>
      <c r="B6222" s="109"/>
      <c r="C6222" s="109"/>
      <c r="D6222" s="109"/>
      <c r="E6222" s="109"/>
      <c r="F6222" s="109"/>
      <c r="G6222" s="109"/>
      <c r="H6222" s="109"/>
      <c r="I6222" s="109"/>
      <c r="J6222" s="109"/>
      <c r="W6222" s="109"/>
    </row>
    <row r="6223" spans="1:23" ht="12.75" hidden="1">
      <c r="A6223" s="109"/>
      <c r="B6223" s="109"/>
      <c r="C6223" s="109"/>
      <c r="D6223" s="109"/>
      <c r="E6223" s="109"/>
      <c r="F6223" s="109"/>
      <c r="G6223" s="109"/>
      <c r="H6223" s="109"/>
      <c r="I6223" s="109"/>
      <c r="J6223" s="109"/>
      <c r="W6223" s="109"/>
    </row>
    <row r="6224" spans="1:23" ht="12.75" hidden="1">
      <c r="A6224" s="109"/>
      <c r="B6224" s="109"/>
      <c r="C6224" s="109"/>
      <c r="D6224" s="109"/>
      <c r="E6224" s="109"/>
      <c r="F6224" s="109"/>
      <c r="G6224" s="109"/>
      <c r="H6224" s="109"/>
      <c r="I6224" s="109"/>
      <c r="J6224" s="109"/>
      <c r="W6224" s="109"/>
    </row>
    <row r="6225" spans="1:23" ht="12.75" hidden="1">
      <c r="A6225" s="109"/>
      <c r="B6225" s="109"/>
      <c r="C6225" s="109"/>
      <c r="D6225" s="109"/>
      <c r="E6225" s="109"/>
      <c r="F6225" s="109"/>
      <c r="G6225" s="109"/>
      <c r="H6225" s="109"/>
      <c r="I6225" s="109"/>
      <c r="J6225" s="109"/>
      <c r="W6225" s="109"/>
    </row>
    <row r="6226" spans="1:23" ht="12.75" hidden="1">
      <c r="A6226" s="109"/>
      <c r="B6226" s="109"/>
      <c r="C6226" s="109"/>
      <c r="D6226" s="109"/>
      <c r="E6226" s="109"/>
      <c r="F6226" s="109"/>
      <c r="G6226" s="109"/>
      <c r="H6226" s="109"/>
      <c r="I6226" s="109"/>
      <c r="J6226" s="109"/>
      <c r="W6226" s="109"/>
    </row>
    <row r="6227" spans="1:23" ht="12.75" hidden="1">
      <c r="A6227" s="109"/>
      <c r="B6227" s="109"/>
      <c r="C6227" s="109"/>
      <c r="D6227" s="109"/>
      <c r="E6227" s="109"/>
      <c r="F6227" s="109"/>
      <c r="G6227" s="109"/>
      <c r="H6227" s="109"/>
      <c r="I6227" s="109"/>
      <c r="J6227" s="109"/>
      <c r="W6227" s="109"/>
    </row>
    <row r="6228" spans="1:23" ht="12.75" hidden="1">
      <c r="A6228" s="109"/>
      <c r="B6228" s="109"/>
      <c r="C6228" s="109"/>
      <c r="D6228" s="109"/>
      <c r="E6228" s="109"/>
      <c r="F6228" s="109"/>
      <c r="G6228" s="109"/>
      <c r="H6228" s="109"/>
      <c r="I6228" s="109"/>
      <c r="J6228" s="109"/>
      <c r="W6228" s="109"/>
    </row>
    <row r="6229" spans="1:23" ht="12.75" hidden="1">
      <c r="A6229" s="109"/>
      <c r="B6229" s="109"/>
      <c r="C6229" s="109"/>
      <c r="D6229" s="109"/>
      <c r="E6229" s="109"/>
      <c r="F6229" s="109"/>
      <c r="G6229" s="109"/>
      <c r="H6229" s="109"/>
      <c r="I6229" s="109"/>
      <c r="J6229" s="109"/>
      <c r="W6229" s="109"/>
    </row>
    <row r="6230" spans="1:23" ht="12.75" hidden="1">
      <c r="A6230" s="109"/>
      <c r="B6230" s="109"/>
      <c r="C6230" s="109"/>
      <c r="D6230" s="109"/>
      <c r="E6230" s="109"/>
      <c r="F6230" s="109"/>
      <c r="G6230" s="109"/>
      <c r="H6230" s="109"/>
      <c r="I6230" s="109"/>
      <c r="J6230" s="109"/>
      <c r="W6230" s="109"/>
    </row>
    <row r="6231" spans="1:23" ht="12.75" hidden="1">
      <c r="A6231" s="109"/>
      <c r="B6231" s="109"/>
      <c r="C6231" s="109"/>
      <c r="D6231" s="109"/>
      <c r="E6231" s="109"/>
      <c r="F6231" s="109"/>
      <c r="G6231" s="109"/>
      <c r="H6231" s="109"/>
      <c r="I6231" s="109"/>
      <c r="J6231" s="109"/>
      <c r="W6231" s="109"/>
    </row>
    <row r="6232" spans="1:23" ht="12.75" hidden="1">
      <c r="A6232" s="109"/>
      <c r="B6232" s="109"/>
      <c r="C6232" s="109"/>
      <c r="D6232" s="109"/>
      <c r="E6232" s="109"/>
      <c r="F6232" s="109"/>
      <c r="G6232" s="109"/>
      <c r="H6232" s="109"/>
      <c r="I6232" s="109"/>
      <c r="J6232" s="109"/>
      <c r="W6232" s="109"/>
    </row>
    <row r="6233" spans="1:23" ht="12.75" hidden="1">
      <c r="A6233" s="109"/>
      <c r="B6233" s="109"/>
      <c r="C6233" s="109"/>
      <c r="D6233" s="109"/>
      <c r="E6233" s="109"/>
      <c r="F6233" s="109"/>
      <c r="G6233" s="109"/>
      <c r="H6233" s="109"/>
      <c r="I6233" s="109"/>
      <c r="J6233" s="109"/>
      <c r="W6233" s="109"/>
    </row>
    <row r="6234" spans="1:23" ht="12.75" hidden="1">
      <c r="A6234" s="109"/>
      <c r="B6234" s="109"/>
      <c r="C6234" s="109"/>
      <c r="D6234" s="109"/>
      <c r="E6234" s="109"/>
      <c r="F6234" s="109"/>
      <c r="G6234" s="109"/>
      <c r="H6234" s="109"/>
      <c r="I6234" s="109"/>
      <c r="J6234" s="109"/>
      <c r="W6234" s="109"/>
    </row>
    <row r="6235" spans="1:23" ht="12.75" hidden="1">
      <c r="A6235" s="109"/>
      <c r="B6235" s="109"/>
      <c r="C6235" s="109"/>
      <c r="D6235" s="109"/>
      <c r="E6235" s="109"/>
      <c r="F6235" s="109"/>
      <c r="G6235" s="109"/>
      <c r="H6235" s="109"/>
      <c r="I6235" s="109"/>
      <c r="J6235" s="109"/>
      <c r="W6235" s="109"/>
    </row>
    <row r="6236" spans="1:23" ht="12.75" hidden="1">
      <c r="A6236" s="109"/>
      <c r="B6236" s="109"/>
      <c r="C6236" s="109"/>
      <c r="D6236" s="109"/>
      <c r="E6236" s="109"/>
      <c r="F6236" s="109"/>
      <c r="G6236" s="109"/>
      <c r="H6236" s="109"/>
      <c r="I6236" s="109"/>
      <c r="J6236" s="109"/>
      <c r="W6236" s="109"/>
    </row>
    <row r="6237" spans="1:23" ht="12.75" hidden="1">
      <c r="A6237" s="109"/>
      <c r="B6237" s="109"/>
      <c r="C6237" s="109"/>
      <c r="D6237" s="109"/>
      <c r="E6237" s="109"/>
      <c r="F6237" s="109"/>
      <c r="G6237" s="109"/>
      <c r="H6237" s="109"/>
      <c r="I6237" s="109"/>
      <c r="J6237" s="109"/>
      <c r="W6237" s="109"/>
    </row>
    <row r="6238" spans="1:23" ht="12.75" hidden="1">
      <c r="A6238" s="109"/>
      <c r="B6238" s="109"/>
      <c r="C6238" s="109"/>
      <c r="D6238" s="109"/>
      <c r="E6238" s="109"/>
      <c r="F6238" s="109"/>
      <c r="G6238" s="109"/>
      <c r="H6238" s="109"/>
      <c r="I6238" s="109"/>
      <c r="J6238" s="109"/>
      <c r="W6238" s="109"/>
    </row>
    <row r="6239" spans="1:23" ht="12.75" hidden="1">
      <c r="A6239" s="109"/>
      <c r="B6239" s="109"/>
      <c r="C6239" s="109"/>
      <c r="D6239" s="109"/>
      <c r="E6239" s="109"/>
      <c r="F6239" s="109"/>
      <c r="G6239" s="109"/>
      <c r="H6239" s="109"/>
      <c r="I6239" s="109"/>
      <c r="J6239" s="109"/>
      <c r="W6239" s="109"/>
    </row>
    <row r="6240" spans="1:23" ht="12.75" hidden="1">
      <c r="A6240" s="109"/>
      <c r="B6240" s="109"/>
      <c r="C6240" s="109"/>
      <c r="D6240" s="109"/>
      <c r="E6240" s="109"/>
      <c r="F6240" s="109"/>
      <c r="G6240" s="109"/>
      <c r="H6240" s="109"/>
      <c r="I6240" s="109"/>
      <c r="J6240" s="109"/>
      <c r="W6240" s="109"/>
    </row>
    <row r="6241" spans="1:23" ht="12.75" hidden="1">
      <c r="A6241" s="109"/>
      <c r="B6241" s="109"/>
      <c r="C6241" s="109"/>
      <c r="D6241" s="109"/>
      <c r="E6241" s="109"/>
      <c r="F6241" s="109"/>
      <c r="G6241" s="109"/>
      <c r="H6241" s="109"/>
      <c r="I6241" s="109"/>
      <c r="J6241" s="109"/>
      <c r="W6241" s="109"/>
    </row>
    <row r="6242" spans="1:23" ht="12.75" hidden="1">
      <c r="A6242" s="109"/>
      <c r="B6242" s="109"/>
      <c r="C6242" s="109"/>
      <c r="D6242" s="109"/>
      <c r="E6242" s="109"/>
      <c r="F6242" s="109"/>
      <c r="G6242" s="109"/>
      <c r="H6242" s="109"/>
      <c r="I6242" s="109"/>
      <c r="J6242" s="109"/>
      <c r="W6242" s="109"/>
    </row>
    <row r="6243" spans="1:23" ht="12.75" hidden="1">
      <c r="A6243" s="109"/>
      <c r="B6243" s="109"/>
      <c r="C6243" s="109"/>
      <c r="D6243" s="109"/>
      <c r="E6243" s="109"/>
      <c r="F6243" s="109"/>
      <c r="G6243" s="109"/>
      <c r="H6243" s="109"/>
      <c r="I6243" s="109"/>
      <c r="J6243" s="109"/>
      <c r="W6243" s="109"/>
    </row>
    <row r="6244" spans="1:23" ht="12.75" hidden="1">
      <c r="A6244" s="109"/>
      <c r="B6244" s="109"/>
      <c r="C6244" s="109"/>
      <c r="D6244" s="109"/>
      <c r="E6244" s="109"/>
      <c r="F6244" s="109"/>
      <c r="G6244" s="109"/>
      <c r="H6244" s="109"/>
      <c r="I6244" s="109"/>
      <c r="J6244" s="109"/>
      <c r="W6244" s="109"/>
    </row>
    <row r="6245" spans="1:23" ht="12.75" hidden="1">
      <c r="A6245" s="109"/>
      <c r="B6245" s="109"/>
      <c r="C6245" s="109"/>
      <c r="D6245" s="109"/>
      <c r="E6245" s="109"/>
      <c r="F6245" s="109"/>
      <c r="G6245" s="109"/>
      <c r="H6245" s="109"/>
      <c r="I6245" s="109"/>
      <c r="J6245" s="109"/>
      <c r="W6245" s="109"/>
    </row>
    <row r="6246" spans="1:23" ht="12.75" hidden="1">
      <c r="A6246" s="109"/>
      <c r="B6246" s="109"/>
      <c r="C6246" s="109"/>
      <c r="D6246" s="109"/>
      <c r="E6246" s="109"/>
      <c r="F6246" s="109"/>
      <c r="G6246" s="109"/>
      <c r="H6246" s="109"/>
      <c r="I6246" s="109"/>
      <c r="J6246" s="109"/>
      <c r="W6246" s="109"/>
    </row>
    <row r="6247" spans="1:23" ht="12.75" hidden="1">
      <c r="A6247" s="109"/>
      <c r="B6247" s="109"/>
      <c r="C6247" s="109"/>
      <c r="D6247" s="109"/>
      <c r="E6247" s="109"/>
      <c r="F6247" s="109"/>
      <c r="G6247" s="109"/>
      <c r="H6247" s="109"/>
      <c r="I6247" s="109"/>
      <c r="J6247" s="109"/>
      <c r="W6247" s="109"/>
    </row>
    <row r="6248" spans="1:23" ht="12.75" hidden="1">
      <c r="A6248" s="109"/>
      <c r="B6248" s="109"/>
      <c r="C6248" s="109"/>
      <c r="D6248" s="109"/>
      <c r="E6248" s="109"/>
      <c r="F6248" s="109"/>
      <c r="G6248" s="109"/>
      <c r="H6248" s="109"/>
      <c r="I6248" s="109"/>
      <c r="J6248" s="109"/>
      <c r="W6248" s="109"/>
    </row>
    <row r="6249" spans="1:23" ht="12.75" hidden="1">
      <c r="A6249" s="109"/>
      <c r="B6249" s="109"/>
      <c r="C6249" s="109"/>
      <c r="D6249" s="109"/>
      <c r="E6249" s="109"/>
      <c r="F6249" s="109"/>
      <c r="G6249" s="109"/>
      <c r="H6249" s="109"/>
      <c r="I6249" s="109"/>
      <c r="J6249" s="109"/>
      <c r="W6249" s="109"/>
    </row>
    <row r="6250" spans="1:23" ht="12.75" hidden="1">
      <c r="A6250" s="109"/>
      <c r="B6250" s="109"/>
      <c r="C6250" s="109"/>
      <c r="D6250" s="109"/>
      <c r="E6250" s="109"/>
      <c r="F6250" s="109"/>
      <c r="G6250" s="109"/>
      <c r="H6250" s="109"/>
      <c r="I6250" s="109"/>
      <c r="J6250" s="109"/>
      <c r="W6250" s="109"/>
    </row>
    <row r="6251" spans="1:23" ht="12.75" hidden="1">
      <c r="A6251" s="109"/>
      <c r="B6251" s="109"/>
      <c r="C6251" s="109"/>
      <c r="D6251" s="109"/>
      <c r="E6251" s="109"/>
      <c r="F6251" s="109"/>
      <c r="G6251" s="109"/>
      <c r="H6251" s="109"/>
      <c r="I6251" s="109"/>
      <c r="J6251" s="109"/>
      <c r="W6251" s="109"/>
    </row>
    <row r="6252" spans="1:23" ht="12.75" hidden="1">
      <c r="A6252" s="109"/>
      <c r="B6252" s="109"/>
      <c r="C6252" s="109"/>
      <c r="D6252" s="109"/>
      <c r="E6252" s="109"/>
      <c r="F6252" s="109"/>
      <c r="G6252" s="109"/>
      <c r="H6252" s="109"/>
      <c r="I6252" s="109"/>
      <c r="J6252" s="109"/>
      <c r="W6252" s="109"/>
    </row>
    <row r="6253" spans="1:23" ht="12.75" hidden="1">
      <c r="A6253" s="109"/>
      <c r="B6253" s="109"/>
      <c r="C6253" s="109"/>
      <c r="D6253" s="109"/>
      <c r="E6253" s="109"/>
      <c r="F6253" s="109"/>
      <c r="G6253" s="109"/>
      <c r="H6253" s="109"/>
      <c r="I6253" s="109"/>
      <c r="J6253" s="109"/>
      <c r="W6253" s="109"/>
    </row>
    <row r="6254" spans="1:23" ht="12.75" hidden="1">
      <c r="A6254" s="109"/>
      <c r="B6254" s="109"/>
      <c r="C6254" s="109"/>
      <c r="D6254" s="109"/>
      <c r="E6254" s="109"/>
      <c r="F6254" s="109"/>
      <c r="G6254" s="109"/>
      <c r="H6254" s="109"/>
      <c r="I6254" s="109"/>
      <c r="J6254" s="109"/>
      <c r="W6254" s="109"/>
    </row>
    <row r="6255" spans="1:23" ht="12.75" hidden="1">
      <c r="A6255" s="109"/>
      <c r="B6255" s="109"/>
      <c r="C6255" s="109"/>
      <c r="D6255" s="109"/>
      <c r="E6255" s="109"/>
      <c r="F6255" s="109"/>
      <c r="G6255" s="109"/>
      <c r="H6255" s="109"/>
      <c r="I6255" s="109"/>
      <c r="J6255" s="109"/>
      <c r="W6255" s="109"/>
    </row>
    <row r="6256" spans="1:23" ht="12.75" hidden="1">
      <c r="A6256" s="109"/>
      <c r="B6256" s="109"/>
      <c r="C6256" s="109"/>
      <c r="D6256" s="109"/>
      <c r="E6256" s="109"/>
      <c r="F6256" s="109"/>
      <c r="G6256" s="109"/>
      <c r="H6256" s="109"/>
      <c r="I6256" s="109"/>
      <c r="J6256" s="109"/>
      <c r="W6256" s="109"/>
    </row>
    <row r="6257" spans="1:23" ht="12.75" hidden="1">
      <c r="A6257" s="109"/>
      <c r="B6257" s="109"/>
      <c r="C6257" s="109"/>
      <c r="D6257" s="109"/>
      <c r="E6257" s="109"/>
      <c r="F6257" s="109"/>
      <c r="G6257" s="109"/>
      <c r="H6257" s="109"/>
      <c r="I6257" s="109"/>
      <c r="J6257" s="109"/>
      <c r="W6257" s="109"/>
    </row>
    <row r="6258" spans="1:23" ht="12.75" hidden="1">
      <c r="A6258" s="109"/>
      <c r="B6258" s="109"/>
      <c r="C6258" s="109"/>
      <c r="D6258" s="109"/>
      <c r="E6258" s="109"/>
      <c r="F6258" s="109"/>
      <c r="G6258" s="109"/>
      <c r="H6258" s="109"/>
      <c r="I6258" s="109"/>
      <c r="J6258" s="109"/>
      <c r="W6258" s="109"/>
    </row>
    <row r="6259" spans="1:23" ht="12.75" hidden="1">
      <c r="A6259" s="109"/>
      <c r="B6259" s="109"/>
      <c r="C6259" s="109"/>
      <c r="D6259" s="109"/>
      <c r="E6259" s="109"/>
      <c r="F6259" s="109"/>
      <c r="G6259" s="109"/>
      <c r="H6259" s="109"/>
      <c r="I6259" s="109"/>
      <c r="J6259" s="109"/>
      <c r="W6259" s="109"/>
    </row>
    <row r="6260" spans="1:23" ht="12.75" hidden="1">
      <c r="A6260" s="109"/>
      <c r="B6260" s="109"/>
      <c r="C6260" s="109"/>
      <c r="D6260" s="109"/>
      <c r="E6260" s="109"/>
      <c r="F6260" s="109"/>
      <c r="G6260" s="109"/>
      <c r="H6260" s="109"/>
      <c r="I6260" s="109"/>
      <c r="J6260" s="109"/>
      <c r="W6260" s="109"/>
    </row>
    <row r="6261" spans="1:23" ht="12.75" hidden="1">
      <c r="A6261" s="109"/>
      <c r="B6261" s="109"/>
      <c r="C6261" s="109"/>
      <c r="D6261" s="109"/>
      <c r="E6261" s="109"/>
      <c r="F6261" s="109"/>
      <c r="G6261" s="109"/>
      <c r="H6261" s="109"/>
      <c r="I6261" s="109"/>
      <c r="J6261" s="109"/>
      <c r="W6261" s="109"/>
    </row>
    <row r="6262" spans="1:23" ht="12.75" hidden="1">
      <c r="A6262" s="109"/>
      <c r="B6262" s="109"/>
      <c r="C6262" s="109"/>
      <c r="D6262" s="109"/>
      <c r="E6262" s="109"/>
      <c r="F6262" s="109"/>
      <c r="G6262" s="109"/>
      <c r="H6262" s="109"/>
      <c r="I6262" s="109"/>
      <c r="J6262" s="109"/>
      <c r="W6262" s="109"/>
    </row>
    <row r="6263" spans="1:23" ht="12.75" hidden="1">
      <c r="A6263" s="109"/>
      <c r="B6263" s="109"/>
      <c r="C6263" s="109"/>
      <c r="D6263" s="109"/>
      <c r="E6263" s="109"/>
      <c r="F6263" s="109"/>
      <c r="G6263" s="109"/>
      <c r="H6263" s="109"/>
      <c r="I6263" s="109"/>
      <c r="J6263" s="109"/>
      <c r="W6263" s="109"/>
    </row>
    <row r="6264" spans="1:23" ht="12.75" hidden="1">
      <c r="A6264" s="109"/>
      <c r="B6264" s="109"/>
      <c r="C6264" s="109"/>
      <c r="D6264" s="109"/>
      <c r="E6264" s="109"/>
      <c r="F6264" s="109"/>
      <c r="G6264" s="109"/>
      <c r="H6264" s="109"/>
      <c r="I6264" s="109"/>
      <c r="J6264" s="109"/>
      <c r="W6264" s="109"/>
    </row>
    <row r="6265" spans="1:23" ht="12.75" hidden="1">
      <c r="A6265" s="109"/>
      <c r="B6265" s="109"/>
      <c r="C6265" s="109"/>
      <c r="D6265" s="109"/>
      <c r="E6265" s="109"/>
      <c r="F6265" s="109"/>
      <c r="G6265" s="109"/>
      <c r="H6265" s="109"/>
      <c r="I6265" s="109"/>
      <c r="J6265" s="109"/>
      <c r="W6265" s="109"/>
    </row>
    <row r="6266" spans="1:23" ht="12.75" hidden="1">
      <c r="A6266" s="109"/>
      <c r="B6266" s="109"/>
      <c r="C6266" s="109"/>
      <c r="D6266" s="109"/>
      <c r="E6266" s="109"/>
      <c r="F6266" s="109"/>
      <c r="G6266" s="109"/>
      <c r="H6266" s="109"/>
      <c r="I6266" s="109"/>
      <c r="J6266" s="109"/>
      <c r="W6266" s="109"/>
    </row>
    <row r="6267" spans="1:23" ht="12.75" hidden="1">
      <c r="A6267" s="109"/>
      <c r="B6267" s="109"/>
      <c r="C6267" s="109"/>
      <c r="D6267" s="109"/>
      <c r="E6267" s="109"/>
      <c r="F6267" s="109"/>
      <c r="G6267" s="109"/>
      <c r="H6267" s="109"/>
      <c r="I6267" s="109"/>
      <c r="J6267" s="109"/>
      <c r="W6267" s="109"/>
    </row>
    <row r="6268" spans="1:23" ht="12.75" hidden="1">
      <c r="A6268" s="109"/>
      <c r="B6268" s="109"/>
      <c r="C6268" s="109"/>
      <c r="D6268" s="109"/>
      <c r="E6268" s="109"/>
      <c r="F6268" s="109"/>
      <c r="G6268" s="109"/>
      <c r="H6268" s="109"/>
      <c r="I6268" s="109"/>
      <c r="J6268" s="109"/>
      <c r="W6268" s="109"/>
    </row>
    <row r="6269" spans="1:23" ht="12.75" hidden="1">
      <c r="A6269" s="109"/>
      <c r="B6269" s="109"/>
      <c r="C6269" s="109"/>
      <c r="D6269" s="109"/>
      <c r="E6269" s="109"/>
      <c r="F6269" s="109"/>
      <c r="G6269" s="109"/>
      <c r="H6269" s="109"/>
      <c r="I6269" s="109"/>
      <c r="J6269" s="109"/>
      <c r="W6269" s="109"/>
    </row>
    <row r="6270" spans="1:23" ht="12.75" hidden="1">
      <c r="A6270" s="109"/>
      <c r="B6270" s="109"/>
      <c r="C6270" s="109"/>
      <c r="D6270" s="109"/>
      <c r="E6270" s="109"/>
      <c r="F6270" s="109"/>
      <c r="G6270" s="109"/>
      <c r="H6270" s="109"/>
      <c r="I6270" s="109"/>
      <c r="J6270" s="109"/>
      <c r="W6270" s="109"/>
    </row>
    <row r="6271" spans="1:23" ht="12.75" hidden="1">
      <c r="A6271" s="109"/>
      <c r="B6271" s="109"/>
      <c r="C6271" s="109"/>
      <c r="D6271" s="109"/>
      <c r="E6271" s="109"/>
      <c r="F6271" s="109"/>
      <c r="G6271" s="109"/>
      <c r="H6271" s="109"/>
      <c r="I6271" s="109"/>
      <c r="J6271" s="109"/>
      <c r="W6271" s="109"/>
    </row>
    <row r="6272" spans="1:23" ht="12.75" hidden="1">
      <c r="A6272" s="109"/>
      <c r="B6272" s="109"/>
      <c r="C6272" s="109"/>
      <c r="D6272" s="109"/>
      <c r="E6272" s="109"/>
      <c r="F6272" s="109"/>
      <c r="G6272" s="109"/>
      <c r="H6272" s="109"/>
      <c r="I6272" s="109"/>
      <c r="J6272" s="109"/>
      <c r="W6272" s="109"/>
    </row>
    <row r="6273" spans="1:23" ht="12.75" hidden="1">
      <c r="A6273" s="109"/>
      <c r="B6273" s="109"/>
      <c r="C6273" s="109"/>
      <c r="D6273" s="109"/>
      <c r="E6273" s="109"/>
      <c r="F6273" s="109"/>
      <c r="G6273" s="109"/>
      <c r="H6273" s="109"/>
      <c r="I6273" s="109"/>
      <c r="J6273" s="109"/>
      <c r="W6273" s="109"/>
    </row>
    <row r="6274" spans="1:23" ht="12.75" hidden="1">
      <c r="A6274" s="109"/>
      <c r="B6274" s="109"/>
      <c r="C6274" s="109"/>
      <c r="D6274" s="109"/>
      <c r="E6274" s="109"/>
      <c r="F6274" s="109"/>
      <c r="G6274" s="109"/>
      <c r="H6274" s="109"/>
      <c r="I6274" s="109"/>
      <c r="J6274" s="109"/>
      <c r="W6274" s="109"/>
    </row>
    <row r="6275" spans="1:23" ht="12.75" hidden="1">
      <c r="A6275" s="109"/>
      <c r="B6275" s="109"/>
      <c r="C6275" s="109"/>
      <c r="D6275" s="109"/>
      <c r="E6275" s="109"/>
      <c r="F6275" s="109"/>
      <c r="G6275" s="109"/>
      <c r="H6275" s="109"/>
      <c r="I6275" s="109"/>
      <c r="J6275" s="109"/>
      <c r="W6275" s="109"/>
    </row>
    <row r="6276" spans="1:23" ht="12.75" hidden="1">
      <c r="A6276" s="109"/>
      <c r="B6276" s="109"/>
      <c r="C6276" s="109"/>
      <c r="D6276" s="109"/>
      <c r="E6276" s="109"/>
      <c r="F6276" s="109"/>
      <c r="G6276" s="109"/>
      <c r="H6276" s="109"/>
      <c r="I6276" s="109"/>
      <c r="J6276" s="109"/>
      <c r="W6276" s="109"/>
    </row>
    <row r="6277" spans="1:23" ht="12.75" hidden="1">
      <c r="A6277" s="109"/>
      <c r="B6277" s="109"/>
      <c r="C6277" s="109"/>
      <c r="D6277" s="109"/>
      <c r="E6277" s="109"/>
      <c r="F6277" s="109"/>
      <c r="G6277" s="109"/>
      <c r="H6277" s="109"/>
      <c r="I6277" s="109"/>
      <c r="J6277" s="109"/>
      <c r="W6277" s="109"/>
    </row>
    <row r="6278" spans="1:23" ht="12.75" hidden="1">
      <c r="A6278" s="109"/>
      <c r="B6278" s="109"/>
      <c r="C6278" s="109"/>
      <c r="D6278" s="109"/>
      <c r="E6278" s="109"/>
      <c r="F6278" s="109"/>
      <c r="G6278" s="109"/>
      <c r="H6278" s="109"/>
      <c r="I6278" s="109"/>
      <c r="J6278" s="109"/>
      <c r="W6278" s="109"/>
    </row>
    <row r="6279" spans="1:23" ht="12.75" hidden="1">
      <c r="A6279" s="109"/>
      <c r="B6279" s="109"/>
      <c r="C6279" s="109"/>
      <c r="D6279" s="109"/>
      <c r="E6279" s="109"/>
      <c r="F6279" s="109"/>
      <c r="G6279" s="109"/>
      <c r="H6279" s="109"/>
      <c r="I6279" s="109"/>
      <c r="J6279" s="109"/>
      <c r="W6279" s="109"/>
    </row>
    <row r="6280" spans="1:23" ht="12.75" hidden="1">
      <c r="A6280" s="109"/>
      <c r="B6280" s="109"/>
      <c r="C6280" s="109"/>
      <c r="D6280" s="109"/>
      <c r="E6280" s="109"/>
      <c r="F6280" s="109"/>
      <c r="G6280" s="109"/>
      <c r="H6280" s="109"/>
      <c r="I6280" s="109"/>
      <c r="J6280" s="109"/>
      <c r="W6280" s="109"/>
    </row>
    <row r="6281" spans="1:23" ht="12.75" hidden="1">
      <c r="A6281" s="109"/>
      <c r="B6281" s="109"/>
      <c r="C6281" s="109"/>
      <c r="D6281" s="109"/>
      <c r="E6281" s="109"/>
      <c r="F6281" s="109"/>
      <c r="G6281" s="109"/>
      <c r="H6281" s="109"/>
      <c r="I6281" s="109"/>
      <c r="J6281" s="109"/>
      <c r="W6281" s="109"/>
    </row>
    <row r="6282" spans="1:23" ht="12.75" hidden="1">
      <c r="A6282" s="109"/>
      <c r="B6282" s="109"/>
      <c r="C6282" s="109"/>
      <c r="D6282" s="109"/>
      <c r="E6282" s="109"/>
      <c r="F6282" s="109"/>
      <c r="G6282" s="109"/>
      <c r="H6282" s="109"/>
      <c r="I6282" s="109"/>
      <c r="J6282" s="109"/>
      <c r="W6282" s="109"/>
    </row>
    <row r="6283" spans="1:23" ht="12.75" hidden="1">
      <c r="A6283" s="109"/>
      <c r="B6283" s="109"/>
      <c r="C6283" s="109"/>
      <c r="D6283" s="109"/>
      <c r="E6283" s="109"/>
      <c r="F6283" s="109"/>
      <c r="G6283" s="109"/>
      <c r="H6283" s="109"/>
      <c r="I6283" s="109"/>
      <c r="J6283" s="109"/>
      <c r="W6283" s="109"/>
    </row>
    <row r="6284" spans="1:23" ht="12.75" hidden="1">
      <c r="A6284" s="109"/>
      <c r="B6284" s="109"/>
      <c r="C6284" s="109"/>
      <c r="D6284" s="109"/>
      <c r="E6284" s="109"/>
      <c r="F6284" s="109"/>
      <c r="G6284" s="109"/>
      <c r="H6284" s="109"/>
      <c r="I6284" s="109"/>
      <c r="J6284" s="109"/>
      <c r="W6284" s="109"/>
    </row>
    <row r="6285" spans="1:23" ht="12.75" hidden="1">
      <c r="A6285" s="109"/>
      <c r="B6285" s="109"/>
      <c r="C6285" s="109"/>
      <c r="D6285" s="109"/>
      <c r="E6285" s="109"/>
      <c r="F6285" s="109"/>
      <c r="G6285" s="109"/>
      <c r="H6285" s="109"/>
      <c r="I6285" s="109"/>
      <c r="J6285" s="109"/>
      <c r="W6285" s="109"/>
    </row>
    <row r="6286" spans="1:23" ht="12.75" hidden="1">
      <c r="A6286" s="109"/>
      <c r="B6286" s="109"/>
      <c r="C6286" s="109"/>
      <c r="D6286" s="109"/>
      <c r="E6286" s="109"/>
      <c r="F6286" s="109"/>
      <c r="G6286" s="109"/>
      <c r="H6286" s="109"/>
      <c r="I6286" s="109"/>
      <c r="J6286" s="109"/>
      <c r="W6286" s="109"/>
    </row>
    <row r="6287" spans="1:23" ht="12.75" hidden="1">
      <c r="A6287" s="109"/>
      <c r="B6287" s="109"/>
      <c r="C6287" s="109"/>
      <c r="D6287" s="109"/>
      <c r="E6287" s="109"/>
      <c r="F6287" s="109"/>
      <c r="G6287" s="109"/>
      <c r="H6287" s="109"/>
      <c r="I6287" s="109"/>
      <c r="J6287" s="109"/>
      <c r="W6287" s="109"/>
    </row>
    <row r="6288" spans="1:23" ht="12.75" hidden="1">
      <c r="A6288" s="109"/>
      <c r="B6288" s="109"/>
      <c r="C6288" s="109"/>
      <c r="D6288" s="109"/>
      <c r="E6288" s="109"/>
      <c r="F6288" s="109"/>
      <c r="G6288" s="109"/>
      <c r="H6288" s="109"/>
      <c r="I6288" s="109"/>
      <c r="J6288" s="109"/>
      <c r="W6288" s="109"/>
    </row>
    <row r="6289" spans="1:23" ht="12.75" hidden="1">
      <c r="A6289" s="109"/>
      <c r="B6289" s="109"/>
      <c r="C6289" s="109"/>
      <c r="D6289" s="109"/>
      <c r="E6289" s="109"/>
      <c r="F6289" s="109"/>
      <c r="G6289" s="109"/>
      <c r="H6289" s="109"/>
      <c r="I6289" s="109"/>
      <c r="J6289" s="109"/>
      <c r="W6289" s="109"/>
    </row>
    <row r="6290" spans="1:23" ht="12.75" hidden="1">
      <c r="A6290" s="109"/>
      <c r="B6290" s="109"/>
      <c r="C6290" s="109"/>
      <c r="D6290" s="109"/>
      <c r="E6290" s="109"/>
      <c r="F6290" s="109"/>
      <c r="G6290" s="109"/>
      <c r="H6290" s="109"/>
      <c r="I6290" s="109"/>
      <c r="J6290" s="109"/>
      <c r="W6290" s="109"/>
    </row>
    <row r="6291" spans="1:23" ht="12.75" hidden="1">
      <c r="A6291" s="109"/>
      <c r="B6291" s="109"/>
      <c r="C6291" s="109"/>
      <c r="D6291" s="109"/>
      <c r="E6291" s="109"/>
      <c r="F6291" s="109"/>
      <c r="G6291" s="109"/>
      <c r="H6291" s="109"/>
      <c r="I6291" s="109"/>
      <c r="J6291" s="109"/>
      <c r="W6291" s="109"/>
    </row>
    <row r="6292" spans="1:23" ht="12.75" hidden="1">
      <c r="A6292" s="109"/>
      <c r="B6292" s="109"/>
      <c r="C6292" s="109"/>
      <c r="D6292" s="109"/>
      <c r="E6292" s="109"/>
      <c r="F6292" s="109"/>
      <c r="G6292" s="109"/>
      <c r="H6292" s="109"/>
      <c r="I6292" s="109"/>
      <c r="J6292" s="109"/>
      <c r="W6292" s="109"/>
    </row>
    <row r="6293" spans="1:23" ht="12.75" hidden="1">
      <c r="A6293" s="109"/>
      <c r="B6293" s="109"/>
      <c r="C6293" s="109"/>
      <c r="D6293" s="109"/>
      <c r="E6293" s="109"/>
      <c r="F6293" s="109"/>
      <c r="G6293" s="109"/>
      <c r="H6293" s="109"/>
      <c r="I6293" s="109"/>
      <c r="J6293" s="109"/>
      <c r="W6293" s="109"/>
    </row>
    <row r="6294" spans="1:23" ht="12.75" hidden="1">
      <c r="A6294" s="109"/>
      <c r="B6294" s="109"/>
      <c r="C6294" s="109"/>
      <c r="D6294" s="109"/>
      <c r="E6294" s="109"/>
      <c r="F6294" s="109"/>
      <c r="G6294" s="109"/>
      <c r="H6294" s="109"/>
      <c r="I6294" s="109"/>
      <c r="J6294" s="109"/>
      <c r="W6294" s="109"/>
    </row>
    <row r="6295" spans="1:23" ht="12.75" hidden="1">
      <c r="A6295" s="109"/>
      <c r="B6295" s="109"/>
      <c r="C6295" s="109"/>
      <c r="D6295" s="109"/>
      <c r="E6295" s="109"/>
      <c r="F6295" s="109"/>
      <c r="G6295" s="109"/>
      <c r="H6295" s="109"/>
      <c r="I6295" s="109"/>
      <c r="J6295" s="109"/>
      <c r="W6295" s="109"/>
    </row>
    <row r="6296" spans="1:23" ht="12.75" hidden="1">
      <c r="A6296" s="109"/>
      <c r="B6296" s="109"/>
      <c r="C6296" s="109"/>
      <c r="D6296" s="109"/>
      <c r="E6296" s="109"/>
      <c r="F6296" s="109"/>
      <c r="G6296" s="109"/>
      <c r="H6296" s="109"/>
      <c r="I6296" s="109"/>
      <c r="J6296" s="109"/>
      <c r="W6296" s="109"/>
    </row>
    <row r="6297" spans="1:23" ht="12.75" hidden="1">
      <c r="A6297" s="109"/>
      <c r="B6297" s="109"/>
      <c r="C6297" s="109"/>
      <c r="D6297" s="109"/>
      <c r="E6297" s="109"/>
      <c r="F6297" s="109"/>
      <c r="G6297" s="109"/>
      <c r="H6297" s="109"/>
      <c r="I6297" s="109"/>
      <c r="J6297" s="109"/>
      <c r="W6297" s="109"/>
    </row>
    <row r="6298" spans="1:23" ht="12.75" hidden="1">
      <c r="A6298" s="109"/>
      <c r="B6298" s="109"/>
      <c r="C6298" s="109"/>
      <c r="D6298" s="109"/>
      <c r="E6298" s="109"/>
      <c r="F6298" s="109"/>
      <c r="G6298" s="109"/>
      <c r="H6298" s="109"/>
      <c r="I6298" s="109"/>
      <c r="J6298" s="109"/>
      <c r="W6298" s="109"/>
    </row>
    <row r="6299" spans="1:23" ht="12.75" hidden="1">
      <c r="A6299" s="109"/>
      <c r="B6299" s="109"/>
      <c r="C6299" s="109"/>
      <c r="D6299" s="109"/>
      <c r="E6299" s="109"/>
      <c r="F6299" s="109"/>
      <c r="G6299" s="109"/>
      <c r="H6299" s="109"/>
      <c r="I6299" s="109"/>
      <c r="J6299" s="109"/>
      <c r="W6299" s="109"/>
    </row>
    <row r="6300" spans="1:23" ht="12.75" hidden="1">
      <c r="A6300" s="109"/>
      <c r="B6300" s="109"/>
      <c r="C6300" s="109"/>
      <c r="D6300" s="109"/>
      <c r="E6300" s="109"/>
      <c r="F6300" s="109"/>
      <c r="G6300" s="109"/>
      <c r="H6300" s="109"/>
      <c r="I6300" s="109"/>
      <c r="J6300" s="109"/>
      <c r="W6300" s="109"/>
    </row>
    <row r="6301" spans="1:23" ht="12.75" hidden="1">
      <c r="A6301" s="109"/>
      <c r="B6301" s="109"/>
      <c r="C6301" s="109"/>
      <c r="D6301" s="109"/>
      <c r="E6301" s="109"/>
      <c r="F6301" s="109"/>
      <c r="G6301" s="109"/>
      <c r="H6301" s="109"/>
      <c r="I6301" s="109"/>
      <c r="J6301" s="109"/>
      <c r="W6301" s="109"/>
    </row>
    <row r="6302" spans="1:23" ht="12.75" hidden="1">
      <c r="A6302" s="109"/>
      <c r="B6302" s="109"/>
      <c r="C6302" s="109"/>
      <c r="D6302" s="109"/>
      <c r="E6302" s="109"/>
      <c r="F6302" s="109"/>
      <c r="G6302" s="109"/>
      <c r="H6302" s="109"/>
      <c r="I6302" s="109"/>
      <c r="J6302" s="109"/>
      <c r="W6302" s="109"/>
    </row>
    <row r="6303" spans="1:23" ht="12.75" hidden="1">
      <c r="A6303" s="109"/>
      <c r="B6303" s="109"/>
      <c r="C6303" s="109"/>
      <c r="D6303" s="109"/>
      <c r="E6303" s="109"/>
      <c r="F6303" s="109"/>
      <c r="G6303" s="109"/>
      <c r="H6303" s="109"/>
      <c r="I6303" s="109"/>
      <c r="J6303" s="109"/>
      <c r="W6303" s="109"/>
    </row>
    <row r="6304" spans="1:23" ht="12.75" hidden="1">
      <c r="A6304" s="109"/>
      <c r="B6304" s="109"/>
      <c r="C6304" s="109"/>
      <c r="D6304" s="109"/>
      <c r="E6304" s="109"/>
      <c r="F6304" s="109"/>
      <c r="G6304" s="109"/>
      <c r="H6304" s="109"/>
      <c r="I6304" s="109"/>
      <c r="J6304" s="109"/>
      <c r="W6304" s="109"/>
    </row>
    <row r="6305" spans="1:23" ht="12.75" hidden="1">
      <c r="A6305" s="109"/>
      <c r="B6305" s="109"/>
      <c r="C6305" s="109"/>
      <c r="D6305" s="109"/>
      <c r="E6305" s="109"/>
      <c r="F6305" s="109"/>
      <c r="G6305" s="109"/>
      <c r="H6305" s="109"/>
      <c r="I6305" s="109"/>
      <c r="J6305" s="109"/>
      <c r="W6305" s="109"/>
    </row>
    <row r="6306" spans="1:23" ht="12.75" hidden="1">
      <c r="A6306" s="109"/>
      <c r="B6306" s="109"/>
      <c r="C6306" s="109"/>
      <c r="D6306" s="109"/>
      <c r="E6306" s="109"/>
      <c r="F6306" s="109"/>
      <c r="G6306" s="109"/>
      <c r="H6306" s="109"/>
      <c r="I6306" s="109"/>
      <c r="J6306" s="109"/>
      <c r="W6306" s="109"/>
    </row>
    <row r="6307" spans="1:23" ht="12.75" hidden="1">
      <c r="A6307" s="109"/>
      <c r="B6307" s="109"/>
      <c r="C6307" s="109"/>
      <c r="D6307" s="109"/>
      <c r="E6307" s="109"/>
      <c r="F6307" s="109"/>
      <c r="G6307" s="109"/>
      <c r="H6307" s="109"/>
      <c r="I6307" s="109"/>
      <c r="J6307" s="109"/>
      <c r="W6307" s="109"/>
    </row>
    <row r="6308" spans="1:23" ht="12.75" hidden="1">
      <c r="A6308" s="109"/>
      <c r="B6308" s="109"/>
      <c r="C6308" s="109"/>
      <c r="D6308" s="109"/>
      <c r="E6308" s="109"/>
      <c r="F6308" s="109"/>
      <c r="G6308" s="109"/>
      <c r="H6308" s="109"/>
      <c r="I6308" s="109"/>
      <c r="J6308" s="109"/>
      <c r="W6308" s="109"/>
    </row>
    <row r="6309" spans="1:23" ht="12.75" hidden="1">
      <c r="A6309" s="109"/>
      <c r="B6309" s="109"/>
      <c r="C6309" s="109"/>
      <c r="D6309" s="109"/>
      <c r="E6309" s="109"/>
      <c r="F6309" s="109"/>
      <c r="G6309" s="109"/>
      <c r="H6309" s="109"/>
      <c r="I6309" s="109"/>
      <c r="J6309" s="109"/>
      <c r="W6309" s="109"/>
    </row>
    <row r="6310" spans="1:23" ht="12.75" hidden="1">
      <c r="A6310" s="109"/>
      <c r="B6310" s="109"/>
      <c r="C6310" s="109"/>
      <c r="D6310" s="109"/>
      <c r="E6310" s="109"/>
      <c r="F6310" s="109"/>
      <c r="G6310" s="109"/>
      <c r="H6310" s="109"/>
      <c r="I6310" s="109"/>
      <c r="J6310" s="109"/>
      <c r="W6310" s="109"/>
    </row>
    <row r="6311" spans="1:23" ht="12.75" hidden="1">
      <c r="A6311" s="109"/>
      <c r="B6311" s="109"/>
      <c r="C6311" s="109"/>
      <c r="D6311" s="109"/>
      <c r="E6311" s="109"/>
      <c r="F6311" s="109"/>
      <c r="G6311" s="109"/>
      <c r="H6311" s="109"/>
      <c r="I6311" s="109"/>
      <c r="J6311" s="109"/>
      <c r="W6311" s="109"/>
    </row>
    <row r="6312" spans="1:23" ht="12.75" hidden="1">
      <c r="A6312" s="109"/>
      <c r="B6312" s="109"/>
      <c r="C6312" s="109"/>
      <c r="D6312" s="109"/>
      <c r="E6312" s="109"/>
      <c r="F6312" s="109"/>
      <c r="G6312" s="109"/>
      <c r="H6312" s="109"/>
      <c r="I6312" s="109"/>
      <c r="J6312" s="109"/>
      <c r="W6312" s="109"/>
    </row>
    <row r="6313" spans="1:23" ht="12.75" hidden="1">
      <c r="A6313" s="109"/>
      <c r="B6313" s="109"/>
      <c r="C6313" s="109"/>
      <c r="D6313" s="109"/>
      <c r="E6313" s="109"/>
      <c r="F6313" s="109"/>
      <c r="G6313" s="109"/>
      <c r="H6313" s="109"/>
      <c r="I6313" s="109"/>
      <c r="J6313" s="109"/>
      <c r="W6313" s="109"/>
    </row>
    <row r="6314" spans="1:23" ht="12.75" hidden="1">
      <c r="A6314" s="109"/>
      <c r="B6314" s="109"/>
      <c r="C6314" s="109"/>
      <c r="D6314" s="109"/>
      <c r="E6314" s="109"/>
      <c r="F6314" s="109"/>
      <c r="G6314" s="109"/>
      <c r="H6314" s="109"/>
      <c r="I6314" s="109"/>
      <c r="J6314" s="109"/>
      <c r="W6314" s="109"/>
    </row>
    <row r="6315" spans="1:23" ht="12.75" hidden="1">
      <c r="A6315" s="109"/>
      <c r="B6315" s="109"/>
      <c r="C6315" s="109"/>
      <c r="D6315" s="109"/>
      <c r="E6315" s="109"/>
      <c r="F6315" s="109"/>
      <c r="G6315" s="109"/>
      <c r="H6315" s="109"/>
      <c r="I6315" s="109"/>
      <c r="J6315" s="109"/>
      <c r="W6315" s="109"/>
    </row>
    <row r="6316" spans="1:23" ht="12.75" hidden="1">
      <c r="A6316" s="109"/>
      <c r="B6316" s="109"/>
      <c r="C6316" s="109"/>
      <c r="D6316" s="109"/>
      <c r="E6316" s="109"/>
      <c r="F6316" s="109"/>
      <c r="G6316" s="109"/>
      <c r="H6316" s="109"/>
      <c r="I6316" s="109"/>
      <c r="J6316" s="109"/>
      <c r="W6316" s="109"/>
    </row>
    <row r="6317" spans="1:23" ht="12.75" hidden="1">
      <c r="A6317" s="109"/>
      <c r="B6317" s="109"/>
      <c r="C6317" s="109"/>
      <c r="D6317" s="109"/>
      <c r="E6317" s="109"/>
      <c r="F6317" s="109"/>
      <c r="G6317" s="109"/>
      <c r="H6317" s="109"/>
      <c r="I6317" s="109"/>
      <c r="J6317" s="109"/>
      <c r="W6317" s="109"/>
    </row>
    <row r="6318" spans="1:23" ht="12.75" hidden="1">
      <c r="A6318" s="109"/>
      <c r="B6318" s="109"/>
      <c r="C6318" s="109"/>
      <c r="D6318" s="109"/>
      <c r="E6318" s="109"/>
      <c r="F6318" s="109"/>
      <c r="G6318" s="109"/>
      <c r="H6318" s="109"/>
      <c r="I6318" s="109"/>
      <c r="J6318" s="109"/>
      <c r="W6318" s="109"/>
    </row>
    <row r="6319" spans="1:23" ht="12.75" hidden="1">
      <c r="A6319" s="109"/>
      <c r="B6319" s="109"/>
      <c r="C6319" s="109"/>
      <c r="D6319" s="109"/>
      <c r="E6319" s="109"/>
      <c r="F6319" s="109"/>
      <c r="G6319" s="109"/>
      <c r="H6319" s="109"/>
      <c r="I6319" s="109"/>
      <c r="J6319" s="109"/>
      <c r="W6319" s="109"/>
    </row>
    <row r="6320" spans="1:23" ht="12.75" hidden="1">
      <c r="A6320" s="109"/>
      <c r="B6320" s="109"/>
      <c r="C6320" s="109"/>
      <c r="D6320" s="109"/>
      <c r="E6320" s="109"/>
      <c r="F6320" s="109"/>
      <c r="G6320" s="109"/>
      <c r="H6320" s="109"/>
      <c r="I6320" s="109"/>
      <c r="J6320" s="109"/>
      <c r="W6320" s="109"/>
    </row>
    <row r="6321" spans="1:23" ht="12.75" hidden="1">
      <c r="A6321" s="109"/>
      <c r="B6321" s="109"/>
      <c r="C6321" s="109"/>
      <c r="D6321" s="109"/>
      <c r="E6321" s="109"/>
      <c r="F6321" s="109"/>
      <c r="G6321" s="109"/>
      <c r="H6321" s="109"/>
      <c r="I6321" s="109"/>
      <c r="J6321" s="109"/>
      <c r="W6321" s="109"/>
    </row>
    <row r="6322" spans="1:23" ht="12.75" hidden="1">
      <c r="A6322" s="109"/>
      <c r="B6322" s="109"/>
      <c r="C6322" s="109"/>
      <c r="D6322" s="109"/>
      <c r="E6322" s="109"/>
      <c r="F6322" s="109"/>
      <c r="G6322" s="109"/>
      <c r="H6322" s="109"/>
      <c r="I6322" s="109"/>
      <c r="J6322" s="109"/>
      <c r="W6322" s="109"/>
    </row>
    <row r="6323" spans="1:23" ht="12.75" hidden="1">
      <c r="A6323" s="109"/>
      <c r="B6323" s="109"/>
      <c r="C6323" s="109"/>
      <c r="D6323" s="109"/>
      <c r="E6323" s="109"/>
      <c r="F6323" s="109"/>
      <c r="G6323" s="109"/>
      <c r="H6323" s="109"/>
      <c r="I6323" s="109"/>
      <c r="J6323" s="109"/>
      <c r="W6323" s="109"/>
    </row>
    <row r="6324" spans="1:23" ht="12.75" hidden="1">
      <c r="A6324" s="109"/>
      <c r="B6324" s="109"/>
      <c r="C6324" s="109"/>
      <c r="D6324" s="109"/>
      <c r="E6324" s="109"/>
      <c r="F6324" s="109"/>
      <c r="G6324" s="109"/>
      <c r="H6324" s="109"/>
      <c r="I6324" s="109"/>
      <c r="J6324" s="109"/>
      <c r="W6324" s="109"/>
    </row>
    <row r="6325" spans="1:23" ht="12.75" hidden="1">
      <c r="A6325" s="109"/>
      <c r="B6325" s="109"/>
      <c r="C6325" s="109"/>
      <c r="D6325" s="109"/>
      <c r="E6325" s="109"/>
      <c r="F6325" s="109"/>
      <c r="G6325" s="109"/>
      <c r="H6325" s="109"/>
      <c r="I6325" s="109"/>
      <c r="J6325" s="109"/>
      <c r="W6325" s="109"/>
    </row>
    <row r="6326" spans="1:23" ht="12.75" hidden="1">
      <c r="A6326" s="109"/>
      <c r="B6326" s="109"/>
      <c r="C6326" s="109"/>
      <c r="D6326" s="109"/>
      <c r="E6326" s="109"/>
      <c r="F6326" s="109"/>
      <c r="G6326" s="109"/>
      <c r="H6326" s="109"/>
      <c r="I6326" s="109"/>
      <c r="J6326" s="109"/>
      <c r="W6326" s="109"/>
    </row>
    <row r="6327" spans="1:23" ht="12.75" hidden="1">
      <c r="A6327" s="109"/>
      <c r="B6327" s="109"/>
      <c r="C6327" s="109"/>
      <c r="D6327" s="109"/>
      <c r="E6327" s="109"/>
      <c r="F6327" s="109"/>
      <c r="G6327" s="109"/>
      <c r="H6327" s="109"/>
      <c r="I6327" s="109"/>
      <c r="J6327" s="109"/>
      <c r="W6327" s="109"/>
    </row>
    <row r="6328" spans="1:23" ht="12.75" hidden="1">
      <c r="A6328" s="109"/>
      <c r="B6328" s="109"/>
      <c r="C6328" s="109"/>
      <c r="D6328" s="109"/>
      <c r="E6328" s="109"/>
      <c r="F6328" s="109"/>
      <c r="G6328" s="109"/>
      <c r="H6328" s="109"/>
      <c r="I6328" s="109"/>
      <c r="J6328" s="109"/>
      <c r="W6328" s="109"/>
    </row>
    <row r="6329" spans="1:23" ht="12.75" hidden="1">
      <c r="A6329" s="109"/>
      <c r="B6329" s="109"/>
      <c r="C6329" s="109"/>
      <c r="D6329" s="109"/>
      <c r="E6329" s="109"/>
      <c r="F6329" s="109"/>
      <c r="G6329" s="109"/>
      <c r="H6329" s="109"/>
      <c r="I6329" s="109"/>
      <c r="J6329" s="109"/>
      <c r="W6329" s="109"/>
    </row>
    <row r="6330" spans="1:23" ht="12.75" hidden="1">
      <c r="A6330" s="109"/>
      <c r="B6330" s="109"/>
      <c r="C6330" s="109"/>
      <c r="D6330" s="109"/>
      <c r="E6330" s="109"/>
      <c r="F6330" s="109"/>
      <c r="G6330" s="109"/>
      <c r="H6330" s="109"/>
      <c r="I6330" s="109"/>
      <c r="J6330" s="109"/>
      <c r="W6330" s="109"/>
    </row>
    <row r="6331" spans="1:23" ht="12.75" hidden="1">
      <c r="A6331" s="109"/>
      <c r="B6331" s="109"/>
      <c r="C6331" s="109"/>
      <c r="D6331" s="109"/>
      <c r="E6331" s="109"/>
      <c r="F6331" s="109"/>
      <c r="G6331" s="109"/>
      <c r="H6331" s="109"/>
      <c r="I6331" s="109"/>
      <c r="J6331" s="109"/>
      <c r="W6331" s="109"/>
    </row>
    <row r="6332" spans="1:23" ht="12.75" hidden="1">
      <c r="A6332" s="109"/>
      <c r="B6332" s="109"/>
      <c r="C6332" s="109"/>
      <c r="D6332" s="109"/>
      <c r="E6332" s="109"/>
      <c r="F6332" s="109"/>
      <c r="G6332" s="109"/>
      <c r="H6332" s="109"/>
      <c r="I6332" s="109"/>
      <c r="J6332" s="109"/>
      <c r="W6332" s="109"/>
    </row>
    <row r="6333" spans="1:23" ht="12.75" hidden="1">
      <c r="A6333" s="109"/>
      <c r="B6333" s="109"/>
      <c r="C6333" s="109"/>
      <c r="D6333" s="109"/>
      <c r="E6333" s="109"/>
      <c r="F6333" s="109"/>
      <c r="G6333" s="109"/>
      <c r="H6333" s="109"/>
      <c r="I6333" s="109"/>
      <c r="J6333" s="109"/>
      <c r="W6333" s="109"/>
    </row>
    <row r="6334" spans="1:23" ht="12.75" hidden="1">
      <c r="A6334" s="109"/>
      <c r="B6334" s="109"/>
      <c r="C6334" s="109"/>
      <c r="D6334" s="109"/>
      <c r="E6334" s="109"/>
      <c r="F6334" s="109"/>
      <c r="G6334" s="109"/>
      <c r="H6334" s="109"/>
      <c r="I6334" s="109"/>
      <c r="J6334" s="109"/>
      <c r="W6334" s="109"/>
    </row>
    <row r="6335" spans="1:23" ht="12.75" hidden="1">
      <c r="A6335" s="109"/>
      <c r="B6335" s="109"/>
      <c r="C6335" s="109"/>
      <c r="D6335" s="109"/>
      <c r="E6335" s="109"/>
      <c r="F6335" s="109"/>
      <c r="G6335" s="109"/>
      <c r="H6335" s="109"/>
      <c r="I6335" s="109"/>
      <c r="J6335" s="109"/>
      <c r="W6335" s="109"/>
    </row>
    <row r="6336" spans="1:23" ht="12.75" hidden="1">
      <c r="A6336" s="109"/>
      <c r="B6336" s="109"/>
      <c r="C6336" s="109"/>
      <c r="D6336" s="109"/>
      <c r="E6336" s="109"/>
      <c r="F6336" s="109"/>
      <c r="G6336" s="109"/>
      <c r="H6336" s="109"/>
      <c r="I6336" s="109"/>
      <c r="J6336" s="109"/>
      <c r="W6336" s="109"/>
    </row>
    <row r="6337" spans="1:23" ht="12.75" hidden="1">
      <c r="A6337" s="109"/>
      <c r="B6337" s="109"/>
      <c r="C6337" s="109"/>
      <c r="D6337" s="109"/>
      <c r="E6337" s="109"/>
      <c r="F6337" s="109"/>
      <c r="G6337" s="109"/>
      <c r="H6337" s="109"/>
      <c r="I6337" s="109"/>
      <c r="J6337" s="109"/>
      <c r="W6337" s="109"/>
    </row>
    <row r="6338" spans="1:23" ht="12.75" hidden="1">
      <c r="A6338" s="109"/>
      <c r="B6338" s="109"/>
      <c r="C6338" s="109"/>
      <c r="D6338" s="109"/>
      <c r="E6338" s="109"/>
      <c r="F6338" s="109"/>
      <c r="G6338" s="109"/>
      <c r="H6338" s="109"/>
      <c r="I6338" s="109"/>
      <c r="J6338" s="109"/>
      <c r="W6338" s="109"/>
    </row>
    <row r="6339" spans="1:23" ht="12.75" hidden="1">
      <c r="A6339" s="109"/>
      <c r="B6339" s="109"/>
      <c r="C6339" s="109"/>
      <c r="D6339" s="109"/>
      <c r="E6339" s="109"/>
      <c r="F6339" s="109"/>
      <c r="G6339" s="109"/>
      <c r="H6339" s="109"/>
      <c r="I6339" s="109"/>
      <c r="J6339" s="109"/>
      <c r="W6339" s="109"/>
    </row>
    <row r="6340" spans="1:23" ht="12.75" hidden="1">
      <c r="A6340" s="109"/>
      <c r="B6340" s="109"/>
      <c r="C6340" s="109"/>
      <c r="D6340" s="109"/>
      <c r="E6340" s="109"/>
      <c r="F6340" s="109"/>
      <c r="G6340" s="109"/>
      <c r="H6340" s="109"/>
      <c r="I6340" s="109"/>
      <c r="J6340" s="109"/>
      <c r="W6340" s="109"/>
    </row>
    <row r="6341" spans="1:23" ht="12.75" hidden="1">
      <c r="A6341" s="109"/>
      <c r="B6341" s="109"/>
      <c r="C6341" s="109"/>
      <c r="D6341" s="109"/>
      <c r="E6341" s="109"/>
      <c r="F6341" s="109"/>
      <c r="G6341" s="109"/>
      <c r="H6341" s="109"/>
      <c r="I6341" s="109"/>
      <c r="J6341" s="109"/>
      <c r="W6341" s="109"/>
    </row>
    <row r="6342" spans="1:23" ht="12.75" hidden="1">
      <c r="A6342" s="109"/>
      <c r="B6342" s="109"/>
      <c r="C6342" s="109"/>
      <c r="D6342" s="109"/>
      <c r="E6342" s="109"/>
      <c r="F6342" s="109"/>
      <c r="G6342" s="109"/>
      <c r="H6342" s="109"/>
      <c r="I6342" s="109"/>
      <c r="J6342" s="109"/>
      <c r="W6342" s="109"/>
    </row>
    <row r="6343" spans="1:23" ht="12.75" hidden="1">
      <c r="A6343" s="109"/>
      <c r="B6343" s="109"/>
      <c r="C6343" s="109"/>
      <c r="D6343" s="109"/>
      <c r="E6343" s="109"/>
      <c r="F6343" s="109"/>
      <c r="G6343" s="109"/>
      <c r="H6343" s="109"/>
      <c r="I6343" s="109"/>
      <c r="J6343" s="109"/>
      <c r="W6343" s="109"/>
    </row>
    <row r="6344" spans="1:23" ht="12.75" hidden="1">
      <c r="A6344" s="109"/>
      <c r="B6344" s="109"/>
      <c r="C6344" s="109"/>
      <c r="D6344" s="109"/>
      <c r="E6344" s="109"/>
      <c r="F6344" s="109"/>
      <c r="G6344" s="109"/>
      <c r="H6344" s="109"/>
      <c r="I6344" s="109"/>
      <c r="J6344" s="109"/>
      <c r="W6344" s="109"/>
    </row>
    <row r="6345" spans="1:23" ht="12.75" hidden="1">
      <c r="A6345" s="109"/>
      <c r="B6345" s="109"/>
      <c r="C6345" s="109"/>
      <c r="D6345" s="109"/>
      <c r="E6345" s="109"/>
      <c r="F6345" s="109"/>
      <c r="G6345" s="109"/>
      <c r="H6345" s="109"/>
      <c r="I6345" s="109"/>
      <c r="J6345" s="109"/>
      <c r="W6345" s="109"/>
    </row>
    <row r="6346" spans="1:23" ht="12.75" hidden="1">
      <c r="A6346" s="109"/>
      <c r="B6346" s="109"/>
      <c r="C6346" s="109"/>
      <c r="D6346" s="109"/>
      <c r="E6346" s="109"/>
      <c r="F6346" s="109"/>
      <c r="G6346" s="109"/>
      <c r="H6346" s="109"/>
      <c r="I6346" s="109"/>
      <c r="J6346" s="109"/>
      <c r="W6346" s="109"/>
    </row>
    <row r="6347" spans="1:23" ht="12.75" hidden="1">
      <c r="A6347" s="109"/>
      <c r="B6347" s="109"/>
      <c r="C6347" s="109"/>
      <c r="D6347" s="109"/>
      <c r="E6347" s="109"/>
      <c r="F6347" s="109"/>
      <c r="G6347" s="109"/>
      <c r="H6347" s="109"/>
      <c r="I6347" s="109"/>
      <c r="J6347" s="109"/>
      <c r="W6347" s="109"/>
    </row>
    <row r="6348" spans="1:23" ht="12.75" hidden="1">
      <c r="A6348" s="109"/>
      <c r="B6348" s="109"/>
      <c r="C6348" s="109"/>
      <c r="D6348" s="109"/>
      <c r="E6348" s="109"/>
      <c r="F6348" s="109"/>
      <c r="G6348" s="109"/>
      <c r="H6348" s="109"/>
      <c r="I6348" s="109"/>
      <c r="J6348" s="109"/>
      <c r="W6348" s="109"/>
    </row>
    <row r="6349" spans="1:23" ht="12.75" hidden="1">
      <c r="A6349" s="109"/>
      <c r="B6349" s="109"/>
      <c r="C6349" s="109"/>
      <c r="D6349" s="109"/>
      <c r="E6349" s="109"/>
      <c r="F6349" s="109"/>
      <c r="G6349" s="109"/>
      <c r="H6349" s="109"/>
      <c r="I6349" s="109"/>
      <c r="J6349" s="109"/>
      <c r="W6349" s="109"/>
    </row>
    <row r="6350" spans="1:23" ht="12.75" hidden="1">
      <c r="A6350" s="109"/>
      <c r="B6350" s="109"/>
      <c r="C6350" s="109"/>
      <c r="D6350" s="109"/>
      <c r="E6350" s="109"/>
      <c r="F6350" s="109"/>
      <c r="G6350" s="109"/>
      <c r="H6350" s="109"/>
      <c r="I6350" s="109"/>
      <c r="J6350" s="109"/>
      <c r="W6350" s="109"/>
    </row>
    <row r="6351" spans="1:23" ht="12.75" hidden="1">
      <c r="A6351" s="109"/>
      <c r="B6351" s="109"/>
      <c r="C6351" s="109"/>
      <c r="D6351" s="109"/>
      <c r="E6351" s="109"/>
      <c r="F6351" s="109"/>
      <c r="G6351" s="109"/>
      <c r="H6351" s="109"/>
      <c r="I6351" s="109"/>
      <c r="J6351" s="109"/>
      <c r="W6351" s="109"/>
    </row>
    <row r="6352" spans="1:23" ht="12.75" hidden="1">
      <c r="A6352" s="109"/>
      <c r="B6352" s="109"/>
      <c r="C6352" s="109"/>
      <c r="D6352" s="109"/>
      <c r="E6352" s="109"/>
      <c r="F6352" s="109"/>
      <c r="G6352" s="109"/>
      <c r="H6352" s="109"/>
      <c r="I6352" s="109"/>
      <c r="J6352" s="109"/>
      <c r="W6352" s="109"/>
    </row>
    <row r="6353" spans="1:23" ht="12.75" hidden="1">
      <c r="A6353" s="109"/>
      <c r="B6353" s="109"/>
      <c r="C6353" s="109"/>
      <c r="D6353" s="109"/>
      <c r="E6353" s="109"/>
      <c r="F6353" s="109"/>
      <c r="G6353" s="109"/>
      <c r="H6353" s="109"/>
      <c r="I6353" s="109"/>
      <c r="J6353" s="109"/>
      <c r="W6353" s="109"/>
    </row>
    <row r="6354" spans="1:23" ht="12.75" hidden="1">
      <c r="A6354" s="109"/>
      <c r="B6354" s="109"/>
      <c r="C6354" s="109"/>
      <c r="D6354" s="109"/>
      <c r="E6354" s="109"/>
      <c r="F6354" s="109"/>
      <c r="G6354" s="109"/>
      <c r="H6354" s="109"/>
      <c r="I6354" s="109"/>
      <c r="J6354" s="109"/>
      <c r="W6354" s="109"/>
    </row>
    <row r="6355" spans="1:23" ht="12.75" hidden="1">
      <c r="A6355" s="109"/>
      <c r="B6355" s="109"/>
      <c r="C6355" s="109"/>
      <c r="D6355" s="109"/>
      <c r="E6355" s="109"/>
      <c r="F6355" s="109"/>
      <c r="G6355" s="109"/>
      <c r="H6355" s="109"/>
      <c r="I6355" s="109"/>
      <c r="J6355" s="109"/>
      <c r="W6355" s="109"/>
    </row>
    <row r="6356" spans="1:23" ht="12.75" hidden="1">
      <c r="A6356" s="109"/>
      <c r="B6356" s="109"/>
      <c r="C6356" s="109"/>
      <c r="D6356" s="109"/>
      <c r="E6356" s="109"/>
      <c r="F6356" s="109"/>
      <c r="G6356" s="109"/>
      <c r="H6356" s="109"/>
      <c r="I6356" s="109"/>
      <c r="J6356" s="109"/>
      <c r="W6356" s="109"/>
    </row>
    <row r="6357" spans="1:23" ht="12.75" hidden="1">
      <c r="A6357" s="109"/>
      <c r="B6357" s="109"/>
      <c r="C6357" s="109"/>
      <c r="D6357" s="109"/>
      <c r="E6357" s="109"/>
      <c r="F6357" s="109"/>
      <c r="G6357" s="109"/>
      <c r="H6357" s="109"/>
      <c r="I6357" s="109"/>
      <c r="J6357" s="109"/>
      <c r="W6357" s="109"/>
    </row>
    <row r="6358" spans="1:23" ht="12.75" hidden="1">
      <c r="A6358" s="109"/>
      <c r="B6358" s="109"/>
      <c r="C6358" s="109"/>
      <c r="D6358" s="109"/>
      <c r="E6358" s="109"/>
      <c r="F6358" s="109"/>
      <c r="G6358" s="109"/>
      <c r="H6358" s="109"/>
      <c r="I6358" s="109"/>
      <c r="J6358" s="109"/>
      <c r="W6358" s="109"/>
    </row>
    <row r="6359" spans="1:23" ht="12.75" hidden="1">
      <c r="A6359" s="109"/>
      <c r="B6359" s="109"/>
      <c r="C6359" s="109"/>
      <c r="D6359" s="109"/>
      <c r="E6359" s="109"/>
      <c r="F6359" s="109"/>
      <c r="G6359" s="109"/>
      <c r="H6359" s="109"/>
      <c r="I6359" s="109"/>
      <c r="J6359" s="109"/>
      <c r="W6359" s="109"/>
    </row>
    <row r="6360" spans="1:23" ht="12.75" hidden="1">
      <c r="A6360" s="109"/>
      <c r="B6360" s="109"/>
      <c r="C6360" s="109"/>
      <c r="D6360" s="109"/>
      <c r="E6360" s="109"/>
      <c r="F6360" s="109"/>
      <c r="G6360" s="109"/>
      <c r="H6360" s="109"/>
      <c r="I6360" s="109"/>
      <c r="J6360" s="109"/>
      <c r="W6360" s="109"/>
    </row>
    <row r="6361" spans="1:23" ht="12.75" hidden="1">
      <c r="A6361" s="109"/>
      <c r="B6361" s="109"/>
      <c r="C6361" s="109"/>
      <c r="D6361" s="109"/>
      <c r="E6361" s="109"/>
      <c r="F6361" s="109"/>
      <c r="G6361" s="109"/>
      <c r="H6361" s="109"/>
      <c r="I6361" s="109"/>
      <c r="J6361" s="109"/>
      <c r="W6361" s="109"/>
    </row>
    <row r="6362" spans="1:23" ht="12.75" hidden="1">
      <c r="A6362" s="109"/>
      <c r="B6362" s="109"/>
      <c r="C6362" s="109"/>
      <c r="D6362" s="109"/>
      <c r="E6362" s="109"/>
      <c r="F6362" s="109"/>
      <c r="G6362" s="109"/>
      <c r="H6362" s="109"/>
      <c r="I6362" s="109"/>
      <c r="J6362" s="109"/>
      <c r="W6362" s="109"/>
    </row>
    <row r="6363" spans="1:23" ht="12.75" hidden="1">
      <c r="A6363" s="109"/>
      <c r="B6363" s="109"/>
      <c r="C6363" s="109"/>
      <c r="D6363" s="109"/>
      <c r="E6363" s="109"/>
      <c r="F6363" s="109"/>
      <c r="G6363" s="109"/>
      <c r="H6363" s="109"/>
      <c r="I6363" s="109"/>
      <c r="J6363" s="109"/>
      <c r="W6363" s="109"/>
    </row>
    <row r="6364" spans="1:23" ht="12.75" hidden="1">
      <c r="A6364" s="109"/>
      <c r="B6364" s="109"/>
      <c r="C6364" s="109"/>
      <c r="D6364" s="109"/>
      <c r="E6364" s="109"/>
      <c r="F6364" s="109"/>
      <c r="G6364" s="109"/>
      <c r="H6364" s="109"/>
      <c r="I6364" s="109"/>
      <c r="J6364" s="109"/>
      <c r="W6364" s="109"/>
    </row>
    <row r="6365" spans="1:23" ht="12.75" hidden="1">
      <c r="A6365" s="109"/>
      <c r="B6365" s="109"/>
      <c r="C6365" s="109"/>
      <c r="D6365" s="109"/>
      <c r="E6365" s="109"/>
      <c r="F6365" s="109"/>
      <c r="G6365" s="109"/>
      <c r="H6365" s="109"/>
      <c r="I6365" s="109"/>
      <c r="J6365" s="109"/>
      <c r="W6365" s="109"/>
    </row>
    <row r="6366" spans="1:23" ht="12.75" hidden="1">
      <c r="A6366" s="109"/>
      <c r="B6366" s="109"/>
      <c r="C6366" s="109"/>
      <c r="D6366" s="109"/>
      <c r="E6366" s="109"/>
      <c r="F6366" s="109"/>
      <c r="G6366" s="109"/>
      <c r="H6366" s="109"/>
      <c r="I6366" s="109"/>
      <c r="J6366" s="109"/>
      <c r="W6366" s="109"/>
    </row>
    <row r="6367" spans="1:23" ht="12.75" hidden="1">
      <c r="A6367" s="109"/>
      <c r="B6367" s="109"/>
      <c r="C6367" s="109"/>
      <c r="D6367" s="109"/>
      <c r="E6367" s="109"/>
      <c r="F6367" s="109"/>
      <c r="G6367" s="109"/>
      <c r="H6367" s="109"/>
      <c r="I6367" s="109"/>
      <c r="J6367" s="109"/>
      <c r="W6367" s="109"/>
    </row>
    <row r="6368" spans="1:23" ht="12.75" hidden="1">
      <c r="A6368" s="109"/>
      <c r="B6368" s="109"/>
      <c r="C6368" s="109"/>
      <c r="D6368" s="109"/>
      <c r="E6368" s="109"/>
      <c r="F6368" s="109"/>
      <c r="G6368" s="109"/>
      <c r="H6368" s="109"/>
      <c r="I6368" s="109"/>
      <c r="J6368" s="109"/>
      <c r="W6368" s="109"/>
    </row>
    <row r="6369" spans="1:23" ht="12.75" hidden="1">
      <c r="A6369" s="109"/>
      <c r="B6369" s="109"/>
      <c r="C6369" s="109"/>
      <c r="D6369" s="109"/>
      <c r="E6369" s="109"/>
      <c r="F6369" s="109"/>
      <c r="G6369" s="109"/>
      <c r="H6369" s="109"/>
      <c r="I6369" s="109"/>
      <c r="J6369" s="109"/>
      <c r="W6369" s="109"/>
    </row>
    <row r="6370" spans="1:23" ht="12.75" hidden="1">
      <c r="A6370" s="109"/>
      <c r="B6370" s="109"/>
      <c r="C6370" s="109"/>
      <c r="D6370" s="109"/>
      <c r="E6370" s="109"/>
      <c r="F6370" s="109"/>
      <c r="G6370" s="109"/>
      <c r="H6370" s="109"/>
      <c r="I6370" s="109"/>
      <c r="J6370" s="109"/>
      <c r="W6370" s="109"/>
    </row>
    <row r="6371" spans="1:23" ht="12.75" hidden="1">
      <c r="A6371" s="109"/>
      <c r="B6371" s="109"/>
      <c r="C6371" s="109"/>
      <c r="D6371" s="109"/>
      <c r="E6371" s="109"/>
      <c r="F6371" s="109"/>
      <c r="G6371" s="109"/>
      <c r="H6371" s="109"/>
      <c r="I6371" s="109"/>
      <c r="J6371" s="109"/>
      <c r="W6371" s="109"/>
    </row>
    <row r="6372" spans="1:23" ht="12.75" hidden="1">
      <c r="A6372" s="109"/>
      <c r="B6372" s="109"/>
      <c r="C6372" s="109"/>
      <c r="D6372" s="109"/>
      <c r="E6372" s="109"/>
      <c r="F6372" s="109"/>
      <c r="G6372" s="109"/>
      <c r="H6372" s="109"/>
      <c r="I6372" s="109"/>
      <c r="J6372" s="109"/>
      <c r="W6372" s="109"/>
    </row>
    <row r="6373" spans="1:23" ht="12.75" hidden="1">
      <c r="A6373" s="109"/>
      <c r="B6373" s="109"/>
      <c r="C6373" s="109"/>
      <c r="D6373" s="109"/>
      <c r="E6373" s="109"/>
      <c r="F6373" s="109"/>
      <c r="G6373" s="109"/>
      <c r="H6373" s="109"/>
      <c r="I6373" s="109"/>
      <c r="J6373" s="109"/>
      <c r="W6373" s="109"/>
    </row>
    <row r="6374" spans="1:23" ht="12.75" hidden="1">
      <c r="A6374" s="109"/>
      <c r="B6374" s="109"/>
      <c r="C6374" s="109"/>
      <c r="D6374" s="109"/>
      <c r="E6374" s="109"/>
      <c r="F6374" s="109"/>
      <c r="G6374" s="109"/>
      <c r="H6374" s="109"/>
      <c r="I6374" s="109"/>
      <c r="J6374" s="109"/>
      <c r="W6374" s="109"/>
    </row>
    <row r="6375" spans="1:23" ht="12.75" hidden="1">
      <c r="A6375" s="109"/>
      <c r="B6375" s="109"/>
      <c r="C6375" s="109"/>
      <c r="D6375" s="109"/>
      <c r="E6375" s="109"/>
      <c r="F6375" s="109"/>
      <c r="G6375" s="109"/>
      <c r="H6375" s="109"/>
      <c r="I6375" s="109"/>
      <c r="J6375" s="109"/>
      <c r="W6375" s="109"/>
    </row>
    <row r="6376" spans="1:23" ht="12.75" hidden="1">
      <c r="A6376" s="109"/>
      <c r="B6376" s="109"/>
      <c r="C6376" s="109"/>
      <c r="D6376" s="109"/>
      <c r="E6376" s="109"/>
      <c r="F6376" s="109"/>
      <c r="G6376" s="109"/>
      <c r="H6376" s="109"/>
      <c r="I6376" s="109"/>
      <c r="J6376" s="109"/>
      <c r="W6376" s="109"/>
    </row>
    <row r="6377" spans="1:23" ht="12.75" hidden="1">
      <c r="A6377" s="109"/>
      <c r="B6377" s="109"/>
      <c r="C6377" s="109"/>
      <c r="D6377" s="109"/>
      <c r="E6377" s="109"/>
      <c r="F6377" s="109"/>
      <c r="G6377" s="109"/>
      <c r="H6377" s="109"/>
      <c r="I6377" s="109"/>
      <c r="J6377" s="109"/>
      <c r="W6377" s="109"/>
    </row>
    <row r="6378" spans="1:23" ht="12.75" hidden="1">
      <c r="A6378" s="109"/>
      <c r="B6378" s="109"/>
      <c r="C6378" s="109"/>
      <c r="D6378" s="109"/>
      <c r="E6378" s="109"/>
      <c r="F6378" s="109"/>
      <c r="G6378" s="109"/>
      <c r="H6378" s="109"/>
      <c r="I6378" s="109"/>
      <c r="J6378" s="109"/>
      <c r="W6378" s="109"/>
    </row>
    <row r="6379" spans="1:23" ht="12.75" hidden="1">
      <c r="A6379" s="109"/>
      <c r="B6379" s="109"/>
      <c r="C6379" s="109"/>
      <c r="D6379" s="109"/>
      <c r="E6379" s="109"/>
      <c r="F6379" s="109"/>
      <c r="G6379" s="109"/>
      <c r="H6379" s="109"/>
      <c r="I6379" s="109"/>
      <c r="J6379" s="109"/>
      <c r="W6379" s="109"/>
    </row>
    <row r="6380" spans="1:23" ht="12.75" hidden="1">
      <c r="A6380" s="109"/>
      <c r="B6380" s="109"/>
      <c r="C6380" s="109"/>
      <c r="D6380" s="109"/>
      <c r="E6380" s="109"/>
      <c r="F6380" s="109"/>
      <c r="G6380" s="109"/>
      <c r="H6380" s="109"/>
      <c r="I6380" s="109"/>
      <c r="J6380" s="109"/>
      <c r="W6380" s="109"/>
    </row>
    <row r="6381" spans="1:23" ht="12.75" hidden="1">
      <c r="A6381" s="109"/>
      <c r="B6381" s="109"/>
      <c r="C6381" s="109"/>
      <c r="D6381" s="109"/>
      <c r="E6381" s="109"/>
      <c r="F6381" s="109"/>
      <c r="G6381" s="109"/>
      <c r="H6381" s="109"/>
      <c r="I6381" s="109"/>
      <c r="J6381" s="109"/>
      <c r="W6381" s="109"/>
    </row>
    <row r="6382" spans="1:23" ht="12.75" hidden="1">
      <c r="A6382" s="109"/>
      <c r="B6382" s="109"/>
      <c r="C6382" s="109"/>
      <c r="D6382" s="109"/>
      <c r="E6382" s="109"/>
      <c r="F6382" s="109"/>
      <c r="G6382" s="109"/>
      <c r="H6382" s="109"/>
      <c r="I6382" s="109"/>
      <c r="J6382" s="109"/>
      <c r="W6382" s="109"/>
    </row>
    <row r="6383" spans="1:23" ht="12.75" hidden="1">
      <c r="A6383" s="109"/>
      <c r="B6383" s="109"/>
      <c r="C6383" s="109"/>
      <c r="D6383" s="109"/>
      <c r="E6383" s="109"/>
      <c r="F6383" s="109"/>
      <c r="G6383" s="109"/>
      <c r="H6383" s="109"/>
      <c r="I6383" s="109"/>
      <c r="J6383" s="109"/>
      <c r="W6383" s="109"/>
    </row>
    <row r="6384" spans="1:23" ht="12.75" hidden="1">
      <c r="A6384" s="109"/>
      <c r="B6384" s="109"/>
      <c r="C6384" s="109"/>
      <c r="D6384" s="109"/>
      <c r="E6384" s="109"/>
      <c r="F6384" s="109"/>
      <c r="G6384" s="109"/>
      <c r="H6384" s="109"/>
      <c r="I6384" s="109"/>
      <c r="J6384" s="109"/>
      <c r="W6384" s="109"/>
    </row>
    <row r="6385" spans="1:23" ht="12.75" hidden="1">
      <c r="A6385" s="109"/>
      <c r="B6385" s="109"/>
      <c r="C6385" s="109"/>
      <c r="D6385" s="109"/>
      <c r="E6385" s="109"/>
      <c r="F6385" s="109"/>
      <c r="G6385" s="109"/>
      <c r="H6385" s="109"/>
      <c r="I6385" s="109"/>
      <c r="J6385" s="109"/>
      <c r="W6385" s="109"/>
    </row>
    <row r="6386" spans="1:23" ht="12.75" hidden="1">
      <c r="A6386" s="109"/>
      <c r="B6386" s="109"/>
      <c r="C6386" s="109"/>
      <c r="D6386" s="109"/>
      <c r="E6386" s="109"/>
      <c r="F6386" s="109"/>
      <c r="G6386" s="109"/>
      <c r="H6386" s="109"/>
      <c r="I6386" s="109"/>
      <c r="J6386" s="109"/>
      <c r="W6386" s="109"/>
    </row>
    <row r="6387" spans="1:23" ht="12.75" hidden="1">
      <c r="A6387" s="109"/>
      <c r="B6387" s="109"/>
      <c r="C6387" s="109"/>
      <c r="D6387" s="109"/>
      <c r="E6387" s="109"/>
      <c r="F6387" s="109"/>
      <c r="G6387" s="109"/>
      <c r="H6387" s="109"/>
      <c r="I6387" s="109"/>
      <c r="J6387" s="109"/>
      <c r="W6387" s="109"/>
    </row>
    <row r="6388" spans="1:23" ht="12.75" hidden="1">
      <c r="A6388" s="109"/>
      <c r="B6388" s="109"/>
      <c r="C6388" s="109"/>
      <c r="D6388" s="109"/>
      <c r="E6388" s="109"/>
      <c r="F6388" s="109"/>
      <c r="G6388" s="109"/>
      <c r="H6388" s="109"/>
      <c r="I6388" s="109"/>
      <c r="J6388" s="109"/>
      <c r="W6388" s="109"/>
    </row>
    <row r="6389" spans="1:23" ht="12.75" hidden="1">
      <c r="A6389" s="109"/>
      <c r="B6389" s="109"/>
      <c r="C6389" s="109"/>
      <c r="D6389" s="109"/>
      <c r="E6389" s="109"/>
      <c r="F6389" s="109"/>
      <c r="G6389" s="109"/>
      <c r="H6389" s="109"/>
      <c r="I6389" s="109"/>
      <c r="J6389" s="109"/>
      <c r="W6389" s="109"/>
    </row>
    <row r="6390" spans="1:23" ht="12.75" hidden="1">
      <c r="A6390" s="109"/>
      <c r="B6390" s="109"/>
      <c r="C6390" s="109"/>
      <c r="D6390" s="109"/>
      <c r="E6390" s="109"/>
      <c r="F6390" s="109"/>
      <c r="G6390" s="109"/>
      <c r="H6390" s="109"/>
      <c r="I6390" s="109"/>
      <c r="J6390" s="109"/>
      <c r="W6390" s="109"/>
    </row>
    <row r="6391" spans="1:23" ht="12.75" hidden="1">
      <c r="A6391" s="109"/>
      <c r="B6391" s="109"/>
      <c r="C6391" s="109"/>
      <c r="D6391" s="109"/>
      <c r="E6391" s="109"/>
      <c r="F6391" s="109"/>
      <c r="G6391" s="109"/>
      <c r="H6391" s="109"/>
      <c r="I6391" s="109"/>
      <c r="J6391" s="109"/>
      <c r="W6391" s="109"/>
    </row>
    <row r="6392" spans="1:23" ht="12.75" hidden="1">
      <c r="A6392" s="109"/>
      <c r="B6392" s="109"/>
      <c r="C6392" s="109"/>
      <c r="D6392" s="109"/>
      <c r="E6392" s="109"/>
      <c r="F6392" s="109"/>
      <c r="G6392" s="109"/>
      <c r="H6392" s="109"/>
      <c r="I6392" s="109"/>
      <c r="J6392" s="109"/>
      <c r="W6392" s="109"/>
    </row>
    <row r="6393" spans="1:23" ht="12.75" hidden="1">
      <c r="A6393" s="109"/>
      <c r="B6393" s="109"/>
      <c r="C6393" s="109"/>
      <c r="D6393" s="109"/>
      <c r="E6393" s="109"/>
      <c r="F6393" s="109"/>
      <c r="G6393" s="109"/>
      <c r="H6393" s="109"/>
      <c r="I6393" s="109"/>
      <c r="J6393" s="109"/>
      <c r="W6393" s="109"/>
    </row>
    <row r="6394" spans="1:23" ht="12.75" hidden="1">
      <c r="A6394" s="109"/>
      <c r="B6394" s="109"/>
      <c r="C6394" s="109"/>
      <c r="D6394" s="109"/>
      <c r="E6394" s="109"/>
      <c r="F6394" s="109"/>
      <c r="G6394" s="109"/>
      <c r="H6394" s="109"/>
      <c r="I6394" s="109"/>
      <c r="J6394" s="109"/>
      <c r="W6394" s="109"/>
    </row>
    <row r="6395" spans="1:23" ht="12.75" hidden="1">
      <c r="A6395" s="109"/>
      <c r="B6395" s="109"/>
      <c r="C6395" s="109"/>
      <c r="D6395" s="109"/>
      <c r="E6395" s="109"/>
      <c r="F6395" s="109"/>
      <c r="G6395" s="109"/>
      <c r="H6395" s="109"/>
      <c r="I6395" s="109"/>
      <c r="J6395" s="109"/>
      <c r="W6395" s="109"/>
    </row>
    <row r="6396" spans="1:23" ht="12.75" hidden="1">
      <c r="A6396" s="109"/>
      <c r="B6396" s="109"/>
      <c r="C6396" s="109"/>
      <c r="D6396" s="109"/>
      <c r="E6396" s="109"/>
      <c r="F6396" s="109"/>
      <c r="G6396" s="109"/>
      <c r="H6396" s="109"/>
      <c r="I6396" s="109"/>
      <c r="J6396" s="109"/>
      <c r="W6396" s="109"/>
    </row>
    <row r="6397" spans="1:23" ht="12.75" hidden="1">
      <c r="A6397" s="109"/>
      <c r="B6397" s="109"/>
      <c r="C6397" s="109"/>
      <c r="D6397" s="109"/>
      <c r="E6397" s="109"/>
      <c r="F6397" s="109"/>
      <c r="G6397" s="109"/>
      <c r="H6397" s="109"/>
      <c r="I6397" s="109"/>
      <c r="J6397" s="109"/>
      <c r="W6397" s="109"/>
    </row>
    <row r="6398" spans="1:23" ht="12.75" hidden="1">
      <c r="A6398" s="109"/>
      <c r="B6398" s="109"/>
      <c r="C6398" s="109"/>
      <c r="D6398" s="109"/>
      <c r="E6398" s="109"/>
      <c r="F6398" s="109"/>
      <c r="G6398" s="109"/>
      <c r="H6398" s="109"/>
      <c r="I6398" s="109"/>
      <c r="J6398" s="109"/>
      <c r="W6398" s="109"/>
    </row>
    <row r="6399" spans="1:23" ht="12.75" hidden="1">
      <c r="A6399" s="109"/>
      <c r="B6399" s="109"/>
      <c r="C6399" s="109"/>
      <c r="D6399" s="109"/>
      <c r="E6399" s="109"/>
      <c r="F6399" s="109"/>
      <c r="G6399" s="109"/>
      <c r="H6399" s="109"/>
      <c r="I6399" s="109"/>
      <c r="J6399" s="109"/>
      <c r="W6399" s="109"/>
    </row>
    <row r="6400" spans="1:23" ht="12.75" hidden="1">
      <c r="A6400" s="109"/>
      <c r="B6400" s="109"/>
      <c r="C6400" s="109"/>
      <c r="D6400" s="109"/>
      <c r="E6400" s="109"/>
      <c r="F6400" s="109"/>
      <c r="G6400" s="109"/>
      <c r="H6400" s="109"/>
      <c r="I6400" s="109"/>
      <c r="J6400" s="109"/>
      <c r="W6400" s="109"/>
    </row>
    <row r="6401" spans="1:23" ht="12.75" hidden="1">
      <c r="A6401" s="109"/>
      <c r="B6401" s="109"/>
      <c r="C6401" s="109"/>
      <c r="D6401" s="109"/>
      <c r="E6401" s="109"/>
      <c r="F6401" s="109"/>
      <c r="G6401" s="109"/>
      <c r="H6401" s="109"/>
      <c r="I6401" s="109"/>
      <c r="J6401" s="109"/>
      <c r="W6401" s="109"/>
    </row>
    <row r="6402" spans="1:23" ht="12.75" hidden="1">
      <c r="A6402" s="109"/>
      <c r="B6402" s="109"/>
      <c r="C6402" s="109"/>
      <c r="D6402" s="109"/>
      <c r="E6402" s="109"/>
      <c r="F6402" s="109"/>
      <c r="G6402" s="109"/>
      <c r="H6402" s="109"/>
      <c r="I6402" s="109"/>
      <c r="J6402" s="109"/>
      <c r="W6402" s="109"/>
    </row>
    <row r="6403" spans="1:23" ht="12.75" hidden="1">
      <c r="A6403" s="109"/>
      <c r="B6403" s="109"/>
      <c r="C6403" s="109"/>
      <c r="D6403" s="109"/>
      <c r="E6403" s="109"/>
      <c r="F6403" s="109"/>
      <c r="G6403" s="109"/>
      <c r="H6403" s="109"/>
      <c r="I6403" s="109"/>
      <c r="J6403" s="109"/>
      <c r="W6403" s="109"/>
    </row>
    <row r="6404" spans="1:23" ht="12.75" hidden="1">
      <c r="A6404" s="109"/>
      <c r="B6404" s="109"/>
      <c r="C6404" s="109"/>
      <c r="D6404" s="109"/>
      <c r="E6404" s="109"/>
      <c r="F6404" s="109"/>
      <c r="G6404" s="109"/>
      <c r="H6404" s="109"/>
      <c r="I6404" s="109"/>
      <c r="J6404" s="109"/>
      <c r="W6404" s="109"/>
    </row>
    <row r="6405" spans="1:23" ht="12.75" hidden="1">
      <c r="A6405" s="109"/>
      <c r="B6405" s="109"/>
      <c r="C6405" s="109"/>
      <c r="D6405" s="109"/>
      <c r="E6405" s="109"/>
      <c r="F6405" s="109"/>
      <c r="G6405" s="109"/>
      <c r="H6405" s="109"/>
      <c r="I6405" s="109"/>
      <c r="J6405" s="109"/>
      <c r="W6405" s="109"/>
    </row>
    <row r="6406" spans="1:23" ht="12.75" hidden="1">
      <c r="A6406" s="109"/>
      <c r="B6406" s="109"/>
      <c r="C6406" s="109"/>
      <c r="D6406" s="109"/>
      <c r="E6406" s="109"/>
      <c r="F6406" s="109"/>
      <c r="G6406" s="109"/>
      <c r="H6406" s="109"/>
      <c r="I6406" s="109"/>
      <c r="J6406" s="109"/>
      <c r="W6406" s="109"/>
    </row>
    <row r="6407" spans="1:23" ht="12.75" hidden="1">
      <c r="A6407" s="109"/>
      <c r="B6407" s="109"/>
      <c r="C6407" s="109"/>
      <c r="D6407" s="109"/>
      <c r="E6407" s="109"/>
      <c r="F6407" s="109"/>
      <c r="G6407" s="109"/>
      <c r="H6407" s="109"/>
      <c r="I6407" s="109"/>
      <c r="J6407" s="109"/>
      <c r="W6407" s="109"/>
    </row>
    <row r="6408" spans="1:23" ht="12.75" hidden="1">
      <c r="A6408" s="109"/>
      <c r="B6408" s="109"/>
      <c r="C6408" s="109"/>
      <c r="D6408" s="109"/>
      <c r="E6408" s="109"/>
      <c r="F6408" s="109"/>
      <c r="G6408" s="109"/>
      <c r="H6408" s="109"/>
      <c r="I6408" s="109"/>
      <c r="J6408" s="109"/>
      <c r="W6408" s="109"/>
    </row>
    <row r="6409" spans="1:23" ht="12.75" hidden="1">
      <c r="A6409" s="109"/>
      <c r="B6409" s="109"/>
      <c r="C6409" s="109"/>
      <c r="D6409" s="109"/>
      <c r="E6409" s="109"/>
      <c r="F6409" s="109"/>
      <c r="G6409" s="109"/>
      <c r="H6409" s="109"/>
      <c r="I6409" s="109"/>
      <c r="J6409" s="109"/>
      <c r="W6409" s="109"/>
    </row>
    <row r="6410" spans="1:23" ht="12.75" hidden="1">
      <c r="A6410" s="109"/>
      <c r="B6410" s="109"/>
      <c r="C6410" s="109"/>
      <c r="D6410" s="109"/>
      <c r="E6410" s="109"/>
      <c r="F6410" s="109"/>
      <c r="G6410" s="109"/>
      <c r="H6410" s="109"/>
      <c r="I6410" s="109"/>
      <c r="J6410" s="109"/>
      <c r="W6410" s="109"/>
    </row>
    <row r="6411" spans="1:23" ht="12.75" hidden="1">
      <c r="A6411" s="109"/>
      <c r="B6411" s="109"/>
      <c r="C6411" s="109"/>
      <c r="D6411" s="109"/>
      <c r="E6411" s="109"/>
      <c r="F6411" s="109"/>
      <c r="G6411" s="109"/>
      <c r="H6411" s="109"/>
      <c r="I6411" s="109"/>
      <c r="J6411" s="109"/>
      <c r="W6411" s="109"/>
    </row>
    <row r="6412" spans="1:23" ht="12.75" hidden="1">
      <c r="A6412" s="109"/>
      <c r="B6412" s="109"/>
      <c r="C6412" s="109"/>
      <c r="D6412" s="109"/>
      <c r="E6412" s="109"/>
      <c r="F6412" s="109"/>
      <c r="G6412" s="109"/>
      <c r="H6412" s="109"/>
      <c r="I6412" s="109"/>
      <c r="J6412" s="109"/>
      <c r="W6412" s="109"/>
    </row>
    <row r="6413" spans="1:23" ht="12.75" hidden="1">
      <c r="A6413" s="109"/>
      <c r="B6413" s="109"/>
      <c r="C6413" s="109"/>
      <c r="D6413" s="109"/>
      <c r="E6413" s="109"/>
      <c r="F6413" s="109"/>
      <c r="G6413" s="109"/>
      <c r="H6413" s="109"/>
      <c r="I6413" s="109"/>
      <c r="J6413" s="109"/>
      <c r="W6413" s="109"/>
    </row>
    <row r="6414" spans="1:23" ht="12.75" hidden="1">
      <c r="A6414" s="109"/>
      <c r="B6414" s="109"/>
      <c r="C6414" s="109"/>
      <c r="D6414" s="109"/>
      <c r="E6414" s="109"/>
      <c r="F6414" s="109"/>
      <c r="G6414" s="109"/>
      <c r="H6414" s="109"/>
      <c r="I6414" s="109"/>
      <c r="J6414" s="109"/>
      <c r="W6414" s="109"/>
    </row>
    <row r="6415" spans="1:23" ht="12.75" hidden="1">
      <c r="A6415" s="109"/>
      <c r="B6415" s="109"/>
      <c r="C6415" s="109"/>
      <c r="D6415" s="109"/>
      <c r="E6415" s="109"/>
      <c r="F6415" s="109"/>
      <c r="G6415" s="109"/>
      <c r="H6415" s="109"/>
      <c r="I6415" s="109"/>
      <c r="J6415" s="109"/>
      <c r="W6415" s="109"/>
    </row>
    <row r="6416" spans="1:23" ht="12.75" hidden="1">
      <c r="A6416" s="109"/>
      <c r="B6416" s="109"/>
      <c r="C6416" s="109"/>
      <c r="D6416" s="109"/>
      <c r="E6416" s="109"/>
      <c r="F6416" s="109"/>
      <c r="G6416" s="109"/>
      <c r="H6416" s="109"/>
      <c r="I6416" s="109"/>
      <c r="J6416" s="109"/>
      <c r="W6416" s="109"/>
    </row>
    <row r="6417" spans="1:23" ht="12.75" hidden="1">
      <c r="A6417" s="109"/>
      <c r="B6417" s="109"/>
      <c r="C6417" s="109"/>
      <c r="D6417" s="109"/>
      <c r="E6417" s="109"/>
      <c r="F6417" s="109"/>
      <c r="G6417" s="109"/>
      <c r="H6417" s="109"/>
      <c r="I6417" s="109"/>
      <c r="J6417" s="109"/>
      <c r="W6417" s="109"/>
    </row>
    <row r="6418" spans="1:23" ht="12.75" hidden="1">
      <c r="A6418" s="109"/>
      <c r="B6418" s="109"/>
      <c r="C6418" s="109"/>
      <c r="D6418" s="109"/>
      <c r="E6418" s="109"/>
      <c r="F6418" s="109"/>
      <c r="G6418" s="109"/>
      <c r="H6418" s="109"/>
      <c r="I6418" s="109"/>
      <c r="J6418" s="109"/>
      <c r="W6418" s="109"/>
    </row>
    <row r="6419" spans="1:23" ht="12.75" hidden="1">
      <c r="A6419" s="109"/>
      <c r="B6419" s="109"/>
      <c r="C6419" s="109"/>
      <c r="D6419" s="109"/>
      <c r="E6419" s="109"/>
      <c r="F6419" s="109"/>
      <c r="G6419" s="109"/>
      <c r="H6419" s="109"/>
      <c r="I6419" s="109"/>
      <c r="J6419" s="109"/>
      <c r="W6419" s="109"/>
    </row>
    <row r="6420" spans="1:23" ht="12.75" hidden="1">
      <c r="A6420" s="109"/>
      <c r="B6420" s="109"/>
      <c r="C6420" s="109"/>
      <c r="D6420" s="109"/>
      <c r="E6420" s="109"/>
      <c r="F6420" s="109"/>
      <c r="G6420" s="109"/>
      <c r="H6420" s="109"/>
      <c r="I6420" s="109"/>
      <c r="J6420" s="109"/>
      <c r="W6420" s="109"/>
    </row>
    <row r="6421" spans="1:23" ht="12.75" hidden="1">
      <c r="A6421" s="109"/>
      <c r="B6421" s="109"/>
      <c r="C6421" s="109"/>
      <c r="D6421" s="109"/>
      <c r="E6421" s="109"/>
      <c r="F6421" s="109"/>
      <c r="G6421" s="109"/>
      <c r="H6421" s="109"/>
      <c r="I6421" s="109"/>
      <c r="J6421" s="109"/>
      <c r="W6421" s="109"/>
    </row>
    <row r="6422" spans="1:23" ht="12.75" hidden="1">
      <c r="A6422" s="109"/>
      <c r="B6422" s="109"/>
      <c r="C6422" s="109"/>
      <c r="D6422" s="109"/>
      <c r="E6422" s="109"/>
      <c r="F6422" s="109"/>
      <c r="G6422" s="109"/>
      <c r="H6422" s="109"/>
      <c r="I6422" s="109"/>
      <c r="J6422" s="109"/>
      <c r="W6422" s="109"/>
    </row>
    <row r="6423" spans="1:23" ht="12.75" hidden="1">
      <c r="A6423" s="109"/>
      <c r="B6423" s="109"/>
      <c r="C6423" s="109"/>
      <c r="D6423" s="109"/>
      <c r="E6423" s="109"/>
      <c r="F6423" s="109"/>
      <c r="G6423" s="109"/>
      <c r="H6423" s="109"/>
      <c r="I6423" s="109"/>
      <c r="J6423" s="109"/>
      <c r="W6423" s="109"/>
    </row>
    <row r="6424" spans="1:23" ht="12.75" hidden="1">
      <c r="A6424" s="109"/>
      <c r="B6424" s="109"/>
      <c r="C6424" s="109"/>
      <c r="D6424" s="109"/>
      <c r="E6424" s="109"/>
      <c r="F6424" s="109"/>
      <c r="G6424" s="109"/>
      <c r="H6424" s="109"/>
      <c r="I6424" s="109"/>
      <c r="J6424" s="109"/>
      <c r="W6424" s="109"/>
    </row>
    <row r="6425" spans="1:23" ht="12.75" hidden="1">
      <c r="A6425" s="109"/>
      <c r="B6425" s="109"/>
      <c r="C6425" s="109"/>
      <c r="D6425" s="109"/>
      <c r="E6425" s="109"/>
      <c r="F6425" s="109"/>
      <c r="G6425" s="109"/>
      <c r="H6425" s="109"/>
      <c r="I6425" s="109"/>
      <c r="J6425" s="109"/>
      <c r="W6425" s="109"/>
    </row>
    <row r="6426" spans="1:23" ht="12.75" hidden="1">
      <c r="A6426" s="109"/>
      <c r="B6426" s="109"/>
      <c r="C6426" s="109"/>
      <c r="D6426" s="109"/>
      <c r="E6426" s="109"/>
      <c r="F6426" s="109"/>
      <c r="G6426" s="109"/>
      <c r="H6426" s="109"/>
      <c r="I6426" s="109"/>
      <c r="J6426" s="109"/>
      <c r="W6426" s="109"/>
    </row>
    <row r="6427" spans="1:23" ht="12.75" hidden="1">
      <c r="A6427" s="109"/>
      <c r="B6427" s="109"/>
      <c r="C6427" s="109"/>
      <c r="D6427" s="109"/>
      <c r="E6427" s="109"/>
      <c r="F6427" s="109"/>
      <c r="G6427" s="109"/>
      <c r="H6427" s="109"/>
      <c r="I6427" s="109"/>
      <c r="J6427" s="109"/>
      <c r="W6427" s="109"/>
    </row>
    <row r="6428" spans="1:23" ht="12.75" hidden="1">
      <c r="A6428" s="109"/>
      <c r="B6428" s="109"/>
      <c r="C6428" s="109"/>
      <c r="D6428" s="109"/>
      <c r="E6428" s="109"/>
      <c r="F6428" s="109"/>
      <c r="G6428" s="109"/>
      <c r="H6428" s="109"/>
      <c r="I6428" s="109"/>
      <c r="J6428" s="109"/>
      <c r="W6428" s="109"/>
    </row>
    <row r="6429" spans="1:23" ht="12.75" hidden="1">
      <c r="A6429" s="109"/>
      <c r="B6429" s="109"/>
      <c r="C6429" s="109"/>
      <c r="D6429" s="109"/>
      <c r="E6429" s="109"/>
      <c r="F6429" s="109"/>
      <c r="G6429" s="109"/>
      <c r="H6429" s="109"/>
      <c r="I6429" s="109"/>
      <c r="J6429" s="109"/>
      <c r="W6429" s="109"/>
    </row>
    <row r="6430" spans="1:23" ht="12.75" hidden="1">
      <c r="A6430" s="109"/>
      <c r="B6430" s="109"/>
      <c r="C6430" s="109"/>
      <c r="D6430" s="109"/>
      <c r="E6430" s="109"/>
      <c r="F6430" s="109"/>
      <c r="G6430" s="109"/>
      <c r="H6430" s="109"/>
      <c r="I6430" s="109"/>
      <c r="J6430" s="109"/>
      <c r="W6430" s="109"/>
    </row>
    <row r="6431" spans="1:23" ht="12.75" hidden="1">
      <c r="A6431" s="109"/>
      <c r="B6431" s="109"/>
      <c r="C6431" s="109"/>
      <c r="D6431" s="109"/>
      <c r="E6431" s="109"/>
      <c r="F6431" s="109"/>
      <c r="G6431" s="109"/>
      <c r="H6431" s="109"/>
      <c r="I6431" s="109"/>
      <c r="J6431" s="109"/>
      <c r="W6431" s="109"/>
    </row>
    <row r="6432" spans="1:23" ht="12.75" hidden="1">
      <c r="A6432" s="109"/>
      <c r="B6432" s="109"/>
      <c r="C6432" s="109"/>
      <c r="D6432" s="109"/>
      <c r="E6432" s="109"/>
      <c r="F6432" s="109"/>
      <c r="G6432" s="109"/>
      <c r="H6432" s="109"/>
      <c r="I6432" s="109"/>
      <c r="J6432" s="109"/>
      <c r="W6432" s="109"/>
    </row>
    <row r="6433" spans="1:23" ht="12.75" hidden="1">
      <c r="A6433" s="109"/>
      <c r="B6433" s="109"/>
      <c r="C6433" s="109"/>
      <c r="D6433" s="109"/>
      <c r="E6433" s="109"/>
      <c r="F6433" s="109"/>
      <c r="G6433" s="109"/>
      <c r="H6433" s="109"/>
      <c r="I6433" s="109"/>
      <c r="J6433" s="109"/>
      <c r="W6433" s="109"/>
    </row>
    <row r="6434" spans="1:23" ht="12.75" hidden="1">
      <c r="A6434" s="109"/>
      <c r="B6434" s="109"/>
      <c r="C6434" s="109"/>
      <c r="D6434" s="109"/>
      <c r="E6434" s="109"/>
      <c r="F6434" s="109"/>
      <c r="G6434" s="109"/>
      <c r="H6434" s="109"/>
      <c r="I6434" s="109"/>
      <c r="J6434" s="109"/>
      <c r="W6434" s="109"/>
    </row>
    <row r="6435" spans="1:23" ht="12.75" hidden="1">
      <c r="A6435" s="109"/>
      <c r="B6435" s="109"/>
      <c r="C6435" s="109"/>
      <c r="D6435" s="109"/>
      <c r="E6435" s="109"/>
      <c r="F6435" s="109"/>
      <c r="G6435" s="109"/>
      <c r="H6435" s="109"/>
      <c r="I6435" s="109"/>
      <c r="J6435" s="109"/>
      <c r="W6435" s="109"/>
    </row>
    <row r="6436" spans="1:23" ht="12.75" hidden="1">
      <c r="A6436" s="109"/>
      <c r="B6436" s="109"/>
      <c r="C6436" s="109"/>
      <c r="D6436" s="109"/>
      <c r="E6436" s="109"/>
      <c r="F6436" s="109"/>
      <c r="G6436" s="109"/>
      <c r="H6436" s="109"/>
      <c r="I6436" s="109"/>
      <c r="J6436" s="109"/>
      <c r="W6436" s="109"/>
    </row>
    <row r="6437" spans="1:23" ht="12.75" hidden="1">
      <c r="A6437" s="109"/>
      <c r="B6437" s="109"/>
      <c r="C6437" s="109"/>
      <c r="D6437" s="109"/>
      <c r="E6437" s="109"/>
      <c r="F6437" s="109"/>
      <c r="G6437" s="109"/>
      <c r="H6437" s="109"/>
      <c r="I6437" s="109"/>
      <c r="J6437" s="109"/>
      <c r="W6437" s="109"/>
    </row>
    <row r="6438" spans="1:23" ht="12.75" hidden="1">
      <c r="A6438" s="109"/>
      <c r="B6438" s="109"/>
      <c r="C6438" s="109"/>
      <c r="D6438" s="109"/>
      <c r="E6438" s="109"/>
      <c r="F6438" s="109"/>
      <c r="G6438" s="109"/>
      <c r="H6438" s="109"/>
      <c r="I6438" s="109"/>
      <c r="J6438" s="109"/>
      <c r="W6438" s="109"/>
    </row>
    <row r="6439" spans="1:23" ht="12.75" hidden="1">
      <c r="A6439" s="109"/>
      <c r="B6439" s="109"/>
      <c r="C6439" s="109"/>
      <c r="D6439" s="109"/>
      <c r="E6439" s="109"/>
      <c r="F6439" s="109"/>
      <c r="G6439" s="109"/>
      <c r="H6439" s="109"/>
      <c r="I6439" s="109"/>
      <c r="J6439" s="109"/>
      <c r="W6439" s="109"/>
    </row>
    <row r="6440" spans="1:23" ht="12.75" hidden="1">
      <c r="A6440" s="109"/>
      <c r="B6440" s="109"/>
      <c r="C6440" s="109"/>
      <c r="D6440" s="109"/>
      <c r="E6440" s="109"/>
      <c r="F6440" s="109"/>
      <c r="G6440" s="109"/>
      <c r="H6440" s="109"/>
      <c r="I6440" s="109"/>
      <c r="J6440" s="109"/>
      <c r="W6440" s="109"/>
    </row>
    <row r="6441" spans="1:23" ht="12.75" hidden="1">
      <c r="A6441" s="109"/>
      <c r="B6441" s="109"/>
      <c r="C6441" s="109"/>
      <c r="D6441" s="109"/>
      <c r="E6441" s="109"/>
      <c r="F6441" s="109"/>
      <c r="G6441" s="109"/>
      <c r="H6441" s="109"/>
      <c r="I6441" s="109"/>
      <c r="J6441" s="109"/>
      <c r="W6441" s="109"/>
    </row>
    <row r="6442" spans="1:23" ht="12.75" hidden="1">
      <c r="A6442" s="109"/>
      <c r="B6442" s="109"/>
      <c r="C6442" s="109"/>
      <c r="D6442" s="109"/>
      <c r="E6442" s="109"/>
      <c r="F6442" s="109"/>
      <c r="G6442" s="109"/>
      <c r="H6442" s="109"/>
      <c r="I6442" s="109"/>
      <c r="J6442" s="109"/>
      <c r="W6442" s="109"/>
    </row>
    <row r="6443" spans="1:23" ht="12.75" hidden="1">
      <c r="A6443" s="109"/>
      <c r="B6443" s="109"/>
      <c r="C6443" s="109"/>
      <c r="D6443" s="109"/>
      <c r="E6443" s="109"/>
      <c r="F6443" s="109"/>
      <c r="G6443" s="109"/>
      <c r="H6443" s="109"/>
      <c r="I6443" s="109"/>
      <c r="J6443" s="109"/>
      <c r="W6443" s="109"/>
    </row>
    <row r="6444" spans="1:23" ht="12.75" hidden="1">
      <c r="A6444" s="109"/>
      <c r="B6444" s="109"/>
      <c r="C6444" s="109"/>
      <c r="D6444" s="109"/>
      <c r="E6444" s="109"/>
      <c r="F6444" s="109"/>
      <c r="G6444" s="109"/>
      <c r="H6444" s="109"/>
      <c r="I6444" s="109"/>
      <c r="J6444" s="109"/>
      <c r="W6444" s="109"/>
    </row>
    <row r="6445" spans="1:23" ht="12.75" hidden="1">
      <c r="A6445" s="109"/>
      <c r="B6445" s="109"/>
      <c r="C6445" s="109"/>
      <c r="D6445" s="109"/>
      <c r="E6445" s="109"/>
      <c r="F6445" s="109"/>
      <c r="G6445" s="109"/>
      <c r="H6445" s="109"/>
      <c r="I6445" s="109"/>
      <c r="J6445" s="109"/>
      <c r="W6445" s="109"/>
    </row>
    <row r="6446" spans="1:23" ht="12.75" hidden="1">
      <c r="A6446" s="109"/>
      <c r="B6446" s="109"/>
      <c r="C6446" s="109"/>
      <c r="D6446" s="109"/>
      <c r="E6446" s="109"/>
      <c r="F6446" s="109"/>
      <c r="G6446" s="109"/>
      <c r="H6446" s="109"/>
      <c r="I6446" s="109"/>
      <c r="J6446" s="109"/>
      <c r="W6446" s="109"/>
    </row>
    <row r="6447" spans="1:23" ht="12.75" hidden="1">
      <c r="A6447" s="109"/>
      <c r="B6447" s="109"/>
      <c r="C6447" s="109"/>
      <c r="D6447" s="109"/>
      <c r="E6447" s="109"/>
      <c r="F6447" s="109"/>
      <c r="G6447" s="109"/>
      <c r="H6447" s="109"/>
      <c r="I6447" s="109"/>
      <c r="J6447" s="109"/>
      <c r="W6447" s="109"/>
    </row>
    <row r="6448" spans="1:23" ht="12.75" hidden="1">
      <c r="A6448" s="109"/>
      <c r="B6448" s="109"/>
      <c r="C6448" s="109"/>
      <c r="D6448" s="109"/>
      <c r="E6448" s="109"/>
      <c r="F6448" s="109"/>
      <c r="G6448" s="109"/>
      <c r="H6448" s="109"/>
      <c r="I6448" s="109"/>
      <c r="J6448" s="109"/>
      <c r="W6448" s="109"/>
    </row>
    <row r="6449" spans="1:23" ht="12.75" hidden="1">
      <c r="A6449" s="109"/>
      <c r="B6449" s="109"/>
      <c r="C6449" s="109"/>
      <c r="D6449" s="109"/>
      <c r="E6449" s="109"/>
      <c r="F6449" s="109"/>
      <c r="G6449" s="109"/>
      <c r="H6449" s="109"/>
      <c r="I6449" s="109"/>
      <c r="J6449" s="109"/>
      <c r="W6449" s="109"/>
    </row>
    <row r="6450" spans="1:23" ht="12.75" hidden="1">
      <c r="A6450" s="109"/>
      <c r="B6450" s="109"/>
      <c r="C6450" s="109"/>
      <c r="D6450" s="109"/>
      <c r="E6450" s="109"/>
      <c r="F6450" s="109"/>
      <c r="G6450" s="109"/>
      <c r="H6450" s="109"/>
      <c r="I6450" s="109"/>
      <c r="J6450" s="109"/>
      <c r="W6450" s="109"/>
    </row>
    <row r="6451" spans="1:23" ht="12.75" hidden="1">
      <c r="A6451" s="109"/>
      <c r="B6451" s="109"/>
      <c r="C6451" s="109"/>
      <c r="D6451" s="109"/>
      <c r="E6451" s="109"/>
      <c r="F6451" s="109"/>
      <c r="G6451" s="109"/>
      <c r="H6451" s="109"/>
      <c r="I6451" s="109"/>
      <c r="J6451" s="109"/>
      <c r="W6451" s="109"/>
    </row>
    <row r="6452" spans="1:23" ht="12.75" hidden="1">
      <c r="A6452" s="109"/>
      <c r="B6452" s="109"/>
      <c r="C6452" s="109"/>
      <c r="D6452" s="109"/>
      <c r="E6452" s="109"/>
      <c r="F6452" s="109"/>
      <c r="G6452" s="109"/>
      <c r="H6452" s="109"/>
      <c r="I6452" s="109"/>
      <c r="J6452" s="109"/>
      <c r="W6452" s="109"/>
    </row>
    <row r="6453" spans="1:23" ht="12.75" hidden="1">
      <c r="A6453" s="109"/>
      <c r="B6453" s="109"/>
      <c r="C6453" s="109"/>
      <c r="D6453" s="109"/>
      <c r="E6453" s="109"/>
      <c r="F6453" s="109"/>
      <c r="G6453" s="109"/>
      <c r="H6453" s="109"/>
      <c r="I6453" s="109"/>
      <c r="J6453" s="109"/>
      <c r="W6453" s="109"/>
    </row>
    <row r="6454" spans="1:23" ht="12.75" hidden="1">
      <c r="A6454" s="109"/>
      <c r="B6454" s="109"/>
      <c r="C6454" s="109"/>
      <c r="D6454" s="109"/>
      <c r="E6454" s="109"/>
      <c r="F6454" s="109"/>
      <c r="G6454" s="109"/>
      <c r="H6454" s="109"/>
      <c r="I6454" s="109"/>
      <c r="J6454" s="109"/>
      <c r="W6454" s="109"/>
    </row>
    <row r="6455" spans="1:23" ht="12.75" hidden="1">
      <c r="A6455" s="109"/>
      <c r="B6455" s="109"/>
      <c r="C6455" s="109"/>
      <c r="D6455" s="109"/>
      <c r="E6455" s="109"/>
      <c r="F6455" s="109"/>
      <c r="G6455" s="109"/>
      <c r="H6455" s="109"/>
      <c r="I6455" s="109"/>
      <c r="J6455" s="109"/>
      <c r="W6455" s="109"/>
    </row>
    <row r="6456" spans="1:23" ht="12.75" hidden="1">
      <c r="A6456" s="109"/>
      <c r="B6456" s="109"/>
      <c r="C6456" s="109"/>
      <c r="D6456" s="109"/>
      <c r="E6456" s="109"/>
      <c r="F6456" s="109"/>
      <c r="G6456" s="109"/>
      <c r="H6456" s="109"/>
      <c r="I6456" s="109"/>
      <c r="J6456" s="109"/>
      <c r="W6456" s="109"/>
    </row>
    <row r="6457" spans="1:23" ht="12.75" hidden="1">
      <c r="A6457" s="109"/>
      <c r="B6457" s="109"/>
      <c r="C6457" s="109"/>
      <c r="D6457" s="109"/>
      <c r="E6457" s="109"/>
      <c r="F6457" s="109"/>
      <c r="G6457" s="109"/>
      <c r="H6457" s="109"/>
      <c r="I6457" s="109"/>
      <c r="J6457" s="109"/>
      <c r="W6457" s="109"/>
    </row>
    <row r="6458" spans="1:23" ht="12.75" hidden="1">
      <c r="A6458" s="109"/>
      <c r="B6458" s="109"/>
      <c r="C6458" s="109"/>
      <c r="D6458" s="109"/>
      <c r="E6458" s="109"/>
      <c r="F6458" s="109"/>
      <c r="G6458" s="109"/>
      <c r="H6458" s="109"/>
      <c r="I6458" s="109"/>
      <c r="J6458" s="109"/>
      <c r="W6458" s="109"/>
    </row>
    <row r="6459" spans="1:23" ht="12.75" hidden="1">
      <c r="A6459" s="109"/>
      <c r="B6459" s="109"/>
      <c r="C6459" s="109"/>
      <c r="D6459" s="109"/>
      <c r="E6459" s="109"/>
      <c r="F6459" s="109"/>
      <c r="G6459" s="109"/>
      <c r="H6459" s="109"/>
      <c r="I6459" s="109"/>
      <c r="J6459" s="109"/>
      <c r="W6459" s="109"/>
    </row>
    <row r="6460" spans="1:23" ht="12.75" hidden="1">
      <c r="A6460" s="109"/>
      <c r="B6460" s="109"/>
      <c r="C6460" s="109"/>
      <c r="D6460" s="109"/>
      <c r="E6460" s="109"/>
      <c r="F6460" s="109"/>
      <c r="G6460" s="109"/>
      <c r="H6460" s="109"/>
      <c r="I6460" s="109"/>
      <c r="J6460" s="109"/>
      <c r="W6460" s="109"/>
    </row>
    <row r="6461" spans="1:23" ht="12.75" hidden="1">
      <c r="A6461" s="109"/>
      <c r="B6461" s="109"/>
      <c r="C6461" s="109"/>
      <c r="D6461" s="109"/>
      <c r="E6461" s="109"/>
      <c r="F6461" s="109"/>
      <c r="G6461" s="109"/>
      <c r="H6461" s="109"/>
      <c r="I6461" s="109"/>
      <c r="J6461" s="109"/>
      <c r="W6461" s="109"/>
    </row>
    <row r="6462" spans="1:23" ht="12.75" hidden="1">
      <c r="A6462" s="109"/>
      <c r="B6462" s="109"/>
      <c r="C6462" s="109"/>
      <c r="D6462" s="109"/>
      <c r="E6462" s="109"/>
      <c r="F6462" s="109"/>
      <c r="G6462" s="109"/>
      <c r="H6462" s="109"/>
      <c r="I6462" s="109"/>
      <c r="J6462" s="109"/>
      <c r="W6462" s="109"/>
    </row>
    <row r="6463" spans="1:23" ht="12.75" hidden="1">
      <c r="A6463" s="109"/>
      <c r="B6463" s="109"/>
      <c r="C6463" s="109"/>
      <c r="D6463" s="109"/>
      <c r="E6463" s="109"/>
      <c r="F6463" s="109"/>
      <c r="G6463" s="109"/>
      <c r="H6463" s="109"/>
      <c r="I6463" s="109"/>
      <c r="J6463" s="109"/>
      <c r="W6463" s="109"/>
    </row>
    <row r="6464" spans="1:23" ht="12.75" hidden="1">
      <c r="A6464" s="109"/>
      <c r="B6464" s="109"/>
      <c r="C6464" s="109"/>
      <c r="D6464" s="109"/>
      <c r="E6464" s="109"/>
      <c r="F6464" s="109"/>
      <c r="G6464" s="109"/>
      <c r="H6464" s="109"/>
      <c r="I6464" s="109"/>
      <c r="J6464" s="109"/>
      <c r="W6464" s="109"/>
    </row>
    <row r="6465" spans="1:23" ht="12.75" hidden="1">
      <c r="A6465" s="109"/>
      <c r="B6465" s="109"/>
      <c r="C6465" s="109"/>
      <c r="D6465" s="109"/>
      <c r="E6465" s="109"/>
      <c r="F6465" s="109"/>
      <c r="G6465" s="109"/>
      <c r="H6465" s="109"/>
      <c r="I6465" s="109"/>
      <c r="J6465" s="109"/>
      <c r="W6465" s="109"/>
    </row>
    <row r="6466" spans="1:23" ht="12.75" hidden="1">
      <c r="A6466" s="109"/>
      <c r="B6466" s="109"/>
      <c r="C6466" s="109"/>
      <c r="D6466" s="109"/>
      <c r="E6466" s="109"/>
      <c r="F6466" s="109"/>
      <c r="G6466" s="109"/>
      <c r="H6466" s="109"/>
      <c r="I6466" s="109"/>
      <c r="J6466" s="109"/>
      <c r="W6466" s="109"/>
    </row>
    <row r="6467" spans="1:23" ht="12.75" hidden="1">
      <c r="A6467" s="109"/>
      <c r="B6467" s="109"/>
      <c r="C6467" s="109"/>
      <c r="D6467" s="109"/>
      <c r="E6467" s="109"/>
      <c r="F6467" s="109"/>
      <c r="G6467" s="109"/>
      <c r="H6467" s="109"/>
      <c r="I6467" s="109"/>
      <c r="J6467" s="109"/>
      <c r="W6467" s="109"/>
    </row>
    <row r="6468" spans="1:23" ht="12.75" hidden="1">
      <c r="A6468" s="109"/>
      <c r="B6468" s="109"/>
      <c r="C6468" s="109"/>
      <c r="D6468" s="109"/>
      <c r="E6468" s="109"/>
      <c r="F6468" s="109"/>
      <c r="G6468" s="109"/>
      <c r="H6468" s="109"/>
      <c r="I6468" s="109"/>
      <c r="J6468" s="109"/>
      <c r="W6468" s="109"/>
    </row>
    <row r="6469" spans="1:23" ht="12.75" hidden="1">
      <c r="A6469" s="109"/>
      <c r="B6469" s="109"/>
      <c r="C6469" s="109"/>
      <c r="D6469" s="109"/>
      <c r="E6469" s="109"/>
      <c r="F6469" s="109"/>
      <c r="G6469" s="109"/>
      <c r="H6469" s="109"/>
      <c r="I6469" s="109"/>
      <c r="J6469" s="109"/>
      <c r="W6469" s="109"/>
    </row>
    <row r="6470" spans="1:23" ht="12.75" hidden="1">
      <c r="A6470" s="109"/>
      <c r="B6470" s="109"/>
      <c r="C6470" s="109"/>
      <c r="D6470" s="109"/>
      <c r="E6470" s="109"/>
      <c r="F6470" s="109"/>
      <c r="G6470" s="109"/>
      <c r="H6470" s="109"/>
      <c r="I6470" s="109"/>
      <c r="J6470" s="109"/>
      <c r="W6470" s="109"/>
    </row>
    <row r="6471" spans="1:23" ht="12.75" hidden="1">
      <c r="A6471" s="109"/>
      <c r="B6471" s="109"/>
      <c r="C6471" s="109"/>
      <c r="D6471" s="109"/>
      <c r="E6471" s="109"/>
      <c r="F6471" s="109"/>
      <c r="G6471" s="109"/>
      <c r="H6471" s="109"/>
      <c r="I6471" s="109"/>
      <c r="J6471" s="109"/>
      <c r="W6471" s="109"/>
    </row>
    <row r="6472" spans="1:23" ht="12.75" hidden="1">
      <c r="A6472" s="109"/>
      <c r="B6472" s="109"/>
      <c r="C6472" s="109"/>
      <c r="D6472" s="109"/>
      <c r="E6472" s="109"/>
      <c r="F6472" s="109"/>
      <c r="G6472" s="109"/>
      <c r="H6472" s="109"/>
      <c r="I6472" s="109"/>
      <c r="J6472" s="109"/>
      <c r="W6472" s="109"/>
    </row>
    <row r="6473" spans="1:23" ht="12.75" hidden="1">
      <c r="A6473" s="109"/>
      <c r="B6473" s="109"/>
      <c r="C6473" s="109"/>
      <c r="D6473" s="109"/>
      <c r="E6473" s="109"/>
      <c r="F6473" s="109"/>
      <c r="G6473" s="109"/>
      <c r="H6473" s="109"/>
      <c r="I6473" s="109"/>
      <c r="J6473" s="109"/>
      <c r="W6473" s="109"/>
    </row>
    <row r="6474" spans="1:23" ht="12.75" hidden="1">
      <c r="A6474" s="109"/>
      <c r="B6474" s="109"/>
      <c r="C6474" s="109"/>
      <c r="D6474" s="109"/>
      <c r="E6474" s="109"/>
      <c r="F6474" s="109"/>
      <c r="G6474" s="109"/>
      <c r="H6474" s="109"/>
      <c r="I6474" s="109"/>
      <c r="J6474" s="109"/>
      <c r="W6474" s="109"/>
    </row>
    <row r="6475" spans="1:23" ht="12.75" hidden="1">
      <c r="A6475" s="109"/>
      <c r="B6475" s="109"/>
      <c r="C6475" s="109"/>
      <c r="D6475" s="109"/>
      <c r="E6475" s="109"/>
      <c r="F6475" s="109"/>
      <c r="G6475" s="109"/>
      <c r="H6475" s="109"/>
      <c r="I6475" s="109"/>
      <c r="J6475" s="109"/>
      <c r="W6475" s="109"/>
    </row>
    <row r="6476" spans="1:23" ht="12.75" hidden="1">
      <c r="A6476" s="109"/>
      <c r="B6476" s="109"/>
      <c r="C6476" s="109"/>
      <c r="D6476" s="109"/>
      <c r="E6476" s="109"/>
      <c r="F6476" s="109"/>
      <c r="G6476" s="109"/>
      <c r="H6476" s="109"/>
      <c r="I6476" s="109"/>
      <c r="J6476" s="109"/>
      <c r="W6476" s="109"/>
    </row>
    <row r="6477" spans="1:23" ht="12.75" hidden="1">
      <c r="A6477" s="109"/>
      <c r="B6477" s="109"/>
      <c r="C6477" s="109"/>
      <c r="D6477" s="109"/>
      <c r="E6477" s="109"/>
      <c r="F6477" s="109"/>
      <c r="G6477" s="109"/>
      <c r="H6477" s="109"/>
      <c r="I6477" s="109"/>
      <c r="J6477" s="109"/>
      <c r="W6477" s="109"/>
    </row>
    <row r="6478" spans="1:23" ht="12.75" hidden="1">
      <c r="A6478" s="109"/>
      <c r="B6478" s="109"/>
      <c r="C6478" s="109"/>
      <c r="D6478" s="109"/>
      <c r="E6478" s="109"/>
      <c r="F6478" s="109"/>
      <c r="G6478" s="109"/>
      <c r="H6478" s="109"/>
      <c r="I6478" s="109"/>
      <c r="J6478" s="109"/>
      <c r="W6478" s="109"/>
    </row>
    <row r="6479" spans="1:23" ht="12.75" hidden="1">
      <c r="A6479" s="109"/>
      <c r="B6479" s="109"/>
      <c r="C6479" s="109"/>
      <c r="D6479" s="109"/>
      <c r="E6479" s="109"/>
      <c r="F6479" s="109"/>
      <c r="G6479" s="109"/>
      <c r="H6479" s="109"/>
      <c r="I6479" s="109"/>
      <c r="J6479" s="109"/>
      <c r="W6479" s="109"/>
    </row>
    <row r="6480" spans="1:23" ht="12.75" hidden="1">
      <c r="A6480" s="109"/>
      <c r="B6480" s="109"/>
      <c r="C6480" s="109"/>
      <c r="D6480" s="109"/>
      <c r="E6480" s="109"/>
      <c r="F6480" s="109"/>
      <c r="G6480" s="109"/>
      <c r="H6480" s="109"/>
      <c r="I6480" s="109"/>
      <c r="J6480" s="109"/>
      <c r="W6480" s="109"/>
    </row>
    <row r="6481" spans="1:23" ht="12.75" hidden="1">
      <c r="A6481" s="109"/>
      <c r="B6481" s="109"/>
      <c r="C6481" s="109"/>
      <c r="D6481" s="109"/>
      <c r="E6481" s="109"/>
      <c r="F6481" s="109"/>
      <c r="G6481" s="109"/>
      <c r="H6481" s="109"/>
      <c r="I6481" s="109"/>
      <c r="J6481" s="109"/>
      <c r="W6481" s="109"/>
    </row>
    <row r="6482" spans="1:23" ht="12.75" hidden="1">
      <c r="A6482" s="109"/>
      <c r="B6482" s="109"/>
      <c r="C6482" s="109"/>
      <c r="D6482" s="109"/>
      <c r="E6482" s="109"/>
      <c r="F6482" s="109"/>
      <c r="G6482" s="109"/>
      <c r="H6482" s="109"/>
      <c r="I6482" s="109"/>
      <c r="J6482" s="109"/>
      <c r="W6482" s="109"/>
    </row>
    <row r="6483" spans="1:23" ht="12.75" hidden="1">
      <c r="A6483" s="109"/>
      <c r="B6483" s="109"/>
      <c r="C6483" s="109"/>
      <c r="D6483" s="109"/>
      <c r="E6483" s="109"/>
      <c r="F6483" s="109"/>
      <c r="G6483" s="109"/>
      <c r="H6483" s="109"/>
      <c r="I6483" s="109"/>
      <c r="J6483" s="109"/>
      <c r="W6483" s="109"/>
    </row>
    <row r="6484" spans="1:23" ht="12.75" hidden="1">
      <c r="A6484" s="109"/>
      <c r="B6484" s="109"/>
      <c r="C6484" s="109"/>
      <c r="D6484" s="109"/>
      <c r="E6484" s="109"/>
      <c r="F6484" s="109"/>
      <c r="G6484" s="109"/>
      <c r="H6484" s="109"/>
      <c r="I6484" s="109"/>
      <c r="J6484" s="109"/>
      <c r="W6484" s="109"/>
    </row>
    <row r="6485" spans="1:23" ht="12.75" hidden="1">
      <c r="A6485" s="109"/>
      <c r="B6485" s="109"/>
      <c r="C6485" s="109"/>
      <c r="D6485" s="109"/>
      <c r="E6485" s="109"/>
      <c r="F6485" s="109"/>
      <c r="G6485" s="109"/>
      <c r="H6485" s="109"/>
      <c r="I6485" s="109"/>
      <c r="J6485" s="109"/>
      <c r="W6485" s="109"/>
    </row>
    <row r="6486" spans="1:23" ht="12.75" hidden="1">
      <c r="A6486" s="109"/>
      <c r="B6486" s="109"/>
      <c r="C6486" s="109"/>
      <c r="D6486" s="109"/>
      <c r="E6486" s="109"/>
      <c r="F6486" s="109"/>
      <c r="G6486" s="109"/>
      <c r="H6486" s="109"/>
      <c r="I6486" s="109"/>
      <c r="J6486" s="109"/>
      <c r="W6486" s="109"/>
    </row>
    <row r="6487" spans="1:23" ht="12.75" hidden="1">
      <c r="A6487" s="109"/>
      <c r="B6487" s="109"/>
      <c r="C6487" s="109"/>
      <c r="D6487" s="109"/>
      <c r="E6487" s="109"/>
      <c r="F6487" s="109"/>
      <c r="G6487" s="109"/>
      <c r="H6487" s="109"/>
      <c r="I6487" s="109"/>
      <c r="J6487" s="109"/>
      <c r="W6487" s="109"/>
    </row>
    <row r="6488" spans="1:23" ht="12.75" hidden="1">
      <c r="A6488" s="109"/>
      <c r="B6488" s="109"/>
      <c r="C6488" s="109"/>
      <c r="D6488" s="109"/>
      <c r="E6488" s="109"/>
      <c r="F6488" s="109"/>
      <c r="G6488" s="109"/>
      <c r="H6488" s="109"/>
      <c r="I6488" s="109"/>
      <c r="J6488" s="109"/>
      <c r="W6488" s="109"/>
    </row>
    <row r="6489" spans="1:23" ht="12.75" hidden="1">
      <c r="A6489" s="109"/>
      <c r="B6489" s="109"/>
      <c r="C6489" s="109"/>
      <c r="D6489" s="109"/>
      <c r="E6489" s="109"/>
      <c r="F6489" s="109"/>
      <c r="G6489" s="109"/>
      <c r="H6489" s="109"/>
      <c r="I6489" s="109"/>
      <c r="J6489" s="109"/>
      <c r="W6489" s="109"/>
    </row>
    <row r="6490" spans="1:23" ht="12.75" hidden="1">
      <c r="A6490" s="109"/>
      <c r="B6490" s="109"/>
      <c r="C6490" s="109"/>
      <c r="D6490" s="109"/>
      <c r="E6490" s="109"/>
      <c r="F6490" s="109"/>
      <c r="G6490" s="109"/>
      <c r="H6490" s="109"/>
      <c r="I6490" s="109"/>
      <c r="J6490" s="109"/>
      <c r="W6490" s="109"/>
    </row>
    <row r="6491" spans="1:23" ht="12.75" hidden="1">
      <c r="A6491" s="109"/>
      <c r="B6491" s="109"/>
      <c r="C6491" s="109"/>
      <c r="D6491" s="109"/>
      <c r="E6491" s="109"/>
      <c r="F6491" s="109"/>
      <c r="G6491" s="109"/>
      <c r="H6491" s="109"/>
      <c r="I6491" s="109"/>
      <c r="J6491" s="109"/>
      <c r="W6491" s="109"/>
    </row>
    <row r="6492" spans="1:23" ht="12.75" hidden="1">
      <c r="A6492" s="109"/>
      <c r="B6492" s="109"/>
      <c r="C6492" s="109"/>
      <c r="D6492" s="109"/>
      <c r="E6492" s="109"/>
      <c r="F6492" s="109"/>
      <c r="G6492" s="109"/>
      <c r="H6492" s="109"/>
      <c r="I6492" s="109"/>
      <c r="J6492" s="109"/>
      <c r="W6492" s="109"/>
    </row>
    <row r="6493" spans="1:23" ht="12.75" hidden="1">
      <c r="A6493" s="109"/>
      <c r="B6493" s="109"/>
      <c r="C6493" s="109"/>
      <c r="D6493" s="109"/>
      <c r="E6493" s="109"/>
      <c r="F6493" s="109"/>
      <c r="G6493" s="109"/>
      <c r="H6493" s="109"/>
      <c r="I6493" s="109"/>
      <c r="J6493" s="109"/>
      <c r="W6493" s="109"/>
    </row>
    <row r="6494" spans="1:23" ht="12.75" hidden="1">
      <c r="A6494" s="109"/>
      <c r="B6494" s="109"/>
      <c r="C6494" s="109"/>
      <c r="D6494" s="109"/>
      <c r="E6494" s="109"/>
      <c r="F6494" s="109"/>
      <c r="G6494" s="109"/>
      <c r="H6494" s="109"/>
      <c r="I6494" s="109"/>
      <c r="J6494" s="109"/>
      <c r="W6494" s="109"/>
    </row>
    <row r="6495" spans="1:23" ht="12.75" hidden="1">
      <c r="A6495" s="109"/>
      <c r="B6495" s="109"/>
      <c r="C6495" s="109"/>
      <c r="D6495" s="109"/>
      <c r="E6495" s="109"/>
      <c r="F6495" s="109"/>
      <c r="G6495" s="109"/>
      <c r="H6495" s="109"/>
      <c r="I6495" s="109"/>
      <c r="J6495" s="109"/>
      <c r="W6495" s="109"/>
    </row>
    <row r="6496" spans="1:23" ht="12.75" hidden="1">
      <c r="A6496" s="109"/>
      <c r="B6496" s="109"/>
      <c r="C6496" s="109"/>
      <c r="D6496" s="109"/>
      <c r="E6496" s="109"/>
      <c r="F6496" s="109"/>
      <c r="G6496" s="109"/>
      <c r="H6496" s="109"/>
      <c r="I6496" s="109"/>
      <c r="J6496" s="109"/>
      <c r="W6496" s="109"/>
    </row>
    <row r="6497" spans="1:23" ht="12.75" hidden="1">
      <c r="A6497" s="109"/>
      <c r="B6497" s="109"/>
      <c r="C6497" s="109"/>
      <c r="D6497" s="109"/>
      <c r="E6497" s="109"/>
      <c r="F6497" s="109"/>
      <c r="G6497" s="109"/>
      <c r="H6497" s="109"/>
      <c r="I6497" s="109"/>
      <c r="J6497" s="109"/>
      <c r="W6497" s="109"/>
    </row>
    <row r="6498" spans="1:23" ht="12.75" hidden="1">
      <c r="A6498" s="109"/>
      <c r="B6498" s="109"/>
      <c r="C6498" s="109"/>
      <c r="D6498" s="109"/>
      <c r="E6498" s="109"/>
      <c r="F6498" s="109"/>
      <c r="G6498" s="109"/>
      <c r="H6498" s="109"/>
      <c r="I6498" s="109"/>
      <c r="J6498" s="109"/>
      <c r="W6498" s="109"/>
    </row>
    <row r="6499" spans="1:23" ht="12.75" hidden="1">
      <c r="A6499" s="109"/>
      <c r="B6499" s="109"/>
      <c r="C6499" s="109"/>
      <c r="D6499" s="109"/>
      <c r="E6499" s="109"/>
      <c r="F6499" s="109"/>
      <c r="G6499" s="109"/>
      <c r="H6499" s="109"/>
      <c r="I6499" s="109"/>
      <c r="J6499" s="109"/>
      <c r="W6499" s="109"/>
    </row>
    <row r="6500" spans="1:23" ht="12.75" hidden="1">
      <c r="A6500" s="109"/>
      <c r="B6500" s="109"/>
      <c r="C6500" s="109"/>
      <c r="D6500" s="109"/>
      <c r="E6500" s="109"/>
      <c r="F6500" s="109"/>
      <c r="G6500" s="109"/>
      <c r="H6500" s="109"/>
      <c r="I6500" s="109"/>
      <c r="J6500" s="109"/>
      <c r="W6500" s="109"/>
    </row>
    <row r="6501" spans="1:23" ht="12.75" hidden="1">
      <c r="A6501" s="109"/>
      <c r="B6501" s="109"/>
      <c r="C6501" s="109"/>
      <c r="D6501" s="109"/>
      <c r="E6501" s="109"/>
      <c r="F6501" s="109"/>
      <c r="G6501" s="109"/>
      <c r="H6501" s="109"/>
      <c r="I6501" s="109"/>
      <c r="J6501" s="109"/>
      <c r="W6501" s="109"/>
    </row>
    <row r="6502" spans="1:23" ht="12.75" hidden="1">
      <c r="A6502" s="109"/>
      <c r="B6502" s="109"/>
      <c r="C6502" s="109"/>
      <c r="D6502" s="109"/>
      <c r="E6502" s="109"/>
      <c r="F6502" s="109"/>
      <c r="G6502" s="109"/>
      <c r="H6502" s="109"/>
      <c r="I6502" s="109"/>
      <c r="J6502" s="109"/>
      <c r="W6502" s="109"/>
    </row>
    <row r="6503" spans="1:23" ht="12.75" hidden="1">
      <c r="A6503" s="109"/>
      <c r="B6503" s="109"/>
      <c r="C6503" s="109"/>
      <c r="D6503" s="109"/>
      <c r="E6503" s="109"/>
      <c r="F6503" s="109"/>
      <c r="G6503" s="109"/>
      <c r="H6503" s="109"/>
      <c r="I6503" s="109"/>
      <c r="J6503" s="109"/>
      <c r="W6503" s="109"/>
    </row>
    <row r="6504" spans="1:23" ht="12.75" hidden="1">
      <c r="A6504" s="109"/>
      <c r="B6504" s="109"/>
      <c r="C6504" s="109"/>
      <c r="D6504" s="109"/>
      <c r="E6504" s="109"/>
      <c r="F6504" s="109"/>
      <c r="G6504" s="109"/>
      <c r="H6504" s="109"/>
      <c r="I6504" s="109"/>
      <c r="J6504" s="109"/>
      <c r="W6504" s="109"/>
    </row>
    <row r="6505" spans="1:23" ht="12.75" hidden="1">
      <c r="A6505" s="109"/>
      <c r="B6505" s="109"/>
      <c r="C6505" s="109"/>
      <c r="D6505" s="109"/>
      <c r="E6505" s="109"/>
      <c r="F6505" s="109"/>
      <c r="G6505" s="109"/>
      <c r="H6505" s="109"/>
      <c r="I6505" s="109"/>
      <c r="J6505" s="109"/>
      <c r="W6505" s="109"/>
    </row>
    <row r="6506" spans="1:23" ht="12.75" hidden="1">
      <c r="A6506" s="109"/>
      <c r="B6506" s="109"/>
      <c r="C6506" s="109"/>
      <c r="D6506" s="109"/>
      <c r="E6506" s="109"/>
      <c r="F6506" s="109"/>
      <c r="G6506" s="109"/>
      <c r="H6506" s="109"/>
      <c r="I6506" s="109"/>
      <c r="J6506" s="109"/>
      <c r="W6506" s="109"/>
    </row>
    <row r="6507" spans="1:23" ht="12.75" hidden="1">
      <c r="A6507" s="109"/>
      <c r="B6507" s="109"/>
      <c r="C6507" s="109"/>
      <c r="D6507" s="109"/>
      <c r="E6507" s="109"/>
      <c r="F6507" s="109"/>
      <c r="G6507" s="109"/>
      <c r="H6507" s="109"/>
      <c r="I6507" s="109"/>
      <c r="J6507" s="109"/>
      <c r="W6507" s="109"/>
    </row>
    <row r="6508" spans="1:23" ht="12.75" hidden="1">
      <c r="A6508" s="109"/>
      <c r="B6508" s="109"/>
      <c r="C6508" s="109"/>
      <c r="D6508" s="109"/>
      <c r="E6508" s="109"/>
      <c r="F6508" s="109"/>
      <c r="G6508" s="109"/>
      <c r="H6508" s="109"/>
      <c r="I6508" s="109"/>
      <c r="J6508" s="109"/>
      <c r="W6508" s="109"/>
    </row>
    <row r="6509" spans="1:23" ht="12.75" hidden="1">
      <c r="A6509" s="109"/>
      <c r="B6509" s="109"/>
      <c r="C6509" s="109"/>
      <c r="D6509" s="109"/>
      <c r="E6509" s="109"/>
      <c r="F6509" s="109"/>
      <c r="G6509" s="109"/>
      <c r="H6509" s="109"/>
      <c r="I6509" s="109"/>
      <c r="J6509" s="109"/>
      <c r="W6509" s="109"/>
    </row>
    <row r="6510" spans="1:23" ht="12.75" hidden="1">
      <c r="A6510" s="109"/>
      <c r="B6510" s="109"/>
      <c r="C6510" s="109"/>
      <c r="D6510" s="109"/>
      <c r="E6510" s="109"/>
      <c r="F6510" s="109"/>
      <c r="G6510" s="109"/>
      <c r="H6510" s="109"/>
      <c r="I6510" s="109"/>
      <c r="J6510" s="109"/>
      <c r="W6510" s="109"/>
    </row>
    <row r="6511" spans="1:23" ht="12.75" hidden="1">
      <c r="A6511" s="109"/>
      <c r="B6511" s="109"/>
      <c r="C6511" s="109"/>
      <c r="D6511" s="109"/>
      <c r="E6511" s="109"/>
      <c r="F6511" s="109"/>
      <c r="G6511" s="109"/>
      <c r="H6511" s="109"/>
      <c r="I6511" s="109"/>
      <c r="J6511" s="109"/>
      <c r="W6511" s="109"/>
    </row>
    <row r="6512" spans="1:23" ht="12.75" hidden="1">
      <c r="A6512" s="109"/>
      <c r="B6512" s="109"/>
      <c r="C6512" s="109"/>
      <c r="D6512" s="109"/>
      <c r="E6512" s="109"/>
      <c r="F6512" s="109"/>
      <c r="G6512" s="109"/>
      <c r="H6512" s="109"/>
      <c r="I6512" s="109"/>
      <c r="J6512" s="109"/>
      <c r="W6512" s="109"/>
    </row>
    <row r="6513" spans="1:23" ht="12.75" hidden="1">
      <c r="A6513" s="109"/>
      <c r="B6513" s="109"/>
      <c r="C6513" s="109"/>
      <c r="D6513" s="109"/>
      <c r="E6513" s="109"/>
      <c r="F6513" s="109"/>
      <c r="G6513" s="109"/>
      <c r="H6513" s="109"/>
      <c r="I6513" s="109"/>
      <c r="J6513" s="109"/>
      <c r="W6513" s="109"/>
    </row>
    <row r="6514" spans="1:23" ht="12.75" hidden="1">
      <c r="A6514" s="109"/>
      <c r="B6514" s="109"/>
      <c r="C6514" s="109"/>
      <c r="D6514" s="109"/>
      <c r="E6514" s="109"/>
      <c r="F6514" s="109"/>
      <c r="G6514" s="109"/>
      <c r="H6514" s="109"/>
      <c r="I6514" s="109"/>
      <c r="J6514" s="109"/>
      <c r="W6514" s="109"/>
    </row>
    <row r="6515" spans="1:23" ht="12.75" hidden="1">
      <c r="A6515" s="109"/>
      <c r="B6515" s="109"/>
      <c r="C6515" s="109"/>
      <c r="D6515" s="109"/>
      <c r="E6515" s="109"/>
      <c r="F6515" s="109"/>
      <c r="G6515" s="109"/>
      <c r="H6515" s="109"/>
      <c r="I6515" s="109"/>
      <c r="J6515" s="109"/>
      <c r="W6515" s="109"/>
    </row>
    <row r="6516" spans="1:23" ht="12.75" hidden="1">
      <c r="A6516" s="109"/>
      <c r="B6516" s="109"/>
      <c r="C6516" s="109"/>
      <c r="D6516" s="109"/>
      <c r="E6516" s="109"/>
      <c r="F6516" s="109"/>
      <c r="G6516" s="109"/>
      <c r="H6516" s="109"/>
      <c r="I6516" s="109"/>
      <c r="J6516" s="109"/>
      <c r="W6516" s="109"/>
    </row>
    <row r="6517" spans="1:23" ht="12.75" hidden="1">
      <c r="A6517" s="109"/>
      <c r="B6517" s="109"/>
      <c r="C6517" s="109"/>
      <c r="D6517" s="109"/>
      <c r="E6517" s="109"/>
      <c r="F6517" s="109"/>
      <c r="G6517" s="109"/>
      <c r="H6517" s="109"/>
      <c r="I6517" s="109"/>
      <c r="J6517" s="109"/>
      <c r="W6517" s="109"/>
    </row>
    <row r="6518" spans="1:23" ht="12.75" hidden="1">
      <c r="A6518" s="109"/>
      <c r="B6518" s="109"/>
      <c r="C6518" s="109"/>
      <c r="D6518" s="109"/>
      <c r="E6518" s="109"/>
      <c r="F6518" s="109"/>
      <c r="G6518" s="109"/>
      <c r="H6518" s="109"/>
      <c r="I6518" s="109"/>
      <c r="J6518" s="109"/>
      <c r="W6518" s="109"/>
    </row>
    <row r="6519" spans="1:23" ht="12.75" hidden="1">
      <c r="A6519" s="109"/>
      <c r="B6519" s="109"/>
      <c r="C6519" s="109"/>
      <c r="D6519" s="109"/>
      <c r="E6519" s="109"/>
      <c r="F6519" s="109"/>
      <c r="G6519" s="109"/>
      <c r="H6519" s="109"/>
      <c r="I6519" s="109"/>
      <c r="J6519" s="109"/>
      <c r="W6519" s="109"/>
    </row>
    <row r="6520" spans="1:23" ht="12.75" hidden="1">
      <c r="A6520" s="109"/>
      <c r="B6520" s="109"/>
      <c r="C6520" s="109"/>
      <c r="D6520" s="109"/>
      <c r="E6520" s="109"/>
      <c r="F6520" s="109"/>
      <c r="G6520" s="109"/>
      <c r="H6520" s="109"/>
      <c r="I6520" s="109"/>
      <c r="J6520" s="109"/>
      <c r="W6520" s="109"/>
    </row>
    <row r="6521" spans="1:23" ht="12.75" hidden="1">
      <c r="A6521" s="109"/>
      <c r="B6521" s="109"/>
      <c r="C6521" s="109"/>
      <c r="D6521" s="109"/>
      <c r="E6521" s="109"/>
      <c r="F6521" s="109"/>
      <c r="G6521" s="109"/>
      <c r="H6521" s="109"/>
      <c r="I6521" s="109"/>
      <c r="J6521" s="109"/>
      <c r="W6521" s="109"/>
    </row>
    <row r="6522" spans="1:23" ht="12.75" hidden="1">
      <c r="A6522" s="109"/>
      <c r="B6522" s="109"/>
      <c r="C6522" s="109"/>
      <c r="D6522" s="109"/>
      <c r="E6522" s="109"/>
      <c r="F6522" s="109"/>
      <c r="G6522" s="109"/>
      <c r="H6522" s="109"/>
      <c r="I6522" s="109"/>
      <c r="J6522" s="109"/>
      <c r="W6522" s="109"/>
    </row>
    <row r="6523" spans="1:23" ht="12.75" hidden="1">
      <c r="A6523" s="109"/>
      <c r="B6523" s="109"/>
      <c r="C6523" s="109"/>
      <c r="D6523" s="109"/>
      <c r="E6523" s="109"/>
      <c r="F6523" s="109"/>
      <c r="G6523" s="109"/>
      <c r="H6523" s="109"/>
      <c r="I6523" s="109"/>
      <c r="J6523" s="109"/>
      <c r="W6523" s="109"/>
    </row>
    <row r="6524" spans="1:23" ht="12.75" hidden="1">
      <c r="A6524" s="109"/>
      <c r="B6524" s="109"/>
      <c r="C6524" s="109"/>
      <c r="D6524" s="109"/>
      <c r="E6524" s="109"/>
      <c r="F6524" s="109"/>
      <c r="G6524" s="109"/>
      <c r="H6524" s="109"/>
      <c r="I6524" s="109"/>
      <c r="J6524" s="109"/>
      <c r="W6524" s="109"/>
    </row>
    <row r="6525" spans="1:23" ht="12.75" hidden="1">
      <c r="A6525" s="109"/>
      <c r="B6525" s="109"/>
      <c r="C6525" s="109"/>
      <c r="D6525" s="109"/>
      <c r="E6525" s="109"/>
      <c r="F6525" s="109"/>
      <c r="G6525" s="109"/>
      <c r="H6525" s="109"/>
      <c r="I6525" s="109"/>
      <c r="J6525" s="109"/>
      <c r="W6525" s="109"/>
    </row>
    <row r="6526" spans="1:23" ht="12.75" hidden="1">
      <c r="A6526" s="109"/>
      <c r="B6526" s="109"/>
      <c r="C6526" s="109"/>
      <c r="D6526" s="109"/>
      <c r="E6526" s="109"/>
      <c r="F6526" s="109"/>
      <c r="G6526" s="109"/>
      <c r="H6526" s="109"/>
      <c r="I6526" s="109"/>
      <c r="J6526" s="109"/>
      <c r="W6526" s="109"/>
    </row>
    <row r="6527" spans="1:23" ht="12.75" hidden="1">
      <c r="A6527" s="109"/>
      <c r="B6527" s="109"/>
      <c r="C6527" s="109"/>
      <c r="D6527" s="109"/>
      <c r="E6527" s="109"/>
      <c r="F6527" s="109"/>
      <c r="G6527" s="109"/>
      <c r="H6527" s="109"/>
      <c r="I6527" s="109"/>
      <c r="J6527" s="109"/>
      <c r="W6527" s="109"/>
    </row>
    <row r="6528" spans="1:23" ht="12.75" hidden="1">
      <c r="A6528" s="109"/>
      <c r="B6528" s="109"/>
      <c r="C6528" s="109"/>
      <c r="D6528" s="109"/>
      <c r="E6528" s="109"/>
      <c r="F6528" s="109"/>
      <c r="G6528" s="109"/>
      <c r="H6528" s="109"/>
      <c r="I6528" s="109"/>
      <c r="J6528" s="109"/>
      <c r="W6528" s="109"/>
    </row>
    <row r="6529" spans="1:23" ht="12.75" hidden="1">
      <c r="A6529" s="109"/>
      <c r="B6529" s="109"/>
      <c r="C6529" s="109"/>
      <c r="D6529" s="109"/>
      <c r="E6529" s="109"/>
      <c r="F6529" s="109"/>
      <c r="G6529" s="109"/>
      <c r="H6529" s="109"/>
      <c r="I6529" s="109"/>
      <c r="J6529" s="109"/>
      <c r="W6529" s="109"/>
    </row>
    <row r="6530" spans="1:23" ht="12.75" hidden="1">
      <c r="A6530" s="109"/>
      <c r="B6530" s="109"/>
      <c r="C6530" s="109"/>
      <c r="D6530" s="109"/>
      <c r="E6530" s="109"/>
      <c r="F6530" s="109"/>
      <c r="G6530" s="109"/>
      <c r="H6530" s="109"/>
      <c r="I6530" s="109"/>
      <c r="J6530" s="109"/>
      <c r="W6530" s="109"/>
    </row>
    <row r="6531" spans="1:23" ht="12.75" hidden="1">
      <c r="A6531" s="109"/>
      <c r="B6531" s="109"/>
      <c r="C6531" s="109"/>
      <c r="D6531" s="109"/>
      <c r="E6531" s="109"/>
      <c r="F6531" s="109"/>
      <c r="G6531" s="109"/>
      <c r="H6531" s="109"/>
      <c r="I6531" s="109"/>
      <c r="J6531" s="109"/>
      <c r="W6531" s="109"/>
    </row>
    <row r="6532" spans="1:23" ht="12.75" hidden="1">
      <c r="A6532" s="109"/>
      <c r="B6532" s="109"/>
      <c r="C6532" s="109"/>
      <c r="D6532" s="109"/>
      <c r="E6532" s="109"/>
      <c r="F6532" s="109"/>
      <c r="G6532" s="109"/>
      <c r="H6532" s="109"/>
      <c r="I6532" s="109"/>
      <c r="J6532" s="109"/>
      <c r="W6532" s="109"/>
    </row>
    <row r="6533" spans="1:23" ht="12.75" hidden="1">
      <c r="A6533" s="109"/>
      <c r="B6533" s="109"/>
      <c r="C6533" s="109"/>
      <c r="D6533" s="109"/>
      <c r="E6533" s="109"/>
      <c r="F6533" s="109"/>
      <c r="G6533" s="109"/>
      <c r="H6533" s="109"/>
      <c r="I6533" s="109"/>
      <c r="J6533" s="109"/>
      <c r="W6533" s="109"/>
    </row>
    <row r="6534" spans="1:23" ht="12.75" hidden="1">
      <c r="A6534" s="109"/>
      <c r="B6534" s="109"/>
      <c r="C6534" s="109"/>
      <c r="D6534" s="109"/>
      <c r="E6534" s="109"/>
      <c r="F6534" s="109"/>
      <c r="G6534" s="109"/>
      <c r="H6534" s="109"/>
      <c r="I6534" s="109"/>
      <c r="J6534" s="109"/>
      <c r="W6534" s="109"/>
    </row>
    <row r="6535" spans="1:23" ht="12.75" hidden="1">
      <c r="A6535" s="109"/>
      <c r="B6535" s="109"/>
      <c r="C6535" s="109"/>
      <c r="D6535" s="109"/>
      <c r="E6535" s="109"/>
      <c r="F6535" s="109"/>
      <c r="G6535" s="109"/>
      <c r="H6535" s="109"/>
      <c r="I6535" s="109"/>
      <c r="J6535" s="109"/>
      <c r="W6535" s="109"/>
    </row>
    <row r="6536" spans="1:23" ht="12.75" hidden="1">
      <c r="A6536" s="109"/>
      <c r="B6536" s="109"/>
      <c r="C6536" s="109"/>
      <c r="D6536" s="109"/>
      <c r="E6536" s="109"/>
      <c r="F6536" s="109"/>
      <c r="G6536" s="109"/>
      <c r="H6536" s="109"/>
      <c r="I6536" s="109"/>
      <c r="J6536" s="109"/>
      <c r="W6536" s="109"/>
    </row>
    <row r="6537" spans="1:23" ht="12.75" hidden="1">
      <c r="A6537" s="109"/>
      <c r="B6537" s="109"/>
      <c r="C6537" s="109"/>
      <c r="D6537" s="109"/>
      <c r="E6537" s="109"/>
      <c r="F6537" s="109"/>
      <c r="G6537" s="109"/>
      <c r="H6537" s="109"/>
      <c r="I6537" s="109"/>
      <c r="J6537" s="109"/>
      <c r="W6537" s="109"/>
    </row>
    <row r="6538" spans="1:23" ht="12.75" hidden="1">
      <c r="A6538" s="109"/>
      <c r="B6538" s="109"/>
      <c r="C6538" s="109"/>
      <c r="D6538" s="109"/>
      <c r="E6538" s="109"/>
      <c r="F6538" s="109"/>
      <c r="G6538" s="109"/>
      <c r="H6538" s="109"/>
      <c r="I6538" s="109"/>
      <c r="J6538" s="109"/>
      <c r="W6538" s="109"/>
    </row>
    <row r="6539" spans="1:23" ht="12.75" hidden="1">
      <c r="A6539" s="109"/>
      <c r="B6539" s="109"/>
      <c r="C6539" s="109"/>
      <c r="D6539" s="109"/>
      <c r="E6539" s="109"/>
      <c r="F6539" s="109"/>
      <c r="G6539" s="109"/>
      <c r="H6539" s="109"/>
      <c r="I6539" s="109"/>
      <c r="J6539" s="109"/>
      <c r="W6539" s="109"/>
    </row>
    <row r="6540" spans="1:23" ht="12.75" hidden="1">
      <c r="A6540" s="109"/>
      <c r="B6540" s="109"/>
      <c r="C6540" s="109"/>
      <c r="D6540" s="109"/>
      <c r="E6540" s="109"/>
      <c r="F6540" s="109"/>
      <c r="G6540" s="109"/>
      <c r="H6540" s="109"/>
      <c r="I6540" s="109"/>
      <c r="J6540" s="109"/>
      <c r="W6540" s="109"/>
    </row>
    <row r="6541" spans="1:23" ht="12.75" hidden="1">
      <c r="A6541" s="109"/>
      <c r="B6541" s="109"/>
      <c r="C6541" s="109"/>
      <c r="D6541" s="109"/>
      <c r="E6541" s="109"/>
      <c r="F6541" s="109"/>
      <c r="G6541" s="109"/>
      <c r="H6541" s="109"/>
      <c r="I6541" s="109"/>
      <c r="J6541" s="109"/>
      <c r="W6541" s="109"/>
    </row>
    <row r="6542" spans="1:23" ht="12.75" hidden="1">
      <c r="A6542" s="109"/>
      <c r="B6542" s="109"/>
      <c r="C6542" s="109"/>
      <c r="D6542" s="109"/>
      <c r="E6542" s="109"/>
      <c r="F6542" s="109"/>
      <c r="G6542" s="109"/>
      <c r="H6542" s="109"/>
      <c r="I6542" s="109"/>
      <c r="J6542" s="109"/>
      <c r="W6542" s="109"/>
    </row>
    <row r="6543" spans="1:23" ht="12.75" hidden="1">
      <c r="A6543" s="109"/>
      <c r="B6543" s="109"/>
      <c r="C6543" s="109"/>
      <c r="D6543" s="109"/>
      <c r="E6543" s="109"/>
      <c r="F6543" s="109"/>
      <c r="G6543" s="109"/>
      <c r="H6543" s="109"/>
      <c r="I6543" s="109"/>
      <c r="J6543" s="109"/>
      <c r="W6543" s="109"/>
    </row>
    <row r="6544" spans="1:23" ht="12.75" hidden="1">
      <c r="A6544" s="109"/>
      <c r="B6544" s="109"/>
      <c r="C6544" s="109"/>
      <c r="D6544" s="109"/>
      <c r="E6544" s="109"/>
      <c r="F6544" s="109"/>
      <c r="G6544" s="109"/>
      <c r="H6544" s="109"/>
      <c r="I6544" s="109"/>
      <c r="J6544" s="109"/>
      <c r="W6544" s="109"/>
    </row>
    <row r="6545" spans="1:23" ht="12.75" hidden="1">
      <c r="A6545" s="109"/>
      <c r="B6545" s="109"/>
      <c r="C6545" s="109"/>
      <c r="D6545" s="109"/>
      <c r="E6545" s="109"/>
      <c r="F6545" s="109"/>
      <c r="G6545" s="109"/>
      <c r="H6545" s="109"/>
      <c r="I6545" s="109"/>
      <c r="J6545" s="109"/>
      <c r="W6545" s="109"/>
    </row>
    <row r="6546" spans="1:23" ht="12.75" hidden="1">
      <c r="A6546" s="109"/>
      <c r="B6546" s="109"/>
      <c r="C6546" s="109"/>
      <c r="D6546" s="109"/>
      <c r="E6546" s="109"/>
      <c r="F6546" s="109"/>
      <c r="G6546" s="109"/>
      <c r="H6546" s="109"/>
      <c r="I6546" s="109"/>
      <c r="J6546" s="109"/>
      <c r="W6546" s="109"/>
    </row>
    <row r="6547" spans="1:23" ht="12.75" hidden="1">
      <c r="A6547" s="109"/>
      <c r="B6547" s="109"/>
      <c r="C6547" s="109"/>
      <c r="D6547" s="109"/>
      <c r="E6547" s="109"/>
      <c r="F6547" s="109"/>
      <c r="G6547" s="109"/>
      <c r="H6547" s="109"/>
      <c r="I6547" s="109"/>
      <c r="J6547" s="109"/>
      <c r="W6547" s="109"/>
    </row>
    <row r="6548" spans="1:23" ht="12.75" hidden="1">
      <c r="A6548" s="109"/>
      <c r="B6548" s="109"/>
      <c r="C6548" s="109"/>
      <c r="D6548" s="109"/>
      <c r="E6548" s="109"/>
      <c r="F6548" s="109"/>
      <c r="G6548" s="109"/>
      <c r="H6548" s="109"/>
      <c r="I6548" s="109"/>
      <c r="J6548" s="109"/>
      <c r="W6548" s="109"/>
    </row>
    <row r="6549" spans="1:23" ht="12.75" hidden="1">
      <c r="A6549" s="109"/>
      <c r="B6549" s="109"/>
      <c r="C6549" s="109"/>
      <c r="D6549" s="109"/>
      <c r="E6549" s="109"/>
      <c r="F6549" s="109"/>
      <c r="G6549" s="109"/>
      <c r="H6549" s="109"/>
      <c r="I6549" s="109"/>
      <c r="J6549" s="109"/>
      <c r="W6549" s="109"/>
    </row>
    <row r="6550" spans="1:23" ht="12.75" hidden="1">
      <c r="A6550" s="109"/>
      <c r="B6550" s="109"/>
      <c r="C6550" s="109"/>
      <c r="D6550" s="109"/>
      <c r="E6550" s="109"/>
      <c r="F6550" s="109"/>
      <c r="G6550" s="109"/>
      <c r="H6550" s="109"/>
      <c r="I6550" s="109"/>
      <c r="J6550" s="109"/>
      <c r="W6550" s="109"/>
    </row>
    <row r="6551" spans="1:23" ht="12.75" hidden="1">
      <c r="A6551" s="109"/>
      <c r="B6551" s="109"/>
      <c r="C6551" s="109"/>
      <c r="D6551" s="109"/>
      <c r="E6551" s="109"/>
      <c r="F6551" s="109"/>
      <c r="G6551" s="109"/>
      <c r="H6551" s="109"/>
      <c r="I6551" s="109"/>
      <c r="J6551" s="109"/>
      <c r="W6551" s="109"/>
    </row>
    <row r="6552" spans="1:23" ht="12.75" hidden="1">
      <c r="A6552" s="109"/>
      <c r="B6552" s="109"/>
      <c r="C6552" s="109"/>
      <c r="D6552" s="109"/>
      <c r="E6552" s="109"/>
      <c r="F6552" s="109"/>
      <c r="G6552" s="109"/>
      <c r="H6552" s="109"/>
      <c r="I6552" s="109"/>
      <c r="J6552" s="109"/>
      <c r="W6552" s="109"/>
    </row>
    <row r="6553" spans="1:23" ht="12.75" hidden="1">
      <c r="A6553" s="109"/>
      <c r="B6553" s="109"/>
      <c r="C6553" s="109"/>
      <c r="D6553" s="109"/>
      <c r="E6553" s="109"/>
      <c r="F6553" s="109"/>
      <c r="G6553" s="109"/>
      <c r="H6553" s="109"/>
      <c r="I6553" s="109"/>
      <c r="J6553" s="109"/>
      <c r="W6553" s="109"/>
    </row>
    <row r="6554" spans="1:23" ht="12.75" hidden="1">
      <c r="A6554" s="109"/>
      <c r="B6554" s="109"/>
      <c r="C6554" s="109"/>
      <c r="D6554" s="109"/>
      <c r="E6554" s="109"/>
      <c r="F6554" s="109"/>
      <c r="G6554" s="109"/>
      <c r="H6554" s="109"/>
      <c r="I6554" s="109"/>
      <c r="J6554" s="109"/>
      <c r="W6554" s="109"/>
    </row>
    <row r="6555" spans="1:23" ht="12.75" hidden="1">
      <c r="A6555" s="109"/>
      <c r="B6555" s="109"/>
      <c r="C6555" s="109"/>
      <c r="D6555" s="109"/>
      <c r="E6555" s="109"/>
      <c r="F6555" s="109"/>
      <c r="G6555" s="109"/>
      <c r="H6555" s="109"/>
      <c r="I6555" s="109"/>
      <c r="J6555" s="109"/>
      <c r="W6555" s="109"/>
    </row>
    <row r="6556" spans="1:23" ht="12.75" hidden="1">
      <c r="A6556" s="109"/>
      <c r="B6556" s="109"/>
      <c r="C6556" s="109"/>
      <c r="D6556" s="109"/>
      <c r="E6556" s="109"/>
      <c r="F6556" s="109"/>
      <c r="G6556" s="109"/>
      <c r="H6556" s="109"/>
      <c r="I6556" s="109"/>
      <c r="J6556" s="109"/>
      <c r="W6556" s="109"/>
    </row>
    <row r="6557" spans="1:23" ht="12.75" hidden="1">
      <c r="A6557" s="109"/>
      <c r="B6557" s="109"/>
      <c r="C6557" s="109"/>
      <c r="D6557" s="109"/>
      <c r="E6557" s="109"/>
      <c r="F6557" s="109"/>
      <c r="G6557" s="109"/>
      <c r="H6557" s="109"/>
      <c r="I6557" s="109"/>
      <c r="J6557" s="109"/>
      <c r="W6557" s="109"/>
    </row>
    <row r="6558" spans="1:23" ht="12.75" hidden="1">
      <c r="A6558" s="109"/>
      <c r="B6558" s="109"/>
      <c r="C6558" s="109"/>
      <c r="D6558" s="109"/>
      <c r="E6558" s="109"/>
      <c r="F6558" s="109"/>
      <c r="G6558" s="109"/>
      <c r="H6558" s="109"/>
      <c r="I6558" s="109"/>
      <c r="J6558" s="109"/>
      <c r="W6558" s="109"/>
    </row>
    <row r="6559" spans="1:23" ht="12.75" hidden="1">
      <c r="A6559" s="109"/>
      <c r="B6559" s="109"/>
      <c r="C6559" s="109"/>
      <c r="D6559" s="109"/>
      <c r="E6559" s="109"/>
      <c r="F6559" s="109"/>
      <c r="G6559" s="109"/>
      <c r="H6559" s="109"/>
      <c r="I6559" s="109"/>
      <c r="J6559" s="109"/>
      <c r="W6559" s="109"/>
    </row>
    <row r="6560" spans="1:23" ht="12.75" hidden="1">
      <c r="A6560" s="109"/>
      <c r="B6560" s="109"/>
      <c r="C6560" s="109"/>
      <c r="D6560" s="109"/>
      <c r="E6560" s="109"/>
      <c r="F6560" s="109"/>
      <c r="G6560" s="109"/>
      <c r="H6560" s="109"/>
      <c r="I6560" s="109"/>
      <c r="J6560" s="109"/>
      <c r="W6560" s="109"/>
    </row>
    <row r="6561" spans="1:23" ht="12.75" hidden="1">
      <c r="A6561" s="109"/>
      <c r="B6561" s="109"/>
      <c r="C6561" s="109"/>
      <c r="D6561" s="109"/>
      <c r="E6561" s="109"/>
      <c r="F6561" s="109"/>
      <c r="G6561" s="109"/>
      <c r="H6561" s="109"/>
      <c r="I6561" s="109"/>
      <c r="J6561" s="109"/>
      <c r="W6561" s="109"/>
    </row>
    <row r="6562" spans="1:23" ht="12.75" hidden="1">
      <c r="A6562" s="109"/>
      <c r="B6562" s="109"/>
      <c r="C6562" s="109"/>
      <c r="D6562" s="109"/>
      <c r="E6562" s="109"/>
      <c r="F6562" s="109"/>
      <c r="G6562" s="109"/>
      <c r="H6562" s="109"/>
      <c r="I6562" s="109"/>
      <c r="J6562" s="109"/>
      <c r="W6562" s="109"/>
    </row>
    <row r="6563" spans="1:23" ht="12.75" hidden="1">
      <c r="A6563" s="109"/>
      <c r="B6563" s="109"/>
      <c r="C6563" s="109"/>
      <c r="D6563" s="109"/>
      <c r="E6563" s="109"/>
      <c r="F6563" s="109"/>
      <c r="G6563" s="109"/>
      <c r="H6563" s="109"/>
      <c r="I6563" s="109"/>
      <c r="J6563" s="109"/>
      <c r="W6563" s="109"/>
    </row>
    <row r="6564" spans="1:23" ht="12.75" hidden="1">
      <c r="A6564" s="109"/>
      <c r="B6564" s="109"/>
      <c r="C6564" s="109"/>
      <c r="D6564" s="109"/>
      <c r="E6564" s="109"/>
      <c r="F6564" s="109"/>
      <c r="G6564" s="109"/>
      <c r="H6564" s="109"/>
      <c r="I6564" s="109"/>
      <c r="J6564" s="109"/>
      <c r="W6564" s="109"/>
    </row>
    <row r="6565" spans="1:23" ht="12.75" hidden="1">
      <c r="A6565" s="109"/>
      <c r="B6565" s="109"/>
      <c r="C6565" s="109"/>
      <c r="D6565" s="109"/>
      <c r="E6565" s="109"/>
      <c r="F6565" s="109"/>
      <c r="G6565" s="109"/>
      <c r="H6565" s="109"/>
      <c r="I6565" s="109"/>
      <c r="J6565" s="109"/>
      <c r="W6565" s="109"/>
    </row>
    <row r="6566" spans="1:23" ht="12.75" hidden="1">
      <c r="A6566" s="109"/>
      <c r="B6566" s="109"/>
      <c r="C6566" s="109"/>
      <c r="D6566" s="109"/>
      <c r="E6566" s="109"/>
      <c r="F6566" s="109"/>
      <c r="G6566" s="109"/>
      <c r="H6566" s="109"/>
      <c r="I6566" s="109"/>
      <c r="J6566" s="109"/>
      <c r="W6566" s="109"/>
    </row>
    <row r="6567" spans="1:23" ht="12.75" hidden="1">
      <c r="A6567" s="109"/>
      <c r="B6567" s="109"/>
      <c r="C6567" s="109"/>
      <c r="D6567" s="109"/>
      <c r="E6567" s="109"/>
      <c r="F6567" s="109"/>
      <c r="G6567" s="109"/>
      <c r="H6567" s="109"/>
      <c r="I6567" s="109"/>
      <c r="J6567" s="109"/>
      <c r="W6567" s="109"/>
    </row>
    <row r="6568" spans="1:23" ht="12.75" hidden="1">
      <c r="A6568" s="109"/>
      <c r="B6568" s="109"/>
      <c r="C6568" s="109"/>
      <c r="D6568" s="109"/>
      <c r="E6568" s="109"/>
      <c r="F6568" s="109"/>
      <c r="G6568" s="109"/>
      <c r="H6568" s="109"/>
      <c r="I6568" s="109"/>
      <c r="J6568" s="109"/>
      <c r="W6568" s="109"/>
    </row>
    <row r="6569" spans="1:23" ht="12.75" hidden="1">
      <c r="A6569" s="109"/>
      <c r="B6569" s="109"/>
      <c r="C6569" s="109"/>
      <c r="D6569" s="109"/>
      <c r="E6569" s="109"/>
      <c r="F6569" s="109"/>
      <c r="G6569" s="109"/>
      <c r="H6569" s="109"/>
      <c r="I6569" s="109"/>
      <c r="J6569" s="109"/>
      <c r="W6569" s="109"/>
    </row>
    <row r="6570" spans="1:23" ht="12.75" hidden="1">
      <c r="A6570" s="109"/>
      <c r="B6570" s="109"/>
      <c r="C6570" s="109"/>
      <c r="D6570" s="109"/>
      <c r="E6570" s="109"/>
      <c r="F6570" s="109"/>
      <c r="G6570" s="109"/>
      <c r="H6570" s="109"/>
      <c r="I6570" s="109"/>
      <c r="J6570" s="109"/>
      <c r="W6570" s="109"/>
    </row>
    <row r="6571" spans="1:23" ht="12.75" hidden="1">
      <c r="A6571" s="109"/>
      <c r="B6571" s="109"/>
      <c r="C6571" s="109"/>
      <c r="D6571" s="109"/>
      <c r="E6571" s="109"/>
      <c r="F6571" s="109"/>
      <c r="G6571" s="109"/>
      <c r="H6571" s="109"/>
      <c r="I6571" s="109"/>
      <c r="J6571" s="109"/>
      <c r="W6571" s="109"/>
    </row>
    <row r="6572" spans="1:23" ht="12.75" hidden="1">
      <c r="A6572" s="109"/>
      <c r="B6572" s="109"/>
      <c r="C6572" s="109"/>
      <c r="D6572" s="109"/>
      <c r="E6572" s="109"/>
      <c r="F6572" s="109"/>
      <c r="G6572" s="109"/>
      <c r="H6572" s="109"/>
      <c r="I6572" s="109"/>
      <c r="J6572" s="109"/>
      <c r="W6572" s="109"/>
    </row>
    <row r="6573" spans="1:23" ht="12.75" hidden="1">
      <c r="A6573" s="109"/>
      <c r="B6573" s="109"/>
      <c r="C6573" s="109"/>
      <c r="D6573" s="109"/>
      <c r="E6573" s="109"/>
      <c r="F6573" s="109"/>
      <c r="G6573" s="109"/>
      <c r="H6573" s="109"/>
      <c r="I6573" s="109"/>
      <c r="J6573" s="109"/>
      <c r="W6573" s="109"/>
    </row>
    <row r="6574" spans="1:23" ht="12.75" hidden="1">
      <c r="A6574" s="109"/>
      <c r="B6574" s="109"/>
      <c r="C6574" s="109"/>
      <c r="D6574" s="109"/>
      <c r="E6574" s="109"/>
      <c r="F6574" s="109"/>
      <c r="G6574" s="109"/>
      <c r="H6574" s="109"/>
      <c r="I6574" s="109"/>
      <c r="J6574" s="109"/>
      <c r="W6574" s="109"/>
    </row>
    <row r="6575" spans="1:23" ht="12.75" hidden="1">
      <c r="A6575" s="109"/>
      <c r="B6575" s="109"/>
      <c r="C6575" s="109"/>
      <c r="D6575" s="109"/>
      <c r="E6575" s="109"/>
      <c r="F6575" s="109"/>
      <c r="G6575" s="109"/>
      <c r="H6575" s="109"/>
      <c r="I6575" s="109"/>
      <c r="J6575" s="109"/>
      <c r="W6575" s="109"/>
    </row>
    <row r="6576" spans="1:23" ht="12.75" hidden="1">
      <c r="A6576" s="109"/>
      <c r="B6576" s="109"/>
      <c r="C6576" s="109"/>
      <c r="D6576" s="109"/>
      <c r="E6576" s="109"/>
      <c r="F6576" s="109"/>
      <c r="G6576" s="109"/>
      <c r="H6576" s="109"/>
      <c r="I6576" s="109"/>
      <c r="J6576" s="109"/>
      <c r="W6576" s="109"/>
    </row>
    <row r="6577" spans="1:23" ht="12.75" hidden="1">
      <c r="A6577" s="109"/>
      <c r="B6577" s="109"/>
      <c r="C6577" s="109"/>
      <c r="D6577" s="109"/>
      <c r="E6577" s="109"/>
      <c r="F6577" s="109"/>
      <c r="G6577" s="109"/>
      <c r="H6577" s="109"/>
      <c r="I6577" s="109"/>
      <c r="J6577" s="109"/>
      <c r="W6577" s="109"/>
    </row>
    <row r="6578" spans="1:23" ht="12.75" hidden="1">
      <c r="A6578" s="109"/>
      <c r="B6578" s="109"/>
      <c r="C6578" s="109"/>
      <c r="D6578" s="109"/>
      <c r="E6578" s="109"/>
      <c r="F6578" s="109"/>
      <c r="G6578" s="109"/>
      <c r="H6578" s="109"/>
      <c r="I6578" s="109"/>
      <c r="J6578" s="109"/>
      <c r="W6578" s="109"/>
    </row>
    <row r="6579" spans="1:23" ht="12.75" hidden="1">
      <c r="A6579" s="109"/>
      <c r="B6579" s="109"/>
      <c r="C6579" s="109"/>
      <c r="D6579" s="109"/>
      <c r="E6579" s="109"/>
      <c r="F6579" s="109"/>
      <c r="G6579" s="109"/>
      <c r="H6579" s="109"/>
      <c r="I6579" s="109"/>
      <c r="J6579" s="109"/>
      <c r="W6579" s="109"/>
    </row>
    <row r="6580" spans="1:23" ht="12.75" hidden="1">
      <c r="A6580" s="109"/>
      <c r="B6580" s="109"/>
      <c r="C6580" s="109"/>
      <c r="D6580" s="109"/>
      <c r="E6580" s="109"/>
      <c r="F6580" s="109"/>
      <c r="G6580" s="109"/>
      <c r="H6580" s="109"/>
      <c r="I6580" s="109"/>
      <c r="J6580" s="109"/>
      <c r="W6580" s="109"/>
    </row>
    <row r="6581" spans="1:23" ht="12.75" hidden="1">
      <c r="A6581" s="109"/>
      <c r="B6581" s="109"/>
      <c r="C6581" s="109"/>
      <c r="D6581" s="109"/>
      <c r="E6581" s="109"/>
      <c r="F6581" s="109"/>
      <c r="G6581" s="109"/>
      <c r="H6581" s="109"/>
      <c r="I6581" s="109"/>
      <c r="J6581" s="109"/>
      <c r="W6581" s="109"/>
    </row>
    <row r="6582" spans="1:23" ht="12.75" hidden="1">
      <c r="A6582" s="109"/>
      <c r="B6582" s="109"/>
      <c r="C6582" s="109"/>
      <c r="D6582" s="109"/>
      <c r="E6582" s="109"/>
      <c r="F6582" s="109"/>
      <c r="G6582" s="109"/>
      <c r="H6582" s="109"/>
      <c r="I6582" s="109"/>
      <c r="J6582" s="109"/>
      <c r="W6582" s="109"/>
    </row>
    <row r="6583" spans="1:23" ht="12.75" hidden="1">
      <c r="A6583" s="109"/>
      <c r="B6583" s="109"/>
      <c r="C6583" s="109"/>
      <c r="D6583" s="109"/>
      <c r="E6583" s="109"/>
      <c r="F6583" s="109"/>
      <c r="G6583" s="109"/>
      <c r="H6583" s="109"/>
      <c r="I6583" s="109"/>
      <c r="J6583" s="109"/>
      <c r="W6583" s="109"/>
    </row>
    <row r="6584" spans="1:23" ht="12.75" hidden="1">
      <c r="A6584" s="109"/>
      <c r="B6584" s="109"/>
      <c r="C6584" s="109"/>
      <c r="D6584" s="109"/>
      <c r="E6584" s="109"/>
      <c r="F6584" s="109"/>
      <c r="G6584" s="109"/>
      <c r="H6584" s="109"/>
      <c r="I6584" s="109"/>
      <c r="J6584" s="109"/>
      <c r="W6584" s="109"/>
    </row>
    <row r="6585" spans="1:23" ht="12.75" hidden="1">
      <c r="A6585" s="109"/>
      <c r="B6585" s="109"/>
      <c r="C6585" s="109"/>
      <c r="D6585" s="109"/>
      <c r="E6585" s="109"/>
      <c r="F6585" s="109"/>
      <c r="G6585" s="109"/>
      <c r="H6585" s="109"/>
      <c r="I6585" s="109"/>
      <c r="J6585" s="109"/>
      <c r="W6585" s="109"/>
    </row>
    <row r="6586" spans="1:23" ht="12.75" hidden="1">
      <c r="A6586" s="109"/>
      <c r="B6586" s="109"/>
      <c r="C6586" s="109"/>
      <c r="D6586" s="109"/>
      <c r="E6586" s="109"/>
      <c r="F6586" s="109"/>
      <c r="G6586" s="109"/>
      <c r="H6586" s="109"/>
      <c r="I6586" s="109"/>
      <c r="J6586" s="109"/>
      <c r="W6586" s="109"/>
    </row>
    <row r="6587" spans="1:23" ht="12.75" hidden="1">
      <c r="A6587" s="109"/>
      <c r="B6587" s="109"/>
      <c r="C6587" s="109"/>
      <c r="D6587" s="109"/>
      <c r="E6587" s="109"/>
      <c r="F6587" s="109"/>
      <c r="G6587" s="109"/>
      <c r="H6587" s="109"/>
      <c r="I6587" s="109"/>
      <c r="J6587" s="109"/>
      <c r="W6587" s="109"/>
    </row>
    <row r="6588" spans="1:23" ht="12.75" hidden="1">
      <c r="A6588" s="109"/>
      <c r="B6588" s="109"/>
      <c r="C6588" s="109"/>
      <c r="D6588" s="109"/>
      <c r="E6588" s="109"/>
      <c r="F6588" s="109"/>
      <c r="G6588" s="109"/>
      <c r="H6588" s="109"/>
      <c r="I6588" s="109"/>
      <c r="J6588" s="109"/>
      <c r="W6588" s="109"/>
    </row>
    <row r="6589" spans="1:23" ht="12.75" hidden="1">
      <c r="A6589" s="109"/>
      <c r="B6589" s="109"/>
      <c r="C6589" s="109"/>
      <c r="D6589" s="109"/>
      <c r="E6589" s="109"/>
      <c r="F6589" s="109"/>
      <c r="G6589" s="109"/>
      <c r="H6589" s="109"/>
      <c r="I6589" s="109"/>
      <c r="J6589" s="109"/>
      <c r="W6589" s="109"/>
    </row>
    <row r="6590" spans="1:23" ht="12.75" hidden="1">
      <c r="A6590" s="109"/>
      <c r="B6590" s="109"/>
      <c r="C6590" s="109"/>
      <c r="D6590" s="109"/>
      <c r="E6590" s="109"/>
      <c r="F6590" s="109"/>
      <c r="G6590" s="109"/>
      <c r="H6590" s="109"/>
      <c r="I6590" s="109"/>
      <c r="J6590" s="109"/>
      <c r="W6590" s="109"/>
    </row>
    <row r="6591" spans="1:23" ht="12.75" hidden="1">
      <c r="A6591" s="109"/>
      <c r="B6591" s="109"/>
      <c r="C6591" s="109"/>
      <c r="D6591" s="109"/>
      <c r="E6591" s="109"/>
      <c r="F6591" s="109"/>
      <c r="G6591" s="109"/>
      <c r="H6591" s="109"/>
      <c r="I6591" s="109"/>
      <c r="J6591" s="109"/>
      <c r="W6591" s="109"/>
    </row>
    <row r="6592" spans="1:23" ht="12.75" hidden="1">
      <c r="A6592" s="109"/>
      <c r="B6592" s="109"/>
      <c r="C6592" s="109"/>
      <c r="D6592" s="109"/>
      <c r="E6592" s="109"/>
      <c r="F6592" s="109"/>
      <c r="G6592" s="109"/>
      <c r="H6592" s="109"/>
      <c r="I6592" s="109"/>
      <c r="J6592" s="109"/>
      <c r="W6592" s="109"/>
    </row>
    <row r="6593" spans="1:23" ht="12.75" hidden="1">
      <c r="A6593" s="109"/>
      <c r="B6593" s="109"/>
      <c r="C6593" s="109"/>
      <c r="D6593" s="109"/>
      <c r="E6593" s="109"/>
      <c r="F6593" s="109"/>
      <c r="G6593" s="109"/>
      <c r="H6593" s="109"/>
      <c r="I6593" s="109"/>
      <c r="J6593" s="109"/>
      <c r="W6593" s="109"/>
    </row>
    <row r="6594" spans="1:23" ht="12.75" hidden="1">
      <c r="A6594" s="109"/>
      <c r="B6594" s="109"/>
      <c r="C6594" s="109"/>
      <c r="D6594" s="109"/>
      <c r="E6594" s="109"/>
      <c r="F6594" s="109"/>
      <c r="G6594" s="109"/>
      <c r="H6594" s="109"/>
      <c r="I6594" s="109"/>
      <c r="J6594" s="109"/>
      <c r="W6594" s="109"/>
    </row>
    <row r="6595" spans="1:23" ht="12.75" hidden="1">
      <c r="A6595" s="109"/>
      <c r="B6595" s="109"/>
      <c r="C6595" s="109"/>
      <c r="D6595" s="109"/>
      <c r="E6595" s="109"/>
      <c r="F6595" s="109"/>
      <c r="G6595" s="109"/>
      <c r="H6595" s="109"/>
      <c r="I6595" s="109"/>
      <c r="J6595" s="109"/>
      <c r="W6595" s="109"/>
    </row>
    <row r="6596" spans="1:23" ht="12.75" hidden="1">
      <c r="A6596" s="109"/>
      <c r="B6596" s="109"/>
      <c r="C6596" s="109"/>
      <c r="D6596" s="109"/>
      <c r="E6596" s="109"/>
      <c r="F6596" s="109"/>
      <c r="G6596" s="109"/>
      <c r="H6596" s="109"/>
      <c r="I6596" s="109"/>
      <c r="J6596" s="109"/>
      <c r="W6596" s="109"/>
    </row>
    <row r="6597" spans="1:23" ht="12.75" hidden="1">
      <c r="A6597" s="109"/>
      <c r="B6597" s="109"/>
      <c r="C6597" s="109"/>
      <c r="D6597" s="109"/>
      <c r="E6597" s="109"/>
      <c r="F6597" s="109"/>
      <c r="G6597" s="109"/>
      <c r="H6597" s="109"/>
      <c r="I6597" s="109"/>
      <c r="J6597" s="109"/>
      <c r="W6597" s="109"/>
    </row>
    <row r="6598" spans="1:23" ht="12.75" hidden="1">
      <c r="A6598" s="109"/>
      <c r="B6598" s="109"/>
      <c r="C6598" s="109"/>
      <c r="D6598" s="109"/>
      <c r="E6598" s="109"/>
      <c r="F6598" s="109"/>
      <c r="G6598" s="109"/>
      <c r="H6598" s="109"/>
      <c r="I6598" s="109"/>
      <c r="J6598" s="109"/>
      <c r="W6598" s="109"/>
    </row>
    <row r="6599" spans="1:23" ht="12.75" hidden="1">
      <c r="A6599" s="109"/>
      <c r="B6599" s="109"/>
      <c r="C6599" s="109"/>
      <c r="D6599" s="109"/>
      <c r="E6599" s="109"/>
      <c r="F6599" s="109"/>
      <c r="G6599" s="109"/>
      <c r="H6599" s="109"/>
      <c r="I6599" s="109"/>
      <c r="J6599" s="109"/>
      <c r="W6599" s="109"/>
    </row>
    <row r="6600" spans="1:23" ht="12.75" hidden="1">
      <c r="A6600" s="109"/>
      <c r="B6600" s="109"/>
      <c r="C6600" s="109"/>
      <c r="D6600" s="109"/>
      <c r="E6600" s="109"/>
      <c r="F6600" s="109"/>
      <c r="G6600" s="109"/>
      <c r="H6600" s="109"/>
      <c r="I6600" s="109"/>
      <c r="J6600" s="109"/>
      <c r="W6600" s="109"/>
    </row>
    <row r="6601" spans="1:23" ht="12.75" hidden="1">
      <c r="A6601" s="109"/>
      <c r="B6601" s="109"/>
      <c r="C6601" s="109"/>
      <c r="D6601" s="109"/>
      <c r="E6601" s="109"/>
      <c r="F6601" s="109"/>
      <c r="G6601" s="109"/>
      <c r="H6601" s="109"/>
      <c r="I6601" s="109"/>
      <c r="J6601" s="109"/>
      <c r="W6601" s="109"/>
    </row>
    <row r="6602" spans="1:23" ht="12.75" hidden="1">
      <c r="A6602" s="109"/>
      <c r="B6602" s="109"/>
      <c r="C6602" s="109"/>
      <c r="D6602" s="109"/>
      <c r="E6602" s="109"/>
      <c r="F6602" s="109"/>
      <c r="G6602" s="109"/>
      <c r="H6602" s="109"/>
      <c r="I6602" s="109"/>
      <c r="J6602" s="109"/>
      <c r="W6602" s="109"/>
    </row>
    <row r="6603" spans="1:23" ht="12.75" hidden="1">
      <c r="A6603" s="109"/>
      <c r="B6603" s="109"/>
      <c r="C6603" s="109"/>
      <c r="D6603" s="109"/>
      <c r="E6603" s="109"/>
      <c r="F6603" s="109"/>
      <c r="G6603" s="109"/>
      <c r="H6603" s="109"/>
      <c r="I6603" s="109"/>
      <c r="J6603" s="109"/>
      <c r="W6603" s="109"/>
    </row>
    <row r="6604" spans="1:23" ht="12.75" hidden="1">
      <c r="A6604" s="109"/>
      <c r="B6604" s="109"/>
      <c r="C6604" s="109"/>
      <c r="D6604" s="109"/>
      <c r="E6604" s="109"/>
      <c r="F6604" s="109"/>
      <c r="G6604" s="109"/>
      <c r="H6604" s="109"/>
      <c r="I6604" s="109"/>
      <c r="J6604" s="109"/>
      <c r="W6604" s="109"/>
    </row>
    <row r="6605" spans="1:23" ht="12.75" hidden="1">
      <c r="A6605" s="109"/>
      <c r="B6605" s="109"/>
      <c r="C6605" s="109"/>
      <c r="D6605" s="109"/>
      <c r="E6605" s="109"/>
      <c r="F6605" s="109"/>
      <c r="G6605" s="109"/>
      <c r="H6605" s="109"/>
      <c r="I6605" s="109"/>
      <c r="J6605" s="109"/>
      <c r="W6605" s="109"/>
    </row>
    <row r="6606" spans="1:23" ht="12.75" hidden="1">
      <c r="A6606" s="109"/>
      <c r="B6606" s="109"/>
      <c r="C6606" s="109"/>
      <c r="D6606" s="109"/>
      <c r="E6606" s="109"/>
      <c r="F6606" s="109"/>
      <c r="G6606" s="109"/>
      <c r="H6606" s="109"/>
      <c r="I6606" s="109"/>
      <c r="J6606" s="109"/>
      <c r="W6606" s="109"/>
    </row>
    <row r="6607" spans="1:23" ht="12.75" hidden="1">
      <c r="A6607" s="109"/>
      <c r="B6607" s="109"/>
      <c r="C6607" s="109"/>
      <c r="D6607" s="109"/>
      <c r="E6607" s="109"/>
      <c r="F6607" s="109"/>
      <c r="G6607" s="109"/>
      <c r="H6607" s="109"/>
      <c r="I6607" s="109"/>
      <c r="J6607" s="109"/>
      <c r="W6607" s="109"/>
    </row>
    <row r="6608" spans="1:23" ht="12.75" hidden="1">
      <c r="A6608" s="109"/>
      <c r="B6608" s="109"/>
      <c r="C6608" s="109"/>
      <c r="D6608" s="109"/>
      <c r="E6608" s="109"/>
      <c r="F6608" s="109"/>
      <c r="G6608" s="109"/>
      <c r="H6608" s="109"/>
      <c r="I6608" s="109"/>
      <c r="J6608" s="109"/>
      <c r="W6608" s="109"/>
    </row>
    <row r="6609" spans="1:23" ht="12.75" hidden="1">
      <c r="A6609" s="109"/>
      <c r="B6609" s="109"/>
      <c r="C6609" s="109"/>
      <c r="D6609" s="109"/>
      <c r="E6609" s="109"/>
      <c r="F6609" s="109"/>
      <c r="G6609" s="109"/>
      <c r="H6609" s="109"/>
      <c r="I6609" s="109"/>
      <c r="J6609" s="109"/>
      <c r="W6609" s="109"/>
    </row>
    <row r="6610" spans="1:23" ht="12.75" hidden="1">
      <c r="A6610" s="109"/>
      <c r="B6610" s="109"/>
      <c r="C6610" s="109"/>
      <c r="D6610" s="109"/>
      <c r="E6610" s="109"/>
      <c r="F6610" s="109"/>
      <c r="G6610" s="109"/>
      <c r="H6610" s="109"/>
      <c r="I6610" s="109"/>
      <c r="J6610" s="109"/>
      <c r="W6610" s="109"/>
    </row>
    <row r="6611" spans="1:23" ht="12.75" hidden="1">
      <c r="A6611" s="109"/>
      <c r="B6611" s="109"/>
      <c r="C6611" s="109"/>
      <c r="D6611" s="109"/>
      <c r="E6611" s="109"/>
      <c r="F6611" s="109"/>
      <c r="G6611" s="109"/>
      <c r="H6611" s="109"/>
      <c r="I6611" s="109"/>
      <c r="J6611" s="109"/>
      <c r="W6611" s="109"/>
    </row>
    <row r="6612" spans="1:23" ht="12.75" hidden="1">
      <c r="A6612" s="109"/>
      <c r="B6612" s="109"/>
      <c r="C6612" s="109"/>
      <c r="D6612" s="109"/>
      <c r="E6612" s="109"/>
      <c r="F6612" s="109"/>
      <c r="G6612" s="109"/>
      <c r="H6612" s="109"/>
      <c r="I6612" s="109"/>
      <c r="J6612" s="109"/>
      <c r="W6612" s="109"/>
    </row>
    <row r="6613" spans="1:23" ht="12.75" hidden="1">
      <c r="A6613" s="109"/>
      <c r="B6613" s="109"/>
      <c r="C6613" s="109"/>
      <c r="D6613" s="109"/>
      <c r="E6613" s="109"/>
      <c r="F6613" s="109"/>
      <c r="G6613" s="109"/>
      <c r="H6613" s="109"/>
      <c r="I6613" s="109"/>
      <c r="J6613" s="109"/>
      <c r="W6613" s="109"/>
    </row>
    <row r="6614" spans="1:23" ht="12.75" hidden="1">
      <c r="A6614" s="109"/>
      <c r="B6614" s="109"/>
      <c r="C6614" s="109"/>
      <c r="D6614" s="109"/>
      <c r="E6614" s="109"/>
      <c r="F6614" s="109"/>
      <c r="G6614" s="109"/>
      <c r="H6614" s="109"/>
      <c r="I6614" s="109"/>
      <c r="J6614" s="109"/>
      <c r="W6614" s="109"/>
    </row>
    <row r="6615" spans="1:23" ht="12.75" hidden="1">
      <c r="A6615" s="109"/>
      <c r="B6615" s="109"/>
      <c r="C6615" s="109"/>
      <c r="D6615" s="109"/>
      <c r="E6615" s="109"/>
      <c r="F6615" s="109"/>
      <c r="G6615" s="109"/>
      <c r="H6615" s="109"/>
      <c r="I6615" s="109"/>
      <c r="J6615" s="109"/>
      <c r="W6615" s="109"/>
    </row>
    <row r="6616" spans="1:23" ht="12.75" hidden="1">
      <c r="A6616" s="109"/>
      <c r="B6616" s="109"/>
      <c r="C6616" s="109"/>
      <c r="D6616" s="109"/>
      <c r="E6616" s="109"/>
      <c r="F6616" s="109"/>
      <c r="G6616" s="109"/>
      <c r="H6616" s="109"/>
      <c r="I6616" s="109"/>
      <c r="J6616" s="109"/>
      <c r="W6616" s="109"/>
    </row>
    <row r="6617" spans="1:23" ht="12.75" hidden="1">
      <c r="A6617" s="109"/>
      <c r="B6617" s="109"/>
      <c r="C6617" s="109"/>
      <c r="D6617" s="109"/>
      <c r="E6617" s="109"/>
      <c r="F6617" s="109"/>
      <c r="G6617" s="109"/>
      <c r="H6617" s="109"/>
      <c r="I6617" s="109"/>
      <c r="J6617" s="109"/>
      <c r="W6617" s="109"/>
    </row>
    <row r="6618" spans="1:23" ht="12.75" hidden="1">
      <c r="A6618" s="109"/>
      <c r="B6618" s="109"/>
      <c r="C6618" s="109"/>
      <c r="D6618" s="109"/>
      <c r="E6618" s="109"/>
      <c r="F6618" s="109"/>
      <c r="G6618" s="109"/>
      <c r="H6618" s="109"/>
      <c r="I6618" s="109"/>
      <c r="J6618" s="109"/>
      <c r="W6618" s="109"/>
    </row>
    <row r="6619" spans="1:23" ht="12.75" hidden="1">
      <c r="A6619" s="109"/>
      <c r="B6619" s="109"/>
      <c r="C6619" s="109"/>
      <c r="D6619" s="109"/>
      <c r="E6619" s="109"/>
      <c r="F6619" s="109"/>
      <c r="G6619" s="109"/>
      <c r="H6619" s="109"/>
      <c r="I6619" s="109"/>
      <c r="J6619" s="109"/>
      <c r="W6619" s="109"/>
    </row>
    <row r="6620" spans="1:23" ht="12.75" hidden="1">
      <c r="A6620" s="109"/>
      <c r="B6620" s="109"/>
      <c r="C6620" s="109"/>
      <c r="D6620" s="109"/>
      <c r="E6620" s="109"/>
      <c r="F6620" s="109"/>
      <c r="G6620" s="109"/>
      <c r="H6620" s="109"/>
      <c r="I6620" s="109"/>
      <c r="J6620" s="109"/>
      <c r="W6620" s="109"/>
    </row>
    <row r="6621" spans="1:23" ht="12.75" hidden="1">
      <c r="A6621" s="109"/>
      <c r="B6621" s="109"/>
      <c r="C6621" s="109"/>
      <c r="D6621" s="109"/>
      <c r="E6621" s="109"/>
      <c r="F6621" s="109"/>
      <c r="G6621" s="109"/>
      <c r="H6621" s="109"/>
      <c r="I6621" s="109"/>
      <c r="J6621" s="109"/>
      <c r="W6621" s="109"/>
    </row>
    <row r="6622" spans="1:23" ht="12.75" hidden="1">
      <c r="A6622" s="109"/>
      <c r="B6622" s="109"/>
      <c r="C6622" s="109"/>
      <c r="D6622" s="109"/>
      <c r="E6622" s="109"/>
      <c r="F6622" s="109"/>
      <c r="G6622" s="109"/>
      <c r="H6622" s="109"/>
      <c r="I6622" s="109"/>
      <c r="J6622" s="109"/>
      <c r="W6622" s="109"/>
    </row>
    <row r="6623" spans="1:23" ht="12.75" hidden="1">
      <c r="A6623" s="109"/>
      <c r="B6623" s="109"/>
      <c r="C6623" s="109"/>
      <c r="D6623" s="109"/>
      <c r="E6623" s="109"/>
      <c r="F6623" s="109"/>
      <c r="G6623" s="109"/>
      <c r="H6623" s="109"/>
      <c r="I6623" s="109"/>
      <c r="J6623" s="109"/>
      <c r="W6623" s="109"/>
    </row>
    <row r="6624" spans="1:23" ht="12.75" hidden="1">
      <c r="A6624" s="109"/>
      <c r="B6624" s="109"/>
      <c r="C6624" s="109"/>
      <c r="D6624" s="109"/>
      <c r="E6624" s="109"/>
      <c r="F6624" s="109"/>
      <c r="G6624" s="109"/>
      <c r="H6624" s="109"/>
      <c r="I6624" s="109"/>
      <c r="J6624" s="109"/>
      <c r="W6624" s="109"/>
    </row>
    <row r="6625" spans="1:23" ht="12.75" hidden="1">
      <c r="A6625" s="109"/>
      <c r="B6625" s="109"/>
      <c r="C6625" s="109"/>
      <c r="D6625" s="109"/>
      <c r="E6625" s="109"/>
      <c r="F6625" s="109"/>
      <c r="G6625" s="109"/>
      <c r="H6625" s="109"/>
      <c r="I6625" s="109"/>
      <c r="J6625" s="109"/>
      <c r="W6625" s="109"/>
    </row>
    <row r="6626" spans="1:23" ht="12.75" hidden="1">
      <c r="A6626" s="109"/>
      <c r="B6626" s="109"/>
      <c r="C6626" s="109"/>
      <c r="D6626" s="109"/>
      <c r="E6626" s="109"/>
      <c r="F6626" s="109"/>
      <c r="G6626" s="109"/>
      <c r="H6626" s="109"/>
      <c r="I6626" s="109"/>
      <c r="J6626" s="109"/>
      <c r="W6626" s="109"/>
    </row>
    <row r="6627" spans="1:23" ht="12.75" hidden="1">
      <c r="A6627" s="109"/>
      <c r="B6627" s="109"/>
      <c r="C6627" s="109"/>
      <c r="D6627" s="109"/>
      <c r="E6627" s="109"/>
      <c r="F6627" s="109"/>
      <c r="G6627" s="109"/>
      <c r="H6627" s="109"/>
      <c r="I6627" s="109"/>
      <c r="J6627" s="109"/>
      <c r="W6627" s="109"/>
    </row>
    <row r="6628" spans="1:23" ht="12.75" hidden="1">
      <c r="A6628" s="109"/>
      <c r="B6628" s="109"/>
      <c r="C6628" s="109"/>
      <c r="D6628" s="109"/>
      <c r="E6628" s="109"/>
      <c r="F6628" s="109"/>
      <c r="G6628" s="109"/>
      <c r="H6628" s="109"/>
      <c r="I6628" s="109"/>
      <c r="J6628" s="109"/>
      <c r="W6628" s="109"/>
    </row>
    <row r="6629" spans="1:23" ht="12.75" hidden="1">
      <c r="A6629" s="109"/>
      <c r="B6629" s="109"/>
      <c r="C6629" s="109"/>
      <c r="D6629" s="109"/>
      <c r="E6629" s="109"/>
      <c r="F6629" s="109"/>
      <c r="G6629" s="109"/>
      <c r="H6629" s="109"/>
      <c r="I6629" s="109"/>
      <c r="J6629" s="109"/>
      <c r="W6629" s="109"/>
    </row>
    <row r="6630" spans="1:23" ht="12.75" hidden="1">
      <c r="A6630" s="109"/>
      <c r="B6630" s="109"/>
      <c r="C6630" s="109"/>
      <c r="D6630" s="109"/>
      <c r="E6630" s="109"/>
      <c r="F6630" s="109"/>
      <c r="G6630" s="109"/>
      <c r="H6630" s="109"/>
      <c r="I6630" s="109"/>
      <c r="J6630" s="109"/>
      <c r="W6630" s="109"/>
    </row>
    <row r="6631" spans="1:23" ht="12.75" hidden="1">
      <c r="A6631" s="109"/>
      <c r="B6631" s="109"/>
      <c r="C6631" s="109"/>
      <c r="D6631" s="109"/>
      <c r="E6631" s="109"/>
      <c r="F6631" s="109"/>
      <c r="G6631" s="109"/>
      <c r="H6631" s="109"/>
      <c r="I6631" s="109"/>
      <c r="J6631" s="109"/>
      <c r="W6631" s="109"/>
    </row>
    <row r="6632" spans="1:23" ht="12.75" hidden="1">
      <c r="A6632" s="109"/>
      <c r="B6632" s="109"/>
      <c r="C6632" s="109"/>
      <c r="D6632" s="109"/>
      <c r="E6632" s="109"/>
      <c r="F6632" s="109"/>
      <c r="G6632" s="109"/>
      <c r="H6632" s="109"/>
      <c r="I6632" s="109"/>
      <c r="J6632" s="109"/>
      <c r="W6632" s="109"/>
    </row>
    <row r="6633" spans="1:23" ht="12.75" hidden="1">
      <c r="A6633" s="109"/>
      <c r="B6633" s="109"/>
      <c r="C6633" s="109"/>
      <c r="D6633" s="109"/>
      <c r="E6633" s="109"/>
      <c r="F6633" s="109"/>
      <c r="G6633" s="109"/>
      <c r="H6633" s="109"/>
      <c r="I6633" s="109"/>
      <c r="J6633" s="109"/>
      <c r="W6633" s="109"/>
    </row>
    <row r="6634" spans="1:23" ht="12.75" hidden="1">
      <c r="A6634" s="109"/>
      <c r="B6634" s="109"/>
      <c r="C6634" s="109"/>
      <c r="D6634" s="109"/>
      <c r="E6634" s="109"/>
      <c r="F6634" s="109"/>
      <c r="G6634" s="109"/>
      <c r="H6634" s="109"/>
      <c r="I6634" s="109"/>
      <c r="J6634" s="109"/>
      <c r="W6634" s="109"/>
    </row>
    <row r="6635" spans="1:23" ht="12.75" hidden="1">
      <c r="A6635" s="109"/>
      <c r="B6635" s="109"/>
      <c r="C6635" s="109"/>
      <c r="D6635" s="109"/>
      <c r="E6635" s="109"/>
      <c r="F6635" s="109"/>
      <c r="G6635" s="109"/>
      <c r="H6635" s="109"/>
      <c r="I6635" s="109"/>
      <c r="J6635" s="109"/>
      <c r="W6635" s="109"/>
    </row>
    <row r="6636" spans="1:23" ht="12.75" hidden="1">
      <c r="A6636" s="109"/>
      <c r="B6636" s="109"/>
      <c r="C6636" s="109"/>
      <c r="D6636" s="109"/>
      <c r="E6636" s="109"/>
      <c r="F6636" s="109"/>
      <c r="G6636" s="109"/>
      <c r="H6636" s="109"/>
      <c r="I6636" s="109"/>
      <c r="J6636" s="109"/>
      <c r="W6636" s="109"/>
    </row>
    <row r="6637" spans="1:23" ht="12.75" hidden="1">
      <c r="A6637" s="109"/>
      <c r="B6637" s="109"/>
      <c r="C6637" s="109"/>
      <c r="D6637" s="109"/>
      <c r="E6637" s="109"/>
      <c r="F6637" s="109"/>
      <c r="G6637" s="109"/>
      <c r="H6637" s="109"/>
      <c r="I6637" s="109"/>
      <c r="J6637" s="109"/>
      <c r="W6637" s="109"/>
    </row>
    <row r="6638" spans="1:23" ht="12.75" hidden="1">
      <c r="A6638" s="109"/>
      <c r="B6638" s="109"/>
      <c r="C6638" s="109"/>
      <c r="D6638" s="109"/>
      <c r="E6638" s="109"/>
      <c r="F6638" s="109"/>
      <c r="G6638" s="109"/>
      <c r="H6638" s="109"/>
      <c r="I6638" s="109"/>
      <c r="J6638" s="109"/>
      <c r="W6638" s="109"/>
    </row>
    <row r="6639" spans="1:23" ht="12.75" hidden="1">
      <c r="A6639" s="109"/>
      <c r="B6639" s="109"/>
      <c r="C6639" s="109"/>
      <c r="D6639" s="109"/>
      <c r="E6639" s="109"/>
      <c r="F6639" s="109"/>
      <c r="G6639" s="109"/>
      <c r="H6639" s="109"/>
      <c r="I6639" s="109"/>
      <c r="J6639" s="109"/>
      <c r="W6639" s="109"/>
    </row>
    <row r="6640" spans="1:23" ht="12.75" hidden="1">
      <c r="A6640" s="109"/>
      <c r="B6640" s="109"/>
      <c r="C6640" s="109"/>
      <c r="D6640" s="109"/>
      <c r="E6640" s="109"/>
      <c r="F6640" s="109"/>
      <c r="G6640" s="109"/>
      <c r="H6640" s="109"/>
      <c r="I6640" s="109"/>
      <c r="J6640" s="109"/>
      <c r="W6640" s="109"/>
    </row>
    <row r="6641" spans="1:23" ht="12.75" hidden="1">
      <c r="A6641" s="109"/>
      <c r="B6641" s="109"/>
      <c r="C6641" s="109"/>
      <c r="D6641" s="109"/>
      <c r="E6641" s="109"/>
      <c r="F6641" s="109"/>
      <c r="G6641" s="109"/>
      <c r="H6641" s="109"/>
      <c r="I6641" s="109"/>
      <c r="J6641" s="109"/>
      <c r="W6641" s="109"/>
    </row>
    <row r="6642" spans="1:23" ht="12.75" hidden="1">
      <c r="A6642" s="109"/>
      <c r="B6642" s="109"/>
      <c r="C6642" s="109"/>
      <c r="D6642" s="109"/>
      <c r="E6642" s="109"/>
      <c r="F6642" s="109"/>
      <c r="G6642" s="109"/>
      <c r="H6642" s="109"/>
      <c r="I6642" s="109"/>
      <c r="J6642" s="109"/>
      <c r="W6642" s="109"/>
    </row>
    <row r="6643" spans="1:23" ht="12.75" hidden="1">
      <c r="A6643" s="109"/>
      <c r="B6643" s="109"/>
      <c r="C6643" s="109"/>
      <c r="D6643" s="109"/>
      <c r="E6643" s="109"/>
      <c r="F6643" s="109"/>
      <c r="G6643" s="109"/>
      <c r="H6643" s="109"/>
      <c r="I6643" s="109"/>
      <c r="J6643" s="109"/>
      <c r="W6643" s="109"/>
    </row>
    <row r="6644" spans="1:23" ht="12.75" hidden="1">
      <c r="A6644" s="109"/>
      <c r="B6644" s="109"/>
      <c r="C6644" s="109"/>
      <c r="D6644" s="109"/>
      <c r="E6644" s="109"/>
      <c r="F6644" s="109"/>
      <c r="G6644" s="109"/>
      <c r="H6644" s="109"/>
      <c r="I6644" s="109"/>
      <c r="J6644" s="109"/>
      <c r="W6644" s="109"/>
    </row>
    <row r="6645" spans="1:23" ht="12.75" hidden="1">
      <c r="A6645" s="109"/>
      <c r="B6645" s="109"/>
      <c r="C6645" s="109"/>
      <c r="D6645" s="109"/>
      <c r="E6645" s="109"/>
      <c r="F6645" s="109"/>
      <c r="G6645" s="109"/>
      <c r="H6645" s="109"/>
      <c r="I6645" s="109"/>
      <c r="J6645" s="109"/>
      <c r="W6645" s="109"/>
    </row>
    <row r="6646" spans="1:23" ht="12.75" hidden="1">
      <c r="A6646" s="109"/>
      <c r="B6646" s="109"/>
      <c r="C6646" s="109"/>
      <c r="D6646" s="109"/>
      <c r="E6646" s="109"/>
      <c r="F6646" s="109"/>
      <c r="G6646" s="109"/>
      <c r="H6646" s="109"/>
      <c r="I6646" s="109"/>
      <c r="J6646" s="109"/>
      <c r="W6646" s="109"/>
    </row>
    <row r="6647" spans="1:23" ht="12.75" hidden="1">
      <c r="A6647" s="109"/>
      <c r="B6647" s="109"/>
      <c r="C6647" s="109"/>
      <c r="D6647" s="109"/>
      <c r="E6647" s="109"/>
      <c r="F6647" s="109"/>
      <c r="G6647" s="109"/>
      <c r="H6647" s="109"/>
      <c r="I6647" s="109"/>
      <c r="J6647" s="109"/>
      <c r="W6647" s="109"/>
    </row>
    <row r="6648" spans="1:23" ht="12.75" hidden="1">
      <c r="A6648" s="109"/>
      <c r="B6648" s="109"/>
      <c r="C6648" s="109"/>
      <c r="D6648" s="109"/>
      <c r="E6648" s="109"/>
      <c r="F6648" s="109"/>
      <c r="G6648" s="109"/>
      <c r="H6648" s="109"/>
      <c r="I6648" s="109"/>
      <c r="J6648" s="109"/>
      <c r="W6648" s="109"/>
    </row>
    <row r="6649" spans="1:23" ht="12.75" hidden="1">
      <c r="A6649" s="109"/>
      <c r="B6649" s="109"/>
      <c r="C6649" s="109"/>
      <c r="D6649" s="109"/>
      <c r="E6649" s="109"/>
      <c r="F6649" s="109"/>
      <c r="G6649" s="109"/>
      <c r="H6649" s="109"/>
      <c r="I6649" s="109"/>
      <c r="J6649" s="109"/>
      <c r="W6649" s="109"/>
    </row>
    <row r="6650" spans="1:23" ht="12.75" hidden="1">
      <c r="A6650" s="109"/>
      <c r="B6650" s="109"/>
      <c r="C6650" s="109"/>
      <c r="D6650" s="109"/>
      <c r="E6650" s="109"/>
      <c r="F6650" s="109"/>
      <c r="G6650" s="109"/>
      <c r="H6650" s="109"/>
      <c r="I6650" s="109"/>
      <c r="J6650" s="109"/>
      <c r="W6650" s="109"/>
    </row>
    <row r="6651" spans="1:23" ht="12.75" hidden="1">
      <c r="A6651" s="109"/>
      <c r="B6651" s="109"/>
      <c r="C6651" s="109"/>
      <c r="D6651" s="109"/>
      <c r="E6651" s="109"/>
      <c r="F6651" s="109"/>
      <c r="G6651" s="109"/>
      <c r="H6651" s="109"/>
      <c r="I6651" s="109"/>
      <c r="J6651" s="109"/>
      <c r="W6651" s="109"/>
    </row>
    <row r="6652" spans="1:23" ht="12.75" hidden="1">
      <c r="A6652" s="109"/>
      <c r="B6652" s="109"/>
      <c r="C6652" s="109"/>
      <c r="D6652" s="109"/>
      <c r="E6652" s="109"/>
      <c r="F6652" s="109"/>
      <c r="G6652" s="109"/>
      <c r="H6652" s="109"/>
      <c r="I6652" s="109"/>
      <c r="J6652" s="109"/>
      <c r="W6652" s="109"/>
    </row>
    <row r="6653" spans="1:23" ht="12.75" hidden="1">
      <c r="A6653" s="109"/>
      <c r="B6653" s="109"/>
      <c r="C6653" s="109"/>
      <c r="D6653" s="109"/>
      <c r="E6653" s="109"/>
      <c r="F6653" s="109"/>
      <c r="G6653" s="109"/>
      <c r="H6653" s="109"/>
      <c r="I6653" s="109"/>
      <c r="J6653" s="109"/>
      <c r="W6653" s="109"/>
    </row>
    <row r="6654" spans="1:23" ht="12.75" hidden="1">
      <c r="A6654" s="109"/>
      <c r="B6654" s="109"/>
      <c r="C6654" s="109"/>
      <c r="D6654" s="109"/>
      <c r="E6654" s="109"/>
      <c r="F6654" s="109"/>
      <c r="G6654" s="109"/>
      <c r="H6654" s="109"/>
      <c r="I6654" s="109"/>
      <c r="J6654" s="109"/>
      <c r="W6654" s="109"/>
    </row>
    <row r="6655" spans="1:23" ht="12.75" hidden="1">
      <c r="A6655" s="109"/>
      <c r="B6655" s="109"/>
      <c r="C6655" s="109"/>
      <c r="D6655" s="109"/>
      <c r="E6655" s="109"/>
      <c r="F6655" s="109"/>
      <c r="G6655" s="109"/>
      <c r="H6655" s="109"/>
      <c r="I6655" s="109"/>
      <c r="J6655" s="109"/>
      <c r="W6655" s="109"/>
    </row>
    <row r="6656" spans="1:23" ht="12.75" hidden="1">
      <c r="A6656" s="109"/>
      <c r="B6656" s="109"/>
      <c r="C6656" s="109"/>
      <c r="D6656" s="109"/>
      <c r="E6656" s="109"/>
      <c r="F6656" s="109"/>
      <c r="G6656" s="109"/>
      <c r="H6656" s="109"/>
      <c r="I6656" s="109"/>
      <c r="J6656" s="109"/>
      <c r="W6656" s="109"/>
    </row>
    <row r="6657" spans="1:23" ht="12.75" hidden="1">
      <c r="A6657" s="109"/>
      <c r="B6657" s="109"/>
      <c r="C6657" s="109"/>
      <c r="D6657" s="109"/>
      <c r="E6657" s="109"/>
      <c r="F6657" s="109"/>
      <c r="G6657" s="109"/>
      <c r="H6657" s="109"/>
      <c r="I6657" s="109"/>
      <c r="J6657" s="109"/>
      <c r="W6657" s="109"/>
    </row>
    <row r="6658" spans="1:23" ht="12.75" hidden="1">
      <c r="A6658" s="109"/>
      <c r="B6658" s="109"/>
      <c r="C6658" s="109"/>
      <c r="D6658" s="109"/>
      <c r="E6658" s="109"/>
      <c r="F6658" s="109"/>
      <c r="G6658" s="109"/>
      <c r="H6658" s="109"/>
      <c r="I6658" s="109"/>
      <c r="J6658" s="109"/>
      <c r="W6658" s="109"/>
    </row>
    <row r="6659" spans="1:23" ht="12.75" hidden="1">
      <c r="A6659" s="109"/>
      <c r="B6659" s="109"/>
      <c r="C6659" s="109"/>
      <c r="D6659" s="109"/>
      <c r="E6659" s="109"/>
      <c r="F6659" s="109"/>
      <c r="G6659" s="109"/>
      <c r="H6659" s="109"/>
      <c r="I6659" s="109"/>
      <c r="J6659" s="109"/>
      <c r="W6659" s="109"/>
    </row>
    <row r="6660" spans="1:23" ht="12.75" hidden="1">
      <c r="A6660" s="109"/>
      <c r="B6660" s="109"/>
      <c r="C6660" s="109"/>
      <c r="D6660" s="109"/>
      <c r="E6660" s="109"/>
      <c r="F6660" s="109"/>
      <c r="G6660" s="109"/>
      <c r="H6660" s="109"/>
      <c r="I6660" s="109"/>
      <c r="J6660" s="109"/>
      <c r="W6660" s="109"/>
    </row>
    <row r="6661" spans="1:23" ht="12.75" hidden="1">
      <c r="A6661" s="109"/>
      <c r="B6661" s="109"/>
      <c r="C6661" s="109"/>
      <c r="D6661" s="109"/>
      <c r="E6661" s="109"/>
      <c r="F6661" s="109"/>
      <c r="G6661" s="109"/>
      <c r="H6661" s="109"/>
      <c r="I6661" s="109"/>
      <c r="J6661" s="109"/>
      <c r="W6661" s="109"/>
    </row>
    <row r="6662" spans="1:23" ht="12.75" hidden="1">
      <c r="A6662" s="109"/>
      <c r="B6662" s="109"/>
      <c r="C6662" s="109"/>
      <c r="D6662" s="109"/>
      <c r="E6662" s="109"/>
      <c r="F6662" s="109"/>
      <c r="G6662" s="109"/>
      <c r="H6662" s="109"/>
      <c r="I6662" s="109"/>
      <c r="J6662" s="109"/>
      <c r="W6662" s="109"/>
    </row>
    <row r="6663" spans="1:23" ht="12.75" hidden="1">
      <c r="A6663" s="109"/>
      <c r="B6663" s="109"/>
      <c r="C6663" s="109"/>
      <c r="D6663" s="109"/>
      <c r="E6663" s="109"/>
      <c r="F6663" s="109"/>
      <c r="G6663" s="109"/>
      <c r="H6663" s="109"/>
      <c r="I6663" s="109"/>
      <c r="J6663" s="109"/>
      <c r="W6663" s="109"/>
    </row>
    <row r="6664" spans="1:23" ht="12.75" hidden="1">
      <c r="A6664" s="109"/>
      <c r="B6664" s="109"/>
      <c r="C6664" s="109"/>
      <c r="D6664" s="109"/>
      <c r="E6664" s="109"/>
      <c r="F6664" s="109"/>
      <c r="G6664" s="109"/>
      <c r="H6664" s="109"/>
      <c r="I6664" s="109"/>
      <c r="J6664" s="109"/>
      <c r="W6664" s="109"/>
    </row>
    <row r="6665" spans="1:23" ht="12.75" hidden="1">
      <c r="A6665" s="109"/>
      <c r="B6665" s="109"/>
      <c r="C6665" s="109"/>
      <c r="D6665" s="109"/>
      <c r="E6665" s="109"/>
      <c r="F6665" s="109"/>
      <c r="G6665" s="109"/>
      <c r="H6665" s="109"/>
      <c r="I6665" s="109"/>
      <c r="J6665" s="109"/>
      <c r="W6665" s="109"/>
    </row>
    <row r="6666" spans="1:23" ht="12.75" hidden="1">
      <c r="A6666" s="109"/>
      <c r="B6666" s="109"/>
      <c r="C6666" s="109"/>
      <c r="D6666" s="109"/>
      <c r="E6666" s="109"/>
      <c r="F6666" s="109"/>
      <c r="G6666" s="109"/>
      <c r="H6666" s="109"/>
      <c r="I6666" s="109"/>
      <c r="J6666" s="109"/>
      <c r="W6666" s="109"/>
    </row>
    <row r="6667" spans="1:23" ht="12.75" hidden="1">
      <c r="A6667" s="109"/>
      <c r="B6667" s="109"/>
      <c r="C6667" s="109"/>
      <c r="D6667" s="109"/>
      <c r="E6667" s="109"/>
      <c r="F6667" s="109"/>
      <c r="G6667" s="109"/>
      <c r="H6667" s="109"/>
      <c r="I6667" s="109"/>
      <c r="J6667" s="109"/>
      <c r="W6667" s="109"/>
    </row>
    <row r="6668" spans="1:23" ht="12.75" hidden="1">
      <c r="A6668" s="109"/>
      <c r="B6668" s="109"/>
      <c r="C6668" s="109"/>
      <c r="D6668" s="109"/>
      <c r="E6668" s="109"/>
      <c r="F6668" s="109"/>
      <c r="G6668" s="109"/>
      <c r="H6668" s="109"/>
      <c r="I6668" s="109"/>
      <c r="J6668" s="109"/>
      <c r="W6668" s="109"/>
    </row>
    <row r="6669" spans="1:23" ht="12.75" hidden="1">
      <c r="A6669" s="109"/>
      <c r="B6669" s="109"/>
      <c r="C6669" s="109"/>
      <c r="D6669" s="109"/>
      <c r="E6669" s="109"/>
      <c r="F6669" s="109"/>
      <c r="G6669" s="109"/>
      <c r="H6669" s="109"/>
      <c r="I6669" s="109"/>
      <c r="J6669" s="109"/>
      <c r="W6669" s="109"/>
    </row>
    <row r="6670" spans="1:23" ht="12.75" hidden="1">
      <c r="A6670" s="109"/>
      <c r="B6670" s="109"/>
      <c r="C6670" s="109"/>
      <c r="D6670" s="109"/>
      <c r="E6670" s="109"/>
      <c r="F6670" s="109"/>
      <c r="G6670" s="109"/>
      <c r="H6670" s="109"/>
      <c r="I6670" s="109"/>
      <c r="J6670" s="109"/>
      <c r="W6670" s="109"/>
    </row>
    <row r="6671" spans="1:23" ht="12.75" hidden="1">
      <c r="A6671" s="109"/>
      <c r="B6671" s="109"/>
      <c r="C6671" s="109"/>
      <c r="D6671" s="109"/>
      <c r="E6671" s="109"/>
      <c r="F6671" s="109"/>
      <c r="G6671" s="109"/>
      <c r="H6671" s="109"/>
      <c r="I6671" s="109"/>
      <c r="J6671" s="109"/>
      <c r="W6671" s="109"/>
    </row>
    <row r="6672" spans="1:23" ht="12.75" hidden="1">
      <c r="A6672" s="109"/>
      <c r="B6672" s="109"/>
      <c r="C6672" s="109"/>
      <c r="D6672" s="109"/>
      <c r="E6672" s="109"/>
      <c r="F6672" s="109"/>
      <c r="G6672" s="109"/>
      <c r="H6672" s="109"/>
      <c r="I6672" s="109"/>
      <c r="J6672" s="109"/>
      <c r="W6672" s="109"/>
    </row>
    <row r="6673" spans="1:23" ht="12.75" hidden="1">
      <c r="A6673" s="109"/>
      <c r="B6673" s="109"/>
      <c r="C6673" s="109"/>
      <c r="D6673" s="109"/>
      <c r="E6673" s="109"/>
      <c r="F6673" s="109"/>
      <c r="G6673" s="109"/>
      <c r="H6673" s="109"/>
      <c r="I6673" s="109"/>
      <c r="J6673" s="109"/>
      <c r="W6673" s="109"/>
    </row>
    <row r="6674" spans="1:23" ht="12.75" hidden="1">
      <c r="A6674" s="109"/>
      <c r="B6674" s="109"/>
      <c r="C6674" s="109"/>
      <c r="D6674" s="109"/>
      <c r="E6674" s="109"/>
      <c r="F6674" s="109"/>
      <c r="G6674" s="109"/>
      <c r="H6674" s="109"/>
      <c r="I6674" s="109"/>
      <c r="J6674" s="109"/>
      <c r="W6674" s="109"/>
    </row>
    <row r="6675" spans="1:23" ht="12.75" hidden="1">
      <c r="A6675" s="109"/>
      <c r="B6675" s="109"/>
      <c r="C6675" s="109"/>
      <c r="D6675" s="109"/>
      <c r="E6675" s="109"/>
      <c r="F6675" s="109"/>
      <c r="G6675" s="109"/>
      <c r="H6675" s="109"/>
      <c r="I6675" s="109"/>
      <c r="J6675" s="109"/>
      <c r="W6675" s="109"/>
    </row>
    <row r="6676" spans="1:23" ht="12.75" hidden="1">
      <c r="A6676" s="109"/>
      <c r="B6676" s="109"/>
      <c r="C6676" s="109"/>
      <c r="D6676" s="109"/>
      <c r="E6676" s="109"/>
      <c r="F6676" s="109"/>
      <c r="G6676" s="109"/>
      <c r="H6676" s="109"/>
      <c r="I6676" s="109"/>
      <c r="J6676" s="109"/>
      <c r="W6676" s="109"/>
    </row>
    <row r="6677" spans="1:23" ht="12.75" hidden="1">
      <c r="A6677" s="109"/>
      <c r="B6677" s="109"/>
      <c r="C6677" s="109"/>
      <c r="D6677" s="109"/>
      <c r="E6677" s="109"/>
      <c r="F6677" s="109"/>
      <c r="G6677" s="109"/>
      <c r="H6677" s="109"/>
      <c r="I6677" s="109"/>
      <c r="J6677" s="109"/>
      <c r="W6677" s="109"/>
    </row>
    <row r="6678" spans="1:23" ht="12.75" hidden="1">
      <c r="A6678" s="109"/>
      <c r="B6678" s="109"/>
      <c r="C6678" s="109"/>
      <c r="D6678" s="109"/>
      <c r="E6678" s="109"/>
      <c r="F6678" s="109"/>
      <c r="G6678" s="109"/>
      <c r="H6678" s="109"/>
      <c r="I6678" s="109"/>
      <c r="J6678" s="109"/>
      <c r="W6678" s="109"/>
    </row>
    <row r="6679" spans="1:23" ht="12.75" hidden="1">
      <c r="A6679" s="109"/>
      <c r="B6679" s="109"/>
      <c r="C6679" s="109"/>
      <c r="D6679" s="109"/>
      <c r="E6679" s="109"/>
      <c r="F6679" s="109"/>
      <c r="G6679" s="109"/>
      <c r="H6679" s="109"/>
      <c r="I6679" s="109"/>
      <c r="J6679" s="109"/>
      <c r="W6679" s="109"/>
    </row>
    <row r="6680" spans="1:23" ht="12.75" hidden="1">
      <c r="A6680" s="109"/>
      <c r="B6680" s="109"/>
      <c r="C6680" s="109"/>
      <c r="D6680" s="109"/>
      <c r="E6680" s="109"/>
      <c r="F6680" s="109"/>
      <c r="G6680" s="109"/>
      <c r="H6680" s="109"/>
      <c r="I6680" s="109"/>
      <c r="J6680" s="109"/>
      <c r="W6680" s="109"/>
    </row>
    <row r="6681" spans="1:23" ht="12.75" hidden="1">
      <c r="A6681" s="109"/>
      <c r="B6681" s="109"/>
      <c r="C6681" s="109"/>
      <c r="D6681" s="109"/>
      <c r="E6681" s="109"/>
      <c r="F6681" s="109"/>
      <c r="G6681" s="109"/>
      <c r="H6681" s="109"/>
      <c r="I6681" s="109"/>
      <c r="J6681" s="109"/>
      <c r="W6681" s="109"/>
    </row>
    <row r="6682" spans="1:23" ht="12.75" hidden="1">
      <c r="A6682" s="109"/>
      <c r="B6682" s="109"/>
      <c r="C6682" s="109"/>
      <c r="D6682" s="109"/>
      <c r="E6682" s="109"/>
      <c r="F6682" s="109"/>
      <c r="G6682" s="109"/>
      <c r="H6682" s="109"/>
      <c r="I6682" s="109"/>
      <c r="J6682" s="109"/>
      <c r="W6682" s="109"/>
    </row>
    <row r="6683" spans="1:23" ht="12.75" hidden="1">
      <c r="A6683" s="109"/>
      <c r="B6683" s="109"/>
      <c r="C6683" s="109"/>
      <c r="D6683" s="109"/>
      <c r="E6683" s="109"/>
      <c r="F6683" s="109"/>
      <c r="G6683" s="109"/>
      <c r="H6683" s="109"/>
      <c r="I6683" s="109"/>
      <c r="J6683" s="109"/>
      <c r="W6683" s="109"/>
    </row>
    <row r="6684" spans="1:23" ht="12.75" hidden="1">
      <c r="A6684" s="109"/>
      <c r="B6684" s="109"/>
      <c r="C6684" s="109"/>
      <c r="D6684" s="109"/>
      <c r="E6684" s="109"/>
      <c r="F6684" s="109"/>
      <c r="G6684" s="109"/>
      <c r="H6684" s="109"/>
      <c r="I6684" s="109"/>
      <c r="J6684" s="109"/>
      <c r="W6684" s="109"/>
    </row>
    <row r="6685" spans="1:23" ht="12.75" hidden="1">
      <c r="A6685" s="109"/>
      <c r="B6685" s="109"/>
      <c r="C6685" s="109"/>
      <c r="D6685" s="109"/>
      <c r="E6685" s="109"/>
      <c r="F6685" s="109"/>
      <c r="G6685" s="109"/>
      <c r="H6685" s="109"/>
      <c r="I6685" s="109"/>
      <c r="J6685" s="109"/>
      <c r="W6685" s="109"/>
    </row>
    <row r="6686" spans="1:23" ht="12.75" hidden="1">
      <c r="A6686" s="109"/>
      <c r="B6686" s="109"/>
      <c r="C6686" s="109"/>
      <c r="D6686" s="109"/>
      <c r="E6686" s="109"/>
      <c r="F6686" s="109"/>
      <c r="G6686" s="109"/>
      <c r="H6686" s="109"/>
      <c r="I6686" s="109"/>
      <c r="J6686" s="109"/>
      <c r="W6686" s="109"/>
    </row>
    <row r="6687" spans="1:23" ht="12.75" hidden="1">
      <c r="A6687" s="109"/>
      <c r="B6687" s="109"/>
      <c r="C6687" s="109"/>
      <c r="D6687" s="109"/>
      <c r="E6687" s="109"/>
      <c r="F6687" s="109"/>
      <c r="G6687" s="109"/>
      <c r="H6687" s="109"/>
      <c r="I6687" s="109"/>
      <c r="J6687" s="109"/>
      <c r="W6687" s="109"/>
    </row>
    <row r="6688" spans="1:23" ht="12.75" hidden="1">
      <c r="A6688" s="109"/>
      <c r="B6688" s="109"/>
      <c r="C6688" s="109"/>
      <c r="D6688" s="109"/>
      <c r="E6688" s="109"/>
      <c r="F6688" s="109"/>
      <c r="G6688" s="109"/>
      <c r="H6688" s="109"/>
      <c r="I6688" s="109"/>
      <c r="J6688" s="109"/>
      <c r="W6688" s="109"/>
    </row>
    <row r="6689" spans="1:23" ht="12.75" hidden="1">
      <c r="A6689" s="109"/>
      <c r="B6689" s="109"/>
      <c r="C6689" s="109"/>
      <c r="D6689" s="109"/>
      <c r="E6689" s="109"/>
      <c r="F6689" s="109"/>
      <c r="G6689" s="109"/>
      <c r="H6689" s="109"/>
      <c r="I6689" s="109"/>
      <c r="J6689" s="109"/>
      <c r="W6689" s="109"/>
    </row>
    <row r="6690" spans="1:23" ht="12.75" hidden="1">
      <c r="A6690" s="109"/>
      <c r="B6690" s="109"/>
      <c r="C6690" s="109"/>
      <c r="D6690" s="109"/>
      <c r="E6690" s="109"/>
      <c r="F6690" s="109"/>
      <c r="G6690" s="109"/>
      <c r="H6690" s="109"/>
      <c r="I6690" s="109"/>
      <c r="J6690" s="109"/>
      <c r="W6690" s="109"/>
    </row>
    <row r="6691" spans="1:23" ht="12.75" hidden="1">
      <c r="A6691" s="109"/>
      <c r="B6691" s="109"/>
      <c r="C6691" s="109"/>
      <c r="D6691" s="109"/>
      <c r="E6691" s="109"/>
      <c r="F6691" s="109"/>
      <c r="G6691" s="109"/>
      <c r="H6691" s="109"/>
      <c r="I6691" s="109"/>
      <c r="J6691" s="109"/>
      <c r="W6691" s="109"/>
    </row>
    <row r="6692" spans="1:23" ht="12.75" hidden="1">
      <c r="A6692" s="109"/>
      <c r="B6692" s="109"/>
      <c r="C6692" s="109"/>
      <c r="D6692" s="109"/>
      <c r="E6692" s="109"/>
      <c r="F6692" s="109"/>
      <c r="G6692" s="109"/>
      <c r="H6692" s="109"/>
      <c r="I6692" s="109"/>
      <c r="J6692" s="109"/>
      <c r="W6692" s="109"/>
    </row>
    <row r="6693" spans="1:23" ht="12.75" hidden="1">
      <c r="A6693" s="109"/>
      <c r="B6693" s="109"/>
      <c r="C6693" s="109"/>
      <c r="D6693" s="109"/>
      <c r="E6693" s="109"/>
      <c r="F6693" s="109"/>
      <c r="G6693" s="109"/>
      <c r="H6693" s="109"/>
      <c r="I6693" s="109"/>
      <c r="J6693" s="109"/>
      <c r="W6693" s="109"/>
    </row>
    <row r="6694" spans="1:23" ht="12.75" hidden="1">
      <c r="A6694" s="109"/>
      <c r="B6694" s="109"/>
      <c r="C6694" s="109"/>
      <c r="D6694" s="109"/>
      <c r="E6694" s="109"/>
      <c r="F6694" s="109"/>
      <c r="G6694" s="109"/>
      <c r="H6694" s="109"/>
      <c r="I6694" s="109"/>
      <c r="J6694" s="109"/>
      <c r="W6694" s="109"/>
    </row>
    <row r="6695" spans="1:23" ht="12.75" hidden="1">
      <c r="A6695" s="109"/>
      <c r="B6695" s="109"/>
      <c r="C6695" s="109"/>
      <c r="D6695" s="109"/>
      <c r="E6695" s="109"/>
      <c r="F6695" s="109"/>
      <c r="G6695" s="109"/>
      <c r="H6695" s="109"/>
      <c r="I6695" s="109"/>
      <c r="J6695" s="109"/>
      <c r="W6695" s="109"/>
    </row>
    <row r="6696" spans="1:23" ht="12.75" hidden="1">
      <c r="A6696" s="109"/>
      <c r="B6696" s="109"/>
      <c r="C6696" s="109"/>
      <c r="D6696" s="109"/>
      <c r="E6696" s="109"/>
      <c r="F6696" s="109"/>
      <c r="G6696" s="109"/>
      <c r="H6696" s="109"/>
      <c r="I6696" s="109"/>
      <c r="J6696" s="109"/>
      <c r="W6696" s="109"/>
    </row>
    <row r="6697" spans="1:23" ht="12.75" hidden="1">
      <c r="A6697" s="109"/>
      <c r="B6697" s="109"/>
      <c r="C6697" s="109"/>
      <c r="D6697" s="109"/>
      <c r="E6697" s="109"/>
      <c r="F6697" s="109"/>
      <c r="G6697" s="109"/>
      <c r="H6697" s="109"/>
      <c r="I6697" s="109"/>
      <c r="J6697" s="109"/>
      <c r="W6697" s="109"/>
    </row>
    <row r="6698" spans="1:23" ht="12.75" hidden="1">
      <c r="A6698" s="109"/>
      <c r="B6698" s="109"/>
      <c r="C6698" s="109"/>
      <c r="D6698" s="109"/>
      <c r="E6698" s="109"/>
      <c r="F6698" s="109"/>
      <c r="G6698" s="109"/>
      <c r="H6698" s="109"/>
      <c r="I6698" s="109"/>
      <c r="J6698" s="109"/>
      <c r="W6698" s="109"/>
    </row>
    <row r="6699" spans="1:23" ht="12.75" hidden="1">
      <c r="A6699" s="109"/>
      <c r="B6699" s="109"/>
      <c r="C6699" s="109"/>
      <c r="D6699" s="109"/>
      <c r="E6699" s="109"/>
      <c r="F6699" s="109"/>
      <c r="G6699" s="109"/>
      <c r="H6699" s="109"/>
      <c r="I6699" s="109"/>
      <c r="J6699" s="109"/>
      <c r="W6699" s="109"/>
    </row>
    <row r="6700" spans="1:23" ht="12.75" hidden="1">
      <c r="A6700" s="109"/>
      <c r="B6700" s="109"/>
      <c r="C6700" s="109"/>
      <c r="D6700" s="109"/>
      <c r="E6700" s="109"/>
      <c r="F6700" s="109"/>
      <c r="G6700" s="109"/>
      <c r="H6700" s="109"/>
      <c r="I6700" s="109"/>
      <c r="J6700" s="109"/>
      <c r="W6700" s="109"/>
    </row>
    <row r="6701" spans="1:23" ht="12.75" hidden="1">
      <c r="A6701" s="109"/>
      <c r="B6701" s="109"/>
      <c r="C6701" s="109"/>
      <c r="D6701" s="109"/>
      <c r="E6701" s="109"/>
      <c r="F6701" s="109"/>
      <c r="G6701" s="109"/>
      <c r="H6701" s="109"/>
      <c r="I6701" s="109"/>
      <c r="J6701" s="109"/>
      <c r="W6701" s="109"/>
    </row>
    <row r="6702" spans="1:23" ht="12.75" hidden="1">
      <c r="A6702" s="109"/>
      <c r="B6702" s="109"/>
      <c r="C6702" s="109"/>
      <c r="D6702" s="109"/>
      <c r="E6702" s="109"/>
      <c r="F6702" s="109"/>
      <c r="G6702" s="109"/>
      <c r="H6702" s="109"/>
      <c r="I6702" s="109"/>
      <c r="J6702" s="109"/>
      <c r="W6702" s="109"/>
    </row>
    <row r="6703" spans="1:23" ht="12.75" hidden="1">
      <c r="A6703" s="109"/>
      <c r="B6703" s="109"/>
      <c r="C6703" s="109"/>
      <c r="D6703" s="109"/>
      <c r="E6703" s="109"/>
      <c r="F6703" s="109"/>
      <c r="G6703" s="109"/>
      <c r="H6703" s="109"/>
      <c r="I6703" s="109"/>
      <c r="J6703" s="109"/>
      <c r="W6703" s="109"/>
    </row>
    <row r="6704" spans="1:23" ht="12.75" hidden="1">
      <c r="A6704" s="109"/>
      <c r="B6704" s="109"/>
      <c r="C6704" s="109"/>
      <c r="D6704" s="109"/>
      <c r="E6704" s="109"/>
      <c r="F6704" s="109"/>
      <c r="G6704" s="109"/>
      <c r="H6704" s="109"/>
      <c r="I6704" s="109"/>
      <c r="J6704" s="109"/>
      <c r="W6704" s="109"/>
    </row>
    <row r="6705" spans="1:23" ht="12.75" hidden="1">
      <c r="A6705" s="109"/>
      <c r="B6705" s="109"/>
      <c r="C6705" s="109"/>
      <c r="D6705" s="109"/>
      <c r="E6705" s="109"/>
      <c r="F6705" s="109"/>
      <c r="G6705" s="109"/>
      <c r="H6705" s="109"/>
      <c r="I6705" s="109"/>
      <c r="J6705" s="109"/>
      <c r="W6705" s="109"/>
    </row>
    <row r="6706" spans="1:23" ht="12.75" hidden="1">
      <c r="A6706" s="109"/>
      <c r="B6706" s="109"/>
      <c r="C6706" s="109"/>
      <c r="D6706" s="109"/>
      <c r="E6706" s="109"/>
      <c r="F6706" s="109"/>
      <c r="G6706" s="109"/>
      <c r="H6706" s="109"/>
      <c r="I6706" s="109"/>
      <c r="J6706" s="109"/>
      <c r="W6706" s="109"/>
    </row>
    <row r="6707" spans="1:23" ht="12.75" hidden="1">
      <c r="A6707" s="109"/>
      <c r="B6707" s="109"/>
      <c r="C6707" s="109"/>
      <c r="D6707" s="109"/>
      <c r="E6707" s="109"/>
      <c r="F6707" s="109"/>
      <c r="G6707" s="109"/>
      <c r="H6707" s="109"/>
      <c r="I6707" s="109"/>
      <c r="J6707" s="109"/>
      <c r="W6707" s="109"/>
    </row>
    <row r="6708" spans="1:23" ht="12.75" hidden="1">
      <c r="A6708" s="109"/>
      <c r="B6708" s="109"/>
      <c r="C6708" s="109"/>
      <c r="D6708" s="109"/>
      <c r="E6708" s="109"/>
      <c r="F6708" s="109"/>
      <c r="G6708" s="109"/>
      <c r="H6708" s="109"/>
      <c r="I6708" s="109"/>
      <c r="J6708" s="109"/>
      <c r="W6708" s="109"/>
    </row>
    <row r="6709" spans="1:23" ht="12.75" hidden="1">
      <c r="A6709" s="109"/>
      <c r="B6709" s="109"/>
      <c r="C6709" s="109"/>
      <c r="D6709" s="109"/>
      <c r="E6709" s="109"/>
      <c r="F6709" s="109"/>
      <c r="G6709" s="109"/>
      <c r="H6709" s="109"/>
      <c r="I6709" s="109"/>
      <c r="J6709" s="109"/>
      <c r="W6709" s="109"/>
    </row>
    <row r="6710" spans="1:23" ht="12.75" hidden="1">
      <c r="A6710" s="109"/>
      <c r="B6710" s="109"/>
      <c r="C6710" s="109"/>
      <c r="D6710" s="109"/>
      <c r="E6710" s="109"/>
      <c r="F6710" s="109"/>
      <c r="G6710" s="109"/>
      <c r="H6710" s="109"/>
      <c r="I6710" s="109"/>
      <c r="J6710" s="109"/>
      <c r="W6710" s="109"/>
    </row>
    <row r="6711" spans="1:23" ht="12.75" hidden="1">
      <c r="A6711" s="109"/>
      <c r="B6711" s="109"/>
      <c r="C6711" s="109"/>
      <c r="D6711" s="109"/>
      <c r="E6711" s="109"/>
      <c r="F6711" s="109"/>
      <c r="G6711" s="109"/>
      <c r="H6711" s="109"/>
      <c r="I6711" s="109"/>
      <c r="J6711" s="109"/>
      <c r="W6711" s="109"/>
    </row>
    <row r="6712" spans="1:23" ht="12.75" hidden="1">
      <c r="A6712" s="109"/>
      <c r="B6712" s="109"/>
      <c r="C6712" s="109"/>
      <c r="D6712" s="109"/>
      <c r="E6712" s="109"/>
      <c r="F6712" s="109"/>
      <c r="G6712" s="109"/>
      <c r="H6712" s="109"/>
      <c r="I6712" s="109"/>
      <c r="J6712" s="109"/>
      <c r="W6712" s="109"/>
    </row>
    <row r="6713" spans="1:23" ht="12.75" hidden="1">
      <c r="A6713" s="109"/>
      <c r="B6713" s="109"/>
      <c r="C6713" s="109"/>
      <c r="D6713" s="109"/>
      <c r="E6713" s="109"/>
      <c r="F6713" s="109"/>
      <c r="G6713" s="109"/>
      <c r="H6713" s="109"/>
      <c r="I6713" s="109"/>
      <c r="J6713" s="109"/>
      <c r="W6713" s="109"/>
    </row>
    <row r="6714" spans="1:23" ht="12.75" hidden="1">
      <c r="A6714" s="109"/>
      <c r="B6714" s="109"/>
      <c r="C6714" s="109"/>
      <c r="D6714" s="109"/>
      <c r="E6714" s="109"/>
      <c r="F6714" s="109"/>
      <c r="G6714" s="109"/>
      <c r="H6714" s="109"/>
      <c r="I6714" s="109"/>
      <c r="J6714" s="109"/>
      <c r="W6714" s="109"/>
    </row>
    <row r="6715" spans="1:23" ht="12.75" hidden="1">
      <c r="A6715" s="109"/>
      <c r="B6715" s="109"/>
      <c r="C6715" s="109"/>
      <c r="D6715" s="109"/>
      <c r="E6715" s="109"/>
      <c r="F6715" s="109"/>
      <c r="G6715" s="109"/>
      <c r="H6715" s="109"/>
      <c r="I6715" s="109"/>
      <c r="J6715" s="109"/>
      <c r="W6715" s="109"/>
    </row>
    <row r="6716" spans="1:23" ht="12.75" hidden="1">
      <c r="A6716" s="109"/>
      <c r="B6716" s="109"/>
      <c r="C6716" s="109"/>
      <c r="D6716" s="109"/>
      <c r="E6716" s="109"/>
      <c r="F6716" s="109"/>
      <c r="G6716" s="109"/>
      <c r="H6716" s="109"/>
      <c r="I6716" s="109"/>
      <c r="J6716" s="109"/>
      <c r="W6716" s="109"/>
    </row>
    <row r="6717" spans="1:23" ht="12.75" hidden="1">
      <c r="A6717" s="109"/>
      <c r="B6717" s="109"/>
      <c r="C6717" s="109"/>
      <c r="D6717" s="109"/>
      <c r="E6717" s="109"/>
      <c r="F6717" s="109"/>
      <c r="G6717" s="109"/>
      <c r="H6717" s="109"/>
      <c r="I6717" s="109"/>
      <c r="J6717" s="109"/>
      <c r="W6717" s="109"/>
    </row>
    <row r="6718" spans="1:23" ht="12.75" hidden="1">
      <c r="A6718" s="109"/>
      <c r="B6718" s="109"/>
      <c r="C6718" s="109"/>
      <c r="D6718" s="109"/>
      <c r="E6718" s="109"/>
      <c r="F6718" s="109"/>
      <c r="G6718" s="109"/>
      <c r="H6718" s="109"/>
      <c r="I6718" s="109"/>
      <c r="J6718" s="109"/>
      <c r="W6718" s="109"/>
    </row>
    <row r="6719" spans="1:23" ht="12.75" hidden="1">
      <c r="A6719" s="109"/>
      <c r="B6719" s="109"/>
      <c r="C6719" s="109"/>
      <c r="D6719" s="109"/>
      <c r="E6719" s="109"/>
      <c r="F6719" s="109"/>
      <c r="G6719" s="109"/>
      <c r="H6719" s="109"/>
      <c r="I6719" s="109"/>
      <c r="J6719" s="109"/>
      <c r="W6719" s="109"/>
    </row>
    <row r="6720" spans="1:23" ht="12.75" hidden="1">
      <c r="A6720" s="109"/>
      <c r="B6720" s="109"/>
      <c r="C6720" s="109"/>
      <c r="D6720" s="109"/>
      <c r="E6720" s="109"/>
      <c r="F6720" s="109"/>
      <c r="G6720" s="109"/>
      <c r="H6720" s="109"/>
      <c r="I6720" s="109"/>
      <c r="J6720" s="109"/>
      <c r="W6720" s="109"/>
    </row>
    <row r="6721" spans="1:23" ht="12.75" hidden="1">
      <c r="A6721" s="109"/>
      <c r="B6721" s="109"/>
      <c r="C6721" s="109"/>
      <c r="D6721" s="109"/>
      <c r="E6721" s="109"/>
      <c r="F6721" s="109"/>
      <c r="G6721" s="109"/>
      <c r="H6721" s="109"/>
      <c r="I6721" s="109"/>
      <c r="J6721" s="109"/>
      <c r="W6721" s="109"/>
    </row>
    <row r="6722" spans="1:23" ht="12.75" hidden="1">
      <c r="A6722" s="109"/>
      <c r="B6722" s="109"/>
      <c r="C6722" s="109"/>
      <c r="D6722" s="109"/>
      <c r="E6722" s="109"/>
      <c r="F6722" s="109"/>
      <c r="G6722" s="109"/>
      <c r="H6722" s="109"/>
      <c r="I6722" s="109"/>
      <c r="J6722" s="109"/>
      <c r="W6722" s="109"/>
    </row>
    <row r="6723" spans="1:23" ht="12.75" hidden="1">
      <c r="A6723" s="109"/>
      <c r="B6723" s="109"/>
      <c r="C6723" s="109"/>
      <c r="D6723" s="109"/>
      <c r="E6723" s="109"/>
      <c r="F6723" s="109"/>
      <c r="G6723" s="109"/>
      <c r="H6723" s="109"/>
      <c r="I6723" s="109"/>
      <c r="J6723" s="109"/>
      <c r="W6723" s="109"/>
    </row>
    <row r="6724" spans="1:23" ht="12.75" hidden="1">
      <c r="A6724" s="109"/>
      <c r="B6724" s="109"/>
      <c r="C6724" s="109"/>
      <c r="D6724" s="109"/>
      <c r="E6724" s="109"/>
      <c r="F6724" s="109"/>
      <c r="G6724" s="109"/>
      <c r="H6724" s="109"/>
      <c r="I6724" s="109"/>
      <c r="J6724" s="109"/>
      <c r="W6724" s="109"/>
    </row>
    <row r="6725" spans="1:23" ht="12.75" hidden="1">
      <c r="A6725" s="109"/>
      <c r="B6725" s="109"/>
      <c r="C6725" s="109"/>
      <c r="D6725" s="109"/>
      <c r="E6725" s="109"/>
      <c r="F6725" s="109"/>
      <c r="G6725" s="109"/>
      <c r="H6725" s="109"/>
      <c r="I6725" s="109"/>
      <c r="J6725" s="109"/>
      <c r="W6725" s="109"/>
    </row>
    <row r="6726" spans="1:23" ht="12.75" hidden="1">
      <c r="A6726" s="109"/>
      <c r="B6726" s="109"/>
      <c r="C6726" s="109"/>
      <c r="D6726" s="109"/>
      <c r="E6726" s="109"/>
      <c r="F6726" s="109"/>
      <c r="G6726" s="109"/>
      <c r="H6726" s="109"/>
      <c r="I6726" s="109"/>
      <c r="J6726" s="109"/>
      <c r="W6726" s="109"/>
    </row>
    <row r="6727" spans="1:23" ht="12.75" hidden="1">
      <c r="A6727" s="109"/>
      <c r="B6727" s="109"/>
      <c r="C6727" s="109"/>
      <c r="D6727" s="109"/>
      <c r="E6727" s="109"/>
      <c r="F6727" s="109"/>
      <c r="G6727" s="109"/>
      <c r="H6727" s="109"/>
      <c r="I6727" s="109"/>
      <c r="J6727" s="109"/>
      <c r="W6727" s="109"/>
    </row>
    <row r="6728" spans="1:23" ht="12.75" hidden="1">
      <c r="A6728" s="109"/>
      <c r="B6728" s="109"/>
      <c r="C6728" s="109"/>
      <c r="D6728" s="109"/>
      <c r="E6728" s="109"/>
      <c r="F6728" s="109"/>
      <c r="G6728" s="109"/>
      <c r="H6728" s="109"/>
      <c r="I6728" s="109"/>
      <c r="J6728" s="109"/>
      <c r="W6728" s="109"/>
    </row>
    <row r="6729" spans="1:23" ht="12.75" hidden="1">
      <c r="A6729" s="109"/>
      <c r="B6729" s="109"/>
      <c r="C6729" s="109"/>
      <c r="D6729" s="109"/>
      <c r="E6729" s="109"/>
      <c r="F6729" s="109"/>
      <c r="G6729" s="109"/>
      <c r="H6729" s="109"/>
      <c r="I6729" s="109"/>
      <c r="J6729" s="109"/>
      <c r="W6729" s="109"/>
    </row>
    <row r="6730" spans="1:23" ht="12.75" hidden="1">
      <c r="A6730" s="109"/>
      <c r="B6730" s="109"/>
      <c r="C6730" s="109"/>
      <c r="D6730" s="109"/>
      <c r="E6730" s="109"/>
      <c r="F6730" s="109"/>
      <c r="G6730" s="109"/>
      <c r="H6730" s="109"/>
      <c r="I6730" s="109"/>
      <c r="J6730" s="109"/>
      <c r="W6730" s="109"/>
    </row>
    <row r="6731" spans="1:23" ht="12.75" hidden="1">
      <c r="A6731" s="109"/>
      <c r="B6731" s="109"/>
      <c r="C6731" s="109"/>
      <c r="D6731" s="109"/>
      <c r="E6731" s="109"/>
      <c r="F6731" s="109"/>
      <c r="G6731" s="109"/>
      <c r="H6731" s="109"/>
      <c r="I6731" s="109"/>
      <c r="J6731" s="109"/>
      <c r="W6731" s="109"/>
    </row>
    <row r="6732" spans="1:23" ht="12.75" hidden="1">
      <c r="A6732" s="109"/>
      <c r="B6732" s="109"/>
      <c r="C6732" s="109"/>
      <c r="D6732" s="109"/>
      <c r="E6732" s="109"/>
      <c r="F6732" s="109"/>
      <c r="G6732" s="109"/>
      <c r="H6732" s="109"/>
      <c r="I6732" s="109"/>
      <c r="J6732" s="109"/>
      <c r="W6732" s="109"/>
    </row>
    <row r="6733" spans="1:23" ht="12.75" hidden="1">
      <c r="A6733" s="109"/>
      <c r="B6733" s="109"/>
      <c r="C6733" s="109"/>
      <c r="D6733" s="109"/>
      <c r="E6733" s="109"/>
      <c r="F6733" s="109"/>
      <c r="G6733" s="109"/>
      <c r="H6733" s="109"/>
      <c r="I6733" s="109"/>
      <c r="J6733" s="109"/>
      <c r="W6733" s="109"/>
    </row>
    <row r="6734" spans="1:23" ht="12.75" hidden="1">
      <c r="A6734" s="109"/>
      <c r="B6734" s="109"/>
      <c r="C6734" s="109"/>
      <c r="D6734" s="109"/>
      <c r="E6734" s="109"/>
      <c r="F6734" s="109"/>
      <c r="G6734" s="109"/>
      <c r="H6734" s="109"/>
      <c r="I6734" s="109"/>
      <c r="J6734" s="109"/>
      <c r="W6734" s="109"/>
    </row>
    <row r="6735" spans="1:23" ht="12.75" hidden="1">
      <c r="A6735" s="109"/>
      <c r="B6735" s="109"/>
      <c r="C6735" s="109"/>
      <c r="D6735" s="109"/>
      <c r="E6735" s="109"/>
      <c r="F6735" s="109"/>
      <c r="G6735" s="109"/>
      <c r="H6735" s="109"/>
      <c r="I6735" s="109"/>
      <c r="J6735" s="109"/>
      <c r="W6735" s="109"/>
    </row>
    <row r="6736" spans="1:23" ht="12.75" hidden="1">
      <c r="A6736" s="109"/>
      <c r="B6736" s="109"/>
      <c r="C6736" s="109"/>
      <c r="D6736" s="109"/>
      <c r="E6736" s="109"/>
      <c r="F6736" s="109"/>
      <c r="G6736" s="109"/>
      <c r="H6736" s="109"/>
      <c r="I6736" s="109"/>
      <c r="J6736" s="109"/>
      <c r="W6736" s="109"/>
    </row>
    <row r="6737" spans="1:23" ht="12.75" hidden="1">
      <c r="A6737" s="109"/>
      <c r="B6737" s="109"/>
      <c r="C6737" s="109"/>
      <c r="D6737" s="109"/>
      <c r="E6737" s="109"/>
      <c r="F6737" s="109"/>
      <c r="G6737" s="109"/>
      <c r="H6737" s="109"/>
      <c r="I6737" s="109"/>
      <c r="J6737" s="109"/>
      <c r="W6737" s="109"/>
    </row>
    <row r="6738" spans="1:23" ht="12.75" hidden="1">
      <c r="A6738" s="109"/>
      <c r="B6738" s="109"/>
      <c r="C6738" s="109"/>
      <c r="D6738" s="109"/>
      <c r="E6738" s="109"/>
      <c r="F6738" s="109"/>
      <c r="G6738" s="109"/>
      <c r="H6738" s="109"/>
      <c r="I6738" s="109"/>
      <c r="J6738" s="109"/>
      <c r="W6738" s="109"/>
    </row>
    <row r="6739" spans="1:23" ht="12.75" hidden="1">
      <c r="A6739" s="109"/>
      <c r="B6739" s="109"/>
      <c r="C6739" s="109"/>
      <c r="D6739" s="109"/>
      <c r="E6739" s="109"/>
      <c r="F6739" s="109"/>
      <c r="G6739" s="109"/>
      <c r="H6739" s="109"/>
      <c r="I6739" s="109"/>
      <c r="J6739" s="109"/>
      <c r="W6739" s="109"/>
    </row>
    <row r="6740" spans="1:23" ht="12.75" hidden="1">
      <c r="A6740" s="109"/>
      <c r="B6740" s="109"/>
      <c r="C6740" s="109"/>
      <c r="D6740" s="109"/>
      <c r="E6740" s="109"/>
      <c r="F6740" s="109"/>
      <c r="G6740" s="109"/>
      <c r="H6740" s="109"/>
      <c r="I6740" s="109"/>
      <c r="J6740" s="109"/>
      <c r="W6740" s="109"/>
    </row>
    <row r="6741" spans="1:23" ht="12.75" hidden="1">
      <c r="A6741" s="109"/>
      <c r="B6741" s="109"/>
      <c r="C6741" s="109"/>
      <c r="D6741" s="109"/>
      <c r="E6741" s="109"/>
      <c r="F6741" s="109"/>
      <c r="G6741" s="109"/>
      <c r="H6741" s="109"/>
      <c r="I6741" s="109"/>
      <c r="J6741" s="109"/>
      <c r="W6741" s="109"/>
    </row>
    <row r="6742" spans="1:23" ht="12.75" hidden="1">
      <c r="A6742" s="109"/>
      <c r="B6742" s="109"/>
      <c r="C6742" s="109"/>
      <c r="D6742" s="109"/>
      <c r="E6742" s="109"/>
      <c r="F6742" s="109"/>
      <c r="G6742" s="109"/>
      <c r="H6742" s="109"/>
      <c r="I6742" s="109"/>
      <c r="J6742" s="109"/>
      <c r="W6742" s="109"/>
    </row>
    <row r="6743" spans="1:23" ht="12.75" hidden="1">
      <c r="A6743" s="109"/>
      <c r="B6743" s="109"/>
      <c r="C6743" s="109"/>
      <c r="D6743" s="109"/>
      <c r="E6743" s="109"/>
      <c r="F6743" s="109"/>
      <c r="G6743" s="109"/>
      <c r="H6743" s="109"/>
      <c r="I6743" s="109"/>
      <c r="J6743" s="109"/>
      <c r="W6743" s="109"/>
    </row>
    <row r="6744" spans="1:23" ht="12.75" hidden="1">
      <c r="A6744" s="109"/>
      <c r="B6744" s="109"/>
      <c r="C6744" s="109"/>
      <c r="D6744" s="109"/>
      <c r="E6744" s="109"/>
      <c r="F6744" s="109"/>
      <c r="G6744" s="109"/>
      <c r="H6744" s="109"/>
      <c r="I6744" s="109"/>
      <c r="J6744" s="109"/>
      <c r="W6744" s="109"/>
    </row>
    <row r="6745" spans="1:23" ht="12.75" hidden="1">
      <c r="A6745" s="109"/>
      <c r="B6745" s="109"/>
      <c r="C6745" s="109"/>
      <c r="D6745" s="109"/>
      <c r="E6745" s="109"/>
      <c r="F6745" s="109"/>
      <c r="G6745" s="109"/>
      <c r="H6745" s="109"/>
      <c r="I6745" s="109"/>
      <c r="J6745" s="109"/>
      <c r="W6745" s="109"/>
    </row>
    <row r="6746" spans="1:23" ht="12.75" hidden="1">
      <c r="A6746" s="109"/>
      <c r="B6746" s="109"/>
      <c r="C6746" s="109"/>
      <c r="D6746" s="109"/>
      <c r="E6746" s="109"/>
      <c r="F6746" s="109"/>
      <c r="G6746" s="109"/>
      <c r="H6746" s="109"/>
      <c r="I6746" s="109"/>
      <c r="J6746" s="109"/>
      <c r="W6746" s="109"/>
    </row>
    <row r="6747" spans="1:23" ht="12.75" hidden="1">
      <c r="A6747" s="109"/>
      <c r="B6747" s="109"/>
      <c r="C6747" s="109"/>
      <c r="D6747" s="109"/>
      <c r="E6747" s="109"/>
      <c r="F6747" s="109"/>
      <c r="G6747" s="109"/>
      <c r="H6747" s="109"/>
      <c r="I6747" s="109"/>
      <c r="J6747" s="109"/>
      <c r="W6747" s="109"/>
    </row>
    <row r="6748" spans="1:23" ht="12.75" hidden="1">
      <c r="A6748" s="109"/>
      <c r="B6748" s="109"/>
      <c r="C6748" s="109"/>
      <c r="D6748" s="109"/>
      <c r="E6748" s="109"/>
      <c r="F6748" s="109"/>
      <c r="G6748" s="109"/>
      <c r="H6748" s="109"/>
      <c r="I6748" s="109"/>
      <c r="J6748" s="109"/>
      <c r="W6748" s="109"/>
    </row>
    <row r="6749" spans="1:23" ht="12.75" hidden="1">
      <c r="A6749" s="109"/>
      <c r="B6749" s="109"/>
      <c r="C6749" s="109"/>
      <c r="D6749" s="109"/>
      <c r="E6749" s="109"/>
      <c r="F6749" s="109"/>
      <c r="G6749" s="109"/>
      <c r="H6749" s="109"/>
      <c r="I6749" s="109"/>
      <c r="J6749" s="109"/>
      <c r="W6749" s="109"/>
    </row>
    <row r="6750" spans="1:23" ht="12.75" hidden="1">
      <c r="A6750" s="109"/>
      <c r="B6750" s="109"/>
      <c r="C6750" s="109"/>
      <c r="D6750" s="109"/>
      <c r="E6750" s="109"/>
      <c r="F6750" s="109"/>
      <c r="G6750" s="109"/>
      <c r="H6750" s="109"/>
      <c r="I6750" s="109"/>
      <c r="J6750" s="109"/>
      <c r="W6750" s="109"/>
    </row>
    <row r="6751" spans="1:23" ht="12.75" hidden="1">
      <c r="A6751" s="109"/>
      <c r="B6751" s="109"/>
      <c r="C6751" s="109"/>
      <c r="D6751" s="109"/>
      <c r="E6751" s="109"/>
      <c r="F6751" s="109"/>
      <c r="G6751" s="109"/>
      <c r="H6751" s="109"/>
      <c r="I6751" s="109"/>
      <c r="J6751" s="109"/>
      <c r="W6751" s="109"/>
    </row>
    <row r="6752" spans="1:23" ht="12.75" hidden="1">
      <c r="A6752" s="109"/>
      <c r="B6752" s="109"/>
      <c r="C6752" s="109"/>
      <c r="D6752" s="109"/>
      <c r="E6752" s="109"/>
      <c r="F6752" s="109"/>
      <c r="G6752" s="109"/>
      <c r="H6752" s="109"/>
      <c r="I6752" s="109"/>
      <c r="J6752" s="109"/>
      <c r="W6752" s="109"/>
    </row>
    <row r="6753" spans="1:23" ht="12.75" hidden="1">
      <c r="A6753" s="109"/>
      <c r="B6753" s="109"/>
      <c r="C6753" s="109"/>
      <c r="D6753" s="109"/>
      <c r="E6753" s="109"/>
      <c r="F6753" s="109"/>
      <c r="G6753" s="109"/>
      <c r="H6753" s="109"/>
      <c r="I6753" s="109"/>
      <c r="J6753" s="109"/>
      <c r="W6753" s="109"/>
    </row>
    <row r="6754" spans="1:23" ht="12.75" hidden="1">
      <c r="A6754" s="109"/>
      <c r="B6754" s="109"/>
      <c r="C6754" s="109"/>
      <c r="D6754" s="109"/>
      <c r="E6754" s="109"/>
      <c r="F6754" s="109"/>
      <c r="G6754" s="109"/>
      <c r="H6754" s="109"/>
      <c r="I6754" s="109"/>
      <c r="J6754" s="109"/>
      <c r="W6754" s="109"/>
    </row>
    <row r="6755" spans="1:23" ht="12.75" hidden="1">
      <c r="A6755" s="109"/>
      <c r="B6755" s="109"/>
      <c r="C6755" s="109"/>
      <c r="D6755" s="109"/>
      <c r="E6755" s="109"/>
      <c r="F6755" s="109"/>
      <c r="G6755" s="109"/>
      <c r="H6755" s="109"/>
      <c r="I6755" s="109"/>
      <c r="J6755" s="109"/>
      <c r="W6755" s="109"/>
    </row>
    <row r="6756" spans="1:23" ht="12.75" hidden="1">
      <c r="A6756" s="109"/>
      <c r="B6756" s="109"/>
      <c r="C6756" s="109"/>
      <c r="D6756" s="109"/>
      <c r="E6756" s="109"/>
      <c r="F6756" s="109"/>
      <c r="G6756" s="109"/>
      <c r="H6756" s="109"/>
      <c r="I6756" s="109"/>
      <c r="J6756" s="109"/>
      <c r="W6756" s="109"/>
    </row>
    <row r="6757" spans="1:23" ht="12.75" hidden="1">
      <c r="A6757" s="109"/>
      <c r="B6757" s="109"/>
      <c r="C6757" s="109"/>
      <c r="D6757" s="109"/>
      <c r="E6757" s="109"/>
      <c r="F6757" s="109"/>
      <c r="G6757" s="109"/>
      <c r="H6757" s="109"/>
      <c r="I6757" s="109"/>
      <c r="J6757" s="109"/>
      <c r="W6757" s="109"/>
    </row>
    <row r="6758" spans="1:23" ht="12.75" hidden="1">
      <c r="A6758" s="109"/>
      <c r="B6758" s="109"/>
      <c r="C6758" s="109"/>
      <c r="D6758" s="109"/>
      <c r="E6758" s="109"/>
      <c r="F6758" s="109"/>
      <c r="G6758" s="109"/>
      <c r="H6758" s="109"/>
      <c r="I6758" s="109"/>
      <c r="J6758" s="109"/>
      <c r="W6758" s="109"/>
    </row>
    <row r="6759" spans="1:23" ht="12.75" hidden="1">
      <c r="A6759" s="109"/>
      <c r="B6759" s="109"/>
      <c r="C6759" s="109"/>
      <c r="D6759" s="109"/>
      <c r="E6759" s="109"/>
      <c r="F6759" s="109"/>
      <c r="G6759" s="109"/>
      <c r="H6759" s="109"/>
      <c r="I6759" s="109"/>
      <c r="J6759" s="109"/>
      <c r="W6759" s="109"/>
    </row>
    <row r="6760" spans="1:23" ht="12.75" hidden="1">
      <c r="A6760" s="109"/>
      <c r="B6760" s="109"/>
      <c r="C6760" s="109"/>
      <c r="D6760" s="109"/>
      <c r="E6760" s="109"/>
      <c r="F6760" s="109"/>
      <c r="G6760" s="109"/>
      <c r="H6760" s="109"/>
      <c r="I6760" s="109"/>
      <c r="J6760" s="109"/>
      <c r="W6760" s="109"/>
    </row>
    <row r="6761" spans="1:23" ht="12.75" hidden="1">
      <c r="A6761" s="109"/>
      <c r="B6761" s="109"/>
      <c r="C6761" s="109"/>
      <c r="D6761" s="109"/>
      <c r="E6761" s="109"/>
      <c r="F6761" s="109"/>
      <c r="G6761" s="109"/>
      <c r="H6761" s="109"/>
      <c r="I6761" s="109"/>
      <c r="J6761" s="109"/>
      <c r="W6761" s="109"/>
    </row>
    <row r="6762" spans="1:23" ht="12.75" hidden="1">
      <c r="A6762" s="109"/>
      <c r="B6762" s="109"/>
      <c r="C6762" s="109"/>
      <c r="D6762" s="109"/>
      <c r="E6762" s="109"/>
      <c r="F6762" s="109"/>
      <c r="G6762" s="109"/>
      <c r="H6762" s="109"/>
      <c r="I6762" s="109"/>
      <c r="J6762" s="109"/>
      <c r="W6762" s="109"/>
    </row>
    <row r="6763" spans="1:23" ht="12.75" hidden="1">
      <c r="A6763" s="109"/>
      <c r="B6763" s="109"/>
      <c r="C6763" s="109"/>
      <c r="D6763" s="109"/>
      <c r="E6763" s="109"/>
      <c r="F6763" s="109"/>
      <c r="G6763" s="109"/>
      <c r="H6763" s="109"/>
      <c r="I6763" s="109"/>
      <c r="J6763" s="109"/>
      <c r="W6763" s="109"/>
    </row>
    <row r="6764" spans="1:23" ht="12.75" hidden="1">
      <c r="A6764" s="109"/>
      <c r="B6764" s="109"/>
      <c r="C6764" s="109"/>
      <c r="D6764" s="109"/>
      <c r="E6764" s="109"/>
      <c r="F6764" s="109"/>
      <c r="G6764" s="109"/>
      <c r="H6764" s="109"/>
      <c r="I6764" s="109"/>
      <c r="J6764" s="109"/>
      <c r="W6764" s="109"/>
    </row>
    <row r="6765" spans="1:23" ht="12.75" hidden="1">
      <c r="A6765" s="109"/>
      <c r="B6765" s="109"/>
      <c r="C6765" s="109"/>
      <c r="D6765" s="109"/>
      <c r="E6765" s="109"/>
      <c r="F6765" s="109"/>
      <c r="G6765" s="109"/>
      <c r="H6765" s="109"/>
      <c r="I6765" s="109"/>
      <c r="J6765" s="109"/>
      <c r="W6765" s="109"/>
    </row>
    <row r="6766" spans="1:23" ht="12.75" hidden="1">
      <c r="A6766" s="109"/>
      <c r="B6766" s="109"/>
      <c r="C6766" s="109"/>
      <c r="D6766" s="109"/>
      <c r="E6766" s="109"/>
      <c r="F6766" s="109"/>
      <c r="G6766" s="109"/>
      <c r="H6766" s="109"/>
      <c r="I6766" s="109"/>
      <c r="J6766" s="109"/>
      <c r="W6766" s="109"/>
    </row>
    <row r="6767" spans="1:23" ht="12.75" hidden="1">
      <c r="A6767" s="109"/>
      <c r="B6767" s="109"/>
      <c r="C6767" s="109"/>
      <c r="D6767" s="109"/>
      <c r="E6767" s="109"/>
      <c r="F6767" s="109"/>
      <c r="G6767" s="109"/>
      <c r="H6767" s="109"/>
      <c r="I6767" s="109"/>
      <c r="J6767" s="109"/>
      <c r="W6767" s="109"/>
    </row>
    <row r="6768" spans="1:23" ht="12.75" hidden="1">
      <c r="A6768" s="109"/>
      <c r="B6768" s="109"/>
      <c r="C6768" s="109"/>
      <c r="D6768" s="109"/>
      <c r="E6768" s="109"/>
      <c r="F6768" s="109"/>
      <c r="G6768" s="109"/>
      <c r="H6768" s="109"/>
      <c r="I6768" s="109"/>
      <c r="J6768" s="109"/>
      <c r="W6768" s="109"/>
    </row>
    <row r="6769" spans="1:23" ht="12.75" hidden="1">
      <c r="A6769" s="109"/>
      <c r="B6769" s="109"/>
      <c r="C6769" s="109"/>
      <c r="D6769" s="109"/>
      <c r="E6769" s="109"/>
      <c r="F6769" s="109"/>
      <c r="G6769" s="109"/>
      <c r="H6769" s="109"/>
      <c r="I6769" s="109"/>
      <c r="J6769" s="109"/>
      <c r="W6769" s="109"/>
    </row>
    <row r="6770" spans="1:23" ht="12.75" hidden="1">
      <c r="A6770" s="109"/>
      <c r="B6770" s="109"/>
      <c r="C6770" s="109"/>
      <c r="D6770" s="109"/>
      <c r="E6770" s="109"/>
      <c r="F6770" s="109"/>
      <c r="G6770" s="109"/>
      <c r="H6770" s="109"/>
      <c r="I6770" s="109"/>
      <c r="J6770" s="109"/>
      <c r="W6770" s="109"/>
    </row>
    <row r="6771" spans="1:23" ht="12.75" hidden="1">
      <c r="A6771" s="109"/>
      <c r="B6771" s="109"/>
      <c r="C6771" s="109"/>
      <c r="D6771" s="109"/>
      <c r="E6771" s="109"/>
      <c r="F6771" s="109"/>
      <c r="G6771" s="109"/>
      <c r="H6771" s="109"/>
      <c r="I6771" s="109"/>
      <c r="J6771" s="109"/>
      <c r="W6771" s="109"/>
    </row>
    <row r="6772" spans="1:23" ht="12.75" hidden="1">
      <c r="A6772" s="109"/>
      <c r="B6772" s="109"/>
      <c r="C6772" s="109"/>
      <c r="D6772" s="109"/>
      <c r="E6772" s="109"/>
      <c r="F6772" s="109"/>
      <c r="G6772" s="109"/>
      <c r="H6772" s="109"/>
      <c r="I6772" s="109"/>
      <c r="J6772" s="109"/>
      <c r="W6772" s="109"/>
    </row>
    <row r="6773" spans="1:23" ht="12.75" hidden="1">
      <c r="A6773" s="109"/>
      <c r="B6773" s="109"/>
      <c r="C6773" s="109"/>
      <c r="D6773" s="109"/>
      <c r="E6773" s="109"/>
      <c r="F6773" s="109"/>
      <c r="G6773" s="109"/>
      <c r="H6773" s="109"/>
      <c r="I6773" s="109"/>
      <c r="J6773" s="109"/>
      <c r="W6773" s="109"/>
    </row>
    <row r="6774" spans="1:23" ht="12.75" hidden="1">
      <c r="A6774" s="109"/>
      <c r="B6774" s="109"/>
      <c r="C6774" s="109"/>
      <c r="D6774" s="109"/>
      <c r="E6774" s="109"/>
      <c r="F6774" s="109"/>
      <c r="G6774" s="109"/>
      <c r="H6774" s="109"/>
      <c r="I6774" s="109"/>
      <c r="J6774" s="109"/>
      <c r="W6774" s="109"/>
    </row>
    <row r="6775" spans="1:23" ht="12.75" hidden="1">
      <c r="A6775" s="109"/>
      <c r="B6775" s="109"/>
      <c r="C6775" s="109"/>
      <c r="D6775" s="109"/>
      <c r="E6775" s="109"/>
      <c r="F6775" s="109"/>
      <c r="G6775" s="109"/>
      <c r="H6775" s="109"/>
      <c r="I6775" s="109"/>
      <c r="J6775" s="109"/>
      <c r="W6775" s="109"/>
    </row>
    <row r="6776" spans="1:23" ht="12.75" hidden="1">
      <c r="A6776" s="109"/>
      <c r="B6776" s="109"/>
      <c r="C6776" s="109"/>
      <c r="D6776" s="109"/>
      <c r="E6776" s="109"/>
      <c r="F6776" s="109"/>
      <c r="G6776" s="109"/>
      <c r="H6776" s="109"/>
      <c r="I6776" s="109"/>
      <c r="J6776" s="109"/>
      <c r="W6776" s="109"/>
    </row>
    <row r="6777" spans="1:23" ht="12.75" hidden="1">
      <c r="A6777" s="109"/>
      <c r="B6777" s="109"/>
      <c r="C6777" s="109"/>
      <c r="D6777" s="109"/>
      <c r="E6777" s="109"/>
      <c r="F6777" s="109"/>
      <c r="G6777" s="109"/>
      <c r="H6777" s="109"/>
      <c r="I6777" s="109"/>
      <c r="J6777" s="109"/>
      <c r="W6777" s="109"/>
    </row>
    <row r="6778" spans="1:23" ht="12.75" hidden="1">
      <c r="A6778" s="109"/>
      <c r="B6778" s="109"/>
      <c r="C6778" s="109"/>
      <c r="D6778" s="109"/>
      <c r="E6778" s="109"/>
      <c r="F6778" s="109"/>
      <c r="G6778" s="109"/>
      <c r="H6778" s="109"/>
      <c r="I6778" s="109"/>
      <c r="J6778" s="109"/>
      <c r="W6778" s="109"/>
    </row>
    <row r="6779" spans="1:23" ht="12.75" hidden="1">
      <c r="A6779" s="109"/>
      <c r="B6779" s="109"/>
      <c r="C6779" s="109"/>
      <c r="D6779" s="109"/>
      <c r="E6779" s="109"/>
      <c r="F6779" s="109"/>
      <c r="G6779" s="109"/>
      <c r="H6779" s="109"/>
      <c r="I6779" s="109"/>
      <c r="J6779" s="109"/>
      <c r="W6779" s="109"/>
    </row>
    <row r="6780" spans="1:23" ht="12.75" hidden="1">
      <c r="A6780" s="109"/>
      <c r="B6780" s="109"/>
      <c r="C6780" s="109"/>
      <c r="D6780" s="109"/>
      <c r="E6780" s="109"/>
      <c r="F6780" s="109"/>
      <c r="G6780" s="109"/>
      <c r="H6780" s="109"/>
      <c r="I6780" s="109"/>
      <c r="J6780" s="109"/>
      <c r="W6780" s="109"/>
    </row>
    <row r="6781" spans="1:23" ht="12.75" hidden="1">
      <c r="A6781" s="109"/>
      <c r="B6781" s="109"/>
      <c r="C6781" s="109"/>
      <c r="D6781" s="109"/>
      <c r="E6781" s="109"/>
      <c r="F6781" s="109"/>
      <c r="G6781" s="109"/>
      <c r="H6781" s="109"/>
      <c r="I6781" s="109"/>
      <c r="J6781" s="109"/>
      <c r="W6781" s="109"/>
    </row>
    <row r="6782" spans="1:23" ht="12.75" hidden="1">
      <c r="A6782" s="109"/>
      <c r="B6782" s="109"/>
      <c r="C6782" s="109"/>
      <c r="D6782" s="109"/>
      <c r="E6782" s="109"/>
      <c r="F6782" s="109"/>
      <c r="G6782" s="109"/>
      <c r="H6782" s="109"/>
      <c r="I6782" s="109"/>
      <c r="J6782" s="109"/>
      <c r="W6782" s="109"/>
    </row>
    <row r="6783" spans="1:23" ht="12.75" hidden="1">
      <c r="A6783" s="109"/>
      <c r="B6783" s="109"/>
      <c r="C6783" s="109"/>
      <c r="D6783" s="109"/>
      <c r="E6783" s="109"/>
      <c r="F6783" s="109"/>
      <c r="G6783" s="109"/>
      <c r="H6783" s="109"/>
      <c r="I6783" s="109"/>
      <c r="J6783" s="109"/>
      <c r="W6783" s="109"/>
    </row>
    <row r="6784" spans="1:23" ht="12.75" hidden="1">
      <c r="A6784" s="109"/>
      <c r="B6784" s="109"/>
      <c r="C6784" s="109"/>
      <c r="D6784" s="109"/>
      <c r="E6784" s="109"/>
      <c r="F6784" s="109"/>
      <c r="G6784" s="109"/>
      <c r="H6784" s="109"/>
      <c r="I6784" s="109"/>
      <c r="J6784" s="109"/>
      <c r="W6784" s="109"/>
    </row>
    <row r="6785" spans="1:23" ht="12.75" hidden="1">
      <c r="A6785" s="109"/>
      <c r="B6785" s="109"/>
      <c r="C6785" s="109"/>
      <c r="D6785" s="109"/>
      <c r="E6785" s="109"/>
      <c r="F6785" s="109"/>
      <c r="G6785" s="109"/>
      <c r="H6785" s="109"/>
      <c r="I6785" s="109"/>
      <c r="J6785" s="109"/>
      <c r="W6785" s="109"/>
    </row>
    <row r="6786" spans="1:23" ht="12.75" hidden="1">
      <c r="A6786" s="109"/>
      <c r="B6786" s="109"/>
      <c r="C6786" s="109"/>
      <c r="D6786" s="109"/>
      <c r="E6786" s="109"/>
      <c r="F6786" s="109"/>
      <c r="G6786" s="109"/>
      <c r="H6786" s="109"/>
      <c r="I6786" s="109"/>
      <c r="J6786" s="109"/>
      <c r="W6786" s="109"/>
    </row>
    <row r="6787" spans="1:23" ht="12.75" hidden="1">
      <c r="A6787" s="109"/>
      <c r="B6787" s="109"/>
      <c r="C6787" s="109"/>
      <c r="D6787" s="109"/>
      <c r="E6787" s="109"/>
      <c r="F6787" s="109"/>
      <c r="G6787" s="109"/>
      <c r="H6787" s="109"/>
      <c r="I6787" s="109"/>
      <c r="J6787" s="109"/>
      <c r="W6787" s="109"/>
    </row>
    <row r="6788" spans="1:23" ht="12.75" hidden="1">
      <c r="A6788" s="109"/>
      <c r="B6788" s="109"/>
      <c r="C6788" s="109"/>
      <c r="D6788" s="109"/>
      <c r="E6788" s="109"/>
      <c r="F6788" s="109"/>
      <c r="G6788" s="109"/>
      <c r="H6788" s="109"/>
      <c r="I6788" s="109"/>
      <c r="J6788" s="109"/>
      <c r="W6788" s="109"/>
    </row>
    <row r="6789" spans="1:23" ht="12.75" hidden="1">
      <c r="A6789" s="109"/>
      <c r="B6789" s="109"/>
      <c r="C6789" s="109"/>
      <c r="D6789" s="109"/>
      <c r="E6789" s="109"/>
      <c r="F6789" s="109"/>
      <c r="G6789" s="109"/>
      <c r="H6789" s="109"/>
      <c r="I6789" s="109"/>
      <c r="J6789" s="109"/>
      <c r="W6789" s="109"/>
    </row>
    <row r="6790" spans="1:23" ht="12.75" hidden="1">
      <c r="A6790" s="109"/>
      <c r="B6790" s="109"/>
      <c r="C6790" s="109"/>
      <c r="D6790" s="109"/>
      <c r="E6790" s="109"/>
      <c r="F6790" s="109"/>
      <c r="G6790" s="109"/>
      <c r="H6790" s="109"/>
      <c r="I6790" s="109"/>
      <c r="J6790" s="109"/>
      <c r="W6790" s="109"/>
    </row>
    <row r="6791" spans="1:23" ht="12.75" hidden="1">
      <c r="A6791" s="109"/>
      <c r="B6791" s="109"/>
      <c r="C6791" s="109"/>
      <c r="D6791" s="109"/>
      <c r="E6791" s="109"/>
      <c r="F6791" s="109"/>
      <c r="G6791" s="109"/>
      <c r="H6791" s="109"/>
      <c r="I6791" s="109"/>
      <c r="J6791" s="109"/>
      <c r="W6791" s="109"/>
    </row>
    <row r="6792" spans="1:23" ht="12.75" hidden="1">
      <c r="A6792" s="109"/>
      <c r="B6792" s="109"/>
      <c r="C6792" s="109"/>
      <c r="D6792" s="109"/>
      <c r="E6792" s="109"/>
      <c r="F6792" s="109"/>
      <c r="G6792" s="109"/>
      <c r="H6792" s="109"/>
      <c r="I6792" s="109"/>
      <c r="J6792" s="109"/>
      <c r="W6792" s="109"/>
    </row>
    <row r="6793" spans="1:23" ht="12.75" hidden="1">
      <c r="A6793" s="109"/>
      <c r="B6793" s="109"/>
      <c r="C6793" s="109"/>
      <c r="D6793" s="109"/>
      <c r="E6793" s="109"/>
      <c r="F6793" s="109"/>
      <c r="G6793" s="109"/>
      <c r="H6793" s="109"/>
      <c r="I6793" s="109"/>
      <c r="J6793" s="109"/>
      <c r="W6793" s="109"/>
    </row>
    <row r="6794" spans="1:23" ht="12.75" hidden="1">
      <c r="A6794" s="109"/>
      <c r="B6794" s="109"/>
      <c r="C6794" s="109"/>
      <c r="D6794" s="109"/>
      <c r="E6794" s="109"/>
      <c r="F6794" s="109"/>
      <c r="G6794" s="109"/>
      <c r="H6794" s="109"/>
      <c r="I6794" s="109"/>
      <c r="J6794" s="109"/>
      <c r="W6794" s="109"/>
    </row>
    <row r="6795" spans="1:23" ht="12.75" hidden="1">
      <c r="A6795" s="109"/>
      <c r="B6795" s="109"/>
      <c r="C6795" s="109"/>
      <c r="D6795" s="109"/>
      <c r="E6795" s="109"/>
      <c r="F6795" s="109"/>
      <c r="G6795" s="109"/>
      <c r="H6795" s="109"/>
      <c r="I6795" s="109"/>
      <c r="J6795" s="109"/>
      <c r="W6795" s="109"/>
    </row>
    <row r="6796" spans="1:23" ht="12.75" hidden="1">
      <c r="A6796" s="109"/>
      <c r="B6796" s="109"/>
      <c r="C6796" s="109"/>
      <c r="D6796" s="109"/>
      <c r="E6796" s="109"/>
      <c r="F6796" s="109"/>
      <c r="G6796" s="109"/>
      <c r="H6796" s="109"/>
      <c r="I6796" s="109"/>
      <c r="J6796" s="109"/>
      <c r="W6796" s="109"/>
    </row>
    <row r="6797" spans="1:23" ht="12.75" hidden="1">
      <c r="A6797" s="109"/>
      <c r="B6797" s="109"/>
      <c r="C6797" s="109"/>
      <c r="D6797" s="109"/>
      <c r="E6797" s="109"/>
      <c r="F6797" s="109"/>
      <c r="G6797" s="109"/>
      <c r="H6797" s="109"/>
      <c r="I6797" s="109"/>
      <c r="J6797" s="109"/>
      <c r="W6797" s="109"/>
    </row>
    <row r="6798" spans="1:23" ht="12.75" hidden="1">
      <c r="A6798" s="109"/>
      <c r="B6798" s="109"/>
      <c r="C6798" s="109"/>
      <c r="D6798" s="109"/>
      <c r="E6798" s="109"/>
      <c r="F6798" s="109"/>
      <c r="G6798" s="109"/>
      <c r="H6798" s="109"/>
      <c r="I6798" s="109"/>
      <c r="J6798" s="109"/>
      <c r="W6798" s="109"/>
    </row>
    <row r="6799" spans="1:23" ht="12.75" hidden="1">
      <c r="A6799" s="109"/>
      <c r="B6799" s="109"/>
      <c r="C6799" s="109"/>
      <c r="D6799" s="109"/>
      <c r="E6799" s="109"/>
      <c r="F6799" s="109"/>
      <c r="G6799" s="109"/>
      <c r="H6799" s="109"/>
      <c r="I6799" s="109"/>
      <c r="J6799" s="109"/>
      <c r="W6799" s="109"/>
    </row>
    <row r="6800" spans="1:23" ht="12.75" hidden="1">
      <c r="A6800" s="109"/>
      <c r="B6800" s="109"/>
      <c r="C6800" s="109"/>
      <c r="D6800" s="109"/>
      <c r="E6800" s="109"/>
      <c r="F6800" s="109"/>
      <c r="G6800" s="109"/>
      <c r="H6800" s="109"/>
      <c r="I6800" s="109"/>
      <c r="J6800" s="109"/>
      <c r="W6800" s="109"/>
    </row>
    <row r="6801" spans="1:23" ht="12.75" hidden="1">
      <c r="A6801" s="109"/>
      <c r="B6801" s="109"/>
      <c r="C6801" s="109"/>
      <c r="D6801" s="109"/>
      <c r="E6801" s="109"/>
      <c r="F6801" s="109"/>
      <c r="G6801" s="109"/>
      <c r="H6801" s="109"/>
      <c r="I6801" s="109"/>
      <c r="J6801" s="109"/>
      <c r="W6801" s="109"/>
    </row>
    <row r="6802" spans="1:23" ht="12.75" hidden="1">
      <c r="A6802" s="109"/>
      <c r="B6802" s="109"/>
      <c r="C6802" s="109"/>
      <c r="D6802" s="109"/>
      <c r="E6802" s="109"/>
      <c r="F6802" s="109"/>
      <c r="G6802" s="109"/>
      <c r="H6802" s="109"/>
      <c r="I6802" s="109"/>
      <c r="J6802" s="109"/>
      <c r="W6802" s="109"/>
    </row>
    <row r="6803" spans="1:23" ht="12.75" hidden="1">
      <c r="A6803" s="109"/>
      <c r="B6803" s="109"/>
      <c r="C6803" s="109"/>
      <c r="D6803" s="109"/>
      <c r="E6803" s="109"/>
      <c r="F6803" s="109"/>
      <c r="G6803" s="109"/>
      <c r="H6803" s="109"/>
      <c r="I6803" s="109"/>
      <c r="J6803" s="109"/>
      <c r="W6803" s="109"/>
    </row>
    <row r="6804" spans="1:23" ht="12.75" hidden="1">
      <c r="A6804" s="109"/>
      <c r="B6804" s="109"/>
      <c r="C6804" s="109"/>
      <c r="D6804" s="109"/>
      <c r="E6804" s="109"/>
      <c r="F6804" s="109"/>
      <c r="G6804" s="109"/>
      <c r="H6804" s="109"/>
      <c r="I6804" s="109"/>
      <c r="J6804" s="109"/>
      <c r="W6804" s="109"/>
    </row>
    <row r="6805" spans="1:23" ht="12.75" hidden="1">
      <c r="A6805" s="109"/>
      <c r="B6805" s="109"/>
      <c r="C6805" s="109"/>
      <c r="D6805" s="109"/>
      <c r="E6805" s="109"/>
      <c r="F6805" s="109"/>
      <c r="G6805" s="109"/>
      <c r="H6805" s="109"/>
      <c r="I6805" s="109"/>
      <c r="J6805" s="109"/>
      <c r="W6805" s="109"/>
    </row>
    <row r="6806" spans="1:23" ht="12.75" hidden="1">
      <c r="A6806" s="109"/>
      <c r="B6806" s="109"/>
      <c r="C6806" s="109"/>
      <c r="D6806" s="109"/>
      <c r="E6806" s="109"/>
      <c r="F6806" s="109"/>
      <c r="G6806" s="109"/>
      <c r="H6806" s="109"/>
      <c r="I6806" s="109"/>
      <c r="J6806" s="109"/>
      <c r="W6806" s="109"/>
    </row>
    <row r="6807" spans="1:23" ht="12.75" hidden="1">
      <c r="A6807" s="109"/>
      <c r="B6807" s="109"/>
      <c r="C6807" s="109"/>
      <c r="D6807" s="109"/>
      <c r="E6807" s="109"/>
      <c r="F6807" s="109"/>
      <c r="G6807" s="109"/>
      <c r="H6807" s="109"/>
      <c r="I6807" s="109"/>
      <c r="J6807" s="109"/>
      <c r="W6807" s="109"/>
    </row>
    <row r="6808" spans="1:23" ht="12.75" hidden="1">
      <c r="A6808" s="109"/>
      <c r="B6808" s="109"/>
      <c r="C6808" s="109"/>
      <c r="D6808" s="109"/>
      <c r="E6808" s="109"/>
      <c r="F6808" s="109"/>
      <c r="G6808" s="109"/>
      <c r="H6808" s="109"/>
      <c r="I6808" s="109"/>
      <c r="J6808" s="109"/>
      <c r="W6808" s="109"/>
    </row>
    <row r="6809" spans="1:23" ht="12.75" hidden="1">
      <c r="A6809" s="109"/>
      <c r="B6809" s="109"/>
      <c r="C6809" s="109"/>
      <c r="D6809" s="109"/>
      <c r="E6809" s="109"/>
      <c r="F6809" s="109"/>
      <c r="G6809" s="109"/>
      <c r="H6809" s="109"/>
      <c r="I6809" s="109"/>
      <c r="J6809" s="109"/>
      <c r="W6809" s="109"/>
    </row>
    <row r="6810" spans="1:23" ht="12.75" hidden="1">
      <c r="A6810" s="109"/>
      <c r="B6810" s="109"/>
      <c r="C6810" s="109"/>
      <c r="D6810" s="109"/>
      <c r="E6810" s="109"/>
      <c r="F6810" s="109"/>
      <c r="G6810" s="109"/>
      <c r="H6810" s="109"/>
      <c r="I6810" s="109"/>
      <c r="J6810" s="109"/>
      <c r="W6810" s="109"/>
    </row>
    <row r="6811" spans="1:23" ht="12.75" hidden="1">
      <c r="A6811" s="109"/>
      <c r="B6811" s="109"/>
      <c r="C6811" s="109"/>
      <c r="D6811" s="109"/>
      <c r="E6811" s="109"/>
      <c r="F6811" s="109"/>
      <c r="G6811" s="109"/>
      <c r="H6811" s="109"/>
      <c r="I6811" s="109"/>
      <c r="J6811" s="109"/>
      <c r="W6811" s="109"/>
    </row>
    <row r="6812" spans="1:23" ht="12.75" hidden="1">
      <c r="A6812" s="109"/>
      <c r="B6812" s="109"/>
      <c r="C6812" s="109"/>
      <c r="D6812" s="109"/>
      <c r="E6812" s="109"/>
      <c r="F6812" s="109"/>
      <c r="G6812" s="109"/>
      <c r="H6812" s="109"/>
      <c r="I6812" s="109"/>
      <c r="J6812" s="109"/>
      <c r="W6812" s="109"/>
    </row>
    <row r="6813" spans="1:23" ht="12.75" hidden="1">
      <c r="A6813" s="109"/>
      <c r="B6813" s="109"/>
      <c r="C6813" s="109"/>
      <c r="D6813" s="109"/>
      <c r="E6813" s="109"/>
      <c r="F6813" s="109"/>
      <c r="G6813" s="109"/>
      <c r="H6813" s="109"/>
      <c r="I6813" s="109"/>
      <c r="J6813" s="109"/>
      <c r="W6813" s="109"/>
    </row>
    <row r="6814" spans="1:23" ht="12.75" hidden="1">
      <c r="A6814" s="109"/>
      <c r="B6814" s="109"/>
      <c r="C6814" s="109"/>
      <c r="D6814" s="109"/>
      <c r="E6814" s="109"/>
      <c r="F6814" s="109"/>
      <c r="G6814" s="109"/>
      <c r="H6814" s="109"/>
      <c r="I6814" s="109"/>
      <c r="J6814" s="109"/>
      <c r="W6814" s="109"/>
    </row>
    <row r="6815" spans="1:23" ht="12.75" hidden="1">
      <c r="A6815" s="109"/>
      <c r="B6815" s="109"/>
      <c r="C6815" s="109"/>
      <c r="D6815" s="109"/>
      <c r="E6815" s="109"/>
      <c r="F6815" s="109"/>
      <c r="G6815" s="109"/>
      <c r="H6815" s="109"/>
      <c r="I6815" s="109"/>
      <c r="J6815" s="109"/>
      <c r="W6815" s="109"/>
    </row>
    <row r="6816" spans="1:23" ht="12.75" hidden="1">
      <c r="A6816" s="109"/>
      <c r="B6816" s="109"/>
      <c r="C6816" s="109"/>
      <c r="D6816" s="109"/>
      <c r="E6816" s="109"/>
      <c r="F6816" s="109"/>
      <c r="G6816" s="109"/>
      <c r="H6816" s="109"/>
      <c r="I6816" s="109"/>
      <c r="J6816" s="109"/>
      <c r="W6816" s="109"/>
    </row>
    <row r="6817" spans="1:23" ht="12.75" hidden="1">
      <c r="A6817" s="109"/>
      <c r="B6817" s="109"/>
      <c r="C6817" s="109"/>
      <c r="D6817" s="109"/>
      <c r="E6817" s="109"/>
      <c r="F6817" s="109"/>
      <c r="G6817" s="109"/>
      <c r="H6817" s="109"/>
      <c r="I6817" s="109"/>
      <c r="J6817" s="109"/>
      <c r="W6817" s="109"/>
    </row>
    <row r="6818" spans="1:23" ht="12.75" hidden="1">
      <c r="A6818" s="109"/>
      <c r="B6818" s="109"/>
      <c r="C6818" s="109"/>
      <c r="D6818" s="109"/>
      <c r="E6818" s="109"/>
      <c r="F6818" s="109"/>
      <c r="G6818" s="109"/>
      <c r="H6818" s="109"/>
      <c r="I6818" s="109"/>
      <c r="J6818" s="109"/>
      <c r="W6818" s="109"/>
    </row>
    <row r="6819" spans="1:23" ht="12.75" hidden="1">
      <c r="A6819" s="109"/>
      <c r="B6819" s="109"/>
      <c r="C6819" s="109"/>
      <c r="D6819" s="109"/>
      <c r="E6819" s="109"/>
      <c r="F6819" s="109"/>
      <c r="G6819" s="109"/>
      <c r="H6819" s="109"/>
      <c r="I6819" s="109"/>
      <c r="J6819" s="109"/>
      <c r="W6819" s="109"/>
    </row>
    <row r="6820" spans="1:23" ht="12.75" hidden="1">
      <c r="A6820" s="109"/>
      <c r="B6820" s="109"/>
      <c r="C6820" s="109"/>
      <c r="D6820" s="109"/>
      <c r="E6820" s="109"/>
      <c r="F6820" s="109"/>
      <c r="G6820" s="109"/>
      <c r="H6820" s="109"/>
      <c r="I6820" s="109"/>
      <c r="J6820" s="109"/>
      <c r="W6820" s="109"/>
    </row>
    <row r="6821" spans="1:23" ht="12.75" hidden="1">
      <c r="A6821" s="109"/>
      <c r="B6821" s="109"/>
      <c r="C6821" s="109"/>
      <c r="D6821" s="109"/>
      <c r="E6821" s="109"/>
      <c r="F6821" s="109"/>
      <c r="G6821" s="109"/>
      <c r="H6821" s="109"/>
      <c r="I6821" s="109"/>
      <c r="J6821" s="109"/>
      <c r="W6821" s="109"/>
    </row>
    <row r="6822" spans="1:23" ht="12.75" hidden="1">
      <c r="A6822" s="109"/>
      <c r="B6822" s="109"/>
      <c r="C6822" s="109"/>
      <c r="D6822" s="109"/>
      <c r="E6822" s="109"/>
      <c r="F6822" s="109"/>
      <c r="G6822" s="109"/>
      <c r="H6822" s="109"/>
      <c r="I6822" s="109"/>
      <c r="J6822" s="109"/>
      <c r="W6822" s="109"/>
    </row>
    <row r="6823" spans="1:23" ht="12.75" hidden="1">
      <c r="A6823" s="109"/>
      <c r="B6823" s="109"/>
      <c r="C6823" s="109"/>
      <c r="D6823" s="109"/>
      <c r="E6823" s="109"/>
      <c r="F6823" s="109"/>
      <c r="G6823" s="109"/>
      <c r="H6823" s="109"/>
      <c r="I6823" s="109"/>
      <c r="J6823" s="109"/>
      <c r="W6823" s="109"/>
    </row>
    <row r="6824" spans="1:23" ht="12.75" hidden="1">
      <c r="A6824" s="109"/>
      <c r="B6824" s="109"/>
      <c r="C6824" s="109"/>
      <c r="D6824" s="109"/>
      <c r="E6824" s="109"/>
      <c r="F6824" s="109"/>
      <c r="G6824" s="109"/>
      <c r="H6824" s="109"/>
      <c r="I6824" s="109"/>
      <c r="J6824" s="109"/>
      <c r="W6824" s="109"/>
    </row>
    <row r="6825" spans="1:23" ht="12.75" hidden="1">
      <c r="A6825" s="109"/>
      <c r="B6825" s="109"/>
      <c r="C6825" s="109"/>
      <c r="D6825" s="109"/>
      <c r="E6825" s="109"/>
      <c r="F6825" s="109"/>
      <c r="G6825" s="109"/>
      <c r="H6825" s="109"/>
      <c r="I6825" s="109"/>
      <c r="J6825" s="109"/>
      <c r="W6825" s="109"/>
    </row>
    <row r="6826" spans="1:23" ht="12.75" hidden="1">
      <c r="A6826" s="109"/>
      <c r="B6826" s="109"/>
      <c r="C6826" s="109"/>
      <c r="D6826" s="109"/>
      <c r="E6826" s="109"/>
      <c r="F6826" s="109"/>
      <c r="G6826" s="109"/>
      <c r="H6826" s="109"/>
      <c r="I6826" s="109"/>
      <c r="J6826" s="109"/>
      <c r="W6826" s="109"/>
    </row>
    <row r="6827" spans="1:23" ht="12.75" hidden="1">
      <c r="A6827" s="109"/>
      <c r="B6827" s="109"/>
      <c r="C6827" s="109"/>
      <c r="D6827" s="109"/>
      <c r="E6827" s="109"/>
      <c r="F6827" s="109"/>
      <c r="G6827" s="109"/>
      <c r="H6827" s="109"/>
      <c r="I6827" s="109"/>
      <c r="J6827" s="109"/>
      <c r="W6827" s="109"/>
    </row>
    <row r="6828" spans="1:23" ht="12.75" hidden="1">
      <c r="A6828" s="109"/>
      <c r="B6828" s="109"/>
      <c r="C6828" s="109"/>
      <c r="D6828" s="109"/>
      <c r="E6828" s="109"/>
      <c r="F6828" s="109"/>
      <c r="G6828" s="109"/>
      <c r="H6828" s="109"/>
      <c r="I6828" s="109"/>
      <c r="J6828" s="109"/>
      <c r="W6828" s="109"/>
    </row>
    <row r="6829" spans="1:23" ht="12.75" hidden="1">
      <c r="A6829" s="109"/>
      <c r="B6829" s="109"/>
      <c r="C6829" s="109"/>
      <c r="D6829" s="109"/>
      <c r="E6829" s="109"/>
      <c r="F6829" s="109"/>
      <c r="G6829" s="109"/>
      <c r="H6829" s="109"/>
      <c r="I6829" s="109"/>
      <c r="J6829" s="109"/>
      <c r="W6829" s="109"/>
    </row>
    <row r="6830" spans="1:23" ht="12.75" hidden="1">
      <c r="A6830" s="109"/>
      <c r="B6830" s="109"/>
      <c r="C6830" s="109"/>
      <c r="D6830" s="109"/>
      <c r="E6830" s="109"/>
      <c r="F6830" s="109"/>
      <c r="G6830" s="109"/>
      <c r="H6830" s="109"/>
      <c r="I6830" s="109"/>
      <c r="J6830" s="109"/>
      <c r="W6830" s="109"/>
    </row>
    <row r="6831" spans="1:23" ht="12.75" hidden="1">
      <c r="A6831" s="109"/>
      <c r="B6831" s="109"/>
      <c r="C6831" s="109"/>
      <c r="D6831" s="109"/>
      <c r="E6831" s="109"/>
      <c r="F6831" s="109"/>
      <c r="G6831" s="109"/>
      <c r="H6831" s="109"/>
      <c r="I6831" s="109"/>
      <c r="J6831" s="109"/>
      <c r="W6831" s="109"/>
    </row>
    <row r="6832" spans="1:23" ht="12.75" hidden="1">
      <c r="A6832" s="109"/>
      <c r="B6832" s="109"/>
      <c r="C6832" s="109"/>
      <c r="D6832" s="109"/>
      <c r="E6832" s="109"/>
      <c r="F6832" s="109"/>
      <c r="G6832" s="109"/>
      <c r="H6832" s="109"/>
      <c r="I6832" s="109"/>
      <c r="J6832" s="109"/>
      <c r="W6832" s="109"/>
    </row>
    <row r="6833" spans="1:23" ht="12.75" hidden="1">
      <c r="A6833" s="109"/>
      <c r="B6833" s="109"/>
      <c r="C6833" s="109"/>
      <c r="D6833" s="109"/>
      <c r="E6833" s="109"/>
      <c r="F6833" s="109"/>
      <c r="G6833" s="109"/>
      <c r="H6833" s="109"/>
      <c r="I6833" s="109"/>
      <c r="J6833" s="109"/>
      <c r="W6833" s="109"/>
    </row>
    <row r="6834" spans="1:23" ht="12.75" hidden="1">
      <c r="A6834" s="109"/>
      <c r="B6834" s="109"/>
      <c r="C6834" s="109"/>
      <c r="D6834" s="109"/>
      <c r="E6834" s="109"/>
      <c r="F6834" s="109"/>
      <c r="G6834" s="109"/>
      <c r="H6834" s="109"/>
      <c r="I6834" s="109"/>
      <c r="J6834" s="109"/>
      <c r="W6834" s="109"/>
    </row>
    <row r="6835" spans="1:23" ht="12.75" hidden="1">
      <c r="A6835" s="109"/>
      <c r="B6835" s="109"/>
      <c r="C6835" s="109"/>
      <c r="D6835" s="109"/>
      <c r="E6835" s="109"/>
      <c r="F6835" s="109"/>
      <c r="G6835" s="109"/>
      <c r="H6835" s="109"/>
      <c r="I6835" s="109"/>
      <c r="J6835" s="109"/>
      <c r="W6835" s="109"/>
    </row>
    <row r="6836" spans="1:23" ht="12.75" hidden="1">
      <c r="A6836" s="109"/>
      <c r="B6836" s="109"/>
      <c r="C6836" s="109"/>
      <c r="D6836" s="109"/>
      <c r="E6836" s="109"/>
      <c r="F6836" s="109"/>
      <c r="G6836" s="109"/>
      <c r="H6836" s="109"/>
      <c r="I6836" s="109"/>
      <c r="J6836" s="109"/>
      <c r="W6836" s="109"/>
    </row>
    <row r="6837" spans="1:23" ht="12.75" hidden="1">
      <c r="A6837" s="109"/>
      <c r="B6837" s="109"/>
      <c r="C6837" s="109"/>
      <c r="D6837" s="109"/>
      <c r="E6837" s="109"/>
      <c r="F6837" s="109"/>
      <c r="G6837" s="109"/>
      <c r="H6837" s="109"/>
      <c r="I6837" s="109"/>
      <c r="J6837" s="109"/>
      <c r="W6837" s="109"/>
    </row>
    <row r="6838" spans="1:23" ht="12.75" hidden="1">
      <c r="A6838" s="109"/>
      <c r="B6838" s="109"/>
      <c r="C6838" s="109"/>
      <c r="D6838" s="109"/>
      <c r="E6838" s="109"/>
      <c r="F6838" s="109"/>
      <c r="G6838" s="109"/>
      <c r="H6838" s="109"/>
      <c r="I6838" s="109"/>
      <c r="J6838" s="109"/>
      <c r="W6838" s="109"/>
    </row>
    <row r="6839" spans="1:23" ht="12.75" hidden="1">
      <c r="A6839" s="109"/>
      <c r="B6839" s="109"/>
      <c r="C6839" s="109"/>
      <c r="D6839" s="109"/>
      <c r="E6839" s="109"/>
      <c r="F6839" s="109"/>
      <c r="G6839" s="109"/>
      <c r="H6839" s="109"/>
      <c r="I6839" s="109"/>
      <c r="J6839" s="109"/>
      <c r="W6839" s="109"/>
    </row>
    <row r="6840" spans="1:23" ht="12.75" hidden="1">
      <c r="A6840" s="109"/>
      <c r="B6840" s="109"/>
      <c r="C6840" s="109"/>
      <c r="D6840" s="109"/>
      <c r="E6840" s="109"/>
      <c r="F6840" s="109"/>
      <c r="G6840" s="109"/>
      <c r="H6840" s="109"/>
      <c r="I6840" s="109"/>
      <c r="J6840" s="109"/>
      <c r="W6840" s="109"/>
    </row>
    <row r="6841" spans="1:23" ht="12.75" hidden="1">
      <c r="A6841" s="109"/>
      <c r="B6841" s="109"/>
      <c r="C6841" s="109"/>
      <c r="D6841" s="109"/>
      <c r="E6841" s="109"/>
      <c r="F6841" s="109"/>
      <c r="G6841" s="109"/>
      <c r="H6841" s="109"/>
      <c r="I6841" s="109"/>
      <c r="J6841" s="109"/>
      <c r="W6841" s="109"/>
    </row>
    <row r="6842" spans="1:23" ht="12.75" hidden="1">
      <c r="A6842" s="109"/>
      <c r="B6842" s="109"/>
      <c r="C6842" s="109"/>
      <c r="D6842" s="109"/>
      <c r="E6842" s="109"/>
      <c r="F6842" s="109"/>
      <c r="G6842" s="109"/>
      <c r="H6842" s="109"/>
      <c r="I6842" s="109"/>
      <c r="J6842" s="109"/>
      <c r="W6842" s="109"/>
    </row>
    <row r="6843" spans="1:23" ht="12.75" hidden="1">
      <c r="A6843" s="109"/>
      <c r="B6843" s="109"/>
      <c r="C6843" s="109"/>
      <c r="D6843" s="109"/>
      <c r="E6843" s="109"/>
      <c r="F6843" s="109"/>
      <c r="G6843" s="109"/>
      <c r="H6843" s="109"/>
      <c r="I6843" s="109"/>
      <c r="J6843" s="109"/>
      <c r="W6843" s="109"/>
    </row>
    <row r="6844" spans="1:23" ht="12.75" hidden="1">
      <c r="A6844" s="109"/>
      <c r="B6844" s="109"/>
      <c r="C6844" s="109"/>
      <c r="D6844" s="109"/>
      <c r="E6844" s="109"/>
      <c r="F6844" s="109"/>
      <c r="G6844" s="109"/>
      <c r="H6844" s="109"/>
      <c r="I6844" s="109"/>
      <c r="J6844" s="109"/>
      <c r="W6844" s="109"/>
    </row>
    <row r="6845" spans="1:23" ht="12.75" hidden="1">
      <c r="A6845" s="109"/>
      <c r="B6845" s="109"/>
      <c r="C6845" s="109"/>
      <c r="D6845" s="109"/>
      <c r="E6845" s="109"/>
      <c r="F6845" s="109"/>
      <c r="G6845" s="109"/>
      <c r="H6845" s="109"/>
      <c r="I6845" s="109"/>
      <c r="J6845" s="109"/>
      <c r="W6845" s="109"/>
    </row>
    <row r="6846" spans="1:23" ht="12.75" hidden="1">
      <c r="A6846" s="109"/>
      <c r="B6846" s="109"/>
      <c r="C6846" s="109"/>
      <c r="D6846" s="109"/>
      <c r="E6846" s="109"/>
      <c r="F6846" s="109"/>
      <c r="G6846" s="109"/>
      <c r="H6846" s="109"/>
      <c r="I6846" s="109"/>
      <c r="J6846" s="109"/>
      <c r="W6846" s="109"/>
    </row>
    <row r="6847" spans="1:23" ht="12.75" hidden="1">
      <c r="A6847" s="109"/>
      <c r="B6847" s="109"/>
      <c r="C6847" s="109"/>
      <c r="D6847" s="109"/>
      <c r="E6847" s="109"/>
      <c r="F6847" s="109"/>
      <c r="G6847" s="109"/>
      <c r="H6847" s="109"/>
      <c r="I6847" s="109"/>
      <c r="J6847" s="109"/>
      <c r="W6847" s="109"/>
    </row>
    <row r="6848" spans="1:23" ht="12.75" hidden="1">
      <c r="A6848" s="109"/>
      <c r="B6848" s="109"/>
      <c r="C6848" s="109"/>
      <c r="D6848" s="109"/>
      <c r="E6848" s="109"/>
      <c r="F6848" s="109"/>
      <c r="G6848" s="109"/>
      <c r="H6848" s="109"/>
      <c r="I6848" s="109"/>
      <c r="J6848" s="109"/>
      <c r="W6848" s="109"/>
    </row>
    <row r="6849" spans="1:23" ht="12.75" hidden="1">
      <c r="A6849" s="109"/>
      <c r="B6849" s="109"/>
      <c r="C6849" s="109"/>
      <c r="D6849" s="109"/>
      <c r="E6849" s="109"/>
      <c r="F6849" s="109"/>
      <c r="G6849" s="109"/>
      <c r="H6849" s="109"/>
      <c r="I6849" s="109"/>
      <c r="J6849" s="109"/>
      <c r="W6849" s="109"/>
    </row>
    <row r="6850" spans="1:23" ht="12.75" hidden="1">
      <c r="A6850" s="109"/>
      <c r="B6850" s="109"/>
      <c r="C6850" s="109"/>
      <c r="D6850" s="109"/>
      <c r="E6850" s="109"/>
      <c r="F6850" s="109"/>
      <c r="G6850" s="109"/>
      <c r="H6850" s="109"/>
      <c r="I6850" s="109"/>
      <c r="J6850" s="109"/>
      <c r="W6850" s="109"/>
    </row>
    <row r="6851" spans="1:23" ht="12.75" hidden="1">
      <c r="A6851" s="109"/>
      <c r="B6851" s="109"/>
      <c r="C6851" s="109"/>
      <c r="D6851" s="109"/>
      <c r="E6851" s="109"/>
      <c r="F6851" s="109"/>
      <c r="G6851" s="109"/>
      <c r="H6851" s="109"/>
      <c r="I6851" s="109"/>
      <c r="J6851" s="109"/>
      <c r="W6851" s="109"/>
    </row>
    <row r="6852" spans="1:23" ht="12.75" hidden="1">
      <c r="A6852" s="109"/>
      <c r="B6852" s="109"/>
      <c r="C6852" s="109"/>
      <c r="D6852" s="109"/>
      <c r="E6852" s="109"/>
      <c r="F6852" s="109"/>
      <c r="G6852" s="109"/>
      <c r="H6852" s="109"/>
      <c r="I6852" s="109"/>
      <c r="J6852" s="109"/>
      <c r="W6852" s="109"/>
    </row>
    <row r="6853" spans="1:23" ht="12.75" hidden="1">
      <c r="A6853" s="109"/>
      <c r="B6853" s="109"/>
      <c r="C6853" s="109"/>
      <c r="D6853" s="109"/>
      <c r="E6853" s="109"/>
      <c r="F6853" s="109"/>
      <c r="G6853" s="109"/>
      <c r="H6853" s="109"/>
      <c r="I6853" s="109"/>
      <c r="J6853" s="109"/>
      <c r="W6853" s="109"/>
    </row>
    <row r="6854" spans="1:23" ht="12.75" hidden="1">
      <c r="A6854" s="109"/>
      <c r="B6854" s="109"/>
      <c r="C6854" s="109"/>
      <c r="D6854" s="109"/>
      <c r="E6854" s="109"/>
      <c r="F6854" s="109"/>
      <c r="G6854" s="109"/>
      <c r="H6854" s="109"/>
      <c r="I6854" s="109"/>
      <c r="J6854" s="109"/>
      <c r="W6854" s="109"/>
    </row>
    <row r="6855" spans="1:23" ht="12.75" hidden="1">
      <c r="A6855" s="109"/>
      <c r="B6855" s="109"/>
      <c r="C6855" s="109"/>
      <c r="D6855" s="109"/>
      <c r="E6855" s="109"/>
      <c r="F6855" s="109"/>
      <c r="G6855" s="109"/>
      <c r="H6855" s="109"/>
      <c r="I6855" s="109"/>
      <c r="J6855" s="109"/>
      <c r="W6855" s="109"/>
    </row>
    <row r="6856" spans="1:23" ht="12.75" hidden="1">
      <c r="A6856" s="109"/>
      <c r="B6856" s="109"/>
      <c r="C6856" s="109"/>
      <c r="D6856" s="109"/>
      <c r="E6856" s="109"/>
      <c r="F6856" s="109"/>
      <c r="G6856" s="109"/>
      <c r="H6856" s="109"/>
      <c r="I6856" s="109"/>
      <c r="J6856" s="109"/>
      <c r="W6856" s="109"/>
    </row>
    <row r="6857" spans="1:23" ht="12.75" hidden="1">
      <c r="A6857" s="109"/>
      <c r="B6857" s="109"/>
      <c r="C6857" s="109"/>
      <c r="D6857" s="109"/>
      <c r="E6857" s="109"/>
      <c r="F6857" s="109"/>
      <c r="G6857" s="109"/>
      <c r="H6857" s="109"/>
      <c r="I6857" s="109"/>
      <c r="J6857" s="109"/>
      <c r="W6857" s="109"/>
    </row>
    <row r="6858" spans="1:23" ht="12.75" hidden="1">
      <c r="A6858" s="109"/>
      <c r="B6858" s="109"/>
      <c r="C6858" s="109"/>
      <c r="D6858" s="109"/>
      <c r="E6858" s="109"/>
      <c r="F6858" s="109"/>
      <c r="G6858" s="109"/>
      <c r="H6858" s="109"/>
      <c r="I6858" s="109"/>
      <c r="J6858" s="109"/>
      <c r="W6858" s="109"/>
    </row>
    <row r="6859" spans="1:23" ht="12.75" hidden="1">
      <c r="A6859" s="109"/>
      <c r="B6859" s="109"/>
      <c r="C6859" s="109"/>
      <c r="D6859" s="109"/>
      <c r="E6859" s="109"/>
      <c r="F6859" s="109"/>
      <c r="G6859" s="109"/>
      <c r="H6859" s="109"/>
      <c r="I6859" s="109"/>
      <c r="J6859" s="109"/>
      <c r="W6859" s="109"/>
    </row>
    <row r="6860" spans="1:23" ht="12.75" hidden="1">
      <c r="A6860" s="109"/>
      <c r="B6860" s="109"/>
      <c r="C6860" s="109"/>
      <c r="D6860" s="109"/>
      <c r="E6860" s="109"/>
      <c r="F6860" s="109"/>
      <c r="G6860" s="109"/>
      <c r="H6860" s="109"/>
      <c r="I6860" s="109"/>
      <c r="J6860" s="109"/>
      <c r="W6860" s="109"/>
    </row>
    <row r="6861" spans="1:23" ht="12.75" hidden="1">
      <c r="A6861" s="109"/>
      <c r="B6861" s="109"/>
      <c r="C6861" s="109"/>
      <c r="D6861" s="109"/>
      <c r="E6861" s="109"/>
      <c r="F6861" s="109"/>
      <c r="G6861" s="109"/>
      <c r="H6861" s="109"/>
      <c r="I6861" s="109"/>
      <c r="J6861" s="109"/>
      <c r="W6861" s="109"/>
    </row>
    <row r="6862" spans="1:23" ht="12.75" hidden="1">
      <c r="A6862" s="109"/>
      <c r="B6862" s="109"/>
      <c r="C6862" s="109"/>
      <c r="D6862" s="109"/>
      <c r="E6862" s="109"/>
      <c r="F6862" s="109"/>
      <c r="G6862" s="109"/>
      <c r="H6862" s="109"/>
      <c r="I6862" s="109"/>
      <c r="J6862" s="109"/>
      <c r="W6862" s="109"/>
    </row>
    <row r="6863" spans="1:23" ht="12.75" hidden="1">
      <c r="A6863" s="109"/>
      <c r="B6863" s="109"/>
      <c r="C6863" s="109"/>
      <c r="D6863" s="109"/>
      <c r="E6863" s="109"/>
      <c r="F6863" s="109"/>
      <c r="G6863" s="109"/>
      <c r="H6863" s="109"/>
      <c r="I6863" s="109"/>
      <c r="J6863" s="109"/>
      <c r="W6863" s="109"/>
    </row>
    <row r="6864" spans="1:23" ht="12.75" hidden="1">
      <c r="A6864" s="109"/>
      <c r="B6864" s="109"/>
      <c r="C6864" s="109"/>
      <c r="D6864" s="109"/>
      <c r="E6864" s="109"/>
      <c r="F6864" s="109"/>
      <c r="G6864" s="109"/>
      <c r="H6864" s="109"/>
      <c r="I6864" s="109"/>
      <c r="J6864" s="109"/>
      <c r="W6864" s="109"/>
    </row>
    <row r="6865" spans="1:23" ht="12.75" hidden="1">
      <c r="A6865" s="109"/>
      <c r="B6865" s="109"/>
      <c r="C6865" s="109"/>
      <c r="D6865" s="109"/>
      <c r="E6865" s="109"/>
      <c r="F6865" s="109"/>
      <c r="G6865" s="109"/>
      <c r="H6865" s="109"/>
      <c r="I6865" s="109"/>
      <c r="J6865" s="109"/>
      <c r="W6865" s="109"/>
    </row>
    <row r="6866" spans="1:23" ht="12.75" hidden="1">
      <c r="A6866" s="109"/>
      <c r="B6866" s="109"/>
      <c r="C6866" s="109"/>
      <c r="D6866" s="109"/>
      <c r="E6866" s="109"/>
      <c r="F6866" s="109"/>
      <c r="G6866" s="109"/>
      <c r="H6866" s="109"/>
      <c r="I6866" s="109"/>
      <c r="J6866" s="109"/>
      <c r="W6866" s="109"/>
    </row>
    <row r="6867" spans="1:23" ht="12.75" hidden="1">
      <c r="A6867" s="109"/>
      <c r="B6867" s="109"/>
      <c r="C6867" s="109"/>
      <c r="D6867" s="109"/>
      <c r="E6867" s="109"/>
      <c r="F6867" s="109"/>
      <c r="G6867" s="109"/>
      <c r="H6867" s="109"/>
      <c r="I6867" s="109"/>
      <c r="J6867" s="109"/>
      <c r="W6867" s="109"/>
    </row>
    <row r="6868" spans="1:23" ht="12.75" hidden="1">
      <c r="A6868" s="109"/>
      <c r="B6868" s="109"/>
      <c r="C6868" s="109"/>
      <c r="D6868" s="109"/>
      <c r="E6868" s="109"/>
      <c r="F6868" s="109"/>
      <c r="G6868" s="109"/>
      <c r="H6868" s="109"/>
      <c r="I6868" s="109"/>
      <c r="J6868" s="109"/>
      <c r="W6868" s="109"/>
    </row>
    <row r="6869" spans="1:23" ht="12.75" hidden="1">
      <c r="A6869" s="109"/>
      <c r="B6869" s="109"/>
      <c r="C6869" s="109"/>
      <c r="D6869" s="109"/>
      <c r="E6869" s="109"/>
      <c r="F6869" s="109"/>
      <c r="G6869" s="109"/>
      <c r="H6869" s="109"/>
      <c r="I6869" s="109"/>
      <c r="J6869" s="109"/>
      <c r="W6869" s="109"/>
    </row>
    <row r="6870" spans="1:23" ht="12.75" hidden="1">
      <c r="A6870" s="109"/>
      <c r="B6870" s="109"/>
      <c r="C6870" s="109"/>
      <c r="D6870" s="109"/>
      <c r="E6870" s="109"/>
      <c r="F6870" s="109"/>
      <c r="G6870" s="109"/>
      <c r="H6870" s="109"/>
      <c r="I6870" s="109"/>
      <c r="J6870" s="109"/>
      <c r="W6870" s="109"/>
    </row>
    <row r="6871" spans="1:23" ht="12.75" hidden="1">
      <c r="A6871" s="109"/>
      <c r="B6871" s="109"/>
      <c r="C6871" s="109"/>
      <c r="D6871" s="109"/>
      <c r="E6871" s="109"/>
      <c r="F6871" s="109"/>
      <c r="G6871" s="109"/>
      <c r="H6871" s="109"/>
      <c r="I6871" s="109"/>
      <c r="J6871" s="109"/>
      <c r="W6871" s="109"/>
    </row>
    <row r="6872" spans="1:23" ht="12.75" hidden="1">
      <c r="A6872" s="109"/>
      <c r="B6872" s="109"/>
      <c r="C6872" s="109"/>
      <c r="D6872" s="109"/>
      <c r="E6872" s="109"/>
      <c r="F6872" s="109"/>
      <c r="G6872" s="109"/>
      <c r="H6872" s="109"/>
      <c r="I6872" s="109"/>
      <c r="J6872" s="109"/>
      <c r="W6872" s="109"/>
    </row>
    <row r="6873" spans="1:23" ht="12.75" hidden="1">
      <c r="A6873" s="109"/>
      <c r="B6873" s="109"/>
      <c r="C6873" s="109"/>
      <c r="D6873" s="109"/>
      <c r="E6873" s="109"/>
      <c r="F6873" s="109"/>
      <c r="G6873" s="109"/>
      <c r="H6873" s="109"/>
      <c r="I6873" s="109"/>
      <c r="J6873" s="109"/>
      <c r="W6873" s="109"/>
    </row>
    <row r="6874" spans="1:23" ht="12.75" hidden="1">
      <c r="A6874" s="109"/>
      <c r="B6874" s="109"/>
      <c r="C6874" s="109"/>
      <c r="D6874" s="109"/>
      <c r="E6874" s="109"/>
      <c r="F6874" s="109"/>
      <c r="G6874" s="109"/>
      <c r="H6874" s="109"/>
      <c r="I6874" s="109"/>
      <c r="J6874" s="109"/>
      <c r="W6874" s="109"/>
    </row>
    <row r="6875" spans="1:23" ht="12.75" hidden="1">
      <c r="A6875" s="109"/>
      <c r="B6875" s="109"/>
      <c r="C6875" s="109"/>
      <c r="D6875" s="109"/>
      <c r="E6875" s="109"/>
      <c r="F6875" s="109"/>
      <c r="G6875" s="109"/>
      <c r="H6875" s="109"/>
      <c r="I6875" s="109"/>
      <c r="J6875" s="109"/>
      <c r="W6875" s="109"/>
    </row>
    <row r="6876" spans="1:23" ht="12.75" hidden="1">
      <c r="A6876" s="109"/>
      <c r="B6876" s="109"/>
      <c r="C6876" s="109"/>
      <c r="D6876" s="109"/>
      <c r="E6876" s="109"/>
      <c r="F6876" s="109"/>
      <c r="G6876" s="109"/>
      <c r="H6876" s="109"/>
      <c r="I6876" s="109"/>
      <c r="J6876" s="109"/>
      <c r="W6876" s="109"/>
    </row>
    <row r="6877" spans="1:23" ht="12.75" hidden="1">
      <c r="A6877" s="109"/>
      <c r="B6877" s="109"/>
      <c r="C6877" s="109"/>
      <c r="D6877" s="109"/>
      <c r="E6877" s="109"/>
      <c r="F6877" s="109"/>
      <c r="G6877" s="109"/>
      <c r="H6877" s="109"/>
      <c r="I6877" s="109"/>
      <c r="J6877" s="109"/>
      <c r="W6877" s="109"/>
    </row>
    <row r="6878" spans="1:23" ht="12.75" hidden="1">
      <c r="A6878" s="109"/>
      <c r="B6878" s="109"/>
      <c r="C6878" s="109"/>
      <c r="D6878" s="109"/>
      <c r="E6878" s="109"/>
      <c r="F6878" s="109"/>
      <c r="G6878" s="109"/>
      <c r="H6878" s="109"/>
      <c r="I6878" s="109"/>
      <c r="J6878" s="109"/>
      <c r="W6878" s="109"/>
    </row>
    <row r="6879" spans="1:23" ht="12.75" hidden="1">
      <c r="A6879" s="109"/>
      <c r="B6879" s="109"/>
      <c r="C6879" s="109"/>
      <c r="D6879" s="109"/>
      <c r="E6879" s="109"/>
      <c r="F6879" s="109"/>
      <c r="G6879" s="109"/>
      <c r="H6879" s="109"/>
      <c r="I6879" s="109"/>
      <c r="J6879" s="109"/>
      <c r="W6879" s="109"/>
    </row>
    <row r="6880" spans="1:23" ht="12.75" hidden="1">
      <c r="A6880" s="109"/>
      <c r="B6880" s="109"/>
      <c r="C6880" s="109"/>
      <c r="D6880" s="109"/>
      <c r="E6880" s="109"/>
      <c r="F6880" s="109"/>
      <c r="G6880" s="109"/>
      <c r="H6880" s="109"/>
      <c r="I6880" s="109"/>
      <c r="J6880" s="109"/>
      <c r="W6880" s="109"/>
    </row>
    <row r="6881" spans="1:23" ht="12.75" hidden="1">
      <c r="A6881" s="109"/>
      <c r="B6881" s="109"/>
      <c r="C6881" s="109"/>
      <c r="D6881" s="109"/>
      <c r="E6881" s="109"/>
      <c r="F6881" s="109"/>
      <c r="G6881" s="109"/>
      <c r="H6881" s="109"/>
      <c r="I6881" s="109"/>
      <c r="J6881" s="109"/>
      <c r="W6881" s="109"/>
    </row>
    <row r="6882" spans="1:23" ht="12.75" hidden="1">
      <c r="A6882" s="109"/>
      <c r="B6882" s="109"/>
      <c r="C6882" s="109"/>
      <c r="D6882" s="109"/>
      <c r="E6882" s="109"/>
      <c r="F6882" s="109"/>
      <c r="G6882" s="109"/>
      <c r="H6882" s="109"/>
      <c r="I6882" s="109"/>
      <c r="J6882" s="109"/>
      <c r="W6882" s="109"/>
    </row>
    <row r="6883" spans="1:23" ht="12.75" hidden="1">
      <c r="A6883" s="109"/>
      <c r="B6883" s="109"/>
      <c r="C6883" s="109"/>
      <c r="D6883" s="109"/>
      <c r="E6883" s="109"/>
      <c r="F6883" s="109"/>
      <c r="G6883" s="109"/>
      <c r="H6883" s="109"/>
      <c r="I6883" s="109"/>
      <c r="J6883" s="109"/>
      <c r="W6883" s="109"/>
    </row>
    <row r="6884" spans="1:23" ht="12.75" hidden="1">
      <c r="A6884" s="109"/>
      <c r="B6884" s="109"/>
      <c r="C6884" s="109"/>
      <c r="D6884" s="109"/>
      <c r="E6884" s="109"/>
      <c r="F6884" s="109"/>
      <c r="G6884" s="109"/>
      <c r="H6884" s="109"/>
      <c r="I6884" s="109"/>
      <c r="J6884" s="109"/>
      <c r="W6884" s="109"/>
    </row>
    <row r="6885" spans="1:23" ht="12.75" hidden="1">
      <c r="A6885" s="109"/>
      <c r="B6885" s="109"/>
      <c r="C6885" s="109"/>
      <c r="D6885" s="109"/>
      <c r="E6885" s="109"/>
      <c r="F6885" s="109"/>
      <c r="G6885" s="109"/>
      <c r="H6885" s="109"/>
      <c r="I6885" s="109"/>
      <c r="J6885" s="109"/>
      <c r="W6885" s="109"/>
    </row>
    <row r="6886" spans="1:23" ht="12.75" hidden="1">
      <c r="A6886" s="109"/>
      <c r="B6886" s="109"/>
      <c r="C6886" s="109"/>
      <c r="D6886" s="109"/>
      <c r="E6886" s="109"/>
      <c r="F6886" s="109"/>
      <c r="G6886" s="109"/>
      <c r="H6886" s="109"/>
      <c r="I6886" s="109"/>
      <c r="J6886" s="109"/>
      <c r="W6886" s="109"/>
    </row>
    <row r="6887" spans="1:23" ht="12.75" hidden="1">
      <c r="A6887" s="109"/>
      <c r="B6887" s="109"/>
      <c r="C6887" s="109"/>
      <c r="D6887" s="109"/>
      <c r="E6887" s="109"/>
      <c r="F6887" s="109"/>
      <c r="G6887" s="109"/>
      <c r="H6887" s="109"/>
      <c r="I6887" s="109"/>
      <c r="J6887" s="109"/>
      <c r="W6887" s="109"/>
    </row>
    <row r="6888" spans="1:23" ht="12.75" hidden="1">
      <c r="A6888" s="109"/>
      <c r="B6888" s="109"/>
      <c r="C6888" s="109"/>
      <c r="D6888" s="109"/>
      <c r="E6888" s="109"/>
      <c r="F6888" s="109"/>
      <c r="G6888" s="109"/>
      <c r="H6888" s="109"/>
      <c r="I6888" s="109"/>
      <c r="J6888" s="109"/>
      <c r="W6888" s="109"/>
    </row>
    <row r="6889" spans="1:23" ht="12.75" hidden="1">
      <c r="A6889" s="109"/>
      <c r="B6889" s="109"/>
      <c r="C6889" s="109"/>
      <c r="D6889" s="109"/>
      <c r="E6889" s="109"/>
      <c r="F6889" s="109"/>
      <c r="G6889" s="109"/>
      <c r="H6889" s="109"/>
      <c r="I6889" s="109"/>
      <c r="J6889" s="109"/>
      <c r="W6889" s="109"/>
    </row>
    <row r="6890" spans="1:23" ht="12.75" hidden="1">
      <c r="A6890" s="109"/>
      <c r="B6890" s="109"/>
      <c r="C6890" s="109"/>
      <c r="D6890" s="109"/>
      <c r="E6890" s="109"/>
      <c r="F6890" s="109"/>
      <c r="G6890" s="109"/>
      <c r="H6890" s="109"/>
      <c r="I6890" s="109"/>
      <c r="J6890" s="109"/>
      <c r="W6890" s="109"/>
    </row>
    <row r="6891" spans="1:23" ht="12.75" hidden="1">
      <c r="A6891" s="109"/>
      <c r="B6891" s="109"/>
      <c r="C6891" s="109"/>
      <c r="D6891" s="109"/>
      <c r="E6891" s="109"/>
      <c r="F6891" s="109"/>
      <c r="G6891" s="109"/>
      <c r="H6891" s="109"/>
      <c r="I6891" s="109"/>
      <c r="J6891" s="109"/>
      <c r="W6891" s="109"/>
    </row>
    <row r="6892" spans="1:23" ht="12.75" hidden="1">
      <c r="A6892" s="109"/>
      <c r="B6892" s="109"/>
      <c r="C6892" s="109"/>
      <c r="D6892" s="109"/>
      <c r="E6892" s="109"/>
      <c r="F6892" s="109"/>
      <c r="G6892" s="109"/>
      <c r="H6892" s="109"/>
      <c r="I6892" s="109"/>
      <c r="J6892" s="109"/>
      <c r="W6892" s="109"/>
    </row>
    <row r="6893" spans="1:23" ht="12.75" hidden="1">
      <c r="A6893" s="109"/>
      <c r="B6893" s="109"/>
      <c r="C6893" s="109"/>
      <c r="D6893" s="109"/>
      <c r="E6893" s="109"/>
      <c r="F6893" s="109"/>
      <c r="G6893" s="109"/>
      <c r="H6893" s="109"/>
      <c r="I6893" s="109"/>
      <c r="J6893" s="109"/>
      <c r="W6893" s="109"/>
    </row>
    <row r="6894" spans="1:23" ht="12.75" hidden="1">
      <c r="A6894" s="109"/>
      <c r="B6894" s="109"/>
      <c r="C6894" s="109"/>
      <c r="D6894" s="109"/>
      <c r="E6894" s="109"/>
      <c r="F6894" s="109"/>
      <c r="G6894" s="109"/>
      <c r="H6894" s="109"/>
      <c r="I6894" s="109"/>
      <c r="J6894" s="109"/>
      <c r="W6894" s="109"/>
    </row>
    <row r="6895" spans="1:23" ht="12.75" hidden="1">
      <c r="A6895" s="109"/>
      <c r="B6895" s="109"/>
      <c r="C6895" s="109"/>
      <c r="D6895" s="109"/>
      <c r="E6895" s="109"/>
      <c r="F6895" s="109"/>
      <c r="G6895" s="109"/>
      <c r="H6895" s="109"/>
      <c r="I6895" s="109"/>
      <c r="J6895" s="109"/>
      <c r="W6895" s="109"/>
    </row>
    <row r="6896" spans="1:23" ht="12.75" hidden="1">
      <c r="A6896" s="109"/>
      <c r="B6896" s="109"/>
      <c r="C6896" s="109"/>
      <c r="D6896" s="109"/>
      <c r="E6896" s="109"/>
      <c r="F6896" s="109"/>
      <c r="G6896" s="109"/>
      <c r="H6896" s="109"/>
      <c r="I6896" s="109"/>
      <c r="J6896" s="109"/>
      <c r="W6896" s="109"/>
    </row>
    <row r="6897" spans="1:23" ht="12.75" hidden="1">
      <c r="A6897" s="109"/>
      <c r="B6897" s="109"/>
      <c r="C6897" s="109"/>
      <c r="D6897" s="109"/>
      <c r="E6897" s="109"/>
      <c r="F6897" s="109"/>
      <c r="G6897" s="109"/>
      <c r="H6897" s="109"/>
      <c r="I6897" s="109"/>
      <c r="J6897" s="109"/>
      <c r="W6897" s="109"/>
    </row>
    <row r="6898" spans="1:23" ht="12.75" hidden="1">
      <c r="A6898" s="109"/>
      <c r="B6898" s="109"/>
      <c r="C6898" s="109"/>
      <c r="D6898" s="109"/>
      <c r="E6898" s="109"/>
      <c r="F6898" s="109"/>
      <c r="G6898" s="109"/>
      <c r="H6898" s="109"/>
      <c r="I6898" s="109"/>
      <c r="J6898" s="109"/>
      <c r="W6898" s="109"/>
    </row>
    <row r="6899" spans="1:23" ht="12.75" hidden="1">
      <c r="A6899" s="109"/>
      <c r="B6899" s="109"/>
      <c r="C6899" s="109"/>
      <c r="D6899" s="109"/>
      <c r="E6899" s="109"/>
      <c r="F6899" s="109"/>
      <c r="G6899" s="109"/>
      <c r="H6899" s="109"/>
      <c r="I6899" s="109"/>
      <c r="J6899" s="109"/>
      <c r="W6899" s="109"/>
    </row>
    <row r="6900" spans="1:23" ht="12.75" hidden="1">
      <c r="A6900" s="109"/>
      <c r="B6900" s="109"/>
      <c r="C6900" s="109"/>
      <c r="D6900" s="109"/>
      <c r="E6900" s="109"/>
      <c r="F6900" s="109"/>
      <c r="G6900" s="109"/>
      <c r="H6900" s="109"/>
      <c r="I6900" s="109"/>
      <c r="J6900" s="109"/>
    </row>
    <row r="6901" spans="1:23" ht="12.75" hidden="1">
      <c r="A6901" s="109"/>
      <c r="B6901" s="109"/>
      <c r="C6901" s="109"/>
      <c r="D6901" s="109"/>
      <c r="E6901" s="109"/>
      <c r="F6901" s="109"/>
      <c r="G6901" s="109"/>
      <c r="H6901" s="109"/>
      <c r="I6901" s="109"/>
      <c r="J6901" s="109"/>
    </row>
    <row r="6902" spans="1:23" ht="12.75" hidden="1">
      <c r="A6902" s="109"/>
      <c r="B6902" s="109"/>
      <c r="C6902" s="109"/>
      <c r="D6902" s="109"/>
      <c r="E6902" s="109"/>
      <c r="F6902" s="109"/>
      <c r="G6902" s="109"/>
      <c r="H6902" s="109"/>
      <c r="I6902" s="109"/>
      <c r="J6902" s="109"/>
    </row>
    <row r="6903" spans="1:23" ht="12.75" hidden="1">
      <c r="A6903" s="109"/>
      <c r="B6903" s="109"/>
      <c r="C6903" s="109"/>
      <c r="D6903" s="109"/>
      <c r="E6903" s="109"/>
      <c r="F6903" s="109"/>
      <c r="G6903" s="109"/>
      <c r="H6903" s="109"/>
      <c r="I6903" s="109"/>
      <c r="J6903" s="109"/>
    </row>
    <row r="6904" spans="1:23" ht="12.75" hidden="1">
      <c r="A6904" s="109"/>
      <c r="B6904" s="109"/>
      <c r="C6904" s="109"/>
      <c r="D6904" s="109"/>
      <c r="E6904" s="109"/>
      <c r="F6904" s="109"/>
      <c r="G6904" s="109"/>
      <c r="H6904" s="109"/>
      <c r="I6904" s="109"/>
      <c r="J6904" s="109"/>
    </row>
    <row r="6905" spans="1:23" ht="12.75" hidden="1">
      <c r="A6905" s="109"/>
      <c r="B6905" s="109"/>
      <c r="C6905" s="109"/>
      <c r="D6905" s="109"/>
      <c r="E6905" s="109"/>
      <c r="F6905" s="109"/>
      <c r="G6905" s="109"/>
      <c r="H6905" s="109"/>
      <c r="I6905" s="109"/>
      <c r="J6905" s="109"/>
    </row>
    <row r="6906" spans="1:23" ht="12.75" hidden="1">
      <c r="A6906" s="109"/>
      <c r="B6906" s="109"/>
      <c r="C6906" s="109"/>
      <c r="D6906" s="109"/>
      <c r="E6906" s="109"/>
      <c r="F6906" s="109"/>
      <c r="G6906" s="109"/>
      <c r="H6906" s="109"/>
      <c r="I6906" s="109"/>
      <c r="J6906" s="109"/>
    </row>
    <row r="6907" spans="1:23" ht="12.75" hidden="1">
      <c r="A6907" s="109"/>
      <c r="B6907" s="109"/>
      <c r="C6907" s="109"/>
      <c r="D6907" s="109"/>
      <c r="E6907" s="109"/>
      <c r="F6907" s="109"/>
      <c r="G6907" s="109"/>
      <c r="H6907" s="109"/>
      <c r="I6907" s="109"/>
      <c r="J6907" s="109"/>
    </row>
    <row r="6908" spans="1:23" ht="12.75" hidden="1">
      <c r="A6908" s="109"/>
      <c r="B6908" s="109"/>
      <c r="C6908" s="109"/>
      <c r="D6908" s="109"/>
      <c r="E6908" s="109"/>
      <c r="F6908" s="109"/>
      <c r="G6908" s="109"/>
      <c r="H6908" s="109"/>
      <c r="I6908" s="109"/>
      <c r="J6908" s="109"/>
    </row>
    <row r="6909" spans="1:23" ht="12.75" hidden="1">
      <c r="A6909" s="109"/>
      <c r="B6909" s="109"/>
      <c r="C6909" s="109"/>
      <c r="D6909" s="109"/>
      <c r="E6909" s="109"/>
      <c r="F6909" s="109"/>
      <c r="G6909" s="109"/>
      <c r="H6909" s="109"/>
      <c r="I6909" s="109"/>
      <c r="J6909" s="109"/>
    </row>
    <row r="6910" spans="1:23" ht="12.75" hidden="1">
      <c r="A6910" s="109"/>
      <c r="B6910" s="109"/>
      <c r="C6910" s="109"/>
      <c r="D6910" s="109"/>
      <c r="E6910" s="109"/>
      <c r="F6910" s="109"/>
      <c r="G6910" s="109"/>
      <c r="H6910" s="109"/>
      <c r="I6910" s="109"/>
      <c r="J6910" s="109"/>
    </row>
    <row r="6911" spans="1:23" ht="12.75" hidden="1">
      <c r="A6911" s="109"/>
      <c r="B6911" s="109"/>
      <c r="C6911" s="109"/>
      <c r="D6911" s="109"/>
      <c r="E6911" s="109"/>
      <c r="F6911" s="109"/>
      <c r="G6911" s="109"/>
      <c r="H6911" s="109"/>
      <c r="I6911" s="109"/>
      <c r="J6911" s="109"/>
    </row>
    <row r="6912" spans="1:23" ht="12.75" hidden="1">
      <c r="A6912" s="109"/>
      <c r="B6912" s="109"/>
      <c r="C6912" s="109"/>
      <c r="D6912" s="109"/>
      <c r="E6912" s="109"/>
      <c r="F6912" s="109"/>
      <c r="G6912" s="109"/>
      <c r="H6912" s="109"/>
      <c r="I6912" s="109"/>
      <c r="J6912" s="109"/>
    </row>
    <row r="6913" spans="1:10" customFormat="1" ht="12.75" hidden="1">
      <c r="A6913" s="109"/>
      <c r="B6913" s="109"/>
      <c r="C6913" s="109"/>
      <c r="D6913" s="109"/>
      <c r="E6913" s="109"/>
      <c r="F6913" s="109"/>
      <c r="G6913" s="109"/>
      <c r="H6913" s="109"/>
      <c r="I6913" s="109"/>
      <c r="J6913" s="109"/>
    </row>
    <row r="6914" spans="1:10" customFormat="1" ht="12.75" hidden="1">
      <c r="A6914" s="109"/>
      <c r="B6914" s="109"/>
      <c r="C6914" s="109"/>
      <c r="D6914" s="109"/>
      <c r="E6914" s="109"/>
      <c r="F6914" s="109"/>
      <c r="G6914" s="109"/>
      <c r="H6914" s="109"/>
      <c r="I6914" s="109"/>
      <c r="J6914" s="109"/>
    </row>
    <row r="6915" spans="1:10" customFormat="1" ht="12.75" hidden="1">
      <c r="A6915" s="109"/>
      <c r="B6915" s="109"/>
      <c r="C6915" s="109"/>
      <c r="D6915" s="109"/>
      <c r="E6915" s="109"/>
      <c r="F6915" s="109"/>
      <c r="G6915" s="109"/>
      <c r="H6915" s="109"/>
      <c r="I6915" s="109"/>
      <c r="J6915" s="109"/>
    </row>
    <row r="6916" spans="1:10" customFormat="1" ht="12.75" hidden="1">
      <c r="A6916" s="109"/>
      <c r="B6916" s="109"/>
      <c r="C6916" s="109"/>
      <c r="D6916" s="109"/>
      <c r="E6916" s="109"/>
      <c r="F6916" s="109"/>
      <c r="G6916" s="109"/>
      <c r="H6916" s="109"/>
      <c r="I6916" s="109"/>
      <c r="J6916" s="109"/>
    </row>
    <row r="6917" spans="1:10" customFormat="1" ht="12.75" hidden="1">
      <c r="A6917" s="109"/>
      <c r="B6917" s="109"/>
      <c r="C6917" s="109"/>
      <c r="D6917" s="109"/>
      <c r="E6917" s="109"/>
      <c r="F6917" s="109"/>
      <c r="G6917" s="109"/>
      <c r="H6917" s="109"/>
      <c r="I6917" s="109"/>
      <c r="J6917" s="109"/>
    </row>
    <row r="6918" spans="1:10" customFormat="1" ht="12.75" hidden="1">
      <c r="A6918" s="109"/>
      <c r="B6918" s="109"/>
      <c r="C6918" s="109"/>
      <c r="D6918" s="109"/>
      <c r="E6918" s="109"/>
      <c r="F6918" s="109"/>
      <c r="G6918" s="109"/>
      <c r="H6918" s="109"/>
      <c r="I6918" s="109"/>
      <c r="J6918" s="109"/>
    </row>
    <row r="6919" spans="1:10" customFormat="1" ht="12.75" hidden="1">
      <c r="A6919" s="109"/>
      <c r="B6919" s="109"/>
      <c r="C6919" s="109"/>
      <c r="D6919" s="109"/>
      <c r="E6919" s="109"/>
      <c r="F6919" s="109"/>
      <c r="G6919" s="109"/>
      <c r="H6919" s="109"/>
      <c r="I6919" s="109"/>
      <c r="J6919" s="109"/>
    </row>
    <row r="6920" spans="1:10" customFormat="1" ht="12.75" hidden="1">
      <c r="A6920" s="109"/>
      <c r="B6920" s="109"/>
      <c r="C6920" s="109"/>
      <c r="D6920" s="109"/>
      <c r="E6920" s="109"/>
      <c r="F6920" s="109"/>
      <c r="G6920" s="109"/>
      <c r="H6920" s="109"/>
      <c r="I6920" s="109"/>
      <c r="J6920" s="109"/>
    </row>
    <row r="6921" spans="1:10" customFormat="1" ht="12.75" hidden="1">
      <c r="A6921" s="109"/>
      <c r="B6921" s="109"/>
      <c r="C6921" s="109"/>
      <c r="D6921" s="109"/>
      <c r="E6921" s="109"/>
      <c r="F6921" s="109"/>
      <c r="G6921" s="109"/>
      <c r="H6921" s="109"/>
      <c r="I6921" s="109"/>
      <c r="J6921" s="109"/>
    </row>
    <row r="6922" spans="1:10" customFormat="1" ht="12.75" hidden="1">
      <c r="A6922" s="109"/>
      <c r="B6922" s="109"/>
      <c r="C6922" s="109"/>
      <c r="D6922" s="109"/>
      <c r="E6922" s="109"/>
      <c r="F6922" s="109"/>
      <c r="G6922" s="109"/>
      <c r="H6922" s="109"/>
      <c r="I6922" s="109"/>
      <c r="J6922" s="109"/>
    </row>
    <row r="6923" spans="1:10" customFormat="1" ht="12.75" hidden="1">
      <c r="A6923" s="109"/>
      <c r="B6923" s="109"/>
      <c r="C6923" s="109"/>
      <c r="D6923" s="109"/>
      <c r="E6923" s="109"/>
      <c r="F6923" s="109"/>
      <c r="G6923" s="109"/>
      <c r="H6923" s="109"/>
      <c r="I6923" s="109"/>
      <c r="J6923" s="109"/>
    </row>
    <row r="6924" spans="1:10" customFormat="1" ht="12.75" hidden="1">
      <c r="A6924" s="109"/>
      <c r="B6924" s="109"/>
      <c r="C6924" s="109"/>
      <c r="D6924" s="109"/>
      <c r="E6924" s="109"/>
      <c r="F6924" s="109"/>
      <c r="G6924" s="109"/>
      <c r="H6924" s="109"/>
      <c r="I6924" s="109"/>
      <c r="J6924" s="109"/>
    </row>
    <row r="6925" spans="1:10" customFormat="1" ht="12.75" hidden="1">
      <c r="A6925" s="109"/>
      <c r="B6925" s="109"/>
      <c r="C6925" s="109"/>
      <c r="D6925" s="109"/>
      <c r="E6925" s="109"/>
      <c r="F6925" s="109"/>
      <c r="G6925" s="109"/>
      <c r="H6925" s="109"/>
      <c r="I6925" s="109"/>
      <c r="J6925" s="109"/>
    </row>
    <row r="6926" spans="1:10" customFormat="1" ht="12.75" hidden="1">
      <c r="A6926" s="109"/>
      <c r="B6926" s="109"/>
      <c r="C6926" s="109"/>
      <c r="D6926" s="109"/>
      <c r="E6926" s="109"/>
      <c r="F6926" s="109"/>
      <c r="G6926" s="109"/>
      <c r="H6926" s="109"/>
      <c r="I6926" s="109"/>
      <c r="J6926" s="109"/>
    </row>
    <row r="6927" spans="1:10" customFormat="1" ht="12.75" hidden="1">
      <c r="A6927" s="109"/>
      <c r="B6927" s="109"/>
      <c r="C6927" s="109"/>
      <c r="D6927" s="109"/>
      <c r="E6927" s="109"/>
      <c r="F6927" s="109"/>
      <c r="G6927" s="109"/>
      <c r="H6927" s="109"/>
      <c r="I6927" s="109"/>
      <c r="J6927" s="109"/>
    </row>
    <row r="6928" spans="1:10" customFormat="1" ht="12.75" hidden="1">
      <c r="A6928" s="109"/>
      <c r="B6928" s="109"/>
      <c r="C6928" s="109"/>
      <c r="D6928" s="109"/>
      <c r="E6928" s="109"/>
      <c r="F6928" s="109"/>
      <c r="G6928" s="109"/>
      <c r="H6928" s="109"/>
      <c r="I6928" s="109"/>
      <c r="J6928" s="109"/>
    </row>
    <row r="6929" spans="1:10" customFormat="1" ht="12.75" hidden="1">
      <c r="A6929" s="109"/>
      <c r="B6929" s="109"/>
      <c r="C6929" s="109"/>
      <c r="D6929" s="109"/>
      <c r="E6929" s="109"/>
      <c r="F6929" s="109"/>
      <c r="G6929" s="109"/>
      <c r="H6929" s="109"/>
      <c r="I6929" s="109"/>
      <c r="J6929" s="109"/>
    </row>
    <row r="6930" spans="1:10" customFormat="1" ht="12.75" hidden="1">
      <c r="A6930" s="109"/>
      <c r="B6930" s="109"/>
      <c r="C6930" s="109"/>
      <c r="D6930" s="109"/>
      <c r="E6930" s="109"/>
      <c r="F6930" s="109"/>
      <c r="G6930" s="109"/>
      <c r="H6930" s="109"/>
      <c r="I6930" s="109"/>
      <c r="J6930" s="109"/>
    </row>
    <row r="6931" spans="1:10" customFormat="1" ht="12.75" hidden="1">
      <c r="A6931" s="109"/>
      <c r="B6931" s="109"/>
      <c r="C6931" s="109"/>
      <c r="D6931" s="109"/>
      <c r="E6931" s="109"/>
      <c r="F6931" s="109"/>
      <c r="G6931" s="109"/>
      <c r="H6931" s="109"/>
      <c r="I6931" s="109"/>
      <c r="J6931" s="109"/>
    </row>
    <row r="6932" spans="1:10" customFormat="1" ht="12.75" hidden="1">
      <c r="A6932" s="109"/>
      <c r="B6932" s="109"/>
      <c r="C6932" s="109"/>
      <c r="D6932" s="109"/>
      <c r="E6932" s="109"/>
      <c r="F6932" s="109"/>
      <c r="G6932" s="109"/>
      <c r="H6932" s="109"/>
      <c r="I6932" s="109"/>
      <c r="J6932" s="109"/>
    </row>
    <row r="6933" spans="1:10" customFormat="1" ht="12.75" hidden="1">
      <c r="A6933" s="109"/>
      <c r="B6933" s="109"/>
      <c r="C6933" s="109"/>
      <c r="D6933" s="109"/>
      <c r="E6933" s="109"/>
      <c r="F6933" s="109"/>
      <c r="G6933" s="109"/>
      <c r="H6933" s="109"/>
      <c r="I6933" s="109"/>
      <c r="J6933" s="109"/>
    </row>
    <row r="6934" spans="1:10" customFormat="1" ht="12.75" hidden="1">
      <c r="A6934" s="109"/>
      <c r="B6934" s="109"/>
      <c r="C6934" s="109"/>
      <c r="D6934" s="109"/>
      <c r="E6934" s="109"/>
      <c r="F6934" s="109"/>
      <c r="G6934" s="109"/>
      <c r="H6934" s="109"/>
      <c r="I6934" s="109"/>
      <c r="J6934" s="109"/>
    </row>
    <row r="6935" spans="1:10" customFormat="1" ht="12.75" hidden="1">
      <c r="A6935" s="109"/>
      <c r="B6935" s="109"/>
      <c r="C6935" s="109"/>
      <c r="D6935" s="109"/>
      <c r="E6935" s="109"/>
      <c r="F6935" s="109"/>
      <c r="G6935" s="109"/>
      <c r="H6935" s="109"/>
      <c r="I6935" s="109"/>
      <c r="J6935" s="109"/>
    </row>
    <row r="6936" spans="1:10" customFormat="1" ht="12.75" hidden="1">
      <c r="A6936" s="109"/>
      <c r="B6936" s="109"/>
      <c r="C6936" s="109"/>
      <c r="D6936" s="109"/>
      <c r="E6936" s="109"/>
      <c r="F6936" s="109"/>
      <c r="G6936" s="109"/>
      <c r="H6936" s="109"/>
      <c r="I6936" s="109"/>
      <c r="J6936" s="109"/>
    </row>
    <row r="6937" spans="1:10" customFormat="1" ht="12.75" hidden="1">
      <c r="A6937" s="109"/>
      <c r="B6937" s="109"/>
      <c r="C6937" s="109"/>
      <c r="D6937" s="109"/>
      <c r="E6937" s="109"/>
      <c r="F6937" s="109"/>
      <c r="G6937" s="109"/>
      <c r="H6937" s="109"/>
      <c r="I6937" s="109"/>
      <c r="J6937" s="109"/>
    </row>
    <row r="6938" spans="1:10" customFormat="1" ht="12.75" hidden="1">
      <c r="A6938" s="109"/>
      <c r="B6938" s="109"/>
      <c r="C6938" s="109"/>
      <c r="D6938" s="109"/>
      <c r="E6938" s="109"/>
      <c r="F6938" s="109"/>
      <c r="G6938" s="109"/>
      <c r="H6938" s="109"/>
      <c r="I6938" s="109"/>
      <c r="J6938" s="109"/>
    </row>
    <row r="6939" spans="1:10" customFormat="1" ht="12.75" hidden="1">
      <c r="A6939" s="109"/>
      <c r="B6939" s="109"/>
      <c r="C6939" s="109"/>
      <c r="D6939" s="109"/>
      <c r="E6939" s="109"/>
      <c r="F6939" s="109"/>
      <c r="G6939" s="109"/>
      <c r="H6939" s="109"/>
      <c r="I6939" s="109"/>
      <c r="J6939" s="109"/>
    </row>
    <row r="6940" spans="1:10" customFormat="1" ht="12.75" hidden="1">
      <c r="A6940" s="109"/>
      <c r="B6940" s="109"/>
      <c r="C6940" s="109"/>
      <c r="D6940" s="109"/>
      <c r="E6940" s="109"/>
      <c r="F6940" s="109"/>
      <c r="G6940" s="109"/>
      <c r="H6940" s="109"/>
      <c r="I6940" s="109"/>
      <c r="J6940" s="109"/>
    </row>
    <row r="6941" spans="1:10" customFormat="1" ht="12.75" hidden="1">
      <c r="A6941" s="109"/>
      <c r="B6941" s="109"/>
      <c r="C6941" s="109"/>
      <c r="D6941" s="109"/>
      <c r="E6941" s="109"/>
      <c r="F6941" s="109"/>
      <c r="G6941" s="109"/>
      <c r="H6941" s="109"/>
      <c r="I6941" s="109"/>
      <c r="J6941" s="109"/>
    </row>
    <row r="6942" spans="1:10" customFormat="1" ht="12.75" hidden="1">
      <c r="A6942" s="109"/>
      <c r="B6942" s="109"/>
      <c r="C6942" s="109"/>
      <c r="D6942" s="109"/>
      <c r="E6942" s="109"/>
      <c r="F6942" s="109"/>
      <c r="G6942" s="109"/>
      <c r="H6942" s="109"/>
      <c r="I6942" s="109"/>
      <c r="J6942" s="109"/>
    </row>
    <row r="6943" spans="1:10" customFormat="1" ht="12.75" hidden="1">
      <c r="A6943" s="109"/>
      <c r="B6943" s="109"/>
      <c r="C6943" s="109"/>
      <c r="D6943" s="109"/>
      <c r="E6943" s="109"/>
      <c r="F6943" s="109"/>
      <c r="G6943" s="109"/>
      <c r="H6943" s="109"/>
      <c r="I6943" s="109"/>
      <c r="J6943" s="109"/>
    </row>
    <row r="6944" spans="1:10" customFormat="1" ht="12.75" hidden="1">
      <c r="A6944" s="109"/>
      <c r="B6944" s="109"/>
      <c r="C6944" s="109"/>
      <c r="D6944" s="109"/>
      <c r="E6944" s="109"/>
      <c r="F6944" s="109"/>
      <c r="G6944" s="109"/>
      <c r="H6944" s="109"/>
      <c r="I6944" s="109"/>
      <c r="J6944" s="109"/>
    </row>
    <row r="6945" spans="1:10" customFormat="1" ht="12.75" hidden="1">
      <c r="A6945" s="109"/>
      <c r="B6945" s="109"/>
      <c r="C6945" s="109"/>
      <c r="D6945" s="109"/>
      <c r="E6945" s="109"/>
      <c r="F6945" s="109"/>
      <c r="G6945" s="109"/>
      <c r="H6945" s="109"/>
      <c r="I6945" s="109"/>
      <c r="J6945" s="109"/>
    </row>
    <row r="6946" spans="1:10" customFormat="1" ht="12.75" hidden="1">
      <c r="A6946" s="109"/>
      <c r="B6946" s="109"/>
      <c r="C6946" s="109"/>
      <c r="D6946" s="109"/>
      <c r="E6946" s="109"/>
      <c r="F6946" s="109"/>
      <c r="G6946" s="109"/>
      <c r="H6946" s="109"/>
      <c r="I6946" s="109"/>
      <c r="J6946" s="109"/>
    </row>
    <row r="6947" spans="1:10" customFormat="1" ht="12.75" hidden="1">
      <c r="A6947" s="109"/>
      <c r="B6947" s="109"/>
      <c r="C6947" s="109"/>
      <c r="D6947" s="109"/>
      <c r="E6947" s="109"/>
      <c r="F6947" s="109"/>
      <c r="G6947" s="109"/>
      <c r="H6947" s="109"/>
      <c r="I6947" s="109"/>
      <c r="J6947" s="109"/>
    </row>
    <row r="6948" spans="1:10" customFormat="1" ht="12.75" hidden="1">
      <c r="A6948" s="109"/>
      <c r="B6948" s="109"/>
      <c r="C6948" s="109"/>
      <c r="D6948" s="109"/>
      <c r="E6948" s="109"/>
      <c r="F6948" s="109"/>
      <c r="G6948" s="109"/>
      <c r="H6948" s="109"/>
      <c r="I6948" s="109"/>
      <c r="J6948" s="109"/>
    </row>
    <row r="6949" spans="1:10" customFormat="1" ht="12.75" hidden="1">
      <c r="A6949" s="109"/>
      <c r="B6949" s="109"/>
      <c r="C6949" s="109"/>
      <c r="D6949" s="109"/>
      <c r="E6949" s="109"/>
      <c r="F6949" s="109"/>
      <c r="G6949" s="109"/>
      <c r="H6949" s="109"/>
      <c r="I6949" s="109"/>
      <c r="J6949" s="109"/>
    </row>
    <row r="6950" spans="1:10" customFormat="1" ht="12.75" hidden="1">
      <c r="A6950" s="109"/>
      <c r="B6950" s="109"/>
      <c r="C6950" s="109"/>
      <c r="D6950" s="109"/>
      <c r="E6950" s="109"/>
      <c r="F6950" s="109"/>
      <c r="G6950" s="109"/>
      <c r="H6950" s="109"/>
      <c r="I6950" s="109"/>
      <c r="J6950" s="109"/>
    </row>
    <row r="6951" spans="1:10" customFormat="1" ht="12.75" hidden="1">
      <c r="A6951" s="109"/>
      <c r="B6951" s="109"/>
      <c r="C6951" s="109"/>
      <c r="D6951" s="109"/>
      <c r="E6951" s="109"/>
      <c r="F6951" s="109"/>
      <c r="G6951" s="109"/>
      <c r="H6951" s="109"/>
      <c r="I6951" s="109"/>
      <c r="J6951" s="109"/>
    </row>
    <row r="6952" spans="1:10" customFormat="1" ht="12.75" hidden="1">
      <c r="A6952" s="109"/>
      <c r="B6952" s="109"/>
      <c r="C6952" s="109"/>
      <c r="D6952" s="109"/>
      <c r="E6952" s="109"/>
      <c r="F6952" s="109"/>
      <c r="G6952" s="109"/>
      <c r="H6952" s="109"/>
      <c r="I6952" s="109"/>
      <c r="J6952" s="109"/>
    </row>
    <row r="6953" spans="1:10" customFormat="1" ht="12.75" hidden="1">
      <c r="A6953" s="109"/>
      <c r="B6953" s="109"/>
      <c r="C6953" s="109"/>
      <c r="D6953" s="109"/>
      <c r="E6953" s="109"/>
      <c r="F6953" s="109"/>
      <c r="G6953" s="109"/>
      <c r="H6953" s="109"/>
      <c r="I6953" s="109"/>
      <c r="J6953" s="109"/>
    </row>
    <row r="6954" spans="1:10" customFormat="1" ht="12.75" hidden="1">
      <c r="A6954" s="109"/>
      <c r="B6954" s="109"/>
      <c r="C6954" s="109"/>
      <c r="D6954" s="109"/>
      <c r="E6954" s="109"/>
      <c r="F6954" s="109"/>
      <c r="G6954" s="109"/>
      <c r="H6954" s="109"/>
      <c r="I6954" s="109"/>
      <c r="J6954" s="109"/>
    </row>
    <row r="6955" spans="1:10" customFormat="1" ht="12.75" hidden="1">
      <c r="A6955" s="109"/>
      <c r="B6955" s="109"/>
      <c r="C6955" s="109"/>
      <c r="D6955" s="109"/>
      <c r="E6955" s="109"/>
      <c r="F6955" s="109"/>
      <c r="G6955" s="109"/>
      <c r="H6955" s="109"/>
      <c r="I6955" s="109"/>
      <c r="J6955" s="109"/>
    </row>
    <row r="6956" spans="1:10" customFormat="1" ht="12.75" hidden="1">
      <c r="A6956" s="109"/>
      <c r="B6956" s="109"/>
      <c r="C6956" s="109"/>
      <c r="D6956" s="109"/>
      <c r="E6956" s="109"/>
      <c r="F6956" s="109"/>
      <c r="G6956" s="109"/>
      <c r="H6956" s="109"/>
      <c r="I6956" s="109"/>
      <c r="J6956" s="109"/>
    </row>
    <row r="6957" spans="1:10" customFormat="1" ht="12.75" hidden="1">
      <c r="A6957" s="109"/>
      <c r="B6957" s="109"/>
      <c r="C6957" s="109"/>
      <c r="D6957" s="109"/>
      <c r="E6957" s="109"/>
      <c r="F6957" s="109"/>
      <c r="G6957" s="109"/>
      <c r="H6957" s="109"/>
      <c r="I6957" s="109"/>
      <c r="J6957" s="109"/>
    </row>
    <row r="6958" spans="1:10" customFormat="1" ht="12.75" hidden="1">
      <c r="A6958" s="109"/>
      <c r="B6958" s="109"/>
      <c r="C6958" s="109"/>
      <c r="D6958" s="109"/>
      <c r="E6958" s="109"/>
      <c r="F6958" s="109"/>
      <c r="G6958" s="109"/>
      <c r="H6958" s="109"/>
      <c r="I6958" s="109"/>
      <c r="J6958" s="109"/>
    </row>
    <row r="6959" spans="1:10" customFormat="1" ht="12.75" hidden="1">
      <c r="A6959" s="109"/>
      <c r="B6959" s="109"/>
      <c r="C6959" s="109"/>
      <c r="D6959" s="109"/>
      <c r="E6959" s="109"/>
      <c r="F6959" s="109"/>
      <c r="G6959" s="109"/>
      <c r="H6959" s="109"/>
      <c r="I6959" s="109"/>
      <c r="J6959" s="109"/>
    </row>
    <row r="6960" spans="1:10" customFormat="1" ht="12.75" hidden="1">
      <c r="A6960" s="109"/>
      <c r="B6960" s="109"/>
      <c r="C6960" s="109"/>
      <c r="D6960" s="109"/>
      <c r="E6960" s="109"/>
      <c r="F6960" s="109"/>
      <c r="G6960" s="109"/>
      <c r="H6960" s="109"/>
      <c r="I6960" s="109"/>
      <c r="J6960" s="109"/>
    </row>
    <row r="6961" spans="1:10" customFormat="1" ht="12.75" hidden="1">
      <c r="A6961" s="109"/>
      <c r="B6961" s="109"/>
      <c r="C6961" s="109"/>
      <c r="D6961" s="109"/>
      <c r="E6961" s="109"/>
      <c r="F6961" s="109"/>
      <c r="G6961" s="109"/>
      <c r="H6961" s="109"/>
      <c r="I6961" s="109"/>
      <c r="J6961" s="109"/>
    </row>
    <row r="6962" spans="1:10" customFormat="1" ht="12.75" hidden="1">
      <c r="A6962" s="109"/>
      <c r="B6962" s="109"/>
      <c r="C6962" s="109"/>
      <c r="D6962" s="109"/>
      <c r="E6962" s="109"/>
      <c r="F6962" s="109"/>
      <c r="G6962" s="109"/>
      <c r="H6962" s="109"/>
      <c r="I6962" s="109"/>
      <c r="J6962" s="109"/>
    </row>
    <row r="6963" spans="1:10" customFormat="1" ht="12.75" hidden="1">
      <c r="A6963" s="109"/>
      <c r="B6963" s="109"/>
      <c r="C6963" s="109"/>
      <c r="D6963" s="109"/>
      <c r="E6963" s="109"/>
      <c r="F6963" s="109"/>
      <c r="G6963" s="109"/>
      <c r="H6963" s="109"/>
      <c r="I6963" s="109"/>
      <c r="J6963" s="109"/>
    </row>
    <row r="6964" spans="1:10" customFormat="1" ht="12.75" hidden="1">
      <c r="A6964" s="109"/>
      <c r="B6964" s="109"/>
      <c r="C6964" s="109"/>
      <c r="D6964" s="109"/>
      <c r="E6964" s="109"/>
      <c r="F6964" s="109"/>
      <c r="G6964" s="109"/>
      <c r="H6964" s="109"/>
      <c r="I6964" s="109"/>
      <c r="J6964" s="109"/>
    </row>
    <row r="6965" spans="1:10" customFormat="1" ht="12.75" hidden="1">
      <c r="A6965" s="109"/>
      <c r="B6965" s="109"/>
      <c r="C6965" s="109"/>
      <c r="D6965" s="109"/>
      <c r="E6965" s="109"/>
      <c r="F6965" s="109"/>
      <c r="G6965" s="109"/>
      <c r="H6965" s="109"/>
      <c r="I6965" s="109"/>
      <c r="J6965" s="109"/>
    </row>
    <row r="6966" spans="1:10" customFormat="1" ht="12.75" hidden="1">
      <c r="A6966" s="109"/>
      <c r="B6966" s="109"/>
      <c r="C6966" s="109"/>
      <c r="D6966" s="109"/>
      <c r="E6966" s="109"/>
      <c r="F6966" s="109"/>
      <c r="G6966" s="109"/>
      <c r="H6966" s="109"/>
      <c r="I6966" s="109"/>
      <c r="J6966" s="109"/>
    </row>
    <row r="6967" spans="1:10" customFormat="1" ht="12.75" hidden="1">
      <c r="A6967" s="109"/>
      <c r="B6967" s="109"/>
      <c r="C6967" s="109"/>
      <c r="D6967" s="109"/>
      <c r="E6967" s="109"/>
      <c r="F6967" s="109"/>
      <c r="G6967" s="109"/>
      <c r="H6967" s="109"/>
      <c r="I6967" s="109"/>
      <c r="J6967" s="109"/>
    </row>
    <row r="6968" spans="1:10" customFormat="1" ht="12.75" hidden="1">
      <c r="A6968" s="109"/>
      <c r="B6968" s="109"/>
      <c r="C6968" s="109"/>
      <c r="D6968" s="109"/>
      <c r="E6968" s="109"/>
      <c r="F6968" s="109"/>
      <c r="G6968" s="109"/>
      <c r="H6968" s="109"/>
      <c r="I6968" s="109"/>
      <c r="J6968" s="109"/>
    </row>
    <row r="6969" spans="1:10" customFormat="1" ht="12.75" hidden="1">
      <c r="A6969" s="109"/>
      <c r="B6969" s="109"/>
      <c r="C6969" s="109"/>
      <c r="D6969" s="109"/>
      <c r="E6969" s="109"/>
      <c r="F6969" s="109"/>
      <c r="G6969" s="109"/>
      <c r="H6969" s="109"/>
      <c r="I6969" s="109"/>
      <c r="J6969" s="109"/>
    </row>
    <row r="6970" spans="1:10" customFormat="1" ht="12.75" hidden="1">
      <c r="A6970" s="109"/>
      <c r="B6970" s="109"/>
      <c r="C6970" s="109"/>
      <c r="D6970" s="109"/>
      <c r="E6970" s="109"/>
      <c r="F6970" s="109"/>
      <c r="G6970" s="109"/>
      <c r="H6970" s="109"/>
      <c r="I6970" s="109"/>
      <c r="J6970" s="109"/>
    </row>
    <row r="6971" spans="1:10" customFormat="1" ht="12.75" hidden="1">
      <c r="A6971" s="109"/>
      <c r="B6971" s="109"/>
      <c r="C6971" s="109"/>
      <c r="D6971" s="109"/>
      <c r="E6971" s="109"/>
      <c r="F6971" s="109"/>
      <c r="G6971" s="109"/>
      <c r="H6971" s="109"/>
      <c r="I6971" s="109"/>
      <c r="J6971" s="109"/>
    </row>
    <row r="6972" spans="1:10" customFormat="1" ht="12.75" hidden="1">
      <c r="A6972" s="109"/>
      <c r="B6972" s="109"/>
      <c r="C6972" s="109"/>
      <c r="D6972" s="109"/>
      <c r="E6972" s="109"/>
      <c r="F6972" s="109"/>
      <c r="G6972" s="109"/>
      <c r="H6972" s="109"/>
      <c r="I6972" s="109"/>
      <c r="J6972" s="109"/>
    </row>
    <row r="6973" spans="1:10" customFormat="1" ht="12.75" hidden="1">
      <c r="A6973" s="109"/>
      <c r="B6973" s="109"/>
      <c r="C6973" s="109"/>
      <c r="D6973" s="109"/>
      <c r="E6973" s="109"/>
      <c r="F6973" s="109"/>
      <c r="G6973" s="109"/>
      <c r="H6973" s="109"/>
      <c r="I6973" s="109"/>
      <c r="J6973" s="109"/>
    </row>
    <row r="6974" spans="1:10" customFormat="1" ht="12.75" hidden="1">
      <c r="A6974" s="109"/>
      <c r="B6974" s="109"/>
      <c r="C6974" s="109"/>
      <c r="D6974" s="109"/>
      <c r="E6974" s="109"/>
      <c r="F6974" s="109"/>
      <c r="G6974" s="109"/>
      <c r="H6974" s="109"/>
      <c r="I6974" s="109"/>
      <c r="J6974" s="109"/>
    </row>
    <row r="6975" spans="1:10" customFormat="1" ht="12.75" hidden="1">
      <c r="A6975" s="109"/>
      <c r="B6975" s="109"/>
      <c r="C6975" s="109"/>
      <c r="D6975" s="109"/>
      <c r="E6975" s="109"/>
      <c r="F6975" s="109"/>
      <c r="G6975" s="109"/>
      <c r="H6975" s="109"/>
      <c r="I6975" s="109"/>
      <c r="J6975" s="109"/>
    </row>
    <row r="6976" spans="1:10" customFormat="1" ht="12.75" hidden="1">
      <c r="A6976" s="109"/>
      <c r="B6976" s="109"/>
      <c r="C6976" s="109"/>
      <c r="D6976" s="109"/>
      <c r="E6976" s="109"/>
      <c r="F6976" s="109"/>
      <c r="G6976" s="109"/>
      <c r="H6976" s="109"/>
      <c r="I6976" s="109"/>
      <c r="J6976" s="109"/>
    </row>
    <row r="6977" spans="1:10" customFormat="1" ht="12.75" hidden="1">
      <c r="A6977" s="109"/>
      <c r="B6977" s="109"/>
      <c r="C6977" s="109"/>
      <c r="D6977" s="109"/>
      <c r="E6977" s="109"/>
      <c r="F6977" s="109"/>
      <c r="G6977" s="109"/>
      <c r="H6977" s="109"/>
      <c r="I6977" s="109"/>
      <c r="J6977" s="109"/>
    </row>
    <row r="6978" spans="1:10" customFormat="1" ht="12.75" hidden="1">
      <c r="A6978" s="109"/>
      <c r="B6978" s="109"/>
      <c r="C6978" s="109"/>
      <c r="D6978" s="109"/>
      <c r="E6978" s="109"/>
      <c r="F6978" s="109"/>
      <c r="G6978" s="109"/>
      <c r="H6978" s="109"/>
      <c r="I6978" s="109"/>
      <c r="J6978" s="109"/>
    </row>
    <row r="6979" spans="1:10" customFormat="1" ht="12.75" hidden="1">
      <c r="A6979" s="109"/>
      <c r="B6979" s="109"/>
      <c r="C6979" s="109"/>
      <c r="D6979" s="109"/>
      <c r="E6979" s="109"/>
      <c r="F6979" s="109"/>
      <c r="G6979" s="109"/>
      <c r="H6979" s="109"/>
      <c r="I6979" s="109"/>
      <c r="J6979" s="109"/>
    </row>
    <row r="6980" spans="1:10" customFormat="1" ht="12.75" hidden="1">
      <c r="A6980" s="109"/>
      <c r="B6980" s="109"/>
      <c r="C6980" s="109"/>
      <c r="D6980" s="109"/>
      <c r="E6980" s="109"/>
      <c r="F6980" s="109"/>
      <c r="G6980" s="109"/>
      <c r="H6980" s="109"/>
      <c r="I6980" s="109"/>
      <c r="J6980" s="109"/>
    </row>
    <row r="6981" spans="1:10" customFormat="1" ht="12.75" hidden="1">
      <c r="A6981" s="109"/>
      <c r="B6981" s="109"/>
      <c r="C6981" s="109"/>
      <c r="D6981" s="109"/>
      <c r="E6981" s="109"/>
      <c r="F6981" s="109"/>
      <c r="G6981" s="109"/>
      <c r="H6981" s="109"/>
      <c r="I6981" s="109"/>
      <c r="J6981" s="109"/>
    </row>
    <row r="6982" spans="1:10" customFormat="1" ht="12.75" hidden="1">
      <c r="A6982" s="109"/>
      <c r="B6982" s="109"/>
      <c r="C6982" s="109"/>
      <c r="D6982" s="109"/>
      <c r="E6982" s="109"/>
      <c r="F6982" s="109"/>
      <c r="G6982" s="109"/>
      <c r="H6982" s="109"/>
      <c r="I6982" s="109"/>
      <c r="J6982" s="109"/>
    </row>
    <row r="6983" spans="1:10" customFormat="1" ht="12.75" hidden="1">
      <c r="A6983" s="109"/>
      <c r="B6983" s="109"/>
      <c r="C6983" s="109"/>
      <c r="D6983" s="109"/>
      <c r="E6983" s="109"/>
      <c r="F6983" s="109"/>
      <c r="G6983" s="109"/>
      <c r="H6983" s="109"/>
      <c r="I6983" s="109"/>
      <c r="J6983" s="109"/>
    </row>
    <row r="6984" spans="1:10" customFormat="1" ht="12.75" hidden="1">
      <c r="A6984" s="109"/>
      <c r="B6984" s="109"/>
      <c r="C6984" s="109"/>
      <c r="D6984" s="109"/>
      <c r="E6984" s="109"/>
      <c r="F6984" s="109"/>
      <c r="G6984" s="109"/>
      <c r="H6984" s="109"/>
      <c r="I6984" s="109"/>
      <c r="J6984" s="109"/>
    </row>
    <row r="6985" spans="1:10" customFormat="1" ht="12.75" hidden="1">
      <c r="A6985" s="109"/>
      <c r="B6985" s="109"/>
      <c r="C6985" s="109"/>
      <c r="D6985" s="109"/>
      <c r="E6985" s="109"/>
      <c r="F6985" s="109"/>
      <c r="G6985" s="109"/>
      <c r="H6985" s="109"/>
      <c r="I6985" s="109"/>
      <c r="J6985" s="109"/>
    </row>
    <row r="6986" spans="1:10" customFormat="1" ht="12.75" hidden="1">
      <c r="A6986" s="109"/>
      <c r="B6986" s="109"/>
      <c r="C6986" s="109"/>
      <c r="D6986" s="109"/>
      <c r="E6986" s="109"/>
      <c r="F6986" s="109"/>
      <c r="G6986" s="109"/>
      <c r="H6986" s="109"/>
      <c r="I6986" s="109"/>
      <c r="J6986" s="109"/>
    </row>
    <row r="6987" spans="1:10" customFormat="1" ht="12.75" hidden="1">
      <c r="A6987" s="109"/>
      <c r="B6987" s="109"/>
      <c r="C6987" s="109"/>
      <c r="D6987" s="109"/>
      <c r="E6987" s="109"/>
      <c r="F6987" s="109"/>
      <c r="G6987" s="109"/>
      <c r="H6987" s="109"/>
      <c r="I6987" s="109"/>
      <c r="J6987" s="109"/>
    </row>
    <row r="6988" spans="1:10" customFormat="1" ht="12.75" hidden="1">
      <c r="A6988" s="109"/>
      <c r="B6988" s="109"/>
      <c r="C6988" s="109"/>
      <c r="D6988" s="109"/>
      <c r="E6988" s="109"/>
      <c r="F6988" s="109"/>
      <c r="G6988" s="109"/>
      <c r="H6988" s="109"/>
      <c r="I6988" s="109"/>
      <c r="J6988" s="109"/>
    </row>
    <row r="6989" spans="1:10" customFormat="1" ht="12.75" hidden="1">
      <c r="A6989" s="109"/>
      <c r="B6989" s="109"/>
      <c r="C6989" s="109"/>
      <c r="D6989" s="109"/>
      <c r="E6989" s="109"/>
      <c r="F6989" s="109"/>
      <c r="G6989" s="109"/>
      <c r="H6989" s="109"/>
      <c r="I6989" s="109"/>
      <c r="J6989" s="109"/>
    </row>
    <row r="6990" spans="1:10" customFormat="1" ht="12.75" hidden="1">
      <c r="A6990" s="109"/>
      <c r="B6990" s="109"/>
      <c r="C6990" s="109"/>
      <c r="D6990" s="109"/>
      <c r="E6990" s="109"/>
      <c r="F6990" s="109"/>
      <c r="G6990" s="109"/>
      <c r="H6990" s="109"/>
      <c r="I6990" s="109"/>
      <c r="J6990" s="109"/>
    </row>
    <row r="6991" spans="1:10" customFormat="1" ht="12.75" hidden="1">
      <c r="A6991" s="109"/>
      <c r="B6991" s="109"/>
      <c r="C6991" s="109"/>
      <c r="D6991" s="109"/>
      <c r="E6991" s="109"/>
      <c r="F6991" s="109"/>
      <c r="G6991" s="109"/>
      <c r="H6991" s="109"/>
      <c r="I6991" s="109"/>
      <c r="J6991" s="109"/>
    </row>
    <row r="6992" spans="1:10" customFormat="1" ht="12.75" hidden="1">
      <c r="A6992" s="109"/>
      <c r="B6992" s="109"/>
      <c r="C6992" s="109"/>
      <c r="D6992" s="109"/>
      <c r="E6992" s="109"/>
      <c r="F6992" s="109"/>
      <c r="G6992" s="109"/>
      <c r="H6992" s="109"/>
      <c r="I6992" s="109"/>
      <c r="J6992" s="109"/>
    </row>
    <row r="6993" spans="1:10" customFormat="1" ht="12.75" hidden="1">
      <c r="A6993" s="109"/>
      <c r="B6993" s="109"/>
      <c r="C6993" s="109"/>
      <c r="D6993" s="109"/>
      <c r="E6993" s="109"/>
      <c r="F6993" s="109"/>
      <c r="G6993" s="109"/>
      <c r="H6993" s="109"/>
      <c r="I6993" s="109"/>
      <c r="J6993" s="109"/>
    </row>
    <row r="6994" spans="1:10" customFormat="1" ht="12.75" hidden="1">
      <c r="A6994" s="109"/>
      <c r="B6994" s="109"/>
      <c r="C6994" s="109"/>
      <c r="D6994" s="109"/>
      <c r="E6994" s="109"/>
      <c r="F6994" s="109"/>
      <c r="G6994" s="109"/>
      <c r="H6994" s="109"/>
      <c r="I6994" s="109"/>
      <c r="J6994" s="109"/>
    </row>
    <row r="6995" spans="1:10" customFormat="1" ht="12.75" hidden="1">
      <c r="A6995" s="109"/>
      <c r="B6995" s="109"/>
      <c r="C6995" s="109"/>
      <c r="D6995" s="109"/>
      <c r="E6995" s="109"/>
      <c r="F6995" s="109"/>
      <c r="G6995" s="109"/>
      <c r="H6995" s="109"/>
      <c r="I6995" s="109"/>
      <c r="J6995" s="109"/>
    </row>
    <row r="6996" spans="1:10" customFormat="1" ht="12.75" hidden="1">
      <c r="A6996" s="109"/>
      <c r="B6996" s="109"/>
      <c r="C6996" s="109"/>
      <c r="D6996" s="109"/>
      <c r="E6996" s="109"/>
      <c r="F6996" s="109"/>
      <c r="G6996" s="109"/>
      <c r="H6996" s="109"/>
      <c r="I6996" s="109"/>
      <c r="J6996" s="109"/>
    </row>
    <row r="6997" spans="1:10" customFormat="1" ht="12.75" hidden="1">
      <c r="A6997" s="109"/>
      <c r="B6997" s="109"/>
      <c r="C6997" s="109"/>
      <c r="D6997" s="109"/>
      <c r="E6997" s="109"/>
      <c r="F6997" s="109"/>
      <c r="G6997" s="109"/>
      <c r="H6997" s="109"/>
      <c r="I6997" s="109"/>
      <c r="J6997" s="109"/>
    </row>
    <row r="6998" spans="1:10" customFormat="1" ht="12.75" hidden="1">
      <c r="A6998" s="109"/>
      <c r="B6998" s="109"/>
      <c r="C6998" s="109"/>
      <c r="D6998" s="109"/>
      <c r="E6998" s="109"/>
      <c r="F6998" s="109"/>
      <c r="G6998" s="109"/>
      <c r="H6998" s="109"/>
      <c r="I6998" s="109"/>
      <c r="J6998" s="109"/>
    </row>
    <row r="6999" spans="1:10" customFormat="1" ht="12.75" hidden="1">
      <c r="A6999" s="109"/>
      <c r="B6999" s="109"/>
      <c r="C6999" s="109"/>
      <c r="D6999" s="109"/>
      <c r="E6999" s="109"/>
      <c r="F6999" s="109"/>
      <c r="G6999" s="109"/>
      <c r="H6999" s="109"/>
      <c r="I6999" s="109"/>
      <c r="J6999" s="109"/>
    </row>
    <row r="7000" spans="1:10" customFormat="1" ht="12.75" hidden="1">
      <c r="A7000" s="109"/>
      <c r="B7000" s="109"/>
      <c r="C7000" s="109"/>
      <c r="D7000" s="109"/>
      <c r="E7000" s="109"/>
      <c r="F7000" s="109"/>
      <c r="G7000" s="109"/>
      <c r="H7000" s="109"/>
      <c r="I7000" s="109"/>
      <c r="J7000" s="109"/>
    </row>
    <row r="7001" spans="1:10" customFormat="1" ht="12.75" hidden="1">
      <c r="A7001" s="109"/>
      <c r="B7001" s="109"/>
      <c r="C7001" s="109"/>
      <c r="D7001" s="109"/>
      <c r="E7001" s="109"/>
      <c r="F7001" s="109"/>
      <c r="G7001" s="109"/>
      <c r="H7001" s="109"/>
      <c r="I7001" s="109"/>
      <c r="J7001" s="109"/>
    </row>
    <row r="7002" spans="1:10" customFormat="1" ht="12.75" hidden="1">
      <c r="A7002" s="109"/>
      <c r="B7002" s="109"/>
      <c r="C7002" s="109"/>
      <c r="D7002" s="109"/>
      <c r="E7002" s="109"/>
      <c r="F7002" s="109"/>
      <c r="G7002" s="109"/>
      <c r="H7002" s="109"/>
      <c r="I7002" s="109"/>
      <c r="J7002" s="109"/>
    </row>
    <row r="7003" spans="1:10" customFormat="1" ht="12.75" hidden="1">
      <c r="A7003" s="109"/>
      <c r="B7003" s="109"/>
      <c r="C7003" s="109"/>
      <c r="D7003" s="109"/>
      <c r="E7003" s="109"/>
      <c r="F7003" s="109"/>
      <c r="G7003" s="109"/>
      <c r="H7003" s="109"/>
      <c r="I7003" s="109"/>
      <c r="J7003" s="109"/>
    </row>
    <row r="7004" spans="1:10" customFormat="1" ht="12.75" hidden="1">
      <c r="A7004" s="109"/>
      <c r="B7004" s="109"/>
      <c r="C7004" s="109"/>
      <c r="D7004" s="109"/>
      <c r="E7004" s="109"/>
      <c r="F7004" s="109"/>
      <c r="G7004" s="109"/>
      <c r="H7004" s="109"/>
      <c r="I7004" s="109"/>
      <c r="J7004" s="109"/>
    </row>
    <row r="7005" spans="1:10" customFormat="1" ht="12.75" hidden="1">
      <c r="A7005" s="109"/>
      <c r="B7005" s="109"/>
      <c r="C7005" s="109"/>
      <c r="D7005" s="109"/>
      <c r="E7005" s="109"/>
      <c r="F7005" s="109"/>
      <c r="G7005" s="109"/>
      <c r="H7005" s="109"/>
      <c r="I7005" s="109"/>
      <c r="J7005" s="109"/>
    </row>
    <row r="7006" spans="1:10" customFormat="1" ht="12.75" hidden="1">
      <c r="A7006" s="109"/>
      <c r="B7006" s="109"/>
      <c r="C7006" s="109"/>
      <c r="D7006" s="109"/>
      <c r="E7006" s="109"/>
      <c r="F7006" s="109"/>
      <c r="G7006" s="109"/>
      <c r="H7006" s="109"/>
      <c r="I7006" s="109"/>
      <c r="J7006" s="109"/>
    </row>
    <row r="7007" spans="1:10" customFormat="1" ht="12.75" hidden="1">
      <c r="A7007" s="109"/>
      <c r="B7007" s="109"/>
      <c r="C7007" s="109"/>
      <c r="D7007" s="109"/>
      <c r="E7007" s="109"/>
      <c r="F7007" s="109"/>
      <c r="G7007" s="109"/>
      <c r="H7007" s="109"/>
      <c r="I7007" s="109"/>
      <c r="J7007" s="109"/>
    </row>
    <row r="7008" spans="1:10" customFormat="1" ht="12.75" hidden="1">
      <c r="A7008" s="109"/>
      <c r="B7008" s="109"/>
      <c r="C7008" s="109"/>
      <c r="D7008" s="109"/>
      <c r="E7008" s="109"/>
      <c r="F7008" s="109"/>
      <c r="G7008" s="109"/>
      <c r="H7008" s="109"/>
      <c r="I7008" s="109"/>
      <c r="J7008" s="109"/>
    </row>
    <row r="7009" spans="1:10" customFormat="1" ht="12.75" hidden="1">
      <c r="A7009" s="109"/>
      <c r="B7009" s="109"/>
      <c r="C7009" s="109"/>
      <c r="D7009" s="109"/>
      <c r="E7009" s="109"/>
      <c r="F7009" s="109"/>
      <c r="G7009" s="109"/>
      <c r="H7009" s="109"/>
      <c r="I7009" s="109"/>
      <c r="J7009" s="109"/>
    </row>
    <row r="7010" spans="1:10" customFormat="1" ht="12.75" hidden="1">
      <c r="A7010" s="109"/>
      <c r="B7010" s="109"/>
      <c r="C7010" s="109"/>
      <c r="D7010" s="109"/>
      <c r="E7010" s="109"/>
      <c r="F7010" s="109"/>
      <c r="G7010" s="109"/>
      <c r="H7010" s="109"/>
      <c r="I7010" s="109"/>
      <c r="J7010" s="109"/>
    </row>
    <row r="7011" spans="1:10" customFormat="1" ht="12.75" hidden="1">
      <c r="A7011" s="109"/>
      <c r="B7011" s="109"/>
      <c r="C7011" s="109"/>
      <c r="D7011" s="109"/>
      <c r="E7011" s="109"/>
      <c r="F7011" s="109"/>
      <c r="G7011" s="109"/>
      <c r="H7011" s="109"/>
      <c r="I7011" s="109"/>
      <c r="J7011" s="109"/>
    </row>
    <row r="7012" spans="1:10" customFormat="1" ht="12.75" hidden="1">
      <c r="A7012" s="109"/>
      <c r="B7012" s="109"/>
      <c r="C7012" s="109"/>
      <c r="D7012" s="109"/>
      <c r="E7012" s="109"/>
      <c r="F7012" s="109"/>
      <c r="G7012" s="109"/>
      <c r="H7012" s="109"/>
      <c r="I7012" s="109"/>
      <c r="J7012" s="109"/>
    </row>
    <row r="7013" spans="1:10" customFormat="1" ht="12.75" hidden="1">
      <c r="A7013" s="109"/>
      <c r="B7013" s="109"/>
      <c r="C7013" s="109"/>
      <c r="D7013" s="109"/>
      <c r="E7013" s="109"/>
      <c r="F7013" s="109"/>
      <c r="G7013" s="109"/>
      <c r="H7013" s="109"/>
      <c r="I7013" s="109"/>
      <c r="J7013" s="109"/>
    </row>
    <row r="7014" spans="1:10" customFormat="1" ht="12.75" hidden="1">
      <c r="A7014" s="109"/>
      <c r="B7014" s="109"/>
      <c r="C7014" s="109"/>
      <c r="D7014" s="109"/>
      <c r="E7014" s="109"/>
      <c r="F7014" s="109"/>
      <c r="G7014" s="109"/>
      <c r="H7014" s="109"/>
      <c r="I7014" s="109"/>
      <c r="J7014" s="109"/>
    </row>
    <row r="7015" spans="1:10" customFormat="1" ht="12.75" hidden="1">
      <c r="A7015" s="109"/>
      <c r="B7015" s="109"/>
      <c r="C7015" s="109"/>
      <c r="D7015" s="109"/>
      <c r="E7015" s="109"/>
      <c r="F7015" s="109"/>
      <c r="G7015" s="109"/>
      <c r="H7015" s="109"/>
      <c r="I7015" s="109"/>
      <c r="J7015" s="109"/>
    </row>
    <row r="7016" spans="1:10" customFormat="1" ht="12.75" hidden="1">
      <c r="A7016" s="109"/>
      <c r="B7016" s="109"/>
      <c r="C7016" s="109"/>
      <c r="D7016" s="109"/>
      <c r="E7016" s="109"/>
      <c r="F7016" s="109"/>
      <c r="G7016" s="109"/>
      <c r="H7016" s="109"/>
      <c r="I7016" s="109"/>
      <c r="J7016" s="109"/>
    </row>
    <row r="7017" spans="1:10" customFormat="1" ht="12.75" hidden="1">
      <c r="A7017" s="109"/>
      <c r="B7017" s="109"/>
      <c r="C7017" s="109"/>
      <c r="D7017" s="109"/>
      <c r="E7017" s="109"/>
      <c r="F7017" s="109"/>
      <c r="G7017" s="109"/>
      <c r="H7017" s="109"/>
      <c r="I7017" s="109"/>
      <c r="J7017" s="109"/>
    </row>
    <row r="7018" spans="1:10" customFormat="1" ht="12.75" hidden="1">
      <c r="A7018" s="109"/>
      <c r="B7018" s="109"/>
      <c r="C7018" s="109"/>
      <c r="D7018" s="109"/>
      <c r="E7018" s="109"/>
      <c r="F7018" s="109"/>
      <c r="G7018" s="109"/>
      <c r="H7018" s="109"/>
      <c r="I7018" s="109"/>
      <c r="J7018" s="109"/>
    </row>
    <row r="7019" spans="1:10" customFormat="1" ht="12.75" hidden="1">
      <c r="A7019" s="109"/>
      <c r="B7019" s="109"/>
      <c r="C7019" s="109"/>
      <c r="D7019" s="109"/>
      <c r="E7019" s="109"/>
      <c r="F7019" s="109"/>
      <c r="G7019" s="109"/>
      <c r="H7019" s="109"/>
      <c r="I7019" s="109"/>
      <c r="J7019" s="109"/>
    </row>
    <row r="7020" spans="1:10" customFormat="1" ht="12.75" hidden="1">
      <c r="A7020" s="109"/>
      <c r="B7020" s="109"/>
      <c r="C7020" s="109"/>
      <c r="D7020" s="109"/>
      <c r="E7020" s="109"/>
      <c r="F7020" s="109"/>
      <c r="G7020" s="109"/>
      <c r="H7020" s="109"/>
      <c r="I7020" s="109"/>
      <c r="J7020" s="109"/>
    </row>
    <row r="7021" spans="1:10" customFormat="1" ht="12.75" hidden="1">
      <c r="A7021" s="109"/>
      <c r="B7021" s="109"/>
      <c r="C7021" s="109"/>
      <c r="D7021" s="109"/>
      <c r="E7021" s="109"/>
      <c r="F7021" s="109"/>
      <c r="G7021" s="109"/>
      <c r="H7021" s="109"/>
      <c r="I7021" s="109"/>
      <c r="J7021" s="109"/>
    </row>
    <row r="7022" spans="1:10" customFormat="1" ht="12.75" hidden="1">
      <c r="A7022" s="109"/>
      <c r="B7022" s="109"/>
      <c r="C7022" s="109"/>
      <c r="D7022" s="109"/>
      <c r="E7022" s="109"/>
      <c r="F7022" s="109"/>
      <c r="G7022" s="109"/>
      <c r="H7022" s="109"/>
      <c r="I7022" s="109"/>
      <c r="J7022" s="109"/>
    </row>
    <row r="7023" spans="1:10" customFormat="1" ht="12.75" hidden="1">
      <c r="A7023" s="109"/>
      <c r="B7023" s="109"/>
      <c r="C7023" s="109"/>
      <c r="D7023" s="109"/>
      <c r="E7023" s="109"/>
      <c r="F7023" s="109"/>
      <c r="G7023" s="109"/>
      <c r="H7023" s="109"/>
      <c r="I7023" s="109"/>
      <c r="J7023" s="109"/>
    </row>
    <row r="7024" spans="1:10" customFormat="1" ht="12.75" hidden="1">
      <c r="A7024" s="109"/>
      <c r="B7024" s="109"/>
      <c r="C7024" s="109"/>
      <c r="D7024" s="109"/>
      <c r="E7024" s="109"/>
      <c r="F7024" s="109"/>
      <c r="G7024" s="109"/>
      <c r="H7024" s="109"/>
      <c r="I7024" s="109"/>
      <c r="J7024" s="109"/>
    </row>
    <row r="7025" spans="1:10" customFormat="1" ht="12.75" hidden="1">
      <c r="A7025" s="109"/>
      <c r="B7025" s="109"/>
      <c r="C7025" s="109"/>
      <c r="D7025" s="109"/>
      <c r="E7025" s="109"/>
      <c r="F7025" s="109"/>
      <c r="G7025" s="109"/>
      <c r="H7025" s="109"/>
      <c r="I7025" s="109"/>
      <c r="J7025" s="109"/>
    </row>
    <row r="7026" spans="1:10" customFormat="1" ht="12.75" hidden="1">
      <c r="A7026" s="109"/>
      <c r="B7026" s="109"/>
      <c r="C7026" s="109"/>
      <c r="D7026" s="109"/>
      <c r="E7026" s="109"/>
      <c r="F7026" s="109"/>
      <c r="G7026" s="109"/>
      <c r="H7026" s="109"/>
      <c r="I7026" s="109"/>
      <c r="J7026" s="109"/>
    </row>
    <row r="7027" spans="1:10" customFormat="1" ht="12.75" hidden="1">
      <c r="A7027" s="109"/>
      <c r="B7027" s="109"/>
      <c r="C7027" s="109"/>
      <c r="D7027" s="109"/>
      <c r="E7027" s="109"/>
      <c r="F7027" s="109"/>
      <c r="G7027" s="109"/>
      <c r="H7027" s="109"/>
      <c r="I7027" s="109"/>
      <c r="J7027" s="109"/>
    </row>
    <row r="7028" spans="1:10" customFormat="1" ht="12.75" hidden="1">
      <c r="A7028" s="109"/>
      <c r="B7028" s="109"/>
      <c r="C7028" s="109"/>
      <c r="D7028" s="109"/>
      <c r="E7028" s="109"/>
      <c r="F7028" s="109"/>
      <c r="G7028" s="109"/>
      <c r="H7028" s="109"/>
      <c r="I7028" s="109"/>
      <c r="J7028" s="109"/>
    </row>
    <row r="7029" spans="1:10" customFormat="1" ht="12.75" hidden="1">
      <c r="A7029" s="109"/>
      <c r="B7029" s="109"/>
      <c r="C7029" s="109"/>
      <c r="D7029" s="109"/>
      <c r="E7029" s="109"/>
      <c r="F7029" s="109"/>
      <c r="G7029" s="109"/>
      <c r="H7029" s="109"/>
      <c r="I7029" s="109"/>
      <c r="J7029" s="109"/>
    </row>
    <row r="7030" spans="1:10" customFormat="1" ht="12.75" hidden="1">
      <c r="A7030" s="109"/>
      <c r="B7030" s="109"/>
      <c r="C7030" s="109"/>
      <c r="D7030" s="109"/>
      <c r="E7030" s="109"/>
      <c r="F7030" s="109"/>
      <c r="G7030" s="109"/>
      <c r="H7030" s="109"/>
      <c r="I7030" s="109"/>
      <c r="J7030" s="109"/>
    </row>
    <row r="7031" spans="1:10" customFormat="1" ht="12.75" hidden="1">
      <c r="A7031" s="109"/>
      <c r="B7031" s="109"/>
      <c r="C7031" s="109"/>
      <c r="D7031" s="109"/>
      <c r="E7031" s="109"/>
      <c r="F7031" s="109"/>
      <c r="G7031" s="109"/>
      <c r="H7031" s="109"/>
      <c r="I7031" s="109"/>
      <c r="J7031" s="109"/>
    </row>
    <row r="7032" spans="1:10" customFormat="1" ht="12.75" hidden="1">
      <c r="A7032" s="109"/>
      <c r="B7032" s="109"/>
      <c r="C7032" s="109"/>
      <c r="D7032" s="109"/>
      <c r="E7032" s="109"/>
      <c r="F7032" s="109"/>
      <c r="G7032" s="109"/>
      <c r="H7032" s="109"/>
      <c r="I7032" s="109"/>
      <c r="J7032" s="109"/>
    </row>
    <row r="7033" spans="1:10" customFormat="1" ht="12.75" hidden="1">
      <c r="A7033" s="109"/>
      <c r="B7033" s="109"/>
      <c r="C7033" s="109"/>
      <c r="D7033" s="109"/>
      <c r="E7033" s="109"/>
      <c r="F7033" s="109"/>
      <c r="G7033" s="109"/>
      <c r="H7033" s="109"/>
      <c r="I7033" s="109"/>
      <c r="J7033" s="109"/>
    </row>
    <row r="7034" spans="1:10" customFormat="1" ht="12.75" hidden="1">
      <c r="A7034" s="109"/>
      <c r="B7034" s="109"/>
      <c r="C7034" s="109"/>
      <c r="D7034" s="109"/>
      <c r="E7034" s="109"/>
      <c r="F7034" s="109"/>
      <c r="G7034" s="109"/>
      <c r="H7034" s="109"/>
      <c r="I7034" s="109"/>
      <c r="J7034" s="109"/>
    </row>
    <row r="7035" spans="1:10" customFormat="1" ht="12.75" hidden="1">
      <c r="A7035" s="109"/>
      <c r="B7035" s="109"/>
      <c r="C7035" s="109"/>
      <c r="D7035" s="109"/>
      <c r="E7035" s="109"/>
      <c r="F7035" s="109"/>
      <c r="G7035" s="109"/>
      <c r="H7035" s="109"/>
      <c r="I7035" s="109"/>
      <c r="J7035" s="109"/>
    </row>
    <row r="7036" spans="1:10" customFormat="1" ht="12.75" hidden="1">
      <c r="A7036" s="109"/>
      <c r="B7036" s="109"/>
      <c r="C7036" s="109"/>
      <c r="D7036" s="109"/>
      <c r="E7036" s="109"/>
      <c r="F7036" s="109"/>
      <c r="G7036" s="109"/>
      <c r="H7036" s="109"/>
      <c r="I7036" s="109"/>
      <c r="J7036" s="109"/>
    </row>
    <row r="7037" spans="1:10" customFormat="1" ht="12.75" hidden="1">
      <c r="A7037" s="109"/>
      <c r="B7037" s="109"/>
      <c r="C7037" s="109"/>
      <c r="D7037" s="109"/>
      <c r="E7037" s="109"/>
      <c r="F7037" s="109"/>
      <c r="G7037" s="109"/>
      <c r="H7037" s="109"/>
      <c r="I7037" s="109"/>
      <c r="J7037" s="109"/>
    </row>
    <row r="7038" spans="1:10" customFormat="1" ht="12.75" hidden="1">
      <c r="A7038" s="109"/>
      <c r="B7038" s="109"/>
      <c r="C7038" s="109"/>
      <c r="D7038" s="109"/>
      <c r="E7038" s="109"/>
      <c r="F7038" s="109"/>
      <c r="G7038" s="109"/>
      <c r="H7038" s="109"/>
      <c r="I7038" s="109"/>
      <c r="J7038" s="109"/>
    </row>
    <row r="7039" spans="1:10" customFormat="1" ht="12.75" hidden="1">
      <c r="A7039" s="109"/>
      <c r="B7039" s="109"/>
      <c r="C7039" s="109"/>
      <c r="D7039" s="109"/>
      <c r="E7039" s="109"/>
      <c r="F7039" s="109"/>
      <c r="G7039" s="109"/>
      <c r="H7039" s="109"/>
      <c r="I7039" s="109"/>
      <c r="J7039" s="109"/>
    </row>
    <row r="7040" spans="1:10" customFormat="1" ht="12.75" hidden="1">
      <c r="A7040" s="109"/>
      <c r="B7040" s="109"/>
      <c r="C7040" s="109"/>
      <c r="D7040" s="109"/>
      <c r="E7040" s="109"/>
      <c r="F7040" s="109"/>
      <c r="G7040" s="109"/>
      <c r="H7040" s="109"/>
      <c r="I7040" s="109"/>
      <c r="J7040" s="109"/>
    </row>
    <row r="7041" spans="1:10" customFormat="1" ht="12.75" hidden="1">
      <c r="A7041" s="109"/>
      <c r="B7041" s="109"/>
      <c r="C7041" s="109"/>
      <c r="D7041" s="109"/>
      <c r="E7041" s="109"/>
      <c r="F7041" s="109"/>
      <c r="G7041" s="109"/>
      <c r="H7041" s="109"/>
      <c r="I7041" s="109"/>
      <c r="J7041" s="109"/>
    </row>
    <row r="7042" spans="1:10" customFormat="1" ht="12.75" hidden="1">
      <c r="A7042" s="109"/>
      <c r="B7042" s="109"/>
      <c r="C7042" s="109"/>
      <c r="D7042" s="109"/>
      <c r="E7042" s="109"/>
      <c r="F7042" s="109"/>
      <c r="G7042" s="109"/>
      <c r="H7042" s="109"/>
      <c r="I7042" s="109"/>
      <c r="J7042" s="109"/>
    </row>
    <row r="7043" spans="1:10" customFormat="1" ht="12.75" hidden="1">
      <c r="A7043" s="109"/>
      <c r="B7043" s="109"/>
      <c r="C7043" s="109"/>
      <c r="D7043" s="109"/>
      <c r="E7043" s="109"/>
      <c r="F7043" s="109"/>
      <c r="G7043" s="109"/>
      <c r="H7043" s="109"/>
      <c r="I7043" s="109"/>
      <c r="J7043" s="109"/>
    </row>
    <row r="7044" spans="1:10" customFormat="1" ht="12.75" hidden="1">
      <c r="A7044" s="109"/>
      <c r="B7044" s="109"/>
      <c r="C7044" s="109"/>
      <c r="D7044" s="109"/>
      <c r="E7044" s="109"/>
      <c r="F7044" s="109"/>
      <c r="G7044" s="109"/>
      <c r="H7044" s="109"/>
      <c r="I7044" s="109"/>
      <c r="J7044" s="109"/>
    </row>
    <row r="7045" spans="1:10" customFormat="1" ht="12.75" hidden="1">
      <c r="A7045" s="109"/>
      <c r="B7045" s="109"/>
      <c r="C7045" s="109"/>
      <c r="D7045" s="109"/>
      <c r="E7045" s="109"/>
      <c r="F7045" s="109"/>
      <c r="G7045" s="109"/>
      <c r="H7045" s="109"/>
      <c r="I7045" s="109"/>
      <c r="J7045" s="109"/>
    </row>
    <row r="7046" spans="1:10" customFormat="1" ht="12.75" hidden="1">
      <c r="A7046" s="109"/>
      <c r="B7046" s="109"/>
      <c r="C7046" s="109"/>
      <c r="D7046" s="109"/>
      <c r="E7046" s="109"/>
      <c r="F7046" s="109"/>
      <c r="G7046" s="109"/>
      <c r="H7046" s="109"/>
      <c r="I7046" s="109"/>
      <c r="J7046" s="109"/>
    </row>
    <row r="7047" spans="1:10" customFormat="1" ht="12.75" hidden="1">
      <c r="A7047" s="109"/>
      <c r="B7047" s="109"/>
      <c r="C7047" s="109"/>
      <c r="D7047" s="109"/>
      <c r="E7047" s="109"/>
      <c r="F7047" s="109"/>
      <c r="G7047" s="109"/>
      <c r="H7047" s="109"/>
      <c r="I7047" s="109"/>
      <c r="J7047" s="109"/>
    </row>
    <row r="7048" spans="1:10" customFormat="1" ht="12.75" hidden="1">
      <c r="A7048" s="109"/>
      <c r="B7048" s="109"/>
      <c r="C7048" s="109"/>
      <c r="D7048" s="109"/>
      <c r="E7048" s="109"/>
      <c r="F7048" s="109"/>
      <c r="G7048" s="109"/>
      <c r="H7048" s="109"/>
      <c r="I7048" s="109"/>
      <c r="J7048" s="109"/>
    </row>
    <row r="7049" spans="1:10" customFormat="1" ht="12.75" hidden="1">
      <c r="A7049" s="109"/>
      <c r="B7049" s="109"/>
      <c r="C7049" s="109"/>
      <c r="D7049" s="109"/>
      <c r="E7049" s="109"/>
      <c r="F7049" s="109"/>
      <c r="G7049" s="109"/>
      <c r="H7049" s="109"/>
      <c r="I7049" s="109"/>
      <c r="J7049" s="109"/>
    </row>
    <row r="7050" spans="1:10" customFormat="1" ht="12.75" hidden="1">
      <c r="A7050" s="109"/>
      <c r="B7050" s="109"/>
      <c r="C7050" s="109"/>
      <c r="D7050" s="109"/>
      <c r="E7050" s="109"/>
      <c r="F7050" s="109"/>
      <c r="G7050" s="109"/>
      <c r="H7050" s="109"/>
      <c r="I7050" s="109"/>
      <c r="J7050" s="109"/>
    </row>
    <row r="7051" spans="1:10" customFormat="1" ht="12.75" hidden="1">
      <c r="A7051" s="109"/>
      <c r="B7051" s="109"/>
      <c r="C7051" s="109"/>
      <c r="D7051" s="109"/>
      <c r="E7051" s="109"/>
      <c r="F7051" s="109"/>
      <c r="G7051" s="109"/>
      <c r="H7051" s="109"/>
      <c r="I7051" s="109"/>
      <c r="J7051" s="109"/>
    </row>
    <row r="7052" spans="1:10" customFormat="1" ht="12.75" hidden="1">
      <c r="A7052" s="109"/>
      <c r="B7052" s="109"/>
      <c r="C7052" s="109"/>
      <c r="D7052" s="109"/>
      <c r="E7052" s="109"/>
      <c r="F7052" s="109"/>
      <c r="G7052" s="109"/>
      <c r="H7052" s="109"/>
      <c r="I7052" s="109"/>
      <c r="J7052" s="109"/>
    </row>
    <row r="7053" spans="1:10" customFormat="1" ht="12.75" hidden="1">
      <c r="A7053" s="109"/>
      <c r="B7053" s="109"/>
      <c r="C7053" s="109"/>
      <c r="D7053" s="109"/>
      <c r="E7053" s="109"/>
      <c r="F7053" s="109"/>
      <c r="G7053" s="109"/>
      <c r="H7053" s="109"/>
      <c r="I7053" s="109"/>
      <c r="J7053" s="109"/>
    </row>
    <row r="7054" spans="1:10" customFormat="1" ht="12.75" hidden="1">
      <c r="A7054" s="109"/>
      <c r="B7054" s="109"/>
      <c r="C7054" s="109"/>
      <c r="D7054" s="109"/>
      <c r="E7054" s="109"/>
      <c r="F7054" s="109"/>
      <c r="G7054" s="109"/>
      <c r="H7054" s="109"/>
      <c r="I7054" s="109"/>
      <c r="J7054" s="109"/>
    </row>
    <row r="7055" spans="1:10" customFormat="1" ht="12.75" hidden="1">
      <c r="A7055" s="109"/>
      <c r="B7055" s="109"/>
      <c r="C7055" s="109"/>
      <c r="D7055" s="109"/>
      <c r="E7055" s="109"/>
      <c r="F7055" s="109"/>
      <c r="G7055" s="109"/>
      <c r="H7055" s="109"/>
      <c r="I7055" s="109"/>
      <c r="J7055" s="109"/>
    </row>
    <row r="7056" spans="1:10" customFormat="1" ht="12.75" hidden="1">
      <c r="A7056" s="109"/>
      <c r="B7056" s="109"/>
      <c r="C7056" s="109"/>
      <c r="D7056" s="109"/>
      <c r="E7056" s="109"/>
      <c r="F7056" s="109"/>
      <c r="G7056" s="109"/>
      <c r="H7056" s="109"/>
      <c r="I7056" s="109"/>
      <c r="J7056" s="109"/>
    </row>
    <row r="7057" spans="1:10" customFormat="1" ht="12.75" hidden="1">
      <c r="A7057" s="109"/>
      <c r="B7057" s="109"/>
      <c r="C7057" s="109"/>
      <c r="D7057" s="109"/>
      <c r="E7057" s="109"/>
      <c r="F7057" s="109"/>
      <c r="G7057" s="109"/>
      <c r="H7057" s="109"/>
      <c r="I7057" s="109"/>
      <c r="J7057" s="109"/>
    </row>
    <row r="7058" spans="1:10" customFormat="1" ht="12.75" hidden="1">
      <c r="A7058" s="109"/>
      <c r="B7058" s="109"/>
      <c r="C7058" s="109"/>
      <c r="D7058" s="109"/>
      <c r="E7058" s="109"/>
      <c r="F7058" s="109"/>
      <c r="G7058" s="109"/>
      <c r="H7058" s="109"/>
      <c r="I7058" s="109"/>
      <c r="J7058" s="109"/>
    </row>
    <row r="7059" spans="1:10" customFormat="1" ht="12.75" hidden="1">
      <c r="A7059" s="109"/>
      <c r="B7059" s="109"/>
      <c r="C7059" s="109"/>
      <c r="D7059" s="109"/>
      <c r="E7059" s="109"/>
      <c r="F7059" s="109"/>
      <c r="G7059" s="109"/>
      <c r="H7059" s="109"/>
      <c r="I7059" s="109"/>
      <c r="J7059" s="109"/>
    </row>
    <row r="7060" spans="1:10" customFormat="1" ht="12.75" hidden="1">
      <c r="A7060" s="109"/>
      <c r="B7060" s="109"/>
      <c r="C7060" s="109"/>
      <c r="D7060" s="109"/>
      <c r="E7060" s="109"/>
      <c r="F7060" s="109"/>
      <c r="G7060" s="109"/>
      <c r="H7060" s="109"/>
      <c r="I7060" s="109"/>
      <c r="J7060" s="109"/>
    </row>
    <row r="7061" spans="1:10" customFormat="1" ht="12.75" hidden="1">
      <c r="A7061" s="109"/>
      <c r="B7061" s="109"/>
      <c r="C7061" s="109"/>
      <c r="D7061" s="109"/>
      <c r="E7061" s="109"/>
      <c r="F7061" s="109"/>
      <c r="G7061" s="109"/>
      <c r="H7061" s="109"/>
      <c r="I7061" s="109"/>
      <c r="J7061" s="109"/>
    </row>
    <row r="7062" spans="1:10" customFormat="1" ht="12.75" hidden="1">
      <c r="A7062" s="109"/>
      <c r="B7062" s="109"/>
      <c r="C7062" s="109"/>
      <c r="D7062" s="109"/>
      <c r="E7062" s="109"/>
      <c r="F7062" s="109"/>
      <c r="G7062" s="109"/>
      <c r="H7062" s="109"/>
      <c r="I7062" s="109"/>
      <c r="J7062" s="109"/>
    </row>
    <row r="7063" spans="1:10" customFormat="1" ht="12.75" hidden="1">
      <c r="A7063" s="109"/>
      <c r="B7063" s="109"/>
      <c r="C7063" s="109"/>
      <c r="D7063" s="109"/>
      <c r="E7063" s="109"/>
      <c r="F7063" s="109"/>
      <c r="G7063" s="109"/>
      <c r="H7063" s="109"/>
      <c r="I7063" s="109"/>
      <c r="J7063" s="109"/>
    </row>
    <row r="7064" spans="1:10" customFormat="1" ht="12.75" hidden="1">
      <c r="A7064" s="109"/>
      <c r="B7064" s="109"/>
      <c r="C7064" s="109"/>
      <c r="D7064" s="109"/>
      <c r="E7064" s="109"/>
      <c r="F7064" s="109"/>
      <c r="G7064" s="109"/>
      <c r="H7064" s="109"/>
      <c r="I7064" s="109"/>
      <c r="J7064" s="109"/>
    </row>
    <row r="7065" spans="1:10" customFormat="1" ht="12.75" hidden="1">
      <c r="A7065" s="109"/>
      <c r="B7065" s="109"/>
      <c r="C7065" s="109"/>
      <c r="D7065" s="109"/>
      <c r="E7065" s="109"/>
      <c r="F7065" s="109"/>
      <c r="G7065" s="109"/>
      <c r="H7065" s="109"/>
      <c r="I7065" s="109"/>
      <c r="J7065" s="109"/>
    </row>
    <row r="7066" spans="1:10" customFormat="1" ht="12.75" hidden="1">
      <c r="A7066" s="109"/>
      <c r="B7066" s="109"/>
      <c r="C7066" s="109"/>
      <c r="D7066" s="109"/>
      <c r="E7066" s="109"/>
      <c r="F7066" s="109"/>
      <c r="G7066" s="109"/>
      <c r="H7066" s="109"/>
      <c r="I7066" s="109"/>
      <c r="J7066" s="109"/>
    </row>
    <row r="7067" spans="1:10" customFormat="1" ht="12.75" hidden="1">
      <c r="A7067" s="109"/>
      <c r="B7067" s="109"/>
      <c r="C7067" s="109"/>
      <c r="D7067" s="109"/>
      <c r="E7067" s="109"/>
      <c r="F7067" s="109"/>
      <c r="G7067" s="109"/>
      <c r="H7067" s="109"/>
      <c r="I7067" s="109"/>
      <c r="J7067" s="109"/>
    </row>
    <row r="7068" spans="1:10" customFormat="1" ht="12.75" hidden="1">
      <c r="A7068" s="109"/>
      <c r="B7068" s="109"/>
      <c r="C7068" s="109"/>
      <c r="D7068" s="109"/>
      <c r="E7068" s="109"/>
      <c r="F7068" s="109"/>
      <c r="G7068" s="109"/>
      <c r="H7068" s="109"/>
      <c r="I7068" s="109"/>
      <c r="J7068" s="109"/>
    </row>
    <row r="7069" spans="1:10" customFormat="1" ht="12.75" hidden="1">
      <c r="A7069" s="109"/>
      <c r="B7069" s="109"/>
      <c r="C7069" s="109"/>
      <c r="D7069" s="109"/>
      <c r="E7069" s="109"/>
      <c r="F7069" s="109"/>
      <c r="G7069" s="109"/>
      <c r="H7069" s="109"/>
      <c r="I7069" s="109"/>
      <c r="J7069" s="109"/>
    </row>
    <row r="7070" spans="1:10" customFormat="1" ht="12.75" hidden="1">
      <c r="A7070" s="109"/>
      <c r="B7070" s="109"/>
      <c r="C7070" s="109"/>
      <c r="D7070" s="109"/>
      <c r="E7070" s="109"/>
      <c r="F7070" s="109"/>
      <c r="G7070" s="109"/>
      <c r="H7070" s="109"/>
      <c r="I7070" s="109"/>
      <c r="J7070" s="109"/>
    </row>
    <row r="7071" spans="1:10" customFormat="1" ht="12.75" hidden="1">
      <c r="A7071" s="109"/>
      <c r="B7071" s="109"/>
      <c r="C7071" s="109"/>
      <c r="D7071" s="109"/>
      <c r="E7071" s="109"/>
      <c r="F7071" s="109"/>
      <c r="G7071" s="109"/>
      <c r="H7071" s="109"/>
      <c r="I7071" s="109"/>
      <c r="J7071" s="109"/>
    </row>
    <row r="7072" spans="1:10" customFormat="1" ht="12.75" hidden="1">
      <c r="A7072" s="109"/>
      <c r="B7072" s="109"/>
      <c r="C7072" s="109"/>
      <c r="D7072" s="109"/>
      <c r="E7072" s="109"/>
      <c r="F7072" s="109"/>
      <c r="G7072" s="109"/>
      <c r="H7072" s="109"/>
      <c r="I7072" s="109"/>
      <c r="J7072" s="109"/>
    </row>
    <row r="7073" spans="1:10" customFormat="1" ht="12.75" hidden="1">
      <c r="A7073" s="109"/>
      <c r="B7073" s="109"/>
      <c r="C7073" s="109"/>
      <c r="D7073" s="109"/>
      <c r="E7073" s="109"/>
      <c r="F7073" s="109"/>
      <c r="G7073" s="109"/>
      <c r="H7073" s="109"/>
      <c r="I7073" s="109"/>
      <c r="J7073" s="109"/>
    </row>
    <row r="7074" spans="1:10" customFormat="1" ht="12.75" hidden="1">
      <c r="A7074" s="109"/>
      <c r="B7074" s="109"/>
      <c r="C7074" s="109"/>
      <c r="D7074" s="109"/>
      <c r="E7074" s="109"/>
      <c r="F7074" s="109"/>
      <c r="G7074" s="109"/>
      <c r="H7074" s="109"/>
      <c r="I7074" s="109"/>
      <c r="J7074" s="109"/>
    </row>
    <row r="7075" spans="1:10" customFormat="1" ht="12.75" hidden="1">
      <c r="A7075" s="109"/>
      <c r="B7075" s="109"/>
      <c r="C7075" s="109"/>
      <c r="D7075" s="109"/>
      <c r="E7075" s="109"/>
      <c r="F7075" s="109"/>
      <c r="G7075" s="109"/>
      <c r="H7075" s="109"/>
      <c r="I7075" s="109"/>
      <c r="J7075" s="109"/>
    </row>
    <row r="7076" spans="1:10" customFormat="1" ht="12.75" hidden="1">
      <c r="A7076" s="109"/>
      <c r="B7076" s="109"/>
      <c r="C7076" s="109"/>
      <c r="D7076" s="109"/>
      <c r="E7076" s="109"/>
      <c r="F7076" s="109"/>
      <c r="G7076" s="109"/>
      <c r="H7076" s="109"/>
      <c r="I7076" s="109"/>
      <c r="J7076" s="109"/>
    </row>
    <row r="7077" spans="1:10" customFormat="1" ht="12.75" hidden="1">
      <c r="A7077" s="109"/>
      <c r="B7077" s="109"/>
      <c r="C7077" s="109"/>
      <c r="D7077" s="109"/>
      <c r="E7077" s="109"/>
      <c r="F7077" s="109"/>
      <c r="G7077" s="109"/>
      <c r="H7077" s="109"/>
      <c r="I7077" s="109"/>
      <c r="J7077" s="109"/>
    </row>
    <row r="7078" spans="1:10" customFormat="1" ht="12.75" hidden="1">
      <c r="A7078" s="109"/>
      <c r="B7078" s="109"/>
      <c r="C7078" s="109"/>
      <c r="D7078" s="109"/>
      <c r="E7078" s="109"/>
      <c r="F7078" s="109"/>
      <c r="G7078" s="109"/>
      <c r="H7078" s="109"/>
      <c r="I7078" s="109"/>
      <c r="J7078" s="109"/>
    </row>
    <row r="7079" spans="1:10" customFormat="1" ht="12.75" hidden="1">
      <c r="A7079" s="109"/>
      <c r="B7079" s="109"/>
      <c r="C7079" s="109"/>
      <c r="D7079" s="109"/>
      <c r="E7079" s="109"/>
      <c r="F7079" s="109"/>
      <c r="G7079" s="109"/>
      <c r="H7079" s="109"/>
      <c r="I7079" s="109"/>
      <c r="J7079" s="109"/>
    </row>
    <row r="7080" spans="1:10" customFormat="1" ht="12.75" hidden="1">
      <c r="A7080" s="109"/>
      <c r="B7080" s="109"/>
      <c r="C7080" s="109"/>
      <c r="D7080" s="109"/>
      <c r="E7080" s="109"/>
      <c r="F7080" s="109"/>
      <c r="G7080" s="109"/>
      <c r="H7080" s="109"/>
      <c r="I7080" s="109"/>
      <c r="J7080" s="109"/>
    </row>
    <row r="7081" spans="1:10" customFormat="1" ht="12.75" hidden="1">
      <c r="A7081" s="109"/>
      <c r="B7081" s="109"/>
      <c r="C7081" s="109"/>
      <c r="D7081" s="109"/>
      <c r="E7081" s="109"/>
      <c r="F7081" s="109"/>
      <c r="G7081" s="109"/>
      <c r="H7081" s="109"/>
      <c r="I7081" s="109"/>
      <c r="J7081" s="109"/>
    </row>
    <row r="7082" spans="1:10" customFormat="1" ht="12.75" hidden="1">
      <c r="A7082" s="109"/>
      <c r="B7082" s="109"/>
      <c r="C7082" s="109"/>
      <c r="D7082" s="109"/>
      <c r="E7082" s="109"/>
      <c r="F7082" s="109"/>
      <c r="G7082" s="109"/>
      <c r="H7082" s="109"/>
      <c r="I7082" s="109"/>
      <c r="J7082" s="109"/>
    </row>
    <row r="7083" spans="1:10" customFormat="1" ht="12.75" hidden="1">
      <c r="A7083" s="109"/>
      <c r="B7083" s="109"/>
      <c r="C7083" s="109"/>
      <c r="D7083" s="109"/>
      <c r="E7083" s="109"/>
      <c r="F7083" s="109"/>
      <c r="G7083" s="109"/>
      <c r="H7083" s="109"/>
      <c r="I7083" s="109"/>
      <c r="J7083" s="109"/>
    </row>
    <row r="7084" spans="1:10" customFormat="1" ht="12.75" hidden="1">
      <c r="A7084" s="109"/>
      <c r="B7084" s="109"/>
      <c r="C7084" s="109"/>
      <c r="D7084" s="109"/>
      <c r="E7084" s="109"/>
      <c r="F7084" s="109"/>
      <c r="G7084" s="109"/>
      <c r="H7084" s="109"/>
      <c r="I7084" s="109"/>
      <c r="J7084" s="109"/>
    </row>
    <row r="7085" spans="1:10" customFormat="1" ht="12.75" hidden="1">
      <c r="A7085" s="109"/>
      <c r="B7085" s="109"/>
      <c r="C7085" s="109"/>
      <c r="D7085" s="109"/>
      <c r="E7085" s="109"/>
      <c r="F7085" s="109"/>
      <c r="G7085" s="109"/>
      <c r="H7085" s="109"/>
      <c r="I7085" s="109"/>
      <c r="J7085" s="109"/>
    </row>
    <row r="7086" spans="1:10" customFormat="1" ht="12.75" hidden="1">
      <c r="A7086" s="109"/>
      <c r="B7086" s="109"/>
      <c r="C7086" s="109"/>
      <c r="D7086" s="109"/>
      <c r="E7086" s="109"/>
      <c r="F7086" s="109"/>
      <c r="G7086" s="109"/>
      <c r="H7086" s="109"/>
      <c r="I7086" s="109"/>
      <c r="J7086" s="109"/>
    </row>
    <row r="7087" spans="1:10" customFormat="1" ht="12.75" hidden="1">
      <c r="A7087" s="109"/>
      <c r="B7087" s="109"/>
      <c r="C7087" s="109"/>
      <c r="D7087" s="109"/>
      <c r="E7087" s="109"/>
      <c r="F7087" s="109"/>
      <c r="G7087" s="109"/>
      <c r="H7087" s="109"/>
      <c r="I7087" s="109"/>
      <c r="J7087" s="109"/>
    </row>
    <row r="7088" spans="1:10" customFormat="1" ht="12.75" hidden="1">
      <c r="A7088" s="109"/>
      <c r="B7088" s="109"/>
      <c r="C7088" s="109"/>
      <c r="D7088" s="109"/>
      <c r="E7088" s="109"/>
      <c r="F7088" s="109"/>
      <c r="G7088" s="109"/>
      <c r="H7088" s="109"/>
      <c r="I7088" s="109"/>
      <c r="J7088" s="109"/>
    </row>
    <row r="7089" spans="1:10" customFormat="1" ht="12.75" hidden="1">
      <c r="A7089" s="109"/>
      <c r="B7089" s="109"/>
      <c r="C7089" s="109"/>
      <c r="D7089" s="109"/>
      <c r="E7089" s="109"/>
      <c r="F7089" s="109"/>
      <c r="G7089" s="109"/>
      <c r="H7089" s="109"/>
      <c r="I7089" s="109"/>
      <c r="J7089" s="109"/>
    </row>
    <row r="7090" spans="1:10" customFormat="1" ht="12.75" hidden="1">
      <c r="A7090" s="109"/>
      <c r="B7090" s="109"/>
      <c r="C7090" s="109"/>
      <c r="D7090" s="109"/>
      <c r="E7090" s="109"/>
      <c r="F7090" s="109"/>
      <c r="G7090" s="109"/>
      <c r="H7090" s="109"/>
      <c r="I7090" s="109"/>
      <c r="J7090" s="109"/>
    </row>
    <row r="7091" spans="1:10" customFormat="1" ht="12.75" hidden="1">
      <c r="A7091" s="109"/>
      <c r="B7091" s="109"/>
      <c r="C7091" s="109"/>
      <c r="D7091" s="109"/>
      <c r="E7091" s="109"/>
      <c r="F7091" s="109"/>
      <c r="G7091" s="109"/>
      <c r="H7091" s="109"/>
      <c r="I7091" s="109"/>
      <c r="J7091" s="109"/>
    </row>
    <row r="7092" spans="1:10" customFormat="1" ht="12.75" hidden="1">
      <c r="A7092" s="109"/>
      <c r="B7092" s="109"/>
      <c r="C7092" s="109"/>
      <c r="D7092" s="109"/>
      <c r="E7092" s="109"/>
      <c r="F7092" s="109"/>
      <c r="G7092" s="109"/>
      <c r="H7092" s="109"/>
      <c r="I7092" s="109"/>
      <c r="J7092" s="109"/>
    </row>
    <row r="7093" spans="1:10" customFormat="1" ht="12.75" hidden="1">
      <c r="A7093" s="109"/>
      <c r="B7093" s="109"/>
      <c r="C7093" s="109"/>
      <c r="D7093" s="109"/>
      <c r="E7093" s="109"/>
      <c r="F7093" s="109"/>
      <c r="G7093" s="109"/>
      <c r="H7093" s="109"/>
      <c r="I7093" s="109"/>
      <c r="J7093" s="109"/>
    </row>
    <row r="7094" spans="1:10" customFormat="1" ht="12.75" hidden="1">
      <c r="A7094" s="109"/>
      <c r="B7094" s="109"/>
      <c r="C7094" s="109"/>
      <c r="D7094" s="109"/>
      <c r="E7094" s="109"/>
      <c r="F7094" s="109"/>
      <c r="G7094" s="109"/>
      <c r="H7094" s="109"/>
      <c r="I7094" s="109"/>
      <c r="J7094" s="109"/>
    </row>
    <row r="7095" spans="1:10" customFormat="1" ht="12.75" hidden="1">
      <c r="A7095" s="109"/>
      <c r="B7095" s="109"/>
      <c r="C7095" s="109"/>
      <c r="D7095" s="109"/>
      <c r="E7095" s="109"/>
      <c r="F7095" s="109"/>
      <c r="G7095" s="109"/>
      <c r="H7095" s="109"/>
      <c r="I7095" s="109"/>
      <c r="J7095" s="109"/>
    </row>
    <row r="7096" spans="1:10" customFormat="1" ht="12.75" hidden="1">
      <c r="A7096" s="109"/>
      <c r="B7096" s="109"/>
      <c r="C7096" s="109"/>
      <c r="D7096" s="109"/>
      <c r="E7096" s="109"/>
      <c r="F7096" s="109"/>
      <c r="G7096" s="109"/>
      <c r="H7096" s="109"/>
      <c r="I7096" s="109"/>
      <c r="J7096" s="109"/>
    </row>
    <row r="7097" spans="1:10" customFormat="1" ht="12.75" hidden="1">
      <c r="A7097" s="109"/>
      <c r="B7097" s="109"/>
      <c r="C7097" s="109"/>
      <c r="D7097" s="109"/>
      <c r="E7097" s="109"/>
      <c r="F7097" s="109"/>
      <c r="G7097" s="109"/>
      <c r="H7097" s="109"/>
      <c r="I7097" s="109"/>
      <c r="J7097" s="109"/>
    </row>
    <row r="7098" spans="1:10" customFormat="1" ht="12.75" hidden="1">
      <c r="A7098" s="109"/>
      <c r="B7098" s="109"/>
      <c r="C7098" s="109"/>
      <c r="D7098" s="109"/>
      <c r="E7098" s="109"/>
      <c r="F7098" s="109"/>
      <c r="G7098" s="109"/>
      <c r="H7098" s="109"/>
      <c r="I7098" s="109"/>
      <c r="J7098" s="109"/>
    </row>
    <row r="7099" spans="1:10" customFormat="1" ht="12.75" hidden="1">
      <c r="A7099" s="109"/>
      <c r="B7099" s="109"/>
      <c r="C7099" s="109"/>
      <c r="D7099" s="109"/>
      <c r="E7099" s="109"/>
      <c r="F7099" s="109"/>
      <c r="G7099" s="109"/>
      <c r="H7099" s="109"/>
      <c r="I7099" s="109"/>
      <c r="J7099" s="109"/>
    </row>
    <row r="7100" spans="1:10" customFormat="1" ht="12.75" hidden="1">
      <c r="A7100" s="109"/>
      <c r="B7100" s="109"/>
      <c r="C7100" s="109"/>
      <c r="D7100" s="109"/>
      <c r="E7100" s="109"/>
      <c r="F7100" s="109"/>
      <c r="G7100" s="109"/>
      <c r="H7100" s="109"/>
      <c r="I7100" s="109"/>
      <c r="J7100" s="109"/>
    </row>
    <row r="7101" spans="1:10" customFormat="1" ht="12.75" hidden="1">
      <c r="A7101" s="109"/>
      <c r="B7101" s="109"/>
      <c r="C7101" s="109"/>
      <c r="D7101" s="109"/>
      <c r="E7101" s="109"/>
      <c r="F7101" s="109"/>
      <c r="G7101" s="109"/>
      <c r="H7101" s="109"/>
      <c r="I7101" s="109"/>
      <c r="J7101" s="109"/>
    </row>
    <row r="7102" spans="1:10" customFormat="1" ht="12.75" hidden="1">
      <c r="A7102" s="109"/>
      <c r="B7102" s="109"/>
      <c r="C7102" s="109"/>
      <c r="D7102" s="109"/>
      <c r="E7102" s="109"/>
      <c r="F7102" s="109"/>
      <c r="G7102" s="109"/>
      <c r="H7102" s="109"/>
      <c r="I7102" s="109"/>
      <c r="J7102" s="109"/>
    </row>
    <row r="7103" spans="1:10" customFormat="1" ht="12.75" hidden="1">
      <c r="A7103" s="109"/>
      <c r="B7103" s="109"/>
      <c r="C7103" s="109"/>
      <c r="D7103" s="109"/>
      <c r="E7103" s="109"/>
      <c r="F7103" s="109"/>
      <c r="G7103" s="109"/>
      <c r="H7103" s="109"/>
      <c r="I7103" s="109"/>
      <c r="J7103" s="109"/>
    </row>
    <row r="7104" spans="1:10" customFormat="1" ht="12.75" hidden="1">
      <c r="A7104" s="109"/>
      <c r="B7104" s="109"/>
      <c r="C7104" s="109"/>
      <c r="D7104" s="109"/>
      <c r="E7104" s="109"/>
      <c r="F7104" s="109"/>
      <c r="G7104" s="109"/>
      <c r="H7104" s="109"/>
      <c r="I7104" s="109"/>
      <c r="J7104" s="109"/>
    </row>
    <row r="7105" spans="1:10" customFormat="1" ht="12.75" hidden="1">
      <c r="A7105" s="109"/>
      <c r="B7105" s="109"/>
      <c r="C7105" s="109"/>
      <c r="D7105" s="109"/>
      <c r="E7105" s="109"/>
      <c r="F7105" s="109"/>
      <c r="G7105" s="109"/>
      <c r="H7105" s="109"/>
      <c r="I7105" s="109"/>
      <c r="J7105" s="109"/>
    </row>
    <row r="7106" spans="1:10" customFormat="1" ht="12.75" hidden="1">
      <c r="A7106" s="109"/>
      <c r="B7106" s="109"/>
      <c r="C7106" s="109"/>
      <c r="D7106" s="109"/>
      <c r="E7106" s="109"/>
      <c r="F7106" s="109"/>
      <c r="G7106" s="109"/>
      <c r="H7106" s="109"/>
      <c r="I7106" s="109"/>
      <c r="J7106" s="109"/>
    </row>
    <row r="7107" spans="1:10" customFormat="1" ht="12.75" hidden="1">
      <c r="A7107" s="109"/>
      <c r="B7107" s="109"/>
      <c r="C7107" s="109"/>
      <c r="D7107" s="109"/>
      <c r="E7107" s="109"/>
      <c r="F7107" s="109"/>
      <c r="G7107" s="109"/>
      <c r="H7107" s="109"/>
      <c r="I7107" s="109"/>
      <c r="J7107" s="109"/>
    </row>
    <row r="7108" spans="1:10" customFormat="1" ht="12.75" hidden="1">
      <c r="A7108" s="109"/>
      <c r="B7108" s="109"/>
      <c r="C7108" s="109"/>
      <c r="D7108" s="109"/>
      <c r="E7108" s="109"/>
      <c r="F7108" s="109"/>
      <c r="G7108" s="109"/>
      <c r="H7108" s="109"/>
      <c r="I7108" s="109"/>
      <c r="J7108" s="109"/>
    </row>
    <row r="7109" spans="1:10" customFormat="1" ht="12.75" hidden="1">
      <c r="A7109" s="109"/>
      <c r="B7109" s="109"/>
      <c r="C7109" s="109"/>
      <c r="D7109" s="109"/>
      <c r="E7109" s="109"/>
      <c r="F7109" s="109"/>
      <c r="G7109" s="109"/>
      <c r="H7109" s="109"/>
      <c r="I7109" s="109"/>
      <c r="J7109" s="109"/>
    </row>
    <row r="7110" spans="1:10" customFormat="1" ht="12.75" hidden="1">
      <c r="A7110" s="109"/>
      <c r="B7110" s="109"/>
      <c r="C7110" s="109"/>
      <c r="D7110" s="109"/>
      <c r="E7110" s="109"/>
      <c r="F7110" s="109"/>
      <c r="G7110" s="109"/>
      <c r="H7110" s="109"/>
      <c r="I7110" s="109"/>
      <c r="J7110" s="109"/>
    </row>
    <row r="7111" spans="1:10" customFormat="1" ht="12.75" hidden="1">
      <c r="A7111" s="109"/>
      <c r="B7111" s="109"/>
      <c r="C7111" s="109"/>
      <c r="D7111" s="109"/>
      <c r="E7111" s="109"/>
      <c r="F7111" s="109"/>
      <c r="G7111" s="109"/>
      <c r="H7111" s="109"/>
      <c r="I7111" s="109"/>
      <c r="J7111" s="109"/>
    </row>
    <row r="7112" spans="1:10" customFormat="1" ht="12.75" hidden="1">
      <c r="A7112" s="109"/>
      <c r="B7112" s="109"/>
      <c r="C7112" s="109"/>
      <c r="D7112" s="109"/>
      <c r="E7112" s="109"/>
      <c r="F7112" s="109"/>
      <c r="G7112" s="109"/>
      <c r="H7112" s="109"/>
      <c r="I7112" s="109"/>
      <c r="J7112" s="109"/>
    </row>
    <row r="7113" spans="1:10" customFormat="1" ht="12.75" hidden="1">
      <c r="A7113" s="109"/>
      <c r="B7113" s="109"/>
      <c r="C7113" s="109"/>
      <c r="D7113" s="109"/>
      <c r="E7113" s="109"/>
      <c r="F7113" s="109"/>
      <c r="G7113" s="109"/>
      <c r="H7113" s="109"/>
      <c r="I7113" s="109"/>
      <c r="J7113" s="109"/>
    </row>
    <row r="7114" spans="1:10" customFormat="1" ht="12.75" hidden="1">
      <c r="A7114" s="109"/>
      <c r="B7114" s="109"/>
      <c r="C7114" s="109"/>
      <c r="D7114" s="109"/>
      <c r="E7114" s="109"/>
      <c r="F7114" s="109"/>
      <c r="G7114" s="109"/>
      <c r="H7114" s="109"/>
      <c r="I7114" s="109"/>
      <c r="J7114" s="109"/>
    </row>
    <row r="7115" spans="1:10" customFormat="1" ht="12.75" hidden="1">
      <c r="A7115" s="109"/>
      <c r="B7115" s="109"/>
      <c r="C7115" s="109"/>
      <c r="D7115" s="109"/>
      <c r="E7115" s="109"/>
      <c r="F7115" s="109"/>
      <c r="G7115" s="109"/>
      <c r="H7115" s="109"/>
      <c r="I7115" s="109"/>
      <c r="J7115" s="109"/>
    </row>
    <row r="7116" spans="1:10" customFormat="1" ht="12.75" hidden="1">
      <c r="A7116" s="109"/>
      <c r="B7116" s="109"/>
      <c r="C7116" s="109"/>
      <c r="D7116" s="109"/>
      <c r="E7116" s="109"/>
      <c r="F7116" s="109"/>
      <c r="G7116" s="109"/>
      <c r="H7116" s="109"/>
      <c r="I7116" s="109"/>
      <c r="J7116" s="109"/>
    </row>
    <row r="7117" spans="1:10" customFormat="1" ht="12.75" hidden="1">
      <c r="A7117" s="109"/>
      <c r="B7117" s="109"/>
      <c r="C7117" s="109"/>
      <c r="D7117" s="109"/>
      <c r="E7117" s="109"/>
      <c r="F7117" s="109"/>
      <c r="G7117" s="109"/>
      <c r="H7117" s="109"/>
      <c r="I7117" s="109"/>
      <c r="J7117" s="109"/>
    </row>
    <row r="7118" spans="1:10" customFormat="1" ht="12.75" hidden="1">
      <c r="A7118" s="109"/>
      <c r="B7118" s="109"/>
      <c r="C7118" s="109"/>
      <c r="D7118" s="109"/>
      <c r="E7118" s="109"/>
      <c r="F7118" s="109"/>
      <c r="G7118" s="109"/>
      <c r="H7118" s="109"/>
      <c r="I7118" s="109"/>
      <c r="J7118" s="109"/>
    </row>
    <row r="7119" spans="1:10" customFormat="1" ht="12.75" hidden="1">
      <c r="A7119" s="109"/>
      <c r="B7119" s="109"/>
      <c r="C7119" s="109"/>
      <c r="D7119" s="109"/>
      <c r="E7119" s="109"/>
      <c r="F7119" s="109"/>
      <c r="G7119" s="109"/>
      <c r="H7119" s="109"/>
      <c r="I7119" s="109"/>
      <c r="J7119" s="109"/>
    </row>
    <row r="7120" spans="1:10" customFormat="1" ht="12.75" hidden="1">
      <c r="A7120" s="109"/>
      <c r="B7120" s="109"/>
      <c r="C7120" s="109"/>
      <c r="D7120" s="109"/>
      <c r="E7120" s="109"/>
      <c r="F7120" s="109"/>
      <c r="G7120" s="109"/>
      <c r="H7120" s="109"/>
      <c r="I7120" s="109"/>
      <c r="J7120" s="109"/>
    </row>
    <row r="7121" spans="1:10" customFormat="1" ht="12.75" hidden="1">
      <c r="A7121" s="109"/>
      <c r="B7121" s="109"/>
      <c r="C7121" s="109"/>
      <c r="D7121" s="109"/>
      <c r="E7121" s="109"/>
      <c r="F7121" s="109"/>
      <c r="G7121" s="109"/>
      <c r="H7121" s="109"/>
      <c r="I7121" s="109"/>
      <c r="J7121" s="109"/>
    </row>
    <row r="7122" spans="1:10" customFormat="1" ht="12.75" hidden="1">
      <c r="A7122" s="109"/>
      <c r="B7122" s="109"/>
      <c r="C7122" s="109"/>
      <c r="D7122" s="109"/>
      <c r="E7122" s="109"/>
      <c r="F7122" s="109"/>
      <c r="G7122" s="109"/>
      <c r="H7122" s="109"/>
      <c r="I7122" s="109"/>
      <c r="J7122" s="109"/>
    </row>
    <row r="7123" spans="1:10" customFormat="1" ht="12.75" hidden="1">
      <c r="A7123" s="109"/>
      <c r="B7123" s="109"/>
      <c r="C7123" s="109"/>
      <c r="D7123" s="109"/>
      <c r="E7123" s="109"/>
      <c r="F7123" s="109"/>
      <c r="G7123" s="109"/>
      <c r="H7123" s="109"/>
      <c r="I7123" s="109"/>
      <c r="J7123" s="109"/>
    </row>
    <row r="7124" spans="1:10" customFormat="1" ht="12.75" hidden="1">
      <c r="A7124" s="109"/>
      <c r="B7124" s="109"/>
      <c r="C7124" s="109"/>
      <c r="D7124" s="109"/>
      <c r="E7124" s="109"/>
      <c r="F7124" s="109"/>
      <c r="G7124" s="109"/>
      <c r="H7124" s="109"/>
      <c r="I7124" s="109"/>
      <c r="J7124" s="109"/>
    </row>
    <row r="7125" spans="1:10" customFormat="1" ht="12.75" hidden="1">
      <c r="A7125" s="109"/>
      <c r="B7125" s="109"/>
      <c r="C7125" s="109"/>
      <c r="D7125" s="109"/>
      <c r="E7125" s="109"/>
      <c r="F7125" s="109"/>
      <c r="G7125" s="109"/>
      <c r="H7125" s="109"/>
      <c r="I7125" s="109"/>
      <c r="J7125" s="109"/>
    </row>
    <row r="7126" spans="1:10" customFormat="1" ht="12.75" hidden="1">
      <c r="A7126" s="109"/>
      <c r="B7126" s="109"/>
      <c r="C7126" s="109"/>
      <c r="D7126" s="109"/>
      <c r="E7126" s="109"/>
      <c r="F7126" s="109"/>
      <c r="G7126" s="109"/>
      <c r="H7126" s="109"/>
      <c r="I7126" s="109"/>
      <c r="J7126" s="109"/>
    </row>
    <row r="7127" spans="1:10" customFormat="1" ht="12.75" hidden="1">
      <c r="A7127" s="109"/>
      <c r="B7127" s="109"/>
      <c r="C7127" s="109"/>
      <c r="D7127" s="109"/>
      <c r="E7127" s="109"/>
      <c r="F7127" s="109"/>
      <c r="G7127" s="109"/>
      <c r="H7127" s="109"/>
      <c r="I7127" s="109"/>
      <c r="J7127" s="109"/>
    </row>
    <row r="7128" spans="1:10" customFormat="1" ht="12.75" hidden="1">
      <c r="A7128" s="109"/>
      <c r="B7128" s="109"/>
      <c r="C7128" s="109"/>
      <c r="D7128" s="109"/>
      <c r="E7128" s="109"/>
      <c r="F7128" s="109"/>
      <c r="G7128" s="109"/>
      <c r="H7128" s="109"/>
      <c r="I7128" s="109"/>
      <c r="J7128" s="109"/>
    </row>
    <row r="7129" spans="1:10" customFormat="1" ht="12.75" hidden="1">
      <c r="A7129" s="109"/>
      <c r="B7129" s="109"/>
      <c r="C7129" s="109"/>
      <c r="D7129" s="109"/>
      <c r="E7129" s="109"/>
      <c r="F7129" s="109"/>
      <c r="G7129" s="109"/>
      <c r="H7129" s="109"/>
      <c r="I7129" s="109"/>
      <c r="J7129" s="109"/>
    </row>
    <row r="7130" spans="1:10" customFormat="1" ht="12.75" hidden="1">
      <c r="A7130" s="109"/>
      <c r="B7130" s="109"/>
      <c r="C7130" s="109"/>
      <c r="D7130" s="109"/>
      <c r="E7130" s="109"/>
      <c r="F7130" s="109"/>
      <c r="G7130" s="109"/>
      <c r="H7130" s="109"/>
      <c r="I7130" s="109"/>
      <c r="J7130" s="109"/>
    </row>
    <row r="7131" spans="1:10" customFormat="1" ht="12.75" hidden="1">
      <c r="A7131" s="109"/>
      <c r="B7131" s="109"/>
      <c r="C7131" s="109"/>
      <c r="D7131" s="109"/>
      <c r="E7131" s="109"/>
      <c r="F7131" s="109"/>
      <c r="G7131" s="109"/>
      <c r="H7131" s="109"/>
      <c r="I7131" s="109"/>
      <c r="J7131" s="109"/>
    </row>
    <row r="7132" spans="1:10" customFormat="1" ht="12.75" hidden="1">
      <c r="A7132" s="109"/>
      <c r="B7132" s="109"/>
      <c r="C7132" s="109"/>
      <c r="D7132" s="109"/>
      <c r="E7132" s="109"/>
      <c r="F7132" s="109"/>
      <c r="G7132" s="109"/>
      <c r="H7132" s="109"/>
      <c r="I7132" s="109"/>
      <c r="J7132" s="109"/>
    </row>
    <row r="7133" spans="1:10" customFormat="1" ht="12.75" hidden="1">
      <c r="A7133" s="109"/>
      <c r="B7133" s="109"/>
      <c r="C7133" s="109"/>
      <c r="D7133" s="109"/>
      <c r="E7133" s="109"/>
      <c r="F7133" s="109"/>
      <c r="G7133" s="109"/>
      <c r="H7133" s="109"/>
      <c r="I7133" s="109"/>
      <c r="J7133" s="109"/>
    </row>
    <row r="7134" spans="1:10" customFormat="1" ht="12.75" hidden="1">
      <c r="A7134" s="109"/>
      <c r="B7134" s="109"/>
      <c r="C7134" s="109"/>
      <c r="D7134" s="109"/>
      <c r="E7134" s="109"/>
      <c r="F7134" s="109"/>
      <c r="G7134" s="109"/>
      <c r="H7134" s="109"/>
      <c r="I7134" s="109"/>
      <c r="J7134" s="109"/>
    </row>
    <row r="7135" spans="1:10" customFormat="1" ht="12.75" hidden="1">
      <c r="A7135" s="109"/>
      <c r="B7135" s="109"/>
      <c r="C7135" s="109"/>
      <c r="D7135" s="109"/>
      <c r="E7135" s="109"/>
      <c r="F7135" s="109"/>
      <c r="G7135" s="109"/>
      <c r="H7135" s="109"/>
      <c r="I7135" s="109"/>
      <c r="J7135" s="109"/>
    </row>
    <row r="7136" spans="1:10" customFormat="1" ht="12.75" hidden="1">
      <c r="A7136" s="109"/>
      <c r="B7136" s="109"/>
      <c r="C7136" s="109"/>
      <c r="D7136" s="109"/>
      <c r="E7136" s="109"/>
      <c r="F7136" s="109"/>
      <c r="G7136" s="109"/>
      <c r="H7136" s="109"/>
      <c r="I7136" s="109"/>
      <c r="J7136" s="109"/>
    </row>
    <row r="7137" spans="1:10" customFormat="1" ht="12.75" hidden="1">
      <c r="A7137" s="109"/>
      <c r="B7137" s="109"/>
      <c r="C7137" s="109"/>
      <c r="D7137" s="109"/>
      <c r="E7137" s="109"/>
      <c r="F7137" s="109"/>
      <c r="G7137" s="109"/>
      <c r="H7137" s="109"/>
      <c r="I7137" s="109"/>
      <c r="J7137" s="109"/>
    </row>
    <row r="7138" spans="1:10" customFormat="1" ht="12.75" hidden="1">
      <c r="A7138" s="109"/>
      <c r="B7138" s="109"/>
      <c r="C7138" s="109"/>
      <c r="D7138" s="109"/>
      <c r="E7138" s="109"/>
      <c r="F7138" s="109"/>
      <c r="G7138" s="109"/>
      <c r="H7138" s="109"/>
      <c r="I7138" s="109"/>
      <c r="J7138" s="109"/>
    </row>
    <row r="7139" spans="1:10" customFormat="1" ht="12.75" hidden="1">
      <c r="A7139" s="109"/>
      <c r="B7139" s="109"/>
      <c r="C7139" s="109"/>
      <c r="D7139" s="109"/>
      <c r="E7139" s="109"/>
      <c r="F7139" s="109"/>
      <c r="G7139" s="109"/>
      <c r="H7139" s="109"/>
      <c r="I7139" s="109"/>
      <c r="J7139" s="109"/>
    </row>
    <row r="7140" spans="1:10" customFormat="1" ht="12.75" hidden="1">
      <c r="A7140" s="109"/>
      <c r="B7140" s="109"/>
      <c r="C7140" s="109"/>
      <c r="D7140" s="109"/>
      <c r="E7140" s="109"/>
      <c r="F7140" s="109"/>
      <c r="G7140" s="109"/>
      <c r="H7140" s="109"/>
      <c r="I7140" s="109"/>
      <c r="J7140" s="109"/>
    </row>
    <row r="7141" spans="1:10" customFormat="1" ht="12.75" hidden="1">
      <c r="A7141" s="109"/>
      <c r="B7141" s="109"/>
      <c r="C7141" s="109"/>
      <c r="D7141" s="109"/>
      <c r="E7141" s="109"/>
      <c r="F7141" s="109"/>
      <c r="G7141" s="109"/>
      <c r="H7141" s="109"/>
      <c r="I7141" s="109"/>
      <c r="J7141" s="109"/>
    </row>
    <row r="7142" spans="1:10" customFormat="1" ht="12.75" hidden="1">
      <c r="A7142" s="109"/>
      <c r="B7142" s="109"/>
      <c r="C7142" s="109"/>
      <c r="D7142" s="109"/>
      <c r="E7142" s="109"/>
      <c r="F7142" s="109"/>
      <c r="G7142" s="109"/>
      <c r="H7142" s="109"/>
      <c r="I7142" s="109"/>
      <c r="J7142" s="109"/>
    </row>
    <row r="7143" spans="1:10" customFormat="1" ht="12.75" hidden="1">
      <c r="A7143" s="109"/>
      <c r="B7143" s="109"/>
      <c r="C7143" s="109"/>
      <c r="D7143" s="109"/>
      <c r="E7143" s="109"/>
      <c r="F7143" s="109"/>
      <c r="G7143" s="109"/>
      <c r="H7143" s="109"/>
      <c r="I7143" s="109"/>
      <c r="J7143" s="109"/>
    </row>
    <row r="7144" spans="1:10" customFormat="1" ht="12.75" hidden="1">
      <c r="A7144" s="109"/>
      <c r="B7144" s="109"/>
      <c r="C7144" s="109"/>
      <c r="D7144" s="109"/>
      <c r="E7144" s="109"/>
      <c r="F7144" s="109"/>
      <c r="G7144" s="109"/>
      <c r="H7144" s="109"/>
      <c r="I7144" s="109"/>
      <c r="J7144" s="109"/>
    </row>
    <row r="7145" spans="1:10" customFormat="1" ht="12.75" hidden="1">
      <c r="A7145" s="109"/>
      <c r="B7145" s="109"/>
      <c r="C7145" s="109"/>
      <c r="D7145" s="109"/>
      <c r="E7145" s="109"/>
      <c r="F7145" s="109"/>
      <c r="G7145" s="109"/>
      <c r="H7145" s="109"/>
      <c r="I7145" s="109"/>
      <c r="J7145" s="109"/>
    </row>
    <row r="7146" spans="1:10" customFormat="1" ht="12.75" hidden="1">
      <c r="A7146" s="109"/>
      <c r="B7146" s="109"/>
      <c r="C7146" s="109"/>
      <c r="D7146" s="109"/>
      <c r="E7146" s="109"/>
      <c r="F7146" s="109"/>
      <c r="G7146" s="109"/>
      <c r="H7146" s="109"/>
      <c r="I7146" s="109"/>
      <c r="J7146" s="109"/>
    </row>
    <row r="7147" spans="1:10" customFormat="1" ht="12.75" hidden="1">
      <c r="A7147" s="109"/>
      <c r="B7147" s="109"/>
      <c r="C7147" s="109"/>
      <c r="D7147" s="109"/>
      <c r="E7147" s="109"/>
      <c r="F7147" s="109"/>
      <c r="G7147" s="109"/>
      <c r="H7147" s="109"/>
      <c r="I7147" s="109"/>
      <c r="J7147" s="109"/>
    </row>
    <row r="7148" spans="1:10" customFormat="1" ht="12.75" hidden="1">
      <c r="A7148" s="109"/>
      <c r="B7148" s="109"/>
      <c r="C7148" s="109"/>
      <c r="D7148" s="109"/>
      <c r="E7148" s="109"/>
      <c r="F7148" s="109"/>
      <c r="G7148" s="109"/>
      <c r="H7148" s="109"/>
      <c r="I7148" s="109"/>
      <c r="J7148" s="109"/>
    </row>
    <row r="7149" spans="1:10" customFormat="1" ht="12.75" hidden="1">
      <c r="A7149" s="109"/>
      <c r="B7149" s="109"/>
      <c r="C7149" s="109"/>
      <c r="D7149" s="109"/>
      <c r="E7149" s="109"/>
      <c r="F7149" s="109"/>
      <c r="G7149" s="109"/>
      <c r="H7149" s="109"/>
      <c r="I7149" s="109"/>
      <c r="J7149" s="109"/>
    </row>
    <row r="7150" spans="1:10" customFormat="1" ht="12.75" hidden="1">
      <c r="A7150" s="109"/>
      <c r="B7150" s="109"/>
      <c r="C7150" s="109"/>
      <c r="D7150" s="109"/>
      <c r="E7150" s="109"/>
      <c r="F7150" s="109"/>
      <c r="G7150" s="109"/>
      <c r="H7150" s="109"/>
      <c r="I7150" s="109"/>
      <c r="J7150" s="109"/>
    </row>
    <row r="7151" spans="1:10" customFormat="1" ht="12.75" hidden="1">
      <c r="A7151" s="109"/>
      <c r="B7151" s="109"/>
      <c r="C7151" s="109"/>
      <c r="D7151" s="109"/>
      <c r="E7151" s="109"/>
      <c r="F7151" s="109"/>
      <c r="G7151" s="109"/>
      <c r="H7151" s="109"/>
      <c r="I7151" s="109"/>
      <c r="J7151" s="109"/>
    </row>
    <row r="7152" spans="1:10" customFormat="1" ht="12.75" hidden="1">
      <c r="A7152" s="109"/>
      <c r="B7152" s="109"/>
      <c r="C7152" s="109"/>
      <c r="D7152" s="109"/>
      <c r="E7152" s="109"/>
      <c r="F7152" s="109"/>
      <c r="G7152" s="109"/>
      <c r="H7152" s="109"/>
      <c r="I7152" s="109"/>
      <c r="J7152" s="109"/>
    </row>
    <row r="7153" spans="1:10" customFormat="1" ht="12.75" hidden="1">
      <c r="A7153" s="109"/>
      <c r="B7153" s="109"/>
      <c r="C7153" s="109"/>
      <c r="D7153" s="109"/>
      <c r="E7153" s="109"/>
      <c r="F7153" s="109"/>
      <c r="G7153" s="109"/>
      <c r="H7153" s="109"/>
      <c r="I7153" s="109"/>
      <c r="J7153" s="109"/>
    </row>
    <row r="7154" spans="1:10" customFormat="1" ht="12.75" hidden="1">
      <c r="A7154" s="109"/>
      <c r="B7154" s="109"/>
      <c r="C7154" s="109"/>
      <c r="D7154" s="109"/>
      <c r="E7154" s="109"/>
      <c r="F7154" s="109"/>
      <c r="G7154" s="109"/>
      <c r="H7154" s="109"/>
      <c r="I7154" s="109"/>
      <c r="J7154" s="109"/>
    </row>
    <row r="7155" spans="1:10" customFormat="1" ht="12.75" hidden="1">
      <c r="A7155" s="109"/>
      <c r="B7155" s="109"/>
      <c r="C7155" s="109"/>
      <c r="D7155" s="109"/>
      <c r="E7155" s="109"/>
      <c r="F7155" s="109"/>
      <c r="G7155" s="109"/>
      <c r="H7155" s="109"/>
      <c r="I7155" s="109"/>
      <c r="J7155" s="109"/>
    </row>
    <row r="7156" spans="1:10" customFormat="1" ht="12.75" hidden="1">
      <c r="A7156" s="109"/>
      <c r="B7156" s="109"/>
      <c r="C7156" s="109"/>
      <c r="D7156" s="109"/>
      <c r="E7156" s="109"/>
      <c r="F7156" s="109"/>
      <c r="G7156" s="109"/>
      <c r="H7156" s="109"/>
      <c r="I7156" s="109"/>
      <c r="J7156" s="109"/>
    </row>
    <row r="7157" spans="1:10" customFormat="1" ht="12.75" hidden="1">
      <c r="A7157" s="109"/>
      <c r="B7157" s="109"/>
      <c r="C7157" s="109"/>
      <c r="D7157" s="109"/>
      <c r="E7157" s="109"/>
      <c r="F7157" s="109"/>
      <c r="G7157" s="109"/>
      <c r="H7157" s="109"/>
      <c r="I7157" s="109"/>
      <c r="J7157" s="109"/>
    </row>
    <row r="7158" spans="1:10" customFormat="1" ht="12.75" hidden="1">
      <c r="A7158" s="109"/>
      <c r="B7158" s="109"/>
      <c r="C7158" s="109"/>
      <c r="D7158" s="109"/>
      <c r="E7158" s="109"/>
      <c r="F7158" s="109"/>
      <c r="G7158" s="109"/>
      <c r="H7158" s="109"/>
      <c r="I7158" s="109"/>
      <c r="J7158" s="109"/>
    </row>
    <row r="7159" spans="1:10" customFormat="1" ht="12.75" hidden="1">
      <c r="A7159" s="109"/>
      <c r="B7159" s="109"/>
      <c r="C7159" s="109"/>
      <c r="D7159" s="109"/>
      <c r="E7159" s="109"/>
      <c r="F7159" s="109"/>
      <c r="G7159" s="109"/>
      <c r="H7159" s="109"/>
      <c r="I7159" s="109"/>
      <c r="J7159" s="109"/>
    </row>
    <row r="7160" spans="1:10" customFormat="1" ht="12.75" hidden="1">
      <c r="A7160" s="109"/>
      <c r="B7160" s="109"/>
      <c r="C7160" s="109"/>
      <c r="D7160" s="109"/>
      <c r="E7160" s="109"/>
      <c r="F7160" s="109"/>
      <c r="G7160" s="109"/>
      <c r="H7160" s="109"/>
      <c r="I7160" s="109"/>
      <c r="J7160" s="109"/>
    </row>
    <row r="7161" spans="1:10" customFormat="1" ht="12.75" hidden="1">
      <c r="A7161" s="109"/>
      <c r="B7161" s="109"/>
      <c r="C7161" s="109"/>
      <c r="D7161" s="109"/>
      <c r="E7161" s="109"/>
      <c r="F7161" s="109"/>
      <c r="G7161" s="109"/>
      <c r="H7161" s="109"/>
      <c r="I7161" s="109"/>
      <c r="J7161" s="109"/>
    </row>
    <row r="7162" spans="1:10" customFormat="1" ht="12.75" hidden="1">
      <c r="A7162" s="109"/>
      <c r="B7162" s="109"/>
      <c r="C7162" s="109"/>
      <c r="D7162" s="109"/>
      <c r="E7162" s="109"/>
      <c r="F7162" s="109"/>
      <c r="G7162" s="109"/>
      <c r="H7162" s="109"/>
      <c r="I7162" s="109"/>
      <c r="J7162" s="109"/>
    </row>
    <row r="7163" spans="1:10" customFormat="1" ht="12.75" hidden="1">
      <c r="A7163" s="109"/>
      <c r="B7163" s="109"/>
      <c r="C7163" s="109"/>
      <c r="D7163" s="109"/>
      <c r="E7163" s="109"/>
      <c r="F7163" s="109"/>
      <c r="G7163" s="109"/>
      <c r="H7163" s="109"/>
      <c r="I7163" s="109"/>
      <c r="J7163" s="109"/>
    </row>
    <row r="7164" spans="1:10" customFormat="1" ht="12.75" hidden="1">
      <c r="A7164" s="109"/>
      <c r="B7164" s="109"/>
      <c r="C7164" s="109"/>
      <c r="D7164" s="109"/>
      <c r="E7164" s="109"/>
      <c r="F7164" s="109"/>
      <c r="G7164" s="109"/>
      <c r="H7164" s="109"/>
      <c r="I7164" s="109"/>
      <c r="J7164" s="109"/>
    </row>
    <row r="7165" spans="1:10" customFormat="1" ht="12.75" hidden="1">
      <c r="A7165" s="109"/>
      <c r="B7165" s="109"/>
      <c r="C7165" s="109"/>
      <c r="D7165" s="109"/>
      <c r="E7165" s="109"/>
      <c r="F7165" s="109"/>
      <c r="G7165" s="109"/>
      <c r="H7165" s="109"/>
      <c r="I7165" s="109"/>
      <c r="J7165" s="109"/>
    </row>
    <row r="7166" spans="1:10" customFormat="1" ht="12.75" hidden="1">
      <c r="A7166" s="109"/>
      <c r="B7166" s="109"/>
      <c r="C7166" s="109"/>
      <c r="D7166" s="109"/>
      <c r="E7166" s="109"/>
      <c r="F7166" s="109"/>
      <c r="G7166" s="109"/>
      <c r="H7166" s="109"/>
      <c r="I7166" s="109"/>
      <c r="J7166" s="109"/>
    </row>
    <row r="7167" spans="1:10" customFormat="1" ht="12.75" hidden="1">
      <c r="A7167" s="109"/>
      <c r="B7167" s="109"/>
      <c r="C7167" s="109"/>
      <c r="D7167" s="109"/>
      <c r="E7167" s="109"/>
      <c r="F7167" s="109"/>
      <c r="G7167" s="109"/>
      <c r="H7167" s="109"/>
      <c r="I7167" s="109"/>
      <c r="J7167" s="109"/>
    </row>
    <row r="7168" spans="1:10" customFormat="1" ht="12.75" hidden="1">
      <c r="A7168" s="109"/>
      <c r="B7168" s="109"/>
      <c r="C7168" s="109"/>
      <c r="D7168" s="109"/>
      <c r="E7168" s="109"/>
      <c r="F7168" s="109"/>
      <c r="G7168" s="109"/>
      <c r="H7168" s="109"/>
      <c r="I7168" s="109"/>
      <c r="J7168" s="109"/>
    </row>
    <row r="7169" spans="1:10" customFormat="1" ht="12.75" hidden="1">
      <c r="A7169" s="109"/>
      <c r="B7169" s="109"/>
      <c r="C7169" s="109"/>
      <c r="D7169" s="109"/>
      <c r="E7169" s="109"/>
      <c r="F7169" s="109"/>
      <c r="G7169" s="109"/>
      <c r="H7169" s="109"/>
      <c r="I7169" s="109"/>
      <c r="J7169" s="109"/>
    </row>
    <row r="7170" spans="1:10" customFormat="1" ht="12.75" hidden="1">
      <c r="A7170" s="109"/>
      <c r="B7170" s="109"/>
      <c r="C7170" s="109"/>
      <c r="D7170" s="109"/>
      <c r="E7170" s="109"/>
      <c r="F7170" s="109"/>
      <c r="G7170" s="109"/>
      <c r="H7170" s="109"/>
      <c r="I7170" s="109"/>
      <c r="J7170" s="109"/>
    </row>
    <row r="7171" spans="1:10" customFormat="1" ht="12.75" hidden="1">
      <c r="A7171" s="109"/>
      <c r="B7171" s="109"/>
      <c r="C7171" s="109"/>
      <c r="D7171" s="109"/>
      <c r="E7171" s="109"/>
      <c r="F7171" s="109"/>
      <c r="G7171" s="109"/>
      <c r="H7171" s="109"/>
      <c r="I7171" s="109"/>
      <c r="J7171" s="109"/>
    </row>
    <row r="7172" spans="1:10" customFormat="1" ht="12.75" hidden="1">
      <c r="A7172" s="109"/>
      <c r="B7172" s="109"/>
      <c r="C7172" s="109"/>
      <c r="D7172" s="109"/>
      <c r="E7172" s="109"/>
      <c r="F7172" s="109"/>
      <c r="G7172" s="109"/>
      <c r="H7172" s="109"/>
      <c r="I7172" s="109"/>
      <c r="J7172" s="109"/>
    </row>
    <row r="7173" spans="1:10" customFormat="1" ht="12.75" hidden="1">
      <c r="A7173" s="109"/>
      <c r="B7173" s="109"/>
      <c r="C7173" s="109"/>
      <c r="D7173" s="109"/>
      <c r="E7173" s="109"/>
      <c r="F7173" s="109"/>
      <c r="G7173" s="109"/>
      <c r="H7173" s="109"/>
      <c r="I7173" s="109"/>
      <c r="J7173" s="109"/>
    </row>
    <row r="7174" spans="1:10" customFormat="1" ht="12.75" hidden="1">
      <c r="A7174" s="109"/>
      <c r="B7174" s="109"/>
      <c r="C7174" s="109"/>
      <c r="D7174" s="109"/>
      <c r="E7174" s="109"/>
      <c r="F7174" s="109"/>
      <c r="G7174" s="109"/>
      <c r="H7174" s="109"/>
      <c r="I7174" s="109"/>
      <c r="J7174" s="109"/>
    </row>
    <row r="7175" spans="1:10" customFormat="1" ht="12.75" hidden="1">
      <c r="A7175" s="109"/>
      <c r="B7175" s="109"/>
      <c r="C7175" s="109"/>
      <c r="D7175" s="109"/>
      <c r="E7175" s="109"/>
      <c r="F7175" s="109"/>
      <c r="G7175" s="109"/>
      <c r="H7175" s="109"/>
      <c r="I7175" s="109"/>
      <c r="J7175" s="109"/>
    </row>
    <row r="7176" spans="1:10" customFormat="1" ht="12.75" hidden="1">
      <c r="A7176" s="109"/>
      <c r="B7176" s="109"/>
      <c r="C7176" s="109"/>
      <c r="D7176" s="109"/>
      <c r="E7176" s="109"/>
      <c r="F7176" s="109"/>
      <c r="G7176" s="109"/>
      <c r="H7176" s="109"/>
      <c r="I7176" s="109"/>
      <c r="J7176" s="109"/>
    </row>
    <row r="7177" spans="1:10" customFormat="1" ht="12.75" hidden="1">
      <c r="A7177" s="109"/>
      <c r="B7177" s="109"/>
      <c r="C7177" s="109"/>
      <c r="D7177" s="109"/>
      <c r="E7177" s="109"/>
      <c r="F7177" s="109"/>
      <c r="G7177" s="109"/>
      <c r="H7177" s="109"/>
      <c r="I7177" s="109"/>
      <c r="J7177" s="109"/>
    </row>
    <row r="7178" spans="1:10" customFormat="1" ht="12.75" hidden="1">
      <c r="A7178" s="109"/>
      <c r="B7178" s="109"/>
      <c r="C7178" s="109"/>
      <c r="D7178" s="109"/>
      <c r="E7178" s="109"/>
      <c r="F7178" s="109"/>
      <c r="G7178" s="109"/>
      <c r="H7178" s="109"/>
      <c r="I7178" s="109"/>
      <c r="J7178" s="109"/>
    </row>
    <row r="7179" spans="1:10" customFormat="1" ht="12.75" hidden="1">
      <c r="A7179" s="109"/>
      <c r="B7179" s="109"/>
      <c r="C7179" s="109"/>
      <c r="D7179" s="109"/>
      <c r="E7179" s="109"/>
      <c r="F7179" s="109"/>
      <c r="G7179" s="109"/>
      <c r="H7179" s="109"/>
      <c r="I7179" s="109"/>
      <c r="J7179" s="109"/>
    </row>
    <row r="7180" spans="1:10" customFormat="1" ht="12.75" hidden="1">
      <c r="A7180" s="109"/>
      <c r="B7180" s="109"/>
      <c r="C7180" s="109"/>
      <c r="D7180" s="109"/>
      <c r="E7180" s="109"/>
      <c r="F7180" s="109"/>
      <c r="G7180" s="109"/>
      <c r="H7180" s="109"/>
      <c r="I7180" s="109"/>
      <c r="J7180" s="109"/>
    </row>
    <row r="7181" spans="1:10" customFormat="1" ht="12.75" hidden="1">
      <c r="A7181" s="109"/>
      <c r="B7181" s="109"/>
      <c r="C7181" s="109"/>
      <c r="D7181" s="109"/>
      <c r="E7181" s="109"/>
      <c r="F7181" s="109"/>
      <c r="G7181" s="109"/>
      <c r="H7181" s="109"/>
      <c r="I7181" s="109"/>
      <c r="J7181" s="109"/>
    </row>
    <row r="7182" spans="1:10" customFormat="1" ht="12.75" hidden="1">
      <c r="A7182" s="109"/>
      <c r="B7182" s="109"/>
      <c r="C7182" s="109"/>
      <c r="D7182" s="109"/>
      <c r="E7182" s="109"/>
      <c r="F7182" s="109"/>
      <c r="G7182" s="109"/>
      <c r="H7182" s="109"/>
      <c r="I7182" s="109"/>
      <c r="J7182" s="109"/>
    </row>
    <row r="7183" spans="1:10" customFormat="1" ht="12.75" hidden="1">
      <c r="A7183" s="109"/>
      <c r="B7183" s="109"/>
      <c r="C7183" s="109"/>
      <c r="D7183" s="109"/>
      <c r="E7183" s="109"/>
      <c r="F7183" s="109"/>
      <c r="G7183" s="109"/>
      <c r="H7183" s="109"/>
      <c r="I7183" s="109"/>
      <c r="J7183" s="109"/>
    </row>
    <row r="7184" spans="1:10" customFormat="1" ht="12.75" hidden="1">
      <c r="A7184" s="109"/>
      <c r="B7184" s="109"/>
      <c r="C7184" s="109"/>
      <c r="D7184" s="109"/>
      <c r="E7184" s="109"/>
      <c r="F7184" s="109"/>
      <c r="G7184" s="109"/>
      <c r="H7184" s="109"/>
      <c r="I7184" s="109"/>
      <c r="J7184" s="109"/>
    </row>
    <row r="7185" spans="1:10" customFormat="1" ht="12.75" hidden="1">
      <c r="A7185" s="109"/>
      <c r="B7185" s="109"/>
      <c r="C7185" s="109"/>
      <c r="D7185" s="109"/>
      <c r="E7185" s="109"/>
      <c r="F7185" s="109"/>
      <c r="G7185" s="109"/>
      <c r="H7185" s="109"/>
      <c r="I7185" s="109"/>
      <c r="J7185" s="109"/>
    </row>
    <row r="7186" spans="1:10" customFormat="1" ht="12.75" hidden="1">
      <c r="A7186" s="109"/>
      <c r="B7186" s="109"/>
      <c r="C7186" s="109"/>
      <c r="D7186" s="109"/>
      <c r="E7186" s="109"/>
      <c r="F7186" s="109"/>
      <c r="G7186" s="109"/>
      <c r="H7186" s="109"/>
      <c r="I7186" s="109"/>
      <c r="J7186" s="109"/>
    </row>
    <row r="7187" spans="1:10" customFormat="1" ht="12.75" hidden="1">
      <c r="A7187" s="109"/>
      <c r="B7187" s="109"/>
      <c r="C7187" s="109"/>
      <c r="D7187" s="109"/>
      <c r="E7187" s="109"/>
      <c r="F7187" s="109"/>
      <c r="G7187" s="109"/>
      <c r="H7187" s="109"/>
      <c r="I7187" s="109"/>
      <c r="J7187" s="109"/>
    </row>
    <row r="7188" spans="1:10" customFormat="1" ht="12.75" hidden="1">
      <c r="A7188" s="109"/>
      <c r="B7188" s="109"/>
      <c r="C7188" s="109"/>
      <c r="D7188" s="109"/>
      <c r="E7188" s="109"/>
      <c r="F7188" s="109"/>
      <c r="G7188" s="109"/>
      <c r="H7188" s="109"/>
      <c r="I7188" s="109"/>
      <c r="J7188" s="109"/>
    </row>
    <row r="7189" spans="1:10" customFormat="1" ht="12.75" hidden="1">
      <c r="A7189" s="109"/>
      <c r="B7189" s="109"/>
      <c r="C7189" s="109"/>
      <c r="D7189" s="109"/>
      <c r="E7189" s="109"/>
      <c r="F7189" s="109"/>
      <c r="G7189" s="109"/>
      <c r="H7189" s="109"/>
      <c r="I7189" s="109"/>
      <c r="J7189" s="109"/>
    </row>
    <row r="7190" spans="1:10" customFormat="1" ht="12.75" hidden="1">
      <c r="A7190" s="109"/>
      <c r="B7190" s="109"/>
      <c r="C7190" s="109"/>
      <c r="D7190" s="109"/>
      <c r="E7190" s="109"/>
      <c r="F7190" s="109"/>
      <c r="G7190" s="109"/>
      <c r="H7190" s="109"/>
      <c r="I7190" s="109"/>
      <c r="J7190" s="109"/>
    </row>
    <row r="7191" spans="1:10" customFormat="1" ht="12.75" hidden="1">
      <c r="A7191" s="109"/>
      <c r="B7191" s="109"/>
      <c r="C7191" s="109"/>
      <c r="D7191" s="109"/>
      <c r="E7191" s="109"/>
      <c r="F7191" s="109"/>
      <c r="G7191" s="109"/>
      <c r="H7191" s="109"/>
      <c r="I7191" s="109"/>
      <c r="J7191" s="109"/>
    </row>
    <row r="7192" spans="1:10" customFormat="1" ht="12.75" hidden="1">
      <c r="A7192" s="109"/>
      <c r="B7192" s="109"/>
      <c r="C7192" s="109"/>
      <c r="D7192" s="109"/>
      <c r="E7192" s="109"/>
      <c r="F7192" s="109"/>
      <c r="G7192" s="109"/>
      <c r="H7192" s="109"/>
      <c r="I7192" s="109"/>
      <c r="J7192" s="109"/>
    </row>
    <row r="7193" spans="1:10" customFormat="1" ht="12.75" hidden="1">
      <c r="A7193" s="109"/>
      <c r="B7193" s="109"/>
      <c r="C7193" s="109"/>
      <c r="D7193" s="109"/>
      <c r="E7193" s="109"/>
      <c r="F7193" s="109"/>
      <c r="G7193" s="109"/>
      <c r="H7193" s="109"/>
      <c r="I7193" s="109"/>
      <c r="J7193" s="109"/>
    </row>
    <row r="7194" spans="1:10" customFormat="1" ht="12.75" hidden="1">
      <c r="A7194" s="109"/>
      <c r="B7194" s="109"/>
      <c r="C7194" s="109"/>
      <c r="D7194" s="109"/>
      <c r="E7194" s="109"/>
      <c r="F7194" s="109"/>
      <c r="G7194" s="109"/>
      <c r="H7194" s="109"/>
      <c r="I7194" s="109"/>
      <c r="J7194" s="109"/>
    </row>
    <row r="7195" spans="1:10" customFormat="1" ht="12.75" hidden="1">
      <c r="A7195" s="109"/>
      <c r="B7195" s="109"/>
      <c r="C7195" s="109"/>
      <c r="D7195" s="109"/>
      <c r="E7195" s="109"/>
      <c r="F7195" s="109"/>
      <c r="G7195" s="109"/>
      <c r="H7195" s="109"/>
      <c r="I7195" s="109"/>
      <c r="J7195" s="109"/>
    </row>
    <row r="7196" spans="1:10" customFormat="1" ht="12.75" hidden="1">
      <c r="A7196" s="109"/>
      <c r="B7196" s="109"/>
      <c r="C7196" s="109"/>
      <c r="D7196" s="109"/>
      <c r="E7196" s="109"/>
      <c r="F7196" s="109"/>
      <c r="G7196" s="109"/>
      <c r="H7196" s="109"/>
      <c r="I7196" s="109"/>
      <c r="J7196" s="109"/>
    </row>
    <row r="7197" spans="1:10" customFormat="1" ht="12.75" hidden="1">
      <c r="A7197" s="109"/>
      <c r="B7197" s="109"/>
      <c r="C7197" s="109"/>
      <c r="D7197" s="109"/>
      <c r="E7197" s="109"/>
      <c r="F7197" s="109"/>
      <c r="G7197" s="109"/>
      <c r="H7197" s="109"/>
      <c r="I7197" s="109"/>
      <c r="J7197" s="109"/>
    </row>
    <row r="7198" spans="1:10" customFormat="1" ht="12.75" hidden="1">
      <c r="A7198" s="109"/>
      <c r="B7198" s="109"/>
      <c r="C7198" s="109"/>
      <c r="D7198" s="109"/>
      <c r="E7198" s="109"/>
      <c r="F7198" s="109"/>
      <c r="G7198" s="109"/>
      <c r="H7198" s="109"/>
      <c r="I7198" s="109"/>
      <c r="J7198" s="109"/>
    </row>
    <row r="7199" spans="1:10" customFormat="1" ht="12.75" hidden="1">
      <c r="A7199" s="109"/>
      <c r="B7199" s="109"/>
      <c r="C7199" s="109"/>
      <c r="D7199" s="109"/>
      <c r="E7199" s="109"/>
      <c r="F7199" s="109"/>
      <c r="G7199" s="109"/>
      <c r="H7199" s="109"/>
      <c r="I7199" s="109"/>
      <c r="J7199" s="109"/>
    </row>
    <row r="7200" spans="1:10" customFormat="1" ht="12.75" hidden="1">
      <c r="A7200" s="109"/>
      <c r="B7200" s="109"/>
      <c r="C7200" s="109"/>
      <c r="D7200" s="109"/>
      <c r="E7200" s="109"/>
      <c r="F7200" s="109"/>
      <c r="G7200" s="109"/>
      <c r="H7200" s="109"/>
      <c r="I7200" s="109"/>
      <c r="J7200" s="109"/>
    </row>
    <row r="7201" spans="1:10" customFormat="1" ht="12.75" hidden="1">
      <c r="A7201" s="109"/>
      <c r="B7201" s="109"/>
      <c r="C7201" s="109"/>
      <c r="D7201" s="109"/>
      <c r="E7201" s="109"/>
      <c r="F7201" s="109"/>
      <c r="G7201" s="109"/>
      <c r="H7201" s="109"/>
      <c r="I7201" s="109"/>
      <c r="J7201" s="109"/>
    </row>
    <row r="7202" spans="1:10" customFormat="1" ht="12.75" hidden="1">
      <c r="A7202" s="109"/>
      <c r="B7202" s="109"/>
      <c r="C7202" s="109"/>
      <c r="D7202" s="109"/>
      <c r="E7202" s="109"/>
      <c r="F7202" s="109"/>
      <c r="G7202" s="109"/>
      <c r="H7202" s="109"/>
      <c r="I7202" s="109"/>
      <c r="J7202" s="109"/>
    </row>
    <row r="7203" spans="1:10" customFormat="1" ht="12.75" hidden="1">
      <c r="A7203" s="109"/>
      <c r="B7203" s="109"/>
      <c r="C7203" s="109"/>
      <c r="D7203" s="109"/>
      <c r="E7203" s="109"/>
      <c r="F7203" s="109"/>
      <c r="G7203" s="109"/>
      <c r="H7203" s="109"/>
      <c r="I7203" s="109"/>
      <c r="J7203" s="109"/>
    </row>
    <row r="7204" spans="1:10" customFormat="1" ht="12.75" hidden="1">
      <c r="A7204" s="109"/>
      <c r="B7204" s="109"/>
      <c r="C7204" s="109"/>
      <c r="D7204" s="109"/>
      <c r="E7204" s="109"/>
      <c r="F7204" s="109"/>
      <c r="G7204" s="109"/>
      <c r="H7204" s="109"/>
      <c r="I7204" s="109"/>
      <c r="J7204" s="109"/>
    </row>
    <row r="7205" spans="1:10" customFormat="1" ht="12.75" hidden="1">
      <c r="A7205" s="109"/>
      <c r="B7205" s="109"/>
      <c r="C7205" s="109"/>
      <c r="D7205" s="109"/>
      <c r="E7205" s="109"/>
      <c r="F7205" s="109"/>
      <c r="G7205" s="109"/>
      <c r="H7205" s="109"/>
      <c r="I7205" s="109"/>
      <c r="J7205" s="109"/>
    </row>
    <row r="7206" spans="1:10" customFormat="1" ht="12.75" hidden="1">
      <c r="A7206" s="109"/>
      <c r="B7206" s="109"/>
      <c r="C7206" s="109"/>
      <c r="D7206" s="109"/>
      <c r="E7206" s="109"/>
      <c r="F7206" s="109"/>
      <c r="G7206" s="109"/>
      <c r="H7206" s="109"/>
      <c r="I7206" s="109"/>
      <c r="J7206" s="109"/>
    </row>
    <row r="7207" spans="1:10" customFormat="1" ht="12.75" hidden="1">
      <c r="A7207" s="109"/>
      <c r="B7207" s="109"/>
      <c r="C7207" s="109"/>
      <c r="D7207" s="109"/>
      <c r="E7207" s="109"/>
      <c r="F7207" s="109"/>
      <c r="G7207" s="109"/>
      <c r="H7207" s="109"/>
      <c r="I7207" s="109"/>
      <c r="J7207" s="109"/>
    </row>
    <row r="7208" spans="1:10" customFormat="1" ht="12.75" hidden="1">
      <c r="A7208" s="109"/>
      <c r="B7208" s="109"/>
      <c r="C7208" s="109"/>
      <c r="D7208" s="109"/>
      <c r="E7208" s="109"/>
      <c r="F7208" s="109"/>
      <c r="G7208" s="109"/>
      <c r="H7208" s="109"/>
      <c r="I7208" s="109"/>
      <c r="J7208" s="109"/>
    </row>
    <row r="7209" spans="1:10" customFormat="1" ht="12.75" hidden="1">
      <c r="A7209" s="109"/>
      <c r="B7209" s="109"/>
      <c r="C7209" s="109"/>
      <c r="D7209" s="109"/>
      <c r="E7209" s="109"/>
      <c r="F7209" s="109"/>
      <c r="G7209" s="109"/>
      <c r="H7209" s="109"/>
      <c r="I7209" s="109"/>
      <c r="J7209" s="109"/>
    </row>
    <row r="7210" spans="1:10" customFormat="1" ht="12.75" hidden="1">
      <c r="A7210" s="109"/>
      <c r="B7210" s="109"/>
      <c r="C7210" s="109"/>
      <c r="D7210" s="109"/>
      <c r="E7210" s="109"/>
      <c r="F7210" s="109"/>
      <c r="G7210" s="109"/>
      <c r="H7210" s="109"/>
      <c r="I7210" s="109"/>
      <c r="J7210" s="109"/>
    </row>
    <row r="7211" spans="1:10" customFormat="1" ht="12.75" hidden="1">
      <c r="A7211" s="109"/>
      <c r="B7211" s="109"/>
      <c r="C7211" s="109"/>
      <c r="D7211" s="109"/>
      <c r="E7211" s="109"/>
      <c r="F7211" s="109"/>
      <c r="G7211" s="109"/>
      <c r="H7211" s="109"/>
      <c r="I7211" s="109"/>
      <c r="J7211" s="109"/>
    </row>
    <row r="7212" spans="1:10" customFormat="1" ht="12.75" hidden="1">
      <c r="A7212" s="109"/>
      <c r="B7212" s="109"/>
      <c r="C7212" s="109"/>
      <c r="D7212" s="109"/>
      <c r="E7212" s="109"/>
      <c r="F7212" s="109"/>
      <c r="G7212" s="109"/>
      <c r="H7212" s="109"/>
      <c r="I7212" s="109"/>
      <c r="J7212" s="109"/>
    </row>
    <row r="7213" spans="1:10" customFormat="1" ht="12.75" hidden="1">
      <c r="A7213" s="109"/>
      <c r="B7213" s="109"/>
      <c r="C7213" s="109"/>
      <c r="D7213" s="109"/>
      <c r="E7213" s="109"/>
      <c r="F7213" s="109"/>
      <c r="G7213" s="109"/>
      <c r="H7213" s="109"/>
      <c r="I7213" s="109"/>
      <c r="J7213" s="109"/>
    </row>
    <row r="7214" spans="1:10" customFormat="1" ht="12.75" hidden="1">
      <c r="A7214" s="109"/>
      <c r="B7214" s="109"/>
      <c r="C7214" s="109"/>
      <c r="D7214" s="109"/>
      <c r="E7214" s="109"/>
      <c r="F7214" s="109"/>
      <c r="G7214" s="109"/>
      <c r="H7214" s="109"/>
      <c r="I7214" s="109"/>
      <c r="J7214" s="109"/>
    </row>
    <row r="7215" spans="1:10" customFormat="1" ht="12.75" hidden="1">
      <c r="A7215" s="109"/>
      <c r="B7215" s="109"/>
      <c r="C7215" s="109"/>
      <c r="D7215" s="109"/>
      <c r="E7215" s="109"/>
      <c r="F7215" s="109"/>
      <c r="G7215" s="109"/>
      <c r="H7215" s="109"/>
      <c r="I7215" s="109"/>
      <c r="J7215" s="109"/>
    </row>
    <row r="7216" spans="1:10" customFormat="1" ht="12.75" hidden="1">
      <c r="A7216" s="109"/>
      <c r="B7216" s="109"/>
      <c r="C7216" s="109"/>
      <c r="D7216" s="109"/>
      <c r="E7216" s="109"/>
      <c r="F7216" s="109"/>
      <c r="G7216" s="109"/>
      <c r="H7216" s="109"/>
      <c r="I7216" s="109"/>
      <c r="J7216" s="109"/>
    </row>
    <row r="7217" spans="1:10" customFormat="1" ht="12.75" hidden="1">
      <c r="A7217" s="109"/>
      <c r="B7217" s="109"/>
      <c r="C7217" s="109"/>
      <c r="D7217" s="109"/>
      <c r="E7217" s="109"/>
      <c r="F7217" s="109"/>
      <c r="G7217" s="109"/>
      <c r="H7217" s="109"/>
      <c r="I7217" s="109"/>
      <c r="J7217" s="109"/>
    </row>
    <row r="7218" spans="1:10" customFormat="1" ht="12.75" hidden="1">
      <c r="A7218" s="109"/>
      <c r="B7218" s="109"/>
      <c r="C7218" s="109"/>
      <c r="D7218" s="109"/>
      <c r="E7218" s="109"/>
      <c r="F7218" s="109"/>
      <c r="G7218" s="109"/>
      <c r="H7218" s="109"/>
      <c r="I7218" s="109"/>
      <c r="J7218" s="109"/>
    </row>
    <row r="7219" spans="1:10" customFormat="1" ht="12.75" hidden="1">
      <c r="A7219" s="109"/>
      <c r="B7219" s="109"/>
      <c r="C7219" s="109"/>
      <c r="D7219" s="109"/>
      <c r="E7219" s="109"/>
      <c r="F7219" s="109"/>
      <c r="G7219" s="109"/>
      <c r="H7219" s="109"/>
      <c r="I7219" s="109"/>
      <c r="J7219" s="109"/>
    </row>
    <row r="7220" spans="1:10" customFormat="1" ht="12.75" hidden="1">
      <c r="A7220" s="109"/>
      <c r="B7220" s="109"/>
      <c r="C7220" s="109"/>
      <c r="D7220" s="109"/>
      <c r="E7220" s="109"/>
      <c r="F7220" s="109"/>
      <c r="G7220" s="109"/>
      <c r="H7220" s="109"/>
      <c r="I7220" s="109"/>
      <c r="J7220" s="109"/>
    </row>
    <row r="7221" spans="1:10" customFormat="1" ht="12.75" hidden="1">
      <c r="A7221" s="109"/>
      <c r="B7221" s="109"/>
      <c r="C7221" s="109"/>
      <c r="D7221" s="109"/>
      <c r="E7221" s="109"/>
      <c r="F7221" s="109"/>
      <c r="G7221" s="109"/>
      <c r="H7221" s="109"/>
      <c r="I7221" s="109"/>
      <c r="J7221" s="109"/>
    </row>
    <row r="7222" spans="1:10" customFormat="1" ht="12.75" hidden="1">
      <c r="A7222" s="109"/>
      <c r="B7222" s="109"/>
      <c r="C7222" s="109"/>
      <c r="D7222" s="109"/>
      <c r="E7222" s="109"/>
      <c r="F7222" s="109"/>
      <c r="G7222" s="109"/>
      <c r="H7222" s="109"/>
      <c r="I7222" s="109"/>
      <c r="J7222" s="109"/>
    </row>
    <row r="7223" spans="1:10" customFormat="1" ht="12.75" hidden="1">
      <c r="A7223" s="109"/>
      <c r="B7223" s="109"/>
      <c r="C7223" s="109"/>
      <c r="D7223" s="109"/>
      <c r="E7223" s="109"/>
      <c r="F7223" s="109"/>
      <c r="G7223" s="109"/>
      <c r="H7223" s="109"/>
      <c r="I7223" s="109"/>
      <c r="J7223" s="109"/>
    </row>
    <row r="7224" spans="1:10" customFormat="1" ht="12.75" hidden="1">
      <c r="A7224" s="109"/>
      <c r="B7224" s="109"/>
      <c r="C7224" s="109"/>
      <c r="D7224" s="109"/>
      <c r="E7224" s="109"/>
      <c r="F7224" s="109"/>
      <c r="G7224" s="109"/>
      <c r="H7224" s="109"/>
      <c r="I7224" s="109"/>
      <c r="J7224" s="109"/>
    </row>
    <row r="7225" spans="1:10" customFormat="1" ht="12.75" hidden="1">
      <c r="A7225" s="109"/>
      <c r="B7225" s="109"/>
      <c r="C7225" s="109"/>
      <c r="D7225" s="109"/>
      <c r="E7225" s="109"/>
      <c r="F7225" s="109"/>
      <c r="G7225" s="109"/>
      <c r="H7225" s="109"/>
      <c r="I7225" s="109"/>
      <c r="J7225" s="109"/>
    </row>
    <row r="7226" spans="1:10" customFormat="1" ht="12.75" hidden="1">
      <c r="A7226" s="109"/>
      <c r="B7226" s="109"/>
      <c r="C7226" s="109"/>
      <c r="D7226" s="109"/>
      <c r="E7226" s="109"/>
      <c r="F7226" s="109"/>
      <c r="G7226" s="109"/>
      <c r="H7226" s="109"/>
      <c r="I7226" s="109"/>
      <c r="J7226" s="109"/>
    </row>
    <row r="7227" spans="1:10" customFormat="1" ht="12.75" hidden="1">
      <c r="A7227" s="109"/>
      <c r="B7227" s="109"/>
      <c r="C7227" s="109"/>
      <c r="D7227" s="109"/>
      <c r="E7227" s="109"/>
      <c r="F7227" s="109"/>
      <c r="G7227" s="109"/>
      <c r="H7227" s="109"/>
      <c r="I7227" s="109"/>
      <c r="J7227" s="109"/>
    </row>
    <row r="7228" spans="1:10" customFormat="1" ht="12.75" hidden="1">
      <c r="A7228" s="109"/>
      <c r="B7228" s="109"/>
      <c r="C7228" s="109"/>
      <c r="D7228" s="109"/>
      <c r="E7228" s="109"/>
      <c r="F7228" s="109"/>
      <c r="G7228" s="109"/>
      <c r="H7228" s="109"/>
      <c r="I7228" s="109"/>
      <c r="J7228" s="109"/>
    </row>
    <row r="7229" spans="1:10" customFormat="1" ht="12.75" hidden="1">
      <c r="A7229" s="109"/>
      <c r="B7229" s="109"/>
      <c r="C7229" s="109"/>
      <c r="D7229" s="109"/>
      <c r="E7229" s="109"/>
      <c r="F7229" s="109"/>
      <c r="G7229" s="109"/>
      <c r="H7229" s="109"/>
      <c r="I7229" s="109"/>
      <c r="J7229" s="109"/>
    </row>
    <row r="7230" spans="1:10" customFormat="1" ht="12.75" hidden="1">
      <c r="A7230" s="109"/>
      <c r="B7230" s="109"/>
      <c r="C7230" s="109"/>
      <c r="D7230" s="109"/>
      <c r="E7230" s="109"/>
      <c r="F7230" s="109"/>
      <c r="G7230" s="109"/>
      <c r="H7230" s="109"/>
      <c r="I7230" s="109"/>
      <c r="J7230" s="109"/>
    </row>
    <row r="7231" spans="1:10" customFormat="1" ht="12.75" hidden="1">
      <c r="A7231" s="109"/>
      <c r="B7231" s="109"/>
      <c r="C7231" s="109"/>
      <c r="D7231" s="109"/>
      <c r="E7231" s="109"/>
      <c r="F7231" s="109"/>
      <c r="G7231" s="109"/>
      <c r="H7231" s="109"/>
      <c r="I7231" s="109"/>
      <c r="J7231" s="109"/>
    </row>
    <row r="7232" spans="1:10" customFormat="1" ht="12.75" hidden="1">
      <c r="A7232" s="109"/>
      <c r="B7232" s="109"/>
      <c r="C7232" s="109"/>
      <c r="D7232" s="109"/>
      <c r="E7232" s="109"/>
      <c r="F7232" s="109"/>
      <c r="G7232" s="109"/>
      <c r="H7232" s="109"/>
      <c r="I7232" s="109"/>
      <c r="J7232" s="109"/>
    </row>
    <row r="7233" spans="1:10" customFormat="1" ht="12.75" hidden="1">
      <c r="A7233" s="109"/>
      <c r="B7233" s="109"/>
      <c r="C7233" s="109"/>
      <c r="D7233" s="109"/>
      <c r="E7233" s="109"/>
      <c r="F7233" s="109"/>
      <c r="G7233" s="109"/>
      <c r="H7233" s="109"/>
      <c r="I7233" s="109"/>
      <c r="J7233" s="109"/>
    </row>
    <row r="7234" spans="1:10" customFormat="1" ht="12.75" hidden="1">
      <c r="A7234" s="109"/>
      <c r="B7234" s="109"/>
      <c r="C7234" s="109"/>
      <c r="D7234" s="109"/>
      <c r="E7234" s="109"/>
      <c r="F7234" s="109"/>
      <c r="G7234" s="109"/>
      <c r="H7234" s="109"/>
      <c r="I7234" s="109"/>
      <c r="J7234" s="109"/>
    </row>
    <row r="7235" spans="1:10" customFormat="1" ht="12.75" hidden="1">
      <c r="A7235" s="109"/>
      <c r="B7235" s="109"/>
      <c r="C7235" s="109"/>
      <c r="D7235" s="109"/>
      <c r="E7235" s="109"/>
      <c r="F7235" s="109"/>
      <c r="G7235" s="109"/>
      <c r="H7235" s="109"/>
      <c r="I7235" s="109"/>
      <c r="J7235" s="109"/>
    </row>
    <row r="7236" spans="1:10" customFormat="1" ht="12.75" hidden="1">
      <c r="A7236" s="109"/>
      <c r="B7236" s="109"/>
      <c r="C7236" s="109"/>
      <c r="D7236" s="109"/>
      <c r="E7236" s="109"/>
      <c r="F7236" s="109"/>
      <c r="G7236" s="109"/>
      <c r="H7236" s="109"/>
      <c r="I7236" s="109"/>
      <c r="J7236" s="109"/>
    </row>
    <row r="7237" spans="1:10" customFormat="1" ht="12.75" hidden="1">
      <c r="A7237" s="109"/>
      <c r="B7237" s="109"/>
      <c r="C7237" s="109"/>
      <c r="D7237" s="109"/>
      <c r="E7237" s="109"/>
      <c r="F7237" s="109"/>
      <c r="G7237" s="109"/>
      <c r="H7237" s="109"/>
      <c r="I7237" s="109"/>
      <c r="J7237" s="109"/>
    </row>
    <row r="7238" spans="1:10" customFormat="1" ht="12.75" hidden="1">
      <c r="A7238" s="109"/>
      <c r="B7238" s="109"/>
      <c r="C7238" s="109"/>
      <c r="D7238" s="109"/>
      <c r="E7238" s="109"/>
      <c r="F7238" s="109"/>
      <c r="G7238" s="109"/>
      <c r="H7238" s="109"/>
      <c r="I7238" s="109"/>
      <c r="J7238" s="109"/>
    </row>
    <row r="7239" spans="1:10" customFormat="1" ht="12.75" hidden="1">
      <c r="A7239" s="109"/>
      <c r="B7239" s="109"/>
      <c r="C7239" s="109"/>
      <c r="D7239" s="109"/>
      <c r="E7239" s="109"/>
      <c r="F7239" s="109"/>
      <c r="G7239" s="109"/>
      <c r="H7239" s="109"/>
      <c r="I7239" s="109"/>
      <c r="J7239" s="109"/>
    </row>
    <row r="7240" spans="1:10" customFormat="1" ht="12.75" hidden="1">
      <c r="A7240" s="109"/>
      <c r="B7240" s="109"/>
      <c r="C7240" s="109"/>
      <c r="D7240" s="109"/>
      <c r="E7240" s="109"/>
      <c r="F7240" s="109"/>
      <c r="G7240" s="109"/>
      <c r="H7240" s="109"/>
      <c r="I7240" s="109"/>
      <c r="J7240" s="109"/>
    </row>
    <row r="7241" spans="1:10" customFormat="1" ht="12.75" hidden="1">
      <c r="A7241" s="109"/>
      <c r="B7241" s="109"/>
      <c r="C7241" s="109"/>
      <c r="D7241" s="109"/>
      <c r="E7241" s="109"/>
      <c r="F7241" s="109"/>
      <c r="G7241" s="109"/>
      <c r="H7241" s="109"/>
      <c r="I7241" s="109"/>
      <c r="J7241" s="109"/>
    </row>
    <row r="7242" spans="1:10" customFormat="1" ht="12.75" hidden="1">
      <c r="A7242" s="109"/>
      <c r="B7242" s="109"/>
      <c r="C7242" s="109"/>
      <c r="D7242" s="109"/>
      <c r="E7242" s="109"/>
      <c r="F7242" s="109"/>
      <c r="G7242" s="109"/>
      <c r="H7242" s="109"/>
      <c r="I7242" s="109"/>
      <c r="J7242" s="109"/>
    </row>
    <row r="7243" spans="1:10" customFormat="1" ht="12.75" hidden="1">
      <c r="A7243" s="109"/>
      <c r="B7243" s="109"/>
      <c r="C7243" s="109"/>
      <c r="D7243" s="109"/>
      <c r="E7243" s="109"/>
      <c r="F7243" s="109"/>
      <c r="G7243" s="109"/>
      <c r="H7243" s="109"/>
      <c r="I7243" s="109"/>
      <c r="J7243" s="109"/>
    </row>
    <row r="7244" spans="1:10" customFormat="1" ht="12.75" hidden="1">
      <c r="A7244" s="109"/>
      <c r="B7244" s="109"/>
      <c r="C7244" s="109"/>
      <c r="D7244" s="109"/>
      <c r="E7244" s="109"/>
      <c r="F7244" s="109"/>
      <c r="G7244" s="109"/>
      <c r="H7244" s="109"/>
      <c r="I7244" s="109"/>
      <c r="J7244" s="109"/>
    </row>
    <row r="7245" spans="1:10" customFormat="1" ht="12.75" hidden="1">
      <c r="A7245" s="109"/>
      <c r="B7245" s="109"/>
      <c r="C7245" s="109"/>
      <c r="D7245" s="109"/>
      <c r="E7245" s="109"/>
      <c r="F7245" s="109"/>
      <c r="G7245" s="109"/>
      <c r="H7245" s="109"/>
      <c r="I7245" s="109"/>
      <c r="J7245" s="109"/>
    </row>
    <row r="7246" spans="1:10" customFormat="1" ht="12.75" hidden="1">
      <c r="A7246" s="109"/>
      <c r="B7246" s="109"/>
      <c r="C7246" s="109"/>
      <c r="D7246" s="109"/>
      <c r="E7246" s="109"/>
      <c r="F7246" s="109"/>
      <c r="G7246" s="109"/>
      <c r="H7246" s="109"/>
      <c r="I7246" s="109"/>
      <c r="J7246" s="109"/>
    </row>
    <row r="7247" spans="1:10" customFormat="1" ht="12.75" hidden="1">
      <c r="A7247" s="109"/>
      <c r="B7247" s="109"/>
      <c r="C7247" s="109"/>
      <c r="D7247" s="109"/>
      <c r="E7247" s="109"/>
      <c r="F7247" s="109"/>
      <c r="G7247" s="109"/>
      <c r="H7247" s="109"/>
      <c r="I7247" s="109"/>
      <c r="J7247" s="109"/>
    </row>
    <row r="7248" spans="1:10" customFormat="1" ht="12.75" hidden="1">
      <c r="A7248" s="109"/>
      <c r="B7248" s="109"/>
      <c r="C7248" s="109"/>
      <c r="D7248" s="109"/>
      <c r="E7248" s="109"/>
      <c r="F7248" s="109"/>
      <c r="G7248" s="109"/>
      <c r="H7248" s="109"/>
      <c r="I7248" s="109"/>
      <c r="J7248" s="109"/>
    </row>
    <row r="7249" spans="1:10" customFormat="1" ht="12.75" hidden="1">
      <c r="A7249" s="109"/>
      <c r="B7249" s="109"/>
      <c r="C7249" s="109"/>
      <c r="D7249" s="109"/>
      <c r="E7249" s="109"/>
      <c r="F7249" s="109"/>
      <c r="G7249" s="109"/>
      <c r="H7249" s="109"/>
      <c r="I7249" s="109"/>
      <c r="J7249" s="109"/>
    </row>
    <row r="7250" spans="1:10" customFormat="1" ht="12.75" hidden="1">
      <c r="A7250" s="109"/>
      <c r="B7250" s="109"/>
      <c r="C7250" s="109"/>
      <c r="D7250" s="109"/>
      <c r="E7250" s="109"/>
      <c r="F7250" s="109"/>
      <c r="G7250" s="109"/>
      <c r="H7250" s="109"/>
      <c r="I7250" s="109"/>
      <c r="J7250" s="109"/>
    </row>
    <row r="7251" spans="1:10" customFormat="1" ht="12.75" hidden="1">
      <c r="A7251" s="109"/>
      <c r="B7251" s="109"/>
      <c r="C7251" s="109"/>
      <c r="D7251" s="109"/>
      <c r="E7251" s="109"/>
      <c r="F7251" s="109"/>
      <c r="G7251" s="109"/>
      <c r="H7251" s="109"/>
      <c r="I7251" s="109"/>
      <c r="J7251" s="109"/>
    </row>
    <row r="7252" spans="1:10" customFormat="1" ht="12.75" hidden="1">
      <c r="A7252" s="109"/>
      <c r="B7252" s="109"/>
      <c r="C7252" s="109"/>
      <c r="D7252" s="109"/>
      <c r="E7252" s="109"/>
      <c r="F7252" s="109"/>
      <c r="G7252" s="109"/>
      <c r="H7252" s="109"/>
      <c r="I7252" s="109"/>
      <c r="J7252" s="109"/>
    </row>
    <row r="7253" spans="1:10" customFormat="1" ht="12.75" hidden="1">
      <c r="A7253" s="109"/>
      <c r="B7253" s="109"/>
      <c r="C7253" s="109"/>
      <c r="D7253" s="109"/>
      <c r="E7253" s="109"/>
      <c r="F7253" s="109"/>
      <c r="G7253" s="109"/>
      <c r="H7253" s="109"/>
      <c r="I7253" s="109"/>
      <c r="J7253" s="109"/>
    </row>
    <row r="7254" spans="1:10" customFormat="1" ht="12.75" hidden="1">
      <c r="A7254" s="109"/>
      <c r="B7254" s="109"/>
      <c r="C7254" s="109"/>
      <c r="D7254" s="109"/>
      <c r="E7254" s="109"/>
      <c r="F7254" s="109"/>
      <c r="G7254" s="109"/>
      <c r="H7254" s="109"/>
      <c r="I7254" s="109"/>
      <c r="J7254" s="109"/>
    </row>
    <row r="7255" spans="1:10" customFormat="1" ht="12.75" hidden="1">
      <c r="A7255" s="109"/>
      <c r="B7255" s="109"/>
      <c r="C7255" s="109"/>
      <c r="D7255" s="109"/>
      <c r="E7255" s="109"/>
      <c r="F7255" s="109"/>
      <c r="G7255" s="109"/>
      <c r="H7255" s="109"/>
      <c r="I7255" s="109"/>
      <c r="J7255" s="109"/>
    </row>
    <row r="7256" spans="1:10" customFormat="1" ht="12.75" hidden="1">
      <c r="A7256" s="109"/>
      <c r="B7256" s="109"/>
      <c r="C7256" s="109"/>
      <c r="D7256" s="109"/>
      <c r="E7256" s="109"/>
      <c r="F7256" s="109"/>
      <c r="G7256" s="109"/>
      <c r="H7256" s="109"/>
      <c r="I7256" s="109"/>
      <c r="J7256" s="109"/>
    </row>
    <row r="7257" spans="1:10" customFormat="1" ht="12.75" hidden="1">
      <c r="A7257" s="109"/>
      <c r="B7257" s="109"/>
      <c r="C7257" s="109"/>
      <c r="D7257" s="109"/>
      <c r="E7257" s="109"/>
      <c r="F7257" s="109"/>
      <c r="G7257" s="109"/>
      <c r="H7257" s="109"/>
      <c r="I7257" s="109"/>
      <c r="J7257" s="109"/>
    </row>
    <row r="7258" spans="1:10" customFormat="1" ht="12.75" hidden="1">
      <c r="A7258" s="109"/>
      <c r="B7258" s="109"/>
      <c r="C7258" s="109"/>
      <c r="D7258" s="109"/>
      <c r="E7258" s="109"/>
      <c r="F7258" s="109"/>
      <c r="G7258" s="109"/>
      <c r="H7258" s="109"/>
      <c r="I7258" s="109"/>
      <c r="J7258" s="109"/>
    </row>
    <row r="7259" spans="1:10" customFormat="1" ht="12.75" hidden="1">
      <c r="A7259" s="109"/>
      <c r="B7259" s="109"/>
      <c r="C7259" s="109"/>
      <c r="D7259" s="109"/>
      <c r="E7259" s="109"/>
      <c r="F7259" s="109"/>
      <c r="G7259" s="109"/>
      <c r="H7259" s="109"/>
      <c r="I7259" s="109"/>
      <c r="J7259" s="109"/>
    </row>
    <row r="7260" spans="1:10" customFormat="1" ht="12.75" hidden="1">
      <c r="A7260" s="109"/>
      <c r="B7260" s="109"/>
      <c r="C7260" s="109"/>
      <c r="D7260" s="109"/>
      <c r="E7260" s="109"/>
      <c r="F7260" s="109"/>
      <c r="G7260" s="109"/>
      <c r="H7260" s="109"/>
      <c r="I7260" s="109"/>
      <c r="J7260" s="109"/>
    </row>
    <row r="7261" spans="1:10" customFormat="1" ht="12.75" hidden="1">
      <c r="A7261" s="109"/>
      <c r="B7261" s="109"/>
      <c r="C7261" s="109"/>
      <c r="D7261" s="109"/>
      <c r="E7261" s="109"/>
      <c r="F7261" s="109"/>
      <c r="G7261" s="109"/>
      <c r="H7261" s="109"/>
      <c r="I7261" s="109"/>
      <c r="J7261" s="109"/>
    </row>
    <row r="7262" spans="1:10" customFormat="1" ht="12.75" hidden="1">
      <c r="A7262" s="109"/>
      <c r="B7262" s="109"/>
      <c r="C7262" s="109"/>
      <c r="D7262" s="109"/>
      <c r="E7262" s="109"/>
      <c r="F7262" s="109"/>
      <c r="G7262" s="109"/>
      <c r="H7262" s="109"/>
      <c r="I7262" s="109"/>
      <c r="J7262" s="109"/>
    </row>
    <row r="7263" spans="1:10" customFormat="1" ht="12.75" hidden="1">
      <c r="A7263" s="109"/>
      <c r="B7263" s="109"/>
      <c r="C7263" s="109"/>
      <c r="D7263" s="109"/>
      <c r="E7263" s="109"/>
      <c r="F7263" s="109"/>
      <c r="G7263" s="109"/>
      <c r="H7263" s="109"/>
      <c r="I7263" s="109"/>
      <c r="J7263" s="109"/>
    </row>
    <row r="7264" spans="1:10" customFormat="1" ht="12.75" hidden="1">
      <c r="A7264" s="109"/>
      <c r="B7264" s="109"/>
      <c r="C7264" s="109"/>
      <c r="D7264" s="109"/>
      <c r="E7264" s="109"/>
      <c r="F7264" s="109"/>
      <c r="G7264" s="109"/>
      <c r="H7264" s="109"/>
      <c r="I7264" s="109"/>
      <c r="J7264" s="109"/>
    </row>
    <row r="7265" spans="1:10" customFormat="1" ht="12.75" hidden="1">
      <c r="A7265" s="109"/>
      <c r="B7265" s="109"/>
      <c r="C7265" s="109"/>
      <c r="D7265" s="109"/>
      <c r="E7265" s="109"/>
      <c r="F7265" s="109"/>
      <c r="G7265" s="109"/>
      <c r="H7265" s="109"/>
      <c r="I7265" s="109"/>
      <c r="J7265" s="109"/>
    </row>
    <row r="7266" spans="1:10" customFormat="1" ht="12.75" hidden="1">
      <c r="A7266" s="109"/>
      <c r="B7266" s="109"/>
      <c r="C7266" s="109"/>
      <c r="D7266" s="109"/>
      <c r="E7266" s="109"/>
      <c r="F7266" s="109"/>
      <c r="G7266" s="109"/>
      <c r="H7266" s="109"/>
      <c r="I7266" s="109"/>
      <c r="J7266" s="109"/>
    </row>
    <row r="7267" spans="1:10" customFormat="1" ht="12.75" hidden="1">
      <c r="A7267" s="109"/>
      <c r="B7267" s="109"/>
      <c r="C7267" s="109"/>
      <c r="D7267" s="109"/>
      <c r="E7267" s="109"/>
      <c r="F7267" s="109"/>
      <c r="G7267" s="109"/>
      <c r="H7267" s="109"/>
      <c r="I7267" s="109"/>
      <c r="J7267" s="109"/>
    </row>
    <row r="7268" spans="1:10" customFormat="1" ht="12.75" hidden="1">
      <c r="A7268" s="109"/>
      <c r="B7268" s="109"/>
      <c r="C7268" s="109"/>
      <c r="D7268" s="109"/>
      <c r="E7268" s="109"/>
      <c r="F7268" s="109"/>
      <c r="G7268" s="109"/>
      <c r="H7268" s="109"/>
      <c r="I7268" s="109"/>
      <c r="J7268" s="109"/>
    </row>
    <row r="7269" spans="1:10" customFormat="1" ht="12.75" hidden="1">
      <c r="A7269" s="109"/>
      <c r="B7269" s="109"/>
      <c r="C7269" s="109"/>
      <c r="D7269" s="109"/>
      <c r="E7269" s="109"/>
      <c r="F7269" s="109"/>
      <c r="G7269" s="109"/>
      <c r="H7269" s="109"/>
      <c r="I7269" s="109"/>
      <c r="J7269" s="109"/>
    </row>
    <row r="7270" spans="1:10" customFormat="1" ht="12.75" hidden="1">
      <c r="A7270" s="109"/>
      <c r="B7270" s="109"/>
      <c r="C7270" s="109"/>
      <c r="D7270" s="109"/>
      <c r="E7270" s="109"/>
      <c r="F7270" s="109"/>
      <c r="G7270" s="109"/>
      <c r="H7270" s="109"/>
      <c r="I7270" s="109"/>
      <c r="J7270" s="109"/>
    </row>
    <row r="7271" spans="1:10" customFormat="1" ht="12.75" hidden="1">
      <c r="A7271" s="109"/>
      <c r="B7271" s="109"/>
      <c r="C7271" s="109"/>
      <c r="D7271" s="109"/>
      <c r="E7271" s="109"/>
      <c r="F7271" s="109"/>
      <c r="G7271" s="109"/>
      <c r="H7271" s="109"/>
      <c r="I7271" s="109"/>
      <c r="J7271" s="109"/>
    </row>
    <row r="7272" spans="1:10" customFormat="1" ht="12.75" hidden="1">
      <c r="A7272" s="109"/>
      <c r="B7272" s="109"/>
      <c r="C7272" s="109"/>
      <c r="D7272" s="109"/>
      <c r="E7272" s="109"/>
      <c r="F7272" s="109"/>
      <c r="G7272" s="109"/>
      <c r="H7272" s="109"/>
      <c r="I7272" s="109"/>
      <c r="J7272" s="109"/>
    </row>
    <row r="7273" spans="1:10" customFormat="1" ht="12.75" hidden="1">
      <c r="A7273" s="109"/>
      <c r="B7273" s="109"/>
      <c r="C7273" s="109"/>
      <c r="D7273" s="109"/>
      <c r="E7273" s="109"/>
      <c r="F7273" s="109"/>
      <c r="G7273" s="109"/>
      <c r="H7273" s="109"/>
      <c r="I7273" s="109"/>
      <c r="J7273" s="109"/>
    </row>
    <row r="7274" spans="1:10" customFormat="1" ht="12.75" hidden="1">
      <c r="A7274" s="109"/>
      <c r="B7274" s="109"/>
      <c r="C7274" s="109"/>
      <c r="D7274" s="109"/>
      <c r="E7274" s="109"/>
      <c r="F7274" s="109"/>
      <c r="G7274" s="109"/>
      <c r="H7274" s="109"/>
      <c r="I7274" s="109"/>
      <c r="J7274" s="109"/>
    </row>
    <row r="7275" spans="1:10" customFormat="1" ht="12.75" hidden="1">
      <c r="A7275" s="109"/>
      <c r="B7275" s="109"/>
      <c r="C7275" s="109"/>
      <c r="D7275" s="109"/>
      <c r="E7275" s="109"/>
      <c r="F7275" s="109"/>
      <c r="G7275" s="109"/>
      <c r="H7275" s="109"/>
      <c r="I7275" s="109"/>
      <c r="J7275" s="109"/>
    </row>
    <row r="7276" spans="1:10" customFormat="1" ht="12.75" hidden="1">
      <c r="A7276" s="109"/>
      <c r="B7276" s="109"/>
      <c r="C7276" s="109"/>
      <c r="D7276" s="109"/>
      <c r="E7276" s="109"/>
      <c r="F7276" s="109"/>
      <c r="G7276" s="109"/>
      <c r="H7276" s="109"/>
      <c r="I7276" s="109"/>
      <c r="J7276" s="109"/>
    </row>
    <row r="7277" spans="1:10" customFormat="1" ht="12.75" hidden="1">
      <c r="A7277" s="109"/>
      <c r="B7277" s="109"/>
      <c r="C7277" s="109"/>
      <c r="D7277" s="109"/>
      <c r="E7277" s="109"/>
      <c r="F7277" s="109"/>
      <c r="G7277" s="109"/>
      <c r="H7277" s="109"/>
      <c r="I7277" s="109"/>
      <c r="J7277" s="109"/>
    </row>
    <row r="7278" spans="1:10" customFormat="1" ht="12.75" hidden="1">
      <c r="A7278" s="109"/>
      <c r="B7278" s="109"/>
      <c r="C7278" s="109"/>
      <c r="D7278" s="109"/>
      <c r="E7278" s="109"/>
      <c r="F7278" s="109"/>
      <c r="G7278" s="109"/>
      <c r="H7278" s="109"/>
      <c r="I7278" s="109"/>
      <c r="J7278" s="109"/>
    </row>
    <row r="7279" spans="1:10" customFormat="1" ht="12.75" hidden="1">
      <c r="A7279" s="109"/>
      <c r="B7279" s="109"/>
      <c r="C7279" s="109"/>
      <c r="D7279" s="109"/>
      <c r="E7279" s="109"/>
      <c r="F7279" s="109"/>
      <c r="G7279" s="109"/>
      <c r="H7279" s="109"/>
      <c r="I7279" s="109"/>
      <c r="J7279" s="109"/>
    </row>
    <row r="7280" spans="1:10" customFormat="1" ht="12.75" hidden="1">
      <c r="A7280" s="109"/>
      <c r="B7280" s="109"/>
      <c r="C7280" s="109"/>
      <c r="D7280" s="109"/>
      <c r="E7280" s="109"/>
      <c r="F7280" s="109"/>
      <c r="G7280" s="109"/>
      <c r="H7280" s="109"/>
      <c r="I7280" s="109"/>
      <c r="J7280" s="109"/>
    </row>
    <row r="7281" spans="1:10" customFormat="1" ht="12.75" hidden="1">
      <c r="A7281" s="109"/>
      <c r="B7281" s="109"/>
      <c r="C7281" s="109"/>
      <c r="D7281" s="109"/>
      <c r="E7281" s="109"/>
      <c r="F7281" s="109"/>
      <c r="G7281" s="109"/>
      <c r="H7281" s="109"/>
      <c r="I7281" s="109"/>
      <c r="J7281" s="109"/>
    </row>
    <row r="7282" spans="1:10" customFormat="1" ht="12.75" hidden="1">
      <c r="A7282" s="109"/>
      <c r="B7282" s="109"/>
      <c r="C7282" s="109"/>
      <c r="D7282" s="109"/>
      <c r="E7282" s="109"/>
      <c r="F7282" s="109"/>
      <c r="G7282" s="109"/>
      <c r="H7282" s="109"/>
      <c r="I7282" s="109"/>
      <c r="J7282" s="109"/>
    </row>
    <row r="7283" spans="1:10" customFormat="1" ht="12.75" hidden="1">
      <c r="A7283" s="109"/>
      <c r="B7283" s="109"/>
      <c r="C7283" s="109"/>
      <c r="D7283" s="109"/>
      <c r="E7283" s="109"/>
      <c r="F7283" s="109"/>
      <c r="G7283" s="109"/>
      <c r="H7283" s="109"/>
      <c r="I7283" s="109"/>
      <c r="J7283" s="109"/>
    </row>
    <row r="7284" spans="1:10" customFormat="1" ht="12.75" hidden="1">
      <c r="A7284" s="109"/>
      <c r="B7284" s="109"/>
      <c r="C7284" s="109"/>
      <c r="D7284" s="109"/>
      <c r="E7284" s="109"/>
      <c r="F7284" s="109"/>
      <c r="G7284" s="109"/>
      <c r="H7284" s="109"/>
      <c r="I7284" s="109"/>
      <c r="J7284" s="109"/>
    </row>
    <row r="7285" spans="1:10" customFormat="1" ht="12.75" hidden="1">
      <c r="A7285" s="109"/>
      <c r="B7285" s="109"/>
      <c r="C7285" s="109"/>
      <c r="D7285" s="109"/>
      <c r="E7285" s="109"/>
      <c r="F7285" s="109"/>
      <c r="G7285" s="109"/>
      <c r="H7285" s="109"/>
      <c r="I7285" s="109"/>
      <c r="J7285" s="109"/>
    </row>
    <row r="7286" spans="1:10" customFormat="1" ht="12.75" hidden="1">
      <c r="A7286" s="109"/>
      <c r="B7286" s="109"/>
      <c r="C7286" s="109"/>
      <c r="D7286" s="109"/>
      <c r="E7286" s="109"/>
      <c r="F7286" s="109"/>
      <c r="G7286" s="109"/>
      <c r="H7286" s="109"/>
      <c r="I7286" s="109"/>
      <c r="J7286" s="109"/>
    </row>
    <row r="7287" spans="1:10" customFormat="1" ht="12.75" hidden="1">
      <c r="A7287" s="109"/>
      <c r="B7287" s="109"/>
      <c r="C7287" s="109"/>
      <c r="D7287" s="109"/>
      <c r="E7287" s="109"/>
      <c r="F7287" s="109"/>
      <c r="G7287" s="109"/>
      <c r="H7287" s="109"/>
      <c r="I7287" s="109"/>
      <c r="J7287" s="109"/>
    </row>
    <row r="7288" spans="1:10" customFormat="1" ht="12.75" hidden="1">
      <c r="A7288" s="109"/>
      <c r="B7288" s="109"/>
      <c r="C7288" s="109"/>
      <c r="D7288" s="109"/>
      <c r="E7288" s="109"/>
      <c r="F7288" s="109"/>
      <c r="G7288" s="109"/>
      <c r="H7288" s="109"/>
      <c r="I7288" s="109"/>
      <c r="J7288" s="109"/>
    </row>
    <row r="7289" spans="1:10" customFormat="1" ht="12.75" hidden="1">
      <c r="A7289" s="109"/>
      <c r="B7289" s="109"/>
      <c r="C7289" s="109"/>
      <c r="D7289" s="109"/>
      <c r="E7289" s="109"/>
      <c r="F7289" s="109"/>
      <c r="G7289" s="109"/>
      <c r="H7289" s="109"/>
      <c r="I7289" s="109"/>
      <c r="J7289" s="109"/>
    </row>
    <row r="7290" spans="1:10" customFormat="1" ht="12.75" hidden="1">
      <c r="A7290" s="109"/>
      <c r="B7290" s="109"/>
      <c r="C7290" s="109"/>
      <c r="D7290" s="109"/>
      <c r="E7290" s="109"/>
      <c r="F7290" s="109"/>
      <c r="G7290" s="109"/>
      <c r="H7290" s="109"/>
      <c r="I7290" s="109"/>
      <c r="J7290" s="109"/>
    </row>
    <row r="7291" spans="1:10" customFormat="1" ht="12.75" hidden="1">
      <c r="A7291" s="109"/>
      <c r="B7291" s="109"/>
      <c r="C7291" s="109"/>
      <c r="D7291" s="109"/>
      <c r="E7291" s="109"/>
      <c r="F7291" s="109"/>
      <c r="G7291" s="109"/>
      <c r="H7291" s="109"/>
      <c r="I7291" s="109"/>
      <c r="J7291" s="109"/>
    </row>
    <row r="7292" spans="1:10" customFormat="1" ht="12.75" hidden="1">
      <c r="A7292" s="109"/>
      <c r="B7292" s="109"/>
      <c r="C7292" s="109"/>
      <c r="D7292" s="109"/>
      <c r="E7292" s="109"/>
      <c r="F7292" s="109"/>
      <c r="G7292" s="109"/>
      <c r="H7292" s="109"/>
      <c r="I7292" s="109"/>
      <c r="J7292" s="109"/>
    </row>
    <row r="7293" spans="1:10" customFormat="1" ht="12.75" hidden="1">
      <c r="A7293" s="109"/>
      <c r="B7293" s="109"/>
      <c r="C7293" s="109"/>
      <c r="D7293" s="109"/>
      <c r="E7293" s="109"/>
      <c r="F7293" s="109"/>
      <c r="G7293" s="109"/>
      <c r="H7293" s="109"/>
      <c r="I7293" s="109"/>
      <c r="J7293" s="109"/>
    </row>
    <row r="7294" spans="1:10" customFormat="1" ht="12.75" hidden="1">
      <c r="A7294" s="109"/>
      <c r="B7294" s="109"/>
      <c r="C7294" s="109"/>
      <c r="D7294" s="109"/>
      <c r="E7294" s="109"/>
      <c r="F7294" s="109"/>
      <c r="G7294" s="109"/>
      <c r="H7294" s="109"/>
      <c r="I7294" s="109"/>
      <c r="J7294" s="109"/>
    </row>
    <row r="7295" spans="1:10" customFormat="1" ht="12.75" hidden="1">
      <c r="A7295" s="109"/>
      <c r="B7295" s="109"/>
      <c r="C7295" s="109"/>
      <c r="D7295" s="109"/>
      <c r="E7295" s="109"/>
      <c r="F7295" s="109"/>
      <c r="G7295" s="109"/>
      <c r="H7295" s="109"/>
      <c r="I7295" s="109"/>
      <c r="J7295" s="109"/>
    </row>
    <row r="7296" spans="1:10" customFormat="1" ht="12.75" hidden="1">
      <c r="A7296" s="109"/>
      <c r="B7296" s="109"/>
      <c r="C7296" s="109"/>
      <c r="D7296" s="109"/>
      <c r="E7296" s="109"/>
      <c r="F7296" s="109"/>
      <c r="G7296" s="109"/>
      <c r="H7296" s="109"/>
      <c r="I7296" s="109"/>
      <c r="J7296" s="109"/>
    </row>
    <row r="7297" spans="1:10" customFormat="1" ht="12.75" hidden="1">
      <c r="A7297" s="109"/>
      <c r="B7297" s="109"/>
      <c r="C7297" s="109"/>
      <c r="D7297" s="109"/>
      <c r="E7297" s="109"/>
      <c r="F7297" s="109"/>
      <c r="G7297" s="109"/>
      <c r="H7297" s="109"/>
      <c r="I7297" s="109"/>
      <c r="J7297" s="109"/>
    </row>
    <row r="7298" spans="1:10" customFormat="1" ht="12.75" hidden="1">
      <c r="A7298" s="109"/>
      <c r="B7298" s="109"/>
      <c r="C7298" s="109"/>
      <c r="D7298" s="109"/>
      <c r="E7298" s="109"/>
      <c r="F7298" s="109"/>
      <c r="G7298" s="109"/>
      <c r="H7298" s="109"/>
      <c r="I7298" s="109"/>
      <c r="J7298" s="109"/>
    </row>
    <row r="7299" spans="1:10" customFormat="1" ht="12.75" hidden="1">
      <c r="A7299" s="109"/>
      <c r="B7299" s="109"/>
      <c r="C7299" s="109"/>
      <c r="D7299" s="109"/>
      <c r="E7299" s="109"/>
      <c r="F7299" s="109"/>
      <c r="G7299" s="109"/>
      <c r="H7299" s="109"/>
      <c r="I7299" s="109"/>
      <c r="J7299" s="109"/>
    </row>
    <row r="7300" spans="1:10" customFormat="1" ht="12.75" hidden="1">
      <c r="A7300" s="109"/>
      <c r="B7300" s="109"/>
      <c r="C7300" s="109"/>
      <c r="D7300" s="109"/>
      <c r="E7300" s="109"/>
      <c r="F7300" s="109"/>
      <c r="G7300" s="109"/>
      <c r="H7300" s="109"/>
      <c r="I7300" s="109"/>
      <c r="J7300" s="109"/>
    </row>
    <row r="7301" spans="1:10" customFormat="1" ht="12.75" hidden="1">
      <c r="A7301" s="109"/>
      <c r="B7301" s="109"/>
      <c r="C7301" s="109"/>
      <c r="D7301" s="109"/>
      <c r="E7301" s="109"/>
      <c r="F7301" s="109"/>
      <c r="G7301" s="109"/>
      <c r="H7301" s="109"/>
      <c r="I7301" s="109"/>
      <c r="J7301" s="109"/>
    </row>
    <row r="7302" spans="1:10" customFormat="1" ht="12.75" hidden="1">
      <c r="A7302" s="109"/>
      <c r="B7302" s="109"/>
      <c r="C7302" s="109"/>
      <c r="D7302" s="109"/>
      <c r="E7302" s="109"/>
      <c r="F7302" s="109"/>
      <c r="G7302" s="109"/>
      <c r="H7302" s="109"/>
      <c r="I7302" s="109"/>
      <c r="J7302" s="109"/>
    </row>
    <row r="7303" spans="1:10" customFormat="1" ht="12.75" hidden="1">
      <c r="A7303" s="109"/>
      <c r="B7303" s="109"/>
      <c r="C7303" s="109"/>
      <c r="D7303" s="109"/>
      <c r="E7303" s="109"/>
      <c r="F7303" s="109"/>
      <c r="G7303" s="109"/>
      <c r="H7303" s="109"/>
      <c r="I7303" s="109"/>
      <c r="J7303" s="109"/>
    </row>
    <row r="7304" spans="1:10" customFormat="1" ht="12.75" hidden="1">
      <c r="A7304" s="109"/>
      <c r="B7304" s="109"/>
      <c r="C7304" s="109"/>
      <c r="D7304" s="109"/>
      <c r="E7304" s="109"/>
      <c r="F7304" s="109"/>
      <c r="G7304" s="109"/>
      <c r="H7304" s="109"/>
      <c r="I7304" s="109"/>
      <c r="J7304" s="109"/>
    </row>
    <row r="7305" spans="1:10" customFormat="1" ht="12.75" hidden="1">
      <c r="A7305" s="109"/>
      <c r="B7305" s="109"/>
      <c r="C7305" s="109"/>
      <c r="D7305" s="109"/>
      <c r="E7305" s="109"/>
      <c r="F7305" s="109"/>
      <c r="G7305" s="109"/>
      <c r="H7305" s="109"/>
      <c r="I7305" s="109"/>
      <c r="J7305" s="109"/>
    </row>
    <row r="7306" spans="1:10" customFormat="1" ht="12.75" hidden="1">
      <c r="A7306" s="109"/>
      <c r="B7306" s="109"/>
      <c r="C7306" s="109"/>
      <c r="D7306" s="109"/>
      <c r="E7306" s="109"/>
      <c r="F7306" s="109"/>
      <c r="G7306" s="109"/>
      <c r="H7306" s="109"/>
      <c r="I7306" s="109"/>
      <c r="J7306" s="109"/>
    </row>
    <row r="7307" spans="1:10" customFormat="1" ht="12.75" hidden="1">
      <c r="A7307" s="109"/>
      <c r="B7307" s="109"/>
      <c r="C7307" s="109"/>
      <c r="D7307" s="109"/>
      <c r="E7307" s="109"/>
      <c r="F7307" s="109"/>
      <c r="G7307" s="109"/>
      <c r="H7307" s="109"/>
      <c r="I7307" s="109"/>
      <c r="J7307" s="109"/>
    </row>
    <row r="7308" spans="1:10" customFormat="1" ht="12.75" hidden="1">
      <c r="A7308" s="109"/>
      <c r="B7308" s="109"/>
      <c r="C7308" s="109"/>
      <c r="D7308" s="109"/>
      <c r="E7308" s="109"/>
      <c r="F7308" s="109"/>
      <c r="G7308" s="109"/>
      <c r="H7308" s="109"/>
      <c r="I7308" s="109"/>
      <c r="J7308" s="109"/>
    </row>
    <row r="7309" spans="1:10" customFormat="1" ht="12.75" hidden="1">
      <c r="A7309" s="109"/>
      <c r="B7309" s="109"/>
      <c r="C7309" s="109"/>
      <c r="D7309" s="109"/>
      <c r="E7309" s="109"/>
      <c r="F7309" s="109"/>
      <c r="G7309" s="109"/>
      <c r="H7309" s="109"/>
      <c r="I7309" s="109"/>
      <c r="J7309" s="109"/>
    </row>
    <row r="7310" spans="1:10" customFormat="1" ht="12.75" hidden="1">
      <c r="A7310" s="109"/>
      <c r="B7310" s="109"/>
      <c r="C7310" s="109"/>
      <c r="D7310" s="109"/>
      <c r="E7310" s="109"/>
      <c r="F7310" s="109"/>
      <c r="G7310" s="109"/>
      <c r="H7310" s="109"/>
      <c r="I7310" s="109"/>
      <c r="J7310" s="109"/>
    </row>
    <row r="7311" spans="1:10" customFormat="1" ht="12.75" hidden="1">
      <c r="A7311" s="109"/>
      <c r="B7311" s="109"/>
      <c r="C7311" s="109"/>
      <c r="D7311" s="109"/>
      <c r="E7311" s="109"/>
      <c r="F7311" s="109"/>
      <c r="G7311" s="109"/>
      <c r="H7311" s="109"/>
      <c r="I7311" s="109"/>
      <c r="J7311" s="109"/>
    </row>
    <row r="7312" spans="1:10" customFormat="1" ht="12.75" hidden="1">
      <c r="A7312" s="109"/>
      <c r="B7312" s="109"/>
      <c r="C7312" s="109"/>
      <c r="D7312" s="109"/>
      <c r="E7312" s="109"/>
      <c r="F7312" s="109"/>
      <c r="G7312" s="109"/>
      <c r="H7312" s="109"/>
      <c r="I7312" s="109"/>
      <c r="J7312" s="109"/>
    </row>
    <row r="7313" spans="1:10" customFormat="1" ht="12.75" hidden="1">
      <c r="A7313" s="109"/>
      <c r="B7313" s="109"/>
      <c r="C7313" s="109"/>
      <c r="D7313" s="109"/>
      <c r="E7313" s="109"/>
      <c r="F7313" s="109"/>
      <c r="G7313" s="109"/>
      <c r="H7313" s="109"/>
      <c r="I7313" s="109"/>
      <c r="J7313" s="109"/>
    </row>
    <row r="7314" spans="1:10" customFormat="1" ht="12.75" hidden="1">
      <c r="A7314" s="109"/>
      <c r="B7314" s="109"/>
      <c r="C7314" s="109"/>
      <c r="D7314" s="109"/>
      <c r="E7314" s="109"/>
      <c r="F7314" s="109"/>
      <c r="G7314" s="109"/>
      <c r="H7314" s="109"/>
      <c r="I7314" s="109"/>
      <c r="J7314" s="109"/>
    </row>
    <row r="7315" spans="1:10" customFormat="1" ht="12.75" hidden="1">
      <c r="A7315" s="109"/>
      <c r="B7315" s="109"/>
      <c r="C7315" s="109"/>
      <c r="D7315" s="109"/>
      <c r="E7315" s="109"/>
      <c r="F7315" s="109"/>
      <c r="G7315" s="109"/>
      <c r="H7315" s="109"/>
      <c r="I7315" s="109"/>
      <c r="J7315" s="109"/>
    </row>
    <row r="7316" spans="1:10" customFormat="1" ht="12.75" hidden="1">
      <c r="A7316" s="109"/>
      <c r="B7316" s="109"/>
      <c r="C7316" s="109"/>
      <c r="D7316" s="109"/>
      <c r="E7316" s="109"/>
      <c r="F7316" s="109"/>
      <c r="G7316" s="109"/>
      <c r="H7316" s="109"/>
      <c r="I7316" s="109"/>
      <c r="J7316" s="109"/>
    </row>
    <row r="7317" spans="1:10" customFormat="1" ht="12.75" hidden="1">
      <c r="A7317" s="109"/>
      <c r="B7317" s="109"/>
      <c r="C7317" s="109"/>
      <c r="D7317" s="109"/>
      <c r="E7317" s="109"/>
      <c r="F7317" s="109"/>
      <c r="G7317" s="109"/>
      <c r="H7317" s="109"/>
      <c r="I7317" s="109"/>
      <c r="J7317" s="109"/>
    </row>
    <row r="7318" spans="1:10" customFormat="1" ht="12.75" hidden="1">
      <c r="A7318" s="109"/>
      <c r="B7318" s="109"/>
      <c r="C7318" s="109"/>
      <c r="D7318" s="109"/>
      <c r="E7318" s="109"/>
      <c r="F7318" s="109"/>
      <c r="G7318" s="109"/>
      <c r="H7318" s="109"/>
      <c r="I7318" s="109"/>
      <c r="J7318" s="109"/>
    </row>
    <row r="7319" spans="1:10" customFormat="1" ht="12.75" hidden="1">
      <c r="A7319" s="109"/>
      <c r="B7319" s="109"/>
      <c r="C7319" s="109"/>
      <c r="D7319" s="109"/>
      <c r="E7319" s="109"/>
      <c r="F7319" s="109"/>
      <c r="G7319" s="109"/>
      <c r="H7319" s="109"/>
      <c r="I7319" s="109"/>
      <c r="J7319" s="109"/>
    </row>
    <row r="7320" spans="1:10" customFormat="1" ht="12.75" hidden="1">
      <c r="A7320" s="109"/>
      <c r="B7320" s="109"/>
      <c r="C7320" s="109"/>
      <c r="D7320" s="109"/>
      <c r="E7320" s="109"/>
      <c r="F7320" s="109"/>
      <c r="G7320" s="109"/>
      <c r="H7320" s="109"/>
      <c r="I7320" s="109"/>
      <c r="J7320" s="109"/>
    </row>
    <row r="7321" spans="1:10" customFormat="1" ht="12.75" hidden="1">
      <c r="A7321" s="109"/>
      <c r="B7321" s="109"/>
      <c r="C7321" s="109"/>
      <c r="D7321" s="109"/>
      <c r="E7321" s="109"/>
      <c r="F7321" s="109"/>
      <c r="G7321" s="109"/>
      <c r="H7321" s="109"/>
      <c r="I7321" s="109"/>
      <c r="J7321" s="109"/>
    </row>
    <row r="7322" spans="1:10" customFormat="1" ht="12.75" hidden="1">
      <c r="A7322" s="109"/>
      <c r="B7322" s="109"/>
      <c r="C7322" s="109"/>
      <c r="D7322" s="109"/>
      <c r="E7322" s="109"/>
      <c r="F7322" s="109"/>
      <c r="G7322" s="109"/>
      <c r="H7322" s="109"/>
      <c r="I7322" s="109"/>
      <c r="J7322" s="109"/>
    </row>
    <row r="7323" spans="1:10" customFormat="1" ht="12.75" hidden="1">
      <c r="A7323" s="109"/>
      <c r="B7323" s="109"/>
      <c r="C7323" s="109"/>
      <c r="D7323" s="109"/>
      <c r="E7323" s="109"/>
      <c r="F7323" s="109"/>
      <c r="G7323" s="109"/>
      <c r="H7323" s="109"/>
      <c r="I7323" s="109"/>
      <c r="J7323" s="109"/>
    </row>
    <row r="7324" spans="1:10" customFormat="1" ht="12.75" hidden="1">
      <c r="A7324" s="109"/>
      <c r="B7324" s="109"/>
      <c r="C7324" s="109"/>
      <c r="D7324" s="109"/>
      <c r="E7324" s="109"/>
      <c r="F7324" s="109"/>
      <c r="G7324" s="109"/>
      <c r="H7324" s="109"/>
      <c r="I7324" s="109"/>
      <c r="J7324" s="109"/>
    </row>
    <row r="7325" spans="1:10" customFormat="1" ht="12.75" hidden="1">
      <c r="A7325" s="109"/>
      <c r="B7325" s="109"/>
      <c r="C7325" s="109"/>
      <c r="D7325" s="109"/>
      <c r="E7325" s="109"/>
      <c r="F7325" s="109"/>
      <c r="G7325" s="109"/>
      <c r="H7325" s="109"/>
      <c r="I7325" s="109"/>
      <c r="J7325" s="109"/>
    </row>
    <row r="7326" spans="1:10" customFormat="1" ht="12.75" hidden="1">
      <c r="A7326" s="109"/>
      <c r="B7326" s="109"/>
      <c r="C7326" s="109"/>
      <c r="D7326" s="109"/>
      <c r="E7326" s="109"/>
      <c r="F7326" s="109"/>
      <c r="G7326" s="109"/>
      <c r="H7326" s="109"/>
      <c r="I7326" s="109"/>
      <c r="J7326" s="109"/>
    </row>
    <row r="7327" spans="1:10" customFormat="1" ht="12.75" hidden="1">
      <c r="A7327" s="109"/>
      <c r="B7327" s="109"/>
      <c r="C7327" s="109"/>
      <c r="D7327" s="109"/>
      <c r="E7327" s="109"/>
      <c r="F7327" s="109"/>
      <c r="G7327" s="109"/>
      <c r="H7327" s="109"/>
      <c r="I7327" s="109"/>
      <c r="J7327" s="109"/>
    </row>
    <row r="7328" spans="1:10" customFormat="1" ht="12.75" hidden="1">
      <c r="A7328" s="109"/>
      <c r="B7328" s="109"/>
      <c r="C7328" s="109"/>
      <c r="D7328" s="109"/>
      <c r="E7328" s="109"/>
      <c r="F7328" s="109"/>
      <c r="G7328" s="109"/>
      <c r="H7328" s="109"/>
      <c r="I7328" s="109"/>
      <c r="J7328" s="109"/>
    </row>
    <row r="7329" spans="1:10" customFormat="1" ht="12.75" hidden="1">
      <c r="A7329" s="109"/>
      <c r="B7329" s="109"/>
      <c r="C7329" s="109"/>
      <c r="D7329" s="109"/>
      <c r="E7329" s="109"/>
      <c r="F7329" s="109"/>
      <c r="G7329" s="109"/>
      <c r="H7329" s="109"/>
      <c r="I7329" s="109"/>
      <c r="J7329" s="109"/>
    </row>
    <row r="7330" spans="1:10" customFormat="1" ht="12.75" hidden="1">
      <c r="A7330" s="109"/>
      <c r="B7330" s="109"/>
      <c r="C7330" s="109"/>
      <c r="D7330" s="109"/>
      <c r="E7330" s="109"/>
      <c r="F7330" s="109"/>
      <c r="G7330" s="109"/>
      <c r="H7330" s="109"/>
      <c r="I7330" s="109"/>
      <c r="J7330" s="109"/>
    </row>
    <row r="7331" spans="1:10" customFormat="1" ht="12.75" hidden="1">
      <c r="A7331" s="109"/>
      <c r="B7331" s="109"/>
      <c r="C7331" s="109"/>
      <c r="D7331" s="109"/>
      <c r="E7331" s="109"/>
      <c r="F7331" s="109"/>
      <c r="G7331" s="109"/>
      <c r="H7331" s="109"/>
      <c r="I7331" s="109"/>
      <c r="J7331" s="109"/>
    </row>
    <row r="7332" spans="1:10" customFormat="1" ht="12.75" hidden="1">
      <c r="A7332" s="109"/>
      <c r="B7332" s="109"/>
      <c r="C7332" s="109"/>
      <c r="D7332" s="109"/>
      <c r="E7332" s="109"/>
      <c r="F7332" s="109"/>
      <c r="G7332" s="109"/>
      <c r="H7332" s="109"/>
      <c r="I7332" s="109"/>
      <c r="J7332" s="109"/>
    </row>
    <row r="7333" spans="1:10" customFormat="1" ht="12.75" hidden="1">
      <c r="A7333" s="109"/>
      <c r="B7333" s="109"/>
      <c r="C7333" s="109"/>
      <c r="D7333" s="109"/>
      <c r="E7333" s="109"/>
      <c r="F7333" s="109"/>
      <c r="G7333" s="109"/>
      <c r="H7333" s="109"/>
      <c r="I7333" s="109"/>
      <c r="J7333" s="109"/>
    </row>
    <row r="7334" spans="1:10" customFormat="1" ht="12.75" hidden="1">
      <c r="A7334" s="109"/>
      <c r="B7334" s="109"/>
      <c r="C7334" s="109"/>
      <c r="D7334" s="109"/>
      <c r="E7334" s="109"/>
      <c r="F7334" s="109"/>
      <c r="G7334" s="109"/>
      <c r="H7334" s="109"/>
      <c r="I7334" s="109"/>
      <c r="J7334" s="109"/>
    </row>
    <row r="7335" spans="1:10" customFormat="1" ht="12.75" hidden="1">
      <c r="A7335" s="109"/>
      <c r="B7335" s="109"/>
      <c r="C7335" s="109"/>
      <c r="D7335" s="109"/>
      <c r="E7335" s="109"/>
      <c r="F7335" s="109"/>
      <c r="G7335" s="109"/>
      <c r="H7335" s="109"/>
      <c r="I7335" s="109"/>
      <c r="J7335" s="109"/>
    </row>
    <row r="7336" spans="1:10" customFormat="1" ht="12.75" hidden="1">
      <c r="A7336" s="109"/>
      <c r="B7336" s="109"/>
      <c r="C7336" s="109"/>
      <c r="D7336" s="109"/>
      <c r="E7336" s="109"/>
      <c r="F7336" s="109"/>
      <c r="G7336" s="109"/>
      <c r="H7336" s="109"/>
      <c r="I7336" s="109"/>
      <c r="J7336" s="109"/>
    </row>
    <row r="7337" spans="1:10" customFormat="1" ht="12.75" hidden="1">
      <c r="A7337" s="109"/>
      <c r="B7337" s="109"/>
      <c r="C7337" s="109"/>
      <c r="D7337" s="109"/>
      <c r="E7337" s="109"/>
      <c r="F7337" s="109"/>
      <c r="G7337" s="109"/>
      <c r="H7337" s="109"/>
      <c r="I7337" s="109"/>
      <c r="J7337" s="109"/>
    </row>
    <row r="7338" spans="1:10" customFormat="1" ht="12.75" hidden="1">
      <c r="A7338" s="109"/>
      <c r="B7338" s="109"/>
      <c r="C7338" s="109"/>
      <c r="D7338" s="109"/>
      <c r="E7338" s="109"/>
      <c r="F7338" s="109"/>
      <c r="G7338" s="109"/>
      <c r="H7338" s="109"/>
      <c r="I7338" s="109"/>
      <c r="J7338" s="109"/>
    </row>
    <row r="7339" spans="1:10" customFormat="1" ht="12.75" hidden="1">
      <c r="A7339" s="109"/>
      <c r="B7339" s="109"/>
      <c r="C7339" s="109"/>
      <c r="D7339" s="109"/>
      <c r="E7339" s="109"/>
      <c r="F7339" s="109"/>
      <c r="G7339" s="109"/>
      <c r="H7339" s="109"/>
      <c r="I7339" s="109"/>
      <c r="J7339" s="109"/>
    </row>
    <row r="7340" spans="1:10" customFormat="1" ht="12.75" hidden="1">
      <c r="A7340" s="109"/>
      <c r="B7340" s="109"/>
      <c r="C7340" s="109"/>
      <c r="D7340" s="109"/>
      <c r="E7340" s="109"/>
      <c r="F7340" s="109"/>
      <c r="G7340" s="109"/>
      <c r="H7340" s="109"/>
      <c r="I7340" s="109"/>
      <c r="J7340" s="109"/>
    </row>
    <row r="7341" spans="1:10" customFormat="1" ht="12.75" hidden="1">
      <c r="A7341" s="109"/>
      <c r="B7341" s="109"/>
      <c r="C7341" s="109"/>
      <c r="D7341" s="109"/>
      <c r="E7341" s="109"/>
      <c r="F7341" s="109"/>
      <c r="G7341" s="109"/>
      <c r="H7341" s="109"/>
      <c r="I7341" s="109"/>
      <c r="J7341" s="109"/>
    </row>
    <row r="7342" spans="1:10" customFormat="1" ht="12.75" hidden="1">
      <c r="A7342" s="109"/>
      <c r="B7342" s="109"/>
      <c r="C7342" s="109"/>
      <c r="D7342" s="109"/>
      <c r="E7342" s="109"/>
      <c r="F7342" s="109"/>
      <c r="G7342" s="109"/>
      <c r="H7342" s="109"/>
      <c r="I7342" s="109"/>
      <c r="J7342" s="109"/>
    </row>
    <row r="7343" spans="1:10" customFormat="1" ht="12.75" hidden="1">
      <c r="A7343" s="109"/>
      <c r="B7343" s="109"/>
      <c r="C7343" s="109"/>
      <c r="D7343" s="109"/>
      <c r="E7343" s="109"/>
      <c r="F7343" s="109"/>
      <c r="G7343" s="109"/>
      <c r="H7343" s="109"/>
      <c r="I7343" s="109"/>
      <c r="J7343" s="109"/>
    </row>
    <row r="7344" spans="1:10" customFormat="1" ht="12.75" hidden="1">
      <c r="A7344" s="109"/>
      <c r="B7344" s="109"/>
      <c r="C7344" s="109"/>
      <c r="D7344" s="109"/>
      <c r="E7344" s="109"/>
      <c r="F7344" s="109"/>
      <c r="G7344" s="109"/>
      <c r="H7344" s="109"/>
      <c r="I7344" s="109"/>
      <c r="J7344" s="109"/>
    </row>
    <row r="7345" spans="1:10" customFormat="1" ht="12.75" hidden="1">
      <c r="A7345" s="109"/>
      <c r="B7345" s="109"/>
      <c r="C7345" s="109"/>
      <c r="D7345" s="109"/>
      <c r="E7345" s="109"/>
      <c r="F7345" s="109"/>
      <c r="G7345" s="109"/>
      <c r="H7345" s="109"/>
      <c r="I7345" s="109"/>
      <c r="J7345" s="109"/>
    </row>
    <row r="7346" spans="1:10" customFormat="1" ht="12.75" hidden="1">
      <c r="A7346" s="109"/>
      <c r="B7346" s="109"/>
      <c r="C7346" s="109"/>
      <c r="D7346" s="109"/>
      <c r="E7346" s="109"/>
      <c r="F7346" s="109"/>
      <c r="G7346" s="109"/>
      <c r="H7346" s="109"/>
      <c r="I7346" s="109"/>
      <c r="J7346" s="109"/>
    </row>
    <row r="7347" spans="1:10" customFormat="1" ht="12.75" hidden="1">
      <c r="A7347" s="109"/>
      <c r="B7347" s="109"/>
      <c r="C7347" s="109"/>
      <c r="D7347" s="109"/>
      <c r="E7347" s="109"/>
      <c r="F7347" s="109"/>
      <c r="G7347" s="109"/>
      <c r="H7347" s="109"/>
      <c r="I7347" s="109"/>
      <c r="J7347" s="109"/>
    </row>
    <row r="7348" spans="1:10" customFormat="1" ht="12.75" hidden="1">
      <c r="A7348" s="109"/>
      <c r="B7348" s="109"/>
      <c r="C7348" s="109"/>
      <c r="D7348" s="109"/>
      <c r="E7348" s="109"/>
      <c r="F7348" s="109"/>
      <c r="G7348" s="109"/>
      <c r="H7348" s="109"/>
      <c r="I7348" s="109"/>
      <c r="J7348" s="109"/>
    </row>
    <row r="7349" spans="1:10" customFormat="1" ht="12.75" hidden="1">
      <c r="A7349" s="109"/>
      <c r="B7349" s="109"/>
      <c r="C7349" s="109"/>
      <c r="D7349" s="109"/>
      <c r="E7349" s="109"/>
      <c r="F7349" s="109"/>
      <c r="G7349" s="109"/>
      <c r="H7349" s="109"/>
      <c r="I7349" s="109"/>
      <c r="J7349" s="109"/>
    </row>
    <row r="7350" spans="1:10" customFormat="1" ht="12.75" hidden="1">
      <c r="A7350" s="109"/>
      <c r="B7350" s="109"/>
      <c r="C7350" s="109"/>
      <c r="D7350" s="109"/>
      <c r="E7350" s="109"/>
      <c r="F7350" s="109"/>
      <c r="G7350" s="109"/>
      <c r="H7350" s="109"/>
      <c r="I7350" s="109"/>
      <c r="J7350" s="109"/>
    </row>
    <row r="7351" spans="1:10" customFormat="1" ht="12.75" hidden="1">
      <c r="A7351" s="109"/>
      <c r="B7351" s="109"/>
      <c r="C7351" s="109"/>
      <c r="D7351" s="109"/>
      <c r="E7351" s="109"/>
      <c r="F7351" s="109"/>
      <c r="G7351" s="109"/>
      <c r="H7351" s="109"/>
      <c r="I7351" s="109"/>
      <c r="J7351" s="109"/>
    </row>
    <row r="7352" spans="1:10" customFormat="1" ht="12.75" hidden="1">
      <c r="A7352" s="109"/>
      <c r="B7352" s="109"/>
      <c r="C7352" s="109"/>
      <c r="D7352" s="109"/>
      <c r="E7352" s="109"/>
      <c r="F7352" s="109"/>
      <c r="G7352" s="109"/>
      <c r="H7352" s="109"/>
      <c r="I7352" s="109"/>
      <c r="J7352" s="109"/>
    </row>
    <row r="7353" spans="1:10" customFormat="1" ht="12.75" hidden="1">
      <c r="A7353" s="109"/>
      <c r="B7353" s="109"/>
      <c r="C7353" s="109"/>
      <c r="D7353" s="109"/>
      <c r="E7353" s="109"/>
      <c r="F7353" s="109"/>
      <c r="G7353" s="109"/>
      <c r="H7353" s="109"/>
      <c r="I7353" s="109"/>
      <c r="J7353" s="109"/>
    </row>
    <row r="7354" spans="1:10" customFormat="1" ht="12.75" hidden="1">
      <c r="A7354" s="109"/>
      <c r="B7354" s="109"/>
      <c r="C7354" s="109"/>
      <c r="D7354" s="109"/>
      <c r="E7354" s="109"/>
      <c r="F7354" s="109"/>
      <c r="G7354" s="109"/>
      <c r="H7354" s="109"/>
      <c r="I7354" s="109"/>
      <c r="J7354" s="109"/>
    </row>
    <row r="7355" spans="1:10" customFormat="1" ht="12.75" hidden="1">
      <c r="A7355" s="109"/>
      <c r="B7355" s="109"/>
      <c r="C7355" s="109"/>
      <c r="D7355" s="109"/>
      <c r="E7355" s="109"/>
      <c r="F7355" s="109"/>
      <c r="G7355" s="109"/>
      <c r="H7355" s="109"/>
      <c r="I7355" s="109"/>
      <c r="J7355" s="109"/>
    </row>
    <row r="7356" spans="1:10" customFormat="1" ht="12.75" hidden="1">
      <c r="A7356" s="109"/>
      <c r="B7356" s="109"/>
      <c r="C7356" s="109"/>
      <c r="D7356" s="109"/>
      <c r="E7356" s="109"/>
      <c r="F7356" s="109"/>
      <c r="G7356" s="109"/>
      <c r="H7356" s="109"/>
      <c r="I7356" s="109"/>
      <c r="J7356" s="109"/>
    </row>
    <row r="7357" spans="1:10" customFormat="1" ht="12.75" hidden="1">
      <c r="A7357" s="109"/>
      <c r="B7357" s="109"/>
      <c r="C7357" s="109"/>
      <c r="D7357" s="109"/>
      <c r="E7357" s="109"/>
      <c r="F7357" s="109"/>
      <c r="G7357" s="109"/>
      <c r="H7357" s="109"/>
      <c r="I7357" s="109"/>
      <c r="J7357" s="109"/>
    </row>
    <row r="7358" spans="1:10" customFormat="1" ht="12.75" hidden="1">
      <c r="A7358" s="109"/>
      <c r="B7358" s="109"/>
      <c r="C7358" s="109"/>
      <c r="D7358" s="109"/>
      <c r="E7358" s="109"/>
      <c r="F7358" s="109"/>
      <c r="G7358" s="109"/>
      <c r="H7358" s="109"/>
      <c r="I7358" s="109"/>
      <c r="J7358" s="109"/>
    </row>
    <row r="7359" spans="1:10" customFormat="1" ht="12.75" hidden="1">
      <c r="A7359" s="109"/>
      <c r="B7359" s="109"/>
      <c r="C7359" s="109"/>
      <c r="D7359" s="109"/>
      <c r="E7359" s="109"/>
      <c r="F7359" s="109"/>
      <c r="G7359" s="109"/>
      <c r="H7359" s="109"/>
      <c r="I7359" s="109"/>
      <c r="J7359" s="109"/>
    </row>
    <row r="7360" spans="1:10" customFormat="1" ht="12.75" hidden="1">
      <c r="A7360" s="109"/>
      <c r="B7360" s="109"/>
      <c r="C7360" s="109"/>
      <c r="D7360" s="109"/>
      <c r="E7360" s="109"/>
      <c r="F7360" s="109"/>
      <c r="G7360" s="109"/>
      <c r="H7360" s="109"/>
      <c r="I7360" s="109"/>
      <c r="J7360" s="109"/>
    </row>
    <row r="7361" spans="1:10" customFormat="1" ht="12.75" hidden="1">
      <c r="A7361" s="109"/>
      <c r="B7361" s="109"/>
      <c r="C7361" s="109"/>
      <c r="D7361" s="109"/>
      <c r="E7361" s="109"/>
      <c r="F7361" s="109"/>
      <c r="G7361" s="109"/>
      <c r="H7361" s="109"/>
      <c r="I7361" s="109"/>
      <c r="J7361" s="109"/>
    </row>
    <row r="7362" spans="1:10" customFormat="1" ht="12.75" hidden="1">
      <c r="A7362" s="109"/>
      <c r="B7362" s="109"/>
      <c r="C7362" s="109"/>
      <c r="D7362" s="109"/>
      <c r="E7362" s="109"/>
      <c r="F7362" s="109"/>
      <c r="G7362" s="109"/>
      <c r="H7362" s="109"/>
      <c r="I7362" s="109"/>
      <c r="J7362" s="109"/>
    </row>
    <row r="7363" spans="1:10" customFormat="1" ht="12.75" hidden="1">
      <c r="A7363" s="109"/>
      <c r="B7363" s="109"/>
      <c r="C7363" s="109"/>
      <c r="D7363" s="109"/>
      <c r="E7363" s="109"/>
      <c r="F7363" s="109"/>
      <c r="G7363" s="109"/>
      <c r="H7363" s="109"/>
      <c r="I7363" s="109"/>
      <c r="J7363" s="109"/>
    </row>
    <row r="7364" spans="1:10" customFormat="1" ht="12.75" hidden="1">
      <c r="A7364" s="109"/>
      <c r="B7364" s="109"/>
      <c r="C7364" s="109"/>
      <c r="D7364" s="109"/>
      <c r="E7364" s="109"/>
      <c r="F7364" s="109"/>
      <c r="G7364" s="109"/>
      <c r="H7364" s="109"/>
      <c r="I7364" s="109"/>
      <c r="J7364" s="109"/>
    </row>
    <row r="7365" spans="1:10" customFormat="1" ht="12.75" hidden="1">
      <c r="A7365" s="109"/>
      <c r="B7365" s="109"/>
      <c r="C7365" s="109"/>
      <c r="D7365" s="109"/>
      <c r="E7365" s="109"/>
      <c r="F7365" s="109"/>
      <c r="G7365" s="109"/>
      <c r="H7365" s="109"/>
      <c r="I7365" s="109"/>
      <c r="J7365" s="109"/>
    </row>
    <row r="7366" spans="1:10" customFormat="1" ht="12.75" hidden="1">
      <c r="A7366" s="109"/>
      <c r="B7366" s="109"/>
      <c r="C7366" s="109"/>
      <c r="D7366" s="109"/>
      <c r="E7366" s="109"/>
      <c r="F7366" s="109"/>
      <c r="G7366" s="109"/>
      <c r="H7366" s="109"/>
      <c r="I7366" s="109"/>
      <c r="J7366" s="109"/>
    </row>
    <row r="7367" spans="1:10" customFormat="1" ht="12.75" hidden="1">
      <c r="A7367" s="109"/>
      <c r="B7367" s="109"/>
      <c r="C7367" s="109"/>
      <c r="D7367" s="109"/>
      <c r="E7367" s="109"/>
      <c r="F7367" s="109"/>
      <c r="G7367" s="109"/>
      <c r="H7367" s="109"/>
      <c r="I7367" s="109"/>
      <c r="J7367" s="109"/>
    </row>
    <row r="7368" spans="1:10" customFormat="1" ht="12.75" hidden="1">
      <c r="A7368" s="109"/>
      <c r="B7368" s="109"/>
      <c r="C7368" s="109"/>
      <c r="D7368" s="109"/>
      <c r="E7368" s="109"/>
      <c r="F7368" s="109"/>
      <c r="G7368" s="109"/>
      <c r="H7368" s="109"/>
      <c r="I7368" s="109"/>
      <c r="J7368" s="109"/>
    </row>
    <row r="7369" spans="1:10" customFormat="1" ht="12.75" hidden="1">
      <c r="A7369" s="109"/>
      <c r="B7369" s="109"/>
      <c r="C7369" s="109"/>
      <c r="D7369" s="109"/>
      <c r="E7369" s="109"/>
      <c r="F7369" s="109"/>
      <c r="G7369" s="109"/>
      <c r="H7369" s="109"/>
      <c r="I7369" s="109"/>
      <c r="J7369" s="109"/>
    </row>
    <row r="7370" spans="1:10" customFormat="1" ht="12.75" hidden="1">
      <c r="A7370" s="109"/>
      <c r="B7370" s="109"/>
      <c r="C7370" s="109"/>
      <c r="D7370" s="109"/>
      <c r="E7370" s="109"/>
      <c r="F7370" s="109"/>
      <c r="G7370" s="109"/>
      <c r="H7370" s="109"/>
      <c r="I7370" s="109"/>
      <c r="J7370" s="109"/>
    </row>
    <row r="7371" spans="1:10" customFormat="1" ht="12.75" hidden="1">
      <c r="A7371" s="109"/>
      <c r="B7371" s="109"/>
      <c r="C7371" s="109"/>
      <c r="D7371" s="109"/>
      <c r="E7371" s="109"/>
      <c r="F7371" s="109"/>
      <c r="G7371" s="109"/>
      <c r="H7371" s="109"/>
      <c r="I7371" s="109"/>
      <c r="J7371" s="109"/>
    </row>
    <row r="7372" spans="1:10" customFormat="1" ht="12.75" hidden="1">
      <c r="A7372" s="109"/>
      <c r="B7372" s="109"/>
      <c r="C7372" s="109"/>
      <c r="D7372" s="109"/>
      <c r="E7372" s="109"/>
      <c r="F7372" s="109"/>
      <c r="G7372" s="109"/>
      <c r="H7372" s="109"/>
      <c r="I7372" s="109"/>
      <c r="J7372" s="109"/>
    </row>
    <row r="7373" spans="1:10" customFormat="1" ht="12.75" hidden="1">
      <c r="A7373" s="109"/>
      <c r="B7373" s="109"/>
      <c r="C7373" s="109"/>
      <c r="D7373" s="109"/>
      <c r="E7373" s="109"/>
      <c r="F7373" s="109"/>
      <c r="G7373" s="109"/>
      <c r="H7373" s="109"/>
      <c r="I7373" s="109"/>
      <c r="J7373" s="109"/>
    </row>
    <row r="7374" spans="1:10" customFormat="1" ht="12.75" hidden="1">
      <c r="A7374" s="109"/>
      <c r="B7374" s="109"/>
      <c r="C7374" s="109"/>
      <c r="D7374" s="109"/>
      <c r="E7374" s="109"/>
      <c r="F7374" s="109"/>
      <c r="G7374" s="109"/>
      <c r="H7374" s="109"/>
      <c r="I7374" s="109"/>
      <c r="J7374" s="109"/>
    </row>
    <row r="7375" spans="1:10" customFormat="1" ht="12.75" hidden="1">
      <c r="A7375" s="109"/>
      <c r="B7375" s="109"/>
      <c r="C7375" s="109"/>
      <c r="D7375" s="109"/>
      <c r="E7375" s="109"/>
      <c r="F7375" s="109"/>
      <c r="G7375" s="109"/>
      <c r="H7375" s="109"/>
      <c r="I7375" s="109"/>
      <c r="J7375" s="109"/>
    </row>
    <row r="7376" spans="1:10" customFormat="1" ht="12.75" hidden="1">
      <c r="A7376" s="109"/>
      <c r="B7376" s="109"/>
      <c r="C7376" s="109"/>
      <c r="D7376" s="109"/>
      <c r="E7376" s="109"/>
      <c r="F7376" s="109"/>
      <c r="G7376" s="109"/>
      <c r="H7376" s="109"/>
      <c r="I7376" s="109"/>
      <c r="J7376" s="109"/>
    </row>
    <row r="7377" spans="1:10" customFormat="1" ht="12.75" hidden="1">
      <c r="A7377" s="109"/>
      <c r="B7377" s="109"/>
      <c r="C7377" s="109"/>
      <c r="D7377" s="109"/>
      <c r="E7377" s="109"/>
      <c r="F7377" s="109"/>
      <c r="G7377" s="109"/>
      <c r="H7377" s="109"/>
      <c r="I7377" s="109"/>
      <c r="J7377" s="109"/>
    </row>
    <row r="7378" spans="1:10" customFormat="1" ht="12.75" hidden="1">
      <c r="A7378" s="109"/>
      <c r="B7378" s="109"/>
      <c r="C7378" s="109"/>
      <c r="D7378" s="109"/>
      <c r="E7378" s="109"/>
      <c r="F7378" s="109"/>
      <c r="G7378" s="109"/>
      <c r="H7378" s="109"/>
      <c r="I7378" s="109"/>
      <c r="J7378" s="109"/>
    </row>
    <row r="7379" spans="1:10" customFormat="1" ht="12.75" hidden="1">
      <c r="A7379" s="109"/>
      <c r="B7379" s="109"/>
      <c r="C7379" s="109"/>
      <c r="D7379" s="109"/>
      <c r="E7379" s="109"/>
      <c r="F7379" s="109"/>
      <c r="G7379" s="109"/>
      <c r="H7379" s="109"/>
      <c r="I7379" s="109"/>
      <c r="J7379" s="109"/>
    </row>
    <row r="7380" spans="1:10" customFormat="1" ht="12.75" hidden="1">
      <c r="A7380" s="109"/>
      <c r="B7380" s="109"/>
      <c r="C7380" s="109"/>
      <c r="D7380" s="109"/>
      <c r="E7380" s="109"/>
      <c r="F7380" s="109"/>
      <c r="G7380" s="109"/>
      <c r="H7380" s="109"/>
      <c r="I7380" s="109"/>
      <c r="J7380" s="109"/>
    </row>
    <row r="7381" spans="1:10" customFormat="1" ht="12.75" hidden="1">
      <c r="A7381" s="109"/>
      <c r="B7381" s="109"/>
      <c r="C7381" s="109"/>
      <c r="D7381" s="109"/>
      <c r="E7381" s="109"/>
      <c r="F7381" s="109"/>
      <c r="G7381" s="109"/>
      <c r="H7381" s="109"/>
      <c r="I7381" s="109"/>
      <c r="J7381" s="109"/>
    </row>
    <row r="7382" spans="1:10" customFormat="1" ht="12.75" hidden="1">
      <c r="A7382" s="109"/>
      <c r="B7382" s="109"/>
      <c r="C7382" s="109"/>
      <c r="D7382" s="109"/>
      <c r="E7382" s="109"/>
      <c r="F7382" s="109"/>
      <c r="G7382" s="109"/>
      <c r="H7382" s="109"/>
      <c r="I7382" s="109"/>
      <c r="J7382" s="109"/>
    </row>
    <row r="7383" spans="1:10" customFormat="1" ht="12.75" hidden="1">
      <c r="A7383" s="109"/>
      <c r="B7383" s="109"/>
      <c r="C7383" s="109"/>
      <c r="D7383" s="109"/>
      <c r="E7383" s="109"/>
      <c r="F7383" s="109"/>
      <c r="G7383" s="109"/>
      <c r="H7383" s="109"/>
      <c r="I7383" s="109"/>
      <c r="J7383" s="109"/>
    </row>
    <row r="7384" spans="1:10" customFormat="1" ht="12.75" hidden="1">
      <c r="A7384" s="109"/>
      <c r="B7384" s="109"/>
      <c r="C7384" s="109"/>
      <c r="D7384" s="109"/>
      <c r="E7384" s="109"/>
      <c r="F7384" s="109"/>
      <c r="G7384" s="109"/>
      <c r="H7384" s="109"/>
      <c r="I7384" s="109"/>
      <c r="J7384" s="109"/>
    </row>
    <row r="7385" spans="1:10" customFormat="1" ht="12.75" hidden="1">
      <c r="A7385" s="109"/>
      <c r="B7385" s="109"/>
      <c r="C7385" s="109"/>
      <c r="D7385" s="109"/>
      <c r="E7385" s="109"/>
      <c r="F7385" s="109"/>
      <c r="G7385" s="109"/>
      <c r="H7385" s="109"/>
      <c r="I7385" s="109"/>
      <c r="J7385" s="109"/>
    </row>
    <row r="7386" spans="1:10" customFormat="1" ht="12.75" hidden="1">
      <c r="A7386" s="109"/>
      <c r="B7386" s="109"/>
      <c r="C7386" s="109"/>
      <c r="D7386" s="109"/>
      <c r="E7386" s="109"/>
      <c r="F7386" s="109"/>
      <c r="G7386" s="109"/>
      <c r="H7386" s="109"/>
      <c r="I7386" s="109"/>
      <c r="J7386" s="109"/>
    </row>
    <row r="7387" spans="1:10" customFormat="1" ht="12.75" hidden="1">
      <c r="A7387" s="109"/>
      <c r="B7387" s="109"/>
      <c r="C7387" s="109"/>
      <c r="D7387" s="109"/>
      <c r="E7387" s="109"/>
      <c r="F7387" s="109"/>
      <c r="G7387" s="109"/>
      <c r="H7387" s="109"/>
      <c r="I7387" s="109"/>
      <c r="J7387" s="109"/>
    </row>
    <row r="7388" spans="1:10" customFormat="1" ht="12.75" hidden="1">
      <c r="A7388" s="109"/>
      <c r="B7388" s="109"/>
      <c r="C7388" s="109"/>
      <c r="D7388" s="109"/>
      <c r="E7388" s="109"/>
      <c r="F7388" s="109"/>
      <c r="G7388" s="109"/>
      <c r="H7388" s="109"/>
      <c r="I7388" s="109"/>
      <c r="J7388" s="109"/>
    </row>
    <row r="7389" spans="1:10" customFormat="1" ht="12.75" hidden="1">
      <c r="A7389" s="109"/>
      <c r="B7389" s="109"/>
      <c r="C7389" s="109"/>
      <c r="D7389" s="109"/>
      <c r="E7389" s="109"/>
      <c r="F7389" s="109"/>
      <c r="G7389" s="109"/>
      <c r="H7389" s="109"/>
      <c r="I7389" s="109"/>
      <c r="J7389" s="109"/>
    </row>
    <row r="7390" spans="1:10" customFormat="1" ht="12.75" hidden="1">
      <c r="A7390" s="109"/>
      <c r="B7390" s="109"/>
      <c r="C7390" s="109"/>
      <c r="D7390" s="109"/>
      <c r="E7390" s="109"/>
      <c r="F7390" s="109"/>
      <c r="G7390" s="109"/>
      <c r="H7390" s="109"/>
      <c r="I7390" s="109"/>
      <c r="J7390" s="109"/>
    </row>
    <row r="7391" spans="1:10" customFormat="1" ht="12.75" hidden="1">
      <c r="A7391" s="109"/>
      <c r="B7391" s="109"/>
      <c r="C7391" s="109"/>
      <c r="D7391" s="109"/>
      <c r="E7391" s="109"/>
      <c r="F7391" s="109"/>
      <c r="G7391" s="109"/>
      <c r="H7391" s="109"/>
      <c r="I7391" s="109"/>
      <c r="J7391" s="109"/>
    </row>
    <row r="7392" spans="1:10" customFormat="1" ht="12.75" hidden="1">
      <c r="A7392" s="109"/>
      <c r="B7392" s="109"/>
      <c r="C7392" s="109"/>
      <c r="D7392" s="109"/>
      <c r="E7392" s="109"/>
      <c r="F7392" s="109"/>
      <c r="G7392" s="109"/>
      <c r="H7392" s="109"/>
      <c r="I7392" s="109"/>
      <c r="J7392" s="109"/>
    </row>
    <row r="7393" spans="1:10" customFormat="1" ht="12.75" hidden="1">
      <c r="A7393" s="109"/>
      <c r="B7393" s="109"/>
      <c r="C7393" s="109"/>
      <c r="D7393" s="109"/>
      <c r="E7393" s="109"/>
      <c r="F7393" s="109"/>
      <c r="G7393" s="109"/>
      <c r="H7393" s="109"/>
      <c r="I7393" s="109"/>
      <c r="J7393" s="109"/>
    </row>
    <row r="7394" spans="1:10" customFormat="1" ht="12.75" hidden="1">
      <c r="A7394" s="109"/>
      <c r="B7394" s="109"/>
      <c r="C7394" s="109"/>
      <c r="D7394" s="109"/>
      <c r="E7394" s="109"/>
      <c r="F7394" s="109"/>
      <c r="G7394" s="109"/>
      <c r="H7394" s="109"/>
      <c r="I7394" s="109"/>
      <c r="J7394" s="109"/>
    </row>
    <row r="7395" spans="1:10" customFormat="1" ht="12.75" hidden="1">
      <c r="A7395" s="109"/>
      <c r="B7395" s="109"/>
      <c r="C7395" s="109"/>
      <c r="D7395" s="109"/>
      <c r="E7395" s="109"/>
      <c r="F7395" s="109"/>
      <c r="G7395" s="109"/>
      <c r="H7395" s="109"/>
      <c r="I7395" s="109"/>
      <c r="J7395" s="109"/>
    </row>
    <row r="7396" spans="1:10" customFormat="1" ht="12.75" hidden="1">
      <c r="A7396" s="109"/>
      <c r="B7396" s="109"/>
      <c r="C7396" s="109"/>
      <c r="D7396" s="109"/>
      <c r="E7396" s="109"/>
      <c r="F7396" s="109"/>
      <c r="G7396" s="109"/>
      <c r="H7396" s="109"/>
      <c r="I7396" s="109"/>
      <c r="J7396" s="109"/>
    </row>
    <row r="7397" spans="1:10" customFormat="1" ht="12.75" hidden="1">
      <c r="A7397" s="109"/>
      <c r="B7397" s="109"/>
      <c r="C7397" s="109"/>
      <c r="D7397" s="109"/>
      <c r="E7397" s="109"/>
      <c r="F7397" s="109"/>
      <c r="G7397" s="109"/>
      <c r="H7397" s="109"/>
      <c r="I7397" s="109"/>
      <c r="J7397" s="109"/>
    </row>
    <row r="7398" spans="1:10" customFormat="1" ht="12.75" hidden="1">
      <c r="A7398" s="109"/>
      <c r="B7398" s="109"/>
      <c r="C7398" s="109"/>
      <c r="D7398" s="109"/>
      <c r="E7398" s="109"/>
      <c r="F7398" s="109"/>
      <c r="G7398" s="109"/>
      <c r="H7398" s="109"/>
      <c r="I7398" s="109"/>
      <c r="J7398" s="109"/>
    </row>
    <row r="7399" spans="1:10" customFormat="1" ht="12.75" hidden="1">
      <c r="A7399" s="109"/>
      <c r="B7399" s="109"/>
      <c r="C7399" s="109"/>
      <c r="D7399" s="109"/>
      <c r="E7399" s="109"/>
      <c r="F7399" s="109"/>
      <c r="G7399" s="109"/>
      <c r="H7399" s="109"/>
      <c r="I7399" s="109"/>
      <c r="J7399" s="109"/>
    </row>
    <row r="7400" spans="1:10" customFormat="1" ht="12.75" hidden="1">
      <c r="A7400" s="109"/>
      <c r="B7400" s="109"/>
      <c r="C7400" s="109"/>
      <c r="D7400" s="109"/>
      <c r="E7400" s="109"/>
      <c r="F7400" s="109"/>
      <c r="G7400" s="109"/>
      <c r="H7400" s="109"/>
      <c r="I7400" s="109"/>
      <c r="J7400" s="109"/>
    </row>
    <row r="7401" spans="1:10" customFormat="1" ht="12.75" hidden="1">
      <c r="A7401" s="109"/>
      <c r="B7401" s="109"/>
      <c r="C7401" s="109"/>
      <c r="D7401" s="109"/>
      <c r="E7401" s="109"/>
      <c r="F7401" s="109"/>
      <c r="G7401" s="109"/>
      <c r="H7401" s="109"/>
      <c r="I7401" s="109"/>
      <c r="J7401" s="109"/>
    </row>
    <row r="7402" spans="1:10" customFormat="1" ht="12.75" hidden="1">
      <c r="A7402" s="109"/>
      <c r="B7402" s="109"/>
      <c r="C7402" s="109"/>
      <c r="D7402" s="109"/>
      <c r="E7402" s="109"/>
      <c r="F7402" s="109"/>
      <c r="G7402" s="109"/>
      <c r="H7402" s="109"/>
      <c r="I7402" s="109"/>
      <c r="J7402" s="109"/>
    </row>
    <row r="7403" spans="1:10" customFormat="1" ht="12.75" hidden="1">
      <c r="A7403" s="109"/>
      <c r="B7403" s="109"/>
      <c r="C7403" s="109"/>
      <c r="D7403" s="109"/>
      <c r="E7403" s="109"/>
      <c r="F7403" s="109"/>
      <c r="G7403" s="109"/>
      <c r="H7403" s="109"/>
      <c r="I7403" s="109"/>
      <c r="J7403" s="109"/>
    </row>
    <row r="7404" spans="1:10" customFormat="1" ht="12.75" hidden="1">
      <c r="A7404" s="109"/>
      <c r="B7404" s="109"/>
      <c r="C7404" s="109"/>
      <c r="D7404" s="109"/>
      <c r="E7404" s="109"/>
      <c r="F7404" s="109"/>
      <c r="G7404" s="109"/>
      <c r="H7404" s="109"/>
      <c r="I7404" s="109"/>
      <c r="J7404" s="109"/>
    </row>
    <row r="7405" spans="1:10" customFormat="1" ht="12.75" hidden="1">
      <c r="A7405" s="109"/>
      <c r="B7405" s="109"/>
      <c r="C7405" s="109"/>
      <c r="D7405" s="109"/>
      <c r="E7405" s="109"/>
      <c r="F7405" s="109"/>
      <c r="G7405" s="109"/>
      <c r="H7405" s="109"/>
      <c r="I7405" s="109"/>
      <c r="J7405" s="109"/>
    </row>
    <row r="7406" spans="1:10" customFormat="1" ht="12.75" hidden="1">
      <c r="A7406" s="109"/>
      <c r="B7406" s="109"/>
      <c r="C7406" s="109"/>
      <c r="D7406" s="109"/>
      <c r="E7406" s="109"/>
      <c r="F7406" s="109"/>
      <c r="G7406" s="109"/>
      <c r="H7406" s="109"/>
      <c r="I7406" s="109"/>
      <c r="J7406" s="109"/>
    </row>
    <row r="7407" spans="1:10" customFormat="1" ht="12.75" hidden="1">
      <c r="A7407" s="109"/>
      <c r="B7407" s="109"/>
      <c r="C7407" s="109"/>
      <c r="D7407" s="109"/>
      <c r="E7407" s="109"/>
      <c r="F7407" s="109"/>
      <c r="G7407" s="109"/>
      <c r="H7407" s="109"/>
      <c r="I7407" s="109"/>
      <c r="J7407" s="109"/>
    </row>
    <row r="7408" spans="1:10" customFormat="1" ht="12.75" hidden="1">
      <c r="A7408" s="109"/>
      <c r="B7408" s="109"/>
      <c r="C7408" s="109"/>
      <c r="D7408" s="109"/>
      <c r="E7408" s="109"/>
      <c r="F7408" s="109"/>
      <c r="G7408" s="109"/>
      <c r="H7408" s="109"/>
      <c r="I7408" s="109"/>
      <c r="J7408" s="109"/>
    </row>
    <row r="7409" spans="1:10" customFormat="1" ht="12.75" hidden="1">
      <c r="A7409" s="109"/>
      <c r="B7409" s="109"/>
      <c r="C7409" s="109"/>
      <c r="D7409" s="109"/>
      <c r="E7409" s="109"/>
      <c r="F7409" s="109"/>
      <c r="G7409" s="109"/>
      <c r="H7409" s="109"/>
      <c r="I7409" s="109"/>
      <c r="J7409" s="109"/>
    </row>
    <row r="7410" spans="1:10" customFormat="1" ht="12.75" hidden="1">
      <c r="A7410" s="109"/>
      <c r="B7410" s="109"/>
      <c r="C7410" s="109"/>
      <c r="D7410" s="109"/>
      <c r="E7410" s="109"/>
      <c r="F7410" s="109"/>
      <c r="G7410" s="109"/>
      <c r="H7410" s="109"/>
      <c r="I7410" s="109"/>
      <c r="J7410" s="109"/>
    </row>
    <row r="7411" spans="1:10" customFormat="1" ht="12.75" hidden="1">
      <c r="A7411" s="109"/>
      <c r="B7411" s="109"/>
      <c r="C7411" s="109"/>
      <c r="D7411" s="109"/>
      <c r="E7411" s="109"/>
      <c r="F7411" s="109"/>
      <c r="G7411" s="109"/>
      <c r="H7411" s="109"/>
      <c r="I7411" s="109"/>
      <c r="J7411" s="109"/>
    </row>
    <row r="7412" spans="1:10" customFormat="1" ht="12.75" hidden="1">
      <c r="A7412" s="109"/>
      <c r="B7412" s="109"/>
      <c r="C7412" s="109"/>
      <c r="D7412" s="109"/>
      <c r="E7412" s="109"/>
      <c r="F7412" s="109"/>
      <c r="G7412" s="109"/>
      <c r="H7412" s="109"/>
      <c r="I7412" s="109"/>
      <c r="J7412" s="109"/>
    </row>
    <row r="7413" spans="1:10" customFormat="1" ht="12.75" hidden="1">
      <c r="A7413" s="109"/>
      <c r="B7413" s="109"/>
      <c r="C7413" s="109"/>
      <c r="D7413" s="109"/>
      <c r="E7413" s="109"/>
      <c r="F7413" s="109"/>
      <c r="G7413" s="109"/>
      <c r="H7413" s="109"/>
      <c r="I7413" s="109"/>
      <c r="J7413" s="109"/>
    </row>
    <row r="7414" spans="1:10" customFormat="1" ht="12.75" hidden="1">
      <c r="A7414" s="109"/>
      <c r="B7414" s="109"/>
      <c r="C7414" s="109"/>
      <c r="D7414" s="109"/>
      <c r="E7414" s="109"/>
      <c r="F7414" s="109"/>
      <c r="G7414" s="109"/>
      <c r="H7414" s="109"/>
      <c r="I7414" s="109"/>
      <c r="J7414" s="109"/>
    </row>
    <row r="7415" spans="1:10" customFormat="1" ht="12.75" hidden="1">
      <c r="A7415" s="109"/>
      <c r="B7415" s="109"/>
      <c r="C7415" s="109"/>
      <c r="D7415" s="109"/>
      <c r="E7415" s="109"/>
      <c r="F7415" s="109"/>
      <c r="G7415" s="109"/>
      <c r="H7415" s="109"/>
      <c r="I7415" s="109"/>
      <c r="J7415" s="109"/>
    </row>
    <row r="7416" spans="1:10" customFormat="1" ht="12.75" hidden="1">
      <c r="A7416" s="109"/>
      <c r="B7416" s="109"/>
      <c r="C7416" s="109"/>
      <c r="D7416" s="109"/>
      <c r="E7416" s="109"/>
      <c r="F7416" s="109"/>
      <c r="G7416" s="109"/>
      <c r="H7416" s="109"/>
      <c r="I7416" s="109"/>
      <c r="J7416" s="109"/>
    </row>
    <row r="7417" spans="1:10" customFormat="1" ht="12.75" hidden="1">
      <c r="A7417" s="109"/>
      <c r="B7417" s="109"/>
      <c r="C7417" s="109"/>
      <c r="D7417" s="109"/>
      <c r="E7417" s="109"/>
      <c r="F7417" s="109"/>
      <c r="G7417" s="109"/>
      <c r="H7417" s="109"/>
      <c r="I7417" s="109"/>
      <c r="J7417" s="109"/>
    </row>
    <row r="7418" spans="1:10" customFormat="1" ht="12.75" hidden="1">
      <c r="A7418" s="109"/>
      <c r="B7418" s="109"/>
      <c r="C7418" s="109"/>
      <c r="D7418" s="109"/>
      <c r="E7418" s="109"/>
      <c r="F7418" s="109"/>
      <c r="G7418" s="109"/>
      <c r="H7418" s="109"/>
      <c r="I7418" s="109"/>
      <c r="J7418" s="109"/>
    </row>
    <row r="7419" spans="1:10" customFormat="1" ht="12.75" hidden="1">
      <c r="A7419" s="109"/>
      <c r="B7419" s="109"/>
      <c r="C7419" s="109"/>
      <c r="D7419" s="109"/>
      <c r="E7419" s="109"/>
      <c r="F7419" s="109"/>
      <c r="G7419" s="109"/>
      <c r="H7419" s="109"/>
      <c r="I7419" s="109"/>
      <c r="J7419" s="109"/>
    </row>
    <row r="7420" spans="1:10" customFormat="1" ht="12.75" hidden="1">
      <c r="A7420" s="109"/>
      <c r="B7420" s="109"/>
      <c r="C7420" s="109"/>
      <c r="D7420" s="109"/>
      <c r="E7420" s="109"/>
      <c r="F7420" s="109"/>
      <c r="G7420" s="109"/>
      <c r="H7420" s="109"/>
      <c r="I7420" s="109"/>
      <c r="J7420" s="109"/>
    </row>
    <row r="7421" spans="1:10" customFormat="1" ht="12.75" hidden="1">
      <c r="A7421" s="109"/>
      <c r="B7421" s="109"/>
      <c r="C7421" s="109"/>
      <c r="D7421" s="109"/>
      <c r="E7421" s="109"/>
      <c r="F7421" s="109"/>
      <c r="G7421" s="109"/>
      <c r="H7421" s="109"/>
      <c r="I7421" s="109"/>
      <c r="J7421" s="109"/>
    </row>
    <row r="7422" spans="1:10" customFormat="1" ht="12.75" hidden="1">
      <c r="A7422" s="109"/>
      <c r="B7422" s="109"/>
      <c r="C7422" s="109"/>
      <c r="D7422" s="109"/>
      <c r="E7422" s="109"/>
      <c r="F7422" s="109"/>
      <c r="G7422" s="109"/>
      <c r="H7422" s="109"/>
      <c r="I7422" s="109"/>
      <c r="J7422" s="109"/>
    </row>
    <row r="7423" spans="1:10" customFormat="1" ht="12.75" hidden="1">
      <c r="A7423" s="109"/>
      <c r="B7423" s="109"/>
      <c r="C7423" s="109"/>
      <c r="D7423" s="109"/>
      <c r="E7423" s="109"/>
      <c r="F7423" s="109"/>
      <c r="G7423" s="109"/>
      <c r="H7423" s="109"/>
      <c r="I7423" s="109"/>
      <c r="J7423" s="109"/>
    </row>
    <row r="7424" spans="1:10" customFormat="1" ht="12.75" hidden="1">
      <c r="A7424" s="109"/>
      <c r="B7424" s="109"/>
      <c r="C7424" s="109"/>
      <c r="D7424" s="109"/>
      <c r="E7424" s="109"/>
      <c r="F7424" s="109"/>
      <c r="G7424" s="109"/>
      <c r="H7424" s="109"/>
      <c r="I7424" s="109"/>
      <c r="J7424" s="109"/>
    </row>
    <row r="7425" spans="1:10" customFormat="1" ht="12.75" hidden="1">
      <c r="A7425" s="109"/>
      <c r="B7425" s="109"/>
      <c r="C7425" s="109"/>
      <c r="D7425" s="109"/>
      <c r="E7425" s="109"/>
      <c r="F7425" s="109"/>
      <c r="G7425" s="109"/>
      <c r="H7425" s="109"/>
      <c r="I7425" s="109"/>
      <c r="J7425" s="109"/>
    </row>
    <row r="7426" spans="1:10" customFormat="1" ht="12.75" hidden="1">
      <c r="A7426" s="109"/>
      <c r="B7426" s="109"/>
      <c r="C7426" s="109"/>
      <c r="D7426" s="109"/>
      <c r="E7426" s="109"/>
      <c r="F7426" s="109"/>
      <c r="G7426" s="109"/>
      <c r="H7426" s="109"/>
      <c r="I7426" s="109"/>
      <c r="J7426" s="109"/>
    </row>
    <row r="7427" spans="1:10" customFormat="1" ht="12.75" hidden="1">
      <c r="A7427" s="109"/>
      <c r="B7427" s="109"/>
      <c r="C7427" s="109"/>
      <c r="D7427" s="109"/>
      <c r="E7427" s="109"/>
      <c r="F7427" s="109"/>
      <c r="G7427" s="109"/>
      <c r="H7427" s="109"/>
      <c r="I7427" s="109"/>
      <c r="J7427" s="109"/>
    </row>
    <row r="7428" spans="1:10" customFormat="1" ht="12.75" hidden="1">
      <c r="A7428" s="109"/>
      <c r="B7428" s="109"/>
      <c r="C7428" s="109"/>
      <c r="D7428" s="109"/>
      <c r="E7428" s="109"/>
      <c r="F7428" s="109"/>
      <c r="G7428" s="109"/>
      <c r="H7428" s="109"/>
      <c r="I7428" s="109"/>
      <c r="J7428" s="109"/>
    </row>
    <row r="7429" spans="1:10" customFormat="1" ht="12.75" hidden="1">
      <c r="A7429" s="109"/>
      <c r="B7429" s="109"/>
      <c r="C7429" s="109"/>
      <c r="D7429" s="109"/>
      <c r="E7429" s="109"/>
      <c r="F7429" s="109"/>
      <c r="G7429" s="109"/>
      <c r="H7429" s="109"/>
      <c r="I7429" s="109"/>
      <c r="J7429" s="109"/>
    </row>
    <row r="7430" spans="1:10" customFormat="1" ht="12.75" hidden="1">
      <c r="A7430" s="109"/>
      <c r="B7430" s="109"/>
      <c r="C7430" s="109"/>
      <c r="D7430" s="109"/>
      <c r="E7430" s="109"/>
      <c r="F7430" s="109"/>
      <c r="G7430" s="109"/>
      <c r="H7430" s="109"/>
      <c r="I7430" s="109"/>
      <c r="J7430" s="109"/>
    </row>
    <row r="7431" spans="1:10" customFormat="1" ht="12.75" hidden="1">
      <c r="A7431" s="109"/>
      <c r="B7431" s="109"/>
      <c r="C7431" s="109"/>
      <c r="D7431" s="109"/>
      <c r="E7431" s="109"/>
      <c r="F7431" s="109"/>
      <c r="G7431" s="109"/>
      <c r="H7431" s="109"/>
      <c r="I7431" s="109"/>
      <c r="J7431" s="109"/>
    </row>
    <row r="7432" spans="1:10" customFormat="1" ht="12.75" hidden="1">
      <c r="A7432" s="109"/>
      <c r="B7432" s="109"/>
      <c r="C7432" s="109"/>
      <c r="D7432" s="109"/>
      <c r="E7432" s="109"/>
      <c r="F7432" s="109"/>
      <c r="G7432" s="109"/>
      <c r="H7432" s="109"/>
      <c r="I7432" s="109"/>
      <c r="J7432" s="109"/>
    </row>
    <row r="7433" spans="1:10" customFormat="1" ht="12.75" hidden="1">
      <c r="A7433" s="109"/>
      <c r="B7433" s="109"/>
      <c r="C7433" s="109"/>
      <c r="D7433" s="109"/>
      <c r="E7433" s="109"/>
      <c r="F7433" s="109"/>
      <c r="G7433" s="109"/>
      <c r="H7433" s="109"/>
      <c r="I7433" s="109"/>
      <c r="J7433" s="109"/>
    </row>
    <row r="7434" spans="1:10" customFormat="1" ht="12.75" hidden="1">
      <c r="A7434" s="109"/>
      <c r="B7434" s="109"/>
      <c r="C7434" s="109"/>
      <c r="D7434" s="109"/>
      <c r="E7434" s="109"/>
      <c r="F7434" s="109"/>
      <c r="G7434" s="109"/>
      <c r="H7434" s="109"/>
      <c r="I7434" s="109"/>
      <c r="J7434" s="109"/>
    </row>
    <row r="7435" spans="1:10" customFormat="1" ht="12.75" hidden="1">
      <c r="A7435" s="109"/>
      <c r="B7435" s="109"/>
      <c r="C7435" s="109"/>
      <c r="D7435" s="109"/>
      <c r="E7435" s="109"/>
      <c r="F7435" s="109"/>
      <c r="G7435" s="109"/>
      <c r="H7435" s="109"/>
      <c r="I7435" s="109"/>
      <c r="J7435" s="109"/>
    </row>
    <row r="7436" spans="1:10" customFormat="1" ht="12.75" hidden="1">
      <c r="A7436" s="109"/>
      <c r="B7436" s="109"/>
      <c r="C7436" s="109"/>
      <c r="D7436" s="109"/>
      <c r="E7436" s="109"/>
      <c r="F7436" s="109"/>
      <c r="G7436" s="109"/>
      <c r="H7436" s="109"/>
      <c r="I7436" s="109"/>
      <c r="J7436" s="109"/>
    </row>
    <row r="7437" spans="1:10" customFormat="1" ht="12.75" hidden="1">
      <c r="A7437" s="109"/>
      <c r="B7437" s="109"/>
      <c r="C7437" s="109"/>
      <c r="D7437" s="109"/>
      <c r="E7437" s="109"/>
      <c r="F7437" s="109"/>
      <c r="G7437" s="109"/>
      <c r="H7437" s="109"/>
      <c r="I7437" s="109"/>
      <c r="J7437" s="109"/>
    </row>
    <row r="7438" spans="1:10" customFormat="1" ht="12.75" hidden="1">
      <c r="A7438" s="109"/>
      <c r="B7438" s="109"/>
      <c r="C7438" s="109"/>
      <c r="D7438" s="109"/>
      <c r="E7438" s="109"/>
      <c r="F7438" s="109"/>
      <c r="G7438" s="109"/>
      <c r="H7438" s="109"/>
      <c r="I7438" s="109"/>
      <c r="J7438" s="109"/>
    </row>
    <row r="7439" spans="1:10" customFormat="1" ht="12.75" hidden="1">
      <c r="A7439" s="109"/>
      <c r="B7439" s="109"/>
      <c r="C7439" s="109"/>
      <c r="D7439" s="109"/>
      <c r="E7439" s="109"/>
      <c r="F7439" s="109"/>
      <c r="G7439" s="109"/>
      <c r="H7439" s="109"/>
      <c r="I7439" s="109"/>
      <c r="J7439" s="109"/>
    </row>
    <row r="7440" spans="1:10" customFormat="1" ht="12.75" hidden="1">
      <c r="A7440" s="109"/>
      <c r="B7440" s="109"/>
      <c r="C7440" s="109"/>
      <c r="D7440" s="109"/>
      <c r="E7440" s="109"/>
      <c r="F7440" s="109"/>
      <c r="G7440" s="109"/>
      <c r="H7440" s="109"/>
      <c r="I7440" s="109"/>
      <c r="J7440" s="109"/>
    </row>
    <row r="7441" spans="1:10" customFormat="1" ht="12.75" hidden="1">
      <c r="A7441" s="109"/>
      <c r="B7441" s="109"/>
      <c r="C7441" s="109"/>
      <c r="D7441" s="109"/>
      <c r="E7441" s="109"/>
      <c r="F7441" s="109"/>
      <c r="G7441" s="109"/>
      <c r="H7441" s="109"/>
      <c r="I7441" s="109"/>
      <c r="J7441" s="109"/>
    </row>
    <row r="7442" spans="1:10" customFormat="1" ht="12.75" hidden="1">
      <c r="A7442" s="109"/>
      <c r="B7442" s="109"/>
      <c r="C7442" s="109"/>
      <c r="D7442" s="109"/>
      <c r="E7442" s="109"/>
      <c r="F7442" s="109"/>
      <c r="G7442" s="109"/>
      <c r="H7442" s="109"/>
      <c r="I7442" s="109"/>
      <c r="J7442" s="109"/>
    </row>
    <row r="7443" spans="1:10" customFormat="1" ht="12.75" hidden="1">
      <c r="A7443" s="109"/>
      <c r="B7443" s="109"/>
      <c r="C7443" s="109"/>
      <c r="D7443" s="109"/>
      <c r="E7443" s="109"/>
      <c r="F7443" s="109"/>
      <c r="G7443" s="109"/>
      <c r="H7443" s="109"/>
      <c r="I7443" s="109"/>
      <c r="J7443" s="109"/>
    </row>
    <row r="7444" spans="1:10" customFormat="1" ht="12.75" hidden="1">
      <c r="A7444" s="109"/>
      <c r="B7444" s="109"/>
      <c r="C7444" s="109"/>
      <c r="D7444" s="109"/>
      <c r="E7444" s="109"/>
      <c r="F7444" s="109"/>
      <c r="G7444" s="109"/>
      <c r="H7444" s="109"/>
      <c r="I7444" s="109"/>
      <c r="J7444" s="109"/>
    </row>
    <row r="7445" spans="1:10" customFormat="1" ht="12.75" hidden="1">
      <c r="A7445" s="109"/>
      <c r="B7445" s="109"/>
      <c r="C7445" s="109"/>
      <c r="D7445" s="109"/>
      <c r="E7445" s="109"/>
      <c r="F7445" s="109"/>
      <c r="G7445" s="109"/>
      <c r="H7445" s="109"/>
      <c r="I7445" s="109"/>
      <c r="J7445" s="109"/>
    </row>
    <row r="7446" spans="1:10" customFormat="1" ht="12.75" hidden="1">
      <c r="A7446" s="109"/>
      <c r="B7446" s="109"/>
      <c r="C7446" s="109"/>
      <c r="D7446" s="109"/>
      <c r="E7446" s="109"/>
      <c r="F7446" s="109"/>
      <c r="G7446" s="109"/>
      <c r="H7446" s="109"/>
      <c r="I7446" s="109"/>
      <c r="J7446" s="109"/>
    </row>
    <row r="7447" spans="1:10" customFormat="1" ht="12.75" hidden="1">
      <c r="A7447" s="109"/>
      <c r="B7447" s="109"/>
      <c r="C7447" s="109"/>
      <c r="D7447" s="109"/>
      <c r="E7447" s="109"/>
      <c r="F7447" s="109"/>
      <c r="G7447" s="109"/>
      <c r="H7447" s="109"/>
      <c r="I7447" s="109"/>
      <c r="J7447" s="109"/>
    </row>
    <row r="7448" spans="1:10" customFormat="1" ht="12.75" hidden="1">
      <c r="A7448" s="109"/>
      <c r="B7448" s="109"/>
      <c r="C7448" s="109"/>
      <c r="D7448" s="109"/>
      <c r="E7448" s="109"/>
      <c r="F7448" s="109"/>
      <c r="G7448" s="109"/>
      <c r="H7448" s="109"/>
      <c r="I7448" s="109"/>
      <c r="J7448" s="109"/>
    </row>
    <row r="7449" spans="1:10" customFormat="1" ht="12.75" hidden="1">
      <c r="A7449" s="109"/>
      <c r="B7449" s="109"/>
      <c r="C7449" s="109"/>
      <c r="D7449" s="109"/>
      <c r="E7449" s="109"/>
      <c r="F7449" s="109"/>
      <c r="G7449" s="109"/>
      <c r="H7449" s="109"/>
      <c r="I7449" s="109"/>
      <c r="J7449" s="109"/>
    </row>
    <row r="7450" spans="1:10" customFormat="1" ht="12.75" hidden="1">
      <c r="A7450" s="109"/>
      <c r="B7450" s="109"/>
      <c r="C7450" s="109"/>
      <c r="D7450" s="109"/>
      <c r="E7450" s="109"/>
      <c r="F7450" s="109"/>
      <c r="G7450" s="109"/>
      <c r="H7450" s="109"/>
      <c r="I7450" s="109"/>
      <c r="J7450" s="109"/>
    </row>
    <row r="7451" spans="1:10" customFormat="1" ht="12.75" hidden="1">
      <c r="A7451" s="109"/>
      <c r="B7451" s="109"/>
      <c r="C7451" s="109"/>
      <c r="D7451" s="109"/>
      <c r="E7451" s="109"/>
      <c r="F7451" s="109"/>
      <c r="G7451" s="109"/>
      <c r="H7451" s="109"/>
      <c r="I7451" s="109"/>
      <c r="J7451" s="109"/>
    </row>
    <row r="7452" spans="1:10" customFormat="1" ht="12.75" hidden="1">
      <c r="A7452" s="109"/>
      <c r="B7452" s="109"/>
      <c r="C7452" s="109"/>
      <c r="D7452" s="109"/>
      <c r="E7452" s="109"/>
      <c r="F7452" s="109"/>
      <c r="G7452" s="109"/>
      <c r="H7452" s="109"/>
      <c r="I7452" s="109"/>
      <c r="J7452" s="109"/>
    </row>
    <row r="7453" spans="1:10" customFormat="1" ht="12.75" hidden="1">
      <c r="A7453" s="109"/>
      <c r="B7453" s="109"/>
      <c r="C7453" s="109"/>
      <c r="D7453" s="109"/>
      <c r="E7453" s="109"/>
      <c r="F7453" s="109"/>
      <c r="G7453" s="109"/>
      <c r="H7453" s="109"/>
      <c r="I7453" s="109"/>
      <c r="J7453" s="109"/>
    </row>
    <row r="7454" spans="1:10" customFormat="1" ht="12.75" hidden="1">
      <c r="A7454" s="109"/>
      <c r="B7454" s="109"/>
      <c r="C7454" s="109"/>
      <c r="D7454" s="109"/>
      <c r="E7454" s="109"/>
      <c r="F7454" s="109"/>
      <c r="G7454" s="109"/>
      <c r="H7454" s="109"/>
      <c r="I7454" s="109"/>
      <c r="J7454" s="109"/>
    </row>
    <row r="7455" spans="1:10" customFormat="1" ht="12.75" hidden="1">
      <c r="A7455" s="109"/>
      <c r="B7455" s="109"/>
      <c r="C7455" s="109"/>
      <c r="D7455" s="109"/>
      <c r="E7455" s="109"/>
      <c r="F7455" s="109"/>
      <c r="G7455" s="109"/>
      <c r="H7455" s="109"/>
      <c r="I7455" s="109"/>
      <c r="J7455" s="109"/>
    </row>
    <row r="7456" spans="1:10" customFormat="1" ht="12.75" hidden="1">
      <c r="A7456" s="109"/>
      <c r="B7456" s="109"/>
      <c r="C7456" s="109"/>
      <c r="D7456" s="109"/>
      <c r="E7456" s="109"/>
      <c r="F7456" s="109"/>
      <c r="G7456" s="109"/>
      <c r="H7456" s="109"/>
      <c r="I7456" s="109"/>
      <c r="J7456" s="109"/>
    </row>
    <row r="7457" spans="1:10" customFormat="1" ht="12.75" hidden="1">
      <c r="A7457" s="109"/>
      <c r="B7457" s="109"/>
      <c r="C7457" s="109"/>
      <c r="D7457" s="109"/>
      <c r="E7457" s="109"/>
      <c r="F7457" s="109"/>
      <c r="G7457" s="109"/>
      <c r="H7457" s="109"/>
      <c r="I7457" s="109"/>
      <c r="J7457" s="109"/>
    </row>
    <row r="7458" spans="1:10" customFormat="1" ht="12.75" hidden="1">
      <c r="A7458" s="109"/>
      <c r="B7458" s="109"/>
      <c r="C7458" s="109"/>
      <c r="D7458" s="109"/>
      <c r="E7458" s="109"/>
      <c r="F7458" s="109"/>
      <c r="G7458" s="109"/>
      <c r="H7458" s="109"/>
      <c r="I7458" s="109"/>
      <c r="J7458" s="109"/>
    </row>
    <row r="7459" spans="1:10" customFormat="1" ht="12.75" hidden="1">
      <c r="A7459" s="109"/>
      <c r="B7459" s="109"/>
      <c r="C7459" s="109"/>
      <c r="D7459" s="109"/>
      <c r="E7459" s="109"/>
      <c r="F7459" s="109"/>
      <c r="G7459" s="109"/>
      <c r="H7459" s="109"/>
      <c r="I7459" s="109"/>
      <c r="J7459" s="109"/>
    </row>
    <row r="7460" spans="1:10" customFormat="1" ht="12.75" hidden="1">
      <c r="A7460" s="109"/>
      <c r="B7460" s="109"/>
      <c r="C7460" s="109"/>
      <c r="D7460" s="109"/>
      <c r="E7460" s="109"/>
      <c r="F7460" s="109"/>
      <c r="G7460" s="109"/>
      <c r="H7460" s="109"/>
      <c r="I7460" s="109"/>
      <c r="J7460" s="109"/>
    </row>
    <row r="7461" spans="1:10" customFormat="1" ht="12.75" hidden="1">
      <c r="A7461" s="109"/>
      <c r="B7461" s="109"/>
      <c r="C7461" s="109"/>
      <c r="D7461" s="109"/>
      <c r="E7461" s="109"/>
      <c r="F7461" s="109"/>
      <c r="G7461" s="109"/>
      <c r="H7461" s="109"/>
      <c r="I7461" s="109"/>
      <c r="J7461" s="109"/>
    </row>
    <row r="7462" spans="1:10" customFormat="1" ht="12.75" hidden="1">
      <c r="A7462" s="109"/>
      <c r="B7462" s="109"/>
      <c r="C7462" s="109"/>
      <c r="D7462" s="109"/>
      <c r="E7462" s="109"/>
      <c r="F7462" s="109"/>
      <c r="G7462" s="109"/>
      <c r="H7462" s="109"/>
      <c r="I7462" s="109"/>
      <c r="J7462" s="109"/>
    </row>
    <row r="7463" spans="1:10" customFormat="1" ht="12.75" hidden="1">
      <c r="A7463" s="109"/>
      <c r="B7463" s="109"/>
      <c r="C7463" s="109"/>
      <c r="D7463" s="109"/>
      <c r="E7463" s="109"/>
      <c r="F7463" s="109"/>
      <c r="G7463" s="109"/>
      <c r="H7463" s="109"/>
      <c r="I7463" s="109"/>
      <c r="J7463" s="109"/>
    </row>
    <row r="7464" spans="1:10" customFormat="1" ht="12.75" hidden="1">
      <c r="A7464" s="109"/>
      <c r="B7464" s="109"/>
      <c r="C7464" s="109"/>
      <c r="D7464" s="109"/>
      <c r="E7464" s="109"/>
      <c r="F7464" s="109"/>
      <c r="G7464" s="109"/>
      <c r="H7464" s="109"/>
      <c r="I7464" s="109"/>
      <c r="J7464" s="109"/>
    </row>
    <row r="7465" spans="1:10" customFormat="1" ht="12.75" hidden="1">
      <c r="A7465" s="109"/>
      <c r="B7465" s="109"/>
      <c r="C7465" s="109"/>
      <c r="D7465" s="109"/>
      <c r="E7465" s="109"/>
      <c r="F7465" s="109"/>
      <c r="G7465" s="109"/>
      <c r="H7465" s="109"/>
      <c r="I7465" s="109"/>
      <c r="J7465" s="109"/>
    </row>
    <row r="7466" spans="1:10" customFormat="1" ht="12.75" hidden="1">
      <c r="A7466" s="109"/>
      <c r="B7466" s="109"/>
      <c r="C7466" s="109"/>
      <c r="D7466" s="109"/>
      <c r="E7466" s="109"/>
      <c r="F7466" s="109"/>
      <c r="G7466" s="109"/>
      <c r="H7466" s="109"/>
      <c r="I7466" s="109"/>
      <c r="J7466" s="109"/>
    </row>
    <row r="7467" spans="1:10" customFormat="1" ht="12.75" hidden="1">
      <c r="A7467" s="109"/>
      <c r="B7467" s="109"/>
      <c r="C7467" s="109"/>
      <c r="D7467" s="109"/>
      <c r="E7467" s="109"/>
      <c r="F7467" s="109"/>
      <c r="G7467" s="109"/>
      <c r="H7467" s="109"/>
      <c r="I7467" s="109"/>
      <c r="J7467" s="109"/>
    </row>
    <row r="7468" spans="1:10" customFormat="1" ht="12.75" hidden="1">
      <c r="A7468" s="109"/>
      <c r="B7468" s="109"/>
      <c r="C7468" s="109"/>
      <c r="D7468" s="109"/>
      <c r="E7468" s="109"/>
      <c r="F7468" s="109"/>
      <c r="G7468" s="109"/>
      <c r="H7468" s="109"/>
      <c r="I7468" s="109"/>
      <c r="J7468" s="109"/>
    </row>
    <row r="7469" spans="1:10" customFormat="1" ht="12.75" hidden="1">
      <c r="A7469" s="109"/>
      <c r="B7469" s="109"/>
      <c r="C7469" s="109"/>
      <c r="D7469" s="109"/>
      <c r="E7469" s="109"/>
      <c r="F7469" s="109"/>
      <c r="G7469" s="109"/>
      <c r="H7469" s="109"/>
      <c r="I7469" s="109"/>
      <c r="J7469" s="109"/>
    </row>
    <row r="7470" spans="1:10" customFormat="1" ht="12.75" hidden="1">
      <c r="A7470" s="109"/>
      <c r="B7470" s="109"/>
      <c r="C7470" s="109"/>
      <c r="D7470" s="109"/>
      <c r="E7470" s="109"/>
      <c r="F7470" s="109"/>
      <c r="G7470" s="109"/>
      <c r="H7470" s="109"/>
      <c r="I7470" s="109"/>
      <c r="J7470" s="109"/>
    </row>
    <row r="7471" spans="1:10" customFormat="1" ht="12.75" hidden="1">
      <c r="A7471" s="109"/>
      <c r="B7471" s="109"/>
      <c r="C7471" s="109"/>
      <c r="D7471" s="109"/>
      <c r="E7471" s="109"/>
      <c r="F7471" s="109"/>
      <c r="G7471" s="109"/>
      <c r="H7471" s="109"/>
      <c r="I7471" s="109"/>
      <c r="J7471" s="109"/>
    </row>
    <row r="7472" spans="1:10" customFormat="1" ht="12.75" hidden="1">
      <c r="A7472" s="109"/>
      <c r="B7472" s="109"/>
      <c r="C7472" s="109"/>
      <c r="D7472" s="109"/>
      <c r="E7472" s="109"/>
      <c r="F7472" s="109"/>
      <c r="G7472" s="109"/>
      <c r="H7472" s="109"/>
      <c r="I7472" s="109"/>
      <c r="J7472" s="109"/>
    </row>
    <row r="7473" spans="1:10" customFormat="1" ht="12.75" hidden="1">
      <c r="A7473" s="109"/>
      <c r="B7473" s="109"/>
      <c r="C7473" s="109"/>
      <c r="D7473" s="109"/>
      <c r="E7473" s="109"/>
      <c r="F7473" s="109"/>
      <c r="G7473" s="109"/>
      <c r="H7473" s="109"/>
      <c r="I7473" s="109"/>
      <c r="J7473" s="109"/>
    </row>
    <row r="7474" spans="1:10" customFormat="1" ht="12.75" hidden="1">
      <c r="A7474" s="109"/>
      <c r="B7474" s="109"/>
      <c r="C7474" s="109"/>
      <c r="D7474" s="109"/>
      <c r="E7474" s="109"/>
      <c r="F7474" s="109"/>
      <c r="G7474" s="109"/>
      <c r="H7474" s="109"/>
      <c r="I7474" s="109"/>
      <c r="J7474" s="109"/>
    </row>
    <row r="7475" spans="1:10" customFormat="1" ht="12.75" hidden="1">
      <c r="A7475" s="109"/>
      <c r="B7475" s="109"/>
      <c r="C7475" s="109"/>
      <c r="D7475" s="109"/>
      <c r="E7475" s="109"/>
      <c r="F7475" s="109"/>
      <c r="G7475" s="109"/>
      <c r="H7475" s="109"/>
      <c r="I7475" s="109"/>
      <c r="J7475" s="109"/>
    </row>
    <row r="7476" spans="1:10" customFormat="1" ht="12.75" hidden="1">
      <c r="A7476" s="109"/>
      <c r="B7476" s="109"/>
      <c r="C7476" s="109"/>
      <c r="D7476" s="109"/>
      <c r="E7476" s="109"/>
      <c r="F7476" s="109"/>
      <c r="G7476" s="109"/>
      <c r="H7476" s="109"/>
      <c r="I7476" s="109"/>
      <c r="J7476" s="109"/>
    </row>
    <row r="7477" spans="1:10" customFormat="1" ht="12.75" hidden="1">
      <c r="A7477" s="109"/>
      <c r="B7477" s="109"/>
      <c r="C7477" s="109"/>
      <c r="D7477" s="109"/>
      <c r="E7477" s="109"/>
      <c r="F7477" s="109"/>
      <c r="G7477" s="109"/>
      <c r="H7477" s="109"/>
      <c r="I7477" s="109"/>
      <c r="J7477" s="109"/>
    </row>
    <row r="7478" spans="1:10" customFormat="1" ht="12.75" hidden="1">
      <c r="A7478" s="109"/>
      <c r="B7478" s="109"/>
      <c r="C7478" s="109"/>
      <c r="D7478" s="109"/>
      <c r="E7478" s="109"/>
      <c r="F7478" s="109"/>
      <c r="G7478" s="109"/>
      <c r="H7478" s="109"/>
      <c r="I7478" s="109"/>
      <c r="J7478" s="109"/>
    </row>
    <row r="7479" spans="1:10" customFormat="1" ht="12.75" hidden="1">
      <c r="A7479" s="109"/>
      <c r="B7479" s="109"/>
      <c r="C7479" s="109"/>
      <c r="D7479" s="109"/>
      <c r="E7479" s="109"/>
      <c r="F7479" s="109"/>
      <c r="G7479" s="109"/>
      <c r="H7479" s="109"/>
      <c r="I7479" s="109"/>
      <c r="J7479" s="109"/>
    </row>
    <row r="7480" spans="1:10" customFormat="1" ht="12.75" hidden="1">
      <c r="A7480" s="109"/>
      <c r="B7480" s="109"/>
      <c r="C7480" s="109"/>
      <c r="D7480" s="109"/>
      <c r="E7480" s="109"/>
      <c r="F7480" s="109"/>
      <c r="G7480" s="109"/>
      <c r="H7480" s="109"/>
      <c r="I7480" s="109"/>
      <c r="J7480" s="109"/>
    </row>
    <row r="7481" spans="1:10" customFormat="1" ht="12.75" hidden="1">
      <c r="A7481" s="109"/>
      <c r="B7481" s="109"/>
      <c r="C7481" s="109"/>
      <c r="D7481" s="109"/>
      <c r="E7481" s="109"/>
      <c r="F7481" s="109"/>
      <c r="G7481" s="109"/>
      <c r="H7481" s="109"/>
      <c r="I7481" s="109"/>
      <c r="J7481" s="109"/>
    </row>
    <row r="7482" spans="1:10" customFormat="1" ht="12.75" hidden="1">
      <c r="A7482" s="109"/>
      <c r="B7482" s="109"/>
      <c r="C7482" s="109"/>
      <c r="D7482" s="109"/>
      <c r="E7482" s="109"/>
      <c r="F7482" s="109"/>
      <c r="G7482" s="109"/>
      <c r="H7482" s="109"/>
      <c r="I7482" s="109"/>
      <c r="J7482" s="109"/>
    </row>
    <row r="7483" spans="1:10" customFormat="1" ht="12.75" hidden="1">
      <c r="A7483" s="109"/>
      <c r="B7483" s="109"/>
      <c r="C7483" s="109"/>
      <c r="D7483" s="109"/>
      <c r="E7483" s="109"/>
      <c r="F7483" s="109"/>
      <c r="G7483" s="109"/>
      <c r="H7483" s="109"/>
      <c r="I7483" s="109"/>
      <c r="J7483" s="109"/>
    </row>
    <row r="7484" spans="1:10" customFormat="1" ht="12.75" hidden="1">
      <c r="A7484" s="109"/>
      <c r="B7484" s="109"/>
      <c r="C7484" s="109"/>
      <c r="D7484" s="109"/>
      <c r="E7484" s="109"/>
      <c r="F7484" s="109"/>
      <c r="G7484" s="109"/>
      <c r="H7484" s="109"/>
      <c r="I7484" s="109"/>
      <c r="J7484" s="109"/>
    </row>
    <row r="7485" spans="1:10" customFormat="1" ht="12.75" hidden="1">
      <c r="A7485" s="109"/>
      <c r="B7485" s="109"/>
      <c r="C7485" s="109"/>
      <c r="D7485" s="109"/>
      <c r="E7485" s="109"/>
      <c r="F7485" s="109"/>
      <c r="G7485" s="109"/>
      <c r="H7485" s="109"/>
      <c r="I7485" s="109"/>
      <c r="J7485" s="109"/>
    </row>
    <row r="7486" spans="1:10" customFormat="1" ht="12.75" hidden="1">
      <c r="A7486" s="109"/>
      <c r="B7486" s="109"/>
      <c r="C7486" s="109"/>
      <c r="D7486" s="109"/>
      <c r="E7486" s="109"/>
      <c r="F7486" s="109"/>
      <c r="G7486" s="109"/>
      <c r="H7486" s="109"/>
      <c r="I7486" s="109"/>
      <c r="J7486" s="109"/>
    </row>
    <row r="7487" spans="1:10" customFormat="1" ht="12.75" hidden="1">
      <c r="A7487" s="109"/>
      <c r="B7487" s="109"/>
      <c r="C7487" s="109"/>
      <c r="D7487" s="109"/>
      <c r="E7487" s="109"/>
      <c r="F7487" s="109"/>
      <c r="G7487" s="109"/>
      <c r="H7487" s="109"/>
      <c r="I7487" s="109"/>
      <c r="J7487" s="109"/>
    </row>
    <row r="7488" spans="1:10" customFormat="1" ht="12.75" hidden="1">
      <c r="A7488" s="109"/>
      <c r="B7488" s="109"/>
      <c r="C7488" s="109"/>
      <c r="D7488" s="109"/>
      <c r="E7488" s="109"/>
      <c r="F7488" s="109"/>
      <c r="G7488" s="109"/>
      <c r="H7488" s="109"/>
      <c r="I7488" s="109"/>
      <c r="J7488" s="109"/>
    </row>
    <row r="7489" spans="1:10" customFormat="1" ht="12.75" hidden="1">
      <c r="A7489" s="109"/>
      <c r="B7489" s="109"/>
      <c r="C7489" s="109"/>
      <c r="D7489" s="109"/>
      <c r="E7489" s="109"/>
      <c r="F7489" s="109"/>
      <c r="G7489" s="109"/>
      <c r="H7489" s="109"/>
      <c r="I7489" s="109"/>
      <c r="J7489" s="109"/>
    </row>
    <row r="7490" spans="1:10" customFormat="1" ht="12.75" hidden="1">
      <c r="A7490" s="109"/>
      <c r="B7490" s="109"/>
      <c r="C7490" s="109"/>
      <c r="D7490" s="109"/>
      <c r="E7490" s="109"/>
      <c r="F7490" s="109"/>
      <c r="G7490" s="109"/>
      <c r="H7490" s="109"/>
      <c r="I7490" s="109"/>
      <c r="J7490" s="109"/>
    </row>
    <row r="7491" spans="1:10" customFormat="1" ht="12.75" hidden="1">
      <c r="A7491" s="109"/>
      <c r="B7491" s="109"/>
      <c r="C7491" s="109"/>
      <c r="D7491" s="109"/>
      <c r="E7491" s="109"/>
      <c r="F7491" s="109"/>
      <c r="G7491" s="109"/>
      <c r="H7491" s="109"/>
      <c r="I7491" s="109"/>
      <c r="J7491" s="109"/>
    </row>
    <row r="7492" spans="1:10" customFormat="1" ht="12.75" hidden="1">
      <c r="A7492" s="109"/>
      <c r="B7492" s="109"/>
      <c r="C7492" s="109"/>
      <c r="D7492" s="109"/>
      <c r="E7492" s="109"/>
      <c r="F7492" s="109"/>
      <c r="G7492" s="109"/>
      <c r="H7492" s="109"/>
      <c r="I7492" s="109"/>
      <c r="J7492" s="109"/>
    </row>
    <row r="7493" spans="1:10" customFormat="1" ht="12.75" hidden="1">
      <c r="A7493" s="109"/>
      <c r="B7493" s="109"/>
      <c r="C7493" s="109"/>
      <c r="D7493" s="109"/>
      <c r="E7493" s="109"/>
      <c r="F7493" s="109"/>
      <c r="G7493" s="109"/>
      <c r="H7493" s="109"/>
      <c r="I7493" s="109"/>
      <c r="J7493" s="109"/>
    </row>
    <row r="7494" spans="1:10" customFormat="1" ht="12.75" hidden="1">
      <c r="A7494" s="109"/>
      <c r="B7494" s="109"/>
      <c r="C7494" s="109"/>
      <c r="D7494" s="109"/>
      <c r="E7494" s="109"/>
      <c r="F7494" s="109"/>
      <c r="G7494" s="109"/>
      <c r="H7494" s="109"/>
      <c r="I7494" s="109"/>
      <c r="J7494" s="109"/>
    </row>
    <row r="7495" spans="1:10" customFormat="1" ht="12.75" hidden="1">
      <c r="A7495" s="109"/>
      <c r="B7495" s="109"/>
      <c r="C7495" s="109"/>
      <c r="D7495" s="109"/>
      <c r="E7495" s="109"/>
      <c r="F7495" s="109"/>
      <c r="G7495" s="109"/>
      <c r="H7495" s="109"/>
      <c r="I7495" s="109"/>
      <c r="J7495" s="109"/>
    </row>
    <row r="7496" spans="1:10" customFormat="1" ht="12.75" hidden="1">
      <c r="A7496" s="109"/>
      <c r="B7496" s="109"/>
      <c r="C7496" s="109"/>
      <c r="D7496" s="109"/>
      <c r="E7496" s="109"/>
      <c r="F7496" s="109"/>
      <c r="G7496" s="109"/>
      <c r="H7496" s="109"/>
      <c r="I7496" s="109"/>
      <c r="J7496" s="109"/>
    </row>
    <row r="7497" spans="1:10" customFormat="1" ht="12.75" hidden="1">
      <c r="A7497" s="109"/>
      <c r="B7497" s="109"/>
      <c r="C7497" s="109"/>
      <c r="D7497" s="109"/>
      <c r="E7497" s="109"/>
      <c r="F7497" s="109"/>
      <c r="G7497" s="109"/>
      <c r="H7497" s="109"/>
      <c r="I7497" s="109"/>
      <c r="J7497" s="109"/>
    </row>
    <row r="7498" spans="1:10" customFormat="1" ht="12.75" hidden="1">
      <c r="A7498" s="109"/>
      <c r="B7498" s="109"/>
      <c r="C7498" s="109"/>
      <c r="D7498" s="109"/>
      <c r="E7498" s="109"/>
      <c r="F7498" s="109"/>
      <c r="G7498" s="109"/>
      <c r="H7498" s="109"/>
      <c r="I7498" s="109"/>
      <c r="J7498" s="109"/>
    </row>
    <row r="7499" spans="1:10" customFormat="1" ht="12.75" hidden="1">
      <c r="A7499" s="109"/>
      <c r="B7499" s="109"/>
      <c r="C7499" s="109"/>
      <c r="D7499" s="109"/>
      <c r="E7499" s="109"/>
      <c r="F7499" s="109"/>
      <c r="G7499" s="109"/>
      <c r="H7499" s="109"/>
      <c r="I7499" s="109"/>
      <c r="J7499" s="109"/>
    </row>
    <row r="7500" spans="1:10" customFormat="1" ht="12.75" hidden="1">
      <c r="A7500" s="109"/>
      <c r="B7500" s="109"/>
      <c r="C7500" s="109"/>
      <c r="D7500" s="109"/>
      <c r="E7500" s="109"/>
      <c r="F7500" s="109"/>
      <c r="G7500" s="109"/>
      <c r="H7500" s="109"/>
      <c r="I7500" s="109"/>
      <c r="J7500" s="109"/>
    </row>
    <row r="7501" spans="1:10" customFormat="1" ht="12.75" hidden="1">
      <c r="A7501" s="109"/>
      <c r="B7501" s="109"/>
      <c r="C7501" s="109"/>
      <c r="D7501" s="109"/>
      <c r="E7501" s="109"/>
      <c r="F7501" s="109"/>
      <c r="G7501" s="109"/>
      <c r="H7501" s="109"/>
      <c r="I7501" s="109"/>
      <c r="J7501" s="109"/>
    </row>
    <row r="7502" spans="1:10" customFormat="1" ht="12.75" hidden="1">
      <c r="A7502" s="109"/>
      <c r="B7502" s="109"/>
      <c r="C7502" s="109"/>
      <c r="D7502" s="109"/>
      <c r="E7502" s="109"/>
      <c r="F7502" s="109"/>
      <c r="G7502" s="109"/>
      <c r="H7502" s="109"/>
      <c r="I7502" s="109"/>
      <c r="J7502" s="109"/>
    </row>
    <row r="7503" spans="1:10" customFormat="1" ht="12.75" hidden="1">
      <c r="A7503" s="109"/>
      <c r="B7503" s="109"/>
      <c r="C7503" s="109"/>
      <c r="D7503" s="109"/>
      <c r="E7503" s="109"/>
      <c r="F7503" s="109"/>
      <c r="G7503" s="109"/>
      <c r="H7503" s="109"/>
      <c r="I7503" s="109"/>
      <c r="J7503" s="109"/>
    </row>
    <row r="7504" spans="1:10" customFormat="1" ht="12.75" hidden="1">
      <c r="A7504" s="109"/>
      <c r="B7504" s="109"/>
      <c r="C7504" s="109"/>
      <c r="D7504" s="109"/>
      <c r="E7504" s="109"/>
      <c r="F7504" s="109"/>
      <c r="G7504" s="109"/>
      <c r="H7504" s="109"/>
      <c r="I7504" s="109"/>
      <c r="J7504" s="109"/>
    </row>
    <row r="7505" spans="1:10" customFormat="1" ht="12.75" hidden="1">
      <c r="A7505" s="109"/>
      <c r="B7505" s="109"/>
      <c r="C7505" s="109"/>
      <c r="D7505" s="109"/>
      <c r="E7505" s="109"/>
      <c r="F7505" s="109"/>
      <c r="G7505" s="109"/>
      <c r="H7505" s="109"/>
      <c r="I7505" s="109"/>
      <c r="J7505" s="109"/>
    </row>
    <row r="7506" spans="1:10" customFormat="1" ht="12.75" hidden="1">
      <c r="A7506" s="109"/>
      <c r="B7506" s="109"/>
      <c r="C7506" s="109"/>
      <c r="D7506" s="109"/>
      <c r="E7506" s="109"/>
      <c r="F7506" s="109"/>
      <c r="G7506" s="109"/>
      <c r="H7506" s="109"/>
      <c r="I7506" s="109"/>
      <c r="J7506" s="109"/>
    </row>
    <row r="7507" spans="1:10" customFormat="1" ht="12.75" hidden="1">
      <c r="A7507" s="109"/>
      <c r="B7507" s="109"/>
      <c r="C7507" s="109"/>
      <c r="D7507" s="109"/>
      <c r="E7507" s="109"/>
      <c r="F7507" s="109"/>
      <c r="G7507" s="109"/>
      <c r="H7507" s="109"/>
      <c r="I7507" s="109"/>
      <c r="J7507" s="109"/>
    </row>
    <row r="7508" spans="1:10" customFormat="1" ht="12.75" hidden="1">
      <c r="A7508" s="109"/>
      <c r="B7508" s="109"/>
      <c r="C7508" s="109"/>
      <c r="D7508" s="109"/>
      <c r="E7508" s="109"/>
      <c r="F7508" s="109"/>
      <c r="G7508" s="109"/>
      <c r="H7508" s="109"/>
      <c r="I7508" s="109"/>
      <c r="J7508" s="109"/>
    </row>
    <row r="7509" spans="1:10" customFormat="1" ht="12.75" hidden="1">
      <c r="A7509" s="109"/>
      <c r="B7509" s="109"/>
      <c r="C7509" s="109"/>
      <c r="D7509" s="109"/>
      <c r="E7509" s="109"/>
      <c r="F7509" s="109"/>
      <c r="G7509" s="109"/>
      <c r="H7509" s="109"/>
      <c r="I7509" s="109"/>
      <c r="J7509" s="109"/>
    </row>
    <row r="7510" spans="1:10" customFormat="1" ht="12.75" hidden="1">
      <c r="A7510" s="109"/>
      <c r="B7510" s="109"/>
      <c r="C7510" s="109"/>
      <c r="D7510" s="109"/>
      <c r="E7510" s="109"/>
      <c r="F7510" s="109"/>
      <c r="G7510" s="109"/>
      <c r="H7510" s="109"/>
      <c r="I7510" s="109"/>
      <c r="J7510" s="109"/>
    </row>
    <row r="7511" spans="1:10" customFormat="1" ht="12.75" hidden="1">
      <c r="A7511" s="109"/>
      <c r="B7511" s="109"/>
      <c r="C7511" s="109"/>
      <c r="D7511" s="109"/>
      <c r="E7511" s="109"/>
      <c r="F7511" s="109"/>
      <c r="G7511" s="109"/>
      <c r="H7511" s="109"/>
      <c r="I7511" s="109"/>
      <c r="J7511" s="109"/>
    </row>
    <row r="7512" spans="1:10" customFormat="1" ht="12.75" hidden="1">
      <c r="A7512" s="109"/>
      <c r="B7512" s="109"/>
      <c r="C7512" s="109"/>
      <c r="D7512" s="109"/>
      <c r="E7512" s="109"/>
      <c r="F7512" s="109"/>
      <c r="G7512" s="109"/>
      <c r="H7512" s="109"/>
      <c r="I7512" s="109"/>
      <c r="J7512" s="109"/>
    </row>
    <row r="7513" spans="1:10" customFormat="1" ht="12.75" hidden="1">
      <c r="A7513" s="109"/>
      <c r="B7513" s="109"/>
      <c r="C7513" s="109"/>
      <c r="D7513" s="109"/>
      <c r="E7513" s="109"/>
      <c r="F7513" s="109"/>
      <c r="G7513" s="109"/>
      <c r="H7513" s="109"/>
      <c r="I7513" s="109"/>
      <c r="J7513" s="109"/>
    </row>
    <row r="7514" spans="1:10" customFormat="1" ht="12.75" hidden="1">
      <c r="A7514" s="109"/>
      <c r="B7514" s="109"/>
      <c r="C7514" s="109"/>
      <c r="D7514" s="109"/>
      <c r="E7514" s="109"/>
      <c r="F7514" s="109"/>
      <c r="G7514" s="109"/>
      <c r="H7514" s="109"/>
      <c r="I7514" s="109"/>
      <c r="J7514" s="109"/>
    </row>
    <row r="7515" spans="1:10" customFormat="1" ht="12.75" hidden="1">
      <c r="A7515" s="109"/>
      <c r="B7515" s="109"/>
      <c r="C7515" s="109"/>
      <c r="D7515" s="109"/>
      <c r="E7515" s="109"/>
      <c r="F7515" s="109"/>
      <c r="G7515" s="109"/>
      <c r="H7515" s="109"/>
      <c r="I7515" s="109"/>
      <c r="J7515" s="109"/>
    </row>
    <row r="7516" spans="1:10" customFormat="1" ht="12.75" hidden="1">
      <c r="A7516" s="109"/>
      <c r="B7516" s="109"/>
      <c r="C7516" s="109"/>
      <c r="D7516" s="109"/>
      <c r="E7516" s="109"/>
      <c r="F7516" s="109"/>
      <c r="G7516" s="109"/>
      <c r="H7516" s="109"/>
      <c r="I7516" s="109"/>
      <c r="J7516" s="109"/>
    </row>
    <row r="7517" spans="1:10" customFormat="1" ht="12.75" hidden="1">
      <c r="A7517" s="109"/>
      <c r="B7517" s="109"/>
      <c r="C7517" s="109"/>
      <c r="D7517" s="109"/>
      <c r="E7517" s="109"/>
      <c r="F7517" s="109"/>
      <c r="G7517" s="109"/>
      <c r="H7517" s="109"/>
      <c r="I7517" s="109"/>
      <c r="J7517" s="109"/>
    </row>
    <row r="7518" spans="1:10" customFormat="1" ht="12.75" hidden="1">
      <c r="A7518" s="109"/>
      <c r="B7518" s="109"/>
      <c r="C7518" s="109"/>
      <c r="D7518" s="109"/>
      <c r="E7518" s="109"/>
      <c r="F7518" s="109"/>
      <c r="G7518" s="109"/>
      <c r="H7518" s="109"/>
      <c r="I7518" s="109"/>
      <c r="J7518" s="109"/>
    </row>
    <row r="7519" spans="1:10" customFormat="1" ht="12.75" hidden="1">
      <c r="A7519" s="109"/>
      <c r="B7519" s="109"/>
      <c r="C7519" s="109"/>
      <c r="D7519" s="109"/>
      <c r="E7519" s="109"/>
      <c r="F7519" s="109"/>
      <c r="G7519" s="109"/>
      <c r="H7519" s="109"/>
      <c r="I7519" s="109"/>
      <c r="J7519" s="109"/>
    </row>
    <row r="7520" spans="1:10" customFormat="1" ht="12.75" hidden="1">
      <c r="A7520" s="109"/>
      <c r="B7520" s="109"/>
      <c r="C7520" s="109"/>
      <c r="D7520" s="109"/>
      <c r="E7520" s="109"/>
      <c r="F7520" s="109"/>
      <c r="G7520" s="109"/>
      <c r="H7520" s="109"/>
      <c r="I7520" s="109"/>
      <c r="J7520" s="109"/>
    </row>
    <row r="7521" spans="1:10" customFormat="1" ht="12.75" hidden="1">
      <c r="A7521" s="109"/>
      <c r="B7521" s="109"/>
      <c r="C7521" s="109"/>
      <c r="D7521" s="109"/>
      <c r="E7521" s="109"/>
      <c r="F7521" s="109"/>
      <c r="G7521" s="109"/>
      <c r="H7521" s="109"/>
      <c r="I7521" s="109"/>
      <c r="J7521" s="109"/>
    </row>
    <row r="7522" spans="1:10" customFormat="1" ht="12.75" hidden="1">
      <c r="A7522" s="109"/>
      <c r="B7522" s="109"/>
      <c r="C7522" s="109"/>
      <c r="D7522" s="109"/>
      <c r="E7522" s="109"/>
      <c r="F7522" s="109"/>
      <c r="G7522" s="109"/>
      <c r="H7522" s="109"/>
      <c r="I7522" s="109"/>
      <c r="J7522" s="109"/>
    </row>
    <row r="7523" spans="1:10" customFormat="1" ht="12.75" hidden="1">
      <c r="A7523" s="109"/>
      <c r="B7523" s="109"/>
      <c r="C7523" s="109"/>
      <c r="D7523" s="109"/>
      <c r="E7523" s="109"/>
      <c r="F7523" s="109"/>
      <c r="G7523" s="109"/>
      <c r="H7523" s="109"/>
      <c r="I7523" s="109"/>
      <c r="J7523" s="109"/>
    </row>
    <row r="7524" spans="1:10" customFormat="1" ht="12.75" hidden="1">
      <c r="A7524" s="109"/>
      <c r="B7524" s="109"/>
      <c r="C7524" s="109"/>
      <c r="D7524" s="109"/>
      <c r="E7524" s="109"/>
      <c r="F7524" s="109"/>
      <c r="G7524" s="109"/>
      <c r="H7524" s="109"/>
      <c r="I7524" s="109"/>
      <c r="J7524" s="109"/>
    </row>
    <row r="7525" spans="1:10" customFormat="1" ht="12.75" hidden="1">
      <c r="A7525" s="109"/>
      <c r="B7525" s="109"/>
      <c r="C7525" s="109"/>
      <c r="D7525" s="109"/>
      <c r="E7525" s="109"/>
      <c r="F7525" s="109"/>
      <c r="G7525" s="109"/>
      <c r="H7525" s="109"/>
      <c r="I7525" s="109"/>
      <c r="J7525" s="109"/>
    </row>
    <row r="7526" spans="1:10" customFormat="1" ht="12.75" hidden="1">
      <c r="A7526" s="109"/>
      <c r="B7526" s="109"/>
      <c r="C7526" s="109"/>
      <c r="D7526" s="109"/>
      <c r="E7526" s="109"/>
      <c r="F7526" s="109"/>
      <c r="G7526" s="109"/>
      <c r="H7526" s="109"/>
      <c r="I7526" s="109"/>
      <c r="J7526" s="109"/>
    </row>
    <row r="7527" spans="1:10" customFormat="1" ht="12.75" hidden="1">
      <c r="A7527" s="109"/>
      <c r="B7527" s="109"/>
      <c r="C7527" s="109"/>
      <c r="D7527" s="109"/>
      <c r="E7527" s="109"/>
      <c r="F7527" s="109"/>
      <c r="G7527" s="109"/>
      <c r="H7527" s="109"/>
      <c r="I7527" s="109"/>
      <c r="J7527" s="109"/>
    </row>
    <row r="7528" spans="1:10" customFormat="1" ht="12.75" hidden="1">
      <c r="A7528" s="109"/>
      <c r="B7528" s="109"/>
      <c r="C7528" s="109"/>
      <c r="D7528" s="109"/>
      <c r="E7528" s="109"/>
      <c r="F7528" s="109"/>
      <c r="G7528" s="109"/>
      <c r="H7528" s="109"/>
      <c r="I7528" s="109"/>
      <c r="J7528" s="109"/>
    </row>
    <row r="7529" spans="1:10" customFormat="1" ht="12.75" hidden="1">
      <c r="A7529" s="109"/>
      <c r="B7529" s="109"/>
      <c r="C7529" s="109"/>
      <c r="D7529" s="109"/>
      <c r="E7529" s="109"/>
      <c r="F7529" s="109"/>
      <c r="G7529" s="109"/>
      <c r="H7529" s="109"/>
      <c r="I7529" s="109"/>
      <c r="J7529" s="109"/>
    </row>
    <row r="7530" spans="1:10" customFormat="1" ht="12.75" hidden="1">
      <c r="A7530" s="109"/>
      <c r="B7530" s="109"/>
      <c r="C7530" s="109"/>
      <c r="D7530" s="109"/>
      <c r="E7530" s="109"/>
      <c r="F7530" s="109"/>
      <c r="G7530" s="109"/>
      <c r="H7530" s="109"/>
      <c r="I7530" s="109"/>
      <c r="J7530" s="109"/>
    </row>
    <row r="7531" spans="1:10" customFormat="1" ht="12.75" hidden="1">
      <c r="A7531" s="109"/>
      <c r="B7531" s="109"/>
      <c r="C7531" s="109"/>
      <c r="D7531" s="109"/>
      <c r="E7531" s="109"/>
      <c r="F7531" s="109"/>
      <c r="G7531" s="109"/>
      <c r="H7531" s="109"/>
      <c r="I7531" s="109"/>
      <c r="J7531" s="109"/>
    </row>
    <row r="7532" spans="1:10" customFormat="1" ht="12.75" hidden="1">
      <c r="A7532" s="109"/>
      <c r="B7532" s="109"/>
      <c r="C7532" s="109"/>
      <c r="D7532" s="109"/>
      <c r="E7532" s="109"/>
      <c r="F7532" s="109"/>
      <c r="G7532" s="109"/>
      <c r="H7532" s="109"/>
      <c r="I7532" s="109"/>
      <c r="J7532" s="109"/>
    </row>
    <row r="7533" spans="1:10" customFormat="1" ht="12.75" hidden="1">
      <c r="A7533" s="109"/>
      <c r="B7533" s="109"/>
      <c r="C7533" s="109"/>
      <c r="D7533" s="109"/>
      <c r="E7533" s="109"/>
      <c r="F7533" s="109"/>
      <c r="G7533" s="109"/>
      <c r="H7533" s="109"/>
      <c r="I7533" s="109"/>
      <c r="J7533" s="109"/>
    </row>
    <row r="7534" spans="1:10" customFormat="1" ht="12.75" hidden="1">
      <c r="A7534" s="109"/>
      <c r="B7534" s="109"/>
      <c r="C7534" s="109"/>
      <c r="D7534" s="109"/>
      <c r="E7534" s="109"/>
      <c r="F7534" s="109"/>
      <c r="G7534" s="109"/>
      <c r="H7534" s="109"/>
      <c r="I7534" s="109"/>
      <c r="J7534" s="109"/>
    </row>
    <row r="7535" spans="1:10" customFormat="1" ht="12.75" hidden="1">
      <c r="A7535" s="109"/>
      <c r="B7535" s="109"/>
      <c r="C7535" s="109"/>
      <c r="D7535" s="109"/>
      <c r="E7535" s="109"/>
      <c r="F7535" s="109"/>
      <c r="G7535" s="109"/>
      <c r="H7535" s="109"/>
      <c r="I7535" s="109"/>
      <c r="J7535" s="109"/>
    </row>
    <row r="7536" spans="1:10" customFormat="1" ht="12.75" hidden="1">
      <c r="A7536" s="109"/>
      <c r="B7536" s="109"/>
      <c r="C7536" s="109"/>
      <c r="D7536" s="109"/>
      <c r="E7536" s="109"/>
      <c r="F7536" s="109"/>
      <c r="G7536" s="109"/>
      <c r="H7536" s="109"/>
      <c r="I7536" s="109"/>
      <c r="J7536" s="109"/>
    </row>
    <row r="7537" spans="1:10" customFormat="1" ht="12.75" hidden="1">
      <c r="A7537" s="109"/>
      <c r="B7537" s="109"/>
      <c r="C7537" s="109"/>
      <c r="D7537" s="109"/>
      <c r="E7537" s="109"/>
      <c r="F7537" s="109"/>
      <c r="G7537" s="109"/>
      <c r="H7537" s="109"/>
      <c r="I7537" s="109"/>
      <c r="J7537" s="109"/>
    </row>
    <row r="7538" spans="1:10" customFormat="1" ht="12.75" hidden="1">
      <c r="A7538" s="109"/>
      <c r="B7538" s="109"/>
      <c r="C7538" s="109"/>
      <c r="D7538" s="109"/>
      <c r="E7538" s="109"/>
      <c r="F7538" s="109"/>
      <c r="G7538" s="109"/>
      <c r="H7538" s="109"/>
      <c r="I7538" s="109"/>
      <c r="J7538" s="109"/>
    </row>
    <row r="7539" spans="1:10" customFormat="1" ht="12.75" hidden="1">
      <c r="A7539" s="109"/>
      <c r="B7539" s="109"/>
      <c r="C7539" s="109"/>
      <c r="D7539" s="109"/>
      <c r="E7539" s="109"/>
      <c r="F7539" s="109"/>
      <c r="G7539" s="109"/>
      <c r="H7539" s="109"/>
      <c r="I7539" s="109"/>
      <c r="J7539" s="109"/>
    </row>
    <row r="7540" spans="1:10" customFormat="1" ht="12.75" hidden="1">
      <c r="A7540" s="109"/>
      <c r="B7540" s="109"/>
      <c r="C7540" s="109"/>
      <c r="D7540" s="109"/>
      <c r="E7540" s="109"/>
      <c r="F7540" s="109"/>
      <c r="G7540" s="109"/>
      <c r="H7540" s="109"/>
      <c r="I7540" s="109"/>
      <c r="J7540" s="109"/>
    </row>
    <row r="7541" spans="1:10" customFormat="1" ht="12.75" hidden="1">
      <c r="A7541" s="109"/>
      <c r="B7541" s="109"/>
      <c r="C7541" s="109"/>
      <c r="D7541" s="109"/>
      <c r="E7541" s="109"/>
      <c r="F7541" s="109"/>
      <c r="G7541" s="109"/>
      <c r="H7541" s="109"/>
      <c r="I7541" s="109"/>
      <c r="J7541" s="109"/>
    </row>
    <row r="7542" spans="1:10" customFormat="1" ht="12.75" hidden="1">
      <c r="A7542" s="109"/>
      <c r="B7542" s="109"/>
      <c r="C7542" s="109"/>
      <c r="D7542" s="109"/>
      <c r="E7542" s="109"/>
      <c r="F7542" s="109"/>
      <c r="G7542" s="109"/>
      <c r="H7542" s="109"/>
      <c r="I7542" s="109"/>
      <c r="J7542" s="109"/>
    </row>
    <row r="7543" spans="1:10" customFormat="1" ht="12.75" hidden="1">
      <c r="A7543" s="109"/>
      <c r="B7543" s="109"/>
      <c r="C7543" s="109"/>
      <c r="D7543" s="109"/>
      <c r="E7543" s="109"/>
      <c r="F7543" s="109"/>
      <c r="G7543" s="109"/>
      <c r="H7543" s="109"/>
      <c r="I7543" s="109"/>
      <c r="J7543" s="109"/>
    </row>
    <row r="7544" spans="1:10" customFormat="1" ht="12.75" hidden="1">
      <c r="A7544" s="109"/>
      <c r="B7544" s="109"/>
      <c r="C7544" s="109"/>
      <c r="D7544" s="109"/>
      <c r="E7544" s="109"/>
      <c r="F7544" s="109"/>
      <c r="G7544" s="109"/>
      <c r="H7544" s="109"/>
      <c r="I7544" s="109"/>
      <c r="J7544" s="109"/>
    </row>
    <row r="7545" spans="1:10" customFormat="1" ht="12.75" hidden="1">
      <c r="A7545" s="109"/>
      <c r="B7545" s="109"/>
      <c r="C7545" s="109"/>
      <c r="D7545" s="109"/>
      <c r="E7545" s="109"/>
      <c r="F7545" s="109"/>
      <c r="G7545" s="109"/>
      <c r="H7545" s="109"/>
      <c r="I7545" s="109"/>
      <c r="J7545" s="109"/>
    </row>
    <row r="7546" spans="1:10" customFormat="1" ht="12.75" hidden="1">
      <c r="A7546" s="109"/>
      <c r="B7546" s="109"/>
      <c r="C7546" s="109"/>
      <c r="D7546" s="109"/>
      <c r="E7546" s="109"/>
      <c r="F7546" s="109"/>
      <c r="G7546" s="109"/>
      <c r="H7546" s="109"/>
      <c r="I7546" s="109"/>
      <c r="J7546" s="109"/>
    </row>
    <row r="7547" spans="1:10" customFormat="1" ht="12.75" hidden="1">
      <c r="A7547" s="109"/>
      <c r="B7547" s="109"/>
      <c r="C7547" s="109"/>
      <c r="D7547" s="109"/>
      <c r="E7547" s="109"/>
      <c r="F7547" s="109"/>
      <c r="G7547" s="109"/>
      <c r="H7547" s="109"/>
      <c r="I7547" s="109"/>
      <c r="J7547" s="109"/>
    </row>
    <row r="7548" spans="1:10" customFormat="1" ht="12.75" hidden="1">
      <c r="A7548" s="109"/>
      <c r="B7548" s="109"/>
      <c r="C7548" s="109"/>
      <c r="D7548" s="109"/>
      <c r="E7548" s="109"/>
      <c r="F7548" s="109"/>
      <c r="G7548" s="109"/>
      <c r="H7548" s="109"/>
      <c r="I7548" s="109"/>
      <c r="J7548" s="109"/>
    </row>
    <row r="7549" spans="1:10" customFormat="1" ht="12.75" hidden="1">
      <c r="A7549" s="109"/>
      <c r="B7549" s="109"/>
      <c r="C7549" s="109"/>
      <c r="D7549" s="109"/>
      <c r="E7549" s="109"/>
      <c r="F7549" s="109"/>
      <c r="G7549" s="109"/>
      <c r="H7549" s="109"/>
      <c r="I7549" s="109"/>
      <c r="J7549" s="109"/>
    </row>
    <row r="7550" spans="1:10" customFormat="1" ht="12.75" hidden="1">
      <c r="A7550" s="109"/>
      <c r="B7550" s="109"/>
      <c r="C7550" s="109"/>
      <c r="D7550" s="109"/>
      <c r="E7550" s="109"/>
      <c r="F7550" s="109"/>
      <c r="G7550" s="109"/>
      <c r="H7550" s="109"/>
      <c r="I7550" s="109"/>
      <c r="J7550" s="109"/>
    </row>
    <row r="7551" spans="1:10" customFormat="1" ht="12.75" hidden="1">
      <c r="A7551" s="109"/>
      <c r="B7551" s="109"/>
      <c r="C7551" s="109"/>
      <c r="D7551" s="109"/>
      <c r="E7551" s="109"/>
      <c r="F7551" s="109"/>
      <c r="G7551" s="109"/>
      <c r="H7551" s="109"/>
      <c r="I7551" s="109"/>
      <c r="J7551" s="109"/>
    </row>
    <row r="7552" spans="1:10" customFormat="1" ht="12.75" hidden="1">
      <c r="A7552" s="109"/>
      <c r="B7552" s="109"/>
      <c r="C7552" s="109"/>
      <c r="D7552" s="109"/>
      <c r="E7552" s="109"/>
      <c r="F7552" s="109"/>
      <c r="G7552" s="109"/>
      <c r="H7552" s="109"/>
      <c r="I7552" s="109"/>
      <c r="J7552" s="109"/>
    </row>
    <row r="7553" spans="1:10" customFormat="1" ht="12.75" hidden="1">
      <c r="A7553" s="109"/>
      <c r="B7553" s="109"/>
      <c r="C7553" s="109"/>
      <c r="D7553" s="109"/>
      <c r="E7553" s="109"/>
      <c r="F7553" s="109"/>
      <c r="G7553" s="109"/>
      <c r="H7553" s="109"/>
      <c r="I7553" s="109"/>
      <c r="J7553" s="109"/>
    </row>
    <row r="7554" spans="1:10" customFormat="1" ht="12.75" hidden="1">
      <c r="A7554" s="109"/>
      <c r="B7554" s="109"/>
      <c r="C7554" s="109"/>
      <c r="D7554" s="109"/>
      <c r="E7554" s="109"/>
      <c r="F7554" s="109"/>
      <c r="G7554" s="109"/>
      <c r="H7554" s="109"/>
      <c r="I7554" s="109"/>
      <c r="J7554" s="109"/>
    </row>
    <row r="7555" spans="1:10" customFormat="1" ht="12.75" hidden="1">
      <c r="A7555" s="109"/>
      <c r="B7555" s="109"/>
      <c r="C7555" s="109"/>
      <c r="D7555" s="109"/>
      <c r="E7555" s="109"/>
      <c r="F7555" s="109"/>
      <c r="G7555" s="109"/>
      <c r="H7555" s="109"/>
      <c r="I7555" s="109"/>
      <c r="J7555" s="109"/>
    </row>
    <row r="7556" spans="1:10" customFormat="1" ht="12.75" hidden="1">
      <c r="A7556" s="109"/>
      <c r="B7556" s="109"/>
      <c r="C7556" s="109"/>
      <c r="D7556" s="109"/>
      <c r="E7556" s="109"/>
      <c r="F7556" s="109"/>
      <c r="G7556" s="109"/>
      <c r="H7556" s="109"/>
      <c r="I7556" s="109"/>
      <c r="J7556" s="109"/>
    </row>
    <row r="7557" spans="1:10" customFormat="1" ht="12.75" hidden="1">
      <c r="A7557" s="109"/>
      <c r="B7557" s="109"/>
      <c r="C7557" s="109"/>
      <c r="D7557" s="109"/>
      <c r="E7557" s="109"/>
      <c r="F7557" s="109"/>
      <c r="G7557" s="109"/>
      <c r="H7557" s="109"/>
      <c r="I7557" s="109"/>
      <c r="J7557" s="109"/>
    </row>
    <row r="7558" spans="1:10" customFormat="1" ht="12.75" hidden="1">
      <c r="A7558" s="109"/>
      <c r="B7558" s="109"/>
      <c r="C7558" s="109"/>
      <c r="D7558" s="109"/>
      <c r="E7558" s="109"/>
      <c r="F7558" s="109"/>
      <c r="G7558" s="109"/>
      <c r="H7558" s="109"/>
      <c r="I7558" s="109"/>
      <c r="J7558" s="109"/>
    </row>
    <row r="7559" spans="1:10" customFormat="1" ht="12.75" hidden="1">
      <c r="A7559" s="109"/>
      <c r="B7559" s="109"/>
      <c r="C7559" s="109"/>
      <c r="D7559" s="109"/>
      <c r="E7559" s="109"/>
      <c r="F7559" s="109"/>
      <c r="G7559" s="109"/>
      <c r="H7559" s="109"/>
      <c r="I7559" s="109"/>
      <c r="J7559" s="109"/>
    </row>
    <row r="7560" spans="1:10" customFormat="1" ht="12.75" hidden="1">
      <c r="A7560" s="109"/>
      <c r="B7560" s="109"/>
      <c r="C7560" s="109"/>
      <c r="D7560" s="109"/>
      <c r="E7560" s="109"/>
      <c r="F7560" s="109"/>
      <c r="G7560" s="109"/>
      <c r="H7560" s="109"/>
      <c r="I7560" s="109"/>
      <c r="J7560" s="109"/>
    </row>
    <row r="7561" spans="1:10" customFormat="1" ht="12.75" hidden="1">
      <c r="A7561" s="109"/>
      <c r="B7561" s="109"/>
      <c r="C7561" s="109"/>
      <c r="D7561" s="109"/>
      <c r="E7561" s="109"/>
      <c r="F7561" s="109"/>
      <c r="G7561" s="109"/>
      <c r="H7561" s="109"/>
      <c r="I7561" s="109"/>
      <c r="J7561" s="109"/>
    </row>
    <row r="7562" spans="1:10" customFormat="1" ht="12.75" hidden="1">
      <c r="A7562" s="109"/>
      <c r="B7562" s="109"/>
      <c r="C7562" s="109"/>
      <c r="D7562" s="109"/>
      <c r="E7562" s="109"/>
      <c r="F7562" s="109"/>
      <c r="G7562" s="109"/>
      <c r="H7562" s="109"/>
      <c r="I7562" s="109"/>
      <c r="J7562" s="109"/>
    </row>
    <row r="7563" spans="1:10" customFormat="1" ht="12.75" hidden="1">
      <c r="A7563" s="109"/>
      <c r="B7563" s="109"/>
      <c r="C7563" s="109"/>
      <c r="D7563" s="109"/>
      <c r="E7563" s="109"/>
      <c r="F7563" s="109"/>
      <c r="G7563" s="109"/>
      <c r="H7563" s="109"/>
      <c r="I7563" s="109"/>
      <c r="J7563" s="109"/>
    </row>
    <row r="7564" spans="1:10" customFormat="1" ht="12.75" hidden="1">
      <c r="A7564" s="109"/>
      <c r="B7564" s="109"/>
      <c r="C7564" s="109"/>
      <c r="D7564" s="109"/>
      <c r="E7564" s="109"/>
      <c r="F7564" s="109"/>
      <c r="G7564" s="109"/>
      <c r="H7564" s="109"/>
      <c r="I7564" s="109"/>
      <c r="J7564" s="109"/>
    </row>
    <row r="7565" spans="1:10" customFormat="1" ht="12.75" hidden="1">
      <c r="A7565" s="109"/>
      <c r="B7565" s="109"/>
      <c r="C7565" s="109"/>
      <c r="D7565" s="109"/>
      <c r="E7565" s="109"/>
      <c r="F7565" s="109"/>
      <c r="G7565" s="109"/>
      <c r="H7565" s="109"/>
      <c r="I7565" s="109"/>
      <c r="J7565" s="109"/>
    </row>
    <row r="7566" spans="1:10" customFormat="1" ht="12.75" hidden="1">
      <c r="A7566" s="109"/>
      <c r="B7566" s="109"/>
      <c r="C7566" s="109"/>
      <c r="D7566" s="109"/>
      <c r="E7566" s="109"/>
      <c r="F7566" s="109"/>
      <c r="G7566" s="109"/>
      <c r="H7566" s="109"/>
      <c r="I7566" s="109"/>
      <c r="J7566" s="109"/>
    </row>
    <row r="7567" spans="1:10" customFormat="1" ht="12.75" hidden="1">
      <c r="A7567" s="109"/>
      <c r="B7567" s="109"/>
      <c r="C7567" s="109"/>
      <c r="D7567" s="109"/>
      <c r="E7567" s="109"/>
      <c r="F7567" s="109"/>
      <c r="G7567" s="109"/>
      <c r="H7567" s="109"/>
      <c r="I7567" s="109"/>
      <c r="J7567" s="109"/>
    </row>
    <row r="7568" spans="1:10" customFormat="1" ht="12.75" hidden="1">
      <c r="A7568" s="109"/>
      <c r="B7568" s="109"/>
      <c r="C7568" s="109"/>
      <c r="D7568" s="109"/>
      <c r="E7568" s="109"/>
      <c r="F7568" s="109"/>
      <c r="G7568" s="109"/>
      <c r="H7568" s="109"/>
      <c r="I7568" s="109"/>
      <c r="J7568" s="109"/>
    </row>
    <row r="7569" spans="1:10" customFormat="1" ht="12.75" hidden="1">
      <c r="A7569" s="109"/>
      <c r="B7569" s="109"/>
      <c r="C7569" s="109"/>
      <c r="D7569" s="109"/>
      <c r="E7569" s="109"/>
      <c r="F7569" s="109"/>
      <c r="G7569" s="109"/>
      <c r="H7569" s="109"/>
      <c r="I7569" s="109"/>
      <c r="J7569" s="109"/>
    </row>
    <row r="7570" spans="1:10" customFormat="1" ht="12.75" hidden="1">
      <c r="A7570" s="109"/>
      <c r="B7570" s="109"/>
      <c r="C7570" s="109"/>
      <c r="D7570" s="109"/>
      <c r="E7570" s="109"/>
      <c r="F7570" s="109"/>
      <c r="G7570" s="109"/>
      <c r="H7570" s="109"/>
      <c r="I7570" s="109"/>
      <c r="J7570" s="109"/>
    </row>
    <row r="7571" spans="1:10" customFormat="1" ht="12.75" hidden="1">
      <c r="A7571" s="109"/>
      <c r="B7571" s="109"/>
      <c r="C7571" s="109"/>
      <c r="D7571" s="109"/>
      <c r="E7571" s="109"/>
      <c r="F7571" s="109"/>
      <c r="G7571" s="109"/>
      <c r="H7571" s="109"/>
      <c r="I7571" s="109"/>
      <c r="J7571" s="109"/>
    </row>
    <row r="7572" spans="1:10" customFormat="1" ht="12.75" hidden="1">
      <c r="A7572" s="109"/>
      <c r="B7572" s="109"/>
      <c r="C7572" s="109"/>
      <c r="D7572" s="109"/>
      <c r="E7572" s="109"/>
      <c r="F7572" s="109"/>
      <c r="G7572" s="109"/>
      <c r="H7572" s="109"/>
      <c r="I7572" s="109"/>
      <c r="J7572" s="109"/>
    </row>
    <row r="7573" spans="1:10" customFormat="1" ht="12.75" hidden="1">
      <c r="A7573" s="109"/>
      <c r="B7573" s="109"/>
      <c r="C7573" s="109"/>
      <c r="D7573" s="109"/>
      <c r="E7573" s="109"/>
      <c r="F7573" s="109"/>
      <c r="G7573" s="109"/>
      <c r="H7573" s="109"/>
      <c r="I7573" s="109"/>
      <c r="J7573" s="109"/>
    </row>
    <row r="7574" spans="1:10" customFormat="1" ht="12.75" hidden="1">
      <c r="A7574" s="109"/>
      <c r="B7574" s="109"/>
      <c r="C7574" s="109"/>
      <c r="D7574" s="109"/>
      <c r="E7574" s="109"/>
      <c r="F7574" s="109"/>
      <c r="G7574" s="109"/>
      <c r="H7574" s="109"/>
      <c r="I7574" s="109"/>
      <c r="J7574" s="109"/>
    </row>
    <row r="7575" spans="1:10" customFormat="1" ht="12.75" hidden="1">
      <c r="A7575" s="109"/>
      <c r="B7575" s="109"/>
      <c r="C7575" s="109"/>
      <c r="D7575" s="109"/>
      <c r="E7575" s="109"/>
      <c r="F7575" s="109"/>
      <c r="G7575" s="109"/>
      <c r="H7575" s="109"/>
      <c r="I7575" s="109"/>
      <c r="J7575" s="109"/>
    </row>
    <row r="7576" spans="1:10" customFormat="1" ht="12.75" hidden="1">
      <c r="A7576" s="109"/>
      <c r="B7576" s="109"/>
      <c r="C7576" s="109"/>
      <c r="D7576" s="109"/>
      <c r="E7576" s="109"/>
      <c r="F7576" s="109"/>
      <c r="G7576" s="109"/>
      <c r="H7576" s="109"/>
      <c r="I7576" s="109"/>
      <c r="J7576" s="109"/>
    </row>
    <row r="7577" spans="1:10" customFormat="1" ht="12.75" hidden="1">
      <c r="A7577" s="109"/>
      <c r="B7577" s="109"/>
      <c r="C7577" s="109"/>
      <c r="D7577" s="109"/>
      <c r="E7577" s="109"/>
      <c r="F7577" s="109"/>
      <c r="G7577" s="109"/>
      <c r="H7577" s="109"/>
      <c r="I7577" s="109"/>
      <c r="J7577" s="109"/>
    </row>
    <row r="7578" spans="1:10" customFormat="1" ht="12.75" hidden="1">
      <c r="A7578" s="109"/>
      <c r="B7578" s="109"/>
      <c r="C7578" s="109"/>
      <c r="D7578" s="109"/>
      <c r="E7578" s="109"/>
      <c r="F7578" s="109"/>
      <c r="G7578" s="109"/>
      <c r="H7578" s="109"/>
      <c r="I7578" s="109"/>
      <c r="J7578" s="109"/>
    </row>
    <row r="7579" spans="1:10" customFormat="1" ht="12.75" hidden="1">
      <c r="A7579" s="109"/>
      <c r="B7579" s="109"/>
      <c r="C7579" s="109"/>
      <c r="D7579" s="109"/>
      <c r="E7579" s="109"/>
      <c r="F7579" s="109"/>
      <c r="G7579" s="109"/>
      <c r="H7579" s="109"/>
      <c r="I7579" s="109"/>
      <c r="J7579" s="109"/>
    </row>
    <row r="7580" spans="1:10" customFormat="1" ht="12.75" hidden="1">
      <c r="A7580" s="109"/>
      <c r="B7580" s="109"/>
      <c r="C7580" s="109"/>
      <c r="D7580" s="109"/>
      <c r="E7580" s="109"/>
      <c r="F7580" s="109"/>
      <c r="G7580" s="109"/>
      <c r="H7580" s="109"/>
      <c r="I7580" s="109"/>
      <c r="J7580" s="109"/>
    </row>
    <row r="7581" spans="1:10" customFormat="1" ht="12.75" hidden="1">
      <c r="A7581" s="109"/>
      <c r="B7581" s="109"/>
      <c r="C7581" s="109"/>
      <c r="D7581" s="109"/>
      <c r="E7581" s="109"/>
      <c r="F7581" s="109"/>
      <c r="G7581" s="109"/>
      <c r="H7581" s="109"/>
      <c r="I7581" s="109"/>
      <c r="J7581" s="109"/>
    </row>
    <row r="7582" spans="1:10" customFormat="1" ht="12.75" hidden="1">
      <c r="A7582" s="109"/>
      <c r="B7582" s="109"/>
      <c r="C7582" s="109"/>
      <c r="D7582" s="109"/>
      <c r="E7582" s="109"/>
      <c r="F7582" s="109"/>
      <c r="G7582" s="109"/>
      <c r="H7582" s="109"/>
      <c r="I7582" s="109"/>
      <c r="J7582" s="109"/>
    </row>
    <row r="7583" spans="1:10" customFormat="1" ht="12.75" hidden="1">
      <c r="A7583" s="109"/>
      <c r="B7583" s="109"/>
      <c r="C7583" s="109"/>
      <c r="D7583" s="109"/>
      <c r="E7583" s="109"/>
      <c r="F7583" s="109"/>
      <c r="G7583" s="109"/>
      <c r="H7583" s="109"/>
      <c r="I7583" s="109"/>
      <c r="J7583" s="109"/>
    </row>
    <row r="7584" spans="1:10" customFormat="1" ht="12.75" hidden="1">
      <c r="A7584" s="109"/>
      <c r="B7584" s="109"/>
      <c r="C7584" s="109"/>
      <c r="D7584" s="109"/>
      <c r="E7584" s="109"/>
      <c r="F7584" s="109"/>
      <c r="G7584" s="109"/>
      <c r="H7584" s="109"/>
      <c r="I7584" s="109"/>
      <c r="J7584" s="109"/>
    </row>
    <row r="7585" spans="1:10" customFormat="1" ht="12.75" hidden="1">
      <c r="A7585" s="109"/>
      <c r="B7585" s="109"/>
      <c r="C7585" s="109"/>
      <c r="D7585" s="109"/>
      <c r="E7585" s="109"/>
      <c r="F7585" s="109"/>
      <c r="G7585" s="109"/>
      <c r="H7585" s="109"/>
      <c r="I7585" s="109"/>
      <c r="J7585" s="109"/>
    </row>
    <row r="7586" spans="1:10" customFormat="1" ht="12.75" hidden="1">
      <c r="A7586" s="109"/>
      <c r="B7586" s="109"/>
      <c r="C7586" s="109"/>
      <c r="D7586" s="109"/>
      <c r="E7586" s="109"/>
      <c r="F7586" s="109"/>
      <c r="G7586" s="109"/>
      <c r="H7586" s="109"/>
      <c r="I7586" s="109"/>
      <c r="J7586" s="109"/>
    </row>
    <row r="7587" spans="1:10" customFormat="1" ht="12.75" hidden="1">
      <c r="A7587" s="109"/>
      <c r="B7587" s="109"/>
      <c r="C7587" s="109"/>
      <c r="D7587" s="109"/>
      <c r="E7587" s="109"/>
      <c r="F7587" s="109"/>
      <c r="G7587" s="109"/>
      <c r="H7587" s="109"/>
      <c r="I7587" s="109"/>
      <c r="J7587" s="109"/>
    </row>
    <row r="7588" spans="1:10" customFormat="1" ht="12.75" hidden="1">
      <c r="A7588" s="109"/>
      <c r="B7588" s="109"/>
      <c r="C7588" s="109"/>
      <c r="D7588" s="109"/>
      <c r="E7588" s="109"/>
      <c r="F7588" s="109"/>
      <c r="G7588" s="109"/>
      <c r="H7588" s="109"/>
      <c r="I7588" s="109"/>
      <c r="J7588" s="109"/>
    </row>
    <row r="7589" spans="1:10" customFormat="1" ht="12.75" hidden="1">
      <c r="A7589" s="109"/>
      <c r="B7589" s="109"/>
      <c r="C7589" s="109"/>
      <c r="D7589" s="109"/>
      <c r="E7589" s="109"/>
      <c r="F7589" s="109"/>
      <c r="G7589" s="109"/>
      <c r="H7589" s="109"/>
      <c r="I7589" s="109"/>
      <c r="J7589" s="109"/>
    </row>
    <row r="7590" spans="1:10" customFormat="1" ht="12.75" hidden="1">
      <c r="A7590" s="109"/>
      <c r="B7590" s="109"/>
      <c r="C7590" s="109"/>
      <c r="D7590" s="109"/>
      <c r="E7590" s="109"/>
      <c r="F7590" s="109"/>
      <c r="G7590" s="109"/>
      <c r="H7590" s="109"/>
      <c r="I7590" s="109"/>
      <c r="J7590" s="109"/>
    </row>
    <row r="7591" spans="1:10" customFormat="1" ht="12.75" hidden="1">
      <c r="A7591" s="109"/>
      <c r="B7591" s="109"/>
      <c r="C7591" s="109"/>
      <c r="D7591" s="109"/>
      <c r="E7591" s="109"/>
      <c r="F7591" s="109"/>
      <c r="G7591" s="109"/>
      <c r="H7591" s="109"/>
      <c r="I7591" s="109"/>
      <c r="J7591" s="109"/>
    </row>
    <row r="7592" spans="1:10" customFormat="1" ht="12.75" hidden="1">
      <c r="A7592" s="109"/>
      <c r="B7592" s="109"/>
      <c r="C7592" s="109"/>
      <c r="D7592" s="109"/>
      <c r="E7592" s="109"/>
      <c r="F7592" s="109"/>
      <c r="G7592" s="109"/>
      <c r="H7592" s="109"/>
      <c r="I7592" s="109"/>
      <c r="J7592" s="109"/>
    </row>
    <row r="7593" spans="1:10" customFormat="1" ht="12.75" hidden="1">
      <c r="A7593" s="109"/>
      <c r="B7593" s="109"/>
      <c r="C7593" s="109"/>
      <c r="D7593" s="109"/>
      <c r="E7593" s="109"/>
      <c r="F7593" s="109"/>
      <c r="G7593" s="109"/>
      <c r="H7593" s="109"/>
      <c r="I7593" s="109"/>
      <c r="J7593" s="109"/>
    </row>
    <row r="7594" spans="1:10" customFormat="1" ht="12.75" hidden="1">
      <c r="A7594" s="109"/>
      <c r="B7594" s="109"/>
      <c r="C7594" s="109"/>
      <c r="D7594" s="109"/>
      <c r="E7594" s="109"/>
      <c r="F7594" s="109"/>
      <c r="G7594" s="109"/>
      <c r="H7594" s="109"/>
      <c r="I7594" s="109"/>
      <c r="J7594" s="109"/>
    </row>
    <row r="7595" spans="1:10" customFormat="1" ht="12.75" hidden="1">
      <c r="A7595" s="109"/>
      <c r="B7595" s="109"/>
      <c r="C7595" s="109"/>
      <c r="D7595" s="109"/>
      <c r="E7595" s="109"/>
      <c r="F7595" s="109"/>
      <c r="G7595" s="109"/>
      <c r="H7595" s="109"/>
      <c r="I7595" s="109"/>
      <c r="J7595" s="109"/>
    </row>
    <row r="7596" spans="1:10" customFormat="1" ht="12.75" hidden="1">
      <c r="A7596" s="109"/>
      <c r="B7596" s="109"/>
      <c r="C7596" s="109"/>
      <c r="D7596" s="109"/>
      <c r="E7596" s="109"/>
      <c r="F7596" s="109"/>
      <c r="G7596" s="109"/>
      <c r="H7596" s="109"/>
      <c r="I7596" s="109"/>
      <c r="J7596" s="109"/>
    </row>
    <row r="7597" spans="1:10" customFormat="1" ht="12.75" hidden="1">
      <c r="A7597" s="109"/>
      <c r="B7597" s="109"/>
      <c r="C7597" s="109"/>
      <c r="D7597" s="109"/>
      <c r="E7597" s="109"/>
      <c r="F7597" s="109"/>
      <c r="G7597" s="109"/>
      <c r="H7597" s="109"/>
      <c r="I7597" s="109"/>
      <c r="J7597" s="109"/>
    </row>
    <row r="7598" spans="1:10" customFormat="1" ht="12.75" hidden="1">
      <c r="A7598" s="109"/>
      <c r="B7598" s="109"/>
      <c r="C7598" s="109"/>
      <c r="D7598" s="109"/>
      <c r="E7598" s="109"/>
      <c r="F7598" s="109"/>
      <c r="G7598" s="109"/>
      <c r="H7598" s="109"/>
      <c r="I7598" s="109"/>
      <c r="J7598" s="109"/>
    </row>
    <row r="7599" spans="1:10" customFormat="1" ht="12.75" hidden="1">
      <c r="A7599" s="109"/>
      <c r="B7599" s="109"/>
      <c r="C7599" s="109"/>
      <c r="D7599" s="109"/>
      <c r="E7599" s="109"/>
      <c r="F7599" s="109"/>
      <c r="G7599" s="109"/>
      <c r="H7599" s="109"/>
      <c r="I7599" s="109"/>
      <c r="J7599" s="109"/>
    </row>
    <row r="7600" spans="1:10" customFormat="1" ht="12.75" hidden="1">
      <c r="A7600" s="109"/>
      <c r="B7600" s="109"/>
      <c r="C7600" s="109"/>
      <c r="D7600" s="109"/>
      <c r="E7600" s="109"/>
      <c r="F7600" s="109"/>
      <c r="G7600" s="109"/>
      <c r="H7600" s="109"/>
      <c r="I7600" s="109"/>
      <c r="J7600" s="109"/>
    </row>
    <row r="7601" spans="1:10" customFormat="1" ht="12.75" hidden="1">
      <c r="A7601" s="109"/>
      <c r="B7601" s="109"/>
      <c r="C7601" s="109"/>
      <c r="D7601" s="109"/>
      <c r="E7601" s="109"/>
      <c r="F7601" s="109"/>
      <c r="G7601" s="109"/>
      <c r="H7601" s="109"/>
      <c r="I7601" s="109"/>
      <c r="J7601" s="109"/>
    </row>
    <row r="7602" spans="1:10" customFormat="1" ht="12.75" hidden="1">
      <c r="A7602" s="109"/>
      <c r="B7602" s="109"/>
      <c r="C7602" s="109"/>
      <c r="D7602" s="109"/>
      <c r="E7602" s="109"/>
      <c r="F7602" s="109"/>
      <c r="G7602" s="109"/>
      <c r="H7602" s="109"/>
      <c r="I7602" s="109"/>
      <c r="J7602" s="109"/>
    </row>
    <row r="7603" spans="1:10" customFormat="1" ht="12.75" hidden="1">
      <c r="A7603" s="109"/>
      <c r="B7603" s="109"/>
      <c r="C7603" s="109"/>
      <c r="D7603" s="109"/>
      <c r="E7603" s="109"/>
      <c r="F7603" s="109"/>
      <c r="G7603" s="109"/>
      <c r="H7603" s="109"/>
      <c r="I7603" s="109"/>
      <c r="J7603" s="109"/>
    </row>
    <row r="7604" spans="1:10" customFormat="1" ht="12.75" hidden="1">
      <c r="A7604" s="109"/>
      <c r="B7604" s="109"/>
      <c r="C7604" s="109"/>
      <c r="D7604" s="109"/>
      <c r="E7604" s="109"/>
      <c r="F7604" s="109"/>
      <c r="G7604" s="109"/>
      <c r="H7604" s="109"/>
      <c r="I7604" s="109"/>
      <c r="J7604" s="109"/>
    </row>
    <row r="7605" spans="1:10" customFormat="1" ht="12.75" hidden="1">
      <c r="A7605" s="109"/>
      <c r="B7605" s="109"/>
      <c r="C7605" s="109"/>
      <c r="D7605" s="109"/>
      <c r="E7605" s="109"/>
      <c r="F7605" s="109"/>
      <c r="G7605" s="109"/>
      <c r="H7605" s="109"/>
      <c r="I7605" s="109"/>
      <c r="J7605" s="109"/>
    </row>
    <row r="7606" spans="1:10" customFormat="1" ht="12.75" hidden="1">
      <c r="A7606" s="109"/>
      <c r="B7606" s="109"/>
      <c r="C7606" s="109"/>
      <c r="D7606" s="109"/>
      <c r="E7606" s="109"/>
      <c r="F7606" s="109"/>
      <c r="G7606" s="109"/>
      <c r="H7606" s="109"/>
      <c r="I7606" s="109"/>
      <c r="J7606" s="109"/>
    </row>
    <row r="7607" spans="1:10" customFormat="1" ht="12.75" hidden="1">
      <c r="A7607" s="109"/>
      <c r="B7607" s="109"/>
      <c r="C7607" s="109"/>
      <c r="D7607" s="109"/>
      <c r="E7607" s="109"/>
      <c r="F7607" s="109"/>
      <c r="G7607" s="109"/>
      <c r="H7607" s="109"/>
      <c r="I7607" s="109"/>
      <c r="J7607" s="109"/>
    </row>
    <row r="7608" spans="1:10" customFormat="1" ht="12.75" hidden="1">
      <c r="A7608" s="109"/>
      <c r="B7608" s="109"/>
      <c r="C7608" s="109"/>
      <c r="D7608" s="109"/>
      <c r="E7608" s="109"/>
      <c r="F7608" s="109"/>
      <c r="G7608" s="109"/>
      <c r="H7608" s="109"/>
      <c r="I7608" s="109"/>
      <c r="J7608" s="109"/>
    </row>
    <row r="7609" spans="1:10" customFormat="1" ht="12.75" hidden="1">
      <c r="A7609" s="109"/>
      <c r="B7609" s="109"/>
      <c r="C7609" s="109"/>
      <c r="D7609" s="109"/>
      <c r="E7609" s="109"/>
      <c r="F7609" s="109"/>
      <c r="G7609" s="109"/>
      <c r="H7609" s="109"/>
      <c r="I7609" s="109"/>
      <c r="J7609" s="109"/>
    </row>
    <row r="7610" spans="1:10" customFormat="1" ht="12.75" hidden="1">
      <c r="A7610" s="109"/>
      <c r="B7610" s="109"/>
      <c r="C7610" s="109"/>
      <c r="D7610" s="109"/>
      <c r="E7610" s="109"/>
      <c r="F7610" s="109"/>
      <c r="G7610" s="109"/>
      <c r="H7610" s="109"/>
      <c r="I7610" s="109"/>
      <c r="J7610" s="109"/>
    </row>
    <row r="7611" spans="1:10" customFormat="1" ht="12.75" hidden="1">
      <c r="A7611" s="109"/>
      <c r="B7611" s="109"/>
      <c r="C7611" s="109"/>
      <c r="D7611" s="109"/>
      <c r="E7611" s="109"/>
      <c r="F7611" s="109"/>
      <c r="G7611" s="109"/>
      <c r="H7611" s="109"/>
      <c r="I7611" s="109"/>
      <c r="J7611" s="109"/>
    </row>
    <row r="7612" spans="1:10" customFormat="1" ht="12.75" hidden="1">
      <c r="A7612" s="109"/>
      <c r="B7612" s="109"/>
      <c r="C7612" s="109"/>
      <c r="D7612" s="109"/>
      <c r="E7612" s="109"/>
      <c r="F7612" s="109"/>
      <c r="G7612" s="109"/>
      <c r="H7612" s="109"/>
      <c r="I7612" s="109"/>
      <c r="J7612" s="109"/>
    </row>
    <row r="7613" spans="1:10" customFormat="1" ht="12.75" hidden="1">
      <c r="A7613" s="109"/>
      <c r="B7613" s="109"/>
      <c r="C7613" s="109"/>
      <c r="D7613" s="109"/>
      <c r="E7613" s="109"/>
      <c r="F7613" s="109"/>
      <c r="G7613" s="109"/>
      <c r="H7613" s="109"/>
      <c r="I7613" s="109"/>
      <c r="J7613" s="109"/>
    </row>
    <row r="7614" spans="1:10" customFormat="1" ht="12.75" hidden="1">
      <c r="A7614" s="109"/>
      <c r="B7614" s="109"/>
      <c r="C7614" s="109"/>
      <c r="D7614" s="109"/>
      <c r="E7614" s="109"/>
      <c r="F7614" s="109"/>
      <c r="G7614" s="109"/>
      <c r="H7614" s="109"/>
      <c r="I7614" s="109"/>
      <c r="J7614" s="109"/>
    </row>
    <row r="7615" spans="1:10" customFormat="1" ht="12.75" hidden="1">
      <c r="A7615" s="109"/>
      <c r="B7615" s="109"/>
      <c r="C7615" s="109"/>
      <c r="D7615" s="109"/>
      <c r="E7615" s="109"/>
      <c r="F7615" s="109"/>
      <c r="G7615" s="109"/>
      <c r="H7615" s="109"/>
      <c r="I7615" s="109"/>
      <c r="J7615" s="109"/>
    </row>
    <row r="7616" spans="1:10" customFormat="1" ht="12.75" hidden="1">
      <c r="A7616" s="109"/>
      <c r="B7616" s="109"/>
      <c r="C7616" s="109"/>
      <c r="D7616" s="109"/>
      <c r="E7616" s="109"/>
      <c r="F7616" s="109"/>
      <c r="G7616" s="109"/>
      <c r="H7616" s="109"/>
      <c r="I7616" s="109"/>
      <c r="J7616" s="109"/>
    </row>
    <row r="7617" spans="1:10" customFormat="1" ht="12.75" hidden="1">
      <c r="A7617" s="109"/>
      <c r="B7617" s="109"/>
      <c r="C7617" s="109"/>
      <c r="D7617" s="109"/>
      <c r="E7617" s="109"/>
      <c r="F7617" s="109"/>
      <c r="G7617" s="109"/>
      <c r="H7617" s="109"/>
      <c r="I7617" s="109"/>
      <c r="J7617" s="109"/>
    </row>
    <row r="7618" spans="1:10" customFormat="1" ht="12.75" hidden="1">
      <c r="A7618" s="109"/>
      <c r="B7618" s="109"/>
      <c r="C7618" s="109"/>
      <c r="D7618" s="109"/>
      <c r="E7618" s="109"/>
      <c r="F7618" s="109"/>
      <c r="G7618" s="109"/>
      <c r="H7618" s="109"/>
      <c r="I7618" s="109"/>
      <c r="J7618" s="109"/>
    </row>
    <row r="7619" spans="1:10" customFormat="1" ht="12.75" hidden="1">
      <c r="A7619" s="109"/>
      <c r="B7619" s="109"/>
      <c r="C7619" s="109"/>
      <c r="D7619" s="109"/>
      <c r="E7619" s="109"/>
      <c r="F7619" s="109"/>
      <c r="G7619" s="109"/>
      <c r="H7619" s="109"/>
      <c r="I7619" s="109"/>
      <c r="J7619" s="109"/>
    </row>
    <row r="7620" spans="1:10" customFormat="1" ht="12.75" hidden="1">
      <c r="A7620" s="109"/>
      <c r="B7620" s="109"/>
      <c r="C7620" s="109"/>
      <c r="D7620" s="109"/>
      <c r="E7620" s="109"/>
      <c r="F7620" s="109"/>
      <c r="G7620" s="109"/>
      <c r="H7620" s="109"/>
      <c r="I7620" s="109"/>
      <c r="J7620" s="109"/>
    </row>
    <row r="7621" spans="1:10" customFormat="1" ht="12.75" hidden="1">
      <c r="A7621" s="109"/>
      <c r="B7621" s="109"/>
      <c r="C7621" s="109"/>
      <c r="D7621" s="109"/>
      <c r="E7621" s="109"/>
      <c r="F7621" s="109"/>
      <c r="G7621" s="109"/>
      <c r="H7621" s="109"/>
      <c r="I7621" s="109"/>
      <c r="J7621" s="109"/>
    </row>
    <row r="7622" spans="1:10" customFormat="1" ht="12.75" hidden="1">
      <c r="A7622" s="109"/>
      <c r="B7622" s="109"/>
      <c r="C7622" s="109"/>
      <c r="D7622" s="109"/>
      <c r="E7622" s="109"/>
      <c r="F7622" s="109"/>
      <c r="G7622" s="109"/>
      <c r="H7622" s="109"/>
      <c r="I7622" s="109"/>
      <c r="J7622" s="109"/>
    </row>
    <row r="7623" spans="1:10" customFormat="1" ht="12.75" hidden="1">
      <c r="A7623" s="109"/>
      <c r="B7623" s="109"/>
      <c r="C7623" s="109"/>
      <c r="D7623" s="109"/>
      <c r="E7623" s="109"/>
      <c r="F7623" s="109"/>
      <c r="G7623" s="109"/>
      <c r="H7623" s="109"/>
      <c r="I7623" s="109"/>
      <c r="J7623" s="109"/>
    </row>
    <row r="7624" spans="1:10" customFormat="1" ht="12.75" hidden="1">
      <c r="A7624" s="109"/>
      <c r="B7624" s="109"/>
      <c r="C7624" s="109"/>
      <c r="D7624" s="109"/>
      <c r="E7624" s="109"/>
      <c r="F7624" s="109"/>
      <c r="G7624" s="109"/>
      <c r="H7624" s="109"/>
      <c r="I7624" s="109"/>
      <c r="J7624" s="109"/>
    </row>
    <row r="7625" spans="1:10" customFormat="1" ht="12.75" hidden="1">
      <c r="A7625" s="109"/>
      <c r="B7625" s="109"/>
      <c r="C7625" s="109"/>
      <c r="D7625" s="109"/>
      <c r="E7625" s="109"/>
      <c r="F7625" s="109"/>
      <c r="G7625" s="109"/>
      <c r="H7625" s="109"/>
      <c r="I7625" s="109"/>
      <c r="J7625" s="109"/>
    </row>
    <row r="7626" spans="1:10" customFormat="1" ht="12.75" hidden="1">
      <c r="A7626" s="109"/>
      <c r="B7626" s="109"/>
      <c r="C7626" s="109"/>
      <c r="D7626" s="109"/>
      <c r="E7626" s="109"/>
      <c r="F7626" s="109"/>
      <c r="G7626" s="109"/>
      <c r="H7626" s="109"/>
      <c r="I7626" s="109"/>
      <c r="J7626" s="109"/>
    </row>
    <row r="7627" spans="1:10" customFormat="1" ht="12.75" hidden="1">
      <c r="A7627" s="109"/>
      <c r="B7627" s="109"/>
      <c r="C7627" s="109"/>
      <c r="D7627" s="109"/>
      <c r="E7627" s="109"/>
      <c r="F7627" s="109"/>
      <c r="G7627" s="109"/>
      <c r="H7627" s="109"/>
      <c r="I7627" s="109"/>
      <c r="J7627" s="109"/>
    </row>
    <row r="7628" spans="1:10" customFormat="1" ht="12.75" hidden="1">
      <c r="A7628" s="109"/>
      <c r="B7628" s="109"/>
      <c r="C7628" s="109"/>
      <c r="D7628" s="109"/>
      <c r="E7628" s="109"/>
      <c r="F7628" s="109"/>
      <c r="G7628" s="109"/>
      <c r="H7628" s="109"/>
      <c r="I7628" s="109"/>
      <c r="J7628" s="109"/>
    </row>
    <row r="7629" spans="1:10" customFormat="1" ht="12.75" hidden="1">
      <c r="A7629" s="109"/>
      <c r="B7629" s="109"/>
      <c r="C7629" s="109"/>
      <c r="D7629" s="109"/>
      <c r="E7629" s="109"/>
      <c r="F7629" s="109"/>
      <c r="G7629" s="109"/>
      <c r="H7629" s="109"/>
      <c r="I7629" s="109"/>
      <c r="J7629" s="109"/>
    </row>
    <row r="7630" spans="1:10" customFormat="1" ht="12.75" hidden="1">
      <c r="A7630" s="109"/>
      <c r="B7630" s="109"/>
      <c r="C7630" s="109"/>
      <c r="D7630" s="109"/>
      <c r="E7630" s="109"/>
      <c r="F7630" s="109"/>
      <c r="G7630" s="109"/>
      <c r="H7630" s="109"/>
      <c r="I7630" s="109"/>
      <c r="J7630" s="109"/>
    </row>
    <row r="7631" spans="1:10" customFormat="1" ht="12.75" hidden="1">
      <c r="A7631" s="109"/>
      <c r="B7631" s="109"/>
      <c r="C7631" s="109"/>
      <c r="D7631" s="109"/>
      <c r="E7631" s="109"/>
      <c r="F7631" s="109"/>
      <c r="G7631" s="109"/>
      <c r="H7631" s="109"/>
      <c r="I7631" s="109"/>
      <c r="J7631" s="109"/>
    </row>
    <row r="7632" spans="1:10" customFormat="1" ht="12.75" hidden="1">
      <c r="A7632" s="109"/>
      <c r="B7632" s="109"/>
      <c r="C7632" s="109"/>
      <c r="D7632" s="109"/>
      <c r="E7632" s="109"/>
      <c r="F7632" s="109"/>
      <c r="G7632" s="109"/>
      <c r="H7632" s="109"/>
      <c r="I7632" s="109"/>
      <c r="J7632" s="109"/>
    </row>
    <row r="7633" spans="1:10" customFormat="1" ht="12.75" hidden="1">
      <c r="A7633" s="109"/>
      <c r="B7633" s="109"/>
      <c r="C7633" s="109"/>
      <c r="D7633" s="109"/>
      <c r="E7633" s="109"/>
      <c r="F7633" s="109"/>
      <c r="G7633" s="109"/>
      <c r="H7633" s="109"/>
      <c r="I7633" s="109"/>
      <c r="J7633" s="109"/>
    </row>
    <row r="7634" spans="1:10" customFormat="1" ht="12.75" hidden="1">
      <c r="A7634" s="109"/>
      <c r="B7634" s="109"/>
      <c r="C7634" s="109"/>
      <c r="D7634" s="109"/>
      <c r="E7634" s="109"/>
      <c r="F7634" s="109"/>
      <c r="G7634" s="109"/>
      <c r="H7634" s="109"/>
      <c r="I7634" s="109"/>
      <c r="J7634" s="109"/>
    </row>
    <row r="7635" spans="1:10" customFormat="1" ht="12.75" hidden="1">
      <c r="A7635" s="109"/>
      <c r="B7635" s="109"/>
      <c r="C7635" s="109"/>
      <c r="D7635" s="109"/>
      <c r="E7635" s="109"/>
      <c r="F7635" s="109"/>
      <c r="G7635" s="109"/>
      <c r="H7635" s="109"/>
      <c r="I7635" s="109"/>
      <c r="J7635" s="109"/>
    </row>
    <row r="7636" spans="1:10" customFormat="1" ht="12.75" hidden="1">
      <c r="A7636" s="109"/>
      <c r="B7636" s="109"/>
      <c r="C7636" s="109"/>
      <c r="D7636" s="109"/>
      <c r="E7636" s="109"/>
      <c r="F7636" s="109"/>
      <c r="G7636" s="109"/>
      <c r="H7636" s="109"/>
      <c r="I7636" s="109"/>
      <c r="J7636" s="109"/>
    </row>
    <row r="7637" spans="1:10" customFormat="1" ht="12.75" hidden="1">
      <c r="A7637" s="109"/>
      <c r="B7637" s="109"/>
      <c r="C7637" s="109"/>
      <c r="D7637" s="109"/>
      <c r="E7637" s="109"/>
      <c r="F7637" s="109"/>
      <c r="G7637" s="109"/>
      <c r="H7637" s="109"/>
      <c r="I7637" s="109"/>
      <c r="J7637" s="109"/>
    </row>
    <row r="7638" spans="1:10" customFormat="1" ht="12.75" hidden="1">
      <c r="A7638" s="109"/>
      <c r="B7638" s="109"/>
      <c r="C7638" s="109"/>
      <c r="D7638" s="109"/>
      <c r="E7638" s="109"/>
      <c r="F7638" s="109"/>
      <c r="G7638" s="109"/>
      <c r="H7638" s="109"/>
      <c r="I7638" s="109"/>
      <c r="J7638" s="109"/>
    </row>
    <row r="7639" spans="1:10" customFormat="1" ht="12.75" hidden="1">
      <c r="A7639" s="109"/>
      <c r="B7639" s="109"/>
      <c r="C7639" s="109"/>
      <c r="D7639" s="109"/>
      <c r="E7639" s="109"/>
      <c r="F7639" s="109"/>
      <c r="G7639" s="109"/>
      <c r="H7639" s="109"/>
      <c r="I7639" s="109"/>
      <c r="J7639" s="109"/>
    </row>
    <row r="7640" spans="1:10" customFormat="1" ht="12.75" hidden="1">
      <c r="A7640" s="109"/>
      <c r="B7640" s="109"/>
      <c r="C7640" s="109"/>
      <c r="D7640" s="109"/>
      <c r="E7640" s="109"/>
      <c r="F7640" s="109"/>
      <c r="G7640" s="109"/>
      <c r="H7640" s="109"/>
      <c r="I7640" s="109"/>
      <c r="J7640" s="109"/>
    </row>
    <row r="7641" spans="1:10" customFormat="1" ht="12.75" hidden="1">
      <c r="A7641" s="109"/>
      <c r="B7641" s="109"/>
      <c r="C7641" s="109"/>
      <c r="D7641" s="109"/>
      <c r="E7641" s="109"/>
      <c r="F7641" s="109"/>
      <c r="G7641" s="109"/>
      <c r="H7641" s="109"/>
      <c r="I7641" s="109"/>
      <c r="J7641" s="109"/>
    </row>
    <row r="7642" spans="1:10" customFormat="1" ht="12.75" hidden="1">
      <c r="A7642" s="109"/>
      <c r="B7642" s="109"/>
      <c r="C7642" s="109"/>
      <c r="D7642" s="109"/>
      <c r="E7642" s="109"/>
      <c r="F7642" s="109"/>
      <c r="G7642" s="109"/>
      <c r="H7642" s="109"/>
      <c r="I7642" s="109"/>
      <c r="J7642" s="109"/>
    </row>
    <row r="7643" spans="1:10" customFormat="1" ht="12.75" hidden="1">
      <c r="A7643" s="109"/>
      <c r="B7643" s="109"/>
      <c r="C7643" s="109"/>
      <c r="D7643" s="109"/>
      <c r="E7643" s="109"/>
      <c r="F7643" s="109"/>
      <c r="G7643" s="109"/>
      <c r="H7643" s="109"/>
      <c r="I7643" s="109"/>
      <c r="J7643" s="109"/>
    </row>
    <row r="7644" spans="1:10" customFormat="1" ht="12.75" hidden="1">
      <c r="A7644" s="109"/>
      <c r="B7644" s="109"/>
      <c r="C7644" s="109"/>
      <c r="D7644" s="109"/>
      <c r="E7644" s="109"/>
      <c r="F7644" s="109"/>
      <c r="G7644" s="109"/>
      <c r="H7644" s="109"/>
      <c r="I7644" s="109"/>
      <c r="J7644" s="109"/>
    </row>
    <row r="7645" spans="1:10" customFormat="1" ht="12.75" hidden="1">
      <c r="A7645" s="109"/>
      <c r="B7645" s="109"/>
      <c r="C7645" s="109"/>
      <c r="D7645" s="109"/>
      <c r="E7645" s="109"/>
      <c r="F7645" s="109"/>
      <c r="G7645" s="109"/>
      <c r="H7645" s="109"/>
      <c r="I7645" s="109"/>
      <c r="J7645" s="109"/>
    </row>
    <row r="7646" spans="1:10" customFormat="1" ht="12.75" hidden="1">
      <c r="A7646" s="109"/>
      <c r="B7646" s="109"/>
      <c r="C7646" s="109"/>
      <c r="D7646" s="109"/>
      <c r="E7646" s="109"/>
      <c r="F7646" s="109"/>
      <c r="G7646" s="109"/>
      <c r="H7646" s="109"/>
      <c r="I7646" s="109"/>
      <c r="J7646" s="109"/>
    </row>
    <row r="7647" spans="1:10" customFormat="1" ht="12.75" hidden="1">
      <c r="A7647" s="109"/>
      <c r="B7647" s="109"/>
      <c r="C7647" s="109"/>
      <c r="D7647" s="109"/>
      <c r="E7647" s="109"/>
      <c r="F7647" s="109"/>
      <c r="G7647" s="109"/>
      <c r="H7647" s="109"/>
      <c r="I7647" s="109"/>
      <c r="J7647" s="109"/>
    </row>
    <row r="7648" spans="1:10" customFormat="1" ht="12.75" hidden="1">
      <c r="A7648" s="109"/>
      <c r="B7648" s="109"/>
      <c r="C7648" s="109"/>
      <c r="D7648" s="109"/>
      <c r="E7648" s="109"/>
      <c r="F7648" s="109"/>
      <c r="G7648" s="109"/>
      <c r="H7648" s="109"/>
      <c r="I7648" s="109"/>
      <c r="J7648" s="109"/>
    </row>
    <row r="7649" spans="1:10" customFormat="1" ht="12.75" hidden="1">
      <c r="A7649" s="109"/>
      <c r="B7649" s="109"/>
      <c r="C7649" s="109"/>
      <c r="D7649" s="109"/>
      <c r="E7649" s="109"/>
      <c r="F7649" s="109"/>
      <c r="G7649" s="109"/>
      <c r="H7649" s="109"/>
      <c r="I7649" s="109"/>
      <c r="J7649" s="109"/>
    </row>
    <row r="7650" spans="1:10" customFormat="1" ht="12.75" hidden="1">
      <c r="A7650" s="109"/>
      <c r="B7650" s="109"/>
      <c r="C7650" s="109"/>
      <c r="D7650" s="109"/>
      <c r="E7650" s="109"/>
      <c r="F7650" s="109"/>
      <c r="G7650" s="109"/>
      <c r="H7650" s="109"/>
      <c r="I7650" s="109"/>
      <c r="J7650" s="109"/>
    </row>
    <row r="7651" spans="1:10" customFormat="1" ht="12.75" hidden="1">
      <c r="A7651" s="109"/>
      <c r="B7651" s="109"/>
      <c r="C7651" s="109"/>
      <c r="D7651" s="109"/>
      <c r="E7651" s="109"/>
      <c r="F7651" s="109"/>
      <c r="G7651" s="109"/>
      <c r="H7651" s="109"/>
      <c r="I7651" s="109"/>
      <c r="J7651" s="109"/>
    </row>
    <row r="7652" spans="1:10" customFormat="1" ht="12.75" hidden="1">
      <c r="A7652" s="109"/>
      <c r="B7652" s="109"/>
      <c r="C7652" s="109"/>
      <c r="D7652" s="109"/>
      <c r="E7652" s="109"/>
      <c r="F7652" s="109"/>
      <c r="G7652" s="109"/>
      <c r="H7652" s="109"/>
      <c r="I7652" s="109"/>
      <c r="J7652" s="109"/>
    </row>
    <row r="7653" spans="1:10" customFormat="1" ht="12.75" hidden="1">
      <c r="A7653" s="109"/>
      <c r="B7653" s="109"/>
      <c r="C7653" s="109"/>
      <c r="D7653" s="109"/>
      <c r="E7653" s="109"/>
      <c r="F7653" s="109"/>
      <c r="G7653" s="109"/>
      <c r="H7653" s="109"/>
      <c r="I7653" s="109"/>
      <c r="J7653" s="109"/>
    </row>
    <row r="7654" spans="1:10" customFormat="1" ht="12.75" hidden="1">
      <c r="A7654" s="109"/>
      <c r="B7654" s="109"/>
      <c r="C7654" s="109"/>
      <c r="D7654" s="109"/>
      <c r="E7654" s="109"/>
      <c r="F7654" s="109"/>
      <c r="G7654" s="109"/>
      <c r="H7654" s="109"/>
      <c r="I7654" s="109"/>
      <c r="J7654" s="109"/>
    </row>
    <row r="7655" spans="1:10" customFormat="1" ht="12.75" hidden="1">
      <c r="A7655" s="109"/>
      <c r="B7655" s="109"/>
      <c r="C7655" s="109"/>
      <c r="D7655" s="109"/>
      <c r="E7655" s="109"/>
      <c r="F7655" s="109"/>
      <c r="G7655" s="109"/>
      <c r="H7655" s="109"/>
      <c r="I7655" s="109"/>
      <c r="J7655" s="109"/>
    </row>
    <row r="7656" spans="1:10" customFormat="1" ht="12.75" hidden="1">
      <c r="A7656" s="109"/>
      <c r="B7656" s="109"/>
      <c r="C7656" s="109"/>
      <c r="D7656" s="109"/>
      <c r="E7656" s="109"/>
      <c r="F7656" s="109"/>
      <c r="G7656" s="109"/>
      <c r="H7656" s="109"/>
      <c r="I7656" s="109"/>
      <c r="J7656" s="109"/>
    </row>
    <row r="7657" spans="1:10" customFormat="1" ht="12.75" hidden="1">
      <c r="A7657" s="109"/>
      <c r="B7657" s="109"/>
      <c r="C7657" s="109"/>
      <c r="D7657" s="109"/>
      <c r="E7657" s="109"/>
      <c r="F7657" s="109"/>
      <c r="G7657" s="109"/>
      <c r="H7657" s="109"/>
      <c r="I7657" s="109"/>
      <c r="J7657" s="109"/>
    </row>
    <row r="7658" spans="1:10" customFormat="1" ht="12.75" hidden="1">
      <c r="A7658" s="109"/>
      <c r="B7658" s="109"/>
      <c r="C7658" s="109"/>
      <c r="D7658" s="109"/>
      <c r="E7658" s="109"/>
      <c r="F7658" s="109"/>
      <c r="G7658" s="109"/>
      <c r="H7658" s="109"/>
      <c r="I7658" s="109"/>
      <c r="J7658" s="109"/>
    </row>
    <row r="7659" spans="1:10" customFormat="1" ht="12.75" hidden="1">
      <c r="A7659" s="109"/>
      <c r="B7659" s="109"/>
      <c r="C7659" s="109"/>
      <c r="D7659" s="109"/>
      <c r="E7659" s="109"/>
      <c r="F7659" s="109"/>
      <c r="G7659" s="109"/>
      <c r="H7659" s="109"/>
      <c r="I7659" s="109"/>
      <c r="J7659" s="109"/>
    </row>
    <row r="7660" spans="1:10" customFormat="1" ht="12.75" hidden="1">
      <c r="A7660" s="109"/>
      <c r="B7660" s="109"/>
      <c r="C7660" s="109"/>
      <c r="D7660" s="109"/>
      <c r="E7660" s="109"/>
      <c r="F7660" s="109"/>
      <c r="G7660" s="109"/>
      <c r="H7660" s="109"/>
      <c r="I7660" s="109"/>
      <c r="J7660" s="109"/>
    </row>
    <row r="7661" spans="1:10" customFormat="1" ht="12.75" hidden="1">
      <c r="A7661" s="109"/>
      <c r="B7661" s="109"/>
      <c r="C7661" s="109"/>
      <c r="D7661" s="109"/>
      <c r="E7661" s="109"/>
      <c r="F7661" s="109"/>
      <c r="G7661" s="109"/>
      <c r="H7661" s="109"/>
      <c r="I7661" s="109"/>
      <c r="J7661" s="109"/>
    </row>
    <row r="7662" spans="1:10" customFormat="1" ht="12.75" hidden="1">
      <c r="A7662" s="109"/>
      <c r="B7662" s="109"/>
      <c r="C7662" s="109"/>
      <c r="D7662" s="109"/>
      <c r="E7662" s="109"/>
      <c r="F7662" s="109"/>
      <c r="G7662" s="109"/>
      <c r="H7662" s="109"/>
      <c r="I7662" s="109"/>
      <c r="J7662" s="109"/>
    </row>
    <row r="7663" spans="1:10" customFormat="1" ht="12.75" hidden="1">
      <c r="A7663" s="109"/>
      <c r="B7663" s="109"/>
      <c r="C7663" s="109"/>
      <c r="D7663" s="109"/>
      <c r="E7663" s="109"/>
      <c r="F7663" s="109"/>
      <c r="G7663" s="109"/>
      <c r="H7663" s="109"/>
      <c r="I7663" s="109"/>
      <c r="J7663" s="109"/>
    </row>
    <row r="7664" spans="1:10" customFormat="1" ht="12.75" hidden="1">
      <c r="A7664" s="109"/>
      <c r="B7664" s="109"/>
      <c r="C7664" s="109"/>
      <c r="D7664" s="109"/>
      <c r="E7664" s="109"/>
      <c r="F7664" s="109"/>
      <c r="G7664" s="109"/>
      <c r="H7664" s="109"/>
      <c r="I7664" s="109"/>
      <c r="J7664" s="109"/>
    </row>
    <row r="7665" spans="1:10" customFormat="1" ht="12.75" hidden="1">
      <c r="A7665" s="109"/>
      <c r="B7665" s="109"/>
      <c r="C7665" s="109"/>
      <c r="D7665" s="109"/>
      <c r="E7665" s="109"/>
      <c r="F7665" s="109"/>
      <c r="G7665" s="109"/>
      <c r="H7665" s="109"/>
      <c r="I7665" s="109"/>
      <c r="J7665" s="109"/>
    </row>
    <row r="7666" spans="1:10" customFormat="1" ht="12.75" hidden="1">
      <c r="A7666" s="109"/>
      <c r="B7666" s="109"/>
      <c r="C7666" s="109"/>
      <c r="D7666" s="109"/>
      <c r="E7666" s="109"/>
      <c r="F7666" s="109"/>
      <c r="G7666" s="109"/>
      <c r="H7666" s="109"/>
      <c r="I7666" s="109"/>
      <c r="J7666" s="109"/>
    </row>
    <row r="7667" spans="1:10" customFormat="1" ht="12.75" hidden="1">
      <c r="A7667" s="109"/>
      <c r="B7667" s="109"/>
      <c r="C7667" s="109"/>
      <c r="D7667" s="109"/>
      <c r="E7667" s="109"/>
      <c r="F7667" s="109"/>
      <c r="G7667" s="109"/>
      <c r="H7667" s="109"/>
      <c r="I7667" s="109"/>
      <c r="J7667" s="109"/>
    </row>
    <row r="7668" spans="1:10" customFormat="1" ht="12.75" hidden="1">
      <c r="A7668" s="109"/>
      <c r="B7668" s="109"/>
      <c r="C7668" s="109"/>
      <c r="D7668" s="109"/>
      <c r="E7668" s="109"/>
      <c r="F7668" s="109"/>
      <c r="G7668" s="109"/>
      <c r="H7668" s="109"/>
      <c r="I7668" s="109"/>
      <c r="J7668" s="109"/>
    </row>
    <row r="7669" spans="1:10" customFormat="1" ht="12.75" hidden="1">
      <c r="A7669" s="109"/>
      <c r="B7669" s="109"/>
      <c r="C7669" s="109"/>
      <c r="D7669" s="109"/>
      <c r="E7669" s="109"/>
      <c r="F7669" s="109"/>
      <c r="G7669" s="109"/>
      <c r="H7669" s="109"/>
      <c r="I7669" s="109"/>
      <c r="J7669" s="109"/>
    </row>
    <row r="7670" spans="1:10" customFormat="1" ht="12.75" hidden="1">
      <c r="A7670" s="109"/>
      <c r="B7670" s="109"/>
      <c r="C7670" s="109"/>
      <c r="D7670" s="109"/>
      <c r="E7670" s="109"/>
      <c r="F7670" s="109"/>
      <c r="G7670" s="109"/>
      <c r="H7670" s="109"/>
      <c r="I7670" s="109"/>
      <c r="J7670" s="109"/>
    </row>
    <row r="7671" spans="1:10" customFormat="1" ht="12.75" hidden="1">
      <c r="A7671" s="109"/>
      <c r="B7671" s="109"/>
      <c r="C7671" s="109"/>
      <c r="D7671" s="109"/>
      <c r="E7671" s="109"/>
      <c r="F7671" s="109"/>
      <c r="G7671" s="109"/>
      <c r="H7671" s="109"/>
      <c r="I7671" s="109"/>
      <c r="J7671" s="109"/>
    </row>
    <row r="7672" spans="1:10" customFormat="1" ht="12.75" hidden="1">
      <c r="A7672" s="109"/>
      <c r="B7672" s="109"/>
      <c r="C7672" s="109"/>
      <c r="D7672" s="109"/>
      <c r="E7672" s="109"/>
      <c r="F7672" s="109"/>
      <c r="G7672" s="109"/>
      <c r="H7672" s="109"/>
      <c r="I7672" s="109"/>
      <c r="J7672" s="109"/>
    </row>
    <row r="7673" spans="1:10" customFormat="1" ht="12.75" hidden="1">
      <c r="A7673" s="109"/>
      <c r="B7673" s="109"/>
      <c r="C7673" s="109"/>
      <c r="D7673" s="109"/>
      <c r="E7673" s="109"/>
      <c r="F7673" s="109"/>
      <c r="G7673" s="109"/>
      <c r="H7673" s="109"/>
      <c r="I7673" s="109"/>
      <c r="J7673" s="109"/>
    </row>
    <row r="7674" spans="1:10" customFormat="1" ht="12.75" hidden="1">
      <c r="A7674" s="109"/>
      <c r="B7674" s="109"/>
      <c r="C7674" s="109"/>
      <c r="D7674" s="109"/>
      <c r="E7674" s="109"/>
      <c r="F7674" s="109"/>
      <c r="G7674" s="109"/>
      <c r="H7674" s="109"/>
      <c r="I7674" s="109"/>
      <c r="J7674" s="109"/>
    </row>
    <row r="7675" spans="1:10" customFormat="1" ht="12.75" hidden="1">
      <c r="A7675" s="109"/>
      <c r="B7675" s="109"/>
      <c r="C7675" s="109"/>
      <c r="D7675" s="109"/>
      <c r="E7675" s="109"/>
      <c r="F7675" s="109"/>
      <c r="G7675" s="109"/>
      <c r="H7675" s="109"/>
      <c r="I7675" s="109"/>
      <c r="J7675" s="109"/>
    </row>
    <row r="7676" spans="1:10" customFormat="1" ht="12.75" hidden="1">
      <c r="A7676" s="109"/>
      <c r="B7676" s="109"/>
      <c r="C7676" s="109"/>
      <c r="D7676" s="109"/>
      <c r="E7676" s="109"/>
      <c r="F7676" s="109"/>
      <c r="G7676" s="109"/>
      <c r="H7676" s="109"/>
      <c r="I7676" s="109"/>
      <c r="J7676" s="109"/>
    </row>
    <row r="7677" spans="1:10" customFormat="1" ht="12.75" hidden="1">
      <c r="A7677" s="109"/>
      <c r="B7677" s="109"/>
      <c r="C7677" s="109"/>
      <c r="D7677" s="109"/>
      <c r="E7677" s="109"/>
      <c r="F7677" s="109"/>
      <c r="G7677" s="109"/>
      <c r="H7677" s="109"/>
      <c r="I7677" s="109"/>
      <c r="J7677" s="109"/>
    </row>
    <row r="7678" spans="1:10" customFormat="1" ht="12.75" hidden="1">
      <c r="A7678" s="109"/>
      <c r="B7678" s="109"/>
      <c r="C7678" s="109"/>
      <c r="D7678" s="109"/>
      <c r="E7678" s="109"/>
      <c r="F7678" s="109"/>
      <c r="G7678" s="109"/>
      <c r="H7678" s="109"/>
      <c r="I7678" s="109"/>
      <c r="J7678" s="109"/>
    </row>
    <row r="7679" spans="1:10" customFormat="1" ht="12.75" hidden="1">
      <c r="A7679" s="109"/>
      <c r="B7679" s="109"/>
      <c r="C7679" s="109"/>
      <c r="D7679" s="109"/>
      <c r="E7679" s="109"/>
      <c r="F7679" s="109"/>
      <c r="G7679" s="109"/>
      <c r="H7679" s="109"/>
      <c r="I7679" s="109"/>
      <c r="J7679" s="109"/>
    </row>
    <row r="7680" spans="1:10" customFormat="1" ht="12.75" hidden="1">
      <c r="A7680" s="109"/>
      <c r="B7680" s="109"/>
      <c r="C7680" s="109"/>
      <c r="D7680" s="109"/>
      <c r="E7680" s="109"/>
      <c r="F7680" s="109"/>
      <c r="G7680" s="109"/>
      <c r="H7680" s="109"/>
      <c r="I7680" s="109"/>
      <c r="J7680" s="109"/>
    </row>
    <row r="7681" spans="1:10" customFormat="1" ht="12.75" hidden="1">
      <c r="A7681" s="109"/>
      <c r="B7681" s="109"/>
      <c r="C7681" s="109"/>
      <c r="D7681" s="109"/>
      <c r="E7681" s="109"/>
      <c r="F7681" s="109"/>
      <c r="G7681" s="109"/>
      <c r="H7681" s="109"/>
      <c r="I7681" s="109"/>
      <c r="J7681" s="109"/>
    </row>
    <row r="7682" spans="1:10" customFormat="1" ht="12.75" hidden="1">
      <c r="A7682" s="109"/>
      <c r="B7682" s="109"/>
      <c r="C7682" s="109"/>
      <c r="D7682" s="109"/>
      <c r="E7682" s="109"/>
      <c r="F7682" s="109"/>
      <c r="G7682" s="109"/>
      <c r="H7682" s="109"/>
      <c r="I7682" s="109"/>
      <c r="J7682" s="109"/>
    </row>
    <row r="7683" spans="1:10" customFormat="1" ht="12.75" hidden="1">
      <c r="A7683" s="109"/>
      <c r="B7683" s="109"/>
      <c r="C7683" s="109"/>
      <c r="D7683" s="109"/>
      <c r="E7683" s="109"/>
      <c r="F7683" s="109"/>
      <c r="G7683" s="109"/>
      <c r="H7683" s="109"/>
      <c r="I7683" s="109"/>
      <c r="J7683" s="109"/>
    </row>
    <row r="7684" spans="1:10" customFormat="1" ht="12.75" hidden="1">
      <c r="A7684" s="109"/>
      <c r="B7684" s="109"/>
      <c r="C7684" s="109"/>
      <c r="D7684" s="109"/>
      <c r="E7684" s="109"/>
      <c r="F7684" s="109"/>
      <c r="G7684" s="109"/>
      <c r="H7684" s="109"/>
      <c r="I7684" s="109"/>
      <c r="J7684" s="109"/>
    </row>
    <row r="7685" spans="1:10" customFormat="1" ht="12.75" hidden="1">
      <c r="A7685" s="109"/>
      <c r="B7685" s="109"/>
      <c r="C7685" s="109"/>
      <c r="D7685" s="109"/>
      <c r="E7685" s="109"/>
      <c r="F7685" s="109"/>
      <c r="G7685" s="109"/>
      <c r="H7685" s="109"/>
      <c r="I7685" s="109"/>
      <c r="J7685" s="109"/>
    </row>
    <row r="7686" spans="1:10" customFormat="1" ht="12.75" hidden="1">
      <c r="A7686" s="109"/>
      <c r="B7686" s="109"/>
      <c r="C7686" s="109"/>
      <c r="D7686" s="109"/>
      <c r="E7686" s="109"/>
      <c r="F7686" s="109"/>
      <c r="G7686" s="109"/>
      <c r="H7686" s="109"/>
      <c r="I7686" s="109"/>
      <c r="J7686" s="109"/>
    </row>
    <row r="7687" spans="1:10" customFormat="1" ht="12.75" hidden="1">
      <c r="A7687" s="109"/>
      <c r="B7687" s="109"/>
      <c r="C7687" s="109"/>
      <c r="D7687" s="109"/>
      <c r="E7687" s="109"/>
      <c r="F7687" s="109"/>
      <c r="G7687" s="109"/>
      <c r="H7687" s="109"/>
      <c r="I7687" s="109"/>
      <c r="J7687" s="109"/>
    </row>
    <row r="7688" spans="1:10" customFormat="1" ht="12.75" hidden="1">
      <c r="A7688" s="109"/>
      <c r="B7688" s="109"/>
      <c r="C7688" s="109"/>
      <c r="D7688" s="109"/>
      <c r="E7688" s="109"/>
      <c r="F7688" s="109"/>
      <c r="G7688" s="109"/>
      <c r="H7688" s="109"/>
      <c r="I7688" s="109"/>
      <c r="J7688" s="109"/>
    </row>
    <row r="7689" spans="1:10" customFormat="1" ht="12.75" hidden="1">
      <c r="A7689" s="109"/>
      <c r="B7689" s="109"/>
      <c r="C7689" s="109"/>
      <c r="D7689" s="109"/>
      <c r="E7689" s="109"/>
      <c r="F7689" s="109"/>
      <c r="G7689" s="109"/>
      <c r="H7689" s="109"/>
      <c r="I7689" s="109"/>
      <c r="J7689" s="109"/>
    </row>
    <row r="7690" spans="1:10" customFormat="1" ht="12.75" hidden="1">
      <c r="A7690" s="109"/>
      <c r="B7690" s="109"/>
      <c r="C7690" s="109"/>
      <c r="D7690" s="109"/>
      <c r="E7690" s="109"/>
      <c r="F7690" s="109"/>
      <c r="G7690" s="109"/>
      <c r="H7690" s="109"/>
      <c r="I7690" s="109"/>
      <c r="J7690" s="109"/>
    </row>
    <row r="7691" spans="1:10" customFormat="1" ht="12.75" hidden="1">
      <c r="A7691" s="109"/>
      <c r="B7691" s="109"/>
      <c r="C7691" s="109"/>
      <c r="D7691" s="109"/>
      <c r="E7691" s="109"/>
      <c r="F7691" s="109"/>
      <c r="G7691" s="109"/>
      <c r="H7691" s="109"/>
      <c r="I7691" s="109"/>
      <c r="J7691" s="109"/>
    </row>
    <row r="7692" spans="1:10" customFormat="1" ht="12.75" hidden="1">
      <c r="A7692" s="109"/>
      <c r="B7692" s="109"/>
      <c r="C7692" s="109"/>
      <c r="D7692" s="109"/>
      <c r="E7692" s="109"/>
      <c r="F7692" s="109"/>
      <c r="G7692" s="109"/>
      <c r="H7692" s="109"/>
      <c r="I7692" s="109"/>
      <c r="J7692" s="109"/>
    </row>
    <row r="7693" spans="1:10" customFormat="1" ht="12.75" hidden="1">
      <c r="A7693" s="109"/>
      <c r="B7693" s="109"/>
      <c r="C7693" s="109"/>
      <c r="D7693" s="109"/>
      <c r="E7693" s="109"/>
      <c r="F7693" s="109"/>
      <c r="G7693" s="109"/>
      <c r="H7693" s="109"/>
      <c r="I7693" s="109"/>
      <c r="J7693" s="109"/>
    </row>
    <row r="7694" spans="1:10" customFormat="1" ht="12.75" hidden="1">
      <c r="A7694" s="109"/>
      <c r="B7694" s="109"/>
      <c r="C7694" s="109"/>
      <c r="D7694" s="109"/>
      <c r="E7694" s="109"/>
      <c r="F7694" s="109"/>
      <c r="G7694" s="109"/>
      <c r="H7694" s="109"/>
      <c r="I7694" s="109"/>
      <c r="J7694" s="109"/>
    </row>
    <row r="7695" spans="1:10" customFormat="1" ht="12.75" hidden="1">
      <c r="A7695" s="109"/>
      <c r="B7695" s="109"/>
      <c r="C7695" s="109"/>
      <c r="D7695" s="109"/>
      <c r="E7695" s="109"/>
      <c r="F7695" s="109"/>
      <c r="G7695" s="109"/>
      <c r="H7695" s="109"/>
      <c r="I7695" s="109"/>
      <c r="J7695" s="109"/>
    </row>
    <row r="7696" spans="1:10" customFormat="1" ht="12.75" hidden="1">
      <c r="A7696" s="109"/>
      <c r="B7696" s="109"/>
      <c r="C7696" s="109"/>
      <c r="D7696" s="109"/>
      <c r="E7696" s="109"/>
      <c r="F7696" s="109"/>
      <c r="G7696" s="109"/>
      <c r="H7696" s="109"/>
      <c r="I7696" s="109"/>
      <c r="J7696" s="109"/>
    </row>
    <row r="7697" spans="1:10" customFormat="1" ht="12.75" hidden="1">
      <c r="A7697" s="109"/>
      <c r="B7697" s="109"/>
      <c r="C7697" s="109"/>
      <c r="D7697" s="109"/>
      <c r="E7697" s="109"/>
      <c r="F7697" s="109"/>
      <c r="G7697" s="109"/>
      <c r="H7697" s="109"/>
      <c r="I7697" s="109"/>
      <c r="J7697" s="109"/>
    </row>
    <row r="7698" spans="1:10" customFormat="1" ht="12.75" hidden="1">
      <c r="A7698" s="109"/>
      <c r="B7698" s="109"/>
      <c r="C7698" s="109"/>
      <c r="D7698" s="109"/>
      <c r="E7698" s="109"/>
      <c r="F7698" s="109"/>
      <c r="G7698" s="109"/>
      <c r="H7698" s="109"/>
      <c r="I7698" s="109"/>
      <c r="J7698" s="109"/>
    </row>
    <row r="7699" spans="1:10" customFormat="1" ht="12.75" hidden="1">
      <c r="A7699" s="109"/>
      <c r="B7699" s="109"/>
      <c r="C7699" s="109"/>
      <c r="D7699" s="109"/>
      <c r="E7699" s="109"/>
      <c r="F7699" s="109"/>
      <c r="G7699" s="109"/>
      <c r="H7699" s="109"/>
      <c r="I7699" s="109"/>
      <c r="J7699" s="109"/>
    </row>
    <row r="7700" spans="1:10" customFormat="1" ht="12.75" hidden="1">
      <c r="A7700" s="109"/>
      <c r="B7700" s="109"/>
      <c r="C7700" s="109"/>
      <c r="D7700" s="109"/>
      <c r="E7700" s="109"/>
      <c r="F7700" s="109"/>
      <c r="G7700" s="109"/>
      <c r="H7700" s="109"/>
      <c r="I7700" s="109"/>
      <c r="J7700" s="109"/>
    </row>
    <row r="7701" spans="1:10" customFormat="1" ht="12.75" hidden="1">
      <c r="A7701" s="109"/>
      <c r="B7701" s="109"/>
      <c r="C7701" s="109"/>
      <c r="D7701" s="109"/>
      <c r="E7701" s="109"/>
      <c r="F7701" s="109"/>
      <c r="G7701" s="109"/>
      <c r="H7701" s="109"/>
      <c r="I7701" s="109"/>
      <c r="J7701" s="109"/>
    </row>
    <row r="7702" spans="1:10" customFormat="1" ht="12.75" hidden="1">
      <c r="A7702" s="109"/>
      <c r="B7702" s="109"/>
      <c r="C7702" s="109"/>
      <c r="D7702" s="109"/>
      <c r="E7702" s="109"/>
      <c r="F7702" s="109"/>
      <c r="G7702" s="109"/>
      <c r="H7702" s="109"/>
      <c r="I7702" s="109"/>
      <c r="J7702" s="109"/>
    </row>
    <row r="7703" spans="1:10" customFormat="1" ht="12.75" hidden="1">
      <c r="A7703" s="109"/>
      <c r="B7703" s="109"/>
      <c r="C7703" s="109"/>
      <c r="D7703" s="109"/>
      <c r="E7703" s="109"/>
      <c r="F7703" s="109"/>
      <c r="G7703" s="109"/>
      <c r="H7703" s="109"/>
      <c r="I7703" s="109"/>
      <c r="J7703" s="109"/>
    </row>
    <row r="7704" spans="1:10" customFormat="1" ht="12.75" hidden="1">
      <c r="A7704" s="109"/>
      <c r="B7704" s="109"/>
      <c r="C7704" s="109"/>
      <c r="D7704" s="109"/>
      <c r="E7704" s="109"/>
      <c r="F7704" s="109"/>
      <c r="G7704" s="109"/>
      <c r="H7704" s="109"/>
      <c r="I7704" s="109"/>
      <c r="J7704" s="109"/>
    </row>
    <row r="7705" spans="1:10" customFormat="1" ht="12.75" hidden="1">
      <c r="A7705" s="109"/>
      <c r="B7705" s="109"/>
      <c r="C7705" s="109"/>
      <c r="D7705" s="109"/>
      <c r="E7705" s="109"/>
      <c r="F7705" s="109"/>
      <c r="G7705" s="109"/>
      <c r="H7705" s="109"/>
      <c r="I7705" s="109"/>
      <c r="J7705" s="109"/>
    </row>
    <row r="7706" spans="1:10" customFormat="1" ht="12.75" hidden="1">
      <c r="A7706" s="109"/>
      <c r="B7706" s="109"/>
      <c r="C7706" s="109"/>
      <c r="D7706" s="109"/>
      <c r="E7706" s="109"/>
      <c r="F7706" s="109"/>
      <c r="G7706" s="109"/>
      <c r="H7706" s="109"/>
      <c r="I7706" s="109"/>
      <c r="J7706" s="109"/>
    </row>
    <row r="7707" spans="1:10" customFormat="1" ht="12.75" hidden="1">
      <c r="A7707" s="109"/>
      <c r="B7707" s="109"/>
      <c r="C7707" s="109"/>
      <c r="D7707" s="109"/>
      <c r="E7707" s="109"/>
      <c r="F7707" s="109"/>
      <c r="G7707" s="109"/>
      <c r="H7707" s="109"/>
      <c r="I7707" s="109"/>
      <c r="J7707" s="109"/>
    </row>
    <row r="7708" spans="1:10" customFormat="1" ht="12.75" hidden="1">
      <c r="A7708" s="109"/>
      <c r="B7708" s="109"/>
      <c r="C7708" s="109"/>
      <c r="D7708" s="109"/>
      <c r="E7708" s="109"/>
      <c r="F7708" s="109"/>
      <c r="G7708" s="109"/>
      <c r="H7708" s="109"/>
      <c r="I7708" s="109"/>
      <c r="J7708" s="109"/>
    </row>
    <row r="7709" spans="1:10" customFormat="1" ht="12.75" hidden="1">
      <c r="A7709" s="109"/>
      <c r="B7709" s="109"/>
      <c r="C7709" s="109"/>
      <c r="D7709" s="109"/>
      <c r="E7709" s="109"/>
      <c r="F7709" s="109"/>
      <c r="G7709" s="109"/>
      <c r="H7709" s="109"/>
      <c r="I7709" s="109"/>
      <c r="J7709" s="109"/>
    </row>
    <row r="7710" spans="1:10" customFormat="1" ht="12.75" hidden="1">
      <c r="A7710" s="109"/>
      <c r="B7710" s="109"/>
      <c r="C7710" s="109"/>
      <c r="D7710" s="109"/>
      <c r="E7710" s="109"/>
      <c r="F7710" s="109"/>
      <c r="G7710" s="109"/>
      <c r="H7710" s="109"/>
      <c r="I7710" s="109"/>
      <c r="J7710" s="109"/>
    </row>
    <row r="7711" spans="1:10" customFormat="1" ht="12.75" hidden="1">
      <c r="A7711" s="109"/>
      <c r="B7711" s="109"/>
      <c r="C7711" s="109"/>
      <c r="D7711" s="109"/>
      <c r="E7711" s="109"/>
      <c r="F7711" s="109"/>
      <c r="G7711" s="109"/>
      <c r="H7711" s="109"/>
      <c r="I7711" s="109"/>
      <c r="J7711" s="109"/>
    </row>
    <row r="7712" spans="1:10" customFormat="1" ht="12.75" hidden="1">
      <c r="A7712" s="109"/>
      <c r="B7712" s="109"/>
      <c r="C7712" s="109"/>
      <c r="D7712" s="109"/>
      <c r="E7712" s="109"/>
      <c r="F7712" s="109"/>
      <c r="G7712" s="109"/>
      <c r="H7712" s="109"/>
      <c r="I7712" s="109"/>
      <c r="J7712" s="109"/>
    </row>
    <row r="7713" spans="1:10" customFormat="1" ht="12.75" hidden="1">
      <c r="A7713" s="109"/>
      <c r="B7713" s="109"/>
      <c r="C7713" s="109"/>
      <c r="D7713" s="109"/>
      <c r="E7713" s="109"/>
      <c r="F7713" s="109"/>
      <c r="G7713" s="109"/>
      <c r="H7713" s="109"/>
      <c r="I7713" s="109"/>
      <c r="J7713" s="109"/>
    </row>
    <row r="7714" spans="1:10" customFormat="1" ht="12.75" hidden="1">
      <c r="A7714" s="109"/>
      <c r="B7714" s="109"/>
      <c r="C7714" s="109"/>
      <c r="D7714" s="109"/>
      <c r="E7714" s="109"/>
      <c r="F7714" s="109"/>
      <c r="G7714" s="109"/>
      <c r="H7714" s="109"/>
      <c r="I7714" s="109"/>
      <c r="J7714" s="109"/>
    </row>
    <row r="7715" spans="1:10" customFormat="1" ht="12.75" hidden="1">
      <c r="A7715" s="109"/>
      <c r="B7715" s="109"/>
      <c r="C7715" s="109"/>
      <c r="D7715" s="109"/>
      <c r="E7715" s="109"/>
      <c r="F7715" s="109"/>
      <c r="G7715" s="109"/>
      <c r="H7715" s="109"/>
      <c r="I7715" s="109"/>
      <c r="J7715" s="109"/>
    </row>
    <row r="7716" spans="1:10" customFormat="1" ht="12.75" hidden="1">
      <c r="A7716" s="109"/>
      <c r="B7716" s="109"/>
      <c r="C7716" s="109"/>
      <c r="D7716" s="109"/>
      <c r="E7716" s="109"/>
      <c r="F7716" s="109"/>
      <c r="G7716" s="109"/>
      <c r="H7716" s="109"/>
      <c r="I7716" s="109"/>
      <c r="J7716" s="109"/>
    </row>
    <row r="7717" spans="1:10" customFormat="1" ht="12.75" hidden="1">
      <c r="A7717" s="109"/>
      <c r="B7717" s="109"/>
      <c r="C7717" s="109"/>
      <c r="D7717" s="109"/>
      <c r="E7717" s="109"/>
      <c r="F7717" s="109"/>
      <c r="G7717" s="109"/>
      <c r="H7717" s="109"/>
      <c r="I7717" s="109"/>
      <c r="J7717" s="109"/>
    </row>
    <row r="7718" spans="1:10" customFormat="1" ht="12.75" hidden="1">
      <c r="A7718" s="109"/>
      <c r="B7718" s="109"/>
      <c r="C7718" s="109"/>
      <c r="D7718" s="109"/>
      <c r="E7718" s="109"/>
      <c r="F7718" s="109"/>
      <c r="G7718" s="109"/>
      <c r="H7718" s="109"/>
      <c r="I7718" s="109"/>
      <c r="J7718" s="109"/>
    </row>
    <row r="7719" spans="1:10" customFormat="1" ht="12.75" hidden="1">
      <c r="A7719" s="109"/>
      <c r="B7719" s="109"/>
      <c r="C7719" s="109"/>
      <c r="D7719" s="109"/>
      <c r="E7719" s="109"/>
      <c r="F7719" s="109"/>
      <c r="G7719" s="109"/>
      <c r="H7719" s="109"/>
      <c r="I7719" s="109"/>
      <c r="J7719" s="109"/>
    </row>
    <row r="7720" spans="1:10" customFormat="1" ht="12.75" hidden="1">
      <c r="A7720" s="109"/>
      <c r="B7720" s="109"/>
      <c r="C7720" s="109"/>
      <c r="D7720" s="109"/>
      <c r="E7720" s="109"/>
      <c r="F7720" s="109"/>
      <c r="G7720" s="109"/>
      <c r="H7720" s="109"/>
      <c r="I7720" s="109"/>
      <c r="J7720" s="109"/>
    </row>
    <row r="7721" spans="1:10" customFormat="1" ht="12.75" hidden="1">
      <c r="A7721" s="109"/>
      <c r="B7721" s="109"/>
      <c r="C7721" s="109"/>
      <c r="D7721" s="109"/>
      <c r="E7721" s="109"/>
      <c r="F7721" s="109"/>
      <c r="G7721" s="109"/>
      <c r="H7721" s="109"/>
      <c r="I7721" s="109"/>
      <c r="J7721" s="109"/>
    </row>
    <row r="7722" spans="1:10" customFormat="1" ht="12.75" hidden="1">
      <c r="A7722" s="109"/>
      <c r="B7722" s="109"/>
      <c r="C7722" s="109"/>
      <c r="D7722" s="109"/>
      <c r="E7722" s="109"/>
      <c r="F7722" s="109"/>
      <c r="G7722" s="109"/>
      <c r="H7722" s="109"/>
      <c r="I7722" s="109"/>
      <c r="J7722" s="109"/>
    </row>
    <row r="7723" spans="1:10" customFormat="1" ht="12.75" hidden="1">
      <c r="A7723" s="109"/>
      <c r="B7723" s="109"/>
      <c r="C7723" s="109"/>
      <c r="D7723" s="109"/>
      <c r="E7723" s="109"/>
      <c r="F7723" s="109"/>
      <c r="G7723" s="109"/>
      <c r="H7723" s="109"/>
      <c r="I7723" s="109"/>
      <c r="J7723" s="109"/>
    </row>
    <row r="7724" spans="1:10" customFormat="1" ht="12.75" hidden="1">
      <c r="A7724" s="109"/>
      <c r="B7724" s="109"/>
      <c r="C7724" s="109"/>
      <c r="D7724" s="109"/>
      <c r="E7724" s="109"/>
      <c r="F7724" s="109"/>
      <c r="G7724" s="109"/>
      <c r="H7724" s="109"/>
      <c r="I7724" s="109"/>
      <c r="J7724" s="109"/>
    </row>
    <row r="7725" spans="1:10" customFormat="1" ht="12.75" hidden="1">
      <c r="A7725" s="109"/>
      <c r="B7725" s="109"/>
      <c r="C7725" s="109"/>
      <c r="D7725" s="109"/>
      <c r="E7725" s="109"/>
      <c r="F7725" s="109"/>
      <c r="G7725" s="109"/>
      <c r="H7725" s="109"/>
      <c r="I7725" s="109"/>
      <c r="J7725" s="109"/>
    </row>
    <row r="7726" spans="1:10" customFormat="1" ht="12.75" hidden="1">
      <c r="A7726" s="109"/>
      <c r="B7726" s="109"/>
      <c r="C7726" s="109"/>
      <c r="D7726" s="109"/>
      <c r="E7726" s="109"/>
      <c r="F7726" s="109"/>
      <c r="G7726" s="109"/>
      <c r="H7726" s="109"/>
      <c r="I7726" s="109"/>
      <c r="J7726" s="109"/>
    </row>
    <row r="7727" spans="1:10" customFormat="1" ht="12.75" hidden="1">
      <c r="A7727" s="109"/>
      <c r="B7727" s="109"/>
      <c r="C7727" s="109"/>
      <c r="D7727" s="109"/>
      <c r="E7727" s="109"/>
      <c r="F7727" s="109"/>
      <c r="G7727" s="109"/>
      <c r="H7727" s="109"/>
      <c r="I7727" s="109"/>
      <c r="J7727" s="109"/>
    </row>
    <row r="7728" spans="1:10" customFormat="1" ht="12.75" hidden="1">
      <c r="A7728" s="109"/>
      <c r="B7728" s="109"/>
      <c r="C7728" s="109"/>
      <c r="D7728" s="109"/>
      <c r="E7728" s="109"/>
      <c r="F7728" s="109"/>
      <c r="G7728" s="109"/>
      <c r="H7728" s="109"/>
      <c r="I7728" s="109"/>
      <c r="J7728" s="109"/>
    </row>
    <row r="7729" spans="1:10" customFormat="1" ht="12.75" hidden="1">
      <c r="A7729" s="109"/>
      <c r="B7729" s="109"/>
      <c r="C7729" s="109"/>
      <c r="D7729" s="109"/>
      <c r="E7729" s="109"/>
      <c r="F7729" s="109"/>
      <c r="G7729" s="109"/>
      <c r="H7729" s="109"/>
      <c r="I7729" s="109"/>
      <c r="J7729" s="109"/>
    </row>
    <row r="7730" spans="1:10" customFormat="1" ht="12.75" hidden="1">
      <c r="A7730" s="109"/>
      <c r="B7730" s="109"/>
      <c r="C7730" s="109"/>
      <c r="D7730" s="109"/>
      <c r="E7730" s="109"/>
      <c r="F7730" s="109"/>
      <c r="G7730" s="109"/>
      <c r="H7730" s="109"/>
      <c r="I7730" s="109"/>
      <c r="J7730" s="109"/>
    </row>
    <row r="7731" spans="1:10" customFormat="1" ht="12.75" hidden="1">
      <c r="A7731" s="109"/>
      <c r="B7731" s="109"/>
      <c r="C7731" s="109"/>
      <c r="D7731" s="109"/>
      <c r="E7731" s="109"/>
      <c r="F7731" s="109"/>
      <c r="G7731" s="109"/>
      <c r="H7731" s="109"/>
      <c r="I7731" s="109"/>
      <c r="J7731" s="109"/>
    </row>
    <row r="7732" spans="1:10" customFormat="1" ht="12.75" hidden="1">
      <c r="A7732" s="109"/>
      <c r="B7732" s="109"/>
      <c r="C7732" s="109"/>
      <c r="D7732" s="109"/>
      <c r="E7732" s="109"/>
      <c r="F7732" s="109"/>
      <c r="G7732" s="109"/>
      <c r="H7732" s="109"/>
      <c r="I7732" s="109"/>
      <c r="J7732" s="109"/>
    </row>
    <row r="7733" spans="1:10" customFormat="1" ht="12.75" hidden="1">
      <c r="A7733" s="109"/>
      <c r="B7733" s="109"/>
      <c r="C7733" s="109"/>
      <c r="D7733" s="109"/>
      <c r="E7733" s="109"/>
      <c r="F7733" s="109"/>
      <c r="G7733" s="109"/>
      <c r="H7733" s="109"/>
      <c r="I7733" s="109"/>
      <c r="J7733" s="109"/>
    </row>
    <row r="7734" spans="1:10" customFormat="1" ht="12.75" hidden="1">
      <c r="A7734" s="109"/>
      <c r="B7734" s="109"/>
      <c r="C7734" s="109"/>
      <c r="D7734" s="109"/>
      <c r="E7734" s="109"/>
      <c r="F7734" s="109"/>
      <c r="G7734" s="109"/>
      <c r="H7734" s="109"/>
      <c r="I7734" s="109"/>
      <c r="J7734" s="109"/>
    </row>
    <row r="7735" spans="1:10" customFormat="1" ht="12.75" hidden="1">
      <c r="A7735" s="109"/>
      <c r="B7735" s="109"/>
      <c r="C7735" s="109"/>
      <c r="D7735" s="109"/>
      <c r="E7735" s="109"/>
      <c r="F7735" s="109"/>
      <c r="G7735" s="109"/>
      <c r="H7735" s="109"/>
      <c r="I7735" s="109"/>
      <c r="J7735" s="109"/>
    </row>
    <row r="7736" spans="1:10" customFormat="1" ht="12.75" hidden="1">
      <c r="A7736" s="109"/>
      <c r="B7736" s="109"/>
      <c r="C7736" s="109"/>
      <c r="D7736" s="109"/>
      <c r="E7736" s="109"/>
      <c r="F7736" s="109"/>
      <c r="G7736" s="109"/>
      <c r="H7736" s="109"/>
      <c r="I7736" s="109"/>
      <c r="J7736" s="109"/>
    </row>
    <row r="7737" spans="1:10" customFormat="1" ht="12.75" hidden="1">
      <c r="A7737" s="109"/>
      <c r="B7737" s="109"/>
      <c r="C7737" s="109"/>
      <c r="D7737" s="109"/>
      <c r="E7737" s="109"/>
      <c r="F7737" s="109"/>
      <c r="G7737" s="109"/>
      <c r="H7737" s="109"/>
      <c r="I7737" s="109"/>
      <c r="J7737" s="109"/>
    </row>
    <row r="7738" spans="1:10" customFormat="1" ht="12.75" hidden="1">
      <c r="A7738" s="109"/>
      <c r="B7738" s="109"/>
      <c r="C7738" s="109"/>
      <c r="D7738" s="109"/>
      <c r="E7738" s="109"/>
      <c r="F7738" s="109"/>
      <c r="G7738" s="109"/>
      <c r="H7738" s="109"/>
      <c r="I7738" s="109"/>
      <c r="J7738" s="109"/>
    </row>
    <row r="7739" spans="1:10" customFormat="1" ht="12.75" hidden="1">
      <c r="A7739" s="109"/>
      <c r="B7739" s="109"/>
      <c r="C7739" s="109"/>
      <c r="D7739" s="109"/>
      <c r="E7739" s="109"/>
      <c r="F7739" s="109"/>
      <c r="G7739" s="109"/>
      <c r="H7739" s="109"/>
      <c r="I7739" s="109"/>
      <c r="J7739" s="109"/>
    </row>
    <row r="7740" spans="1:10" customFormat="1" ht="12.75" hidden="1">
      <c r="A7740" s="109"/>
      <c r="B7740" s="109"/>
      <c r="C7740" s="109"/>
      <c r="D7740" s="109"/>
      <c r="E7740" s="109"/>
      <c r="F7740" s="109"/>
      <c r="G7740" s="109"/>
      <c r="H7740" s="109"/>
      <c r="I7740" s="109"/>
      <c r="J7740" s="109"/>
    </row>
    <row r="7741" spans="1:10" customFormat="1" ht="12.75" hidden="1">
      <c r="A7741" s="109"/>
      <c r="B7741" s="109"/>
      <c r="C7741" s="109"/>
      <c r="D7741" s="109"/>
      <c r="E7741" s="109"/>
      <c r="F7741" s="109"/>
      <c r="G7741" s="109"/>
      <c r="H7741" s="109"/>
      <c r="I7741" s="109"/>
      <c r="J7741" s="109"/>
    </row>
    <row r="7742" spans="1:10" customFormat="1" ht="12.75" hidden="1">
      <c r="A7742" s="109"/>
      <c r="B7742" s="109"/>
      <c r="C7742" s="109"/>
      <c r="D7742" s="109"/>
      <c r="E7742" s="109"/>
      <c r="F7742" s="109"/>
      <c r="G7742" s="109"/>
      <c r="H7742" s="109"/>
      <c r="I7742" s="109"/>
      <c r="J7742" s="109"/>
    </row>
    <row r="7743" spans="1:10" customFormat="1" ht="12.75" hidden="1">
      <c r="A7743" s="109"/>
      <c r="B7743" s="109"/>
      <c r="C7743" s="109"/>
      <c r="D7743" s="109"/>
      <c r="E7743" s="109"/>
      <c r="F7743" s="109"/>
      <c r="G7743" s="109"/>
      <c r="H7743" s="109"/>
      <c r="I7743" s="109"/>
      <c r="J7743" s="109"/>
    </row>
    <row r="7744" spans="1:10" customFormat="1" ht="12.75" hidden="1">
      <c r="A7744" s="109"/>
      <c r="B7744" s="109"/>
      <c r="C7744" s="109"/>
      <c r="D7744" s="109"/>
      <c r="E7744" s="109"/>
      <c r="F7744" s="109"/>
      <c r="G7744" s="109"/>
      <c r="H7744" s="109"/>
      <c r="I7744" s="109"/>
      <c r="J7744" s="109"/>
    </row>
    <row r="7745" spans="1:10" customFormat="1" ht="12.75" hidden="1">
      <c r="A7745" s="109"/>
      <c r="B7745" s="109"/>
      <c r="C7745" s="109"/>
      <c r="D7745" s="109"/>
      <c r="E7745" s="109"/>
      <c r="F7745" s="109"/>
      <c r="G7745" s="109"/>
      <c r="H7745" s="109"/>
      <c r="I7745" s="109"/>
      <c r="J7745" s="109"/>
    </row>
    <row r="7746" spans="1:10" customFormat="1" ht="12.75" hidden="1">
      <c r="A7746" s="109"/>
      <c r="B7746" s="109"/>
      <c r="C7746" s="109"/>
      <c r="D7746" s="109"/>
      <c r="E7746" s="109"/>
      <c r="F7746" s="109"/>
      <c r="G7746" s="109"/>
      <c r="H7746" s="109"/>
      <c r="I7746" s="109"/>
      <c r="J7746" s="109"/>
    </row>
    <row r="7747" spans="1:10" customFormat="1" ht="12.75" hidden="1">
      <c r="A7747" s="109"/>
      <c r="B7747" s="109"/>
      <c r="C7747" s="109"/>
      <c r="D7747" s="109"/>
      <c r="E7747" s="109"/>
      <c r="F7747" s="109"/>
      <c r="G7747" s="109"/>
      <c r="H7747" s="109"/>
      <c r="I7747" s="109"/>
      <c r="J7747" s="109"/>
    </row>
    <row r="7748" spans="1:10" customFormat="1" ht="12.75" hidden="1">
      <c r="A7748" s="109"/>
      <c r="B7748" s="109"/>
      <c r="C7748" s="109"/>
      <c r="D7748" s="109"/>
      <c r="E7748" s="109"/>
      <c r="F7748" s="109"/>
      <c r="G7748" s="109"/>
      <c r="H7748" s="109"/>
      <c r="I7748" s="109"/>
      <c r="J7748" s="109"/>
    </row>
    <row r="7749" spans="1:10" customFormat="1" ht="12.75" hidden="1">
      <c r="A7749" s="109"/>
      <c r="B7749" s="109"/>
      <c r="C7749" s="109"/>
      <c r="D7749" s="109"/>
      <c r="E7749" s="109"/>
      <c r="F7749" s="109"/>
      <c r="G7749" s="109"/>
      <c r="H7749" s="109"/>
      <c r="I7749" s="109"/>
      <c r="J7749" s="109"/>
    </row>
    <row r="7750" spans="1:10" customFormat="1" ht="12.75" hidden="1">
      <c r="A7750" s="109"/>
      <c r="B7750" s="109"/>
      <c r="C7750" s="109"/>
      <c r="D7750" s="109"/>
      <c r="E7750" s="109"/>
      <c r="F7750" s="109"/>
      <c r="G7750" s="109"/>
      <c r="H7750" s="109"/>
      <c r="I7750" s="109"/>
      <c r="J7750" s="109"/>
    </row>
    <row r="7751" spans="1:10" customFormat="1" ht="12.75" hidden="1">
      <c r="A7751" s="109"/>
      <c r="B7751" s="109"/>
      <c r="C7751" s="109"/>
      <c r="D7751" s="109"/>
      <c r="E7751" s="109"/>
      <c r="F7751" s="109"/>
      <c r="G7751" s="109"/>
      <c r="H7751" s="109"/>
      <c r="I7751" s="109"/>
      <c r="J7751" s="109"/>
    </row>
    <row r="7752" spans="1:10" customFormat="1" ht="12.75" hidden="1">
      <c r="A7752" s="109"/>
      <c r="B7752" s="109"/>
      <c r="C7752" s="109"/>
      <c r="D7752" s="109"/>
      <c r="E7752" s="109"/>
      <c r="F7752" s="109"/>
      <c r="G7752" s="109"/>
      <c r="H7752" s="109"/>
      <c r="I7752" s="109"/>
      <c r="J7752" s="109"/>
    </row>
    <row r="7753" spans="1:10" customFormat="1" ht="12.75" hidden="1">
      <c r="A7753" s="109"/>
      <c r="B7753" s="109"/>
      <c r="C7753" s="109"/>
      <c r="D7753" s="109"/>
      <c r="E7753" s="109"/>
      <c r="F7753" s="109"/>
      <c r="G7753" s="109"/>
      <c r="H7753" s="109"/>
      <c r="I7753" s="109"/>
      <c r="J7753" s="109"/>
    </row>
    <row r="7754" spans="1:10" customFormat="1" ht="12.75" hidden="1">
      <c r="A7754" s="109"/>
      <c r="B7754" s="109"/>
      <c r="C7754" s="109"/>
      <c r="D7754" s="109"/>
      <c r="E7754" s="109"/>
      <c r="F7754" s="109"/>
      <c r="G7754" s="109"/>
      <c r="H7754" s="109"/>
      <c r="I7754" s="109"/>
      <c r="J7754" s="109"/>
    </row>
    <row r="7755" spans="1:10" customFormat="1" ht="12.75" hidden="1">
      <c r="A7755" s="109"/>
      <c r="B7755" s="109"/>
      <c r="C7755" s="109"/>
      <c r="D7755" s="109"/>
      <c r="E7755" s="109"/>
      <c r="F7755" s="109"/>
      <c r="G7755" s="109"/>
      <c r="H7755" s="109"/>
      <c r="I7755" s="109"/>
      <c r="J7755" s="109"/>
    </row>
    <row r="7756" spans="1:10" customFormat="1" ht="12.75" hidden="1">
      <c r="A7756" s="109"/>
      <c r="B7756" s="109"/>
      <c r="C7756" s="109"/>
      <c r="D7756" s="109"/>
      <c r="E7756" s="109"/>
      <c r="F7756" s="109"/>
      <c r="G7756" s="109"/>
      <c r="H7756" s="109"/>
      <c r="I7756" s="109"/>
      <c r="J7756" s="109"/>
    </row>
    <row r="7757" spans="1:10" customFormat="1" ht="12.75" hidden="1">
      <c r="A7757" s="109"/>
      <c r="B7757" s="109"/>
      <c r="C7757" s="109"/>
      <c r="D7757" s="109"/>
      <c r="E7757" s="109"/>
      <c r="F7757" s="109"/>
      <c r="G7757" s="109"/>
      <c r="H7757" s="109"/>
      <c r="I7757" s="109"/>
      <c r="J7757" s="109"/>
    </row>
    <row r="7758" spans="1:10" customFormat="1" ht="12.75" hidden="1">
      <c r="A7758" s="109"/>
      <c r="B7758" s="109"/>
      <c r="C7758" s="109"/>
      <c r="D7758" s="109"/>
      <c r="E7758" s="109"/>
      <c r="F7758" s="109"/>
      <c r="G7758" s="109"/>
      <c r="H7758" s="109"/>
      <c r="I7758" s="109"/>
      <c r="J7758" s="109"/>
    </row>
    <row r="7759" spans="1:10" customFormat="1" ht="12.75" hidden="1">
      <c r="A7759" s="109"/>
      <c r="B7759" s="109"/>
      <c r="C7759" s="109"/>
      <c r="D7759" s="109"/>
      <c r="E7759" s="109"/>
      <c r="F7759" s="109"/>
      <c r="G7759" s="109"/>
      <c r="H7759" s="109"/>
      <c r="I7759" s="109"/>
      <c r="J7759" s="109"/>
    </row>
    <row r="7760" spans="1:10" customFormat="1" ht="12.75" hidden="1">
      <c r="A7760" s="109"/>
      <c r="B7760" s="109"/>
      <c r="C7760" s="109"/>
      <c r="D7760" s="109"/>
      <c r="E7760" s="109"/>
      <c r="F7760" s="109"/>
      <c r="G7760" s="109"/>
      <c r="H7760" s="109"/>
      <c r="I7760" s="109"/>
      <c r="J7760" s="109"/>
    </row>
    <row r="7761" spans="1:10" customFormat="1" ht="12.75" hidden="1">
      <c r="A7761" s="109"/>
      <c r="B7761" s="109"/>
      <c r="C7761" s="109"/>
      <c r="D7761" s="109"/>
      <c r="E7761" s="109"/>
      <c r="F7761" s="109"/>
      <c r="G7761" s="109"/>
      <c r="H7761" s="109"/>
      <c r="I7761" s="109"/>
      <c r="J7761" s="109"/>
    </row>
    <row r="7762" spans="1:10" customFormat="1" ht="12.75" hidden="1">
      <c r="A7762" s="109"/>
      <c r="B7762" s="109"/>
      <c r="C7762" s="109"/>
      <c r="D7762" s="109"/>
      <c r="E7762" s="109"/>
      <c r="F7762" s="109"/>
      <c r="G7762" s="109"/>
      <c r="H7762" s="109"/>
      <c r="I7762" s="109"/>
      <c r="J7762" s="109"/>
    </row>
    <row r="7763" spans="1:10" customFormat="1" ht="12.75" hidden="1">
      <c r="A7763" s="109"/>
      <c r="B7763" s="109"/>
      <c r="C7763" s="109"/>
      <c r="D7763" s="109"/>
      <c r="E7763" s="109"/>
      <c r="F7763" s="109"/>
      <c r="G7763" s="109"/>
      <c r="H7763" s="109"/>
      <c r="I7763" s="109"/>
      <c r="J7763" s="109"/>
    </row>
    <row r="7764" spans="1:10" customFormat="1" ht="12.75" hidden="1">
      <c r="A7764" s="109"/>
      <c r="B7764" s="109"/>
      <c r="C7764" s="109"/>
      <c r="D7764" s="109"/>
      <c r="E7764" s="109"/>
      <c r="F7764" s="109"/>
      <c r="G7764" s="109"/>
      <c r="H7764" s="109"/>
      <c r="I7764" s="109"/>
      <c r="J7764" s="109"/>
    </row>
    <row r="7765" spans="1:10" customFormat="1" ht="12.75" hidden="1">
      <c r="A7765" s="109"/>
      <c r="B7765" s="109"/>
      <c r="C7765" s="109"/>
      <c r="D7765" s="109"/>
      <c r="E7765" s="109"/>
      <c r="F7765" s="109"/>
      <c r="G7765" s="109"/>
      <c r="H7765" s="109"/>
      <c r="I7765" s="109"/>
      <c r="J7765" s="109"/>
    </row>
    <row r="7766" spans="1:10" customFormat="1" ht="12.75" hidden="1">
      <c r="A7766" s="109"/>
      <c r="B7766" s="109"/>
      <c r="C7766" s="109"/>
      <c r="D7766" s="109"/>
      <c r="E7766" s="109"/>
      <c r="F7766" s="109"/>
      <c r="G7766" s="109"/>
      <c r="H7766" s="109"/>
      <c r="I7766" s="109"/>
      <c r="J7766" s="109"/>
    </row>
    <row r="7767" spans="1:10" customFormat="1" ht="12.75" hidden="1">
      <c r="A7767" s="109"/>
      <c r="B7767" s="109"/>
      <c r="C7767" s="109"/>
      <c r="D7767" s="109"/>
      <c r="E7767" s="109"/>
      <c r="F7767" s="109"/>
      <c r="G7767" s="109"/>
      <c r="H7767" s="109"/>
      <c r="I7767" s="109"/>
      <c r="J7767" s="109"/>
    </row>
    <row r="7768" spans="1:10" customFormat="1" ht="12.75" hidden="1">
      <c r="A7768" s="109"/>
      <c r="B7768" s="109"/>
      <c r="C7768" s="109"/>
      <c r="D7768" s="109"/>
      <c r="E7768" s="109"/>
      <c r="F7768" s="109"/>
      <c r="G7768" s="109"/>
      <c r="H7768" s="109"/>
      <c r="I7768" s="109"/>
      <c r="J7768" s="109"/>
    </row>
    <row r="7769" spans="1:10" customFormat="1" ht="12.75" hidden="1">
      <c r="A7769" s="109"/>
      <c r="B7769" s="109"/>
      <c r="C7769" s="109"/>
      <c r="D7769" s="109"/>
      <c r="E7769" s="109"/>
      <c r="F7769" s="109"/>
      <c r="G7769" s="109"/>
      <c r="H7769" s="109"/>
      <c r="I7769" s="109"/>
      <c r="J7769" s="109"/>
    </row>
    <row r="7770" spans="1:10" customFormat="1" ht="12.75" hidden="1">
      <c r="A7770" s="109"/>
      <c r="B7770" s="109"/>
      <c r="C7770" s="109"/>
      <c r="D7770" s="109"/>
      <c r="E7770" s="109"/>
      <c r="F7770" s="109"/>
      <c r="G7770" s="109"/>
      <c r="H7770" s="109"/>
      <c r="I7770" s="109"/>
      <c r="J7770" s="109"/>
    </row>
    <row r="7771" spans="1:10" customFormat="1" ht="12.75" hidden="1">
      <c r="A7771" s="109"/>
      <c r="B7771" s="109"/>
      <c r="C7771" s="109"/>
      <c r="D7771" s="109"/>
      <c r="E7771" s="109"/>
      <c r="F7771" s="109"/>
      <c r="G7771" s="109"/>
      <c r="H7771" s="109"/>
      <c r="I7771" s="109"/>
      <c r="J7771" s="109"/>
    </row>
    <row r="7772" spans="1:10" customFormat="1" ht="12.75" hidden="1">
      <c r="A7772" s="109"/>
      <c r="B7772" s="109"/>
      <c r="C7772" s="109"/>
      <c r="D7772" s="109"/>
      <c r="E7772" s="109"/>
      <c r="F7772" s="109"/>
      <c r="G7772" s="109"/>
      <c r="H7772" s="109"/>
      <c r="I7772" s="109"/>
      <c r="J7772" s="109"/>
    </row>
    <row r="7773" spans="1:10" customFormat="1" ht="12.75" hidden="1">
      <c r="A7773" s="109"/>
      <c r="B7773" s="109"/>
      <c r="C7773" s="109"/>
      <c r="D7773" s="109"/>
      <c r="E7773" s="109"/>
      <c r="F7773" s="109"/>
      <c r="G7773" s="109"/>
      <c r="H7773" s="109"/>
      <c r="I7773" s="109"/>
      <c r="J7773" s="109"/>
    </row>
    <row r="7774" spans="1:10" customFormat="1" ht="12.75" hidden="1">
      <c r="A7774" s="109"/>
      <c r="B7774" s="109"/>
      <c r="C7774" s="109"/>
      <c r="D7774" s="109"/>
      <c r="E7774" s="109"/>
      <c r="F7774" s="109"/>
      <c r="G7774" s="109"/>
      <c r="H7774" s="109"/>
      <c r="I7774" s="109"/>
      <c r="J7774" s="109"/>
    </row>
    <row r="7775" spans="1:10" customFormat="1" ht="12.75" hidden="1">
      <c r="A7775" s="109"/>
      <c r="B7775" s="109"/>
      <c r="C7775" s="109"/>
      <c r="D7775" s="109"/>
      <c r="E7775" s="109"/>
      <c r="F7775" s="109"/>
      <c r="G7775" s="109"/>
      <c r="H7775" s="109"/>
      <c r="I7775" s="109"/>
      <c r="J7775" s="109"/>
    </row>
    <row r="7776" spans="1:10" customFormat="1" ht="12.75" hidden="1">
      <c r="A7776" s="109"/>
      <c r="B7776" s="109"/>
      <c r="C7776" s="109"/>
      <c r="D7776" s="109"/>
      <c r="E7776" s="109"/>
      <c r="F7776" s="109"/>
      <c r="G7776" s="109"/>
      <c r="H7776" s="109"/>
      <c r="I7776" s="109"/>
      <c r="J7776" s="109"/>
    </row>
    <row r="7777" spans="1:10" customFormat="1" ht="12.75" hidden="1">
      <c r="A7777" s="109"/>
      <c r="B7777" s="109"/>
      <c r="C7777" s="109"/>
      <c r="D7777" s="109"/>
      <c r="E7777" s="109"/>
      <c r="F7777" s="109"/>
      <c r="G7777" s="109"/>
      <c r="H7777" s="109"/>
      <c r="I7777" s="109"/>
      <c r="J7777" s="109"/>
    </row>
    <row r="7778" spans="1:10" customFormat="1" ht="12.75" hidden="1">
      <c r="A7778" s="109"/>
      <c r="B7778" s="109"/>
      <c r="C7778" s="109"/>
      <c r="D7778" s="109"/>
      <c r="E7778" s="109"/>
      <c r="F7778" s="109"/>
      <c r="G7778" s="109"/>
      <c r="H7778" s="109"/>
      <c r="I7778" s="109"/>
      <c r="J7778" s="109"/>
    </row>
    <row r="7779" spans="1:10" customFormat="1" ht="12.75" hidden="1">
      <c r="A7779" s="109"/>
      <c r="B7779" s="109"/>
      <c r="C7779" s="109"/>
      <c r="D7779" s="109"/>
      <c r="E7779" s="109"/>
      <c r="F7779" s="109"/>
      <c r="G7779" s="109"/>
      <c r="H7779" s="109"/>
      <c r="I7779" s="109"/>
      <c r="J7779" s="109"/>
    </row>
    <row r="7780" spans="1:10" customFormat="1" ht="12.75" hidden="1">
      <c r="A7780" s="109"/>
      <c r="B7780" s="109"/>
      <c r="C7780" s="109"/>
      <c r="D7780" s="109"/>
      <c r="E7780" s="109"/>
      <c r="F7780" s="109"/>
      <c r="G7780" s="109"/>
      <c r="H7780" s="109"/>
      <c r="I7780" s="109"/>
      <c r="J7780" s="109"/>
    </row>
    <row r="7781" spans="1:10" customFormat="1" ht="12.75" hidden="1">
      <c r="A7781" s="109"/>
      <c r="B7781" s="109"/>
      <c r="C7781" s="109"/>
      <c r="D7781" s="109"/>
      <c r="E7781" s="109"/>
      <c r="F7781" s="109"/>
      <c r="G7781" s="109"/>
      <c r="H7781" s="109"/>
      <c r="I7781" s="109"/>
      <c r="J7781" s="109"/>
    </row>
    <row r="7782" spans="1:10" customFormat="1" ht="12.75" hidden="1">
      <c r="A7782" s="109"/>
      <c r="B7782" s="109"/>
      <c r="C7782" s="109"/>
      <c r="D7782" s="109"/>
      <c r="E7782" s="109"/>
      <c r="F7782" s="109"/>
      <c r="G7782" s="109"/>
      <c r="H7782" s="109"/>
      <c r="I7782" s="109"/>
      <c r="J7782" s="109"/>
    </row>
    <row r="7783" spans="1:10" customFormat="1" ht="12.75" hidden="1">
      <c r="A7783" s="109"/>
      <c r="B7783" s="109"/>
      <c r="C7783" s="109"/>
      <c r="D7783" s="109"/>
      <c r="E7783" s="109"/>
      <c r="F7783" s="109"/>
      <c r="G7783" s="109"/>
      <c r="H7783" s="109"/>
      <c r="I7783" s="109"/>
      <c r="J7783" s="109"/>
    </row>
    <row r="7784" spans="1:10" customFormat="1" ht="12.75" hidden="1">
      <c r="A7784" s="109"/>
      <c r="B7784" s="109"/>
      <c r="C7784" s="109"/>
      <c r="D7784" s="109"/>
      <c r="E7784" s="109"/>
      <c r="F7784" s="109"/>
      <c r="G7784" s="109"/>
      <c r="H7784" s="109"/>
      <c r="I7784" s="109"/>
      <c r="J7784" s="109"/>
    </row>
    <row r="7785" spans="1:10" customFormat="1" ht="12.75" hidden="1">
      <c r="A7785" s="109"/>
      <c r="B7785" s="109"/>
      <c r="C7785" s="109"/>
      <c r="D7785" s="109"/>
      <c r="E7785" s="109"/>
      <c r="F7785" s="109"/>
      <c r="G7785" s="109"/>
      <c r="H7785" s="109"/>
      <c r="I7785" s="109"/>
      <c r="J7785" s="109"/>
    </row>
    <row r="7786" spans="1:10" customFormat="1" ht="12.75" hidden="1">
      <c r="A7786" s="109"/>
      <c r="B7786" s="109"/>
      <c r="C7786" s="109"/>
      <c r="D7786" s="109"/>
      <c r="E7786" s="109"/>
      <c r="F7786" s="109"/>
      <c r="G7786" s="109"/>
      <c r="H7786" s="109"/>
      <c r="I7786" s="109"/>
      <c r="J7786" s="109"/>
    </row>
    <row r="7787" spans="1:10" customFormat="1" ht="12.75" hidden="1">
      <c r="A7787" s="109"/>
      <c r="B7787" s="109"/>
      <c r="C7787" s="109"/>
      <c r="D7787" s="109"/>
      <c r="E7787" s="109"/>
      <c r="F7787" s="109"/>
      <c r="G7787" s="109"/>
      <c r="H7787" s="109"/>
      <c r="I7787" s="109"/>
      <c r="J7787" s="109"/>
    </row>
    <row r="7788" spans="1:10" customFormat="1" ht="12.75" hidden="1">
      <c r="A7788" s="109"/>
      <c r="B7788" s="109"/>
      <c r="C7788" s="109"/>
      <c r="D7788" s="109"/>
      <c r="E7788" s="109"/>
      <c r="F7788" s="109"/>
      <c r="G7788" s="109"/>
      <c r="H7788" s="109"/>
      <c r="I7788" s="109"/>
      <c r="J7788" s="109"/>
    </row>
    <row r="7789" spans="1:10" customFormat="1" ht="12.75" hidden="1">
      <c r="A7789" s="109"/>
      <c r="B7789" s="109"/>
      <c r="C7789" s="109"/>
      <c r="D7789" s="109"/>
      <c r="E7789" s="109"/>
      <c r="F7789" s="109"/>
      <c r="G7789" s="109"/>
      <c r="H7789" s="109"/>
      <c r="I7789" s="109"/>
      <c r="J7789" s="109"/>
    </row>
    <row r="7790" spans="1:10" customFormat="1" ht="12.75" hidden="1">
      <c r="A7790" s="109"/>
      <c r="B7790" s="109"/>
      <c r="C7790" s="109"/>
      <c r="D7790" s="109"/>
      <c r="E7790" s="109"/>
      <c r="F7790" s="109"/>
      <c r="G7790" s="109"/>
      <c r="H7790" s="109"/>
      <c r="I7790" s="109"/>
      <c r="J7790" s="109"/>
    </row>
    <row r="7791" spans="1:10" customFormat="1" ht="12.75" hidden="1">
      <c r="A7791" s="109"/>
      <c r="B7791" s="109"/>
      <c r="C7791" s="109"/>
      <c r="D7791" s="109"/>
      <c r="E7791" s="109"/>
      <c r="F7791" s="109"/>
      <c r="G7791" s="109"/>
      <c r="H7791" s="109"/>
      <c r="I7791" s="109"/>
      <c r="J7791" s="109"/>
    </row>
    <row r="7792" spans="1:10" customFormat="1" ht="12.75" hidden="1">
      <c r="A7792" s="109"/>
      <c r="B7792" s="109"/>
      <c r="C7792" s="109"/>
      <c r="D7792" s="109"/>
      <c r="E7792" s="109"/>
      <c r="F7792" s="109"/>
      <c r="G7792" s="109"/>
      <c r="H7792" s="109"/>
      <c r="I7792" s="109"/>
      <c r="J7792" s="109"/>
    </row>
    <row r="7793" spans="1:10" customFormat="1" ht="12.75" hidden="1">
      <c r="A7793" s="109"/>
      <c r="B7793" s="109"/>
      <c r="C7793" s="109"/>
      <c r="D7793" s="109"/>
      <c r="E7793" s="109"/>
      <c r="F7793" s="109"/>
      <c r="G7793" s="109"/>
      <c r="H7793" s="109"/>
      <c r="I7793" s="109"/>
      <c r="J7793" s="109"/>
    </row>
    <row r="7794" spans="1:10" customFormat="1" ht="12.75" hidden="1">
      <c r="A7794" s="109"/>
      <c r="B7794" s="109"/>
      <c r="C7794" s="109"/>
      <c r="D7794" s="109"/>
      <c r="E7794" s="109"/>
      <c r="F7794" s="109"/>
      <c r="G7794" s="109"/>
      <c r="H7794" s="109"/>
      <c r="I7794" s="109"/>
      <c r="J7794" s="109"/>
    </row>
    <row r="7795" spans="1:10" customFormat="1" ht="12.75" hidden="1">
      <c r="A7795" s="109"/>
      <c r="B7795" s="109"/>
      <c r="C7795" s="109"/>
      <c r="D7795" s="109"/>
      <c r="E7795" s="109"/>
      <c r="F7795" s="109"/>
      <c r="G7795" s="109"/>
      <c r="H7795" s="109"/>
      <c r="I7795" s="109"/>
      <c r="J7795" s="109"/>
    </row>
    <row r="7796" spans="1:10" customFormat="1" ht="12.75" hidden="1">
      <c r="A7796" s="109"/>
      <c r="B7796" s="109"/>
      <c r="C7796" s="109"/>
      <c r="D7796" s="109"/>
      <c r="E7796" s="109"/>
      <c r="F7796" s="109"/>
      <c r="G7796" s="109"/>
      <c r="H7796" s="109"/>
      <c r="I7796" s="109"/>
      <c r="J7796" s="109"/>
    </row>
    <row r="7797" spans="1:10" customFormat="1" ht="12.75" hidden="1">
      <c r="A7797" s="109"/>
      <c r="B7797" s="109"/>
      <c r="C7797" s="109"/>
      <c r="D7797" s="109"/>
      <c r="E7797" s="109"/>
      <c r="F7797" s="109"/>
      <c r="G7797" s="109"/>
      <c r="H7797" s="109"/>
      <c r="I7797" s="109"/>
      <c r="J7797" s="109"/>
    </row>
    <row r="7798" spans="1:10" customFormat="1" ht="12.75" hidden="1">
      <c r="A7798" s="109"/>
      <c r="B7798" s="109"/>
      <c r="C7798" s="109"/>
      <c r="D7798" s="109"/>
      <c r="E7798" s="109"/>
      <c r="F7798" s="109"/>
      <c r="G7798" s="109"/>
      <c r="H7798" s="109"/>
      <c r="I7798" s="109"/>
      <c r="J7798" s="109"/>
    </row>
    <row r="7799" spans="1:10" customFormat="1" ht="12.75" hidden="1">
      <c r="A7799" s="109"/>
      <c r="B7799" s="109"/>
      <c r="C7799" s="109"/>
      <c r="D7799" s="109"/>
      <c r="E7799" s="109"/>
      <c r="F7799" s="109"/>
      <c r="G7799" s="109"/>
      <c r="H7799" s="109"/>
      <c r="I7799" s="109"/>
      <c r="J7799" s="109"/>
    </row>
    <row r="7800" spans="1:10" customFormat="1" ht="12.75" hidden="1">
      <c r="A7800" s="109"/>
      <c r="B7800" s="109"/>
      <c r="C7800" s="109"/>
      <c r="D7800" s="109"/>
      <c r="E7800" s="109"/>
      <c r="F7800" s="109"/>
      <c r="G7800" s="109"/>
      <c r="H7800" s="109"/>
      <c r="I7800" s="109"/>
      <c r="J7800" s="109"/>
    </row>
    <row r="7801" spans="1:10" customFormat="1" ht="12.75" hidden="1">
      <c r="A7801" s="109"/>
      <c r="B7801" s="109"/>
      <c r="C7801" s="109"/>
      <c r="D7801" s="109"/>
      <c r="E7801" s="109"/>
      <c r="F7801" s="109"/>
      <c r="G7801" s="109"/>
      <c r="H7801" s="109"/>
      <c r="I7801" s="109"/>
      <c r="J7801" s="109"/>
    </row>
    <row r="7802" spans="1:10" customFormat="1" ht="12.75" hidden="1">
      <c r="A7802" s="109"/>
      <c r="B7802" s="109"/>
      <c r="C7802" s="109"/>
      <c r="D7802" s="109"/>
      <c r="E7802" s="109"/>
      <c r="F7802" s="109"/>
      <c r="G7802" s="109"/>
      <c r="H7802" s="109"/>
      <c r="I7802" s="109"/>
      <c r="J7802" s="109"/>
    </row>
    <row r="7803" spans="1:10" customFormat="1" ht="12.75" hidden="1">
      <c r="A7803" s="109"/>
      <c r="B7803" s="109"/>
      <c r="C7803" s="109"/>
      <c r="D7803" s="109"/>
      <c r="E7803" s="109"/>
      <c r="F7803" s="109"/>
      <c r="G7803" s="109"/>
      <c r="H7803" s="109"/>
      <c r="I7803" s="109"/>
      <c r="J7803" s="109"/>
    </row>
    <row r="7804" spans="1:10" customFormat="1" ht="12.75" hidden="1">
      <c r="A7804" s="109"/>
      <c r="B7804" s="109"/>
      <c r="C7804" s="109"/>
      <c r="D7804" s="109"/>
      <c r="E7804" s="109"/>
      <c r="F7804" s="109"/>
      <c r="G7804" s="109"/>
      <c r="H7804" s="109"/>
      <c r="I7804" s="109"/>
      <c r="J7804" s="109"/>
    </row>
    <row r="7805" spans="1:10" customFormat="1" ht="12.75" hidden="1">
      <c r="A7805" s="109"/>
      <c r="B7805" s="109"/>
      <c r="C7805" s="109"/>
      <c r="D7805" s="109"/>
      <c r="E7805" s="109"/>
      <c r="F7805" s="109"/>
      <c r="G7805" s="109"/>
      <c r="H7805" s="109"/>
      <c r="I7805" s="109"/>
      <c r="J7805" s="109"/>
    </row>
    <row r="7806" spans="1:10" customFormat="1" ht="12.75" hidden="1">
      <c r="A7806" s="109"/>
      <c r="B7806" s="109"/>
      <c r="C7806" s="109"/>
      <c r="D7806" s="109"/>
      <c r="E7806" s="109"/>
      <c r="F7806" s="109"/>
      <c r="G7806" s="109"/>
      <c r="H7806" s="109"/>
      <c r="I7806" s="109"/>
      <c r="J7806" s="109"/>
    </row>
    <row r="7807" spans="1:10" customFormat="1" ht="12.75" hidden="1">
      <c r="A7807" s="109"/>
      <c r="B7807" s="109"/>
      <c r="C7807" s="109"/>
      <c r="D7807" s="109"/>
      <c r="E7807" s="109"/>
      <c r="F7807" s="109"/>
      <c r="G7807" s="109"/>
      <c r="H7807" s="109"/>
      <c r="I7807" s="109"/>
      <c r="J7807" s="109"/>
    </row>
    <row r="7808" spans="1:10" customFormat="1" ht="12.75" hidden="1">
      <c r="A7808" s="109"/>
      <c r="B7808" s="109"/>
      <c r="C7808" s="109"/>
      <c r="D7808" s="109"/>
      <c r="E7808" s="109"/>
      <c r="F7808" s="109"/>
      <c r="G7808" s="109"/>
      <c r="H7808" s="109"/>
      <c r="I7808" s="109"/>
      <c r="J7808" s="109"/>
    </row>
    <row r="7809" spans="1:10" customFormat="1" ht="12.75" hidden="1">
      <c r="A7809" s="109"/>
      <c r="B7809" s="109"/>
      <c r="C7809" s="109"/>
      <c r="D7809" s="109"/>
      <c r="E7809" s="109"/>
      <c r="F7809" s="109"/>
      <c r="G7809" s="109"/>
      <c r="H7809" s="109"/>
      <c r="I7809" s="109"/>
      <c r="J7809" s="109"/>
    </row>
    <row r="7810" spans="1:10" customFormat="1" ht="12.75" hidden="1">
      <c r="A7810" s="109"/>
      <c r="B7810" s="109"/>
      <c r="C7810" s="109"/>
      <c r="D7810" s="109"/>
      <c r="E7810" s="109"/>
      <c r="F7810" s="109"/>
      <c r="G7810" s="109"/>
      <c r="H7810" s="109"/>
      <c r="I7810" s="109"/>
      <c r="J7810" s="109"/>
    </row>
    <row r="7811" spans="1:10" customFormat="1" ht="12.75" hidden="1">
      <c r="A7811" s="109"/>
      <c r="B7811" s="109"/>
      <c r="C7811" s="109"/>
      <c r="D7811" s="109"/>
      <c r="E7811" s="109"/>
      <c r="F7811" s="109"/>
      <c r="G7811" s="109"/>
      <c r="H7811" s="109"/>
      <c r="I7811" s="109"/>
      <c r="J7811" s="109"/>
    </row>
    <row r="7812" spans="1:10" customFormat="1" ht="12.75" hidden="1">
      <c r="A7812" s="109"/>
      <c r="B7812" s="109"/>
      <c r="C7812" s="109"/>
      <c r="D7812" s="109"/>
      <c r="E7812" s="109"/>
      <c r="F7812" s="109"/>
      <c r="G7812" s="109"/>
      <c r="H7812" s="109"/>
      <c r="I7812" s="109"/>
      <c r="J7812" s="109"/>
    </row>
    <row r="7813" spans="1:10" customFormat="1" ht="12.75" hidden="1">
      <c r="A7813" s="109"/>
      <c r="B7813" s="109"/>
      <c r="C7813" s="109"/>
      <c r="D7813" s="109"/>
      <c r="E7813" s="109"/>
      <c r="F7813" s="109"/>
      <c r="G7813" s="109"/>
      <c r="H7813" s="109"/>
      <c r="I7813" s="109"/>
      <c r="J7813" s="109"/>
    </row>
    <row r="7814" spans="1:10" customFormat="1" ht="12.75" hidden="1">
      <c r="A7814" s="109"/>
      <c r="B7814" s="109"/>
      <c r="C7814" s="109"/>
      <c r="D7814" s="109"/>
      <c r="E7814" s="109"/>
      <c r="F7814" s="109"/>
      <c r="G7814" s="109"/>
      <c r="H7814" s="109"/>
      <c r="I7814" s="109"/>
      <c r="J7814" s="109"/>
    </row>
    <row r="7815" spans="1:10" customFormat="1" ht="12.75" hidden="1">
      <c r="A7815" s="109"/>
      <c r="B7815" s="109"/>
      <c r="C7815" s="109"/>
      <c r="D7815" s="109"/>
      <c r="E7815" s="109"/>
      <c r="F7815" s="109"/>
      <c r="G7815" s="109"/>
      <c r="H7815" s="109"/>
      <c r="I7815" s="109"/>
      <c r="J7815" s="109"/>
    </row>
    <row r="7816" spans="1:10" customFormat="1" ht="12.75" hidden="1">
      <c r="A7816" s="109"/>
      <c r="B7816" s="109"/>
      <c r="C7816" s="109"/>
      <c r="D7816" s="109"/>
      <c r="E7816" s="109"/>
      <c r="F7816" s="109"/>
      <c r="G7816" s="109"/>
      <c r="H7816" s="109"/>
      <c r="I7816" s="109"/>
      <c r="J7816" s="109"/>
    </row>
    <row r="7817" spans="1:10" customFormat="1" ht="12.75" hidden="1">
      <c r="A7817" s="109"/>
      <c r="B7817" s="109"/>
      <c r="C7817" s="109"/>
      <c r="D7817" s="109"/>
      <c r="E7817" s="109"/>
      <c r="F7817" s="109"/>
      <c r="G7817" s="109"/>
      <c r="H7817" s="109"/>
      <c r="I7817" s="109"/>
      <c r="J7817" s="109"/>
    </row>
    <row r="7818" spans="1:10" customFormat="1" ht="12.75" hidden="1">
      <c r="A7818" s="109"/>
      <c r="B7818" s="109"/>
      <c r="C7818" s="109"/>
      <c r="D7818" s="109"/>
      <c r="E7818" s="109"/>
      <c r="F7818" s="109"/>
      <c r="G7818" s="109"/>
      <c r="H7818" s="109"/>
      <c r="I7818" s="109"/>
      <c r="J7818" s="109"/>
    </row>
    <row r="7819" spans="1:10" customFormat="1" ht="12.75" hidden="1">
      <c r="A7819" s="109"/>
      <c r="B7819" s="109"/>
      <c r="C7819" s="109"/>
      <c r="D7819" s="109"/>
      <c r="E7819" s="109"/>
      <c r="F7819" s="109"/>
      <c r="G7819" s="109"/>
      <c r="H7819" s="109"/>
      <c r="I7819" s="109"/>
      <c r="J7819" s="109"/>
    </row>
    <row r="7820" spans="1:10" customFormat="1" ht="12.75" hidden="1">
      <c r="A7820" s="109"/>
      <c r="B7820" s="109"/>
      <c r="C7820" s="109"/>
      <c r="D7820" s="109"/>
      <c r="E7820" s="109"/>
      <c r="F7820" s="109"/>
      <c r="G7820" s="109"/>
      <c r="H7820" s="109"/>
      <c r="I7820" s="109"/>
      <c r="J7820" s="109"/>
    </row>
    <row r="7821" spans="1:10" customFormat="1" ht="12.75" hidden="1">
      <c r="A7821" s="109"/>
      <c r="B7821" s="109"/>
      <c r="C7821" s="109"/>
      <c r="D7821" s="109"/>
      <c r="E7821" s="109"/>
      <c r="F7821" s="109"/>
      <c r="G7821" s="109"/>
      <c r="H7821" s="109"/>
      <c r="I7821" s="109"/>
      <c r="J7821" s="109"/>
    </row>
    <row r="7822" spans="1:10" customFormat="1" ht="12.75" hidden="1">
      <c r="A7822" s="109"/>
      <c r="B7822" s="109"/>
      <c r="C7822" s="109"/>
      <c r="D7822" s="109"/>
      <c r="E7822" s="109"/>
      <c r="F7822" s="109"/>
      <c r="G7822" s="109"/>
      <c r="H7822" s="109"/>
      <c r="I7822" s="109"/>
      <c r="J7822" s="109"/>
    </row>
    <row r="7823" spans="1:10" customFormat="1" ht="12.75" hidden="1">
      <c r="A7823" s="109"/>
      <c r="B7823" s="109"/>
      <c r="C7823" s="109"/>
      <c r="D7823" s="109"/>
      <c r="E7823" s="109"/>
      <c r="F7823" s="109"/>
      <c r="G7823" s="109"/>
      <c r="H7823" s="109"/>
      <c r="I7823" s="109"/>
      <c r="J7823" s="109"/>
    </row>
    <row r="7824" spans="1:10" customFormat="1" ht="12.75" hidden="1">
      <c r="A7824" s="109"/>
      <c r="B7824" s="109"/>
      <c r="C7824" s="109"/>
      <c r="D7824" s="109"/>
      <c r="E7824" s="109"/>
      <c r="F7824" s="109"/>
      <c r="G7824" s="109"/>
      <c r="H7824" s="109"/>
      <c r="I7824" s="109"/>
      <c r="J7824" s="109"/>
    </row>
    <row r="7825" spans="1:10" customFormat="1" ht="12.75" hidden="1">
      <c r="A7825" s="109"/>
      <c r="B7825" s="109"/>
      <c r="C7825" s="109"/>
      <c r="D7825" s="109"/>
      <c r="E7825" s="109"/>
      <c r="F7825" s="109"/>
      <c r="G7825" s="109"/>
      <c r="H7825" s="109"/>
      <c r="I7825" s="109"/>
      <c r="J7825" s="109"/>
    </row>
    <row r="7826" spans="1:10" customFormat="1" ht="12.75" hidden="1">
      <c r="A7826" s="109"/>
      <c r="B7826" s="109"/>
      <c r="C7826" s="109"/>
      <c r="D7826" s="109"/>
      <c r="E7826" s="109"/>
      <c r="F7826" s="109"/>
      <c r="G7826" s="109"/>
      <c r="H7826" s="109"/>
      <c r="I7826" s="109"/>
      <c r="J7826" s="109"/>
    </row>
    <row r="7827" spans="1:10" customFormat="1" ht="12.75" hidden="1">
      <c r="A7827" s="109"/>
      <c r="B7827" s="109"/>
      <c r="C7827" s="109"/>
      <c r="D7827" s="109"/>
      <c r="E7827" s="109"/>
      <c r="F7827" s="109"/>
      <c r="G7827" s="109"/>
      <c r="H7827" s="109"/>
      <c r="I7827" s="109"/>
      <c r="J7827" s="109"/>
    </row>
    <row r="7828" spans="1:10" customFormat="1" ht="12.75" hidden="1">
      <c r="A7828" s="109"/>
      <c r="B7828" s="109"/>
      <c r="C7828" s="109"/>
      <c r="D7828" s="109"/>
      <c r="E7828" s="109"/>
      <c r="F7828" s="109"/>
      <c r="G7828" s="109"/>
      <c r="H7828" s="109"/>
      <c r="I7828" s="109"/>
      <c r="J7828" s="109"/>
    </row>
    <row r="7829" spans="1:10" customFormat="1" ht="12.75" hidden="1">
      <c r="A7829" s="109"/>
      <c r="B7829" s="109"/>
      <c r="C7829" s="109"/>
      <c r="D7829" s="109"/>
      <c r="E7829" s="109"/>
      <c r="F7829" s="109"/>
      <c r="G7829" s="109"/>
      <c r="H7829" s="109"/>
      <c r="I7829" s="109"/>
      <c r="J7829" s="109"/>
    </row>
    <row r="7830" spans="1:10" customFormat="1" ht="12.75" hidden="1">
      <c r="A7830" s="109"/>
      <c r="B7830" s="109"/>
      <c r="C7830" s="109"/>
      <c r="D7830" s="109"/>
      <c r="E7830" s="109"/>
      <c r="F7830" s="109"/>
      <c r="G7830" s="109"/>
      <c r="H7830" s="109"/>
      <c r="I7830" s="109"/>
      <c r="J7830" s="109"/>
    </row>
    <row r="7831" spans="1:10" customFormat="1" ht="12.75" hidden="1">
      <c r="A7831" s="109"/>
      <c r="B7831" s="109"/>
      <c r="C7831" s="109"/>
      <c r="D7831" s="109"/>
      <c r="E7831" s="109"/>
      <c r="F7831" s="109"/>
      <c r="G7831" s="109"/>
      <c r="H7831" s="109"/>
      <c r="I7831" s="109"/>
      <c r="J7831" s="109"/>
    </row>
    <row r="7832" spans="1:10" customFormat="1" ht="12.75" hidden="1">
      <c r="A7832" s="109"/>
      <c r="B7832" s="109"/>
      <c r="C7832" s="109"/>
      <c r="D7832" s="109"/>
      <c r="E7832" s="109"/>
      <c r="F7832" s="109"/>
      <c r="G7832" s="109"/>
      <c r="H7832" s="109"/>
      <c r="I7832" s="109"/>
      <c r="J7832" s="109"/>
    </row>
    <row r="7833" spans="1:10" customFormat="1" ht="12.75" hidden="1">
      <c r="A7833" s="109"/>
      <c r="B7833" s="109"/>
      <c r="C7833" s="109"/>
      <c r="D7833" s="109"/>
      <c r="E7833" s="109"/>
      <c r="F7833" s="109"/>
      <c r="G7833" s="109"/>
      <c r="H7833" s="109"/>
      <c r="I7833" s="109"/>
      <c r="J7833" s="109"/>
    </row>
    <row r="7834" spans="1:10" customFormat="1" ht="12.75" hidden="1">
      <c r="A7834" s="109"/>
      <c r="B7834" s="109"/>
      <c r="C7834" s="109"/>
      <c r="D7834" s="109"/>
      <c r="E7834" s="109"/>
      <c r="F7834" s="109"/>
      <c r="G7834" s="109"/>
      <c r="H7834" s="109"/>
      <c r="I7834" s="109"/>
      <c r="J7834" s="109"/>
    </row>
    <row r="7835" spans="1:10" customFormat="1" ht="12.75" hidden="1">
      <c r="A7835" s="109"/>
      <c r="B7835" s="109"/>
      <c r="C7835" s="109"/>
      <c r="D7835" s="109"/>
      <c r="E7835" s="109"/>
      <c r="F7835" s="109"/>
      <c r="G7835" s="109"/>
      <c r="H7835" s="109"/>
      <c r="I7835" s="109"/>
      <c r="J7835" s="109"/>
    </row>
    <row r="7836" spans="1:10" customFormat="1" ht="12.75" hidden="1">
      <c r="A7836" s="109"/>
      <c r="B7836" s="109"/>
      <c r="C7836" s="109"/>
      <c r="D7836" s="109"/>
      <c r="E7836" s="109"/>
      <c r="F7836" s="109"/>
      <c r="G7836" s="109"/>
      <c r="H7836" s="109"/>
      <c r="I7836" s="109"/>
      <c r="J7836" s="109"/>
    </row>
    <row r="7837" spans="1:10" customFormat="1" ht="12.75" hidden="1">
      <c r="A7837" s="109"/>
      <c r="B7837" s="109"/>
      <c r="C7837" s="109"/>
      <c r="D7837" s="109"/>
      <c r="E7837" s="109"/>
      <c r="F7837" s="109"/>
      <c r="G7837" s="109"/>
      <c r="H7837" s="109"/>
      <c r="I7837" s="109"/>
      <c r="J7837" s="109"/>
    </row>
    <row r="7838" spans="1:10" customFormat="1" ht="12.75" hidden="1">
      <c r="A7838" s="109"/>
      <c r="B7838" s="109"/>
      <c r="C7838" s="109"/>
      <c r="D7838" s="109"/>
      <c r="E7838" s="109"/>
      <c r="F7838" s="109"/>
      <c r="G7838" s="109"/>
      <c r="H7838" s="109"/>
      <c r="I7838" s="109"/>
      <c r="J7838" s="109"/>
    </row>
    <row r="7839" spans="1:10" customFormat="1" ht="12.75" hidden="1">
      <c r="A7839" s="109"/>
      <c r="B7839" s="109"/>
      <c r="C7839" s="109"/>
      <c r="D7839" s="109"/>
      <c r="E7839" s="109"/>
      <c r="F7839" s="109"/>
      <c r="G7839" s="109"/>
      <c r="H7839" s="109"/>
      <c r="I7839" s="109"/>
      <c r="J7839" s="109"/>
    </row>
    <row r="7840" spans="1:10" customFormat="1" ht="12.75" hidden="1">
      <c r="A7840" s="109"/>
      <c r="B7840" s="109"/>
      <c r="C7840" s="109"/>
      <c r="D7840" s="109"/>
      <c r="E7840" s="109"/>
      <c r="F7840" s="109"/>
      <c r="G7840" s="109"/>
      <c r="H7840" s="109"/>
      <c r="I7840" s="109"/>
      <c r="J7840" s="109"/>
    </row>
    <row r="7841" spans="1:10" customFormat="1" ht="12.75" hidden="1">
      <c r="A7841" s="109"/>
      <c r="B7841" s="109"/>
      <c r="C7841" s="109"/>
      <c r="D7841" s="109"/>
      <c r="E7841" s="109"/>
      <c r="F7841" s="109"/>
      <c r="G7841" s="109"/>
      <c r="H7841" s="109"/>
      <c r="I7841" s="109"/>
      <c r="J7841" s="109"/>
    </row>
    <row r="7842" spans="1:10" customFormat="1" ht="12.75" hidden="1">
      <c r="A7842" s="109"/>
      <c r="B7842" s="109"/>
      <c r="C7842" s="109"/>
      <c r="D7842" s="109"/>
      <c r="E7842" s="109"/>
      <c r="F7842" s="109"/>
      <c r="G7842" s="109"/>
      <c r="H7842" s="109"/>
      <c r="I7842" s="109"/>
      <c r="J7842" s="109"/>
    </row>
    <row r="7843" spans="1:10" customFormat="1" ht="12.75" hidden="1">
      <c r="A7843" s="109"/>
      <c r="B7843" s="109"/>
      <c r="C7843" s="109"/>
      <c r="D7843" s="109"/>
      <c r="E7843" s="109"/>
      <c r="F7843" s="109"/>
      <c r="G7843" s="109"/>
      <c r="H7843" s="109"/>
      <c r="I7843" s="109"/>
      <c r="J7843" s="109"/>
    </row>
    <row r="7844" spans="1:10" customFormat="1" ht="12.75" hidden="1">
      <c r="A7844" s="109"/>
      <c r="B7844" s="109"/>
      <c r="C7844" s="109"/>
      <c r="D7844" s="109"/>
      <c r="E7844" s="109"/>
      <c r="F7844" s="109"/>
      <c r="G7844" s="109"/>
      <c r="H7844" s="109"/>
      <c r="I7844" s="109"/>
      <c r="J7844" s="109"/>
    </row>
    <row r="7845" spans="1:10" customFormat="1" ht="12.75" hidden="1">
      <c r="A7845" s="109"/>
      <c r="B7845" s="109"/>
      <c r="C7845" s="109"/>
      <c r="D7845" s="109"/>
      <c r="E7845" s="109"/>
      <c r="F7845" s="109"/>
      <c r="G7845" s="109"/>
      <c r="H7845" s="109"/>
      <c r="I7845" s="109"/>
      <c r="J7845" s="109"/>
    </row>
    <row r="7846" spans="1:10" customFormat="1" ht="12.75" hidden="1">
      <c r="A7846" s="109"/>
      <c r="B7846" s="109"/>
      <c r="C7846" s="109"/>
      <c r="D7846" s="109"/>
      <c r="E7846" s="109"/>
      <c r="F7846" s="109"/>
      <c r="G7846" s="109"/>
      <c r="H7846" s="109"/>
      <c r="I7846" s="109"/>
      <c r="J7846" s="109"/>
    </row>
    <row r="7847" spans="1:10" customFormat="1" ht="12.75" hidden="1">
      <c r="A7847" s="109"/>
      <c r="B7847" s="109"/>
      <c r="C7847" s="109"/>
      <c r="D7847" s="109"/>
      <c r="E7847" s="109"/>
      <c r="F7847" s="109"/>
      <c r="G7847" s="109"/>
      <c r="H7847" s="109"/>
      <c r="I7847" s="109"/>
      <c r="J7847" s="109"/>
    </row>
    <row r="7848" spans="1:10" customFormat="1" ht="12.75" hidden="1">
      <c r="A7848" s="109"/>
      <c r="B7848" s="109"/>
      <c r="C7848" s="109"/>
      <c r="D7848" s="109"/>
      <c r="E7848" s="109"/>
      <c r="F7848" s="109"/>
      <c r="G7848" s="109"/>
      <c r="H7848" s="109"/>
      <c r="I7848" s="109"/>
      <c r="J7848" s="109"/>
    </row>
    <row r="7849" spans="1:10" customFormat="1" ht="12.75" hidden="1">
      <c r="A7849" s="109"/>
      <c r="B7849" s="109"/>
      <c r="C7849" s="109"/>
      <c r="D7849" s="109"/>
      <c r="E7849" s="109"/>
      <c r="F7849" s="109"/>
      <c r="G7849" s="109"/>
      <c r="H7849" s="109"/>
      <c r="I7849" s="109"/>
      <c r="J7849" s="109"/>
    </row>
    <row r="7850" spans="1:10" customFormat="1" ht="12.75" hidden="1">
      <c r="A7850" s="109"/>
      <c r="B7850" s="109"/>
      <c r="C7850" s="109"/>
      <c r="D7850" s="109"/>
      <c r="E7850" s="109"/>
      <c r="F7850" s="109"/>
      <c r="G7850" s="109"/>
      <c r="H7850" s="109"/>
      <c r="I7850" s="109"/>
      <c r="J7850" s="109"/>
    </row>
    <row r="7851" spans="1:10" customFormat="1" ht="12.75" hidden="1">
      <c r="A7851" s="109"/>
      <c r="B7851" s="109"/>
      <c r="C7851" s="109"/>
      <c r="D7851" s="109"/>
      <c r="E7851" s="109"/>
      <c r="F7851" s="109"/>
      <c r="G7851" s="109"/>
      <c r="H7851" s="109"/>
      <c r="I7851" s="109"/>
      <c r="J7851" s="109"/>
    </row>
    <row r="7852" spans="1:10" customFormat="1" ht="12.75" hidden="1">
      <c r="A7852" s="109"/>
      <c r="B7852" s="109"/>
      <c r="C7852" s="109"/>
      <c r="D7852" s="109"/>
      <c r="E7852" s="109"/>
      <c r="F7852" s="109"/>
      <c r="G7852" s="109"/>
      <c r="H7852" s="109"/>
      <c r="I7852" s="109"/>
      <c r="J7852" s="109"/>
    </row>
    <row r="7853" spans="1:10" customFormat="1" ht="12.75" hidden="1">
      <c r="A7853" s="109"/>
      <c r="B7853" s="109"/>
      <c r="C7853" s="109"/>
      <c r="D7853" s="109"/>
      <c r="E7853" s="109"/>
      <c r="F7853" s="109"/>
      <c r="G7853" s="109"/>
      <c r="H7853" s="109"/>
      <c r="I7853" s="109"/>
      <c r="J7853" s="109"/>
    </row>
    <row r="7854" spans="1:10" customFormat="1" ht="12.75" hidden="1">
      <c r="A7854" s="109"/>
      <c r="B7854" s="109"/>
      <c r="C7854" s="109"/>
      <c r="D7854" s="109"/>
      <c r="E7854" s="109"/>
      <c r="F7854" s="109"/>
      <c r="G7854" s="109"/>
      <c r="H7854" s="109"/>
      <c r="I7854" s="109"/>
      <c r="J7854" s="109"/>
    </row>
    <row r="7855" spans="1:10" customFormat="1" ht="12.75" hidden="1">
      <c r="A7855" s="109"/>
      <c r="B7855" s="109"/>
      <c r="C7855" s="109"/>
      <c r="D7855" s="109"/>
      <c r="E7855" s="109"/>
      <c r="F7855" s="109"/>
      <c r="G7855" s="109"/>
      <c r="H7855" s="109"/>
      <c r="I7855" s="109"/>
      <c r="J7855" s="109"/>
    </row>
    <row r="7856" spans="1:10" customFormat="1" ht="12.75" hidden="1">
      <c r="A7856" s="109"/>
      <c r="B7856" s="109"/>
      <c r="C7856" s="109"/>
      <c r="D7856" s="109"/>
      <c r="E7856" s="109"/>
      <c r="F7856" s="109"/>
      <c r="G7856" s="109"/>
      <c r="H7856" s="109"/>
      <c r="I7856" s="109"/>
      <c r="J7856" s="109"/>
    </row>
    <row r="7857" spans="1:10" customFormat="1" ht="12.75" hidden="1">
      <c r="A7857" s="109"/>
      <c r="B7857" s="109"/>
      <c r="C7857" s="109"/>
      <c r="D7857" s="109"/>
      <c r="E7857" s="109"/>
      <c r="F7857" s="109"/>
      <c r="G7857" s="109"/>
      <c r="H7857" s="109"/>
      <c r="I7857" s="109"/>
      <c r="J7857" s="109"/>
    </row>
    <row r="7858" spans="1:10" customFormat="1" ht="12.75" hidden="1">
      <c r="A7858" s="109"/>
      <c r="B7858" s="109"/>
      <c r="C7858" s="109"/>
      <c r="D7858" s="109"/>
      <c r="E7858" s="109"/>
      <c r="F7858" s="109"/>
      <c r="G7858" s="109"/>
      <c r="H7858" s="109"/>
      <c r="I7858" s="109"/>
      <c r="J7858" s="109"/>
    </row>
    <row r="7859" spans="1:10" customFormat="1" ht="12.75" hidden="1">
      <c r="A7859" s="109"/>
      <c r="B7859" s="109"/>
      <c r="C7859" s="109"/>
      <c r="D7859" s="109"/>
      <c r="E7859" s="109"/>
      <c r="F7859" s="109"/>
      <c r="G7859" s="109"/>
      <c r="H7859" s="109"/>
      <c r="I7859" s="109"/>
      <c r="J7859" s="109"/>
    </row>
    <row r="7860" spans="1:10" customFormat="1" ht="12.75" hidden="1">
      <c r="A7860" s="109"/>
      <c r="B7860" s="109"/>
      <c r="C7860" s="109"/>
      <c r="D7860" s="109"/>
      <c r="E7860" s="109"/>
      <c r="F7860" s="109"/>
      <c r="G7860" s="109"/>
      <c r="H7860" s="109"/>
      <c r="I7860" s="109"/>
      <c r="J7860" s="109"/>
    </row>
    <row r="7861" spans="1:10" customFormat="1" ht="12.75" hidden="1">
      <c r="A7861" s="109"/>
      <c r="B7861" s="109"/>
      <c r="C7861" s="109"/>
      <c r="D7861" s="109"/>
      <c r="E7861" s="109"/>
      <c r="F7861" s="109"/>
      <c r="G7861" s="109"/>
      <c r="H7861" s="109"/>
      <c r="I7861" s="109"/>
      <c r="J7861" s="109"/>
    </row>
    <row r="7862" spans="1:10" customFormat="1" ht="12.75" hidden="1">
      <c r="A7862" s="109"/>
      <c r="B7862" s="109"/>
      <c r="C7862" s="109"/>
      <c r="D7862" s="109"/>
      <c r="E7862" s="109"/>
      <c r="F7862" s="109"/>
      <c r="G7862" s="109"/>
      <c r="H7862" s="109"/>
      <c r="I7862" s="109"/>
      <c r="J7862" s="109"/>
    </row>
    <row r="7863" spans="1:10" customFormat="1" ht="12.75" hidden="1">
      <c r="A7863" s="109"/>
      <c r="B7863" s="109"/>
      <c r="C7863" s="109"/>
      <c r="D7863" s="109"/>
      <c r="E7863" s="109"/>
      <c r="F7863" s="109"/>
      <c r="G7863" s="109"/>
      <c r="H7863" s="109"/>
      <c r="I7863" s="109"/>
      <c r="J7863" s="109"/>
    </row>
    <row r="7864" spans="1:10" customFormat="1" ht="12.75" hidden="1">
      <c r="A7864" s="109"/>
      <c r="B7864" s="109"/>
      <c r="C7864" s="109"/>
      <c r="D7864" s="109"/>
      <c r="E7864" s="109"/>
      <c r="F7864" s="109"/>
      <c r="G7864" s="109"/>
      <c r="H7864" s="109"/>
      <c r="I7864" s="109"/>
      <c r="J7864" s="109"/>
    </row>
    <row r="7865" spans="1:10" customFormat="1" ht="12.75" hidden="1">
      <c r="A7865" s="109"/>
      <c r="B7865" s="109"/>
      <c r="C7865" s="109"/>
      <c r="D7865" s="109"/>
      <c r="E7865" s="109"/>
      <c r="F7865" s="109"/>
      <c r="G7865" s="109"/>
      <c r="H7865" s="109"/>
      <c r="I7865" s="109"/>
      <c r="J7865" s="109"/>
    </row>
    <row r="7866" spans="1:10" customFormat="1" ht="12.75" hidden="1">
      <c r="A7866" s="109"/>
      <c r="B7866" s="109"/>
      <c r="C7866" s="109"/>
      <c r="D7866" s="109"/>
      <c r="E7866" s="109"/>
      <c r="F7866" s="109"/>
      <c r="G7866" s="109"/>
      <c r="H7866" s="109"/>
      <c r="I7866" s="109"/>
      <c r="J7866" s="109"/>
    </row>
    <row r="7867" spans="1:10" customFormat="1" ht="12.75" hidden="1">
      <c r="A7867" s="109"/>
      <c r="B7867" s="109"/>
      <c r="C7867" s="109"/>
      <c r="D7867" s="109"/>
      <c r="E7867" s="109"/>
      <c r="F7867" s="109"/>
      <c r="G7867" s="109"/>
      <c r="H7867" s="109"/>
      <c r="I7867" s="109"/>
      <c r="J7867" s="109"/>
    </row>
    <row r="7868" spans="1:10" customFormat="1" ht="12.75" hidden="1">
      <c r="A7868" s="109"/>
      <c r="B7868" s="109"/>
      <c r="C7868" s="109"/>
      <c r="D7868" s="109"/>
      <c r="E7868" s="109"/>
      <c r="F7868" s="109"/>
      <c r="G7868" s="109"/>
      <c r="H7868" s="109"/>
      <c r="I7868" s="109"/>
      <c r="J7868" s="109"/>
    </row>
    <row r="7869" spans="1:10" customFormat="1" ht="12.75" hidden="1">
      <c r="A7869" s="109"/>
      <c r="B7869" s="109"/>
      <c r="C7869" s="109"/>
      <c r="D7869" s="109"/>
      <c r="E7869" s="109"/>
      <c r="F7869" s="109"/>
      <c r="G7869" s="109"/>
      <c r="H7869" s="109"/>
      <c r="I7869" s="109"/>
      <c r="J7869" s="109"/>
    </row>
    <row r="7870" spans="1:10" customFormat="1" ht="12.75" hidden="1">
      <c r="A7870" s="109"/>
      <c r="B7870" s="109"/>
      <c r="C7870" s="109"/>
      <c r="D7870" s="109"/>
      <c r="E7870" s="109"/>
      <c r="F7870" s="109"/>
      <c r="G7870" s="109"/>
      <c r="H7870" s="109"/>
      <c r="I7870" s="109"/>
      <c r="J7870" s="109"/>
    </row>
    <row r="7871" spans="1:10" customFormat="1" ht="12.75" hidden="1">
      <c r="A7871" s="109"/>
      <c r="B7871" s="109"/>
      <c r="C7871" s="109"/>
      <c r="D7871" s="109"/>
      <c r="E7871" s="109"/>
      <c r="F7871" s="109"/>
      <c r="G7871" s="109"/>
      <c r="H7871" s="109"/>
      <c r="I7871" s="109"/>
      <c r="J7871" s="109"/>
    </row>
    <row r="7872" spans="1:10" customFormat="1" ht="12.75" hidden="1">
      <c r="A7872" s="109"/>
      <c r="B7872" s="109"/>
      <c r="C7872" s="109"/>
      <c r="D7872" s="109"/>
      <c r="E7872" s="109"/>
      <c r="F7872" s="109"/>
      <c r="G7872" s="109"/>
      <c r="H7872" s="109"/>
      <c r="I7872" s="109"/>
      <c r="J7872" s="109"/>
    </row>
    <row r="7873" spans="1:10" customFormat="1" ht="12.75" hidden="1">
      <c r="A7873" s="109"/>
      <c r="B7873" s="109"/>
      <c r="C7873" s="109"/>
      <c r="D7873" s="109"/>
      <c r="E7873" s="109"/>
      <c r="F7873" s="109"/>
      <c r="G7873" s="109"/>
      <c r="H7873" s="109"/>
      <c r="I7873" s="109"/>
      <c r="J7873" s="109"/>
    </row>
    <row r="7874" spans="1:10" customFormat="1" ht="12.75" hidden="1">
      <c r="A7874" s="109"/>
      <c r="B7874" s="109"/>
      <c r="C7874" s="109"/>
      <c r="D7874" s="109"/>
      <c r="E7874" s="109"/>
      <c r="F7874" s="109"/>
      <c r="G7874" s="109"/>
      <c r="H7874" s="109"/>
      <c r="I7874" s="109"/>
      <c r="J7874" s="109"/>
    </row>
    <row r="7875" spans="1:10" customFormat="1" ht="12.75" hidden="1">
      <c r="A7875" s="109"/>
      <c r="B7875" s="109"/>
      <c r="C7875" s="109"/>
      <c r="D7875" s="109"/>
      <c r="E7875" s="109"/>
      <c r="F7875" s="109"/>
      <c r="G7875" s="109"/>
      <c r="H7875" s="109"/>
      <c r="I7875" s="109"/>
      <c r="J7875" s="109"/>
    </row>
    <row r="7876" spans="1:10" customFormat="1" ht="12.75" hidden="1">
      <c r="A7876" s="109"/>
      <c r="B7876" s="109"/>
      <c r="C7876" s="109"/>
      <c r="D7876" s="109"/>
      <c r="E7876" s="109"/>
      <c r="F7876" s="109"/>
      <c r="G7876" s="109"/>
      <c r="H7876" s="109"/>
      <c r="I7876" s="109"/>
      <c r="J7876" s="109"/>
    </row>
    <row r="7877" spans="1:10" customFormat="1" ht="12.75" hidden="1">
      <c r="A7877" s="109"/>
      <c r="B7877" s="109"/>
      <c r="C7877" s="109"/>
      <c r="D7877" s="109"/>
      <c r="E7877" s="109"/>
      <c r="F7877" s="109"/>
      <c r="G7877" s="109"/>
      <c r="H7877" s="109"/>
      <c r="I7877" s="109"/>
      <c r="J7877" s="109"/>
    </row>
    <row r="7878" spans="1:10" customFormat="1" ht="12.75" hidden="1">
      <c r="A7878" s="109"/>
      <c r="B7878" s="109"/>
      <c r="C7878" s="109"/>
      <c r="D7878" s="109"/>
      <c r="E7878" s="109"/>
      <c r="F7878" s="109"/>
      <c r="G7878" s="109"/>
      <c r="H7878" s="109"/>
      <c r="I7878" s="109"/>
      <c r="J7878" s="109"/>
    </row>
    <row r="7879" spans="1:10" customFormat="1" ht="12.75" hidden="1">
      <c r="A7879" s="109"/>
      <c r="B7879" s="109"/>
      <c r="C7879" s="109"/>
      <c r="D7879" s="109"/>
      <c r="E7879" s="109"/>
      <c r="F7879" s="109"/>
      <c r="G7879" s="109"/>
      <c r="H7879" s="109"/>
      <c r="I7879" s="109"/>
      <c r="J7879" s="109"/>
    </row>
    <row r="7880" spans="1:10" customFormat="1" ht="12.75" hidden="1">
      <c r="A7880" s="109"/>
      <c r="B7880" s="109"/>
      <c r="C7880" s="109"/>
      <c r="D7880" s="109"/>
      <c r="E7880" s="109"/>
      <c r="F7880" s="109"/>
      <c r="G7880" s="109"/>
      <c r="H7880" s="109"/>
      <c r="I7880" s="109"/>
      <c r="J7880" s="109"/>
    </row>
    <row r="7881" spans="1:10" customFormat="1" ht="12.75" hidden="1">
      <c r="A7881" s="109"/>
      <c r="B7881" s="109"/>
      <c r="C7881" s="109"/>
      <c r="D7881" s="109"/>
      <c r="E7881" s="109"/>
      <c r="F7881" s="109"/>
      <c r="G7881" s="109"/>
      <c r="H7881" s="109"/>
      <c r="I7881" s="109"/>
      <c r="J7881" s="109"/>
    </row>
    <row r="7882" spans="1:10" customFormat="1" ht="12.75" hidden="1">
      <c r="A7882" s="109"/>
      <c r="B7882" s="109"/>
      <c r="C7882" s="109"/>
      <c r="D7882" s="109"/>
      <c r="E7882" s="109"/>
      <c r="F7882" s="109"/>
      <c r="G7882" s="109"/>
      <c r="H7882" s="109"/>
      <c r="I7882" s="109"/>
      <c r="J7882" s="109"/>
    </row>
    <row r="7883" spans="1:10" customFormat="1" ht="12.75" hidden="1">
      <c r="A7883" s="109"/>
      <c r="B7883" s="109"/>
      <c r="C7883" s="109"/>
      <c r="D7883" s="109"/>
      <c r="E7883" s="109"/>
      <c r="F7883" s="109"/>
      <c r="G7883" s="109"/>
      <c r="H7883" s="109"/>
      <c r="I7883" s="109"/>
      <c r="J7883" s="109"/>
    </row>
    <row r="7884" spans="1:10" customFormat="1" ht="12.75" hidden="1">
      <c r="A7884" s="109"/>
      <c r="B7884" s="109"/>
      <c r="C7884" s="109"/>
      <c r="D7884" s="109"/>
      <c r="E7884" s="109"/>
      <c r="F7884" s="109"/>
      <c r="G7884" s="109"/>
      <c r="H7884" s="109"/>
      <c r="I7884" s="109"/>
      <c r="J7884" s="109"/>
    </row>
    <row r="7885" spans="1:10" customFormat="1" ht="12.75" hidden="1">
      <c r="A7885" s="109"/>
      <c r="B7885" s="109"/>
      <c r="C7885" s="109"/>
      <c r="D7885" s="109"/>
      <c r="E7885" s="109"/>
      <c r="F7885" s="109"/>
      <c r="G7885" s="109"/>
      <c r="H7885" s="109"/>
      <c r="I7885" s="109"/>
      <c r="J7885" s="109"/>
    </row>
    <row r="7886" spans="1:10" customFormat="1" ht="12.75" hidden="1">
      <c r="A7886" s="109"/>
      <c r="B7886" s="109"/>
      <c r="C7886" s="109"/>
      <c r="D7886" s="109"/>
      <c r="E7886" s="109"/>
      <c r="F7886" s="109"/>
      <c r="G7886" s="109"/>
      <c r="H7886" s="109"/>
      <c r="I7886" s="109"/>
      <c r="J7886" s="109"/>
    </row>
    <row r="7887" spans="1:10" customFormat="1" ht="12.75" hidden="1">
      <c r="A7887" s="109"/>
      <c r="B7887" s="109"/>
      <c r="C7887" s="109"/>
      <c r="D7887" s="109"/>
      <c r="E7887" s="109"/>
      <c r="F7887" s="109"/>
      <c r="G7887" s="109"/>
      <c r="H7887" s="109"/>
      <c r="I7887" s="109"/>
      <c r="J7887" s="109"/>
    </row>
    <row r="7888" spans="1:10" customFormat="1" ht="12.75" hidden="1">
      <c r="A7888" s="109"/>
      <c r="B7888" s="109"/>
      <c r="C7888" s="109"/>
      <c r="D7888" s="109"/>
      <c r="E7888" s="109"/>
      <c r="F7888" s="109"/>
      <c r="G7888" s="109"/>
      <c r="H7888" s="109"/>
      <c r="I7888" s="109"/>
      <c r="J7888" s="109"/>
    </row>
    <row r="7889" spans="1:10" customFormat="1" ht="12.75" hidden="1">
      <c r="A7889" s="109"/>
      <c r="B7889" s="109"/>
      <c r="C7889" s="109"/>
      <c r="D7889" s="109"/>
      <c r="E7889" s="109"/>
      <c r="F7889" s="109"/>
      <c r="G7889" s="109"/>
      <c r="H7889" s="109"/>
      <c r="I7889" s="109"/>
      <c r="J7889" s="109"/>
    </row>
    <row r="7890" spans="1:10" customFormat="1" ht="12.75" hidden="1">
      <c r="A7890" s="109"/>
      <c r="B7890" s="109"/>
      <c r="C7890" s="109"/>
      <c r="D7890" s="109"/>
      <c r="E7890" s="109"/>
      <c r="F7890" s="109"/>
      <c r="G7890" s="109"/>
      <c r="H7890" s="109"/>
      <c r="I7890" s="109"/>
      <c r="J7890" s="109"/>
    </row>
    <row r="7891" spans="1:10" customFormat="1" ht="12.75" hidden="1">
      <c r="A7891" s="109"/>
      <c r="B7891" s="109"/>
      <c r="C7891" s="109"/>
      <c r="D7891" s="109"/>
      <c r="E7891" s="109"/>
      <c r="F7891" s="109"/>
      <c r="G7891" s="109"/>
      <c r="H7891" s="109"/>
      <c r="I7891" s="109"/>
      <c r="J7891" s="109"/>
    </row>
    <row r="7892" spans="1:10" customFormat="1" ht="12.75" hidden="1">
      <c r="A7892" s="109"/>
      <c r="B7892" s="109"/>
      <c r="C7892" s="109"/>
      <c r="D7892" s="109"/>
      <c r="E7892" s="109"/>
      <c r="F7892" s="109"/>
      <c r="G7892" s="109"/>
      <c r="H7892" s="109"/>
      <c r="I7892" s="109"/>
      <c r="J7892" s="109"/>
    </row>
    <row r="7893" spans="1:10" customFormat="1" ht="12.75" hidden="1">
      <c r="A7893" s="109"/>
      <c r="B7893" s="109"/>
      <c r="C7893" s="109"/>
      <c r="D7893" s="109"/>
      <c r="E7893" s="109"/>
      <c r="F7893" s="109"/>
      <c r="G7893" s="109"/>
      <c r="H7893" s="109"/>
      <c r="I7893" s="109"/>
      <c r="J7893" s="109"/>
    </row>
    <row r="7894" spans="1:10" customFormat="1" ht="12.75" hidden="1">
      <c r="A7894" s="109"/>
      <c r="B7894" s="109"/>
      <c r="C7894" s="109"/>
      <c r="D7894" s="109"/>
      <c r="E7894" s="109"/>
      <c r="F7894" s="109"/>
      <c r="G7894" s="109"/>
      <c r="H7894" s="109"/>
      <c r="I7894" s="109"/>
      <c r="J7894" s="109"/>
    </row>
    <row r="7895" spans="1:10" customFormat="1" ht="12.75" hidden="1">
      <c r="A7895" s="109"/>
      <c r="B7895" s="109"/>
      <c r="C7895" s="109"/>
      <c r="D7895" s="109"/>
      <c r="E7895" s="109"/>
      <c r="F7895" s="109"/>
      <c r="G7895" s="109"/>
      <c r="H7895" s="109"/>
      <c r="I7895" s="109"/>
      <c r="J7895" s="109"/>
    </row>
    <row r="7896" spans="1:10" customFormat="1" ht="12.75" hidden="1">
      <c r="A7896" s="109"/>
      <c r="B7896" s="109"/>
      <c r="C7896" s="109"/>
      <c r="D7896" s="109"/>
      <c r="E7896" s="109"/>
      <c r="F7896" s="109"/>
      <c r="G7896" s="109"/>
      <c r="H7896" s="109"/>
      <c r="I7896" s="109"/>
      <c r="J7896" s="109"/>
    </row>
    <row r="7897" spans="1:10" customFormat="1" ht="12.75" hidden="1">
      <c r="A7897" s="109"/>
      <c r="B7897" s="109"/>
      <c r="C7897" s="109"/>
      <c r="D7897" s="109"/>
      <c r="E7897" s="109"/>
      <c r="F7897" s="109"/>
      <c r="G7897" s="109"/>
      <c r="H7897" s="109"/>
      <c r="I7897" s="109"/>
      <c r="J7897" s="109"/>
    </row>
    <row r="7898" spans="1:10" customFormat="1" ht="12.75" hidden="1">
      <c r="A7898" s="109"/>
      <c r="B7898" s="109"/>
      <c r="C7898" s="109"/>
      <c r="D7898" s="109"/>
      <c r="E7898" s="109"/>
      <c r="F7898" s="109"/>
      <c r="G7898" s="109"/>
      <c r="H7898" s="109"/>
      <c r="I7898" s="109"/>
      <c r="J7898" s="109"/>
    </row>
    <row r="7899" spans="1:10" customFormat="1" ht="12.75" hidden="1">
      <c r="A7899" s="109"/>
      <c r="B7899" s="109"/>
      <c r="C7899" s="109"/>
      <c r="D7899" s="109"/>
      <c r="E7899" s="109"/>
      <c r="F7899" s="109"/>
      <c r="G7899" s="109"/>
      <c r="H7899" s="109"/>
      <c r="I7899" s="109"/>
      <c r="J7899" s="109"/>
    </row>
    <row r="7900" spans="1:10" customFormat="1" ht="12.75" hidden="1">
      <c r="A7900" s="109"/>
      <c r="B7900" s="109"/>
      <c r="C7900" s="109"/>
      <c r="D7900" s="109"/>
      <c r="E7900" s="109"/>
      <c r="F7900" s="109"/>
      <c r="G7900" s="109"/>
      <c r="H7900" s="109"/>
      <c r="I7900" s="109"/>
      <c r="J7900" s="109"/>
    </row>
    <row r="7901" spans="1:10" customFormat="1" ht="12.75" hidden="1">
      <c r="A7901" s="109"/>
      <c r="B7901" s="109"/>
      <c r="C7901" s="109"/>
      <c r="D7901" s="109"/>
      <c r="E7901" s="109"/>
      <c r="F7901" s="109"/>
      <c r="G7901" s="109"/>
      <c r="H7901" s="109"/>
      <c r="I7901" s="109"/>
      <c r="J7901" s="109"/>
    </row>
    <row r="7902" spans="1:10" customFormat="1" ht="12.75" hidden="1">
      <c r="A7902" s="109"/>
      <c r="B7902" s="109"/>
      <c r="C7902" s="109"/>
      <c r="D7902" s="109"/>
      <c r="E7902" s="109"/>
      <c r="F7902" s="109"/>
      <c r="G7902" s="109"/>
      <c r="H7902" s="109"/>
      <c r="I7902" s="109"/>
      <c r="J7902" s="109"/>
    </row>
    <row r="7903" spans="1:10" customFormat="1" ht="12.75" hidden="1">
      <c r="A7903" s="109"/>
      <c r="B7903" s="109"/>
      <c r="C7903" s="109"/>
      <c r="D7903" s="109"/>
      <c r="E7903" s="109"/>
      <c r="F7903" s="109"/>
      <c r="G7903" s="109"/>
      <c r="H7903" s="109"/>
      <c r="I7903" s="109"/>
      <c r="J7903" s="109"/>
    </row>
    <row r="7904" spans="1:10" customFormat="1" ht="12.75" hidden="1">
      <c r="A7904" s="109"/>
      <c r="B7904" s="109"/>
      <c r="C7904" s="109"/>
      <c r="D7904" s="109"/>
      <c r="E7904" s="109"/>
      <c r="F7904" s="109"/>
      <c r="G7904" s="109"/>
      <c r="H7904" s="109"/>
      <c r="I7904" s="109"/>
      <c r="J7904" s="109"/>
    </row>
    <row r="7905" spans="1:10" customFormat="1" ht="12.75" hidden="1">
      <c r="A7905" s="109"/>
      <c r="B7905" s="109"/>
      <c r="C7905" s="109"/>
      <c r="D7905" s="109"/>
      <c r="E7905" s="109"/>
      <c r="F7905" s="109"/>
      <c r="G7905" s="109"/>
      <c r="H7905" s="109"/>
      <c r="I7905" s="109"/>
      <c r="J7905" s="109"/>
    </row>
    <row r="7906" spans="1:10" customFormat="1" ht="12.75" hidden="1">
      <c r="A7906" s="109"/>
      <c r="B7906" s="109"/>
      <c r="C7906" s="109"/>
      <c r="D7906" s="109"/>
      <c r="E7906" s="109"/>
      <c r="F7906" s="109"/>
      <c r="G7906" s="109"/>
      <c r="H7906" s="109"/>
      <c r="I7906" s="109"/>
      <c r="J7906" s="109"/>
    </row>
    <row r="7907" spans="1:10" customFormat="1" ht="12.75" hidden="1">
      <c r="A7907" s="109"/>
      <c r="B7907" s="109"/>
      <c r="C7907" s="109"/>
      <c r="D7907" s="109"/>
      <c r="E7907" s="109"/>
      <c r="F7907" s="109"/>
      <c r="G7907" s="109"/>
      <c r="H7907" s="109"/>
      <c r="I7907" s="109"/>
      <c r="J7907" s="109"/>
    </row>
    <row r="7908" spans="1:10" customFormat="1" ht="12.75" hidden="1">
      <c r="A7908" s="109"/>
      <c r="B7908" s="109"/>
      <c r="C7908" s="109"/>
      <c r="D7908" s="109"/>
      <c r="E7908" s="109"/>
      <c r="F7908" s="109"/>
      <c r="G7908" s="109"/>
      <c r="H7908" s="109"/>
      <c r="I7908" s="109"/>
      <c r="J7908" s="109"/>
    </row>
    <row r="7909" spans="1:10" customFormat="1" ht="12.75" hidden="1">
      <c r="A7909" s="109"/>
      <c r="B7909" s="109"/>
      <c r="C7909" s="109"/>
      <c r="D7909" s="109"/>
      <c r="E7909" s="109"/>
      <c r="F7909" s="109"/>
      <c r="G7909" s="109"/>
      <c r="H7909" s="109"/>
      <c r="I7909" s="109"/>
      <c r="J7909" s="109"/>
    </row>
    <row r="7910" spans="1:10" customFormat="1" ht="12.75" hidden="1">
      <c r="A7910" s="109"/>
      <c r="B7910" s="109"/>
      <c r="C7910" s="109"/>
      <c r="D7910" s="109"/>
      <c r="E7910" s="109"/>
      <c r="F7910" s="109"/>
      <c r="G7910" s="109"/>
      <c r="H7910" s="109"/>
      <c r="I7910" s="109"/>
      <c r="J7910" s="109"/>
    </row>
    <row r="7911" spans="1:10" customFormat="1" ht="12.75" hidden="1">
      <c r="A7911" s="109"/>
      <c r="B7911" s="109"/>
      <c r="C7911" s="109"/>
      <c r="D7911" s="109"/>
      <c r="E7911" s="109"/>
      <c r="F7911" s="109"/>
      <c r="G7911" s="109"/>
      <c r="H7911" s="109"/>
      <c r="I7911" s="109"/>
      <c r="J7911" s="109"/>
    </row>
    <row r="7912" spans="1:10" customFormat="1" ht="12.75" hidden="1">
      <c r="A7912" s="109"/>
      <c r="B7912" s="109"/>
      <c r="C7912" s="109"/>
      <c r="D7912" s="109"/>
      <c r="E7912" s="109"/>
      <c r="F7912" s="109"/>
      <c r="G7912" s="109"/>
      <c r="H7912" s="109"/>
      <c r="I7912" s="109"/>
      <c r="J7912" s="109"/>
    </row>
    <row r="7913" spans="1:10" customFormat="1" ht="12.75" hidden="1">
      <c r="A7913" s="109"/>
      <c r="B7913" s="109"/>
      <c r="C7913" s="109"/>
      <c r="D7913" s="109"/>
      <c r="E7913" s="109"/>
      <c r="F7913" s="109"/>
      <c r="G7913" s="109"/>
      <c r="H7913" s="109"/>
      <c r="I7913" s="109"/>
      <c r="J7913" s="109"/>
    </row>
    <row r="7914" spans="1:10" customFormat="1" ht="12.75" hidden="1">
      <c r="A7914" s="109"/>
      <c r="B7914" s="109"/>
      <c r="C7914" s="109"/>
      <c r="D7914" s="109"/>
      <c r="E7914" s="109"/>
      <c r="F7914" s="109"/>
      <c r="G7914" s="109"/>
      <c r="H7914" s="109"/>
      <c r="I7914" s="109"/>
      <c r="J7914" s="109"/>
    </row>
    <row r="7915" spans="1:10" customFormat="1" ht="12.75" hidden="1">
      <c r="A7915" s="109"/>
      <c r="B7915" s="109"/>
      <c r="C7915" s="109"/>
      <c r="D7915" s="109"/>
      <c r="E7915" s="109"/>
      <c r="F7915" s="109"/>
      <c r="G7915" s="109"/>
      <c r="H7915" s="109"/>
      <c r="I7915" s="109"/>
      <c r="J7915" s="109"/>
    </row>
    <row r="7916" spans="1:10" customFormat="1" ht="12.75" hidden="1">
      <c r="A7916" s="109"/>
      <c r="B7916" s="109"/>
      <c r="C7916" s="109"/>
      <c r="D7916" s="109"/>
      <c r="E7916" s="109"/>
      <c r="F7916" s="109"/>
      <c r="G7916" s="109"/>
      <c r="H7916" s="109"/>
      <c r="I7916" s="109"/>
      <c r="J7916" s="109"/>
    </row>
    <row r="7917" spans="1:10" customFormat="1" ht="12.75" hidden="1">
      <c r="A7917" s="109"/>
      <c r="B7917" s="109"/>
      <c r="C7917" s="109"/>
      <c r="D7917" s="109"/>
      <c r="E7917" s="109"/>
      <c r="F7917" s="109"/>
      <c r="G7917" s="109"/>
      <c r="H7917" s="109"/>
      <c r="I7917" s="109"/>
      <c r="J7917" s="109"/>
    </row>
    <row r="7918" spans="1:10" customFormat="1" ht="12.75" hidden="1">
      <c r="A7918" s="109"/>
      <c r="B7918" s="109"/>
      <c r="C7918" s="109"/>
      <c r="D7918" s="109"/>
      <c r="E7918" s="109"/>
      <c r="F7918" s="109"/>
      <c r="G7918" s="109"/>
      <c r="H7918" s="109"/>
      <c r="I7918" s="109"/>
      <c r="J7918" s="109"/>
    </row>
    <row r="7919" spans="1:10" customFormat="1" ht="12.75" hidden="1">
      <c r="A7919" s="109"/>
      <c r="B7919" s="109"/>
      <c r="C7919" s="109"/>
      <c r="D7919" s="109"/>
      <c r="E7919" s="109"/>
      <c r="F7919" s="109"/>
      <c r="G7919" s="109"/>
      <c r="H7919" s="109"/>
      <c r="I7919" s="109"/>
      <c r="J7919" s="109"/>
    </row>
    <row r="7920" spans="1:10" customFormat="1" ht="12.75" hidden="1">
      <c r="A7920" s="109"/>
      <c r="B7920" s="109"/>
      <c r="C7920" s="109"/>
      <c r="D7920" s="109"/>
      <c r="E7920" s="109"/>
      <c r="F7920" s="109"/>
      <c r="G7920" s="109"/>
      <c r="H7920" s="109"/>
      <c r="I7920" s="109"/>
      <c r="J7920" s="109"/>
    </row>
    <row r="7921" spans="1:10" customFormat="1" ht="12.75" hidden="1">
      <c r="A7921" s="109"/>
      <c r="B7921" s="109"/>
      <c r="C7921" s="109"/>
      <c r="D7921" s="109"/>
      <c r="E7921" s="109"/>
      <c r="F7921" s="109"/>
      <c r="G7921" s="109"/>
      <c r="H7921" s="109"/>
      <c r="I7921" s="109"/>
      <c r="J7921" s="109"/>
    </row>
    <row r="7922" spans="1:10" customFormat="1" ht="12.75" hidden="1">
      <c r="A7922" s="109"/>
      <c r="B7922" s="109"/>
      <c r="C7922" s="109"/>
      <c r="D7922" s="109"/>
      <c r="E7922" s="109"/>
      <c r="F7922" s="109"/>
      <c r="G7922" s="109"/>
      <c r="H7922" s="109"/>
      <c r="I7922" s="109"/>
      <c r="J7922" s="109"/>
    </row>
    <row r="7923" spans="1:10" customFormat="1" ht="12.75" hidden="1">
      <c r="A7923" s="109"/>
      <c r="B7923" s="109"/>
      <c r="C7923" s="109"/>
      <c r="D7923" s="109"/>
      <c r="E7923" s="109"/>
      <c r="F7923" s="109"/>
      <c r="G7923" s="109"/>
      <c r="H7923" s="109"/>
      <c r="I7923" s="109"/>
      <c r="J7923" s="109"/>
    </row>
    <row r="7924" spans="1:10" customFormat="1" ht="12.75" hidden="1">
      <c r="A7924" s="109"/>
      <c r="B7924" s="109"/>
      <c r="C7924" s="109"/>
      <c r="D7924" s="109"/>
      <c r="E7924" s="109"/>
      <c r="F7924" s="109"/>
      <c r="G7924" s="109"/>
      <c r="H7924" s="109"/>
      <c r="I7924" s="109"/>
      <c r="J7924" s="109"/>
    </row>
    <row r="7925" spans="1:10" customFormat="1" ht="12.75" hidden="1">
      <c r="A7925" s="109"/>
      <c r="B7925" s="109"/>
      <c r="C7925" s="109"/>
      <c r="D7925" s="109"/>
      <c r="E7925" s="109"/>
      <c r="F7925" s="109"/>
      <c r="G7925" s="109"/>
      <c r="H7925" s="109"/>
      <c r="I7925" s="109"/>
      <c r="J7925" s="109"/>
    </row>
    <row r="7926" spans="1:10" customFormat="1" ht="12.75" hidden="1">
      <c r="A7926" s="109"/>
      <c r="B7926" s="109"/>
      <c r="C7926" s="109"/>
      <c r="D7926" s="109"/>
      <c r="E7926" s="109"/>
      <c r="F7926" s="109"/>
      <c r="G7926" s="109"/>
      <c r="H7926" s="109"/>
      <c r="I7926" s="109"/>
      <c r="J7926" s="109"/>
    </row>
    <row r="7927" spans="1:10" customFormat="1" ht="12.75" hidden="1">
      <c r="A7927" s="109"/>
      <c r="B7927" s="109"/>
      <c r="C7927" s="109"/>
      <c r="D7927" s="109"/>
      <c r="E7927" s="109"/>
      <c r="F7927" s="109"/>
      <c r="G7927" s="109"/>
      <c r="H7927" s="109"/>
      <c r="I7927" s="109"/>
      <c r="J7927" s="109"/>
    </row>
    <row r="7928" spans="1:10" customFormat="1" ht="12.75" hidden="1">
      <c r="A7928" s="109"/>
      <c r="B7928" s="109"/>
      <c r="C7928" s="109"/>
      <c r="D7928" s="109"/>
      <c r="E7928" s="109"/>
      <c r="F7928" s="109"/>
      <c r="G7928" s="109"/>
      <c r="H7928" s="109"/>
      <c r="I7928" s="109"/>
      <c r="J7928" s="109"/>
    </row>
    <row r="7929" spans="1:10" customFormat="1" ht="12.75" hidden="1">
      <c r="A7929" s="109"/>
      <c r="B7929" s="109"/>
      <c r="C7929" s="109"/>
      <c r="D7929" s="109"/>
      <c r="E7929" s="109"/>
      <c r="F7929" s="109"/>
      <c r="G7929" s="109"/>
      <c r="H7929" s="109"/>
      <c r="I7929" s="109"/>
      <c r="J7929" s="109"/>
    </row>
    <row r="7930" spans="1:10" customFormat="1" ht="12.75" hidden="1">
      <c r="A7930" s="109"/>
      <c r="B7930" s="109"/>
      <c r="C7930" s="109"/>
      <c r="D7930" s="109"/>
      <c r="E7930" s="109"/>
      <c r="F7930" s="109"/>
      <c r="G7930" s="109"/>
      <c r="H7930" s="109"/>
      <c r="I7930" s="109"/>
      <c r="J7930" s="109"/>
    </row>
    <row r="7931" spans="1:10" customFormat="1" ht="12.75" hidden="1">
      <c r="A7931" s="109"/>
      <c r="B7931" s="109"/>
      <c r="C7931" s="109"/>
      <c r="D7931" s="109"/>
      <c r="E7931" s="109"/>
      <c r="F7931" s="109"/>
      <c r="G7931" s="109"/>
      <c r="H7931" s="109"/>
      <c r="I7931" s="109"/>
      <c r="J7931" s="109"/>
    </row>
    <row r="7932" spans="1:10" customFormat="1" ht="12.75" hidden="1">
      <c r="A7932" s="109"/>
      <c r="B7932" s="109"/>
      <c r="C7932" s="109"/>
      <c r="D7932" s="109"/>
      <c r="E7932" s="109"/>
      <c r="F7932" s="109"/>
      <c r="G7932" s="109"/>
      <c r="H7932" s="109"/>
      <c r="I7932" s="109"/>
      <c r="J7932" s="109"/>
    </row>
    <row r="7933" spans="1:10" customFormat="1" ht="12.75" hidden="1">
      <c r="A7933" s="109"/>
      <c r="B7933" s="109"/>
      <c r="C7933" s="109"/>
      <c r="D7933" s="109"/>
      <c r="E7933" s="109"/>
      <c r="F7933" s="109"/>
      <c r="G7933" s="109"/>
      <c r="H7933" s="109"/>
      <c r="I7933" s="109"/>
      <c r="J7933" s="109"/>
    </row>
    <row r="7934" spans="1:10" customFormat="1" ht="12.75" hidden="1">
      <c r="A7934" s="109"/>
      <c r="B7934" s="109"/>
      <c r="C7934" s="109"/>
      <c r="D7934" s="109"/>
      <c r="E7934" s="109"/>
      <c r="F7934" s="109"/>
      <c r="G7934" s="109"/>
      <c r="H7934" s="109"/>
      <c r="I7934" s="109"/>
      <c r="J7934" s="109"/>
    </row>
    <row r="7935" spans="1:10" customFormat="1" ht="12.75" hidden="1">
      <c r="A7935" s="109"/>
      <c r="B7935" s="109"/>
      <c r="C7935" s="109"/>
      <c r="D7935" s="109"/>
      <c r="E7935" s="109"/>
      <c r="F7935" s="109"/>
      <c r="G7935" s="109"/>
      <c r="H7935" s="109"/>
      <c r="I7935" s="109"/>
      <c r="J7935" s="109"/>
    </row>
    <row r="7936" spans="1:10" customFormat="1" ht="12.75" hidden="1">
      <c r="A7936" s="109"/>
      <c r="B7936" s="109"/>
      <c r="C7936" s="109"/>
      <c r="D7936" s="109"/>
      <c r="E7936" s="109"/>
      <c r="F7936" s="109"/>
      <c r="G7936" s="109"/>
      <c r="H7936" s="109"/>
      <c r="I7936" s="109"/>
      <c r="J7936" s="109"/>
    </row>
    <row r="7937" spans="1:10" customFormat="1" ht="12.75" hidden="1">
      <c r="A7937" s="109"/>
      <c r="B7937" s="109"/>
      <c r="C7937" s="109"/>
      <c r="D7937" s="109"/>
      <c r="E7937" s="109"/>
      <c r="F7937" s="109"/>
      <c r="G7937" s="109"/>
      <c r="H7937" s="109"/>
      <c r="I7937" s="109"/>
      <c r="J7937" s="109"/>
    </row>
    <row r="7938" spans="1:10" customFormat="1" ht="12.75" hidden="1">
      <c r="A7938" s="109"/>
      <c r="B7938" s="109"/>
      <c r="C7938" s="109"/>
      <c r="D7938" s="109"/>
      <c r="E7938" s="109"/>
      <c r="F7938" s="109"/>
      <c r="G7938" s="109"/>
      <c r="H7938" s="109"/>
      <c r="I7938" s="109"/>
      <c r="J7938" s="109"/>
    </row>
    <row r="7939" spans="1:10" customFormat="1" ht="12.75" hidden="1">
      <c r="A7939" s="109"/>
      <c r="B7939" s="109"/>
      <c r="C7939" s="109"/>
      <c r="D7939" s="109"/>
      <c r="E7939" s="109"/>
      <c r="F7939" s="109"/>
      <c r="G7939" s="109"/>
      <c r="H7939" s="109"/>
      <c r="I7939" s="109"/>
      <c r="J7939" s="109"/>
    </row>
    <row r="7940" spans="1:10" customFormat="1" ht="12.75" hidden="1">
      <c r="A7940" s="109"/>
      <c r="B7940" s="109"/>
      <c r="C7940" s="109"/>
      <c r="D7940" s="109"/>
      <c r="E7940" s="109"/>
      <c r="F7940" s="109"/>
      <c r="G7940" s="109"/>
      <c r="H7940" s="109"/>
      <c r="I7940" s="109"/>
      <c r="J7940" s="109"/>
    </row>
    <row r="7941" spans="1:10" customFormat="1" ht="12.75" hidden="1">
      <c r="A7941" s="109"/>
      <c r="B7941" s="109"/>
      <c r="C7941" s="109"/>
      <c r="D7941" s="109"/>
      <c r="E7941" s="109"/>
      <c r="F7941" s="109"/>
      <c r="G7941" s="109"/>
      <c r="H7941" s="109"/>
      <c r="I7941" s="109"/>
      <c r="J7941" s="109"/>
    </row>
    <row r="7942" spans="1:10" customFormat="1" ht="12.75" hidden="1">
      <c r="A7942" s="109"/>
      <c r="B7942" s="109"/>
      <c r="C7942" s="109"/>
      <c r="D7942" s="109"/>
      <c r="E7942" s="109"/>
      <c r="F7942" s="109"/>
      <c r="G7942" s="109"/>
      <c r="H7942" s="109"/>
      <c r="I7942" s="109"/>
      <c r="J7942" s="109"/>
    </row>
    <row r="7943" spans="1:10" customFormat="1" ht="12.75" hidden="1">
      <c r="A7943" s="109"/>
      <c r="B7943" s="109"/>
      <c r="C7943" s="109"/>
      <c r="D7943" s="109"/>
      <c r="E7943" s="109"/>
      <c r="F7943" s="109"/>
      <c r="G7943" s="109"/>
      <c r="H7943" s="109"/>
      <c r="I7943" s="109"/>
      <c r="J7943" s="109"/>
    </row>
    <row r="7944" spans="1:10" customFormat="1" ht="12.75" hidden="1">
      <c r="A7944" s="109"/>
      <c r="B7944" s="109"/>
      <c r="C7944" s="109"/>
      <c r="D7944" s="109"/>
      <c r="E7944" s="109"/>
      <c r="F7944" s="109"/>
      <c r="G7944" s="109"/>
      <c r="H7944" s="109"/>
      <c r="I7944" s="109"/>
      <c r="J7944" s="109"/>
    </row>
    <row r="7945" spans="1:10" customFormat="1" ht="12.75" hidden="1">
      <c r="A7945" s="109"/>
      <c r="B7945" s="109"/>
      <c r="C7945" s="109"/>
      <c r="D7945" s="109"/>
      <c r="E7945" s="109"/>
      <c r="F7945" s="109"/>
      <c r="G7945" s="109"/>
      <c r="H7945" s="109"/>
      <c r="I7945" s="109"/>
      <c r="J7945" s="109"/>
    </row>
    <row r="7946" spans="1:10" customFormat="1" ht="12.75" hidden="1">
      <c r="A7946" s="109"/>
      <c r="B7946" s="109"/>
      <c r="C7946" s="109"/>
      <c r="D7946" s="109"/>
      <c r="E7946" s="109"/>
      <c r="F7946" s="109"/>
      <c r="G7946" s="109"/>
      <c r="H7946" s="109"/>
      <c r="I7946" s="109"/>
      <c r="J7946" s="109"/>
    </row>
    <row r="7947" spans="1:10" customFormat="1" ht="12.75" hidden="1">
      <c r="A7947" s="109"/>
      <c r="B7947" s="109"/>
      <c r="C7947" s="109"/>
      <c r="D7947" s="109"/>
      <c r="E7947" s="109"/>
      <c r="F7947" s="109"/>
      <c r="G7947" s="109"/>
      <c r="H7947" s="109"/>
      <c r="I7947" s="109"/>
      <c r="J7947" s="109"/>
    </row>
    <row r="7948" spans="1:10" customFormat="1" ht="12.75" hidden="1">
      <c r="A7948" s="109"/>
      <c r="B7948" s="109"/>
      <c r="C7948" s="109"/>
      <c r="D7948" s="109"/>
      <c r="E7948" s="109"/>
      <c r="F7948" s="109"/>
      <c r="G7948" s="109"/>
      <c r="H7948" s="109"/>
      <c r="I7948" s="109"/>
      <c r="J7948" s="109"/>
    </row>
    <row r="7949" spans="1:10" customFormat="1" ht="12.75" hidden="1">
      <c r="A7949" s="109"/>
      <c r="B7949" s="109"/>
      <c r="C7949" s="109"/>
      <c r="D7949" s="109"/>
      <c r="E7949" s="109"/>
      <c r="F7949" s="109"/>
      <c r="G7949" s="109"/>
      <c r="H7949" s="109"/>
      <c r="I7949" s="109"/>
      <c r="J7949" s="109"/>
    </row>
    <row r="7950" spans="1:10" customFormat="1" ht="12.75" hidden="1">
      <c r="A7950" s="109"/>
      <c r="B7950" s="109"/>
      <c r="C7950" s="109"/>
      <c r="D7950" s="109"/>
      <c r="E7950" s="109"/>
      <c r="F7950" s="109"/>
      <c r="G7950" s="109"/>
      <c r="H7950" s="109"/>
      <c r="I7950" s="109"/>
      <c r="J7950" s="109"/>
    </row>
    <row r="7951" spans="1:10" customFormat="1" ht="12.75" hidden="1">
      <c r="A7951" s="109"/>
      <c r="B7951" s="109"/>
      <c r="C7951" s="109"/>
      <c r="D7951" s="109"/>
      <c r="E7951" s="109"/>
      <c r="F7951" s="109"/>
      <c r="G7951" s="109"/>
      <c r="H7951" s="109"/>
      <c r="I7951" s="109"/>
      <c r="J7951" s="109"/>
    </row>
    <row r="7952" spans="1:10" customFormat="1" ht="12.75" hidden="1">
      <c r="A7952" s="109"/>
      <c r="B7952" s="109"/>
      <c r="C7952" s="109"/>
      <c r="D7952" s="109"/>
      <c r="E7952" s="109"/>
      <c r="F7952" s="109"/>
      <c r="G7952" s="109"/>
      <c r="H7952" s="109"/>
      <c r="I7952" s="109"/>
      <c r="J7952" s="109"/>
    </row>
    <row r="7953" spans="1:10" customFormat="1" ht="12.75" hidden="1">
      <c r="A7953" s="109"/>
      <c r="B7953" s="109"/>
      <c r="C7953" s="109"/>
      <c r="D7953" s="109"/>
      <c r="E7953" s="109"/>
      <c r="F7953" s="109"/>
      <c r="G7953" s="109"/>
      <c r="H7953" s="109"/>
      <c r="I7953" s="109"/>
      <c r="J7953" s="109"/>
    </row>
    <row r="7954" spans="1:10" customFormat="1" ht="12.75" hidden="1">
      <c r="A7954" s="109"/>
      <c r="B7954" s="109"/>
      <c r="C7954" s="109"/>
      <c r="D7954" s="109"/>
      <c r="E7954" s="109"/>
      <c r="F7954" s="109"/>
      <c r="G7954" s="109"/>
      <c r="H7954" s="109"/>
      <c r="I7954" s="109"/>
      <c r="J7954" s="109"/>
    </row>
    <row r="7955" spans="1:10" customFormat="1" ht="12.75" hidden="1">
      <c r="A7955" s="109"/>
      <c r="B7955" s="109"/>
      <c r="C7955" s="109"/>
      <c r="D7955" s="109"/>
      <c r="E7955" s="109"/>
      <c r="F7955" s="109"/>
      <c r="G7955" s="109"/>
      <c r="H7955" s="109"/>
      <c r="I7955" s="109"/>
      <c r="J7955" s="109"/>
    </row>
    <row r="7956" spans="1:10" customFormat="1" ht="12.75" hidden="1">
      <c r="A7956" s="109"/>
      <c r="B7956" s="109"/>
      <c r="C7956" s="109"/>
      <c r="D7956" s="109"/>
      <c r="E7956" s="109"/>
      <c r="F7956" s="109"/>
      <c r="G7956" s="109"/>
      <c r="H7956" s="109"/>
      <c r="I7956" s="109"/>
      <c r="J7956" s="109"/>
    </row>
    <row r="7957" spans="1:10" customFormat="1" ht="12.75" hidden="1">
      <c r="A7957" s="109"/>
      <c r="B7957" s="109"/>
      <c r="C7957" s="109"/>
      <c r="D7957" s="109"/>
      <c r="E7957" s="109"/>
      <c r="F7957" s="109"/>
      <c r="G7957" s="109"/>
      <c r="H7957" s="109"/>
      <c r="I7957" s="109"/>
      <c r="J7957" s="109"/>
    </row>
    <row r="7958" spans="1:10" customFormat="1" ht="12.75" hidden="1">
      <c r="A7958" s="109"/>
      <c r="B7958" s="109"/>
      <c r="C7958" s="109"/>
      <c r="D7958" s="109"/>
      <c r="E7958" s="109"/>
      <c r="F7958" s="109"/>
      <c r="G7958" s="109"/>
      <c r="H7958" s="109"/>
      <c r="I7958" s="109"/>
      <c r="J7958" s="109"/>
    </row>
    <row r="7959" spans="1:10" customFormat="1" ht="12.75" hidden="1">
      <c r="A7959" s="109"/>
      <c r="B7959" s="109"/>
      <c r="C7959" s="109"/>
      <c r="D7959" s="109"/>
      <c r="E7959" s="109"/>
      <c r="F7959" s="109"/>
      <c r="G7959" s="109"/>
      <c r="H7959" s="109"/>
      <c r="I7959" s="109"/>
      <c r="J7959" s="109"/>
    </row>
    <row r="7960" spans="1:10" customFormat="1" ht="12.75" hidden="1">
      <c r="A7960" s="109"/>
      <c r="B7960" s="109"/>
      <c r="C7960" s="109"/>
      <c r="D7960" s="109"/>
      <c r="E7960" s="109"/>
      <c r="F7960" s="109"/>
      <c r="G7960" s="109"/>
      <c r="H7960" s="109"/>
      <c r="I7960" s="109"/>
      <c r="J7960" s="109"/>
    </row>
    <row r="7961" spans="1:10" customFormat="1" ht="12.75" hidden="1">
      <c r="A7961" s="109"/>
      <c r="B7961" s="109"/>
      <c r="C7961" s="109"/>
      <c r="D7961" s="109"/>
      <c r="E7961" s="109"/>
      <c r="F7961" s="109"/>
      <c r="G7961" s="109"/>
      <c r="H7961" s="109"/>
      <c r="I7961" s="109"/>
      <c r="J7961" s="109"/>
    </row>
    <row r="7962" spans="1:10" customFormat="1" ht="12.75" hidden="1">
      <c r="A7962" s="109"/>
      <c r="B7962" s="109"/>
      <c r="C7962" s="109"/>
      <c r="D7962" s="109"/>
      <c r="E7962" s="109"/>
      <c r="F7962" s="109"/>
      <c r="G7962" s="109"/>
      <c r="H7962" s="109"/>
      <c r="I7962" s="109"/>
      <c r="J7962" s="109"/>
    </row>
    <row r="7963" spans="1:10" customFormat="1" ht="12.75" hidden="1">
      <c r="A7963" s="109"/>
      <c r="B7963" s="109"/>
      <c r="C7963" s="109"/>
      <c r="D7963" s="109"/>
      <c r="E7963" s="109"/>
      <c r="F7963" s="109"/>
      <c r="G7963" s="109"/>
      <c r="H7963" s="109"/>
      <c r="I7963" s="109"/>
      <c r="J7963" s="109"/>
    </row>
    <row r="7964" spans="1:10" customFormat="1" ht="12.75" hidden="1">
      <c r="A7964" s="109"/>
      <c r="B7964" s="109"/>
      <c r="C7964" s="109"/>
      <c r="D7964" s="109"/>
      <c r="E7964" s="109"/>
      <c r="F7964" s="109"/>
      <c r="G7964" s="109"/>
      <c r="H7964" s="109"/>
      <c r="I7964" s="109"/>
      <c r="J7964" s="109"/>
    </row>
    <row r="7965" spans="1:10" customFormat="1" ht="12.75" hidden="1">
      <c r="A7965" s="109"/>
      <c r="B7965" s="109"/>
      <c r="C7965" s="109"/>
      <c r="D7965" s="109"/>
      <c r="E7965" s="109"/>
      <c r="F7965" s="109"/>
      <c r="G7965" s="109"/>
      <c r="H7965" s="109"/>
      <c r="I7965" s="109"/>
      <c r="J7965" s="109"/>
    </row>
    <row r="7966" spans="1:10" customFormat="1" ht="12.75" hidden="1">
      <c r="A7966" s="109"/>
      <c r="B7966" s="109"/>
      <c r="C7966" s="109"/>
      <c r="D7966" s="109"/>
      <c r="E7966" s="109"/>
      <c r="F7966" s="109"/>
      <c r="G7966" s="109"/>
      <c r="H7966" s="109"/>
      <c r="I7966" s="109"/>
      <c r="J7966" s="109"/>
    </row>
    <row r="7967" spans="1:10" customFormat="1" ht="12.75" hidden="1">
      <c r="A7967" s="109"/>
      <c r="B7967" s="109"/>
      <c r="C7967" s="109"/>
      <c r="D7967" s="109"/>
      <c r="E7967" s="109"/>
      <c r="F7967" s="109"/>
      <c r="G7967" s="109"/>
      <c r="H7967" s="109"/>
      <c r="I7967" s="109"/>
      <c r="J7967" s="109"/>
    </row>
    <row r="7968" spans="1:10" customFormat="1" ht="12.75" hidden="1">
      <c r="A7968" s="109"/>
      <c r="B7968" s="109"/>
      <c r="C7968" s="109"/>
      <c r="D7968" s="109"/>
      <c r="E7968" s="109"/>
      <c r="F7968" s="109"/>
      <c r="G7968" s="109"/>
      <c r="H7968" s="109"/>
      <c r="I7968" s="109"/>
      <c r="J7968" s="109"/>
    </row>
    <row r="7969" spans="1:10" customFormat="1" ht="12.75" hidden="1">
      <c r="A7969" s="109"/>
      <c r="B7969" s="109"/>
      <c r="C7969" s="109"/>
      <c r="D7969" s="109"/>
      <c r="E7969" s="109"/>
      <c r="F7969" s="109"/>
      <c r="G7969" s="109"/>
      <c r="H7969" s="109"/>
      <c r="I7969" s="109"/>
      <c r="J7969" s="109"/>
    </row>
    <row r="7970" spans="1:10" customFormat="1" ht="12.75" hidden="1">
      <c r="A7970" s="109"/>
      <c r="B7970" s="109"/>
      <c r="C7970" s="109"/>
      <c r="D7970" s="109"/>
      <c r="E7970" s="109"/>
      <c r="F7970" s="109"/>
      <c r="G7970" s="109"/>
      <c r="H7970" s="109"/>
      <c r="I7970" s="109"/>
      <c r="J7970" s="109"/>
    </row>
    <row r="7971" spans="1:10" customFormat="1" ht="12.75" hidden="1">
      <c r="A7971" s="109"/>
      <c r="B7971" s="109"/>
      <c r="C7971" s="109"/>
      <c r="D7971" s="109"/>
      <c r="E7971" s="109"/>
      <c r="F7971" s="109"/>
      <c r="G7971" s="109"/>
      <c r="H7971" s="109"/>
      <c r="I7971" s="109"/>
      <c r="J7971" s="109"/>
    </row>
    <row r="7972" spans="1:10" customFormat="1" ht="12.75" hidden="1">
      <c r="A7972" s="109"/>
      <c r="B7972" s="109"/>
      <c r="C7972" s="109"/>
      <c r="D7972" s="109"/>
      <c r="E7972" s="109"/>
      <c r="F7972" s="109"/>
      <c r="G7972" s="109"/>
      <c r="H7972" s="109"/>
      <c r="I7972" s="109"/>
      <c r="J7972" s="109"/>
    </row>
    <row r="7973" spans="1:10" customFormat="1" ht="12.75" hidden="1">
      <c r="A7973" s="109"/>
      <c r="B7973" s="109"/>
      <c r="C7973" s="109"/>
      <c r="D7973" s="109"/>
      <c r="E7973" s="109"/>
      <c r="F7973" s="109"/>
      <c r="G7973" s="109"/>
      <c r="H7973" s="109"/>
      <c r="I7973" s="109"/>
      <c r="J7973" s="109"/>
    </row>
    <row r="7974" spans="1:10" customFormat="1" ht="12.75" hidden="1">
      <c r="A7974" s="109"/>
      <c r="B7974" s="109"/>
      <c r="C7974" s="109"/>
      <c r="D7974" s="109"/>
      <c r="E7974" s="109"/>
      <c r="F7974" s="109"/>
      <c r="G7974" s="109"/>
      <c r="H7974" s="109"/>
      <c r="I7974" s="109"/>
      <c r="J7974" s="109"/>
    </row>
    <row r="7975" spans="1:10" customFormat="1" ht="12.75" hidden="1">
      <c r="A7975" s="109"/>
      <c r="B7975" s="109"/>
      <c r="C7975" s="109"/>
      <c r="D7975" s="109"/>
      <c r="E7975" s="109"/>
      <c r="F7975" s="109"/>
      <c r="G7975" s="109"/>
      <c r="H7975" s="109"/>
      <c r="I7975" s="109"/>
      <c r="J7975" s="109"/>
    </row>
    <row r="7976" spans="1:10" customFormat="1" ht="12.75" hidden="1">
      <c r="A7976" s="109"/>
      <c r="B7976" s="109"/>
      <c r="C7976" s="109"/>
      <c r="D7976" s="109"/>
      <c r="E7976" s="109"/>
      <c r="F7976" s="109"/>
      <c r="G7976" s="109"/>
      <c r="H7976" s="109"/>
      <c r="I7976" s="109"/>
      <c r="J7976" s="109"/>
    </row>
    <row r="7977" spans="1:10" customFormat="1" ht="12.75" hidden="1">
      <c r="A7977" s="109"/>
      <c r="B7977" s="109"/>
      <c r="C7977" s="109"/>
      <c r="D7977" s="109"/>
      <c r="E7977" s="109"/>
      <c r="F7977" s="109"/>
      <c r="G7977" s="109"/>
      <c r="H7977" s="109"/>
      <c r="I7977" s="109"/>
      <c r="J7977" s="109"/>
    </row>
    <row r="7978" spans="1:10" customFormat="1" ht="12.75" hidden="1">
      <c r="A7978" s="109"/>
      <c r="B7978" s="109"/>
      <c r="C7978" s="109"/>
      <c r="D7978" s="109"/>
      <c r="E7978" s="109"/>
      <c r="F7978" s="109"/>
      <c r="G7978" s="109"/>
      <c r="H7978" s="109"/>
      <c r="I7978" s="109"/>
      <c r="J7978" s="109"/>
    </row>
    <row r="7979" spans="1:10" customFormat="1" ht="12.75" hidden="1">
      <c r="A7979" s="109"/>
      <c r="B7979" s="109"/>
      <c r="C7979" s="109"/>
      <c r="D7979" s="109"/>
      <c r="E7979" s="109"/>
      <c r="F7979" s="109"/>
      <c r="G7979" s="109"/>
      <c r="H7979" s="109"/>
      <c r="I7979" s="109"/>
      <c r="J7979" s="109"/>
    </row>
    <row r="7980" spans="1:10" customFormat="1" ht="12.75" hidden="1">
      <c r="A7980" s="109"/>
      <c r="B7980" s="109"/>
      <c r="C7980" s="109"/>
      <c r="D7980" s="109"/>
      <c r="E7980" s="109"/>
      <c r="F7980" s="109"/>
      <c r="G7980" s="109"/>
      <c r="H7980" s="109"/>
      <c r="I7980" s="109"/>
      <c r="J7980" s="109"/>
    </row>
    <row r="7981" spans="1:10" customFormat="1" ht="12.75" hidden="1">
      <c r="A7981" s="109"/>
      <c r="B7981" s="109"/>
      <c r="C7981" s="109"/>
      <c r="D7981" s="109"/>
      <c r="E7981" s="109"/>
      <c r="F7981" s="109"/>
      <c r="G7981" s="109"/>
      <c r="H7981" s="109"/>
      <c r="I7981" s="109"/>
      <c r="J7981" s="109"/>
    </row>
    <row r="7982" spans="1:10" customFormat="1" ht="12.75" hidden="1">
      <c r="A7982" s="109"/>
      <c r="B7982" s="109"/>
      <c r="C7982" s="109"/>
      <c r="D7982" s="109"/>
      <c r="E7982" s="109"/>
      <c r="F7982" s="109"/>
      <c r="G7982" s="109"/>
      <c r="H7982" s="109"/>
      <c r="I7982" s="109"/>
      <c r="J7982" s="109"/>
    </row>
    <row r="7983" spans="1:10" customFormat="1" ht="12.75" hidden="1">
      <c r="A7983" s="109"/>
      <c r="B7983" s="109"/>
      <c r="C7983" s="109"/>
      <c r="D7983" s="109"/>
      <c r="E7983" s="109"/>
      <c r="F7983" s="109"/>
      <c r="G7983" s="109"/>
      <c r="H7983" s="109"/>
      <c r="I7983" s="109"/>
      <c r="J7983" s="109"/>
    </row>
    <row r="7984" spans="1:10" customFormat="1" ht="12.75" hidden="1">
      <c r="A7984" s="109"/>
      <c r="B7984" s="109"/>
      <c r="C7984" s="109"/>
      <c r="D7984" s="109"/>
      <c r="E7984" s="109"/>
      <c r="F7984" s="109"/>
      <c r="G7984" s="109"/>
      <c r="H7984" s="109"/>
      <c r="I7984" s="109"/>
      <c r="J7984" s="109"/>
    </row>
    <row r="7985" spans="1:10" customFormat="1" ht="12.75" hidden="1">
      <c r="A7985" s="109"/>
      <c r="B7985" s="109"/>
      <c r="C7985" s="109"/>
      <c r="D7985" s="109"/>
      <c r="E7985" s="109"/>
      <c r="F7985" s="109"/>
      <c r="G7985" s="109"/>
      <c r="H7985" s="109"/>
      <c r="I7985" s="109"/>
      <c r="J7985" s="109"/>
    </row>
    <row r="7986" spans="1:10" customFormat="1" ht="12.75" hidden="1">
      <c r="A7986" s="109"/>
      <c r="B7986" s="109"/>
      <c r="C7986" s="109"/>
      <c r="D7986" s="109"/>
      <c r="E7986" s="109"/>
      <c r="F7986" s="109"/>
      <c r="G7986" s="109"/>
      <c r="H7986" s="109"/>
      <c r="I7986" s="109"/>
      <c r="J7986" s="109"/>
    </row>
    <row r="7987" spans="1:10" customFormat="1" ht="12.75" hidden="1">
      <c r="A7987" s="109"/>
      <c r="B7987" s="109"/>
      <c r="C7987" s="109"/>
      <c r="D7987" s="109"/>
      <c r="E7987" s="109"/>
      <c r="F7987" s="109"/>
      <c r="G7987" s="109"/>
      <c r="H7987" s="109"/>
      <c r="I7987" s="109"/>
      <c r="J7987" s="109"/>
    </row>
    <row r="7988" spans="1:10" customFormat="1" ht="12.75" hidden="1">
      <c r="A7988" s="109"/>
      <c r="B7988" s="109"/>
      <c r="C7988" s="109"/>
      <c r="D7988" s="109"/>
      <c r="E7988" s="109"/>
      <c r="F7988" s="109"/>
      <c r="G7988" s="109"/>
      <c r="H7988" s="109"/>
      <c r="I7988" s="109"/>
      <c r="J7988" s="109"/>
    </row>
    <row r="7989" spans="1:10" customFormat="1" ht="12.75" hidden="1">
      <c r="A7989" s="109"/>
      <c r="B7989" s="109"/>
      <c r="C7989" s="109"/>
      <c r="D7989" s="109"/>
      <c r="E7989" s="109"/>
      <c r="F7989" s="109"/>
      <c r="G7989" s="109"/>
      <c r="H7989" s="109"/>
      <c r="I7989" s="109"/>
      <c r="J7989" s="109"/>
    </row>
    <row r="7990" spans="1:10" customFormat="1" ht="12.75" hidden="1">
      <c r="A7990" s="109"/>
      <c r="B7990" s="109"/>
      <c r="C7990" s="109"/>
      <c r="D7990" s="109"/>
      <c r="E7990" s="109"/>
      <c r="F7990" s="109"/>
      <c r="G7990" s="109"/>
      <c r="H7990" s="109"/>
      <c r="I7990" s="109"/>
      <c r="J7990" s="109"/>
    </row>
    <row r="7991" spans="1:10" customFormat="1" ht="12.75" hidden="1">
      <c r="A7991" s="109"/>
      <c r="B7991" s="109"/>
      <c r="C7991" s="109"/>
      <c r="D7991" s="109"/>
      <c r="E7991" s="109"/>
      <c r="F7991" s="109"/>
      <c r="G7991" s="109"/>
      <c r="H7991" s="109"/>
      <c r="I7991" s="109"/>
      <c r="J7991" s="109"/>
    </row>
    <row r="7992" spans="1:10" customFormat="1" ht="12.75" hidden="1">
      <c r="A7992" s="109"/>
      <c r="B7992" s="109"/>
      <c r="C7992" s="109"/>
      <c r="D7992" s="109"/>
      <c r="E7992" s="109"/>
      <c r="F7992" s="109"/>
      <c r="G7992" s="109"/>
      <c r="H7992" s="109"/>
      <c r="I7992" s="109"/>
      <c r="J7992" s="109"/>
    </row>
    <row r="7993" spans="1:10" customFormat="1" ht="12.75" hidden="1">
      <c r="A7993" s="109"/>
      <c r="B7993" s="109"/>
      <c r="C7993" s="109"/>
      <c r="D7993" s="109"/>
      <c r="E7993" s="109"/>
      <c r="F7993" s="109"/>
      <c r="G7993" s="109"/>
      <c r="H7993" s="109"/>
      <c r="I7993" s="109"/>
      <c r="J7993" s="109"/>
    </row>
    <row r="7994" spans="1:10" customFormat="1" ht="12.75" hidden="1">
      <c r="A7994" s="109"/>
      <c r="B7994" s="109"/>
      <c r="C7994" s="109"/>
      <c r="D7994" s="109"/>
      <c r="E7994" s="109"/>
      <c r="F7994" s="109"/>
      <c r="G7994" s="109"/>
      <c r="H7994" s="109"/>
      <c r="I7994" s="109"/>
      <c r="J7994" s="109"/>
    </row>
    <row r="7995" spans="1:10" customFormat="1" ht="12.75" hidden="1">
      <c r="A7995" s="109"/>
      <c r="B7995" s="109"/>
      <c r="C7995" s="109"/>
      <c r="D7995" s="109"/>
      <c r="E7995" s="109"/>
      <c r="F7995" s="109"/>
      <c r="G7995" s="109"/>
      <c r="H7995" s="109"/>
      <c r="I7995" s="109"/>
      <c r="J7995" s="109"/>
    </row>
    <row r="7996" spans="1:10" customFormat="1" ht="12.75" hidden="1">
      <c r="A7996" s="109"/>
      <c r="B7996" s="109"/>
      <c r="C7996" s="109"/>
      <c r="D7996" s="109"/>
      <c r="E7996" s="109"/>
      <c r="F7996" s="109"/>
      <c r="G7996" s="109"/>
      <c r="H7996" s="109"/>
      <c r="I7996" s="109"/>
      <c r="J7996" s="109"/>
    </row>
    <row r="7997" spans="1:10" customFormat="1" ht="12.75" hidden="1">
      <c r="A7997" s="109"/>
      <c r="B7997" s="109"/>
      <c r="C7997" s="109"/>
      <c r="D7997" s="109"/>
      <c r="E7997" s="109"/>
      <c r="F7997" s="109"/>
      <c r="G7997" s="109"/>
      <c r="H7997" s="109"/>
      <c r="I7997" s="109"/>
      <c r="J7997" s="109"/>
    </row>
    <row r="7998" spans="1:10" customFormat="1" ht="12.75" hidden="1">
      <c r="A7998" s="109"/>
      <c r="B7998" s="109"/>
      <c r="C7998" s="109"/>
      <c r="D7998" s="109"/>
      <c r="E7998" s="109"/>
      <c r="F7998" s="109"/>
      <c r="G7998" s="109"/>
      <c r="H7998" s="109"/>
      <c r="I7998" s="109"/>
      <c r="J7998" s="109"/>
    </row>
    <row r="7999" spans="1:10" customFormat="1" ht="12.75" hidden="1">
      <c r="A7999" s="109"/>
      <c r="B7999" s="109"/>
      <c r="C7999" s="109"/>
      <c r="D7999" s="109"/>
      <c r="E7999" s="109"/>
      <c r="F7999" s="109"/>
      <c r="G7999" s="109"/>
      <c r="H7999" s="109"/>
      <c r="I7999" s="109"/>
      <c r="J7999" s="109"/>
    </row>
    <row r="8000" spans="1:10" customFormat="1" ht="12.75" hidden="1">
      <c r="A8000" s="109"/>
      <c r="B8000" s="109"/>
      <c r="C8000" s="109"/>
      <c r="D8000" s="109"/>
      <c r="E8000" s="109"/>
      <c r="F8000" s="109"/>
      <c r="G8000" s="109"/>
      <c r="H8000" s="109"/>
      <c r="I8000" s="109"/>
      <c r="J8000" s="109"/>
    </row>
    <row r="8001" spans="1:10" customFormat="1" ht="12.75" hidden="1">
      <c r="A8001" s="109"/>
      <c r="B8001" s="109"/>
      <c r="C8001" s="109"/>
      <c r="D8001" s="109"/>
      <c r="E8001" s="109"/>
      <c r="F8001" s="109"/>
      <c r="G8001" s="109"/>
      <c r="H8001" s="109"/>
      <c r="I8001" s="109"/>
      <c r="J8001" s="109"/>
    </row>
    <row r="8002" spans="1:10" customFormat="1" ht="12.75" hidden="1">
      <c r="A8002" s="109"/>
      <c r="B8002" s="109"/>
      <c r="C8002" s="109"/>
      <c r="D8002" s="109"/>
      <c r="E8002" s="109"/>
      <c r="F8002" s="109"/>
      <c r="G8002" s="109"/>
      <c r="H8002" s="109"/>
      <c r="I8002" s="109"/>
      <c r="J8002" s="109"/>
    </row>
    <row r="8003" spans="1:10" customFormat="1" ht="12.75" hidden="1">
      <c r="A8003" s="109"/>
      <c r="B8003" s="109"/>
      <c r="C8003" s="109"/>
      <c r="D8003" s="109"/>
      <c r="E8003" s="109"/>
      <c r="F8003" s="109"/>
      <c r="G8003" s="109"/>
      <c r="H8003" s="109"/>
      <c r="I8003" s="109"/>
      <c r="J8003" s="109"/>
    </row>
    <row r="8004" spans="1:10" customFormat="1" ht="12.75" hidden="1">
      <c r="A8004" s="109"/>
      <c r="B8004" s="109"/>
      <c r="C8004" s="109"/>
      <c r="D8004" s="109"/>
      <c r="E8004" s="109"/>
      <c r="F8004" s="109"/>
      <c r="G8004" s="109"/>
      <c r="H8004" s="109"/>
      <c r="I8004" s="109"/>
      <c r="J8004" s="109"/>
    </row>
    <row r="8005" spans="1:10" customFormat="1" ht="12.75" hidden="1">
      <c r="A8005" s="109"/>
      <c r="B8005" s="109"/>
      <c r="C8005" s="109"/>
      <c r="D8005" s="109"/>
      <c r="E8005" s="109"/>
      <c r="F8005" s="109"/>
      <c r="G8005" s="109"/>
      <c r="H8005" s="109"/>
      <c r="I8005" s="109"/>
      <c r="J8005" s="109"/>
    </row>
    <row r="8006" spans="1:10" customFormat="1" ht="12.75" hidden="1">
      <c r="A8006" s="109"/>
      <c r="B8006" s="109"/>
      <c r="C8006" s="109"/>
      <c r="D8006" s="109"/>
      <c r="E8006" s="109"/>
      <c r="F8006" s="109"/>
      <c r="G8006" s="109"/>
      <c r="H8006" s="109"/>
      <c r="I8006" s="109"/>
      <c r="J8006" s="109"/>
    </row>
    <row r="8007" spans="1:10" customFormat="1" ht="12.75" hidden="1">
      <c r="A8007" s="109"/>
      <c r="B8007" s="109"/>
      <c r="C8007" s="109"/>
      <c r="D8007" s="109"/>
      <c r="E8007" s="109"/>
      <c r="F8007" s="109"/>
      <c r="G8007" s="109"/>
      <c r="H8007" s="109"/>
      <c r="I8007" s="109"/>
      <c r="J8007" s="109"/>
    </row>
    <row r="8008" spans="1:10" customFormat="1" ht="12.75" hidden="1">
      <c r="A8008" s="109"/>
      <c r="B8008" s="109"/>
      <c r="C8008" s="109"/>
      <c r="D8008" s="109"/>
      <c r="E8008" s="109"/>
      <c r="F8008" s="109"/>
      <c r="G8008" s="109"/>
      <c r="H8008" s="109"/>
      <c r="I8008" s="109"/>
      <c r="J8008" s="109"/>
    </row>
    <row r="8009" spans="1:10" customFormat="1" ht="12.75" hidden="1">
      <c r="A8009" s="109"/>
      <c r="B8009" s="109"/>
      <c r="C8009" s="109"/>
      <c r="D8009" s="109"/>
      <c r="E8009" s="109"/>
      <c r="F8009" s="109"/>
      <c r="G8009" s="109"/>
      <c r="H8009" s="109"/>
      <c r="I8009" s="109"/>
      <c r="J8009" s="109"/>
    </row>
    <row r="8010" spans="1:10" customFormat="1" ht="12.75" hidden="1">
      <c r="A8010" s="109"/>
      <c r="B8010" s="109"/>
      <c r="C8010" s="109"/>
      <c r="D8010" s="109"/>
      <c r="E8010" s="109"/>
      <c r="F8010" s="109"/>
      <c r="G8010" s="109"/>
      <c r="H8010" s="109"/>
      <c r="I8010" s="109"/>
      <c r="J8010" s="109"/>
    </row>
    <row r="8011" spans="1:10" customFormat="1" ht="12.75" hidden="1">
      <c r="A8011" s="109"/>
      <c r="B8011" s="109"/>
      <c r="C8011" s="109"/>
      <c r="D8011" s="109"/>
      <c r="E8011" s="109"/>
      <c r="F8011" s="109"/>
      <c r="G8011" s="109"/>
      <c r="H8011" s="109"/>
      <c r="I8011" s="109"/>
      <c r="J8011" s="109"/>
    </row>
    <row r="8012" spans="1:10" customFormat="1" ht="12.75" hidden="1">
      <c r="A8012" s="109"/>
      <c r="B8012" s="109"/>
      <c r="C8012" s="109"/>
      <c r="D8012" s="109"/>
      <c r="E8012" s="109"/>
      <c r="F8012" s="109"/>
      <c r="G8012" s="109"/>
      <c r="H8012" s="109"/>
      <c r="I8012" s="109"/>
      <c r="J8012" s="109"/>
    </row>
    <row r="8013" spans="1:10" customFormat="1" ht="12.75" hidden="1">
      <c r="A8013" s="109"/>
      <c r="B8013" s="109"/>
      <c r="C8013" s="109"/>
      <c r="D8013" s="109"/>
      <c r="E8013" s="109"/>
      <c r="F8013" s="109"/>
      <c r="G8013" s="109"/>
      <c r="H8013" s="109"/>
      <c r="I8013" s="109"/>
      <c r="J8013" s="109"/>
    </row>
    <row r="8014" spans="1:10" customFormat="1" ht="12.75" hidden="1">
      <c r="A8014" s="109"/>
      <c r="B8014" s="109"/>
      <c r="C8014" s="109"/>
      <c r="D8014" s="109"/>
      <c r="E8014" s="109"/>
      <c r="F8014" s="109"/>
      <c r="G8014" s="109"/>
      <c r="H8014" s="109"/>
      <c r="I8014" s="109"/>
      <c r="J8014" s="109"/>
    </row>
    <row r="8015" spans="1:10" customFormat="1" ht="12.75" hidden="1">
      <c r="A8015" s="109"/>
      <c r="B8015" s="109"/>
      <c r="C8015" s="109"/>
      <c r="D8015" s="109"/>
      <c r="E8015" s="109"/>
      <c r="F8015" s="109"/>
      <c r="G8015" s="109"/>
      <c r="H8015" s="109"/>
      <c r="I8015" s="109"/>
      <c r="J8015" s="109"/>
    </row>
    <row r="8016" spans="1:10" customFormat="1" ht="12.75" hidden="1">
      <c r="A8016" s="109"/>
      <c r="B8016" s="109"/>
      <c r="C8016" s="109"/>
      <c r="D8016" s="109"/>
      <c r="E8016" s="109"/>
      <c r="F8016" s="109"/>
      <c r="G8016" s="109"/>
      <c r="H8016" s="109"/>
      <c r="I8016" s="109"/>
      <c r="J8016" s="109"/>
    </row>
    <row r="8017" spans="1:10" customFormat="1" ht="12.75" hidden="1">
      <c r="A8017" s="109"/>
      <c r="B8017" s="109"/>
      <c r="C8017" s="109"/>
      <c r="D8017" s="109"/>
      <c r="E8017" s="109"/>
      <c r="F8017" s="109"/>
      <c r="G8017" s="109"/>
      <c r="H8017" s="109"/>
      <c r="I8017" s="109"/>
      <c r="J8017" s="109"/>
    </row>
    <row r="8018" spans="1:10" customFormat="1" ht="12.75" hidden="1">
      <c r="A8018" s="109"/>
      <c r="B8018" s="109"/>
      <c r="C8018" s="109"/>
      <c r="D8018" s="109"/>
      <c r="E8018" s="109"/>
      <c r="F8018" s="109"/>
      <c r="G8018" s="109"/>
      <c r="H8018" s="109"/>
      <c r="I8018" s="109"/>
      <c r="J8018" s="109"/>
    </row>
    <row r="8019" spans="1:10" customFormat="1" ht="12.75" hidden="1">
      <c r="A8019" s="109"/>
      <c r="B8019" s="109"/>
      <c r="C8019" s="109"/>
      <c r="D8019" s="109"/>
      <c r="E8019" s="109"/>
      <c r="F8019" s="109"/>
      <c r="G8019" s="109"/>
      <c r="H8019" s="109"/>
      <c r="I8019" s="109"/>
      <c r="J8019" s="109"/>
    </row>
    <row r="8020" spans="1:10" customFormat="1" ht="12.75" hidden="1">
      <c r="A8020" s="109"/>
      <c r="B8020" s="109"/>
      <c r="C8020" s="109"/>
      <c r="D8020" s="109"/>
      <c r="E8020" s="109"/>
      <c r="F8020" s="109"/>
      <c r="G8020" s="109"/>
      <c r="H8020" s="109"/>
      <c r="I8020" s="109"/>
      <c r="J8020" s="109"/>
    </row>
    <row r="8021" spans="1:10" customFormat="1" ht="12.75" hidden="1">
      <c r="A8021" s="109"/>
      <c r="B8021" s="109"/>
      <c r="C8021" s="109"/>
      <c r="D8021" s="109"/>
      <c r="E8021" s="109"/>
      <c r="F8021" s="109"/>
      <c r="G8021" s="109"/>
      <c r="H8021" s="109"/>
      <c r="I8021" s="109"/>
      <c r="J8021" s="109"/>
    </row>
    <row r="8022" spans="1:10" customFormat="1" ht="12.75" hidden="1">
      <c r="A8022" s="109"/>
      <c r="B8022" s="109"/>
      <c r="C8022" s="109"/>
      <c r="D8022" s="109"/>
      <c r="E8022" s="109"/>
      <c r="F8022" s="109"/>
      <c r="G8022" s="109"/>
      <c r="H8022" s="109"/>
      <c r="I8022" s="109"/>
      <c r="J8022" s="109"/>
    </row>
    <row r="8023" spans="1:10" customFormat="1" ht="12.75" hidden="1">
      <c r="A8023" s="109"/>
      <c r="B8023" s="109"/>
      <c r="C8023" s="109"/>
      <c r="D8023" s="109"/>
      <c r="E8023" s="109"/>
      <c r="F8023" s="109"/>
      <c r="G8023" s="109"/>
      <c r="H8023" s="109"/>
      <c r="I8023" s="109"/>
      <c r="J8023" s="109"/>
    </row>
    <row r="8024" spans="1:10" customFormat="1" ht="12.75" hidden="1">
      <c r="A8024" s="109"/>
      <c r="B8024" s="109"/>
      <c r="C8024" s="109"/>
      <c r="D8024" s="109"/>
      <c r="E8024" s="109"/>
      <c r="F8024" s="109"/>
      <c r="G8024" s="109"/>
      <c r="H8024" s="109"/>
      <c r="I8024" s="109"/>
      <c r="J8024" s="109"/>
    </row>
    <row r="8025" spans="1:10" customFormat="1" ht="12.75" hidden="1">
      <c r="A8025" s="109"/>
      <c r="B8025" s="109"/>
      <c r="C8025" s="109"/>
      <c r="D8025" s="109"/>
      <c r="E8025" s="109"/>
      <c r="F8025" s="109"/>
      <c r="G8025" s="109"/>
      <c r="H8025" s="109"/>
      <c r="I8025" s="109"/>
      <c r="J8025" s="109"/>
    </row>
    <row r="8026" spans="1:10" customFormat="1" ht="12.75" hidden="1">
      <c r="A8026" s="109"/>
      <c r="B8026" s="109"/>
      <c r="C8026" s="109"/>
      <c r="D8026" s="109"/>
      <c r="E8026" s="109"/>
      <c r="F8026" s="109"/>
      <c r="G8026" s="109"/>
      <c r="H8026" s="109"/>
      <c r="I8026" s="109"/>
      <c r="J8026" s="109"/>
    </row>
    <row r="8027" spans="1:10" customFormat="1" ht="12.75" hidden="1">
      <c r="A8027" s="109"/>
      <c r="B8027" s="109"/>
      <c r="C8027" s="109"/>
      <c r="D8027" s="109"/>
      <c r="E8027" s="109"/>
      <c r="F8027" s="109"/>
      <c r="G8027" s="109"/>
      <c r="H8027" s="109"/>
      <c r="I8027" s="109"/>
      <c r="J8027" s="109"/>
    </row>
    <row r="8028" spans="1:10" customFormat="1" ht="12.75" hidden="1">
      <c r="A8028" s="109"/>
      <c r="B8028" s="109"/>
      <c r="C8028" s="109"/>
      <c r="D8028" s="109"/>
      <c r="E8028" s="109"/>
      <c r="F8028" s="109"/>
      <c r="G8028" s="109"/>
      <c r="H8028" s="109"/>
      <c r="I8028" s="109"/>
      <c r="J8028" s="109"/>
    </row>
    <row r="8029" spans="1:10" customFormat="1" ht="12.75" hidden="1">
      <c r="A8029" s="109"/>
      <c r="B8029" s="109"/>
      <c r="C8029" s="109"/>
      <c r="D8029" s="109"/>
      <c r="E8029" s="109"/>
      <c r="F8029" s="109"/>
      <c r="G8029" s="109"/>
      <c r="H8029" s="109"/>
      <c r="I8029" s="109"/>
      <c r="J8029" s="109"/>
    </row>
    <row r="8030" spans="1:10" customFormat="1" ht="12.75" hidden="1">
      <c r="A8030" s="109"/>
      <c r="B8030" s="109"/>
      <c r="C8030" s="109"/>
      <c r="D8030" s="109"/>
      <c r="E8030" s="109"/>
      <c r="F8030" s="109"/>
      <c r="G8030" s="109"/>
      <c r="H8030" s="109"/>
      <c r="I8030" s="109"/>
      <c r="J8030" s="109"/>
    </row>
    <row r="8031" spans="1:10" customFormat="1" ht="12.75" hidden="1">
      <c r="A8031" s="109"/>
      <c r="B8031" s="109"/>
      <c r="C8031" s="109"/>
      <c r="D8031" s="109"/>
      <c r="E8031" s="109"/>
      <c r="F8031" s="109"/>
      <c r="G8031" s="109"/>
      <c r="H8031" s="109"/>
      <c r="I8031" s="109"/>
      <c r="J8031" s="109"/>
    </row>
    <row r="8032" spans="1:10" customFormat="1" ht="12.75" hidden="1">
      <c r="A8032" s="109"/>
      <c r="B8032" s="109"/>
      <c r="C8032" s="109"/>
      <c r="D8032" s="109"/>
      <c r="E8032" s="109"/>
      <c r="F8032" s="109"/>
      <c r="G8032" s="109"/>
      <c r="H8032" s="109"/>
      <c r="I8032" s="109"/>
      <c r="J8032" s="109"/>
    </row>
    <row r="8033" spans="1:10" customFormat="1" ht="12.75" hidden="1">
      <c r="A8033" s="109"/>
      <c r="B8033" s="109"/>
      <c r="C8033" s="109"/>
      <c r="D8033" s="109"/>
      <c r="E8033" s="109"/>
      <c r="F8033" s="109"/>
      <c r="G8033" s="109"/>
      <c r="H8033" s="109"/>
      <c r="I8033" s="109"/>
      <c r="J8033" s="109"/>
    </row>
    <row r="8034" spans="1:10" customFormat="1" ht="12.75" hidden="1">
      <c r="A8034" s="109"/>
      <c r="B8034" s="109"/>
      <c r="C8034" s="109"/>
      <c r="D8034" s="109"/>
      <c r="E8034" s="109"/>
      <c r="F8034" s="109"/>
      <c r="G8034" s="109"/>
      <c r="H8034" s="109"/>
      <c r="I8034" s="109"/>
      <c r="J8034" s="109"/>
    </row>
    <row r="8035" spans="1:10" customFormat="1" ht="12.75" hidden="1">
      <c r="A8035" s="109"/>
      <c r="B8035" s="109"/>
      <c r="C8035" s="109"/>
      <c r="D8035" s="109"/>
      <c r="E8035" s="109"/>
      <c r="F8035" s="109"/>
      <c r="G8035" s="109"/>
      <c r="H8035" s="109"/>
      <c r="I8035" s="109"/>
      <c r="J8035" s="109"/>
    </row>
    <row r="8036" spans="1:10" customFormat="1" ht="12.75" hidden="1">
      <c r="A8036" s="109"/>
      <c r="B8036" s="109"/>
      <c r="C8036" s="109"/>
      <c r="D8036" s="109"/>
      <c r="E8036" s="109"/>
      <c r="F8036" s="109"/>
      <c r="G8036" s="109"/>
      <c r="H8036" s="109"/>
      <c r="I8036" s="109"/>
      <c r="J8036" s="109"/>
    </row>
    <row r="8037" spans="1:10" customFormat="1" ht="12.75" hidden="1">
      <c r="A8037" s="109"/>
      <c r="B8037" s="109"/>
      <c r="C8037" s="109"/>
      <c r="D8037" s="109"/>
      <c r="E8037" s="109"/>
      <c r="F8037" s="109"/>
      <c r="G8037" s="109"/>
      <c r="H8037" s="109"/>
      <c r="I8037" s="109"/>
      <c r="J8037" s="109"/>
    </row>
    <row r="8038" spans="1:10" customFormat="1" ht="12.75" hidden="1">
      <c r="A8038" s="109"/>
      <c r="B8038" s="109"/>
      <c r="C8038" s="109"/>
      <c r="D8038" s="109"/>
      <c r="E8038" s="109"/>
      <c r="F8038" s="109"/>
      <c r="G8038" s="109"/>
      <c r="H8038" s="109"/>
      <c r="I8038" s="109"/>
      <c r="J8038" s="109"/>
    </row>
    <row r="8039" spans="1:10" customFormat="1" ht="12.75" hidden="1">
      <c r="A8039" s="109"/>
      <c r="B8039" s="109"/>
      <c r="C8039" s="109"/>
      <c r="D8039" s="109"/>
      <c r="E8039" s="109"/>
      <c r="F8039" s="109"/>
      <c r="G8039" s="109"/>
      <c r="H8039" s="109"/>
      <c r="I8039" s="109"/>
      <c r="J8039" s="109"/>
    </row>
    <row r="8040" spans="1:10" customFormat="1" ht="12.75" hidden="1">
      <c r="A8040" s="109"/>
      <c r="B8040" s="109"/>
      <c r="C8040" s="109"/>
      <c r="D8040" s="109"/>
      <c r="E8040" s="109"/>
      <c r="F8040" s="109"/>
      <c r="G8040" s="109"/>
      <c r="H8040" s="109"/>
      <c r="I8040" s="109"/>
      <c r="J8040" s="109"/>
    </row>
    <row r="8041" spans="1:10" customFormat="1" ht="12.75" hidden="1">
      <c r="A8041" s="109"/>
      <c r="B8041" s="109"/>
      <c r="C8041" s="109"/>
      <c r="D8041" s="109"/>
      <c r="E8041" s="109"/>
      <c r="F8041" s="109"/>
      <c r="G8041" s="109"/>
      <c r="H8041" s="109"/>
      <c r="I8041" s="109"/>
      <c r="J8041" s="109"/>
    </row>
    <row r="8042" spans="1:10" customFormat="1" ht="12.75" hidden="1">
      <c r="A8042" s="109"/>
      <c r="B8042" s="109"/>
      <c r="C8042" s="109"/>
      <c r="D8042" s="109"/>
      <c r="E8042" s="109"/>
      <c r="F8042" s="109"/>
      <c r="G8042" s="109"/>
      <c r="H8042" s="109"/>
      <c r="I8042" s="109"/>
      <c r="J8042" s="109"/>
    </row>
    <row r="8043" spans="1:10" customFormat="1" ht="12.75" hidden="1">
      <c r="A8043" s="109"/>
      <c r="B8043" s="109"/>
      <c r="C8043" s="109"/>
      <c r="D8043" s="109"/>
      <c r="E8043" s="109"/>
      <c r="F8043" s="109"/>
      <c r="G8043" s="109"/>
      <c r="H8043" s="109"/>
      <c r="I8043" s="109"/>
      <c r="J8043" s="109"/>
    </row>
    <row r="8044" spans="1:10" customFormat="1" ht="12.75" hidden="1">
      <c r="A8044" s="109"/>
      <c r="B8044" s="109"/>
      <c r="C8044" s="109"/>
      <c r="D8044" s="109"/>
      <c r="E8044" s="109"/>
      <c r="F8044" s="109"/>
      <c r="G8044" s="109"/>
      <c r="H8044" s="109"/>
      <c r="I8044" s="109"/>
      <c r="J8044" s="109"/>
    </row>
    <row r="8045" spans="1:10" customFormat="1" ht="12.75" hidden="1">
      <c r="A8045" s="109"/>
      <c r="B8045" s="109"/>
      <c r="C8045" s="109"/>
      <c r="D8045" s="109"/>
      <c r="E8045" s="109"/>
      <c r="F8045" s="109"/>
      <c r="G8045" s="109"/>
      <c r="H8045" s="109"/>
      <c r="I8045" s="109"/>
      <c r="J8045" s="109"/>
    </row>
    <row r="8046" spans="1:10" customFormat="1" ht="12.75" hidden="1">
      <c r="A8046" s="109"/>
      <c r="B8046" s="109"/>
      <c r="C8046" s="109"/>
      <c r="D8046" s="109"/>
      <c r="E8046" s="109"/>
      <c r="F8046" s="109"/>
      <c r="G8046" s="109"/>
      <c r="H8046" s="109"/>
      <c r="I8046" s="109"/>
      <c r="J8046" s="109"/>
    </row>
    <row r="8047" spans="1:10" customFormat="1" ht="12.75" hidden="1">
      <c r="A8047" s="109"/>
      <c r="B8047" s="109"/>
      <c r="C8047" s="109"/>
      <c r="D8047" s="109"/>
      <c r="E8047" s="109"/>
      <c r="F8047" s="109"/>
      <c r="G8047" s="109"/>
      <c r="H8047" s="109"/>
      <c r="I8047" s="109"/>
      <c r="J8047" s="109"/>
    </row>
    <row r="8048" spans="1:10" customFormat="1" ht="12.75" hidden="1">
      <c r="A8048" s="109"/>
      <c r="B8048" s="109"/>
      <c r="C8048" s="109"/>
      <c r="D8048" s="109"/>
      <c r="E8048" s="109"/>
      <c r="F8048" s="109"/>
      <c r="G8048" s="109"/>
      <c r="H8048" s="109"/>
      <c r="I8048" s="109"/>
      <c r="J8048" s="109"/>
    </row>
    <row r="8049" spans="1:10" customFormat="1" ht="12.75" hidden="1">
      <c r="A8049" s="109"/>
      <c r="B8049" s="109"/>
      <c r="C8049" s="109"/>
      <c r="D8049" s="109"/>
      <c r="E8049" s="109"/>
      <c r="F8049" s="109"/>
      <c r="G8049" s="109"/>
      <c r="H8049" s="109"/>
      <c r="I8049" s="109"/>
      <c r="J8049" s="109"/>
    </row>
    <row r="8050" spans="1:10" customFormat="1" ht="12.75" hidden="1">
      <c r="A8050" s="109"/>
      <c r="B8050" s="109"/>
      <c r="C8050" s="109"/>
      <c r="D8050" s="109"/>
      <c r="E8050" s="109"/>
      <c r="F8050" s="109"/>
      <c r="G8050" s="109"/>
      <c r="H8050" s="109"/>
      <c r="I8050" s="109"/>
      <c r="J8050" s="109"/>
    </row>
    <row r="8051" spans="1:10" customFormat="1" ht="12.75" hidden="1">
      <c r="A8051" s="109"/>
      <c r="B8051" s="109"/>
      <c r="C8051" s="109"/>
      <c r="D8051" s="109"/>
      <c r="E8051" s="109"/>
      <c r="F8051" s="109"/>
      <c r="G8051" s="109"/>
      <c r="H8051" s="109"/>
      <c r="I8051" s="109"/>
      <c r="J8051" s="109"/>
    </row>
    <row r="8052" spans="1:10" customFormat="1" ht="12.75" hidden="1">
      <c r="A8052" s="109"/>
      <c r="B8052" s="109"/>
      <c r="C8052" s="109"/>
      <c r="D8052" s="109"/>
      <c r="E8052" s="109"/>
      <c r="F8052" s="109"/>
      <c r="G8052" s="109"/>
      <c r="H8052" s="109"/>
      <c r="I8052" s="109"/>
      <c r="J8052" s="109"/>
    </row>
    <row r="8053" spans="1:10" customFormat="1" ht="12.75" hidden="1">
      <c r="A8053" s="109"/>
      <c r="B8053" s="109"/>
      <c r="C8053" s="109"/>
      <c r="D8053" s="109"/>
      <c r="E8053" s="109"/>
      <c r="F8053" s="109"/>
      <c r="G8053" s="109"/>
      <c r="H8053" s="109"/>
      <c r="I8053" s="109"/>
      <c r="J8053" s="109"/>
    </row>
    <row r="8054" spans="1:10" customFormat="1" ht="12.75" hidden="1">
      <c r="A8054" s="109"/>
      <c r="B8054" s="109"/>
      <c r="C8054" s="109"/>
      <c r="D8054" s="109"/>
      <c r="E8054" s="109"/>
      <c r="F8054" s="109"/>
      <c r="G8054" s="109"/>
      <c r="H8054" s="109"/>
      <c r="I8054" s="109"/>
      <c r="J8054" s="109"/>
    </row>
    <row r="8055" spans="1:10" customFormat="1" ht="12.75" hidden="1">
      <c r="A8055" s="109"/>
      <c r="B8055" s="109"/>
      <c r="C8055" s="109"/>
      <c r="D8055" s="109"/>
      <c r="E8055" s="109"/>
      <c r="F8055" s="109"/>
      <c r="G8055" s="109"/>
      <c r="H8055" s="109"/>
      <c r="I8055" s="109"/>
      <c r="J8055" s="109"/>
    </row>
    <row r="8056" spans="1:10" customFormat="1" ht="12.75" hidden="1">
      <c r="A8056" s="109"/>
      <c r="B8056" s="109"/>
      <c r="C8056" s="109"/>
      <c r="D8056" s="109"/>
      <c r="E8056" s="109"/>
      <c r="F8056" s="109"/>
      <c r="G8056" s="109"/>
      <c r="H8056" s="109"/>
      <c r="I8056" s="109"/>
      <c r="J8056" s="109"/>
    </row>
    <row r="8057" spans="1:10" customFormat="1" ht="12.75" hidden="1">
      <c r="A8057" s="109"/>
      <c r="B8057" s="109"/>
      <c r="C8057" s="109"/>
      <c r="D8057" s="109"/>
      <c r="E8057" s="109"/>
      <c r="F8057" s="109"/>
      <c r="G8057" s="109"/>
      <c r="H8057" s="109"/>
      <c r="I8057" s="109"/>
      <c r="J8057" s="109"/>
    </row>
    <row r="8058" spans="1:10" customFormat="1" ht="12.75" hidden="1">
      <c r="A8058" s="109"/>
      <c r="B8058" s="109"/>
      <c r="C8058" s="109"/>
      <c r="D8058" s="109"/>
      <c r="E8058" s="109"/>
      <c r="F8058" s="109"/>
      <c r="G8058" s="109"/>
      <c r="H8058" s="109"/>
      <c r="I8058" s="109"/>
      <c r="J8058" s="109"/>
    </row>
    <row r="8059" spans="1:10" customFormat="1" ht="12.75" hidden="1">
      <c r="A8059" s="109"/>
      <c r="B8059" s="109"/>
      <c r="C8059" s="109"/>
      <c r="D8059" s="109"/>
      <c r="E8059" s="109"/>
      <c r="F8059" s="109"/>
      <c r="G8059" s="109"/>
      <c r="H8059" s="109"/>
      <c r="I8059" s="109"/>
      <c r="J8059" s="109"/>
    </row>
    <row r="8060" spans="1:10" customFormat="1" ht="12.75" hidden="1">
      <c r="A8060" s="109"/>
      <c r="B8060" s="109"/>
      <c r="C8060" s="109"/>
      <c r="D8060" s="109"/>
      <c r="E8060" s="109"/>
      <c r="F8060" s="109"/>
      <c r="G8060" s="109"/>
      <c r="H8060" s="109"/>
      <c r="I8060" s="109"/>
      <c r="J8060" s="109"/>
    </row>
    <row r="8061" spans="1:10" customFormat="1" ht="12.75" hidden="1">
      <c r="A8061" s="109"/>
      <c r="B8061" s="109"/>
      <c r="C8061" s="109"/>
      <c r="D8061" s="109"/>
      <c r="E8061" s="109"/>
      <c r="F8061" s="109"/>
      <c r="G8061" s="109"/>
      <c r="H8061" s="109"/>
      <c r="I8061" s="109"/>
      <c r="J8061" s="109"/>
    </row>
    <row r="8062" spans="1:10" customFormat="1" ht="12.75" hidden="1">
      <c r="A8062" s="109"/>
      <c r="B8062" s="109"/>
      <c r="C8062" s="109"/>
      <c r="D8062" s="109"/>
      <c r="E8062" s="109"/>
      <c r="F8062" s="109"/>
      <c r="G8062" s="109"/>
      <c r="H8062" s="109"/>
      <c r="I8062" s="109"/>
      <c r="J8062" s="109"/>
    </row>
    <row r="8063" spans="1:10" customFormat="1" ht="12.75" hidden="1">
      <c r="A8063" s="109"/>
      <c r="B8063" s="109"/>
      <c r="C8063" s="109"/>
      <c r="D8063" s="109"/>
      <c r="E8063" s="109"/>
      <c r="F8063" s="109"/>
      <c r="G8063" s="109"/>
      <c r="H8063" s="109"/>
      <c r="I8063" s="109"/>
      <c r="J8063" s="109"/>
    </row>
    <row r="8064" spans="1:10" customFormat="1" ht="12.75" hidden="1">
      <c r="A8064" s="109"/>
      <c r="B8064" s="109"/>
      <c r="C8064" s="109"/>
      <c r="D8064" s="109"/>
      <c r="E8064" s="109"/>
      <c r="F8064" s="109"/>
      <c r="G8064" s="109"/>
      <c r="H8064" s="109"/>
      <c r="I8064" s="109"/>
      <c r="J8064" s="109"/>
    </row>
    <row r="8065" spans="1:10" customFormat="1" ht="12.75" hidden="1">
      <c r="A8065" s="109"/>
      <c r="B8065" s="109"/>
      <c r="C8065" s="109"/>
      <c r="D8065" s="109"/>
      <c r="E8065" s="109"/>
      <c r="F8065" s="109"/>
      <c r="G8065" s="109"/>
      <c r="H8065" s="109"/>
      <c r="I8065" s="109"/>
      <c r="J8065" s="109"/>
    </row>
    <row r="8066" spans="1:10" customFormat="1" ht="12.75" hidden="1">
      <c r="A8066" s="109"/>
      <c r="B8066" s="109"/>
      <c r="C8066" s="109"/>
      <c r="D8066" s="109"/>
      <c r="E8066" s="109"/>
      <c r="F8066" s="109"/>
      <c r="G8066" s="109"/>
      <c r="H8066" s="109"/>
      <c r="I8066" s="109"/>
      <c r="J8066" s="109"/>
    </row>
    <row r="8067" spans="1:10" customFormat="1" ht="12.75" hidden="1">
      <c r="A8067" s="109"/>
      <c r="B8067" s="109"/>
      <c r="C8067" s="109"/>
      <c r="D8067" s="109"/>
      <c r="E8067" s="109"/>
      <c r="F8067" s="109"/>
      <c r="G8067" s="109"/>
      <c r="H8067" s="109"/>
      <c r="I8067" s="109"/>
      <c r="J8067" s="109"/>
    </row>
    <row r="8068" spans="1:10" customFormat="1" ht="12.75" hidden="1">
      <c r="A8068" s="109"/>
      <c r="B8068" s="109"/>
      <c r="C8068" s="109"/>
      <c r="D8068" s="109"/>
      <c r="E8068" s="109"/>
      <c r="F8068" s="109"/>
      <c r="G8068" s="109"/>
      <c r="H8068" s="109"/>
      <c r="I8068" s="109"/>
      <c r="J8068" s="109"/>
    </row>
    <row r="8069" spans="1:10" customFormat="1" ht="12.75" hidden="1">
      <c r="A8069" s="109"/>
      <c r="B8069" s="109"/>
      <c r="C8069" s="109"/>
      <c r="D8069" s="109"/>
      <c r="E8069" s="109"/>
      <c r="F8069" s="109"/>
      <c r="G8069" s="109"/>
      <c r="H8069" s="109"/>
      <c r="I8069" s="109"/>
      <c r="J8069" s="109"/>
    </row>
    <row r="8070" spans="1:10" customFormat="1" ht="12.75" hidden="1">
      <c r="A8070" s="109"/>
      <c r="B8070" s="109"/>
      <c r="C8070" s="109"/>
      <c r="D8070" s="109"/>
      <c r="E8070" s="109"/>
      <c r="F8070" s="109"/>
      <c r="G8070" s="109"/>
      <c r="H8070" s="109"/>
      <c r="I8070" s="109"/>
      <c r="J8070" s="109"/>
    </row>
    <row r="8071" spans="1:10" customFormat="1" ht="12.75" hidden="1">
      <c r="A8071" s="109"/>
      <c r="B8071" s="109"/>
      <c r="C8071" s="109"/>
      <c r="D8071" s="109"/>
      <c r="E8071" s="109"/>
      <c r="F8071" s="109"/>
      <c r="G8071" s="109"/>
      <c r="H8071" s="109"/>
      <c r="I8071" s="109"/>
      <c r="J8071" s="109"/>
    </row>
    <row r="8072" spans="1:10" customFormat="1" ht="12.75" hidden="1">
      <c r="A8072" s="109"/>
      <c r="B8072" s="109"/>
      <c r="C8072" s="109"/>
      <c r="D8072" s="109"/>
      <c r="E8072" s="109"/>
      <c r="F8072" s="109"/>
      <c r="G8072" s="109"/>
      <c r="H8072" s="109"/>
      <c r="I8072" s="109"/>
      <c r="J8072" s="109"/>
    </row>
    <row r="8073" spans="1:10" customFormat="1" ht="12.75" hidden="1">
      <c r="A8073" s="109"/>
      <c r="B8073" s="109"/>
      <c r="C8073" s="109"/>
      <c r="D8073" s="109"/>
      <c r="E8073" s="109"/>
      <c r="F8073" s="109"/>
      <c r="G8073" s="109"/>
      <c r="H8073" s="109"/>
      <c r="I8073" s="109"/>
      <c r="J8073" s="109"/>
    </row>
    <row r="8074" spans="1:10" customFormat="1" ht="12.75" hidden="1">
      <c r="A8074" s="109"/>
      <c r="B8074" s="109"/>
      <c r="C8074" s="109"/>
      <c r="D8074" s="109"/>
      <c r="E8074" s="109"/>
      <c r="F8074" s="109"/>
      <c r="G8074" s="109"/>
      <c r="H8074" s="109"/>
      <c r="I8074" s="109"/>
      <c r="J8074" s="109"/>
    </row>
    <row r="8075" spans="1:10" customFormat="1" ht="12.75" hidden="1">
      <c r="A8075" s="109"/>
      <c r="B8075" s="109"/>
      <c r="C8075" s="109"/>
      <c r="D8075" s="109"/>
      <c r="E8075" s="109"/>
      <c r="F8075" s="109"/>
      <c r="G8075" s="109"/>
      <c r="H8075" s="109"/>
      <c r="I8075" s="109"/>
      <c r="J8075" s="109"/>
    </row>
    <row r="8076" spans="1:10" customFormat="1" ht="12.75" hidden="1">
      <c r="A8076" s="109"/>
      <c r="B8076" s="109"/>
      <c r="C8076" s="109"/>
      <c r="D8076" s="109"/>
      <c r="E8076" s="109"/>
      <c r="F8076" s="109"/>
      <c r="G8076" s="109"/>
      <c r="H8076" s="109"/>
      <c r="I8076" s="109"/>
      <c r="J8076" s="109"/>
    </row>
    <row r="8077" spans="1:10" customFormat="1" ht="12.75" hidden="1">
      <c r="A8077" s="109"/>
      <c r="B8077" s="109"/>
      <c r="C8077" s="109"/>
      <c r="D8077" s="109"/>
      <c r="E8077" s="109"/>
      <c r="F8077" s="109"/>
      <c r="G8077" s="109"/>
      <c r="H8077" s="109"/>
      <c r="I8077" s="109"/>
      <c r="J8077" s="109"/>
    </row>
    <row r="8078" spans="1:10" customFormat="1" ht="12.75" hidden="1">
      <c r="A8078" s="109"/>
      <c r="B8078" s="109"/>
      <c r="C8078" s="109"/>
      <c r="D8078" s="109"/>
      <c r="E8078" s="109"/>
      <c r="F8078" s="109"/>
      <c r="G8078" s="109"/>
      <c r="H8078" s="109"/>
      <c r="I8078" s="109"/>
      <c r="J8078" s="109"/>
    </row>
    <row r="8079" spans="1:10" customFormat="1" ht="12.75" hidden="1">
      <c r="A8079" s="109"/>
      <c r="B8079" s="109"/>
      <c r="C8079" s="109"/>
      <c r="D8079" s="109"/>
      <c r="E8079" s="109"/>
      <c r="F8079" s="109"/>
      <c r="G8079" s="109"/>
      <c r="H8079" s="109"/>
      <c r="I8079" s="109"/>
      <c r="J8079" s="109"/>
    </row>
    <row r="8080" spans="1:10" customFormat="1" ht="12.75" hidden="1">
      <c r="A8080" s="109"/>
      <c r="B8080" s="109"/>
      <c r="C8080" s="109"/>
      <c r="D8080" s="109"/>
      <c r="E8080" s="109"/>
      <c r="F8080" s="109"/>
      <c r="G8080" s="109"/>
      <c r="H8080" s="109"/>
      <c r="I8080" s="109"/>
      <c r="J8080" s="109"/>
    </row>
    <row r="8081" spans="1:10" customFormat="1" ht="12.75" hidden="1">
      <c r="A8081" s="109"/>
      <c r="B8081" s="109"/>
      <c r="C8081" s="109"/>
      <c r="D8081" s="109"/>
      <c r="E8081" s="109"/>
      <c r="F8081" s="109"/>
      <c r="G8081" s="109"/>
      <c r="H8081" s="109"/>
      <c r="I8081" s="109"/>
      <c r="J8081" s="109"/>
    </row>
    <row r="8082" spans="1:10" customFormat="1" ht="12.75" hidden="1">
      <c r="A8082" s="109"/>
      <c r="B8082" s="109"/>
      <c r="C8082" s="109"/>
      <c r="D8082" s="109"/>
      <c r="E8082" s="109"/>
      <c r="F8082" s="109"/>
      <c r="G8082" s="109"/>
      <c r="H8082" s="109"/>
      <c r="I8082" s="109"/>
      <c r="J8082" s="109"/>
    </row>
    <row r="8083" spans="1:10" customFormat="1" ht="12.75" hidden="1">
      <c r="A8083" s="109"/>
      <c r="B8083" s="109"/>
      <c r="C8083" s="109"/>
      <c r="D8083" s="109"/>
      <c r="E8083" s="109"/>
      <c r="F8083" s="109"/>
      <c r="G8083" s="109"/>
      <c r="H8083" s="109"/>
      <c r="I8083" s="109"/>
      <c r="J8083" s="109"/>
    </row>
    <row r="8084" spans="1:10" customFormat="1" ht="12.75" hidden="1">
      <c r="A8084" s="109"/>
      <c r="B8084" s="109"/>
      <c r="C8084" s="109"/>
      <c r="D8084" s="109"/>
      <c r="E8084" s="109"/>
      <c r="F8084" s="109"/>
      <c r="G8084" s="109"/>
      <c r="H8084" s="109"/>
      <c r="I8084" s="109"/>
      <c r="J8084" s="109"/>
    </row>
    <row r="8085" spans="1:10" customFormat="1" ht="12.75" hidden="1">
      <c r="A8085" s="109"/>
      <c r="B8085" s="109"/>
      <c r="C8085" s="109"/>
      <c r="D8085" s="109"/>
      <c r="E8085" s="109"/>
      <c r="F8085" s="109"/>
      <c r="G8085" s="109"/>
      <c r="H8085" s="109"/>
      <c r="I8085" s="109"/>
      <c r="J8085" s="109"/>
    </row>
    <row r="8086" spans="1:10" customFormat="1" ht="12.75" hidden="1">
      <c r="A8086" s="109"/>
      <c r="B8086" s="109"/>
      <c r="C8086" s="109"/>
      <c r="D8086" s="109"/>
      <c r="E8086" s="109"/>
      <c r="F8086" s="109"/>
      <c r="G8086" s="109"/>
      <c r="H8086" s="109"/>
      <c r="I8086" s="109"/>
      <c r="J8086" s="109"/>
    </row>
    <row r="8087" spans="1:10" customFormat="1" ht="12.75" hidden="1">
      <c r="A8087" s="109"/>
      <c r="B8087" s="109"/>
      <c r="C8087" s="109"/>
      <c r="D8087" s="109"/>
      <c r="E8087" s="109"/>
      <c r="F8087" s="109"/>
      <c r="G8087" s="109"/>
      <c r="H8087" s="109"/>
      <c r="I8087" s="109"/>
      <c r="J8087" s="109"/>
    </row>
    <row r="8088" spans="1:10" customFormat="1" ht="12.75" hidden="1">
      <c r="A8088" s="109"/>
      <c r="B8088" s="109"/>
      <c r="C8088" s="109"/>
      <c r="D8088" s="109"/>
      <c r="E8088" s="109"/>
      <c r="F8088" s="109"/>
      <c r="G8088" s="109"/>
      <c r="H8088" s="109"/>
      <c r="I8088" s="109"/>
      <c r="J8088" s="109"/>
    </row>
    <row r="8089" spans="1:10" customFormat="1" ht="12.75" hidden="1">
      <c r="A8089" s="109"/>
      <c r="B8089" s="109"/>
      <c r="C8089" s="109"/>
      <c r="D8089" s="109"/>
      <c r="E8089" s="109"/>
      <c r="F8089" s="109"/>
      <c r="G8089" s="109"/>
      <c r="H8089" s="109"/>
      <c r="I8089" s="109"/>
      <c r="J8089" s="109"/>
    </row>
    <row r="8090" spans="1:10" customFormat="1" ht="12.75" hidden="1">
      <c r="A8090" s="109"/>
      <c r="B8090" s="109"/>
      <c r="C8090" s="109"/>
      <c r="D8090" s="109"/>
      <c r="E8090" s="109"/>
      <c r="F8090" s="109"/>
      <c r="G8090" s="109"/>
      <c r="H8090" s="109"/>
      <c r="I8090" s="109"/>
      <c r="J8090" s="109"/>
    </row>
    <row r="8091" spans="1:10" customFormat="1" ht="12.75" hidden="1">
      <c r="A8091" s="109"/>
      <c r="B8091" s="109"/>
      <c r="C8091" s="109"/>
      <c r="D8091" s="109"/>
      <c r="E8091" s="109"/>
      <c r="F8091" s="109"/>
      <c r="G8091" s="109"/>
      <c r="H8091" s="109"/>
      <c r="I8091" s="109"/>
      <c r="J8091" s="109"/>
    </row>
    <row r="8092" spans="1:10" customFormat="1" ht="12.75" hidden="1">
      <c r="A8092" s="109"/>
      <c r="B8092" s="109"/>
      <c r="C8092" s="109"/>
      <c r="D8092" s="109"/>
      <c r="E8092" s="109"/>
      <c r="F8092" s="109"/>
      <c r="G8092" s="109"/>
      <c r="H8092" s="109"/>
      <c r="I8092" s="109"/>
      <c r="J8092" s="109"/>
    </row>
    <row r="8093" spans="1:10" customFormat="1" ht="12.75" hidden="1">
      <c r="A8093" s="109"/>
      <c r="B8093" s="109"/>
      <c r="C8093" s="109"/>
      <c r="D8093" s="109"/>
      <c r="E8093" s="109"/>
      <c r="F8093" s="109"/>
      <c r="G8093" s="109"/>
      <c r="H8093" s="109"/>
      <c r="I8093" s="109"/>
      <c r="J8093" s="109"/>
    </row>
    <row r="8094" spans="1:10" customFormat="1" ht="12.75" hidden="1">
      <c r="A8094" s="109"/>
      <c r="B8094" s="109"/>
      <c r="C8094" s="109"/>
      <c r="D8094" s="109"/>
      <c r="E8094" s="109"/>
      <c r="F8094" s="109"/>
      <c r="G8094" s="109"/>
      <c r="H8094" s="109"/>
      <c r="I8094" s="109"/>
      <c r="J8094" s="109"/>
    </row>
    <row r="8095" spans="1:10" customFormat="1" ht="12.75" hidden="1">
      <c r="A8095" s="109"/>
      <c r="B8095" s="109"/>
      <c r="C8095" s="109"/>
      <c r="D8095" s="109"/>
      <c r="E8095" s="109"/>
      <c r="F8095" s="109"/>
      <c r="G8095" s="109"/>
      <c r="H8095" s="109"/>
      <c r="I8095" s="109"/>
      <c r="J8095" s="109"/>
    </row>
    <row r="8096" spans="1:10" customFormat="1" ht="12.75" hidden="1">
      <c r="A8096" s="109"/>
      <c r="B8096" s="109"/>
      <c r="C8096" s="109"/>
      <c r="D8096" s="109"/>
      <c r="E8096" s="109"/>
      <c r="F8096" s="109"/>
      <c r="G8096" s="109"/>
      <c r="H8096" s="109"/>
      <c r="I8096" s="109"/>
      <c r="J8096" s="109"/>
    </row>
    <row r="8097" spans="1:10" customFormat="1" ht="12.75" hidden="1">
      <c r="A8097" s="109"/>
      <c r="B8097" s="109"/>
      <c r="C8097" s="109"/>
      <c r="D8097" s="109"/>
      <c r="E8097" s="109"/>
      <c r="F8097" s="109"/>
      <c r="G8097" s="109"/>
      <c r="H8097" s="109"/>
      <c r="I8097" s="109"/>
      <c r="J8097" s="109"/>
    </row>
    <row r="8098" spans="1:10" customFormat="1" ht="12.75" hidden="1">
      <c r="A8098" s="109"/>
      <c r="B8098" s="109"/>
      <c r="C8098" s="109"/>
      <c r="D8098" s="109"/>
      <c r="E8098" s="109"/>
      <c r="F8098" s="109"/>
      <c r="G8098" s="109"/>
      <c r="H8098" s="109"/>
      <c r="I8098" s="109"/>
      <c r="J8098" s="109"/>
    </row>
    <row r="8099" spans="1:10" customFormat="1" ht="12.75" hidden="1">
      <c r="A8099" s="109"/>
      <c r="B8099" s="109"/>
      <c r="C8099" s="109"/>
      <c r="D8099" s="109"/>
      <c r="E8099" s="109"/>
      <c r="F8099" s="109"/>
      <c r="G8099" s="109"/>
      <c r="H8099" s="109"/>
      <c r="I8099" s="109"/>
      <c r="J8099" s="109"/>
    </row>
    <row r="8100" spans="1:10" customFormat="1" ht="12.75" hidden="1">
      <c r="A8100" s="109"/>
      <c r="B8100" s="109"/>
      <c r="C8100" s="109"/>
      <c r="D8100" s="109"/>
      <c r="E8100" s="109"/>
      <c r="F8100" s="109"/>
      <c r="G8100" s="109"/>
      <c r="H8100" s="109"/>
      <c r="I8100" s="109"/>
      <c r="J8100" s="109"/>
    </row>
    <row r="8101" spans="1:10" customFormat="1" ht="12.75" hidden="1">
      <c r="A8101" s="109"/>
      <c r="B8101" s="109"/>
      <c r="C8101" s="109"/>
      <c r="D8101" s="109"/>
      <c r="E8101" s="109"/>
      <c r="F8101" s="109"/>
      <c r="G8101" s="109"/>
      <c r="H8101" s="109"/>
      <c r="I8101" s="109"/>
      <c r="J8101" s="109"/>
    </row>
    <row r="8102" spans="1:10" customFormat="1" ht="12.75" hidden="1">
      <c r="A8102" s="109"/>
      <c r="B8102" s="109"/>
      <c r="C8102" s="109"/>
      <c r="D8102" s="109"/>
      <c r="E8102" s="109"/>
      <c r="F8102" s="109"/>
      <c r="G8102" s="109"/>
      <c r="H8102" s="109"/>
      <c r="I8102" s="109"/>
      <c r="J8102" s="109"/>
    </row>
    <row r="8103" spans="1:10" customFormat="1" ht="12.75" hidden="1">
      <c r="A8103" s="109"/>
      <c r="B8103" s="109"/>
      <c r="C8103" s="109"/>
      <c r="D8103" s="109"/>
      <c r="E8103" s="109"/>
      <c r="F8103" s="109"/>
      <c r="G8103" s="109"/>
      <c r="H8103" s="109"/>
      <c r="I8103" s="109"/>
      <c r="J8103" s="109"/>
    </row>
    <row r="8104" spans="1:10" customFormat="1" ht="12.75" hidden="1">
      <c r="A8104" s="109"/>
      <c r="B8104" s="109"/>
      <c r="C8104" s="109"/>
      <c r="D8104" s="109"/>
      <c r="E8104" s="109"/>
      <c r="F8104" s="109"/>
      <c r="G8104" s="109"/>
      <c r="H8104" s="109"/>
      <c r="I8104" s="109"/>
      <c r="J8104" s="109"/>
    </row>
    <row r="8105" spans="1:10" customFormat="1" ht="12.75" hidden="1">
      <c r="A8105" s="109"/>
      <c r="B8105" s="109"/>
      <c r="C8105" s="109"/>
      <c r="D8105" s="109"/>
      <c r="E8105" s="109"/>
      <c r="F8105" s="109"/>
      <c r="G8105" s="109"/>
      <c r="H8105" s="109"/>
      <c r="I8105" s="109"/>
      <c r="J8105" s="109"/>
    </row>
    <row r="8106" spans="1:10" customFormat="1" ht="12.75" hidden="1">
      <c r="A8106" s="109"/>
      <c r="B8106" s="109"/>
      <c r="C8106" s="109"/>
      <c r="D8106" s="109"/>
      <c r="E8106" s="109"/>
      <c r="F8106" s="109"/>
      <c r="G8106" s="109"/>
      <c r="H8106" s="109"/>
      <c r="I8106" s="109"/>
      <c r="J8106" s="109"/>
    </row>
    <row r="8107" spans="1:10" customFormat="1" ht="12.75" hidden="1">
      <c r="A8107" s="109"/>
      <c r="B8107" s="109"/>
      <c r="C8107" s="109"/>
      <c r="D8107" s="109"/>
      <c r="E8107" s="109"/>
      <c r="F8107" s="109"/>
      <c r="G8107" s="109"/>
      <c r="H8107" s="109"/>
      <c r="I8107" s="109"/>
      <c r="J8107" s="109"/>
    </row>
    <row r="8108" spans="1:10" customFormat="1" ht="12.75" hidden="1">
      <c r="A8108" s="109"/>
      <c r="B8108" s="109"/>
      <c r="C8108" s="109"/>
      <c r="D8108" s="109"/>
      <c r="E8108" s="109"/>
      <c r="F8108" s="109"/>
      <c r="G8108" s="109"/>
      <c r="H8108" s="109"/>
      <c r="I8108" s="109"/>
      <c r="J8108" s="109"/>
    </row>
    <row r="8109" spans="1:10" customFormat="1" ht="12.75" hidden="1">
      <c r="A8109" s="109"/>
      <c r="B8109" s="109"/>
      <c r="C8109" s="109"/>
      <c r="D8109" s="109"/>
      <c r="E8109" s="109"/>
      <c r="F8109" s="109"/>
      <c r="G8109" s="109"/>
      <c r="H8109" s="109"/>
      <c r="I8109" s="109"/>
      <c r="J8109" s="109"/>
    </row>
    <row r="8110" spans="1:10" customFormat="1" ht="12.75" hidden="1">
      <c r="A8110" s="109"/>
      <c r="B8110" s="109"/>
      <c r="C8110" s="109"/>
      <c r="D8110" s="109"/>
      <c r="E8110" s="109"/>
      <c r="F8110" s="109"/>
      <c r="G8110" s="109"/>
      <c r="H8110" s="109"/>
      <c r="I8110" s="109"/>
      <c r="J8110" s="109"/>
    </row>
    <row r="8111" spans="1:10" customFormat="1" ht="12.75" hidden="1">
      <c r="A8111" s="109"/>
      <c r="B8111" s="109"/>
      <c r="C8111" s="109"/>
      <c r="D8111" s="109"/>
      <c r="E8111" s="109"/>
      <c r="F8111" s="109"/>
      <c r="G8111" s="109"/>
      <c r="H8111" s="109"/>
      <c r="I8111" s="109"/>
      <c r="J8111" s="109"/>
    </row>
    <row r="8112" spans="1:10" customFormat="1" ht="12.75" hidden="1">
      <c r="A8112" s="109"/>
      <c r="B8112" s="109"/>
      <c r="C8112" s="109"/>
      <c r="D8112" s="109"/>
      <c r="E8112" s="109"/>
      <c r="F8112" s="109"/>
      <c r="G8112" s="109"/>
      <c r="H8112" s="109"/>
      <c r="I8112" s="109"/>
      <c r="J8112" s="109"/>
    </row>
    <row r="8113" spans="1:10" customFormat="1" ht="12.75" hidden="1">
      <c r="A8113" s="109"/>
      <c r="B8113" s="109"/>
      <c r="C8113" s="109"/>
      <c r="D8113" s="109"/>
      <c r="E8113" s="109"/>
      <c r="F8113" s="109"/>
      <c r="G8113" s="109"/>
      <c r="H8113" s="109"/>
      <c r="I8113" s="109"/>
      <c r="J8113" s="109"/>
    </row>
    <row r="8114" spans="1:10" customFormat="1" ht="12.75" hidden="1">
      <c r="A8114" s="109"/>
      <c r="B8114" s="109"/>
      <c r="C8114" s="109"/>
      <c r="D8114" s="109"/>
      <c r="E8114" s="109"/>
      <c r="F8114" s="109"/>
      <c r="G8114" s="109"/>
      <c r="H8114" s="109"/>
      <c r="I8114" s="109"/>
      <c r="J8114" s="109"/>
    </row>
    <row r="8115" spans="1:10" customFormat="1" ht="12.75" hidden="1">
      <c r="A8115" s="109"/>
      <c r="B8115" s="109"/>
      <c r="C8115" s="109"/>
      <c r="D8115" s="109"/>
      <c r="E8115" s="109"/>
      <c r="F8115" s="109"/>
      <c r="G8115" s="109"/>
      <c r="H8115" s="109"/>
      <c r="I8115" s="109"/>
      <c r="J8115" s="109"/>
    </row>
    <row r="8116" spans="1:10" customFormat="1" ht="12.75" hidden="1">
      <c r="A8116" s="109"/>
      <c r="B8116" s="109"/>
      <c r="C8116" s="109"/>
      <c r="D8116" s="109"/>
      <c r="E8116" s="109"/>
      <c r="F8116" s="109"/>
      <c r="G8116" s="109"/>
      <c r="H8116" s="109"/>
      <c r="I8116" s="109"/>
      <c r="J8116" s="109"/>
    </row>
    <row r="8117" spans="1:10" customFormat="1" ht="12.75" hidden="1">
      <c r="A8117" s="109"/>
      <c r="B8117" s="109"/>
      <c r="C8117" s="109"/>
      <c r="D8117" s="109"/>
      <c r="E8117" s="109"/>
      <c r="F8117" s="109"/>
      <c r="G8117" s="109"/>
      <c r="H8117" s="109"/>
      <c r="I8117" s="109"/>
      <c r="J8117" s="109"/>
    </row>
    <row r="8118" spans="1:10" customFormat="1" ht="12.75" hidden="1">
      <c r="A8118" s="109"/>
      <c r="B8118" s="109"/>
      <c r="C8118" s="109"/>
      <c r="D8118" s="109"/>
      <c r="E8118" s="109"/>
      <c r="F8118" s="109"/>
      <c r="G8118" s="109"/>
      <c r="H8118" s="109"/>
      <c r="I8118" s="109"/>
      <c r="J8118" s="109"/>
    </row>
    <row r="8119" spans="1:10" customFormat="1" ht="12.75" hidden="1">
      <c r="A8119" s="109"/>
      <c r="B8119" s="109"/>
      <c r="C8119" s="109"/>
      <c r="D8119" s="109"/>
      <c r="E8119" s="109"/>
      <c r="F8119" s="109"/>
      <c r="G8119" s="109"/>
      <c r="H8119" s="109"/>
      <c r="I8119" s="109"/>
      <c r="J8119" s="109"/>
    </row>
    <row r="8120" spans="1:10" customFormat="1" ht="12.75" hidden="1">
      <c r="A8120" s="109"/>
      <c r="B8120" s="109"/>
      <c r="C8120" s="109"/>
      <c r="D8120" s="109"/>
      <c r="E8120" s="109"/>
      <c r="F8120" s="109"/>
      <c r="G8120" s="109"/>
      <c r="H8120" s="109"/>
      <c r="I8120" s="109"/>
      <c r="J8120" s="109"/>
    </row>
    <row r="8121" spans="1:10" customFormat="1" ht="12.75" hidden="1">
      <c r="A8121" s="109"/>
      <c r="B8121" s="109"/>
      <c r="C8121" s="109"/>
      <c r="D8121" s="109"/>
      <c r="E8121" s="109"/>
      <c r="F8121" s="109"/>
      <c r="G8121" s="109"/>
      <c r="H8121" s="109"/>
      <c r="I8121" s="109"/>
      <c r="J8121" s="109"/>
    </row>
    <row r="8122" spans="1:10" customFormat="1" ht="12.75" hidden="1">
      <c r="A8122" s="109"/>
      <c r="B8122" s="109"/>
      <c r="C8122" s="109"/>
      <c r="D8122" s="109"/>
      <c r="E8122" s="109"/>
      <c r="F8122" s="109"/>
      <c r="G8122" s="109"/>
      <c r="H8122" s="109"/>
      <c r="I8122" s="109"/>
      <c r="J8122" s="109"/>
    </row>
    <row r="8123" spans="1:10" customFormat="1" ht="12.75" hidden="1">
      <c r="A8123" s="109"/>
      <c r="B8123" s="109"/>
      <c r="C8123" s="109"/>
      <c r="D8123" s="109"/>
      <c r="E8123" s="109"/>
      <c r="F8123" s="109"/>
      <c r="G8123" s="109"/>
      <c r="H8123" s="109"/>
      <c r="I8123" s="109"/>
      <c r="J8123" s="109"/>
    </row>
    <row r="8124" spans="1:10" customFormat="1" ht="12.75" hidden="1">
      <c r="A8124" s="109"/>
      <c r="B8124" s="109"/>
      <c r="C8124" s="109"/>
      <c r="D8124" s="109"/>
      <c r="E8124" s="109"/>
      <c r="F8124" s="109"/>
      <c r="G8124" s="109"/>
      <c r="H8124" s="109"/>
      <c r="I8124" s="109"/>
      <c r="J8124" s="109"/>
    </row>
    <row r="8125" spans="1:10" customFormat="1" ht="12.75" hidden="1">
      <c r="A8125" s="109"/>
      <c r="B8125" s="109"/>
      <c r="C8125" s="109"/>
      <c r="D8125" s="109"/>
      <c r="E8125" s="109"/>
      <c r="F8125" s="109"/>
      <c r="G8125" s="109"/>
      <c r="H8125" s="109"/>
      <c r="I8125" s="109"/>
      <c r="J8125" s="109"/>
    </row>
    <row r="8126" spans="1:10" customFormat="1" ht="12.75" hidden="1">
      <c r="A8126" s="109"/>
      <c r="B8126" s="109"/>
      <c r="C8126" s="109"/>
      <c r="D8126" s="109"/>
      <c r="E8126" s="109"/>
      <c r="F8126" s="109"/>
      <c r="G8126" s="109"/>
      <c r="H8126" s="109"/>
      <c r="I8126" s="109"/>
      <c r="J8126" s="109"/>
    </row>
    <row r="8127" spans="1:10" customFormat="1" ht="12.75" hidden="1">
      <c r="A8127" s="109"/>
      <c r="B8127" s="109"/>
      <c r="C8127" s="109"/>
      <c r="D8127" s="109"/>
      <c r="E8127" s="109"/>
      <c r="F8127" s="109"/>
      <c r="G8127" s="109"/>
      <c r="H8127" s="109"/>
      <c r="I8127" s="109"/>
      <c r="J8127" s="109"/>
    </row>
    <row r="8128" spans="1:10" customFormat="1" ht="12.75" hidden="1">
      <c r="A8128" s="109"/>
      <c r="B8128" s="109"/>
      <c r="C8128" s="109"/>
      <c r="D8128" s="109"/>
      <c r="E8128" s="109"/>
      <c r="F8128" s="109"/>
      <c r="G8128" s="109"/>
      <c r="H8128" s="109"/>
      <c r="I8128" s="109"/>
      <c r="J8128" s="109"/>
    </row>
    <row r="8129" spans="1:10" customFormat="1" ht="12.75" hidden="1">
      <c r="A8129" s="109"/>
      <c r="B8129" s="109"/>
      <c r="C8129" s="109"/>
      <c r="D8129" s="109"/>
      <c r="E8129" s="109"/>
      <c r="F8129" s="109"/>
      <c r="G8129" s="109"/>
      <c r="H8129" s="109"/>
      <c r="I8129" s="109"/>
      <c r="J8129" s="109"/>
    </row>
    <row r="8130" spans="1:10" customFormat="1" ht="12.75" hidden="1">
      <c r="A8130" s="109"/>
      <c r="B8130" s="109"/>
      <c r="C8130" s="109"/>
      <c r="D8130" s="109"/>
      <c r="E8130" s="109"/>
      <c r="F8130" s="109"/>
      <c r="G8130" s="109"/>
      <c r="H8130" s="109"/>
      <c r="I8130" s="109"/>
      <c r="J8130" s="109"/>
    </row>
    <row r="8131" spans="1:10" customFormat="1" ht="12.75" hidden="1">
      <c r="A8131" s="109"/>
      <c r="B8131" s="109"/>
      <c r="C8131" s="109"/>
      <c r="D8131" s="109"/>
      <c r="E8131" s="109"/>
      <c r="F8131" s="109"/>
      <c r="G8131" s="109"/>
      <c r="H8131" s="109"/>
      <c r="I8131" s="109"/>
      <c r="J8131" s="109"/>
    </row>
    <row r="8132" spans="1:10" customFormat="1" ht="12.75" hidden="1">
      <c r="A8132" s="109"/>
      <c r="B8132" s="109"/>
      <c r="C8132" s="109"/>
      <c r="D8132" s="109"/>
      <c r="E8132" s="109"/>
      <c r="F8132" s="109"/>
      <c r="G8132" s="109"/>
      <c r="H8132" s="109"/>
      <c r="I8132" s="109"/>
      <c r="J8132" s="109"/>
    </row>
    <row r="8133" spans="1:10" customFormat="1" ht="12.75" hidden="1">
      <c r="A8133" s="109"/>
      <c r="B8133" s="109"/>
      <c r="C8133" s="109"/>
      <c r="D8133" s="109"/>
      <c r="E8133" s="109"/>
      <c r="F8133" s="109"/>
      <c r="G8133" s="109"/>
      <c r="H8133" s="109"/>
      <c r="I8133" s="109"/>
      <c r="J8133" s="109"/>
    </row>
    <row r="8134" spans="1:10" customFormat="1" ht="12.75" hidden="1">
      <c r="A8134" s="109"/>
      <c r="B8134" s="109"/>
      <c r="C8134" s="109"/>
      <c r="D8134" s="109"/>
      <c r="E8134" s="109"/>
      <c r="F8134" s="109"/>
      <c r="G8134" s="109"/>
      <c r="H8134" s="109"/>
      <c r="I8134" s="109"/>
      <c r="J8134" s="109"/>
    </row>
    <row r="8135" spans="1:10" customFormat="1" ht="12.75" hidden="1">
      <c r="A8135" s="109"/>
      <c r="B8135" s="109"/>
      <c r="C8135" s="109"/>
      <c r="D8135" s="109"/>
      <c r="E8135" s="109"/>
      <c r="F8135" s="109"/>
      <c r="G8135" s="109"/>
      <c r="H8135" s="109"/>
      <c r="I8135" s="109"/>
      <c r="J8135" s="109"/>
    </row>
    <row r="8136" spans="1:10" customFormat="1" ht="12.75" hidden="1">
      <c r="A8136" s="109"/>
      <c r="B8136" s="109"/>
      <c r="C8136" s="109"/>
      <c r="D8136" s="109"/>
      <c r="E8136" s="109"/>
      <c r="F8136" s="109"/>
      <c r="G8136" s="109"/>
      <c r="H8136" s="109"/>
      <c r="I8136" s="109"/>
      <c r="J8136" s="109"/>
    </row>
    <row r="8137" spans="1:10" customFormat="1" ht="12.75" hidden="1">
      <c r="A8137" s="109"/>
      <c r="B8137" s="109"/>
      <c r="C8137" s="109"/>
      <c r="D8137" s="109"/>
      <c r="E8137" s="109"/>
      <c r="F8137" s="109"/>
      <c r="G8137" s="109"/>
      <c r="H8137" s="109"/>
      <c r="I8137" s="109"/>
      <c r="J8137" s="109"/>
    </row>
    <row r="8138" spans="1:10" customFormat="1" ht="12.75" hidden="1">
      <c r="A8138" s="109"/>
      <c r="B8138" s="109"/>
      <c r="C8138" s="109"/>
      <c r="D8138" s="109"/>
      <c r="E8138" s="109"/>
      <c r="F8138" s="109"/>
      <c r="G8138" s="109"/>
      <c r="H8138" s="109"/>
      <c r="I8138" s="109"/>
      <c r="J8138" s="109"/>
    </row>
    <row r="8139" spans="1:10" customFormat="1" ht="12.75" hidden="1">
      <c r="A8139" s="109"/>
      <c r="B8139" s="109"/>
      <c r="C8139" s="109"/>
      <c r="D8139" s="109"/>
      <c r="E8139" s="109"/>
      <c r="F8139" s="109"/>
      <c r="G8139" s="109"/>
      <c r="H8139" s="109"/>
      <c r="I8139" s="109"/>
      <c r="J8139" s="109"/>
    </row>
    <row r="8140" spans="1:10" customFormat="1" ht="12.75" hidden="1">
      <c r="A8140" s="109"/>
      <c r="B8140" s="109"/>
      <c r="C8140" s="109"/>
      <c r="D8140" s="109"/>
      <c r="E8140" s="109"/>
      <c r="F8140" s="109"/>
      <c r="G8140" s="109"/>
      <c r="H8140" s="109"/>
      <c r="I8140" s="109"/>
      <c r="J8140" s="109"/>
    </row>
    <row r="8141" spans="1:10" customFormat="1" ht="12.75" hidden="1">
      <c r="A8141" s="109"/>
      <c r="B8141" s="109"/>
      <c r="C8141" s="109"/>
      <c r="D8141" s="109"/>
      <c r="E8141" s="109"/>
      <c r="F8141" s="109"/>
      <c r="G8141" s="109"/>
      <c r="H8141" s="109"/>
      <c r="I8141" s="109"/>
      <c r="J8141" s="109"/>
    </row>
    <row r="8142" spans="1:10" customFormat="1" ht="12.75" hidden="1">
      <c r="A8142" s="109"/>
      <c r="B8142" s="109"/>
      <c r="C8142" s="109"/>
      <c r="D8142" s="109"/>
      <c r="E8142" s="109"/>
      <c r="F8142" s="109"/>
      <c r="G8142" s="109"/>
      <c r="H8142" s="109"/>
      <c r="I8142" s="109"/>
      <c r="J8142" s="109"/>
    </row>
    <row r="8143" spans="1:10" customFormat="1" ht="12.75" hidden="1">
      <c r="A8143" s="109"/>
      <c r="B8143" s="109"/>
      <c r="C8143" s="109"/>
      <c r="D8143" s="109"/>
      <c r="E8143" s="109"/>
      <c r="F8143" s="109"/>
      <c r="G8143" s="109"/>
      <c r="H8143" s="109"/>
      <c r="I8143" s="109"/>
      <c r="J8143" s="109"/>
    </row>
    <row r="8144" spans="1:10" customFormat="1" ht="12.75" hidden="1">
      <c r="A8144" s="109"/>
      <c r="B8144" s="109"/>
      <c r="C8144" s="109"/>
      <c r="D8144" s="109"/>
      <c r="E8144" s="109"/>
      <c r="F8144" s="109"/>
      <c r="G8144" s="109"/>
      <c r="H8144" s="109"/>
      <c r="I8144" s="109"/>
      <c r="J8144" s="109"/>
    </row>
    <row r="8145" spans="1:10" customFormat="1" ht="12.75" hidden="1">
      <c r="A8145" s="109"/>
      <c r="B8145" s="109"/>
      <c r="C8145" s="109"/>
      <c r="D8145" s="109"/>
      <c r="E8145" s="109"/>
      <c r="F8145" s="109"/>
      <c r="G8145" s="109"/>
      <c r="H8145" s="109"/>
      <c r="I8145" s="109"/>
      <c r="J8145" s="109"/>
    </row>
    <row r="8146" spans="1:10" customFormat="1" ht="12.75" hidden="1">
      <c r="A8146" s="109"/>
      <c r="B8146" s="109"/>
      <c r="C8146" s="109"/>
      <c r="D8146" s="109"/>
      <c r="E8146" s="109"/>
      <c r="F8146" s="109"/>
      <c r="G8146" s="109"/>
      <c r="H8146" s="109"/>
      <c r="I8146" s="109"/>
      <c r="J8146" s="109"/>
    </row>
    <row r="8147" spans="1:10" customFormat="1" ht="12.75" hidden="1">
      <c r="A8147" s="109"/>
      <c r="B8147" s="109"/>
      <c r="C8147" s="109"/>
      <c r="D8147" s="109"/>
      <c r="E8147" s="109"/>
      <c r="F8147" s="109"/>
      <c r="G8147" s="109"/>
      <c r="H8147" s="109"/>
      <c r="I8147" s="109"/>
      <c r="J8147" s="109"/>
    </row>
    <row r="8148" spans="1:10" customFormat="1" ht="12.75" hidden="1">
      <c r="A8148" s="109"/>
      <c r="B8148" s="109"/>
      <c r="C8148" s="109"/>
      <c r="D8148" s="109"/>
      <c r="E8148" s="109"/>
      <c r="F8148" s="109"/>
      <c r="G8148" s="109"/>
      <c r="H8148" s="109"/>
      <c r="I8148" s="109"/>
      <c r="J8148" s="109"/>
    </row>
    <row r="8149" spans="1:10" customFormat="1" ht="12.75" hidden="1">
      <c r="A8149" s="109"/>
      <c r="B8149" s="109"/>
      <c r="C8149" s="109"/>
      <c r="D8149" s="109"/>
      <c r="E8149" s="109"/>
      <c r="F8149" s="109"/>
      <c r="G8149" s="109"/>
      <c r="H8149" s="109"/>
      <c r="I8149" s="109"/>
      <c r="J8149" s="109"/>
    </row>
    <row r="8150" spans="1:10" customFormat="1" ht="12.75" hidden="1">
      <c r="A8150" s="109"/>
      <c r="B8150" s="109"/>
      <c r="C8150" s="109"/>
      <c r="D8150" s="109"/>
      <c r="E8150" s="109"/>
      <c r="F8150" s="109"/>
      <c r="G8150" s="109"/>
      <c r="H8150" s="109"/>
      <c r="I8150" s="109"/>
      <c r="J8150" s="109"/>
    </row>
    <row r="8151" spans="1:10" customFormat="1" ht="12.75" hidden="1">
      <c r="A8151" s="109"/>
      <c r="B8151" s="109"/>
      <c r="C8151" s="109"/>
      <c r="D8151" s="109"/>
      <c r="E8151" s="109"/>
      <c r="F8151" s="109"/>
      <c r="G8151" s="109"/>
      <c r="H8151" s="109"/>
      <c r="I8151" s="109"/>
      <c r="J8151" s="109"/>
    </row>
    <row r="8152" spans="1:10" customFormat="1" ht="12.75" hidden="1">
      <c r="A8152" s="109"/>
      <c r="B8152" s="109"/>
      <c r="C8152" s="109"/>
      <c r="D8152" s="109"/>
      <c r="E8152" s="109"/>
      <c r="F8152" s="109"/>
      <c r="G8152" s="109"/>
      <c r="H8152" s="109"/>
      <c r="I8152" s="109"/>
      <c r="J8152" s="109"/>
    </row>
    <row r="8153" spans="1:10" customFormat="1" ht="12.75" hidden="1">
      <c r="A8153" s="109"/>
      <c r="B8153" s="109"/>
      <c r="C8153" s="109"/>
      <c r="D8153" s="109"/>
      <c r="E8153" s="109"/>
      <c r="F8153" s="109"/>
      <c r="G8153" s="109"/>
      <c r="H8153" s="109"/>
      <c r="I8153" s="109"/>
      <c r="J8153" s="109"/>
    </row>
    <row r="8154" spans="1:10" customFormat="1" ht="12.75" hidden="1">
      <c r="A8154" s="109"/>
      <c r="B8154" s="109"/>
      <c r="C8154" s="109"/>
      <c r="D8154" s="109"/>
      <c r="E8154" s="109"/>
      <c r="F8154" s="109"/>
      <c r="G8154" s="109"/>
      <c r="H8154" s="109"/>
      <c r="I8154" s="109"/>
      <c r="J8154" s="109"/>
    </row>
    <row r="8155" spans="1:10" customFormat="1" ht="12.75" hidden="1">
      <c r="A8155" s="109"/>
      <c r="B8155" s="109"/>
      <c r="C8155" s="109"/>
      <c r="D8155" s="109"/>
      <c r="E8155" s="109"/>
      <c r="F8155" s="109"/>
      <c r="G8155" s="109"/>
      <c r="H8155" s="109"/>
      <c r="I8155" s="109"/>
      <c r="J8155" s="109"/>
    </row>
    <row r="8156" spans="1:10" customFormat="1" ht="12.75" hidden="1">
      <c r="A8156" s="109"/>
      <c r="B8156" s="109"/>
      <c r="C8156" s="109"/>
      <c r="D8156" s="109"/>
      <c r="E8156" s="109"/>
      <c r="F8156" s="109"/>
      <c r="G8156" s="109"/>
      <c r="H8156" s="109"/>
      <c r="I8156" s="109"/>
      <c r="J8156" s="109"/>
    </row>
    <row r="8157" spans="1:10" customFormat="1" ht="12.75" hidden="1">
      <c r="A8157" s="109"/>
      <c r="B8157" s="109"/>
      <c r="C8157" s="109"/>
      <c r="D8157" s="109"/>
      <c r="E8157" s="109"/>
      <c r="F8157" s="109"/>
      <c r="G8157" s="109"/>
      <c r="H8157" s="109"/>
      <c r="I8157" s="109"/>
      <c r="J8157" s="109"/>
    </row>
    <row r="8158" spans="1:10" customFormat="1" ht="12.75" hidden="1">
      <c r="A8158" s="109"/>
      <c r="B8158" s="109"/>
      <c r="C8158" s="109"/>
      <c r="D8158" s="109"/>
      <c r="E8158" s="109"/>
      <c r="F8158" s="109"/>
      <c r="G8158" s="109"/>
      <c r="H8158" s="109"/>
      <c r="I8158" s="109"/>
      <c r="J8158" s="109"/>
    </row>
    <row r="8159" spans="1:10" customFormat="1" ht="12.75" hidden="1">
      <c r="A8159" s="109"/>
      <c r="B8159" s="109"/>
      <c r="C8159" s="109"/>
      <c r="D8159" s="109"/>
      <c r="E8159" s="109"/>
      <c r="F8159" s="109"/>
      <c r="G8159" s="109"/>
      <c r="H8159" s="109"/>
      <c r="I8159" s="109"/>
      <c r="J8159" s="109"/>
    </row>
    <row r="8160" spans="1:10" customFormat="1" ht="12.75" hidden="1">
      <c r="A8160" s="109"/>
      <c r="B8160" s="109"/>
      <c r="C8160" s="109"/>
      <c r="D8160" s="109"/>
      <c r="E8160" s="109"/>
      <c r="F8160" s="109"/>
      <c r="G8160" s="109"/>
      <c r="H8160" s="109"/>
      <c r="I8160" s="109"/>
      <c r="J8160" s="109"/>
    </row>
    <row r="8161" spans="1:10" customFormat="1" ht="12.75" hidden="1">
      <c r="A8161" s="109"/>
      <c r="B8161" s="109"/>
      <c r="C8161" s="109"/>
      <c r="D8161" s="109"/>
      <c r="E8161" s="109"/>
      <c r="F8161" s="109"/>
      <c r="G8161" s="109"/>
      <c r="H8161" s="109"/>
      <c r="I8161" s="109"/>
      <c r="J8161" s="109"/>
    </row>
    <row r="8162" spans="1:10" customFormat="1" ht="12.75" hidden="1">
      <c r="A8162" s="109"/>
      <c r="B8162" s="109"/>
      <c r="C8162" s="109"/>
      <c r="D8162" s="109"/>
      <c r="E8162" s="109"/>
      <c r="F8162" s="109"/>
      <c r="G8162" s="109"/>
      <c r="H8162" s="109"/>
      <c r="I8162" s="109"/>
      <c r="J8162" s="109"/>
    </row>
    <row r="8163" spans="1:10" customFormat="1" ht="12.75" hidden="1">
      <c r="A8163" s="109"/>
      <c r="B8163" s="109"/>
      <c r="C8163" s="109"/>
      <c r="D8163" s="109"/>
      <c r="E8163" s="109"/>
      <c r="F8163" s="109"/>
      <c r="G8163" s="109"/>
      <c r="H8163" s="109"/>
      <c r="I8163" s="109"/>
      <c r="J8163" s="109"/>
    </row>
    <row r="8164" spans="1:10" customFormat="1" ht="12.75" hidden="1">
      <c r="A8164" s="109"/>
      <c r="B8164" s="109"/>
      <c r="C8164" s="109"/>
      <c r="D8164" s="109"/>
      <c r="E8164" s="109"/>
      <c r="F8164" s="109"/>
      <c r="G8164" s="109"/>
      <c r="H8164" s="109"/>
      <c r="I8164" s="109"/>
      <c r="J8164" s="109"/>
    </row>
    <row r="8165" spans="1:10" customFormat="1" ht="12.75" hidden="1">
      <c r="A8165" s="109"/>
      <c r="B8165" s="109"/>
      <c r="C8165" s="109"/>
      <c r="D8165" s="109"/>
      <c r="E8165" s="109"/>
      <c r="F8165" s="109"/>
      <c r="G8165" s="109"/>
      <c r="H8165" s="109"/>
      <c r="I8165" s="109"/>
      <c r="J8165" s="109"/>
    </row>
    <row r="8166" spans="1:10" customFormat="1" ht="12.75" hidden="1">
      <c r="A8166" s="109"/>
      <c r="B8166" s="109"/>
      <c r="C8166" s="109"/>
      <c r="D8166" s="109"/>
      <c r="E8166" s="109"/>
      <c r="F8166" s="109"/>
      <c r="G8166" s="109"/>
      <c r="H8166" s="109"/>
      <c r="I8166" s="109"/>
      <c r="J8166" s="109"/>
    </row>
    <row r="8167" spans="1:10" customFormat="1" ht="12.75" hidden="1">
      <c r="A8167" s="109"/>
      <c r="B8167" s="109"/>
      <c r="C8167" s="109"/>
      <c r="D8167" s="109"/>
      <c r="E8167" s="109"/>
      <c r="F8167" s="109"/>
      <c r="G8167" s="109"/>
      <c r="H8167" s="109"/>
      <c r="I8167" s="109"/>
      <c r="J8167" s="109"/>
    </row>
    <row r="8168" spans="1:10" customFormat="1" ht="12.75" hidden="1">
      <c r="A8168" s="109"/>
      <c r="B8168" s="109"/>
      <c r="C8168" s="109"/>
      <c r="D8168" s="109"/>
      <c r="E8168" s="109"/>
      <c r="F8168" s="109"/>
      <c r="G8168" s="109"/>
      <c r="H8168" s="109"/>
      <c r="I8168" s="109"/>
      <c r="J8168" s="109"/>
    </row>
    <row r="8169" spans="1:10" customFormat="1" ht="12.75" hidden="1">
      <c r="A8169" s="109"/>
      <c r="B8169" s="109"/>
      <c r="C8169" s="109"/>
      <c r="D8169" s="109"/>
      <c r="E8169" s="109"/>
      <c r="F8169" s="109"/>
      <c r="G8169" s="109"/>
      <c r="H8169" s="109"/>
      <c r="I8169" s="109"/>
      <c r="J8169" s="109"/>
    </row>
    <row r="8170" spans="1:10" customFormat="1" ht="12.75" hidden="1">
      <c r="A8170" s="109"/>
      <c r="B8170" s="109"/>
      <c r="C8170" s="109"/>
      <c r="D8170" s="109"/>
      <c r="E8170" s="109"/>
      <c r="F8170" s="109"/>
      <c r="G8170" s="109"/>
      <c r="H8170" s="109"/>
      <c r="I8170" s="109"/>
      <c r="J8170" s="109"/>
    </row>
    <row r="8171" spans="1:10" customFormat="1" ht="12.75" hidden="1">
      <c r="A8171" s="109"/>
      <c r="B8171" s="109"/>
      <c r="C8171" s="109"/>
      <c r="D8171" s="109"/>
      <c r="E8171" s="109"/>
      <c r="F8171" s="109"/>
      <c r="G8171" s="109"/>
      <c r="H8171" s="109"/>
      <c r="I8171" s="109"/>
      <c r="J8171" s="109"/>
    </row>
    <row r="8172" spans="1:10" customFormat="1" ht="12.75" hidden="1">
      <c r="A8172" s="109"/>
      <c r="B8172" s="109"/>
      <c r="C8172" s="109"/>
      <c r="D8172" s="109"/>
      <c r="E8172" s="109"/>
      <c r="F8172" s="109"/>
      <c r="G8172" s="109"/>
      <c r="H8172" s="109"/>
      <c r="I8172" s="109"/>
      <c r="J8172" s="109"/>
    </row>
    <row r="8173" spans="1:10" customFormat="1" ht="12.75" hidden="1">
      <c r="A8173" s="109"/>
      <c r="B8173" s="109"/>
      <c r="C8173" s="109"/>
      <c r="D8173" s="109"/>
      <c r="E8173" s="109"/>
      <c r="F8173" s="109"/>
      <c r="G8173" s="109"/>
      <c r="H8173" s="109"/>
      <c r="I8173" s="109"/>
      <c r="J8173" s="109"/>
    </row>
    <row r="8174" spans="1:10" customFormat="1" ht="12.75" hidden="1">
      <c r="A8174" s="109"/>
      <c r="B8174" s="109"/>
      <c r="C8174" s="109"/>
      <c r="D8174" s="109"/>
      <c r="E8174" s="109"/>
      <c r="F8174" s="109"/>
      <c r="G8174" s="109"/>
      <c r="H8174" s="109"/>
      <c r="I8174" s="109"/>
      <c r="J8174" s="109"/>
    </row>
    <row r="8175" spans="1:10" customFormat="1" ht="12.75" hidden="1">
      <c r="A8175" s="109"/>
      <c r="B8175" s="109"/>
      <c r="C8175" s="109"/>
      <c r="D8175" s="109"/>
      <c r="E8175" s="109"/>
      <c r="F8175" s="109"/>
      <c r="G8175" s="109"/>
      <c r="H8175" s="109"/>
      <c r="I8175" s="109"/>
      <c r="J8175" s="109"/>
    </row>
    <row r="8176" spans="1:10" customFormat="1" ht="12.75" hidden="1">
      <c r="A8176" s="109"/>
      <c r="B8176" s="109"/>
      <c r="C8176" s="109"/>
      <c r="D8176" s="109"/>
      <c r="E8176" s="109"/>
      <c r="F8176" s="109"/>
      <c r="G8176" s="109"/>
      <c r="H8176" s="109"/>
      <c r="I8176" s="109"/>
      <c r="J8176" s="109"/>
    </row>
    <row r="8177" spans="1:10" customFormat="1" ht="12.75" hidden="1">
      <c r="A8177" s="109"/>
      <c r="B8177" s="109"/>
      <c r="C8177" s="109"/>
      <c r="D8177" s="109"/>
      <c r="E8177" s="109"/>
      <c r="F8177" s="109"/>
      <c r="G8177" s="109"/>
      <c r="H8177" s="109"/>
      <c r="I8177" s="109"/>
      <c r="J8177" s="109"/>
    </row>
    <row r="8178" spans="1:10" customFormat="1" ht="12.75" hidden="1">
      <c r="A8178" s="109"/>
      <c r="B8178" s="109"/>
      <c r="C8178" s="109"/>
      <c r="D8178" s="109"/>
      <c r="E8178" s="109"/>
      <c r="F8178" s="109"/>
      <c r="G8178" s="109"/>
      <c r="H8178" s="109"/>
      <c r="I8178" s="109"/>
      <c r="J8178" s="109"/>
    </row>
    <row r="8179" spans="1:10" customFormat="1" ht="12.75" hidden="1">
      <c r="A8179" s="109"/>
      <c r="B8179" s="109"/>
      <c r="C8179" s="109"/>
      <c r="D8179" s="109"/>
      <c r="E8179" s="109"/>
      <c r="F8179" s="109"/>
      <c r="G8179" s="109"/>
      <c r="H8179" s="109"/>
      <c r="I8179" s="109"/>
      <c r="J8179" s="109"/>
    </row>
    <row r="8180" spans="1:10" customFormat="1" ht="12.75" hidden="1">
      <c r="A8180" s="109"/>
      <c r="B8180" s="109"/>
      <c r="C8180" s="109"/>
      <c r="D8180" s="109"/>
      <c r="E8180" s="109"/>
      <c r="F8180" s="109"/>
      <c r="G8180" s="109"/>
      <c r="H8180" s="109"/>
      <c r="I8180" s="109"/>
      <c r="J8180" s="109"/>
    </row>
    <row r="8181" spans="1:10" customFormat="1" ht="12.75" hidden="1">
      <c r="A8181" s="109"/>
      <c r="B8181" s="109"/>
      <c r="C8181" s="109"/>
      <c r="D8181" s="109"/>
      <c r="E8181" s="109"/>
      <c r="F8181" s="109"/>
      <c r="G8181" s="109"/>
      <c r="H8181" s="109"/>
      <c r="I8181" s="109"/>
      <c r="J8181" s="109"/>
    </row>
    <row r="8182" spans="1:10" customFormat="1" ht="12.75" hidden="1">
      <c r="A8182" s="109"/>
      <c r="B8182" s="109"/>
      <c r="C8182" s="109"/>
      <c r="D8182" s="109"/>
      <c r="E8182" s="109"/>
      <c r="F8182" s="109"/>
      <c r="G8182" s="109"/>
      <c r="H8182" s="109"/>
      <c r="I8182" s="109"/>
      <c r="J8182" s="109"/>
    </row>
    <row r="8183" spans="1:10" customFormat="1" ht="12.75" hidden="1">
      <c r="A8183" s="109"/>
      <c r="B8183" s="109"/>
      <c r="C8183" s="109"/>
      <c r="D8183" s="109"/>
      <c r="E8183" s="109"/>
      <c r="F8183" s="109"/>
      <c r="G8183" s="109"/>
      <c r="H8183" s="109"/>
      <c r="I8183" s="109"/>
      <c r="J8183" s="109"/>
    </row>
    <row r="8184" spans="1:10" customFormat="1" ht="12.75" hidden="1">
      <c r="A8184" s="109"/>
      <c r="B8184" s="109"/>
      <c r="C8184" s="109"/>
      <c r="D8184" s="109"/>
      <c r="E8184" s="109"/>
      <c r="F8184" s="109"/>
      <c r="G8184" s="109"/>
      <c r="H8184" s="109"/>
      <c r="I8184" s="109"/>
      <c r="J8184" s="109"/>
    </row>
    <row r="8185" spans="1:10" customFormat="1" ht="12.75" hidden="1">
      <c r="A8185" s="109"/>
      <c r="B8185" s="109"/>
      <c r="C8185" s="109"/>
      <c r="D8185" s="109"/>
      <c r="E8185" s="109"/>
      <c r="F8185" s="109"/>
      <c r="G8185" s="109"/>
      <c r="H8185" s="109"/>
      <c r="I8185" s="109"/>
      <c r="J8185" s="109"/>
    </row>
    <row r="8186" spans="1:10" customFormat="1" ht="12.75" hidden="1">
      <c r="A8186" s="109"/>
      <c r="B8186" s="109"/>
      <c r="C8186" s="109"/>
      <c r="D8186" s="109"/>
      <c r="E8186" s="109"/>
      <c r="F8186" s="109"/>
      <c r="G8186" s="109"/>
      <c r="H8186" s="109"/>
      <c r="I8186" s="109"/>
      <c r="J8186" s="109"/>
    </row>
    <row r="8187" spans="1:10" customFormat="1" ht="12.75" hidden="1">
      <c r="A8187" s="109"/>
      <c r="B8187" s="109"/>
      <c r="C8187" s="109"/>
      <c r="D8187" s="109"/>
      <c r="E8187" s="109"/>
      <c r="F8187" s="109"/>
      <c r="G8187" s="109"/>
      <c r="H8187" s="109"/>
      <c r="I8187" s="109"/>
      <c r="J8187" s="109"/>
    </row>
    <row r="8188" spans="1:10" customFormat="1" ht="12.75" hidden="1">
      <c r="A8188" s="109"/>
      <c r="B8188" s="109"/>
      <c r="C8188" s="109"/>
      <c r="D8188" s="109"/>
      <c r="E8188" s="109"/>
      <c r="F8188" s="109"/>
      <c r="G8188" s="109"/>
      <c r="H8188" s="109"/>
      <c r="I8188" s="109"/>
      <c r="J8188" s="109"/>
    </row>
    <row r="8189" spans="1:10" customFormat="1" ht="12.75" hidden="1">
      <c r="A8189" s="109"/>
      <c r="B8189" s="109"/>
      <c r="C8189" s="109"/>
      <c r="D8189" s="109"/>
      <c r="E8189" s="109"/>
      <c r="F8189" s="109"/>
      <c r="G8189" s="109"/>
      <c r="H8189" s="109"/>
      <c r="I8189" s="109"/>
      <c r="J8189" s="109"/>
    </row>
    <row r="8190" spans="1:10" customFormat="1" ht="12.75" hidden="1">
      <c r="A8190" s="109"/>
      <c r="B8190" s="109"/>
      <c r="C8190" s="109"/>
      <c r="D8190" s="109"/>
      <c r="E8190" s="109"/>
      <c r="F8190" s="109"/>
      <c r="G8190" s="109"/>
      <c r="H8190" s="109"/>
      <c r="I8190" s="109"/>
      <c r="J8190" s="109"/>
    </row>
    <row r="8191" spans="1:10" customFormat="1" ht="12.75" hidden="1">
      <c r="A8191" s="109"/>
      <c r="B8191" s="109"/>
      <c r="C8191" s="109"/>
      <c r="D8191" s="109"/>
      <c r="E8191" s="109"/>
      <c r="F8191" s="109"/>
      <c r="G8191" s="109"/>
      <c r="H8191" s="109"/>
      <c r="I8191" s="109"/>
      <c r="J8191" s="109"/>
    </row>
    <row r="8192" spans="1:10" customFormat="1" ht="12.75" hidden="1">
      <c r="A8192" s="109"/>
      <c r="B8192" s="109"/>
      <c r="C8192" s="109"/>
      <c r="D8192" s="109"/>
      <c r="E8192" s="109"/>
      <c r="F8192" s="109"/>
      <c r="G8192" s="109"/>
      <c r="H8192" s="109"/>
      <c r="I8192" s="109"/>
      <c r="J8192" s="109"/>
    </row>
    <row r="8193" spans="1:10" customFormat="1" ht="12.75" hidden="1">
      <c r="A8193" s="109"/>
      <c r="B8193" s="109"/>
      <c r="C8193" s="109"/>
      <c r="D8193" s="109"/>
      <c r="E8193" s="109"/>
      <c r="F8193" s="109"/>
      <c r="G8193" s="109"/>
      <c r="H8193" s="109"/>
      <c r="I8193" s="109"/>
      <c r="J8193" s="109"/>
    </row>
    <row r="8194" spans="1:10" customFormat="1" ht="12.75" hidden="1">
      <c r="A8194" s="109"/>
      <c r="B8194" s="109"/>
      <c r="C8194" s="109"/>
      <c r="D8194" s="109"/>
      <c r="E8194" s="109"/>
      <c r="F8194" s="109"/>
      <c r="G8194" s="109"/>
      <c r="H8194" s="109"/>
      <c r="I8194" s="109"/>
      <c r="J8194" s="109"/>
    </row>
    <row r="8195" spans="1:10" customFormat="1" ht="12.75" hidden="1">
      <c r="A8195" s="109"/>
      <c r="B8195" s="109"/>
      <c r="C8195" s="109"/>
      <c r="D8195" s="109"/>
      <c r="E8195" s="109"/>
      <c r="F8195" s="109"/>
      <c r="G8195" s="109"/>
      <c r="H8195" s="109"/>
      <c r="I8195" s="109"/>
      <c r="J8195" s="109"/>
    </row>
    <row r="8196" spans="1:10" customFormat="1" ht="12.75" hidden="1">
      <c r="A8196" s="109"/>
      <c r="B8196" s="109"/>
      <c r="C8196" s="109"/>
      <c r="D8196" s="109"/>
      <c r="E8196" s="109"/>
      <c r="F8196" s="109"/>
      <c r="G8196" s="109"/>
      <c r="H8196" s="109"/>
      <c r="I8196" s="109"/>
      <c r="J8196" s="109"/>
    </row>
    <row r="8197" spans="1:10" customFormat="1" ht="12.75" hidden="1">
      <c r="A8197" s="109"/>
      <c r="B8197" s="109"/>
      <c r="C8197" s="109"/>
      <c r="D8197" s="109"/>
      <c r="E8197" s="109"/>
      <c r="F8197" s="109"/>
      <c r="G8197" s="109"/>
      <c r="H8197" s="109"/>
      <c r="I8197" s="109"/>
      <c r="J8197" s="109"/>
    </row>
    <row r="8198" spans="1:10" customFormat="1" ht="12.75" hidden="1">
      <c r="A8198" s="109"/>
      <c r="B8198" s="109"/>
      <c r="C8198" s="109"/>
      <c r="D8198" s="109"/>
      <c r="E8198" s="109"/>
      <c r="F8198" s="109"/>
      <c r="G8198" s="109"/>
      <c r="H8198" s="109"/>
      <c r="I8198" s="109"/>
      <c r="J8198" s="109"/>
    </row>
    <row r="8199" spans="1:10" customFormat="1" ht="12.75" hidden="1">
      <c r="A8199" s="109"/>
      <c r="B8199" s="109"/>
      <c r="C8199" s="109"/>
      <c r="D8199" s="109"/>
      <c r="E8199" s="109"/>
      <c r="F8199" s="109"/>
      <c r="G8199" s="109"/>
      <c r="H8199" s="109"/>
      <c r="I8199" s="109"/>
      <c r="J8199" s="109"/>
    </row>
    <row r="8200" spans="1:10" customFormat="1" ht="12.75" hidden="1">
      <c r="A8200" s="109"/>
      <c r="B8200" s="109"/>
      <c r="C8200" s="109"/>
      <c r="D8200" s="109"/>
      <c r="E8200" s="109"/>
      <c r="F8200" s="109"/>
      <c r="G8200" s="109"/>
      <c r="H8200" s="109"/>
      <c r="I8200" s="109"/>
      <c r="J8200" s="109"/>
    </row>
    <row r="8201" spans="1:10" customFormat="1" ht="12.75" hidden="1">
      <c r="A8201" s="109"/>
      <c r="B8201" s="109"/>
      <c r="C8201" s="109"/>
      <c r="D8201" s="109"/>
      <c r="E8201" s="109"/>
      <c r="F8201" s="109"/>
      <c r="G8201" s="109"/>
      <c r="H8201" s="109"/>
      <c r="I8201" s="109"/>
      <c r="J8201" s="109"/>
    </row>
    <row r="8202" spans="1:10" customFormat="1" ht="12.75" hidden="1">
      <c r="A8202" s="109"/>
      <c r="B8202" s="109"/>
      <c r="C8202" s="109"/>
      <c r="D8202" s="109"/>
      <c r="E8202" s="109"/>
      <c r="F8202" s="109"/>
      <c r="G8202" s="109"/>
      <c r="H8202" s="109"/>
      <c r="I8202" s="109"/>
      <c r="J8202" s="109"/>
    </row>
    <row r="8203" spans="1:10" customFormat="1" ht="12.75" hidden="1">
      <c r="A8203" s="109"/>
      <c r="B8203" s="109"/>
      <c r="C8203" s="109"/>
      <c r="D8203" s="109"/>
      <c r="E8203" s="109"/>
      <c r="F8203" s="109"/>
      <c r="G8203" s="109"/>
      <c r="H8203" s="109"/>
      <c r="I8203" s="109"/>
      <c r="J8203" s="109"/>
    </row>
    <row r="8204" spans="1:10" customFormat="1" ht="12.75" hidden="1">
      <c r="A8204" s="109"/>
      <c r="B8204" s="109"/>
      <c r="C8204" s="109"/>
      <c r="D8204" s="109"/>
      <c r="E8204" s="109"/>
      <c r="F8204" s="109"/>
      <c r="G8204" s="109"/>
      <c r="H8204" s="109"/>
      <c r="I8204" s="109"/>
      <c r="J8204" s="109"/>
    </row>
    <row r="8205" spans="1:10" customFormat="1" ht="12.75" hidden="1">
      <c r="A8205" s="109"/>
      <c r="B8205" s="109"/>
      <c r="C8205" s="109"/>
      <c r="D8205" s="109"/>
      <c r="E8205" s="109"/>
      <c r="F8205" s="109"/>
      <c r="G8205" s="109"/>
      <c r="H8205" s="109"/>
      <c r="I8205" s="109"/>
      <c r="J8205" s="109"/>
    </row>
    <row r="8206" spans="1:10" customFormat="1" ht="12.75" hidden="1">
      <c r="A8206" s="109"/>
      <c r="B8206" s="109"/>
      <c r="C8206" s="109"/>
      <c r="D8206" s="109"/>
      <c r="E8206" s="109"/>
      <c r="F8206" s="109"/>
      <c r="G8206" s="109"/>
      <c r="H8206" s="109"/>
      <c r="I8206" s="109"/>
      <c r="J8206" s="109"/>
    </row>
    <row r="8207" spans="1:10" customFormat="1" ht="12.75" hidden="1">
      <c r="A8207" s="109"/>
      <c r="B8207" s="109"/>
      <c r="C8207" s="109"/>
      <c r="D8207" s="109"/>
      <c r="E8207" s="109"/>
      <c r="F8207" s="109"/>
      <c r="G8207" s="109"/>
      <c r="H8207" s="109"/>
      <c r="I8207" s="109"/>
      <c r="J8207" s="109"/>
    </row>
    <row r="8208" spans="1:10" customFormat="1" ht="12.75" hidden="1">
      <c r="A8208" s="109"/>
      <c r="B8208" s="109"/>
      <c r="C8208" s="109"/>
      <c r="D8208" s="109"/>
      <c r="E8208" s="109"/>
      <c r="F8208" s="109"/>
      <c r="G8208" s="109"/>
      <c r="H8208" s="109"/>
      <c r="I8208" s="109"/>
      <c r="J8208" s="109"/>
    </row>
    <row r="8209" spans="1:10" customFormat="1" ht="12.75" hidden="1">
      <c r="A8209" s="109"/>
      <c r="B8209" s="109"/>
      <c r="C8209" s="109"/>
      <c r="D8209" s="109"/>
      <c r="E8209" s="109"/>
      <c r="F8209" s="109"/>
      <c r="G8209" s="109"/>
      <c r="H8209" s="109"/>
      <c r="I8209" s="109"/>
      <c r="J8209" s="109"/>
    </row>
    <row r="8210" spans="1:10" customFormat="1" ht="12.75" hidden="1">
      <c r="A8210" s="109"/>
      <c r="B8210" s="109"/>
      <c r="C8210" s="109"/>
      <c r="D8210" s="109"/>
      <c r="E8210" s="109"/>
      <c r="F8210" s="109"/>
      <c r="G8210" s="109"/>
      <c r="H8210" s="109"/>
      <c r="I8210" s="109"/>
      <c r="J8210" s="109"/>
    </row>
    <row r="8211" spans="1:10" customFormat="1" ht="12.75" hidden="1">
      <c r="A8211" s="109"/>
      <c r="B8211" s="109"/>
      <c r="C8211" s="109"/>
      <c r="D8211" s="109"/>
      <c r="E8211" s="109"/>
      <c r="F8211" s="109"/>
      <c r="G8211" s="109"/>
      <c r="H8211" s="109"/>
      <c r="I8211" s="109"/>
      <c r="J8211" s="109"/>
    </row>
    <row r="8212" spans="1:10" customFormat="1" ht="12.75" hidden="1">
      <c r="A8212" s="109"/>
      <c r="B8212" s="109"/>
      <c r="C8212" s="109"/>
      <c r="D8212" s="109"/>
      <c r="E8212" s="109"/>
      <c r="F8212" s="109"/>
      <c r="G8212" s="109"/>
      <c r="H8212" s="109"/>
      <c r="I8212" s="109"/>
      <c r="J8212" s="109"/>
    </row>
    <row r="8213" spans="1:10" customFormat="1" ht="12.75" hidden="1">
      <c r="A8213" s="109"/>
      <c r="B8213" s="109"/>
      <c r="C8213" s="109"/>
      <c r="D8213" s="109"/>
      <c r="E8213" s="109"/>
      <c r="F8213" s="109"/>
      <c r="G8213" s="109"/>
      <c r="H8213" s="109"/>
      <c r="I8213" s="109"/>
      <c r="J8213" s="109"/>
    </row>
    <row r="8214" spans="1:10" customFormat="1" ht="12.75" hidden="1">
      <c r="A8214" s="109"/>
      <c r="B8214" s="109"/>
      <c r="C8214" s="109"/>
      <c r="D8214" s="109"/>
      <c r="E8214" s="109"/>
      <c r="F8214" s="109"/>
      <c r="G8214" s="109"/>
      <c r="H8214" s="109"/>
      <c r="I8214" s="109"/>
      <c r="J8214" s="109"/>
    </row>
    <row r="8215" spans="1:10" customFormat="1" ht="12.75" hidden="1">
      <c r="A8215" s="109"/>
      <c r="B8215" s="109"/>
      <c r="C8215" s="109"/>
      <c r="D8215" s="109"/>
      <c r="E8215" s="109"/>
      <c r="F8215" s="109"/>
      <c r="G8215" s="109"/>
      <c r="H8215" s="109"/>
      <c r="I8215" s="109"/>
      <c r="J8215" s="109"/>
    </row>
    <row r="8216" spans="1:10" customFormat="1" ht="12.75" hidden="1">
      <c r="A8216" s="109"/>
      <c r="B8216" s="109"/>
      <c r="C8216" s="109"/>
      <c r="D8216" s="109"/>
      <c r="E8216" s="109"/>
      <c r="F8216" s="109"/>
      <c r="G8216" s="109"/>
      <c r="H8216" s="109"/>
      <c r="I8216" s="109"/>
      <c r="J8216" s="109"/>
    </row>
    <row r="8217" spans="1:10" customFormat="1" ht="12.75" hidden="1">
      <c r="A8217" s="109"/>
      <c r="B8217" s="109"/>
      <c r="C8217" s="109"/>
      <c r="D8217" s="109"/>
      <c r="E8217" s="109"/>
      <c r="F8217" s="109"/>
      <c r="G8217" s="109"/>
      <c r="H8217" s="109"/>
      <c r="I8217" s="109"/>
      <c r="J8217" s="109"/>
    </row>
    <row r="8218" spans="1:10" customFormat="1" ht="12.75" hidden="1">
      <c r="A8218" s="109"/>
      <c r="B8218" s="109"/>
      <c r="C8218" s="109"/>
      <c r="D8218" s="109"/>
      <c r="E8218" s="109"/>
      <c r="F8218" s="109"/>
      <c r="G8218" s="109"/>
      <c r="H8218" s="109"/>
      <c r="I8218" s="109"/>
      <c r="J8218" s="109"/>
    </row>
    <row r="8219" spans="1:10" customFormat="1" ht="12.75" hidden="1">
      <c r="A8219" s="109"/>
      <c r="B8219" s="109"/>
      <c r="C8219" s="109"/>
      <c r="D8219" s="109"/>
      <c r="E8219" s="109"/>
      <c r="F8219" s="109"/>
      <c r="G8219" s="109"/>
      <c r="H8219" s="109"/>
      <c r="I8219" s="109"/>
      <c r="J8219" s="109"/>
    </row>
    <row r="8220" spans="1:10" customFormat="1" ht="12.75" hidden="1">
      <c r="A8220" s="109"/>
      <c r="B8220" s="109"/>
      <c r="C8220" s="109"/>
      <c r="D8220" s="109"/>
      <c r="E8220" s="109"/>
      <c r="F8220" s="109"/>
      <c r="G8220" s="109"/>
      <c r="H8220" s="109"/>
      <c r="I8220" s="109"/>
      <c r="J8220" s="109"/>
    </row>
    <row r="8221" spans="1:10" customFormat="1" ht="12.75" hidden="1">
      <c r="A8221" s="109"/>
      <c r="B8221" s="109"/>
      <c r="C8221" s="109"/>
      <c r="D8221" s="109"/>
      <c r="E8221" s="109"/>
      <c r="F8221" s="109"/>
      <c r="G8221" s="109"/>
      <c r="H8221" s="109"/>
      <c r="I8221" s="109"/>
      <c r="J8221" s="109"/>
    </row>
    <row r="8222" spans="1:10" customFormat="1" ht="12.75" hidden="1">
      <c r="A8222" s="109"/>
      <c r="B8222" s="109"/>
      <c r="C8222" s="109"/>
      <c r="D8222" s="109"/>
      <c r="E8222" s="109"/>
      <c r="F8222" s="109"/>
      <c r="G8222" s="109"/>
      <c r="H8222" s="109"/>
      <c r="I8222" s="109"/>
      <c r="J8222" s="109"/>
    </row>
    <row r="8223" spans="1:10" customFormat="1" ht="12.75" hidden="1">
      <c r="A8223" s="109"/>
      <c r="B8223" s="109"/>
      <c r="C8223" s="109"/>
      <c r="D8223" s="109"/>
      <c r="E8223" s="109"/>
      <c r="F8223" s="109"/>
      <c r="G8223" s="109"/>
      <c r="H8223" s="109"/>
      <c r="I8223" s="109"/>
      <c r="J8223" s="109"/>
    </row>
    <row r="8224" spans="1:10" customFormat="1" ht="12.75" hidden="1">
      <c r="A8224" s="109"/>
      <c r="B8224" s="109"/>
      <c r="C8224" s="109"/>
      <c r="D8224" s="109"/>
      <c r="E8224" s="109"/>
      <c r="F8224" s="109"/>
      <c r="G8224" s="109"/>
      <c r="H8224" s="109"/>
      <c r="I8224" s="109"/>
      <c r="J8224" s="109"/>
    </row>
    <row r="8225" spans="1:10" customFormat="1" ht="12.75" hidden="1">
      <c r="A8225" s="109"/>
      <c r="B8225" s="109"/>
      <c r="C8225" s="109"/>
      <c r="D8225" s="109"/>
      <c r="E8225" s="109"/>
      <c r="F8225" s="109"/>
      <c r="G8225" s="109"/>
      <c r="H8225" s="109"/>
      <c r="I8225" s="109"/>
      <c r="J8225" s="109"/>
    </row>
    <row r="8226" spans="1:10" customFormat="1" ht="12.75" hidden="1">
      <c r="A8226" s="109"/>
      <c r="B8226" s="109"/>
      <c r="C8226" s="109"/>
      <c r="D8226" s="109"/>
      <c r="E8226" s="109"/>
      <c r="F8226" s="109"/>
      <c r="G8226" s="109"/>
      <c r="H8226" s="109"/>
      <c r="I8226" s="109"/>
      <c r="J8226" s="109"/>
    </row>
    <row r="8227" spans="1:10" customFormat="1" ht="12.75" hidden="1">
      <c r="A8227" s="109"/>
      <c r="B8227" s="109"/>
      <c r="C8227" s="109"/>
      <c r="D8227" s="109"/>
      <c r="E8227" s="109"/>
      <c r="F8227" s="109"/>
      <c r="G8227" s="109"/>
      <c r="H8227" s="109"/>
      <c r="I8227" s="109"/>
      <c r="J8227" s="109"/>
    </row>
    <row r="8228" spans="1:10" customFormat="1" ht="12.75" hidden="1">
      <c r="A8228" s="109"/>
      <c r="B8228" s="109"/>
      <c r="C8228" s="109"/>
      <c r="D8228" s="109"/>
      <c r="E8228" s="109"/>
      <c r="F8228" s="109"/>
      <c r="G8228" s="109"/>
      <c r="H8228" s="109"/>
      <c r="I8228" s="109"/>
      <c r="J8228" s="109"/>
    </row>
    <row r="8229" spans="1:10" customFormat="1" ht="12.75" hidden="1">
      <c r="A8229" s="109"/>
      <c r="B8229" s="109"/>
      <c r="C8229" s="109"/>
      <c r="D8229" s="109"/>
      <c r="E8229" s="109"/>
      <c r="F8229" s="109"/>
      <c r="G8229" s="109"/>
      <c r="H8229" s="109"/>
      <c r="I8229" s="109"/>
      <c r="J8229" s="109"/>
    </row>
    <row r="8230" spans="1:10" customFormat="1" ht="12.75" hidden="1">
      <c r="A8230" s="109"/>
      <c r="B8230" s="109"/>
      <c r="C8230" s="109"/>
      <c r="D8230" s="109"/>
      <c r="E8230" s="109"/>
      <c r="F8230" s="109"/>
      <c r="G8230" s="109"/>
      <c r="H8230" s="109"/>
      <c r="I8230" s="109"/>
      <c r="J8230" s="109"/>
    </row>
    <row r="8231" spans="1:10" customFormat="1" ht="12.75" hidden="1">
      <c r="A8231" s="109"/>
      <c r="B8231" s="109"/>
      <c r="C8231" s="109"/>
      <c r="D8231" s="109"/>
      <c r="E8231" s="109"/>
      <c r="F8231" s="109"/>
      <c r="G8231" s="109"/>
      <c r="H8231" s="109"/>
      <c r="I8231" s="109"/>
      <c r="J8231" s="109"/>
    </row>
    <row r="8232" spans="1:10" customFormat="1" ht="12.75" hidden="1">
      <c r="A8232" s="109"/>
      <c r="B8232" s="109"/>
      <c r="C8232" s="109"/>
      <c r="D8232" s="109"/>
      <c r="E8232" s="109"/>
      <c r="F8232" s="109"/>
      <c r="G8232" s="109"/>
      <c r="H8232" s="109"/>
      <c r="I8232" s="109"/>
      <c r="J8232" s="109"/>
    </row>
    <row r="8233" spans="1:10" customFormat="1" ht="12.75" hidden="1">
      <c r="A8233" s="109"/>
      <c r="B8233" s="109"/>
      <c r="C8233" s="109"/>
      <c r="D8233" s="109"/>
      <c r="E8233" s="109"/>
      <c r="F8233" s="109"/>
      <c r="G8233" s="109"/>
      <c r="H8233" s="109"/>
      <c r="I8233" s="109"/>
      <c r="J8233" s="109"/>
    </row>
    <row r="8234" spans="1:10" customFormat="1" ht="12.75" hidden="1">
      <c r="A8234" s="109"/>
      <c r="B8234" s="109"/>
      <c r="C8234" s="109"/>
      <c r="D8234" s="109"/>
      <c r="E8234" s="109"/>
      <c r="F8234" s="109"/>
      <c r="G8234" s="109"/>
      <c r="H8234" s="109"/>
      <c r="I8234" s="109"/>
      <c r="J8234" s="109"/>
    </row>
    <row r="8235" spans="1:10" customFormat="1" ht="12.75" hidden="1">
      <c r="A8235" s="109"/>
      <c r="B8235" s="109"/>
      <c r="C8235" s="109"/>
      <c r="D8235" s="109"/>
      <c r="E8235" s="109"/>
      <c r="F8235" s="109"/>
      <c r="G8235" s="109"/>
      <c r="H8235" s="109"/>
      <c r="I8235" s="109"/>
      <c r="J8235" s="109"/>
    </row>
    <row r="8236" spans="1:10" customFormat="1" ht="12.75" hidden="1">
      <c r="A8236" s="109"/>
      <c r="B8236" s="109"/>
      <c r="C8236" s="109"/>
      <c r="D8236" s="109"/>
      <c r="E8236" s="109"/>
      <c r="F8236" s="109"/>
      <c r="G8236" s="109"/>
      <c r="H8236" s="109"/>
      <c r="I8236" s="109"/>
      <c r="J8236" s="109"/>
    </row>
    <row r="8237" spans="1:10" customFormat="1" ht="12.75" hidden="1">
      <c r="A8237" s="109"/>
      <c r="B8237" s="109"/>
      <c r="C8237" s="109"/>
      <c r="D8237" s="109"/>
      <c r="E8237" s="109"/>
      <c r="F8237" s="109"/>
      <c r="G8237" s="109"/>
      <c r="H8237" s="109"/>
      <c r="I8237" s="109"/>
      <c r="J8237" s="109"/>
    </row>
    <row r="8238" spans="1:10" customFormat="1" ht="12.75" hidden="1">
      <c r="A8238" s="109"/>
      <c r="B8238" s="109"/>
      <c r="C8238" s="109"/>
      <c r="D8238" s="109"/>
      <c r="E8238" s="109"/>
      <c r="F8238" s="109"/>
      <c r="G8238" s="109"/>
      <c r="H8238" s="109"/>
      <c r="I8238" s="109"/>
      <c r="J8238" s="109"/>
    </row>
    <row r="8239" spans="1:10" customFormat="1" ht="12.75" hidden="1">
      <c r="A8239" s="109"/>
      <c r="B8239" s="109"/>
      <c r="C8239" s="109"/>
      <c r="D8239" s="109"/>
      <c r="E8239" s="109"/>
      <c r="F8239" s="109"/>
      <c r="G8239" s="109"/>
      <c r="H8239" s="109"/>
      <c r="I8239" s="109"/>
      <c r="J8239" s="109"/>
    </row>
    <row r="8240" spans="1:10" customFormat="1" ht="12.75" hidden="1">
      <c r="A8240" s="109"/>
      <c r="B8240" s="109"/>
      <c r="C8240" s="109"/>
      <c r="D8240" s="109"/>
      <c r="E8240" s="109"/>
      <c r="F8240" s="109"/>
      <c r="G8240" s="109"/>
      <c r="H8240" s="109"/>
      <c r="I8240" s="109"/>
      <c r="J8240" s="109"/>
    </row>
    <row r="8241" spans="1:10" customFormat="1" ht="12.75" hidden="1">
      <c r="A8241" s="109"/>
      <c r="B8241" s="109"/>
      <c r="C8241" s="109"/>
      <c r="D8241" s="109"/>
      <c r="E8241" s="109"/>
      <c r="F8241" s="109"/>
      <c r="G8241" s="109"/>
      <c r="H8241" s="109"/>
      <c r="I8241" s="109"/>
      <c r="J8241" s="109"/>
    </row>
    <row r="8242" spans="1:10" customFormat="1" ht="12.75" hidden="1">
      <c r="A8242" s="109"/>
      <c r="B8242" s="109"/>
      <c r="C8242" s="109"/>
      <c r="D8242" s="109"/>
      <c r="E8242" s="109"/>
      <c r="F8242" s="109"/>
      <c r="G8242" s="109"/>
      <c r="H8242" s="109"/>
      <c r="I8242" s="109"/>
      <c r="J8242" s="109"/>
    </row>
    <row r="8243" spans="1:10" customFormat="1" ht="12.75" hidden="1">
      <c r="A8243" s="109"/>
      <c r="B8243" s="109"/>
      <c r="C8243" s="109"/>
      <c r="D8243" s="109"/>
      <c r="E8243" s="109"/>
      <c r="F8243" s="109"/>
      <c r="G8243" s="109"/>
      <c r="H8243" s="109"/>
      <c r="I8243" s="109"/>
      <c r="J8243" s="109"/>
    </row>
    <row r="8244" spans="1:10" customFormat="1" ht="12.75" hidden="1">
      <c r="A8244" s="109"/>
      <c r="B8244" s="109"/>
      <c r="C8244" s="109"/>
      <c r="D8244" s="109"/>
      <c r="E8244" s="109"/>
      <c r="F8244" s="109"/>
      <c r="G8244" s="109"/>
      <c r="H8244" s="109"/>
      <c r="I8244" s="109"/>
      <c r="J8244" s="109"/>
    </row>
    <row r="8245" spans="1:10" customFormat="1" ht="12.75" hidden="1">
      <c r="A8245" s="109"/>
      <c r="B8245" s="109"/>
      <c r="C8245" s="109"/>
      <c r="D8245" s="109"/>
      <c r="E8245" s="109"/>
      <c r="F8245" s="109"/>
      <c r="G8245" s="109"/>
      <c r="H8245" s="109"/>
      <c r="I8245" s="109"/>
      <c r="J8245" s="109"/>
    </row>
    <row r="8246" spans="1:10" customFormat="1" ht="12.75" hidden="1">
      <c r="A8246" s="109"/>
      <c r="B8246" s="109"/>
      <c r="C8246" s="109"/>
      <c r="D8246" s="109"/>
      <c r="E8246" s="109"/>
      <c r="F8246" s="109"/>
      <c r="G8246" s="109"/>
      <c r="H8246" s="109"/>
      <c r="I8246" s="109"/>
      <c r="J8246" s="109"/>
    </row>
    <row r="8247" spans="1:10" customFormat="1" ht="12.75" hidden="1">
      <c r="A8247" s="109"/>
      <c r="B8247" s="109"/>
      <c r="C8247" s="109"/>
      <c r="D8247" s="109"/>
      <c r="E8247" s="109"/>
      <c r="F8247" s="109"/>
      <c r="G8247" s="109"/>
      <c r="H8247" s="109"/>
      <c r="I8247" s="109"/>
      <c r="J8247" s="109"/>
    </row>
    <row r="8248" spans="1:10" customFormat="1" ht="12.75" hidden="1">
      <c r="A8248" s="109"/>
      <c r="B8248" s="109"/>
      <c r="C8248" s="109"/>
      <c r="D8248" s="109"/>
      <c r="E8248" s="109"/>
      <c r="F8248" s="109"/>
      <c r="G8248" s="109"/>
      <c r="H8248" s="109"/>
      <c r="I8248" s="109"/>
      <c r="J8248" s="109"/>
    </row>
    <row r="8249" spans="1:10" customFormat="1" ht="12.75" hidden="1">
      <c r="A8249" s="109"/>
      <c r="B8249" s="109"/>
      <c r="C8249" s="109"/>
      <c r="D8249" s="109"/>
      <c r="E8249" s="109"/>
      <c r="F8249" s="109"/>
      <c r="G8249" s="109"/>
      <c r="H8249" s="109"/>
      <c r="I8249" s="109"/>
      <c r="J8249" s="109"/>
    </row>
    <row r="8250" spans="1:10" customFormat="1" ht="12.75" hidden="1">
      <c r="A8250" s="109"/>
      <c r="B8250" s="109"/>
      <c r="C8250" s="109"/>
      <c r="D8250" s="109"/>
      <c r="E8250" s="109"/>
      <c r="F8250" s="109"/>
      <c r="G8250" s="109"/>
      <c r="H8250" s="109"/>
      <c r="I8250" s="109"/>
      <c r="J8250" s="109"/>
    </row>
    <row r="8251" spans="1:10" customFormat="1" ht="12.75" hidden="1">
      <c r="A8251" s="109"/>
      <c r="B8251" s="109"/>
      <c r="C8251" s="109"/>
      <c r="D8251" s="109"/>
      <c r="E8251" s="109"/>
      <c r="F8251" s="109"/>
      <c r="G8251" s="109"/>
      <c r="H8251" s="109"/>
      <c r="I8251" s="109"/>
      <c r="J8251" s="109"/>
    </row>
    <row r="8252" spans="1:10" customFormat="1" ht="12.75" hidden="1">
      <c r="A8252" s="109"/>
      <c r="B8252" s="109"/>
      <c r="C8252" s="109"/>
      <c r="D8252" s="109"/>
      <c r="E8252" s="109"/>
      <c r="F8252" s="109"/>
      <c r="G8252" s="109"/>
      <c r="H8252" s="109"/>
      <c r="I8252" s="109"/>
      <c r="J8252" s="109"/>
    </row>
    <row r="8253" spans="1:10" customFormat="1" ht="12.75" hidden="1">
      <c r="A8253" s="109"/>
      <c r="B8253" s="109"/>
      <c r="C8253" s="109"/>
      <c r="D8253" s="109"/>
      <c r="E8253" s="109"/>
      <c r="F8253" s="109"/>
      <c r="G8253" s="109"/>
      <c r="H8253" s="109"/>
      <c r="I8253" s="109"/>
      <c r="J8253" s="109"/>
    </row>
    <row r="8254" spans="1:10" customFormat="1" ht="12.75" hidden="1">
      <c r="A8254" s="109"/>
      <c r="B8254" s="109"/>
      <c r="C8254" s="109"/>
      <c r="D8254" s="109"/>
      <c r="E8254" s="109"/>
      <c r="F8254" s="109"/>
      <c r="G8254" s="109"/>
      <c r="H8254" s="109"/>
      <c r="I8254" s="109"/>
      <c r="J8254" s="109"/>
    </row>
    <row r="8255" spans="1:10" customFormat="1" ht="12.75" hidden="1">
      <c r="A8255" s="109"/>
      <c r="B8255" s="109"/>
      <c r="C8255" s="109"/>
      <c r="D8255" s="109"/>
      <c r="E8255" s="109"/>
      <c r="F8255" s="109"/>
      <c r="G8255" s="109"/>
      <c r="H8255" s="109"/>
      <c r="I8255" s="109"/>
      <c r="J8255" s="109"/>
    </row>
    <row r="8256" spans="1:10" customFormat="1" ht="12.75" hidden="1">
      <c r="A8256" s="109"/>
      <c r="B8256" s="109"/>
      <c r="C8256" s="109"/>
      <c r="D8256" s="109"/>
      <c r="E8256" s="109"/>
      <c r="F8256" s="109"/>
      <c r="G8256" s="109"/>
      <c r="H8256" s="109"/>
      <c r="I8256" s="109"/>
      <c r="J8256" s="109"/>
    </row>
    <row r="8257" spans="1:10" customFormat="1" ht="12.75" hidden="1">
      <c r="A8257" s="109"/>
      <c r="B8257" s="109"/>
      <c r="C8257" s="109"/>
      <c r="D8257" s="109"/>
      <c r="E8257" s="109"/>
      <c r="F8257" s="109"/>
      <c r="G8257" s="109"/>
      <c r="H8257" s="109"/>
      <c r="I8257" s="109"/>
      <c r="J8257" s="109"/>
    </row>
    <row r="8258" spans="1:10" customFormat="1" ht="12.75" hidden="1">
      <c r="A8258" s="109"/>
      <c r="B8258" s="109"/>
      <c r="C8258" s="109"/>
      <c r="D8258" s="109"/>
      <c r="E8258" s="109"/>
      <c r="F8258" s="109"/>
      <c r="G8258" s="109"/>
      <c r="H8258" s="109"/>
      <c r="I8258" s="109"/>
      <c r="J8258" s="109"/>
    </row>
    <row r="8259" spans="1:10" customFormat="1" ht="12.75" hidden="1">
      <c r="A8259" s="109"/>
      <c r="B8259" s="109"/>
      <c r="C8259" s="109"/>
      <c r="D8259" s="109"/>
      <c r="E8259" s="109"/>
      <c r="F8259" s="109"/>
      <c r="G8259" s="109"/>
      <c r="H8259" s="109"/>
      <c r="I8259" s="109"/>
      <c r="J8259" s="109"/>
    </row>
    <row r="8260" spans="1:10" customFormat="1" ht="12.75" hidden="1">
      <c r="A8260" s="109"/>
      <c r="B8260" s="109"/>
      <c r="C8260" s="109"/>
      <c r="D8260" s="109"/>
      <c r="E8260" s="109"/>
      <c r="F8260" s="109"/>
      <c r="G8260" s="109"/>
      <c r="H8260" s="109"/>
      <c r="I8260" s="109"/>
      <c r="J8260" s="109"/>
    </row>
    <row r="8261" spans="1:10" customFormat="1" ht="12.75" hidden="1">
      <c r="A8261" s="109"/>
      <c r="B8261" s="109"/>
      <c r="C8261" s="109"/>
      <c r="D8261" s="109"/>
      <c r="E8261" s="109"/>
      <c r="F8261" s="109"/>
      <c r="G8261" s="109"/>
      <c r="H8261" s="109"/>
      <c r="I8261" s="109"/>
      <c r="J8261" s="109"/>
    </row>
    <row r="8262" spans="1:10" customFormat="1" ht="12.75" hidden="1">
      <c r="A8262" s="109"/>
      <c r="B8262" s="109"/>
      <c r="C8262" s="109"/>
      <c r="D8262" s="109"/>
      <c r="E8262" s="109"/>
      <c r="F8262" s="109"/>
      <c r="G8262" s="109"/>
      <c r="H8262" s="109"/>
      <c r="I8262" s="109"/>
      <c r="J8262" s="109"/>
    </row>
    <row r="8263" spans="1:10" customFormat="1" ht="12.75" hidden="1">
      <c r="A8263" s="109"/>
      <c r="B8263" s="109"/>
      <c r="C8263" s="109"/>
      <c r="D8263" s="109"/>
      <c r="E8263" s="109"/>
      <c r="F8263" s="109"/>
      <c r="G8263" s="109"/>
      <c r="H8263" s="109"/>
      <c r="I8263" s="109"/>
      <c r="J8263" s="109"/>
    </row>
    <row r="8264" spans="1:10" customFormat="1" ht="12.75" hidden="1">
      <c r="A8264" s="109"/>
      <c r="B8264" s="109"/>
      <c r="C8264" s="109"/>
      <c r="D8264" s="109"/>
      <c r="E8264" s="109"/>
      <c r="F8264" s="109"/>
      <c r="G8264" s="109"/>
      <c r="H8264" s="109"/>
      <c r="I8264" s="109"/>
      <c r="J8264" s="109"/>
    </row>
    <row r="8265" spans="1:10" customFormat="1" ht="12.75" hidden="1">
      <c r="A8265" s="109"/>
      <c r="B8265" s="109"/>
      <c r="C8265" s="109"/>
      <c r="D8265" s="109"/>
      <c r="E8265" s="109"/>
      <c r="F8265" s="109"/>
      <c r="G8265" s="109"/>
      <c r="H8265" s="109"/>
      <c r="I8265" s="109"/>
      <c r="J8265" s="109"/>
    </row>
    <row r="8266" spans="1:10" customFormat="1" ht="12.75" hidden="1">
      <c r="A8266" s="109"/>
      <c r="B8266" s="109"/>
      <c r="C8266" s="109"/>
      <c r="D8266" s="109"/>
      <c r="E8266" s="109"/>
      <c r="F8266" s="109"/>
      <c r="G8266" s="109"/>
      <c r="H8266" s="109"/>
      <c r="I8266" s="109"/>
      <c r="J8266" s="109"/>
    </row>
    <row r="8267" spans="1:10" customFormat="1" ht="12.75" hidden="1">
      <c r="A8267" s="109"/>
      <c r="B8267" s="109"/>
      <c r="C8267" s="109"/>
      <c r="D8267" s="109"/>
      <c r="E8267" s="109"/>
      <c r="F8267" s="109"/>
      <c r="G8267" s="109"/>
      <c r="H8267" s="109"/>
      <c r="I8267" s="109"/>
      <c r="J8267" s="109"/>
    </row>
    <row r="8268" spans="1:10" customFormat="1" ht="12.75" hidden="1">
      <c r="A8268" s="109"/>
      <c r="B8268" s="109"/>
      <c r="C8268" s="109"/>
      <c r="D8268" s="109"/>
      <c r="E8268" s="109"/>
      <c r="F8268" s="109"/>
      <c r="G8268" s="109"/>
      <c r="H8268" s="109"/>
      <c r="I8268" s="109"/>
      <c r="J8268" s="109"/>
    </row>
    <row r="8269" spans="1:10" customFormat="1" ht="12.75" hidden="1">
      <c r="A8269" s="109"/>
      <c r="B8269" s="109"/>
      <c r="C8269" s="109"/>
      <c r="D8269" s="109"/>
      <c r="E8269" s="109"/>
      <c r="F8269" s="109"/>
      <c r="G8269" s="109"/>
      <c r="H8269" s="109"/>
      <c r="I8269" s="109"/>
      <c r="J8269" s="109"/>
    </row>
    <row r="8270" spans="1:10" customFormat="1" ht="12.75" hidden="1">
      <c r="A8270" s="109"/>
      <c r="B8270" s="109"/>
      <c r="C8270" s="109"/>
      <c r="D8270" s="109"/>
      <c r="E8270" s="109"/>
      <c r="F8270" s="109"/>
      <c r="G8270" s="109"/>
      <c r="H8270" s="109"/>
      <c r="I8270" s="109"/>
      <c r="J8270" s="109"/>
    </row>
    <row r="8271" spans="1:10" customFormat="1" ht="12.75" hidden="1">
      <c r="A8271" s="109"/>
      <c r="B8271" s="109"/>
      <c r="C8271" s="109"/>
      <c r="D8271" s="109"/>
      <c r="E8271" s="109"/>
      <c r="F8271" s="109"/>
      <c r="G8271" s="109"/>
      <c r="H8271" s="109"/>
      <c r="I8271" s="109"/>
      <c r="J8271" s="109"/>
    </row>
    <row r="8272" spans="1:10" customFormat="1" ht="12.75" hidden="1">
      <c r="A8272" s="109"/>
      <c r="B8272" s="109"/>
      <c r="C8272" s="109"/>
      <c r="D8272" s="109"/>
      <c r="E8272" s="109"/>
      <c r="F8272" s="109"/>
      <c r="G8272" s="109"/>
      <c r="H8272" s="109"/>
      <c r="I8272" s="109"/>
      <c r="J8272" s="109"/>
    </row>
    <row r="8273" spans="1:10" customFormat="1" ht="12.75" hidden="1">
      <c r="A8273" s="109"/>
      <c r="B8273" s="109"/>
      <c r="C8273" s="109"/>
      <c r="D8273" s="109"/>
      <c r="E8273" s="109"/>
      <c r="F8273" s="109"/>
      <c r="G8273" s="109"/>
      <c r="H8273" s="109"/>
      <c r="I8273" s="109"/>
      <c r="J8273" s="109"/>
    </row>
    <row r="8274" spans="1:10" customFormat="1" ht="12.75" hidden="1">
      <c r="A8274" s="109"/>
      <c r="B8274" s="109"/>
      <c r="C8274" s="109"/>
      <c r="D8274" s="109"/>
      <c r="E8274" s="109"/>
      <c r="F8274" s="109"/>
      <c r="G8274" s="109"/>
      <c r="H8274" s="109"/>
      <c r="I8274" s="109"/>
      <c r="J8274" s="109"/>
    </row>
    <row r="8275" spans="1:10" customFormat="1" ht="12.75" hidden="1">
      <c r="A8275" s="109"/>
      <c r="B8275" s="109"/>
      <c r="C8275" s="109"/>
      <c r="D8275" s="109"/>
      <c r="E8275" s="109"/>
      <c r="F8275" s="109"/>
      <c r="G8275" s="109"/>
      <c r="H8275" s="109"/>
      <c r="I8275" s="109"/>
      <c r="J8275" s="109"/>
    </row>
    <row r="8276" spans="1:10" customFormat="1" ht="12.75" hidden="1">
      <c r="A8276" s="109"/>
      <c r="B8276" s="109"/>
      <c r="C8276" s="109"/>
      <c r="D8276" s="109"/>
      <c r="E8276" s="109"/>
      <c r="F8276" s="109"/>
      <c r="G8276" s="109"/>
      <c r="H8276" s="109"/>
      <c r="I8276" s="109"/>
      <c r="J8276" s="109"/>
    </row>
    <row r="8277" spans="1:10" customFormat="1" ht="12.75" hidden="1">
      <c r="A8277" s="109"/>
      <c r="B8277" s="109"/>
      <c r="C8277" s="109"/>
      <c r="D8277" s="109"/>
      <c r="E8277" s="109"/>
      <c r="F8277" s="109"/>
      <c r="G8277" s="109"/>
      <c r="H8277" s="109"/>
      <c r="I8277" s="109"/>
      <c r="J8277" s="109"/>
    </row>
    <row r="8278" spans="1:10" customFormat="1" ht="12.75" hidden="1">
      <c r="A8278" s="109"/>
      <c r="B8278" s="109"/>
      <c r="C8278" s="109"/>
      <c r="D8278" s="109"/>
      <c r="E8278" s="109"/>
      <c r="F8278" s="109"/>
      <c r="G8278" s="109"/>
      <c r="H8278" s="109"/>
      <c r="I8278" s="109"/>
      <c r="J8278" s="109"/>
    </row>
    <row r="8279" spans="1:10" customFormat="1" ht="12.75" hidden="1">
      <c r="A8279" s="109"/>
      <c r="B8279" s="109"/>
      <c r="C8279" s="109"/>
      <c r="D8279" s="109"/>
      <c r="E8279" s="109"/>
      <c r="F8279" s="109"/>
      <c r="G8279" s="109"/>
      <c r="H8279" s="109"/>
      <c r="I8279" s="109"/>
      <c r="J8279" s="109"/>
    </row>
    <row r="8280" spans="1:10" customFormat="1" ht="12.75" hidden="1">
      <c r="A8280" s="109"/>
      <c r="B8280" s="109"/>
      <c r="C8280" s="109"/>
      <c r="D8280" s="109"/>
      <c r="E8280" s="109"/>
      <c r="F8280" s="109"/>
      <c r="G8280" s="109"/>
      <c r="H8280" s="109"/>
      <c r="I8280" s="109"/>
      <c r="J8280" s="109"/>
    </row>
    <row r="8281" spans="1:10" customFormat="1" ht="12.75" hidden="1">
      <c r="A8281" s="109"/>
      <c r="B8281" s="109"/>
      <c r="C8281" s="109"/>
      <c r="D8281" s="109"/>
      <c r="E8281" s="109"/>
      <c r="F8281" s="109"/>
      <c r="G8281" s="109"/>
      <c r="H8281" s="109"/>
      <c r="I8281" s="109"/>
      <c r="J8281" s="109"/>
    </row>
    <row r="8282" spans="1:10" customFormat="1" ht="12.75" hidden="1">
      <c r="A8282" s="109"/>
      <c r="B8282" s="109"/>
      <c r="C8282" s="109"/>
      <c r="D8282" s="109"/>
      <c r="E8282" s="109"/>
      <c r="F8282" s="109"/>
      <c r="G8282" s="109"/>
      <c r="H8282" s="109"/>
      <c r="I8282" s="109"/>
      <c r="J8282" s="109"/>
    </row>
    <row r="8283" spans="1:10" customFormat="1" ht="12.75" hidden="1">
      <c r="A8283" s="109"/>
      <c r="B8283" s="109"/>
      <c r="C8283" s="109"/>
      <c r="D8283" s="109"/>
      <c r="E8283" s="109"/>
      <c r="F8283" s="109"/>
      <c r="G8283" s="109"/>
      <c r="H8283" s="109"/>
      <c r="I8283" s="109"/>
      <c r="J8283" s="109"/>
    </row>
    <row r="8284" spans="1:10" customFormat="1" ht="12.75" hidden="1">
      <c r="A8284" s="109"/>
      <c r="B8284" s="109"/>
      <c r="C8284" s="109"/>
      <c r="D8284" s="109"/>
      <c r="E8284" s="109"/>
      <c r="F8284" s="109"/>
      <c r="G8284" s="109"/>
      <c r="H8284" s="109"/>
      <c r="I8284" s="109"/>
      <c r="J8284" s="109"/>
    </row>
    <row r="8285" spans="1:10" customFormat="1" ht="12.75" hidden="1">
      <c r="A8285" s="109"/>
      <c r="B8285" s="109"/>
      <c r="C8285" s="109"/>
      <c r="D8285" s="109"/>
      <c r="E8285" s="109"/>
      <c r="F8285" s="109"/>
      <c r="G8285" s="109"/>
      <c r="H8285" s="109"/>
      <c r="I8285" s="109"/>
      <c r="J8285" s="109"/>
    </row>
    <row r="8286" spans="1:10" customFormat="1" ht="12.75" hidden="1">
      <c r="A8286" s="109"/>
      <c r="B8286" s="109"/>
      <c r="C8286" s="109"/>
      <c r="D8286" s="109"/>
      <c r="E8286" s="109"/>
      <c r="F8286" s="109"/>
      <c r="G8286" s="109"/>
      <c r="H8286" s="109"/>
      <c r="I8286" s="109"/>
      <c r="J8286" s="109"/>
    </row>
    <row r="8287" spans="1:10" customFormat="1" ht="12.75" hidden="1">
      <c r="A8287" s="109"/>
      <c r="B8287" s="109"/>
      <c r="C8287" s="109"/>
      <c r="D8287" s="109"/>
      <c r="E8287" s="109"/>
      <c r="F8287" s="109"/>
      <c r="G8287" s="109"/>
      <c r="H8287" s="109"/>
      <c r="I8287" s="109"/>
      <c r="J8287" s="109"/>
    </row>
    <row r="8288" spans="1:10" customFormat="1" ht="12.75" hidden="1">
      <c r="A8288" s="109"/>
      <c r="B8288" s="109"/>
      <c r="C8288" s="109"/>
      <c r="D8288" s="109"/>
      <c r="E8288" s="109"/>
      <c r="F8288" s="109"/>
      <c r="G8288" s="109"/>
      <c r="H8288" s="109"/>
      <c r="I8288" s="109"/>
      <c r="J8288" s="109"/>
    </row>
    <row r="8289" spans="1:10" customFormat="1" ht="12.75" hidden="1">
      <c r="A8289" s="109"/>
      <c r="B8289" s="109"/>
      <c r="C8289" s="109"/>
      <c r="D8289" s="109"/>
      <c r="E8289" s="109"/>
      <c r="F8289" s="109"/>
      <c r="G8289" s="109"/>
      <c r="H8289" s="109"/>
      <c r="I8289" s="109"/>
      <c r="J8289" s="109"/>
    </row>
    <row r="8290" spans="1:10" customFormat="1" ht="12.75" hidden="1">
      <c r="A8290" s="109"/>
      <c r="B8290" s="109"/>
      <c r="C8290" s="109"/>
      <c r="D8290" s="109"/>
      <c r="E8290" s="109"/>
      <c r="F8290" s="109"/>
      <c r="G8290" s="109"/>
      <c r="H8290" s="109"/>
      <c r="I8290" s="109"/>
      <c r="J8290" s="109"/>
    </row>
    <row r="8291" spans="1:10" customFormat="1" ht="12.75" hidden="1">
      <c r="A8291" s="109"/>
      <c r="B8291" s="109"/>
      <c r="C8291" s="109"/>
      <c r="D8291" s="109"/>
      <c r="E8291" s="109"/>
      <c r="F8291" s="109"/>
      <c r="G8291" s="109"/>
      <c r="H8291" s="109"/>
      <c r="I8291" s="109"/>
      <c r="J8291" s="109"/>
    </row>
    <row r="8292" spans="1:10" customFormat="1" ht="12.75" hidden="1">
      <c r="A8292" s="109"/>
      <c r="B8292" s="109"/>
      <c r="C8292" s="109"/>
      <c r="D8292" s="109"/>
      <c r="E8292" s="109"/>
      <c r="F8292" s="109"/>
      <c r="G8292" s="109"/>
      <c r="H8292" s="109"/>
      <c r="I8292" s="109"/>
      <c r="J8292" s="109"/>
    </row>
    <row r="8293" spans="1:10" customFormat="1" ht="12.75" hidden="1">
      <c r="A8293" s="109"/>
      <c r="B8293" s="109"/>
      <c r="C8293" s="109"/>
      <c r="D8293" s="109"/>
      <c r="E8293" s="109"/>
      <c r="F8293" s="109"/>
      <c r="G8293" s="109"/>
      <c r="H8293" s="109"/>
      <c r="I8293" s="109"/>
      <c r="J8293" s="109"/>
    </row>
    <row r="8294" spans="1:10" customFormat="1" ht="12.75" hidden="1">
      <c r="A8294" s="109"/>
      <c r="B8294" s="109"/>
      <c r="C8294" s="109"/>
      <c r="D8294" s="109"/>
      <c r="E8294" s="109"/>
      <c r="F8294" s="109"/>
      <c r="G8294" s="109"/>
      <c r="H8294" s="109"/>
      <c r="I8294" s="109"/>
      <c r="J8294" s="109"/>
    </row>
    <row r="8295" spans="1:10" customFormat="1" ht="12.75" hidden="1">
      <c r="A8295" s="109"/>
      <c r="B8295" s="109"/>
      <c r="C8295" s="109"/>
      <c r="D8295" s="109"/>
      <c r="E8295" s="109"/>
      <c r="F8295" s="109"/>
      <c r="G8295" s="109"/>
      <c r="H8295" s="109"/>
      <c r="I8295" s="109"/>
      <c r="J8295" s="109"/>
    </row>
    <row r="8296" spans="1:10" customFormat="1" ht="12.75" hidden="1">
      <c r="A8296" s="109"/>
      <c r="B8296" s="109"/>
      <c r="C8296" s="109"/>
      <c r="D8296" s="109"/>
      <c r="E8296" s="109"/>
      <c r="F8296" s="109"/>
      <c r="G8296" s="109"/>
      <c r="H8296" s="109"/>
      <c r="I8296" s="109"/>
      <c r="J8296" s="109"/>
    </row>
    <row r="8297" spans="1:10" customFormat="1" ht="12.75" hidden="1">
      <c r="A8297" s="109"/>
      <c r="B8297" s="109"/>
      <c r="C8297" s="109"/>
      <c r="D8297" s="109"/>
      <c r="E8297" s="109"/>
      <c r="F8297" s="109"/>
      <c r="G8297" s="109"/>
      <c r="H8297" s="109"/>
      <c r="I8297" s="109"/>
      <c r="J8297" s="109"/>
    </row>
    <row r="8298" spans="1:10" customFormat="1" ht="12.75" hidden="1">
      <c r="A8298" s="109"/>
      <c r="B8298" s="109"/>
      <c r="C8298" s="109"/>
      <c r="D8298" s="109"/>
      <c r="E8298" s="109"/>
      <c r="F8298" s="109"/>
      <c r="G8298" s="109"/>
      <c r="H8298" s="109"/>
      <c r="I8298" s="109"/>
      <c r="J8298" s="109"/>
    </row>
    <row r="8299" spans="1:10" customFormat="1" ht="12.75" hidden="1">
      <c r="A8299" s="109"/>
      <c r="B8299" s="109"/>
      <c r="C8299" s="109"/>
      <c r="D8299" s="109"/>
      <c r="E8299" s="109"/>
      <c r="F8299" s="109"/>
      <c r="G8299" s="109"/>
      <c r="H8299" s="109"/>
      <c r="I8299" s="109"/>
      <c r="J8299" s="109"/>
    </row>
    <row r="8300" spans="1:10" customFormat="1" ht="12.75" hidden="1">
      <c r="A8300" s="109"/>
      <c r="B8300" s="109"/>
      <c r="C8300" s="109"/>
      <c r="D8300" s="109"/>
      <c r="E8300" s="109"/>
      <c r="F8300" s="109"/>
      <c r="G8300" s="109"/>
      <c r="H8300" s="109"/>
      <c r="I8300" s="109"/>
      <c r="J8300" s="109"/>
    </row>
    <row r="8301" spans="1:10" customFormat="1" ht="12.75" hidden="1">
      <c r="A8301" s="109"/>
      <c r="B8301" s="109"/>
      <c r="C8301" s="109"/>
      <c r="D8301" s="109"/>
      <c r="E8301" s="109"/>
      <c r="F8301" s="109"/>
      <c r="G8301" s="109"/>
      <c r="H8301" s="109"/>
      <c r="I8301" s="109"/>
      <c r="J8301" s="109"/>
    </row>
    <row r="8302" spans="1:10" customFormat="1" ht="12.75" hidden="1">
      <c r="A8302" s="109"/>
      <c r="B8302" s="109"/>
      <c r="C8302" s="109"/>
      <c r="D8302" s="109"/>
      <c r="E8302" s="109"/>
      <c r="F8302" s="109"/>
      <c r="G8302" s="109"/>
      <c r="H8302" s="109"/>
      <c r="I8302" s="109"/>
      <c r="J8302" s="109"/>
    </row>
    <row r="8303" spans="1:10" customFormat="1" ht="12.75" hidden="1">
      <c r="A8303" s="109"/>
      <c r="B8303" s="109"/>
      <c r="C8303" s="109"/>
      <c r="D8303" s="109"/>
      <c r="E8303" s="109"/>
      <c r="F8303" s="109"/>
      <c r="G8303" s="109"/>
      <c r="H8303" s="109"/>
      <c r="I8303" s="109"/>
      <c r="J8303" s="109"/>
    </row>
    <row r="8304" spans="1:10" customFormat="1" ht="12.75" hidden="1">
      <c r="A8304" s="109"/>
      <c r="B8304" s="109"/>
      <c r="C8304" s="109"/>
      <c r="D8304" s="109"/>
      <c r="E8304" s="109"/>
      <c r="F8304" s="109"/>
      <c r="G8304" s="109"/>
      <c r="H8304" s="109"/>
      <c r="I8304" s="109"/>
      <c r="J8304" s="109"/>
    </row>
    <row r="8305" spans="1:10" customFormat="1" ht="12.75" hidden="1">
      <c r="A8305" s="109"/>
      <c r="B8305" s="109"/>
      <c r="C8305" s="109"/>
      <c r="D8305" s="109"/>
      <c r="E8305" s="109"/>
      <c r="F8305" s="109"/>
      <c r="G8305" s="109"/>
      <c r="H8305" s="109"/>
      <c r="I8305" s="109"/>
      <c r="J8305" s="109"/>
    </row>
    <row r="8306" spans="1:10" customFormat="1" ht="12.75" hidden="1">
      <c r="A8306" s="109"/>
      <c r="B8306" s="109"/>
      <c r="C8306" s="109"/>
      <c r="D8306" s="109"/>
      <c r="E8306" s="109"/>
      <c r="F8306" s="109"/>
      <c r="G8306" s="109"/>
      <c r="H8306" s="109"/>
      <c r="I8306" s="109"/>
      <c r="J8306" s="109"/>
    </row>
    <row r="8307" spans="1:10" customFormat="1" ht="12.75" hidden="1">
      <c r="A8307" s="109"/>
      <c r="B8307" s="109"/>
      <c r="C8307" s="109"/>
      <c r="D8307" s="109"/>
      <c r="E8307" s="109"/>
      <c r="F8307" s="109"/>
      <c r="G8307" s="109"/>
      <c r="H8307" s="109"/>
      <c r="I8307" s="109"/>
      <c r="J8307" s="109"/>
    </row>
    <row r="8308" spans="1:10" customFormat="1" ht="12.75" hidden="1">
      <c r="A8308" s="109"/>
      <c r="B8308" s="109"/>
      <c r="C8308" s="109"/>
      <c r="D8308" s="109"/>
      <c r="E8308" s="109"/>
      <c r="F8308" s="109"/>
      <c r="G8308" s="109"/>
      <c r="H8308" s="109"/>
      <c r="I8308" s="109"/>
      <c r="J8308" s="109"/>
    </row>
    <row r="8309" spans="1:10" customFormat="1" ht="12.75" hidden="1">
      <c r="A8309" s="109"/>
      <c r="B8309" s="109"/>
      <c r="C8309" s="109"/>
      <c r="D8309" s="109"/>
      <c r="E8309" s="109"/>
      <c r="F8309" s="109"/>
      <c r="G8309" s="109"/>
      <c r="H8309" s="109"/>
      <c r="I8309" s="109"/>
      <c r="J8309" s="109"/>
    </row>
    <row r="8310" spans="1:10" customFormat="1" ht="12.75" hidden="1">
      <c r="A8310" s="109"/>
      <c r="B8310" s="109"/>
      <c r="C8310" s="109"/>
      <c r="D8310" s="109"/>
      <c r="E8310" s="109"/>
      <c r="F8310" s="109"/>
      <c r="G8310" s="109"/>
      <c r="H8310" s="109"/>
      <c r="I8310" s="109"/>
      <c r="J8310" s="109"/>
    </row>
    <row r="8311" spans="1:10" customFormat="1" ht="12.75" hidden="1">
      <c r="A8311" s="109"/>
      <c r="B8311" s="109"/>
      <c r="C8311" s="109"/>
      <c r="D8311" s="109"/>
      <c r="E8311" s="109"/>
      <c r="F8311" s="109"/>
      <c r="G8311" s="109"/>
      <c r="H8311" s="109"/>
      <c r="I8311" s="109"/>
      <c r="J8311" s="109"/>
    </row>
    <row r="8312" spans="1:10" customFormat="1" ht="12.75" hidden="1">
      <c r="A8312" s="109"/>
      <c r="B8312" s="109"/>
      <c r="C8312" s="109"/>
      <c r="D8312" s="109"/>
      <c r="E8312" s="109"/>
      <c r="F8312" s="109"/>
      <c r="G8312" s="109"/>
      <c r="H8312" s="109"/>
      <c r="I8312" s="109"/>
      <c r="J8312" s="109"/>
    </row>
    <row r="8313" spans="1:10" customFormat="1" ht="12.75" hidden="1">
      <c r="A8313" s="109"/>
      <c r="B8313" s="109"/>
      <c r="C8313" s="109"/>
      <c r="D8313" s="109"/>
      <c r="E8313" s="109"/>
      <c r="F8313" s="109"/>
      <c r="G8313" s="109"/>
      <c r="H8313" s="109"/>
      <c r="I8313" s="109"/>
      <c r="J8313" s="109"/>
    </row>
    <row r="8314" spans="1:10" customFormat="1" ht="12.75" hidden="1">
      <c r="A8314" s="109"/>
      <c r="B8314" s="109"/>
      <c r="C8314" s="109"/>
      <c r="D8314" s="109"/>
      <c r="E8314" s="109"/>
      <c r="F8314" s="109"/>
      <c r="G8314" s="109"/>
      <c r="H8314" s="109"/>
      <c r="I8314" s="109"/>
      <c r="J8314" s="109"/>
    </row>
    <row r="8315" spans="1:10" customFormat="1" ht="12.75" hidden="1">
      <c r="A8315" s="109"/>
      <c r="B8315" s="109"/>
      <c r="C8315" s="109"/>
      <c r="D8315" s="109"/>
      <c r="E8315" s="109"/>
      <c r="F8315" s="109"/>
      <c r="G8315" s="109"/>
      <c r="H8315" s="109"/>
      <c r="I8315" s="109"/>
      <c r="J8315" s="109"/>
    </row>
    <row r="8316" spans="1:10" customFormat="1" ht="12.75" hidden="1">
      <c r="A8316" s="109"/>
      <c r="B8316" s="109"/>
      <c r="C8316" s="109"/>
      <c r="D8316" s="109"/>
      <c r="E8316" s="109"/>
      <c r="F8316" s="109"/>
      <c r="G8316" s="109"/>
      <c r="H8316" s="109"/>
      <c r="I8316" s="109"/>
      <c r="J8316" s="109"/>
    </row>
    <row r="8317" spans="1:10" customFormat="1" ht="12.75" hidden="1">
      <c r="A8317" s="109"/>
      <c r="B8317" s="109"/>
      <c r="C8317" s="109"/>
      <c r="D8317" s="109"/>
      <c r="E8317" s="109"/>
      <c r="F8317" s="109"/>
      <c r="G8317" s="109"/>
      <c r="H8317" s="109"/>
      <c r="I8317" s="109"/>
      <c r="J8317" s="109"/>
    </row>
    <row r="8318" spans="1:10" customFormat="1" ht="12.75" hidden="1">
      <c r="A8318" s="109"/>
      <c r="B8318" s="109"/>
      <c r="C8318" s="109"/>
      <c r="D8318" s="109"/>
      <c r="E8318" s="109"/>
      <c r="F8318" s="109"/>
      <c r="G8318" s="109"/>
      <c r="H8318" s="109"/>
      <c r="I8318" s="109"/>
      <c r="J8318" s="109"/>
    </row>
    <row r="8319" spans="1:10" customFormat="1" ht="12.75" hidden="1">
      <c r="A8319" s="109"/>
      <c r="B8319" s="109"/>
      <c r="C8319" s="109"/>
      <c r="D8319" s="109"/>
      <c r="E8319" s="109"/>
      <c r="F8319" s="109"/>
      <c r="G8319" s="109"/>
      <c r="H8319" s="109"/>
      <c r="I8319" s="109"/>
      <c r="J8319" s="109"/>
    </row>
    <row r="8320" spans="1:10" customFormat="1" ht="12.75" hidden="1">
      <c r="A8320" s="109"/>
      <c r="B8320" s="109"/>
      <c r="C8320" s="109"/>
      <c r="D8320" s="109"/>
      <c r="E8320" s="109"/>
      <c r="F8320" s="109"/>
      <c r="G8320" s="109"/>
      <c r="H8320" s="109"/>
      <c r="I8320" s="109"/>
      <c r="J8320" s="109"/>
    </row>
    <row r="8321" spans="1:10" customFormat="1" ht="12.75" hidden="1">
      <c r="A8321" s="109"/>
      <c r="B8321" s="109"/>
      <c r="C8321" s="109"/>
      <c r="D8321" s="109"/>
      <c r="E8321" s="109"/>
      <c r="F8321" s="109"/>
      <c r="G8321" s="109"/>
      <c r="H8321" s="109"/>
      <c r="I8321" s="109"/>
      <c r="J8321" s="109"/>
    </row>
    <row r="8322" spans="1:10" customFormat="1" ht="12.75" hidden="1">
      <c r="A8322" s="109"/>
      <c r="B8322" s="109"/>
      <c r="C8322" s="109"/>
      <c r="D8322" s="109"/>
      <c r="E8322" s="109"/>
      <c r="F8322" s="109"/>
      <c r="G8322" s="109"/>
      <c r="H8322" s="109"/>
      <c r="I8322" s="109"/>
      <c r="J8322" s="109"/>
    </row>
    <row r="8323" spans="1:10" customFormat="1" ht="12.75" hidden="1">
      <c r="A8323" s="109"/>
      <c r="B8323" s="109"/>
      <c r="C8323" s="109"/>
      <c r="D8323" s="109"/>
      <c r="E8323" s="109"/>
      <c r="F8323" s="109"/>
      <c r="G8323" s="109"/>
      <c r="H8323" s="109"/>
      <c r="I8323" s="109"/>
      <c r="J8323" s="109"/>
    </row>
    <row r="8324" spans="1:10" customFormat="1" ht="12.75" hidden="1">
      <c r="A8324" s="109"/>
      <c r="B8324" s="109"/>
      <c r="C8324" s="109"/>
      <c r="D8324" s="109"/>
      <c r="E8324" s="109"/>
      <c r="F8324" s="109"/>
      <c r="G8324" s="109"/>
      <c r="H8324" s="109"/>
      <c r="I8324" s="109"/>
      <c r="J8324" s="109"/>
    </row>
    <row r="8325" spans="1:10" customFormat="1" ht="12.75" hidden="1">
      <c r="A8325" s="109"/>
      <c r="B8325" s="109"/>
      <c r="C8325" s="109"/>
      <c r="D8325" s="109"/>
      <c r="E8325" s="109"/>
      <c r="F8325" s="109"/>
      <c r="G8325" s="109"/>
      <c r="H8325" s="109"/>
      <c r="I8325" s="109"/>
      <c r="J8325" s="109"/>
    </row>
    <row r="8326" spans="1:10" customFormat="1" ht="12.75" hidden="1">
      <c r="A8326" s="109"/>
      <c r="B8326" s="109"/>
      <c r="C8326" s="109"/>
      <c r="D8326" s="109"/>
      <c r="E8326" s="109"/>
      <c r="F8326" s="109"/>
      <c r="G8326" s="109"/>
      <c r="H8326" s="109"/>
      <c r="I8326" s="109"/>
      <c r="J8326" s="109"/>
    </row>
    <row r="8327" spans="1:10" customFormat="1" ht="12.75" hidden="1">
      <c r="A8327" s="109"/>
      <c r="B8327" s="109"/>
      <c r="C8327" s="109"/>
      <c r="D8327" s="109"/>
      <c r="E8327" s="109"/>
      <c r="F8327" s="109"/>
      <c r="G8327" s="109"/>
      <c r="H8327" s="109"/>
      <c r="I8327" s="109"/>
      <c r="J8327" s="109"/>
    </row>
    <row r="8328" spans="1:10" customFormat="1" ht="12.75" hidden="1">
      <c r="A8328" s="109"/>
      <c r="B8328" s="109"/>
      <c r="C8328" s="109"/>
      <c r="D8328" s="109"/>
      <c r="E8328" s="109"/>
      <c r="F8328" s="109"/>
      <c r="G8328" s="109"/>
      <c r="H8328" s="109"/>
      <c r="I8328" s="109"/>
      <c r="J8328" s="109"/>
    </row>
    <row r="8329" spans="1:10" customFormat="1" ht="12.75" hidden="1">
      <c r="A8329" s="109"/>
      <c r="B8329" s="109"/>
      <c r="C8329" s="109"/>
      <c r="D8329" s="109"/>
      <c r="E8329" s="109"/>
      <c r="F8329" s="109"/>
      <c r="G8329" s="109"/>
      <c r="H8329" s="109"/>
      <c r="I8329" s="109"/>
      <c r="J8329" s="109"/>
    </row>
    <row r="8330" spans="1:10" customFormat="1" ht="12.75" hidden="1">
      <c r="A8330" s="109"/>
      <c r="B8330" s="109"/>
      <c r="C8330" s="109"/>
      <c r="D8330" s="109"/>
      <c r="E8330" s="109"/>
      <c r="F8330" s="109"/>
      <c r="G8330" s="109"/>
      <c r="H8330" s="109"/>
      <c r="I8330" s="109"/>
      <c r="J8330" s="109"/>
    </row>
    <row r="8331" spans="1:10" customFormat="1" ht="12.75" hidden="1">
      <c r="A8331" s="109"/>
      <c r="B8331" s="109"/>
      <c r="C8331" s="109"/>
      <c r="D8331" s="109"/>
      <c r="E8331" s="109"/>
      <c r="F8331" s="109"/>
      <c r="G8331" s="109"/>
      <c r="H8331" s="109"/>
      <c r="I8331" s="109"/>
      <c r="J8331" s="109"/>
    </row>
    <row r="8332" spans="1:10" customFormat="1" ht="12.75" hidden="1">
      <c r="A8332" s="109"/>
      <c r="B8332" s="109"/>
      <c r="C8332" s="109"/>
      <c r="D8332" s="109"/>
      <c r="E8332" s="109"/>
      <c r="F8332" s="109"/>
      <c r="G8332" s="109"/>
      <c r="H8332" s="109"/>
      <c r="I8332" s="109"/>
      <c r="J8332" s="109"/>
    </row>
    <row r="8333" spans="1:10" customFormat="1" ht="12.75" hidden="1">
      <c r="A8333" s="109"/>
      <c r="B8333" s="109"/>
      <c r="C8333" s="109"/>
      <c r="D8333" s="109"/>
      <c r="E8333" s="109"/>
      <c r="F8333" s="109"/>
      <c r="G8333" s="109"/>
      <c r="H8333" s="109"/>
      <c r="I8333" s="109"/>
      <c r="J8333" s="109"/>
    </row>
    <row r="8334" spans="1:10" customFormat="1" ht="12.75" hidden="1">
      <c r="A8334" s="109"/>
      <c r="B8334" s="109"/>
      <c r="C8334" s="109"/>
      <c r="D8334" s="109"/>
      <c r="E8334" s="109"/>
      <c r="F8334" s="109"/>
      <c r="G8334" s="109"/>
      <c r="H8334" s="109"/>
      <c r="I8334" s="109"/>
      <c r="J8334" s="109"/>
    </row>
    <row r="8335" spans="1:10" customFormat="1" ht="12.75" hidden="1">
      <c r="A8335" s="109"/>
      <c r="B8335" s="109"/>
      <c r="C8335" s="109"/>
      <c r="D8335" s="109"/>
      <c r="E8335" s="109"/>
      <c r="F8335" s="109"/>
      <c r="G8335" s="109"/>
      <c r="H8335" s="109"/>
      <c r="I8335" s="109"/>
      <c r="J8335" s="109"/>
    </row>
    <row r="8336" spans="1:10" customFormat="1" ht="12.75" hidden="1">
      <c r="A8336" s="109"/>
      <c r="B8336" s="109"/>
      <c r="C8336" s="109"/>
      <c r="D8336" s="109"/>
      <c r="E8336" s="109"/>
      <c r="F8336" s="109"/>
      <c r="G8336" s="109"/>
      <c r="H8336" s="109"/>
      <c r="I8336" s="109"/>
      <c r="J8336" s="109"/>
    </row>
    <row r="8337" spans="1:10" customFormat="1" ht="12.75" hidden="1">
      <c r="A8337" s="109"/>
      <c r="B8337" s="109"/>
      <c r="C8337" s="109"/>
      <c r="D8337" s="109"/>
      <c r="E8337" s="109"/>
      <c r="F8337" s="109"/>
      <c r="G8337" s="109"/>
      <c r="H8337" s="109"/>
      <c r="I8337" s="109"/>
      <c r="J8337" s="109"/>
    </row>
    <row r="8338" spans="1:10" customFormat="1" ht="12.75" hidden="1">
      <c r="A8338" s="109"/>
      <c r="B8338" s="109"/>
      <c r="C8338" s="109"/>
      <c r="D8338" s="109"/>
      <c r="E8338" s="109"/>
      <c r="F8338" s="109"/>
      <c r="G8338" s="109"/>
      <c r="H8338" s="109"/>
      <c r="I8338" s="109"/>
      <c r="J8338" s="109"/>
    </row>
    <row r="8339" spans="1:10" customFormat="1" ht="12.75" hidden="1">
      <c r="A8339" s="109"/>
      <c r="B8339" s="109"/>
      <c r="C8339" s="109"/>
      <c r="D8339" s="109"/>
      <c r="E8339" s="109"/>
      <c r="F8339" s="109"/>
      <c r="G8339" s="109"/>
      <c r="H8339" s="109"/>
      <c r="I8339" s="109"/>
      <c r="J8339" s="109"/>
    </row>
    <row r="8340" spans="1:10" customFormat="1" ht="12.75" hidden="1">
      <c r="A8340" s="109"/>
      <c r="B8340" s="109"/>
      <c r="C8340" s="109"/>
      <c r="D8340" s="109"/>
      <c r="E8340" s="109"/>
      <c r="F8340" s="109"/>
      <c r="G8340" s="109"/>
      <c r="H8340" s="109"/>
      <c r="I8340" s="109"/>
      <c r="J8340" s="109"/>
    </row>
    <row r="8341" spans="1:10" customFormat="1" ht="12.75" hidden="1">
      <c r="A8341" s="109"/>
      <c r="B8341" s="109"/>
      <c r="C8341" s="109"/>
      <c r="D8341" s="109"/>
      <c r="E8341" s="109"/>
      <c r="F8341" s="109"/>
      <c r="G8341" s="109"/>
      <c r="H8341" s="109"/>
      <c r="I8341" s="109"/>
      <c r="J8341" s="109"/>
    </row>
    <row r="8342" spans="1:10" customFormat="1" ht="12.75" hidden="1">
      <c r="A8342" s="109"/>
      <c r="B8342" s="109"/>
      <c r="C8342" s="109"/>
      <c r="D8342" s="109"/>
      <c r="E8342" s="109"/>
      <c r="F8342" s="109"/>
      <c r="G8342" s="109"/>
      <c r="H8342" s="109"/>
      <c r="I8342" s="109"/>
      <c r="J8342" s="109"/>
    </row>
    <row r="8343" spans="1:10" customFormat="1" ht="12.75" hidden="1">
      <c r="A8343" s="109"/>
      <c r="B8343" s="109"/>
      <c r="C8343" s="109"/>
      <c r="D8343" s="109"/>
      <c r="E8343" s="109"/>
      <c r="F8343" s="109"/>
      <c r="G8343" s="109"/>
      <c r="H8343" s="109"/>
      <c r="I8343" s="109"/>
      <c r="J8343" s="109"/>
    </row>
    <row r="8344" spans="1:10" customFormat="1" ht="12.75" hidden="1">
      <c r="A8344" s="109"/>
      <c r="B8344" s="109"/>
      <c r="C8344" s="109"/>
      <c r="D8344" s="109"/>
      <c r="E8344" s="109"/>
      <c r="F8344" s="109"/>
      <c r="G8344" s="109"/>
      <c r="H8344" s="109"/>
      <c r="I8344" s="109"/>
      <c r="J8344" s="109"/>
    </row>
    <row r="8345" spans="1:10" customFormat="1" ht="12.75" hidden="1">
      <c r="A8345" s="109"/>
      <c r="B8345" s="109"/>
      <c r="C8345" s="109"/>
      <c r="D8345" s="109"/>
      <c r="E8345" s="109"/>
      <c r="F8345" s="109"/>
      <c r="G8345" s="109"/>
      <c r="H8345" s="109"/>
      <c r="I8345" s="109"/>
      <c r="J8345" s="109"/>
    </row>
    <row r="8346" spans="1:10" customFormat="1" ht="12.75" hidden="1">
      <c r="A8346" s="109"/>
      <c r="B8346" s="109"/>
      <c r="C8346" s="109"/>
      <c r="D8346" s="109"/>
      <c r="E8346" s="109"/>
      <c r="F8346" s="109"/>
      <c r="G8346" s="109"/>
      <c r="H8346" s="109"/>
      <c r="I8346" s="109"/>
      <c r="J8346" s="109"/>
    </row>
    <row r="8347" spans="1:10" customFormat="1" ht="12.75" hidden="1">
      <c r="A8347" s="109"/>
      <c r="B8347" s="109"/>
      <c r="C8347" s="109"/>
      <c r="D8347" s="109"/>
      <c r="E8347" s="109"/>
      <c r="F8347" s="109"/>
      <c r="G8347" s="109"/>
      <c r="H8347" s="109"/>
      <c r="I8347" s="109"/>
      <c r="J8347" s="109"/>
    </row>
    <row r="8348" spans="1:10" customFormat="1" ht="12.75" hidden="1">
      <c r="A8348" s="109"/>
      <c r="B8348" s="109"/>
      <c r="C8348" s="109"/>
      <c r="D8348" s="109"/>
      <c r="E8348" s="109"/>
      <c r="F8348" s="109"/>
      <c r="G8348" s="109"/>
      <c r="H8348" s="109"/>
      <c r="I8348" s="109"/>
      <c r="J8348" s="109"/>
    </row>
    <row r="8349" spans="1:10" customFormat="1" ht="12.75" hidden="1">
      <c r="A8349" s="109"/>
      <c r="B8349" s="109"/>
      <c r="C8349" s="109"/>
      <c r="D8349" s="109"/>
      <c r="E8349" s="109"/>
      <c r="F8349" s="109"/>
      <c r="G8349" s="109"/>
      <c r="H8349" s="109"/>
      <c r="I8349" s="109"/>
      <c r="J8349" s="109"/>
    </row>
    <row r="8350" spans="1:10" customFormat="1" ht="12.75" hidden="1">
      <c r="A8350" s="109"/>
      <c r="B8350" s="109"/>
      <c r="C8350" s="109"/>
      <c r="D8350" s="109"/>
      <c r="E8350" s="109"/>
      <c r="F8350" s="109"/>
      <c r="G8350" s="109"/>
      <c r="H8350" s="109"/>
      <c r="I8350" s="109"/>
      <c r="J8350" s="109"/>
    </row>
    <row r="8351" spans="1:10" customFormat="1" ht="12.75" hidden="1">
      <c r="A8351" s="109"/>
      <c r="B8351" s="109"/>
      <c r="C8351" s="109"/>
      <c r="D8351" s="109"/>
      <c r="E8351" s="109"/>
      <c r="F8351" s="109"/>
      <c r="G8351" s="109"/>
      <c r="H8351" s="109"/>
      <c r="I8351" s="109"/>
      <c r="J8351" s="109"/>
    </row>
    <row r="8352" spans="1:10" customFormat="1" ht="12.75" hidden="1">
      <c r="A8352" s="109"/>
      <c r="B8352" s="109"/>
      <c r="C8352" s="109"/>
      <c r="D8352" s="109"/>
      <c r="E8352" s="109"/>
      <c r="F8352" s="109"/>
      <c r="G8352" s="109"/>
      <c r="H8352" s="109"/>
      <c r="I8352" s="109"/>
      <c r="J8352" s="109"/>
    </row>
    <row r="8353" spans="1:10" customFormat="1" ht="12.75" hidden="1">
      <c r="A8353" s="109"/>
      <c r="B8353" s="109"/>
      <c r="C8353" s="109"/>
      <c r="D8353" s="109"/>
      <c r="E8353" s="109"/>
      <c r="F8353" s="109"/>
      <c r="G8353" s="109"/>
      <c r="H8353" s="109"/>
      <c r="I8353" s="109"/>
      <c r="J8353" s="109"/>
    </row>
    <row r="8354" spans="1:10" customFormat="1" ht="12.75" hidden="1">
      <c r="A8354" s="109"/>
      <c r="B8354" s="109"/>
      <c r="C8354" s="109"/>
      <c r="D8354" s="109"/>
      <c r="E8354" s="109"/>
      <c r="F8354" s="109"/>
      <c r="G8354" s="109"/>
      <c r="H8354" s="109"/>
      <c r="I8354" s="109"/>
      <c r="J8354" s="109"/>
    </row>
    <row r="8355" spans="1:10" customFormat="1" ht="12.75" hidden="1">
      <c r="A8355" s="109"/>
      <c r="B8355" s="109"/>
      <c r="C8355" s="109"/>
      <c r="D8355" s="109"/>
      <c r="E8355" s="109"/>
      <c r="F8355" s="109"/>
      <c r="G8355" s="109"/>
      <c r="H8355" s="109"/>
      <c r="I8355" s="109"/>
      <c r="J8355" s="109"/>
    </row>
    <row r="8356" spans="1:10" customFormat="1" ht="12.75" hidden="1">
      <c r="A8356" s="109"/>
      <c r="B8356" s="109"/>
      <c r="C8356" s="109"/>
      <c r="D8356" s="109"/>
      <c r="E8356" s="109"/>
      <c r="F8356" s="109"/>
      <c r="G8356" s="109"/>
      <c r="H8356" s="109"/>
      <c r="I8356" s="109"/>
      <c r="J8356" s="109"/>
    </row>
    <row r="8357" spans="1:10" customFormat="1" ht="12.75" hidden="1">
      <c r="A8357" s="109"/>
      <c r="B8357" s="109"/>
      <c r="C8357" s="109"/>
      <c r="D8357" s="109"/>
      <c r="E8357" s="109"/>
      <c r="F8357" s="109"/>
      <c r="G8357" s="109"/>
      <c r="H8357" s="109"/>
      <c r="I8357" s="109"/>
      <c r="J8357" s="109"/>
    </row>
    <row r="8358" spans="1:10" customFormat="1" ht="12.75" hidden="1">
      <c r="A8358" s="109"/>
      <c r="B8358" s="109"/>
      <c r="C8358" s="109"/>
      <c r="D8358" s="109"/>
      <c r="E8358" s="109"/>
      <c r="F8358" s="109"/>
      <c r="G8358" s="109"/>
      <c r="H8358" s="109"/>
      <c r="I8358" s="109"/>
      <c r="J8358" s="109"/>
    </row>
    <row r="8359" spans="1:10" customFormat="1" ht="12.75" hidden="1">
      <c r="A8359" s="109"/>
      <c r="B8359" s="109"/>
      <c r="C8359" s="109"/>
      <c r="D8359" s="109"/>
      <c r="E8359" s="109"/>
      <c r="F8359" s="109"/>
      <c r="G8359" s="109"/>
      <c r="H8359" s="109"/>
      <c r="I8359" s="109"/>
      <c r="J8359" s="109"/>
    </row>
    <row r="8360" spans="1:10" customFormat="1" ht="12.75" hidden="1">
      <c r="A8360" s="109"/>
      <c r="B8360" s="109"/>
      <c r="C8360" s="109"/>
      <c r="D8360" s="109"/>
      <c r="E8360" s="109"/>
      <c r="F8360" s="109"/>
      <c r="G8360" s="109"/>
      <c r="H8360" s="109"/>
      <c r="I8360" s="109"/>
      <c r="J8360" s="109"/>
    </row>
    <row r="8361" spans="1:10" customFormat="1" ht="12.75" hidden="1">
      <c r="A8361" s="109"/>
      <c r="B8361" s="109"/>
      <c r="C8361" s="109"/>
      <c r="D8361" s="109"/>
      <c r="E8361" s="109"/>
      <c r="F8361" s="109"/>
      <c r="G8361" s="109"/>
      <c r="H8361" s="109"/>
      <c r="I8361" s="109"/>
      <c r="J8361" s="109"/>
    </row>
    <row r="8362" spans="1:10" customFormat="1" ht="12.75" hidden="1">
      <c r="A8362" s="109"/>
      <c r="B8362" s="109"/>
      <c r="C8362" s="109"/>
      <c r="D8362" s="109"/>
      <c r="E8362" s="109"/>
      <c r="F8362" s="109"/>
      <c r="G8362" s="109"/>
      <c r="H8362" s="109"/>
      <c r="I8362" s="109"/>
      <c r="J8362" s="109"/>
    </row>
    <row r="8363" spans="1:10" customFormat="1" ht="12.75" hidden="1">
      <c r="A8363" s="109"/>
      <c r="B8363" s="109"/>
      <c r="C8363" s="109"/>
      <c r="D8363" s="109"/>
      <c r="E8363" s="109"/>
      <c r="F8363" s="109"/>
      <c r="G8363" s="109"/>
      <c r="H8363" s="109"/>
      <c r="I8363" s="109"/>
      <c r="J8363" s="109"/>
    </row>
    <row r="8364" spans="1:10" customFormat="1" ht="12.75" hidden="1">
      <c r="A8364" s="109"/>
      <c r="B8364" s="109"/>
      <c r="C8364" s="109"/>
      <c r="D8364" s="109"/>
      <c r="E8364" s="109"/>
      <c r="F8364" s="109"/>
      <c r="G8364" s="109"/>
      <c r="H8364" s="109"/>
      <c r="I8364" s="109"/>
      <c r="J8364" s="109"/>
    </row>
    <row r="8365" spans="1:10" customFormat="1" ht="12.75" hidden="1">
      <c r="A8365" s="109"/>
      <c r="B8365" s="109"/>
      <c r="C8365" s="109"/>
      <c r="D8365" s="109"/>
      <c r="E8365" s="109"/>
      <c r="F8365" s="109"/>
      <c r="G8365" s="109"/>
      <c r="H8365" s="109"/>
      <c r="I8365" s="109"/>
      <c r="J8365" s="109"/>
    </row>
    <row r="8366" spans="1:10" customFormat="1" ht="12.75" hidden="1">
      <c r="A8366" s="109"/>
      <c r="B8366" s="109"/>
      <c r="C8366" s="109"/>
      <c r="D8366" s="109"/>
      <c r="E8366" s="109"/>
      <c r="F8366" s="109"/>
      <c r="G8366" s="109"/>
      <c r="H8366" s="109"/>
      <c r="I8366" s="109"/>
      <c r="J8366" s="109"/>
    </row>
    <row r="8367" spans="1:10" customFormat="1" ht="12.75" hidden="1">
      <c r="A8367" s="109"/>
      <c r="B8367" s="109"/>
      <c r="C8367" s="109"/>
      <c r="D8367" s="109"/>
      <c r="E8367" s="109"/>
      <c r="F8367" s="109"/>
      <c r="G8367" s="109"/>
      <c r="H8367" s="109"/>
      <c r="I8367" s="109"/>
      <c r="J8367" s="109"/>
    </row>
    <row r="8368" spans="1:10" customFormat="1" ht="12.75" hidden="1">
      <c r="A8368" s="109"/>
      <c r="B8368" s="109"/>
      <c r="C8368" s="109"/>
      <c r="D8368" s="109"/>
      <c r="E8368" s="109"/>
      <c r="F8368" s="109"/>
      <c r="G8368" s="109"/>
      <c r="H8368" s="109"/>
      <c r="I8368" s="109"/>
      <c r="J8368" s="109"/>
    </row>
    <row r="8369" spans="1:10" customFormat="1" ht="12.75" hidden="1">
      <c r="A8369" s="109"/>
      <c r="B8369" s="109"/>
      <c r="C8369" s="109"/>
      <c r="D8369" s="109"/>
      <c r="E8369" s="109"/>
      <c r="F8369" s="109"/>
      <c r="G8369" s="109"/>
      <c r="H8369" s="109"/>
      <c r="I8369" s="109"/>
      <c r="J8369" s="109"/>
    </row>
    <row r="8370" spans="1:10" customFormat="1" ht="12.75" hidden="1">
      <c r="A8370" s="109"/>
      <c r="B8370" s="109"/>
      <c r="C8370" s="109"/>
      <c r="D8370" s="109"/>
      <c r="E8370" s="109"/>
      <c r="F8370" s="109"/>
      <c r="G8370" s="109"/>
      <c r="H8370" s="109"/>
      <c r="I8370" s="109"/>
      <c r="J8370" s="109"/>
    </row>
    <row r="8371" spans="1:10" customFormat="1" ht="12.75" hidden="1">
      <c r="A8371" s="109"/>
      <c r="B8371" s="109"/>
      <c r="C8371" s="109"/>
      <c r="D8371" s="109"/>
      <c r="E8371" s="109"/>
      <c r="F8371" s="109"/>
      <c r="G8371" s="109"/>
      <c r="H8371" s="109"/>
      <c r="I8371" s="109"/>
      <c r="J8371" s="109"/>
    </row>
    <row r="8372" spans="1:10" customFormat="1" ht="12.75" hidden="1">
      <c r="A8372" s="109"/>
      <c r="B8372" s="109"/>
      <c r="C8372" s="109"/>
      <c r="D8372" s="109"/>
      <c r="E8372" s="109"/>
      <c r="F8372" s="109"/>
      <c r="G8372" s="109"/>
      <c r="H8372" s="109"/>
      <c r="I8372" s="109"/>
      <c r="J8372" s="109"/>
    </row>
    <row r="8373" spans="1:10" customFormat="1" ht="12.75" hidden="1">
      <c r="A8373" s="109"/>
      <c r="B8373" s="109"/>
      <c r="C8373" s="109"/>
      <c r="D8373" s="109"/>
      <c r="E8373" s="109"/>
      <c r="F8373" s="109"/>
      <c r="G8373" s="109"/>
      <c r="H8373" s="109"/>
      <c r="I8373" s="109"/>
      <c r="J8373" s="109"/>
    </row>
    <row r="8374" spans="1:10" customFormat="1" ht="12.75" hidden="1">
      <c r="A8374" s="109"/>
      <c r="B8374" s="109"/>
      <c r="C8374" s="109"/>
      <c r="D8374" s="109"/>
      <c r="E8374" s="109"/>
      <c r="F8374" s="109"/>
      <c r="G8374" s="109"/>
      <c r="H8374" s="109"/>
      <c r="I8374" s="109"/>
      <c r="J8374" s="109"/>
    </row>
    <row r="8375" spans="1:10" customFormat="1" ht="12.75" hidden="1">
      <c r="A8375" s="109"/>
      <c r="B8375" s="109"/>
      <c r="C8375" s="109"/>
      <c r="D8375" s="109"/>
      <c r="E8375" s="109"/>
      <c r="F8375" s="109"/>
      <c r="G8375" s="109"/>
      <c r="H8375" s="109"/>
      <c r="I8375" s="109"/>
      <c r="J8375" s="109"/>
    </row>
    <row r="8376" spans="1:10" customFormat="1" ht="12.75" hidden="1">
      <c r="A8376" s="109"/>
      <c r="B8376" s="109"/>
      <c r="C8376" s="109"/>
      <c r="D8376" s="109"/>
      <c r="E8376" s="109"/>
      <c r="F8376" s="109"/>
      <c r="G8376" s="109"/>
      <c r="H8376" s="109"/>
      <c r="I8376" s="109"/>
      <c r="J8376" s="109"/>
    </row>
    <row r="8377" spans="1:10" customFormat="1" ht="12.75" hidden="1">
      <c r="A8377" s="109"/>
      <c r="B8377" s="109"/>
      <c r="C8377" s="109"/>
      <c r="D8377" s="109"/>
      <c r="E8377" s="109"/>
      <c r="F8377" s="109"/>
      <c r="G8377" s="109"/>
      <c r="H8377" s="109"/>
      <c r="I8377" s="109"/>
      <c r="J8377" s="109"/>
    </row>
    <row r="8378" spans="1:10" customFormat="1" ht="12.75" hidden="1">
      <c r="A8378" s="109"/>
      <c r="B8378" s="109"/>
      <c r="C8378" s="109"/>
      <c r="D8378" s="109"/>
      <c r="E8378" s="109"/>
      <c r="F8378" s="109"/>
      <c r="G8378" s="109"/>
      <c r="H8378" s="109"/>
      <c r="I8378" s="109"/>
      <c r="J8378" s="109"/>
    </row>
    <row r="8379" spans="1:10" customFormat="1" ht="12.75" hidden="1">
      <c r="A8379" s="109"/>
      <c r="B8379" s="109"/>
      <c r="C8379" s="109"/>
      <c r="D8379" s="109"/>
      <c r="E8379" s="109"/>
      <c r="F8379" s="109"/>
      <c r="G8379" s="109"/>
      <c r="H8379" s="109"/>
      <c r="I8379" s="109"/>
      <c r="J8379" s="109"/>
    </row>
    <row r="8380" spans="1:10" customFormat="1" ht="12.75" hidden="1">
      <c r="A8380" s="109"/>
      <c r="B8380" s="109"/>
      <c r="C8380" s="109"/>
      <c r="D8380" s="109"/>
      <c r="E8380" s="109"/>
      <c r="F8380" s="109"/>
      <c r="G8380" s="109"/>
      <c r="H8380" s="109"/>
      <c r="I8380" s="109"/>
      <c r="J8380" s="109"/>
    </row>
    <row r="8381" spans="1:10" customFormat="1" ht="12.75" hidden="1">
      <c r="A8381" s="109"/>
      <c r="B8381" s="109"/>
      <c r="C8381" s="109"/>
      <c r="D8381" s="109"/>
      <c r="E8381" s="109"/>
      <c r="F8381" s="109"/>
      <c r="G8381" s="109"/>
      <c r="H8381" s="109"/>
      <c r="I8381" s="109"/>
      <c r="J8381" s="109"/>
    </row>
    <row r="8382" spans="1:10" customFormat="1" ht="12.75" hidden="1">
      <c r="A8382" s="109"/>
      <c r="B8382" s="109"/>
      <c r="C8382" s="109"/>
      <c r="D8382" s="109"/>
      <c r="E8382" s="109"/>
      <c r="F8382" s="109"/>
      <c r="G8382" s="109"/>
      <c r="H8382" s="109"/>
      <c r="I8382" s="109"/>
      <c r="J8382" s="109"/>
    </row>
    <row r="8383" spans="1:10" customFormat="1" ht="12.75" hidden="1">
      <c r="A8383" s="109"/>
      <c r="B8383" s="109"/>
      <c r="C8383" s="109"/>
      <c r="D8383" s="109"/>
      <c r="E8383" s="109"/>
      <c r="F8383" s="109"/>
      <c r="G8383" s="109"/>
      <c r="H8383" s="109"/>
      <c r="I8383" s="109"/>
      <c r="J8383" s="109"/>
    </row>
    <row r="8384" spans="1:10" customFormat="1" ht="12.75" hidden="1">
      <c r="A8384" s="109"/>
      <c r="B8384" s="109"/>
      <c r="C8384" s="109"/>
      <c r="D8384" s="109"/>
      <c r="E8384" s="109"/>
      <c r="F8384" s="109"/>
      <c r="G8384" s="109"/>
      <c r="H8384" s="109"/>
      <c r="I8384" s="109"/>
      <c r="J8384" s="109"/>
    </row>
    <row r="8385" spans="1:10" customFormat="1" ht="12.75" hidden="1">
      <c r="A8385" s="109"/>
      <c r="B8385" s="109"/>
      <c r="C8385" s="109"/>
      <c r="D8385" s="109"/>
      <c r="E8385" s="109"/>
      <c r="F8385" s="109"/>
      <c r="G8385" s="109"/>
      <c r="H8385" s="109"/>
      <c r="I8385" s="109"/>
      <c r="J8385" s="109"/>
    </row>
    <row r="8386" spans="1:10" customFormat="1" ht="12.75" hidden="1">
      <c r="A8386" s="109"/>
      <c r="B8386" s="109"/>
      <c r="C8386" s="109"/>
      <c r="D8386" s="109"/>
      <c r="E8386" s="109"/>
      <c r="F8386" s="109"/>
      <c r="G8386" s="109"/>
      <c r="H8386" s="109"/>
      <c r="I8386" s="109"/>
      <c r="J8386" s="109"/>
    </row>
    <row r="8387" spans="1:10" customFormat="1" ht="12.75" hidden="1">
      <c r="A8387" s="109"/>
      <c r="B8387" s="109"/>
      <c r="C8387" s="109"/>
      <c r="D8387" s="109"/>
      <c r="E8387" s="109"/>
      <c r="F8387" s="109"/>
      <c r="G8387" s="109"/>
      <c r="H8387" s="109"/>
      <c r="I8387" s="109"/>
      <c r="J8387" s="109"/>
    </row>
    <row r="8388" spans="1:10" customFormat="1" ht="12.75" hidden="1">
      <c r="A8388" s="109"/>
      <c r="B8388" s="109"/>
      <c r="C8388" s="109"/>
      <c r="D8388" s="109"/>
      <c r="E8388" s="109"/>
      <c r="F8388" s="109"/>
      <c r="G8388" s="109"/>
      <c r="H8388" s="109"/>
      <c r="I8388" s="109"/>
      <c r="J8388" s="109"/>
    </row>
    <row r="8389" spans="1:10" customFormat="1" ht="12.75" hidden="1">
      <c r="A8389" s="109"/>
      <c r="B8389" s="109"/>
      <c r="C8389" s="109"/>
      <c r="D8389" s="109"/>
      <c r="E8389" s="109"/>
      <c r="F8389" s="109"/>
      <c r="G8389" s="109"/>
      <c r="H8389" s="109"/>
      <c r="I8389" s="109"/>
      <c r="J8389" s="109"/>
    </row>
    <row r="8390" spans="1:10" customFormat="1" ht="12.75" hidden="1">
      <c r="A8390" s="109"/>
      <c r="B8390" s="109"/>
      <c r="C8390" s="109"/>
      <c r="D8390" s="109"/>
      <c r="E8390" s="109"/>
      <c r="F8390" s="109"/>
      <c r="G8390" s="109"/>
      <c r="H8390" s="109"/>
      <c r="I8390" s="109"/>
      <c r="J8390" s="109"/>
    </row>
    <row r="8391" spans="1:10" customFormat="1" ht="12.75" hidden="1">
      <c r="A8391" s="109"/>
      <c r="B8391" s="109"/>
      <c r="C8391" s="109"/>
      <c r="D8391" s="109"/>
      <c r="E8391" s="109"/>
      <c r="F8391" s="109"/>
      <c r="G8391" s="109"/>
      <c r="H8391" s="109"/>
      <c r="I8391" s="109"/>
      <c r="J8391" s="109"/>
    </row>
    <row r="8392" spans="1:10" customFormat="1" ht="12.75" hidden="1">
      <c r="A8392" s="109"/>
      <c r="B8392" s="109"/>
      <c r="C8392" s="109"/>
      <c r="D8392" s="109"/>
      <c r="E8392" s="109"/>
      <c r="F8392" s="109"/>
      <c r="G8392" s="109"/>
      <c r="H8392" s="109"/>
      <c r="I8392" s="109"/>
      <c r="J8392" s="109"/>
    </row>
    <row r="8393" spans="1:10" customFormat="1" ht="12.75" hidden="1">
      <c r="A8393" s="109"/>
      <c r="B8393" s="109"/>
      <c r="C8393" s="109"/>
      <c r="D8393" s="109"/>
      <c r="E8393" s="109"/>
      <c r="F8393" s="109"/>
      <c r="G8393" s="109"/>
      <c r="H8393" s="109"/>
      <c r="I8393" s="109"/>
      <c r="J8393" s="109"/>
    </row>
    <row r="8394" spans="1:10" customFormat="1" ht="12.75" hidden="1">
      <c r="A8394" s="109"/>
      <c r="B8394" s="109"/>
      <c r="C8394" s="109"/>
      <c r="D8394" s="109"/>
      <c r="E8394" s="109"/>
      <c r="F8394" s="109"/>
      <c r="G8394" s="109"/>
      <c r="H8394" s="109"/>
      <c r="I8394" s="109"/>
      <c r="J8394" s="109"/>
    </row>
    <row r="8395" spans="1:10" customFormat="1" ht="12.75" hidden="1">
      <c r="A8395" s="109"/>
      <c r="B8395" s="109"/>
      <c r="C8395" s="109"/>
      <c r="D8395" s="109"/>
      <c r="E8395" s="109"/>
      <c r="F8395" s="109"/>
      <c r="G8395" s="109"/>
      <c r="H8395" s="109"/>
      <c r="I8395" s="109"/>
      <c r="J8395" s="109"/>
    </row>
    <row r="8396" spans="1:10" customFormat="1" ht="12.75" hidden="1">
      <c r="A8396" s="109"/>
      <c r="B8396" s="109"/>
      <c r="C8396" s="109"/>
      <c r="D8396" s="109"/>
      <c r="E8396" s="109"/>
      <c r="F8396" s="109"/>
      <c r="G8396" s="109"/>
      <c r="H8396" s="109"/>
      <c r="I8396" s="109"/>
      <c r="J8396" s="109"/>
    </row>
    <row r="8397" spans="1:10" customFormat="1" ht="12.75" hidden="1">
      <c r="A8397" s="109"/>
      <c r="B8397" s="109"/>
      <c r="C8397" s="109"/>
      <c r="D8397" s="109"/>
      <c r="E8397" s="109"/>
      <c r="F8397" s="109"/>
      <c r="G8397" s="109"/>
      <c r="H8397" s="109"/>
      <c r="I8397" s="109"/>
      <c r="J8397" s="109"/>
    </row>
    <row r="8398" spans="1:10" customFormat="1" ht="12.75" hidden="1">
      <c r="A8398" s="109"/>
      <c r="B8398" s="109"/>
      <c r="C8398" s="109"/>
      <c r="D8398" s="109"/>
      <c r="E8398" s="109"/>
      <c r="F8398" s="109"/>
      <c r="G8398" s="109"/>
      <c r="H8398" s="109"/>
      <c r="I8398" s="109"/>
      <c r="J8398" s="109"/>
    </row>
    <row r="8399" spans="1:10" customFormat="1" ht="12.75" hidden="1">
      <c r="A8399" s="109"/>
      <c r="B8399" s="109"/>
      <c r="C8399" s="109"/>
      <c r="D8399" s="109"/>
      <c r="E8399" s="109"/>
      <c r="F8399" s="109"/>
      <c r="G8399" s="109"/>
      <c r="H8399" s="109"/>
      <c r="I8399" s="109"/>
      <c r="J8399" s="109"/>
    </row>
    <row r="8400" spans="1:10" customFormat="1" ht="12.75" hidden="1">
      <c r="A8400" s="109"/>
      <c r="B8400" s="109"/>
      <c r="C8400" s="109"/>
      <c r="D8400" s="109"/>
      <c r="E8400" s="109"/>
      <c r="F8400" s="109"/>
      <c r="G8400" s="109"/>
      <c r="H8400" s="109"/>
      <c r="I8400" s="109"/>
      <c r="J8400" s="109"/>
    </row>
    <row r="8401" spans="1:10" customFormat="1" ht="12.75" hidden="1">
      <c r="A8401" s="109"/>
      <c r="B8401" s="109"/>
      <c r="C8401" s="109"/>
      <c r="D8401" s="109"/>
      <c r="E8401" s="109"/>
      <c r="F8401" s="109"/>
      <c r="G8401" s="109"/>
      <c r="H8401" s="109"/>
      <c r="I8401" s="109"/>
      <c r="J8401" s="109"/>
    </row>
    <row r="8402" spans="1:10" customFormat="1" ht="12.75" hidden="1">
      <c r="A8402" s="109"/>
      <c r="B8402" s="109"/>
      <c r="C8402" s="109"/>
      <c r="D8402" s="109"/>
      <c r="E8402" s="109"/>
      <c r="F8402" s="109"/>
      <c r="G8402" s="109"/>
      <c r="H8402" s="109"/>
      <c r="I8402" s="109"/>
      <c r="J8402" s="109"/>
    </row>
    <row r="8403" spans="1:10" customFormat="1" ht="12.75" hidden="1">
      <c r="A8403" s="109"/>
      <c r="B8403" s="109"/>
      <c r="C8403" s="109"/>
      <c r="D8403" s="109"/>
      <c r="E8403" s="109"/>
      <c r="F8403" s="109"/>
      <c r="G8403" s="109"/>
      <c r="H8403" s="109"/>
      <c r="I8403" s="109"/>
      <c r="J8403" s="109"/>
    </row>
    <row r="8404" spans="1:10" customFormat="1" ht="12.75" hidden="1">
      <c r="A8404" s="109"/>
      <c r="B8404" s="109"/>
      <c r="C8404" s="109"/>
      <c r="D8404" s="109"/>
      <c r="E8404" s="109"/>
      <c r="F8404" s="109"/>
      <c r="G8404" s="109"/>
      <c r="H8404" s="109"/>
      <c r="I8404" s="109"/>
      <c r="J8404" s="109"/>
    </row>
    <row r="8405" spans="1:10" customFormat="1" ht="12.75" hidden="1">
      <c r="A8405" s="109"/>
      <c r="B8405" s="109"/>
      <c r="C8405" s="109"/>
      <c r="D8405" s="109"/>
      <c r="E8405" s="109"/>
      <c r="F8405" s="109"/>
      <c r="G8405" s="109"/>
      <c r="H8405" s="109"/>
      <c r="I8405" s="109"/>
      <c r="J8405" s="109"/>
    </row>
    <row r="8406" spans="1:10" customFormat="1" ht="12.75" hidden="1">
      <c r="A8406" s="109"/>
      <c r="B8406" s="109"/>
      <c r="C8406" s="109"/>
      <c r="D8406" s="109"/>
      <c r="E8406" s="109"/>
      <c r="F8406" s="109"/>
      <c r="G8406" s="109"/>
      <c r="H8406" s="109"/>
      <c r="I8406" s="109"/>
      <c r="J8406" s="109"/>
    </row>
    <row r="8407" spans="1:10" customFormat="1" ht="12.75" hidden="1">
      <c r="A8407" s="109"/>
      <c r="B8407" s="109"/>
      <c r="C8407" s="109"/>
      <c r="D8407" s="109"/>
      <c r="E8407" s="109"/>
      <c r="F8407" s="109"/>
      <c r="G8407" s="109"/>
      <c r="H8407" s="109"/>
      <c r="I8407" s="109"/>
      <c r="J8407" s="109"/>
    </row>
    <row r="8408" spans="1:10" customFormat="1" ht="12.75" hidden="1">
      <c r="A8408" s="109"/>
      <c r="B8408" s="109"/>
      <c r="C8408" s="109"/>
      <c r="D8408" s="109"/>
      <c r="E8408" s="109"/>
      <c r="F8408" s="109"/>
      <c r="G8408" s="109"/>
      <c r="H8408" s="109"/>
      <c r="I8408" s="109"/>
      <c r="J8408" s="109"/>
    </row>
    <row r="8409" spans="1:10" customFormat="1" ht="12.75" hidden="1">
      <c r="A8409" s="109"/>
      <c r="B8409" s="109"/>
      <c r="C8409" s="109"/>
      <c r="D8409" s="109"/>
      <c r="E8409" s="109"/>
      <c r="F8409" s="109"/>
      <c r="G8409" s="109"/>
      <c r="H8409" s="109"/>
      <c r="I8409" s="109"/>
      <c r="J8409" s="109"/>
    </row>
    <row r="8410" spans="1:10" customFormat="1" ht="12.75" hidden="1">
      <c r="A8410" s="109"/>
      <c r="B8410" s="109"/>
      <c r="C8410" s="109"/>
      <c r="D8410" s="109"/>
      <c r="E8410" s="109"/>
      <c r="F8410" s="109"/>
      <c r="G8410" s="109"/>
      <c r="H8410" s="109"/>
      <c r="I8410" s="109"/>
      <c r="J8410" s="109"/>
    </row>
    <row r="8411" spans="1:10" customFormat="1" ht="12.75" hidden="1">
      <c r="A8411" s="109"/>
      <c r="B8411" s="109"/>
      <c r="C8411" s="109"/>
      <c r="D8411" s="109"/>
      <c r="E8411" s="109"/>
      <c r="F8411" s="109"/>
      <c r="G8411" s="109"/>
      <c r="H8411" s="109"/>
      <c r="I8411" s="109"/>
      <c r="J8411" s="109"/>
    </row>
    <row r="8412" spans="1:10" customFormat="1" ht="12.75" hidden="1">
      <c r="A8412" s="109"/>
      <c r="B8412" s="109"/>
      <c r="C8412" s="109"/>
      <c r="D8412" s="109"/>
      <c r="E8412" s="109"/>
      <c r="F8412" s="109"/>
      <c r="G8412" s="109"/>
      <c r="H8412" s="109"/>
      <c r="I8412" s="109"/>
      <c r="J8412" s="109"/>
    </row>
    <row r="8413" spans="1:10" customFormat="1" ht="12.75" hidden="1">
      <c r="A8413" s="109"/>
      <c r="B8413" s="109"/>
      <c r="C8413" s="109"/>
      <c r="D8413" s="109"/>
      <c r="E8413" s="109"/>
      <c r="F8413" s="109"/>
      <c r="G8413" s="109"/>
      <c r="H8413" s="109"/>
      <c r="I8413" s="109"/>
      <c r="J8413" s="109"/>
    </row>
    <row r="8414" spans="1:10" customFormat="1" ht="12.75" hidden="1">
      <c r="A8414" s="109"/>
      <c r="B8414" s="109"/>
      <c r="C8414" s="109"/>
      <c r="D8414" s="109"/>
      <c r="E8414" s="109"/>
      <c r="F8414" s="109"/>
      <c r="G8414" s="109"/>
      <c r="H8414" s="109"/>
      <c r="I8414" s="109"/>
      <c r="J8414" s="109"/>
    </row>
    <row r="8415" spans="1:10" customFormat="1" ht="12.75" hidden="1">
      <c r="A8415" s="109"/>
      <c r="B8415" s="109"/>
      <c r="C8415" s="109"/>
      <c r="D8415" s="109"/>
      <c r="E8415" s="109"/>
      <c r="F8415" s="109"/>
      <c r="G8415" s="109"/>
      <c r="H8415" s="109"/>
      <c r="I8415" s="109"/>
      <c r="J8415" s="109"/>
    </row>
    <row r="8416" spans="1:10" customFormat="1" ht="12.75" hidden="1">
      <c r="A8416" s="109"/>
      <c r="B8416" s="109"/>
      <c r="C8416" s="109"/>
      <c r="D8416" s="109"/>
      <c r="E8416" s="109"/>
      <c r="F8416" s="109"/>
      <c r="G8416" s="109"/>
      <c r="H8416" s="109"/>
      <c r="I8416" s="109"/>
      <c r="J8416" s="109"/>
    </row>
    <row r="8417" spans="1:10" customFormat="1" ht="12.75" hidden="1">
      <c r="A8417" s="109"/>
      <c r="B8417" s="109"/>
      <c r="C8417" s="109"/>
      <c r="D8417" s="109"/>
      <c r="E8417" s="109"/>
      <c r="F8417" s="109"/>
      <c r="G8417" s="109"/>
      <c r="H8417" s="109"/>
      <c r="I8417" s="109"/>
      <c r="J8417" s="109"/>
    </row>
    <row r="8418" spans="1:10" customFormat="1" ht="12.75" hidden="1">
      <c r="A8418" s="109"/>
      <c r="B8418" s="109"/>
      <c r="C8418" s="109"/>
      <c r="D8418" s="109"/>
      <c r="E8418" s="109"/>
      <c r="F8418" s="109"/>
      <c r="G8418" s="109"/>
      <c r="H8418" s="109"/>
      <c r="I8418" s="109"/>
      <c r="J8418" s="109"/>
    </row>
    <row r="8419" spans="1:10" customFormat="1" ht="12.75" hidden="1">
      <c r="A8419" s="109"/>
      <c r="B8419" s="109"/>
      <c r="C8419" s="109"/>
      <c r="D8419" s="109"/>
      <c r="E8419" s="109"/>
      <c r="F8419" s="109"/>
      <c r="G8419" s="109"/>
      <c r="H8419" s="109"/>
      <c r="I8419" s="109"/>
      <c r="J8419" s="109"/>
    </row>
    <row r="8420" spans="1:10" customFormat="1" ht="12.75" hidden="1">
      <c r="A8420" s="109"/>
      <c r="B8420" s="109"/>
      <c r="C8420" s="109"/>
      <c r="D8420" s="109"/>
      <c r="E8420" s="109"/>
      <c r="F8420" s="109"/>
      <c r="G8420" s="109"/>
      <c r="H8420" s="109"/>
      <c r="I8420" s="109"/>
      <c r="J8420" s="109"/>
    </row>
    <row r="8421" spans="1:10" customFormat="1" ht="12.75" hidden="1">
      <c r="A8421" s="109"/>
      <c r="B8421" s="109"/>
      <c r="C8421" s="109"/>
      <c r="D8421" s="109"/>
      <c r="E8421" s="109"/>
      <c r="F8421" s="109"/>
      <c r="G8421" s="109"/>
      <c r="H8421" s="109"/>
      <c r="I8421" s="109"/>
      <c r="J8421" s="109"/>
    </row>
    <row r="8422" spans="1:10" customFormat="1" ht="12.75" hidden="1">
      <c r="A8422" s="109"/>
      <c r="B8422" s="109"/>
      <c r="C8422" s="109"/>
      <c r="D8422" s="109"/>
      <c r="E8422" s="109"/>
      <c r="F8422" s="109"/>
      <c r="G8422" s="109"/>
      <c r="H8422" s="109"/>
      <c r="I8422" s="109"/>
      <c r="J8422" s="109"/>
    </row>
    <row r="8423" spans="1:10" customFormat="1" ht="12.75" hidden="1">
      <c r="A8423" s="109"/>
      <c r="B8423" s="109"/>
      <c r="C8423" s="109"/>
      <c r="D8423" s="109"/>
      <c r="E8423" s="109"/>
      <c r="F8423" s="109"/>
      <c r="G8423" s="109"/>
      <c r="H8423" s="109"/>
      <c r="I8423" s="109"/>
      <c r="J8423" s="109"/>
    </row>
    <row r="8424" spans="1:10" customFormat="1" ht="12.75" hidden="1">
      <c r="A8424" s="109"/>
      <c r="B8424" s="109"/>
      <c r="C8424" s="109"/>
      <c r="D8424" s="109"/>
      <c r="E8424" s="109"/>
      <c r="F8424" s="109"/>
      <c r="G8424" s="109"/>
      <c r="H8424" s="109"/>
      <c r="I8424" s="109"/>
      <c r="J8424" s="109"/>
    </row>
    <row r="8425" spans="1:10" customFormat="1" ht="12.75" hidden="1">
      <c r="A8425" s="109"/>
      <c r="B8425" s="109"/>
      <c r="C8425" s="109"/>
      <c r="D8425" s="109"/>
      <c r="E8425" s="109"/>
      <c r="F8425" s="109"/>
      <c r="G8425" s="109"/>
      <c r="H8425" s="109"/>
      <c r="I8425" s="109"/>
      <c r="J8425" s="109"/>
    </row>
    <row r="8426" spans="1:10" customFormat="1" ht="12.75" hidden="1">
      <c r="A8426" s="109"/>
      <c r="B8426" s="109"/>
      <c r="C8426" s="109"/>
      <c r="D8426" s="109"/>
      <c r="E8426" s="109"/>
      <c r="F8426" s="109"/>
      <c r="G8426" s="109"/>
      <c r="H8426" s="109"/>
      <c r="I8426" s="109"/>
      <c r="J8426" s="109"/>
    </row>
    <row r="8427" spans="1:10" customFormat="1" ht="12.75" hidden="1">
      <c r="A8427" s="109"/>
      <c r="B8427" s="109"/>
      <c r="C8427" s="109"/>
      <c r="D8427" s="109"/>
      <c r="E8427" s="109"/>
      <c r="F8427" s="109"/>
      <c r="G8427" s="109"/>
      <c r="H8427" s="109"/>
      <c r="I8427" s="109"/>
      <c r="J8427" s="109"/>
    </row>
    <row r="8428" spans="1:10" customFormat="1" ht="12.75" hidden="1">
      <c r="A8428" s="109"/>
      <c r="B8428" s="109"/>
      <c r="C8428" s="109"/>
      <c r="D8428" s="109"/>
      <c r="E8428" s="109"/>
      <c r="F8428" s="109"/>
      <c r="G8428" s="109"/>
      <c r="H8428" s="109"/>
      <c r="I8428" s="109"/>
      <c r="J8428" s="109"/>
    </row>
    <row r="8429" spans="1:10" customFormat="1" ht="12.75" hidden="1">
      <c r="A8429" s="109"/>
      <c r="B8429" s="109"/>
      <c r="C8429" s="109"/>
      <c r="D8429" s="109"/>
      <c r="E8429" s="109"/>
      <c r="F8429" s="109"/>
      <c r="G8429" s="109"/>
      <c r="H8429" s="109"/>
      <c r="I8429" s="109"/>
      <c r="J8429" s="109"/>
    </row>
    <row r="8430" spans="1:10" customFormat="1" ht="12.75" hidden="1">
      <c r="A8430" s="109"/>
      <c r="B8430" s="109"/>
      <c r="C8430" s="109"/>
      <c r="D8430" s="109"/>
      <c r="E8430" s="109"/>
      <c r="F8430" s="109"/>
      <c r="G8430" s="109"/>
      <c r="H8430" s="109"/>
      <c r="I8430" s="109"/>
      <c r="J8430" s="109"/>
    </row>
    <row r="8431" spans="1:10" customFormat="1" ht="12.75" hidden="1">
      <c r="A8431" s="109"/>
      <c r="B8431" s="109"/>
      <c r="C8431" s="109"/>
      <c r="D8431" s="109"/>
      <c r="E8431" s="109"/>
      <c r="F8431" s="109"/>
      <c r="G8431" s="109"/>
      <c r="H8431" s="109"/>
      <c r="I8431" s="109"/>
      <c r="J8431" s="109"/>
    </row>
    <row r="8432" spans="1:10" customFormat="1" ht="12.75" hidden="1">
      <c r="A8432" s="109"/>
      <c r="B8432" s="109"/>
      <c r="C8432" s="109"/>
      <c r="D8432" s="109"/>
      <c r="E8432" s="109"/>
      <c r="F8432" s="109"/>
      <c r="G8432" s="109"/>
      <c r="H8432" s="109"/>
      <c r="I8432" s="109"/>
      <c r="J8432" s="109"/>
    </row>
    <row r="8433" spans="1:10" customFormat="1" ht="12.75" hidden="1">
      <c r="A8433" s="109"/>
      <c r="B8433" s="109"/>
      <c r="C8433" s="109"/>
      <c r="D8433" s="109"/>
      <c r="E8433" s="109"/>
      <c r="F8433" s="109"/>
      <c r="G8433" s="109"/>
      <c r="H8433" s="109"/>
      <c r="I8433" s="109"/>
      <c r="J8433" s="109"/>
    </row>
    <row r="8434" spans="1:10" customFormat="1" ht="12.75" hidden="1">
      <c r="A8434" s="109"/>
      <c r="B8434" s="109"/>
      <c r="C8434" s="109"/>
      <c r="D8434" s="109"/>
      <c r="E8434" s="109"/>
      <c r="F8434" s="109"/>
      <c r="G8434" s="109"/>
      <c r="H8434" s="109"/>
      <c r="I8434" s="109"/>
      <c r="J8434" s="109"/>
    </row>
    <row r="8435" spans="1:10" customFormat="1" ht="12.75" hidden="1">
      <c r="A8435" s="109"/>
      <c r="B8435" s="109"/>
      <c r="C8435" s="109"/>
      <c r="D8435" s="109"/>
      <c r="E8435" s="109"/>
      <c r="F8435" s="109"/>
      <c r="G8435" s="109"/>
      <c r="H8435" s="109"/>
      <c r="I8435" s="109"/>
      <c r="J8435" s="109"/>
    </row>
    <row r="8436" spans="1:10" customFormat="1" ht="12.75" hidden="1">
      <c r="A8436" s="109"/>
      <c r="B8436" s="109"/>
      <c r="C8436" s="109"/>
      <c r="D8436" s="109"/>
      <c r="E8436" s="109"/>
      <c r="F8436" s="109"/>
      <c r="G8436" s="109"/>
      <c r="H8436" s="109"/>
      <c r="I8436" s="109"/>
      <c r="J8436" s="109"/>
    </row>
    <row r="8437" spans="1:10" customFormat="1" ht="12.75" hidden="1">
      <c r="A8437" s="109"/>
      <c r="B8437" s="109"/>
      <c r="C8437" s="109"/>
      <c r="D8437" s="109"/>
      <c r="E8437" s="109"/>
      <c r="F8437" s="109"/>
      <c r="G8437" s="109"/>
      <c r="H8437" s="109"/>
      <c r="I8437" s="109"/>
      <c r="J8437" s="109"/>
    </row>
    <row r="8438" spans="1:10" customFormat="1" ht="12.75" hidden="1">
      <c r="A8438" s="109"/>
      <c r="B8438" s="109"/>
      <c r="C8438" s="109"/>
      <c r="D8438" s="109"/>
      <c r="E8438" s="109"/>
      <c r="F8438" s="109"/>
      <c r="G8438" s="109"/>
      <c r="H8438" s="109"/>
      <c r="I8438" s="109"/>
      <c r="J8438" s="109"/>
    </row>
    <row r="8439" spans="1:10" customFormat="1" ht="12.75" hidden="1">
      <c r="A8439" s="109"/>
      <c r="B8439" s="109"/>
      <c r="C8439" s="109"/>
      <c r="D8439" s="109"/>
      <c r="E8439" s="109"/>
      <c r="F8439" s="109"/>
      <c r="G8439" s="109"/>
      <c r="H8439" s="109"/>
      <c r="I8439" s="109"/>
      <c r="J8439" s="109"/>
    </row>
    <row r="8440" spans="1:10" customFormat="1" ht="12.75" hidden="1">
      <c r="A8440" s="109"/>
      <c r="B8440" s="109"/>
      <c r="C8440" s="109"/>
      <c r="D8440" s="109"/>
      <c r="E8440" s="109"/>
      <c r="F8440" s="109"/>
      <c r="G8440" s="109"/>
      <c r="H8440" s="109"/>
      <c r="I8440" s="109"/>
      <c r="J8440" s="109"/>
    </row>
    <row r="8441" spans="1:10" customFormat="1" ht="12.75" hidden="1">
      <c r="A8441" s="109"/>
      <c r="B8441" s="109"/>
      <c r="C8441" s="109"/>
      <c r="D8441" s="109"/>
      <c r="E8441" s="109"/>
      <c r="F8441" s="109"/>
      <c r="G8441" s="109"/>
      <c r="H8441" s="109"/>
      <c r="I8441" s="109"/>
      <c r="J8441" s="109"/>
    </row>
    <row r="8442" spans="1:10" customFormat="1" ht="12.75" hidden="1">
      <c r="A8442" s="109"/>
      <c r="B8442" s="109"/>
      <c r="C8442" s="109"/>
      <c r="D8442" s="109"/>
      <c r="E8442" s="109"/>
      <c r="F8442" s="109"/>
      <c r="G8442" s="109"/>
      <c r="H8442" s="109"/>
      <c r="I8442" s="109"/>
      <c r="J8442" s="109"/>
    </row>
    <row r="8443" spans="1:10" customFormat="1" ht="12.75" hidden="1">
      <c r="A8443" s="109"/>
      <c r="B8443" s="109"/>
      <c r="C8443" s="109"/>
      <c r="D8443" s="109"/>
      <c r="E8443" s="109"/>
      <c r="F8443" s="109"/>
      <c r="G8443" s="109"/>
      <c r="H8443" s="109"/>
      <c r="I8443" s="109"/>
      <c r="J8443" s="109"/>
    </row>
    <row r="8444" spans="1:10" customFormat="1" ht="12.75" hidden="1">
      <c r="A8444" s="109"/>
      <c r="B8444" s="109"/>
      <c r="C8444" s="109"/>
      <c r="D8444" s="109"/>
      <c r="E8444" s="109"/>
      <c r="F8444" s="109"/>
      <c r="G8444" s="109"/>
      <c r="H8444" s="109"/>
      <c r="I8444" s="109"/>
      <c r="J8444" s="109"/>
    </row>
    <row r="8445" spans="1:10" customFormat="1" ht="12.75" hidden="1">
      <c r="A8445" s="109"/>
      <c r="B8445" s="109"/>
      <c r="C8445" s="109"/>
      <c r="D8445" s="109"/>
      <c r="E8445" s="109"/>
      <c r="F8445" s="109"/>
      <c r="G8445" s="109"/>
      <c r="H8445" s="109"/>
      <c r="I8445" s="109"/>
      <c r="J8445" s="109"/>
    </row>
    <row r="8446" spans="1:10" customFormat="1" ht="12.75" hidden="1">
      <c r="A8446" s="109"/>
      <c r="B8446" s="109"/>
      <c r="C8446" s="109"/>
      <c r="D8446" s="109"/>
      <c r="E8446" s="109"/>
      <c r="F8446" s="109"/>
      <c r="G8446" s="109"/>
      <c r="H8446" s="109"/>
      <c r="I8446" s="109"/>
      <c r="J8446" s="109"/>
    </row>
    <row r="8447" spans="1:10" customFormat="1" ht="12.75" hidden="1">
      <c r="A8447" s="109"/>
      <c r="B8447" s="109"/>
      <c r="C8447" s="109"/>
      <c r="D8447" s="109"/>
      <c r="E8447" s="109"/>
      <c r="F8447" s="109"/>
      <c r="G8447" s="109"/>
      <c r="H8447" s="109"/>
      <c r="I8447" s="109"/>
      <c r="J8447" s="109"/>
    </row>
    <row r="8448" spans="1:10" customFormat="1" ht="12.75" hidden="1">
      <c r="A8448" s="109"/>
      <c r="B8448" s="109"/>
      <c r="C8448" s="109"/>
      <c r="D8448" s="109"/>
      <c r="E8448" s="109"/>
      <c r="F8448" s="109"/>
      <c r="G8448" s="109"/>
      <c r="H8448" s="109"/>
      <c r="I8448" s="109"/>
      <c r="J8448" s="109"/>
    </row>
    <row r="8449" spans="1:10" customFormat="1" ht="12.75" hidden="1">
      <c r="A8449" s="109"/>
      <c r="B8449" s="109"/>
      <c r="C8449" s="109"/>
      <c r="D8449" s="109"/>
      <c r="E8449" s="109"/>
      <c r="F8449" s="109"/>
      <c r="G8449" s="109"/>
      <c r="H8449" s="109"/>
      <c r="I8449" s="109"/>
      <c r="J8449" s="109"/>
    </row>
    <row r="8450" spans="1:10" customFormat="1" ht="12.75" hidden="1">
      <c r="A8450" s="109"/>
      <c r="B8450" s="109"/>
      <c r="C8450" s="109"/>
      <c r="D8450" s="109"/>
      <c r="E8450" s="109"/>
      <c r="F8450" s="109"/>
      <c r="G8450" s="109"/>
      <c r="H8450" s="109"/>
      <c r="I8450" s="109"/>
      <c r="J8450" s="109"/>
    </row>
    <row r="8451" spans="1:10" customFormat="1" ht="12.75" hidden="1">
      <c r="A8451" s="109"/>
      <c r="B8451" s="109"/>
      <c r="C8451" s="109"/>
      <c r="D8451" s="109"/>
      <c r="E8451" s="109"/>
      <c r="F8451" s="109"/>
      <c r="G8451" s="109"/>
      <c r="H8451" s="109"/>
      <c r="I8451" s="109"/>
      <c r="J8451" s="109"/>
    </row>
    <row r="8452" spans="1:10" customFormat="1" ht="12.75" hidden="1">
      <c r="A8452" s="109"/>
      <c r="B8452" s="109"/>
      <c r="C8452" s="109"/>
      <c r="D8452" s="109"/>
      <c r="E8452" s="109"/>
      <c r="F8452" s="109"/>
      <c r="G8452" s="109"/>
      <c r="H8452" s="109"/>
      <c r="I8452" s="109"/>
      <c r="J8452" s="109"/>
    </row>
    <row r="8453" spans="1:10" customFormat="1" ht="12.75" hidden="1">
      <c r="A8453" s="109"/>
      <c r="B8453" s="109"/>
      <c r="C8453" s="109"/>
      <c r="D8453" s="109"/>
      <c r="E8453" s="109"/>
      <c r="F8453" s="109"/>
      <c r="G8453" s="109"/>
      <c r="H8453" s="109"/>
      <c r="I8453" s="109"/>
      <c r="J8453" s="109"/>
    </row>
    <row r="8454" spans="1:10" customFormat="1" ht="12.75" hidden="1">
      <c r="A8454" s="109"/>
      <c r="B8454" s="109"/>
      <c r="C8454" s="109"/>
      <c r="D8454" s="109"/>
      <c r="E8454" s="109"/>
      <c r="F8454" s="109"/>
      <c r="G8454" s="109"/>
      <c r="H8454" s="109"/>
      <c r="I8454" s="109"/>
      <c r="J8454" s="109"/>
    </row>
    <row r="8455" spans="1:10" customFormat="1" ht="12.75" hidden="1">
      <c r="A8455" s="109"/>
      <c r="B8455" s="109"/>
      <c r="C8455" s="109"/>
      <c r="D8455" s="109"/>
      <c r="E8455" s="109"/>
      <c r="F8455" s="109"/>
      <c r="G8455" s="109"/>
      <c r="H8455" s="109"/>
      <c r="I8455" s="109"/>
      <c r="J8455" s="109"/>
    </row>
    <row r="8456" spans="1:10" customFormat="1" ht="12.75" hidden="1">
      <c r="A8456" s="109"/>
      <c r="B8456" s="109"/>
      <c r="C8456" s="109"/>
      <c r="D8456" s="109"/>
      <c r="E8456" s="109"/>
      <c r="F8456" s="109"/>
      <c r="G8456" s="109"/>
      <c r="H8456" s="109"/>
      <c r="I8456" s="109"/>
      <c r="J8456" s="109"/>
    </row>
    <row r="8457" spans="1:10" customFormat="1" ht="12.75" hidden="1">
      <c r="A8457" s="109"/>
      <c r="B8457" s="109"/>
      <c r="C8457" s="109"/>
      <c r="D8457" s="109"/>
      <c r="E8457" s="109"/>
      <c r="F8457" s="109"/>
      <c r="G8457" s="109"/>
      <c r="H8457" s="109"/>
      <c r="I8457" s="109"/>
      <c r="J8457" s="109"/>
    </row>
    <row r="8458" spans="1:10" customFormat="1" ht="12.75" hidden="1">
      <c r="A8458" s="109"/>
      <c r="B8458" s="109"/>
      <c r="C8458" s="109"/>
      <c r="D8458" s="109"/>
      <c r="E8458" s="109"/>
      <c r="F8458" s="109"/>
      <c r="G8458" s="109"/>
      <c r="H8458" s="109"/>
      <c r="I8458" s="109"/>
      <c r="J8458" s="109"/>
    </row>
    <row r="8459" spans="1:10" customFormat="1" ht="12.75" hidden="1">
      <c r="A8459" s="109"/>
      <c r="B8459" s="109"/>
      <c r="C8459" s="109"/>
      <c r="D8459" s="109"/>
      <c r="E8459" s="109"/>
      <c r="F8459" s="109"/>
      <c r="G8459" s="109"/>
      <c r="H8459" s="109"/>
      <c r="I8459" s="109"/>
      <c r="J8459" s="109"/>
    </row>
    <row r="8460" spans="1:10" customFormat="1" ht="12.75" hidden="1">
      <c r="A8460" s="109"/>
      <c r="B8460" s="109"/>
      <c r="C8460" s="109"/>
      <c r="D8460" s="109"/>
      <c r="E8460" s="109"/>
      <c r="F8460" s="109"/>
      <c r="G8460" s="109"/>
      <c r="H8460" s="109"/>
      <c r="I8460" s="109"/>
      <c r="J8460" s="109"/>
    </row>
    <row r="8461" spans="1:10" customFormat="1" ht="12.75" hidden="1">
      <c r="A8461" s="109"/>
      <c r="B8461" s="109"/>
      <c r="C8461" s="109"/>
      <c r="D8461" s="109"/>
      <c r="E8461" s="109"/>
      <c r="F8461" s="109"/>
      <c r="G8461" s="109"/>
      <c r="H8461" s="109"/>
      <c r="I8461" s="109"/>
      <c r="J8461" s="109"/>
    </row>
    <row r="8462" spans="1:10" customFormat="1" ht="12.75" hidden="1">
      <c r="A8462" s="109"/>
      <c r="B8462" s="109"/>
      <c r="C8462" s="109"/>
      <c r="D8462" s="109"/>
      <c r="E8462" s="109"/>
      <c r="F8462" s="109"/>
      <c r="G8462" s="109"/>
      <c r="H8462" s="109"/>
      <c r="I8462" s="109"/>
      <c r="J8462" s="109"/>
    </row>
    <row r="8463" spans="1:10" customFormat="1" ht="12.75" hidden="1">
      <c r="A8463" s="109"/>
      <c r="B8463" s="109"/>
      <c r="C8463" s="109"/>
      <c r="D8463" s="109"/>
      <c r="E8463" s="109"/>
      <c r="F8463" s="109"/>
      <c r="G8463" s="109"/>
      <c r="H8463" s="109"/>
      <c r="I8463" s="109"/>
      <c r="J8463" s="109"/>
    </row>
    <row r="8464" spans="1:10" customFormat="1" ht="12.75" hidden="1">
      <c r="A8464" s="109"/>
      <c r="B8464" s="109"/>
      <c r="C8464" s="109"/>
      <c r="D8464" s="109"/>
      <c r="E8464" s="109"/>
      <c r="F8464" s="109"/>
      <c r="G8464" s="109"/>
      <c r="H8464" s="109"/>
      <c r="I8464" s="109"/>
      <c r="J8464" s="109"/>
    </row>
    <row r="8465" spans="1:10" customFormat="1" ht="12.75" hidden="1">
      <c r="A8465" s="109"/>
      <c r="B8465" s="109"/>
      <c r="C8465" s="109"/>
      <c r="D8465" s="109"/>
      <c r="E8465" s="109"/>
      <c r="F8465" s="109"/>
      <c r="G8465" s="109"/>
      <c r="H8465" s="109"/>
      <c r="I8465" s="109"/>
      <c r="J8465" s="109"/>
    </row>
    <row r="8466" spans="1:10" customFormat="1" ht="12.75" hidden="1">
      <c r="A8466" s="109"/>
      <c r="B8466" s="109"/>
      <c r="C8466" s="109"/>
      <c r="D8466" s="109"/>
      <c r="E8466" s="109"/>
      <c r="F8466" s="109"/>
      <c r="G8466" s="109"/>
      <c r="H8466" s="109"/>
      <c r="I8466" s="109"/>
      <c r="J8466" s="109"/>
    </row>
    <row r="8467" spans="1:10" customFormat="1" ht="12.75" hidden="1">
      <c r="A8467" s="109"/>
      <c r="B8467" s="109"/>
      <c r="C8467" s="109"/>
      <c r="D8467" s="109"/>
      <c r="E8467" s="109"/>
      <c r="F8467" s="109"/>
      <c r="G8467" s="109"/>
      <c r="H8467" s="109"/>
      <c r="I8467" s="109"/>
      <c r="J8467" s="109"/>
    </row>
    <row r="8468" spans="1:10" customFormat="1" ht="12.75" hidden="1">
      <c r="A8468" s="109"/>
      <c r="B8468" s="109"/>
      <c r="C8468" s="109"/>
      <c r="D8468" s="109"/>
      <c r="E8468" s="109"/>
      <c r="F8468" s="109"/>
      <c r="G8468" s="109"/>
      <c r="H8468" s="109"/>
      <c r="I8468" s="109"/>
      <c r="J8468" s="109"/>
    </row>
    <row r="8469" spans="1:10" customFormat="1" ht="12.75" hidden="1">
      <c r="A8469" s="109"/>
      <c r="B8469" s="109"/>
      <c r="C8469" s="109"/>
      <c r="D8469" s="109"/>
      <c r="E8469" s="109"/>
      <c r="F8469" s="109"/>
      <c r="G8469" s="109"/>
      <c r="H8469" s="109"/>
      <c r="I8469" s="109"/>
      <c r="J8469" s="109"/>
    </row>
    <row r="8470" spans="1:10" customFormat="1" ht="12.75" hidden="1">
      <c r="A8470" s="109"/>
      <c r="B8470" s="109"/>
      <c r="C8470" s="109"/>
      <c r="D8470" s="109"/>
      <c r="E8470" s="109"/>
      <c r="F8470" s="109"/>
      <c r="G8470" s="109"/>
      <c r="H8470" s="109"/>
      <c r="I8470" s="109"/>
      <c r="J8470" s="109"/>
    </row>
    <row r="8471" spans="1:10" customFormat="1" ht="12.75" hidden="1">
      <c r="A8471" s="109"/>
      <c r="B8471" s="109"/>
      <c r="C8471" s="109"/>
      <c r="D8471" s="109"/>
      <c r="E8471" s="109"/>
      <c r="F8471" s="109"/>
      <c r="G8471" s="109"/>
      <c r="H8471" s="109"/>
      <c r="I8471" s="109"/>
      <c r="J8471" s="109"/>
    </row>
    <row r="8472" spans="1:10" customFormat="1" ht="12.75" hidden="1">
      <c r="A8472" s="109"/>
      <c r="B8472" s="109"/>
      <c r="C8472" s="109"/>
      <c r="D8472" s="109"/>
      <c r="E8472" s="109"/>
      <c r="F8472" s="109"/>
      <c r="G8472" s="109"/>
      <c r="H8472" s="109"/>
      <c r="I8472" s="109"/>
      <c r="J8472" s="109"/>
    </row>
    <row r="8473" spans="1:10" customFormat="1" ht="12.75" hidden="1">
      <c r="A8473" s="109"/>
      <c r="B8473" s="109"/>
      <c r="C8473" s="109"/>
      <c r="D8473" s="109"/>
      <c r="E8473" s="109"/>
      <c r="F8473" s="109"/>
      <c r="G8473" s="109"/>
      <c r="H8473" s="109"/>
      <c r="I8473" s="109"/>
      <c r="J8473" s="109"/>
    </row>
    <row r="8474" spans="1:10" customFormat="1" ht="12.75" hidden="1">
      <c r="A8474" s="109"/>
      <c r="B8474" s="109"/>
      <c r="C8474" s="109"/>
      <c r="D8474" s="109"/>
      <c r="E8474" s="109"/>
      <c r="F8474" s="109"/>
      <c r="G8474" s="109"/>
      <c r="H8474" s="109"/>
      <c r="I8474" s="109"/>
      <c r="J8474" s="109"/>
    </row>
    <row r="8475" spans="1:10" customFormat="1" ht="12.75" hidden="1">
      <c r="A8475" s="109"/>
      <c r="B8475" s="109"/>
      <c r="C8475" s="109"/>
      <c r="D8475" s="109"/>
      <c r="E8475" s="109"/>
      <c r="F8475" s="109"/>
      <c r="G8475" s="109"/>
      <c r="H8475" s="109"/>
      <c r="I8475" s="109"/>
      <c r="J8475" s="109"/>
    </row>
    <row r="8476" spans="1:10" customFormat="1" ht="12.75" hidden="1">
      <c r="A8476" s="109"/>
      <c r="B8476" s="109"/>
      <c r="C8476" s="109"/>
      <c r="D8476" s="109"/>
      <c r="E8476" s="109"/>
      <c r="F8476" s="109"/>
      <c r="G8476" s="109"/>
      <c r="H8476" s="109"/>
      <c r="I8476" s="109"/>
      <c r="J8476" s="109"/>
    </row>
    <row r="8477" spans="1:10" customFormat="1" ht="12.75" hidden="1">
      <c r="A8477" s="109"/>
      <c r="B8477" s="109"/>
      <c r="C8477" s="109"/>
      <c r="D8477" s="109"/>
      <c r="E8477" s="109"/>
      <c r="F8477" s="109"/>
      <c r="G8477" s="109"/>
      <c r="H8477" s="109"/>
      <c r="I8477" s="109"/>
      <c r="J8477" s="109"/>
    </row>
    <row r="8478" spans="1:10" customFormat="1" ht="12.75" hidden="1">
      <c r="A8478" s="109"/>
      <c r="B8478" s="109"/>
      <c r="C8478" s="109"/>
      <c r="D8478" s="109"/>
      <c r="E8478" s="109"/>
      <c r="F8478" s="109"/>
      <c r="G8478" s="109"/>
      <c r="H8478" s="109"/>
      <c r="I8478" s="109"/>
      <c r="J8478" s="109"/>
    </row>
    <row r="8479" spans="1:10" customFormat="1" ht="12.75" hidden="1">
      <c r="A8479" s="109"/>
      <c r="B8479" s="109"/>
      <c r="C8479" s="109"/>
      <c r="D8479" s="109"/>
      <c r="E8479" s="109"/>
      <c r="F8479" s="109"/>
      <c r="G8479" s="109"/>
      <c r="H8479" s="109"/>
      <c r="I8479" s="109"/>
      <c r="J8479" s="109"/>
    </row>
    <row r="8480" spans="1:10" customFormat="1" ht="12.75" hidden="1">
      <c r="A8480" s="109"/>
      <c r="B8480" s="109"/>
      <c r="C8480" s="109"/>
      <c r="D8480" s="109"/>
      <c r="E8480" s="109"/>
      <c r="F8480" s="109"/>
      <c r="G8480" s="109"/>
      <c r="H8480" s="109"/>
      <c r="I8480" s="109"/>
      <c r="J8480" s="109"/>
    </row>
    <row r="8481" spans="1:10" customFormat="1" ht="12.75" hidden="1">
      <c r="A8481" s="109"/>
      <c r="B8481" s="109"/>
      <c r="C8481" s="109"/>
      <c r="D8481" s="109"/>
      <c r="E8481" s="109"/>
      <c r="F8481" s="109"/>
      <c r="G8481" s="109"/>
      <c r="H8481" s="109"/>
      <c r="I8481" s="109"/>
      <c r="J8481" s="109"/>
    </row>
    <row r="8482" spans="1:10" customFormat="1" ht="12.75" hidden="1">
      <c r="A8482" s="109"/>
      <c r="B8482" s="109"/>
      <c r="C8482" s="109"/>
      <c r="D8482" s="109"/>
      <c r="E8482" s="109"/>
      <c r="F8482" s="109"/>
      <c r="G8482" s="109"/>
      <c r="H8482" s="109"/>
      <c r="I8482" s="109"/>
      <c r="J8482" s="109"/>
    </row>
    <row r="8483" spans="1:10" customFormat="1" ht="12.75" hidden="1">
      <c r="A8483" s="109"/>
      <c r="B8483" s="109"/>
      <c r="C8483" s="109"/>
      <c r="D8483" s="109"/>
      <c r="E8483" s="109"/>
      <c r="F8483" s="109"/>
      <c r="G8483" s="109"/>
      <c r="H8483" s="109"/>
      <c r="I8483" s="109"/>
      <c r="J8483" s="109"/>
    </row>
    <row r="8484" spans="1:10" customFormat="1" ht="12.75" hidden="1">
      <c r="A8484" s="109"/>
      <c r="B8484" s="109"/>
      <c r="C8484" s="109"/>
      <c r="D8484" s="109"/>
      <c r="E8484" s="109"/>
      <c r="F8484" s="109"/>
      <c r="G8484" s="109"/>
      <c r="H8484" s="109"/>
      <c r="I8484" s="109"/>
      <c r="J8484" s="109"/>
    </row>
    <row r="8485" spans="1:10" customFormat="1" ht="12.75" hidden="1">
      <c r="A8485" s="109"/>
      <c r="B8485" s="109"/>
      <c r="C8485" s="109"/>
      <c r="D8485" s="109"/>
      <c r="E8485" s="109"/>
      <c r="F8485" s="109"/>
      <c r="G8485" s="109"/>
      <c r="H8485" s="109"/>
      <c r="I8485" s="109"/>
      <c r="J8485" s="109"/>
    </row>
    <row r="8486" spans="1:10" customFormat="1" ht="12.75" hidden="1">
      <c r="A8486" s="109"/>
      <c r="B8486" s="109"/>
      <c r="C8486" s="109"/>
      <c r="D8486" s="109"/>
      <c r="E8486" s="109"/>
      <c r="F8486" s="109"/>
      <c r="G8486" s="109"/>
      <c r="H8486" s="109"/>
      <c r="I8486" s="109"/>
      <c r="J8486" s="109"/>
    </row>
    <row r="8487" spans="1:10" customFormat="1" ht="12.75" hidden="1">
      <c r="A8487" s="109"/>
      <c r="B8487" s="109"/>
      <c r="C8487" s="109"/>
      <c r="D8487" s="109"/>
      <c r="E8487" s="109"/>
      <c r="F8487" s="109"/>
      <c r="G8487" s="109"/>
      <c r="H8487" s="109"/>
      <c r="I8487" s="109"/>
      <c r="J8487" s="109"/>
    </row>
    <row r="8488" spans="1:10" customFormat="1" ht="12.75" hidden="1">
      <c r="A8488" s="109"/>
      <c r="B8488" s="109"/>
      <c r="C8488" s="109"/>
      <c r="D8488" s="109"/>
      <c r="E8488" s="109"/>
      <c r="F8488" s="109"/>
      <c r="G8488" s="109"/>
      <c r="H8488" s="109"/>
      <c r="I8488" s="109"/>
      <c r="J8488" s="109"/>
    </row>
    <row r="8489" spans="1:10" customFormat="1" ht="12.75" hidden="1">
      <c r="A8489" s="109"/>
      <c r="B8489" s="109"/>
      <c r="C8489" s="109"/>
      <c r="D8489" s="109"/>
      <c r="E8489" s="109"/>
      <c r="F8489" s="109"/>
      <c r="G8489" s="109"/>
      <c r="H8489" s="109"/>
      <c r="I8489" s="109"/>
      <c r="J8489" s="109"/>
    </row>
    <row r="8490" spans="1:10" customFormat="1" ht="12.75" hidden="1">
      <c r="A8490" s="109"/>
      <c r="B8490" s="109"/>
      <c r="C8490" s="109"/>
      <c r="D8490" s="109"/>
      <c r="E8490" s="109"/>
      <c r="F8490" s="109"/>
      <c r="G8490" s="109"/>
      <c r="H8490" s="109"/>
      <c r="I8490" s="109"/>
      <c r="J8490" s="109"/>
    </row>
    <row r="8491" spans="1:10" customFormat="1" ht="12.75" hidden="1">
      <c r="A8491" s="109"/>
      <c r="B8491" s="109"/>
      <c r="C8491" s="109"/>
      <c r="D8491" s="109"/>
      <c r="E8491" s="109"/>
      <c r="F8491" s="109"/>
      <c r="G8491" s="109"/>
      <c r="H8491" s="109"/>
      <c r="I8491" s="109"/>
      <c r="J8491" s="109"/>
    </row>
    <row r="8492" spans="1:10" customFormat="1" ht="12.75" hidden="1">
      <c r="A8492" s="109"/>
      <c r="B8492" s="109"/>
      <c r="C8492" s="109"/>
      <c r="D8492" s="109"/>
      <c r="E8492" s="109"/>
      <c r="F8492" s="109"/>
      <c r="G8492" s="109"/>
      <c r="H8492" s="109"/>
      <c r="I8492" s="109"/>
      <c r="J8492" s="109"/>
    </row>
    <row r="8493" spans="1:10" customFormat="1" ht="12.75" hidden="1">
      <c r="A8493" s="109"/>
      <c r="B8493" s="109"/>
      <c r="C8493" s="109"/>
      <c r="D8493" s="109"/>
      <c r="E8493" s="109"/>
      <c r="F8493" s="109"/>
      <c r="G8493" s="109"/>
      <c r="H8493" s="109"/>
      <c r="I8493" s="109"/>
      <c r="J8493" s="109"/>
    </row>
    <row r="8494" spans="1:10" customFormat="1" ht="12.75" hidden="1">
      <c r="A8494" s="109"/>
      <c r="B8494" s="109"/>
      <c r="C8494" s="109"/>
      <c r="D8494" s="109"/>
      <c r="E8494" s="109"/>
      <c r="F8494" s="109"/>
      <c r="G8494" s="109"/>
      <c r="H8494" s="109"/>
      <c r="I8494" s="109"/>
      <c r="J8494" s="109"/>
    </row>
    <row r="8495" spans="1:10" customFormat="1" ht="12.75" hidden="1">
      <c r="A8495" s="109"/>
      <c r="B8495" s="109"/>
      <c r="C8495" s="109"/>
      <c r="D8495" s="109"/>
      <c r="E8495" s="109"/>
      <c r="F8495" s="109"/>
      <c r="G8495" s="109"/>
      <c r="H8495" s="109"/>
      <c r="I8495" s="109"/>
      <c r="J8495" s="109"/>
    </row>
    <row r="8496" spans="1:10" customFormat="1" ht="12.75" hidden="1">
      <c r="A8496" s="109"/>
      <c r="B8496" s="109"/>
      <c r="C8496" s="109"/>
      <c r="D8496" s="109"/>
      <c r="E8496" s="109"/>
      <c r="F8496" s="109"/>
      <c r="G8496" s="109"/>
      <c r="H8496" s="109"/>
      <c r="I8496" s="109"/>
      <c r="J8496" s="109"/>
    </row>
    <row r="8497" spans="1:10" customFormat="1" ht="12.75" hidden="1">
      <c r="A8497" s="109"/>
      <c r="B8497" s="109"/>
      <c r="C8497" s="109"/>
      <c r="D8497" s="109"/>
      <c r="E8497" s="109"/>
      <c r="F8497" s="109"/>
      <c r="G8497" s="109"/>
      <c r="H8497" s="109"/>
      <c r="I8497" s="109"/>
      <c r="J8497" s="109"/>
    </row>
    <row r="8498" spans="1:10" customFormat="1" ht="12.75" hidden="1">
      <c r="A8498" s="109"/>
      <c r="B8498" s="109"/>
      <c r="C8498" s="109"/>
      <c r="D8498" s="109"/>
      <c r="E8498" s="109"/>
      <c r="F8498" s="109"/>
      <c r="G8498" s="109"/>
      <c r="H8498" s="109"/>
      <c r="I8498" s="109"/>
      <c r="J8498" s="109"/>
    </row>
    <row r="8499" spans="1:10" customFormat="1" ht="12.75" hidden="1">
      <c r="A8499" s="109"/>
      <c r="B8499" s="109"/>
      <c r="C8499" s="109"/>
      <c r="D8499" s="109"/>
      <c r="E8499" s="109"/>
      <c r="F8499" s="109"/>
      <c r="G8499" s="109"/>
      <c r="H8499" s="109"/>
      <c r="I8499" s="109"/>
      <c r="J8499" s="109"/>
    </row>
    <row r="8500" spans="1:10" customFormat="1" ht="12.75" hidden="1">
      <c r="A8500" s="109"/>
      <c r="B8500" s="109"/>
      <c r="C8500" s="109"/>
      <c r="D8500" s="109"/>
      <c r="E8500" s="109"/>
      <c r="F8500" s="109"/>
      <c r="G8500" s="109"/>
      <c r="H8500" s="109"/>
      <c r="I8500" s="109"/>
      <c r="J8500" s="109"/>
    </row>
    <row r="8501" spans="1:10" customFormat="1" ht="12.75" hidden="1">
      <c r="A8501" s="109"/>
      <c r="B8501" s="109"/>
      <c r="C8501" s="109"/>
      <c r="D8501" s="109"/>
      <c r="E8501" s="109"/>
      <c r="F8501" s="109"/>
      <c r="G8501" s="109"/>
      <c r="H8501" s="109"/>
      <c r="I8501" s="109"/>
      <c r="J8501" s="109"/>
    </row>
    <row r="8502" spans="1:10" customFormat="1" ht="12.75" hidden="1">
      <c r="A8502" s="109"/>
      <c r="B8502" s="109"/>
      <c r="C8502" s="109"/>
      <c r="D8502" s="109"/>
      <c r="E8502" s="109"/>
      <c r="F8502" s="109"/>
      <c r="G8502" s="109"/>
      <c r="H8502" s="109"/>
      <c r="I8502" s="109"/>
      <c r="J8502" s="109"/>
    </row>
    <row r="8503" spans="1:10" customFormat="1" ht="12.75" hidden="1">
      <c r="A8503" s="109"/>
      <c r="B8503" s="109"/>
      <c r="C8503" s="109"/>
      <c r="D8503" s="109"/>
      <c r="E8503" s="109"/>
      <c r="F8503" s="109"/>
      <c r="G8503" s="109"/>
      <c r="H8503" s="109"/>
      <c r="I8503" s="109"/>
      <c r="J8503" s="109"/>
    </row>
    <row r="8504" spans="1:10" customFormat="1" ht="12.75" hidden="1">
      <c r="A8504" s="109"/>
      <c r="B8504" s="109"/>
      <c r="C8504" s="109"/>
      <c r="D8504" s="109"/>
      <c r="E8504" s="109"/>
      <c r="F8504" s="109"/>
      <c r="G8504" s="109"/>
      <c r="H8504" s="109"/>
      <c r="I8504" s="109"/>
      <c r="J8504" s="109"/>
    </row>
    <row r="8505" spans="1:10" customFormat="1" ht="12.75" hidden="1">
      <c r="A8505" s="109"/>
      <c r="B8505" s="109"/>
      <c r="C8505" s="109"/>
      <c r="D8505" s="109"/>
      <c r="E8505" s="109"/>
      <c r="F8505" s="109"/>
      <c r="G8505" s="109"/>
      <c r="H8505" s="109"/>
      <c r="I8505" s="109"/>
      <c r="J8505" s="109"/>
    </row>
    <row r="8506" spans="1:10" customFormat="1" ht="12.75" hidden="1">
      <c r="A8506" s="109"/>
      <c r="B8506" s="109"/>
      <c r="C8506" s="109"/>
      <c r="D8506" s="109"/>
      <c r="E8506" s="109"/>
      <c r="F8506" s="109"/>
      <c r="G8506" s="109"/>
      <c r="H8506" s="109"/>
      <c r="I8506" s="109"/>
      <c r="J8506" s="109"/>
    </row>
    <row r="8507" spans="1:10" customFormat="1" ht="12.75" hidden="1">
      <c r="A8507" s="109"/>
      <c r="B8507" s="109"/>
      <c r="C8507" s="109"/>
      <c r="D8507" s="109"/>
      <c r="E8507" s="109"/>
      <c r="F8507" s="109"/>
      <c r="G8507" s="109"/>
      <c r="H8507" s="109"/>
      <c r="I8507" s="109"/>
      <c r="J8507" s="109"/>
    </row>
    <row r="8508" spans="1:10" customFormat="1" ht="12.75" hidden="1">
      <c r="A8508" s="109"/>
      <c r="B8508" s="109"/>
      <c r="C8508" s="109"/>
      <c r="D8508" s="109"/>
      <c r="E8508" s="109"/>
      <c r="F8508" s="109"/>
      <c r="G8508" s="109"/>
      <c r="H8508" s="109"/>
      <c r="I8508" s="109"/>
      <c r="J8508" s="109"/>
    </row>
    <row r="8509" spans="1:10" customFormat="1" ht="12.75" hidden="1">
      <c r="A8509" s="109"/>
      <c r="B8509" s="109"/>
      <c r="C8509" s="109"/>
      <c r="D8509" s="109"/>
      <c r="E8509" s="109"/>
      <c r="F8509" s="109"/>
      <c r="G8509" s="109"/>
      <c r="H8509" s="109"/>
      <c r="I8509" s="109"/>
      <c r="J8509" s="109"/>
    </row>
    <row r="8510" spans="1:10" customFormat="1" ht="12.75" hidden="1">
      <c r="A8510" s="109"/>
      <c r="B8510" s="109"/>
      <c r="C8510" s="109"/>
      <c r="D8510" s="109"/>
      <c r="E8510" s="109"/>
      <c r="F8510" s="109"/>
      <c r="G8510" s="109"/>
      <c r="H8510" s="109"/>
      <c r="I8510" s="109"/>
      <c r="J8510" s="109"/>
    </row>
    <row r="8511" spans="1:10" customFormat="1" ht="12.75" hidden="1">
      <c r="A8511" s="109"/>
      <c r="B8511" s="109"/>
      <c r="C8511" s="109"/>
      <c r="D8511" s="109"/>
      <c r="E8511" s="109"/>
      <c r="F8511" s="109"/>
      <c r="G8511" s="109"/>
      <c r="H8511" s="109"/>
      <c r="I8511" s="109"/>
      <c r="J8511" s="109"/>
    </row>
    <row r="8512" spans="1:10" customFormat="1" ht="12.75" hidden="1">
      <c r="A8512" s="109"/>
      <c r="B8512" s="109"/>
      <c r="C8512" s="109"/>
      <c r="D8512" s="109"/>
      <c r="E8512" s="109"/>
      <c r="F8512" s="109"/>
      <c r="G8512" s="109"/>
      <c r="H8512" s="109"/>
      <c r="I8512" s="109"/>
      <c r="J8512" s="109"/>
    </row>
    <row r="8513" spans="1:10" customFormat="1" ht="12.75" hidden="1">
      <c r="A8513" s="109"/>
      <c r="B8513" s="109"/>
      <c r="C8513" s="109"/>
      <c r="D8513" s="109"/>
      <c r="E8513" s="109"/>
      <c r="F8513" s="109"/>
      <c r="G8513" s="109"/>
      <c r="H8513" s="109"/>
      <c r="I8513" s="109"/>
      <c r="J8513" s="109"/>
    </row>
    <row r="8514" spans="1:10" customFormat="1" ht="12.75" hidden="1">
      <c r="A8514" s="109"/>
      <c r="B8514" s="109"/>
      <c r="C8514" s="109"/>
      <c r="D8514" s="109"/>
      <c r="E8514" s="109"/>
      <c r="F8514" s="109"/>
      <c r="G8514" s="109"/>
      <c r="H8514" s="109"/>
      <c r="I8514" s="109"/>
      <c r="J8514" s="109"/>
    </row>
    <row r="8515" spans="1:10" customFormat="1" ht="12.75" hidden="1">
      <c r="A8515" s="109"/>
      <c r="B8515" s="109"/>
      <c r="C8515" s="109"/>
      <c r="D8515" s="109"/>
      <c r="E8515" s="109"/>
      <c r="F8515" s="109"/>
      <c r="G8515" s="109"/>
      <c r="H8515" s="109"/>
      <c r="I8515" s="109"/>
      <c r="J8515" s="109"/>
    </row>
    <row r="8516" spans="1:10" customFormat="1" ht="12.75" hidden="1">
      <c r="A8516" s="109"/>
      <c r="B8516" s="109"/>
      <c r="C8516" s="109"/>
      <c r="D8516" s="109"/>
      <c r="E8516" s="109"/>
      <c r="F8516" s="109"/>
      <c r="G8516" s="109"/>
      <c r="H8516" s="109"/>
      <c r="I8516" s="109"/>
      <c r="J8516" s="109"/>
    </row>
    <row r="8517" spans="1:10" customFormat="1" ht="12.75" hidden="1">
      <c r="A8517" s="109"/>
      <c r="B8517" s="109"/>
      <c r="C8517" s="109"/>
      <c r="D8517" s="109"/>
      <c r="E8517" s="109"/>
      <c r="F8517" s="109"/>
      <c r="G8517" s="109"/>
      <c r="H8517" s="109"/>
      <c r="I8517" s="109"/>
      <c r="J8517" s="109"/>
    </row>
    <row r="8518" spans="1:10" customFormat="1" ht="12.75" hidden="1">
      <c r="A8518" s="109"/>
      <c r="B8518" s="109"/>
      <c r="C8518" s="109"/>
      <c r="D8518" s="109"/>
      <c r="E8518" s="109"/>
      <c r="F8518" s="109"/>
      <c r="G8518" s="109"/>
      <c r="H8518" s="109"/>
      <c r="I8518" s="109"/>
      <c r="J8518" s="109"/>
    </row>
    <row r="8519" spans="1:10" customFormat="1" ht="12.75" hidden="1">
      <c r="A8519" s="109"/>
      <c r="B8519" s="109"/>
      <c r="C8519" s="109"/>
      <c r="D8519" s="109"/>
      <c r="E8519" s="109"/>
      <c r="F8519" s="109"/>
      <c r="G8519" s="109"/>
      <c r="H8519" s="109"/>
      <c r="I8519" s="109"/>
      <c r="J8519" s="109"/>
    </row>
    <row r="8520" spans="1:10" customFormat="1" ht="12.75" hidden="1">
      <c r="A8520" s="109"/>
      <c r="B8520" s="109"/>
      <c r="C8520" s="109"/>
      <c r="D8520" s="109"/>
      <c r="E8520" s="109"/>
      <c r="F8520" s="109"/>
      <c r="G8520" s="109"/>
      <c r="H8520" s="109"/>
      <c r="I8520" s="109"/>
      <c r="J8520" s="109"/>
    </row>
    <row r="8521" spans="1:10" customFormat="1" ht="12.75" hidden="1">
      <c r="A8521" s="109"/>
      <c r="B8521" s="109"/>
      <c r="C8521" s="109"/>
      <c r="D8521" s="109"/>
      <c r="E8521" s="109"/>
      <c r="F8521" s="109"/>
      <c r="G8521" s="109"/>
      <c r="H8521" s="109"/>
      <c r="I8521" s="109"/>
      <c r="J8521" s="109"/>
    </row>
    <row r="8522" spans="1:10" customFormat="1" ht="12.75" hidden="1">
      <c r="A8522" s="109"/>
      <c r="B8522" s="109"/>
      <c r="C8522" s="109"/>
      <c r="D8522" s="109"/>
      <c r="E8522" s="109"/>
      <c r="F8522" s="109"/>
      <c r="G8522" s="109"/>
      <c r="H8522" s="109"/>
      <c r="I8522" s="109"/>
      <c r="J8522" s="109"/>
    </row>
    <row r="8523" spans="1:10" customFormat="1" ht="12.75" hidden="1">
      <c r="A8523" s="109"/>
      <c r="B8523" s="109"/>
      <c r="C8523" s="109"/>
      <c r="D8523" s="109"/>
      <c r="E8523" s="109"/>
      <c r="F8523" s="109"/>
      <c r="G8523" s="109"/>
      <c r="H8523" s="109"/>
      <c r="I8523" s="109"/>
      <c r="J8523" s="109"/>
    </row>
    <row r="8524" spans="1:10" customFormat="1" ht="12.75" hidden="1">
      <c r="A8524" s="109"/>
      <c r="B8524" s="109"/>
      <c r="C8524" s="109"/>
      <c r="D8524" s="109"/>
      <c r="E8524" s="109"/>
      <c r="F8524" s="109"/>
      <c r="G8524" s="109"/>
      <c r="H8524" s="109"/>
      <c r="I8524" s="109"/>
      <c r="J8524" s="109"/>
    </row>
    <row r="8525" spans="1:10" customFormat="1" ht="12.75" hidden="1">
      <c r="A8525" s="109"/>
      <c r="B8525" s="109"/>
      <c r="C8525" s="109"/>
      <c r="D8525" s="109"/>
      <c r="E8525" s="109"/>
      <c r="F8525" s="109"/>
      <c r="G8525" s="109"/>
      <c r="H8525" s="109"/>
      <c r="I8525" s="109"/>
      <c r="J8525" s="109"/>
    </row>
    <row r="8526" spans="1:10" customFormat="1" ht="12.75" hidden="1">
      <c r="A8526" s="109"/>
      <c r="B8526" s="109"/>
      <c r="C8526" s="109"/>
      <c r="D8526" s="109"/>
      <c r="E8526" s="109"/>
      <c r="F8526" s="109"/>
      <c r="G8526" s="109"/>
      <c r="H8526" s="109"/>
      <c r="I8526" s="109"/>
      <c r="J8526" s="109"/>
    </row>
    <row r="8527" spans="1:10" customFormat="1" ht="12.75" hidden="1">
      <c r="A8527" s="109"/>
      <c r="B8527" s="109"/>
      <c r="C8527" s="109"/>
      <c r="D8527" s="109"/>
      <c r="E8527" s="109"/>
      <c r="F8527" s="109"/>
      <c r="G8527" s="109"/>
      <c r="H8527" s="109"/>
      <c r="I8527" s="109"/>
      <c r="J8527" s="109"/>
    </row>
    <row r="8528" spans="1:10" customFormat="1" ht="12.75" hidden="1">
      <c r="A8528" s="109"/>
      <c r="B8528" s="109"/>
      <c r="C8528" s="109"/>
      <c r="D8528" s="109"/>
      <c r="E8528" s="109"/>
      <c r="F8528" s="109"/>
      <c r="G8528" s="109"/>
      <c r="H8528" s="109"/>
      <c r="I8528" s="109"/>
      <c r="J8528" s="109"/>
    </row>
    <row r="8529" spans="1:10" customFormat="1" ht="12.75" hidden="1">
      <c r="A8529" s="109"/>
      <c r="B8529" s="109"/>
      <c r="C8529" s="109"/>
      <c r="D8529" s="109"/>
      <c r="E8529" s="109"/>
      <c r="F8529" s="109"/>
      <c r="G8529" s="109"/>
      <c r="H8529" s="109"/>
      <c r="I8529" s="109"/>
      <c r="J8529" s="109"/>
    </row>
    <row r="8530" spans="1:10" customFormat="1" ht="12.75" hidden="1">
      <c r="A8530" s="109"/>
      <c r="B8530" s="109"/>
      <c r="C8530" s="109"/>
      <c r="D8530" s="109"/>
      <c r="E8530" s="109"/>
      <c r="F8530" s="109"/>
      <c r="G8530" s="109"/>
      <c r="H8530" s="109"/>
      <c r="I8530" s="109"/>
      <c r="J8530" s="109"/>
    </row>
    <row r="8531" spans="1:10" customFormat="1" ht="12.75" hidden="1">
      <c r="A8531" s="109"/>
      <c r="B8531" s="109"/>
      <c r="C8531" s="109"/>
      <c r="D8531" s="109"/>
      <c r="E8531" s="109"/>
      <c r="F8531" s="109"/>
      <c r="G8531" s="109"/>
      <c r="H8531" s="109"/>
      <c r="I8531" s="109"/>
      <c r="J8531" s="109"/>
    </row>
    <row r="8532" spans="1:10" customFormat="1" ht="12.75" hidden="1">
      <c r="A8532" s="109"/>
      <c r="B8532" s="109"/>
      <c r="C8532" s="109"/>
      <c r="D8532" s="109"/>
      <c r="E8532" s="109"/>
      <c r="F8532" s="109"/>
      <c r="G8532" s="109"/>
      <c r="H8532" s="109"/>
      <c r="I8532" s="109"/>
      <c r="J8532" s="109"/>
    </row>
    <row r="8533" spans="1:10" customFormat="1" ht="12.75" hidden="1">
      <c r="A8533" s="109"/>
      <c r="B8533" s="109"/>
      <c r="C8533" s="109"/>
      <c r="D8533" s="109"/>
      <c r="E8533" s="109"/>
      <c r="F8533" s="109"/>
      <c r="G8533" s="109"/>
      <c r="H8533" s="109"/>
      <c r="I8533" s="109"/>
      <c r="J8533" s="109"/>
    </row>
    <row r="8534" spans="1:10" customFormat="1" ht="12.75" hidden="1">
      <c r="A8534" s="109"/>
      <c r="B8534" s="109"/>
      <c r="C8534" s="109"/>
      <c r="D8534" s="109"/>
      <c r="E8534" s="109"/>
      <c r="F8534" s="109"/>
      <c r="G8534" s="109"/>
      <c r="H8534" s="109"/>
      <c r="I8534" s="109"/>
      <c r="J8534" s="109"/>
    </row>
    <row r="8535" spans="1:10" customFormat="1" ht="12.75" hidden="1">
      <c r="A8535" s="109"/>
      <c r="B8535" s="109"/>
      <c r="C8535" s="109"/>
      <c r="D8535" s="109"/>
      <c r="E8535" s="109"/>
      <c r="F8535" s="109"/>
      <c r="G8535" s="109"/>
      <c r="H8535" s="109"/>
      <c r="I8535" s="109"/>
      <c r="J8535" s="109"/>
    </row>
    <row r="8536" spans="1:10" customFormat="1" ht="12.75" hidden="1">
      <c r="A8536" s="109"/>
      <c r="B8536" s="109"/>
      <c r="C8536" s="109"/>
      <c r="D8536" s="109"/>
      <c r="E8536" s="109"/>
      <c r="F8536" s="109"/>
      <c r="G8536" s="109"/>
      <c r="H8536" s="109"/>
      <c r="I8536" s="109"/>
      <c r="J8536" s="109"/>
    </row>
    <row r="8537" spans="1:10" customFormat="1" ht="12.75" hidden="1">
      <c r="A8537" s="109"/>
      <c r="B8537" s="109"/>
      <c r="C8537" s="109"/>
      <c r="D8537" s="109"/>
      <c r="E8537" s="109"/>
      <c r="F8537" s="109"/>
      <c r="G8537" s="109"/>
      <c r="H8537" s="109"/>
      <c r="I8537" s="109"/>
      <c r="J8537" s="109"/>
    </row>
    <row r="8538" spans="1:10" customFormat="1" ht="12.75" hidden="1">
      <c r="A8538" s="109"/>
      <c r="B8538" s="109"/>
      <c r="C8538" s="109"/>
      <c r="D8538" s="109"/>
      <c r="E8538" s="109"/>
      <c r="F8538" s="109"/>
      <c r="G8538" s="109"/>
      <c r="H8538" s="109"/>
      <c r="I8538" s="109"/>
      <c r="J8538" s="109"/>
    </row>
    <row r="8539" spans="1:10" customFormat="1" ht="12.75" hidden="1">
      <c r="A8539" s="109"/>
      <c r="B8539" s="109"/>
      <c r="C8539" s="109"/>
      <c r="D8539" s="109"/>
      <c r="E8539" s="109"/>
      <c r="F8539" s="109"/>
      <c r="G8539" s="109"/>
      <c r="H8539" s="109"/>
      <c r="I8539" s="109"/>
      <c r="J8539" s="109"/>
    </row>
    <row r="8540" spans="1:10" customFormat="1" ht="12.75" hidden="1">
      <c r="A8540" s="109"/>
      <c r="B8540" s="109"/>
      <c r="C8540" s="109"/>
      <c r="D8540" s="109"/>
      <c r="E8540" s="109"/>
      <c r="F8540" s="109"/>
      <c r="G8540" s="109"/>
      <c r="H8540" s="109"/>
      <c r="I8540" s="109"/>
      <c r="J8540" s="109"/>
    </row>
    <row r="8541" spans="1:10" customFormat="1" ht="12.75" hidden="1">
      <c r="A8541" s="109"/>
      <c r="B8541" s="109"/>
      <c r="C8541" s="109"/>
      <c r="D8541" s="109"/>
      <c r="E8541" s="109"/>
      <c r="F8541" s="109"/>
      <c r="G8541" s="109"/>
      <c r="H8541" s="109"/>
      <c r="I8541" s="109"/>
      <c r="J8541" s="109"/>
    </row>
    <row r="8542" spans="1:10" customFormat="1" ht="12.75" hidden="1">
      <c r="A8542" s="109"/>
      <c r="B8542" s="109"/>
      <c r="C8542" s="109"/>
      <c r="D8542" s="109"/>
      <c r="E8542" s="109"/>
      <c r="F8542" s="109"/>
      <c r="G8542" s="109"/>
      <c r="H8542" s="109"/>
      <c r="I8542" s="109"/>
      <c r="J8542" s="109"/>
    </row>
    <row r="8543" spans="1:10" customFormat="1" ht="12.75" hidden="1">
      <c r="A8543" s="109"/>
      <c r="B8543" s="109"/>
      <c r="C8543" s="109"/>
      <c r="D8543" s="109"/>
      <c r="E8543" s="109"/>
      <c r="F8543" s="109"/>
      <c r="G8543" s="109"/>
      <c r="H8543" s="109"/>
      <c r="I8543" s="109"/>
      <c r="J8543" s="109"/>
    </row>
    <row r="8544" spans="1:10" customFormat="1" ht="12.75" hidden="1">
      <c r="A8544" s="109"/>
      <c r="B8544" s="109"/>
      <c r="C8544" s="109"/>
      <c r="D8544" s="109"/>
      <c r="E8544" s="109"/>
      <c r="F8544" s="109"/>
      <c r="G8544" s="109"/>
      <c r="H8544" s="109"/>
      <c r="I8544" s="109"/>
      <c r="J8544" s="109"/>
    </row>
    <row r="8545" spans="1:10" customFormat="1" ht="12.75" hidden="1">
      <c r="A8545" s="109"/>
      <c r="B8545" s="109"/>
      <c r="C8545" s="109"/>
      <c r="D8545" s="109"/>
      <c r="E8545" s="109"/>
      <c r="F8545" s="109"/>
      <c r="G8545" s="109"/>
      <c r="H8545" s="109"/>
      <c r="I8545" s="109"/>
      <c r="J8545" s="109"/>
    </row>
    <row r="8546" spans="1:10" customFormat="1" ht="12.75" hidden="1">
      <c r="A8546" s="109"/>
      <c r="B8546" s="109"/>
      <c r="C8546" s="109"/>
      <c r="D8546" s="109"/>
      <c r="E8546" s="109"/>
      <c r="F8546" s="109"/>
      <c r="G8546" s="109"/>
      <c r="H8546" s="109"/>
      <c r="I8546" s="109"/>
      <c r="J8546" s="109"/>
    </row>
    <row r="8547" spans="1:10" customFormat="1" ht="12.75" hidden="1">
      <c r="A8547" s="109"/>
      <c r="B8547" s="109"/>
      <c r="C8547" s="109"/>
      <c r="D8547" s="109"/>
      <c r="E8547" s="109"/>
      <c r="F8547" s="109"/>
      <c r="G8547" s="109"/>
      <c r="H8547" s="109"/>
      <c r="I8547" s="109"/>
      <c r="J8547" s="109"/>
    </row>
    <row r="8548" spans="1:10" customFormat="1" ht="12.75" hidden="1">
      <c r="A8548" s="109"/>
      <c r="B8548" s="109"/>
      <c r="C8548" s="109"/>
      <c r="D8548" s="109"/>
      <c r="E8548" s="109"/>
      <c r="F8548" s="109"/>
      <c r="G8548" s="109"/>
      <c r="H8548" s="109"/>
      <c r="I8548" s="109"/>
      <c r="J8548" s="109"/>
    </row>
    <row r="8549" spans="1:10" customFormat="1" ht="12.75" hidden="1">
      <c r="A8549" s="109"/>
      <c r="B8549" s="109"/>
      <c r="C8549" s="109"/>
      <c r="D8549" s="109"/>
      <c r="E8549" s="109"/>
      <c r="F8549" s="109"/>
      <c r="G8549" s="109"/>
      <c r="H8549" s="109"/>
      <c r="I8549" s="109"/>
      <c r="J8549" s="109"/>
    </row>
    <row r="8550" spans="1:10" customFormat="1" ht="12.75" hidden="1">
      <c r="A8550" s="109"/>
      <c r="B8550" s="109"/>
      <c r="C8550" s="109"/>
      <c r="D8550" s="109"/>
      <c r="E8550" s="109"/>
      <c r="F8550" s="109"/>
      <c r="G8550" s="109"/>
      <c r="H8550" s="109"/>
      <c r="I8550" s="109"/>
      <c r="J8550" s="109"/>
    </row>
    <row r="8551" spans="1:10" customFormat="1" ht="12.75" hidden="1">
      <c r="A8551" s="109"/>
      <c r="B8551" s="109"/>
      <c r="C8551" s="109"/>
      <c r="D8551" s="109"/>
      <c r="E8551" s="109"/>
      <c r="F8551" s="109"/>
      <c r="G8551" s="109"/>
      <c r="H8551" s="109"/>
      <c r="I8551" s="109"/>
      <c r="J8551" s="109"/>
    </row>
    <row r="8552" spans="1:10" customFormat="1" ht="12.75" hidden="1">
      <c r="A8552" s="109"/>
      <c r="B8552" s="109"/>
      <c r="C8552" s="109"/>
      <c r="D8552" s="109"/>
      <c r="E8552" s="109"/>
      <c r="F8552" s="109"/>
      <c r="G8552" s="109"/>
      <c r="H8552" s="109"/>
      <c r="I8552" s="109"/>
      <c r="J8552" s="109"/>
    </row>
    <row r="8553" spans="1:10" customFormat="1" ht="12.75" hidden="1">
      <c r="A8553" s="109"/>
      <c r="B8553" s="109"/>
      <c r="C8553" s="109"/>
      <c r="D8553" s="109"/>
      <c r="E8553" s="109"/>
      <c r="F8553" s="109"/>
      <c r="G8553" s="109"/>
      <c r="H8553" s="109"/>
      <c r="I8553" s="109"/>
      <c r="J8553" s="109"/>
    </row>
    <row r="8554" spans="1:10" customFormat="1" ht="12.75" hidden="1">
      <c r="A8554" s="109"/>
      <c r="B8554" s="109"/>
      <c r="C8554" s="109"/>
      <c r="D8554" s="109"/>
      <c r="E8554" s="109"/>
      <c r="F8554" s="109"/>
      <c r="G8554" s="109"/>
      <c r="H8554" s="109"/>
      <c r="I8554" s="109"/>
      <c r="J8554" s="109"/>
    </row>
    <row r="8555" spans="1:10" customFormat="1" ht="12.75" hidden="1">
      <c r="A8555" s="109"/>
      <c r="B8555" s="109"/>
      <c r="C8555" s="109"/>
      <c r="D8555" s="109"/>
      <c r="E8555" s="109"/>
      <c r="F8555" s="109"/>
      <c r="G8555" s="109"/>
      <c r="H8555" s="109"/>
      <c r="I8555" s="109"/>
      <c r="J8555" s="109"/>
    </row>
    <row r="8556" spans="1:10" customFormat="1" ht="12.75" hidden="1">
      <c r="A8556" s="109"/>
      <c r="B8556" s="109"/>
      <c r="C8556" s="109"/>
      <c r="D8556" s="109"/>
      <c r="E8556" s="109"/>
      <c r="F8556" s="109"/>
      <c r="G8556" s="109"/>
      <c r="H8556" s="109"/>
      <c r="I8556" s="109"/>
      <c r="J8556" s="109"/>
    </row>
    <row r="8557" spans="1:10" customFormat="1" ht="12.75" hidden="1">
      <c r="A8557" s="109"/>
      <c r="B8557" s="109"/>
      <c r="C8557" s="109"/>
      <c r="D8557" s="109"/>
      <c r="E8557" s="109"/>
      <c r="F8557" s="109"/>
      <c r="G8557" s="109"/>
      <c r="H8557" s="109"/>
      <c r="I8557" s="109"/>
      <c r="J8557" s="109"/>
    </row>
    <row r="8558" spans="1:10" customFormat="1" ht="12.75" hidden="1">
      <c r="A8558" s="109"/>
      <c r="B8558" s="109"/>
      <c r="C8558" s="109"/>
      <c r="D8558" s="109"/>
      <c r="E8558" s="109"/>
      <c r="F8558" s="109"/>
      <c r="G8558" s="109"/>
      <c r="H8558" s="109"/>
      <c r="I8558" s="109"/>
      <c r="J8558" s="109"/>
    </row>
    <row r="8559" spans="1:10" customFormat="1" ht="12.75" hidden="1">
      <c r="A8559" s="109"/>
      <c r="B8559" s="109"/>
      <c r="C8559" s="109"/>
      <c r="D8559" s="109"/>
      <c r="E8559" s="109"/>
      <c r="F8559" s="109"/>
      <c r="G8559" s="109"/>
      <c r="H8559" s="109"/>
      <c r="I8559" s="109"/>
      <c r="J8559" s="109"/>
    </row>
    <row r="8560" spans="1:10" customFormat="1" ht="12.75" hidden="1">
      <c r="A8560" s="109"/>
      <c r="B8560" s="109"/>
      <c r="C8560" s="109"/>
      <c r="D8560" s="109"/>
      <c r="E8560" s="109"/>
      <c r="F8560" s="109"/>
      <c r="G8560" s="109"/>
      <c r="H8560" s="109"/>
      <c r="I8560" s="109"/>
      <c r="J8560" s="109"/>
    </row>
    <row r="8561" spans="1:10" customFormat="1" ht="12.75" hidden="1">
      <c r="A8561" s="109"/>
      <c r="B8561" s="109"/>
      <c r="C8561" s="109"/>
      <c r="D8561" s="109"/>
      <c r="E8561" s="109"/>
      <c r="F8561" s="109"/>
      <c r="G8561" s="109"/>
      <c r="H8561" s="109"/>
      <c r="I8561" s="109"/>
      <c r="J8561" s="109"/>
    </row>
    <row r="8562" spans="1:10" customFormat="1" ht="12.75" hidden="1">
      <c r="A8562" s="109"/>
      <c r="B8562" s="109"/>
      <c r="C8562" s="109"/>
      <c r="D8562" s="109"/>
      <c r="E8562" s="109"/>
      <c r="F8562" s="109"/>
      <c r="G8562" s="109"/>
      <c r="H8562" s="109"/>
      <c r="I8562" s="109"/>
      <c r="J8562" s="109"/>
    </row>
    <row r="8563" spans="1:10" customFormat="1" ht="12.75" hidden="1">
      <c r="A8563" s="109"/>
      <c r="B8563" s="109"/>
      <c r="C8563" s="109"/>
      <c r="D8563" s="109"/>
      <c r="E8563" s="109"/>
      <c r="F8563" s="109"/>
      <c r="G8563" s="109"/>
      <c r="H8563" s="109"/>
      <c r="I8563" s="109"/>
      <c r="J8563" s="109"/>
    </row>
    <row r="8564" spans="1:10" customFormat="1" ht="12.75" hidden="1">
      <c r="A8564" s="109"/>
      <c r="B8564" s="109"/>
      <c r="C8564" s="109"/>
      <c r="D8564" s="109"/>
      <c r="E8564" s="109"/>
      <c r="F8564" s="109"/>
      <c r="G8564" s="109"/>
      <c r="H8564" s="109"/>
      <c r="I8564" s="109"/>
      <c r="J8564" s="109"/>
    </row>
    <row r="8565" spans="1:10" customFormat="1" ht="12.75" hidden="1">
      <c r="A8565" s="109"/>
      <c r="B8565" s="109"/>
      <c r="C8565" s="109"/>
      <c r="D8565" s="109"/>
      <c r="E8565" s="109"/>
      <c r="F8565" s="109"/>
      <c r="G8565" s="109"/>
      <c r="H8565" s="109"/>
      <c r="I8565" s="109"/>
      <c r="J8565" s="109"/>
    </row>
    <row r="8566" spans="1:10" customFormat="1" ht="12.75" hidden="1">
      <c r="A8566" s="109"/>
      <c r="B8566" s="109"/>
      <c r="C8566" s="109"/>
      <c r="D8566" s="109"/>
      <c r="E8566" s="109"/>
      <c r="F8566" s="109"/>
      <c r="G8566" s="109"/>
      <c r="H8566" s="109"/>
      <c r="I8566" s="109"/>
      <c r="J8566" s="109"/>
    </row>
    <row r="8567" spans="1:10" customFormat="1" ht="12.75" hidden="1">
      <c r="A8567" s="109"/>
      <c r="B8567" s="109"/>
      <c r="C8567" s="109"/>
      <c r="D8567" s="109"/>
      <c r="E8567" s="109"/>
      <c r="F8567" s="109"/>
      <c r="G8567" s="109"/>
      <c r="H8567" s="109"/>
      <c r="I8567" s="109"/>
      <c r="J8567" s="109"/>
    </row>
    <row r="8568" spans="1:10" customFormat="1" ht="12.75" hidden="1">
      <c r="A8568" s="109"/>
      <c r="B8568" s="109"/>
      <c r="C8568" s="109"/>
      <c r="D8568" s="109"/>
      <c r="E8568" s="109"/>
      <c r="F8568" s="109"/>
      <c r="G8568" s="109"/>
      <c r="H8568" s="109"/>
      <c r="I8568" s="109"/>
      <c r="J8568" s="109"/>
    </row>
    <row r="8569" spans="1:10" customFormat="1" ht="12.75" hidden="1">
      <c r="A8569" s="109"/>
      <c r="B8569" s="109"/>
      <c r="C8569" s="109"/>
      <c r="D8569" s="109"/>
      <c r="E8569" s="109"/>
      <c r="F8569" s="109"/>
      <c r="G8569" s="109"/>
      <c r="H8569" s="109"/>
      <c r="I8569" s="109"/>
      <c r="J8569" s="109"/>
    </row>
    <row r="8570" spans="1:10" customFormat="1" ht="12.75" hidden="1">
      <c r="A8570" s="109"/>
      <c r="B8570" s="109"/>
      <c r="C8570" s="109"/>
      <c r="D8570" s="109"/>
      <c r="E8570" s="109"/>
      <c r="F8570" s="109"/>
      <c r="G8570" s="109"/>
      <c r="H8570" s="109"/>
      <c r="I8570" s="109"/>
      <c r="J8570" s="109"/>
    </row>
    <row r="8571" spans="1:10" customFormat="1" ht="12.75" hidden="1">
      <c r="A8571" s="109"/>
      <c r="B8571" s="109"/>
      <c r="C8571" s="109"/>
      <c r="D8571" s="109"/>
      <c r="E8571" s="109"/>
      <c r="F8571" s="109"/>
      <c r="G8571" s="109"/>
      <c r="H8571" s="109"/>
      <c r="I8571" s="109"/>
      <c r="J8571" s="109"/>
    </row>
    <row r="8572" spans="1:10" customFormat="1" ht="12.75" hidden="1">
      <c r="A8572" s="109"/>
      <c r="B8572" s="109"/>
      <c r="C8572" s="109"/>
      <c r="D8572" s="109"/>
      <c r="E8572" s="109"/>
      <c r="F8572" s="109"/>
      <c r="G8572" s="109"/>
      <c r="H8572" s="109"/>
      <c r="I8572" s="109"/>
      <c r="J8572" s="109"/>
    </row>
    <row r="8573" spans="1:10" customFormat="1" ht="12.75" hidden="1">
      <c r="A8573" s="109"/>
      <c r="B8573" s="109"/>
      <c r="C8573" s="109"/>
      <c r="D8573" s="109"/>
      <c r="E8573" s="109"/>
      <c r="F8573" s="109"/>
      <c r="G8573" s="109"/>
      <c r="H8573" s="109"/>
      <c r="I8573" s="109"/>
      <c r="J8573" s="109"/>
    </row>
    <row r="8574" spans="1:10" customFormat="1" ht="12.75" hidden="1">
      <c r="A8574" s="109"/>
      <c r="B8574" s="109"/>
      <c r="C8574" s="109"/>
      <c r="D8574" s="109"/>
      <c r="E8574" s="109"/>
      <c r="F8574" s="109"/>
      <c r="G8574" s="109"/>
      <c r="H8574" s="109"/>
      <c r="I8574" s="109"/>
      <c r="J8574" s="109"/>
    </row>
    <row r="8575" spans="1:10" customFormat="1" ht="12.75" hidden="1">
      <c r="A8575" s="109"/>
      <c r="B8575" s="109"/>
      <c r="C8575" s="109"/>
      <c r="D8575" s="109"/>
      <c r="E8575" s="109"/>
      <c r="F8575" s="109"/>
      <c r="G8575" s="109"/>
      <c r="H8575" s="109"/>
      <c r="I8575" s="109"/>
      <c r="J8575" s="109"/>
    </row>
    <row r="8576" spans="1:10" customFormat="1" ht="12.75" hidden="1">
      <c r="A8576" s="109"/>
      <c r="B8576" s="109"/>
      <c r="C8576" s="109"/>
      <c r="D8576" s="109"/>
      <c r="E8576" s="109"/>
      <c r="F8576" s="109"/>
      <c r="G8576" s="109"/>
      <c r="H8576" s="109"/>
      <c r="I8576" s="109"/>
      <c r="J8576" s="109"/>
    </row>
    <row r="8577" spans="1:10" customFormat="1" ht="12.75" hidden="1">
      <c r="A8577" s="109"/>
      <c r="B8577" s="109"/>
      <c r="C8577" s="109"/>
      <c r="D8577" s="109"/>
      <c r="E8577" s="109"/>
      <c r="F8577" s="109"/>
      <c r="G8577" s="109"/>
      <c r="H8577" s="109"/>
      <c r="I8577" s="109"/>
      <c r="J8577" s="109"/>
    </row>
    <row r="8578" spans="1:10" customFormat="1" ht="12.75" hidden="1">
      <c r="A8578" s="109"/>
      <c r="B8578" s="109"/>
      <c r="C8578" s="109"/>
      <c r="D8578" s="109"/>
      <c r="E8578" s="109"/>
      <c r="F8578" s="109"/>
      <c r="G8578" s="109"/>
      <c r="H8578" s="109"/>
      <c r="I8578" s="109"/>
      <c r="J8578" s="109"/>
    </row>
    <row r="8579" spans="1:10" customFormat="1" ht="12.75" hidden="1">
      <c r="A8579" s="109"/>
      <c r="B8579" s="109"/>
      <c r="C8579" s="109"/>
      <c r="D8579" s="109"/>
      <c r="E8579" s="109"/>
      <c r="F8579" s="109"/>
      <c r="G8579" s="109"/>
      <c r="H8579" s="109"/>
      <c r="I8579" s="109"/>
      <c r="J8579" s="109"/>
    </row>
    <row r="8580" spans="1:10" customFormat="1" ht="12.75" hidden="1">
      <c r="A8580" s="109"/>
      <c r="B8580" s="109"/>
      <c r="C8580" s="109"/>
      <c r="D8580" s="109"/>
      <c r="E8580" s="109"/>
      <c r="F8580" s="109"/>
      <c r="G8580" s="109"/>
      <c r="H8580" s="109"/>
      <c r="I8580" s="109"/>
      <c r="J8580" s="109"/>
    </row>
    <row r="8581" spans="1:10" customFormat="1" ht="12.75" hidden="1">
      <c r="A8581" s="109"/>
      <c r="B8581" s="109"/>
      <c r="C8581" s="109"/>
      <c r="D8581" s="109"/>
      <c r="E8581" s="109"/>
      <c r="F8581" s="109"/>
      <c r="G8581" s="109"/>
      <c r="H8581" s="109"/>
      <c r="I8581" s="109"/>
      <c r="J8581" s="109"/>
    </row>
    <row r="8582" spans="1:10" customFormat="1" ht="12.75" hidden="1">
      <c r="A8582" s="109"/>
      <c r="B8582" s="109"/>
      <c r="C8582" s="109"/>
      <c r="D8582" s="109"/>
      <c r="E8582" s="109"/>
      <c r="F8582" s="109"/>
      <c r="G8582" s="109"/>
      <c r="H8582" s="109"/>
      <c r="I8582" s="109"/>
      <c r="J8582" s="109"/>
    </row>
    <row r="8583" spans="1:10" customFormat="1" ht="12.75" hidden="1">
      <c r="A8583" s="109"/>
      <c r="B8583" s="109"/>
      <c r="C8583" s="109"/>
      <c r="D8583" s="109"/>
      <c r="E8583" s="109"/>
      <c r="F8583" s="109"/>
      <c r="G8583" s="109"/>
      <c r="H8583" s="109"/>
      <c r="I8583" s="109"/>
      <c r="J8583" s="109"/>
    </row>
    <row r="8584" spans="1:10" customFormat="1" ht="12.75" hidden="1">
      <c r="A8584" s="109"/>
      <c r="B8584" s="109"/>
      <c r="C8584" s="109"/>
      <c r="D8584" s="109"/>
      <c r="E8584" s="109"/>
      <c r="F8584" s="109"/>
      <c r="G8584" s="109"/>
      <c r="H8584" s="109"/>
      <c r="I8584" s="109"/>
      <c r="J8584" s="109"/>
    </row>
    <row r="8585" spans="1:10" customFormat="1" ht="12.75" hidden="1">
      <c r="A8585" s="109"/>
      <c r="B8585" s="109"/>
      <c r="C8585" s="109"/>
      <c r="D8585" s="109"/>
      <c r="E8585" s="109"/>
      <c r="F8585" s="109"/>
      <c r="G8585" s="109"/>
      <c r="H8585" s="109"/>
      <c r="I8585" s="109"/>
      <c r="J8585" s="109"/>
    </row>
    <row r="8586" spans="1:10" customFormat="1" ht="12.75" hidden="1">
      <c r="A8586" s="109"/>
      <c r="B8586" s="109"/>
      <c r="C8586" s="109"/>
      <c r="D8586" s="109"/>
      <c r="E8586" s="109"/>
      <c r="F8586" s="109"/>
      <c r="G8586" s="109"/>
      <c r="H8586" s="109"/>
      <c r="I8586" s="109"/>
      <c r="J8586" s="109"/>
    </row>
    <row r="8587" spans="1:10" customFormat="1" ht="12.75" hidden="1">
      <c r="A8587" s="109"/>
      <c r="B8587" s="109"/>
      <c r="C8587" s="109"/>
      <c r="D8587" s="109"/>
      <c r="E8587" s="109"/>
      <c r="F8587" s="109"/>
      <c r="G8587" s="109"/>
      <c r="H8587" s="109"/>
      <c r="I8587" s="109"/>
      <c r="J8587" s="109"/>
    </row>
    <row r="8588" spans="1:10" customFormat="1" ht="12.75" hidden="1">
      <c r="A8588" s="109"/>
      <c r="B8588" s="109"/>
      <c r="C8588" s="109"/>
      <c r="D8588" s="109"/>
      <c r="E8588" s="109"/>
      <c r="F8588" s="109"/>
      <c r="G8588" s="109"/>
      <c r="H8588" s="109"/>
      <c r="I8588" s="109"/>
      <c r="J8588" s="109"/>
    </row>
    <row r="8589" spans="1:10" customFormat="1" ht="12.75" hidden="1">
      <c r="A8589" s="109"/>
      <c r="B8589" s="109"/>
      <c r="C8589" s="109"/>
      <c r="D8589" s="109"/>
      <c r="E8589" s="109"/>
      <c r="F8589" s="109"/>
      <c r="G8589" s="109"/>
      <c r="H8589" s="109"/>
      <c r="I8589" s="109"/>
      <c r="J8589" s="109"/>
    </row>
    <row r="8590" spans="1:10" customFormat="1" ht="12.75" hidden="1">
      <c r="A8590" s="109"/>
      <c r="B8590" s="109"/>
      <c r="C8590" s="109"/>
      <c r="D8590" s="109"/>
      <c r="E8590" s="109"/>
      <c r="F8590" s="109"/>
      <c r="G8590" s="109"/>
      <c r="H8590" s="109"/>
      <c r="I8590" s="109"/>
      <c r="J8590" s="109"/>
    </row>
    <row r="8591" spans="1:10" customFormat="1" ht="12.75" hidden="1">
      <c r="A8591" s="109"/>
      <c r="B8591" s="109"/>
      <c r="C8591" s="109"/>
      <c r="D8591" s="109"/>
      <c r="E8591" s="109"/>
      <c r="F8591" s="109"/>
      <c r="G8591" s="109"/>
      <c r="H8591" s="109"/>
      <c r="I8591" s="109"/>
      <c r="J8591" s="109"/>
    </row>
    <row r="8592" spans="1:10" customFormat="1" ht="12.75" hidden="1">
      <c r="A8592" s="109"/>
      <c r="B8592" s="109"/>
      <c r="C8592" s="109"/>
      <c r="D8592" s="109"/>
      <c r="E8592" s="109"/>
      <c r="F8592" s="109"/>
      <c r="G8592" s="109"/>
      <c r="H8592" s="109"/>
      <c r="I8592" s="109"/>
      <c r="J8592" s="109"/>
    </row>
    <row r="8593" spans="1:10" customFormat="1" ht="12.75" hidden="1">
      <c r="A8593" s="109"/>
      <c r="B8593" s="109"/>
      <c r="C8593" s="109"/>
      <c r="D8593" s="109"/>
      <c r="E8593" s="109"/>
      <c r="F8593" s="109"/>
      <c r="G8593" s="109"/>
      <c r="H8593" s="109"/>
      <c r="I8593" s="109"/>
      <c r="J8593" s="109"/>
    </row>
    <row r="8594" spans="1:10" customFormat="1" ht="12.75" hidden="1">
      <c r="A8594" s="109"/>
      <c r="B8594" s="109"/>
      <c r="C8594" s="109"/>
      <c r="D8594" s="109"/>
      <c r="E8594" s="109"/>
      <c r="F8594" s="109"/>
      <c r="G8594" s="109"/>
      <c r="H8594" s="109"/>
      <c r="I8594" s="109"/>
      <c r="J8594" s="109"/>
    </row>
    <row r="8595" spans="1:10" customFormat="1" ht="12.75" hidden="1">
      <c r="A8595" s="109"/>
      <c r="B8595" s="109"/>
      <c r="C8595" s="109"/>
      <c r="D8595" s="109"/>
      <c r="E8595" s="109"/>
      <c r="F8595" s="109"/>
      <c r="G8595" s="109"/>
      <c r="H8595" s="109"/>
      <c r="I8595" s="109"/>
      <c r="J8595" s="109"/>
    </row>
    <row r="8596" spans="1:10" customFormat="1" ht="12.75" hidden="1">
      <c r="A8596" s="109"/>
      <c r="B8596" s="109"/>
      <c r="C8596" s="109"/>
      <c r="D8596" s="109"/>
      <c r="E8596" s="109"/>
      <c r="F8596" s="109"/>
      <c r="G8596" s="109"/>
      <c r="H8596" s="109"/>
      <c r="I8596" s="109"/>
      <c r="J8596" s="109"/>
    </row>
    <row r="8597" spans="1:10" customFormat="1" ht="12.75" hidden="1">
      <c r="A8597" s="109"/>
      <c r="B8597" s="109"/>
      <c r="C8597" s="109"/>
      <c r="D8597" s="109"/>
      <c r="E8597" s="109"/>
      <c r="F8597" s="109"/>
      <c r="G8597" s="109"/>
      <c r="H8597" s="109"/>
      <c r="I8597" s="109"/>
      <c r="J8597" s="109"/>
    </row>
    <row r="8598" spans="1:10" customFormat="1" ht="12.75" hidden="1">
      <c r="A8598" s="109"/>
      <c r="B8598" s="109"/>
      <c r="C8598" s="109"/>
      <c r="D8598" s="109"/>
      <c r="E8598" s="109"/>
      <c r="F8598" s="109"/>
      <c r="G8598" s="109"/>
      <c r="H8598" s="109"/>
      <c r="I8598" s="109"/>
      <c r="J8598" s="109"/>
    </row>
    <row r="8599" spans="1:10" customFormat="1" ht="12.75" hidden="1">
      <c r="A8599" s="109"/>
      <c r="B8599" s="109"/>
      <c r="C8599" s="109"/>
      <c r="D8599" s="109"/>
      <c r="E8599" s="109"/>
      <c r="F8599" s="109"/>
      <c r="G8599" s="109"/>
      <c r="H8599" s="109"/>
      <c r="I8599" s="109"/>
      <c r="J8599" s="109"/>
    </row>
    <row r="8600" spans="1:10" customFormat="1" ht="12.75" hidden="1">
      <c r="A8600" s="109"/>
      <c r="B8600" s="109"/>
      <c r="C8600" s="109"/>
      <c r="D8600" s="109"/>
      <c r="E8600" s="109"/>
      <c r="F8600" s="109"/>
      <c r="G8600" s="109"/>
      <c r="H8600" s="109"/>
      <c r="I8600" s="109"/>
      <c r="J8600" s="109"/>
    </row>
    <row r="8601" spans="1:10" customFormat="1" ht="12.75" hidden="1">
      <c r="A8601" s="109"/>
      <c r="B8601" s="109"/>
      <c r="C8601" s="109"/>
      <c r="D8601" s="109"/>
      <c r="E8601" s="109"/>
      <c r="F8601" s="109"/>
      <c r="G8601" s="109"/>
      <c r="H8601" s="109"/>
      <c r="I8601" s="109"/>
      <c r="J8601" s="109"/>
    </row>
    <row r="8602" spans="1:10" customFormat="1" ht="12.75" hidden="1">
      <c r="A8602" s="109"/>
      <c r="B8602" s="109"/>
      <c r="C8602" s="109"/>
      <c r="D8602" s="109"/>
      <c r="E8602" s="109"/>
      <c r="F8602" s="109"/>
      <c r="G8602" s="109"/>
      <c r="H8602" s="109"/>
      <c r="I8602" s="109"/>
      <c r="J8602" s="109"/>
    </row>
    <row r="8603" spans="1:10" customFormat="1" ht="12.75" hidden="1">
      <c r="A8603" s="109"/>
      <c r="B8603" s="109"/>
      <c r="C8603" s="109"/>
      <c r="D8603" s="109"/>
      <c r="E8603" s="109"/>
      <c r="F8603" s="109"/>
      <c r="G8603" s="109"/>
      <c r="H8603" s="109"/>
      <c r="I8603" s="109"/>
      <c r="J8603" s="109"/>
    </row>
    <row r="8604" spans="1:10" customFormat="1" ht="12.75" hidden="1">
      <c r="A8604" s="109"/>
      <c r="B8604" s="109"/>
      <c r="C8604" s="109"/>
      <c r="D8604" s="109"/>
      <c r="E8604" s="109"/>
      <c r="F8604" s="109"/>
      <c r="G8604" s="109"/>
      <c r="H8604" s="109"/>
      <c r="I8604" s="109"/>
      <c r="J8604" s="109"/>
    </row>
    <row r="8605" spans="1:10" customFormat="1" ht="12.75" hidden="1">
      <c r="A8605" s="109"/>
      <c r="B8605" s="109"/>
      <c r="C8605" s="109"/>
      <c r="D8605" s="109"/>
      <c r="E8605" s="109"/>
      <c r="F8605" s="109"/>
      <c r="G8605" s="109"/>
      <c r="H8605" s="109"/>
      <c r="I8605" s="109"/>
      <c r="J8605" s="109"/>
    </row>
    <row r="8606" spans="1:10" customFormat="1" ht="12.75" hidden="1">
      <c r="A8606" s="109"/>
      <c r="B8606" s="109"/>
      <c r="C8606" s="109"/>
      <c r="D8606" s="109"/>
      <c r="E8606" s="109"/>
      <c r="F8606" s="109"/>
      <c r="G8606" s="109"/>
      <c r="H8606" s="109"/>
      <c r="I8606" s="109"/>
      <c r="J8606" s="109"/>
    </row>
    <row r="8607" spans="1:10" customFormat="1" ht="12.75" hidden="1">
      <c r="A8607" s="109"/>
      <c r="B8607" s="109"/>
      <c r="C8607" s="109"/>
      <c r="D8607" s="109"/>
      <c r="E8607" s="109"/>
      <c r="F8607" s="109"/>
      <c r="G8607" s="109"/>
      <c r="H8607" s="109"/>
      <c r="I8607" s="109"/>
      <c r="J8607" s="109"/>
    </row>
    <row r="8608" spans="1:10" customFormat="1" ht="12.75" hidden="1">
      <c r="A8608" s="109"/>
      <c r="B8608" s="109"/>
      <c r="C8608" s="109"/>
      <c r="D8608" s="109"/>
      <c r="E8608" s="109"/>
      <c r="F8608" s="109"/>
      <c r="G8608" s="109"/>
      <c r="H8608" s="109"/>
      <c r="I8608" s="109"/>
      <c r="J8608" s="109"/>
    </row>
    <row r="8609" spans="1:10" customFormat="1" ht="12.75" hidden="1">
      <c r="A8609" s="109"/>
      <c r="B8609" s="109"/>
      <c r="C8609" s="109"/>
      <c r="D8609" s="109"/>
      <c r="E8609" s="109"/>
      <c r="F8609" s="109"/>
      <c r="G8609" s="109"/>
      <c r="H8609" s="109"/>
      <c r="I8609" s="109"/>
      <c r="J8609" s="109"/>
    </row>
    <row r="8610" spans="1:10" customFormat="1" ht="12.75" hidden="1">
      <c r="A8610" s="109"/>
      <c r="B8610" s="109"/>
      <c r="C8610" s="109"/>
      <c r="D8610" s="109"/>
      <c r="E8610" s="109"/>
      <c r="F8610" s="109"/>
      <c r="G8610" s="109"/>
      <c r="H8610" s="109"/>
      <c r="I8610" s="109"/>
      <c r="J8610" s="109"/>
    </row>
    <row r="8611" spans="1:10" customFormat="1" ht="12.75" hidden="1">
      <c r="A8611" s="109"/>
      <c r="B8611" s="109"/>
      <c r="C8611" s="109"/>
      <c r="D8611" s="109"/>
      <c r="E8611" s="109"/>
      <c r="F8611" s="109"/>
      <c r="G8611" s="109"/>
      <c r="H8611" s="109"/>
      <c r="I8611" s="109"/>
      <c r="J8611" s="109"/>
    </row>
    <row r="8612" spans="1:10" customFormat="1" ht="12.75" hidden="1">
      <c r="A8612" s="109"/>
      <c r="B8612" s="109"/>
      <c r="C8612" s="109"/>
      <c r="D8612" s="109"/>
      <c r="E8612" s="109"/>
      <c r="F8612" s="109"/>
      <c r="G8612" s="109"/>
      <c r="H8612" s="109"/>
      <c r="I8612" s="109"/>
      <c r="J8612" s="109"/>
    </row>
    <row r="8613" spans="1:10" customFormat="1" ht="12.75" hidden="1">
      <c r="A8613" s="109"/>
      <c r="B8613" s="109"/>
      <c r="C8613" s="109"/>
      <c r="D8613" s="109"/>
      <c r="E8613" s="109"/>
      <c r="F8613" s="109"/>
      <c r="G8613" s="109"/>
      <c r="H8613" s="109"/>
      <c r="I8613" s="109"/>
      <c r="J8613" s="109"/>
    </row>
    <row r="8614" spans="1:10" customFormat="1" ht="12.75" hidden="1">
      <c r="A8614" s="109"/>
      <c r="B8614" s="109"/>
      <c r="C8614" s="109"/>
      <c r="D8614" s="109"/>
      <c r="E8614" s="109"/>
      <c r="F8614" s="109"/>
      <c r="G8614" s="109"/>
      <c r="H8614" s="109"/>
      <c r="I8614" s="109"/>
      <c r="J8614" s="109"/>
    </row>
    <row r="8615" spans="1:10" customFormat="1" ht="12.75" hidden="1">
      <c r="A8615" s="109"/>
      <c r="B8615" s="109"/>
      <c r="C8615" s="109"/>
      <c r="D8615" s="109"/>
      <c r="E8615" s="109"/>
      <c r="F8615" s="109"/>
      <c r="G8615" s="109"/>
      <c r="H8615" s="109"/>
      <c r="I8615" s="109"/>
      <c r="J8615" s="109"/>
    </row>
    <row r="8616" spans="1:10" customFormat="1" ht="12.75" hidden="1">
      <c r="A8616" s="109"/>
      <c r="B8616" s="109"/>
      <c r="C8616" s="109"/>
      <c r="D8616" s="109"/>
      <c r="E8616" s="109"/>
      <c r="F8616" s="109"/>
      <c r="G8616" s="109"/>
      <c r="H8616" s="109"/>
      <c r="I8616" s="109"/>
      <c r="J8616" s="109"/>
    </row>
    <row r="8617" spans="1:10" customFormat="1" ht="12.75" hidden="1">
      <c r="A8617" s="109"/>
      <c r="B8617" s="109"/>
      <c r="C8617" s="109"/>
      <c r="D8617" s="109"/>
      <c r="E8617" s="109"/>
      <c r="F8617" s="109"/>
      <c r="G8617" s="109"/>
      <c r="H8617" s="109"/>
      <c r="I8617" s="109"/>
      <c r="J8617" s="109"/>
    </row>
    <row r="8618" spans="1:10" customFormat="1" ht="12.75" hidden="1">
      <c r="A8618" s="109"/>
      <c r="B8618" s="109"/>
      <c r="C8618" s="109"/>
      <c r="D8618" s="109"/>
      <c r="E8618" s="109"/>
      <c r="F8618" s="109"/>
      <c r="G8618" s="109"/>
      <c r="H8618" s="109"/>
      <c r="I8618" s="109"/>
      <c r="J8618" s="109"/>
    </row>
    <row r="8619" spans="1:10" customFormat="1" ht="12.75" hidden="1">
      <c r="A8619" s="109"/>
      <c r="B8619" s="109"/>
      <c r="C8619" s="109"/>
      <c r="D8619" s="109"/>
      <c r="E8619" s="109"/>
      <c r="F8619" s="109"/>
      <c r="G8619" s="109"/>
      <c r="H8619" s="109"/>
      <c r="I8619" s="109"/>
      <c r="J8619" s="109"/>
    </row>
    <row r="8620" spans="1:10" customFormat="1" ht="12.75" hidden="1">
      <c r="A8620" s="109"/>
      <c r="B8620" s="109"/>
      <c r="C8620" s="109"/>
      <c r="D8620" s="109"/>
      <c r="E8620" s="109"/>
      <c r="F8620" s="109"/>
      <c r="G8620" s="109"/>
      <c r="H8620" s="109"/>
      <c r="I8620" s="109"/>
      <c r="J8620" s="109"/>
    </row>
    <row r="8621" spans="1:10" customFormat="1" ht="12.75" hidden="1">
      <c r="A8621" s="109"/>
      <c r="B8621" s="109"/>
      <c r="C8621" s="109"/>
      <c r="D8621" s="109"/>
      <c r="E8621" s="109"/>
      <c r="F8621" s="109"/>
      <c r="G8621" s="109"/>
      <c r="H8621" s="109"/>
      <c r="I8621" s="109"/>
      <c r="J8621" s="109"/>
    </row>
    <row r="8622" spans="1:10" customFormat="1" ht="12.75" hidden="1">
      <c r="A8622" s="109"/>
      <c r="B8622" s="109"/>
      <c r="C8622" s="109"/>
      <c r="D8622" s="109"/>
      <c r="E8622" s="109"/>
      <c r="F8622" s="109"/>
      <c r="G8622" s="109"/>
      <c r="H8622" s="109"/>
      <c r="I8622" s="109"/>
      <c r="J8622" s="109"/>
    </row>
    <row r="8623" spans="1:10" customFormat="1" ht="12.75" hidden="1">
      <c r="A8623" s="109"/>
      <c r="B8623" s="109"/>
      <c r="C8623" s="109"/>
      <c r="D8623" s="109"/>
      <c r="E8623" s="109"/>
      <c r="F8623" s="109"/>
      <c r="G8623" s="109"/>
      <c r="H8623" s="109"/>
      <c r="I8623" s="109"/>
      <c r="J8623" s="109"/>
    </row>
    <row r="8624" spans="1:10" customFormat="1" ht="12.75" hidden="1">
      <c r="A8624" s="109"/>
      <c r="B8624" s="109"/>
      <c r="C8624" s="109"/>
      <c r="D8624" s="109"/>
      <c r="E8624" s="109"/>
      <c r="F8624" s="109"/>
      <c r="G8624" s="109"/>
      <c r="H8624" s="109"/>
      <c r="I8624" s="109"/>
      <c r="J8624" s="109"/>
    </row>
    <row r="8625" spans="1:10" customFormat="1" ht="12.75" hidden="1">
      <c r="A8625" s="109"/>
      <c r="B8625" s="109"/>
      <c r="C8625" s="109"/>
      <c r="D8625" s="109"/>
      <c r="E8625" s="109"/>
      <c r="F8625" s="109"/>
      <c r="G8625" s="109"/>
      <c r="H8625" s="109"/>
      <c r="I8625" s="109"/>
      <c r="J8625" s="109"/>
    </row>
    <row r="8626" spans="1:10" customFormat="1" ht="12.75" hidden="1">
      <c r="A8626" s="109"/>
      <c r="B8626" s="109"/>
      <c r="C8626" s="109"/>
      <c r="D8626" s="109"/>
      <c r="E8626" s="109"/>
      <c r="F8626" s="109"/>
      <c r="G8626" s="109"/>
      <c r="H8626" s="109"/>
      <c r="I8626" s="109"/>
      <c r="J8626" s="109"/>
    </row>
    <row r="8627" spans="1:10" customFormat="1" ht="12.75" hidden="1">
      <c r="A8627" s="109"/>
      <c r="B8627" s="109"/>
      <c r="C8627" s="109"/>
      <c r="D8627" s="109"/>
      <c r="E8627" s="109"/>
      <c r="F8627" s="109"/>
      <c r="G8627" s="109"/>
      <c r="H8627" s="109"/>
      <c r="I8627" s="109"/>
      <c r="J8627" s="109"/>
    </row>
    <row r="8628" spans="1:10" customFormat="1" ht="12.75" hidden="1">
      <c r="A8628" s="109"/>
      <c r="B8628" s="109"/>
      <c r="C8628" s="109"/>
      <c r="D8628" s="109"/>
      <c r="E8628" s="109"/>
      <c r="F8628" s="109"/>
      <c r="G8628" s="109"/>
      <c r="H8628" s="109"/>
      <c r="I8628" s="109"/>
      <c r="J8628" s="109"/>
    </row>
    <row r="8629" spans="1:10" customFormat="1" ht="12.75" hidden="1">
      <c r="A8629" s="109"/>
      <c r="B8629" s="109"/>
      <c r="C8629" s="109"/>
      <c r="D8629" s="109"/>
      <c r="E8629" s="109"/>
      <c r="F8629" s="109"/>
      <c r="G8629" s="109"/>
      <c r="H8629" s="109"/>
      <c r="I8629" s="109"/>
      <c r="J8629" s="109"/>
    </row>
    <row r="8630" spans="1:10" customFormat="1" ht="12.75" hidden="1">
      <c r="A8630" s="109"/>
      <c r="B8630" s="109"/>
      <c r="C8630" s="109"/>
      <c r="D8630" s="109"/>
      <c r="E8630" s="109"/>
      <c r="F8630" s="109"/>
      <c r="G8630" s="109"/>
      <c r="H8630" s="109"/>
      <c r="I8630" s="109"/>
      <c r="J8630" s="109"/>
    </row>
    <row r="8631" spans="1:10" customFormat="1" ht="12.75" hidden="1">
      <c r="A8631" s="109"/>
      <c r="B8631" s="109"/>
      <c r="C8631" s="109"/>
      <c r="D8631" s="109"/>
      <c r="E8631" s="109"/>
      <c r="F8631" s="109"/>
      <c r="G8631" s="109"/>
      <c r="H8631" s="109"/>
      <c r="I8631" s="109"/>
      <c r="J8631" s="109"/>
    </row>
    <row r="8632" spans="1:10" customFormat="1" ht="12.75" hidden="1">
      <c r="A8632" s="109"/>
      <c r="B8632" s="109"/>
      <c r="C8632" s="109"/>
      <c r="D8632" s="109"/>
      <c r="E8632" s="109"/>
      <c r="F8632" s="109"/>
      <c r="G8632" s="109"/>
      <c r="H8632" s="109"/>
      <c r="I8632" s="109"/>
      <c r="J8632" s="109"/>
    </row>
    <row r="8633" spans="1:10" customFormat="1" ht="12.75" hidden="1">
      <c r="A8633" s="109"/>
      <c r="B8633" s="109"/>
      <c r="C8633" s="109"/>
      <c r="D8633" s="109"/>
      <c r="E8633" s="109"/>
      <c r="F8633" s="109"/>
      <c r="G8633" s="109"/>
      <c r="H8633" s="109"/>
      <c r="I8633" s="109"/>
      <c r="J8633" s="109"/>
    </row>
    <row r="8634" spans="1:10" customFormat="1" ht="12.75" hidden="1">
      <c r="A8634" s="109"/>
      <c r="B8634" s="109"/>
      <c r="C8634" s="109"/>
      <c r="D8634" s="109"/>
      <c r="E8634" s="109"/>
      <c r="F8634" s="109"/>
      <c r="G8634" s="109"/>
      <c r="H8634" s="109"/>
      <c r="I8634" s="109"/>
      <c r="J8634" s="109"/>
    </row>
    <row r="8635" spans="1:10" customFormat="1" ht="12.75" hidden="1">
      <c r="A8635" s="109"/>
      <c r="B8635" s="109"/>
      <c r="C8635" s="109"/>
      <c r="D8635" s="109"/>
      <c r="E8635" s="109"/>
      <c r="F8635" s="109"/>
      <c r="G8635" s="109"/>
      <c r="H8635" s="109"/>
      <c r="I8635" s="109"/>
      <c r="J8635" s="109"/>
    </row>
    <row r="8636" spans="1:10" customFormat="1" ht="12.75" hidden="1">
      <c r="A8636" s="109"/>
      <c r="B8636" s="109"/>
      <c r="C8636" s="109"/>
      <c r="D8636" s="109"/>
      <c r="E8636" s="109"/>
      <c r="F8636" s="109"/>
      <c r="G8636" s="109"/>
      <c r="H8636" s="109"/>
      <c r="I8636" s="109"/>
      <c r="J8636" s="109"/>
    </row>
    <row r="8637" spans="1:10" customFormat="1" ht="12.75" hidden="1">
      <c r="A8637" s="109"/>
      <c r="B8637" s="109"/>
      <c r="C8637" s="109"/>
      <c r="D8637" s="109"/>
      <c r="E8637" s="109"/>
      <c r="F8637" s="109"/>
      <c r="G8637" s="109"/>
      <c r="H8637" s="109"/>
      <c r="I8637" s="109"/>
      <c r="J8637" s="109"/>
    </row>
    <row r="8638" spans="1:10" customFormat="1" ht="12.75" hidden="1">
      <c r="A8638" s="109"/>
      <c r="B8638" s="109"/>
      <c r="C8638" s="109"/>
      <c r="D8638" s="109"/>
      <c r="E8638" s="109"/>
      <c r="F8638" s="109"/>
      <c r="G8638" s="109"/>
      <c r="H8638" s="109"/>
      <c r="I8638" s="109"/>
      <c r="J8638" s="109"/>
    </row>
    <row r="8639" spans="1:10" customFormat="1" ht="12.75" hidden="1">
      <c r="A8639" s="109"/>
      <c r="B8639" s="109"/>
      <c r="C8639" s="109"/>
      <c r="D8639" s="109"/>
      <c r="E8639" s="109"/>
      <c r="F8639" s="109"/>
      <c r="G8639" s="109"/>
      <c r="H8639" s="109"/>
      <c r="I8639" s="109"/>
      <c r="J8639" s="109"/>
    </row>
    <row r="8640" spans="1:10" customFormat="1" ht="12.75" hidden="1">
      <c r="A8640" s="109"/>
      <c r="B8640" s="109"/>
      <c r="C8640" s="109"/>
      <c r="D8640" s="109"/>
      <c r="E8640" s="109"/>
      <c r="F8640" s="109"/>
      <c r="G8640" s="109"/>
      <c r="H8640" s="109"/>
      <c r="I8640" s="109"/>
      <c r="J8640" s="109"/>
    </row>
    <row r="8641" spans="1:10" customFormat="1" ht="12.75" hidden="1">
      <c r="A8641" s="109"/>
      <c r="B8641" s="109"/>
      <c r="C8641" s="109"/>
      <c r="D8641" s="109"/>
      <c r="E8641" s="109"/>
      <c r="F8641" s="109"/>
      <c r="G8641" s="109"/>
      <c r="H8641" s="109"/>
      <c r="I8641" s="109"/>
      <c r="J8641" s="109"/>
    </row>
    <row r="8642" spans="1:10" customFormat="1" ht="12.75" hidden="1">
      <c r="A8642" s="109"/>
      <c r="B8642" s="109"/>
      <c r="C8642" s="109"/>
      <c r="D8642" s="109"/>
      <c r="E8642" s="109"/>
      <c r="F8642" s="109"/>
      <c r="G8642" s="109"/>
      <c r="H8642" s="109"/>
      <c r="I8642" s="109"/>
      <c r="J8642" s="109"/>
    </row>
    <row r="8643" spans="1:10" customFormat="1" ht="12.75" hidden="1">
      <c r="A8643" s="109"/>
      <c r="B8643" s="109"/>
      <c r="C8643" s="109"/>
      <c r="D8643" s="109"/>
      <c r="E8643" s="109"/>
      <c r="F8643" s="109"/>
      <c r="G8643" s="109"/>
      <c r="H8643" s="109"/>
      <c r="I8643" s="109"/>
      <c r="J8643" s="109"/>
    </row>
    <row r="8644" spans="1:10" customFormat="1" ht="12.75" hidden="1">
      <c r="A8644" s="109"/>
      <c r="B8644" s="109"/>
      <c r="C8644" s="109"/>
      <c r="D8644" s="109"/>
      <c r="E8644" s="109"/>
      <c r="F8644" s="109"/>
      <c r="G8644" s="109"/>
      <c r="H8644" s="109"/>
      <c r="I8644" s="109"/>
      <c r="J8644" s="109"/>
    </row>
    <row r="8645" spans="1:10" customFormat="1" ht="12.75" hidden="1">
      <c r="A8645" s="109"/>
      <c r="B8645" s="109"/>
      <c r="C8645" s="109"/>
      <c r="D8645" s="109"/>
      <c r="E8645" s="109"/>
      <c r="F8645" s="109"/>
      <c r="G8645" s="109"/>
      <c r="H8645" s="109"/>
      <c r="I8645" s="109"/>
      <c r="J8645" s="109"/>
    </row>
    <row r="8646" spans="1:10" customFormat="1" ht="12.75" hidden="1">
      <c r="A8646" s="109"/>
      <c r="B8646" s="109"/>
      <c r="C8646" s="109"/>
      <c r="D8646" s="109"/>
      <c r="E8646" s="109"/>
      <c r="F8646" s="109"/>
      <c r="G8646" s="109"/>
      <c r="H8646" s="109"/>
      <c r="I8646" s="109"/>
      <c r="J8646" s="109"/>
    </row>
    <row r="8647" spans="1:10" customFormat="1" ht="12.75" hidden="1">
      <c r="A8647" s="109"/>
      <c r="B8647" s="109"/>
      <c r="C8647" s="109"/>
      <c r="D8647" s="109"/>
      <c r="E8647" s="109"/>
      <c r="F8647" s="109"/>
      <c r="G8647" s="109"/>
      <c r="H8647" s="109"/>
      <c r="I8647" s="109"/>
      <c r="J8647" s="109"/>
    </row>
    <row r="8648" spans="1:10" customFormat="1" ht="12.75" hidden="1">
      <c r="A8648" s="109"/>
      <c r="B8648" s="109"/>
      <c r="C8648" s="109"/>
      <c r="D8648" s="109"/>
      <c r="E8648" s="109"/>
      <c r="F8648" s="109"/>
      <c r="G8648" s="109"/>
      <c r="H8648" s="109"/>
      <c r="I8648" s="109"/>
      <c r="J8648" s="109"/>
    </row>
    <row r="8649" spans="1:10" customFormat="1" ht="12.75" hidden="1">
      <c r="A8649" s="109"/>
      <c r="B8649" s="109"/>
      <c r="C8649" s="109"/>
      <c r="D8649" s="109"/>
      <c r="E8649" s="109"/>
      <c r="F8649" s="109"/>
      <c r="G8649" s="109"/>
      <c r="H8649" s="109"/>
      <c r="I8649" s="109"/>
      <c r="J8649" s="109"/>
    </row>
    <row r="8650" spans="1:10" customFormat="1" ht="12.75" hidden="1">
      <c r="A8650" s="109"/>
      <c r="B8650" s="109"/>
      <c r="C8650" s="109"/>
      <c r="D8650" s="109"/>
      <c r="E8650" s="109"/>
      <c r="F8650" s="109"/>
      <c r="G8650" s="109"/>
      <c r="H8650" s="109"/>
      <c r="I8650" s="109"/>
      <c r="J8650" s="109"/>
    </row>
    <row r="8651" spans="1:10" customFormat="1" ht="12.75" hidden="1">
      <c r="A8651" s="109"/>
      <c r="B8651" s="109"/>
      <c r="C8651" s="109"/>
      <c r="D8651" s="109"/>
      <c r="E8651" s="109"/>
      <c r="F8651" s="109"/>
      <c r="G8651" s="109"/>
      <c r="H8651" s="109"/>
      <c r="I8651" s="109"/>
      <c r="J8651" s="109"/>
    </row>
    <row r="8652" spans="1:10" customFormat="1" ht="12.75" hidden="1">
      <c r="A8652" s="109"/>
      <c r="B8652" s="109"/>
      <c r="C8652" s="109"/>
      <c r="D8652" s="109"/>
      <c r="E8652" s="109"/>
      <c r="F8652" s="109"/>
      <c r="G8652" s="109"/>
      <c r="H8652" s="109"/>
      <c r="I8652" s="109"/>
      <c r="J8652" s="109"/>
    </row>
    <row r="8653" spans="1:10" customFormat="1" ht="12.75" hidden="1">
      <c r="A8653" s="109"/>
      <c r="B8653" s="109"/>
      <c r="C8653" s="109"/>
      <c r="D8653" s="109"/>
      <c r="E8653" s="109"/>
      <c r="F8653" s="109"/>
      <c r="G8653" s="109"/>
      <c r="H8653" s="109"/>
      <c r="I8653" s="109"/>
      <c r="J8653" s="109"/>
    </row>
    <row r="8654" spans="1:10" customFormat="1" ht="12.75" hidden="1">
      <c r="A8654" s="109"/>
      <c r="B8654" s="109"/>
      <c r="C8654" s="109"/>
      <c r="D8654" s="109"/>
      <c r="E8654" s="109"/>
      <c r="F8654" s="109"/>
      <c r="G8654" s="109"/>
      <c r="H8654" s="109"/>
      <c r="I8654" s="109"/>
      <c r="J8654" s="109"/>
    </row>
    <row r="8655" spans="1:10" customFormat="1" ht="12.75" hidden="1">
      <c r="A8655" s="109"/>
      <c r="B8655" s="109"/>
      <c r="C8655" s="109"/>
      <c r="D8655" s="109"/>
      <c r="E8655" s="109"/>
      <c r="F8655" s="109"/>
      <c r="G8655" s="109"/>
      <c r="H8655" s="109"/>
      <c r="I8655" s="109"/>
      <c r="J8655" s="109"/>
    </row>
    <row r="8656" spans="1:10" customFormat="1" ht="12.75" hidden="1">
      <c r="A8656" s="109"/>
      <c r="B8656" s="109"/>
      <c r="C8656" s="109"/>
      <c r="D8656" s="109"/>
      <c r="E8656" s="109"/>
      <c r="F8656" s="109"/>
      <c r="G8656" s="109"/>
      <c r="H8656" s="109"/>
      <c r="I8656" s="109"/>
      <c r="J8656" s="109"/>
    </row>
    <row r="8657" spans="1:10" customFormat="1" ht="12.75" hidden="1">
      <c r="A8657" s="109"/>
      <c r="B8657" s="109"/>
      <c r="C8657" s="109"/>
      <c r="D8657" s="109"/>
      <c r="E8657" s="109"/>
      <c r="F8657" s="109"/>
      <c r="G8657" s="109"/>
      <c r="H8657" s="109"/>
      <c r="I8657" s="109"/>
      <c r="J8657" s="109"/>
    </row>
    <row r="8658" spans="1:10" customFormat="1" ht="12.75" hidden="1">
      <c r="A8658" s="109"/>
      <c r="B8658" s="109"/>
      <c r="C8658" s="109"/>
      <c r="D8658" s="109"/>
      <c r="E8658" s="109"/>
      <c r="F8658" s="109"/>
      <c r="G8658" s="109"/>
      <c r="H8658" s="109"/>
      <c r="I8658" s="109"/>
      <c r="J8658" s="109"/>
    </row>
    <row r="8659" spans="1:10" customFormat="1" ht="12.75" hidden="1">
      <c r="A8659" s="109"/>
      <c r="B8659" s="109"/>
      <c r="C8659" s="109"/>
      <c r="D8659" s="109"/>
      <c r="E8659" s="109"/>
      <c r="F8659" s="109"/>
      <c r="G8659" s="109"/>
      <c r="H8659" s="109"/>
      <c r="I8659" s="109"/>
      <c r="J8659" s="109"/>
    </row>
    <row r="8660" spans="1:10" customFormat="1" ht="12.75" hidden="1">
      <c r="A8660" s="109"/>
      <c r="B8660" s="109"/>
      <c r="C8660" s="109"/>
      <c r="D8660" s="109"/>
      <c r="E8660" s="109"/>
      <c r="F8660" s="109"/>
      <c r="G8660" s="109"/>
      <c r="H8660" s="109"/>
      <c r="I8660" s="109"/>
      <c r="J8660" s="109"/>
    </row>
    <row r="8661" spans="1:10" customFormat="1" ht="12.75" hidden="1">
      <c r="A8661" s="109"/>
      <c r="B8661" s="109"/>
      <c r="C8661" s="109"/>
      <c r="D8661" s="109"/>
      <c r="E8661" s="109"/>
      <c r="F8661" s="109"/>
      <c r="G8661" s="109"/>
      <c r="H8661" s="109"/>
      <c r="I8661" s="109"/>
      <c r="J8661" s="109"/>
    </row>
    <row r="8662" spans="1:10" customFormat="1" ht="12.75" hidden="1">
      <c r="A8662" s="109"/>
      <c r="B8662" s="109"/>
      <c r="C8662" s="109"/>
      <c r="D8662" s="109"/>
      <c r="E8662" s="109"/>
      <c r="F8662" s="109"/>
      <c r="G8662" s="109"/>
      <c r="H8662" s="109"/>
      <c r="I8662" s="109"/>
      <c r="J8662" s="109"/>
    </row>
    <row r="8663" spans="1:10" customFormat="1" ht="12.75" hidden="1">
      <c r="A8663" s="109"/>
      <c r="B8663" s="109"/>
      <c r="C8663" s="109"/>
      <c r="D8663" s="109"/>
      <c r="E8663" s="109"/>
      <c r="F8663" s="109"/>
      <c r="G8663" s="109"/>
      <c r="H8663" s="109"/>
      <c r="I8663" s="109"/>
      <c r="J8663" s="109"/>
    </row>
    <row r="8664" spans="1:10" customFormat="1" ht="12.75" hidden="1">
      <c r="A8664" s="109"/>
      <c r="B8664" s="109"/>
      <c r="C8664" s="109"/>
      <c r="D8664" s="109"/>
      <c r="E8664" s="109"/>
      <c r="F8664" s="109"/>
      <c r="G8664" s="109"/>
      <c r="H8664" s="109"/>
      <c r="I8664" s="109"/>
      <c r="J8664" s="109"/>
    </row>
    <row r="8665" spans="1:10" customFormat="1" ht="12.75" hidden="1">
      <c r="A8665" s="109"/>
      <c r="B8665" s="109"/>
      <c r="C8665" s="109"/>
      <c r="D8665" s="109"/>
      <c r="E8665" s="109"/>
      <c r="F8665" s="109"/>
      <c r="G8665" s="109"/>
      <c r="H8665" s="109"/>
      <c r="I8665" s="109"/>
      <c r="J8665" s="109"/>
    </row>
    <row r="8666" spans="1:10" customFormat="1" ht="12.75" hidden="1">
      <c r="A8666" s="109"/>
      <c r="B8666" s="109"/>
      <c r="C8666" s="109"/>
      <c r="D8666" s="109"/>
      <c r="E8666" s="109"/>
      <c r="F8666" s="109"/>
      <c r="G8666" s="109"/>
      <c r="H8666" s="109"/>
      <c r="I8666" s="109"/>
      <c r="J8666" s="109"/>
    </row>
    <row r="8667" spans="1:10" customFormat="1" ht="12.75" hidden="1">
      <c r="A8667" s="109"/>
      <c r="B8667" s="109"/>
      <c r="C8667" s="109"/>
      <c r="D8667" s="109"/>
      <c r="E8667" s="109"/>
      <c r="F8667" s="109"/>
      <c r="G8667" s="109"/>
      <c r="H8667" s="109"/>
      <c r="I8667" s="109"/>
      <c r="J8667" s="109"/>
    </row>
    <row r="8668" spans="1:10" customFormat="1" ht="12.75" hidden="1">
      <c r="A8668" s="109"/>
      <c r="B8668" s="109"/>
      <c r="C8668" s="109"/>
      <c r="D8668" s="109"/>
      <c r="E8668" s="109"/>
      <c r="F8668" s="109"/>
      <c r="G8668" s="109"/>
      <c r="H8668" s="109"/>
      <c r="I8668" s="109"/>
      <c r="J8668" s="109"/>
    </row>
    <row r="8669" spans="1:10" customFormat="1" ht="12.75" hidden="1">
      <c r="A8669" s="109"/>
      <c r="B8669" s="109"/>
      <c r="C8669" s="109"/>
      <c r="D8669" s="109"/>
      <c r="E8669" s="109"/>
      <c r="F8669" s="109"/>
      <c r="G8669" s="109"/>
      <c r="H8669" s="109"/>
      <c r="I8669" s="109"/>
      <c r="J8669" s="109"/>
    </row>
    <row r="8670" spans="1:10" customFormat="1" ht="12.75" hidden="1">
      <c r="A8670" s="109"/>
      <c r="B8670" s="109"/>
      <c r="C8670" s="109"/>
      <c r="D8670" s="109"/>
      <c r="E8670" s="109"/>
      <c r="F8670" s="109"/>
      <c r="G8670" s="109"/>
      <c r="H8670" s="109"/>
      <c r="I8670" s="109"/>
      <c r="J8670" s="109"/>
    </row>
    <row r="8671" spans="1:10" customFormat="1" ht="12.75" hidden="1">
      <c r="A8671" s="109"/>
      <c r="B8671" s="109"/>
      <c r="C8671" s="109"/>
      <c r="D8671" s="109"/>
      <c r="E8671" s="109"/>
      <c r="F8671" s="109"/>
      <c r="G8671" s="109"/>
      <c r="H8671" s="109"/>
      <c r="I8671" s="109"/>
      <c r="J8671" s="109"/>
    </row>
    <row r="8672" spans="1:10" customFormat="1" ht="12.75" hidden="1">
      <c r="A8672" s="109"/>
      <c r="B8672" s="109"/>
      <c r="C8672" s="109"/>
      <c r="D8672" s="109"/>
      <c r="E8672" s="109"/>
      <c r="F8672" s="109"/>
      <c r="G8672" s="109"/>
      <c r="H8672" s="109"/>
      <c r="I8672" s="109"/>
      <c r="J8672" s="109"/>
    </row>
    <row r="8673" spans="1:10" customFormat="1" ht="12.75" hidden="1">
      <c r="A8673" s="109"/>
      <c r="B8673" s="109"/>
      <c r="C8673" s="109"/>
      <c r="D8673" s="109"/>
      <c r="E8673" s="109"/>
      <c r="F8673" s="109"/>
      <c r="G8673" s="109"/>
      <c r="H8673" s="109"/>
      <c r="I8673" s="109"/>
      <c r="J8673" s="109"/>
    </row>
    <row r="8674" spans="1:10" customFormat="1" ht="12.75" hidden="1">
      <c r="A8674" s="109"/>
      <c r="B8674" s="109"/>
      <c r="C8674" s="109"/>
      <c r="D8674" s="109"/>
      <c r="E8674" s="109"/>
      <c r="F8674" s="109"/>
      <c r="G8674" s="109"/>
      <c r="H8674" s="109"/>
      <c r="I8674" s="109"/>
      <c r="J8674" s="109"/>
    </row>
    <row r="8675" spans="1:10" customFormat="1" ht="12.75" hidden="1">
      <c r="A8675" s="109"/>
      <c r="B8675" s="109"/>
      <c r="C8675" s="109"/>
      <c r="D8675" s="109"/>
      <c r="E8675" s="109"/>
      <c r="F8675" s="109"/>
      <c r="G8675" s="109"/>
      <c r="H8675" s="109"/>
      <c r="I8675" s="109"/>
      <c r="J8675" s="109"/>
    </row>
    <row r="8676" spans="1:10" customFormat="1" ht="12.75" hidden="1">
      <c r="A8676" s="109"/>
      <c r="B8676" s="109"/>
      <c r="C8676" s="109"/>
      <c r="D8676" s="109"/>
      <c r="E8676" s="109"/>
      <c r="F8676" s="109"/>
      <c r="G8676" s="109"/>
      <c r="H8676" s="109"/>
      <c r="I8676" s="109"/>
      <c r="J8676" s="109"/>
    </row>
    <row r="8677" spans="1:10" customFormat="1" ht="12.75" hidden="1">
      <c r="A8677" s="109"/>
      <c r="B8677" s="109"/>
      <c r="C8677" s="109"/>
      <c r="D8677" s="109"/>
      <c r="E8677" s="109"/>
      <c r="F8677" s="109"/>
      <c r="G8677" s="109"/>
      <c r="H8677" s="109"/>
      <c r="I8677" s="109"/>
      <c r="J8677" s="109"/>
    </row>
    <row r="8678" spans="1:10" customFormat="1" ht="12.75" hidden="1">
      <c r="A8678" s="109"/>
      <c r="B8678" s="109"/>
      <c r="C8678" s="109"/>
      <c r="D8678" s="109"/>
      <c r="E8678" s="109"/>
      <c r="F8678" s="109"/>
      <c r="G8678" s="109"/>
      <c r="H8678" s="109"/>
      <c r="I8678" s="109"/>
      <c r="J8678" s="109"/>
    </row>
    <row r="8679" spans="1:10" customFormat="1" ht="12.75" hidden="1">
      <c r="A8679" s="109"/>
      <c r="B8679" s="109"/>
      <c r="C8679" s="109"/>
      <c r="D8679" s="109"/>
      <c r="E8679" s="109"/>
      <c r="F8679" s="109"/>
      <c r="G8679" s="109"/>
      <c r="H8679" s="109"/>
      <c r="I8679" s="109"/>
      <c r="J8679" s="109"/>
    </row>
    <row r="8680" spans="1:10" customFormat="1" ht="12.75" hidden="1">
      <c r="A8680" s="109"/>
      <c r="B8680" s="109"/>
      <c r="C8680" s="109"/>
      <c r="D8680" s="109"/>
      <c r="E8680" s="109"/>
      <c r="F8680" s="109"/>
      <c r="G8680" s="109"/>
      <c r="H8680" s="109"/>
      <c r="I8680" s="109"/>
      <c r="J8680" s="109"/>
    </row>
    <row r="8681" spans="1:10" customFormat="1" ht="12.75" hidden="1">
      <c r="A8681" s="109"/>
      <c r="B8681" s="109"/>
      <c r="C8681" s="109"/>
      <c r="D8681" s="109"/>
      <c r="E8681" s="109"/>
      <c r="F8681" s="109"/>
      <c r="G8681" s="109"/>
      <c r="H8681" s="109"/>
      <c r="I8681" s="109"/>
      <c r="J8681" s="109"/>
    </row>
    <row r="8682" spans="1:10" customFormat="1" ht="12.75" hidden="1">
      <c r="A8682" s="109"/>
      <c r="B8682" s="109"/>
      <c r="C8682" s="109"/>
      <c r="D8682" s="109"/>
      <c r="E8682" s="109"/>
      <c r="F8682" s="109"/>
      <c r="G8682" s="109"/>
      <c r="H8682" s="109"/>
      <c r="I8682" s="109"/>
      <c r="J8682" s="109"/>
    </row>
    <row r="8683" spans="1:10" customFormat="1" ht="12.75" hidden="1">
      <c r="A8683" s="109"/>
      <c r="B8683" s="109"/>
      <c r="C8683" s="109"/>
      <c r="D8683" s="109"/>
      <c r="E8683" s="109"/>
      <c r="F8683" s="109"/>
      <c r="G8683" s="109"/>
      <c r="H8683" s="109"/>
      <c r="I8683" s="109"/>
      <c r="J8683" s="109"/>
    </row>
    <row r="8684" spans="1:10" customFormat="1" ht="12.75" hidden="1">
      <c r="A8684" s="109"/>
      <c r="B8684" s="109"/>
      <c r="C8684" s="109"/>
      <c r="D8684" s="109"/>
      <c r="E8684" s="109"/>
      <c r="F8684" s="109"/>
      <c r="G8684" s="109"/>
      <c r="H8684" s="109"/>
      <c r="I8684" s="109"/>
      <c r="J8684" s="109"/>
    </row>
    <row r="8685" spans="1:10" customFormat="1" ht="12.75" hidden="1">
      <c r="A8685" s="109"/>
      <c r="B8685" s="109"/>
      <c r="C8685" s="109"/>
      <c r="D8685" s="109"/>
      <c r="E8685" s="109"/>
      <c r="F8685" s="109"/>
      <c r="G8685" s="109"/>
      <c r="H8685" s="109"/>
      <c r="I8685" s="109"/>
      <c r="J8685" s="109"/>
    </row>
    <row r="8686" spans="1:10" customFormat="1" ht="12.75" hidden="1">
      <c r="A8686" s="109"/>
      <c r="B8686" s="109"/>
      <c r="C8686" s="109"/>
      <c r="D8686" s="109"/>
      <c r="E8686" s="109"/>
      <c r="F8686" s="109"/>
      <c r="G8686" s="109"/>
      <c r="H8686" s="109"/>
      <c r="I8686" s="109"/>
      <c r="J8686" s="109"/>
    </row>
    <row r="8687" spans="1:10" customFormat="1" ht="12.75" hidden="1">
      <c r="A8687" s="109"/>
      <c r="B8687" s="109"/>
      <c r="C8687" s="109"/>
      <c r="D8687" s="109"/>
      <c r="E8687" s="109"/>
      <c r="F8687" s="109"/>
      <c r="G8687" s="109"/>
      <c r="H8687" s="109"/>
      <c r="I8687" s="109"/>
      <c r="J8687" s="109"/>
    </row>
    <row r="8688" spans="1:10" customFormat="1" ht="12.75" hidden="1">
      <c r="A8688" s="109"/>
      <c r="B8688" s="109"/>
      <c r="C8688" s="109"/>
      <c r="D8688" s="109"/>
      <c r="E8688" s="109"/>
      <c r="F8688" s="109"/>
      <c r="G8688" s="109"/>
      <c r="H8688" s="109"/>
      <c r="I8688" s="109"/>
      <c r="J8688" s="109"/>
    </row>
    <row r="8689" spans="1:10" customFormat="1" ht="12.75" hidden="1">
      <c r="A8689" s="109"/>
      <c r="B8689" s="109"/>
      <c r="C8689" s="109"/>
      <c r="D8689" s="109"/>
      <c r="E8689" s="109"/>
      <c r="F8689" s="109"/>
      <c r="G8689" s="109"/>
      <c r="H8689" s="109"/>
      <c r="I8689" s="109"/>
      <c r="J8689" s="109"/>
    </row>
    <row r="8690" spans="1:10" customFormat="1" ht="12.75" hidden="1">
      <c r="A8690" s="109"/>
      <c r="B8690" s="109"/>
      <c r="C8690" s="109"/>
      <c r="D8690" s="109"/>
      <c r="E8690" s="109"/>
      <c r="F8690" s="109"/>
      <c r="G8690" s="109"/>
      <c r="H8690" s="109"/>
      <c r="I8690" s="109"/>
      <c r="J8690" s="109"/>
    </row>
    <row r="8691" spans="1:10" customFormat="1" ht="12.75" hidden="1">
      <c r="A8691" s="109"/>
      <c r="B8691" s="109"/>
      <c r="C8691" s="109"/>
      <c r="D8691" s="109"/>
      <c r="E8691" s="109"/>
      <c r="F8691" s="109"/>
      <c r="G8691" s="109"/>
      <c r="H8691" s="109"/>
      <c r="I8691" s="109"/>
      <c r="J8691" s="109"/>
    </row>
    <row r="8692" spans="1:10" customFormat="1" ht="12.75" hidden="1">
      <c r="A8692" s="109"/>
      <c r="B8692" s="109"/>
      <c r="C8692" s="109"/>
      <c r="D8692" s="109"/>
      <c r="E8692" s="109"/>
      <c r="F8692" s="109"/>
      <c r="G8692" s="109"/>
      <c r="H8692" s="109"/>
      <c r="I8692" s="109"/>
      <c r="J8692" s="109"/>
    </row>
    <row r="8693" spans="1:10" customFormat="1" ht="12.75" hidden="1">
      <c r="A8693" s="109"/>
      <c r="B8693" s="109"/>
      <c r="C8693" s="109"/>
      <c r="D8693" s="109"/>
      <c r="E8693" s="109"/>
      <c r="F8693" s="109"/>
      <c r="G8693" s="109"/>
      <c r="H8693" s="109"/>
      <c r="I8693" s="109"/>
      <c r="J8693" s="109"/>
    </row>
    <row r="8694" spans="1:10" customFormat="1" ht="12.75" hidden="1">
      <c r="A8694" s="109"/>
      <c r="B8694" s="109"/>
      <c r="C8694" s="109"/>
      <c r="D8694" s="109"/>
      <c r="E8694" s="109"/>
      <c r="F8694" s="109"/>
      <c r="G8694" s="109"/>
      <c r="H8694" s="109"/>
      <c r="I8694" s="109"/>
      <c r="J8694" s="109"/>
    </row>
    <row r="8695" spans="1:10" customFormat="1" ht="12.75" hidden="1">
      <c r="A8695" s="109"/>
      <c r="B8695" s="109"/>
      <c r="C8695" s="109"/>
      <c r="D8695" s="109"/>
      <c r="E8695" s="109"/>
      <c r="F8695" s="109"/>
      <c r="G8695" s="109"/>
      <c r="H8695" s="109"/>
      <c r="I8695" s="109"/>
      <c r="J8695" s="109"/>
    </row>
    <row r="8696" spans="1:10" customFormat="1" ht="12.75" hidden="1">
      <c r="A8696" s="109"/>
      <c r="B8696" s="109"/>
      <c r="C8696" s="109"/>
      <c r="D8696" s="109"/>
      <c r="E8696" s="109"/>
      <c r="F8696" s="109"/>
      <c r="G8696" s="109"/>
      <c r="H8696" s="109"/>
      <c r="I8696" s="109"/>
      <c r="J8696" s="109"/>
    </row>
    <row r="8697" spans="1:10" customFormat="1" ht="12.75" hidden="1">
      <c r="A8697" s="109"/>
      <c r="B8697" s="109"/>
      <c r="C8697" s="109"/>
      <c r="D8697" s="109"/>
      <c r="E8697" s="109"/>
      <c r="F8697" s="109"/>
      <c r="G8697" s="109"/>
      <c r="H8697" s="109"/>
      <c r="I8697" s="109"/>
      <c r="J8697" s="109"/>
    </row>
    <row r="8698" spans="1:10" customFormat="1" ht="12.75" hidden="1">
      <c r="A8698" s="109"/>
      <c r="B8698" s="109"/>
      <c r="C8698" s="109"/>
      <c r="D8698" s="109"/>
      <c r="E8698" s="109"/>
      <c r="F8698" s="109"/>
      <c r="G8698" s="109"/>
      <c r="H8698" s="109"/>
      <c r="I8698" s="109"/>
      <c r="J8698" s="109"/>
    </row>
    <row r="8699" spans="1:10" customFormat="1" ht="12.75" hidden="1">
      <c r="A8699" s="109"/>
      <c r="B8699" s="109"/>
      <c r="C8699" s="109"/>
      <c r="D8699" s="109"/>
      <c r="E8699" s="109"/>
      <c r="F8699" s="109"/>
      <c r="G8699" s="109"/>
      <c r="H8699" s="109"/>
      <c r="I8699" s="109"/>
      <c r="J8699" s="109"/>
    </row>
    <row r="8700" spans="1:10" customFormat="1" ht="12.75" hidden="1">
      <c r="A8700" s="109"/>
      <c r="B8700" s="109"/>
      <c r="C8700" s="109"/>
      <c r="D8700" s="109"/>
      <c r="E8700" s="109"/>
      <c r="F8700" s="109"/>
      <c r="G8700" s="109"/>
      <c r="H8700" s="109"/>
      <c r="I8700" s="109"/>
      <c r="J8700" s="109"/>
    </row>
    <row r="8701" spans="1:10" customFormat="1" ht="12.75" hidden="1">
      <c r="A8701" s="109"/>
      <c r="B8701" s="109"/>
      <c r="C8701" s="109"/>
      <c r="D8701" s="109"/>
      <c r="E8701" s="109"/>
      <c r="F8701" s="109"/>
      <c r="G8701" s="109"/>
      <c r="H8701" s="109"/>
      <c r="I8701" s="109"/>
      <c r="J8701" s="109"/>
    </row>
    <row r="8702" spans="1:10" customFormat="1" ht="12.75" hidden="1">
      <c r="A8702" s="109"/>
      <c r="B8702" s="109"/>
      <c r="C8702" s="109"/>
      <c r="D8702" s="109"/>
      <c r="E8702" s="109"/>
      <c r="F8702" s="109"/>
      <c r="G8702" s="109"/>
      <c r="H8702" s="109"/>
      <c r="I8702" s="109"/>
      <c r="J8702" s="109"/>
    </row>
    <row r="8703" spans="1:10" customFormat="1" ht="12.75" hidden="1">
      <c r="A8703" s="109"/>
      <c r="B8703" s="109"/>
      <c r="C8703" s="109"/>
      <c r="D8703" s="109"/>
      <c r="E8703" s="109"/>
      <c r="F8703" s="109"/>
      <c r="G8703" s="109"/>
      <c r="H8703" s="109"/>
      <c r="I8703" s="109"/>
      <c r="J8703" s="109"/>
    </row>
    <row r="8704" spans="1:10" customFormat="1" ht="12.75" hidden="1">
      <c r="A8704" s="109"/>
      <c r="B8704" s="109"/>
      <c r="C8704" s="109"/>
      <c r="D8704" s="109"/>
      <c r="E8704" s="109"/>
      <c r="F8704" s="109"/>
      <c r="G8704" s="109"/>
      <c r="H8704" s="109"/>
      <c r="I8704" s="109"/>
      <c r="J8704" s="109"/>
    </row>
    <row r="8705" spans="1:10" customFormat="1" ht="12.75" hidden="1">
      <c r="A8705" s="109"/>
      <c r="B8705" s="109"/>
      <c r="C8705" s="109"/>
      <c r="D8705" s="109"/>
      <c r="E8705" s="109"/>
      <c r="F8705" s="109"/>
      <c r="G8705" s="109"/>
      <c r="H8705" s="109"/>
      <c r="I8705" s="109"/>
      <c r="J8705" s="109"/>
    </row>
    <row r="8706" spans="1:10" customFormat="1" ht="12.75" hidden="1">
      <c r="A8706" s="109"/>
      <c r="B8706" s="109"/>
      <c r="C8706" s="109"/>
      <c r="D8706" s="109"/>
      <c r="E8706" s="109"/>
      <c r="F8706" s="109"/>
      <c r="G8706" s="109"/>
      <c r="H8706" s="109"/>
      <c r="I8706" s="109"/>
      <c r="J8706" s="109"/>
    </row>
    <row r="8707" spans="1:10" customFormat="1" ht="12.75" hidden="1">
      <c r="A8707" s="109"/>
      <c r="B8707" s="109"/>
      <c r="C8707" s="109"/>
      <c r="D8707" s="109"/>
      <c r="E8707" s="109"/>
      <c r="F8707" s="109"/>
      <c r="G8707" s="109"/>
      <c r="H8707" s="109"/>
      <c r="I8707" s="109"/>
      <c r="J8707" s="109"/>
    </row>
    <row r="8708" spans="1:10" customFormat="1" ht="12.75" hidden="1">
      <c r="A8708" s="109"/>
      <c r="B8708" s="109"/>
      <c r="C8708" s="109"/>
      <c r="D8708" s="109"/>
      <c r="E8708" s="109"/>
      <c r="F8708" s="109"/>
      <c r="G8708" s="109"/>
      <c r="H8708" s="109"/>
      <c r="I8708" s="109"/>
      <c r="J8708" s="109"/>
    </row>
    <row r="8709" spans="1:10" customFormat="1" ht="12.75" hidden="1">
      <c r="A8709" s="109"/>
      <c r="B8709" s="109"/>
      <c r="C8709" s="109"/>
      <c r="D8709" s="109"/>
      <c r="E8709" s="109"/>
      <c r="F8709" s="109"/>
      <c r="G8709" s="109"/>
      <c r="H8709" s="109"/>
      <c r="I8709" s="109"/>
      <c r="J8709" s="109"/>
    </row>
    <row r="8710" spans="1:10" customFormat="1" ht="12.75" hidden="1">
      <c r="A8710" s="109"/>
      <c r="B8710" s="109"/>
      <c r="C8710" s="109"/>
      <c r="D8710" s="109"/>
      <c r="E8710" s="109"/>
      <c r="F8710" s="109"/>
      <c r="G8710" s="109"/>
      <c r="H8710" s="109"/>
      <c r="I8710" s="109"/>
      <c r="J8710" s="109"/>
    </row>
    <row r="8711" spans="1:10" customFormat="1" ht="12.75" hidden="1">
      <c r="A8711" s="109"/>
      <c r="B8711" s="109"/>
      <c r="C8711" s="109"/>
      <c r="D8711" s="109"/>
      <c r="E8711" s="109"/>
      <c r="F8711" s="109"/>
      <c r="G8711" s="109"/>
      <c r="H8711" s="109"/>
      <c r="I8711" s="109"/>
      <c r="J8711" s="109"/>
    </row>
    <row r="8712" spans="1:10" customFormat="1" ht="12.75" hidden="1">
      <c r="A8712" s="109"/>
      <c r="B8712" s="109"/>
      <c r="C8712" s="109"/>
      <c r="D8712" s="109"/>
      <c r="E8712" s="109"/>
      <c r="F8712" s="109"/>
      <c r="G8712" s="109"/>
      <c r="H8712" s="109"/>
      <c r="I8712" s="109"/>
      <c r="J8712" s="109"/>
    </row>
    <row r="8713" spans="1:10" customFormat="1" ht="12.75" hidden="1">
      <c r="A8713" s="109"/>
      <c r="B8713" s="109"/>
      <c r="C8713" s="109"/>
      <c r="D8713" s="109"/>
      <c r="E8713" s="109"/>
      <c r="F8713" s="109"/>
      <c r="G8713" s="109"/>
      <c r="H8713" s="109"/>
      <c r="I8713" s="109"/>
      <c r="J8713" s="109"/>
    </row>
    <row r="8714" spans="1:10" customFormat="1" ht="12.75" hidden="1">
      <c r="A8714" s="109"/>
      <c r="B8714" s="109"/>
      <c r="C8714" s="109"/>
      <c r="D8714" s="109"/>
      <c r="E8714" s="109"/>
      <c r="F8714" s="109"/>
      <c r="G8714" s="109"/>
      <c r="H8714" s="109"/>
      <c r="I8714" s="109"/>
      <c r="J8714" s="109"/>
    </row>
    <row r="8715" spans="1:10" customFormat="1" ht="12.75" hidden="1">
      <c r="A8715" s="109"/>
      <c r="B8715" s="109"/>
      <c r="C8715" s="109"/>
      <c r="D8715" s="109"/>
      <c r="E8715" s="109"/>
      <c r="F8715" s="109"/>
      <c r="G8715" s="109"/>
      <c r="H8715" s="109"/>
      <c r="I8715" s="109"/>
      <c r="J8715" s="109"/>
    </row>
    <row r="8716" spans="1:10" customFormat="1" ht="12.75" hidden="1">
      <c r="A8716" s="109"/>
      <c r="B8716" s="109"/>
      <c r="C8716" s="109"/>
      <c r="D8716" s="109"/>
      <c r="E8716" s="109"/>
      <c r="F8716" s="109"/>
      <c r="G8716" s="109"/>
      <c r="H8716" s="109"/>
      <c r="I8716" s="109"/>
      <c r="J8716" s="109"/>
    </row>
    <row r="8717" spans="1:10" customFormat="1" ht="12.75" hidden="1">
      <c r="A8717" s="109"/>
      <c r="B8717" s="109"/>
      <c r="C8717" s="109"/>
      <c r="D8717" s="109"/>
      <c r="E8717" s="109"/>
      <c r="F8717" s="109"/>
      <c r="G8717" s="109"/>
      <c r="H8717" s="109"/>
      <c r="I8717" s="109"/>
      <c r="J8717" s="109"/>
    </row>
    <row r="8718" spans="1:10" customFormat="1" ht="12.75" hidden="1">
      <c r="A8718" s="109"/>
      <c r="B8718" s="109"/>
      <c r="C8718" s="109"/>
      <c r="D8718" s="109"/>
      <c r="E8718" s="109"/>
      <c r="F8718" s="109"/>
      <c r="G8718" s="109"/>
      <c r="H8718" s="109"/>
      <c r="I8718" s="109"/>
      <c r="J8718" s="109"/>
    </row>
    <row r="8719" spans="1:10" customFormat="1" ht="12.75" hidden="1">
      <c r="A8719" s="109"/>
      <c r="B8719" s="109"/>
      <c r="C8719" s="109"/>
      <c r="D8719" s="109"/>
      <c r="E8719" s="109"/>
      <c r="F8719" s="109"/>
      <c r="G8719" s="109"/>
      <c r="H8719" s="109"/>
      <c r="I8719" s="109"/>
      <c r="J8719" s="109"/>
    </row>
    <row r="8720" spans="1:10" customFormat="1" ht="12.75" hidden="1">
      <c r="A8720" s="109"/>
      <c r="B8720" s="109"/>
      <c r="C8720" s="109"/>
      <c r="D8720" s="109"/>
      <c r="E8720" s="109"/>
      <c r="F8720" s="109"/>
      <c r="G8720" s="109"/>
      <c r="H8720" s="109"/>
      <c r="I8720" s="109"/>
      <c r="J8720" s="109"/>
    </row>
    <row r="8721" spans="1:10" customFormat="1" ht="12.75" hidden="1">
      <c r="A8721" s="109"/>
      <c r="B8721" s="109"/>
      <c r="C8721" s="109"/>
      <c r="D8721" s="109"/>
      <c r="E8721" s="109"/>
      <c r="F8721" s="109"/>
      <c r="G8721" s="109"/>
      <c r="H8721" s="109"/>
      <c r="I8721" s="109"/>
      <c r="J8721" s="109"/>
    </row>
    <row r="8722" spans="1:10" customFormat="1" ht="12.75" hidden="1">
      <c r="A8722" s="109"/>
      <c r="B8722" s="109"/>
      <c r="C8722" s="109"/>
      <c r="D8722" s="109"/>
      <c r="E8722" s="109"/>
      <c r="F8722" s="109"/>
      <c r="G8722" s="109"/>
      <c r="H8722" s="109"/>
      <c r="I8722" s="109"/>
      <c r="J8722" s="109"/>
    </row>
    <row r="8723" spans="1:10" customFormat="1" ht="12.75" hidden="1">
      <c r="A8723" s="109"/>
      <c r="B8723" s="109"/>
      <c r="C8723" s="109"/>
      <c r="D8723" s="109"/>
      <c r="E8723" s="109"/>
      <c r="F8723" s="109"/>
      <c r="G8723" s="109"/>
      <c r="H8723" s="109"/>
      <c r="I8723" s="109"/>
      <c r="J8723" s="109"/>
    </row>
    <row r="8724" spans="1:10" customFormat="1" ht="12.75" hidden="1">
      <c r="A8724" s="109"/>
      <c r="B8724" s="109"/>
      <c r="C8724" s="109"/>
      <c r="D8724" s="109"/>
      <c r="E8724" s="109"/>
      <c r="F8724" s="109"/>
      <c r="G8724" s="109"/>
      <c r="H8724" s="109"/>
      <c r="I8724" s="109"/>
      <c r="J8724" s="109"/>
    </row>
    <row r="8725" spans="1:10" customFormat="1" ht="12.75" hidden="1">
      <c r="A8725" s="109"/>
      <c r="B8725" s="109"/>
      <c r="C8725" s="109"/>
      <c r="D8725" s="109"/>
      <c r="E8725" s="109"/>
      <c r="F8725" s="109"/>
      <c r="G8725" s="109"/>
      <c r="H8725" s="109"/>
      <c r="I8725" s="109"/>
      <c r="J8725" s="109"/>
    </row>
    <row r="8726" spans="1:10" customFormat="1" ht="12.75" hidden="1">
      <c r="A8726" s="109"/>
      <c r="B8726" s="109"/>
      <c r="C8726" s="109"/>
      <c r="D8726" s="109"/>
      <c r="E8726" s="109"/>
      <c r="F8726" s="109"/>
      <c r="G8726" s="109"/>
      <c r="H8726" s="109"/>
      <c r="I8726" s="109"/>
      <c r="J8726" s="109"/>
    </row>
    <row r="8727" spans="1:10" customFormat="1" ht="12.75" hidden="1">
      <c r="A8727" s="109"/>
      <c r="B8727" s="109"/>
      <c r="C8727" s="109"/>
      <c r="D8727" s="109"/>
      <c r="E8727" s="109"/>
      <c r="F8727" s="109"/>
      <c r="G8727" s="109"/>
      <c r="H8727" s="109"/>
      <c r="I8727" s="109"/>
      <c r="J8727" s="109"/>
    </row>
    <row r="8728" spans="1:10" customFormat="1" ht="12.75" hidden="1">
      <c r="A8728" s="109"/>
      <c r="B8728" s="109"/>
      <c r="C8728" s="109"/>
      <c r="D8728" s="109"/>
      <c r="E8728" s="109"/>
      <c r="F8728" s="109"/>
      <c r="G8728" s="109"/>
      <c r="H8728" s="109"/>
      <c r="I8728" s="109"/>
      <c r="J8728" s="109"/>
    </row>
    <row r="8729" spans="1:10" customFormat="1" ht="12.75" hidden="1">
      <c r="A8729" s="109"/>
      <c r="B8729" s="109"/>
      <c r="C8729" s="109"/>
      <c r="D8729" s="109"/>
      <c r="E8729" s="109"/>
      <c r="F8729" s="109"/>
      <c r="G8729" s="109"/>
      <c r="H8729" s="109"/>
      <c r="I8729" s="109"/>
      <c r="J8729" s="109"/>
    </row>
    <row r="8730" spans="1:10" customFormat="1" ht="12.75" hidden="1">
      <c r="A8730" s="109"/>
      <c r="B8730" s="109"/>
      <c r="C8730" s="109"/>
      <c r="D8730" s="109"/>
      <c r="E8730" s="109"/>
      <c r="F8730" s="109"/>
      <c r="G8730" s="109"/>
      <c r="H8730" s="109"/>
      <c r="I8730" s="109"/>
      <c r="J8730" s="109"/>
    </row>
    <row r="8731" spans="1:10" customFormat="1" ht="12.75" hidden="1">
      <c r="A8731" s="109"/>
      <c r="B8731" s="109"/>
      <c r="C8731" s="109"/>
      <c r="D8731" s="109"/>
      <c r="E8731" s="109"/>
      <c r="F8731" s="109"/>
      <c r="G8731" s="109"/>
      <c r="H8731" s="109"/>
      <c r="I8731" s="109"/>
      <c r="J8731" s="109"/>
    </row>
    <row r="8732" spans="1:10" customFormat="1" ht="12.75" hidden="1">
      <c r="A8732" s="109"/>
      <c r="B8732" s="109"/>
      <c r="C8732" s="109"/>
      <c r="D8732" s="109"/>
      <c r="E8732" s="109"/>
      <c r="F8732" s="109"/>
      <c r="G8732" s="109"/>
      <c r="H8732" s="109"/>
      <c r="I8732" s="109"/>
      <c r="J8732" s="109"/>
    </row>
    <row r="8733" spans="1:10" customFormat="1" ht="12.75" hidden="1">
      <c r="A8733" s="109"/>
      <c r="B8733" s="109"/>
      <c r="C8733" s="109"/>
      <c r="D8733" s="109"/>
      <c r="E8733" s="109"/>
      <c r="F8733" s="109"/>
      <c r="G8733" s="109"/>
      <c r="H8733" s="109"/>
      <c r="I8733" s="109"/>
      <c r="J8733" s="109"/>
    </row>
    <row r="8734" spans="1:10" customFormat="1" ht="12.75" hidden="1">
      <c r="A8734" s="109"/>
      <c r="B8734" s="109"/>
      <c r="C8734" s="109"/>
      <c r="D8734" s="109"/>
      <c r="E8734" s="109"/>
      <c r="F8734" s="109"/>
      <c r="G8734" s="109"/>
      <c r="H8734" s="109"/>
      <c r="I8734" s="109"/>
      <c r="J8734" s="109"/>
    </row>
    <row r="8735" spans="1:10" customFormat="1" ht="12.75" hidden="1">
      <c r="A8735" s="109"/>
      <c r="B8735" s="109"/>
      <c r="C8735" s="109"/>
      <c r="D8735" s="109"/>
      <c r="E8735" s="109"/>
      <c r="F8735" s="109"/>
      <c r="G8735" s="109"/>
      <c r="H8735" s="109"/>
      <c r="I8735" s="109"/>
      <c r="J8735" s="109"/>
    </row>
    <row r="8736" spans="1:10" customFormat="1" ht="12.75" hidden="1">
      <c r="A8736" s="109"/>
      <c r="B8736" s="109"/>
      <c r="C8736" s="109"/>
      <c r="D8736" s="109"/>
      <c r="E8736" s="109"/>
      <c r="F8736" s="109"/>
      <c r="G8736" s="109"/>
      <c r="H8736" s="109"/>
      <c r="I8736" s="109"/>
      <c r="J8736" s="109"/>
    </row>
    <row r="8737" spans="1:10" customFormat="1" ht="12.75" hidden="1">
      <c r="A8737" s="109"/>
      <c r="B8737" s="109"/>
      <c r="C8737" s="109"/>
      <c r="D8737" s="109"/>
      <c r="E8737" s="109"/>
      <c r="F8737" s="109"/>
      <c r="G8737" s="109"/>
      <c r="H8737" s="109"/>
      <c r="I8737" s="109"/>
      <c r="J8737" s="109"/>
    </row>
    <row r="8738" spans="1:10" customFormat="1" ht="12.75" hidden="1">
      <c r="A8738" s="109"/>
      <c r="B8738" s="109"/>
      <c r="C8738" s="109"/>
      <c r="D8738" s="109"/>
      <c r="E8738" s="109"/>
      <c r="F8738" s="109"/>
      <c r="G8738" s="109"/>
      <c r="H8738" s="109"/>
      <c r="I8738" s="109"/>
      <c r="J8738" s="109"/>
    </row>
    <row r="8739" spans="1:10" customFormat="1" ht="12.75" hidden="1">
      <c r="A8739" s="109"/>
      <c r="B8739" s="109"/>
      <c r="C8739" s="109"/>
      <c r="D8739" s="109"/>
      <c r="E8739" s="109"/>
      <c r="F8739" s="109"/>
      <c r="G8739" s="109"/>
      <c r="H8739" s="109"/>
      <c r="I8739" s="109"/>
      <c r="J8739" s="109"/>
    </row>
    <row r="8740" spans="1:10" customFormat="1" ht="12.75" hidden="1">
      <c r="A8740" s="109"/>
      <c r="B8740" s="109"/>
      <c r="C8740" s="109"/>
      <c r="D8740" s="109"/>
      <c r="E8740" s="109"/>
      <c r="F8740" s="109"/>
      <c r="G8740" s="109"/>
      <c r="H8740" s="109"/>
      <c r="I8740" s="109"/>
      <c r="J8740" s="109"/>
    </row>
    <row r="8741" spans="1:10" customFormat="1" ht="12.75" hidden="1">
      <c r="A8741" s="109"/>
      <c r="B8741" s="109"/>
      <c r="C8741" s="109"/>
      <c r="D8741" s="109"/>
      <c r="E8741" s="109"/>
      <c r="F8741" s="109"/>
      <c r="G8741" s="109"/>
      <c r="H8741" s="109"/>
      <c r="I8741" s="109"/>
      <c r="J8741" s="109"/>
    </row>
    <row r="8742" spans="1:10" customFormat="1" ht="12.75" hidden="1">
      <c r="A8742" s="109"/>
      <c r="B8742" s="109"/>
      <c r="C8742" s="109"/>
      <c r="D8742" s="109"/>
      <c r="E8742" s="109"/>
      <c r="F8742" s="109"/>
      <c r="G8742" s="109"/>
      <c r="H8742" s="109"/>
      <c r="I8742" s="109"/>
      <c r="J8742" s="109"/>
    </row>
    <row r="8743" spans="1:10" customFormat="1" ht="12.75" hidden="1">
      <c r="A8743" s="109"/>
      <c r="B8743" s="109"/>
      <c r="C8743" s="109"/>
      <c r="D8743" s="109"/>
      <c r="E8743" s="109"/>
      <c r="F8743" s="109"/>
      <c r="G8743" s="109"/>
      <c r="H8743" s="109"/>
      <c r="I8743" s="109"/>
      <c r="J8743" s="109"/>
    </row>
    <row r="8744" spans="1:10" customFormat="1" ht="12.75" hidden="1">
      <c r="A8744" s="109"/>
      <c r="B8744" s="109"/>
      <c r="C8744" s="109"/>
      <c r="D8744" s="109"/>
      <c r="E8744" s="109"/>
      <c r="F8744" s="109"/>
      <c r="G8744" s="109"/>
      <c r="H8744" s="109"/>
      <c r="I8744" s="109"/>
      <c r="J8744" s="109"/>
    </row>
    <row r="8745" spans="1:10" customFormat="1" ht="12.75" hidden="1">
      <c r="A8745" s="109"/>
      <c r="B8745" s="109"/>
      <c r="C8745" s="109"/>
      <c r="D8745" s="109"/>
      <c r="E8745" s="109"/>
      <c r="F8745" s="109"/>
      <c r="G8745" s="109"/>
      <c r="H8745" s="109"/>
      <c r="I8745" s="109"/>
      <c r="J8745" s="109"/>
    </row>
    <row r="8746" spans="1:10" customFormat="1" ht="12.75" hidden="1">
      <c r="A8746" s="109"/>
      <c r="B8746" s="109"/>
      <c r="C8746" s="109"/>
      <c r="D8746" s="109"/>
      <c r="E8746" s="109"/>
      <c r="F8746" s="109"/>
      <c r="G8746" s="109"/>
      <c r="H8746" s="109"/>
      <c r="I8746" s="109"/>
      <c r="J8746" s="109"/>
    </row>
    <row r="8747" spans="1:10" customFormat="1" ht="12.75" hidden="1">
      <c r="A8747" s="109"/>
      <c r="B8747" s="109"/>
      <c r="C8747" s="109"/>
      <c r="D8747" s="109"/>
      <c r="E8747" s="109"/>
      <c r="F8747" s="109"/>
      <c r="G8747" s="109"/>
      <c r="H8747" s="109"/>
      <c r="I8747" s="109"/>
      <c r="J8747" s="109"/>
    </row>
    <row r="8748" spans="1:10" customFormat="1" ht="12.75" hidden="1">
      <c r="A8748" s="109"/>
      <c r="B8748" s="109"/>
      <c r="C8748" s="109"/>
      <c r="D8748" s="109"/>
      <c r="E8748" s="109"/>
      <c r="F8748" s="109"/>
      <c r="G8748" s="109"/>
      <c r="H8748" s="109"/>
      <c r="I8748" s="109"/>
      <c r="J8748" s="109"/>
    </row>
    <row r="8749" spans="1:10" customFormat="1" ht="12.75" hidden="1">
      <c r="A8749" s="109"/>
      <c r="B8749" s="109"/>
      <c r="C8749" s="109"/>
      <c r="D8749" s="109"/>
      <c r="E8749" s="109"/>
      <c r="F8749" s="109"/>
      <c r="G8749" s="109"/>
      <c r="H8749" s="109"/>
      <c r="I8749" s="109"/>
      <c r="J8749" s="109"/>
    </row>
    <row r="8750" spans="1:10" customFormat="1" ht="12.75" hidden="1">
      <c r="A8750" s="109"/>
      <c r="B8750" s="109"/>
      <c r="C8750" s="109"/>
      <c r="D8750" s="109"/>
      <c r="E8750" s="109"/>
      <c r="F8750" s="109"/>
      <c r="G8750" s="109"/>
      <c r="H8750" s="109"/>
      <c r="I8750" s="109"/>
      <c r="J8750" s="109"/>
    </row>
    <row r="8751" spans="1:10" customFormat="1" ht="12.75" hidden="1">
      <c r="A8751" s="109"/>
      <c r="B8751" s="109"/>
      <c r="C8751" s="109"/>
      <c r="D8751" s="109"/>
      <c r="E8751" s="109"/>
      <c r="F8751" s="109"/>
      <c r="G8751" s="109"/>
      <c r="H8751" s="109"/>
      <c r="I8751" s="109"/>
      <c r="J8751" s="109"/>
    </row>
    <row r="8752" spans="1:10" customFormat="1" ht="12.75" hidden="1">
      <c r="A8752" s="109"/>
      <c r="B8752" s="109"/>
      <c r="C8752" s="109"/>
      <c r="D8752" s="109"/>
      <c r="E8752" s="109"/>
      <c r="F8752" s="109"/>
      <c r="G8752" s="109"/>
      <c r="H8752" s="109"/>
      <c r="I8752" s="109"/>
      <c r="J8752" s="109"/>
    </row>
    <row r="8753" spans="1:10" customFormat="1" ht="12.75" hidden="1">
      <c r="A8753" s="109"/>
      <c r="B8753" s="109"/>
      <c r="C8753" s="109"/>
      <c r="D8753" s="109"/>
      <c r="E8753" s="109"/>
      <c r="F8753" s="109"/>
      <c r="G8753" s="109"/>
      <c r="H8753" s="109"/>
      <c r="I8753" s="109"/>
      <c r="J8753" s="109"/>
    </row>
    <row r="8754" spans="1:10" customFormat="1" ht="12.75" hidden="1">
      <c r="A8754" s="109"/>
      <c r="B8754" s="109"/>
      <c r="C8754" s="109"/>
      <c r="D8754" s="109"/>
      <c r="E8754" s="109"/>
      <c r="F8754" s="109"/>
      <c r="G8754" s="109"/>
      <c r="H8754" s="109"/>
      <c r="I8754" s="109"/>
      <c r="J8754" s="109"/>
    </row>
    <row r="8755" spans="1:10" customFormat="1" ht="12.75" hidden="1">
      <c r="A8755" s="109"/>
      <c r="B8755" s="109"/>
      <c r="C8755" s="109"/>
      <c r="D8755" s="109"/>
      <c r="E8755" s="109"/>
      <c r="F8755" s="109"/>
      <c r="G8755" s="109"/>
      <c r="H8755" s="109"/>
      <c r="I8755" s="109"/>
      <c r="J8755" s="109"/>
    </row>
    <row r="8756" spans="1:10" customFormat="1" ht="12.75" hidden="1">
      <c r="A8756" s="109"/>
      <c r="B8756" s="109"/>
      <c r="C8756" s="109"/>
      <c r="D8756" s="109"/>
      <c r="E8756" s="109"/>
      <c r="F8756" s="109"/>
      <c r="G8756" s="109"/>
      <c r="H8756" s="109"/>
      <c r="I8756" s="109"/>
      <c r="J8756" s="109"/>
    </row>
    <row r="8757" spans="1:10" customFormat="1" ht="12.75" hidden="1">
      <c r="A8757" s="109"/>
      <c r="B8757" s="109"/>
      <c r="C8757" s="109"/>
      <c r="D8757" s="109"/>
      <c r="E8757" s="109"/>
      <c r="F8757" s="109"/>
      <c r="G8757" s="109"/>
      <c r="H8757" s="109"/>
      <c r="I8757" s="109"/>
      <c r="J8757" s="109"/>
    </row>
    <row r="8758" spans="1:10" customFormat="1" ht="12.75" hidden="1">
      <c r="A8758" s="109"/>
      <c r="B8758" s="109"/>
      <c r="C8758" s="109"/>
      <c r="D8758" s="109"/>
      <c r="E8758" s="109"/>
      <c r="F8758" s="109"/>
      <c r="G8758" s="109"/>
      <c r="H8758" s="109"/>
      <c r="I8758" s="109"/>
      <c r="J8758" s="109"/>
    </row>
    <row r="8759" spans="1:10" customFormat="1" ht="12.75" hidden="1">
      <c r="A8759" s="109"/>
      <c r="B8759" s="109"/>
      <c r="C8759" s="109"/>
      <c r="D8759" s="109"/>
      <c r="E8759" s="109"/>
      <c r="F8759" s="109"/>
      <c r="G8759" s="109"/>
      <c r="H8759" s="109"/>
      <c r="I8759" s="109"/>
      <c r="J8759" s="109"/>
    </row>
    <row r="8760" spans="1:10" customFormat="1" ht="12.75" hidden="1">
      <c r="A8760" s="109"/>
      <c r="B8760" s="109"/>
      <c r="C8760" s="109"/>
      <c r="D8760" s="109"/>
      <c r="E8760" s="109"/>
      <c r="F8760" s="109"/>
      <c r="G8760" s="109"/>
      <c r="H8760" s="109"/>
      <c r="I8760" s="109"/>
      <c r="J8760" s="109"/>
    </row>
    <row r="8761" spans="1:10" customFormat="1" ht="12.75" hidden="1">
      <c r="A8761" s="109"/>
      <c r="B8761" s="109"/>
      <c r="C8761" s="109"/>
      <c r="D8761" s="109"/>
      <c r="E8761" s="109"/>
      <c r="F8761" s="109"/>
      <c r="G8761" s="109"/>
      <c r="H8761" s="109"/>
      <c r="I8761" s="109"/>
      <c r="J8761" s="109"/>
    </row>
    <row r="8762" spans="1:10" customFormat="1" ht="12.75" hidden="1">
      <c r="A8762" s="109"/>
      <c r="B8762" s="109"/>
      <c r="C8762" s="109"/>
      <c r="D8762" s="109"/>
      <c r="E8762" s="109"/>
      <c r="F8762" s="109"/>
      <c r="G8762" s="109"/>
      <c r="H8762" s="109"/>
      <c r="I8762" s="109"/>
      <c r="J8762" s="109"/>
    </row>
    <row r="8763" spans="1:10" customFormat="1" ht="12.75" hidden="1">
      <c r="A8763" s="109"/>
      <c r="B8763" s="109"/>
      <c r="C8763" s="109"/>
      <c r="D8763" s="109"/>
      <c r="E8763" s="109"/>
      <c r="F8763" s="109"/>
      <c r="G8763" s="109"/>
      <c r="H8763" s="109"/>
      <c r="I8763" s="109"/>
      <c r="J8763" s="109"/>
    </row>
    <row r="8764" spans="1:10" customFormat="1" ht="12.75" hidden="1">
      <c r="A8764" s="109"/>
      <c r="B8764" s="109"/>
      <c r="C8764" s="109"/>
      <c r="D8764" s="109"/>
      <c r="E8764" s="109"/>
      <c r="F8764" s="109"/>
      <c r="G8764" s="109"/>
      <c r="H8764" s="109"/>
      <c r="I8764" s="109"/>
      <c r="J8764" s="109"/>
    </row>
    <row r="8765" spans="1:10" customFormat="1" ht="12.75" hidden="1">
      <c r="A8765" s="109"/>
      <c r="B8765" s="109"/>
      <c r="C8765" s="109"/>
      <c r="D8765" s="109"/>
      <c r="E8765" s="109"/>
      <c r="F8765" s="109"/>
      <c r="G8765" s="109"/>
      <c r="H8765" s="109"/>
      <c r="I8765" s="109"/>
      <c r="J8765" s="109"/>
    </row>
    <row r="8766" spans="1:10" customFormat="1" ht="12.75" hidden="1">
      <c r="A8766" s="109"/>
      <c r="B8766" s="109"/>
      <c r="C8766" s="109"/>
      <c r="D8766" s="109"/>
      <c r="E8766" s="109"/>
      <c r="F8766" s="109"/>
      <c r="G8766" s="109"/>
      <c r="H8766" s="109"/>
      <c r="I8766" s="109"/>
      <c r="J8766" s="109"/>
    </row>
    <row r="8767" spans="1:10" customFormat="1" ht="12.75" hidden="1">
      <c r="A8767" s="109"/>
      <c r="B8767" s="109"/>
      <c r="C8767" s="109"/>
      <c r="D8767" s="109"/>
      <c r="E8767" s="109"/>
      <c r="F8767" s="109"/>
      <c r="G8767" s="109"/>
      <c r="H8767" s="109"/>
      <c r="I8767" s="109"/>
      <c r="J8767" s="109"/>
    </row>
    <row r="8768" spans="1:10" customFormat="1" ht="12.75" hidden="1">
      <c r="A8768" s="109"/>
      <c r="B8768" s="109"/>
      <c r="C8768" s="109"/>
      <c r="D8768" s="109"/>
      <c r="E8768" s="109"/>
      <c r="F8768" s="109"/>
      <c r="G8768" s="109"/>
      <c r="H8768" s="109"/>
      <c r="I8768" s="109"/>
      <c r="J8768" s="109"/>
    </row>
    <row r="8769" spans="1:10" customFormat="1" ht="12.75" hidden="1">
      <c r="A8769" s="109"/>
      <c r="B8769" s="109"/>
      <c r="C8769" s="109"/>
      <c r="D8769" s="109"/>
      <c r="E8769" s="109"/>
      <c r="F8769" s="109"/>
      <c r="G8769" s="109"/>
      <c r="H8769" s="109"/>
      <c r="I8769" s="109"/>
      <c r="J8769" s="109"/>
    </row>
    <row r="8770" spans="1:10" customFormat="1" ht="12.75" hidden="1">
      <c r="A8770" s="109"/>
      <c r="B8770" s="109"/>
      <c r="C8770" s="109"/>
      <c r="D8770" s="109"/>
      <c r="E8770" s="109"/>
      <c r="F8770" s="109"/>
      <c r="G8770" s="109"/>
      <c r="H8770" s="109"/>
      <c r="I8770" s="109"/>
      <c r="J8770" s="109"/>
    </row>
    <row r="8771" spans="1:10" customFormat="1" ht="12.75" hidden="1">
      <c r="A8771" s="109"/>
      <c r="B8771" s="109"/>
      <c r="C8771" s="109"/>
      <c r="D8771" s="109"/>
      <c r="E8771" s="109"/>
      <c r="F8771" s="109"/>
      <c r="G8771" s="109"/>
      <c r="H8771" s="109"/>
      <c r="I8771" s="109"/>
      <c r="J8771" s="109"/>
    </row>
    <row r="8772" spans="1:10" customFormat="1" ht="12.75" hidden="1">
      <c r="A8772" s="109"/>
      <c r="B8772" s="109"/>
      <c r="C8772" s="109"/>
      <c r="D8772" s="109"/>
      <c r="E8772" s="109"/>
      <c r="F8772" s="109"/>
      <c r="G8772" s="109"/>
      <c r="H8772" s="109"/>
      <c r="I8772" s="109"/>
      <c r="J8772" s="109"/>
    </row>
    <row r="8773" spans="1:10" customFormat="1" ht="12.75" hidden="1">
      <c r="A8773" s="109"/>
      <c r="B8773" s="109"/>
      <c r="C8773" s="109"/>
      <c r="D8773" s="109"/>
      <c r="E8773" s="109"/>
      <c r="F8773" s="109"/>
      <c r="G8773" s="109"/>
      <c r="H8773" s="109"/>
      <c r="I8773" s="109"/>
      <c r="J8773" s="109"/>
    </row>
    <row r="8774" spans="1:10" customFormat="1" ht="12.75" hidden="1">
      <c r="A8774" s="109"/>
      <c r="B8774" s="109"/>
      <c r="C8774" s="109"/>
      <c r="D8774" s="109"/>
      <c r="E8774" s="109"/>
      <c r="F8774" s="109"/>
      <c r="G8774" s="109"/>
      <c r="H8774" s="109"/>
      <c r="I8774" s="109"/>
      <c r="J8774" s="109"/>
    </row>
    <row r="8775" spans="1:10" customFormat="1" ht="12.75" hidden="1">
      <c r="A8775" s="109"/>
      <c r="B8775" s="109"/>
      <c r="C8775" s="109"/>
      <c r="D8775" s="109"/>
      <c r="E8775" s="109"/>
      <c r="F8775" s="109"/>
      <c r="G8775" s="109"/>
      <c r="H8775" s="109"/>
      <c r="I8775" s="109"/>
      <c r="J8775" s="109"/>
    </row>
    <row r="8776" spans="1:10" customFormat="1" ht="12.75" hidden="1">
      <c r="A8776" s="109"/>
      <c r="B8776" s="109"/>
      <c r="C8776" s="109"/>
      <c r="D8776" s="109"/>
      <c r="E8776" s="109"/>
      <c r="F8776" s="109"/>
      <c r="G8776" s="109"/>
      <c r="H8776" s="109"/>
      <c r="I8776" s="109"/>
      <c r="J8776" s="109"/>
    </row>
    <row r="8777" spans="1:10" customFormat="1" ht="12.75" hidden="1">
      <c r="A8777" s="109"/>
      <c r="B8777" s="109"/>
      <c r="C8777" s="109"/>
      <c r="D8777" s="109"/>
      <c r="E8777" s="109"/>
      <c r="F8777" s="109"/>
      <c r="G8777" s="109"/>
      <c r="H8777" s="109"/>
      <c r="I8777" s="109"/>
      <c r="J8777" s="109"/>
    </row>
    <row r="8778" spans="1:10" customFormat="1" ht="12.75" hidden="1">
      <c r="A8778" s="109"/>
      <c r="B8778" s="109"/>
      <c r="C8778" s="109"/>
      <c r="D8778" s="109"/>
      <c r="E8778" s="109"/>
      <c r="F8778" s="109"/>
      <c r="G8778" s="109"/>
      <c r="H8778" s="109"/>
      <c r="I8778" s="109"/>
      <c r="J8778" s="109"/>
    </row>
    <row r="8779" spans="1:10" customFormat="1" ht="12.75" hidden="1">
      <c r="A8779" s="109"/>
      <c r="B8779" s="109"/>
      <c r="C8779" s="109"/>
      <c r="D8779" s="109"/>
      <c r="E8779" s="109"/>
      <c r="F8779" s="109"/>
      <c r="G8779" s="109"/>
      <c r="H8779" s="109"/>
      <c r="I8779" s="109"/>
      <c r="J8779" s="109"/>
    </row>
    <row r="8780" spans="1:10" customFormat="1" ht="12.75" hidden="1">
      <c r="A8780" s="109"/>
      <c r="B8780" s="109"/>
      <c r="C8780" s="109"/>
      <c r="D8780" s="109"/>
      <c r="E8780" s="109"/>
      <c r="F8780" s="109"/>
      <c r="G8780" s="109"/>
      <c r="H8780" s="109"/>
      <c r="I8780" s="109"/>
      <c r="J8780" s="109"/>
    </row>
    <row r="8781" spans="1:10" customFormat="1" ht="12.75" hidden="1">
      <c r="A8781" s="109"/>
      <c r="B8781" s="109"/>
      <c r="C8781" s="109"/>
      <c r="D8781" s="109"/>
      <c r="E8781" s="109"/>
      <c r="F8781" s="109"/>
      <c r="G8781" s="109"/>
      <c r="H8781" s="109"/>
      <c r="I8781" s="109"/>
      <c r="J8781" s="109"/>
    </row>
    <row r="8782" spans="1:10" customFormat="1" ht="12.75" hidden="1">
      <c r="A8782" s="109"/>
      <c r="B8782" s="109"/>
      <c r="C8782" s="109"/>
      <c r="D8782" s="109"/>
      <c r="E8782" s="109"/>
      <c r="F8782" s="109"/>
      <c r="G8782" s="109"/>
      <c r="H8782" s="109"/>
      <c r="I8782" s="109"/>
      <c r="J8782" s="109"/>
    </row>
    <row r="8783" spans="1:10" customFormat="1" ht="12.75" hidden="1">
      <c r="A8783" s="109"/>
      <c r="B8783" s="109"/>
      <c r="C8783" s="109"/>
      <c r="D8783" s="109"/>
      <c r="E8783" s="109"/>
      <c r="F8783" s="109"/>
      <c r="G8783" s="109"/>
      <c r="H8783" s="109"/>
      <c r="I8783" s="109"/>
      <c r="J8783" s="109"/>
    </row>
    <row r="8784" spans="1:10" customFormat="1" ht="12.75" hidden="1">
      <c r="A8784" s="109"/>
      <c r="B8784" s="109"/>
      <c r="C8784" s="109"/>
      <c r="D8784" s="109"/>
      <c r="E8784" s="109"/>
      <c r="F8784" s="109"/>
      <c r="G8784" s="109"/>
      <c r="H8784" s="109"/>
      <c r="I8784" s="109"/>
      <c r="J8784" s="109"/>
    </row>
    <row r="8785" spans="1:10" customFormat="1" ht="12.75" hidden="1">
      <c r="A8785" s="109"/>
      <c r="B8785" s="109"/>
      <c r="C8785" s="109"/>
      <c r="D8785" s="109"/>
      <c r="E8785" s="109"/>
      <c r="F8785" s="109"/>
      <c r="G8785" s="109"/>
      <c r="H8785" s="109"/>
      <c r="I8785" s="109"/>
      <c r="J8785" s="109"/>
    </row>
    <row r="8786" spans="1:10" customFormat="1" ht="12.75" hidden="1">
      <c r="A8786" s="109"/>
      <c r="B8786" s="109"/>
      <c r="C8786" s="109"/>
      <c r="D8786" s="109"/>
      <c r="E8786" s="109"/>
      <c r="F8786" s="109"/>
      <c r="G8786" s="109"/>
      <c r="H8786" s="109"/>
      <c r="I8786" s="109"/>
      <c r="J8786" s="109"/>
    </row>
    <row r="8787" spans="1:10" customFormat="1" ht="12.75" hidden="1">
      <c r="A8787" s="109"/>
      <c r="B8787" s="109"/>
      <c r="C8787" s="109"/>
      <c r="D8787" s="109"/>
      <c r="E8787" s="109"/>
      <c r="F8787" s="109"/>
      <c r="G8787" s="109"/>
      <c r="H8787" s="109"/>
      <c r="I8787" s="109"/>
      <c r="J8787" s="109"/>
    </row>
    <row r="8788" spans="1:10" customFormat="1" ht="12.75" hidden="1">
      <c r="A8788" s="109"/>
      <c r="B8788" s="109"/>
      <c r="C8788" s="109"/>
      <c r="D8788" s="109"/>
      <c r="E8788" s="109"/>
      <c r="F8788" s="109"/>
      <c r="G8788" s="109"/>
      <c r="H8788" s="109"/>
      <c r="I8788" s="109"/>
      <c r="J8788" s="109"/>
    </row>
    <row r="8789" spans="1:10" customFormat="1" ht="12.75" hidden="1">
      <c r="A8789" s="109"/>
      <c r="B8789" s="109"/>
      <c r="C8789" s="109"/>
      <c r="D8789" s="109"/>
      <c r="E8789" s="109"/>
      <c r="F8789" s="109"/>
      <c r="G8789" s="109"/>
      <c r="H8789" s="109"/>
      <c r="I8789" s="109"/>
      <c r="J8789" s="109"/>
    </row>
    <row r="8790" spans="1:10" customFormat="1" ht="12.75" hidden="1">
      <c r="A8790" s="109"/>
      <c r="B8790" s="109"/>
      <c r="C8790" s="109"/>
      <c r="D8790" s="109"/>
      <c r="E8790" s="109"/>
      <c r="F8790" s="109"/>
      <c r="G8790" s="109"/>
      <c r="H8790" s="109"/>
      <c r="I8790" s="109"/>
      <c r="J8790" s="109"/>
    </row>
    <row r="8791" spans="1:10" customFormat="1" ht="12.75" hidden="1">
      <c r="A8791" s="109"/>
      <c r="B8791" s="109"/>
      <c r="C8791" s="109"/>
      <c r="D8791" s="109"/>
      <c r="E8791" s="109"/>
      <c r="F8791" s="109"/>
      <c r="G8791" s="109"/>
      <c r="H8791" s="109"/>
      <c r="I8791" s="109"/>
      <c r="J8791" s="109"/>
    </row>
    <row r="8792" spans="1:10" customFormat="1" ht="12.75" hidden="1">
      <c r="A8792" s="109"/>
      <c r="B8792" s="109"/>
      <c r="C8792" s="109"/>
      <c r="D8792" s="109"/>
      <c r="E8792" s="109"/>
      <c r="F8792" s="109"/>
      <c r="G8792" s="109"/>
      <c r="H8792" s="109"/>
      <c r="I8792" s="109"/>
      <c r="J8792" s="109"/>
    </row>
    <row r="8793" spans="1:10" customFormat="1" ht="12.75" hidden="1">
      <c r="A8793" s="109"/>
      <c r="B8793" s="109"/>
      <c r="C8793" s="109"/>
      <c r="D8793" s="109"/>
      <c r="E8793" s="109"/>
      <c r="F8793" s="109"/>
      <c r="G8793" s="109"/>
      <c r="H8793" s="109"/>
      <c r="I8793" s="109"/>
      <c r="J8793" s="109"/>
    </row>
    <row r="8794" spans="1:10" customFormat="1" ht="12.75" hidden="1">
      <c r="A8794" s="109"/>
      <c r="B8794" s="109"/>
      <c r="C8794" s="109"/>
      <c r="D8794" s="109"/>
      <c r="E8794" s="109"/>
      <c r="F8794" s="109"/>
      <c r="G8794" s="109"/>
      <c r="H8794" s="109"/>
      <c r="I8794" s="109"/>
      <c r="J8794" s="109"/>
    </row>
    <row r="8795" spans="1:10" customFormat="1" ht="12.75" hidden="1">
      <c r="A8795" s="109"/>
      <c r="B8795" s="109"/>
      <c r="C8795" s="109"/>
      <c r="D8795" s="109"/>
      <c r="E8795" s="109"/>
      <c r="F8795" s="109"/>
      <c r="G8795" s="109"/>
      <c r="H8795" s="109"/>
      <c r="I8795" s="109"/>
      <c r="J8795" s="109"/>
    </row>
    <row r="8796" spans="1:10" customFormat="1" ht="12.75" hidden="1">
      <c r="A8796" s="109"/>
      <c r="B8796" s="109"/>
      <c r="C8796" s="109"/>
      <c r="D8796" s="109"/>
      <c r="E8796" s="109"/>
      <c r="F8796" s="109"/>
      <c r="G8796" s="109"/>
      <c r="H8796" s="109"/>
      <c r="I8796" s="109"/>
      <c r="J8796" s="109"/>
    </row>
    <row r="8797" spans="1:10" customFormat="1" ht="12.75" hidden="1">
      <c r="A8797" s="109"/>
      <c r="B8797" s="109"/>
      <c r="C8797" s="109"/>
      <c r="D8797" s="109"/>
      <c r="E8797" s="109"/>
      <c r="F8797" s="109"/>
      <c r="G8797" s="109"/>
      <c r="H8797" s="109"/>
      <c r="I8797" s="109"/>
      <c r="J8797" s="109"/>
    </row>
    <row r="8798" spans="1:10" customFormat="1" ht="12.75" hidden="1">
      <c r="A8798" s="109"/>
      <c r="B8798" s="109"/>
      <c r="C8798" s="109"/>
      <c r="D8798" s="109"/>
      <c r="E8798" s="109"/>
      <c r="F8798" s="109"/>
      <c r="G8798" s="109"/>
      <c r="H8798" s="109"/>
      <c r="I8798" s="109"/>
      <c r="J8798" s="109"/>
    </row>
    <row r="8799" spans="1:10" customFormat="1" ht="12.75" hidden="1">
      <c r="A8799" s="109"/>
      <c r="B8799" s="109"/>
      <c r="C8799" s="109"/>
      <c r="D8799" s="109"/>
      <c r="E8799" s="109"/>
      <c r="F8799" s="109"/>
      <c r="G8799" s="109"/>
      <c r="H8799" s="109"/>
      <c r="I8799" s="109"/>
      <c r="J8799" s="109"/>
    </row>
    <row r="8800" spans="1:10" customFormat="1" ht="12.75" hidden="1">
      <c r="A8800" s="109"/>
      <c r="B8800" s="109"/>
      <c r="C8800" s="109"/>
      <c r="D8800" s="109"/>
      <c r="E8800" s="109"/>
      <c r="F8800" s="109"/>
      <c r="G8800" s="109"/>
      <c r="H8800" s="109"/>
      <c r="I8800" s="109"/>
      <c r="J8800" s="109"/>
    </row>
    <row r="8801" spans="1:10" customFormat="1" ht="12.75" hidden="1">
      <c r="A8801" s="109"/>
      <c r="B8801" s="109"/>
      <c r="C8801" s="109"/>
      <c r="D8801" s="109"/>
      <c r="E8801" s="109"/>
      <c r="F8801" s="109"/>
      <c r="G8801" s="109"/>
      <c r="H8801" s="109"/>
      <c r="I8801" s="109"/>
      <c r="J8801" s="109"/>
    </row>
    <row r="8802" spans="1:10" customFormat="1" ht="12.75" hidden="1">
      <c r="A8802" s="109"/>
      <c r="B8802" s="109"/>
      <c r="C8802" s="109"/>
      <c r="D8802" s="109"/>
      <c r="E8802" s="109"/>
      <c r="F8802" s="109"/>
      <c r="G8802" s="109"/>
      <c r="H8802" s="109"/>
      <c r="I8802" s="109"/>
      <c r="J8802" s="109"/>
    </row>
    <row r="8803" spans="1:10" customFormat="1" ht="12.75" hidden="1">
      <c r="A8803" s="109"/>
      <c r="B8803" s="109"/>
      <c r="C8803" s="109"/>
      <c r="D8803" s="109"/>
      <c r="E8803" s="109"/>
      <c r="F8803" s="109"/>
      <c r="G8803" s="109"/>
      <c r="H8803" s="109"/>
      <c r="I8803" s="109"/>
      <c r="J8803" s="109"/>
    </row>
    <row r="8804" spans="1:10" customFormat="1" ht="12.75" hidden="1">
      <c r="A8804" s="109"/>
      <c r="B8804" s="109"/>
      <c r="C8804" s="109"/>
      <c r="D8804" s="109"/>
      <c r="E8804" s="109"/>
      <c r="F8804" s="109"/>
      <c r="G8804" s="109"/>
      <c r="H8804" s="109"/>
      <c r="I8804" s="109"/>
      <c r="J8804" s="109"/>
    </row>
    <row r="8805" spans="1:10" customFormat="1" ht="12.75" hidden="1">
      <c r="A8805" s="109"/>
      <c r="B8805" s="109"/>
      <c r="C8805" s="109"/>
      <c r="D8805" s="109"/>
      <c r="E8805" s="109"/>
      <c r="F8805" s="109"/>
      <c r="G8805" s="109"/>
      <c r="H8805" s="109"/>
      <c r="I8805" s="109"/>
      <c r="J8805" s="109"/>
    </row>
    <row r="8806" spans="1:10" customFormat="1" ht="12.75" hidden="1">
      <c r="A8806" s="109"/>
      <c r="B8806" s="109"/>
      <c r="C8806" s="109"/>
      <c r="D8806" s="109"/>
      <c r="E8806" s="109"/>
      <c r="F8806" s="109"/>
      <c r="G8806" s="109"/>
      <c r="H8806" s="109"/>
      <c r="I8806" s="109"/>
      <c r="J8806" s="109"/>
    </row>
    <row r="8807" spans="1:10" customFormat="1" ht="12.75" hidden="1">
      <c r="A8807" s="109"/>
      <c r="B8807" s="109"/>
      <c r="C8807" s="109"/>
      <c r="D8807" s="109"/>
      <c r="E8807" s="109"/>
      <c r="F8807" s="109"/>
      <c r="G8807" s="109"/>
      <c r="H8807" s="109"/>
      <c r="I8807" s="109"/>
      <c r="J8807" s="109"/>
    </row>
    <row r="8808" spans="1:10" customFormat="1" ht="12.75" hidden="1">
      <c r="A8808" s="109"/>
      <c r="B8808" s="109"/>
      <c r="C8808" s="109"/>
      <c r="D8808" s="109"/>
      <c r="E8808" s="109"/>
      <c r="F8808" s="109"/>
      <c r="G8808" s="109"/>
      <c r="H8808" s="109"/>
      <c r="I8808" s="109"/>
      <c r="J8808" s="109"/>
    </row>
    <row r="8809" spans="1:10" customFormat="1" ht="12.75" hidden="1">
      <c r="A8809" s="109"/>
      <c r="B8809" s="109"/>
      <c r="C8809" s="109"/>
      <c r="D8809" s="109"/>
      <c r="E8809" s="109"/>
      <c r="F8809" s="109"/>
      <c r="G8809" s="109"/>
      <c r="H8809" s="109"/>
      <c r="I8809" s="109"/>
      <c r="J8809" s="109"/>
    </row>
    <row r="8810" spans="1:10" customFormat="1" ht="12.75" hidden="1">
      <c r="A8810" s="109"/>
      <c r="B8810" s="109"/>
      <c r="C8810" s="109"/>
      <c r="D8810" s="109"/>
      <c r="E8810" s="109"/>
      <c r="F8810" s="109"/>
      <c r="G8810" s="109"/>
      <c r="H8810" s="109"/>
      <c r="I8810" s="109"/>
      <c r="J8810" s="109"/>
    </row>
    <row r="8811" spans="1:10" customFormat="1" ht="12.75" hidden="1">
      <c r="A8811" s="109"/>
      <c r="B8811" s="109"/>
      <c r="C8811" s="109"/>
      <c r="D8811" s="109"/>
      <c r="E8811" s="109"/>
      <c r="F8811" s="109"/>
      <c r="G8811" s="109"/>
      <c r="H8811" s="109"/>
      <c r="I8811" s="109"/>
      <c r="J8811" s="109"/>
    </row>
    <row r="8812" spans="1:10" customFormat="1" ht="12.75" hidden="1">
      <c r="A8812" s="109"/>
      <c r="B8812" s="109"/>
      <c r="C8812" s="109"/>
      <c r="D8812" s="109"/>
      <c r="E8812" s="109"/>
      <c r="F8812" s="109"/>
      <c r="G8812" s="109"/>
      <c r="H8812" s="109"/>
      <c r="I8812" s="109"/>
      <c r="J8812" s="109"/>
    </row>
    <row r="8813" spans="1:10" customFormat="1" ht="12.75" hidden="1">
      <c r="A8813" s="109"/>
      <c r="B8813" s="109"/>
      <c r="C8813" s="109"/>
      <c r="D8813" s="109"/>
      <c r="E8813" s="109"/>
      <c r="F8813" s="109"/>
      <c r="G8813" s="109"/>
      <c r="H8813" s="109"/>
      <c r="I8813" s="109"/>
      <c r="J8813" s="109"/>
    </row>
    <row r="8814" spans="1:10" customFormat="1" ht="12.75" hidden="1">
      <c r="A8814" s="109"/>
      <c r="B8814" s="109"/>
      <c r="C8814" s="109"/>
      <c r="D8814" s="109"/>
      <c r="E8814" s="109"/>
      <c r="F8814" s="109"/>
      <c r="G8814" s="109"/>
      <c r="H8814" s="109"/>
      <c r="I8814" s="109"/>
      <c r="J8814" s="109"/>
    </row>
    <row r="8815" spans="1:10" customFormat="1" ht="12.75" hidden="1">
      <c r="A8815" s="109"/>
      <c r="B8815" s="109"/>
      <c r="C8815" s="109"/>
      <c r="D8815" s="109"/>
      <c r="E8815" s="109"/>
      <c r="F8815" s="109"/>
      <c r="G8815" s="109"/>
      <c r="H8815" s="109"/>
      <c r="I8815" s="109"/>
      <c r="J8815" s="109"/>
    </row>
    <row r="8816" spans="1:10" customFormat="1" ht="12.75" hidden="1">
      <c r="A8816" s="109"/>
      <c r="B8816" s="109"/>
      <c r="C8816" s="109"/>
      <c r="D8816" s="109"/>
      <c r="E8816" s="109"/>
      <c r="F8816" s="109"/>
      <c r="G8816" s="109"/>
      <c r="H8816" s="109"/>
      <c r="I8816" s="109"/>
      <c r="J8816" s="109"/>
    </row>
    <row r="8817" spans="1:10" customFormat="1" ht="12.75" hidden="1">
      <c r="A8817" s="109"/>
      <c r="B8817" s="109"/>
      <c r="C8817" s="109"/>
      <c r="D8817" s="109"/>
      <c r="E8817" s="109"/>
      <c r="F8817" s="109"/>
      <c r="G8817" s="109"/>
      <c r="H8817" s="109"/>
      <c r="I8817" s="109"/>
      <c r="J8817" s="109"/>
    </row>
    <row r="8818" spans="1:10" customFormat="1" ht="12.75" hidden="1">
      <c r="A8818" s="109"/>
      <c r="B8818" s="109"/>
      <c r="C8818" s="109"/>
      <c r="D8818" s="109"/>
      <c r="E8818" s="109"/>
      <c r="F8818" s="109"/>
      <c r="G8818" s="109"/>
      <c r="H8818" s="109"/>
      <c r="I8818" s="109"/>
      <c r="J8818" s="109"/>
    </row>
    <row r="8819" spans="1:10" customFormat="1" ht="12.75" hidden="1">
      <c r="A8819" s="109"/>
      <c r="B8819" s="109"/>
      <c r="C8819" s="109"/>
      <c r="D8819" s="109"/>
      <c r="E8819" s="109"/>
      <c r="F8819" s="109"/>
      <c r="G8819" s="109"/>
      <c r="H8819" s="109"/>
      <c r="I8819" s="109"/>
      <c r="J8819" s="109"/>
    </row>
    <row r="8820" spans="1:10" customFormat="1" ht="12.75" hidden="1">
      <c r="A8820" s="109"/>
      <c r="B8820" s="109"/>
      <c r="C8820" s="109"/>
      <c r="D8820" s="109"/>
      <c r="E8820" s="109"/>
      <c r="F8820" s="109"/>
      <c r="G8820" s="109"/>
      <c r="H8820" s="109"/>
      <c r="I8820" s="109"/>
      <c r="J8820" s="109"/>
    </row>
    <row r="8821" spans="1:10" customFormat="1" ht="12.75" hidden="1">
      <c r="A8821" s="109"/>
      <c r="B8821" s="109"/>
      <c r="C8821" s="109"/>
      <c r="D8821" s="109"/>
      <c r="E8821" s="109"/>
      <c r="F8821" s="109"/>
      <c r="G8821" s="109"/>
      <c r="H8821" s="109"/>
      <c r="I8821" s="109"/>
      <c r="J8821" s="109"/>
    </row>
    <row r="8822" spans="1:10" customFormat="1" ht="12.75" hidden="1">
      <c r="A8822" s="109"/>
      <c r="B8822" s="109"/>
      <c r="C8822" s="109"/>
      <c r="D8822" s="109"/>
      <c r="E8822" s="109"/>
      <c r="F8822" s="109"/>
      <c r="G8822" s="109"/>
      <c r="H8822" s="109"/>
      <c r="I8822" s="109"/>
      <c r="J8822" s="109"/>
    </row>
    <row r="8823" spans="1:10" customFormat="1" ht="12.75" hidden="1">
      <c r="A8823" s="109"/>
      <c r="B8823" s="109"/>
      <c r="C8823" s="109"/>
      <c r="D8823" s="109"/>
      <c r="E8823" s="109"/>
      <c r="F8823" s="109"/>
      <c r="G8823" s="109"/>
      <c r="H8823" s="109"/>
      <c r="I8823" s="109"/>
      <c r="J8823" s="109"/>
    </row>
    <row r="8824" spans="1:10" customFormat="1" ht="12.75" hidden="1">
      <c r="A8824" s="109"/>
      <c r="B8824" s="109"/>
      <c r="C8824" s="109"/>
      <c r="D8824" s="109"/>
      <c r="E8824" s="109"/>
      <c r="F8824" s="109"/>
      <c r="G8824" s="109"/>
      <c r="H8824" s="109"/>
      <c r="I8824" s="109"/>
      <c r="J8824" s="109"/>
    </row>
    <row r="8825" spans="1:10" customFormat="1" ht="12.75" hidden="1">
      <c r="A8825" s="109"/>
      <c r="B8825" s="109"/>
      <c r="C8825" s="109"/>
      <c r="D8825" s="109"/>
      <c r="E8825" s="109"/>
      <c r="F8825" s="109"/>
      <c r="G8825" s="109"/>
      <c r="H8825" s="109"/>
      <c r="I8825" s="109"/>
      <c r="J8825" s="109"/>
    </row>
    <row r="8826" spans="1:10" customFormat="1" ht="12.75" hidden="1">
      <c r="A8826" s="109"/>
      <c r="B8826" s="109"/>
      <c r="C8826" s="109"/>
      <c r="D8826" s="109"/>
      <c r="E8826" s="109"/>
      <c r="F8826" s="109"/>
      <c r="G8826" s="109"/>
      <c r="H8826" s="109"/>
      <c r="I8826" s="109"/>
      <c r="J8826" s="109"/>
    </row>
    <row r="8827" spans="1:10" customFormat="1" ht="12.75" hidden="1">
      <c r="A8827" s="109"/>
      <c r="B8827" s="109"/>
      <c r="C8827" s="109"/>
      <c r="D8827" s="109"/>
      <c r="E8827" s="109"/>
      <c r="F8827" s="109"/>
      <c r="G8827" s="109"/>
      <c r="H8827" s="109"/>
      <c r="I8827" s="109"/>
      <c r="J8827" s="109"/>
    </row>
    <row r="8828" spans="1:10" customFormat="1" ht="12.75" hidden="1">
      <c r="A8828" s="109"/>
      <c r="B8828" s="109"/>
      <c r="C8828" s="109"/>
      <c r="D8828" s="109"/>
      <c r="E8828" s="109"/>
      <c r="F8828" s="109"/>
      <c r="G8828" s="109"/>
      <c r="H8828" s="109"/>
      <c r="I8828" s="109"/>
      <c r="J8828" s="109"/>
    </row>
    <row r="8829" spans="1:10" customFormat="1" ht="12.75" hidden="1">
      <c r="A8829" s="109"/>
      <c r="B8829" s="109"/>
      <c r="C8829" s="109"/>
      <c r="D8829" s="109"/>
      <c r="E8829" s="109"/>
      <c r="F8829" s="109"/>
      <c r="G8829" s="109"/>
      <c r="H8829" s="109"/>
      <c r="I8829" s="109"/>
      <c r="J8829" s="109"/>
    </row>
    <row r="8830" spans="1:10" customFormat="1" ht="12.75" hidden="1">
      <c r="A8830" s="109"/>
      <c r="B8830" s="109"/>
      <c r="C8830" s="109"/>
      <c r="D8830" s="109"/>
      <c r="E8830" s="109"/>
      <c r="F8830" s="109"/>
      <c r="G8830" s="109"/>
      <c r="H8830" s="109"/>
      <c r="I8830" s="109"/>
      <c r="J8830" s="109"/>
    </row>
    <row r="8831" spans="1:10" customFormat="1" ht="12.75" hidden="1">
      <c r="A8831" s="109"/>
      <c r="B8831" s="109"/>
      <c r="C8831" s="109"/>
      <c r="D8831" s="109"/>
      <c r="E8831" s="109"/>
      <c r="F8831" s="109"/>
      <c r="G8831" s="109"/>
      <c r="H8831" s="109"/>
      <c r="I8831" s="109"/>
      <c r="J8831" s="109"/>
    </row>
    <row r="8832" spans="1:10" customFormat="1" ht="12.75" hidden="1">
      <c r="A8832" s="109"/>
      <c r="B8832" s="109"/>
      <c r="C8832" s="109"/>
      <c r="D8832" s="109"/>
      <c r="E8832" s="109"/>
      <c r="F8832" s="109"/>
      <c r="G8832" s="109"/>
      <c r="H8832" s="109"/>
      <c r="I8832" s="109"/>
      <c r="J8832" s="109"/>
    </row>
    <row r="8833" spans="1:10" customFormat="1" ht="12.75" hidden="1">
      <c r="A8833" s="109"/>
      <c r="B8833" s="109"/>
      <c r="C8833" s="109"/>
      <c r="D8833" s="109"/>
      <c r="E8833" s="109"/>
      <c r="F8833" s="109"/>
      <c r="G8833" s="109"/>
      <c r="H8833" s="109"/>
      <c r="I8833" s="109"/>
      <c r="J8833" s="109"/>
    </row>
    <row r="8834" spans="1:10" customFormat="1" ht="12.75" hidden="1">
      <c r="A8834" s="109"/>
      <c r="B8834" s="109"/>
      <c r="C8834" s="109"/>
      <c r="D8834" s="109"/>
      <c r="E8834" s="109"/>
      <c r="F8834" s="109"/>
      <c r="G8834" s="109"/>
      <c r="H8834" s="109"/>
      <c r="I8834" s="109"/>
      <c r="J8834" s="109"/>
    </row>
    <row r="8835" spans="1:10" customFormat="1" ht="12.75" hidden="1">
      <c r="A8835" s="109"/>
      <c r="B8835" s="109"/>
      <c r="C8835" s="109"/>
      <c r="D8835" s="109"/>
      <c r="E8835" s="109"/>
      <c r="F8835" s="109"/>
      <c r="G8835" s="109"/>
      <c r="H8835" s="109"/>
      <c r="I8835" s="109"/>
      <c r="J8835" s="109"/>
    </row>
    <row r="8836" spans="1:10" customFormat="1" ht="12.75" hidden="1">
      <c r="A8836" s="109"/>
      <c r="B8836" s="109"/>
      <c r="C8836" s="109"/>
      <c r="D8836" s="109"/>
      <c r="E8836" s="109"/>
      <c r="F8836" s="109"/>
      <c r="G8836" s="109"/>
      <c r="H8836" s="109"/>
      <c r="I8836" s="109"/>
      <c r="J8836" s="109"/>
    </row>
    <row r="8837" spans="1:10" customFormat="1" ht="12.75" hidden="1">
      <c r="A8837" s="109"/>
      <c r="B8837" s="109"/>
      <c r="C8837" s="109"/>
      <c r="D8837" s="109"/>
      <c r="E8837" s="109"/>
      <c r="F8837" s="109"/>
      <c r="G8837" s="109"/>
      <c r="H8837" s="109"/>
      <c r="I8837" s="109"/>
      <c r="J8837" s="109"/>
    </row>
    <row r="8838" spans="1:10" customFormat="1" ht="12.75" hidden="1">
      <c r="A8838" s="109"/>
      <c r="B8838" s="109"/>
      <c r="C8838" s="109"/>
      <c r="D8838" s="109"/>
      <c r="E8838" s="109"/>
      <c r="F8838" s="109"/>
      <c r="G8838" s="109"/>
      <c r="H8838" s="109"/>
      <c r="I8838" s="109"/>
      <c r="J8838" s="109"/>
    </row>
    <row r="8839" spans="1:10" customFormat="1" ht="12.75" hidden="1">
      <c r="A8839" s="109"/>
      <c r="B8839" s="109"/>
      <c r="C8839" s="109"/>
      <c r="D8839" s="109"/>
      <c r="E8839" s="109"/>
      <c r="F8839" s="109"/>
      <c r="G8839" s="109"/>
      <c r="H8839" s="109"/>
      <c r="I8839" s="109"/>
      <c r="J8839" s="109"/>
    </row>
    <row r="8840" spans="1:10" customFormat="1" ht="12.75" hidden="1">
      <c r="A8840" s="109"/>
      <c r="B8840" s="109"/>
      <c r="C8840" s="109"/>
      <c r="D8840" s="109"/>
      <c r="E8840" s="109"/>
      <c r="F8840" s="109"/>
      <c r="G8840" s="109"/>
      <c r="H8840" s="109"/>
      <c r="I8840" s="109"/>
      <c r="J8840" s="109"/>
    </row>
    <row r="8841" spans="1:10" customFormat="1" ht="12.75" hidden="1">
      <c r="A8841" s="109"/>
      <c r="B8841" s="109"/>
      <c r="C8841" s="109"/>
      <c r="D8841" s="109"/>
      <c r="E8841" s="109"/>
      <c r="F8841" s="109"/>
      <c r="G8841" s="109"/>
      <c r="H8841" s="109"/>
      <c r="I8841" s="109"/>
      <c r="J8841" s="109"/>
    </row>
    <row r="8842" spans="1:10" customFormat="1" ht="12.75" hidden="1">
      <c r="A8842" s="109"/>
      <c r="B8842" s="109"/>
      <c r="C8842" s="109"/>
      <c r="D8842" s="109"/>
      <c r="E8842" s="109"/>
      <c r="F8842" s="109"/>
      <c r="G8842" s="109"/>
      <c r="H8842" s="109"/>
      <c r="I8842" s="109"/>
      <c r="J8842" s="109"/>
    </row>
    <row r="8843" spans="1:10" customFormat="1" ht="12.75" hidden="1">
      <c r="A8843" s="109"/>
      <c r="B8843" s="109"/>
      <c r="C8843" s="109"/>
      <c r="D8843" s="109"/>
      <c r="E8843" s="109"/>
      <c r="F8843" s="109"/>
      <c r="G8843" s="109"/>
      <c r="H8843" s="109"/>
      <c r="I8843" s="109"/>
      <c r="J8843" s="109"/>
    </row>
    <row r="8844" spans="1:10" customFormat="1" ht="12.75" hidden="1">
      <c r="A8844" s="109"/>
      <c r="B8844" s="109"/>
      <c r="C8844" s="109"/>
      <c r="D8844" s="109"/>
      <c r="E8844" s="109"/>
      <c r="F8844" s="109"/>
      <c r="G8844" s="109"/>
      <c r="H8844" s="109"/>
      <c r="I8844" s="109"/>
      <c r="J8844" s="109"/>
    </row>
    <row r="8845" spans="1:10" customFormat="1" ht="12.75" hidden="1">
      <c r="A8845" s="109"/>
      <c r="B8845" s="109"/>
      <c r="C8845" s="109"/>
      <c r="D8845" s="109"/>
      <c r="E8845" s="109"/>
      <c r="F8845" s="109"/>
      <c r="G8845" s="109"/>
      <c r="H8845" s="109"/>
      <c r="I8845" s="109"/>
      <c r="J8845" s="109"/>
    </row>
    <row r="8846" spans="1:10" customFormat="1" ht="12.75" hidden="1">
      <c r="A8846" s="109"/>
      <c r="B8846" s="109"/>
      <c r="C8846" s="109"/>
      <c r="D8846" s="109"/>
      <c r="E8846" s="109"/>
      <c r="F8846" s="109"/>
      <c r="G8846" s="109"/>
      <c r="H8846" s="109"/>
      <c r="I8846" s="109"/>
      <c r="J8846" s="109"/>
    </row>
    <row r="8847" spans="1:10" customFormat="1" ht="12.75" hidden="1">
      <c r="A8847" s="109"/>
      <c r="B8847" s="109"/>
      <c r="C8847" s="109"/>
      <c r="D8847" s="109"/>
      <c r="E8847" s="109"/>
      <c r="F8847" s="109"/>
      <c r="G8847" s="109"/>
      <c r="H8847" s="109"/>
      <c r="I8847" s="109"/>
      <c r="J8847" s="109"/>
    </row>
    <row r="8848" spans="1:10" customFormat="1" ht="12.75" hidden="1">
      <c r="A8848" s="109"/>
      <c r="B8848" s="109"/>
      <c r="C8848" s="109"/>
      <c r="D8848" s="109"/>
      <c r="E8848" s="109"/>
      <c r="F8848" s="109"/>
      <c r="G8848" s="109"/>
      <c r="H8848" s="109"/>
      <c r="I8848" s="109"/>
      <c r="J8848" s="109"/>
    </row>
    <row r="8849" spans="1:10" customFormat="1" ht="12.75" hidden="1">
      <c r="A8849" s="109"/>
      <c r="B8849" s="109"/>
      <c r="C8849" s="109"/>
      <c r="D8849" s="109"/>
      <c r="E8849" s="109"/>
      <c r="F8849" s="109"/>
      <c r="G8849" s="109"/>
      <c r="H8849" s="109"/>
      <c r="I8849" s="109"/>
      <c r="J8849" s="109"/>
    </row>
    <row r="8850" spans="1:10" customFormat="1" ht="12.75" hidden="1">
      <c r="A8850" s="109"/>
      <c r="B8850" s="109"/>
      <c r="C8850" s="109"/>
      <c r="D8850" s="109"/>
      <c r="E8850" s="109"/>
      <c r="F8850" s="109"/>
      <c r="G8850" s="109"/>
      <c r="H8850" s="109"/>
      <c r="I8850" s="109"/>
      <c r="J8850" s="109"/>
    </row>
    <row r="8851" spans="1:10" customFormat="1" ht="12.75" hidden="1">
      <c r="A8851" s="109"/>
      <c r="B8851" s="109"/>
      <c r="C8851" s="109"/>
      <c r="D8851" s="109"/>
      <c r="E8851" s="109"/>
      <c r="F8851" s="109"/>
      <c r="G8851" s="109"/>
      <c r="H8851" s="109"/>
      <c r="I8851" s="109"/>
      <c r="J8851" s="109"/>
    </row>
    <row r="8852" spans="1:10" customFormat="1" ht="12.75" hidden="1">
      <c r="A8852" s="109"/>
      <c r="B8852" s="109"/>
      <c r="C8852" s="109"/>
      <c r="D8852" s="109"/>
      <c r="E8852" s="109"/>
      <c r="F8852" s="109"/>
      <c r="G8852" s="109"/>
      <c r="H8852" s="109"/>
      <c r="I8852" s="109"/>
      <c r="J8852" s="109"/>
    </row>
    <row r="8853" spans="1:10" customFormat="1" ht="12.75" hidden="1">
      <c r="A8853" s="109"/>
      <c r="B8853" s="109"/>
      <c r="C8853" s="109"/>
      <c r="D8853" s="109"/>
      <c r="E8853" s="109"/>
      <c r="F8853" s="109"/>
      <c r="G8853" s="109"/>
      <c r="H8853" s="109"/>
      <c r="I8853" s="109"/>
      <c r="J8853" s="109"/>
    </row>
    <row r="8854" spans="1:10" customFormat="1" ht="12.75" hidden="1">
      <c r="A8854" s="109"/>
      <c r="B8854" s="109"/>
      <c r="C8854" s="109"/>
      <c r="D8854" s="109"/>
      <c r="E8854" s="109"/>
      <c r="F8854" s="109"/>
      <c r="G8854" s="109"/>
      <c r="H8854" s="109"/>
      <c r="I8854" s="109"/>
      <c r="J8854" s="109"/>
    </row>
    <row r="8855" spans="1:10" customFormat="1" ht="12.75" hidden="1">
      <c r="A8855" s="109"/>
      <c r="B8855" s="109"/>
      <c r="C8855" s="109"/>
      <c r="D8855" s="109"/>
      <c r="E8855" s="109"/>
      <c r="F8855" s="109"/>
      <c r="G8855" s="109"/>
      <c r="H8855" s="109"/>
      <c r="I8855" s="109"/>
      <c r="J8855" s="109"/>
    </row>
    <row r="8856" spans="1:10" customFormat="1" ht="12.75" hidden="1">
      <c r="A8856" s="109"/>
      <c r="B8856" s="109"/>
      <c r="C8856" s="109"/>
      <c r="D8856" s="109"/>
      <c r="E8856" s="109"/>
      <c r="F8856" s="109"/>
      <c r="G8856" s="109"/>
      <c r="H8856" s="109"/>
      <c r="I8856" s="109"/>
      <c r="J8856" s="109"/>
    </row>
    <row r="8857" spans="1:10" customFormat="1" ht="12.75" hidden="1">
      <c r="A8857" s="109"/>
      <c r="B8857" s="109"/>
      <c r="C8857" s="109"/>
      <c r="D8857" s="109"/>
      <c r="E8857" s="109"/>
      <c r="F8857" s="109"/>
      <c r="G8857" s="109"/>
      <c r="H8857" s="109"/>
      <c r="I8857" s="109"/>
      <c r="J8857" s="109"/>
    </row>
    <row r="8858" spans="1:10" customFormat="1" ht="12.75" hidden="1">
      <c r="A8858" s="109"/>
      <c r="B8858" s="109"/>
      <c r="C8858" s="109"/>
      <c r="D8858" s="109"/>
      <c r="E8858" s="109"/>
      <c r="F8858" s="109"/>
      <c r="G8858" s="109"/>
      <c r="H8858" s="109"/>
      <c r="I8858" s="109"/>
      <c r="J8858" s="109"/>
    </row>
    <row r="8859" spans="1:10" customFormat="1" ht="12.75" hidden="1">
      <c r="A8859" s="109"/>
      <c r="B8859" s="109"/>
      <c r="C8859" s="109"/>
      <c r="D8859" s="109"/>
      <c r="E8859" s="109"/>
      <c r="F8859" s="109"/>
      <c r="G8859" s="109"/>
      <c r="H8859" s="109"/>
      <c r="I8859" s="109"/>
      <c r="J8859" s="109"/>
    </row>
    <row r="8860" spans="1:10" customFormat="1" ht="12.75" hidden="1">
      <c r="A8860" s="109"/>
      <c r="B8860" s="109"/>
      <c r="C8860" s="109"/>
      <c r="D8860" s="109"/>
      <c r="E8860" s="109"/>
      <c r="F8860" s="109"/>
      <c r="G8860" s="109"/>
      <c r="H8860" s="109"/>
      <c r="I8860" s="109"/>
      <c r="J8860" s="109"/>
    </row>
    <row r="8861" spans="1:10" customFormat="1" ht="12.75" hidden="1">
      <c r="A8861" s="109"/>
      <c r="B8861" s="109"/>
      <c r="C8861" s="109"/>
      <c r="D8861" s="109"/>
      <c r="E8861" s="109"/>
      <c r="F8861" s="109"/>
      <c r="G8861" s="109"/>
      <c r="H8861" s="109"/>
      <c r="I8861" s="109"/>
      <c r="J8861" s="109"/>
    </row>
    <row r="8862" spans="1:10" customFormat="1" ht="12.75" hidden="1">
      <c r="A8862" s="109"/>
      <c r="B8862" s="109"/>
      <c r="C8862" s="109"/>
      <c r="D8862" s="109"/>
      <c r="E8862" s="109"/>
      <c r="F8862" s="109"/>
      <c r="G8862" s="109"/>
      <c r="H8862" s="109"/>
      <c r="I8862" s="109"/>
      <c r="J8862" s="109"/>
    </row>
    <row r="8863" spans="1:10" customFormat="1" ht="12.75" hidden="1">
      <c r="A8863" s="109"/>
      <c r="B8863" s="109"/>
      <c r="C8863" s="109"/>
      <c r="D8863" s="109"/>
      <c r="E8863" s="109"/>
      <c r="F8863" s="109"/>
      <c r="G8863" s="109"/>
      <c r="H8863" s="109"/>
      <c r="I8863" s="109"/>
      <c r="J8863" s="109"/>
    </row>
    <row r="8864" spans="1:10" customFormat="1" ht="12.75" hidden="1">
      <c r="A8864" s="109"/>
      <c r="B8864" s="109"/>
      <c r="C8864" s="109"/>
      <c r="D8864" s="109"/>
      <c r="E8864" s="109"/>
      <c r="F8864" s="109"/>
      <c r="G8864" s="109"/>
      <c r="H8864" s="109"/>
      <c r="I8864" s="109"/>
      <c r="J8864" s="109"/>
    </row>
    <row r="8865" spans="1:10" customFormat="1" ht="12.75" hidden="1">
      <c r="A8865" s="109"/>
      <c r="B8865" s="109"/>
      <c r="C8865" s="109"/>
      <c r="D8865" s="109"/>
      <c r="E8865" s="109"/>
      <c r="F8865" s="109"/>
      <c r="G8865" s="109"/>
      <c r="H8865" s="109"/>
      <c r="I8865" s="109"/>
      <c r="J8865" s="109"/>
    </row>
    <row r="8866" spans="1:10" customFormat="1" ht="12.75" hidden="1">
      <c r="A8866" s="109"/>
      <c r="B8866" s="109"/>
      <c r="C8866" s="109"/>
      <c r="D8866" s="109"/>
      <c r="E8866" s="109"/>
      <c r="F8866" s="109"/>
      <c r="G8866" s="109"/>
      <c r="H8866" s="109"/>
      <c r="I8866" s="109"/>
      <c r="J8866" s="109"/>
    </row>
    <row r="8867" spans="1:10" customFormat="1" ht="12.75" hidden="1">
      <c r="A8867" s="109"/>
      <c r="B8867" s="109"/>
      <c r="C8867" s="109"/>
      <c r="D8867" s="109"/>
      <c r="E8867" s="109"/>
      <c r="F8867" s="109"/>
      <c r="G8867" s="109"/>
      <c r="H8867" s="109"/>
      <c r="I8867" s="109"/>
      <c r="J8867" s="109"/>
    </row>
    <row r="8868" spans="1:10" customFormat="1" ht="12.75" hidden="1">
      <c r="A8868" s="109"/>
      <c r="B8868" s="109"/>
      <c r="C8868" s="109"/>
      <c r="D8868" s="109"/>
      <c r="E8868" s="109"/>
      <c r="F8868" s="109"/>
      <c r="G8868" s="109"/>
      <c r="H8868" s="109"/>
      <c r="I8868" s="109"/>
      <c r="J8868" s="109"/>
    </row>
    <row r="8869" spans="1:10" customFormat="1" ht="12.75" hidden="1">
      <c r="A8869" s="109"/>
      <c r="B8869" s="109"/>
      <c r="C8869" s="109"/>
      <c r="D8869" s="109"/>
      <c r="E8869" s="109"/>
      <c r="F8869" s="109"/>
      <c r="G8869" s="109"/>
      <c r="H8869" s="109"/>
      <c r="I8869" s="109"/>
      <c r="J8869" s="109"/>
    </row>
    <row r="8870" spans="1:10" customFormat="1" ht="12.75" hidden="1">
      <c r="A8870" s="109"/>
      <c r="B8870" s="109"/>
      <c r="C8870" s="109"/>
      <c r="D8870" s="109"/>
      <c r="E8870" s="109"/>
      <c r="F8870" s="109"/>
      <c r="G8870" s="109"/>
      <c r="H8870" s="109"/>
      <c r="I8870" s="109"/>
      <c r="J8870" s="109"/>
    </row>
    <row r="8871" spans="1:10" customFormat="1" ht="12.75" hidden="1">
      <c r="A8871" s="109"/>
      <c r="B8871" s="109"/>
      <c r="C8871" s="109"/>
      <c r="D8871" s="109"/>
      <c r="E8871" s="109"/>
      <c r="F8871" s="109"/>
      <c r="G8871" s="109"/>
      <c r="H8871" s="109"/>
      <c r="I8871" s="109"/>
      <c r="J8871" s="109"/>
    </row>
    <row r="8872" spans="1:10" customFormat="1" ht="12.75" hidden="1">
      <c r="A8872" s="109"/>
      <c r="B8872" s="109"/>
      <c r="C8872" s="109"/>
      <c r="D8872" s="109"/>
      <c r="E8872" s="109"/>
      <c r="F8872" s="109"/>
      <c r="G8872" s="109"/>
      <c r="H8872" s="109"/>
      <c r="I8872" s="109"/>
      <c r="J8872" s="109"/>
    </row>
    <row r="8873" spans="1:10" customFormat="1" ht="12.75" hidden="1">
      <c r="A8873" s="109"/>
      <c r="B8873" s="109"/>
      <c r="C8873" s="109"/>
      <c r="D8873" s="109"/>
      <c r="E8873" s="109"/>
      <c r="F8873" s="109"/>
      <c r="G8873" s="109"/>
      <c r="H8873" s="109"/>
      <c r="I8873" s="109"/>
      <c r="J8873" s="109"/>
    </row>
    <row r="8874" spans="1:10" customFormat="1" ht="12.75" hidden="1">
      <c r="A8874" s="109"/>
      <c r="B8874" s="109"/>
      <c r="C8874" s="109"/>
      <c r="D8874" s="109"/>
      <c r="E8874" s="109"/>
      <c r="F8874" s="109"/>
      <c r="G8874" s="109"/>
      <c r="H8874" s="109"/>
      <c r="I8874" s="109"/>
      <c r="J8874" s="109"/>
    </row>
    <row r="8875" spans="1:10" customFormat="1" ht="12.75" hidden="1">
      <c r="A8875" s="109"/>
      <c r="B8875" s="109"/>
      <c r="C8875" s="109"/>
      <c r="D8875" s="109"/>
      <c r="E8875" s="109"/>
      <c r="F8875" s="109"/>
      <c r="G8875" s="109"/>
      <c r="H8875" s="109"/>
      <c r="I8875" s="109"/>
      <c r="J8875" s="109"/>
    </row>
    <row r="8876" spans="1:10" customFormat="1" ht="12.75" hidden="1">
      <c r="A8876" s="109"/>
      <c r="B8876" s="109"/>
      <c r="C8876" s="109"/>
      <c r="D8876" s="109"/>
      <c r="E8876" s="109"/>
      <c r="F8876" s="109"/>
      <c r="G8876" s="109"/>
      <c r="H8876" s="109"/>
      <c r="I8876" s="109"/>
      <c r="J8876" s="109"/>
    </row>
    <row r="8877" spans="1:10" customFormat="1" ht="12.75" hidden="1">
      <c r="A8877" s="109"/>
      <c r="B8877" s="109"/>
      <c r="C8877" s="109"/>
      <c r="D8877" s="109"/>
      <c r="E8877" s="109"/>
      <c r="F8877" s="109"/>
      <c r="G8877" s="109"/>
      <c r="H8877" s="109"/>
      <c r="I8877" s="109"/>
      <c r="J8877" s="109"/>
    </row>
    <row r="8878" spans="1:10" customFormat="1" ht="12.75" hidden="1">
      <c r="A8878" s="109"/>
      <c r="B8878" s="109"/>
      <c r="C8878" s="109"/>
      <c r="D8878" s="109"/>
      <c r="E8878" s="109"/>
      <c r="F8878" s="109"/>
      <c r="G8878" s="109"/>
      <c r="H8878" s="109"/>
      <c r="I8878" s="109"/>
      <c r="J8878" s="109"/>
    </row>
    <row r="8879" spans="1:10" customFormat="1" ht="12.75" hidden="1">
      <c r="A8879" s="109"/>
      <c r="B8879" s="109"/>
      <c r="C8879" s="109"/>
      <c r="D8879" s="109"/>
      <c r="E8879" s="109"/>
      <c r="F8879" s="109"/>
      <c r="G8879" s="109"/>
      <c r="H8879" s="109"/>
      <c r="I8879" s="109"/>
      <c r="J8879" s="109"/>
    </row>
    <row r="8880" spans="1:10" customFormat="1" ht="12.75" hidden="1">
      <c r="A8880" s="109"/>
      <c r="B8880" s="109"/>
      <c r="C8880" s="109"/>
      <c r="D8880" s="109"/>
      <c r="E8880" s="109"/>
      <c r="F8880" s="109"/>
      <c r="G8880" s="109"/>
      <c r="H8880" s="109"/>
      <c r="I8880" s="109"/>
      <c r="J8880" s="109"/>
    </row>
    <row r="8881" spans="1:10" customFormat="1" ht="12.75" hidden="1">
      <c r="A8881" s="109"/>
      <c r="B8881" s="109"/>
      <c r="C8881" s="109"/>
      <c r="D8881" s="109"/>
      <c r="E8881" s="109"/>
      <c r="F8881" s="109"/>
      <c r="G8881" s="109"/>
      <c r="H8881" s="109"/>
      <c r="I8881" s="109"/>
      <c r="J8881" s="109"/>
    </row>
    <row r="8882" spans="1:10" customFormat="1" ht="12.75" hidden="1">
      <c r="A8882" s="109"/>
      <c r="B8882" s="109"/>
      <c r="C8882" s="109"/>
      <c r="D8882" s="109"/>
      <c r="E8882" s="109"/>
      <c r="F8882" s="109"/>
      <c r="G8882" s="109"/>
      <c r="H8882" s="109"/>
      <c r="I8882" s="109"/>
      <c r="J8882" s="109"/>
    </row>
    <row r="8883" spans="1:10" customFormat="1" ht="12.75" hidden="1">
      <c r="A8883" s="109"/>
      <c r="B8883" s="109"/>
      <c r="C8883" s="109"/>
      <c r="D8883" s="109"/>
      <c r="E8883" s="109"/>
      <c r="F8883" s="109"/>
      <c r="G8883" s="109"/>
      <c r="H8883" s="109"/>
      <c r="I8883" s="109"/>
      <c r="J8883" s="109"/>
    </row>
    <row r="8884" spans="1:10" customFormat="1" ht="12.75" hidden="1">
      <c r="A8884" s="109"/>
      <c r="B8884" s="109"/>
      <c r="C8884" s="109"/>
      <c r="D8884" s="109"/>
      <c r="E8884" s="109"/>
      <c r="F8884" s="109"/>
      <c r="G8884" s="109"/>
      <c r="H8884" s="109"/>
      <c r="I8884" s="109"/>
      <c r="J8884" s="109"/>
    </row>
    <row r="8885" spans="1:10" customFormat="1" ht="12.75" hidden="1">
      <c r="A8885" s="109"/>
      <c r="B8885" s="109"/>
      <c r="C8885" s="109"/>
      <c r="D8885" s="109"/>
      <c r="E8885" s="109"/>
      <c r="F8885" s="109"/>
      <c r="G8885" s="109"/>
      <c r="H8885" s="109"/>
      <c r="I8885" s="109"/>
      <c r="J8885" s="109"/>
    </row>
    <row r="8886" spans="1:10" customFormat="1" ht="12.75" hidden="1">
      <c r="A8886" s="109"/>
      <c r="B8886" s="109"/>
      <c r="C8886" s="109"/>
      <c r="D8886" s="109"/>
      <c r="E8886" s="109"/>
      <c r="F8886" s="109"/>
      <c r="G8886" s="109"/>
      <c r="H8886" s="109"/>
      <c r="I8886" s="109"/>
      <c r="J8886" s="109"/>
    </row>
    <row r="8887" spans="1:10" customFormat="1" ht="12.75" hidden="1">
      <c r="A8887" s="109"/>
      <c r="B8887" s="109"/>
      <c r="C8887" s="109"/>
      <c r="D8887" s="109"/>
      <c r="E8887" s="109"/>
      <c r="F8887" s="109"/>
      <c r="G8887" s="109"/>
      <c r="H8887" s="109"/>
      <c r="I8887" s="109"/>
      <c r="J8887" s="109"/>
    </row>
    <row r="8888" spans="1:10" customFormat="1" ht="12.75" hidden="1">
      <c r="A8888" s="109"/>
      <c r="B8888" s="109"/>
      <c r="C8888" s="109"/>
      <c r="D8888" s="109"/>
      <c r="E8888" s="109"/>
      <c r="F8888" s="109"/>
      <c r="G8888" s="109"/>
      <c r="H8888" s="109"/>
      <c r="I8888" s="109"/>
      <c r="J8888" s="109"/>
    </row>
    <row r="8889" spans="1:10" customFormat="1" ht="12.75" hidden="1">
      <c r="A8889" s="109"/>
      <c r="B8889" s="109"/>
      <c r="C8889" s="109"/>
      <c r="D8889" s="109"/>
      <c r="E8889" s="109"/>
      <c r="F8889" s="109"/>
      <c r="G8889" s="109"/>
      <c r="H8889" s="109"/>
      <c r="I8889" s="109"/>
      <c r="J8889" s="109"/>
    </row>
    <row r="8890" spans="1:10" customFormat="1" ht="12.75" hidden="1">
      <c r="A8890" s="109"/>
      <c r="B8890" s="109"/>
      <c r="C8890" s="109"/>
      <c r="D8890" s="109"/>
      <c r="E8890" s="109"/>
      <c r="F8890" s="109"/>
      <c r="G8890" s="109"/>
      <c r="H8890" s="109"/>
      <c r="I8890" s="109"/>
      <c r="J8890" s="109"/>
    </row>
    <row r="8891" spans="1:10" customFormat="1" ht="12.75" hidden="1">
      <c r="A8891" s="109"/>
      <c r="B8891" s="109"/>
      <c r="C8891" s="109"/>
      <c r="D8891" s="109"/>
      <c r="E8891" s="109"/>
      <c r="F8891" s="109"/>
      <c r="G8891" s="109"/>
      <c r="H8891" s="109"/>
      <c r="I8891" s="109"/>
      <c r="J8891" s="109"/>
    </row>
    <row r="8892" spans="1:10" customFormat="1" ht="12.75" hidden="1">
      <c r="A8892" s="109"/>
      <c r="B8892" s="109"/>
      <c r="C8892" s="109"/>
      <c r="D8892" s="109"/>
      <c r="E8892" s="109"/>
      <c r="F8892" s="109"/>
      <c r="G8892" s="109"/>
      <c r="H8892" s="109"/>
      <c r="I8892" s="109"/>
      <c r="J8892" s="109"/>
    </row>
    <row r="8893" spans="1:10" customFormat="1" ht="12.75" hidden="1">
      <c r="A8893" s="109"/>
      <c r="B8893" s="109"/>
      <c r="C8893" s="109"/>
      <c r="D8893" s="109"/>
      <c r="E8893" s="109"/>
      <c r="F8893" s="109"/>
      <c r="G8893" s="109"/>
      <c r="H8893" s="109"/>
      <c r="I8893" s="109"/>
      <c r="J8893" s="109"/>
    </row>
    <row r="8894" spans="1:10" customFormat="1" ht="12.75" hidden="1">
      <c r="A8894" s="109"/>
      <c r="B8894" s="109"/>
      <c r="C8894" s="109"/>
      <c r="D8894" s="109"/>
      <c r="E8894" s="109"/>
      <c r="F8894" s="109"/>
      <c r="G8894" s="109"/>
      <c r="H8894" s="109"/>
      <c r="I8894" s="109"/>
      <c r="J8894" s="109"/>
    </row>
    <row r="8895" spans="1:10" customFormat="1" ht="12.75" hidden="1">
      <c r="A8895" s="109"/>
      <c r="B8895" s="109"/>
      <c r="C8895" s="109"/>
      <c r="D8895" s="109"/>
      <c r="E8895" s="109"/>
      <c r="F8895" s="109"/>
      <c r="G8895" s="109"/>
      <c r="H8895" s="109"/>
      <c r="I8895" s="109"/>
      <c r="J8895" s="109"/>
    </row>
    <row r="8896" spans="1:10" customFormat="1" ht="12.75" hidden="1">
      <c r="A8896" s="109"/>
      <c r="B8896" s="109"/>
      <c r="C8896" s="109"/>
      <c r="D8896" s="109"/>
      <c r="E8896" s="109"/>
      <c r="F8896" s="109"/>
      <c r="G8896" s="109"/>
      <c r="H8896" s="109"/>
      <c r="I8896" s="109"/>
      <c r="J8896" s="109"/>
    </row>
    <row r="8897" spans="1:10" customFormat="1" ht="12.75" hidden="1">
      <c r="A8897" s="109"/>
      <c r="B8897" s="109"/>
      <c r="C8897" s="109"/>
      <c r="D8897" s="109"/>
      <c r="E8897" s="109"/>
      <c r="F8897" s="109"/>
      <c r="G8897" s="109"/>
      <c r="H8897" s="109"/>
      <c r="I8897" s="109"/>
      <c r="J8897" s="109"/>
    </row>
    <row r="8898" spans="1:10" customFormat="1" ht="12.75" hidden="1">
      <c r="A8898" s="109"/>
      <c r="B8898" s="109"/>
      <c r="C8898" s="109"/>
      <c r="D8898" s="109"/>
      <c r="E8898" s="109"/>
      <c r="F8898" s="109"/>
      <c r="G8898" s="109"/>
      <c r="H8898" s="109"/>
      <c r="I8898" s="109"/>
      <c r="J8898" s="109"/>
    </row>
    <row r="8899" spans="1:10" customFormat="1" ht="12.75" hidden="1">
      <c r="A8899" s="109"/>
      <c r="B8899" s="109"/>
      <c r="C8899" s="109"/>
      <c r="D8899" s="109"/>
      <c r="E8899" s="109"/>
      <c r="F8899" s="109"/>
      <c r="G8899" s="109"/>
      <c r="H8899" s="109"/>
      <c r="I8899" s="109"/>
      <c r="J8899" s="109"/>
    </row>
    <row r="8900" spans="1:10" customFormat="1" ht="12.75" hidden="1">
      <c r="A8900" s="109"/>
      <c r="B8900" s="109"/>
      <c r="C8900" s="109"/>
      <c r="D8900" s="109"/>
      <c r="E8900" s="109"/>
      <c r="F8900" s="109"/>
      <c r="G8900" s="109"/>
      <c r="H8900" s="109"/>
      <c r="I8900" s="109"/>
      <c r="J8900" s="109"/>
    </row>
    <row r="8901" spans="1:10" customFormat="1" ht="12.75" hidden="1">
      <c r="A8901" s="109"/>
      <c r="B8901" s="109"/>
      <c r="C8901" s="109"/>
      <c r="D8901" s="109"/>
      <c r="E8901" s="109"/>
      <c r="F8901" s="109"/>
      <c r="G8901" s="109"/>
      <c r="H8901" s="109"/>
      <c r="I8901" s="109"/>
      <c r="J8901" s="109"/>
    </row>
    <row r="8902" spans="1:10" customFormat="1" ht="12.75" hidden="1">
      <c r="A8902" s="109"/>
      <c r="B8902" s="109"/>
      <c r="C8902" s="109"/>
      <c r="D8902" s="109"/>
      <c r="E8902" s="109"/>
      <c r="F8902" s="109"/>
      <c r="G8902" s="109"/>
      <c r="H8902" s="109"/>
      <c r="I8902" s="109"/>
      <c r="J8902" s="109"/>
    </row>
    <row r="8903" spans="1:10" customFormat="1" ht="12.75" hidden="1">
      <c r="A8903" s="109"/>
      <c r="B8903" s="109"/>
      <c r="C8903" s="109"/>
      <c r="D8903" s="109"/>
      <c r="E8903" s="109"/>
      <c r="F8903" s="109"/>
      <c r="G8903" s="109"/>
      <c r="H8903" s="109"/>
      <c r="I8903" s="109"/>
      <c r="J8903" s="109"/>
    </row>
    <row r="8904" spans="1:10" customFormat="1" ht="12.75" hidden="1">
      <c r="A8904" s="109"/>
      <c r="B8904" s="109"/>
      <c r="C8904" s="109"/>
      <c r="D8904" s="109"/>
      <c r="E8904" s="109"/>
      <c r="F8904" s="109"/>
      <c r="G8904" s="109"/>
      <c r="H8904" s="109"/>
      <c r="I8904" s="109"/>
      <c r="J8904" s="109"/>
    </row>
    <row r="8905" spans="1:10" customFormat="1" ht="12.75" hidden="1">
      <c r="A8905" s="109"/>
      <c r="B8905" s="109"/>
      <c r="C8905" s="109"/>
      <c r="D8905" s="109"/>
      <c r="E8905" s="109"/>
      <c r="F8905" s="109"/>
      <c r="G8905" s="109"/>
      <c r="H8905" s="109"/>
      <c r="I8905" s="109"/>
      <c r="J8905" s="109"/>
    </row>
    <row r="8906" spans="1:10" customFormat="1" ht="12.75" hidden="1">
      <c r="A8906" s="109"/>
      <c r="B8906" s="109"/>
      <c r="C8906" s="109"/>
      <c r="D8906" s="109"/>
      <c r="E8906" s="109"/>
      <c r="F8906" s="109"/>
      <c r="G8906" s="109"/>
      <c r="H8906" s="109"/>
      <c r="I8906" s="109"/>
      <c r="J8906" s="109"/>
    </row>
    <row r="8907" spans="1:10" customFormat="1" ht="12.75" hidden="1">
      <c r="A8907" s="109"/>
      <c r="B8907" s="109"/>
      <c r="C8907" s="109"/>
      <c r="D8907" s="109"/>
      <c r="E8907" s="109"/>
      <c r="F8907" s="109"/>
      <c r="G8907" s="109"/>
      <c r="H8907" s="109"/>
      <c r="I8907" s="109"/>
      <c r="J8907" s="109"/>
    </row>
    <row r="8908" spans="1:10" customFormat="1" ht="12.75" hidden="1">
      <c r="A8908" s="109"/>
      <c r="B8908" s="109"/>
      <c r="C8908" s="109"/>
      <c r="D8908" s="109"/>
      <c r="E8908" s="109"/>
      <c r="F8908" s="109"/>
      <c r="G8908" s="109"/>
      <c r="H8908" s="109"/>
      <c r="I8908" s="109"/>
      <c r="J8908" s="109"/>
    </row>
    <row r="8909" spans="1:10" customFormat="1" ht="12.75" hidden="1">
      <c r="A8909" s="109"/>
      <c r="B8909" s="109"/>
      <c r="C8909" s="109"/>
      <c r="D8909" s="109"/>
      <c r="E8909" s="109"/>
      <c r="F8909" s="109"/>
      <c r="G8909" s="109"/>
      <c r="H8909" s="109"/>
      <c r="I8909" s="109"/>
      <c r="J8909" s="109"/>
    </row>
    <row r="8910" spans="1:10" customFormat="1" ht="12.75" hidden="1">
      <c r="A8910" s="109"/>
      <c r="B8910" s="109"/>
      <c r="C8910" s="109"/>
      <c r="D8910" s="109"/>
      <c r="E8910" s="109"/>
      <c r="F8910" s="109"/>
      <c r="G8910" s="109"/>
      <c r="H8910" s="109"/>
      <c r="I8910" s="109"/>
      <c r="J8910" s="109"/>
    </row>
    <row r="8911" spans="1:10" customFormat="1" ht="12.75" hidden="1">
      <c r="A8911" s="109"/>
      <c r="B8911" s="109"/>
      <c r="C8911" s="109"/>
      <c r="D8911" s="109"/>
      <c r="E8911" s="109"/>
      <c r="F8911" s="109"/>
      <c r="G8911" s="109"/>
      <c r="H8911" s="109"/>
      <c r="I8911" s="109"/>
      <c r="J8911" s="109"/>
    </row>
    <row r="8912" spans="1:10" customFormat="1" ht="12.75" hidden="1">
      <c r="A8912" s="109"/>
      <c r="B8912" s="109"/>
      <c r="C8912" s="109"/>
      <c r="D8912" s="109"/>
      <c r="E8912" s="109"/>
      <c r="F8912" s="109"/>
      <c r="G8912" s="109"/>
      <c r="H8912" s="109"/>
      <c r="I8912" s="109"/>
      <c r="J8912" s="109"/>
    </row>
    <row r="8913" spans="1:10" customFormat="1" ht="12.75" hidden="1">
      <c r="A8913" s="109"/>
      <c r="B8913" s="109"/>
      <c r="C8913" s="109"/>
      <c r="D8913" s="109"/>
      <c r="E8913" s="109"/>
      <c r="F8913" s="109"/>
      <c r="G8913" s="109"/>
      <c r="H8913" s="109"/>
      <c r="I8913" s="109"/>
      <c r="J8913" s="109"/>
    </row>
    <row r="8914" spans="1:10" customFormat="1" ht="12.75" hidden="1">
      <c r="A8914" s="109"/>
      <c r="B8914" s="109"/>
      <c r="C8914" s="109"/>
      <c r="D8914" s="109"/>
      <c r="E8914" s="109"/>
      <c r="F8914" s="109"/>
      <c r="G8914" s="109"/>
      <c r="H8914" s="109"/>
      <c r="I8914" s="109"/>
      <c r="J8914" s="109"/>
    </row>
    <row r="8915" spans="1:10" customFormat="1" ht="12.75" hidden="1">
      <c r="A8915" s="109"/>
      <c r="B8915" s="109"/>
      <c r="C8915" s="109"/>
      <c r="D8915" s="109"/>
      <c r="E8915" s="109"/>
      <c r="F8915" s="109"/>
      <c r="G8915" s="109"/>
      <c r="H8915" s="109"/>
      <c r="I8915" s="109"/>
      <c r="J8915" s="109"/>
    </row>
    <row r="8916" spans="1:10" customFormat="1" ht="12.75" hidden="1">
      <c r="A8916" s="109"/>
      <c r="B8916" s="109"/>
      <c r="C8916" s="109"/>
      <c r="D8916" s="109"/>
      <c r="E8916" s="109"/>
      <c r="F8916" s="109"/>
      <c r="G8916" s="109"/>
      <c r="H8916" s="109"/>
      <c r="I8916" s="109"/>
      <c r="J8916" s="109"/>
    </row>
    <row r="8917" spans="1:10" customFormat="1" ht="12.75" hidden="1">
      <c r="A8917" s="109"/>
      <c r="B8917" s="109"/>
      <c r="C8917" s="109"/>
      <c r="D8917" s="109"/>
      <c r="E8917" s="109"/>
      <c r="F8917" s="109"/>
      <c r="G8917" s="109"/>
      <c r="H8917" s="109"/>
      <c r="I8917" s="109"/>
      <c r="J8917" s="109"/>
    </row>
    <row r="8918" spans="1:10" customFormat="1" ht="12.75" hidden="1">
      <c r="A8918" s="109"/>
      <c r="B8918" s="109"/>
      <c r="C8918" s="109"/>
      <c r="D8918" s="109"/>
      <c r="E8918" s="109"/>
      <c r="F8918" s="109"/>
      <c r="G8918" s="109"/>
      <c r="H8918" s="109"/>
      <c r="I8918" s="109"/>
      <c r="J8918" s="109"/>
    </row>
    <row r="8919" spans="1:10" customFormat="1" ht="12.75" hidden="1">
      <c r="A8919" s="109"/>
      <c r="B8919" s="109"/>
      <c r="C8919" s="109"/>
      <c r="D8919" s="109"/>
      <c r="E8919" s="109"/>
      <c r="F8919" s="109"/>
      <c r="G8919" s="109"/>
      <c r="H8919" s="109"/>
      <c r="I8919" s="109"/>
      <c r="J8919" s="109"/>
    </row>
    <row r="8920" spans="1:10" customFormat="1" ht="12.75" hidden="1">
      <c r="A8920" s="109"/>
      <c r="B8920" s="109"/>
      <c r="C8920" s="109"/>
      <c r="D8920" s="109"/>
      <c r="E8920" s="109"/>
      <c r="F8920" s="109"/>
      <c r="G8920" s="109"/>
      <c r="H8920" s="109"/>
      <c r="I8920" s="109"/>
      <c r="J8920" s="109"/>
    </row>
    <row r="8921" spans="1:10" customFormat="1" ht="12.75" hidden="1">
      <c r="A8921" s="109"/>
      <c r="B8921" s="109"/>
      <c r="C8921" s="109"/>
      <c r="D8921" s="109"/>
      <c r="E8921" s="109"/>
      <c r="F8921" s="109"/>
      <c r="G8921" s="109"/>
      <c r="H8921" s="109"/>
      <c r="I8921" s="109"/>
      <c r="J8921" s="109"/>
    </row>
    <row r="8922" spans="1:10" customFormat="1" ht="12.75" hidden="1">
      <c r="A8922" s="109"/>
      <c r="B8922" s="109"/>
      <c r="C8922" s="109"/>
      <c r="D8922" s="109"/>
      <c r="E8922" s="109"/>
      <c r="F8922" s="109"/>
      <c r="G8922" s="109"/>
      <c r="H8922" s="109"/>
      <c r="I8922" s="109"/>
      <c r="J8922" s="109"/>
    </row>
    <row r="8923" spans="1:10" customFormat="1" ht="12.75" hidden="1">
      <c r="A8923" s="109"/>
      <c r="B8923" s="109"/>
      <c r="C8923" s="109"/>
      <c r="D8923" s="109"/>
      <c r="E8923" s="109"/>
      <c r="F8923" s="109"/>
      <c r="G8923" s="109"/>
      <c r="H8923" s="109"/>
      <c r="I8923" s="109"/>
      <c r="J8923" s="109"/>
    </row>
    <row r="8924" spans="1:10" customFormat="1" ht="12.75" hidden="1">
      <c r="A8924" s="109"/>
      <c r="B8924" s="109"/>
      <c r="C8924" s="109"/>
      <c r="D8924" s="109"/>
      <c r="E8924" s="109"/>
      <c r="F8924" s="109"/>
      <c r="G8924" s="109"/>
      <c r="H8924" s="109"/>
      <c r="I8924" s="109"/>
      <c r="J8924" s="109"/>
    </row>
    <row r="8925" spans="1:10" customFormat="1" ht="12.75" hidden="1">
      <c r="A8925" s="109"/>
      <c r="B8925" s="109"/>
      <c r="C8925" s="109"/>
      <c r="D8925" s="109"/>
      <c r="E8925" s="109"/>
      <c r="F8925" s="109"/>
      <c r="G8925" s="109"/>
      <c r="H8925" s="109"/>
      <c r="I8925" s="109"/>
      <c r="J8925" s="109"/>
    </row>
    <row r="8926" spans="1:10" customFormat="1" ht="12.75" hidden="1">
      <c r="A8926" s="109"/>
      <c r="B8926" s="109"/>
      <c r="C8926" s="109"/>
      <c r="D8926" s="109"/>
      <c r="E8926" s="109"/>
      <c r="F8926" s="109"/>
      <c r="G8926" s="109"/>
      <c r="H8926" s="109"/>
      <c r="I8926" s="109"/>
      <c r="J8926" s="109"/>
    </row>
    <row r="8927" spans="1:10" customFormat="1" ht="12.75" hidden="1">
      <c r="A8927" s="109"/>
      <c r="B8927" s="109"/>
      <c r="C8927" s="109"/>
      <c r="D8927" s="109"/>
      <c r="E8927" s="109"/>
      <c r="F8927" s="109"/>
      <c r="G8927" s="109"/>
      <c r="H8927" s="109"/>
      <c r="I8927" s="109"/>
      <c r="J8927" s="109"/>
    </row>
    <row r="8928" spans="1:10" customFormat="1" ht="12.75" hidden="1">
      <c r="A8928" s="109"/>
      <c r="B8928" s="109"/>
      <c r="C8928" s="109"/>
      <c r="D8928" s="109"/>
      <c r="E8928" s="109"/>
      <c r="F8928" s="109"/>
      <c r="G8928" s="109"/>
      <c r="H8928" s="109"/>
      <c r="I8928" s="109"/>
      <c r="J8928" s="109"/>
    </row>
    <row r="8929" spans="1:10" customFormat="1" ht="12.75" hidden="1">
      <c r="A8929" s="109"/>
      <c r="B8929" s="109"/>
      <c r="C8929" s="109"/>
      <c r="D8929" s="109"/>
      <c r="E8929" s="109"/>
      <c r="F8929" s="109"/>
      <c r="G8929" s="109"/>
      <c r="H8929" s="109"/>
      <c r="I8929" s="109"/>
      <c r="J8929" s="109"/>
    </row>
    <row r="8930" spans="1:10" customFormat="1" ht="12.75" hidden="1">
      <c r="A8930" s="109"/>
      <c r="B8930" s="109"/>
      <c r="C8930" s="109"/>
      <c r="D8930" s="109"/>
      <c r="E8930" s="109"/>
      <c r="F8930" s="109"/>
      <c r="G8930" s="109"/>
      <c r="H8930" s="109"/>
      <c r="I8930" s="109"/>
      <c r="J8930" s="109"/>
    </row>
    <row r="8931" spans="1:10" customFormat="1" ht="12.75" hidden="1">
      <c r="A8931" s="109"/>
      <c r="B8931" s="109"/>
      <c r="C8931" s="109"/>
      <c r="D8931" s="109"/>
      <c r="E8931" s="109"/>
      <c r="F8931" s="109"/>
      <c r="G8931" s="109"/>
      <c r="H8931" s="109"/>
      <c r="I8931" s="109"/>
      <c r="J8931" s="109"/>
    </row>
    <row r="8932" spans="1:10" customFormat="1" ht="12.75" hidden="1">
      <c r="A8932" s="109"/>
      <c r="B8932" s="109"/>
      <c r="C8932" s="109"/>
      <c r="D8932" s="109"/>
      <c r="E8932" s="109"/>
      <c r="F8932" s="109"/>
      <c r="G8932" s="109"/>
      <c r="H8932" s="109"/>
      <c r="I8932" s="109"/>
      <c r="J8932" s="109"/>
    </row>
    <row r="8933" spans="1:10" customFormat="1" ht="12.75" hidden="1">
      <c r="A8933" s="109"/>
      <c r="B8933" s="109"/>
      <c r="C8933" s="109"/>
      <c r="D8933" s="109"/>
      <c r="E8933" s="109"/>
      <c r="F8933" s="109"/>
      <c r="G8933" s="109"/>
      <c r="H8933" s="109"/>
      <c r="I8933" s="109"/>
      <c r="J8933" s="109"/>
    </row>
    <row r="8934" spans="1:10" customFormat="1" ht="12.75" hidden="1">
      <c r="A8934" s="109"/>
      <c r="B8934" s="109"/>
      <c r="C8934" s="109"/>
      <c r="D8934" s="109"/>
      <c r="E8934" s="109"/>
      <c r="F8934" s="109"/>
      <c r="G8934" s="109"/>
      <c r="H8934" s="109"/>
      <c r="I8934" s="109"/>
      <c r="J8934" s="109"/>
    </row>
    <row r="8935" spans="1:10" customFormat="1" ht="12.75" hidden="1">
      <c r="A8935" s="109"/>
      <c r="B8935" s="109"/>
      <c r="C8935" s="109"/>
      <c r="D8935" s="109"/>
      <c r="E8935" s="109"/>
      <c r="F8935" s="109"/>
      <c r="G8935" s="109"/>
      <c r="H8935" s="109"/>
      <c r="I8935" s="109"/>
      <c r="J8935" s="109"/>
    </row>
    <row r="8936" spans="1:10" customFormat="1" ht="12.75" hidden="1">
      <c r="A8936" s="109"/>
      <c r="B8936" s="109"/>
      <c r="C8936" s="109"/>
      <c r="D8936" s="109"/>
      <c r="E8936" s="109"/>
      <c r="F8936" s="109"/>
      <c r="G8936" s="109"/>
      <c r="H8936" s="109"/>
      <c r="I8936" s="109"/>
      <c r="J8936" s="109"/>
    </row>
    <row r="8937" spans="1:10" customFormat="1" ht="12.75" hidden="1">
      <c r="A8937" s="109"/>
      <c r="B8937" s="109"/>
      <c r="C8937" s="109"/>
      <c r="D8937" s="109"/>
      <c r="E8937" s="109"/>
      <c r="F8937" s="109"/>
      <c r="G8937" s="109"/>
      <c r="H8937" s="109"/>
      <c r="I8937" s="109"/>
      <c r="J8937" s="109"/>
    </row>
    <row r="8938" spans="1:10" customFormat="1" ht="12.75" hidden="1">
      <c r="A8938" s="109"/>
      <c r="B8938" s="109"/>
      <c r="C8938" s="109"/>
      <c r="D8938" s="109"/>
      <c r="E8938" s="109"/>
      <c r="F8938" s="109"/>
      <c r="G8938" s="109"/>
      <c r="H8938" s="109"/>
      <c r="I8938" s="109"/>
      <c r="J8938" s="109"/>
    </row>
    <row r="8939" spans="1:10" customFormat="1" ht="12.75" hidden="1">
      <c r="A8939" s="109"/>
      <c r="B8939" s="109"/>
      <c r="C8939" s="109"/>
      <c r="D8939" s="109"/>
      <c r="E8939" s="109"/>
      <c r="F8939" s="109"/>
      <c r="G8939" s="109"/>
      <c r="H8939" s="109"/>
      <c r="I8939" s="109"/>
      <c r="J8939" s="109"/>
    </row>
    <row r="8940" spans="1:10" customFormat="1" ht="12.75" hidden="1">
      <c r="A8940" s="109"/>
      <c r="B8940" s="109"/>
      <c r="C8940" s="109"/>
      <c r="D8940" s="109"/>
      <c r="E8940" s="109"/>
      <c r="F8940" s="109"/>
      <c r="G8940" s="109"/>
      <c r="H8940" s="109"/>
      <c r="I8940" s="109"/>
      <c r="J8940" s="109"/>
    </row>
    <row r="8941" spans="1:10" customFormat="1" ht="12.75" hidden="1">
      <c r="A8941" s="109"/>
      <c r="B8941" s="109"/>
      <c r="C8941" s="109"/>
      <c r="D8941" s="109"/>
      <c r="E8941" s="109"/>
      <c r="F8941" s="109"/>
      <c r="G8941" s="109"/>
      <c r="H8941" s="109"/>
      <c r="I8941" s="109"/>
      <c r="J8941" s="109"/>
    </row>
    <row r="8942" spans="1:10" customFormat="1" ht="12.75" hidden="1">
      <c r="A8942" s="109"/>
      <c r="B8942" s="109"/>
      <c r="C8942" s="109"/>
      <c r="D8942" s="109"/>
      <c r="E8942" s="109"/>
      <c r="F8942" s="109"/>
      <c r="G8942" s="109"/>
      <c r="H8942" s="109"/>
      <c r="I8942" s="109"/>
      <c r="J8942" s="109"/>
    </row>
    <row r="8943" spans="1:10" customFormat="1" ht="12.75" hidden="1">
      <c r="A8943" s="109"/>
      <c r="B8943" s="109"/>
      <c r="C8943" s="109"/>
      <c r="D8943" s="109"/>
      <c r="E8943" s="109"/>
      <c r="F8943" s="109"/>
      <c r="G8943" s="109"/>
      <c r="H8943" s="109"/>
      <c r="I8943" s="109"/>
      <c r="J8943" s="109"/>
    </row>
    <row r="8944" spans="1:10" customFormat="1" ht="12.75" hidden="1">
      <c r="A8944" s="109"/>
      <c r="B8944" s="109"/>
      <c r="C8944" s="109"/>
      <c r="D8944" s="109"/>
      <c r="E8944" s="109"/>
      <c r="F8944" s="109"/>
      <c r="G8944" s="109"/>
      <c r="H8944" s="109"/>
      <c r="I8944" s="109"/>
      <c r="J8944" s="109"/>
    </row>
    <row r="8945" spans="1:10" customFormat="1" ht="12.75" hidden="1">
      <c r="A8945" s="109"/>
      <c r="B8945" s="109"/>
      <c r="C8945" s="109"/>
      <c r="D8945" s="109"/>
      <c r="E8945" s="109"/>
      <c r="F8945" s="109"/>
      <c r="G8945" s="109"/>
      <c r="H8945" s="109"/>
      <c r="I8945" s="109"/>
      <c r="J8945" s="109"/>
    </row>
    <row r="8946" spans="1:10" customFormat="1" ht="12.75" hidden="1">
      <c r="A8946" s="109"/>
      <c r="B8946" s="109"/>
      <c r="C8946" s="109"/>
      <c r="D8946" s="109"/>
      <c r="E8946" s="109"/>
      <c r="F8946" s="109"/>
      <c r="G8946" s="109"/>
      <c r="H8946" s="109"/>
      <c r="I8946" s="109"/>
      <c r="J8946" s="109"/>
    </row>
    <row r="8947" spans="1:10" customFormat="1" ht="12.75" hidden="1">
      <c r="A8947" s="109"/>
      <c r="B8947" s="109"/>
      <c r="C8947" s="109"/>
      <c r="D8947" s="109"/>
      <c r="E8947" s="109"/>
      <c r="F8947" s="109"/>
      <c r="G8947" s="109"/>
      <c r="H8947" s="109"/>
      <c r="I8947" s="109"/>
      <c r="J8947" s="109"/>
    </row>
    <row r="8948" spans="1:10" customFormat="1" ht="12.75" hidden="1">
      <c r="A8948" s="109"/>
      <c r="B8948" s="109"/>
      <c r="C8948" s="109"/>
      <c r="D8948" s="109"/>
      <c r="E8948" s="109"/>
      <c r="F8948" s="109"/>
      <c r="G8948" s="109"/>
      <c r="H8948" s="109"/>
      <c r="I8948" s="109"/>
      <c r="J8948" s="109"/>
    </row>
    <row r="8949" spans="1:10" customFormat="1" ht="12.75" hidden="1">
      <c r="A8949" s="109"/>
      <c r="B8949" s="109"/>
      <c r="C8949" s="109"/>
      <c r="D8949" s="109"/>
      <c r="E8949" s="109"/>
      <c r="F8949" s="109"/>
      <c r="G8949" s="109"/>
      <c r="H8949" s="109"/>
      <c r="I8949" s="109"/>
      <c r="J8949" s="109"/>
    </row>
    <row r="8950" spans="1:10" customFormat="1" ht="12.75" hidden="1">
      <c r="A8950" s="109"/>
      <c r="B8950" s="109"/>
      <c r="C8950" s="109"/>
      <c r="D8950" s="109"/>
      <c r="E8950" s="109"/>
      <c r="F8950" s="109"/>
      <c r="G8950" s="109"/>
      <c r="H8950" s="109"/>
      <c r="I8950" s="109"/>
      <c r="J8950" s="109"/>
    </row>
    <row r="8951" spans="1:10" customFormat="1" ht="12.75" hidden="1">
      <c r="A8951" s="109"/>
      <c r="B8951" s="109"/>
      <c r="C8951" s="109"/>
      <c r="D8951" s="109"/>
      <c r="E8951" s="109"/>
      <c r="F8951" s="109"/>
      <c r="G8951" s="109"/>
      <c r="H8951" s="109"/>
      <c r="I8951" s="109"/>
      <c r="J8951" s="109"/>
    </row>
    <row r="8952" spans="1:10" customFormat="1" ht="12.75" hidden="1">
      <c r="A8952" s="109"/>
      <c r="B8952" s="109"/>
      <c r="C8952" s="109"/>
      <c r="D8952" s="109"/>
      <c r="E8952" s="109"/>
      <c r="F8952" s="109"/>
      <c r="G8952" s="109"/>
      <c r="H8952" s="109"/>
      <c r="I8952" s="109"/>
      <c r="J8952" s="109"/>
    </row>
    <row r="8953" spans="1:10" customFormat="1" ht="12.75" hidden="1">
      <c r="A8953" s="109"/>
      <c r="B8953" s="109"/>
      <c r="C8953" s="109"/>
      <c r="D8953" s="109"/>
      <c r="E8953" s="109"/>
      <c r="F8953" s="109"/>
      <c r="G8953" s="109"/>
      <c r="H8953" s="109"/>
      <c r="I8953" s="109"/>
      <c r="J8953" s="109"/>
    </row>
    <row r="8954" spans="1:10" customFormat="1" ht="12.75" hidden="1">
      <c r="A8954" s="109"/>
      <c r="B8954" s="109"/>
      <c r="C8954" s="109"/>
      <c r="D8954" s="109"/>
      <c r="E8954" s="109"/>
      <c r="F8954" s="109"/>
      <c r="G8954" s="109"/>
      <c r="H8954" s="109"/>
      <c r="I8954" s="109"/>
      <c r="J8954" s="109"/>
    </row>
    <row r="8955" spans="1:10" customFormat="1" ht="12.75" hidden="1">
      <c r="A8955" s="109"/>
      <c r="B8955" s="109"/>
      <c r="C8955" s="109"/>
      <c r="D8955" s="109"/>
      <c r="E8955" s="109"/>
      <c r="F8955" s="109"/>
      <c r="G8955" s="109"/>
      <c r="H8955" s="109"/>
      <c r="I8955" s="109"/>
      <c r="J8955" s="109"/>
    </row>
    <row r="8956" spans="1:10" customFormat="1" ht="12.75" hidden="1">
      <c r="A8956" s="109"/>
      <c r="B8956" s="109"/>
      <c r="C8956" s="109"/>
      <c r="D8956" s="109"/>
      <c r="E8956" s="109"/>
      <c r="F8956" s="109"/>
      <c r="G8956" s="109"/>
      <c r="H8956" s="109"/>
      <c r="I8956" s="109"/>
      <c r="J8956" s="109"/>
    </row>
    <row r="8957" spans="1:10" customFormat="1" ht="12.75" hidden="1">
      <c r="A8957" s="109"/>
      <c r="B8957" s="109"/>
      <c r="C8957" s="109"/>
      <c r="D8957" s="109"/>
      <c r="E8957" s="109"/>
      <c r="F8957" s="109"/>
      <c r="G8957" s="109"/>
      <c r="H8957" s="109"/>
      <c r="I8957" s="109"/>
      <c r="J8957" s="109"/>
    </row>
    <row r="8958" spans="1:10" customFormat="1" ht="12.75" hidden="1">
      <c r="A8958" s="109"/>
      <c r="B8958" s="109"/>
      <c r="C8958" s="109"/>
      <c r="D8958" s="109"/>
      <c r="E8958" s="109"/>
      <c r="F8958" s="109"/>
      <c r="G8958" s="109"/>
      <c r="H8958" s="109"/>
      <c r="I8958" s="109"/>
      <c r="J8958" s="109"/>
    </row>
    <row r="8959" spans="1:10" customFormat="1" ht="12.75" hidden="1">
      <c r="A8959" s="109"/>
      <c r="B8959" s="109"/>
      <c r="C8959" s="109"/>
      <c r="D8959" s="109"/>
      <c r="E8959" s="109"/>
      <c r="F8959" s="109"/>
      <c r="G8959" s="109"/>
      <c r="H8959" s="109"/>
      <c r="I8959" s="109"/>
      <c r="J8959" s="109"/>
    </row>
    <row r="8960" spans="1:10" customFormat="1" ht="12.75" hidden="1">
      <c r="A8960" s="109"/>
      <c r="B8960" s="109"/>
      <c r="C8960" s="109"/>
      <c r="D8960" s="109"/>
      <c r="E8960" s="109"/>
      <c r="F8960" s="109"/>
      <c r="G8960" s="109"/>
      <c r="H8960" s="109"/>
      <c r="I8960" s="109"/>
      <c r="J8960" s="109"/>
    </row>
    <row r="8961" spans="1:10" customFormat="1" ht="12.75" hidden="1">
      <c r="A8961" s="109"/>
      <c r="B8961" s="109"/>
      <c r="C8961" s="109"/>
      <c r="D8961" s="109"/>
      <c r="E8961" s="109"/>
      <c r="F8961" s="109"/>
      <c r="G8961" s="109"/>
      <c r="H8961" s="109"/>
      <c r="I8961" s="109"/>
      <c r="J8961" s="109"/>
    </row>
    <row r="8962" spans="1:10" customFormat="1" ht="12.75" hidden="1">
      <c r="A8962" s="109"/>
      <c r="B8962" s="109"/>
      <c r="C8962" s="109"/>
      <c r="D8962" s="109"/>
      <c r="E8962" s="109"/>
      <c r="F8962" s="109"/>
      <c r="G8962" s="109"/>
      <c r="H8962" s="109"/>
      <c r="I8962" s="109"/>
      <c r="J8962" s="109"/>
    </row>
    <row r="8963" spans="1:10" customFormat="1" ht="12.75" hidden="1">
      <c r="A8963" s="109"/>
      <c r="B8963" s="109"/>
      <c r="C8963" s="109"/>
      <c r="D8963" s="109"/>
      <c r="E8963" s="109"/>
      <c r="F8963" s="109"/>
      <c r="G8963" s="109"/>
      <c r="H8963" s="109"/>
      <c r="I8963" s="109"/>
      <c r="J8963" s="109"/>
    </row>
    <row r="8964" spans="1:10" customFormat="1" ht="12.75" hidden="1">
      <c r="A8964" s="109"/>
      <c r="B8964" s="109"/>
      <c r="C8964" s="109"/>
      <c r="D8964" s="109"/>
      <c r="E8964" s="109"/>
      <c r="F8964" s="109"/>
      <c r="G8964" s="109"/>
      <c r="H8964" s="109"/>
      <c r="I8964" s="109"/>
      <c r="J8964" s="109"/>
    </row>
    <row r="8965" spans="1:10" customFormat="1" ht="12.75" hidden="1">
      <c r="A8965" s="109"/>
      <c r="B8965" s="109"/>
      <c r="C8965" s="109"/>
      <c r="D8965" s="109"/>
      <c r="E8965" s="109"/>
      <c r="F8965" s="109"/>
      <c r="G8965" s="109"/>
      <c r="H8965" s="109"/>
      <c r="I8965" s="109"/>
      <c r="J8965" s="109"/>
    </row>
    <row r="8966" spans="1:10" customFormat="1" ht="12.75" hidden="1">
      <c r="A8966" s="109"/>
      <c r="B8966" s="109"/>
      <c r="C8966" s="109"/>
      <c r="D8966" s="109"/>
      <c r="E8966" s="109"/>
      <c r="F8966" s="109"/>
      <c r="G8966" s="109"/>
      <c r="H8966" s="109"/>
      <c r="I8966" s="109"/>
      <c r="J8966" s="109"/>
    </row>
    <row r="8967" spans="1:10" customFormat="1" ht="12.75" hidden="1">
      <c r="A8967" s="109"/>
      <c r="B8967" s="109"/>
      <c r="C8967" s="109"/>
      <c r="D8967" s="109"/>
      <c r="E8967" s="109"/>
      <c r="F8967" s="109"/>
      <c r="G8967" s="109"/>
      <c r="H8967" s="109"/>
      <c r="I8967" s="109"/>
      <c r="J8967" s="109"/>
    </row>
    <row r="8968" spans="1:10" customFormat="1" ht="12.75" hidden="1">
      <c r="A8968" s="109"/>
      <c r="B8968" s="109"/>
      <c r="C8968" s="109"/>
      <c r="D8968" s="109"/>
      <c r="E8968" s="109"/>
      <c r="F8968" s="109"/>
      <c r="G8968" s="109"/>
      <c r="H8968" s="109"/>
      <c r="I8968" s="109"/>
      <c r="J8968" s="109"/>
    </row>
    <row r="8969" spans="1:10" customFormat="1" ht="12.75" hidden="1">
      <c r="A8969" s="109"/>
      <c r="B8969" s="109"/>
      <c r="C8969" s="109"/>
      <c r="D8969" s="109"/>
      <c r="E8969" s="109"/>
      <c r="F8969" s="109"/>
      <c r="G8969" s="109"/>
      <c r="H8969" s="109"/>
      <c r="I8969" s="109"/>
      <c r="J8969" s="109"/>
    </row>
    <row r="8970" spans="1:10" customFormat="1" ht="12.75" hidden="1">
      <c r="A8970" s="109"/>
      <c r="B8970" s="109"/>
      <c r="C8970" s="109"/>
      <c r="D8970" s="109"/>
      <c r="E8970" s="109"/>
      <c r="F8970" s="109"/>
      <c r="G8970" s="109"/>
      <c r="H8970" s="109"/>
      <c r="I8970" s="109"/>
      <c r="J8970" s="109"/>
    </row>
    <row r="8971" spans="1:10" customFormat="1" ht="12.75" hidden="1">
      <c r="A8971" s="109"/>
      <c r="B8971" s="109"/>
      <c r="C8971" s="109"/>
      <c r="D8971" s="109"/>
      <c r="E8971" s="109"/>
      <c r="F8971" s="109"/>
      <c r="G8971" s="109"/>
      <c r="H8971" s="109"/>
      <c r="I8971" s="109"/>
      <c r="J8971" s="109"/>
    </row>
    <row r="8972" spans="1:10" customFormat="1" ht="12.75" hidden="1">
      <c r="A8972" s="109"/>
      <c r="B8972" s="109"/>
      <c r="C8972" s="109"/>
      <c r="D8972" s="109"/>
      <c r="E8972" s="109"/>
      <c r="F8972" s="109"/>
      <c r="G8972" s="109"/>
      <c r="H8972" s="109"/>
      <c r="I8972" s="109"/>
      <c r="J8972" s="109"/>
    </row>
    <row r="8973" spans="1:10" customFormat="1" ht="12.75" hidden="1">
      <c r="A8973" s="109"/>
      <c r="B8973" s="109"/>
      <c r="C8973" s="109"/>
      <c r="D8973" s="109"/>
      <c r="E8973" s="109"/>
      <c r="F8973" s="109"/>
      <c r="G8973" s="109"/>
      <c r="H8973" s="109"/>
      <c r="I8973" s="109"/>
      <c r="J8973" s="109"/>
    </row>
    <row r="8974" spans="1:10" customFormat="1" ht="12.75" hidden="1">
      <c r="A8974" s="109"/>
      <c r="B8974" s="109"/>
      <c r="C8974" s="109"/>
      <c r="D8974" s="109"/>
      <c r="E8974" s="109"/>
      <c r="F8974" s="109"/>
      <c r="G8974" s="109"/>
      <c r="H8974" s="109"/>
      <c r="I8974" s="109"/>
      <c r="J8974" s="109"/>
    </row>
    <row r="8975" spans="1:10" customFormat="1" ht="12.75" hidden="1">
      <c r="A8975" s="109"/>
      <c r="B8975" s="109"/>
      <c r="C8975" s="109"/>
      <c r="D8975" s="109"/>
      <c r="E8975" s="109"/>
      <c r="F8975" s="109"/>
      <c r="G8975" s="109"/>
      <c r="H8975" s="109"/>
      <c r="I8975" s="109"/>
      <c r="J8975" s="109"/>
    </row>
    <row r="8976" spans="1:10" customFormat="1" ht="12.75" hidden="1">
      <c r="A8976" s="109"/>
      <c r="B8976" s="109"/>
      <c r="C8976" s="109"/>
      <c r="D8976" s="109"/>
      <c r="E8976" s="109"/>
      <c r="F8976" s="109"/>
      <c r="G8976" s="109"/>
      <c r="H8976" s="109"/>
      <c r="I8976" s="109"/>
      <c r="J8976" s="109"/>
    </row>
    <row r="8977" spans="1:10" customFormat="1" ht="12.75" hidden="1">
      <c r="A8977" s="109"/>
      <c r="B8977" s="109"/>
      <c r="C8977" s="109"/>
      <c r="D8977" s="109"/>
      <c r="E8977" s="109"/>
      <c r="F8977" s="109"/>
      <c r="G8977" s="109"/>
      <c r="H8977" s="109"/>
      <c r="I8977" s="109"/>
      <c r="J8977" s="109"/>
    </row>
    <row r="8978" spans="1:10" customFormat="1" ht="12.75" hidden="1">
      <c r="A8978" s="109"/>
      <c r="B8978" s="109"/>
      <c r="C8978" s="109"/>
      <c r="D8978" s="109"/>
      <c r="E8978" s="109"/>
      <c r="F8978" s="109"/>
      <c r="G8978" s="109"/>
      <c r="H8978" s="109"/>
      <c r="I8978" s="109"/>
      <c r="J8978" s="109"/>
    </row>
    <row r="8979" spans="1:10" customFormat="1" ht="12.75" hidden="1">
      <c r="A8979" s="109"/>
      <c r="B8979" s="109"/>
      <c r="C8979" s="109"/>
      <c r="D8979" s="109"/>
      <c r="E8979" s="109"/>
      <c r="F8979" s="109"/>
      <c r="G8979" s="109"/>
      <c r="H8979" s="109"/>
      <c r="I8979" s="109"/>
      <c r="J8979" s="109"/>
    </row>
    <row r="8980" spans="1:10" customFormat="1" ht="12.75" hidden="1">
      <c r="A8980" s="109"/>
      <c r="B8980" s="109"/>
      <c r="C8980" s="109"/>
      <c r="D8980" s="109"/>
      <c r="E8980" s="109"/>
      <c r="F8980" s="109"/>
      <c r="G8980" s="109"/>
      <c r="H8980" s="109"/>
      <c r="I8980" s="109"/>
      <c r="J8980" s="109"/>
    </row>
    <row r="8981" spans="1:10" customFormat="1" ht="12.75" hidden="1">
      <c r="A8981" s="109"/>
      <c r="B8981" s="109"/>
      <c r="C8981" s="109"/>
      <c r="D8981" s="109"/>
      <c r="E8981" s="109"/>
      <c r="F8981" s="109"/>
      <c r="G8981" s="109"/>
      <c r="H8981" s="109"/>
      <c r="I8981" s="109"/>
      <c r="J8981" s="109"/>
    </row>
    <row r="8982" spans="1:10" customFormat="1" ht="12.75" hidden="1">
      <c r="A8982" s="109"/>
      <c r="B8982" s="109"/>
      <c r="C8982" s="109"/>
      <c r="D8982" s="109"/>
      <c r="E8982" s="109"/>
      <c r="F8982" s="109"/>
      <c r="G8982" s="109"/>
      <c r="H8982" s="109"/>
      <c r="I8982" s="109"/>
      <c r="J8982" s="109"/>
    </row>
    <row r="8983" spans="1:10" customFormat="1" ht="12.75" hidden="1">
      <c r="A8983" s="109"/>
      <c r="B8983" s="109"/>
      <c r="C8983" s="109"/>
      <c r="D8983" s="109"/>
      <c r="E8983" s="109"/>
      <c r="F8983" s="109"/>
      <c r="G8983" s="109"/>
      <c r="H8983" s="109"/>
      <c r="I8983" s="109"/>
      <c r="J8983" s="109"/>
    </row>
    <row r="8984" spans="1:10" customFormat="1" ht="12.75" hidden="1">
      <c r="A8984" s="109"/>
      <c r="B8984" s="109"/>
      <c r="C8984" s="109"/>
      <c r="D8984" s="109"/>
      <c r="E8984" s="109"/>
      <c r="F8984" s="109"/>
      <c r="G8984" s="109"/>
      <c r="H8984" s="109"/>
      <c r="I8984" s="109"/>
      <c r="J8984" s="109"/>
    </row>
    <row r="8985" spans="1:10" customFormat="1" ht="12.75" hidden="1">
      <c r="A8985" s="109"/>
      <c r="B8985" s="109"/>
      <c r="C8985" s="109"/>
      <c r="D8985" s="109"/>
      <c r="E8985" s="109"/>
      <c r="F8985" s="109"/>
      <c r="G8985" s="109"/>
      <c r="H8985" s="109"/>
      <c r="I8985" s="109"/>
      <c r="J8985" s="109"/>
    </row>
    <row r="8986" spans="1:10" customFormat="1" ht="12.75" hidden="1">
      <c r="A8986" s="109"/>
      <c r="B8986" s="109"/>
      <c r="C8986" s="109"/>
      <c r="D8986" s="109"/>
      <c r="E8986" s="109"/>
      <c r="F8986" s="109"/>
      <c r="G8986" s="109"/>
      <c r="H8986" s="109"/>
      <c r="I8986" s="109"/>
      <c r="J8986" s="109"/>
    </row>
    <row r="8987" spans="1:10" customFormat="1" ht="12.75" hidden="1">
      <c r="A8987" s="109"/>
      <c r="B8987" s="109"/>
      <c r="C8987" s="109"/>
      <c r="D8987" s="109"/>
      <c r="E8987" s="109"/>
      <c r="F8987" s="109"/>
      <c r="G8987" s="109"/>
      <c r="H8987" s="109"/>
      <c r="I8987" s="109"/>
      <c r="J8987" s="109"/>
    </row>
    <row r="8988" spans="1:10" customFormat="1" ht="12.75" hidden="1">
      <c r="A8988" s="109"/>
      <c r="B8988" s="109"/>
      <c r="C8988" s="109"/>
      <c r="D8988" s="109"/>
      <c r="E8988" s="109"/>
      <c r="F8988" s="109"/>
      <c r="G8988" s="109"/>
      <c r="H8988" s="109"/>
      <c r="I8988" s="109"/>
      <c r="J8988" s="109"/>
    </row>
    <row r="8989" spans="1:10" customFormat="1" ht="12.75" hidden="1">
      <c r="A8989" s="109"/>
      <c r="B8989" s="109"/>
      <c r="C8989" s="109"/>
      <c r="D8989" s="109"/>
      <c r="E8989" s="109"/>
      <c r="F8989" s="109"/>
      <c r="G8989" s="109"/>
      <c r="H8989" s="109"/>
      <c r="I8989" s="109"/>
      <c r="J8989" s="109"/>
    </row>
    <row r="8990" spans="1:10" customFormat="1" ht="12.75" hidden="1">
      <c r="A8990" s="109"/>
      <c r="B8990" s="109"/>
      <c r="C8990" s="109"/>
      <c r="D8990" s="109"/>
      <c r="E8990" s="109"/>
      <c r="F8990" s="109"/>
      <c r="G8990" s="109"/>
      <c r="H8990" s="109"/>
      <c r="I8990" s="109"/>
      <c r="J8990" s="109"/>
    </row>
    <row r="8991" spans="1:10" customFormat="1" ht="12.75" hidden="1">
      <c r="A8991" s="109"/>
      <c r="B8991" s="109"/>
      <c r="C8991" s="109"/>
      <c r="D8991" s="109"/>
      <c r="E8991" s="109"/>
      <c r="F8991" s="109"/>
      <c r="G8991" s="109"/>
      <c r="H8991" s="109"/>
      <c r="I8991" s="109"/>
      <c r="J8991" s="109"/>
    </row>
    <row r="8992" spans="1:10" customFormat="1" ht="12.75" hidden="1">
      <c r="A8992" s="109"/>
      <c r="B8992" s="109"/>
      <c r="C8992" s="109"/>
      <c r="D8992" s="109"/>
      <c r="E8992" s="109"/>
      <c r="F8992" s="109"/>
      <c r="G8992" s="109"/>
      <c r="H8992" s="109"/>
      <c r="I8992" s="109"/>
      <c r="J8992" s="109"/>
    </row>
    <row r="8993" spans="1:10" customFormat="1" ht="12.75" hidden="1">
      <c r="A8993" s="109"/>
      <c r="B8993" s="109"/>
      <c r="C8993" s="109"/>
      <c r="D8993" s="109"/>
      <c r="E8993" s="109"/>
      <c r="F8993" s="109"/>
      <c r="G8993" s="109"/>
      <c r="H8993" s="109"/>
      <c r="I8993" s="109"/>
      <c r="J8993" s="109"/>
    </row>
    <row r="8994" spans="1:10" customFormat="1" ht="12.75" hidden="1">
      <c r="A8994" s="109"/>
      <c r="B8994" s="109"/>
      <c r="C8994" s="109"/>
      <c r="D8994" s="109"/>
      <c r="E8994" s="109"/>
      <c r="F8994" s="109"/>
      <c r="G8994" s="109"/>
      <c r="H8994" s="109"/>
      <c r="I8994" s="109"/>
      <c r="J8994" s="109"/>
    </row>
    <row r="8995" spans="1:10" customFormat="1" ht="12.75" hidden="1">
      <c r="A8995" s="109"/>
      <c r="B8995" s="109"/>
      <c r="C8995" s="109"/>
      <c r="D8995" s="109"/>
      <c r="E8995" s="109"/>
      <c r="F8995" s="109"/>
      <c r="G8995" s="109"/>
      <c r="H8995" s="109"/>
      <c r="I8995" s="109"/>
      <c r="J8995" s="109"/>
    </row>
    <row r="8996" spans="1:10" customFormat="1" ht="12.75" hidden="1">
      <c r="A8996" s="109"/>
      <c r="B8996" s="109"/>
      <c r="C8996" s="109"/>
      <c r="D8996" s="109"/>
      <c r="E8996" s="109"/>
      <c r="F8996" s="109"/>
      <c r="G8996" s="109"/>
      <c r="H8996" s="109"/>
      <c r="I8996" s="109"/>
      <c r="J8996" s="109"/>
    </row>
    <row r="8997" spans="1:10" customFormat="1" ht="12.75" hidden="1">
      <c r="A8997" s="109"/>
      <c r="B8997" s="109"/>
      <c r="C8997" s="109"/>
      <c r="D8997" s="109"/>
      <c r="E8997" s="109"/>
      <c r="F8997" s="109"/>
      <c r="G8997" s="109"/>
      <c r="H8997" s="109"/>
      <c r="I8997" s="109"/>
      <c r="J8997" s="109"/>
    </row>
    <row r="8998" spans="1:10" customFormat="1" ht="12.75" hidden="1">
      <c r="A8998" s="109"/>
      <c r="B8998" s="109"/>
      <c r="C8998" s="109"/>
      <c r="D8998" s="109"/>
      <c r="E8998" s="109"/>
      <c r="F8998" s="109"/>
      <c r="G8998" s="109"/>
      <c r="H8998" s="109"/>
      <c r="I8998" s="109"/>
      <c r="J8998" s="109"/>
    </row>
    <row r="8999" spans="1:10" customFormat="1" ht="12.75" hidden="1">
      <c r="A8999" s="109"/>
      <c r="B8999" s="109"/>
      <c r="C8999" s="109"/>
      <c r="D8999" s="109"/>
      <c r="E8999" s="109"/>
      <c r="F8999" s="109"/>
      <c r="G8999" s="109"/>
      <c r="H8999" s="109"/>
      <c r="I8999" s="109"/>
      <c r="J8999" s="109"/>
    </row>
    <row r="9000" spans="1:10" customFormat="1" ht="12.75" hidden="1">
      <c r="A9000" s="109"/>
      <c r="B9000" s="109"/>
      <c r="C9000" s="109"/>
      <c r="D9000" s="109"/>
      <c r="E9000" s="109"/>
      <c r="F9000" s="109"/>
      <c r="G9000" s="109"/>
      <c r="H9000" s="109"/>
      <c r="I9000" s="109"/>
      <c r="J9000" s="109"/>
    </row>
    <row r="9001" spans="1:10" customFormat="1" ht="12.75" hidden="1">
      <c r="A9001" s="109"/>
      <c r="B9001" s="109"/>
      <c r="C9001" s="109"/>
      <c r="D9001" s="109"/>
      <c r="E9001" s="109"/>
      <c r="F9001" s="109"/>
      <c r="G9001" s="109"/>
      <c r="H9001" s="109"/>
      <c r="I9001" s="109"/>
      <c r="J9001" s="109"/>
    </row>
    <row r="9002" spans="1:10" customFormat="1" ht="12.75" hidden="1">
      <c r="A9002" s="109"/>
      <c r="B9002" s="109"/>
      <c r="C9002" s="109"/>
      <c r="D9002" s="109"/>
      <c r="E9002" s="109"/>
      <c r="F9002" s="109"/>
      <c r="G9002" s="109"/>
      <c r="H9002" s="109"/>
      <c r="I9002" s="109"/>
      <c r="J9002" s="109"/>
    </row>
    <row r="9003" spans="1:10" customFormat="1" ht="12.75" hidden="1">
      <c r="A9003" s="109"/>
      <c r="B9003" s="109"/>
      <c r="C9003" s="109"/>
      <c r="D9003" s="109"/>
      <c r="E9003" s="109"/>
      <c r="F9003" s="109"/>
      <c r="G9003" s="109"/>
      <c r="H9003" s="109"/>
      <c r="I9003" s="109"/>
      <c r="J9003" s="109"/>
    </row>
    <row r="9004" spans="1:10" customFormat="1" ht="12.75" hidden="1">
      <c r="A9004" s="109"/>
      <c r="B9004" s="109"/>
      <c r="C9004" s="109"/>
      <c r="D9004" s="109"/>
      <c r="E9004" s="109"/>
      <c r="F9004" s="109"/>
      <c r="G9004" s="109"/>
      <c r="H9004" s="109"/>
      <c r="I9004" s="109"/>
      <c r="J9004" s="109"/>
    </row>
    <row r="9005" spans="1:10" customFormat="1" ht="12.75" hidden="1">
      <c r="A9005" s="109"/>
      <c r="B9005" s="109"/>
      <c r="C9005" s="109"/>
      <c r="D9005" s="109"/>
      <c r="E9005" s="109"/>
      <c r="F9005" s="109"/>
      <c r="G9005" s="109"/>
      <c r="H9005" s="109"/>
      <c r="I9005" s="109"/>
      <c r="J9005" s="109"/>
    </row>
    <row r="9006" spans="1:10" customFormat="1" ht="12.75" hidden="1">
      <c r="A9006" s="109"/>
      <c r="B9006" s="109"/>
      <c r="C9006" s="109"/>
      <c r="D9006" s="109"/>
      <c r="E9006" s="109"/>
      <c r="F9006" s="109"/>
      <c r="G9006" s="109"/>
      <c r="H9006" s="109"/>
      <c r="I9006" s="109"/>
      <c r="J9006" s="109"/>
    </row>
    <row r="9007" spans="1:10" customFormat="1" ht="12.75" hidden="1">
      <c r="A9007" s="109"/>
      <c r="B9007" s="109"/>
      <c r="C9007" s="109"/>
      <c r="D9007" s="109"/>
      <c r="E9007" s="109"/>
      <c r="F9007" s="109"/>
      <c r="G9007" s="109"/>
      <c r="H9007" s="109"/>
      <c r="I9007" s="109"/>
      <c r="J9007" s="109"/>
    </row>
    <row r="9008" spans="1:10" customFormat="1" ht="12.75" hidden="1">
      <c r="A9008" s="109"/>
      <c r="B9008" s="109"/>
      <c r="C9008" s="109"/>
      <c r="D9008" s="109"/>
      <c r="E9008" s="109"/>
      <c r="F9008" s="109"/>
      <c r="G9008" s="109"/>
      <c r="H9008" s="109"/>
      <c r="I9008" s="109"/>
      <c r="J9008" s="109"/>
    </row>
    <row r="9009" spans="1:10" customFormat="1" ht="12.75" hidden="1">
      <c r="A9009" s="109"/>
      <c r="B9009" s="109"/>
      <c r="C9009" s="109"/>
      <c r="D9009" s="109"/>
      <c r="E9009" s="109"/>
      <c r="F9009" s="109"/>
      <c r="G9009" s="109"/>
      <c r="H9009" s="109"/>
      <c r="I9009" s="109"/>
      <c r="J9009" s="109"/>
    </row>
    <row r="9010" spans="1:10" customFormat="1" ht="12.75" hidden="1">
      <c r="A9010" s="109"/>
      <c r="B9010" s="109"/>
      <c r="C9010" s="109"/>
      <c r="D9010" s="109"/>
      <c r="E9010" s="109"/>
      <c r="F9010" s="109"/>
      <c r="G9010" s="109"/>
      <c r="H9010" s="109"/>
      <c r="I9010" s="109"/>
      <c r="J9010" s="109"/>
    </row>
    <row r="9011" spans="1:10" customFormat="1" ht="12.75" hidden="1">
      <c r="A9011" s="109"/>
      <c r="B9011" s="109"/>
      <c r="C9011" s="109"/>
      <c r="D9011" s="109"/>
      <c r="E9011" s="109"/>
      <c r="F9011" s="109"/>
      <c r="G9011" s="109"/>
      <c r="H9011" s="109"/>
      <c r="I9011" s="109"/>
      <c r="J9011" s="109"/>
    </row>
    <row r="9012" spans="1:10" customFormat="1" ht="12.75" hidden="1">
      <c r="A9012" s="109"/>
      <c r="B9012" s="109"/>
      <c r="C9012" s="109"/>
      <c r="D9012" s="109"/>
      <c r="E9012" s="109"/>
      <c r="F9012" s="109"/>
      <c r="G9012" s="109"/>
      <c r="H9012" s="109"/>
      <c r="I9012" s="109"/>
      <c r="J9012" s="109"/>
    </row>
    <row r="9013" spans="1:10" customFormat="1" ht="12.75" hidden="1">
      <c r="A9013" s="109"/>
      <c r="B9013" s="109"/>
      <c r="C9013" s="109"/>
      <c r="D9013" s="109"/>
      <c r="E9013" s="109"/>
      <c r="F9013" s="109"/>
      <c r="G9013" s="109"/>
      <c r="H9013" s="109"/>
      <c r="I9013" s="109"/>
      <c r="J9013" s="109"/>
    </row>
    <row r="9014" spans="1:10" customFormat="1" ht="12.75" hidden="1">
      <c r="A9014" s="109"/>
      <c r="B9014" s="109"/>
      <c r="C9014" s="109"/>
      <c r="D9014" s="109"/>
      <c r="E9014" s="109"/>
      <c r="F9014" s="109"/>
      <c r="G9014" s="109"/>
      <c r="H9014" s="109"/>
      <c r="I9014" s="109"/>
      <c r="J9014" s="109"/>
    </row>
    <row r="9015" spans="1:10" customFormat="1" ht="12.75" hidden="1">
      <c r="A9015" s="109"/>
      <c r="B9015" s="109"/>
      <c r="C9015" s="109"/>
      <c r="D9015" s="109"/>
      <c r="E9015" s="109"/>
      <c r="F9015" s="109"/>
      <c r="G9015" s="109"/>
      <c r="H9015" s="109"/>
      <c r="I9015" s="109"/>
      <c r="J9015" s="109"/>
    </row>
    <row r="9016" spans="1:10" customFormat="1" ht="12.75" hidden="1">
      <c r="A9016" s="109"/>
      <c r="B9016" s="109"/>
      <c r="C9016" s="109"/>
      <c r="D9016" s="109"/>
      <c r="E9016" s="109"/>
      <c r="F9016" s="109"/>
      <c r="G9016" s="109"/>
      <c r="H9016" s="109"/>
      <c r="I9016" s="109"/>
      <c r="J9016" s="109"/>
    </row>
    <row r="9017" spans="1:10" customFormat="1" ht="12.75" hidden="1">
      <c r="A9017" s="109"/>
      <c r="B9017" s="109"/>
      <c r="C9017" s="109"/>
      <c r="D9017" s="109"/>
      <c r="E9017" s="109"/>
      <c r="F9017" s="109"/>
      <c r="G9017" s="109"/>
      <c r="H9017" s="109"/>
      <c r="I9017" s="109"/>
      <c r="J9017" s="109"/>
    </row>
    <row r="9018" spans="1:10" customFormat="1" ht="12.75" hidden="1">
      <c r="A9018" s="109"/>
      <c r="B9018" s="109"/>
      <c r="C9018" s="109"/>
      <c r="D9018" s="109"/>
      <c r="E9018" s="109"/>
      <c r="F9018" s="109"/>
      <c r="G9018" s="109"/>
      <c r="H9018" s="109"/>
      <c r="I9018" s="109"/>
      <c r="J9018" s="109"/>
    </row>
    <row r="9019" spans="1:10" customFormat="1" ht="12.75" hidden="1">
      <c r="A9019" s="109"/>
      <c r="B9019" s="109"/>
      <c r="C9019" s="109"/>
      <c r="D9019" s="109"/>
      <c r="E9019" s="109"/>
      <c r="F9019" s="109"/>
      <c r="G9019" s="109"/>
      <c r="H9019" s="109"/>
      <c r="I9019" s="109"/>
      <c r="J9019" s="109"/>
    </row>
    <row r="9020" spans="1:10" customFormat="1" ht="12.75" hidden="1">
      <c r="A9020" s="109"/>
      <c r="B9020" s="109"/>
      <c r="C9020" s="109"/>
      <c r="D9020" s="109"/>
      <c r="E9020" s="109"/>
      <c r="F9020" s="109"/>
      <c r="G9020" s="109"/>
      <c r="H9020" s="109"/>
      <c r="I9020" s="109"/>
      <c r="J9020" s="109"/>
    </row>
    <row r="9021" spans="1:10" customFormat="1" ht="12.75" hidden="1">
      <c r="A9021" s="109"/>
      <c r="B9021" s="109"/>
      <c r="C9021" s="109"/>
      <c r="D9021" s="109"/>
      <c r="E9021" s="109"/>
      <c r="F9021" s="109"/>
      <c r="G9021" s="109"/>
      <c r="H9021" s="109"/>
      <c r="I9021" s="109"/>
      <c r="J9021" s="109"/>
    </row>
    <row r="9022" spans="1:10" customFormat="1" ht="12.75" hidden="1">
      <c r="A9022" s="109"/>
      <c r="B9022" s="109"/>
      <c r="C9022" s="109"/>
      <c r="D9022" s="109"/>
      <c r="E9022" s="109"/>
      <c r="F9022" s="109"/>
      <c r="G9022" s="109"/>
      <c r="H9022" s="109"/>
      <c r="I9022" s="109"/>
      <c r="J9022" s="109"/>
    </row>
    <row r="9023" spans="1:10" customFormat="1" ht="12.75" hidden="1">
      <c r="A9023" s="109"/>
      <c r="B9023" s="109"/>
      <c r="C9023" s="109"/>
      <c r="D9023" s="109"/>
      <c r="E9023" s="109"/>
      <c r="F9023" s="109"/>
      <c r="G9023" s="109"/>
      <c r="H9023" s="109"/>
      <c r="I9023" s="109"/>
      <c r="J9023" s="109"/>
    </row>
    <row r="9024" spans="1:10" customFormat="1" ht="12.75" hidden="1">
      <c r="A9024" s="109"/>
      <c r="B9024" s="109"/>
      <c r="C9024" s="109"/>
      <c r="D9024" s="109"/>
      <c r="E9024" s="109"/>
      <c r="F9024" s="109"/>
      <c r="G9024" s="109"/>
      <c r="H9024" s="109"/>
      <c r="I9024" s="109"/>
      <c r="J9024" s="109"/>
    </row>
    <row r="9025" spans="1:10" customFormat="1" ht="12.75" hidden="1">
      <c r="A9025" s="109"/>
      <c r="B9025" s="109"/>
      <c r="C9025" s="109"/>
      <c r="D9025" s="109"/>
      <c r="E9025" s="109"/>
      <c r="F9025" s="109"/>
      <c r="G9025" s="109"/>
      <c r="H9025" s="109"/>
      <c r="I9025" s="109"/>
      <c r="J9025" s="109"/>
    </row>
    <row r="9026" spans="1:10" customFormat="1" ht="12.75" hidden="1">
      <c r="A9026" s="109"/>
      <c r="B9026" s="109"/>
      <c r="C9026" s="109"/>
      <c r="D9026" s="109"/>
      <c r="E9026" s="109"/>
      <c r="F9026" s="109"/>
      <c r="G9026" s="109"/>
      <c r="H9026" s="109"/>
      <c r="I9026" s="109"/>
      <c r="J9026" s="109"/>
    </row>
    <row r="9027" spans="1:10" customFormat="1" ht="12.75" hidden="1">
      <c r="A9027" s="109"/>
      <c r="B9027" s="109"/>
      <c r="C9027" s="109"/>
      <c r="D9027" s="109"/>
      <c r="E9027" s="109"/>
      <c r="F9027" s="109"/>
      <c r="G9027" s="109"/>
      <c r="H9027" s="109"/>
      <c r="I9027" s="109"/>
      <c r="J9027" s="109"/>
    </row>
    <row r="9028" spans="1:10" customFormat="1" ht="12.75" hidden="1">
      <c r="A9028" s="109"/>
      <c r="B9028" s="109"/>
      <c r="C9028" s="109"/>
      <c r="D9028" s="109"/>
      <c r="E9028" s="109"/>
      <c r="F9028" s="109"/>
      <c r="G9028" s="109"/>
      <c r="H9028" s="109"/>
      <c r="I9028" s="109"/>
      <c r="J9028" s="109"/>
    </row>
    <row r="9029" spans="1:10" customFormat="1" ht="12.75" hidden="1">
      <c r="A9029" s="109"/>
      <c r="B9029" s="109"/>
      <c r="C9029" s="109"/>
      <c r="D9029" s="109"/>
      <c r="E9029" s="109"/>
      <c r="F9029" s="109"/>
      <c r="G9029" s="109"/>
      <c r="H9029" s="109"/>
      <c r="I9029" s="109"/>
      <c r="J9029" s="109"/>
    </row>
    <row r="9030" spans="1:10" customFormat="1" ht="12.75" hidden="1">
      <c r="A9030" s="109"/>
      <c r="B9030" s="109"/>
      <c r="C9030" s="109"/>
      <c r="D9030" s="109"/>
      <c r="E9030" s="109"/>
      <c r="F9030" s="109"/>
      <c r="G9030" s="109"/>
      <c r="H9030" s="109"/>
      <c r="I9030" s="109"/>
      <c r="J9030" s="109"/>
    </row>
    <row r="9031" spans="1:10" customFormat="1" ht="12.75" hidden="1">
      <c r="A9031" s="109"/>
      <c r="B9031" s="109"/>
      <c r="C9031" s="109"/>
      <c r="D9031" s="109"/>
      <c r="E9031" s="109"/>
      <c r="F9031" s="109"/>
      <c r="G9031" s="109"/>
      <c r="H9031" s="109"/>
      <c r="I9031" s="109"/>
      <c r="J9031" s="109"/>
    </row>
    <row r="9032" spans="1:10" customFormat="1" ht="12.75" hidden="1">
      <c r="A9032" s="109"/>
      <c r="B9032" s="109"/>
      <c r="C9032" s="109"/>
      <c r="D9032" s="109"/>
      <c r="E9032" s="109"/>
      <c r="F9032" s="109"/>
      <c r="G9032" s="109"/>
      <c r="H9032" s="109"/>
      <c r="I9032" s="109"/>
      <c r="J9032" s="109"/>
    </row>
    <row r="9033" spans="1:10" customFormat="1" ht="12.75" hidden="1">
      <c r="A9033" s="109"/>
      <c r="B9033" s="109"/>
      <c r="C9033" s="109"/>
      <c r="D9033" s="109"/>
      <c r="E9033" s="109"/>
      <c r="F9033" s="109"/>
      <c r="G9033" s="109"/>
      <c r="H9033" s="109"/>
      <c r="I9033" s="109"/>
      <c r="J9033" s="109"/>
    </row>
    <row r="9034" spans="1:10" customFormat="1" ht="12.75" hidden="1">
      <c r="A9034" s="109"/>
      <c r="B9034" s="109"/>
      <c r="C9034" s="109"/>
      <c r="D9034" s="109"/>
      <c r="E9034" s="109"/>
      <c r="F9034" s="109"/>
      <c r="G9034" s="109"/>
      <c r="H9034" s="109"/>
      <c r="I9034" s="109"/>
      <c r="J9034" s="109"/>
    </row>
    <row r="9035" spans="1:10" customFormat="1" ht="12.75" hidden="1">
      <c r="A9035" s="109"/>
      <c r="B9035" s="109"/>
      <c r="C9035" s="109"/>
      <c r="D9035" s="109"/>
      <c r="E9035" s="109"/>
      <c r="F9035" s="109"/>
      <c r="G9035" s="109"/>
      <c r="H9035" s="109"/>
      <c r="I9035" s="109"/>
      <c r="J9035" s="109"/>
    </row>
    <row r="9036" spans="1:10" customFormat="1" ht="12.75" hidden="1">
      <c r="A9036" s="109"/>
      <c r="B9036" s="109"/>
      <c r="C9036" s="109"/>
      <c r="D9036" s="109"/>
      <c r="E9036" s="109"/>
      <c r="F9036" s="109"/>
      <c r="G9036" s="109"/>
      <c r="H9036" s="109"/>
      <c r="I9036" s="109"/>
      <c r="J9036" s="109"/>
    </row>
    <row r="9037" spans="1:10" customFormat="1" ht="12.75" hidden="1">
      <c r="A9037" s="109"/>
      <c r="B9037" s="109"/>
      <c r="C9037" s="109"/>
      <c r="D9037" s="109"/>
      <c r="E9037" s="109"/>
      <c r="F9037" s="109"/>
      <c r="G9037" s="109"/>
      <c r="H9037" s="109"/>
      <c r="I9037" s="109"/>
      <c r="J9037" s="109"/>
    </row>
    <row r="9038" spans="1:10" customFormat="1" ht="12.75" hidden="1">
      <c r="A9038" s="109"/>
      <c r="B9038" s="109"/>
      <c r="C9038" s="109"/>
      <c r="D9038" s="109"/>
      <c r="E9038" s="109"/>
      <c r="F9038" s="109"/>
      <c r="G9038" s="109"/>
      <c r="H9038" s="109"/>
      <c r="I9038" s="109"/>
      <c r="J9038" s="109"/>
    </row>
    <row r="9039" spans="1:10" customFormat="1" ht="12.75" hidden="1">
      <c r="A9039" s="109"/>
      <c r="B9039" s="109"/>
      <c r="C9039" s="109"/>
      <c r="D9039" s="109"/>
      <c r="E9039" s="109"/>
      <c r="F9039" s="109"/>
      <c r="G9039" s="109"/>
      <c r="H9039" s="109"/>
      <c r="I9039" s="109"/>
      <c r="J9039" s="109"/>
    </row>
    <row r="9040" spans="1:10" customFormat="1" ht="12.75" hidden="1">
      <c r="A9040" s="109"/>
      <c r="B9040" s="109"/>
      <c r="C9040" s="109"/>
      <c r="D9040" s="109"/>
      <c r="E9040" s="109"/>
      <c r="F9040" s="109"/>
      <c r="G9040" s="109"/>
      <c r="H9040" s="109"/>
      <c r="I9040" s="109"/>
      <c r="J9040" s="109"/>
    </row>
    <row r="9041" spans="1:10" customFormat="1" ht="12.75" hidden="1">
      <c r="A9041" s="109"/>
      <c r="B9041" s="109"/>
      <c r="C9041" s="109"/>
      <c r="D9041" s="109"/>
      <c r="E9041" s="109"/>
      <c r="F9041" s="109"/>
      <c r="G9041" s="109"/>
      <c r="H9041" s="109"/>
      <c r="I9041" s="109"/>
      <c r="J9041" s="109"/>
    </row>
    <row r="9042" spans="1:10" customFormat="1" ht="12.75" hidden="1">
      <c r="A9042" s="109"/>
      <c r="B9042" s="109"/>
      <c r="C9042" s="109"/>
      <c r="D9042" s="109"/>
      <c r="E9042" s="109"/>
      <c r="F9042" s="109"/>
      <c r="G9042" s="109"/>
      <c r="H9042" s="109"/>
      <c r="I9042" s="109"/>
      <c r="J9042" s="109"/>
    </row>
    <row r="9043" spans="1:10" customFormat="1" ht="12.75" hidden="1">
      <c r="A9043" s="109"/>
      <c r="B9043" s="109"/>
      <c r="C9043" s="109"/>
      <c r="D9043" s="109"/>
      <c r="E9043" s="109"/>
      <c r="F9043" s="109"/>
      <c r="G9043" s="109"/>
      <c r="H9043" s="109"/>
      <c r="I9043" s="109"/>
      <c r="J9043" s="109"/>
    </row>
    <row r="9044" spans="1:10" customFormat="1" ht="12.75" hidden="1">
      <c r="A9044" s="109"/>
      <c r="B9044" s="109"/>
      <c r="C9044" s="109"/>
      <c r="D9044" s="109"/>
      <c r="E9044" s="109"/>
      <c r="F9044" s="109"/>
      <c r="G9044" s="109"/>
      <c r="H9044" s="109"/>
      <c r="I9044" s="109"/>
      <c r="J9044" s="109"/>
    </row>
    <row r="9045" spans="1:10" customFormat="1" ht="12.75" hidden="1">
      <c r="A9045" s="109"/>
      <c r="B9045" s="109"/>
      <c r="C9045" s="109"/>
      <c r="D9045" s="109"/>
      <c r="E9045" s="109"/>
      <c r="F9045" s="109"/>
      <c r="G9045" s="109"/>
      <c r="H9045" s="109"/>
      <c r="I9045" s="109"/>
      <c r="J9045" s="109"/>
    </row>
    <row r="9046" spans="1:10" customFormat="1" ht="12.75" hidden="1">
      <c r="A9046" s="109"/>
      <c r="B9046" s="109"/>
      <c r="C9046" s="109"/>
      <c r="D9046" s="109"/>
      <c r="E9046" s="109"/>
      <c r="F9046" s="109"/>
      <c r="G9046" s="109"/>
      <c r="H9046" s="109"/>
      <c r="I9046" s="109"/>
      <c r="J9046" s="109"/>
    </row>
    <row r="9047" spans="1:10" customFormat="1" ht="12.75" hidden="1">
      <c r="A9047" s="109"/>
      <c r="B9047" s="109"/>
      <c r="C9047" s="109"/>
      <c r="D9047" s="109"/>
      <c r="E9047" s="109"/>
      <c r="F9047" s="109"/>
      <c r="G9047" s="109"/>
      <c r="H9047" s="109"/>
      <c r="I9047" s="109"/>
      <c r="J9047" s="109"/>
    </row>
    <row r="9048" spans="1:10" customFormat="1" ht="12.75" hidden="1">
      <c r="A9048" s="109"/>
      <c r="B9048" s="109"/>
      <c r="C9048" s="109"/>
      <c r="D9048" s="109"/>
      <c r="E9048" s="109"/>
      <c r="F9048" s="109"/>
      <c r="G9048" s="109"/>
      <c r="H9048" s="109"/>
      <c r="I9048" s="109"/>
      <c r="J9048" s="109"/>
    </row>
    <row r="9049" spans="1:10" customFormat="1" ht="12.75" hidden="1">
      <c r="A9049" s="109"/>
      <c r="B9049" s="109"/>
      <c r="C9049" s="109"/>
      <c r="D9049" s="109"/>
      <c r="E9049" s="109"/>
      <c r="F9049" s="109"/>
      <c r="G9049" s="109"/>
      <c r="H9049" s="109"/>
      <c r="I9049" s="109"/>
      <c r="J9049" s="109"/>
    </row>
    <row r="9050" spans="1:10" customFormat="1" ht="12.75" hidden="1">
      <c r="A9050" s="109"/>
      <c r="B9050" s="109"/>
      <c r="C9050" s="109"/>
      <c r="D9050" s="109"/>
      <c r="E9050" s="109"/>
      <c r="F9050" s="109"/>
      <c r="G9050" s="109"/>
      <c r="H9050" s="109"/>
      <c r="I9050" s="109"/>
      <c r="J9050" s="109"/>
    </row>
    <row r="9051" spans="1:10" customFormat="1" ht="12.75" hidden="1">
      <c r="A9051" s="109"/>
      <c r="B9051" s="109"/>
      <c r="C9051" s="109"/>
      <c r="D9051" s="109"/>
      <c r="E9051" s="109"/>
      <c r="F9051" s="109"/>
      <c r="G9051" s="109"/>
      <c r="H9051" s="109"/>
      <c r="I9051" s="109"/>
      <c r="J9051" s="109"/>
    </row>
    <row r="9052" spans="1:10" customFormat="1" ht="12.75" hidden="1">
      <c r="A9052" s="109"/>
      <c r="B9052" s="109"/>
      <c r="C9052" s="109"/>
      <c r="D9052" s="109"/>
      <c r="E9052" s="109"/>
      <c r="F9052" s="109"/>
      <c r="G9052" s="109"/>
      <c r="H9052" s="109"/>
      <c r="I9052" s="109"/>
      <c r="J9052" s="109"/>
    </row>
    <row r="9053" spans="1:10" customFormat="1" ht="12.75" hidden="1">
      <c r="A9053" s="109"/>
      <c r="B9053" s="109"/>
      <c r="C9053" s="109"/>
      <c r="D9053" s="109"/>
      <c r="E9053" s="109"/>
      <c r="F9053" s="109"/>
      <c r="G9053" s="109"/>
      <c r="H9053" s="109"/>
      <c r="I9053" s="109"/>
      <c r="J9053" s="109"/>
    </row>
    <row r="9054" spans="1:10" customFormat="1" ht="12.75" hidden="1">
      <c r="A9054" s="109"/>
      <c r="B9054" s="109"/>
      <c r="C9054" s="109"/>
      <c r="D9054" s="109"/>
      <c r="E9054" s="109"/>
      <c r="F9054" s="109"/>
      <c r="G9054" s="109"/>
      <c r="H9054" s="109"/>
      <c r="I9054" s="109"/>
      <c r="J9054" s="109"/>
    </row>
    <row r="9055" spans="1:10" customFormat="1" ht="12.75" hidden="1">
      <c r="A9055" s="109"/>
      <c r="B9055" s="109"/>
      <c r="C9055" s="109"/>
      <c r="D9055" s="109"/>
      <c r="E9055" s="109"/>
      <c r="F9055" s="109"/>
      <c r="G9055" s="109"/>
      <c r="H9055" s="109"/>
      <c r="I9055" s="109"/>
      <c r="J9055" s="109"/>
    </row>
    <row r="9056" spans="1:10" customFormat="1" ht="12.75" hidden="1">
      <c r="A9056" s="109"/>
      <c r="B9056" s="109"/>
      <c r="C9056" s="109"/>
      <c r="D9056" s="109"/>
      <c r="E9056" s="109"/>
      <c r="F9056" s="109"/>
      <c r="G9056" s="109"/>
      <c r="H9056" s="109"/>
      <c r="I9056" s="109"/>
      <c r="J9056" s="109"/>
    </row>
    <row r="9057" spans="1:10" customFormat="1" ht="12.75" hidden="1">
      <c r="A9057" s="109"/>
      <c r="B9057" s="109"/>
      <c r="C9057" s="109"/>
      <c r="D9057" s="109"/>
      <c r="E9057" s="109"/>
      <c r="F9057" s="109"/>
      <c r="G9057" s="109"/>
      <c r="H9057" s="109"/>
      <c r="I9057" s="109"/>
      <c r="J9057" s="109"/>
    </row>
    <row r="9058" spans="1:10" customFormat="1" ht="12.75" hidden="1">
      <c r="A9058" s="109"/>
      <c r="B9058" s="109"/>
      <c r="C9058" s="109"/>
      <c r="D9058" s="109"/>
      <c r="E9058" s="109"/>
      <c r="F9058" s="109"/>
      <c r="G9058" s="109"/>
      <c r="H9058" s="109"/>
      <c r="I9058" s="109"/>
      <c r="J9058" s="109"/>
    </row>
    <row r="9059" spans="1:10" customFormat="1" ht="12.75" hidden="1">
      <c r="A9059" s="109"/>
      <c r="B9059" s="109"/>
      <c r="C9059" s="109"/>
      <c r="D9059" s="109"/>
      <c r="E9059" s="109"/>
      <c r="F9059" s="109"/>
      <c r="G9059" s="109"/>
      <c r="H9059" s="109"/>
      <c r="I9059" s="109"/>
      <c r="J9059" s="109"/>
    </row>
    <row r="9060" spans="1:10" customFormat="1" ht="12.75" hidden="1">
      <c r="A9060" s="109"/>
      <c r="B9060" s="109"/>
      <c r="C9060" s="109"/>
      <c r="D9060" s="109"/>
      <c r="E9060" s="109"/>
      <c r="F9060" s="109"/>
      <c r="G9060" s="109"/>
      <c r="H9060" s="109"/>
      <c r="I9060" s="109"/>
      <c r="J9060" s="109"/>
    </row>
    <row r="9061" spans="1:10" customFormat="1" ht="12.75" hidden="1">
      <c r="A9061" s="109"/>
      <c r="B9061" s="109"/>
      <c r="C9061" s="109"/>
      <c r="D9061" s="109"/>
      <c r="E9061" s="109"/>
      <c r="F9061" s="109"/>
      <c r="G9061" s="109"/>
      <c r="H9061" s="109"/>
      <c r="I9061" s="109"/>
      <c r="J9061" s="109"/>
    </row>
    <row r="9062" spans="1:10" customFormat="1" ht="12.75" hidden="1">
      <c r="A9062" s="109"/>
      <c r="B9062" s="109"/>
      <c r="C9062" s="109"/>
      <c r="D9062" s="109"/>
      <c r="E9062" s="109"/>
      <c r="F9062" s="109"/>
      <c r="G9062" s="109"/>
      <c r="H9062" s="109"/>
      <c r="I9062" s="109"/>
      <c r="J9062" s="109"/>
    </row>
    <row r="9063" spans="1:10" customFormat="1" ht="12.75" hidden="1">
      <c r="A9063" s="109"/>
      <c r="B9063" s="109"/>
      <c r="C9063" s="109"/>
      <c r="D9063" s="109"/>
      <c r="E9063" s="109"/>
      <c r="F9063" s="109"/>
      <c r="G9063" s="109"/>
      <c r="H9063" s="109"/>
      <c r="I9063" s="109"/>
      <c r="J9063" s="109"/>
    </row>
    <row r="9064" spans="1:10" customFormat="1" ht="12.75" hidden="1">
      <c r="A9064" s="109"/>
      <c r="B9064" s="109"/>
      <c r="C9064" s="109"/>
      <c r="D9064" s="109"/>
      <c r="E9064" s="109"/>
      <c r="F9064" s="109"/>
      <c r="G9064" s="109"/>
      <c r="H9064" s="109"/>
      <c r="I9064" s="109"/>
      <c r="J9064" s="109"/>
    </row>
    <row r="9065" spans="1:10" customFormat="1" ht="12.75" hidden="1">
      <c r="A9065" s="109"/>
      <c r="B9065" s="109"/>
      <c r="C9065" s="109"/>
      <c r="D9065" s="109"/>
      <c r="E9065" s="109"/>
      <c r="F9065" s="109"/>
      <c r="G9065" s="109"/>
      <c r="H9065" s="109"/>
      <c r="I9065" s="109"/>
      <c r="J9065" s="109"/>
    </row>
    <row r="9066" spans="1:10" customFormat="1" ht="12.75" hidden="1">
      <c r="A9066" s="109"/>
      <c r="B9066" s="109"/>
      <c r="C9066" s="109"/>
      <c r="D9066" s="109"/>
      <c r="E9066" s="109"/>
      <c r="F9066" s="109"/>
      <c r="G9066" s="109"/>
      <c r="H9066" s="109"/>
      <c r="I9066" s="109"/>
      <c r="J9066" s="109"/>
    </row>
    <row r="9067" spans="1:10" customFormat="1" ht="12.75" hidden="1">
      <c r="A9067" s="109"/>
      <c r="B9067" s="109"/>
      <c r="C9067" s="109"/>
      <c r="D9067" s="109"/>
      <c r="E9067" s="109"/>
      <c r="F9067" s="109"/>
      <c r="G9067" s="109"/>
      <c r="H9067" s="109"/>
      <c r="I9067" s="109"/>
      <c r="J9067" s="109"/>
    </row>
    <row r="9068" spans="1:10" customFormat="1" ht="12.75" hidden="1">
      <c r="A9068" s="109"/>
      <c r="B9068" s="109"/>
      <c r="C9068" s="109"/>
      <c r="D9068" s="109"/>
      <c r="E9068" s="109"/>
      <c r="F9068" s="109"/>
      <c r="G9068" s="109"/>
      <c r="H9068" s="109"/>
      <c r="I9068" s="109"/>
      <c r="J9068" s="109"/>
    </row>
    <row r="9069" spans="1:10" customFormat="1" ht="12.75" hidden="1">
      <c r="A9069" s="109"/>
      <c r="B9069" s="109"/>
      <c r="C9069" s="109"/>
      <c r="D9069" s="109"/>
      <c r="E9069" s="109"/>
      <c r="F9069" s="109"/>
      <c r="G9069" s="109"/>
      <c r="H9069" s="109"/>
      <c r="I9069" s="109"/>
      <c r="J9069" s="109"/>
    </row>
    <row r="9070" spans="1:10" customFormat="1" ht="12.75" hidden="1">
      <c r="A9070" s="109"/>
      <c r="B9070" s="109"/>
      <c r="C9070" s="109"/>
      <c r="D9070" s="109"/>
      <c r="E9070" s="109"/>
      <c r="F9070" s="109"/>
      <c r="G9070" s="109"/>
      <c r="H9070" s="109"/>
      <c r="I9070" s="109"/>
      <c r="J9070" s="109"/>
    </row>
    <row r="9071" spans="1:10" customFormat="1" ht="12.75" hidden="1">
      <c r="A9071" s="109"/>
      <c r="B9071" s="109"/>
      <c r="C9071" s="109"/>
      <c r="D9071" s="109"/>
      <c r="E9071" s="109"/>
      <c r="F9071" s="109"/>
      <c r="G9071" s="109"/>
      <c r="H9071" s="109"/>
      <c r="I9071" s="109"/>
      <c r="J9071" s="109"/>
    </row>
    <row r="9072" spans="1:10" customFormat="1" ht="12.75" hidden="1">
      <c r="A9072" s="109"/>
      <c r="B9072" s="109"/>
      <c r="C9072" s="109"/>
      <c r="D9072" s="109"/>
      <c r="E9072" s="109"/>
      <c r="F9072" s="109"/>
      <c r="G9072" s="109"/>
      <c r="H9072" s="109"/>
      <c r="I9072" s="109"/>
      <c r="J9072" s="109"/>
    </row>
    <row r="9073" spans="1:10" customFormat="1" ht="12.75" hidden="1">
      <c r="A9073" s="109"/>
      <c r="B9073" s="109"/>
      <c r="C9073" s="109"/>
      <c r="D9073" s="109"/>
      <c r="E9073" s="109"/>
      <c r="F9073" s="109"/>
      <c r="G9073" s="109"/>
      <c r="H9073" s="109"/>
      <c r="I9073" s="109"/>
      <c r="J9073" s="109"/>
    </row>
    <row r="9074" spans="1:10" customFormat="1" ht="12.75" hidden="1">
      <c r="A9074" s="109"/>
      <c r="B9074" s="109"/>
      <c r="C9074" s="109"/>
      <c r="D9074" s="109"/>
      <c r="E9074" s="109"/>
      <c r="F9074" s="109"/>
      <c r="G9074" s="109"/>
      <c r="H9074" s="109"/>
      <c r="I9074" s="109"/>
      <c r="J9074" s="109"/>
    </row>
    <row r="9075" spans="1:10" customFormat="1" ht="12.75" hidden="1">
      <c r="A9075" s="109"/>
      <c r="B9075" s="109"/>
      <c r="C9075" s="109"/>
      <c r="D9075" s="109"/>
      <c r="E9075" s="109"/>
      <c r="F9075" s="109"/>
      <c r="G9075" s="109"/>
      <c r="H9075" s="109"/>
      <c r="I9075" s="109"/>
      <c r="J9075" s="109"/>
    </row>
    <row r="9076" spans="1:10" customFormat="1" ht="12.75" hidden="1">
      <c r="A9076" s="109"/>
      <c r="B9076" s="109"/>
      <c r="C9076" s="109"/>
      <c r="D9076" s="109"/>
      <c r="E9076" s="109"/>
      <c r="F9076" s="109"/>
      <c r="G9076" s="109"/>
      <c r="H9076" s="109"/>
      <c r="I9076" s="109"/>
      <c r="J9076" s="109"/>
    </row>
    <row r="9077" spans="1:10" customFormat="1" ht="12.75" hidden="1">
      <c r="A9077" s="109"/>
      <c r="B9077" s="109"/>
      <c r="C9077" s="109"/>
      <c r="D9077" s="109"/>
      <c r="E9077" s="109"/>
      <c r="F9077" s="109"/>
      <c r="G9077" s="109"/>
      <c r="H9077" s="109"/>
      <c r="I9077" s="109"/>
      <c r="J9077" s="109"/>
    </row>
    <row r="9078" spans="1:10" customFormat="1" ht="12.75" hidden="1">
      <c r="A9078" s="109"/>
      <c r="B9078" s="109"/>
      <c r="C9078" s="109"/>
      <c r="D9078" s="109"/>
      <c r="E9078" s="109"/>
      <c r="F9078" s="109"/>
      <c r="G9078" s="109"/>
      <c r="H9078" s="109"/>
      <c r="I9078" s="109"/>
      <c r="J9078" s="109"/>
    </row>
    <row r="9079" spans="1:10" customFormat="1" ht="12.75" hidden="1">
      <c r="A9079" s="109"/>
      <c r="B9079" s="109"/>
      <c r="C9079" s="109"/>
      <c r="D9079" s="109"/>
      <c r="E9079" s="109"/>
      <c r="F9079" s="109"/>
      <c r="G9079" s="109"/>
      <c r="H9079" s="109"/>
      <c r="I9079" s="109"/>
      <c r="J9079" s="109"/>
    </row>
    <row r="9080" spans="1:10" customFormat="1" ht="12.75" hidden="1">
      <c r="A9080" s="109"/>
      <c r="B9080" s="109"/>
      <c r="C9080" s="109"/>
      <c r="D9080" s="109"/>
      <c r="E9080" s="109"/>
      <c r="F9080" s="109"/>
      <c r="G9080" s="109"/>
      <c r="H9080" s="109"/>
      <c r="I9080" s="109"/>
      <c r="J9080" s="109"/>
    </row>
    <row r="9081" spans="1:10" customFormat="1" ht="12.75" hidden="1">
      <c r="A9081" s="109"/>
      <c r="B9081" s="109"/>
      <c r="C9081" s="109"/>
      <c r="D9081" s="109"/>
      <c r="E9081" s="109"/>
      <c r="F9081" s="109"/>
      <c r="G9081" s="109"/>
      <c r="H9081" s="109"/>
      <c r="I9081" s="109"/>
      <c r="J9081" s="109"/>
    </row>
    <row r="9082" spans="1:10" customFormat="1" ht="12.75" hidden="1">
      <c r="A9082" s="109"/>
      <c r="B9082" s="109"/>
      <c r="C9082" s="109"/>
      <c r="D9082" s="109"/>
      <c r="E9082" s="109"/>
      <c r="F9082" s="109"/>
      <c r="G9082" s="109"/>
      <c r="H9082" s="109"/>
      <c r="I9082" s="109"/>
      <c r="J9082" s="109"/>
    </row>
    <row r="9083" spans="1:10" customFormat="1" ht="12.75" hidden="1">
      <c r="A9083" s="109"/>
      <c r="B9083" s="109"/>
      <c r="C9083" s="109"/>
      <c r="D9083" s="109"/>
      <c r="E9083" s="109"/>
      <c r="F9083" s="109"/>
      <c r="G9083" s="109"/>
      <c r="H9083" s="109"/>
      <c r="I9083" s="109"/>
      <c r="J9083" s="109"/>
    </row>
    <row r="9084" spans="1:10" customFormat="1" ht="12.75" hidden="1">
      <c r="A9084" s="109"/>
      <c r="B9084" s="109"/>
      <c r="C9084" s="109"/>
      <c r="D9084" s="109"/>
      <c r="E9084" s="109"/>
      <c r="F9084" s="109"/>
      <c r="G9084" s="109"/>
      <c r="H9084" s="109"/>
      <c r="I9084" s="109"/>
      <c r="J9084" s="109"/>
    </row>
    <row r="9085" spans="1:10" customFormat="1" ht="12.75" hidden="1">
      <c r="A9085" s="109"/>
      <c r="B9085" s="109"/>
      <c r="C9085" s="109"/>
      <c r="D9085" s="109"/>
      <c r="E9085" s="109"/>
      <c r="F9085" s="109"/>
      <c r="G9085" s="109"/>
      <c r="H9085" s="109"/>
      <c r="I9085" s="109"/>
      <c r="J9085" s="109"/>
    </row>
    <row r="9086" spans="1:10" customFormat="1" ht="12.75" hidden="1">
      <c r="A9086" s="109"/>
      <c r="B9086" s="109"/>
      <c r="C9086" s="109"/>
      <c r="D9086" s="109"/>
      <c r="E9086" s="109"/>
      <c r="F9086" s="109"/>
      <c r="G9086" s="109"/>
      <c r="H9086" s="109"/>
      <c r="I9086" s="109"/>
      <c r="J9086" s="109"/>
    </row>
    <row r="9087" spans="1:10" customFormat="1" ht="12.75" hidden="1">
      <c r="A9087" s="109"/>
      <c r="B9087" s="109"/>
      <c r="C9087" s="109"/>
      <c r="D9087" s="109"/>
      <c r="E9087" s="109"/>
      <c r="F9087" s="109"/>
      <c r="G9087" s="109"/>
      <c r="H9087" s="109"/>
      <c r="I9087" s="109"/>
      <c r="J9087" s="109"/>
    </row>
    <row r="9088" spans="1:10" customFormat="1" ht="12.75" hidden="1">
      <c r="A9088" s="109"/>
      <c r="B9088" s="109"/>
      <c r="C9088" s="109"/>
      <c r="D9088" s="109"/>
      <c r="E9088" s="109"/>
      <c r="F9088" s="109"/>
      <c r="G9088" s="109"/>
      <c r="H9088" s="109"/>
      <c r="I9088" s="109"/>
      <c r="J9088" s="109"/>
    </row>
    <row r="9089" spans="1:10" customFormat="1" ht="12.75" hidden="1">
      <c r="A9089" s="109"/>
      <c r="B9089" s="109"/>
      <c r="C9089" s="109"/>
      <c r="D9089" s="109"/>
      <c r="E9089" s="109"/>
      <c r="F9089" s="109"/>
      <c r="G9089" s="109"/>
      <c r="H9089" s="109"/>
      <c r="I9089" s="109"/>
      <c r="J9089" s="109"/>
    </row>
    <row r="9090" spans="1:10" customFormat="1" ht="12.75" hidden="1">
      <c r="A9090" s="109"/>
      <c r="B9090" s="109"/>
      <c r="C9090" s="109"/>
      <c r="D9090" s="109"/>
      <c r="E9090" s="109"/>
      <c r="F9090" s="109"/>
      <c r="G9090" s="109"/>
      <c r="H9090" s="109"/>
      <c r="I9090" s="109"/>
      <c r="J9090" s="109"/>
    </row>
    <row r="9091" spans="1:10" customFormat="1" ht="12.75" hidden="1">
      <c r="A9091" s="109"/>
      <c r="B9091" s="109"/>
      <c r="C9091" s="109"/>
      <c r="D9091" s="109"/>
      <c r="E9091" s="109"/>
      <c r="F9091" s="109"/>
      <c r="G9091" s="109"/>
      <c r="H9091" s="109"/>
      <c r="I9091" s="109"/>
      <c r="J9091" s="109"/>
    </row>
    <row r="9092" spans="1:10" customFormat="1" ht="12.75" hidden="1">
      <c r="A9092" s="109"/>
      <c r="B9092" s="109"/>
      <c r="C9092" s="109"/>
      <c r="D9092" s="109"/>
      <c r="E9092" s="109"/>
      <c r="F9092" s="109"/>
      <c r="G9092" s="109"/>
      <c r="H9092" s="109"/>
      <c r="I9092" s="109"/>
      <c r="J9092" s="109"/>
    </row>
    <row r="9093" spans="1:10" customFormat="1" ht="12.75" hidden="1">
      <c r="A9093" s="109"/>
      <c r="B9093" s="109"/>
      <c r="C9093" s="109"/>
      <c r="D9093" s="109"/>
      <c r="E9093" s="109"/>
      <c r="F9093" s="109"/>
      <c r="G9093" s="109"/>
      <c r="H9093" s="109"/>
      <c r="I9093" s="109"/>
      <c r="J9093" s="109"/>
    </row>
    <row r="9094" spans="1:10" customFormat="1" ht="12.75" hidden="1">
      <c r="A9094" s="109"/>
      <c r="B9094" s="109"/>
      <c r="C9094" s="109"/>
      <c r="D9094" s="109"/>
      <c r="E9094" s="109"/>
      <c r="F9094" s="109"/>
      <c r="G9094" s="109"/>
      <c r="H9094" s="109"/>
      <c r="I9094" s="109"/>
      <c r="J9094" s="109"/>
    </row>
    <row r="9095" spans="1:10" customFormat="1" ht="12.75" hidden="1">
      <c r="A9095" s="109"/>
      <c r="B9095" s="109"/>
      <c r="C9095" s="109"/>
      <c r="D9095" s="109"/>
      <c r="E9095" s="109"/>
      <c r="F9095" s="109"/>
      <c r="G9095" s="109"/>
      <c r="H9095" s="109"/>
      <c r="I9095" s="109"/>
      <c r="J9095" s="109"/>
    </row>
    <row r="9096" spans="1:10" customFormat="1" ht="12.75" hidden="1">
      <c r="A9096" s="109"/>
      <c r="B9096" s="109"/>
      <c r="C9096" s="109"/>
      <c r="D9096" s="109"/>
      <c r="E9096" s="109"/>
      <c r="F9096" s="109"/>
      <c r="G9096" s="109"/>
      <c r="H9096" s="109"/>
      <c r="I9096" s="109"/>
      <c r="J9096" s="109"/>
    </row>
    <row r="9097" spans="1:10" customFormat="1" ht="12.75" hidden="1">
      <c r="A9097" s="109"/>
      <c r="B9097" s="109"/>
      <c r="C9097" s="109"/>
      <c r="D9097" s="109"/>
      <c r="E9097" s="109"/>
      <c r="F9097" s="109"/>
      <c r="G9097" s="109"/>
      <c r="H9097" s="109"/>
      <c r="I9097" s="109"/>
      <c r="J9097" s="109"/>
    </row>
    <row r="9098" spans="1:10" customFormat="1" ht="12.75" hidden="1">
      <c r="A9098" s="109"/>
      <c r="B9098" s="109"/>
      <c r="C9098" s="109"/>
      <c r="D9098" s="109"/>
      <c r="E9098" s="109"/>
      <c r="F9098" s="109"/>
      <c r="G9098" s="109"/>
      <c r="H9098" s="109"/>
      <c r="I9098" s="109"/>
      <c r="J9098" s="109"/>
    </row>
    <row r="9099" spans="1:10" customFormat="1" ht="12.75" hidden="1">
      <c r="A9099" s="109"/>
      <c r="B9099" s="109"/>
      <c r="C9099" s="109"/>
      <c r="D9099" s="109"/>
      <c r="E9099" s="109"/>
      <c r="F9099" s="109"/>
      <c r="G9099" s="109"/>
      <c r="H9099" s="109"/>
      <c r="I9099" s="109"/>
      <c r="J9099" s="109"/>
    </row>
    <row r="9100" spans="1:10" customFormat="1" ht="12.75" hidden="1">
      <c r="A9100" s="109"/>
      <c r="B9100" s="109"/>
      <c r="C9100" s="109"/>
      <c r="D9100" s="109"/>
      <c r="E9100" s="109"/>
      <c r="F9100" s="109"/>
      <c r="G9100" s="109"/>
      <c r="H9100" s="109"/>
      <c r="I9100" s="109"/>
      <c r="J9100" s="109"/>
    </row>
    <row r="9101" spans="1:10" customFormat="1" ht="12.75" hidden="1">
      <c r="A9101" s="109"/>
      <c r="B9101" s="109"/>
      <c r="C9101" s="109"/>
      <c r="D9101" s="109"/>
      <c r="E9101" s="109"/>
      <c r="F9101" s="109"/>
      <c r="G9101" s="109"/>
      <c r="H9101" s="109"/>
      <c r="I9101" s="109"/>
      <c r="J9101" s="109"/>
    </row>
    <row r="9102" spans="1:10" customFormat="1" ht="12.75" hidden="1">
      <c r="A9102" s="109"/>
      <c r="B9102" s="109"/>
      <c r="C9102" s="109"/>
      <c r="D9102" s="109"/>
      <c r="E9102" s="109"/>
      <c r="F9102" s="109"/>
      <c r="G9102" s="109"/>
      <c r="H9102" s="109"/>
      <c r="I9102" s="109"/>
      <c r="J9102" s="109"/>
    </row>
    <row r="9103" spans="1:10" customFormat="1" ht="12.75" hidden="1">
      <c r="A9103" s="109"/>
      <c r="B9103" s="109"/>
      <c r="C9103" s="109"/>
      <c r="D9103" s="109"/>
      <c r="E9103" s="109"/>
      <c r="F9103" s="109"/>
      <c r="G9103" s="109"/>
      <c r="H9103" s="109"/>
      <c r="I9103" s="109"/>
      <c r="J9103" s="109"/>
    </row>
    <row r="9104" spans="1:10" customFormat="1" ht="12.75" hidden="1">
      <c r="A9104" s="109"/>
      <c r="B9104" s="109"/>
      <c r="C9104" s="109"/>
      <c r="D9104" s="109"/>
      <c r="E9104" s="109"/>
      <c r="F9104" s="109"/>
      <c r="G9104" s="109"/>
      <c r="H9104" s="109"/>
      <c r="I9104" s="109"/>
      <c r="J9104" s="109"/>
    </row>
    <row r="9105" spans="1:10" customFormat="1" ht="12.75" hidden="1">
      <c r="A9105" s="109"/>
      <c r="B9105" s="109"/>
      <c r="C9105" s="109"/>
      <c r="D9105" s="109"/>
      <c r="E9105" s="109"/>
      <c r="F9105" s="109"/>
      <c r="G9105" s="109"/>
      <c r="H9105" s="109"/>
      <c r="I9105" s="109"/>
      <c r="J9105" s="109"/>
    </row>
    <row r="9106" spans="1:10" customFormat="1" ht="12.75" hidden="1">
      <c r="A9106" s="109"/>
      <c r="B9106" s="109"/>
      <c r="C9106" s="109"/>
      <c r="D9106" s="109"/>
      <c r="E9106" s="109"/>
      <c r="F9106" s="109"/>
      <c r="G9106" s="109"/>
      <c r="H9106" s="109"/>
      <c r="I9106" s="109"/>
      <c r="J9106" s="109"/>
    </row>
    <row r="9107" spans="1:10" customFormat="1" ht="12.75" hidden="1">
      <c r="A9107" s="109"/>
      <c r="B9107" s="109"/>
      <c r="C9107" s="109"/>
      <c r="D9107" s="109"/>
      <c r="E9107" s="109"/>
      <c r="F9107" s="109"/>
      <c r="G9107" s="109"/>
      <c r="H9107" s="109"/>
      <c r="I9107" s="109"/>
      <c r="J9107" s="109"/>
    </row>
    <row r="9108" spans="1:10" customFormat="1" ht="12.75" hidden="1">
      <c r="A9108" s="109"/>
      <c r="B9108" s="109"/>
      <c r="C9108" s="109"/>
      <c r="D9108" s="109"/>
      <c r="E9108" s="109"/>
      <c r="F9108" s="109"/>
      <c r="G9108" s="109"/>
      <c r="H9108" s="109"/>
      <c r="I9108" s="109"/>
      <c r="J9108" s="109"/>
    </row>
    <row r="9109" spans="1:10" customFormat="1" ht="12.75" hidden="1">
      <c r="A9109" s="109"/>
      <c r="B9109" s="109"/>
      <c r="C9109" s="109"/>
      <c r="D9109" s="109"/>
      <c r="E9109" s="109"/>
      <c r="F9109" s="109"/>
      <c r="G9109" s="109"/>
      <c r="H9109" s="109"/>
      <c r="I9109" s="109"/>
      <c r="J9109" s="109"/>
    </row>
    <row r="9110" spans="1:10" customFormat="1" ht="12.75" hidden="1">
      <c r="A9110" s="109"/>
      <c r="B9110" s="109"/>
      <c r="C9110" s="109"/>
      <c r="D9110" s="109"/>
      <c r="E9110" s="109"/>
      <c r="F9110" s="109"/>
      <c r="G9110" s="109"/>
      <c r="H9110" s="109"/>
      <c r="I9110" s="109"/>
      <c r="J9110" s="109"/>
    </row>
    <row r="9111" spans="1:10" customFormat="1" ht="12.75" hidden="1">
      <c r="A9111" s="109"/>
      <c r="B9111" s="109"/>
      <c r="C9111" s="109"/>
      <c r="D9111" s="109"/>
      <c r="E9111" s="109"/>
      <c r="F9111" s="109"/>
      <c r="G9111" s="109"/>
      <c r="H9111" s="109"/>
      <c r="I9111" s="109"/>
      <c r="J9111" s="109"/>
    </row>
    <row r="9112" spans="1:10" customFormat="1" ht="12.75" hidden="1">
      <c r="A9112" s="109"/>
      <c r="B9112" s="109"/>
      <c r="C9112" s="109"/>
      <c r="D9112" s="109"/>
      <c r="E9112" s="109"/>
      <c r="F9112" s="109"/>
      <c r="G9112" s="109"/>
      <c r="H9112" s="109"/>
      <c r="I9112" s="109"/>
      <c r="J9112" s="109"/>
    </row>
    <row r="9113" spans="1:10" customFormat="1" ht="12.75" hidden="1">
      <c r="A9113" s="109"/>
      <c r="B9113" s="109"/>
      <c r="C9113" s="109"/>
      <c r="D9113" s="109"/>
      <c r="E9113" s="109"/>
      <c r="F9113" s="109"/>
      <c r="G9113" s="109"/>
      <c r="H9113" s="109"/>
      <c r="I9113" s="109"/>
      <c r="J9113" s="109"/>
    </row>
    <row r="9114" spans="1:10" customFormat="1" ht="12.75" hidden="1">
      <c r="A9114" s="109"/>
      <c r="B9114" s="109"/>
      <c r="C9114" s="109"/>
      <c r="D9114" s="109"/>
      <c r="E9114" s="109"/>
      <c r="F9114" s="109"/>
      <c r="G9114" s="109"/>
      <c r="H9114" s="109"/>
      <c r="I9114" s="109"/>
      <c r="J9114" s="109"/>
    </row>
    <row r="9115" spans="1:10" customFormat="1" ht="12.75" hidden="1">
      <c r="A9115" s="109"/>
      <c r="B9115" s="109"/>
      <c r="C9115" s="109"/>
      <c r="D9115" s="109"/>
      <c r="E9115" s="109"/>
      <c r="F9115" s="109"/>
      <c r="G9115" s="109"/>
      <c r="H9115" s="109"/>
      <c r="I9115" s="109"/>
      <c r="J9115" s="109"/>
    </row>
    <row r="9116" spans="1:10" customFormat="1" ht="12.75" hidden="1">
      <c r="A9116" s="109"/>
      <c r="B9116" s="109"/>
      <c r="C9116" s="109"/>
      <c r="D9116" s="109"/>
      <c r="E9116" s="109"/>
      <c r="F9116" s="109"/>
      <c r="G9116" s="109"/>
      <c r="H9116" s="109"/>
      <c r="I9116" s="109"/>
      <c r="J9116" s="109"/>
    </row>
    <row r="9117" spans="1:10" customFormat="1" ht="12.75" hidden="1">
      <c r="A9117" s="109"/>
      <c r="B9117" s="109"/>
      <c r="C9117" s="109"/>
      <c r="D9117" s="109"/>
      <c r="E9117" s="109"/>
      <c r="F9117" s="109"/>
      <c r="G9117" s="109"/>
      <c r="H9117" s="109"/>
      <c r="I9117" s="109"/>
      <c r="J9117" s="109"/>
    </row>
    <row r="9118" spans="1:10" customFormat="1" ht="12.75" hidden="1">
      <c r="A9118" s="109"/>
      <c r="B9118" s="109"/>
      <c r="C9118" s="109"/>
      <c r="D9118" s="109"/>
      <c r="E9118" s="109"/>
      <c r="F9118" s="109"/>
      <c r="G9118" s="109"/>
      <c r="H9118" s="109"/>
      <c r="I9118" s="109"/>
      <c r="J9118" s="109"/>
    </row>
    <row r="9119" spans="1:10" customFormat="1" ht="12.75" hidden="1">
      <c r="A9119" s="109"/>
      <c r="B9119" s="109"/>
      <c r="C9119" s="109"/>
      <c r="D9119" s="109"/>
      <c r="E9119" s="109"/>
      <c r="F9119" s="109"/>
      <c r="G9119" s="109"/>
      <c r="H9119" s="109"/>
      <c r="I9119" s="109"/>
      <c r="J9119" s="109"/>
    </row>
    <row r="9120" spans="1:10" customFormat="1" ht="12.75" hidden="1">
      <c r="A9120" s="109"/>
      <c r="B9120" s="109"/>
      <c r="C9120" s="109"/>
      <c r="D9120" s="109"/>
      <c r="E9120" s="109"/>
      <c r="F9120" s="109"/>
      <c r="G9120" s="109"/>
      <c r="H9120" s="109"/>
      <c r="I9120" s="109"/>
      <c r="J9120" s="109"/>
    </row>
    <row r="9121" spans="1:10" customFormat="1" ht="12.75" hidden="1">
      <c r="A9121" s="109"/>
      <c r="B9121" s="109"/>
      <c r="C9121" s="109"/>
      <c r="D9121" s="109"/>
      <c r="E9121" s="109"/>
      <c r="F9121" s="109"/>
      <c r="G9121" s="109"/>
      <c r="H9121" s="109"/>
      <c r="I9121" s="109"/>
      <c r="J9121" s="109"/>
    </row>
    <row r="9122" spans="1:10" customFormat="1" ht="12.75" hidden="1">
      <c r="A9122" s="109"/>
      <c r="B9122" s="109"/>
      <c r="C9122" s="109"/>
      <c r="D9122" s="109"/>
      <c r="E9122" s="109"/>
      <c r="F9122" s="109"/>
      <c r="G9122" s="109"/>
      <c r="H9122" s="109"/>
      <c r="I9122" s="109"/>
      <c r="J9122" s="109"/>
    </row>
    <row r="9123" spans="1:10" customFormat="1" ht="12.75" hidden="1">
      <c r="A9123" s="109"/>
      <c r="B9123" s="109"/>
      <c r="C9123" s="109"/>
      <c r="D9123" s="109"/>
      <c r="E9123" s="109"/>
      <c r="F9123" s="109"/>
      <c r="G9123" s="109"/>
      <c r="H9123" s="109"/>
      <c r="I9123" s="109"/>
      <c r="J9123" s="109"/>
    </row>
    <row r="9124" spans="1:10" customFormat="1" ht="12.75" hidden="1">
      <c r="A9124" s="109"/>
      <c r="B9124" s="109"/>
      <c r="C9124" s="109"/>
      <c r="D9124" s="109"/>
      <c r="E9124" s="109"/>
      <c r="F9124" s="109"/>
      <c r="G9124" s="109"/>
      <c r="H9124" s="109"/>
      <c r="I9124" s="109"/>
      <c r="J9124" s="109"/>
    </row>
    <row r="9125" spans="1:10" customFormat="1" ht="12.75" hidden="1">
      <c r="A9125" s="109"/>
      <c r="B9125" s="109"/>
      <c r="C9125" s="109"/>
      <c r="D9125" s="109"/>
      <c r="E9125" s="109"/>
      <c r="F9125" s="109"/>
      <c r="G9125" s="109"/>
      <c r="H9125" s="109"/>
      <c r="I9125" s="109"/>
      <c r="J9125" s="109"/>
    </row>
    <row r="9126" spans="1:10" customFormat="1" ht="12.75" hidden="1">
      <c r="A9126" s="109"/>
      <c r="B9126" s="109"/>
      <c r="C9126" s="109"/>
      <c r="D9126" s="109"/>
      <c r="E9126" s="109"/>
      <c r="F9126" s="109"/>
      <c r="G9126" s="109"/>
      <c r="H9126" s="109"/>
      <c r="I9126" s="109"/>
      <c r="J9126" s="109"/>
    </row>
    <row r="9127" spans="1:10" customFormat="1" ht="12.75" hidden="1">
      <c r="A9127" s="109"/>
      <c r="B9127" s="109"/>
      <c r="C9127" s="109"/>
      <c r="D9127" s="109"/>
      <c r="E9127" s="109"/>
      <c r="F9127" s="109"/>
      <c r="G9127" s="109"/>
      <c r="H9127" s="109"/>
      <c r="I9127" s="109"/>
      <c r="J9127" s="109"/>
    </row>
    <row r="9128" spans="1:10" customFormat="1" ht="12.75" hidden="1">
      <c r="A9128" s="109"/>
      <c r="B9128" s="109"/>
      <c r="C9128" s="109"/>
      <c r="D9128" s="109"/>
      <c r="E9128" s="109"/>
      <c r="F9128" s="109"/>
      <c r="G9128" s="109"/>
      <c r="H9128" s="109"/>
      <c r="I9128" s="109"/>
      <c r="J9128" s="109"/>
    </row>
    <row r="9129" spans="1:10" customFormat="1" ht="12.75" hidden="1">
      <c r="A9129" s="109"/>
      <c r="B9129" s="109"/>
      <c r="C9129" s="109"/>
      <c r="D9129" s="109"/>
      <c r="E9129" s="109"/>
      <c r="F9129" s="109"/>
      <c r="G9129" s="109"/>
      <c r="H9129" s="109"/>
      <c r="I9129" s="109"/>
      <c r="J9129" s="109"/>
    </row>
    <row r="9130" spans="1:10" customFormat="1" ht="12.75" hidden="1">
      <c r="A9130" s="109"/>
      <c r="B9130" s="109"/>
      <c r="C9130" s="109"/>
      <c r="D9130" s="109"/>
      <c r="E9130" s="109"/>
      <c r="F9130" s="109"/>
      <c r="G9130" s="109"/>
      <c r="H9130" s="109"/>
      <c r="I9130" s="109"/>
      <c r="J9130" s="109"/>
    </row>
    <row r="9131" spans="1:10" customFormat="1" ht="12.75" hidden="1">
      <c r="A9131" s="109"/>
      <c r="B9131" s="109"/>
      <c r="C9131" s="109"/>
      <c r="D9131" s="109"/>
      <c r="E9131" s="109"/>
      <c r="F9131" s="109"/>
      <c r="G9131" s="109"/>
      <c r="H9131" s="109"/>
      <c r="I9131" s="109"/>
      <c r="J9131" s="109"/>
    </row>
    <row r="9132" spans="1:10" customFormat="1" ht="12.75" hidden="1">
      <c r="A9132" s="109"/>
      <c r="B9132" s="109"/>
      <c r="C9132" s="109"/>
      <c r="D9132" s="109"/>
      <c r="E9132" s="109"/>
      <c r="F9132" s="109"/>
      <c r="G9132" s="109"/>
      <c r="H9132" s="109"/>
      <c r="I9132" s="109"/>
      <c r="J9132" s="109"/>
    </row>
    <row r="9133" spans="1:10" customFormat="1" ht="12.75" hidden="1">
      <c r="A9133" s="109"/>
      <c r="B9133" s="109"/>
      <c r="C9133" s="109"/>
      <c r="D9133" s="109"/>
      <c r="E9133" s="109"/>
      <c r="F9133" s="109"/>
      <c r="G9133" s="109"/>
      <c r="H9133" s="109"/>
      <c r="I9133" s="109"/>
      <c r="J9133" s="109"/>
    </row>
    <row r="9134" spans="1:10" customFormat="1" ht="12.75" hidden="1">
      <c r="A9134" s="109"/>
      <c r="B9134" s="109"/>
      <c r="C9134" s="109"/>
      <c r="D9134" s="109"/>
      <c r="E9134" s="109"/>
      <c r="F9134" s="109"/>
      <c r="G9134" s="109"/>
      <c r="H9134" s="109"/>
      <c r="I9134" s="109"/>
      <c r="J9134" s="109"/>
    </row>
    <row r="9135" spans="1:10" customFormat="1" ht="12.75" hidden="1">
      <c r="A9135" s="109"/>
      <c r="B9135" s="109"/>
      <c r="C9135" s="109"/>
      <c r="D9135" s="109"/>
      <c r="E9135" s="109"/>
      <c r="F9135" s="109"/>
      <c r="G9135" s="109"/>
      <c r="H9135" s="109"/>
      <c r="I9135" s="109"/>
      <c r="J9135" s="109"/>
    </row>
    <row r="9136" spans="1:10" customFormat="1" ht="12.75" hidden="1">
      <c r="A9136" s="109"/>
      <c r="B9136" s="109"/>
      <c r="C9136" s="109"/>
      <c r="D9136" s="109"/>
      <c r="E9136" s="109"/>
      <c r="F9136" s="109"/>
      <c r="G9136" s="109"/>
      <c r="H9136" s="109"/>
      <c r="I9136" s="109"/>
      <c r="J9136" s="109"/>
    </row>
    <row r="9137" spans="1:10" customFormat="1" ht="12.75" hidden="1">
      <c r="A9137" s="109"/>
      <c r="B9137" s="109"/>
      <c r="C9137" s="109"/>
      <c r="D9137" s="109"/>
      <c r="E9137" s="109"/>
      <c r="F9137" s="109"/>
      <c r="G9137" s="109"/>
      <c r="H9137" s="109"/>
      <c r="I9137" s="109"/>
      <c r="J9137" s="109"/>
    </row>
    <row r="9138" spans="1:10" customFormat="1" ht="12.75" hidden="1">
      <c r="A9138" s="109"/>
      <c r="B9138" s="109"/>
      <c r="C9138" s="109"/>
      <c r="D9138" s="109"/>
      <c r="E9138" s="109"/>
      <c r="F9138" s="109"/>
      <c r="G9138" s="109"/>
      <c r="H9138" s="109"/>
      <c r="I9138" s="109"/>
      <c r="J9138" s="109"/>
    </row>
    <row r="9139" spans="1:10" customFormat="1" ht="12.75" hidden="1">
      <c r="A9139" s="109"/>
      <c r="B9139" s="109"/>
      <c r="C9139" s="109"/>
      <c r="D9139" s="109"/>
      <c r="E9139" s="109"/>
      <c r="F9139" s="109"/>
      <c r="G9139" s="109"/>
      <c r="H9139" s="109"/>
      <c r="I9139" s="109"/>
      <c r="J9139" s="109"/>
    </row>
    <row r="9140" spans="1:10" customFormat="1" ht="12.75" hidden="1">
      <c r="A9140" s="109"/>
      <c r="B9140" s="109"/>
      <c r="C9140" s="109"/>
      <c r="D9140" s="109"/>
      <c r="E9140" s="109"/>
      <c r="F9140" s="109"/>
      <c r="G9140" s="109"/>
      <c r="H9140" s="109"/>
      <c r="I9140" s="109"/>
      <c r="J9140" s="109"/>
    </row>
    <row r="9141" spans="1:10" customFormat="1" ht="12.75" hidden="1">
      <c r="A9141" s="109"/>
      <c r="B9141" s="109"/>
      <c r="C9141" s="109"/>
      <c r="D9141" s="109"/>
      <c r="E9141" s="109"/>
      <c r="F9141" s="109"/>
      <c r="G9141" s="109"/>
      <c r="H9141" s="109"/>
      <c r="I9141" s="109"/>
      <c r="J9141" s="109"/>
    </row>
    <row r="9142" spans="1:10" customFormat="1" ht="12.75" hidden="1">
      <c r="A9142" s="109"/>
      <c r="B9142" s="109"/>
      <c r="C9142" s="109"/>
      <c r="D9142" s="109"/>
      <c r="E9142" s="109"/>
      <c r="F9142" s="109"/>
      <c r="G9142" s="109"/>
      <c r="H9142" s="109"/>
      <c r="I9142" s="109"/>
      <c r="J9142" s="109"/>
    </row>
    <row r="9143" spans="1:10" customFormat="1" ht="12.75" hidden="1">
      <c r="A9143" s="109"/>
      <c r="B9143" s="109"/>
      <c r="C9143" s="109"/>
      <c r="D9143" s="109"/>
      <c r="E9143" s="109"/>
      <c r="F9143" s="109"/>
      <c r="G9143" s="109"/>
      <c r="H9143" s="109"/>
      <c r="I9143" s="109"/>
      <c r="J9143" s="109"/>
    </row>
    <row r="9144" spans="1:10" customFormat="1" ht="12.75" hidden="1">
      <c r="A9144" s="109"/>
      <c r="B9144" s="109"/>
      <c r="C9144" s="109"/>
      <c r="D9144" s="109"/>
      <c r="E9144" s="109"/>
      <c r="F9144" s="109"/>
      <c r="G9144" s="109"/>
      <c r="H9144" s="109"/>
      <c r="I9144" s="109"/>
      <c r="J9144" s="109"/>
    </row>
    <row r="9145" spans="1:10" customFormat="1" ht="12.75" hidden="1">
      <c r="A9145" s="109"/>
      <c r="B9145" s="109"/>
      <c r="C9145" s="109"/>
      <c r="D9145" s="109"/>
      <c r="E9145" s="109"/>
      <c r="F9145" s="109"/>
      <c r="G9145" s="109"/>
      <c r="H9145" s="109"/>
      <c r="I9145" s="109"/>
      <c r="J9145" s="109"/>
    </row>
    <row r="9146" spans="1:10" customFormat="1" ht="12.75" hidden="1">
      <c r="A9146" s="109"/>
      <c r="B9146" s="109"/>
      <c r="C9146" s="109"/>
      <c r="D9146" s="109"/>
      <c r="E9146" s="109"/>
      <c r="F9146" s="109"/>
      <c r="G9146" s="109"/>
      <c r="H9146" s="109"/>
      <c r="I9146" s="109"/>
      <c r="J9146" s="109"/>
    </row>
    <row r="9147" spans="1:10" customFormat="1" ht="12.75" hidden="1">
      <c r="A9147" s="109"/>
      <c r="B9147" s="109"/>
      <c r="C9147" s="109"/>
      <c r="D9147" s="109"/>
      <c r="E9147" s="109"/>
      <c r="F9147" s="109"/>
      <c r="G9147" s="109"/>
      <c r="H9147" s="109"/>
      <c r="I9147" s="109"/>
      <c r="J9147" s="109"/>
    </row>
    <row r="9148" spans="1:10" customFormat="1" ht="12.75" hidden="1">
      <c r="A9148" s="109"/>
      <c r="B9148" s="109"/>
      <c r="C9148" s="109"/>
      <c r="D9148" s="109"/>
      <c r="E9148" s="109"/>
      <c r="F9148" s="109"/>
      <c r="G9148" s="109"/>
      <c r="H9148" s="109"/>
      <c r="I9148" s="109"/>
      <c r="J9148" s="109"/>
    </row>
    <row r="9149" spans="1:10" customFormat="1" ht="12.75" hidden="1">
      <c r="A9149" s="109"/>
      <c r="B9149" s="109"/>
      <c r="C9149" s="109"/>
      <c r="D9149" s="109"/>
      <c r="E9149" s="109"/>
      <c r="F9149" s="109"/>
      <c r="G9149" s="109"/>
      <c r="H9149" s="109"/>
      <c r="I9149" s="109"/>
      <c r="J9149" s="109"/>
    </row>
    <row r="9150" spans="1:10" customFormat="1" ht="12.75" hidden="1">
      <c r="A9150" s="109"/>
      <c r="B9150" s="109"/>
      <c r="C9150" s="109"/>
      <c r="D9150" s="109"/>
      <c r="E9150" s="109"/>
      <c r="F9150" s="109"/>
      <c r="G9150" s="109"/>
      <c r="H9150" s="109"/>
      <c r="I9150" s="109"/>
      <c r="J9150" s="109"/>
    </row>
    <row r="9151" spans="1:10" customFormat="1" ht="12.75" hidden="1">
      <c r="A9151" s="109"/>
      <c r="B9151" s="109"/>
      <c r="C9151" s="109"/>
      <c r="D9151" s="109"/>
      <c r="E9151" s="109"/>
      <c r="F9151" s="109"/>
      <c r="G9151" s="109"/>
      <c r="H9151" s="109"/>
      <c r="I9151" s="109"/>
      <c r="J9151" s="109"/>
    </row>
    <row r="9152" spans="1:10" customFormat="1" ht="12.75" hidden="1">
      <c r="A9152" s="109"/>
      <c r="B9152" s="109"/>
      <c r="C9152" s="109"/>
      <c r="D9152" s="109"/>
      <c r="E9152" s="109"/>
      <c r="F9152" s="109"/>
      <c r="G9152" s="109"/>
      <c r="H9152" s="109"/>
      <c r="I9152" s="109"/>
      <c r="J9152" s="109"/>
    </row>
    <row r="9153" spans="1:10" customFormat="1" ht="12.75" hidden="1">
      <c r="A9153" s="109"/>
      <c r="B9153" s="109"/>
      <c r="C9153" s="109"/>
      <c r="D9153" s="109"/>
      <c r="E9153" s="109"/>
      <c r="F9153" s="109"/>
      <c r="G9153" s="109"/>
      <c r="H9153" s="109"/>
      <c r="I9153" s="109"/>
      <c r="J9153" s="109"/>
    </row>
    <row r="9154" spans="1:10" customFormat="1" ht="12.75" hidden="1">
      <c r="A9154" s="109"/>
      <c r="B9154" s="109"/>
      <c r="C9154" s="109"/>
      <c r="D9154" s="109"/>
      <c r="E9154" s="109"/>
      <c r="F9154" s="109"/>
      <c r="G9154" s="109"/>
      <c r="H9154" s="109"/>
      <c r="I9154" s="109"/>
      <c r="J9154" s="109"/>
    </row>
    <row r="9155" spans="1:10" customFormat="1" ht="12.75" hidden="1">
      <c r="A9155" s="109"/>
      <c r="B9155" s="109"/>
      <c r="C9155" s="109"/>
      <c r="D9155" s="109"/>
      <c r="E9155" s="109"/>
      <c r="F9155" s="109"/>
      <c r="G9155" s="109"/>
      <c r="H9155" s="109"/>
      <c r="I9155" s="109"/>
      <c r="J9155" s="109"/>
    </row>
    <row r="9156" spans="1:10" customFormat="1" ht="12.75" hidden="1">
      <c r="A9156" s="109"/>
      <c r="B9156" s="109"/>
      <c r="C9156" s="109"/>
      <c r="D9156" s="109"/>
      <c r="E9156" s="109"/>
      <c r="F9156" s="109"/>
      <c r="G9156" s="109"/>
      <c r="H9156" s="109"/>
      <c r="I9156" s="109"/>
      <c r="J9156" s="109"/>
    </row>
    <row r="9157" spans="1:10" customFormat="1" ht="12.75" hidden="1">
      <c r="A9157" s="109"/>
      <c r="B9157" s="109"/>
      <c r="C9157" s="109"/>
      <c r="D9157" s="109"/>
      <c r="E9157" s="109"/>
      <c r="F9157" s="109"/>
      <c r="G9157" s="109"/>
      <c r="H9157" s="109"/>
      <c r="I9157" s="109"/>
      <c r="J9157" s="109"/>
    </row>
    <row r="9158" spans="1:10" customFormat="1" ht="12.75" hidden="1">
      <c r="A9158" s="109"/>
      <c r="B9158" s="109"/>
      <c r="C9158" s="109"/>
      <c r="D9158" s="109"/>
      <c r="E9158" s="109"/>
      <c r="F9158" s="109"/>
      <c r="G9158" s="109"/>
      <c r="H9158" s="109"/>
      <c r="I9158" s="109"/>
      <c r="J9158" s="109"/>
    </row>
    <row r="9159" spans="1:10" customFormat="1" ht="12.75" hidden="1">
      <c r="A9159" s="109"/>
      <c r="B9159" s="109"/>
      <c r="C9159" s="109"/>
      <c r="D9159" s="109"/>
      <c r="E9159" s="109"/>
      <c r="F9159" s="109"/>
      <c r="G9159" s="109"/>
      <c r="H9159" s="109"/>
      <c r="I9159" s="109"/>
      <c r="J9159" s="109"/>
    </row>
    <row r="9160" spans="1:10" customFormat="1" ht="12.75" hidden="1">
      <c r="A9160" s="109"/>
      <c r="B9160" s="109"/>
      <c r="C9160" s="109"/>
      <c r="D9160" s="109"/>
      <c r="E9160" s="109"/>
      <c r="F9160" s="109"/>
      <c r="G9160" s="109"/>
      <c r="H9160" s="109"/>
      <c r="I9160" s="109"/>
      <c r="J9160" s="109"/>
    </row>
    <row r="9161" spans="1:10" customFormat="1" ht="12.75" hidden="1">
      <c r="A9161" s="109"/>
      <c r="B9161" s="109"/>
      <c r="C9161" s="109"/>
      <c r="D9161" s="109"/>
      <c r="E9161" s="109"/>
      <c r="F9161" s="109"/>
      <c r="G9161" s="109"/>
      <c r="H9161" s="109"/>
      <c r="I9161" s="109"/>
      <c r="J9161" s="109"/>
    </row>
    <row r="9162" spans="1:10" customFormat="1" ht="12.75" hidden="1">
      <c r="A9162" s="109"/>
      <c r="B9162" s="109"/>
      <c r="C9162" s="109"/>
      <c r="D9162" s="109"/>
      <c r="E9162" s="109"/>
      <c r="F9162" s="109"/>
      <c r="G9162" s="109"/>
      <c r="H9162" s="109"/>
      <c r="I9162" s="109"/>
      <c r="J9162" s="109"/>
    </row>
    <row r="9163" spans="1:10" customFormat="1" ht="12.75" hidden="1">
      <c r="A9163" s="109"/>
      <c r="B9163" s="109"/>
      <c r="C9163" s="109"/>
      <c r="D9163" s="109"/>
      <c r="E9163" s="109"/>
      <c r="F9163" s="109"/>
      <c r="G9163" s="109"/>
      <c r="H9163" s="109"/>
      <c r="I9163" s="109"/>
      <c r="J9163" s="109"/>
    </row>
    <row r="9164" spans="1:10" customFormat="1" ht="12.75" hidden="1">
      <c r="A9164" s="109"/>
      <c r="B9164" s="109"/>
      <c r="C9164" s="109"/>
      <c r="D9164" s="109"/>
      <c r="E9164" s="109"/>
      <c r="F9164" s="109"/>
      <c r="G9164" s="109"/>
      <c r="H9164" s="109"/>
      <c r="I9164" s="109"/>
      <c r="J9164" s="109"/>
    </row>
    <row r="9165" spans="1:10" customFormat="1" ht="12.75" hidden="1">
      <c r="A9165" s="109"/>
      <c r="B9165" s="109"/>
      <c r="C9165" s="109"/>
      <c r="D9165" s="109"/>
      <c r="E9165" s="109"/>
      <c r="F9165" s="109"/>
      <c r="G9165" s="109"/>
      <c r="H9165" s="109"/>
      <c r="I9165" s="109"/>
      <c r="J9165" s="109"/>
    </row>
    <row r="9166" spans="1:10" customFormat="1" ht="12.75" hidden="1">
      <c r="A9166" s="109"/>
      <c r="B9166" s="109"/>
      <c r="C9166" s="109"/>
      <c r="D9166" s="109"/>
      <c r="E9166" s="109"/>
      <c r="F9166" s="109"/>
      <c r="G9166" s="109"/>
      <c r="H9166" s="109"/>
      <c r="I9166" s="109"/>
      <c r="J9166" s="109"/>
    </row>
    <row r="9167" spans="1:10" customFormat="1" ht="12.75" hidden="1">
      <c r="A9167" s="109"/>
      <c r="B9167" s="109"/>
      <c r="C9167" s="109"/>
      <c r="D9167" s="109"/>
      <c r="E9167" s="109"/>
      <c r="F9167" s="109"/>
      <c r="G9167" s="109"/>
      <c r="H9167" s="109"/>
      <c r="I9167" s="109"/>
      <c r="J9167" s="109"/>
    </row>
    <row r="9168" spans="1:10" customFormat="1" ht="12.75" hidden="1">
      <c r="A9168" s="109"/>
      <c r="B9168" s="109"/>
      <c r="C9168" s="109"/>
      <c r="D9168" s="109"/>
      <c r="E9168" s="109"/>
      <c r="F9168" s="109"/>
      <c r="G9168" s="109"/>
      <c r="H9168" s="109"/>
      <c r="I9168" s="109"/>
      <c r="J9168" s="109"/>
    </row>
    <row r="9169" spans="1:10" customFormat="1" ht="12.75" hidden="1">
      <c r="A9169" s="109"/>
      <c r="B9169" s="109"/>
      <c r="C9169" s="109"/>
      <c r="D9169" s="109"/>
      <c r="E9169" s="109"/>
      <c r="F9169" s="109"/>
      <c r="G9169" s="109"/>
      <c r="H9169" s="109"/>
      <c r="I9169" s="109"/>
      <c r="J9169" s="109"/>
    </row>
    <row r="9170" spans="1:10" customFormat="1" ht="12.75" hidden="1">
      <c r="A9170" s="109"/>
      <c r="B9170" s="109"/>
      <c r="C9170" s="109"/>
      <c r="D9170" s="109"/>
      <c r="E9170" s="109"/>
      <c r="F9170" s="109"/>
      <c r="G9170" s="109"/>
      <c r="H9170" s="109"/>
      <c r="I9170" s="109"/>
      <c r="J9170" s="109"/>
    </row>
    <row r="9171" spans="1:10" customFormat="1" ht="12.75" hidden="1">
      <c r="A9171" s="109"/>
      <c r="B9171" s="109"/>
      <c r="C9171" s="109"/>
      <c r="D9171" s="109"/>
      <c r="E9171" s="109"/>
      <c r="F9171" s="109"/>
      <c r="G9171" s="109"/>
      <c r="H9171" s="109"/>
      <c r="I9171" s="109"/>
      <c r="J9171" s="109"/>
    </row>
    <row r="9172" spans="1:10" customFormat="1" ht="12.75" hidden="1">
      <c r="A9172" s="109"/>
      <c r="B9172" s="109"/>
      <c r="C9172" s="109"/>
      <c r="D9172" s="109"/>
      <c r="E9172" s="109"/>
      <c r="F9172" s="109"/>
      <c r="G9172" s="109"/>
      <c r="H9172" s="109"/>
      <c r="I9172" s="109"/>
      <c r="J9172" s="109"/>
    </row>
    <row r="9173" spans="1:10" customFormat="1" ht="12.75" hidden="1">
      <c r="A9173" s="109"/>
      <c r="B9173" s="109"/>
      <c r="C9173" s="109"/>
      <c r="D9173" s="109"/>
      <c r="E9173" s="109"/>
      <c r="F9173" s="109"/>
      <c r="G9173" s="109"/>
      <c r="H9173" s="109"/>
      <c r="I9173" s="109"/>
      <c r="J9173" s="109"/>
    </row>
    <row r="9174" spans="1:10" customFormat="1" ht="12.75" hidden="1">
      <c r="A9174" s="109"/>
      <c r="B9174" s="109"/>
      <c r="C9174" s="109"/>
      <c r="D9174" s="109"/>
      <c r="E9174" s="109"/>
      <c r="F9174" s="109"/>
      <c r="G9174" s="109"/>
      <c r="H9174" s="109"/>
      <c r="I9174" s="109"/>
      <c r="J9174" s="109"/>
    </row>
    <row r="9175" spans="1:10" customFormat="1" ht="12.75" hidden="1">
      <c r="A9175" s="109"/>
      <c r="B9175" s="109"/>
      <c r="C9175" s="109"/>
      <c r="D9175" s="109"/>
      <c r="E9175" s="109"/>
      <c r="F9175" s="109"/>
      <c r="G9175" s="109"/>
      <c r="H9175" s="109"/>
      <c r="I9175" s="109"/>
      <c r="J9175" s="109"/>
    </row>
    <row r="9176" spans="1:10" customFormat="1" ht="12.75" hidden="1">
      <c r="A9176" s="109"/>
      <c r="B9176" s="109"/>
      <c r="C9176" s="109"/>
      <c r="D9176" s="109"/>
      <c r="E9176" s="109"/>
      <c r="F9176" s="109"/>
      <c r="G9176" s="109"/>
      <c r="H9176" s="109"/>
      <c r="I9176" s="109"/>
      <c r="J9176" s="109"/>
    </row>
    <row r="9177" spans="1:10" customFormat="1" ht="12.75" hidden="1">
      <c r="A9177" s="109"/>
      <c r="B9177" s="109"/>
      <c r="C9177" s="109"/>
      <c r="D9177" s="109"/>
      <c r="E9177" s="109"/>
      <c r="F9177" s="109"/>
      <c r="G9177" s="109"/>
      <c r="H9177" s="109"/>
      <c r="I9177" s="109"/>
      <c r="J9177" s="109"/>
    </row>
    <row r="9178" spans="1:10" customFormat="1" ht="12.75" hidden="1">
      <c r="A9178" s="109"/>
      <c r="B9178" s="109"/>
      <c r="C9178" s="109"/>
      <c r="D9178" s="109"/>
      <c r="E9178" s="109"/>
      <c r="F9178" s="109"/>
      <c r="G9178" s="109"/>
      <c r="H9178" s="109"/>
      <c r="I9178" s="109"/>
      <c r="J9178" s="109"/>
    </row>
    <row r="9179" spans="1:10" customFormat="1" ht="12.75" hidden="1">
      <c r="A9179" s="109"/>
      <c r="B9179" s="109"/>
      <c r="C9179" s="109"/>
      <c r="D9179" s="109"/>
      <c r="E9179" s="109"/>
      <c r="F9179" s="109"/>
      <c r="G9179" s="109"/>
      <c r="H9179" s="109"/>
      <c r="I9179" s="109"/>
      <c r="J9179" s="109"/>
    </row>
    <row r="9180" spans="1:10" customFormat="1" ht="12.75" hidden="1">
      <c r="A9180" s="109"/>
      <c r="B9180" s="109"/>
      <c r="C9180" s="109"/>
      <c r="D9180" s="109"/>
      <c r="E9180" s="109"/>
      <c r="F9180" s="109"/>
      <c r="G9180" s="109"/>
      <c r="H9180" s="109"/>
      <c r="I9180" s="109"/>
      <c r="J9180" s="109"/>
    </row>
    <row r="9181" spans="1:10" customFormat="1" ht="12.75" hidden="1">
      <c r="A9181" s="109"/>
      <c r="B9181" s="109"/>
      <c r="C9181" s="109"/>
      <c r="D9181" s="109"/>
      <c r="E9181" s="109"/>
      <c r="F9181" s="109"/>
      <c r="G9181" s="109"/>
      <c r="H9181" s="109"/>
      <c r="I9181" s="109"/>
      <c r="J9181" s="109"/>
    </row>
    <row r="9182" spans="1:10" customFormat="1" ht="12.75" hidden="1">
      <c r="A9182" s="109"/>
      <c r="B9182" s="109"/>
      <c r="C9182" s="109"/>
      <c r="D9182" s="109"/>
      <c r="E9182" s="109"/>
      <c r="F9182" s="109"/>
      <c r="G9182" s="109"/>
      <c r="H9182" s="109"/>
      <c r="I9182" s="109"/>
      <c r="J9182" s="109"/>
    </row>
    <row r="9183" spans="1:10" customFormat="1" ht="12.75" hidden="1">
      <c r="A9183" s="109"/>
      <c r="B9183" s="109"/>
      <c r="C9183" s="109"/>
      <c r="D9183" s="109"/>
      <c r="E9183" s="109"/>
      <c r="F9183" s="109"/>
      <c r="G9183" s="109"/>
      <c r="H9183" s="109"/>
      <c r="I9183" s="109"/>
      <c r="J9183" s="109"/>
    </row>
    <row r="9184" spans="1:10" customFormat="1" ht="12.75" hidden="1">
      <c r="A9184" s="109"/>
      <c r="B9184" s="109"/>
      <c r="C9184" s="109"/>
      <c r="D9184" s="109"/>
      <c r="E9184" s="109"/>
      <c r="F9184" s="109"/>
      <c r="G9184" s="109"/>
      <c r="H9184" s="109"/>
      <c r="I9184" s="109"/>
      <c r="J9184" s="109"/>
    </row>
    <row r="9185" spans="1:10" customFormat="1" ht="12.75" hidden="1">
      <c r="A9185" s="109"/>
      <c r="B9185" s="109"/>
      <c r="C9185" s="109"/>
      <c r="D9185" s="109"/>
      <c r="E9185" s="109"/>
      <c r="F9185" s="109"/>
      <c r="G9185" s="109"/>
      <c r="H9185" s="109"/>
      <c r="I9185" s="109"/>
      <c r="J9185" s="109"/>
    </row>
    <row r="9186" spans="1:10" customFormat="1" ht="12.75" hidden="1">
      <c r="A9186" s="109"/>
      <c r="B9186" s="109"/>
      <c r="C9186" s="109"/>
      <c r="D9186" s="109"/>
      <c r="E9186" s="109"/>
      <c r="F9186" s="109"/>
      <c r="G9186" s="109"/>
      <c r="H9186" s="109"/>
      <c r="I9186" s="109"/>
      <c r="J9186" s="109"/>
    </row>
    <row r="9187" spans="1:10" customFormat="1" ht="12.75" hidden="1">
      <c r="A9187" s="109"/>
      <c r="B9187" s="109"/>
      <c r="C9187" s="109"/>
      <c r="D9187" s="109"/>
      <c r="E9187" s="109"/>
      <c r="F9187" s="109"/>
      <c r="G9187" s="109"/>
      <c r="H9187" s="109"/>
      <c r="I9187" s="109"/>
      <c r="J9187" s="109"/>
    </row>
    <row r="9188" spans="1:10" customFormat="1" ht="12.75" hidden="1">
      <c r="A9188" s="109"/>
      <c r="B9188" s="109"/>
      <c r="C9188" s="109"/>
      <c r="D9188" s="109"/>
      <c r="E9188" s="109"/>
      <c r="F9188" s="109"/>
      <c r="G9188" s="109"/>
      <c r="H9188" s="109"/>
      <c r="I9188" s="109"/>
      <c r="J9188" s="109"/>
    </row>
    <row r="9189" spans="1:10" customFormat="1" ht="12.75" hidden="1">
      <c r="A9189" s="109"/>
      <c r="B9189" s="109"/>
      <c r="C9189" s="109"/>
      <c r="D9189" s="109"/>
      <c r="E9189" s="109"/>
      <c r="F9189" s="109"/>
      <c r="G9189" s="109"/>
      <c r="H9189" s="109"/>
      <c r="I9189" s="109"/>
      <c r="J9189" s="109"/>
    </row>
    <row r="9190" spans="1:10" customFormat="1" ht="12.75" hidden="1">
      <c r="A9190" s="109"/>
      <c r="B9190" s="109"/>
      <c r="C9190" s="109"/>
      <c r="D9190" s="109"/>
      <c r="E9190" s="109"/>
      <c r="F9190" s="109"/>
      <c r="G9190" s="109"/>
      <c r="H9190" s="109"/>
      <c r="I9190" s="109"/>
      <c r="J9190" s="109"/>
    </row>
    <row r="9191" spans="1:10" customFormat="1" ht="12.75" hidden="1">
      <c r="A9191" s="109"/>
      <c r="B9191" s="109"/>
      <c r="C9191" s="109"/>
      <c r="D9191" s="109"/>
      <c r="E9191" s="109"/>
      <c r="F9191" s="109"/>
      <c r="G9191" s="109"/>
      <c r="H9191" s="109"/>
      <c r="I9191" s="109"/>
      <c r="J9191" s="109"/>
    </row>
    <row r="9192" spans="1:10" customFormat="1" ht="12.75" hidden="1">
      <c r="A9192" s="109"/>
      <c r="B9192" s="109"/>
      <c r="C9192" s="109"/>
      <c r="D9192" s="109"/>
      <c r="E9192" s="109"/>
      <c r="F9192" s="109"/>
      <c r="G9192" s="109"/>
      <c r="H9192" s="109"/>
      <c r="I9192" s="109"/>
      <c r="J9192" s="109"/>
    </row>
    <row r="9193" spans="1:10" customFormat="1" ht="12.75" hidden="1">
      <c r="A9193" s="109"/>
      <c r="B9193" s="109"/>
      <c r="C9193" s="109"/>
      <c r="D9193" s="109"/>
      <c r="E9193" s="109"/>
      <c r="F9193" s="109"/>
      <c r="G9193" s="109"/>
      <c r="H9193" s="109"/>
      <c r="I9193" s="109"/>
      <c r="J9193" s="109"/>
    </row>
    <row r="9194" spans="1:10" customFormat="1" ht="12.75" hidden="1">
      <c r="A9194" s="109"/>
      <c r="B9194" s="109"/>
      <c r="C9194" s="109"/>
      <c r="D9194" s="109"/>
      <c r="E9194" s="109"/>
      <c r="F9194" s="109"/>
      <c r="G9194" s="109"/>
      <c r="H9194" s="109"/>
      <c r="I9194" s="109"/>
      <c r="J9194" s="109"/>
    </row>
    <row r="9195" spans="1:10" customFormat="1" ht="12.75" hidden="1">
      <c r="A9195" s="109"/>
      <c r="B9195" s="109"/>
      <c r="C9195" s="109"/>
      <c r="D9195" s="109"/>
      <c r="E9195" s="109"/>
      <c r="F9195" s="109"/>
      <c r="G9195" s="109"/>
      <c r="H9195" s="109"/>
      <c r="I9195" s="109"/>
      <c r="J9195" s="109"/>
    </row>
    <row r="9196" spans="1:10" customFormat="1" ht="12.75" hidden="1">
      <c r="A9196" s="109"/>
      <c r="B9196" s="109"/>
      <c r="C9196" s="109"/>
      <c r="D9196" s="109"/>
      <c r="E9196" s="109"/>
      <c r="F9196" s="109"/>
      <c r="G9196" s="109"/>
      <c r="H9196" s="109"/>
      <c r="I9196" s="109"/>
      <c r="J9196" s="109"/>
    </row>
    <row r="9197" spans="1:10" customFormat="1" ht="12.75" hidden="1">
      <c r="A9197" s="109"/>
      <c r="B9197" s="109"/>
      <c r="C9197" s="109"/>
      <c r="D9197" s="109"/>
      <c r="E9197" s="109"/>
      <c r="F9197" s="109"/>
      <c r="G9197" s="109"/>
      <c r="H9197" s="109"/>
      <c r="I9197" s="109"/>
      <c r="J9197" s="109"/>
    </row>
    <row r="9198" spans="1:10" customFormat="1" ht="12.75" hidden="1">
      <c r="A9198" s="109"/>
      <c r="B9198" s="109"/>
      <c r="C9198" s="109"/>
      <c r="D9198" s="109"/>
      <c r="E9198" s="109"/>
      <c r="F9198" s="109"/>
      <c r="G9198" s="109"/>
      <c r="H9198" s="109"/>
      <c r="I9198" s="109"/>
      <c r="J9198" s="109"/>
    </row>
    <row r="9199" spans="1:10" customFormat="1" ht="12.75" hidden="1">
      <c r="A9199" s="109"/>
      <c r="B9199" s="109"/>
      <c r="C9199" s="109"/>
      <c r="D9199" s="109"/>
      <c r="E9199" s="109"/>
      <c r="F9199" s="109"/>
      <c r="G9199" s="109"/>
      <c r="H9199" s="109"/>
      <c r="I9199" s="109"/>
      <c r="J9199" s="109"/>
    </row>
    <row r="9200" spans="1:10" customFormat="1" ht="12.75" hidden="1">
      <c r="A9200" s="109"/>
      <c r="B9200" s="109"/>
      <c r="C9200" s="109"/>
      <c r="D9200" s="109"/>
      <c r="E9200" s="109"/>
      <c r="F9200" s="109"/>
      <c r="G9200" s="109"/>
      <c r="H9200" s="109"/>
      <c r="I9200" s="109"/>
      <c r="J9200" s="109"/>
    </row>
    <row r="9201" spans="1:10" customFormat="1" ht="12.75" hidden="1">
      <c r="A9201" s="109"/>
      <c r="B9201" s="109"/>
      <c r="C9201" s="109"/>
      <c r="D9201" s="109"/>
      <c r="E9201" s="109"/>
      <c r="F9201" s="109"/>
      <c r="G9201" s="109"/>
      <c r="H9201" s="109"/>
      <c r="I9201" s="109"/>
      <c r="J9201" s="109"/>
    </row>
    <row r="9202" spans="1:10" customFormat="1" ht="12.75" hidden="1">
      <c r="A9202" s="109"/>
      <c r="B9202" s="109"/>
      <c r="C9202" s="109"/>
      <c r="D9202" s="109"/>
      <c r="E9202" s="109"/>
      <c r="F9202" s="109"/>
      <c r="G9202" s="109"/>
      <c r="H9202" s="109"/>
      <c r="I9202" s="109"/>
      <c r="J9202" s="109"/>
    </row>
    <row r="9203" spans="1:10" customFormat="1" ht="12.75" hidden="1">
      <c r="A9203" s="109"/>
      <c r="B9203" s="109"/>
      <c r="C9203" s="109"/>
      <c r="D9203" s="109"/>
      <c r="E9203" s="109"/>
      <c r="F9203" s="109"/>
      <c r="G9203" s="109"/>
      <c r="H9203" s="109"/>
      <c r="I9203" s="109"/>
      <c r="J9203" s="109"/>
    </row>
    <row r="9204" spans="1:10" customFormat="1" ht="12.75" hidden="1">
      <c r="A9204" s="109"/>
      <c r="B9204" s="109"/>
      <c r="C9204" s="109"/>
      <c r="D9204" s="109"/>
      <c r="E9204" s="109"/>
      <c r="F9204" s="109"/>
      <c r="G9204" s="109"/>
      <c r="H9204" s="109"/>
      <c r="I9204" s="109"/>
      <c r="J9204" s="109"/>
    </row>
    <row r="9205" spans="1:10" customFormat="1" ht="12.75" hidden="1">
      <c r="A9205" s="109"/>
      <c r="B9205" s="109"/>
      <c r="C9205" s="109"/>
      <c r="D9205" s="109"/>
      <c r="E9205" s="109"/>
      <c r="F9205" s="109"/>
      <c r="G9205" s="109"/>
      <c r="H9205" s="109"/>
      <c r="I9205" s="109"/>
      <c r="J9205" s="109"/>
    </row>
    <row r="9206" spans="1:10" customFormat="1" ht="12.75" hidden="1">
      <c r="A9206" s="109"/>
      <c r="B9206" s="109"/>
      <c r="C9206" s="109"/>
      <c r="D9206" s="109"/>
      <c r="E9206" s="109"/>
      <c r="F9206" s="109"/>
      <c r="G9206" s="109"/>
      <c r="H9206" s="109"/>
      <c r="I9206" s="109"/>
      <c r="J9206" s="109"/>
    </row>
    <row r="9207" spans="1:10" customFormat="1" ht="12.75" hidden="1">
      <c r="A9207" s="109"/>
      <c r="B9207" s="109"/>
      <c r="C9207" s="109"/>
      <c r="D9207" s="109"/>
      <c r="E9207" s="109"/>
      <c r="F9207" s="109"/>
      <c r="G9207" s="109"/>
      <c r="H9207" s="109"/>
      <c r="I9207" s="109"/>
      <c r="J9207" s="109"/>
    </row>
    <row r="9208" spans="1:10" customFormat="1" ht="12.75" hidden="1">
      <c r="A9208" s="109"/>
      <c r="B9208" s="109"/>
      <c r="C9208" s="109"/>
      <c r="D9208" s="109"/>
      <c r="E9208" s="109"/>
      <c r="F9208" s="109"/>
      <c r="G9208" s="109"/>
      <c r="H9208" s="109"/>
      <c r="I9208" s="109"/>
      <c r="J9208" s="109"/>
    </row>
    <row r="9209" spans="1:10" customFormat="1" ht="12.75" hidden="1">
      <c r="A9209" s="109"/>
      <c r="B9209" s="109"/>
      <c r="C9209" s="109"/>
      <c r="D9209" s="109"/>
      <c r="E9209" s="109"/>
      <c r="F9209" s="109"/>
      <c r="G9209" s="109"/>
      <c r="H9209" s="109"/>
      <c r="I9209" s="109"/>
      <c r="J9209" s="109"/>
    </row>
    <row r="9210" spans="1:10" customFormat="1" ht="12.75" hidden="1">
      <c r="A9210" s="109"/>
      <c r="B9210" s="109"/>
      <c r="C9210" s="109"/>
      <c r="D9210" s="109"/>
      <c r="E9210" s="109"/>
      <c r="F9210" s="109"/>
      <c r="G9210" s="109"/>
      <c r="H9210" s="109"/>
      <c r="I9210" s="109"/>
      <c r="J9210" s="109"/>
    </row>
    <row r="9211" spans="1:10" customFormat="1" ht="12.75" hidden="1">
      <c r="A9211" s="109"/>
      <c r="B9211" s="109"/>
      <c r="C9211" s="109"/>
      <c r="D9211" s="109"/>
      <c r="E9211" s="109"/>
      <c r="F9211" s="109"/>
      <c r="G9211" s="109"/>
      <c r="H9211" s="109"/>
      <c r="I9211" s="109"/>
      <c r="J9211" s="109"/>
    </row>
    <row r="9212" spans="1:10" customFormat="1" ht="12.75" hidden="1">
      <c r="A9212" s="109"/>
      <c r="B9212" s="109"/>
      <c r="C9212" s="109"/>
      <c r="D9212" s="109"/>
      <c r="E9212" s="109"/>
      <c r="F9212" s="109"/>
      <c r="G9212" s="109"/>
      <c r="H9212" s="109"/>
      <c r="I9212" s="109"/>
      <c r="J9212" s="109"/>
    </row>
    <row r="9213" spans="1:10" customFormat="1" ht="12.75" hidden="1">
      <c r="A9213" s="109"/>
      <c r="B9213" s="109"/>
      <c r="C9213" s="109"/>
      <c r="D9213" s="109"/>
      <c r="E9213" s="109"/>
      <c r="F9213" s="109"/>
      <c r="G9213" s="109"/>
      <c r="H9213" s="109"/>
      <c r="I9213" s="109"/>
      <c r="J9213" s="109"/>
    </row>
    <row r="9214" spans="1:10" customFormat="1" ht="12.75" hidden="1">
      <c r="A9214" s="109"/>
      <c r="B9214" s="109"/>
      <c r="C9214" s="109"/>
      <c r="D9214" s="109"/>
      <c r="E9214" s="109"/>
      <c r="F9214" s="109"/>
      <c r="G9214" s="109"/>
      <c r="H9214" s="109"/>
      <c r="I9214" s="109"/>
      <c r="J9214" s="109"/>
    </row>
    <row r="9215" spans="1:10" customFormat="1" ht="12.75" hidden="1">
      <c r="A9215" s="109"/>
      <c r="B9215" s="109"/>
      <c r="C9215" s="109"/>
      <c r="D9215" s="109"/>
      <c r="E9215" s="109"/>
      <c r="F9215" s="109"/>
      <c r="G9215" s="109"/>
      <c r="H9215" s="109"/>
      <c r="I9215" s="109"/>
      <c r="J9215" s="109"/>
    </row>
    <row r="9216" spans="1:10" customFormat="1" ht="12.75" hidden="1">
      <c r="A9216" s="109"/>
      <c r="B9216" s="109"/>
      <c r="C9216" s="109"/>
      <c r="D9216" s="109"/>
      <c r="E9216" s="109"/>
      <c r="F9216" s="109"/>
      <c r="G9216" s="109"/>
      <c r="H9216" s="109"/>
      <c r="I9216" s="109"/>
      <c r="J9216" s="109"/>
    </row>
    <row r="9217" spans="1:10" customFormat="1" ht="12.75" hidden="1">
      <c r="A9217" s="109"/>
      <c r="B9217" s="109"/>
      <c r="C9217" s="109"/>
      <c r="D9217" s="109"/>
      <c r="E9217" s="109"/>
      <c r="F9217" s="109"/>
      <c r="G9217" s="109"/>
      <c r="H9217" s="109"/>
      <c r="I9217" s="109"/>
      <c r="J9217" s="109"/>
    </row>
    <row r="9218" spans="1:10" customFormat="1" ht="12.75" hidden="1">
      <c r="A9218" s="109"/>
      <c r="B9218" s="109"/>
      <c r="C9218" s="109"/>
      <c r="D9218" s="109"/>
      <c r="E9218" s="109"/>
      <c r="F9218" s="109"/>
      <c r="G9218" s="109"/>
      <c r="H9218" s="109"/>
      <c r="I9218" s="109"/>
      <c r="J9218" s="109"/>
    </row>
    <row r="9219" spans="1:10" customFormat="1" ht="12.75" hidden="1">
      <c r="A9219" s="109"/>
      <c r="B9219" s="109"/>
      <c r="C9219" s="109"/>
      <c r="D9219" s="109"/>
      <c r="E9219" s="109"/>
      <c r="F9219" s="109"/>
      <c r="G9219" s="109"/>
      <c r="H9219" s="109"/>
      <c r="I9219" s="109"/>
      <c r="J9219" s="109"/>
    </row>
    <row r="9220" spans="1:10" customFormat="1" ht="12.75" hidden="1">
      <c r="A9220" s="109"/>
      <c r="B9220" s="109"/>
      <c r="C9220" s="109"/>
      <c r="D9220" s="109"/>
      <c r="E9220" s="109"/>
      <c r="F9220" s="109"/>
      <c r="G9220" s="109"/>
      <c r="H9220" s="109"/>
      <c r="I9220" s="109"/>
      <c r="J9220" s="109"/>
    </row>
    <row r="9221" spans="1:10" customFormat="1" ht="12.75" hidden="1">
      <c r="A9221" s="109"/>
      <c r="B9221" s="109"/>
      <c r="C9221" s="109"/>
      <c r="D9221" s="109"/>
      <c r="E9221" s="109"/>
      <c r="F9221" s="109"/>
      <c r="G9221" s="109"/>
      <c r="H9221" s="109"/>
      <c r="I9221" s="109"/>
      <c r="J9221" s="109"/>
    </row>
    <row r="9222" spans="1:10" customFormat="1" ht="12.75" hidden="1">
      <c r="A9222" s="109"/>
      <c r="B9222" s="109"/>
      <c r="C9222" s="109"/>
      <c r="D9222" s="109"/>
      <c r="E9222" s="109"/>
      <c r="F9222" s="109"/>
      <c r="G9222" s="109"/>
      <c r="H9222" s="109"/>
      <c r="I9222" s="109"/>
      <c r="J9222" s="109"/>
    </row>
    <row r="9223" spans="1:10" customFormat="1" ht="12.75" hidden="1">
      <c r="A9223" s="109"/>
      <c r="B9223" s="109"/>
      <c r="C9223" s="109"/>
      <c r="D9223" s="109"/>
      <c r="E9223" s="109"/>
      <c r="F9223" s="109"/>
      <c r="G9223" s="109"/>
      <c r="H9223" s="109"/>
      <c r="I9223" s="109"/>
      <c r="J9223" s="109"/>
    </row>
    <row r="9224" spans="1:10" customFormat="1" ht="12.75" hidden="1">
      <c r="A9224" s="109"/>
      <c r="B9224" s="109"/>
      <c r="C9224" s="109"/>
      <c r="D9224" s="109"/>
      <c r="E9224" s="109"/>
      <c r="F9224" s="109"/>
      <c r="G9224" s="109"/>
      <c r="H9224" s="109"/>
      <c r="I9224" s="109"/>
      <c r="J9224" s="109"/>
    </row>
    <row r="9225" spans="1:10" customFormat="1" ht="12.75" hidden="1">
      <c r="A9225" s="109"/>
      <c r="B9225" s="109"/>
      <c r="C9225" s="109"/>
      <c r="D9225" s="109"/>
      <c r="E9225" s="109"/>
      <c r="F9225" s="109"/>
      <c r="G9225" s="109"/>
      <c r="H9225" s="109"/>
      <c r="I9225" s="109"/>
      <c r="J9225" s="109"/>
    </row>
    <row r="9226" spans="1:10" customFormat="1" ht="12.75" hidden="1">
      <c r="A9226" s="109"/>
      <c r="B9226" s="109"/>
      <c r="C9226" s="109"/>
      <c r="D9226" s="109"/>
      <c r="E9226" s="109"/>
      <c r="F9226" s="109"/>
      <c r="G9226" s="109"/>
      <c r="H9226" s="109"/>
      <c r="I9226" s="109"/>
      <c r="J9226" s="109"/>
    </row>
    <row r="9227" spans="1:10" customFormat="1" ht="12.75" hidden="1">
      <c r="A9227" s="109"/>
      <c r="B9227" s="109"/>
      <c r="C9227" s="109"/>
      <c r="D9227" s="109"/>
      <c r="E9227" s="109"/>
      <c r="F9227" s="109"/>
      <c r="G9227" s="109"/>
      <c r="H9227" s="109"/>
      <c r="I9227" s="109"/>
      <c r="J9227" s="109"/>
    </row>
    <row r="9228" spans="1:10" customFormat="1" ht="12.75" hidden="1">
      <c r="A9228" s="109"/>
      <c r="B9228" s="109"/>
      <c r="C9228" s="109"/>
      <c r="D9228" s="109"/>
      <c r="E9228" s="109"/>
      <c r="F9228" s="109"/>
      <c r="G9228" s="109"/>
      <c r="H9228" s="109"/>
      <c r="I9228" s="109"/>
      <c r="J9228" s="109"/>
    </row>
    <row r="9229" spans="1:10" customFormat="1" ht="12.75" hidden="1">
      <c r="A9229" s="109"/>
      <c r="B9229" s="109"/>
      <c r="C9229" s="109"/>
      <c r="D9229" s="109"/>
      <c r="E9229" s="109"/>
      <c r="F9229" s="109"/>
      <c r="G9229" s="109"/>
      <c r="H9229" s="109"/>
      <c r="I9229" s="109"/>
      <c r="J9229" s="109"/>
    </row>
    <row r="9230" spans="1:10" customFormat="1" ht="12.75" hidden="1">
      <c r="A9230" s="109"/>
      <c r="B9230" s="109"/>
      <c r="C9230" s="109"/>
      <c r="D9230" s="109"/>
      <c r="E9230" s="109"/>
      <c r="F9230" s="109"/>
      <c r="G9230" s="109"/>
      <c r="H9230" s="109"/>
      <c r="I9230" s="109"/>
      <c r="J9230" s="109"/>
    </row>
    <row r="9231" spans="1:10" customFormat="1" ht="12.75" hidden="1">
      <c r="A9231" s="109"/>
      <c r="B9231" s="109"/>
      <c r="C9231" s="109"/>
      <c r="D9231" s="109"/>
      <c r="E9231" s="109"/>
      <c r="F9231" s="109"/>
      <c r="G9231" s="109"/>
      <c r="H9231" s="109"/>
      <c r="I9231" s="109"/>
      <c r="J9231" s="109"/>
    </row>
    <row r="9232" spans="1:10" customFormat="1" ht="12.75" hidden="1">
      <c r="A9232" s="109"/>
      <c r="B9232" s="109"/>
      <c r="C9232" s="109"/>
      <c r="D9232" s="109"/>
      <c r="E9232" s="109"/>
      <c r="F9232" s="109"/>
      <c r="G9232" s="109"/>
      <c r="H9232" s="109"/>
      <c r="I9232" s="109"/>
      <c r="J9232" s="109"/>
    </row>
    <row r="9233" spans="1:10" customFormat="1" ht="12.75" hidden="1">
      <c r="A9233" s="109"/>
      <c r="B9233" s="109"/>
      <c r="C9233" s="109"/>
      <c r="D9233" s="109"/>
      <c r="E9233" s="109"/>
      <c r="F9233" s="109"/>
      <c r="G9233" s="109"/>
      <c r="H9233" s="109"/>
      <c r="I9233" s="109"/>
      <c r="J9233" s="109"/>
    </row>
    <row r="9234" spans="1:10" customFormat="1" ht="12.75" hidden="1">
      <c r="A9234" s="109"/>
      <c r="B9234" s="109"/>
      <c r="C9234" s="109"/>
      <c r="D9234" s="109"/>
      <c r="E9234" s="109"/>
      <c r="F9234" s="109"/>
      <c r="G9234" s="109"/>
      <c r="H9234" s="109"/>
      <c r="I9234" s="109"/>
      <c r="J9234" s="109"/>
    </row>
    <row r="9235" spans="1:10" customFormat="1" ht="12.75" hidden="1">
      <c r="A9235" s="109"/>
      <c r="B9235" s="109"/>
      <c r="C9235" s="109"/>
      <c r="D9235" s="109"/>
      <c r="E9235" s="109"/>
      <c r="F9235" s="109"/>
      <c r="G9235" s="109"/>
      <c r="H9235" s="109"/>
      <c r="I9235" s="109"/>
      <c r="J9235" s="109"/>
    </row>
    <row r="9236" spans="1:10" customFormat="1" ht="12.75" hidden="1">
      <c r="A9236" s="109"/>
      <c r="B9236" s="109"/>
      <c r="C9236" s="109"/>
      <c r="D9236" s="109"/>
      <c r="E9236" s="109"/>
      <c r="F9236" s="109"/>
      <c r="G9236" s="109"/>
      <c r="H9236" s="109"/>
      <c r="I9236" s="109"/>
      <c r="J9236" s="109"/>
    </row>
    <row r="9237" spans="1:10" customFormat="1" ht="12.75" hidden="1">
      <c r="A9237" s="109"/>
      <c r="B9237" s="109"/>
      <c r="C9237" s="109"/>
      <c r="D9237" s="109"/>
      <c r="E9237" s="109"/>
      <c r="F9237" s="109"/>
      <c r="G9237" s="109"/>
      <c r="H9237" s="109"/>
      <c r="I9237" s="109"/>
      <c r="J9237" s="109"/>
    </row>
    <row r="9238" spans="1:10" customFormat="1" ht="12.75" hidden="1">
      <c r="A9238" s="109"/>
      <c r="B9238" s="109"/>
      <c r="C9238" s="109"/>
      <c r="D9238" s="109"/>
      <c r="E9238" s="109"/>
      <c r="F9238" s="109"/>
      <c r="G9238" s="109"/>
      <c r="H9238" s="109"/>
      <c r="I9238" s="109"/>
      <c r="J9238" s="109"/>
    </row>
    <row r="9239" spans="1:10" customFormat="1" ht="12.75" hidden="1">
      <c r="A9239" s="109"/>
      <c r="B9239" s="109"/>
      <c r="C9239" s="109"/>
      <c r="D9239" s="109"/>
      <c r="E9239" s="109"/>
      <c r="F9239" s="109"/>
      <c r="G9239" s="109"/>
      <c r="H9239" s="109"/>
      <c r="I9239" s="109"/>
      <c r="J9239" s="109"/>
    </row>
    <row r="9240" spans="1:10" customFormat="1" ht="12.75" hidden="1">
      <c r="A9240" s="109"/>
      <c r="B9240" s="109"/>
      <c r="C9240" s="109"/>
      <c r="D9240" s="109"/>
      <c r="E9240" s="109"/>
      <c r="F9240" s="109"/>
      <c r="G9240" s="109"/>
      <c r="H9240" s="109"/>
      <c r="I9240" s="109"/>
      <c r="J9240" s="109"/>
    </row>
    <row r="9241" spans="1:10" customFormat="1" ht="12.75" hidden="1">
      <c r="A9241" s="109"/>
      <c r="B9241" s="109"/>
      <c r="C9241" s="109"/>
      <c r="D9241" s="109"/>
      <c r="E9241" s="109"/>
      <c r="F9241" s="109"/>
      <c r="G9241" s="109"/>
      <c r="H9241" s="109"/>
      <c r="I9241" s="109"/>
      <c r="J9241" s="109"/>
    </row>
  </sheetData>
  <sheetProtection password="E599" sheet="1" objects="1" scenarios="1"/>
  <mergeCells count="76">
    <mergeCell ref="A11:X11"/>
    <mergeCell ref="A5:X5"/>
    <mergeCell ref="A6:X6"/>
    <mergeCell ref="A8:X8"/>
    <mergeCell ref="A9:X9"/>
    <mergeCell ref="A10:B10"/>
    <mergeCell ref="A12:X12"/>
    <mergeCell ref="A13:B13"/>
    <mergeCell ref="E14:F14"/>
    <mergeCell ref="L15:M15"/>
    <mergeCell ref="N15:O15"/>
    <mergeCell ref="P15:Q15"/>
    <mergeCell ref="L16:M16"/>
    <mergeCell ref="N16:O16"/>
    <mergeCell ref="P16:Q16"/>
    <mergeCell ref="B17:C17"/>
    <mergeCell ref="L17:M17"/>
    <mergeCell ref="N17:O17"/>
    <mergeCell ref="P17:Q17"/>
    <mergeCell ref="A18:C18"/>
    <mergeCell ref="L18:M18"/>
    <mergeCell ref="N18:O18"/>
    <mergeCell ref="P18:Q18"/>
    <mergeCell ref="L19:M19"/>
    <mergeCell ref="N19:O19"/>
    <mergeCell ref="P19:Q19"/>
    <mergeCell ref="E20:F20"/>
    <mergeCell ref="L20:M20"/>
    <mergeCell ref="N20:O20"/>
    <mergeCell ref="P20:Q20"/>
    <mergeCell ref="E21:F21"/>
    <mergeCell ref="L21:M21"/>
    <mergeCell ref="N21:O21"/>
    <mergeCell ref="P21:Q21"/>
    <mergeCell ref="E22:F22"/>
    <mergeCell ref="L22:M22"/>
    <mergeCell ref="N22:O22"/>
    <mergeCell ref="P22:Q22"/>
    <mergeCell ref="E23:F23"/>
    <mergeCell ref="L23:M23"/>
    <mergeCell ref="N23:O23"/>
    <mergeCell ref="P23:Q23"/>
    <mergeCell ref="E24:F24"/>
    <mergeCell ref="L24:M24"/>
    <mergeCell ref="N24:O24"/>
    <mergeCell ref="P24:Q24"/>
    <mergeCell ref="E25:F25"/>
    <mergeCell ref="L25:M25"/>
    <mergeCell ref="N25:O25"/>
    <mergeCell ref="P25:Q25"/>
    <mergeCell ref="I26:K26"/>
    <mergeCell ref="L26:M26"/>
    <mergeCell ref="N26:O26"/>
    <mergeCell ref="P26:Q26"/>
    <mergeCell ref="A27:D27"/>
    <mergeCell ref="I27:K27"/>
    <mergeCell ref="L27:M27"/>
    <mergeCell ref="N27:O27"/>
    <mergeCell ref="P27:Q27"/>
    <mergeCell ref="I28:K28"/>
    <mergeCell ref="L28:M28"/>
    <mergeCell ref="N28:O28"/>
    <mergeCell ref="P28:Q28"/>
    <mergeCell ref="I29:K29"/>
    <mergeCell ref="L29:M29"/>
    <mergeCell ref="N29:O29"/>
    <mergeCell ref="P29:Q29"/>
    <mergeCell ref="F34:J34"/>
    <mergeCell ref="I30:K30"/>
    <mergeCell ref="L30:M30"/>
    <mergeCell ref="N30:O30"/>
    <mergeCell ref="P30:Q30"/>
    <mergeCell ref="I31:K31"/>
    <mergeCell ref="L31:M31"/>
    <mergeCell ref="N31:O31"/>
    <mergeCell ref="P31:Q31"/>
  </mergeCells>
  <dataValidations count="4">
    <dataValidation type="list" allowBlank="1" showInputMessage="1" showErrorMessage="1" sqref="C1354:C2052">
      <formula1>$AM$18:$AM$30</formula1>
    </dataValidation>
    <dataValidation type="list" allowBlank="1" showInputMessage="1" showErrorMessage="1" promptTitle="devolução" prompt="só devolva neste mapa, se o imposto NÂO veio retido pelo fornecedor" sqref="B40:B299">
      <formula1>$Z$25</formula1>
    </dataValidation>
    <dataValidation type="list" allowBlank="1" showInputMessage="1" showErrorMessage="1" sqref="C2053:C2126">
      <formula1>$AM$18:$AM$28</formula1>
    </dataValidation>
    <dataValidation type="list" allowBlank="1" showInputMessage="1" showErrorMessage="1" error="coloque a receita a ser antecipada" promptTitle="Observações " prompt="Cesta básica,simfaz,diferencial de alíquota preencher até a coluna  M_x000a_Produtos de Pauta, farinha de trigo,Subst.prod. de pauta preencha até a coluna N._x000a_Antecipação com encerramento, cerâmica,importação, antecipação op. interest. preencha até a coluna O." sqref="C40:C299">
      <formula1>$AM$18:$AM$33</formula1>
    </dataValidation>
  </dataValidations>
  <pageMargins left="0.19685039370078741" right="0.19685039370078741" top="0.78740157480314965" bottom="0.78740157480314965" header="0.51181102362204722" footer="0.51181102362204722"/>
  <pageSetup paperSize="9" scale="75" orientation="landscape" r:id="rId1"/>
  <headerFooter alignWithMargins="0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>
              <from>
                <xdr:col>0</xdr:col>
                <xdr:colOff>542925</xdr:colOff>
                <xdr:row>0</xdr:row>
                <xdr:rowOff>123825</xdr:rowOff>
              </from>
              <to>
                <xdr:col>0</xdr:col>
                <xdr:colOff>542925</xdr:colOff>
                <xdr:row>3</xdr:row>
                <xdr:rowOff>123825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2</vt:i4>
      </vt:variant>
    </vt:vector>
  </HeadingPairs>
  <TitlesOfParts>
    <vt:vector size="3" baseType="lpstr">
      <vt:lpstr>01.2018</vt:lpstr>
      <vt:lpstr>'01.2018'!fixa</vt:lpstr>
      <vt:lpstr>'01.2018'!Titulos_de_impressao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Aparecida</dc:creator>
  <cp:lastModifiedBy>JL-10</cp:lastModifiedBy>
  <cp:lastPrinted>2014-06-20T17:31:52Z</cp:lastPrinted>
  <dcterms:created xsi:type="dcterms:W3CDTF">2014-02-13T14:03:53Z</dcterms:created>
  <dcterms:modified xsi:type="dcterms:W3CDTF">2018-04-19T14:22:19Z</dcterms:modified>
</cp:coreProperties>
</file>