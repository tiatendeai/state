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aco\Google Drive\ICMS ao Vivo - Arquivos\Arquivos ICMS366\"/>
    </mc:Choice>
  </mc:AlternateContent>
  <xr:revisionPtr revIDLastSave="0" documentId="13_ncr:1_{9A76E7EF-B319-4B5E-8A16-8CA16AA7DBC3}" xr6:coauthVersionLast="45" xr6:coauthVersionMax="45" xr10:uidLastSave="{00000000-0000-0000-0000-000000000000}"/>
  <bookViews>
    <workbookView xWindow="28680" yWindow="-120" windowWidth="19800" windowHeight="11760" activeTab="1" xr2:uid="{9053CE39-7C13-409F-912C-FBE73271EEE5}"/>
  </bookViews>
  <sheets>
    <sheet name="Calculadora_ICMS_ST" sheetId="1" r:id="rId1"/>
    <sheet name=" Calculadora_MVA Ajustada" sheetId="3" r:id="rId2"/>
    <sheet name="NFe_Entrada" sheetId="4" r:id="rId3"/>
    <sheet name="NFe_Saida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50" i="4" l="1"/>
  <c r="K47" i="4"/>
  <c r="B39" i="5"/>
  <c r="B35" i="5"/>
  <c r="B26" i="5"/>
  <c r="B32" i="5" s="1"/>
  <c r="B22" i="5"/>
  <c r="B13" i="5"/>
  <c r="B15" i="5" s="1"/>
  <c r="H46" i="5" s="1"/>
  <c r="K40" i="5" s="1"/>
  <c r="B11" i="5"/>
  <c r="B17" i="5" s="1"/>
  <c r="C30" i="5" s="1"/>
  <c r="G46" i="4"/>
  <c r="B39" i="4"/>
  <c r="B35" i="4"/>
  <c r="B26" i="4"/>
  <c r="B32" i="4" s="1"/>
  <c r="B22" i="4"/>
  <c r="B13" i="4"/>
  <c r="B15" i="4" s="1"/>
  <c r="H46" i="4" s="1"/>
  <c r="K40" i="4" s="1"/>
  <c r="B11" i="4"/>
  <c r="C33" i="5" l="1"/>
  <c r="D31" i="5"/>
  <c r="D32" i="5" s="1"/>
  <c r="G46" i="5"/>
  <c r="C20" i="5"/>
  <c r="B17" i="4"/>
  <c r="C30" i="4" s="1"/>
  <c r="C20" i="4"/>
  <c r="E17" i="3"/>
  <c r="E19" i="3"/>
  <c r="E18" i="3"/>
  <c r="D20" i="3" l="1"/>
  <c r="C22" i="5"/>
  <c r="C21" i="5"/>
  <c r="C23" i="5"/>
  <c r="C36" i="5"/>
  <c r="C22" i="4"/>
  <c r="C21" i="4"/>
  <c r="C23" i="4"/>
  <c r="C33" i="4"/>
  <c r="D31" i="4"/>
  <c r="D32" i="4" s="1"/>
  <c r="B22" i="1"/>
  <c r="G40" i="5" l="1"/>
  <c r="C27" i="5"/>
  <c r="C25" i="5"/>
  <c r="C24" i="5"/>
  <c r="C38" i="5"/>
  <c r="C40" i="5"/>
  <c r="D38" i="5" s="1"/>
  <c r="E38" i="5" s="1"/>
  <c r="G43" i="5"/>
  <c r="C37" i="5"/>
  <c r="C46" i="5" s="1"/>
  <c r="C43" i="5"/>
  <c r="C27" i="4"/>
  <c r="C25" i="4"/>
  <c r="G40" i="4"/>
  <c r="C24" i="4"/>
  <c r="C36" i="4"/>
  <c r="B39" i="1"/>
  <c r="D25" i="5" l="1"/>
  <c r="E25" i="5" s="1"/>
  <c r="C44" i="5"/>
  <c r="C45" i="5"/>
  <c r="C47" i="5"/>
  <c r="K39" i="5"/>
  <c r="H40" i="5"/>
  <c r="H43" i="5" s="1"/>
  <c r="K41" i="5" s="1"/>
  <c r="H50" i="5" s="1"/>
  <c r="K39" i="4"/>
  <c r="H40" i="4"/>
  <c r="C38" i="4"/>
  <c r="C47" i="4" s="1"/>
  <c r="G43" i="4"/>
  <c r="H43" i="4" s="1"/>
  <c r="K41" i="4" s="1"/>
  <c r="H50" i="4" s="1"/>
  <c r="C37" i="4"/>
  <c r="C46" i="4" s="1"/>
  <c r="C43" i="4"/>
  <c r="C40" i="4"/>
  <c r="D38" i="4" s="1"/>
  <c r="E38" i="4" s="1"/>
  <c r="D25" i="4"/>
  <c r="E25" i="4" s="1"/>
  <c r="C44" i="4"/>
  <c r="B35" i="1"/>
  <c r="B26" i="1"/>
  <c r="B32" i="1" s="1"/>
  <c r="B13" i="1"/>
  <c r="G46" i="1" s="1"/>
  <c r="B11" i="1"/>
  <c r="C20" i="1" s="1"/>
  <c r="K45" i="5" l="1"/>
  <c r="C45" i="4"/>
  <c r="K45" i="4"/>
  <c r="C23" i="1"/>
  <c r="B15" i="1"/>
  <c r="B17" i="1" l="1"/>
  <c r="C30" i="1" s="1"/>
  <c r="H46" i="1"/>
  <c r="K40" i="1" s="1"/>
  <c r="C22" i="1"/>
  <c r="C21" i="1"/>
  <c r="C24" i="1"/>
  <c r="G40" i="1"/>
  <c r="C27" i="1"/>
  <c r="C44" i="1" s="1"/>
  <c r="C25" i="1"/>
  <c r="C33" i="1" l="1"/>
  <c r="C36" i="1" s="1"/>
  <c r="C38" i="1" s="1"/>
  <c r="C47" i="1" s="1"/>
  <c r="D31" i="1"/>
  <c r="D32" i="1" s="1"/>
  <c r="H40" i="1"/>
  <c r="K39" i="1"/>
  <c r="D25" i="1"/>
  <c r="E25" i="1" s="1"/>
  <c r="C40" i="1" l="1"/>
  <c r="D38" i="1" s="1"/>
  <c r="E38" i="1" s="1"/>
  <c r="G43" i="1"/>
  <c r="H43" i="1" s="1"/>
  <c r="K41" i="1" s="1"/>
  <c r="C43" i="1"/>
  <c r="C45" i="1" s="1"/>
  <c r="C37" i="1"/>
  <c r="C46" i="1" s="1"/>
  <c r="K45" i="1" l="1"/>
  <c r="H50" i="1"/>
</calcChain>
</file>

<file path=xl/sharedStrings.xml><?xml version="1.0" encoding="utf-8"?>
<sst xmlns="http://schemas.openxmlformats.org/spreadsheetml/2006/main" count="220" uniqueCount="82">
  <si>
    <t>FRETE</t>
  </si>
  <si>
    <t>SEGURO</t>
  </si>
  <si>
    <t>OUTRAS DESPESAS</t>
  </si>
  <si>
    <t>BC IPI</t>
  </si>
  <si>
    <t>VALOR DA OPERAÇÃO</t>
  </si>
  <si>
    <t>VL. IPI</t>
  </si>
  <si>
    <t>VALOR TOTAL PROD/MERC</t>
  </si>
  <si>
    <t>http://www.stf.jus.br/portal/cms/verNoticiaDetalhe.asp?idConteudo=274451&amp;caixaBusca=N</t>
  </si>
  <si>
    <t>CÁLCULO DO ICMS - OPERAÇÃO PRÓPRIA</t>
  </si>
  <si>
    <t>VALOR PRODUTO/ MERCADORIA</t>
  </si>
  <si>
    <t>VALOR TOTAL PRODUTOS</t>
  </si>
  <si>
    <t>COMPOSIÇÃO DO VALOR TOTAL PROD/MERC</t>
  </si>
  <si>
    <t>DESCONTO INCONDICIONAL (-)*</t>
  </si>
  <si>
    <t>BASE DE CÁLCULO DO ICMS OP PRÓRIA</t>
  </si>
  <si>
    <t>% BC DO ICMS</t>
  </si>
  <si>
    <t>CALCULO BC  ICMS ST - MVA</t>
  </si>
  <si>
    <t>VALOR TOTAL OPERAÇÃO MERCADORIA</t>
  </si>
  <si>
    <t>BASE DE CÁLCULO DO ICMS ST</t>
  </si>
  <si>
    <t>% BC DO ICMS ST</t>
  </si>
  <si>
    <t xml:space="preserve">                          </t>
  </si>
  <si>
    <t>ALIQ. PROD/MERC. - ST</t>
  </si>
  <si>
    <t>ALIQ. TOTAL - ICMS ST (%)</t>
  </si>
  <si>
    <t>VALOR ICMS PRÓPRIO - TOTAL</t>
  </si>
  <si>
    <t>ALIQUOTA ICMS PRÓPRIO - TOTAL</t>
  </si>
  <si>
    <t>ICMS TOTAL</t>
  </si>
  <si>
    <t>ICMS ORIGEM (OPERAÇÃO PRÓPRIA)</t>
  </si>
  <si>
    <r>
      <t xml:space="preserve">VALOR ICMS ST - RETIDO/ A RECOLHER - </t>
    </r>
    <r>
      <rPr>
        <b/>
        <sz val="11"/>
        <color theme="1"/>
        <rFont val="Calibri"/>
        <family val="2"/>
        <scheme val="minor"/>
      </rPr>
      <t>PROD/MERC</t>
    </r>
  </si>
  <si>
    <t>*Descontos incondicionais não integram base de cálculo do IPI, decide STF</t>
  </si>
  <si>
    <t>ALIQ IPI (NCM X TIPI)</t>
  </si>
  <si>
    <t>BC ICMS NO</t>
  </si>
  <si>
    <t>BC ICMS ST</t>
  </si>
  <si>
    <t>ICMS NO</t>
  </si>
  <si>
    <t>ICMS ST</t>
  </si>
  <si>
    <t>VL TOTAL NF</t>
  </si>
  <si>
    <t>VL TOTAL PROD</t>
  </si>
  <si>
    <t>VL IPI</t>
  </si>
  <si>
    <t>VL ICMS ST</t>
  </si>
  <si>
    <t>ISENTO</t>
  </si>
  <si>
    <t>TRIBUTADO</t>
  </si>
  <si>
    <t>% REDUÇÃO BC ICMS ST (arts. 266 e 268, RICMS/BA)</t>
  </si>
  <si>
    <t>**Descontos incondicionais na base do ICMS ST</t>
  </si>
  <si>
    <t>§ 15. Em relação ao cálculo da base de cálculo da substituição tributária previsto no § 14, na hipótese de a "ALQ intra" ser inferior à "ALQ inter", deverá ser aplicada a "MVA - ST original".</t>
  </si>
  <si>
    <t>Art. 289... § 15. Em relação ao cálculo da base de cálculo da substituição tributária previsto no § 14, na hipótese de a "ALQ intra" ser inferior à "ALQ inter", deverá ser aplicada a "MVA - ST original". (RICMS/BA)</t>
  </si>
  <si>
    <r>
      <t xml:space="preserve">VALOR FCP ST - RETIDO/ A RECOLHER - </t>
    </r>
    <r>
      <rPr>
        <b/>
        <sz val="11"/>
        <color theme="1"/>
        <rFont val="Calibri"/>
        <family val="2"/>
        <scheme val="minor"/>
      </rPr>
      <t>FCP</t>
    </r>
  </si>
  <si>
    <t>*** Alíquota interna menor que alíquota interestadual (MVA)</t>
  </si>
  <si>
    <t>TOTAIS DA NOTA FISCAL - COMPOSIÇÃO</t>
  </si>
  <si>
    <t>CargaTrib</t>
  </si>
  <si>
    <r>
      <t xml:space="preserve">ALIQ / FUNDO POBREZA </t>
    </r>
    <r>
      <rPr>
        <sz val="9"/>
        <color theme="1"/>
        <rFont val="Calibri"/>
        <family val="2"/>
        <scheme val="minor"/>
      </rPr>
      <t>(Art. 16-A, Lei 7.014/96)</t>
    </r>
  </si>
  <si>
    <r>
      <t xml:space="preserve">ALIQ/ PRODUTO/MERC. </t>
    </r>
    <r>
      <rPr>
        <b/>
        <sz val="8"/>
        <color theme="1"/>
        <rFont val="Calibri"/>
        <family val="2"/>
        <scheme val="minor"/>
      </rPr>
      <t>(</t>
    </r>
    <r>
      <rPr>
        <b/>
        <sz val="8"/>
        <color theme="1"/>
        <rFont val="Calibri Light"/>
        <family val="2"/>
        <scheme val="major"/>
      </rPr>
      <t>Art. 15 e 16, Lei 7.014/96</t>
    </r>
    <r>
      <rPr>
        <b/>
        <sz val="8"/>
        <color theme="1"/>
        <rFont val="Calibri"/>
        <family val="2"/>
        <scheme val="minor"/>
      </rPr>
      <t>)</t>
    </r>
  </si>
  <si>
    <r>
      <rPr>
        <b/>
        <sz val="11"/>
        <color theme="1"/>
        <rFont val="Calibri"/>
        <family val="2"/>
        <scheme val="minor"/>
      </rPr>
      <t>MVA ORIGINAL</t>
    </r>
    <r>
      <rPr>
        <sz val="11"/>
        <color theme="1"/>
        <rFont val="Calibri"/>
        <family val="2"/>
        <scheme val="minor"/>
      </rPr>
      <t xml:space="preserve"> (INTERNA) % </t>
    </r>
    <r>
      <rPr>
        <sz val="8"/>
        <color theme="1"/>
        <rFont val="Calibri"/>
        <family val="2"/>
        <scheme val="minor"/>
      </rPr>
      <t>(ANEXO 1; §17do Art.289 - RICMSBA/12)</t>
    </r>
  </si>
  <si>
    <r>
      <rPr>
        <b/>
        <sz val="11"/>
        <color theme="1"/>
        <rFont val="Calibri"/>
        <family val="2"/>
        <scheme val="minor"/>
      </rPr>
      <t>MVA AJUSTADA</t>
    </r>
    <r>
      <rPr>
        <sz val="11"/>
        <color theme="1"/>
        <rFont val="Calibri"/>
        <family val="2"/>
        <scheme val="minor"/>
      </rPr>
      <t xml:space="preserve"> (INTERRESTADUAL </t>
    </r>
    <r>
      <rPr>
        <sz val="8"/>
        <color theme="1"/>
        <rFont val="Calibri"/>
        <family val="2"/>
        <scheme val="minor"/>
      </rPr>
      <t>- § 14, Art. 289 - RICMSBA</t>
    </r>
    <r>
      <rPr>
        <sz val="11"/>
        <color theme="1"/>
        <rFont val="Calibri"/>
        <family val="2"/>
        <scheme val="minor"/>
      </rPr>
      <t>) %***</t>
    </r>
  </si>
  <si>
    <t>BC ICMS ST - PRESUMIDA</t>
  </si>
  <si>
    <r>
      <t>Art. 289.</t>
    </r>
    <r>
      <rPr>
        <sz val="12"/>
        <color rgb="FF333333"/>
        <rFont val="Tahoma"/>
        <family val="2"/>
      </rPr>
      <t xml:space="preserve"> Ficam sujeitas ao regime de substituição tributária por antecipação, que encerre a fase de tributação, as mercadorias constantes no </t>
    </r>
    <r>
      <rPr>
        <b/>
        <sz val="12"/>
        <color rgb="FF333333"/>
        <rFont val="Tahoma"/>
        <family val="2"/>
      </rPr>
      <t>Anexo 1</t>
    </r>
    <r>
      <rPr>
        <sz val="12"/>
        <color rgb="FF333333"/>
        <rFont val="Tahoma"/>
        <family val="2"/>
      </rPr>
      <t xml:space="preserve"> deste regulamento.</t>
    </r>
  </si>
  <si>
    <t>§ 14 - Para determinação da base de cálculo da substituição tributária nas aquisições interestaduais de mercadorias enquadradas nesse regime de tributação, o percentual da margem de valor agregado a ser aplicado sobre o valor da operação deverá ser ajustado ("MVA Ajustada"), calculado segundo a fórmula:</t>
  </si>
  <si>
    <t>"MVA Ajustada = [(1+ MVA ST original) x (1 - ALQ inter)/(1- ALQ intra) ] -1", onde:</t>
  </si>
  <si>
    <t>I - "MVA ST original" é a margem de valor agregado prevista na legislação do Estado da Bahia para suas operações internas com os produtos relacionados no Anexo 1 deste regulamento;</t>
  </si>
  <si>
    <t xml:space="preserve">II - "ALQ inter" é o coeficiente correspondente à alíquota interestadual aplicável à operação; </t>
  </si>
  <si>
    <t>III - "ALQ intra" é o coeficiente correspondente à alíquota interna ou percentual de carga tributária efetiva, quando este for inferior à alíquota interna, praticada pelo contribuinte substituto localizado no Estado da Bahia, nas operações com as mesmas mercadorias listadas no Anexo 1 deste regulamento.</t>
  </si>
  <si>
    <t>MVA Original</t>
  </si>
  <si>
    <t>MVA Orig</t>
  </si>
  <si>
    <t>ALQ inter</t>
  </si>
  <si>
    <t>Alq Interestadual</t>
  </si>
  <si>
    <t>ALQ intra</t>
  </si>
  <si>
    <t>Alq Interna</t>
  </si>
  <si>
    <t>MVA Ajustada =</t>
  </si>
  <si>
    <t>APLICAÇÃO DA FORMULA:</t>
  </si>
  <si>
    <t>Quando a 'ALQ intra' for inferior à "ALQ inter":</t>
  </si>
  <si>
    <t>VALOR TOTAL - ICMS ST (R$) - valor total do ICMS</t>
  </si>
  <si>
    <r>
      <t>% REDUÇÃO BC ICMS PROPRIO</t>
    </r>
    <r>
      <rPr>
        <sz val="9"/>
        <color theme="1"/>
        <rFont val="Calibri"/>
        <family val="2"/>
        <scheme val="minor"/>
      </rPr>
      <t>(art. 266, 267 e 268, RICMS/BA) Dec. 7799/00</t>
    </r>
  </si>
  <si>
    <t>APURAÇÃO ICMS ST - ANTECIPAÇÃO</t>
  </si>
  <si>
    <t>ALIQ. FUNDO POBREZA - ST (ART. 16-A, Lei 7.014/96)</t>
  </si>
  <si>
    <t>IPI</t>
  </si>
  <si>
    <t>COD. RECOLHIMENTO</t>
  </si>
  <si>
    <t>VALOR ICMS ST - RETIDO/ ANTECIPADO - A RECOLHER</t>
  </si>
  <si>
    <t>CALCULADORA DO ICMS ST - ANTECIPAÇÃO TOTAL</t>
  </si>
  <si>
    <r>
      <t xml:space="preserve">Nas operações internas que figurar como substituta tributária mercadorias em que a base de cálculo do imposto a ser recolhido por substituição tributária é determinada mediante aplicação de MVA, </t>
    </r>
    <r>
      <rPr>
        <b/>
        <sz val="10"/>
        <color rgb="FF555555"/>
        <rFont val="Arial Narrow"/>
        <family val="2"/>
      </rPr>
      <t>poderá</t>
    </r>
    <r>
      <rPr>
        <sz val="10"/>
        <color rgb="FF555555"/>
        <rFont val="Arial Narrow"/>
        <family val="2"/>
      </rPr>
      <t xml:space="preserve"> excluir dessa base de cálculo os descontos concedidos incondicionalmente nos termos do artigo 17, da lei 7014/96.</t>
    </r>
  </si>
  <si>
    <r>
      <t xml:space="preserve">No entanto, nas operações internas com mercadorias, na condição de substituta tributária, em que a base de cálculo do imposto a ser recolhido por substituição tributária não seja determinada por MVA, como pauta fiscal, por exemplo, </t>
    </r>
    <r>
      <rPr>
        <b/>
        <sz val="10"/>
        <color rgb="FF555555"/>
        <rFont val="Arial Narrow"/>
        <family val="2"/>
      </rPr>
      <t>não</t>
    </r>
    <r>
      <rPr>
        <sz val="10"/>
        <color rgb="FF555555"/>
        <rFont val="Arial Narrow"/>
        <family val="2"/>
      </rPr>
      <t xml:space="preserve"> poderá ser excluido dessa base de cálculo os descontos concedidos incondicionalmente.</t>
    </r>
  </si>
  <si>
    <t>BC IPI**</t>
  </si>
  <si>
    <t>GNRE</t>
  </si>
  <si>
    <t>COD REC</t>
  </si>
  <si>
    <t>credito</t>
  </si>
  <si>
    <t>estornar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</si>
</sst>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00%"/>
    <numFmt numFmtId="165" formatCode="_-&quot;R$&quot;\ * #,##0.000_-;\-&quot;R$&quot;\ * #,##0.000_-;_-&quot;R$&quot;\ * &quot;-&quot;???_-;_-@_-"/>
    <numFmt numFmtId="166" formatCode="0.00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 Light"/>
      <family val="2"/>
      <scheme val="maj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rgb="FF555555"/>
      <name val="Arial Narrow"/>
      <family val="2"/>
    </font>
    <font>
      <b/>
      <sz val="10"/>
      <color theme="1"/>
      <name val="Arial Narrow"/>
      <family val="2"/>
    </font>
    <font>
      <u/>
      <sz val="10"/>
      <color theme="10"/>
      <name val="Arial Narrow"/>
      <family val="2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rgb="FF000000"/>
      <name val="Verdana"/>
      <family val="2"/>
    </font>
    <font>
      <b/>
      <sz val="8"/>
      <color theme="1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12"/>
      <color rgb="FF333333"/>
      <name val="Tahoma"/>
      <family val="2"/>
    </font>
    <font>
      <b/>
      <sz val="12"/>
      <color rgb="FF333333"/>
      <name val="Tahoma"/>
      <family val="2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color rgb="FF555555"/>
      <name val="Arial Narrow"/>
      <family val="2"/>
    </font>
    <font>
      <b/>
      <sz val="10"/>
      <color theme="1"/>
      <name val="Calibri Light"/>
      <family val="2"/>
      <scheme val="major"/>
    </font>
    <font>
      <sz val="9"/>
      <color theme="1"/>
      <name val="Roboto"/>
    </font>
  </fonts>
  <fills count="1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46">
    <xf numFmtId="0" fontId="0" fillId="0" borderId="0" xfId="0"/>
    <xf numFmtId="44" fontId="1" fillId="0" borderId="0" xfId="1"/>
    <xf numFmtId="0" fontId="2" fillId="0" borderId="0" xfId="0" applyFont="1"/>
    <xf numFmtId="0" fontId="0" fillId="0" borderId="0" xfId="0" applyFill="1" applyBorder="1"/>
    <xf numFmtId="44" fontId="2" fillId="11" borderId="9" xfId="0" applyNumberFormat="1" applyFont="1" applyFill="1" applyBorder="1"/>
    <xf numFmtId="44" fontId="0" fillId="9" borderId="11" xfId="0" applyNumberFormat="1" applyFont="1" applyFill="1" applyBorder="1"/>
    <xf numFmtId="44" fontId="0" fillId="12" borderId="12" xfId="0" applyNumberFormat="1" applyFont="1" applyFill="1" applyBorder="1"/>
    <xf numFmtId="44" fontId="0" fillId="12" borderId="13" xfId="0" applyNumberFormat="1" applyFont="1" applyFill="1" applyBorder="1"/>
    <xf numFmtId="0" fontId="2" fillId="0" borderId="0" xfId="0" applyFont="1" applyFill="1" applyBorder="1" applyAlignment="1">
      <alignment horizontal="center"/>
    </xf>
    <xf numFmtId="0" fontId="0" fillId="0" borderId="0" xfId="0" applyFill="1"/>
    <xf numFmtId="0" fontId="2" fillId="2" borderId="1" xfId="0" applyFont="1" applyFill="1" applyBorder="1"/>
    <xf numFmtId="44" fontId="2" fillId="4" borderId="3" xfId="1" applyFont="1" applyFill="1" applyBorder="1"/>
    <xf numFmtId="0" fontId="0" fillId="0" borderId="6" xfId="0" applyBorder="1"/>
    <xf numFmtId="44" fontId="1" fillId="0" borderId="6" xfId="1" applyBorder="1"/>
    <xf numFmtId="9" fontId="1" fillId="0" borderId="6" xfId="1" applyNumberFormat="1" applyBorder="1" applyAlignment="1">
      <alignment horizontal="center" vertical="center"/>
    </xf>
    <xf numFmtId="44" fontId="0" fillId="0" borderId="6" xfId="0" applyNumberFormat="1" applyBorder="1"/>
    <xf numFmtId="164" fontId="0" fillId="0" borderId="6" xfId="2" applyNumberFormat="1" applyFont="1" applyBorder="1" applyAlignment="1">
      <alignment horizontal="center" vertical="center"/>
    </xf>
    <xf numFmtId="44" fontId="2" fillId="8" borderId="6" xfId="0" applyNumberFormat="1" applyFont="1" applyFill="1" applyBorder="1"/>
    <xf numFmtId="10" fontId="4" fillId="0" borderId="6" xfId="2" applyNumberFormat="1" applyFont="1" applyBorder="1" applyAlignment="1">
      <alignment horizontal="center" vertical="center"/>
    </xf>
    <xf numFmtId="44" fontId="4" fillId="0" borderId="6" xfId="0" applyNumberFormat="1" applyFont="1" applyBorder="1"/>
    <xf numFmtId="10" fontId="0" fillId="0" borderId="6" xfId="0" applyNumberFormat="1" applyBorder="1" applyAlignment="1">
      <alignment horizontal="center" vertical="center"/>
    </xf>
    <xf numFmtId="0" fontId="0" fillId="0" borderId="6" xfId="0" applyFont="1" applyBorder="1"/>
    <xf numFmtId="164" fontId="1" fillId="0" borderId="6" xfId="2" applyNumberFormat="1" applyFont="1" applyBorder="1" applyAlignment="1">
      <alignment horizontal="center" vertical="center"/>
    </xf>
    <xf numFmtId="164" fontId="0" fillId="0" borderId="6" xfId="0" applyNumberFormat="1" applyFont="1" applyBorder="1" applyAlignment="1">
      <alignment horizontal="center" vertical="center"/>
    </xf>
    <xf numFmtId="44" fontId="6" fillId="0" borderId="6" xfId="0" applyNumberFormat="1" applyFont="1" applyBorder="1" applyAlignment="1">
      <alignment horizontal="center"/>
    </xf>
    <xf numFmtId="165" fontId="0" fillId="0" borderId="6" xfId="0" applyNumberFormat="1" applyFill="1" applyBorder="1"/>
    <xf numFmtId="0" fontId="7" fillId="0" borderId="6" xfId="0" applyFont="1" applyBorder="1" applyAlignment="1">
      <alignment horizontal="center"/>
    </xf>
    <xf numFmtId="10" fontId="0" fillId="0" borderId="0" xfId="0" applyNumberFormat="1"/>
    <xf numFmtId="43" fontId="0" fillId="0" borderId="0" xfId="4" applyFont="1"/>
    <xf numFmtId="0" fontId="0" fillId="0" borderId="0" xfId="0" quotePrefix="1"/>
    <xf numFmtId="0" fontId="5" fillId="0" borderId="0" xfId="0" applyFont="1"/>
    <xf numFmtId="0" fontId="5" fillId="0" borderId="0" xfId="0" applyFont="1" applyFill="1"/>
    <xf numFmtId="0" fontId="5" fillId="0" borderId="0" xfId="0" quotePrefix="1" applyFont="1"/>
    <xf numFmtId="164" fontId="5" fillId="0" borderId="0" xfId="0" applyNumberFormat="1" applyFont="1"/>
    <xf numFmtId="44" fontId="5" fillId="0" borderId="6" xfId="0" applyNumberFormat="1" applyFont="1" applyBorder="1" applyAlignment="1">
      <alignment horizontal="center"/>
    </xf>
    <xf numFmtId="44" fontId="5" fillId="0" borderId="8" xfId="0" applyNumberFormat="1" applyFont="1" applyBorder="1"/>
    <xf numFmtId="10" fontId="5" fillId="0" borderId="8" xfId="2" applyNumberFormat="1" applyFont="1" applyBorder="1" applyAlignment="1">
      <alignment horizontal="center"/>
    </xf>
    <xf numFmtId="0" fontId="0" fillId="0" borderId="6" xfId="0" applyFill="1" applyBorder="1"/>
    <xf numFmtId="44" fontId="2" fillId="7" borderId="6" xfId="0" applyNumberFormat="1" applyFont="1" applyFill="1" applyBorder="1"/>
    <xf numFmtId="0" fontId="2" fillId="6" borderId="6" xfId="0" applyFont="1" applyFill="1" applyBorder="1"/>
    <xf numFmtId="0" fontId="2" fillId="3" borderId="6" xfId="0" applyFont="1" applyFill="1" applyBorder="1"/>
    <xf numFmtId="0" fontId="0" fillId="0" borderId="0" xfId="0" applyAlignment="1">
      <alignment horizontal="center" vertical="center" wrapText="1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justify"/>
    </xf>
    <xf numFmtId="0" fontId="18" fillId="0" borderId="22" xfId="0" applyFont="1" applyBorder="1"/>
    <xf numFmtId="0" fontId="18" fillId="0" borderId="19" xfId="0" applyFont="1" applyBorder="1" applyAlignment="1">
      <alignment horizontal="left" vertical="top"/>
    </xf>
    <xf numFmtId="10" fontId="20" fillId="0" borderId="19" xfId="0" applyNumberFormat="1" applyFont="1" applyBorder="1"/>
    <xf numFmtId="0" fontId="20" fillId="0" borderId="22" xfId="0" applyFont="1" applyBorder="1" applyAlignment="1">
      <alignment horizontal="center" vertical="center"/>
    </xf>
    <xf numFmtId="2" fontId="20" fillId="0" borderId="19" xfId="0" applyNumberFormat="1" applyFont="1" applyBorder="1"/>
    <xf numFmtId="0" fontId="18" fillId="0" borderId="1" xfId="0" applyFont="1" applyBorder="1"/>
    <xf numFmtId="0" fontId="18" fillId="0" borderId="20" xfId="0" applyFont="1" applyBorder="1" applyAlignment="1">
      <alignment horizontal="left" vertical="top"/>
    </xf>
    <xf numFmtId="10" fontId="20" fillId="0" borderId="20" xfId="0" applyNumberFormat="1" applyFont="1" applyBorder="1"/>
    <xf numFmtId="0" fontId="20" fillId="0" borderId="1" xfId="0" applyFont="1" applyBorder="1" applyAlignment="1">
      <alignment horizontal="center" vertical="center"/>
    </xf>
    <xf numFmtId="2" fontId="20" fillId="0" borderId="20" xfId="0" applyNumberFormat="1" applyFont="1" applyBorder="1"/>
    <xf numFmtId="0" fontId="18" fillId="0" borderId="4" xfId="0" applyFont="1" applyBorder="1"/>
    <xf numFmtId="0" fontId="18" fillId="0" borderId="23" xfId="0" applyFont="1" applyBorder="1" applyAlignment="1">
      <alignment horizontal="left" vertical="top"/>
    </xf>
    <xf numFmtId="10" fontId="20" fillId="0" borderId="23" xfId="0" applyNumberFormat="1" applyFont="1" applyBorder="1"/>
    <xf numFmtId="0" fontId="20" fillId="0" borderId="4" xfId="0" applyFont="1" applyBorder="1" applyAlignment="1">
      <alignment horizontal="center" vertical="center"/>
    </xf>
    <xf numFmtId="2" fontId="20" fillId="0" borderId="23" xfId="0" applyNumberFormat="1" applyFont="1" applyBorder="1"/>
    <xf numFmtId="10" fontId="15" fillId="0" borderId="0" xfId="2" applyNumberFormat="1" applyFont="1"/>
    <xf numFmtId="0" fontId="21" fillId="13" borderId="5" xfId="0" applyFont="1" applyFill="1" applyBorder="1" applyAlignment="1">
      <alignment vertical="center"/>
    </xf>
    <xf numFmtId="0" fontId="0" fillId="13" borderId="0" xfId="0" applyFill="1"/>
    <xf numFmtId="0" fontId="5" fillId="0" borderId="8" xfId="0" applyFont="1" applyBorder="1" applyAlignment="1">
      <alignment horizontal="center"/>
    </xf>
    <xf numFmtId="10" fontId="2" fillId="0" borderId="0" xfId="2" applyNumberFormat="1" applyFont="1"/>
    <xf numFmtId="0" fontId="2" fillId="0" borderId="0" xfId="0" applyFont="1" applyFill="1" applyBorder="1"/>
    <xf numFmtId="0" fontId="11" fillId="0" borderId="0" xfId="0" applyFont="1"/>
    <xf numFmtId="10" fontId="1" fillId="0" borderId="6" xfId="2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0" fontId="0" fillId="12" borderId="7" xfId="0" applyFill="1" applyBorder="1"/>
    <xf numFmtId="0" fontId="0" fillId="12" borderId="8" xfId="0" applyFill="1" applyBorder="1"/>
    <xf numFmtId="0" fontId="5" fillId="0" borderId="0" xfId="0" applyFont="1" applyBorder="1" applyAlignment="1">
      <alignment horizontal="center"/>
    </xf>
    <xf numFmtId="44" fontId="5" fillId="0" borderId="0" xfId="0" applyNumberFormat="1" applyFont="1" applyBorder="1" applyAlignment="1">
      <alignment horizontal="center"/>
    </xf>
    <xf numFmtId="44" fontId="2" fillId="7" borderId="10" xfId="0" applyNumberFormat="1" applyFont="1" applyFill="1" applyBorder="1"/>
    <xf numFmtId="0" fontId="5" fillId="0" borderId="8" xfId="0" applyFont="1" applyBorder="1" applyAlignment="1">
      <alignment horizontal="center"/>
    </xf>
    <xf numFmtId="10" fontId="24" fillId="0" borderId="6" xfId="2" applyNumberFormat="1" applyFont="1" applyBorder="1" applyAlignment="1">
      <alignment horizontal="center" vertical="center"/>
    </xf>
    <xf numFmtId="44" fontId="0" fillId="0" borderId="0" xfId="0" applyNumberFormat="1"/>
    <xf numFmtId="0" fontId="25" fillId="0" borderId="0" xfId="0" applyFont="1"/>
    <xf numFmtId="0" fontId="2" fillId="0" borderId="6" xfId="0" applyFont="1" applyBorder="1"/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justify" vertical="center" wrapText="1"/>
    </xf>
    <xf numFmtId="0" fontId="5" fillId="0" borderId="8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0" fillId="0" borderId="0" xfId="3" applyFont="1" applyAlignment="1">
      <alignment horizontal="left" vertical="center"/>
    </xf>
    <xf numFmtId="0" fontId="0" fillId="0" borderId="5" xfId="0" applyBorder="1" applyAlignment="1">
      <alignment horizontal="center"/>
    </xf>
    <xf numFmtId="0" fontId="0" fillId="12" borderId="16" xfId="0" applyFont="1" applyFill="1" applyBorder="1" applyAlignment="1">
      <alignment horizontal="center" vertical="center"/>
    </xf>
    <xf numFmtId="0" fontId="0" fillId="12" borderId="17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18" xfId="0" applyFont="1" applyFill="1" applyBorder="1" applyAlignment="1">
      <alignment horizontal="center" vertical="center"/>
    </xf>
    <xf numFmtId="0" fontId="0" fillId="12" borderId="15" xfId="0" applyFont="1" applyFill="1" applyBorder="1" applyAlignment="1">
      <alignment horizontal="center" vertical="center"/>
    </xf>
    <xf numFmtId="0" fontId="0" fillId="12" borderId="14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2" fillId="7" borderId="15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44" fontId="2" fillId="0" borderId="6" xfId="0" applyNumberFormat="1" applyFont="1" applyBorder="1" applyAlignment="1">
      <alignment horizontal="center" vertical="center"/>
    </xf>
    <xf numFmtId="0" fontId="2" fillId="14" borderId="1" xfId="0" applyFont="1" applyFill="1" applyBorder="1" applyAlignment="1">
      <alignment horizontal="center"/>
    </xf>
    <xf numFmtId="0" fontId="2" fillId="14" borderId="2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11" fillId="0" borderId="8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9" borderId="16" xfId="0" applyFont="1" applyFill="1" applyBorder="1" applyAlignment="1">
      <alignment horizontal="center" vertical="center"/>
    </xf>
    <xf numFmtId="0" fontId="0" fillId="9" borderId="17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2" fillId="6" borderId="6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0" fontId="2" fillId="8" borderId="6" xfId="0" applyNumberFormat="1" applyFont="1" applyFill="1" applyBorder="1" applyAlignment="1">
      <alignment horizontal="right" vertical="center"/>
    </xf>
    <xf numFmtId="10" fontId="2" fillId="7" borderId="6" xfId="0" applyNumberFormat="1" applyFont="1" applyFill="1" applyBorder="1" applyAlignment="1">
      <alignment horizontal="right" vertical="center"/>
    </xf>
    <xf numFmtId="0" fontId="2" fillId="6" borderId="6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justify" vertical="center" wrapText="1"/>
    </xf>
    <xf numFmtId="0" fontId="21" fillId="4" borderId="21" xfId="0" applyFont="1" applyFill="1" applyBorder="1" applyAlignment="1">
      <alignment horizontal="justify" vertical="center" wrapText="1"/>
    </xf>
    <xf numFmtId="0" fontId="21" fillId="4" borderId="8" xfId="0" applyFont="1" applyFill="1" applyBorder="1" applyAlignment="1">
      <alignment horizontal="justify" vertical="center" wrapText="1"/>
    </xf>
    <xf numFmtId="0" fontId="22" fillId="7" borderId="1" xfId="0" applyFont="1" applyFill="1" applyBorder="1" applyAlignment="1">
      <alignment horizontal="left" vertical="center"/>
    </xf>
    <xf numFmtId="0" fontId="22" fillId="7" borderId="2" xfId="0" applyFont="1" applyFill="1" applyBorder="1" applyAlignment="1">
      <alignment horizontal="left" vertical="center"/>
    </xf>
    <xf numFmtId="0" fontId="22" fillId="7" borderId="3" xfId="0" applyFont="1" applyFill="1" applyBorder="1" applyAlignment="1">
      <alignment horizontal="left" vertical="center"/>
    </xf>
    <xf numFmtId="0" fontId="18" fillId="6" borderId="1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18" fillId="6" borderId="3" xfId="0" applyFont="1" applyFill="1" applyBorder="1" applyAlignment="1">
      <alignment horizontal="center" vertical="center"/>
    </xf>
    <xf numFmtId="10" fontId="18" fillId="4" borderId="24" xfId="2" applyNumberFormat="1" applyFont="1" applyFill="1" applyBorder="1" applyAlignment="1">
      <alignment horizontal="center" vertical="center"/>
    </xf>
    <xf numFmtId="10" fontId="18" fillId="4" borderId="25" xfId="2" applyNumberFormat="1" applyFont="1" applyFill="1" applyBorder="1" applyAlignment="1">
      <alignment horizontal="center" vertical="center"/>
    </xf>
    <xf numFmtId="0" fontId="21" fillId="13" borderId="5" xfId="0" applyFont="1" applyFill="1" applyBorder="1" applyAlignment="1">
      <alignment horizontal="left" vertical="center"/>
    </xf>
    <xf numFmtId="0" fontId="19" fillId="4" borderId="1" xfId="0" applyFont="1" applyFill="1" applyBorder="1" applyAlignment="1">
      <alignment horizontal="justify" vertical="center" wrapText="1"/>
    </xf>
    <xf numFmtId="0" fontId="19" fillId="4" borderId="2" xfId="0" applyFont="1" applyFill="1" applyBorder="1" applyAlignment="1">
      <alignment horizontal="justify" vertical="center" wrapText="1"/>
    </xf>
    <xf numFmtId="0" fontId="19" fillId="4" borderId="3" xfId="0" applyFont="1" applyFill="1" applyBorder="1" applyAlignment="1">
      <alignment horizontal="justify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</cellXfs>
  <cellStyles count="5">
    <cellStyle name="Hiperlink" xfId="3" builtinId="8"/>
    <cellStyle name="Moeda" xfId="1" builtinId="4"/>
    <cellStyle name="Normal" xfId="0" builtinId="0"/>
    <cellStyle name="Porcentagem" xfId="2" builtinId="5"/>
    <cellStyle name="Vírgula" xfId="4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tf.jus.br/portal/cms/verNoticiaDetalhe.asp?idConteudo=274451&amp;caixaBusca=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f.jus.br/portal/cms/verNoticiaDetalhe.asp?idConteudo=274451&amp;caixaBusca=N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f.jus.br/portal/cms/verNoticiaDetalhe.asp?idConteudo=274451&amp;caixaBusca=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55411-EC6F-4857-BA71-BBDEAD1CA13C}">
  <dimension ref="A1:K57"/>
  <sheetViews>
    <sheetView showGridLines="0" zoomScale="160" zoomScaleNormal="160" workbookViewId="0">
      <selection sqref="A1:XFD1048576"/>
    </sheetView>
  </sheetViews>
  <sheetFormatPr defaultColWidth="11.88671875" defaultRowHeight="14.4" x14ac:dyDescent="0.3"/>
  <cols>
    <col min="1" max="1" width="58.88671875" bestFit="1" customWidth="1"/>
    <col min="2" max="2" width="11.88671875" bestFit="1" customWidth="1"/>
    <col min="3" max="3" width="12.88671875" style="3" bestFit="1" customWidth="1"/>
    <col min="4" max="4" width="9.109375" style="30" customWidth="1"/>
    <col min="5" max="5" width="11.88671875" bestFit="1" customWidth="1"/>
    <col min="7" max="7" width="13.33203125" bestFit="1" customWidth="1"/>
    <col min="8" max="8" width="11" bestFit="1" customWidth="1"/>
    <col min="10" max="10" width="14" bestFit="1" customWidth="1"/>
    <col min="11" max="11" width="12" bestFit="1" customWidth="1"/>
  </cols>
  <sheetData>
    <row r="1" spans="1:7" ht="15" thickBot="1" x14ac:dyDescent="0.35">
      <c r="A1" s="92" t="s">
        <v>74</v>
      </c>
      <c r="B1" s="93"/>
      <c r="C1" s="93"/>
      <c r="D1" s="93"/>
      <c r="E1" s="94"/>
    </row>
    <row r="2" spans="1:7" ht="6" customHeight="1" thickBot="1" x14ac:dyDescent="0.35">
      <c r="A2" s="114"/>
      <c r="B2" s="114"/>
      <c r="C2" s="114"/>
      <c r="D2" s="114"/>
    </row>
    <row r="3" spans="1:7" ht="15" thickBot="1" x14ac:dyDescent="0.35">
      <c r="A3" s="118" t="s">
        <v>11</v>
      </c>
      <c r="B3" s="119"/>
      <c r="C3" s="120"/>
    </row>
    <row r="4" spans="1:7" s="9" customFormat="1" ht="3.6" customHeight="1" x14ac:dyDescent="0.3">
      <c r="A4" s="8"/>
      <c r="B4" s="8"/>
      <c r="C4" s="8"/>
      <c r="D4" s="31"/>
    </row>
    <row r="5" spans="1:7" x14ac:dyDescent="0.3">
      <c r="A5" s="12" t="s">
        <v>9</v>
      </c>
      <c r="B5" s="13">
        <v>1000</v>
      </c>
    </row>
    <row r="6" spans="1:7" x14ac:dyDescent="0.3">
      <c r="A6" s="12" t="s">
        <v>0</v>
      </c>
      <c r="B6" s="13">
        <v>100</v>
      </c>
    </row>
    <row r="7" spans="1:7" x14ac:dyDescent="0.3">
      <c r="A7" s="12" t="s">
        <v>1</v>
      </c>
      <c r="B7" s="13">
        <v>100</v>
      </c>
    </row>
    <row r="8" spans="1:7" x14ac:dyDescent="0.3">
      <c r="A8" s="12" t="s">
        <v>2</v>
      </c>
      <c r="B8" s="13">
        <v>100</v>
      </c>
    </row>
    <row r="9" spans="1:7" x14ac:dyDescent="0.3">
      <c r="A9" s="12" t="s">
        <v>12</v>
      </c>
      <c r="B9" s="13">
        <v>0</v>
      </c>
    </row>
    <row r="10" spans="1:7" ht="6" customHeight="1" thickBot="1" x14ac:dyDescent="0.35">
      <c r="B10" s="1"/>
    </row>
    <row r="11" spans="1:7" ht="15" thickBot="1" x14ac:dyDescent="0.35">
      <c r="A11" s="10" t="s">
        <v>6</v>
      </c>
      <c r="B11" s="11">
        <f>B5+B6+B7+B8-B9</f>
        <v>1300</v>
      </c>
    </row>
    <row r="12" spans="1:7" ht="6" customHeight="1" x14ac:dyDescent="0.3">
      <c r="A12" s="2"/>
      <c r="B12" s="1"/>
    </row>
    <row r="13" spans="1:7" x14ac:dyDescent="0.3">
      <c r="A13" s="12" t="s">
        <v>77</v>
      </c>
      <c r="B13" s="13">
        <f>B5+B6+B7+B8-B9</f>
        <v>1300</v>
      </c>
      <c r="G13" t="s">
        <v>19</v>
      </c>
    </row>
    <row r="14" spans="1:7" x14ac:dyDescent="0.3">
      <c r="A14" s="12" t="s">
        <v>28</v>
      </c>
      <c r="B14" s="14">
        <v>0.1</v>
      </c>
    </row>
    <row r="15" spans="1:7" x14ac:dyDescent="0.3">
      <c r="A15" s="12" t="s">
        <v>5</v>
      </c>
      <c r="B15" s="13">
        <f>B13*B14</f>
        <v>130</v>
      </c>
    </row>
    <row r="16" spans="1:7" ht="9.6" customHeight="1" thickBot="1" x14ac:dyDescent="0.35"/>
    <row r="17" spans="1:7" ht="15" thickBot="1" x14ac:dyDescent="0.35">
      <c r="A17" s="10" t="s">
        <v>4</v>
      </c>
      <c r="B17" s="11">
        <f>B11+B15</f>
        <v>1430</v>
      </c>
    </row>
    <row r="18" spans="1:7" ht="6.6" customHeight="1" thickBot="1" x14ac:dyDescent="0.35">
      <c r="A18" s="85"/>
      <c r="B18" s="85"/>
      <c r="C18" s="85"/>
    </row>
    <row r="19" spans="1:7" ht="15" thickBot="1" x14ac:dyDescent="0.35">
      <c r="A19" s="115" t="s">
        <v>8</v>
      </c>
      <c r="B19" s="116"/>
      <c r="C19" s="117"/>
    </row>
    <row r="20" spans="1:7" x14ac:dyDescent="0.3">
      <c r="A20" s="108" t="s">
        <v>10</v>
      </c>
      <c r="B20" s="108"/>
      <c r="C20" s="15">
        <f>B11</f>
        <v>1300</v>
      </c>
    </row>
    <row r="21" spans="1:7" x14ac:dyDescent="0.3">
      <c r="A21" s="12" t="s">
        <v>68</v>
      </c>
      <c r="B21" s="16">
        <v>0</v>
      </c>
      <c r="C21" s="25">
        <f>C20*B21</f>
        <v>0</v>
      </c>
      <c r="D21" s="62" t="s">
        <v>37</v>
      </c>
      <c r="E21" s="30"/>
      <c r="F21" s="30"/>
    </row>
    <row r="22" spans="1:7" x14ac:dyDescent="0.3">
      <c r="A22" s="12" t="s">
        <v>14</v>
      </c>
      <c r="B22" s="16">
        <f>1-B21</f>
        <v>1</v>
      </c>
      <c r="C22" s="25">
        <f>C20*B22</f>
        <v>1300</v>
      </c>
      <c r="D22" s="62" t="s">
        <v>38</v>
      </c>
      <c r="E22" s="30"/>
      <c r="F22" s="30"/>
    </row>
    <row r="23" spans="1:7" x14ac:dyDescent="0.3">
      <c r="A23" s="110" t="s">
        <v>13</v>
      </c>
      <c r="B23" s="110"/>
      <c r="C23" s="17">
        <f>C20*B22</f>
        <v>1300</v>
      </c>
    </row>
    <row r="24" spans="1:7" x14ac:dyDescent="0.3">
      <c r="A24" s="12" t="s">
        <v>48</v>
      </c>
      <c r="B24" s="76">
        <v>0.12</v>
      </c>
      <c r="C24" s="19">
        <f>C23*B24</f>
        <v>156</v>
      </c>
      <c r="D24" s="82" t="s">
        <v>46</v>
      </c>
      <c r="E24" s="83"/>
      <c r="F24" s="72"/>
    </row>
    <row r="25" spans="1:7" x14ac:dyDescent="0.3">
      <c r="A25" s="12" t="s">
        <v>47</v>
      </c>
      <c r="B25" s="18">
        <v>0</v>
      </c>
      <c r="C25" s="19">
        <f>C23*B25</f>
        <v>0</v>
      </c>
      <c r="D25" s="36">
        <f>C27/C20</f>
        <v>0.12</v>
      </c>
      <c r="E25" s="34">
        <f>C20*D25</f>
        <v>156</v>
      </c>
      <c r="F25" s="73"/>
    </row>
    <row r="26" spans="1:7" x14ac:dyDescent="0.3">
      <c r="A26" s="40" t="s">
        <v>23</v>
      </c>
      <c r="B26" s="121">
        <f>SUM(B24:B25)</f>
        <v>0.12</v>
      </c>
      <c r="C26" s="121"/>
    </row>
    <row r="27" spans="1:7" x14ac:dyDescent="0.3">
      <c r="A27" s="124" t="s">
        <v>22</v>
      </c>
      <c r="B27" s="124"/>
      <c r="C27" s="17">
        <f>C23*B26</f>
        <v>156</v>
      </c>
    </row>
    <row r="28" spans="1:7" ht="7.2" customHeight="1" thickBot="1" x14ac:dyDescent="0.35">
      <c r="A28" s="85"/>
      <c r="B28" s="85"/>
      <c r="C28" s="85"/>
    </row>
    <row r="29" spans="1:7" ht="15" thickBot="1" x14ac:dyDescent="0.35">
      <c r="A29" s="111" t="s">
        <v>15</v>
      </c>
      <c r="B29" s="112"/>
      <c r="C29" s="113"/>
      <c r="E29" s="77"/>
      <c r="G29" s="28"/>
    </row>
    <row r="30" spans="1:7" x14ac:dyDescent="0.3">
      <c r="A30" s="12" t="s">
        <v>16</v>
      </c>
      <c r="B30" s="12"/>
      <c r="C30" s="15">
        <f>B17</f>
        <v>1430</v>
      </c>
      <c r="D30" s="32"/>
      <c r="G30" s="28"/>
    </row>
    <row r="31" spans="1:7" x14ac:dyDescent="0.3">
      <c r="A31" s="12" t="s">
        <v>49</v>
      </c>
      <c r="B31" s="66">
        <v>0.6</v>
      </c>
      <c r="C31" s="37"/>
      <c r="D31" s="35">
        <f>C30*B32</f>
        <v>1025.4146341463413</v>
      </c>
      <c r="G31" s="28"/>
    </row>
    <row r="32" spans="1:7" x14ac:dyDescent="0.3">
      <c r="A32" s="21" t="s">
        <v>50</v>
      </c>
      <c r="B32" s="69">
        <f>IF(B26&lt;B39,(1+B31)*(1-B26)/(1-B39)-1,B31)</f>
        <v>0.71707317073170729</v>
      </c>
      <c r="C32" s="37"/>
      <c r="D32" s="35">
        <f>C30+D31</f>
        <v>2455.4146341463411</v>
      </c>
      <c r="E32" s="27"/>
      <c r="F32" s="27"/>
    </row>
    <row r="33" spans="1:11" x14ac:dyDescent="0.3">
      <c r="A33" s="12" t="s">
        <v>51</v>
      </c>
      <c r="B33" s="21"/>
      <c r="C33" s="15">
        <f>C30+(C30*B32)</f>
        <v>2455.4146341463411</v>
      </c>
    </row>
    <row r="34" spans="1:11" x14ac:dyDescent="0.3">
      <c r="A34" s="12" t="s">
        <v>39</v>
      </c>
      <c r="B34" s="22">
        <v>0</v>
      </c>
      <c r="C34" s="12"/>
      <c r="D34" s="62" t="s">
        <v>37</v>
      </c>
    </row>
    <row r="35" spans="1:11" x14ac:dyDescent="0.3">
      <c r="A35" s="12" t="s">
        <v>18</v>
      </c>
      <c r="B35" s="23">
        <f>1-B34</f>
        <v>1</v>
      </c>
      <c r="C35" s="12"/>
      <c r="D35" s="62" t="s">
        <v>38</v>
      </c>
    </row>
    <row r="36" spans="1:11" ht="15" thickBot="1" x14ac:dyDescent="0.35">
      <c r="A36" s="109" t="s">
        <v>17</v>
      </c>
      <c r="B36" s="109"/>
      <c r="C36" s="38">
        <f>C33*B35</f>
        <v>2455.4146341463411</v>
      </c>
    </row>
    <row r="37" spans="1:11" ht="15" thickBot="1" x14ac:dyDescent="0.35">
      <c r="A37" s="12" t="s">
        <v>20</v>
      </c>
      <c r="B37" s="20">
        <v>0.18</v>
      </c>
      <c r="C37" s="19">
        <f>C36*B37</f>
        <v>441.97463414634137</v>
      </c>
      <c r="D37" s="82" t="s">
        <v>46</v>
      </c>
      <c r="E37" s="83"/>
      <c r="F37" s="72"/>
      <c r="G37" s="98" t="s">
        <v>45</v>
      </c>
      <c r="H37" s="99"/>
      <c r="I37" s="99"/>
      <c r="J37" s="99"/>
      <c r="K37" s="100"/>
    </row>
    <row r="38" spans="1:11" x14ac:dyDescent="0.3">
      <c r="A38" s="12" t="s">
        <v>70</v>
      </c>
      <c r="B38" s="20">
        <v>0</v>
      </c>
      <c r="C38" s="19">
        <f>C36*B38</f>
        <v>0</v>
      </c>
      <c r="D38" s="36">
        <f>C40/C33</f>
        <v>0.18</v>
      </c>
      <c r="E38" s="34">
        <f>C33*D38</f>
        <v>441.97463414634137</v>
      </c>
      <c r="F38" s="73"/>
    </row>
    <row r="39" spans="1:11" x14ac:dyDescent="0.3">
      <c r="A39" s="39" t="s">
        <v>21</v>
      </c>
      <c r="B39" s="122">
        <f>SUM(B37:B38)</f>
        <v>0.18</v>
      </c>
      <c r="C39" s="122"/>
      <c r="D39" s="33"/>
      <c r="G39" s="26" t="s">
        <v>29</v>
      </c>
      <c r="H39" s="26" t="s">
        <v>31</v>
      </c>
      <c r="J39" s="12" t="s">
        <v>34</v>
      </c>
      <c r="K39" s="15">
        <f>G40</f>
        <v>1300</v>
      </c>
    </row>
    <row r="40" spans="1:11" x14ac:dyDescent="0.3">
      <c r="A40" s="123" t="s">
        <v>67</v>
      </c>
      <c r="B40" s="123"/>
      <c r="C40" s="38">
        <f>C36*B39</f>
        <v>441.97463414634137</v>
      </c>
      <c r="G40" s="24">
        <f>C23</f>
        <v>1300</v>
      </c>
      <c r="H40" s="24">
        <f>G40*B26</f>
        <v>156</v>
      </c>
      <c r="J40" s="12" t="s">
        <v>35</v>
      </c>
      <c r="K40" s="15">
        <f>H46</f>
        <v>130</v>
      </c>
    </row>
    <row r="41" spans="1:11" ht="15" thickBot="1" x14ac:dyDescent="0.35">
      <c r="A41" s="85"/>
      <c r="B41" s="85"/>
      <c r="C41" s="85"/>
      <c r="J41" s="12" t="s">
        <v>36</v>
      </c>
      <c r="K41" s="15">
        <f>H43</f>
        <v>285.97463414634137</v>
      </c>
    </row>
    <row r="42" spans="1:11" ht="15" thickBot="1" x14ac:dyDescent="0.35">
      <c r="A42" s="92" t="s">
        <v>69</v>
      </c>
      <c r="B42" s="93"/>
      <c r="C42" s="94"/>
      <c r="G42" s="26" t="s">
        <v>30</v>
      </c>
      <c r="H42" s="26" t="s">
        <v>32</v>
      </c>
    </row>
    <row r="43" spans="1:11" x14ac:dyDescent="0.3">
      <c r="A43" s="95" t="s">
        <v>24</v>
      </c>
      <c r="B43" s="96"/>
      <c r="C43" s="74">
        <f>C36*B39</f>
        <v>441.97463414634137</v>
      </c>
      <c r="G43" s="15">
        <f>C36</f>
        <v>2455.4146341463411</v>
      </c>
      <c r="H43" s="15">
        <f>G43*B39-H40</f>
        <v>285.97463414634137</v>
      </c>
      <c r="J43" s="70"/>
      <c r="K43" s="71"/>
    </row>
    <row r="44" spans="1:11" ht="15" thickBot="1" x14ac:dyDescent="0.35">
      <c r="A44" s="105" t="s">
        <v>25</v>
      </c>
      <c r="B44" s="106"/>
      <c r="C44" s="5">
        <f>C27</f>
        <v>156</v>
      </c>
    </row>
    <row r="45" spans="1:11" ht="15" thickBot="1" x14ac:dyDescent="0.35">
      <c r="A45" s="88" t="s">
        <v>73</v>
      </c>
      <c r="B45" s="89"/>
      <c r="C45" s="4">
        <f>C43-C44</f>
        <v>285.97463414634137</v>
      </c>
      <c r="D45" s="101" t="s">
        <v>72</v>
      </c>
      <c r="E45" s="102"/>
      <c r="G45" s="26" t="s">
        <v>3</v>
      </c>
      <c r="H45" s="26" t="s">
        <v>71</v>
      </c>
      <c r="J45" s="107" t="s">
        <v>33</v>
      </c>
      <c r="K45" s="97">
        <f>K39+K40+K41</f>
        <v>1715.9746341463415</v>
      </c>
    </row>
    <row r="46" spans="1:11" x14ac:dyDescent="0.3">
      <c r="A46" s="90" t="s">
        <v>26</v>
      </c>
      <c r="B46" s="91"/>
      <c r="C46" s="6">
        <f>C37-C24</f>
        <v>285.97463414634137</v>
      </c>
      <c r="D46" s="103">
        <v>1145</v>
      </c>
      <c r="E46" s="104"/>
      <c r="G46" s="15">
        <f>B13</f>
        <v>1300</v>
      </c>
      <c r="H46" s="15">
        <f>B15</f>
        <v>130</v>
      </c>
      <c r="J46" s="107"/>
      <c r="K46" s="97"/>
    </row>
    <row r="47" spans="1:11" ht="15" thickBot="1" x14ac:dyDescent="0.35">
      <c r="A47" s="86" t="s">
        <v>43</v>
      </c>
      <c r="B47" s="87"/>
      <c r="C47" s="7">
        <f>C38-C25</f>
        <v>0</v>
      </c>
      <c r="D47" s="103">
        <v>2141</v>
      </c>
      <c r="E47" s="104"/>
    </row>
    <row r="48" spans="1:11" ht="6" customHeight="1" x14ac:dyDescent="0.3"/>
    <row r="49" spans="1:8" ht="6" customHeight="1" x14ac:dyDescent="0.3"/>
    <row r="50" spans="1:8" x14ac:dyDescent="0.3">
      <c r="A50" s="80" t="s">
        <v>27</v>
      </c>
      <c r="B50" s="80"/>
      <c r="G50" s="79" t="s">
        <v>78</v>
      </c>
      <c r="H50" s="15">
        <f>K41</f>
        <v>285.97463414634137</v>
      </c>
    </row>
    <row r="51" spans="1:8" x14ac:dyDescent="0.3">
      <c r="A51" s="84" t="s">
        <v>7</v>
      </c>
      <c r="B51" s="84"/>
      <c r="G51" s="79" t="s">
        <v>79</v>
      </c>
      <c r="H51" s="12">
        <v>100099</v>
      </c>
    </row>
    <row r="52" spans="1:8" x14ac:dyDescent="0.3">
      <c r="C52" s="64"/>
      <c r="D52" s="65"/>
      <c r="E52" s="2"/>
      <c r="F52" s="2"/>
      <c r="G52" s="78"/>
    </row>
    <row r="53" spans="1:8" x14ac:dyDescent="0.3">
      <c r="A53" s="80" t="s">
        <v>40</v>
      </c>
      <c r="B53" s="80"/>
    </row>
    <row r="54" spans="1:8" ht="69.599999999999994" customHeight="1" x14ac:dyDescent="0.3">
      <c r="A54" s="81" t="s">
        <v>75</v>
      </c>
      <c r="B54" s="81"/>
    </row>
    <row r="55" spans="1:8" ht="48" customHeight="1" x14ac:dyDescent="0.3">
      <c r="A55" s="81" t="s">
        <v>76</v>
      </c>
      <c r="B55" s="81"/>
    </row>
    <row r="56" spans="1:8" ht="25.8" customHeight="1" x14ac:dyDescent="0.3">
      <c r="A56" s="80" t="s">
        <v>44</v>
      </c>
      <c r="B56" s="80"/>
    </row>
    <row r="57" spans="1:8" ht="37.200000000000003" customHeight="1" x14ac:dyDescent="0.3">
      <c r="A57" s="81" t="s">
        <v>42</v>
      </c>
      <c r="B57" s="81"/>
    </row>
  </sheetData>
  <mergeCells count="36">
    <mergeCell ref="A1:E1"/>
    <mergeCell ref="J45:J46"/>
    <mergeCell ref="A20:B20"/>
    <mergeCell ref="A36:B36"/>
    <mergeCell ref="A23:B23"/>
    <mergeCell ref="A29:C29"/>
    <mergeCell ref="A2:D2"/>
    <mergeCell ref="A18:C18"/>
    <mergeCell ref="A19:C19"/>
    <mergeCell ref="A3:C3"/>
    <mergeCell ref="B26:C26"/>
    <mergeCell ref="B39:C39"/>
    <mergeCell ref="A28:C28"/>
    <mergeCell ref="A40:B40"/>
    <mergeCell ref="A27:B27"/>
    <mergeCell ref="K45:K46"/>
    <mergeCell ref="G37:K37"/>
    <mergeCell ref="D45:E45"/>
    <mergeCell ref="D46:E46"/>
    <mergeCell ref="D47:E47"/>
    <mergeCell ref="A56:B56"/>
    <mergeCell ref="A57:B57"/>
    <mergeCell ref="D24:E24"/>
    <mergeCell ref="D37:E37"/>
    <mergeCell ref="A53:B53"/>
    <mergeCell ref="A54:B54"/>
    <mergeCell ref="A55:B55"/>
    <mergeCell ref="A50:B50"/>
    <mergeCell ref="A51:B51"/>
    <mergeCell ref="A41:C41"/>
    <mergeCell ref="A47:B47"/>
    <mergeCell ref="A45:B45"/>
    <mergeCell ref="A46:B46"/>
    <mergeCell ref="A42:C42"/>
    <mergeCell ref="A43:B43"/>
    <mergeCell ref="A44:B44"/>
  </mergeCells>
  <hyperlinks>
    <hyperlink ref="A51" r:id="rId1" xr:uid="{F415B8E0-33D6-4EA9-BD73-32D7849E7EB8}"/>
  </hyperlinks>
  <pageMargins left="0.511811024" right="0.511811024" top="0.78740157499999996" bottom="0.78740157499999996" header="0.31496062000000002" footer="0.31496062000000002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30C48-B09F-4E7A-9391-FCB6A999C8B7}">
  <dimension ref="A1:O24"/>
  <sheetViews>
    <sheetView tabSelected="1" topLeftCell="A11" zoomScale="115" zoomScaleNormal="115" workbookViewId="0">
      <selection activeCell="C17" sqref="C17"/>
    </sheetView>
  </sheetViews>
  <sheetFormatPr defaultRowHeight="22.8" customHeight="1" x14ac:dyDescent="0.3"/>
  <cols>
    <col min="1" max="1" width="22.109375" customWidth="1"/>
    <col min="2" max="2" width="26" bestFit="1" customWidth="1"/>
    <col min="3" max="3" width="13.6640625" customWidth="1"/>
    <col min="4" max="4" width="19.5546875" customWidth="1"/>
    <col min="5" max="5" width="14.77734375" customWidth="1"/>
    <col min="6" max="6" width="7.21875" customWidth="1"/>
  </cols>
  <sheetData>
    <row r="1" spans="1:15" ht="22.8" customHeight="1" thickBot="1" x14ac:dyDescent="0.35"/>
    <row r="2" spans="1:15" ht="34.799999999999997" customHeight="1" thickBot="1" x14ac:dyDescent="0.35">
      <c r="A2" s="140" t="s">
        <v>52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2"/>
    </row>
    <row r="3" spans="1:15" ht="7.2" customHeight="1" x14ac:dyDescent="0.3"/>
    <row r="4" spans="1:15" ht="62.4" customHeight="1" x14ac:dyDescent="0.3">
      <c r="A4" s="125" t="s">
        <v>53</v>
      </c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7"/>
    </row>
    <row r="5" spans="1:15" ht="13.2" customHeight="1" thickBot="1" x14ac:dyDescent="0.35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</row>
    <row r="6" spans="1:15" s="42" customFormat="1" ht="27" customHeight="1" thickBot="1" x14ac:dyDescent="0.35">
      <c r="A6" s="143" t="s">
        <v>54</v>
      </c>
      <c r="B6" s="144"/>
      <c r="C6" s="144"/>
      <c r="D6" s="144"/>
      <c r="E6" s="144"/>
      <c r="F6" s="144"/>
      <c r="G6" s="144"/>
      <c r="H6" s="144"/>
      <c r="I6" s="144"/>
      <c r="J6" s="144"/>
      <c r="K6" s="144"/>
      <c r="L6" s="144"/>
      <c r="M6" s="144"/>
      <c r="N6" s="144"/>
      <c r="O6" s="145"/>
    </row>
    <row r="7" spans="1:15" ht="12" customHeight="1" thickBot="1" x14ac:dyDescent="0.35"/>
    <row r="8" spans="1:15" ht="45.6" customHeight="1" thickBot="1" x14ac:dyDescent="0.35">
      <c r="A8" s="137" t="s">
        <v>55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9"/>
    </row>
    <row r="9" spans="1:15" ht="16.2" thickBot="1" x14ac:dyDescent="0.35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</row>
    <row r="10" spans="1:15" ht="22.8" customHeight="1" thickBot="1" x14ac:dyDescent="0.35">
      <c r="A10" s="137" t="s">
        <v>56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9"/>
    </row>
    <row r="11" spans="1:15" ht="22.8" customHeight="1" thickBot="1" x14ac:dyDescent="0.35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</row>
    <row r="12" spans="1:15" ht="44.4" customHeight="1" thickBot="1" x14ac:dyDescent="0.35">
      <c r="A12" s="137" t="s">
        <v>57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9"/>
    </row>
    <row r="13" spans="1:15" ht="22.8" customHeight="1" x14ac:dyDescent="0.3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</row>
    <row r="14" spans="1:15" ht="27.6" customHeight="1" thickBot="1" x14ac:dyDescent="0.35">
      <c r="A14" s="136" t="s">
        <v>65</v>
      </c>
      <c r="B14" s="136"/>
    </row>
    <row r="15" spans="1:15" ht="42.6" customHeight="1" thickBot="1" x14ac:dyDescent="0.35">
      <c r="A15" s="128" t="s">
        <v>54</v>
      </c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30"/>
    </row>
    <row r="16" spans="1:15" ht="10.199999999999999" customHeight="1" thickBot="1" x14ac:dyDescent="0.35"/>
    <row r="17" spans="1:15" ht="22.8" customHeight="1" thickBot="1" x14ac:dyDescent="0.5">
      <c r="A17" s="44" t="s">
        <v>58</v>
      </c>
      <c r="B17" s="45" t="s">
        <v>59</v>
      </c>
      <c r="C17" s="46">
        <v>0.85</v>
      </c>
      <c r="D17" s="47">
        <v>1</v>
      </c>
      <c r="E17" s="48">
        <f>D17+C17</f>
        <v>1.85</v>
      </c>
      <c r="G17" s="67"/>
      <c r="H17" s="68"/>
      <c r="I17" s="68"/>
    </row>
    <row r="18" spans="1:15" ht="22.8" customHeight="1" thickBot="1" x14ac:dyDescent="0.5">
      <c r="A18" s="49" t="s">
        <v>60</v>
      </c>
      <c r="B18" s="50" t="s">
        <v>61</v>
      </c>
      <c r="C18" s="51">
        <v>0.04</v>
      </c>
      <c r="D18" s="52">
        <v>1</v>
      </c>
      <c r="E18" s="53">
        <f>D18-C18</f>
        <v>0.96</v>
      </c>
      <c r="G18" s="67"/>
      <c r="H18" s="68"/>
      <c r="I18" s="68"/>
    </row>
    <row r="19" spans="1:15" ht="22.8" customHeight="1" thickBot="1" x14ac:dyDescent="0.5">
      <c r="A19" s="54" t="s">
        <v>62</v>
      </c>
      <c r="B19" s="55" t="s">
        <v>63</v>
      </c>
      <c r="C19" s="56">
        <v>0.18</v>
      </c>
      <c r="D19" s="57">
        <v>1</v>
      </c>
      <c r="E19" s="58">
        <f>D19-C19</f>
        <v>0.82000000000000006</v>
      </c>
      <c r="G19" s="67"/>
      <c r="H19" s="68"/>
      <c r="I19" s="68"/>
    </row>
    <row r="20" spans="1:15" s="2" customFormat="1" ht="31.2" customHeight="1" thickBot="1" x14ac:dyDescent="0.35">
      <c r="A20" s="131" t="s">
        <v>64</v>
      </c>
      <c r="B20" s="132"/>
      <c r="C20" s="133"/>
      <c r="D20" s="134">
        <f>IF(C18&lt;C19,(E17*E18/E19-1),C17)</f>
        <v>1.1658536585365851</v>
      </c>
      <c r="E20" s="135"/>
      <c r="F20" s="59"/>
      <c r="H20" s="63"/>
      <c r="I20" s="63"/>
    </row>
    <row r="22" spans="1:15" ht="39" customHeight="1" thickBot="1" x14ac:dyDescent="0.35">
      <c r="A22" s="60" t="s">
        <v>66</v>
      </c>
      <c r="B22" s="60"/>
      <c r="C22" s="61"/>
      <c r="D22" s="61"/>
    </row>
    <row r="23" spans="1:15" ht="45" customHeight="1" x14ac:dyDescent="0.3">
      <c r="A23" s="125" t="s">
        <v>41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7"/>
    </row>
    <row r="24" spans="1:15" ht="22.8" customHeight="1" x14ac:dyDescent="0.3">
      <c r="E24" s="29"/>
    </row>
  </sheetData>
  <mergeCells count="11">
    <mergeCell ref="A12:O12"/>
    <mergeCell ref="A2:O2"/>
    <mergeCell ref="A4:O4"/>
    <mergeCell ref="A6:O6"/>
    <mergeCell ref="A8:O8"/>
    <mergeCell ref="A10:O10"/>
    <mergeCell ref="A23:O23"/>
    <mergeCell ref="A15:O15"/>
    <mergeCell ref="A20:C20"/>
    <mergeCell ref="D20:E20"/>
    <mergeCell ref="A14:B14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CAEE-381D-406E-B1C6-269C47FD290B}">
  <dimension ref="A1:K57"/>
  <sheetViews>
    <sheetView topLeftCell="E35" zoomScale="205" zoomScaleNormal="205" workbookViewId="0">
      <selection activeCell="K51" sqref="K51"/>
    </sheetView>
  </sheetViews>
  <sheetFormatPr defaultColWidth="11.88671875" defaultRowHeight="14.4" x14ac:dyDescent="0.3"/>
  <cols>
    <col min="1" max="1" width="60.44140625" bestFit="1" customWidth="1"/>
    <col min="2" max="2" width="12" bestFit="1" customWidth="1"/>
    <col min="3" max="3" width="12.88671875" style="3" bestFit="1" customWidth="1"/>
    <col min="4" max="4" width="9.5546875" style="30" bestFit="1" customWidth="1"/>
    <col min="5" max="5" width="8.33203125" bestFit="1" customWidth="1"/>
    <col min="7" max="7" width="12.5546875" bestFit="1" customWidth="1"/>
    <col min="8" max="8" width="11" bestFit="1" customWidth="1"/>
    <col min="10" max="10" width="14.33203125" bestFit="1" customWidth="1"/>
    <col min="11" max="11" width="12" bestFit="1" customWidth="1"/>
  </cols>
  <sheetData>
    <row r="1" spans="1:7" ht="15" thickBot="1" x14ac:dyDescent="0.35">
      <c r="A1" s="92" t="s">
        <v>74</v>
      </c>
      <c r="B1" s="93"/>
      <c r="C1" s="93"/>
      <c r="D1" s="93"/>
      <c r="E1" s="94"/>
    </row>
    <row r="2" spans="1:7" ht="6" customHeight="1" thickBot="1" x14ac:dyDescent="0.35">
      <c r="A2" s="114"/>
      <c r="B2" s="114"/>
      <c r="C2" s="114"/>
      <c r="D2" s="114"/>
    </row>
    <row r="3" spans="1:7" ht="15" thickBot="1" x14ac:dyDescent="0.35">
      <c r="A3" s="118" t="s">
        <v>11</v>
      </c>
      <c r="B3" s="119"/>
      <c r="C3" s="120"/>
    </row>
    <row r="4" spans="1:7" s="9" customFormat="1" ht="3.6" customHeight="1" x14ac:dyDescent="0.3">
      <c r="A4" s="8"/>
      <c r="B4" s="8"/>
      <c r="C4" s="8"/>
      <c r="D4" s="31"/>
    </row>
    <row r="5" spans="1:7" x14ac:dyDescent="0.3">
      <c r="A5" s="12" t="s">
        <v>9</v>
      </c>
      <c r="B5" s="13">
        <v>1000</v>
      </c>
    </row>
    <row r="6" spans="1:7" x14ac:dyDescent="0.3">
      <c r="A6" s="12" t="s">
        <v>0</v>
      </c>
      <c r="B6" s="13">
        <v>100</v>
      </c>
    </row>
    <row r="7" spans="1:7" x14ac:dyDescent="0.3">
      <c r="A7" s="12" t="s">
        <v>1</v>
      </c>
      <c r="B7" s="13">
        <v>100</v>
      </c>
    </row>
    <row r="8" spans="1:7" x14ac:dyDescent="0.3">
      <c r="A8" s="12" t="s">
        <v>2</v>
      </c>
      <c r="B8" s="13">
        <v>100</v>
      </c>
    </row>
    <row r="9" spans="1:7" x14ac:dyDescent="0.3">
      <c r="A9" s="12" t="s">
        <v>12</v>
      </c>
      <c r="B9" s="13">
        <v>0</v>
      </c>
    </row>
    <row r="10" spans="1:7" ht="6" customHeight="1" thickBot="1" x14ac:dyDescent="0.35">
      <c r="B10" s="1"/>
    </row>
    <row r="11" spans="1:7" ht="15" thickBot="1" x14ac:dyDescent="0.35">
      <c r="A11" s="10" t="s">
        <v>6</v>
      </c>
      <c r="B11" s="11">
        <f>B5+B6+B7+B8-B9</f>
        <v>1300</v>
      </c>
    </row>
    <row r="12" spans="1:7" ht="6" customHeight="1" x14ac:dyDescent="0.3">
      <c r="A12" s="2"/>
      <c r="B12" s="1"/>
    </row>
    <row r="13" spans="1:7" x14ac:dyDescent="0.3">
      <c r="A13" s="12" t="s">
        <v>77</v>
      </c>
      <c r="B13" s="13">
        <f>B5+B6+B7+B8-B9</f>
        <v>1300</v>
      </c>
      <c r="G13" t="s">
        <v>19</v>
      </c>
    </row>
    <row r="14" spans="1:7" x14ac:dyDescent="0.3">
      <c r="A14" s="12" t="s">
        <v>28</v>
      </c>
      <c r="B14" s="14">
        <v>0.1</v>
      </c>
    </row>
    <row r="15" spans="1:7" x14ac:dyDescent="0.3">
      <c r="A15" s="12" t="s">
        <v>5</v>
      </c>
      <c r="B15" s="13">
        <f>B13*B14</f>
        <v>130</v>
      </c>
    </row>
    <row r="16" spans="1:7" ht="9.6" customHeight="1" thickBot="1" x14ac:dyDescent="0.35"/>
    <row r="17" spans="1:7" ht="15" thickBot="1" x14ac:dyDescent="0.35">
      <c r="A17" s="10" t="s">
        <v>4</v>
      </c>
      <c r="B17" s="11">
        <f>B11+B15</f>
        <v>1430</v>
      </c>
    </row>
    <row r="18" spans="1:7" ht="6.6" customHeight="1" thickBot="1" x14ac:dyDescent="0.35">
      <c r="A18" s="85"/>
      <c r="B18" s="85"/>
      <c r="C18" s="85"/>
    </row>
    <row r="19" spans="1:7" ht="15" thickBot="1" x14ac:dyDescent="0.35">
      <c r="A19" s="115" t="s">
        <v>8</v>
      </c>
      <c r="B19" s="116"/>
      <c r="C19" s="117"/>
    </row>
    <row r="20" spans="1:7" x14ac:dyDescent="0.3">
      <c r="A20" s="108" t="s">
        <v>10</v>
      </c>
      <c r="B20" s="108"/>
      <c r="C20" s="15">
        <f>B11</f>
        <v>1300</v>
      </c>
    </row>
    <row r="21" spans="1:7" x14ac:dyDescent="0.3">
      <c r="A21" s="12" t="s">
        <v>68</v>
      </c>
      <c r="B21" s="16">
        <v>0</v>
      </c>
      <c r="C21" s="25">
        <f>C20*B21</f>
        <v>0</v>
      </c>
      <c r="D21" s="75" t="s">
        <v>37</v>
      </c>
      <c r="E21" s="30"/>
      <c r="F21" s="30"/>
    </row>
    <row r="22" spans="1:7" x14ac:dyDescent="0.3">
      <c r="A22" s="12" t="s">
        <v>14</v>
      </c>
      <c r="B22" s="16">
        <f>1-B21</f>
        <v>1</v>
      </c>
      <c r="C22" s="25">
        <f>C20*B22</f>
        <v>1300</v>
      </c>
      <c r="D22" s="75" t="s">
        <v>38</v>
      </c>
      <c r="E22" s="30"/>
      <c r="F22" s="30"/>
    </row>
    <row r="23" spans="1:7" x14ac:dyDescent="0.3">
      <c r="A23" s="110" t="s">
        <v>13</v>
      </c>
      <c r="B23" s="110"/>
      <c r="C23" s="17">
        <f>C20*B22</f>
        <v>1300</v>
      </c>
    </row>
    <row r="24" spans="1:7" x14ac:dyDescent="0.3">
      <c r="A24" s="12" t="s">
        <v>48</v>
      </c>
      <c r="B24" s="76">
        <v>0.12</v>
      </c>
      <c r="C24" s="19">
        <f>C23*B24</f>
        <v>156</v>
      </c>
      <c r="D24" s="82" t="s">
        <v>46</v>
      </c>
      <c r="E24" s="83"/>
      <c r="F24" s="72"/>
    </row>
    <row r="25" spans="1:7" x14ac:dyDescent="0.3">
      <c r="A25" s="12" t="s">
        <v>47</v>
      </c>
      <c r="B25" s="18">
        <v>0</v>
      </c>
      <c r="C25" s="19">
        <f>C23*B25</f>
        <v>0</v>
      </c>
      <c r="D25" s="36">
        <f>C27/C20</f>
        <v>0.12</v>
      </c>
      <c r="E25" s="34">
        <f>C20*D25</f>
        <v>156</v>
      </c>
      <c r="F25" s="73"/>
    </row>
    <row r="26" spans="1:7" x14ac:dyDescent="0.3">
      <c r="A26" s="40" t="s">
        <v>23</v>
      </c>
      <c r="B26" s="121">
        <f>SUM(B24:B25)</f>
        <v>0.12</v>
      </c>
      <c r="C26" s="121"/>
    </row>
    <row r="27" spans="1:7" x14ac:dyDescent="0.3">
      <c r="A27" s="124" t="s">
        <v>22</v>
      </c>
      <c r="B27" s="124"/>
      <c r="C27" s="17">
        <f>C23*B26</f>
        <v>156</v>
      </c>
    </row>
    <row r="28" spans="1:7" ht="7.2" customHeight="1" thickBot="1" x14ac:dyDescent="0.35">
      <c r="A28" s="85"/>
      <c r="B28" s="85"/>
      <c r="C28" s="85"/>
    </row>
    <row r="29" spans="1:7" ht="15" thickBot="1" x14ac:dyDescent="0.35">
      <c r="A29" s="111" t="s">
        <v>15</v>
      </c>
      <c r="B29" s="112"/>
      <c r="C29" s="113"/>
      <c r="E29" s="77"/>
      <c r="G29" s="28"/>
    </row>
    <row r="30" spans="1:7" x14ac:dyDescent="0.3">
      <c r="A30" s="12" t="s">
        <v>16</v>
      </c>
      <c r="B30" s="12"/>
      <c r="C30" s="15">
        <f>B17</f>
        <v>1430</v>
      </c>
      <c r="D30" s="32"/>
      <c r="G30" s="28"/>
    </row>
    <row r="31" spans="1:7" x14ac:dyDescent="0.3">
      <c r="A31" s="12" t="s">
        <v>49</v>
      </c>
      <c r="B31" s="66">
        <v>0.6</v>
      </c>
      <c r="C31" s="37"/>
      <c r="D31" s="35">
        <f>C30*B32</f>
        <v>1025.4146341463413</v>
      </c>
      <c r="G31" s="28"/>
    </row>
    <row r="32" spans="1:7" x14ac:dyDescent="0.3">
      <c r="A32" s="21" t="s">
        <v>50</v>
      </c>
      <c r="B32" s="69">
        <f>IF(B26&lt;B39,(1+B31)*(1-B26)/(1-B39)-1,B31)</f>
        <v>0.71707317073170729</v>
      </c>
      <c r="C32" s="37"/>
      <c r="D32" s="35">
        <f>C30+D31</f>
        <v>2455.4146341463411</v>
      </c>
      <c r="E32" s="27"/>
      <c r="F32" s="27"/>
    </row>
    <row r="33" spans="1:11" x14ac:dyDescent="0.3">
      <c r="A33" s="12" t="s">
        <v>51</v>
      </c>
      <c r="B33" s="21"/>
      <c r="C33" s="15">
        <f>C30+(C30*B32)</f>
        <v>2455.4146341463411</v>
      </c>
    </row>
    <row r="34" spans="1:11" x14ac:dyDescent="0.3">
      <c r="A34" s="12" t="s">
        <v>39</v>
      </c>
      <c r="B34" s="22">
        <v>0</v>
      </c>
      <c r="C34" s="12"/>
      <c r="D34" s="75" t="s">
        <v>37</v>
      </c>
    </row>
    <row r="35" spans="1:11" x14ac:dyDescent="0.3">
      <c r="A35" s="12" t="s">
        <v>18</v>
      </c>
      <c r="B35" s="23">
        <f>1-B34</f>
        <v>1</v>
      </c>
      <c r="C35" s="12"/>
      <c r="D35" s="75" t="s">
        <v>38</v>
      </c>
    </row>
    <row r="36" spans="1:11" ht="15" thickBot="1" x14ac:dyDescent="0.35">
      <c r="A36" s="109" t="s">
        <v>17</v>
      </c>
      <c r="B36" s="109"/>
      <c r="C36" s="38">
        <f>C33*B35</f>
        <v>2455.4146341463411</v>
      </c>
    </row>
    <row r="37" spans="1:11" ht="15" thickBot="1" x14ac:dyDescent="0.35">
      <c r="A37" s="12" t="s">
        <v>20</v>
      </c>
      <c r="B37" s="20">
        <v>0.18</v>
      </c>
      <c r="C37" s="19">
        <f>C36*B37</f>
        <v>441.97463414634137</v>
      </c>
      <c r="D37" s="82" t="s">
        <v>46</v>
      </c>
      <c r="E37" s="83"/>
      <c r="F37" s="72"/>
      <c r="G37" s="98" t="s">
        <v>45</v>
      </c>
      <c r="H37" s="99"/>
      <c r="I37" s="99"/>
      <c r="J37" s="99"/>
      <c r="K37" s="100"/>
    </row>
    <row r="38" spans="1:11" x14ac:dyDescent="0.3">
      <c r="A38" s="12" t="s">
        <v>70</v>
      </c>
      <c r="B38" s="20">
        <v>0</v>
      </c>
      <c r="C38" s="19">
        <f>C36*B38</f>
        <v>0</v>
      </c>
      <c r="D38" s="36">
        <f>C40/C33</f>
        <v>0.18</v>
      </c>
      <c r="E38" s="34">
        <f>C33*D38</f>
        <v>441.97463414634137</v>
      </c>
      <c r="F38" s="73"/>
    </row>
    <row r="39" spans="1:11" x14ac:dyDescent="0.3">
      <c r="A39" s="39" t="s">
        <v>21</v>
      </c>
      <c r="B39" s="122">
        <f>SUM(B37:B38)</f>
        <v>0.18</v>
      </c>
      <c r="C39" s="122"/>
      <c r="D39" s="33"/>
      <c r="G39" s="26" t="s">
        <v>29</v>
      </c>
      <c r="H39" s="26" t="s">
        <v>31</v>
      </c>
      <c r="J39" s="12" t="s">
        <v>34</v>
      </c>
      <c r="K39" s="15">
        <f>G40</f>
        <v>1300</v>
      </c>
    </row>
    <row r="40" spans="1:11" x14ac:dyDescent="0.3">
      <c r="A40" s="123" t="s">
        <v>67</v>
      </c>
      <c r="B40" s="123"/>
      <c r="C40" s="38">
        <f>C36*B39</f>
        <v>441.97463414634137</v>
      </c>
      <c r="G40" s="24">
        <f>C23</f>
        <v>1300</v>
      </c>
      <c r="H40" s="24">
        <f>G40*B26</f>
        <v>156</v>
      </c>
      <c r="J40" s="12" t="s">
        <v>35</v>
      </c>
      <c r="K40" s="15">
        <f>H46</f>
        <v>130</v>
      </c>
    </row>
    <row r="41" spans="1:11" ht="15" thickBot="1" x14ac:dyDescent="0.35">
      <c r="A41" s="85"/>
      <c r="B41" s="85"/>
      <c r="C41" s="85"/>
      <c r="J41" s="12" t="s">
        <v>36</v>
      </c>
      <c r="K41" s="15">
        <f>H43</f>
        <v>285.97463414634137</v>
      </c>
    </row>
    <row r="42" spans="1:11" ht="15" thickBot="1" x14ac:dyDescent="0.35">
      <c r="A42" s="92" t="s">
        <v>69</v>
      </c>
      <c r="B42" s="93"/>
      <c r="C42" s="94"/>
      <c r="G42" s="26" t="s">
        <v>30</v>
      </c>
      <c r="H42" s="26" t="s">
        <v>32</v>
      </c>
    </row>
    <row r="43" spans="1:11" x14ac:dyDescent="0.3">
      <c r="A43" s="95" t="s">
        <v>24</v>
      </c>
      <c r="B43" s="96"/>
      <c r="C43" s="74">
        <f>C36*B39</f>
        <v>441.97463414634137</v>
      </c>
      <c r="G43" s="15">
        <f>C36</f>
        <v>2455.4146341463411</v>
      </c>
      <c r="H43" s="15">
        <f>G43*B39-H40</f>
        <v>285.97463414634137</v>
      </c>
      <c r="J43" s="70"/>
      <c r="K43" s="71"/>
    </row>
    <row r="44" spans="1:11" ht="15" thickBot="1" x14ac:dyDescent="0.35">
      <c r="A44" s="105" t="s">
        <v>25</v>
      </c>
      <c r="B44" s="106"/>
      <c r="C44" s="5">
        <f>C27</f>
        <v>156</v>
      </c>
    </row>
    <row r="45" spans="1:11" ht="15" thickBot="1" x14ac:dyDescent="0.35">
      <c r="A45" s="88" t="s">
        <v>73</v>
      </c>
      <c r="B45" s="89"/>
      <c r="C45" s="4">
        <f>C43-C44</f>
        <v>285.97463414634137</v>
      </c>
      <c r="D45" s="101" t="s">
        <v>72</v>
      </c>
      <c r="E45" s="102"/>
      <c r="G45" s="26" t="s">
        <v>3</v>
      </c>
      <c r="H45" s="26" t="s">
        <v>71</v>
      </c>
      <c r="J45" s="107" t="s">
        <v>33</v>
      </c>
      <c r="K45" s="97">
        <f>K39+K40+K41</f>
        <v>1715.9746341463415</v>
      </c>
    </row>
    <row r="46" spans="1:11" x14ac:dyDescent="0.3">
      <c r="A46" s="90" t="s">
        <v>26</v>
      </c>
      <c r="B46" s="91"/>
      <c r="C46" s="6">
        <f>C37-C24</f>
        <v>285.97463414634137</v>
      </c>
      <c r="D46" s="103">
        <v>1145</v>
      </c>
      <c r="E46" s="104"/>
      <c r="G46" s="15">
        <f>B13</f>
        <v>1300</v>
      </c>
      <c r="H46" s="15">
        <f>B15</f>
        <v>130</v>
      </c>
      <c r="J46" s="107"/>
      <c r="K46" s="97"/>
    </row>
    <row r="47" spans="1:11" ht="15" thickBot="1" x14ac:dyDescent="0.35">
      <c r="A47" s="86" t="s">
        <v>43</v>
      </c>
      <c r="B47" s="87"/>
      <c r="C47" s="7">
        <f>C38-C25</f>
        <v>0</v>
      </c>
      <c r="D47" s="103">
        <v>2141</v>
      </c>
      <c r="E47" s="104"/>
      <c r="J47" t="s">
        <v>80</v>
      </c>
      <c r="K47" s="77">
        <f>H40+H43</f>
        <v>441.97463414634137</v>
      </c>
    </row>
    <row r="48" spans="1:11" ht="6" customHeight="1" x14ac:dyDescent="0.3"/>
    <row r="49" spans="1:11" ht="6" customHeight="1" x14ac:dyDescent="0.3"/>
    <row r="50" spans="1:11" x14ac:dyDescent="0.3">
      <c r="A50" s="80" t="s">
        <v>27</v>
      </c>
      <c r="B50" s="80"/>
      <c r="G50" s="79" t="s">
        <v>78</v>
      </c>
      <c r="H50" s="15">
        <f>K41</f>
        <v>285.97463414634137</v>
      </c>
      <c r="K50" s="77">
        <f>K45-K47</f>
        <v>1274</v>
      </c>
    </row>
    <row r="51" spans="1:11" x14ac:dyDescent="0.3">
      <c r="A51" s="84" t="s">
        <v>7</v>
      </c>
      <c r="B51" s="84"/>
      <c r="G51" s="79" t="s">
        <v>79</v>
      </c>
      <c r="H51" s="12">
        <v>100099</v>
      </c>
    </row>
    <row r="52" spans="1:11" x14ac:dyDescent="0.3">
      <c r="C52" s="64"/>
      <c r="D52" s="65"/>
      <c r="E52" s="2"/>
      <c r="F52" s="2"/>
      <c r="G52" s="78"/>
    </row>
    <row r="53" spans="1:11" x14ac:dyDescent="0.3">
      <c r="A53" s="80" t="s">
        <v>40</v>
      </c>
      <c r="B53" s="80"/>
    </row>
    <row r="54" spans="1:11" ht="69.599999999999994" customHeight="1" x14ac:dyDescent="0.3">
      <c r="A54" s="81" t="s">
        <v>75</v>
      </c>
      <c r="B54" s="81"/>
    </row>
    <row r="55" spans="1:11" ht="48" customHeight="1" x14ac:dyDescent="0.3">
      <c r="A55" s="81" t="s">
        <v>76</v>
      </c>
      <c r="B55" s="81"/>
    </row>
    <row r="56" spans="1:11" ht="25.8" customHeight="1" x14ac:dyDescent="0.3">
      <c r="A56" s="80" t="s">
        <v>44</v>
      </c>
      <c r="B56" s="80"/>
    </row>
    <row r="57" spans="1:11" ht="37.200000000000003" customHeight="1" x14ac:dyDescent="0.3">
      <c r="A57" s="81" t="s">
        <v>42</v>
      </c>
      <c r="B57" s="81"/>
    </row>
  </sheetData>
  <mergeCells count="36">
    <mergeCell ref="A51:B51"/>
    <mergeCell ref="A53:B53"/>
    <mergeCell ref="A54:B54"/>
    <mergeCell ref="A55:B55"/>
    <mergeCell ref="A56:B56"/>
    <mergeCell ref="A57:B57"/>
    <mergeCell ref="K45:K46"/>
    <mergeCell ref="A46:B46"/>
    <mergeCell ref="D46:E46"/>
    <mergeCell ref="A47:B47"/>
    <mergeCell ref="D47:E47"/>
    <mergeCell ref="A50:B50"/>
    <mergeCell ref="A42:C42"/>
    <mergeCell ref="A43:B43"/>
    <mergeCell ref="A44:B44"/>
    <mergeCell ref="A45:B45"/>
    <mergeCell ref="D45:E45"/>
    <mergeCell ref="J45:J46"/>
    <mergeCell ref="A36:B36"/>
    <mergeCell ref="D37:E37"/>
    <mergeCell ref="G37:K37"/>
    <mergeCell ref="B39:C39"/>
    <mergeCell ref="A40:B40"/>
    <mergeCell ref="A41:C41"/>
    <mergeCell ref="A23:B23"/>
    <mergeCell ref="D24:E24"/>
    <mergeCell ref="B26:C26"/>
    <mergeCell ref="A27:B27"/>
    <mergeCell ref="A28:C28"/>
    <mergeCell ref="A29:C29"/>
    <mergeCell ref="A1:E1"/>
    <mergeCell ref="A2:D2"/>
    <mergeCell ref="A3:C3"/>
    <mergeCell ref="A18:C18"/>
    <mergeCell ref="A19:C19"/>
    <mergeCell ref="A20:B20"/>
  </mergeCells>
  <hyperlinks>
    <hyperlink ref="A51" r:id="rId1" xr:uid="{56932ED0-7C7D-4C67-BC99-2AC542654846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7A75A-8416-4439-95E5-16C9129EB1C3}">
  <dimension ref="A1:K57"/>
  <sheetViews>
    <sheetView topLeftCell="D33" zoomScale="175" zoomScaleNormal="175" workbookViewId="0">
      <selection activeCell="H40" sqref="H40"/>
    </sheetView>
  </sheetViews>
  <sheetFormatPr defaultColWidth="11.88671875" defaultRowHeight="14.4" x14ac:dyDescent="0.3"/>
  <cols>
    <col min="1" max="1" width="60.44140625" bestFit="1" customWidth="1"/>
    <col min="2" max="2" width="12" bestFit="1" customWidth="1"/>
    <col min="3" max="3" width="12.88671875" style="3" bestFit="1" customWidth="1"/>
    <col min="4" max="4" width="9.5546875" style="30" bestFit="1" customWidth="1"/>
    <col min="5" max="5" width="8.33203125" bestFit="1" customWidth="1"/>
    <col min="7" max="7" width="12.5546875" bestFit="1" customWidth="1"/>
    <col min="8" max="8" width="11" bestFit="1" customWidth="1"/>
    <col min="10" max="10" width="14.33203125" bestFit="1" customWidth="1"/>
    <col min="11" max="11" width="12" bestFit="1" customWidth="1"/>
  </cols>
  <sheetData>
    <row r="1" spans="1:7" ht="15" thickBot="1" x14ac:dyDescent="0.35">
      <c r="A1" s="92" t="s">
        <v>74</v>
      </c>
      <c r="B1" s="93"/>
      <c r="C1" s="93"/>
      <c r="D1" s="93"/>
      <c r="E1" s="94"/>
    </row>
    <row r="2" spans="1:7" ht="6" customHeight="1" thickBot="1" x14ac:dyDescent="0.35">
      <c r="A2" s="114"/>
      <c r="B2" s="114"/>
      <c r="C2" s="114"/>
      <c r="D2" s="114"/>
    </row>
    <row r="3" spans="1:7" ht="15" thickBot="1" x14ac:dyDescent="0.35">
      <c r="A3" s="118" t="s">
        <v>11</v>
      </c>
      <c r="B3" s="119"/>
      <c r="C3" s="120"/>
    </row>
    <row r="4" spans="1:7" s="9" customFormat="1" ht="3.6" customHeight="1" x14ac:dyDescent="0.3">
      <c r="A4" s="8"/>
      <c r="B4" s="8"/>
      <c r="C4" s="8"/>
      <c r="D4" s="31"/>
    </row>
    <row r="5" spans="1:7" x14ac:dyDescent="0.3">
      <c r="A5" s="12" t="s">
        <v>9</v>
      </c>
      <c r="B5" s="13">
        <v>1700</v>
      </c>
    </row>
    <row r="6" spans="1:7" x14ac:dyDescent="0.3">
      <c r="A6" s="12" t="s">
        <v>0</v>
      </c>
      <c r="B6" s="13">
        <v>100</v>
      </c>
    </row>
    <row r="7" spans="1:7" x14ac:dyDescent="0.3">
      <c r="A7" s="12" t="s">
        <v>1</v>
      </c>
      <c r="B7" s="13">
        <v>100</v>
      </c>
    </row>
    <row r="8" spans="1:7" x14ac:dyDescent="0.3">
      <c r="A8" s="12" t="s">
        <v>2</v>
      </c>
      <c r="B8" s="13">
        <v>100</v>
      </c>
    </row>
    <row r="9" spans="1:7" x14ac:dyDescent="0.3">
      <c r="A9" s="12" t="s">
        <v>12</v>
      </c>
      <c r="B9" s="13">
        <v>0</v>
      </c>
    </row>
    <row r="10" spans="1:7" ht="6" customHeight="1" thickBot="1" x14ac:dyDescent="0.35">
      <c r="B10" s="1"/>
    </row>
    <row r="11" spans="1:7" ht="15" thickBot="1" x14ac:dyDescent="0.35">
      <c r="A11" s="10" t="s">
        <v>6</v>
      </c>
      <c r="B11" s="11">
        <f>B5+B6+B7+B8-B9</f>
        <v>2000</v>
      </c>
    </row>
    <row r="12" spans="1:7" ht="6" customHeight="1" x14ac:dyDescent="0.3">
      <c r="A12" s="2"/>
      <c r="B12" s="1"/>
    </row>
    <row r="13" spans="1:7" x14ac:dyDescent="0.3">
      <c r="A13" s="12" t="s">
        <v>77</v>
      </c>
      <c r="B13" s="13">
        <f>B5+B6+B7+B8-B9</f>
        <v>2000</v>
      </c>
      <c r="G13" t="s">
        <v>19</v>
      </c>
    </row>
    <row r="14" spans="1:7" x14ac:dyDescent="0.3">
      <c r="A14" s="12" t="s">
        <v>28</v>
      </c>
      <c r="B14" s="14">
        <v>0</v>
      </c>
    </row>
    <row r="15" spans="1:7" x14ac:dyDescent="0.3">
      <c r="A15" s="12" t="s">
        <v>5</v>
      </c>
      <c r="B15" s="13">
        <f>B13*B14</f>
        <v>0</v>
      </c>
    </row>
    <row r="16" spans="1:7" ht="9.6" customHeight="1" thickBot="1" x14ac:dyDescent="0.35"/>
    <row r="17" spans="1:7" ht="15" thickBot="1" x14ac:dyDescent="0.35">
      <c r="A17" s="10" t="s">
        <v>4</v>
      </c>
      <c r="B17" s="11">
        <f>B11+B15</f>
        <v>2000</v>
      </c>
    </row>
    <row r="18" spans="1:7" ht="6.6" customHeight="1" thickBot="1" x14ac:dyDescent="0.35">
      <c r="A18" s="85"/>
      <c r="B18" s="85"/>
      <c r="C18" s="85"/>
    </row>
    <row r="19" spans="1:7" ht="15" thickBot="1" x14ac:dyDescent="0.35">
      <c r="A19" s="115" t="s">
        <v>8</v>
      </c>
      <c r="B19" s="116"/>
      <c r="C19" s="117"/>
    </row>
    <row r="20" spans="1:7" x14ac:dyDescent="0.3">
      <c r="A20" s="108" t="s">
        <v>10</v>
      </c>
      <c r="B20" s="108"/>
      <c r="C20" s="15">
        <f>B11</f>
        <v>2000</v>
      </c>
    </row>
    <row r="21" spans="1:7" x14ac:dyDescent="0.3">
      <c r="A21" s="12" t="s">
        <v>68</v>
      </c>
      <c r="B21" s="16">
        <v>0</v>
      </c>
      <c r="C21" s="25">
        <f>C20*B21</f>
        <v>0</v>
      </c>
      <c r="D21" s="75" t="s">
        <v>37</v>
      </c>
      <c r="E21" s="30"/>
      <c r="F21" s="30"/>
    </row>
    <row r="22" spans="1:7" x14ac:dyDescent="0.3">
      <c r="A22" s="12" t="s">
        <v>14</v>
      </c>
      <c r="B22" s="16">
        <f>1-B21</f>
        <v>1</v>
      </c>
      <c r="C22" s="25">
        <f>C20*B22</f>
        <v>2000</v>
      </c>
      <c r="D22" s="75" t="s">
        <v>38</v>
      </c>
      <c r="E22" s="30"/>
      <c r="F22" s="30"/>
    </row>
    <row r="23" spans="1:7" x14ac:dyDescent="0.3">
      <c r="A23" s="110" t="s">
        <v>13</v>
      </c>
      <c r="B23" s="110"/>
      <c r="C23" s="17">
        <f>C20*B22</f>
        <v>2000</v>
      </c>
    </row>
    <row r="24" spans="1:7" x14ac:dyDescent="0.3">
      <c r="A24" s="12" t="s">
        <v>48</v>
      </c>
      <c r="B24" s="76">
        <v>0.12</v>
      </c>
      <c r="C24" s="19">
        <f>C23*B24</f>
        <v>240</v>
      </c>
      <c r="D24" s="82" t="s">
        <v>46</v>
      </c>
      <c r="E24" s="83"/>
      <c r="F24" s="72"/>
    </row>
    <row r="25" spans="1:7" x14ac:dyDescent="0.3">
      <c r="A25" s="12" t="s">
        <v>47</v>
      </c>
      <c r="B25" s="18">
        <v>0</v>
      </c>
      <c r="C25" s="19">
        <f>C23*B25</f>
        <v>0</v>
      </c>
      <c r="D25" s="36">
        <f>C27/C20</f>
        <v>0.12</v>
      </c>
      <c r="E25" s="34">
        <f>C20*D25</f>
        <v>240</v>
      </c>
      <c r="F25" s="73"/>
    </row>
    <row r="26" spans="1:7" x14ac:dyDescent="0.3">
      <c r="A26" s="40" t="s">
        <v>23</v>
      </c>
      <c r="B26" s="121">
        <f>SUM(B24:B25)</f>
        <v>0.12</v>
      </c>
      <c r="C26" s="121"/>
    </row>
    <row r="27" spans="1:7" x14ac:dyDescent="0.3">
      <c r="A27" s="124" t="s">
        <v>22</v>
      </c>
      <c r="B27" s="124"/>
      <c r="C27" s="17">
        <f>C23*B26</f>
        <v>240</v>
      </c>
    </row>
    <row r="28" spans="1:7" ht="7.2" customHeight="1" thickBot="1" x14ac:dyDescent="0.35">
      <c r="A28" s="85"/>
      <c r="B28" s="85"/>
      <c r="C28" s="85"/>
    </row>
    <row r="29" spans="1:7" ht="15" thickBot="1" x14ac:dyDescent="0.35">
      <c r="A29" s="111" t="s">
        <v>15</v>
      </c>
      <c r="B29" s="112"/>
      <c r="C29" s="113"/>
      <c r="E29" s="77"/>
      <c r="G29" s="28"/>
    </row>
    <row r="30" spans="1:7" x14ac:dyDescent="0.3">
      <c r="A30" s="12" t="s">
        <v>16</v>
      </c>
      <c r="B30" s="12"/>
      <c r="C30" s="15">
        <f>B17</f>
        <v>2000</v>
      </c>
      <c r="D30" s="32"/>
      <c r="G30" s="28"/>
    </row>
    <row r="31" spans="1:7" x14ac:dyDescent="0.3">
      <c r="A31" s="12" t="s">
        <v>49</v>
      </c>
      <c r="B31" s="66">
        <v>0.71779999999999999</v>
      </c>
      <c r="C31" s="37"/>
      <c r="D31" s="35">
        <f>C30*B32</f>
        <v>1686.9853658536581</v>
      </c>
      <c r="G31" s="28"/>
    </row>
    <row r="32" spans="1:7" x14ac:dyDescent="0.3">
      <c r="A32" s="21" t="s">
        <v>50</v>
      </c>
      <c r="B32" s="69">
        <f>IF(B26&lt;B39,(1+B31)*(1-B26)/(1-B39)-1,B31)</f>
        <v>0.843492682926829</v>
      </c>
      <c r="C32" s="37"/>
      <c r="D32" s="35">
        <f>C30+D31</f>
        <v>3686.9853658536581</v>
      </c>
      <c r="E32" s="27"/>
      <c r="F32" s="27"/>
    </row>
    <row r="33" spans="1:11" x14ac:dyDescent="0.3">
      <c r="A33" s="12" t="s">
        <v>51</v>
      </c>
      <c r="B33" s="21"/>
      <c r="C33" s="15">
        <f>C30+(C30*B32)</f>
        <v>3686.9853658536581</v>
      </c>
    </row>
    <row r="34" spans="1:11" x14ac:dyDescent="0.3">
      <c r="A34" s="12" t="s">
        <v>39</v>
      </c>
      <c r="B34" s="22">
        <v>0</v>
      </c>
      <c r="C34" s="12"/>
      <c r="D34" s="75" t="s">
        <v>37</v>
      </c>
    </row>
    <row r="35" spans="1:11" x14ac:dyDescent="0.3">
      <c r="A35" s="12" t="s">
        <v>18</v>
      </c>
      <c r="B35" s="23">
        <f>1-B34</f>
        <v>1</v>
      </c>
      <c r="C35" s="12"/>
      <c r="D35" s="75" t="s">
        <v>38</v>
      </c>
    </row>
    <row r="36" spans="1:11" ht="15" thickBot="1" x14ac:dyDescent="0.35">
      <c r="A36" s="109" t="s">
        <v>17</v>
      </c>
      <c r="B36" s="109"/>
      <c r="C36" s="38">
        <f>C33*B35</f>
        <v>3686.9853658536581</v>
      </c>
    </row>
    <row r="37" spans="1:11" ht="15" thickBot="1" x14ac:dyDescent="0.35">
      <c r="A37" s="12" t="s">
        <v>20</v>
      </c>
      <c r="B37" s="20">
        <v>0.18</v>
      </c>
      <c r="C37" s="19">
        <f>C36*B37</f>
        <v>663.65736585365846</v>
      </c>
      <c r="D37" s="82" t="s">
        <v>46</v>
      </c>
      <c r="E37" s="83"/>
      <c r="F37" s="72"/>
      <c r="G37" s="98" t="s">
        <v>45</v>
      </c>
      <c r="H37" s="99"/>
      <c r="I37" s="99"/>
      <c r="J37" s="99"/>
      <c r="K37" s="100"/>
    </row>
    <row r="38" spans="1:11" x14ac:dyDescent="0.3">
      <c r="A38" s="12" t="s">
        <v>70</v>
      </c>
      <c r="B38" s="20">
        <v>0</v>
      </c>
      <c r="C38" s="19">
        <f>C36*B38</f>
        <v>0</v>
      </c>
      <c r="D38" s="36">
        <f>C40/C33</f>
        <v>0.18</v>
      </c>
      <c r="E38" s="34">
        <f>C33*D38</f>
        <v>663.65736585365846</v>
      </c>
      <c r="F38" s="73"/>
    </row>
    <row r="39" spans="1:11" x14ac:dyDescent="0.3">
      <c r="A39" s="39" t="s">
        <v>21</v>
      </c>
      <c r="B39" s="122">
        <f>SUM(B37:B38)</f>
        <v>0.18</v>
      </c>
      <c r="C39" s="122"/>
      <c r="D39" s="33"/>
      <c r="G39" s="26" t="s">
        <v>29</v>
      </c>
      <c r="H39" s="26" t="s">
        <v>31</v>
      </c>
      <c r="J39" s="12" t="s">
        <v>34</v>
      </c>
      <c r="K39" s="15">
        <f>G40</f>
        <v>2000</v>
      </c>
    </row>
    <row r="40" spans="1:11" x14ac:dyDescent="0.3">
      <c r="A40" s="123" t="s">
        <v>67</v>
      </c>
      <c r="B40" s="123"/>
      <c r="C40" s="38">
        <f>C36*B39</f>
        <v>663.65736585365846</v>
      </c>
      <c r="G40" s="24">
        <f>C23</f>
        <v>2000</v>
      </c>
      <c r="H40" s="24">
        <f>G40*B26</f>
        <v>240</v>
      </c>
      <c r="I40" t="s">
        <v>81</v>
      </c>
      <c r="J40" s="12" t="s">
        <v>35</v>
      </c>
      <c r="K40" s="15">
        <f>H46</f>
        <v>0</v>
      </c>
    </row>
    <row r="41" spans="1:11" ht="15" thickBot="1" x14ac:dyDescent="0.35">
      <c r="A41" s="85"/>
      <c r="B41" s="85"/>
      <c r="C41" s="85"/>
      <c r="J41" s="12" t="s">
        <v>36</v>
      </c>
      <c r="K41" s="15">
        <f>H43</f>
        <v>423.65736585365846</v>
      </c>
    </row>
    <row r="42" spans="1:11" ht="15" thickBot="1" x14ac:dyDescent="0.35">
      <c r="A42" s="92" t="s">
        <v>69</v>
      </c>
      <c r="B42" s="93"/>
      <c r="C42" s="94"/>
      <c r="G42" s="26" t="s">
        <v>30</v>
      </c>
      <c r="H42" s="26" t="s">
        <v>32</v>
      </c>
    </row>
    <row r="43" spans="1:11" x14ac:dyDescent="0.3">
      <c r="A43" s="95" t="s">
        <v>24</v>
      </c>
      <c r="B43" s="96"/>
      <c r="C43" s="74">
        <f>C36*B39</f>
        <v>663.65736585365846</v>
      </c>
      <c r="G43" s="15">
        <f>C36</f>
        <v>3686.9853658536581</v>
      </c>
      <c r="H43" s="15">
        <f>G43*B39-H40</f>
        <v>423.65736585365846</v>
      </c>
      <c r="J43" s="70"/>
      <c r="K43" s="71"/>
    </row>
    <row r="44" spans="1:11" ht="15" thickBot="1" x14ac:dyDescent="0.35">
      <c r="A44" s="105" t="s">
        <v>25</v>
      </c>
      <c r="B44" s="106"/>
      <c r="C44" s="5">
        <f>C27</f>
        <v>240</v>
      </c>
    </row>
    <row r="45" spans="1:11" ht="15" thickBot="1" x14ac:dyDescent="0.35">
      <c r="A45" s="88" t="s">
        <v>73</v>
      </c>
      <c r="B45" s="89"/>
      <c r="C45" s="4">
        <f>C43-C44</f>
        <v>423.65736585365846</v>
      </c>
      <c r="D45" s="101" t="s">
        <v>72</v>
      </c>
      <c r="E45" s="102"/>
      <c r="G45" s="26" t="s">
        <v>3</v>
      </c>
      <c r="H45" s="26" t="s">
        <v>71</v>
      </c>
      <c r="J45" s="107" t="s">
        <v>33</v>
      </c>
      <c r="K45" s="97">
        <f>K39+K40+K41</f>
        <v>2423.6573658536586</v>
      </c>
    </row>
    <row r="46" spans="1:11" x14ac:dyDescent="0.3">
      <c r="A46" s="90" t="s">
        <v>26</v>
      </c>
      <c r="B46" s="91"/>
      <c r="C46" s="6">
        <f>C37-C24</f>
        <v>423.65736585365846</v>
      </c>
      <c r="D46" s="103">
        <v>1145</v>
      </c>
      <c r="E46" s="104"/>
      <c r="G46" s="15">
        <f>B13</f>
        <v>2000</v>
      </c>
      <c r="H46" s="15">
        <f>B15</f>
        <v>0</v>
      </c>
      <c r="J46" s="107"/>
      <c r="K46" s="97"/>
    </row>
    <row r="47" spans="1:11" ht="15" thickBot="1" x14ac:dyDescent="0.35">
      <c r="A47" s="86" t="s">
        <v>43</v>
      </c>
      <c r="B47" s="87"/>
      <c r="C47" s="7">
        <f>C38-C25</f>
        <v>0</v>
      </c>
      <c r="D47" s="103">
        <v>2141</v>
      </c>
      <c r="E47" s="104"/>
    </row>
    <row r="48" spans="1:11" ht="6" customHeight="1" x14ac:dyDescent="0.3"/>
    <row r="49" spans="1:8" ht="6" customHeight="1" x14ac:dyDescent="0.3"/>
    <row r="50" spans="1:8" x14ac:dyDescent="0.3">
      <c r="A50" s="80" t="s">
        <v>27</v>
      </c>
      <c r="B50" s="80"/>
      <c r="G50" s="79" t="s">
        <v>78</v>
      </c>
      <c r="H50" s="15">
        <f>K41</f>
        <v>423.65736585365846</v>
      </c>
    </row>
    <row r="51" spans="1:8" x14ac:dyDescent="0.3">
      <c r="A51" s="84" t="s">
        <v>7</v>
      </c>
      <c r="B51" s="84"/>
      <c r="G51" s="79" t="s">
        <v>79</v>
      </c>
      <c r="H51" s="12">
        <v>100099</v>
      </c>
    </row>
    <row r="52" spans="1:8" x14ac:dyDescent="0.3">
      <c r="C52" s="64"/>
      <c r="D52" s="65"/>
      <c r="E52" s="2"/>
      <c r="F52" s="2"/>
      <c r="G52" s="78"/>
    </row>
    <row r="53" spans="1:8" x14ac:dyDescent="0.3">
      <c r="A53" s="80" t="s">
        <v>40</v>
      </c>
      <c r="B53" s="80"/>
    </row>
    <row r="54" spans="1:8" ht="69.599999999999994" customHeight="1" x14ac:dyDescent="0.3">
      <c r="A54" s="81" t="s">
        <v>75</v>
      </c>
      <c r="B54" s="81"/>
    </row>
    <row r="55" spans="1:8" ht="48" customHeight="1" x14ac:dyDescent="0.3">
      <c r="A55" s="81" t="s">
        <v>76</v>
      </c>
      <c r="B55" s="81"/>
    </row>
    <row r="56" spans="1:8" ht="25.8" customHeight="1" x14ac:dyDescent="0.3">
      <c r="A56" s="80" t="s">
        <v>44</v>
      </c>
      <c r="B56" s="80"/>
    </row>
    <row r="57" spans="1:8" ht="37.200000000000003" customHeight="1" x14ac:dyDescent="0.3">
      <c r="A57" s="81" t="s">
        <v>42</v>
      </c>
      <c r="B57" s="81"/>
    </row>
  </sheetData>
  <mergeCells count="36">
    <mergeCell ref="A51:B51"/>
    <mergeCell ref="A53:B53"/>
    <mergeCell ref="A54:B54"/>
    <mergeCell ref="A55:B55"/>
    <mergeCell ref="A56:B56"/>
    <mergeCell ref="A57:B57"/>
    <mergeCell ref="K45:K46"/>
    <mergeCell ref="A46:B46"/>
    <mergeCell ref="D46:E46"/>
    <mergeCell ref="A47:B47"/>
    <mergeCell ref="D47:E47"/>
    <mergeCell ref="A50:B50"/>
    <mergeCell ref="A42:C42"/>
    <mergeCell ref="A43:B43"/>
    <mergeCell ref="A44:B44"/>
    <mergeCell ref="A45:B45"/>
    <mergeCell ref="D45:E45"/>
    <mergeCell ref="J45:J46"/>
    <mergeCell ref="A36:B36"/>
    <mergeCell ref="D37:E37"/>
    <mergeCell ref="G37:K37"/>
    <mergeCell ref="B39:C39"/>
    <mergeCell ref="A40:B40"/>
    <mergeCell ref="A41:C41"/>
    <mergeCell ref="A23:B23"/>
    <mergeCell ref="D24:E24"/>
    <mergeCell ref="B26:C26"/>
    <mergeCell ref="A27:B27"/>
    <mergeCell ref="A28:C28"/>
    <mergeCell ref="A29:C29"/>
    <mergeCell ref="A1:E1"/>
    <mergeCell ref="A2:D2"/>
    <mergeCell ref="A3:C3"/>
    <mergeCell ref="A18:C18"/>
    <mergeCell ref="A19:C19"/>
    <mergeCell ref="A20:B20"/>
  </mergeCells>
  <hyperlinks>
    <hyperlink ref="A51" r:id="rId1" xr:uid="{73022B3E-AB7B-4F5F-85C4-869D1C36B8AD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Calculadora_ICMS_ST</vt:lpstr>
      <vt:lpstr> Calculadora_MVA Ajustada</vt:lpstr>
      <vt:lpstr>NFe_Entrada</vt:lpstr>
      <vt:lpstr>NFe_Saida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</dc:creator>
  <cp:lastModifiedBy>JHA</cp:lastModifiedBy>
  <dcterms:created xsi:type="dcterms:W3CDTF">2019-06-24T20:41:20Z</dcterms:created>
  <dcterms:modified xsi:type="dcterms:W3CDTF">2020-07-02T01:15:40Z</dcterms:modified>
</cp:coreProperties>
</file>