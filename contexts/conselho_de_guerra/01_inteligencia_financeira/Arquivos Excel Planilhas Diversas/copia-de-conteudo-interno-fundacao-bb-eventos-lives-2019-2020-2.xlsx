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U:\GEPIN\INTERNO\RECRUTAMENTO E SELEÇÃO\SELEÇÃO\2022\Comunicação\Assistente Administrativo - Comunicação\"/>
    </mc:Choice>
  </mc:AlternateContent>
  <xr:revisionPtr revIDLastSave="0" documentId="8_{1A69B5E3-C1E0-4BF7-9A51-309E33816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ENTOS  (PRESENCIAL - ONLINE)" sheetId="1" r:id="rId1"/>
  </sheets>
  <definedNames>
    <definedName name="_xlnm._FilterDatabase" localSheetId="0" hidden="1">'EVENTOS  (PRESENCIAL - ONLINE)'!$A$1:$G$117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2" i="1" l="1"/>
  <c r="E97" i="1"/>
  <c r="E94" i="1" l="1"/>
  <c r="E65" i="1" l="1"/>
  <c r="E68" i="1"/>
  <c r="G82" i="1" l="1"/>
</calcChain>
</file>

<file path=xl/sharedStrings.xml><?xml version="1.0" encoding="utf-8"?>
<sst xmlns="http://schemas.openxmlformats.org/spreadsheetml/2006/main" count="214" uniqueCount="185">
  <si>
    <t>DATA</t>
  </si>
  <si>
    <t>EVENTO</t>
  </si>
  <si>
    <t>03/12/202O</t>
  </si>
  <si>
    <t>35 anos - Desafio Trasnforma! Maestro João Carlos Martins e GRU Sinfônica - CCBB SP</t>
  </si>
  <si>
    <t>https://www.youtube.com/watch?v=1TO4T_4tAsI</t>
  </si>
  <si>
    <t>https://www.youtube.com/watch?v=82SlSsTGzCc</t>
  </si>
  <si>
    <t>https://www.youtube.com/watch?v=CwOJPVG0ykE</t>
  </si>
  <si>
    <t>35 anos - Desafio Trasnforma! Histórias Valiosas</t>
  </si>
  <si>
    <t>35 anos - Desafio Trasnforma! PitchDay socioambiental</t>
  </si>
  <si>
    <t>Live Xande de Pilares e CCBB #EmCasaComigo</t>
  </si>
  <si>
    <t>https://www.youtube.com/watch?v=Zy6as1xU2hE&amp;t=29s</t>
  </si>
  <si>
    <t>CCBB LIVE apresenta "Os Paralamas do Sucesso"</t>
  </si>
  <si>
    <t>11/10/202</t>
  </si>
  <si>
    <t>https://www.youtube.com/watch?v=e3RdbWQ2ps4</t>
  </si>
  <si>
    <t>Acústico Jota Quest CCBB Live</t>
  </si>
  <si>
    <t>https://www.youtube.com/watch?v=s9X_geduXUM&amp;t=3938s</t>
  </si>
  <si>
    <t>CAPITAL INICIAL | LIVE DA INDEPENDÊNCIA</t>
  </si>
  <si>
    <t>https://www.youtube.com/watch?v=H4ipow_z1rE</t>
  </si>
  <si>
    <t>LIVE - Drive in CCBB - Palco Novo - Orquestra de Câmara de Brasília</t>
  </si>
  <si>
    <t>Observação</t>
  </si>
  <si>
    <t>QR Code</t>
  </si>
  <si>
    <t>QR Code e Embaixadores do Esporte</t>
  </si>
  <si>
    <t>https://www.youtube.com/watch?v=T1IidqlDNxE</t>
  </si>
  <si>
    <t>LIVE - Drive in CCBB - Palco Novo - Musical Elvis Brasil</t>
  </si>
  <si>
    <t>https://www.youtube.com/watch?v=5O9VI3HH_no</t>
  </si>
  <si>
    <t>LIVE - Drive in CCBB - Palco Novo - Oswaldo Amorim Quarteto</t>
  </si>
  <si>
    <t>https://www.youtube.com/watch?v=om-cZBcBR6k</t>
  </si>
  <si>
    <t>Lançamento do Projeto Municípios prato cheio para o desenvolvimento</t>
  </si>
  <si>
    <t>https://www.youtube.com/watch?v=r_bXWxFM0DU</t>
  </si>
  <si>
    <t>Reunião online entre Fundação BB e Instituto Magnus para lançamento da parceria e da Área do Doador – Projeto Cão Guia</t>
  </si>
  <si>
    <t>Microsoft Teams</t>
  </si>
  <si>
    <t>35 anos -  #FundaçãoBBaoVivo - “Desafio Transforma! de reaplicação de tecnologias sociais”</t>
  </si>
  <si>
    <t>35 anos -  #FundaçãoBBaoVivo - “Os Impactos Positivos da campanha Proteja e Sakve Vidas”</t>
  </si>
  <si>
    <t>Live BBSEG Pense Rosa</t>
  </si>
  <si>
    <r>
      <t>Instagram  @</t>
    </r>
    <r>
      <rPr>
        <b/>
        <u/>
        <sz val="11"/>
        <color theme="10"/>
        <rFont val="Calibri"/>
        <family val="2"/>
        <scheme val="minor"/>
      </rPr>
      <t>fundacaobb</t>
    </r>
  </si>
  <si>
    <t>https://livebbseguros.com.br/live</t>
  </si>
  <si>
    <t>Programa AABB Comunidade - Adesão 2021-2024</t>
  </si>
  <si>
    <t>https://www.youtube.com/watch?v=KOx4geXKaJs&amp;feature=youtu.be&amp;fbclid=IwAR2nrmr3V8IxytztLGXDlmtVCXReFDxB1eWfciE3WCDRTUgoEopaPKusKSM</t>
  </si>
  <si>
    <t>6º programa do podcast Só no Social participação Rogério Biruel</t>
  </si>
  <si>
    <t>https://open.spotify.com/show/0aI7oIUFxBr2rNmHCqyVF4</t>
  </si>
  <si>
    <t>Live sobre os rumos da Educação em tempos de Covid-19, com o Prof. Jayse Ferreira</t>
  </si>
  <si>
    <t>https://www.facebook.com/watch/live/?v=3314874555207352&amp;ref=watch_permalink</t>
  </si>
  <si>
    <t>Live Zé Neto e Cristiano</t>
  </si>
  <si>
    <t>35 anos -  #FundaçãoBBaoVivo - “Tire suas dúvidas sobre o Desafio Transforma!”</t>
  </si>
  <si>
    <t>-</t>
  </si>
  <si>
    <t>Orquestrando o Brasil - João Carlos Martins RR 15.02.20</t>
  </si>
  <si>
    <t>live retirada do YouTube</t>
  </si>
  <si>
    <t>evento presencial com produção audiovisual</t>
  </si>
  <si>
    <t>Parceria FBB-BB-AVSI-Embaixada Italiana - Aliança Entre Empresas e Ongs para o Desenvolvimento Sustentável No Brasil</t>
  </si>
  <si>
    <t>17 a 22/02/2020</t>
  </si>
  <si>
    <t>IX Laboratório Ítalo-Brasileiro de Formação, Pesquisa e Práticas em Saúde Coletiva</t>
  </si>
  <si>
    <t>BB | Suba de Nível - Episódio 1</t>
  </si>
  <si>
    <t>https://www.youtube.com/watch?v=cM__FXNCsXE</t>
  </si>
  <si>
    <t>Conversa sobre Filantropia</t>
  </si>
  <si>
    <t>Fórum Sustentabilidade URI</t>
  </si>
  <si>
    <t>Live de Natal da FENABB</t>
  </si>
  <si>
    <t>Live Magnus - Entrega Cão Guia</t>
  </si>
  <si>
    <t>ADIADO sem data</t>
  </si>
  <si>
    <t>Conectando Experiências - VIPAG</t>
  </si>
  <si>
    <t>*matérias</t>
  </si>
  <si>
    <t>VISUALIZAÇÕES - PÚBLICO</t>
  </si>
  <si>
    <t>Solidarize-se - Orientações às ILPIs</t>
  </si>
  <si>
    <t>Solidarize-se - Oficina Online</t>
  </si>
  <si>
    <t>Solidarize-se - FAQ ao vivo</t>
  </si>
  <si>
    <t>ANO</t>
  </si>
  <si>
    <t>VOZES DAQUI "Educação, tecnologia e cultura digital" - Isy Viana</t>
  </si>
  <si>
    <t>https://www.youtube.com/watch?v=8iZTBdqoh80</t>
  </si>
  <si>
    <t>VOZES DAQUI "Desafios da Educação durante e depois da Pandemia" - Fernanda Cunha</t>
  </si>
  <si>
    <t>https://www.youtube.com/watch?v=0Hg9KopJgcY</t>
  </si>
  <si>
    <t>VOZES DAQUI "Criatividade e ensino inovador" - Luciana Lyra</t>
  </si>
  <si>
    <t>exclusivo Clientes Private</t>
  </si>
  <si>
    <t>https://www.facebook.com/165500080198037/videos/701779114053893/</t>
  </si>
  <si>
    <t>https://www.facebook.com/165500080198037/videos/3378828662193533/</t>
  </si>
  <si>
    <t>https://www.facebook.com/165500080198037/videos/1108540929602115/</t>
  </si>
  <si>
    <t>Vila do Pequenino Jesus</t>
  </si>
  <si>
    <t>Parceria Votorantim</t>
  </si>
  <si>
    <t>Parceria Ministério da Defesa (PROFESP)</t>
  </si>
  <si>
    <t>Almoço Orquestrando o Brasil</t>
  </si>
  <si>
    <t>FLASH MOB UCI - Reciclando Sons</t>
  </si>
  <si>
    <t>Sabor &amp; Som - Reciclando Sons</t>
  </si>
  <si>
    <t>Cooperativa GiraSol (Proj. 17.304) Porto Algre/RS</t>
  </si>
  <si>
    <t>LANÇAMENTO DA EXPOSIÇÃO VIDAS BORDADAS 
INSTITUTO PROEZA E MPDFT</t>
  </si>
  <si>
    <t>VOZES DAQUI "Ofcina de Artes com foco na história da cultura de Goiana"</t>
  </si>
  <si>
    <t>Nossa Feira - Castelo do Piauí/PI</t>
  </si>
  <si>
    <t>Nossa Feira - Boqueirão/PB</t>
  </si>
  <si>
    <t>Nossa Feira - Demerval Lobão/PI</t>
  </si>
  <si>
    <t>Lançamento do Prêmio de Tecnologia Social</t>
  </si>
  <si>
    <t>Nossa Feira - Areias/PB</t>
  </si>
  <si>
    <t>Nossa Feira - Conceição/PB</t>
  </si>
  <si>
    <t>Nossa Feira - São João do Rio do Peixe/PB</t>
  </si>
  <si>
    <t>Nossa Feira - Lago da Pedra/PB</t>
  </si>
  <si>
    <t>Nossa Feira - Pindaré-Mirim/PB</t>
  </si>
  <si>
    <t>Nossa Feira - Presidente Dutra/PB</t>
  </si>
  <si>
    <t>Nossa Feira - São Domingos do Maranhão/PB</t>
  </si>
  <si>
    <t>Nossa Feira - Viana/PB</t>
  </si>
  <si>
    <t>Nossa Feira - Abaíra/BA</t>
  </si>
  <si>
    <t>Nossa Feira - Antas/BA</t>
  </si>
  <si>
    <t>Nossa Feira - Cachoeira/BA</t>
  </si>
  <si>
    <t>Nossa Feira - Caldeirão Grande/BA</t>
  </si>
  <si>
    <t>Nossa Feira - Canudos/BA</t>
  </si>
  <si>
    <t>Nossa Feira - Crisópolis/BA</t>
  </si>
  <si>
    <t>Nossa Feira - Nordestina/BA</t>
  </si>
  <si>
    <t>Nossa Feira - Pau Brasil/BA</t>
  </si>
  <si>
    <t>Nossa Feira - São Felix/BA</t>
  </si>
  <si>
    <t>Encontro de Tecnologia Social</t>
  </si>
  <si>
    <t>Fundação BB FCA AVSI - VOZES DAQUI</t>
  </si>
  <si>
    <t>Julgamento Vencedoras Prêmio de Tecnologia Social</t>
  </si>
  <si>
    <t>Encontro com Investidores</t>
  </si>
  <si>
    <t>LOCAL - LINK</t>
  </si>
  <si>
    <t>Roma/Itália</t>
  </si>
  <si>
    <t>CCBB Brasília</t>
  </si>
  <si>
    <t>Edifício BB - Brasília/DF</t>
  </si>
  <si>
    <t>Cocobambu - Brasília/DF</t>
  </si>
  <si>
    <t>MPDFT - Brasília/DF</t>
  </si>
  <si>
    <t>Porto Alegre/RS</t>
  </si>
  <si>
    <t>Cidade Estrutural - DF</t>
  </si>
  <si>
    <t>Royal Tulip - Brasília/DF</t>
  </si>
  <si>
    <t>Cerimônia Prêmio de Tecnologia Social</t>
  </si>
  <si>
    <t>B Hotel - Brasília/DF</t>
  </si>
  <si>
    <t>Media Tour</t>
  </si>
  <si>
    <t>Instituto Proeza</t>
  </si>
  <si>
    <t>Nossa Feira - Pedreiras/PB</t>
  </si>
  <si>
    <t>Nossa Feira - Ibirataia/BA</t>
  </si>
  <si>
    <t>evento presencial com a presença do Pepe</t>
  </si>
  <si>
    <t>https://www.youtube.com/watch?v=1VSix4Fpxg4</t>
  </si>
  <si>
    <t>https://www.youtube.com/watch?v=agucKLunVRk</t>
  </si>
  <si>
    <t>https://www.youtube.com/watch?v=s0v42-7PaG0</t>
  </si>
  <si>
    <t>Tecnologias Social para transformar realidades</t>
  </si>
  <si>
    <t>CCBB Rio de Janeiro - Espaço Conceito</t>
  </si>
  <si>
    <t>Generations BB Private</t>
  </si>
  <si>
    <t>https://youtu.be/LF2DC9Rah8U</t>
  </si>
  <si>
    <t>Solidarize-se - Orientações às ILPIs - Oficina de capacitação - Prestação de contas do Auxílio Emergencial</t>
  </si>
  <si>
    <t>https://youtu.be/d1Vg1L0EIng</t>
  </si>
  <si>
    <t>Live de Lançamento do Prêmio Fundação BB de Tecnologia Social 2021</t>
  </si>
  <si>
    <t>youtube.com/bancodobrasil</t>
  </si>
  <si>
    <t>Dia da Mulher - Encontro com Kelly Quirino, Luciana Machado e Dora Andrade</t>
  </si>
  <si>
    <t>live+IGTV @fundacaobb</t>
  </si>
  <si>
    <t>Live com Ana Moser (inscrições no Prêmio Fundação BB de Tecnologia Social 2021)</t>
  </si>
  <si>
    <t>Dúvidas Prêmio Fundação BB 2021</t>
  </si>
  <si>
    <t>https://www.youtube.com/watch?v=5Mnyw48KAuE</t>
  </si>
  <si>
    <t>Live Junina FENABB e Fundação BB</t>
  </si>
  <si>
    <t>https://bbgenerations.com.br/</t>
  </si>
  <si>
    <t>https://web.microsoftstream.com/video/5d1193e6-ca37-4d48-ad4c-3ddf79b106ba</t>
  </si>
  <si>
    <t>Estratégia de desenvolvimento sustentável do Baixo Jequitinhonha (plataforma ZOOM)</t>
  </si>
  <si>
    <t>participação do Gerente de Portfólio André Grangeiro</t>
  </si>
  <si>
    <t xml:space="preserve"> Dia de Gestão de Projetos de Impacto Social 2021</t>
  </si>
  <si>
    <t xml:space="preserve">https://pmidf.org/evento/dgpis/   </t>
  </si>
  <si>
    <t>participação do Diretor Executivo Rogério Biruel</t>
  </si>
  <si>
    <t>Água nas Escolas</t>
  </si>
  <si>
    <t>https://www.youtube.com/watch?v=q1SB3rLLHAg</t>
  </si>
  <si>
    <t>Lançamento do programa de Formação de Docente para Atuação com Educação Financeira na Escola</t>
  </si>
  <si>
    <t>Auditório do Inep</t>
  </si>
  <si>
    <t>participação do Diretor Executivo Roberto Berkenstein</t>
  </si>
  <si>
    <t>Encontro com o CA no BB</t>
  </si>
  <si>
    <t>Assinatura Parceria Pátria Vonluntária</t>
  </si>
  <si>
    <t>Workshop Comunicação para Líderes - Fundação BB e Oficina da Palavra</t>
  </si>
  <si>
    <t>público de relacionamento Fundação BB: Digov, Dimac, Gerência de Sustentabilidade</t>
  </si>
  <si>
    <t>Wi-Fi Brasil - assinatura da parceria da Fundação BB com o Ministério das Comunicações</t>
  </si>
  <si>
    <t>Fausto de Andrade Ribeiro (presidente BB)
Eveline Veloso Susin (presidente da Fundação BB)
Carlos Melles (presidente do Sebrae)
Fábio Faria (Ministro das Comunicações)</t>
  </si>
  <si>
    <t>Webinário  AABB Comunidade sobre o tema: “Prática pedagógica: o diálogo dando sentido às interações"</t>
  </si>
  <si>
    <t>https://www.youtube.com/watch?v=ZlyZzPSo-v4</t>
  </si>
  <si>
    <t>https://www.youtube.com/watch?v=OUSdgWVs7xw</t>
  </si>
  <si>
    <t>Participação do André Grangeiro</t>
  </si>
  <si>
    <t>Dia Nacional da Luta da Pessoa com Deficiência (Evento de Acessibilidade promovido pela Dimac)</t>
  </si>
  <si>
    <t>presidente Fausto, presidente do CA (ieda Cagni) e primeira dama Michele Bolsonaro
 Eveline é convidada - Projeto Cão-Guia fará parte do vídeo do evento</t>
  </si>
  <si>
    <t>PITCH DAY - Julgamento das Vencedoras</t>
  </si>
  <si>
    <t>Cerimônia de Premiação</t>
  </si>
  <si>
    <t>https://www.youtube.com/watch?v=KQMZmHVKa7c&amp;t=8s</t>
  </si>
  <si>
    <t>BB Day</t>
  </si>
  <si>
    <t>Fausto fala na Fundação BB (6.700 audiência ao vivo)</t>
  </si>
  <si>
    <t>Lançamento #BrasileirosPeloBrasil</t>
  </si>
  <si>
    <t>https://www.youtube.com/watch?v=fQzs7BrfgZc</t>
  </si>
  <si>
    <t>PRESENCIAL</t>
  </si>
  <si>
    <t>live</t>
  </si>
  <si>
    <t>CAMAT - Salesópilis/SP</t>
  </si>
  <si>
    <t>Projeto Semeando Economia Verde</t>
  </si>
  <si>
    <t>Betim/MG</t>
  </si>
  <si>
    <t>Enchentes</t>
  </si>
  <si>
    <t>Circuito Agro</t>
  </si>
  <si>
    <t>BB Consórcios | Fundação BB | Instiuto Espinhaço</t>
  </si>
  <si>
    <t>Felício dos Santos/MG</t>
  </si>
  <si>
    <t>Recupera Cerrado</t>
  </si>
  <si>
    <t>Instiuto Espinhaço, Dipes e Gesem</t>
  </si>
  <si>
    <t>Expo Zebu</t>
  </si>
  <si>
    <t>assinatura simbólica da parceria com ABCZ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</si>
</sst>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Fill="1" applyBorder="1"/>
    <xf numFmtId="0" fontId="0" fillId="0" borderId="1" xfId="0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8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2" fillId="0" borderId="1" xfId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/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T1IidqlDNxE" TargetMode="External"/><Relationship Id="rId13" Type="http://schemas.openxmlformats.org/officeDocument/2006/relationships/hyperlink" Target="https://www.youtube.com/watch?v=KOx4geXKaJs&amp;feature=youtu.be&amp;fbclid=IwAR2nrmr3V8IxytztLGXDlmtVCXReFDxB1eWfciE3WCDRTUgoEopaPKusKSM" TargetMode="External"/><Relationship Id="rId18" Type="http://schemas.openxmlformats.org/officeDocument/2006/relationships/hyperlink" Target="https://www.youtube.com/watch?v=0Hg9KopJgcY" TargetMode="External"/><Relationship Id="rId26" Type="http://schemas.openxmlformats.org/officeDocument/2006/relationships/hyperlink" Target="https://www.youtube.com/watch?v=5Mnyw48KAuE" TargetMode="External"/><Relationship Id="rId3" Type="http://schemas.openxmlformats.org/officeDocument/2006/relationships/hyperlink" Target="https://www.youtube.com/watch?v=CwOJPVG0ykE" TargetMode="External"/><Relationship Id="rId21" Type="http://schemas.openxmlformats.org/officeDocument/2006/relationships/hyperlink" Target="https://www.facebook.com/165500080198037/videos/1108540929602115/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youtube.com/watch?v=H4ipow_z1rE" TargetMode="External"/><Relationship Id="rId12" Type="http://schemas.openxmlformats.org/officeDocument/2006/relationships/hyperlink" Target="https://livebbseguros.com.br/live" TargetMode="External"/><Relationship Id="rId17" Type="http://schemas.openxmlformats.org/officeDocument/2006/relationships/hyperlink" Target="https://www.youtube.com/watch?v=8iZTBdqoh80" TargetMode="External"/><Relationship Id="rId25" Type="http://schemas.openxmlformats.org/officeDocument/2006/relationships/hyperlink" Target="https://www.youtube.com/watch?v=s0v42-7PaG0" TargetMode="External"/><Relationship Id="rId33" Type="http://schemas.openxmlformats.org/officeDocument/2006/relationships/hyperlink" Target="https://www.youtube.com/watch?v=fQzs7BrfgZc" TargetMode="External"/><Relationship Id="rId2" Type="http://schemas.openxmlformats.org/officeDocument/2006/relationships/hyperlink" Target="https://www.youtube.com/watch?v=82SlSsTGzCc" TargetMode="External"/><Relationship Id="rId16" Type="http://schemas.openxmlformats.org/officeDocument/2006/relationships/hyperlink" Target="https://www.youtube.com/watch?v=cM__FXNCsXE" TargetMode="External"/><Relationship Id="rId20" Type="http://schemas.openxmlformats.org/officeDocument/2006/relationships/hyperlink" Target="https://www.facebook.com/165500080198037/videos/3378828662193533/" TargetMode="External"/><Relationship Id="rId29" Type="http://schemas.openxmlformats.org/officeDocument/2006/relationships/hyperlink" Target="https://www.youtube.com/watch?v=q1SB3rLLHAg" TargetMode="External"/><Relationship Id="rId1" Type="http://schemas.openxmlformats.org/officeDocument/2006/relationships/hyperlink" Target="https://www.youtube.com/watch?v=1TO4T_4tAsI" TargetMode="External"/><Relationship Id="rId6" Type="http://schemas.openxmlformats.org/officeDocument/2006/relationships/hyperlink" Target="https://www.youtube.com/watch?v=s9X_geduXUM&amp;t=3938s" TargetMode="External"/><Relationship Id="rId11" Type="http://schemas.openxmlformats.org/officeDocument/2006/relationships/hyperlink" Target="https://www.youtube.com/watch?v=r_bXWxFM0DU" TargetMode="External"/><Relationship Id="rId24" Type="http://schemas.openxmlformats.org/officeDocument/2006/relationships/hyperlink" Target="https://youtu.be/d1Vg1L0EIng" TargetMode="External"/><Relationship Id="rId32" Type="http://schemas.openxmlformats.org/officeDocument/2006/relationships/hyperlink" Target="https://www.youtube.com/watch?v=KQMZmHVKa7c&amp;t=8s" TargetMode="External"/><Relationship Id="rId5" Type="http://schemas.openxmlformats.org/officeDocument/2006/relationships/hyperlink" Target="https://www.youtube.com/watch?v=e3RdbWQ2ps4" TargetMode="External"/><Relationship Id="rId15" Type="http://schemas.openxmlformats.org/officeDocument/2006/relationships/hyperlink" Target="https://www.facebook.com/watch/live/?v=3314874555207352&amp;ref=watch_permalink" TargetMode="External"/><Relationship Id="rId23" Type="http://schemas.openxmlformats.org/officeDocument/2006/relationships/hyperlink" Target="https://www.youtube.com/watch?v=agucKLunVRk" TargetMode="External"/><Relationship Id="rId28" Type="http://schemas.openxmlformats.org/officeDocument/2006/relationships/hyperlink" Target="https://pmidf.org/evento/dgpis/" TargetMode="External"/><Relationship Id="rId10" Type="http://schemas.openxmlformats.org/officeDocument/2006/relationships/hyperlink" Target="https://www.youtube.com/watch?v=om-cZBcBR6k" TargetMode="External"/><Relationship Id="rId19" Type="http://schemas.openxmlformats.org/officeDocument/2006/relationships/hyperlink" Target="https://www.facebook.com/165500080198037/videos/701779114053893/" TargetMode="External"/><Relationship Id="rId31" Type="http://schemas.openxmlformats.org/officeDocument/2006/relationships/hyperlink" Target="https://www.youtube.com/watch?v=OUSdgWVs7xw" TargetMode="External"/><Relationship Id="rId4" Type="http://schemas.openxmlformats.org/officeDocument/2006/relationships/hyperlink" Target="https://www.youtube.com/watch?v=Zy6as1xU2hE&amp;t=29s" TargetMode="External"/><Relationship Id="rId9" Type="http://schemas.openxmlformats.org/officeDocument/2006/relationships/hyperlink" Target="https://www.youtube.com/watch?v=5O9VI3HH_no" TargetMode="External"/><Relationship Id="rId14" Type="http://schemas.openxmlformats.org/officeDocument/2006/relationships/hyperlink" Target="https://open.spotify.com/show/0aI7oIUFxBr2rNmHCqyVF4" TargetMode="External"/><Relationship Id="rId22" Type="http://schemas.openxmlformats.org/officeDocument/2006/relationships/hyperlink" Target="https://www.youtube.com/watch?v=1VSix4Fpxg4" TargetMode="External"/><Relationship Id="rId27" Type="http://schemas.openxmlformats.org/officeDocument/2006/relationships/hyperlink" Target="https://bbgenerations.com.br/" TargetMode="External"/><Relationship Id="rId30" Type="http://schemas.openxmlformats.org/officeDocument/2006/relationships/hyperlink" Target="https://www.youtube.com/watch?v=ZlyZzPSo-v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abSelected="1" zoomScaleNormal="100" workbookViewId="0">
      <pane ySplit="1" topLeftCell="A2" activePane="bottomLeft" state="frozen"/>
      <selection pane="bottomLeft" activeCell="C116" sqref="C115:C116"/>
    </sheetView>
  </sheetViews>
  <sheetFormatPr defaultColWidth="8.85546875" defaultRowHeight="15" x14ac:dyDescent="0.25"/>
  <cols>
    <col min="1" max="1" width="9.140625" style="2"/>
    <col min="2" max="2" width="14" style="1" customWidth="1"/>
    <col min="3" max="3" width="95" bestFit="1" customWidth="1"/>
    <col min="4" max="4" width="66.7109375" style="26" bestFit="1" customWidth="1"/>
    <col min="5" max="5" width="14.140625" style="2" customWidth="1"/>
    <col min="6" max="6" width="49.7109375" style="3" bestFit="1" customWidth="1"/>
    <col min="7" max="7" width="10.7109375" bestFit="1" customWidth="1"/>
  </cols>
  <sheetData>
    <row r="1" spans="1:7" ht="30" x14ac:dyDescent="0.25">
      <c r="A1" s="5" t="s">
        <v>64</v>
      </c>
      <c r="B1" s="4" t="s">
        <v>0</v>
      </c>
      <c r="C1" s="5" t="s">
        <v>1</v>
      </c>
      <c r="D1" s="5" t="s">
        <v>108</v>
      </c>
      <c r="E1" s="15" t="s">
        <v>60</v>
      </c>
      <c r="F1" s="6" t="s">
        <v>19</v>
      </c>
    </row>
    <row r="2" spans="1:7" x14ac:dyDescent="0.25">
      <c r="A2" s="5">
        <v>2019</v>
      </c>
      <c r="B2" s="4">
        <v>43521</v>
      </c>
      <c r="C2" s="7" t="s">
        <v>86</v>
      </c>
      <c r="D2" s="29" t="s">
        <v>110</v>
      </c>
      <c r="E2" s="5">
        <v>250</v>
      </c>
      <c r="F2" s="6"/>
    </row>
    <row r="3" spans="1:7" x14ac:dyDescent="0.25">
      <c r="A3" s="5">
        <v>2019</v>
      </c>
      <c r="B3" s="4">
        <v>43522</v>
      </c>
      <c r="C3" s="10" t="s">
        <v>74</v>
      </c>
      <c r="D3" s="29" t="s">
        <v>74</v>
      </c>
      <c r="E3" s="5">
        <v>100</v>
      </c>
      <c r="F3" s="6"/>
    </row>
    <row r="4" spans="1:7" x14ac:dyDescent="0.25">
      <c r="A4" s="5">
        <v>2019</v>
      </c>
      <c r="B4" s="4">
        <v>43558</v>
      </c>
      <c r="C4" s="10" t="s">
        <v>75</v>
      </c>
      <c r="D4" s="5" t="s">
        <v>111</v>
      </c>
      <c r="E4" s="5">
        <v>10</v>
      </c>
      <c r="F4" s="6"/>
    </row>
    <row r="5" spans="1:7" x14ac:dyDescent="0.25">
      <c r="A5" s="5">
        <v>2019</v>
      </c>
      <c r="B5" s="4">
        <v>43621</v>
      </c>
      <c r="C5" s="10" t="s">
        <v>76</v>
      </c>
      <c r="D5" s="5" t="s">
        <v>110</v>
      </c>
      <c r="E5" s="5">
        <v>250</v>
      </c>
      <c r="F5" s="6"/>
    </row>
    <row r="6" spans="1:7" x14ac:dyDescent="0.25">
      <c r="A6" s="5">
        <v>2019</v>
      </c>
      <c r="B6" s="4">
        <v>43686</v>
      </c>
      <c r="C6" s="10" t="s">
        <v>77</v>
      </c>
      <c r="D6" s="5" t="s">
        <v>112</v>
      </c>
      <c r="E6" s="5">
        <v>20</v>
      </c>
      <c r="F6" s="6"/>
    </row>
    <row r="7" spans="1:7" ht="30" x14ac:dyDescent="0.25">
      <c r="A7" s="5">
        <v>2019</v>
      </c>
      <c r="B7" s="4">
        <v>43685</v>
      </c>
      <c r="C7" s="28" t="s">
        <v>81</v>
      </c>
      <c r="D7" s="5" t="s">
        <v>113</v>
      </c>
      <c r="E7" s="5">
        <v>80</v>
      </c>
      <c r="F7" s="30"/>
      <c r="G7" s="27"/>
    </row>
    <row r="8" spans="1:7" x14ac:dyDescent="0.25">
      <c r="A8" s="5">
        <v>2019</v>
      </c>
      <c r="B8" s="4">
        <v>43664</v>
      </c>
      <c r="C8" s="10" t="s">
        <v>105</v>
      </c>
      <c r="D8" s="5" t="s">
        <v>111</v>
      </c>
      <c r="E8" s="5">
        <v>30</v>
      </c>
      <c r="F8" s="6"/>
    </row>
    <row r="9" spans="1:7" x14ac:dyDescent="0.25">
      <c r="A9" s="5">
        <v>2019</v>
      </c>
      <c r="B9" s="4">
        <v>43654</v>
      </c>
      <c r="C9" s="10" t="s">
        <v>78</v>
      </c>
      <c r="D9" s="5" t="s">
        <v>111</v>
      </c>
      <c r="E9" s="5">
        <v>55</v>
      </c>
      <c r="F9" s="6"/>
    </row>
    <row r="10" spans="1:7" x14ac:dyDescent="0.25">
      <c r="A10" s="5">
        <v>2019</v>
      </c>
      <c r="B10" s="4">
        <v>43651</v>
      </c>
      <c r="C10" s="10" t="s">
        <v>79</v>
      </c>
      <c r="D10" s="5" t="s">
        <v>115</v>
      </c>
      <c r="E10" s="5">
        <v>120</v>
      </c>
      <c r="F10" s="6"/>
    </row>
    <row r="11" spans="1:7" x14ac:dyDescent="0.25">
      <c r="A11" s="5">
        <v>2019</v>
      </c>
      <c r="B11" s="4">
        <v>43656</v>
      </c>
      <c r="C11" s="10" t="s">
        <v>80</v>
      </c>
      <c r="D11" s="5" t="s">
        <v>114</v>
      </c>
      <c r="E11" s="5" t="s">
        <v>44</v>
      </c>
      <c r="F11" s="6"/>
    </row>
    <row r="12" spans="1:7" x14ac:dyDescent="0.25">
      <c r="A12" s="5">
        <v>2019</v>
      </c>
      <c r="B12" s="4">
        <v>43572</v>
      </c>
      <c r="C12" s="10" t="s">
        <v>83</v>
      </c>
      <c r="D12" s="5"/>
      <c r="E12" s="5">
        <v>300</v>
      </c>
      <c r="F12" s="6"/>
    </row>
    <row r="13" spans="1:7" x14ac:dyDescent="0.25">
      <c r="A13" s="5">
        <v>2019</v>
      </c>
      <c r="B13" s="4">
        <v>43631</v>
      </c>
      <c r="C13" s="10" t="s">
        <v>84</v>
      </c>
      <c r="D13" s="5"/>
      <c r="E13" s="5">
        <v>200</v>
      </c>
      <c r="F13" s="6"/>
    </row>
    <row r="14" spans="1:7" x14ac:dyDescent="0.25">
      <c r="A14" s="5">
        <v>2019</v>
      </c>
      <c r="B14" s="4">
        <v>44061</v>
      </c>
      <c r="C14" s="10" t="s">
        <v>85</v>
      </c>
      <c r="D14" s="5"/>
      <c r="E14" s="5">
        <v>200</v>
      </c>
      <c r="F14" s="6"/>
    </row>
    <row r="15" spans="1:7" x14ac:dyDescent="0.25">
      <c r="A15" s="5">
        <v>2019</v>
      </c>
      <c r="B15" s="4">
        <v>43659</v>
      </c>
      <c r="C15" s="10" t="s">
        <v>87</v>
      </c>
      <c r="D15" s="5"/>
      <c r="E15" s="5">
        <v>550</v>
      </c>
      <c r="F15" s="6"/>
    </row>
    <row r="16" spans="1:7" x14ac:dyDescent="0.25">
      <c r="A16" s="5">
        <v>2019</v>
      </c>
      <c r="B16" s="4">
        <v>43652</v>
      </c>
      <c r="C16" s="10" t="s">
        <v>88</v>
      </c>
      <c r="D16" s="5"/>
      <c r="E16" s="5">
        <v>500</v>
      </c>
      <c r="F16" s="6"/>
    </row>
    <row r="17" spans="1:7" x14ac:dyDescent="0.25">
      <c r="A17" s="5">
        <v>2019</v>
      </c>
      <c r="B17" s="4">
        <v>43673</v>
      </c>
      <c r="C17" s="10" t="s">
        <v>89</v>
      </c>
      <c r="D17" s="5"/>
      <c r="E17" s="5">
        <v>300</v>
      </c>
      <c r="F17" s="6"/>
    </row>
    <row r="18" spans="1:7" x14ac:dyDescent="0.25">
      <c r="A18" s="5">
        <v>2019</v>
      </c>
      <c r="B18" s="4">
        <v>43701</v>
      </c>
      <c r="C18" s="10" t="s">
        <v>90</v>
      </c>
      <c r="D18" s="5"/>
      <c r="E18" s="5">
        <v>300</v>
      </c>
      <c r="F18" s="6"/>
    </row>
    <row r="19" spans="1:7" x14ac:dyDescent="0.25">
      <c r="A19" s="5">
        <v>2019</v>
      </c>
      <c r="B19" s="4">
        <v>43582</v>
      </c>
      <c r="C19" s="10" t="s">
        <v>121</v>
      </c>
      <c r="D19" s="5"/>
      <c r="E19" s="5">
        <v>350</v>
      </c>
      <c r="F19" s="6"/>
    </row>
    <row r="20" spans="1:7" x14ac:dyDescent="0.25">
      <c r="A20" s="5">
        <v>2019</v>
      </c>
      <c r="B20" s="4">
        <v>43705</v>
      </c>
      <c r="C20" s="10" t="s">
        <v>91</v>
      </c>
      <c r="D20" s="5"/>
      <c r="E20" s="5">
        <v>370</v>
      </c>
      <c r="F20" s="6"/>
    </row>
    <row r="21" spans="1:7" x14ac:dyDescent="0.25">
      <c r="A21" s="5">
        <v>2019</v>
      </c>
      <c r="B21" s="4">
        <v>43736</v>
      </c>
      <c r="C21" s="10" t="s">
        <v>92</v>
      </c>
      <c r="D21" s="5"/>
      <c r="E21" s="5">
        <v>300</v>
      </c>
      <c r="F21" s="6"/>
    </row>
    <row r="22" spans="1:7" x14ac:dyDescent="0.25">
      <c r="A22" s="5">
        <v>2019</v>
      </c>
      <c r="B22" s="4">
        <v>43680</v>
      </c>
      <c r="C22" s="10" t="s">
        <v>93</v>
      </c>
      <c r="D22" s="5"/>
      <c r="E22" s="5">
        <v>280</v>
      </c>
      <c r="F22" s="6"/>
    </row>
    <row r="23" spans="1:7" x14ac:dyDescent="0.25">
      <c r="A23" s="5">
        <v>2019</v>
      </c>
      <c r="B23" s="4">
        <v>44065</v>
      </c>
      <c r="C23" s="10" t="s">
        <v>94</v>
      </c>
      <c r="D23" s="5"/>
      <c r="E23" s="5">
        <v>420</v>
      </c>
      <c r="F23" s="6"/>
    </row>
    <row r="24" spans="1:7" x14ac:dyDescent="0.25">
      <c r="A24" s="5">
        <v>2019</v>
      </c>
      <c r="B24" s="4">
        <v>43666</v>
      </c>
      <c r="C24" s="10" t="s">
        <v>95</v>
      </c>
      <c r="D24" s="5"/>
      <c r="E24" s="5">
        <v>300</v>
      </c>
      <c r="F24" s="6"/>
    </row>
    <row r="25" spans="1:7" x14ac:dyDescent="0.25">
      <c r="A25" s="5">
        <v>2019</v>
      </c>
      <c r="B25" s="4">
        <v>43721</v>
      </c>
      <c r="C25" s="10" t="s">
        <v>96</v>
      </c>
      <c r="D25" s="5"/>
      <c r="E25" s="5">
        <v>280</v>
      </c>
      <c r="F25" s="6"/>
    </row>
    <row r="26" spans="1:7" x14ac:dyDescent="0.25">
      <c r="A26" s="5">
        <v>2019</v>
      </c>
      <c r="B26" s="4">
        <v>43813</v>
      </c>
      <c r="C26" s="10" t="s">
        <v>97</v>
      </c>
      <c r="D26" s="5"/>
      <c r="E26" s="5">
        <v>700</v>
      </c>
      <c r="F26" s="6"/>
    </row>
    <row r="27" spans="1:7" s="19" customFormat="1" x14ac:dyDescent="0.25">
      <c r="A27" s="5">
        <v>2019</v>
      </c>
      <c r="B27" s="4"/>
      <c r="C27" s="10" t="s">
        <v>98</v>
      </c>
      <c r="D27" s="5"/>
      <c r="E27" s="5">
        <v>380</v>
      </c>
      <c r="F27" s="6"/>
      <c r="G27"/>
    </row>
    <row r="28" spans="1:7" x14ac:dyDescent="0.25">
      <c r="A28" s="5">
        <v>2019</v>
      </c>
      <c r="B28" s="4">
        <v>43721</v>
      </c>
      <c r="C28" s="10" t="s">
        <v>99</v>
      </c>
      <c r="D28" s="5"/>
      <c r="E28" s="5">
        <v>380</v>
      </c>
      <c r="F28" s="6"/>
    </row>
    <row r="29" spans="1:7" x14ac:dyDescent="0.25">
      <c r="A29" s="5">
        <v>2019</v>
      </c>
      <c r="B29" s="4">
        <v>43660</v>
      </c>
      <c r="C29" s="10" t="s">
        <v>100</v>
      </c>
      <c r="D29" s="5"/>
      <c r="E29" s="5">
        <v>350</v>
      </c>
      <c r="F29" s="6"/>
    </row>
    <row r="30" spans="1:7" x14ac:dyDescent="0.25">
      <c r="A30" s="5">
        <v>2019</v>
      </c>
      <c r="B30" s="4">
        <v>43663</v>
      </c>
      <c r="C30" s="10" t="s">
        <v>122</v>
      </c>
      <c r="D30" s="5"/>
      <c r="E30" s="5">
        <v>270</v>
      </c>
      <c r="F30" s="6"/>
    </row>
    <row r="31" spans="1:7" x14ac:dyDescent="0.25">
      <c r="A31" s="5">
        <v>2019</v>
      </c>
      <c r="B31" s="4">
        <v>44025</v>
      </c>
      <c r="C31" s="10" t="s">
        <v>101</v>
      </c>
      <c r="D31" s="5"/>
      <c r="E31" s="5">
        <v>350</v>
      </c>
      <c r="F31" s="6"/>
    </row>
    <row r="32" spans="1:7" s="19" customFormat="1" x14ac:dyDescent="0.25">
      <c r="A32" s="5">
        <v>2019</v>
      </c>
      <c r="B32" s="4">
        <v>44060</v>
      </c>
      <c r="C32" s="10" t="s">
        <v>102</v>
      </c>
      <c r="D32" s="5"/>
      <c r="E32" s="5">
        <v>200</v>
      </c>
      <c r="F32" s="6"/>
      <c r="G32"/>
    </row>
    <row r="33" spans="1:7" s="19" customFormat="1" x14ac:dyDescent="0.25">
      <c r="A33" s="5">
        <v>2019</v>
      </c>
      <c r="B33" s="4">
        <v>43694</v>
      </c>
      <c r="C33" s="10" t="s">
        <v>103</v>
      </c>
      <c r="D33" s="5"/>
      <c r="E33" s="5">
        <v>200</v>
      </c>
      <c r="F33" s="6"/>
      <c r="G33"/>
    </row>
    <row r="34" spans="1:7" s="19" customFormat="1" x14ac:dyDescent="0.25">
      <c r="A34" s="5">
        <v>2019</v>
      </c>
      <c r="B34" s="4">
        <v>43732</v>
      </c>
      <c r="C34" s="10" t="s">
        <v>106</v>
      </c>
      <c r="D34" s="5" t="s">
        <v>118</v>
      </c>
      <c r="E34" s="5">
        <v>20</v>
      </c>
      <c r="F34" s="6"/>
      <c r="G34"/>
    </row>
    <row r="35" spans="1:7" s="19" customFormat="1" x14ac:dyDescent="0.25">
      <c r="A35" s="5">
        <v>2019</v>
      </c>
      <c r="B35" s="4">
        <v>43753</v>
      </c>
      <c r="C35" s="10" t="s">
        <v>104</v>
      </c>
      <c r="D35" s="5" t="s">
        <v>116</v>
      </c>
      <c r="E35" s="5">
        <v>220</v>
      </c>
      <c r="F35" s="6"/>
      <c r="G35"/>
    </row>
    <row r="36" spans="1:7" s="19" customFormat="1" x14ac:dyDescent="0.25">
      <c r="A36" s="5">
        <v>2019</v>
      </c>
      <c r="B36" s="4">
        <v>43754</v>
      </c>
      <c r="C36" s="10" t="s">
        <v>107</v>
      </c>
      <c r="D36" s="5" t="s">
        <v>116</v>
      </c>
      <c r="E36" s="5">
        <v>40</v>
      </c>
      <c r="F36" s="6"/>
      <c r="G36"/>
    </row>
    <row r="37" spans="1:7" x14ac:dyDescent="0.25">
      <c r="A37" s="5">
        <v>2019</v>
      </c>
      <c r="B37" s="4">
        <v>43754</v>
      </c>
      <c r="C37" s="10" t="s">
        <v>119</v>
      </c>
      <c r="D37" s="5" t="s">
        <v>120</v>
      </c>
      <c r="E37" s="5">
        <v>40</v>
      </c>
      <c r="F37" s="6"/>
    </row>
    <row r="38" spans="1:7" x14ac:dyDescent="0.25">
      <c r="A38" s="5">
        <v>2019</v>
      </c>
      <c r="B38" s="4">
        <v>43754</v>
      </c>
      <c r="C38" s="10" t="s">
        <v>117</v>
      </c>
      <c r="D38" s="5" t="s">
        <v>116</v>
      </c>
      <c r="E38" s="5">
        <v>600</v>
      </c>
      <c r="F38" s="6"/>
    </row>
    <row r="39" spans="1:7" x14ac:dyDescent="0.25">
      <c r="A39" s="5">
        <v>2020</v>
      </c>
      <c r="B39" s="4">
        <v>43876</v>
      </c>
      <c r="C39" s="11" t="s">
        <v>45</v>
      </c>
      <c r="D39" s="11" t="s">
        <v>59</v>
      </c>
      <c r="E39" s="8">
        <v>2000</v>
      </c>
      <c r="F39" s="13" t="s">
        <v>47</v>
      </c>
    </row>
    <row r="40" spans="1:7" x14ac:dyDescent="0.25">
      <c r="A40" s="5">
        <v>2020</v>
      </c>
      <c r="B40" s="4" t="s">
        <v>49</v>
      </c>
      <c r="C40" s="14" t="s">
        <v>50</v>
      </c>
      <c r="D40" s="5" t="s">
        <v>109</v>
      </c>
      <c r="E40" s="5"/>
      <c r="F40" s="13" t="s">
        <v>123</v>
      </c>
    </row>
    <row r="41" spans="1:7" ht="30" x14ac:dyDescent="0.25">
      <c r="A41" s="5">
        <v>2020</v>
      </c>
      <c r="B41" s="4">
        <v>43933</v>
      </c>
      <c r="C41" s="11" t="s">
        <v>42</v>
      </c>
      <c r="D41" s="22" t="s">
        <v>41</v>
      </c>
      <c r="E41" s="8">
        <v>24105024</v>
      </c>
      <c r="F41" s="6" t="s">
        <v>46</v>
      </c>
    </row>
    <row r="42" spans="1:7" x14ac:dyDescent="0.25">
      <c r="A42" s="5">
        <v>2020</v>
      </c>
      <c r="B42" s="4">
        <v>43950</v>
      </c>
      <c r="C42" s="11" t="s">
        <v>40</v>
      </c>
      <c r="D42" s="23" t="s">
        <v>34</v>
      </c>
      <c r="E42" s="8">
        <v>1210</v>
      </c>
      <c r="F42" s="6"/>
    </row>
    <row r="43" spans="1:7" s="27" customFormat="1" x14ac:dyDescent="0.25">
      <c r="A43" s="5">
        <v>2020</v>
      </c>
      <c r="B43" s="4">
        <v>44025</v>
      </c>
      <c r="C43" s="11" t="s">
        <v>38</v>
      </c>
      <c r="D43" s="23" t="s">
        <v>39</v>
      </c>
      <c r="E43" s="5"/>
      <c r="F43" s="6"/>
      <c r="G43"/>
    </row>
    <row r="44" spans="1:7" x14ac:dyDescent="0.25">
      <c r="A44" s="5">
        <v>2020</v>
      </c>
      <c r="B44" s="4">
        <v>44029</v>
      </c>
      <c r="C44" s="7" t="s">
        <v>27</v>
      </c>
      <c r="D44" s="23" t="s">
        <v>28</v>
      </c>
      <c r="E44" s="8">
        <v>1559</v>
      </c>
      <c r="F44" s="6"/>
    </row>
    <row r="45" spans="1:7" ht="30" x14ac:dyDescent="0.25">
      <c r="A45" s="5">
        <v>2020</v>
      </c>
      <c r="B45" s="4">
        <v>44040</v>
      </c>
      <c r="C45" s="9" t="s">
        <v>29</v>
      </c>
      <c r="D45" s="23" t="s">
        <v>30</v>
      </c>
      <c r="E45" s="8" t="s">
        <v>44</v>
      </c>
      <c r="F45" s="6"/>
    </row>
    <row r="46" spans="1:7" x14ac:dyDescent="0.25">
      <c r="A46" s="5">
        <v>2020</v>
      </c>
      <c r="B46" s="4">
        <v>44051</v>
      </c>
      <c r="C46" s="7" t="s">
        <v>18</v>
      </c>
      <c r="D46" s="23" t="s">
        <v>22</v>
      </c>
      <c r="E46" s="8">
        <v>7218</v>
      </c>
      <c r="F46" s="6" t="s">
        <v>20</v>
      </c>
    </row>
    <row r="47" spans="1:7" x14ac:dyDescent="0.25">
      <c r="A47" s="5">
        <v>2020</v>
      </c>
      <c r="B47" s="4">
        <v>44060</v>
      </c>
      <c r="C47" s="7" t="s">
        <v>23</v>
      </c>
      <c r="D47" s="23" t="s">
        <v>24</v>
      </c>
      <c r="E47" s="8">
        <v>1943</v>
      </c>
      <c r="F47" s="6" t="s">
        <v>20</v>
      </c>
    </row>
    <row r="48" spans="1:7" x14ac:dyDescent="0.25">
      <c r="A48" s="5">
        <v>2020</v>
      </c>
      <c r="B48" s="4">
        <v>44065</v>
      </c>
      <c r="C48" s="7" t="s">
        <v>14</v>
      </c>
      <c r="D48" s="23" t="s">
        <v>15</v>
      </c>
      <c r="E48" s="8">
        <v>1438539</v>
      </c>
      <c r="F48" s="6" t="s">
        <v>21</v>
      </c>
    </row>
    <row r="49" spans="1:7" x14ac:dyDescent="0.25">
      <c r="A49" s="5">
        <v>2020</v>
      </c>
      <c r="B49" s="4">
        <v>44072</v>
      </c>
      <c r="C49" s="7" t="s">
        <v>51</v>
      </c>
      <c r="D49" s="23" t="s">
        <v>52</v>
      </c>
      <c r="E49" s="8">
        <v>6498</v>
      </c>
      <c r="F49" s="6" t="s">
        <v>20</v>
      </c>
    </row>
    <row r="50" spans="1:7" x14ac:dyDescent="0.25">
      <c r="A50" s="5">
        <v>2020</v>
      </c>
      <c r="B50" s="4">
        <v>44072</v>
      </c>
      <c r="C50" s="7" t="s">
        <v>25</v>
      </c>
      <c r="D50" s="23" t="s">
        <v>26</v>
      </c>
      <c r="E50" s="8">
        <v>3813</v>
      </c>
      <c r="F50" s="6" t="s">
        <v>20</v>
      </c>
    </row>
    <row r="51" spans="1:7" x14ac:dyDescent="0.25">
      <c r="A51" s="5">
        <v>2020</v>
      </c>
      <c r="B51" s="4">
        <v>44081</v>
      </c>
      <c r="C51" s="7" t="s">
        <v>16</v>
      </c>
      <c r="D51" s="23" t="s">
        <v>17</v>
      </c>
      <c r="E51" s="8">
        <v>213585</v>
      </c>
      <c r="F51" s="6" t="s">
        <v>20</v>
      </c>
    </row>
    <row r="52" spans="1:7" x14ac:dyDescent="0.25">
      <c r="A52" s="5">
        <v>2020</v>
      </c>
      <c r="B52" s="4">
        <v>44084</v>
      </c>
      <c r="C52" s="7" t="s">
        <v>9</v>
      </c>
      <c r="D52" s="23" t="s">
        <v>10</v>
      </c>
      <c r="E52" s="8">
        <v>212965</v>
      </c>
      <c r="F52" s="6" t="s">
        <v>21</v>
      </c>
    </row>
    <row r="53" spans="1:7" ht="45" x14ac:dyDescent="0.25">
      <c r="A53" s="5">
        <v>2020</v>
      </c>
      <c r="B53" s="4">
        <v>44090</v>
      </c>
      <c r="C53" s="11" t="s">
        <v>36</v>
      </c>
      <c r="D53" s="22" t="s">
        <v>37</v>
      </c>
      <c r="E53" s="8">
        <v>1924</v>
      </c>
      <c r="F53" s="6"/>
    </row>
    <row r="54" spans="1:7" x14ac:dyDescent="0.25">
      <c r="A54" s="5">
        <v>2020</v>
      </c>
      <c r="B54" s="4">
        <v>44091</v>
      </c>
      <c r="C54" s="7" t="s">
        <v>31</v>
      </c>
      <c r="D54" s="23" t="s">
        <v>34</v>
      </c>
      <c r="E54" s="8">
        <v>80</v>
      </c>
      <c r="F54" s="6"/>
    </row>
    <row r="55" spans="1:7" x14ac:dyDescent="0.25">
      <c r="A55" s="5">
        <v>2020</v>
      </c>
      <c r="B55" s="4">
        <v>44098</v>
      </c>
      <c r="C55" s="7" t="s">
        <v>43</v>
      </c>
      <c r="D55" s="23" t="s">
        <v>34</v>
      </c>
      <c r="E55" s="8">
        <v>80</v>
      </c>
      <c r="F55" s="6"/>
    </row>
    <row r="56" spans="1:7" ht="30" x14ac:dyDescent="0.25">
      <c r="A56" s="5">
        <v>2020</v>
      </c>
      <c r="B56" s="4">
        <v>44110</v>
      </c>
      <c r="C56" s="9" t="s">
        <v>48</v>
      </c>
      <c r="D56" s="23"/>
      <c r="E56" s="8">
        <v>131</v>
      </c>
      <c r="F56" s="6"/>
    </row>
    <row r="57" spans="1:7" x14ac:dyDescent="0.25">
      <c r="A57" s="5">
        <v>2020</v>
      </c>
      <c r="B57" s="4">
        <v>44112</v>
      </c>
      <c r="C57" s="7" t="s">
        <v>32</v>
      </c>
      <c r="D57" s="23" t="s">
        <v>34</v>
      </c>
      <c r="E57" s="8">
        <v>80</v>
      </c>
      <c r="F57" s="6"/>
    </row>
    <row r="58" spans="1:7" x14ac:dyDescent="0.25">
      <c r="A58" s="5">
        <v>2020</v>
      </c>
      <c r="B58" s="4" t="s">
        <v>12</v>
      </c>
      <c r="C58" s="7" t="s">
        <v>11</v>
      </c>
      <c r="D58" s="23" t="s">
        <v>13</v>
      </c>
      <c r="E58" s="8">
        <v>105874</v>
      </c>
      <c r="F58" s="6" t="s">
        <v>21</v>
      </c>
    </row>
    <row r="59" spans="1:7" x14ac:dyDescent="0.25">
      <c r="A59" s="5">
        <v>2020</v>
      </c>
      <c r="B59" s="4">
        <v>44131</v>
      </c>
      <c r="C59" s="10" t="s">
        <v>33</v>
      </c>
      <c r="D59" s="23" t="s">
        <v>35</v>
      </c>
      <c r="E59" s="5" t="s">
        <v>44</v>
      </c>
      <c r="F59" s="6"/>
    </row>
    <row r="60" spans="1:7" x14ac:dyDescent="0.25">
      <c r="A60" s="5">
        <v>2020</v>
      </c>
      <c r="B60" s="4">
        <v>44133</v>
      </c>
      <c r="C60" s="10" t="s">
        <v>61</v>
      </c>
      <c r="D60" s="23" t="s">
        <v>72</v>
      </c>
      <c r="E60" s="8">
        <v>13940</v>
      </c>
      <c r="F60" s="6"/>
    </row>
    <row r="61" spans="1:7" x14ac:dyDescent="0.25">
      <c r="A61" s="5">
        <v>2020</v>
      </c>
      <c r="B61" s="4">
        <v>44146</v>
      </c>
      <c r="C61" s="10" t="s">
        <v>62</v>
      </c>
      <c r="D61" s="23" t="s">
        <v>73</v>
      </c>
      <c r="E61" s="8">
        <v>6769</v>
      </c>
      <c r="F61" s="6"/>
    </row>
    <row r="62" spans="1:7" x14ac:dyDescent="0.25">
      <c r="A62" s="5">
        <v>2020</v>
      </c>
      <c r="B62" s="4">
        <v>44153</v>
      </c>
      <c r="C62" s="10" t="s">
        <v>63</v>
      </c>
      <c r="D62" s="23" t="s">
        <v>71</v>
      </c>
      <c r="E62" s="8">
        <v>3745</v>
      </c>
      <c r="F62" s="6"/>
    </row>
    <row r="63" spans="1:7" x14ac:dyDescent="0.25">
      <c r="A63" s="5">
        <v>2020</v>
      </c>
      <c r="B63" s="4">
        <v>44160</v>
      </c>
      <c r="C63" s="7" t="s">
        <v>65</v>
      </c>
      <c r="D63" s="23" t="s">
        <v>66</v>
      </c>
      <c r="E63" s="8">
        <v>242</v>
      </c>
      <c r="F63" s="6"/>
    </row>
    <row r="64" spans="1:7" x14ac:dyDescent="0.25">
      <c r="A64" s="5">
        <v>2020</v>
      </c>
      <c r="B64" s="17">
        <v>44161</v>
      </c>
      <c r="C64" s="10" t="s">
        <v>53</v>
      </c>
      <c r="D64" s="24"/>
      <c r="E64" s="18">
        <v>103</v>
      </c>
      <c r="F64" s="21" t="s">
        <v>70</v>
      </c>
      <c r="G64" s="19"/>
    </row>
    <row r="65" spans="1:7" x14ac:dyDescent="0.25">
      <c r="A65" s="5">
        <v>2020</v>
      </c>
      <c r="B65" s="4">
        <v>44166</v>
      </c>
      <c r="C65" s="7" t="s">
        <v>3</v>
      </c>
      <c r="D65" s="23" t="s">
        <v>4</v>
      </c>
      <c r="E65" s="16">
        <f>205893+270</f>
        <v>206163</v>
      </c>
      <c r="F65" s="6"/>
    </row>
    <row r="66" spans="1:7" x14ac:dyDescent="0.25">
      <c r="A66" s="5">
        <v>2020</v>
      </c>
      <c r="B66" s="4">
        <v>44167</v>
      </c>
      <c r="C66" s="7" t="s">
        <v>8</v>
      </c>
      <c r="D66" s="23" t="s">
        <v>5</v>
      </c>
      <c r="E66" s="8">
        <v>1010</v>
      </c>
      <c r="F66" s="6"/>
    </row>
    <row r="67" spans="1:7" x14ac:dyDescent="0.25">
      <c r="A67" s="5">
        <v>2020</v>
      </c>
      <c r="B67" s="4">
        <v>44167</v>
      </c>
      <c r="C67" s="7" t="s">
        <v>67</v>
      </c>
      <c r="D67" s="23" t="s">
        <v>68</v>
      </c>
      <c r="E67" s="5">
        <v>295</v>
      </c>
      <c r="F67" s="6"/>
    </row>
    <row r="68" spans="1:7" x14ac:dyDescent="0.25">
      <c r="A68" s="5">
        <v>2020</v>
      </c>
      <c r="B68" s="4" t="s">
        <v>2</v>
      </c>
      <c r="C68" s="7" t="s">
        <v>7</v>
      </c>
      <c r="D68" s="23" t="s">
        <v>6</v>
      </c>
      <c r="E68" s="8">
        <f>551+2459</f>
        <v>3010</v>
      </c>
      <c r="F68" s="6"/>
    </row>
    <row r="69" spans="1:7" x14ac:dyDescent="0.25">
      <c r="A69" s="5">
        <v>2020</v>
      </c>
      <c r="B69" s="17">
        <v>44172</v>
      </c>
      <c r="C69" s="20" t="s">
        <v>56</v>
      </c>
      <c r="D69" s="25"/>
      <c r="E69" s="18"/>
      <c r="F69" s="18"/>
      <c r="G69" s="19"/>
    </row>
    <row r="70" spans="1:7" x14ac:dyDescent="0.25">
      <c r="A70" s="5">
        <v>2020</v>
      </c>
      <c r="B70" s="17">
        <v>44173</v>
      </c>
      <c r="C70" s="20" t="s">
        <v>54</v>
      </c>
      <c r="D70" s="25"/>
      <c r="E70" s="18"/>
      <c r="F70" s="18"/>
      <c r="G70" s="19"/>
    </row>
    <row r="71" spans="1:7" x14ac:dyDescent="0.25">
      <c r="A71" s="5">
        <v>2020</v>
      </c>
      <c r="B71" s="17">
        <v>44174</v>
      </c>
      <c r="C71" s="20" t="s">
        <v>69</v>
      </c>
      <c r="D71" s="23" t="s">
        <v>124</v>
      </c>
      <c r="E71" s="18">
        <v>169</v>
      </c>
      <c r="F71" s="18"/>
      <c r="G71" s="19"/>
    </row>
    <row r="72" spans="1:7" x14ac:dyDescent="0.25">
      <c r="A72" s="5">
        <v>2020</v>
      </c>
      <c r="B72" s="17">
        <v>44175</v>
      </c>
      <c r="C72" s="20" t="s">
        <v>82</v>
      </c>
      <c r="D72" s="23" t="s">
        <v>125</v>
      </c>
      <c r="E72" s="18">
        <v>100</v>
      </c>
      <c r="F72" s="18"/>
      <c r="G72" s="19"/>
    </row>
    <row r="73" spans="1:7" x14ac:dyDescent="0.25">
      <c r="A73" s="5">
        <v>2020</v>
      </c>
      <c r="B73" s="17">
        <v>44180</v>
      </c>
      <c r="C73" s="20" t="s">
        <v>55</v>
      </c>
      <c r="D73" s="23" t="s">
        <v>126</v>
      </c>
      <c r="E73" s="16">
        <v>4293</v>
      </c>
      <c r="F73" s="18"/>
      <c r="G73" s="19"/>
    </row>
    <row r="74" spans="1:7" x14ac:dyDescent="0.25">
      <c r="A74" s="31">
        <v>2020</v>
      </c>
      <c r="B74" s="32"/>
      <c r="C74" s="33" t="s">
        <v>58</v>
      </c>
      <c r="D74" s="34"/>
      <c r="E74" s="31"/>
      <c r="F74" s="35" t="s">
        <v>57</v>
      </c>
      <c r="G74" s="12"/>
    </row>
    <row r="75" spans="1:7" x14ac:dyDescent="0.25">
      <c r="A75" s="37">
        <v>2021</v>
      </c>
      <c r="B75" s="17">
        <v>44251</v>
      </c>
      <c r="C75" s="10" t="s">
        <v>129</v>
      </c>
      <c r="D75" s="29" t="s">
        <v>141</v>
      </c>
      <c r="E75" s="5">
        <v>95</v>
      </c>
      <c r="F75" s="6"/>
    </row>
    <row r="76" spans="1:7" x14ac:dyDescent="0.25">
      <c r="A76" s="37">
        <v>2021</v>
      </c>
      <c r="B76" s="4">
        <v>44236</v>
      </c>
      <c r="C76" s="10" t="s">
        <v>131</v>
      </c>
      <c r="D76" s="29" t="s">
        <v>132</v>
      </c>
      <c r="E76" s="5">
        <v>665</v>
      </c>
      <c r="F76" s="6"/>
    </row>
    <row r="77" spans="1:7" x14ac:dyDescent="0.25">
      <c r="A77" s="37">
        <v>2021</v>
      </c>
      <c r="B77" s="4">
        <v>44263</v>
      </c>
      <c r="C77" s="10" t="s">
        <v>135</v>
      </c>
      <c r="D77" s="5" t="s">
        <v>142</v>
      </c>
      <c r="E77" s="5">
        <v>28</v>
      </c>
      <c r="F77" s="6"/>
    </row>
    <row r="78" spans="1:7" x14ac:dyDescent="0.25">
      <c r="A78" s="37">
        <v>2021</v>
      </c>
      <c r="B78" s="4">
        <v>44265</v>
      </c>
      <c r="C78" s="10" t="s">
        <v>131</v>
      </c>
      <c r="D78" s="5" t="s">
        <v>130</v>
      </c>
      <c r="E78" s="5">
        <v>221</v>
      </c>
      <c r="F78" s="6"/>
    </row>
    <row r="79" spans="1:7" x14ac:dyDescent="0.25">
      <c r="A79" s="37">
        <v>2021</v>
      </c>
      <c r="B79" s="4">
        <v>44286</v>
      </c>
      <c r="C79" s="10" t="s">
        <v>133</v>
      </c>
      <c r="D79" s="5" t="s">
        <v>134</v>
      </c>
      <c r="E79" s="8">
        <v>25344</v>
      </c>
      <c r="F79" s="6"/>
    </row>
    <row r="80" spans="1:7" x14ac:dyDescent="0.25">
      <c r="A80" s="37">
        <v>2021</v>
      </c>
      <c r="B80" s="4">
        <v>44301</v>
      </c>
      <c r="C80" s="10" t="s">
        <v>127</v>
      </c>
      <c r="D80" s="5" t="s">
        <v>128</v>
      </c>
      <c r="E80" s="5">
        <v>0</v>
      </c>
      <c r="F80" s="6"/>
    </row>
    <row r="81" spans="1:7" x14ac:dyDescent="0.25">
      <c r="A81" s="37">
        <v>2021</v>
      </c>
      <c r="B81" s="4">
        <v>44328</v>
      </c>
      <c r="C81" s="10" t="s">
        <v>138</v>
      </c>
      <c r="D81" s="5" t="s">
        <v>136</v>
      </c>
      <c r="E81" s="5">
        <v>908</v>
      </c>
      <c r="F81" s="6"/>
    </row>
    <row r="82" spans="1:7" x14ac:dyDescent="0.25">
      <c r="A82" s="37">
        <v>2021</v>
      </c>
      <c r="B82" s="4">
        <v>44341</v>
      </c>
      <c r="C82" s="10" t="s">
        <v>137</v>
      </c>
      <c r="D82" s="5" t="s">
        <v>136</v>
      </c>
      <c r="E82" s="5">
        <v>577</v>
      </c>
      <c r="F82" s="6"/>
      <c r="G82" s="36">
        <f>SUM(E39:E82)</f>
        <v>26370200</v>
      </c>
    </row>
    <row r="83" spans="1:7" x14ac:dyDescent="0.25">
      <c r="A83" s="37">
        <v>2021</v>
      </c>
      <c r="B83" s="4">
        <v>44373</v>
      </c>
      <c r="C83" s="10" t="s">
        <v>140</v>
      </c>
      <c r="D83" s="23" t="s">
        <v>139</v>
      </c>
      <c r="E83" s="8">
        <v>2540</v>
      </c>
      <c r="F83" s="6"/>
    </row>
    <row r="84" spans="1:7" x14ac:dyDescent="0.25">
      <c r="A84" s="37">
        <v>2021</v>
      </c>
      <c r="B84" s="4">
        <v>44410</v>
      </c>
      <c r="C84" s="10" t="s">
        <v>148</v>
      </c>
      <c r="D84" s="23" t="s">
        <v>149</v>
      </c>
      <c r="E84" s="8">
        <v>813</v>
      </c>
      <c r="F84" s="6"/>
    </row>
    <row r="85" spans="1:7" x14ac:dyDescent="0.25">
      <c r="A85" s="37">
        <v>2021</v>
      </c>
      <c r="B85" s="4">
        <v>44413</v>
      </c>
      <c r="C85" s="10" t="s">
        <v>143</v>
      </c>
      <c r="D85" s="5"/>
      <c r="E85" s="5"/>
      <c r="F85" s="38" t="s">
        <v>144</v>
      </c>
    </row>
    <row r="86" spans="1:7" x14ac:dyDescent="0.25">
      <c r="A86" s="37">
        <v>2021</v>
      </c>
      <c r="B86" s="4">
        <v>44420</v>
      </c>
      <c r="C86" s="10" t="s">
        <v>145</v>
      </c>
      <c r="D86" s="23" t="s">
        <v>146</v>
      </c>
      <c r="E86" s="8">
        <v>300</v>
      </c>
      <c r="F86" s="38" t="s">
        <v>147</v>
      </c>
    </row>
    <row r="87" spans="1:7" x14ac:dyDescent="0.25">
      <c r="A87" s="37">
        <v>2021</v>
      </c>
      <c r="B87" s="4">
        <v>44425</v>
      </c>
      <c r="C87" s="41" t="s">
        <v>150</v>
      </c>
      <c r="D87" s="23" t="s">
        <v>151</v>
      </c>
      <c r="E87" s="8"/>
      <c r="F87" s="38" t="s">
        <v>152</v>
      </c>
    </row>
    <row r="88" spans="1:7" ht="30" x14ac:dyDescent="0.25">
      <c r="A88" s="37">
        <v>2021</v>
      </c>
      <c r="B88" s="4">
        <v>44427</v>
      </c>
      <c r="C88" s="10" t="s">
        <v>155</v>
      </c>
      <c r="D88" s="23"/>
      <c r="E88" s="39">
        <v>62</v>
      </c>
      <c r="F88" s="40" t="s">
        <v>156</v>
      </c>
    </row>
    <row r="89" spans="1:7" x14ac:dyDescent="0.25">
      <c r="A89" s="37">
        <v>2021</v>
      </c>
      <c r="B89" s="4">
        <v>44433</v>
      </c>
      <c r="C89" s="10" t="s">
        <v>153</v>
      </c>
      <c r="D89" s="23"/>
      <c r="E89" s="8"/>
      <c r="F89" s="38"/>
    </row>
    <row r="90" spans="1:7" x14ac:dyDescent="0.25">
      <c r="A90" s="37">
        <v>2021</v>
      </c>
      <c r="B90" s="4">
        <v>44434</v>
      </c>
      <c r="C90" s="10" t="s">
        <v>154</v>
      </c>
      <c r="D90" s="23"/>
      <c r="E90" s="8"/>
      <c r="F90" s="38"/>
    </row>
    <row r="91" spans="1:7" ht="60" x14ac:dyDescent="0.25">
      <c r="A91" s="37">
        <v>2021</v>
      </c>
      <c r="B91" s="4">
        <v>44453</v>
      </c>
      <c r="C91" s="42" t="s">
        <v>157</v>
      </c>
      <c r="D91" s="23" t="s">
        <v>160</v>
      </c>
      <c r="E91" s="8">
        <v>12061</v>
      </c>
      <c r="F91" s="40" t="s">
        <v>158</v>
      </c>
    </row>
    <row r="92" spans="1:7" ht="30" x14ac:dyDescent="0.25">
      <c r="A92" s="37">
        <v>2021</v>
      </c>
      <c r="B92" s="4">
        <v>44455</v>
      </c>
      <c r="C92" s="41" t="s">
        <v>159</v>
      </c>
      <c r="D92" s="23" t="s">
        <v>161</v>
      </c>
      <c r="E92" s="8">
        <v>565</v>
      </c>
      <c r="F92" s="38" t="s">
        <v>162</v>
      </c>
    </row>
    <row r="93" spans="1:7" ht="60" x14ac:dyDescent="0.25">
      <c r="A93" s="37">
        <v>2021</v>
      </c>
      <c r="B93" s="4">
        <v>44462</v>
      </c>
      <c r="C93" s="42" t="s">
        <v>163</v>
      </c>
      <c r="D93" s="43" t="s">
        <v>110</v>
      </c>
      <c r="E93" s="8">
        <v>150</v>
      </c>
      <c r="F93" s="40" t="s">
        <v>164</v>
      </c>
    </row>
    <row r="94" spans="1:7" x14ac:dyDescent="0.25">
      <c r="A94" s="37">
        <v>2021</v>
      </c>
      <c r="B94" s="4">
        <v>44473</v>
      </c>
      <c r="C94" s="10" t="s">
        <v>168</v>
      </c>
      <c r="D94" s="23" t="s">
        <v>167</v>
      </c>
      <c r="E94" s="8">
        <f>6700+929</f>
        <v>7629</v>
      </c>
      <c r="F94" s="38" t="s">
        <v>169</v>
      </c>
    </row>
    <row r="95" spans="1:7" x14ac:dyDescent="0.25">
      <c r="A95" s="37">
        <v>2021</v>
      </c>
      <c r="B95" s="4">
        <v>44484</v>
      </c>
      <c r="C95" s="10" t="s">
        <v>175</v>
      </c>
      <c r="D95" s="43" t="s">
        <v>174</v>
      </c>
      <c r="E95" s="8">
        <v>30</v>
      </c>
      <c r="F95" s="38"/>
    </row>
    <row r="96" spans="1:7" x14ac:dyDescent="0.25">
      <c r="A96" s="37">
        <v>2021</v>
      </c>
      <c r="B96" s="4">
        <v>44488</v>
      </c>
      <c r="C96" s="10" t="s">
        <v>170</v>
      </c>
      <c r="D96" s="43" t="s">
        <v>110</v>
      </c>
      <c r="E96" s="8">
        <v>115</v>
      </c>
      <c r="F96" s="38" t="s">
        <v>172</v>
      </c>
    </row>
    <row r="97" spans="1:6" x14ac:dyDescent="0.25">
      <c r="A97" s="37">
        <v>2021</v>
      </c>
      <c r="B97" s="4">
        <v>44488</v>
      </c>
      <c r="C97" s="10" t="s">
        <v>170</v>
      </c>
      <c r="D97" s="23" t="s">
        <v>171</v>
      </c>
      <c r="E97" s="8">
        <f>4873+93</f>
        <v>4966</v>
      </c>
      <c r="F97" s="38" t="s">
        <v>173</v>
      </c>
    </row>
    <row r="98" spans="1:6" x14ac:dyDescent="0.25">
      <c r="A98" s="37"/>
      <c r="B98" s="4"/>
      <c r="C98" s="10"/>
      <c r="D98" s="23"/>
      <c r="E98" s="8"/>
      <c r="F98" s="38"/>
    </row>
    <row r="99" spans="1:6" x14ac:dyDescent="0.25">
      <c r="A99" s="37"/>
      <c r="B99" s="4"/>
      <c r="C99" s="10"/>
      <c r="D99" s="23"/>
      <c r="E99" s="8"/>
      <c r="F99" s="38"/>
    </row>
    <row r="100" spans="1:6" x14ac:dyDescent="0.25">
      <c r="A100" s="44">
        <v>2021</v>
      </c>
      <c r="B100" s="45">
        <v>44496</v>
      </c>
      <c r="C100" s="10" t="s">
        <v>165</v>
      </c>
      <c r="D100" s="46"/>
      <c r="E100" s="47"/>
      <c r="F100" s="38" t="s">
        <v>173</v>
      </c>
    </row>
    <row r="101" spans="1:6" x14ac:dyDescent="0.25">
      <c r="A101" s="44">
        <v>2021</v>
      </c>
      <c r="B101" s="45">
        <v>44532</v>
      </c>
      <c r="C101" s="10" t="s">
        <v>166</v>
      </c>
      <c r="D101" s="46" t="s">
        <v>110</v>
      </c>
      <c r="E101" s="47">
        <v>150</v>
      </c>
      <c r="F101" s="38" t="s">
        <v>172</v>
      </c>
    </row>
    <row r="102" spans="1:6" x14ac:dyDescent="0.25">
      <c r="A102" s="44">
        <v>2021</v>
      </c>
      <c r="B102" s="45">
        <v>44532</v>
      </c>
      <c r="C102" s="10" t="s">
        <v>166</v>
      </c>
      <c r="D102" s="46" t="s">
        <v>110</v>
      </c>
      <c r="E102" s="47">
        <f>5951+37</f>
        <v>5988</v>
      </c>
      <c r="F102" s="38" t="s">
        <v>173</v>
      </c>
    </row>
    <row r="103" spans="1:6" s="49" customFormat="1" x14ac:dyDescent="0.25">
      <c r="A103" s="50">
        <v>2022</v>
      </c>
      <c r="B103" s="45">
        <v>44578</v>
      </c>
      <c r="C103" s="10" t="s">
        <v>178</v>
      </c>
      <c r="D103" s="51" t="s">
        <v>110</v>
      </c>
      <c r="E103" s="47"/>
      <c r="F103" s="48"/>
    </row>
    <row r="104" spans="1:6" s="49" customFormat="1" x14ac:dyDescent="0.25">
      <c r="A104" s="50">
        <v>2022</v>
      </c>
      <c r="B104" s="45">
        <v>44595</v>
      </c>
      <c r="C104" s="10" t="s">
        <v>177</v>
      </c>
      <c r="D104" s="51" t="s">
        <v>176</v>
      </c>
      <c r="E104" s="47"/>
      <c r="F104" s="48"/>
    </row>
    <row r="105" spans="1:6" s="49" customFormat="1" x14ac:dyDescent="0.25">
      <c r="A105" s="50">
        <v>2022</v>
      </c>
      <c r="B105" s="45">
        <v>44615</v>
      </c>
      <c r="C105" s="10" t="s">
        <v>179</v>
      </c>
      <c r="D105" s="51" t="s">
        <v>180</v>
      </c>
      <c r="E105" s="47"/>
      <c r="F105" s="48"/>
    </row>
    <row r="106" spans="1:6" s="49" customFormat="1" x14ac:dyDescent="0.25">
      <c r="A106" s="50">
        <v>2022</v>
      </c>
      <c r="B106" s="45">
        <v>44646</v>
      </c>
      <c r="C106" s="10" t="s">
        <v>181</v>
      </c>
      <c r="D106" s="51"/>
      <c r="E106" s="47"/>
      <c r="F106" s="53" t="s">
        <v>182</v>
      </c>
    </row>
    <row r="107" spans="1:6" s="49" customFormat="1" x14ac:dyDescent="0.25">
      <c r="A107" s="50">
        <v>2022</v>
      </c>
      <c r="B107" s="45">
        <v>44681</v>
      </c>
      <c r="C107" s="10" t="s">
        <v>183</v>
      </c>
      <c r="D107" s="51"/>
      <c r="E107" s="47"/>
      <c r="F107" s="54" t="s">
        <v>184</v>
      </c>
    </row>
    <row r="108" spans="1:6" x14ac:dyDescent="0.25">
      <c r="A108" s="50">
        <v>2022</v>
      </c>
      <c r="B108" s="45"/>
      <c r="C108" s="10"/>
      <c r="D108" s="51"/>
      <c r="E108" s="47"/>
      <c r="F108" s="52"/>
    </row>
    <row r="109" spans="1:6" x14ac:dyDescent="0.25">
      <c r="A109" s="50">
        <v>2022</v>
      </c>
      <c r="B109" s="45"/>
      <c r="C109" s="10"/>
      <c r="D109" s="51"/>
      <c r="E109" s="47"/>
      <c r="F109" s="48"/>
    </row>
    <row r="110" spans="1:6" x14ac:dyDescent="0.25">
      <c r="A110" s="50">
        <v>2022</v>
      </c>
      <c r="B110" s="45"/>
      <c r="C110" s="10"/>
      <c r="D110" s="51"/>
      <c r="E110" s="47"/>
      <c r="F110" s="48"/>
    </row>
    <row r="111" spans="1:6" x14ac:dyDescent="0.25">
      <c r="A111" s="50">
        <v>2022</v>
      </c>
      <c r="B111" s="45"/>
      <c r="C111" s="10"/>
      <c r="D111" s="51"/>
      <c r="E111" s="47"/>
      <c r="F111" s="48"/>
    </row>
    <row r="112" spans="1:6" x14ac:dyDescent="0.25">
      <c r="A112" s="50">
        <v>2022</v>
      </c>
      <c r="B112" s="45"/>
      <c r="C112" s="10"/>
      <c r="D112" s="51"/>
      <c r="E112" s="47"/>
      <c r="F112" s="48"/>
    </row>
    <row r="113" spans="1:6" x14ac:dyDescent="0.25">
      <c r="A113" s="50">
        <v>2022</v>
      </c>
      <c r="B113" s="45"/>
      <c r="C113" s="10"/>
      <c r="D113" s="51"/>
      <c r="E113" s="47"/>
      <c r="F113" s="48"/>
    </row>
    <row r="114" spans="1:6" x14ac:dyDescent="0.25">
      <c r="A114" s="50">
        <v>2022</v>
      </c>
      <c r="B114" s="45"/>
      <c r="C114" s="10"/>
      <c r="D114" s="51"/>
      <c r="E114" s="47"/>
      <c r="F114" s="48"/>
    </row>
    <row r="115" spans="1:6" x14ac:dyDescent="0.25">
      <c r="A115" s="50">
        <v>2022</v>
      </c>
      <c r="B115" s="45"/>
      <c r="C115" s="10"/>
      <c r="D115" s="51"/>
      <c r="E115" s="47"/>
      <c r="F115" s="48"/>
    </row>
    <row r="116" spans="1:6" x14ac:dyDescent="0.25">
      <c r="A116" s="50">
        <v>2022</v>
      </c>
      <c r="B116" s="45"/>
      <c r="C116" s="10"/>
      <c r="D116" s="51"/>
      <c r="E116" s="47"/>
      <c r="F116" s="48"/>
    </row>
    <row r="117" spans="1:6" x14ac:dyDescent="0.25">
      <c r="A117" s="50">
        <v>2022</v>
      </c>
      <c r="B117" s="45"/>
      <c r="C117" s="10"/>
      <c r="D117" s="51"/>
      <c r="E117" s="47"/>
      <c r="F117" s="48"/>
    </row>
    <row r="118" spans="1:6" x14ac:dyDescent="0.25">
      <c r="A118" s="50">
        <v>2022</v>
      </c>
      <c r="B118" s="45"/>
      <c r="C118" s="10"/>
      <c r="D118" s="51"/>
      <c r="E118" s="47"/>
      <c r="F118" s="48"/>
    </row>
    <row r="119" spans="1:6" x14ac:dyDescent="0.25">
      <c r="A119" s="50">
        <v>2022</v>
      </c>
      <c r="B119" s="45"/>
      <c r="C119" s="10"/>
      <c r="D119" s="51"/>
      <c r="E119" s="47"/>
      <c r="F119" s="48"/>
    </row>
    <row r="120" spans="1:6" x14ac:dyDescent="0.25">
      <c r="A120" s="50">
        <v>2022</v>
      </c>
      <c r="B120" s="45"/>
      <c r="C120" s="10"/>
      <c r="D120" s="51"/>
      <c r="E120" s="47"/>
      <c r="F120" s="48"/>
    </row>
    <row r="121" spans="1:6" x14ac:dyDescent="0.25">
      <c r="A121" s="50">
        <v>2022</v>
      </c>
      <c r="B121" s="45"/>
      <c r="C121" s="10"/>
      <c r="D121" s="51"/>
      <c r="E121" s="47"/>
      <c r="F121" s="48"/>
    </row>
    <row r="122" spans="1:6" x14ac:dyDescent="0.25">
      <c r="A122" s="50">
        <v>2022</v>
      </c>
      <c r="B122" s="45"/>
      <c r="C122" s="10"/>
      <c r="D122" s="51"/>
      <c r="E122" s="47"/>
      <c r="F122" s="48"/>
    </row>
    <row r="123" spans="1:6" x14ac:dyDescent="0.25">
      <c r="A123" s="50">
        <v>2022</v>
      </c>
      <c r="B123" s="45"/>
      <c r="C123" s="10"/>
      <c r="D123" s="51"/>
      <c r="E123" s="47"/>
      <c r="F123" s="48"/>
    </row>
    <row r="124" spans="1:6" x14ac:dyDescent="0.25">
      <c r="A124" s="50">
        <v>2022</v>
      </c>
      <c r="B124" s="45"/>
      <c r="C124" s="10"/>
      <c r="D124" s="51"/>
      <c r="E124" s="47"/>
      <c r="F124" s="48"/>
    </row>
    <row r="125" spans="1:6" x14ac:dyDescent="0.25">
      <c r="A125" s="50">
        <v>2022</v>
      </c>
      <c r="B125" s="45"/>
      <c r="C125" s="10"/>
      <c r="D125" s="51"/>
      <c r="E125" s="47"/>
      <c r="F125" s="48"/>
    </row>
    <row r="126" spans="1:6" x14ac:dyDescent="0.25">
      <c r="A126" s="50">
        <v>2022</v>
      </c>
      <c r="B126" s="45"/>
      <c r="C126" s="10"/>
      <c r="D126" s="51"/>
      <c r="E126" s="47"/>
      <c r="F126" s="48"/>
    </row>
    <row r="127" spans="1:6" x14ac:dyDescent="0.25">
      <c r="A127" s="50">
        <v>2022</v>
      </c>
      <c r="B127" s="45"/>
      <c r="C127" s="10"/>
      <c r="D127" s="51"/>
      <c r="E127" s="47"/>
      <c r="F127" s="48"/>
    </row>
    <row r="128" spans="1:6" x14ac:dyDescent="0.25">
      <c r="A128" s="50">
        <v>2022</v>
      </c>
      <c r="B128" s="45"/>
      <c r="C128" s="10"/>
      <c r="D128" s="51"/>
      <c r="E128" s="47"/>
      <c r="F128" s="48"/>
    </row>
    <row r="129" spans="1:6" x14ac:dyDescent="0.25">
      <c r="A129" s="50">
        <v>2022</v>
      </c>
      <c r="B129" s="45"/>
      <c r="C129" s="10"/>
      <c r="D129" s="51"/>
      <c r="E129" s="47"/>
      <c r="F129" s="48"/>
    </row>
    <row r="130" spans="1:6" x14ac:dyDescent="0.25">
      <c r="A130" s="50">
        <v>2022</v>
      </c>
      <c r="B130" s="45"/>
      <c r="C130" s="10"/>
      <c r="D130" s="51"/>
      <c r="E130" s="47"/>
      <c r="F130" s="48"/>
    </row>
    <row r="131" spans="1:6" x14ac:dyDescent="0.25">
      <c r="A131" s="50">
        <v>2022</v>
      </c>
      <c r="B131" s="45"/>
      <c r="C131" s="10"/>
      <c r="D131" s="51"/>
      <c r="E131" s="47"/>
      <c r="F131" s="48"/>
    </row>
    <row r="132" spans="1:6" x14ac:dyDescent="0.25">
      <c r="A132" s="50">
        <v>2022</v>
      </c>
      <c r="B132" s="45"/>
      <c r="C132" s="10"/>
      <c r="D132" s="51"/>
      <c r="E132" s="47"/>
      <c r="F132" s="48"/>
    </row>
    <row r="133" spans="1:6" x14ac:dyDescent="0.25">
      <c r="A133" s="50">
        <v>2022</v>
      </c>
      <c r="B133" s="45"/>
      <c r="C133" s="10"/>
      <c r="D133" s="51"/>
      <c r="E133" s="47"/>
      <c r="F133" s="48"/>
    </row>
    <row r="134" spans="1:6" x14ac:dyDescent="0.25">
      <c r="A134" s="50">
        <v>2022</v>
      </c>
      <c r="B134" s="45"/>
      <c r="C134" s="10"/>
      <c r="D134" s="51"/>
      <c r="E134" s="47"/>
      <c r="F134" s="48"/>
    </row>
    <row r="135" spans="1:6" x14ac:dyDescent="0.25">
      <c r="A135" s="50">
        <v>2022</v>
      </c>
      <c r="B135" s="45"/>
      <c r="C135" s="10"/>
      <c r="D135" s="51"/>
      <c r="E135" s="47"/>
      <c r="F135" s="48"/>
    </row>
    <row r="136" spans="1:6" x14ac:dyDescent="0.25">
      <c r="A136" s="50">
        <v>2022</v>
      </c>
      <c r="B136" s="45"/>
      <c r="C136" s="10"/>
      <c r="D136" s="51"/>
      <c r="E136" s="47"/>
      <c r="F136" s="48"/>
    </row>
    <row r="137" spans="1:6" x14ac:dyDescent="0.25">
      <c r="A137" s="50">
        <v>2022</v>
      </c>
      <c r="B137" s="45"/>
      <c r="C137" s="10"/>
      <c r="D137" s="51"/>
      <c r="E137" s="47"/>
      <c r="F137" s="48"/>
    </row>
    <row r="138" spans="1:6" x14ac:dyDescent="0.25">
      <c r="A138" s="50">
        <v>2022</v>
      </c>
      <c r="B138" s="45"/>
      <c r="C138" s="10"/>
      <c r="D138" s="51"/>
      <c r="E138" s="47"/>
      <c r="F138" s="48"/>
    </row>
    <row r="139" spans="1:6" x14ac:dyDescent="0.25">
      <c r="A139" s="50">
        <v>2022</v>
      </c>
      <c r="B139" s="45"/>
      <c r="C139" s="10"/>
      <c r="D139" s="51"/>
      <c r="E139" s="47"/>
      <c r="F139" s="48"/>
    </row>
    <row r="140" spans="1:6" x14ac:dyDescent="0.25">
      <c r="A140" s="50">
        <v>2022</v>
      </c>
      <c r="B140" s="45"/>
      <c r="C140" s="10"/>
      <c r="D140" s="51"/>
      <c r="E140" s="47"/>
      <c r="F140" s="48"/>
    </row>
  </sheetData>
  <autoFilter ref="A1:G117" xr:uid="{00000000-0009-0000-0000-000000000000}">
    <sortState xmlns:xlrd2="http://schemas.microsoft.com/office/spreadsheetml/2017/richdata2" ref="A2:G84">
      <sortCondition ref="A1:A78"/>
    </sortState>
  </autoFilter>
  <hyperlinks>
    <hyperlink ref="D65" r:id="rId1" xr:uid="{00000000-0004-0000-0000-000000000000}"/>
    <hyperlink ref="D66" r:id="rId2" xr:uid="{00000000-0004-0000-0000-000001000000}"/>
    <hyperlink ref="D68" r:id="rId3" xr:uid="{00000000-0004-0000-0000-000002000000}"/>
    <hyperlink ref="D52" r:id="rId4" xr:uid="{00000000-0004-0000-0000-000003000000}"/>
    <hyperlink ref="D58" r:id="rId5" xr:uid="{00000000-0004-0000-0000-000004000000}"/>
    <hyperlink ref="D48" r:id="rId6" xr:uid="{00000000-0004-0000-0000-000005000000}"/>
    <hyperlink ref="D51" r:id="rId7" xr:uid="{00000000-0004-0000-0000-000006000000}"/>
    <hyperlink ref="D46" r:id="rId8" xr:uid="{00000000-0004-0000-0000-000007000000}"/>
    <hyperlink ref="D47" r:id="rId9" xr:uid="{00000000-0004-0000-0000-000008000000}"/>
    <hyperlink ref="D50" r:id="rId10" xr:uid="{00000000-0004-0000-0000-000009000000}"/>
    <hyperlink ref="D44" r:id="rId11" xr:uid="{00000000-0004-0000-0000-00000A000000}"/>
    <hyperlink ref="D59" r:id="rId12" xr:uid="{00000000-0004-0000-0000-00000B000000}"/>
    <hyperlink ref="D53" r:id="rId13" xr:uid="{00000000-0004-0000-0000-00000C000000}"/>
    <hyperlink ref="D43" r:id="rId14" xr:uid="{00000000-0004-0000-0000-00000D000000}"/>
    <hyperlink ref="D41" r:id="rId15" xr:uid="{00000000-0004-0000-0000-00000E000000}"/>
    <hyperlink ref="D49" r:id="rId16" xr:uid="{00000000-0004-0000-0000-00000F000000}"/>
    <hyperlink ref="D63" r:id="rId17" xr:uid="{00000000-0004-0000-0000-000010000000}"/>
    <hyperlink ref="D67" r:id="rId18" xr:uid="{00000000-0004-0000-0000-000011000000}"/>
    <hyperlink ref="D62" r:id="rId19" xr:uid="{00000000-0004-0000-0000-000012000000}"/>
    <hyperlink ref="D60" r:id="rId20" xr:uid="{00000000-0004-0000-0000-000013000000}"/>
    <hyperlink ref="D61" r:id="rId21" xr:uid="{00000000-0004-0000-0000-000014000000}"/>
    <hyperlink ref="D71" r:id="rId22" xr:uid="{00000000-0004-0000-0000-000015000000}"/>
    <hyperlink ref="D72" r:id="rId23" xr:uid="{00000000-0004-0000-0000-000016000000}"/>
    <hyperlink ref="D76" r:id="rId24" xr:uid="{00000000-0004-0000-0000-000017000000}"/>
    <hyperlink ref="D73" r:id="rId25" xr:uid="{00000000-0004-0000-0000-000018000000}"/>
    <hyperlink ref="D83" r:id="rId26" xr:uid="{00000000-0004-0000-0000-000019000000}"/>
    <hyperlink ref="D75" r:id="rId27" xr:uid="{00000000-0004-0000-0000-00001A000000}"/>
    <hyperlink ref="D86" r:id="rId28" xr:uid="{00000000-0004-0000-0000-00001B000000}"/>
    <hyperlink ref="D84" r:id="rId29" xr:uid="{00000000-0004-0000-0000-00001C000000}"/>
    <hyperlink ref="D91" r:id="rId30" xr:uid="{00000000-0004-0000-0000-00001D000000}"/>
    <hyperlink ref="D92" r:id="rId31" xr:uid="{00000000-0004-0000-0000-00001E000000}"/>
    <hyperlink ref="D94" r:id="rId32" xr:uid="{00000000-0004-0000-0000-00001F000000}"/>
    <hyperlink ref="D97" r:id="rId33" xr:uid="{00000000-0004-0000-0000-000020000000}"/>
  </hyperlinks>
  <pageMargins left="0.511811024" right="0.511811024" top="0.78740157499999996" bottom="0.78740157499999996" header="0.31496062000000002" footer="0.31496062000000002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EVENTOS  (PRESENCIAL - ONLINE)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Usuário Windows</cp:lastModifiedBy>
  <dcterms:created xsi:type="dcterms:W3CDTF">2020-12-03T14:09:47Z</dcterms:created>
  <dcterms:modified xsi:type="dcterms:W3CDTF">2022-03-23T20:37:38Z</dcterms:modified>
</cp:coreProperties>
</file>