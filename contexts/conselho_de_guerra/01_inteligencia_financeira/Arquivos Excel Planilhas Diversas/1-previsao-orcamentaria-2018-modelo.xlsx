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5300" windowHeight="8730"/>
  </bookViews>
  <sheets>
    <sheet name="Previsão Orçamentária " sheetId="4" r:id="rId1"/>
    <sheet name="taxa distribuidia por n de apto" sheetId="29" r:id="rId2"/>
    <sheet name="taxa distribuidia por fração" sheetId="30" r:id="rId3"/>
    <sheet name="Folha de Pagamento" sheetId="31" r:id="rId4"/>
  </sheets>
  <definedNames>
    <definedName name="_xlnm._FilterDatabase" localSheetId="0" hidden="1">'Previsão Orçamentária '!$B$29:$H$29</definedName>
    <definedName name="_xlnm.Print_Area" localSheetId="0">'Previsão Orçamentária '!$B$1:$I$75</definedName>
  </definedNames>
  <calcPr calcId="145621"/>
</workbook>
</file>

<file path=xl/calcChain.xml><?xml version="1.0" encoding="utf-8"?>
<calcChain xmlns="http://schemas.openxmlformats.org/spreadsheetml/2006/main">
  <c r="C4" i="29" l="1"/>
  <c r="C5" i="29"/>
  <c r="D4" i="30"/>
  <c r="D3" i="30"/>
  <c r="E67" i="4"/>
  <c r="G67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C38" i="4" l="1"/>
  <c r="C35" i="4"/>
  <c r="C33" i="4"/>
  <c r="C32" i="4"/>
  <c r="C31" i="4"/>
  <c r="C26" i="4"/>
  <c r="C25" i="4"/>
  <c r="C24" i="4"/>
  <c r="C19" i="4"/>
  <c r="C14" i="4"/>
  <c r="C10" i="4"/>
  <c r="C9" i="4"/>
  <c r="C8" i="4"/>
  <c r="L24" i="31"/>
  <c r="K6" i="31"/>
  <c r="J6" i="31"/>
  <c r="I6" i="31"/>
  <c r="H9" i="31"/>
  <c r="H6" i="31"/>
  <c r="G7" i="31"/>
  <c r="G6" i="31"/>
  <c r="F6" i="31"/>
  <c r="D18" i="31"/>
  <c r="D16" i="31"/>
  <c r="K15" i="31"/>
  <c r="J15" i="31"/>
  <c r="I15" i="31"/>
  <c r="H15" i="31"/>
  <c r="G15" i="31"/>
  <c r="F15" i="31"/>
  <c r="E15" i="31"/>
  <c r="D15" i="31"/>
  <c r="D13" i="31"/>
  <c r="K12" i="31"/>
  <c r="J12" i="31"/>
  <c r="I12" i="31"/>
  <c r="H12" i="31"/>
  <c r="G12" i="31"/>
  <c r="F12" i="31"/>
  <c r="E12" i="31"/>
  <c r="D12" i="31"/>
  <c r="K9" i="31"/>
  <c r="J9" i="31"/>
  <c r="I9" i="31"/>
  <c r="G9" i="31"/>
  <c r="F9" i="31"/>
  <c r="E9" i="31"/>
  <c r="D9" i="31"/>
  <c r="K7" i="31"/>
  <c r="J7" i="31"/>
  <c r="I7" i="31"/>
  <c r="H7" i="31"/>
  <c r="F7" i="31"/>
  <c r="E7" i="31"/>
  <c r="D7" i="31"/>
  <c r="K4" i="31"/>
  <c r="J4" i="31"/>
  <c r="I4" i="31"/>
  <c r="H4" i="31"/>
  <c r="G4" i="31"/>
  <c r="F4" i="31"/>
  <c r="E4" i="31"/>
  <c r="D4" i="31"/>
  <c r="D17" i="31"/>
  <c r="E8" i="31"/>
  <c r="E6" i="31"/>
  <c r="E5" i="31"/>
  <c r="E19" i="31" s="1"/>
  <c r="G19" i="31"/>
  <c r="F19" i="31"/>
  <c r="D19" i="31"/>
  <c r="G17" i="31"/>
  <c r="F17" i="31"/>
  <c r="C1" i="31"/>
  <c r="K8" i="31" s="1"/>
  <c r="D5" i="31"/>
  <c r="C7" i="4"/>
  <c r="E7" i="4" s="1"/>
  <c r="E6" i="4"/>
  <c r="J8" i="31"/>
  <c r="I8" i="31"/>
  <c r="H8" i="31"/>
  <c r="G8" i="31"/>
  <c r="F8" i="31"/>
  <c r="D8" i="31"/>
  <c r="D6" i="31"/>
  <c r="L21" i="31"/>
  <c r="L16" i="31"/>
  <c r="L13" i="31"/>
  <c r="L10" i="31"/>
  <c r="F39" i="31"/>
  <c r="K14" i="31"/>
  <c r="J14" i="31"/>
  <c r="K19" i="31"/>
  <c r="J19" i="31"/>
  <c r="F14" i="31"/>
  <c r="E16" i="31" l="1"/>
  <c r="E17" i="31"/>
  <c r="J17" i="31"/>
  <c r="K17" i="31"/>
  <c r="F18" i="31"/>
  <c r="F11" i="31"/>
  <c r="J18" i="31"/>
  <c r="K18" i="31"/>
  <c r="I14" i="31"/>
  <c r="H14" i="31"/>
  <c r="G14" i="31"/>
  <c r="P6" i="31"/>
  <c r="B16" i="31" s="1"/>
  <c r="E14" i="31" l="1"/>
  <c r="E13" i="31"/>
  <c r="E11" i="31"/>
  <c r="E10" i="31"/>
  <c r="E18" i="31"/>
  <c r="H19" i="31"/>
  <c r="H17" i="31"/>
  <c r="I18" i="31"/>
  <c r="I19" i="31"/>
  <c r="I17" i="31"/>
  <c r="D10" i="31"/>
  <c r="F16" i="31"/>
  <c r="G11" i="31"/>
  <c r="G18" i="31"/>
  <c r="H18" i="31"/>
  <c r="H16" i="31"/>
  <c r="I16" i="31"/>
  <c r="I11" i="31"/>
  <c r="K16" i="31"/>
  <c r="J16" i="31"/>
  <c r="G16" i="31"/>
  <c r="K11" i="31"/>
  <c r="J11" i="31"/>
  <c r="B10" i="31"/>
  <c r="I10" i="31" s="1"/>
  <c r="B13" i="31"/>
  <c r="G13" i="31" s="1"/>
  <c r="H11" i="31" l="1"/>
  <c r="H10" i="31"/>
  <c r="F10" i="31"/>
  <c r="K10" i="31"/>
  <c r="D14" i="31"/>
  <c r="G10" i="31"/>
  <c r="G20" i="31" s="1"/>
  <c r="G22" i="31" s="1"/>
  <c r="F13" i="31"/>
  <c r="J13" i="31"/>
  <c r="K13" i="31"/>
  <c r="H13" i="31"/>
  <c r="I13" i="31"/>
  <c r="I20" i="31" s="1"/>
  <c r="I22" i="31" s="1"/>
  <c r="D11" i="31"/>
  <c r="J10" i="31"/>
  <c r="E28" i="4"/>
  <c r="G28" i="4" s="1"/>
  <c r="E27" i="4"/>
  <c r="G27" i="4" s="1"/>
  <c r="F26" i="4"/>
  <c r="E14" i="4"/>
  <c r="E13" i="4"/>
  <c r="G13" i="4" s="1"/>
  <c r="E12" i="4"/>
  <c r="G12" i="4" s="1"/>
  <c r="E11" i="4"/>
  <c r="G11" i="4" s="1"/>
  <c r="E10" i="4"/>
  <c r="G10" i="4" s="1"/>
  <c r="E9" i="4"/>
  <c r="G9" i="4" s="1"/>
  <c r="E8" i="4"/>
  <c r="E65" i="4" s="1"/>
  <c r="E26" i="4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G14" i="4"/>
  <c r="E33" i="4"/>
  <c r="G33" i="4" s="1"/>
  <c r="E32" i="4"/>
  <c r="G32" i="4" s="1"/>
  <c r="G26" i="4" l="1"/>
  <c r="G8" i="4"/>
  <c r="G65" i="4" s="1"/>
  <c r="H20" i="31"/>
  <c r="H22" i="31" s="1"/>
  <c r="J20" i="31"/>
  <c r="J22" i="31" s="1"/>
  <c r="D20" i="31"/>
  <c r="D22" i="31" s="1"/>
  <c r="F20" i="31"/>
  <c r="F22" i="31" s="1"/>
  <c r="E20" i="31"/>
  <c r="E22" i="31" s="1"/>
  <c r="K20" i="31"/>
  <c r="K22" i="31" s="1"/>
  <c r="L22" i="31" l="1"/>
  <c r="AD74" i="30"/>
  <c r="AY72" i="30"/>
  <c r="AR72" i="30"/>
  <c r="AK72" i="30"/>
  <c r="W40" i="30"/>
  <c r="P40" i="30"/>
  <c r="I40" i="30"/>
  <c r="B40" i="30"/>
  <c r="B47" i="30" l="1"/>
  <c r="E45" i="4" l="1"/>
  <c r="E41" i="4"/>
  <c r="E43" i="4"/>
  <c r="E44" i="4"/>
  <c r="E40" i="4"/>
  <c r="E39" i="4"/>
  <c r="E38" i="4"/>
  <c r="E36" i="4"/>
  <c r="E37" i="4"/>
  <c r="E35" i="4"/>
  <c r="E34" i="4"/>
  <c r="E31" i="4"/>
  <c r="E30" i="4"/>
  <c r="E29" i="4" l="1"/>
  <c r="G35" i="4"/>
  <c r="E68" i="4" l="1"/>
  <c r="E34" i="30"/>
  <c r="E18" i="30"/>
  <c r="L14" i="30"/>
  <c r="E30" i="30"/>
  <c r="E14" i="30"/>
  <c r="L10" i="30"/>
  <c r="E26" i="30"/>
  <c r="E10" i="30"/>
  <c r="E38" i="30"/>
  <c r="E22" i="30"/>
  <c r="BB56" i="30"/>
  <c r="BB40" i="30"/>
  <c r="BB24" i="30"/>
  <c r="BB8" i="30"/>
  <c r="AU56" i="30"/>
  <c r="AU40" i="30"/>
  <c r="AU24" i="30"/>
  <c r="AU8" i="30"/>
  <c r="AN56" i="30"/>
  <c r="AN40" i="30"/>
  <c r="AN24" i="30"/>
  <c r="BB71" i="30"/>
  <c r="BB55" i="30"/>
  <c r="BB39" i="30"/>
  <c r="BB23" i="30"/>
  <c r="AU71" i="30"/>
  <c r="AU55" i="30"/>
  <c r="AU39" i="30"/>
  <c r="AU23" i="30"/>
  <c r="AN71" i="30"/>
  <c r="BB66" i="30"/>
  <c r="BB50" i="30"/>
  <c r="BB34" i="30"/>
  <c r="BB18" i="30"/>
  <c r="AU66" i="30"/>
  <c r="AU50" i="30"/>
  <c r="AU34" i="30"/>
  <c r="AU18" i="30"/>
  <c r="AN66" i="30"/>
  <c r="AN50" i="30"/>
  <c r="AN34" i="30"/>
  <c r="AN18" i="30"/>
  <c r="AG68" i="30"/>
  <c r="AG52" i="30"/>
  <c r="AG36" i="30"/>
  <c r="AG20" i="30"/>
  <c r="Z36" i="30"/>
  <c r="Z20" i="30"/>
  <c r="S36" i="30"/>
  <c r="S20" i="30"/>
  <c r="L36" i="30"/>
  <c r="BB57" i="30"/>
  <c r="BB41" i="30"/>
  <c r="BB25" i="30"/>
  <c r="BB9" i="30"/>
  <c r="AU57" i="30"/>
  <c r="AU41" i="30"/>
  <c r="AU25" i="30"/>
  <c r="AU9" i="30"/>
  <c r="AN57" i="30"/>
  <c r="AN41" i="30"/>
  <c r="AN25" i="30"/>
  <c r="AN9" i="30"/>
  <c r="AG59" i="30"/>
  <c r="AG43" i="30"/>
  <c r="AG27" i="30"/>
  <c r="AG11" i="30"/>
  <c r="Z27" i="30"/>
  <c r="Z11" i="30"/>
  <c r="S27" i="30"/>
  <c r="S11" i="30"/>
  <c r="L27" i="30"/>
  <c r="E17" i="30"/>
  <c r="E33" i="30"/>
  <c r="L17" i="30"/>
  <c r="L38" i="30"/>
  <c r="S38" i="30"/>
  <c r="Z38" i="30"/>
  <c r="AG38" i="30"/>
  <c r="AG70" i="30"/>
  <c r="L18" i="30"/>
  <c r="S9" i="30"/>
  <c r="Z9" i="30"/>
  <c r="AG9" i="30"/>
  <c r="AG41" i="30"/>
  <c r="AG73" i="30"/>
  <c r="E11" i="30"/>
  <c r="E27" i="30"/>
  <c r="L11" i="30"/>
  <c r="L29" i="30"/>
  <c r="S26" i="30"/>
  <c r="Z26" i="30"/>
  <c r="AG26" i="30"/>
  <c r="AG58" i="30"/>
  <c r="AN39" i="30"/>
  <c r="BB68" i="30"/>
  <c r="BB52" i="30"/>
  <c r="BB36" i="30"/>
  <c r="BB20" i="30"/>
  <c r="AU68" i="30"/>
  <c r="AU52" i="30"/>
  <c r="AU36" i="30"/>
  <c r="AU20" i="30"/>
  <c r="AN68" i="30"/>
  <c r="AN52" i="30"/>
  <c r="AN36" i="30"/>
  <c r="AN20" i="30"/>
  <c r="BB67" i="30"/>
  <c r="BB51" i="30"/>
  <c r="BB35" i="30"/>
  <c r="BB19" i="30"/>
  <c r="AU67" i="30"/>
  <c r="AU51" i="30"/>
  <c r="AU35" i="30"/>
  <c r="AU19" i="30"/>
  <c r="AN67" i="30"/>
  <c r="BB62" i="30"/>
  <c r="BB46" i="30"/>
  <c r="BB30" i="30"/>
  <c r="BB14" i="30"/>
  <c r="AU62" i="30"/>
  <c r="AU46" i="30"/>
  <c r="AU30" i="30"/>
  <c r="AU14" i="30"/>
  <c r="AN62" i="30"/>
  <c r="AN46" i="30"/>
  <c r="AN30" i="30"/>
  <c r="AN14" i="30"/>
  <c r="AG64" i="30"/>
  <c r="AG48" i="30"/>
  <c r="AG32" i="30"/>
  <c r="AG16" i="30"/>
  <c r="Z32" i="30"/>
  <c r="Z16" i="30"/>
  <c r="S32" i="30"/>
  <c r="S16" i="30"/>
  <c r="BB69" i="30"/>
  <c r="BB53" i="30"/>
  <c r="BB37" i="30"/>
  <c r="BB21" i="30"/>
  <c r="AU69" i="30"/>
  <c r="AU53" i="30"/>
  <c r="AU37" i="30"/>
  <c r="AU21" i="30"/>
  <c r="AN69" i="30"/>
  <c r="AN53" i="30"/>
  <c r="AN37" i="30"/>
  <c r="AN21" i="30"/>
  <c r="AG71" i="30"/>
  <c r="AG55" i="30"/>
  <c r="AG39" i="30"/>
  <c r="AG23" i="30"/>
  <c r="Z39" i="30"/>
  <c r="Z23" i="30"/>
  <c r="S39" i="30"/>
  <c r="S23" i="30"/>
  <c r="L39" i="30"/>
  <c r="L23" i="30"/>
  <c r="E21" i="30"/>
  <c r="E37" i="30"/>
  <c r="L21" i="30"/>
  <c r="S14" i="30"/>
  <c r="Z14" i="30"/>
  <c r="AG14" i="30"/>
  <c r="AG46" i="30"/>
  <c r="AN15" i="30"/>
  <c r="L22" i="30"/>
  <c r="S17" i="30"/>
  <c r="Z17" i="30"/>
  <c r="AG17" i="30"/>
  <c r="AG49" i="30"/>
  <c r="AN19" i="30"/>
  <c r="E15" i="30"/>
  <c r="E31" i="30"/>
  <c r="L15" i="30"/>
  <c r="L34" i="30"/>
  <c r="S34" i="30"/>
  <c r="Z34" i="30"/>
  <c r="AG34" i="30"/>
  <c r="AG66" i="30"/>
  <c r="BB64" i="30"/>
  <c r="BB48" i="30"/>
  <c r="BB32" i="30"/>
  <c r="BB16" i="30"/>
  <c r="AU64" i="30"/>
  <c r="AU48" i="30"/>
  <c r="AU32" i="30"/>
  <c r="AU16" i="30"/>
  <c r="AN64" i="30"/>
  <c r="AN48" i="30"/>
  <c r="AN32" i="30"/>
  <c r="AN16" i="30"/>
  <c r="BB63" i="30"/>
  <c r="BB47" i="30"/>
  <c r="BB31" i="30"/>
  <c r="BB15" i="30"/>
  <c r="AU63" i="30"/>
  <c r="AU47" i="30"/>
  <c r="AU31" i="30"/>
  <c r="AU15" i="30"/>
  <c r="AN63" i="30"/>
  <c r="BB58" i="30"/>
  <c r="BB42" i="30"/>
  <c r="BB26" i="30"/>
  <c r="BB10" i="30"/>
  <c r="AU58" i="30"/>
  <c r="AU42" i="30"/>
  <c r="AU26" i="30"/>
  <c r="AU10" i="30"/>
  <c r="AN58" i="30"/>
  <c r="AN42" i="30"/>
  <c r="AN26" i="30"/>
  <c r="AN10" i="30"/>
  <c r="AG60" i="30"/>
  <c r="AG44" i="30"/>
  <c r="AG28" i="30"/>
  <c r="AG12" i="30"/>
  <c r="Z28" i="30"/>
  <c r="Z12" i="30"/>
  <c r="S28" i="30"/>
  <c r="S12" i="30"/>
  <c r="BB65" i="30"/>
  <c r="BB49" i="30"/>
  <c r="BB33" i="30"/>
  <c r="BB17" i="30"/>
  <c r="AU65" i="30"/>
  <c r="AU49" i="30"/>
  <c r="AU33" i="30"/>
  <c r="AU17" i="30"/>
  <c r="AN65" i="30"/>
  <c r="AN49" i="30"/>
  <c r="AN33" i="30"/>
  <c r="AN17" i="30"/>
  <c r="AG67" i="30"/>
  <c r="AG51" i="30"/>
  <c r="AG35" i="30"/>
  <c r="AG19" i="30"/>
  <c r="Z35" i="30"/>
  <c r="Z19" i="30"/>
  <c r="S35" i="30"/>
  <c r="S19" i="30"/>
  <c r="L35" i="30"/>
  <c r="E9" i="30"/>
  <c r="E25" i="30"/>
  <c r="L9" i="30"/>
  <c r="L26" i="30"/>
  <c r="S22" i="30"/>
  <c r="Z22" i="30"/>
  <c r="AG22" i="30"/>
  <c r="AG54" i="30"/>
  <c r="AN31" i="30"/>
  <c r="L28" i="30"/>
  <c r="S25" i="30"/>
  <c r="Z25" i="30"/>
  <c r="AG25" i="30"/>
  <c r="AG57" i="30"/>
  <c r="AN35" i="30"/>
  <c r="E19" i="30"/>
  <c r="E35" i="30"/>
  <c r="L19" i="30"/>
  <c r="S10" i="30"/>
  <c r="Z10" i="30"/>
  <c r="AG10" i="30"/>
  <c r="AG42" i="30"/>
  <c r="AN8" i="30"/>
  <c r="BB60" i="30"/>
  <c r="BB44" i="30"/>
  <c r="BB28" i="30"/>
  <c r="BB12" i="30"/>
  <c r="AU60" i="30"/>
  <c r="AU44" i="30"/>
  <c r="AU28" i="30"/>
  <c r="AU12" i="30"/>
  <c r="AN60" i="30"/>
  <c r="AN44" i="30"/>
  <c r="AN28" i="30"/>
  <c r="AN12" i="30"/>
  <c r="BB59" i="30"/>
  <c r="BB43" i="30"/>
  <c r="BB27" i="30"/>
  <c r="BB11" i="30"/>
  <c r="AU59" i="30"/>
  <c r="AU43" i="30"/>
  <c r="AU27" i="30"/>
  <c r="AU11" i="30"/>
  <c r="BB70" i="30"/>
  <c r="BB54" i="30"/>
  <c r="BB38" i="30"/>
  <c r="BB22" i="30"/>
  <c r="AU70" i="30"/>
  <c r="AU54" i="30"/>
  <c r="AU38" i="30"/>
  <c r="AU22" i="30"/>
  <c r="AN70" i="30"/>
  <c r="AN54" i="30"/>
  <c r="AN38" i="30"/>
  <c r="AN22" i="30"/>
  <c r="AG72" i="30"/>
  <c r="AG56" i="30"/>
  <c r="AG40" i="30"/>
  <c r="AG24" i="30"/>
  <c r="AG8" i="30"/>
  <c r="Z24" i="30"/>
  <c r="Z8" i="30"/>
  <c r="S24" i="30"/>
  <c r="S8" i="30"/>
  <c r="BB61" i="30"/>
  <c r="BB45" i="30"/>
  <c r="BB29" i="30"/>
  <c r="BB13" i="30"/>
  <c r="AU61" i="30"/>
  <c r="AU45" i="30"/>
  <c r="AU29" i="30"/>
  <c r="AU13" i="30"/>
  <c r="AN61" i="30"/>
  <c r="AN45" i="30"/>
  <c r="AN29" i="30"/>
  <c r="AN13" i="30"/>
  <c r="AG63" i="30"/>
  <c r="AG47" i="30"/>
  <c r="AG31" i="30"/>
  <c r="AG15" i="30"/>
  <c r="Z31" i="30"/>
  <c r="Z15" i="30"/>
  <c r="S31" i="30"/>
  <c r="S15" i="30"/>
  <c r="L31" i="30"/>
  <c r="E13" i="30"/>
  <c r="E29" i="30"/>
  <c r="L13" i="30"/>
  <c r="L32" i="30"/>
  <c r="S30" i="30"/>
  <c r="Z30" i="30"/>
  <c r="AG30" i="30"/>
  <c r="AG62" i="30"/>
  <c r="AN47" i="30"/>
  <c r="L33" i="30"/>
  <c r="S33" i="30"/>
  <c r="Z33" i="30"/>
  <c r="AG33" i="30"/>
  <c r="AG65" i="30"/>
  <c r="AN51" i="30"/>
  <c r="E23" i="30"/>
  <c r="E39" i="30"/>
  <c r="L24" i="30"/>
  <c r="S18" i="30"/>
  <c r="Z18" i="30"/>
  <c r="AG18" i="30"/>
  <c r="AG50" i="30"/>
  <c r="AN23" i="30"/>
  <c r="E16" i="30"/>
  <c r="E32" i="30"/>
  <c r="L16" i="30"/>
  <c r="L37" i="30"/>
  <c r="S37" i="30"/>
  <c r="Z37" i="30"/>
  <c r="AG37" i="30"/>
  <c r="AG69" i="30"/>
  <c r="AN59" i="30"/>
  <c r="E20" i="30"/>
  <c r="E36" i="30"/>
  <c r="L20" i="30"/>
  <c r="S13" i="30"/>
  <c r="Z13" i="30"/>
  <c r="AG13" i="30"/>
  <c r="AN11" i="30"/>
  <c r="AN55" i="30"/>
  <c r="AG45" i="30"/>
  <c r="AG61" i="30"/>
  <c r="E8" i="30"/>
  <c r="E24" i="30"/>
  <c r="L8" i="30"/>
  <c r="L25" i="30"/>
  <c r="S21" i="30"/>
  <c r="Z21" i="30"/>
  <c r="AG21" i="30"/>
  <c r="AG53" i="30"/>
  <c r="AN27" i="30"/>
  <c r="AG29" i="30"/>
  <c r="E12" i="30"/>
  <c r="E28" i="30"/>
  <c r="L12" i="30"/>
  <c r="L30" i="30"/>
  <c r="S29" i="30"/>
  <c r="Z29" i="30"/>
  <c r="AN43" i="30"/>
  <c r="G44" i="4"/>
  <c r="G45" i="4"/>
  <c r="G5" i="4" l="1"/>
  <c r="G43" i="4" l="1"/>
  <c r="G6" i="4" l="1"/>
  <c r="G30" i="4"/>
  <c r="G31" i="4"/>
  <c r="G34" i="4"/>
  <c r="G36" i="4"/>
  <c r="G37" i="4"/>
  <c r="G38" i="4"/>
  <c r="G39" i="4"/>
  <c r="G40" i="4"/>
  <c r="G41" i="4"/>
  <c r="M45" i="4"/>
  <c r="F67" i="4"/>
  <c r="F71" i="4" s="1"/>
  <c r="O41" i="4"/>
  <c r="O40" i="4"/>
  <c r="O39" i="4"/>
  <c r="O38" i="4"/>
  <c r="O36" i="4"/>
  <c r="O35" i="4"/>
  <c r="O34" i="4"/>
  <c r="N45" i="4"/>
  <c r="O31" i="4"/>
  <c r="O30" i="4"/>
  <c r="O29" i="4"/>
  <c r="O8" i="4"/>
  <c r="O6" i="4"/>
  <c r="F29" i="4" l="1"/>
  <c r="O45" i="4"/>
  <c r="G7" i="4" l="1"/>
  <c r="G29" i="4" l="1"/>
  <c r="G68" i="4" l="1"/>
  <c r="C3" i="29" s="1"/>
  <c r="E71" i="4"/>
  <c r="E73" i="4" s="1"/>
  <c r="E74" i="4" s="1"/>
  <c r="E75" i="4" s="1"/>
  <c r="D2" i="30" l="1"/>
  <c r="AT46" i="30" s="1"/>
  <c r="G71" i="4"/>
  <c r="Z40" i="30"/>
  <c r="L40" i="30"/>
  <c r="S40" i="30"/>
  <c r="BB72" i="30"/>
  <c r="E40" i="30"/>
  <c r="AN72" i="30"/>
  <c r="AG74" i="30"/>
  <c r="AU72" i="30"/>
  <c r="H69" i="4" l="1"/>
  <c r="H70" i="4"/>
  <c r="G73" i="4"/>
  <c r="G74" i="4" s="1"/>
  <c r="D1" i="30" s="1"/>
  <c r="R16" i="30"/>
  <c r="D32" i="30"/>
  <c r="AF15" i="30"/>
  <c r="Y15" i="30"/>
  <c r="AF34" i="30"/>
  <c r="D15" i="30"/>
  <c r="AF16" i="30"/>
  <c r="AT65" i="30"/>
  <c r="AT67" i="30"/>
  <c r="AM58" i="30"/>
  <c r="AT11" i="30"/>
  <c r="AM55" i="30"/>
  <c r="BA62" i="30"/>
  <c r="BA56" i="30"/>
  <c r="AT13" i="30"/>
  <c r="AF31" i="30"/>
  <c r="BA45" i="30"/>
  <c r="K35" i="30"/>
  <c r="BA25" i="30"/>
  <c r="AF38" i="30"/>
  <c r="Y32" i="30"/>
  <c r="R37" i="30"/>
  <c r="AF44" i="30"/>
  <c r="AM19" i="30"/>
  <c r="AM61" i="30"/>
  <c r="AF46" i="30"/>
  <c r="AT68" i="30"/>
  <c r="AM21" i="30"/>
  <c r="BA23" i="30"/>
  <c r="D16" i="30"/>
  <c r="AM13" i="30"/>
  <c r="AM67" i="30"/>
  <c r="R31" i="30"/>
  <c r="BA70" i="30"/>
  <c r="AM35" i="30"/>
  <c r="BA22" i="30"/>
  <c r="D35" i="30"/>
  <c r="AT33" i="30"/>
  <c r="BA57" i="30"/>
  <c r="AM66" i="30"/>
  <c r="AF60" i="30"/>
  <c r="BA59" i="30"/>
  <c r="AF8" i="30"/>
  <c r="AM28" i="30"/>
  <c r="K34" i="30"/>
  <c r="AF43" i="30"/>
  <c r="Y27" i="30"/>
  <c r="D33" i="30"/>
  <c r="AM10" i="30"/>
  <c r="R15" i="30"/>
  <c r="BA67" i="30"/>
  <c r="AF37" i="30"/>
  <c r="BA51" i="30"/>
  <c r="K15" i="30"/>
  <c r="Y31" i="30"/>
  <c r="R10" i="30"/>
  <c r="AF35" i="30"/>
  <c r="AM23" i="30"/>
  <c r="AT36" i="30"/>
  <c r="D34" i="30"/>
  <c r="R23" i="30"/>
  <c r="AF67" i="30"/>
  <c r="Y8" i="30"/>
  <c r="AM57" i="30"/>
  <c r="AT47" i="30"/>
  <c r="AM62" i="30"/>
  <c r="AT12" i="30"/>
  <c r="R25" i="30"/>
  <c r="AF18" i="30"/>
  <c r="AM20" i="30"/>
  <c r="AM53" i="30"/>
  <c r="AT43" i="30"/>
  <c r="BA24" i="30"/>
  <c r="AT32" i="30"/>
  <c r="R21" i="30"/>
  <c r="AF27" i="30"/>
  <c r="AM15" i="30"/>
  <c r="BA68" i="30"/>
  <c r="R12" i="30"/>
  <c r="Y36" i="30"/>
  <c r="D30" i="30"/>
  <c r="BA13" i="30"/>
  <c r="Y37" i="30"/>
  <c r="Y23" i="30"/>
  <c r="BA27" i="30"/>
  <c r="AM52" i="30"/>
  <c r="R29" i="30"/>
  <c r="D18" i="30"/>
  <c r="D27" i="30"/>
  <c r="AT25" i="30"/>
  <c r="BA65" i="30"/>
  <c r="K30" i="30"/>
  <c r="BA18" i="30"/>
  <c r="Y30" i="30"/>
  <c r="AF63" i="30"/>
  <c r="AM29" i="30"/>
  <c r="AT19" i="30"/>
  <c r="K26" i="30"/>
  <c r="AF66" i="30"/>
  <c r="Y26" i="30"/>
  <c r="BA19" i="30"/>
  <c r="AF32" i="30"/>
  <c r="AF59" i="30"/>
  <c r="R35" i="30"/>
  <c r="AM33" i="30"/>
  <c r="BA47" i="30"/>
  <c r="AT23" i="30"/>
  <c r="AM12" i="30"/>
  <c r="BA44" i="30"/>
  <c r="Y24" i="30"/>
  <c r="AT16" i="30"/>
  <c r="K29" i="30"/>
  <c r="R26" i="30"/>
  <c r="D23" i="30"/>
  <c r="AF23" i="30"/>
  <c r="AT21" i="30"/>
  <c r="AM11" i="30"/>
  <c r="BA69" i="30"/>
  <c r="AT24" i="30"/>
  <c r="AT50" i="30"/>
  <c r="K18" i="30"/>
  <c r="BA48" i="30"/>
  <c r="AT26" i="30"/>
  <c r="K10" i="30"/>
  <c r="K27" i="30"/>
  <c r="AF54" i="30"/>
  <c r="AT57" i="30"/>
  <c r="AM47" i="30"/>
  <c r="BA33" i="30"/>
  <c r="BA46" i="30"/>
  <c r="AF30" i="30"/>
  <c r="Y22" i="30"/>
  <c r="AM54" i="30"/>
  <c r="AF61" i="30"/>
  <c r="D17" i="30"/>
  <c r="D31" i="30"/>
  <c r="AT29" i="30"/>
  <c r="BA61" i="30"/>
  <c r="AM8" i="30"/>
  <c r="AT45" i="30"/>
  <c r="AM36" i="30"/>
  <c r="AT51" i="30"/>
  <c r="Y21" i="30"/>
  <c r="AM44" i="30"/>
  <c r="Y35" i="30"/>
  <c r="AM65" i="30"/>
  <c r="BA15" i="30"/>
  <c r="AT55" i="30"/>
  <c r="AM64" i="30"/>
  <c r="BA12" i="30"/>
  <c r="R13" i="30"/>
  <c r="BA64" i="30"/>
  <c r="AT42" i="30"/>
  <c r="K16" i="30"/>
  <c r="K23" i="30"/>
  <c r="AF58" i="30"/>
  <c r="AT53" i="30"/>
  <c r="AM43" i="30"/>
  <c r="BA37" i="30"/>
  <c r="AT56" i="30"/>
  <c r="AF56" i="30"/>
  <c r="D8" i="30"/>
  <c r="AT18" i="30"/>
  <c r="AF68" i="30"/>
  <c r="AF71" i="30"/>
  <c r="R27" i="30"/>
  <c r="AM25" i="30"/>
  <c r="BA55" i="30"/>
  <c r="AT15" i="30"/>
  <c r="AF55" i="30"/>
  <c r="AF24" i="30"/>
  <c r="BA58" i="30"/>
  <c r="AF33" i="30"/>
  <c r="K14" i="30"/>
  <c r="AT38" i="30"/>
  <c r="R38" i="30"/>
  <c r="K28" i="30"/>
  <c r="AM45" i="30"/>
  <c r="AT35" i="30"/>
  <c r="D37" i="30"/>
  <c r="AF50" i="30"/>
  <c r="AM51" i="30"/>
  <c r="AT58" i="30"/>
  <c r="AF10" i="30"/>
  <c r="K21" i="30"/>
  <c r="AM16" i="30"/>
  <c r="K19" i="30"/>
  <c r="Y19" i="30"/>
  <c r="AF62" i="30"/>
  <c r="AM49" i="30"/>
  <c r="AT49" i="30"/>
  <c r="BA31" i="30"/>
  <c r="AM39" i="30"/>
  <c r="AT39" i="30"/>
  <c r="BA41" i="30"/>
  <c r="AM48" i="30"/>
  <c r="AT52" i="30"/>
  <c r="BA28" i="30"/>
  <c r="AF45" i="30"/>
  <c r="R34" i="30"/>
  <c r="D13" i="30"/>
  <c r="AT48" i="30"/>
  <c r="AM18" i="30"/>
  <c r="BA38" i="30"/>
  <c r="AF26" i="30"/>
  <c r="K37" i="30"/>
  <c r="AF51" i="30"/>
  <c r="D39" i="30"/>
  <c r="R39" i="30"/>
  <c r="AF39" i="30"/>
  <c r="AM37" i="30"/>
  <c r="AT37" i="30"/>
  <c r="BA43" i="30"/>
  <c r="AM27" i="30"/>
  <c r="AT27" i="30"/>
  <c r="BA53" i="30"/>
  <c r="AM24" i="30"/>
  <c r="AT40" i="30"/>
  <c r="BA40" i="30"/>
  <c r="AM50" i="30"/>
  <c r="Y18" i="30"/>
  <c r="D29" i="30"/>
  <c r="AM60" i="30"/>
  <c r="BA16" i="30"/>
  <c r="R18" i="30"/>
  <c r="AM26" i="30"/>
  <c r="Y10" i="30"/>
  <c r="D21" i="30"/>
  <c r="D11" i="30"/>
  <c r="R11" i="30"/>
  <c r="AF11" i="30"/>
  <c r="AM9" i="30"/>
  <c r="AT9" i="30"/>
  <c r="BA71" i="30"/>
  <c r="AF48" i="30"/>
  <c r="AM63" i="30"/>
  <c r="AT63" i="30"/>
  <c r="BA17" i="30"/>
  <c r="AT44" i="30"/>
  <c r="AM34" i="30"/>
  <c r="D24" i="30"/>
  <c r="AM22" i="30"/>
  <c r="K22" i="30"/>
  <c r="AF12" i="30"/>
  <c r="AT62" i="30"/>
  <c r="D25" i="30"/>
  <c r="Y14" i="30"/>
  <c r="AM38" i="30"/>
  <c r="R20" i="30"/>
  <c r="D38" i="30"/>
  <c r="Y28" i="30"/>
  <c r="AF73" i="30"/>
  <c r="BA35" i="30"/>
  <c r="AT10" i="30"/>
  <c r="K31" i="30"/>
  <c r="AT61" i="30"/>
  <c r="K8" i="30"/>
  <c r="AF52" i="30"/>
  <c r="R32" i="30"/>
  <c r="D10" i="30"/>
  <c r="D19" i="30"/>
  <c r="R19" i="30"/>
  <c r="AF19" i="30"/>
  <c r="AM17" i="30"/>
  <c r="AT17" i="30"/>
  <c r="BA63" i="30"/>
  <c r="AF40" i="30"/>
  <c r="AM71" i="30"/>
  <c r="AT71" i="30"/>
  <c r="BA9" i="30"/>
  <c r="AT20" i="30"/>
  <c r="BA60" i="30"/>
  <c r="AT66" i="30"/>
  <c r="AF13" i="30"/>
  <c r="K24" i="30"/>
  <c r="AM40" i="30"/>
  <c r="BA32" i="30"/>
  <c r="Y29" i="30"/>
  <c r="AM42" i="30"/>
  <c r="Y16" i="30"/>
  <c r="D26" i="30"/>
  <c r="AM68" i="30"/>
  <c r="K39" i="30"/>
  <c r="Y39" i="30"/>
  <c r="AF42" i="30"/>
  <c r="AM69" i="30"/>
  <c r="AT69" i="30"/>
  <c r="BA11" i="30"/>
  <c r="AM59" i="30"/>
  <c r="AT59" i="30"/>
  <c r="BA21" i="30"/>
  <c r="AT8" i="30"/>
  <c r="BA8" i="30"/>
  <c r="BA30" i="30"/>
  <c r="AF29" i="30"/>
  <c r="R8" i="30"/>
  <c r="BA29" i="30"/>
  <c r="AT64" i="30"/>
  <c r="AF72" i="30"/>
  <c r="BA54" i="30"/>
  <c r="AF21" i="30"/>
  <c r="K32" i="30"/>
  <c r="AF47" i="30"/>
  <c r="K11" i="30"/>
  <c r="Y11" i="30"/>
  <c r="AF70" i="30"/>
  <c r="AM41" i="30"/>
  <c r="AT41" i="30"/>
  <c r="BA39" i="30"/>
  <c r="AM31" i="30"/>
  <c r="AT31" i="30"/>
  <c r="BA49" i="30"/>
  <c r="AM32" i="30"/>
  <c r="BA36" i="30"/>
  <c r="Y13" i="30"/>
  <c r="Y9" i="30"/>
  <c r="D12" i="30"/>
  <c r="R33" i="30"/>
  <c r="AF49" i="30"/>
  <c r="K9" i="30"/>
  <c r="K36" i="30"/>
  <c r="AF25" i="30"/>
  <c r="BA42" i="30"/>
  <c r="AF69" i="30"/>
  <c r="R17" i="30"/>
  <c r="AM14" i="30"/>
  <c r="BA66" i="30"/>
  <c r="AF17" i="30"/>
  <c r="AT28" i="30"/>
  <c r="BA52" i="30"/>
  <c r="AT34" i="30"/>
  <c r="Y34" i="30"/>
  <c r="K13" i="30"/>
  <c r="R9" i="30"/>
  <c r="AF53" i="30"/>
  <c r="BA26" i="30"/>
  <c r="K12" i="30"/>
  <c r="R22" i="30"/>
  <c r="Y33" i="30"/>
  <c r="AF65" i="30"/>
  <c r="AT30" i="30"/>
  <c r="D9" i="30"/>
  <c r="D14" i="30"/>
  <c r="K25" i="30"/>
  <c r="R36" i="30"/>
  <c r="AF14" i="30"/>
  <c r="AF41" i="30"/>
  <c r="AT70" i="30"/>
  <c r="K20" i="30"/>
  <c r="AF20" i="30"/>
  <c r="D28" i="30"/>
  <c r="K38" i="30"/>
  <c r="Y17" i="30"/>
  <c r="AF28" i="30"/>
  <c r="AM46" i="30"/>
  <c r="BA34" i="30"/>
  <c r="AT14" i="30"/>
  <c r="BA14" i="30"/>
  <c r="AM56" i="30"/>
  <c r="AT60" i="30"/>
  <c r="BA20" i="30"/>
  <c r="AF64" i="30"/>
  <c r="R24" i="30"/>
  <c r="D20" i="30"/>
  <c r="AF9" i="30"/>
  <c r="AT22" i="30"/>
  <c r="D22" i="30"/>
  <c r="K33" i="30"/>
  <c r="Y12" i="30"/>
  <c r="AF22" i="30"/>
  <c r="AM30" i="30"/>
  <c r="BA50" i="30"/>
  <c r="Y20" i="30"/>
  <c r="D36" i="30"/>
  <c r="R14" i="30"/>
  <c r="Y25" i="30"/>
  <c r="AF36" i="30"/>
  <c r="AM70" i="30"/>
  <c r="BA10" i="30"/>
  <c r="R30" i="30"/>
  <c r="AT54" i="30"/>
  <c r="K17" i="30"/>
  <c r="R28" i="30"/>
  <c r="Y38" i="30"/>
  <c r="AF57" i="30"/>
  <c r="H68" i="4"/>
  <c r="G75" i="4" l="1"/>
  <c r="AS13" i="30" s="1"/>
  <c r="AV13" i="30" s="1"/>
  <c r="AM72" i="30"/>
  <c r="D40" i="30"/>
  <c r="K40" i="30"/>
  <c r="AF74" i="30"/>
  <c r="AT72" i="30"/>
  <c r="Y40" i="30"/>
  <c r="BA72" i="30"/>
  <c r="R40" i="30"/>
  <c r="C22" i="30" l="1"/>
  <c r="AE8" i="30"/>
  <c r="AE63" i="30"/>
  <c r="AH63" i="30" s="1"/>
  <c r="Q36" i="30"/>
  <c r="T36" i="30" s="1"/>
  <c r="C15" i="30"/>
  <c r="F15" i="30" s="1"/>
  <c r="J18" i="30"/>
  <c r="M18" i="30" s="1"/>
  <c r="X14" i="30"/>
  <c r="AA14" i="30" s="1"/>
  <c r="C24" i="30"/>
  <c r="C21" i="30"/>
  <c r="F21" i="30" s="1"/>
  <c r="Q19" i="30"/>
  <c r="T19" i="30" s="1"/>
  <c r="AE57" i="30"/>
  <c r="AH57" i="30" s="1"/>
  <c r="C38" i="30"/>
  <c r="AE47" i="30"/>
  <c r="AH47" i="30" s="1"/>
  <c r="X16" i="30"/>
  <c r="AA16" i="30" s="1"/>
  <c r="AE15" i="30"/>
  <c r="AH15" i="30" s="1"/>
  <c r="AE51" i="30"/>
  <c r="AH51" i="30" s="1"/>
  <c r="AE29" i="30"/>
  <c r="AH29" i="30" s="1"/>
  <c r="X11" i="30"/>
  <c r="AA11" i="30" s="1"/>
  <c r="J19" i="30"/>
  <c r="M19" i="30" s="1"/>
  <c r="AE30" i="30"/>
  <c r="AH30" i="30" s="1"/>
  <c r="J27" i="30"/>
  <c r="M27" i="30" s="1"/>
  <c r="AE38" i="30"/>
  <c r="AH38" i="30" s="1"/>
  <c r="X26" i="30"/>
  <c r="AA26" i="30" s="1"/>
  <c r="C36" i="30"/>
  <c r="AE21" i="30"/>
  <c r="AH21" i="30" s="1"/>
  <c r="AE66" i="30"/>
  <c r="AH66" i="30" s="1"/>
  <c r="Q14" i="30"/>
  <c r="T14" i="30" s="1"/>
  <c r="J20" i="30"/>
  <c r="M20" i="30" s="1"/>
  <c r="AE17" i="30"/>
  <c r="AH17" i="30" s="1"/>
  <c r="J16" i="30"/>
  <c r="M16" i="30" s="1"/>
  <c r="X33" i="30"/>
  <c r="AA33" i="30" s="1"/>
  <c r="AE45" i="30"/>
  <c r="AH45" i="30" s="1"/>
  <c r="Q23" i="30"/>
  <c r="T23" i="30" s="1"/>
  <c r="X25" i="30"/>
  <c r="AA25" i="30" s="1"/>
  <c r="AE49" i="30"/>
  <c r="AH49" i="30" s="1"/>
  <c r="Q38" i="30"/>
  <c r="T38" i="30" s="1"/>
  <c r="J36" i="30"/>
  <c r="M36" i="30" s="1"/>
  <c r="C32" i="30"/>
  <c r="Q17" i="30"/>
  <c r="T17" i="30" s="1"/>
  <c r="Q20" i="30"/>
  <c r="T20" i="30" s="1"/>
  <c r="X18" i="30"/>
  <c r="AA18" i="30" s="1"/>
  <c r="X8" i="30"/>
  <c r="AA8" i="30" s="1"/>
  <c r="Q22" i="30"/>
  <c r="T22" i="30" s="1"/>
  <c r="Q13" i="30"/>
  <c r="T13" i="30" s="1"/>
  <c r="AE11" i="30"/>
  <c r="AH11" i="30" s="1"/>
  <c r="C14" i="30"/>
  <c r="F14" i="30" s="1"/>
  <c r="J10" i="30"/>
  <c r="M10" i="30" s="1"/>
  <c r="AE23" i="30"/>
  <c r="AH23" i="30" s="1"/>
  <c r="C26" i="30"/>
  <c r="J22" i="30"/>
  <c r="M22" i="30" s="1"/>
  <c r="AE68" i="30"/>
  <c r="AH68" i="30" s="1"/>
  <c r="AE12" i="30"/>
  <c r="AH12" i="30" s="1"/>
  <c r="AE50" i="30"/>
  <c r="AH50" i="30" s="1"/>
  <c r="Q34" i="30"/>
  <c r="T34" i="30" s="1"/>
  <c r="J31" i="30"/>
  <c r="M31" i="30" s="1"/>
  <c r="X32" i="30"/>
  <c r="AA32" i="30" s="1"/>
  <c r="X35" i="30"/>
  <c r="AA35" i="30" s="1"/>
  <c r="AE56" i="30"/>
  <c r="AH56" i="30" s="1"/>
  <c r="J26" i="30"/>
  <c r="M26" i="30" s="1"/>
  <c r="C17" i="30"/>
  <c r="F17" i="30" s="1"/>
  <c r="Q32" i="30"/>
  <c r="T32" i="30" s="1"/>
  <c r="AE61" i="30"/>
  <c r="AH61" i="30" s="1"/>
  <c r="AL8" i="30"/>
  <c r="AO8" i="30" s="1"/>
  <c r="J13" i="30"/>
  <c r="M13" i="30" s="1"/>
  <c r="AE41" i="30"/>
  <c r="AH41" i="30" s="1"/>
  <c r="AE62" i="30"/>
  <c r="AH62" i="30" s="1"/>
  <c r="X20" i="30"/>
  <c r="AA20" i="30" s="1"/>
  <c r="X39" i="30"/>
  <c r="AA39" i="30" s="1"/>
  <c r="AS61" i="30"/>
  <c r="AV61" i="30" s="1"/>
  <c r="AE64" i="30"/>
  <c r="AH64" i="30" s="1"/>
  <c r="AS66" i="30"/>
  <c r="AV66" i="30" s="1"/>
  <c r="AS14" i="30"/>
  <c r="AV14" i="30" s="1"/>
  <c r="AE40" i="30"/>
  <c r="AH40" i="30" s="1"/>
  <c r="AE28" i="30"/>
  <c r="AH28" i="30" s="1"/>
  <c r="J37" i="30"/>
  <c r="M37" i="30" s="1"/>
  <c r="C37" i="30"/>
  <c r="AE31" i="30"/>
  <c r="AH31" i="30" s="1"/>
  <c r="C16" i="30"/>
  <c r="F16" i="30" s="1"/>
  <c r="Q33" i="30"/>
  <c r="T33" i="30" s="1"/>
  <c r="J21" i="30"/>
  <c r="M21" i="30" s="1"/>
  <c r="X19" i="30"/>
  <c r="AA19" i="30" s="1"/>
  <c r="X34" i="30"/>
  <c r="AA34" i="30" s="1"/>
  <c r="AE32" i="30"/>
  <c r="AH32" i="30" s="1"/>
  <c r="AE10" i="30"/>
  <c r="AH10" i="30" s="1"/>
  <c r="AE60" i="30"/>
  <c r="AH60" i="30" s="1"/>
  <c r="C18" i="30"/>
  <c r="F18" i="30" s="1"/>
  <c r="Q18" i="30"/>
  <c r="T18" i="30" s="1"/>
  <c r="J14" i="30"/>
  <c r="M14" i="30" s="1"/>
  <c r="X31" i="30"/>
  <c r="AA31" i="30" s="1"/>
  <c r="AE48" i="30"/>
  <c r="AH48" i="30" s="1"/>
  <c r="C11" i="30"/>
  <c r="F11" i="30" s="1"/>
  <c r="AE73" i="30"/>
  <c r="AH73" i="30" s="1"/>
  <c r="C13" i="30"/>
  <c r="F13" i="30" s="1"/>
  <c r="J15" i="30"/>
  <c r="M15" i="30" s="1"/>
  <c r="Q12" i="30"/>
  <c r="T12" i="30" s="1"/>
  <c r="AE72" i="30"/>
  <c r="AH72" i="30" s="1"/>
  <c r="Q8" i="30"/>
  <c r="AE16" i="30"/>
  <c r="AH16" i="30" s="1"/>
  <c r="C25" i="30"/>
  <c r="J35" i="30"/>
  <c r="M35" i="30" s="1"/>
  <c r="J9" i="30"/>
  <c r="M9" i="30" s="1"/>
  <c r="X22" i="30"/>
  <c r="AA22" i="30" s="1"/>
  <c r="AS38" i="30"/>
  <c r="AV38" i="30" s="1"/>
  <c r="AS45" i="30"/>
  <c r="AV45" i="30" s="1"/>
  <c r="AS29" i="30"/>
  <c r="AV29" i="30" s="1"/>
  <c r="Q35" i="30"/>
  <c r="T35" i="30" s="1"/>
  <c r="C19" i="30"/>
  <c r="F19" i="30" s="1"/>
  <c r="J38" i="30"/>
  <c r="M38" i="30" s="1"/>
  <c r="C8" i="30"/>
  <c r="AE44" i="30"/>
  <c r="AH44" i="30" s="1"/>
  <c r="AE70" i="30"/>
  <c r="AH70" i="30" s="1"/>
  <c r="C28" i="30"/>
  <c r="X12" i="30"/>
  <c r="AA12" i="30" s="1"/>
  <c r="Q15" i="30"/>
  <c r="T15" i="30" s="1"/>
  <c r="AE14" i="30"/>
  <c r="AH14" i="30" s="1"/>
  <c r="Q10" i="30"/>
  <c r="T10" i="30" s="1"/>
  <c r="X37" i="30"/>
  <c r="AA37" i="30" s="1"/>
  <c r="AE55" i="30"/>
  <c r="AH55" i="30" s="1"/>
  <c r="Q9" i="30"/>
  <c r="T9" i="30" s="1"/>
  <c r="Q27" i="30"/>
  <c r="T27" i="30" s="1"/>
  <c r="C39" i="30"/>
  <c r="AE9" i="30"/>
  <c r="AH9" i="30" s="1"/>
  <c r="J23" i="30"/>
  <c r="M23" i="30" s="1"/>
  <c r="AE43" i="30"/>
  <c r="AH43" i="30" s="1"/>
  <c r="Q21" i="30"/>
  <c r="T21" i="30" s="1"/>
  <c r="J24" i="30"/>
  <c r="M24" i="30" s="1"/>
  <c r="AE53" i="30"/>
  <c r="AH53" i="30" s="1"/>
  <c r="AL42" i="30"/>
  <c r="AO42" i="30" s="1"/>
  <c r="D5" i="30"/>
  <c r="B50" i="30" s="1"/>
  <c r="AZ9" i="30"/>
  <c r="BC9" i="30" s="1"/>
  <c r="AZ25" i="30"/>
  <c r="BC25" i="30" s="1"/>
  <c r="AZ41" i="30"/>
  <c r="BC41" i="30" s="1"/>
  <c r="AZ57" i="30"/>
  <c r="BC57" i="30" s="1"/>
  <c r="AL10" i="30"/>
  <c r="AO10" i="30" s="1"/>
  <c r="AL26" i="30"/>
  <c r="AO26" i="30" s="1"/>
  <c r="AL46" i="30"/>
  <c r="AO46" i="30" s="1"/>
  <c r="AS10" i="30"/>
  <c r="AV10" i="30" s="1"/>
  <c r="AS50" i="30"/>
  <c r="AV50" i="30" s="1"/>
  <c r="AZ14" i="30"/>
  <c r="BC14" i="30" s="1"/>
  <c r="AZ30" i="30"/>
  <c r="BC30" i="30" s="1"/>
  <c r="AZ46" i="30"/>
  <c r="BC46" i="30" s="1"/>
  <c r="AZ62" i="30"/>
  <c r="BC62" i="30" s="1"/>
  <c r="AL15" i="30"/>
  <c r="AO15" i="30" s="1"/>
  <c r="AL31" i="30"/>
  <c r="AO31" i="30" s="1"/>
  <c r="AL47" i="30"/>
  <c r="AO47" i="30" s="1"/>
  <c r="AL63" i="30"/>
  <c r="AO63" i="30" s="1"/>
  <c r="AS15" i="30"/>
  <c r="AV15" i="30" s="1"/>
  <c r="AS31" i="30"/>
  <c r="AV31" i="30" s="1"/>
  <c r="AS47" i="30"/>
  <c r="AV47" i="30" s="1"/>
  <c r="AS63" i="30"/>
  <c r="AV63" i="30" s="1"/>
  <c r="AL52" i="30"/>
  <c r="AO52" i="30" s="1"/>
  <c r="AS16" i="30"/>
  <c r="AV16" i="30" s="1"/>
  <c r="AS44" i="30"/>
  <c r="AV44" i="30" s="1"/>
  <c r="AZ11" i="30"/>
  <c r="BC11" i="30" s="1"/>
  <c r="AZ27" i="30"/>
  <c r="BC27" i="30" s="1"/>
  <c r="AZ43" i="30"/>
  <c r="BC43" i="30" s="1"/>
  <c r="AZ59" i="30"/>
  <c r="BC59" i="30" s="1"/>
  <c r="AL12" i="30"/>
  <c r="AO12" i="30" s="1"/>
  <c r="AL28" i="30"/>
  <c r="AO28" i="30" s="1"/>
  <c r="AL48" i="30"/>
  <c r="AO48" i="30" s="1"/>
  <c r="AS24" i="30"/>
  <c r="AV24" i="30" s="1"/>
  <c r="AS60" i="30"/>
  <c r="AV60" i="30" s="1"/>
  <c r="AZ20" i="30"/>
  <c r="BC20" i="30" s="1"/>
  <c r="AZ36" i="30"/>
  <c r="BC36" i="30" s="1"/>
  <c r="AZ52" i="30"/>
  <c r="BC52" i="30" s="1"/>
  <c r="AZ68" i="30"/>
  <c r="BC68" i="30" s="1"/>
  <c r="AL21" i="30"/>
  <c r="AO21" i="30" s="1"/>
  <c r="AL37" i="30"/>
  <c r="AO37" i="30" s="1"/>
  <c r="AL53" i="30"/>
  <c r="AO53" i="30" s="1"/>
  <c r="AL69" i="30"/>
  <c r="AO69" i="30" s="1"/>
  <c r="AS21" i="30"/>
  <c r="AV21" i="30" s="1"/>
  <c r="AS37" i="30"/>
  <c r="AV37" i="30" s="1"/>
  <c r="AS53" i="30"/>
  <c r="AV53" i="30" s="1"/>
  <c r="AS69" i="30"/>
  <c r="AV69" i="30" s="1"/>
  <c r="AL62" i="30"/>
  <c r="AO62" i="30" s="1"/>
  <c r="AS26" i="30"/>
  <c r="AV26" i="30" s="1"/>
  <c r="AS54" i="30"/>
  <c r="AV54" i="30" s="1"/>
  <c r="AE22" i="30"/>
  <c r="AH22" i="30" s="1"/>
  <c r="AE19" i="30"/>
  <c r="AH19" i="30" s="1"/>
  <c r="AZ13" i="30"/>
  <c r="BC13" i="30" s="1"/>
  <c r="AZ29" i="30"/>
  <c r="BC29" i="30" s="1"/>
  <c r="AZ45" i="30"/>
  <c r="BC45" i="30" s="1"/>
  <c r="AZ61" i="30"/>
  <c r="BC61" i="30" s="1"/>
  <c r="AL14" i="30"/>
  <c r="AO14" i="30" s="1"/>
  <c r="AL30" i="30"/>
  <c r="AO30" i="30" s="1"/>
  <c r="AL50" i="30"/>
  <c r="AO50" i="30" s="1"/>
  <c r="AS22" i="30"/>
  <c r="AV22" i="30" s="1"/>
  <c r="AS62" i="30"/>
  <c r="AV62" i="30" s="1"/>
  <c r="AZ18" i="30"/>
  <c r="BC18" i="30" s="1"/>
  <c r="AZ34" i="30"/>
  <c r="BC34" i="30" s="1"/>
  <c r="AZ50" i="30"/>
  <c r="BC50" i="30" s="1"/>
  <c r="AZ66" i="30"/>
  <c r="BC66" i="30" s="1"/>
  <c r="AL19" i="30"/>
  <c r="AO19" i="30" s="1"/>
  <c r="AL35" i="30"/>
  <c r="AO35" i="30" s="1"/>
  <c r="AL51" i="30"/>
  <c r="AO51" i="30" s="1"/>
  <c r="AL67" i="30"/>
  <c r="AO67" i="30" s="1"/>
  <c r="AS19" i="30"/>
  <c r="AV19" i="30" s="1"/>
  <c r="AS35" i="30"/>
  <c r="AV35" i="30" s="1"/>
  <c r="AS51" i="30"/>
  <c r="AV51" i="30" s="1"/>
  <c r="AS67" i="30"/>
  <c r="AV67" i="30" s="1"/>
  <c r="AL60" i="30"/>
  <c r="AO60" i="30" s="1"/>
  <c r="AS20" i="30"/>
  <c r="AV20" i="30" s="1"/>
  <c r="AS52" i="30"/>
  <c r="AV52" i="30" s="1"/>
  <c r="AZ15" i="30"/>
  <c r="BC15" i="30" s="1"/>
  <c r="AZ31" i="30"/>
  <c r="BC31" i="30" s="1"/>
  <c r="AZ47" i="30"/>
  <c r="BC47" i="30" s="1"/>
  <c r="AZ63" i="30"/>
  <c r="BC63" i="30" s="1"/>
  <c r="AL16" i="30"/>
  <c r="AO16" i="30" s="1"/>
  <c r="AL32" i="30"/>
  <c r="AO32" i="30" s="1"/>
  <c r="AL56" i="30"/>
  <c r="AO56" i="30" s="1"/>
  <c r="AS32" i="30"/>
  <c r="AV32" i="30" s="1"/>
  <c r="AS68" i="30"/>
  <c r="AV68" i="30" s="1"/>
  <c r="AZ24" i="30"/>
  <c r="BC24" i="30" s="1"/>
  <c r="AZ40" i="30"/>
  <c r="BC40" i="30" s="1"/>
  <c r="AZ56" i="30"/>
  <c r="BC56" i="30" s="1"/>
  <c r="AL9" i="30"/>
  <c r="AO9" i="30" s="1"/>
  <c r="AL25" i="30"/>
  <c r="AO25" i="30" s="1"/>
  <c r="AL41" i="30"/>
  <c r="AO41" i="30" s="1"/>
  <c r="AL57" i="30"/>
  <c r="AO57" i="30" s="1"/>
  <c r="AS9" i="30"/>
  <c r="AV9" i="30" s="1"/>
  <c r="AS25" i="30"/>
  <c r="AV25" i="30" s="1"/>
  <c r="AS41" i="30"/>
  <c r="AV41" i="30" s="1"/>
  <c r="AS57" i="30"/>
  <c r="AV57" i="30" s="1"/>
  <c r="Q26" i="30"/>
  <c r="T26" i="30" s="1"/>
  <c r="AL70" i="30"/>
  <c r="AO70" i="30" s="1"/>
  <c r="AS34" i="30"/>
  <c r="AV34" i="30" s="1"/>
  <c r="AS58" i="30"/>
  <c r="AV58" i="30" s="1"/>
  <c r="AE26" i="30"/>
  <c r="AH26" i="30" s="1"/>
  <c r="AE37" i="30"/>
  <c r="AH37" i="30" s="1"/>
  <c r="X38" i="30"/>
  <c r="AA38" i="30" s="1"/>
  <c r="X23" i="30"/>
  <c r="AA23" i="30" s="1"/>
  <c r="J25" i="30"/>
  <c r="M25" i="30" s="1"/>
  <c r="Q37" i="30"/>
  <c r="T37" i="30" s="1"/>
  <c r="C20" i="30"/>
  <c r="X17" i="30"/>
  <c r="AA17" i="30" s="1"/>
  <c r="AS8" i="30"/>
  <c r="C10" i="30"/>
  <c r="F10" i="30" s="1"/>
  <c r="AE33" i="30"/>
  <c r="AH33" i="30" s="1"/>
  <c r="AE25" i="30"/>
  <c r="AH25" i="30" s="1"/>
  <c r="AE36" i="30"/>
  <c r="AH36" i="30" s="1"/>
  <c r="X9" i="30"/>
  <c r="AA9" i="30" s="1"/>
  <c r="X10" i="30"/>
  <c r="AA10" i="30" s="1"/>
  <c r="J12" i="30"/>
  <c r="M12" i="30" s="1"/>
  <c r="Q28" i="30"/>
  <c r="T28" i="30" s="1"/>
  <c r="Q25" i="30"/>
  <c r="T25" i="30" s="1"/>
  <c r="J39" i="30"/>
  <c r="M39" i="30" s="1"/>
  <c r="AE39" i="30"/>
  <c r="AH39" i="30" s="1"/>
  <c r="C29" i="30"/>
  <c r="J29" i="30"/>
  <c r="M29" i="30" s="1"/>
  <c r="AE20" i="30"/>
  <c r="AH20" i="30" s="1"/>
  <c r="AE13" i="30"/>
  <c r="AH13" i="30" s="1"/>
  <c r="J8" i="30"/>
  <c r="C23" i="30"/>
  <c r="F23" i="30" s="1"/>
  <c r="C35" i="30"/>
  <c r="Q31" i="30"/>
  <c r="T31" i="30" s="1"/>
  <c r="Q16" i="30"/>
  <c r="T16" i="30" s="1"/>
  <c r="X28" i="30"/>
  <c r="AA28" i="30" s="1"/>
  <c r="X29" i="30"/>
  <c r="AA29" i="30" s="1"/>
  <c r="AE67" i="30"/>
  <c r="AH67" i="30" s="1"/>
  <c r="J32" i="30"/>
  <c r="M32" i="30" s="1"/>
  <c r="AE54" i="30"/>
  <c r="AH54" i="30" s="1"/>
  <c r="C34" i="30"/>
  <c r="C31" i="30"/>
  <c r="AZ17" i="30"/>
  <c r="BC17" i="30" s="1"/>
  <c r="AZ33" i="30"/>
  <c r="BC33" i="30" s="1"/>
  <c r="AZ49" i="30"/>
  <c r="BC49" i="30" s="1"/>
  <c r="AZ65" i="30"/>
  <c r="BC65" i="30" s="1"/>
  <c r="AL18" i="30"/>
  <c r="AO18" i="30" s="1"/>
  <c r="AL34" i="30"/>
  <c r="AO34" i="30" s="1"/>
  <c r="AL58" i="30"/>
  <c r="AO58" i="30" s="1"/>
  <c r="AS30" i="30"/>
  <c r="AV30" i="30" s="1"/>
  <c r="AS70" i="30"/>
  <c r="AV70" i="30" s="1"/>
  <c r="AZ22" i="30"/>
  <c r="BC22" i="30" s="1"/>
  <c r="AZ38" i="30"/>
  <c r="BC38" i="30" s="1"/>
  <c r="AZ54" i="30"/>
  <c r="BC54" i="30" s="1"/>
  <c r="AZ70" i="30"/>
  <c r="BC70" i="30" s="1"/>
  <c r="AL23" i="30"/>
  <c r="AO23" i="30" s="1"/>
  <c r="AL39" i="30"/>
  <c r="AO39" i="30" s="1"/>
  <c r="AL55" i="30"/>
  <c r="AO55" i="30" s="1"/>
  <c r="AL71" i="30"/>
  <c r="AO71" i="30" s="1"/>
  <c r="AS23" i="30"/>
  <c r="AV23" i="30" s="1"/>
  <c r="AS39" i="30"/>
  <c r="AV39" i="30" s="1"/>
  <c r="AS55" i="30"/>
  <c r="AV55" i="30" s="1"/>
  <c r="AS71" i="30"/>
  <c r="AV71" i="30" s="1"/>
  <c r="AL68" i="30"/>
  <c r="AO68" i="30" s="1"/>
  <c r="AS28" i="30"/>
  <c r="AV28" i="30" s="1"/>
  <c r="AS56" i="30"/>
  <c r="AV56" i="30" s="1"/>
  <c r="AZ19" i="30"/>
  <c r="BC19" i="30" s="1"/>
  <c r="AZ35" i="30"/>
  <c r="BC35" i="30" s="1"/>
  <c r="AZ51" i="30"/>
  <c r="BC51" i="30" s="1"/>
  <c r="AZ67" i="30"/>
  <c r="BC67" i="30" s="1"/>
  <c r="AL20" i="30"/>
  <c r="AO20" i="30" s="1"/>
  <c r="AL36" i="30"/>
  <c r="AO36" i="30" s="1"/>
  <c r="AL64" i="30"/>
  <c r="AO64" i="30" s="1"/>
  <c r="AS40" i="30"/>
  <c r="AV40" i="30" s="1"/>
  <c r="AZ12" i="30"/>
  <c r="BC12" i="30" s="1"/>
  <c r="AZ28" i="30"/>
  <c r="BC28" i="30" s="1"/>
  <c r="AZ44" i="30"/>
  <c r="BC44" i="30" s="1"/>
  <c r="AZ60" i="30"/>
  <c r="BC60" i="30" s="1"/>
  <c r="AL13" i="30"/>
  <c r="AO13" i="30" s="1"/>
  <c r="AL29" i="30"/>
  <c r="AO29" i="30" s="1"/>
  <c r="AL45" i="30"/>
  <c r="AO45" i="30" s="1"/>
  <c r="AL61" i="30"/>
  <c r="AO61" i="30" s="1"/>
  <c r="AZ21" i="30"/>
  <c r="BC21" i="30" s="1"/>
  <c r="AZ37" i="30"/>
  <c r="BC37" i="30" s="1"/>
  <c r="AZ53" i="30"/>
  <c r="BC53" i="30" s="1"/>
  <c r="AZ69" i="30"/>
  <c r="BC69" i="30" s="1"/>
  <c r="AL22" i="30"/>
  <c r="AO22" i="30" s="1"/>
  <c r="AL38" i="30"/>
  <c r="AO38" i="30" s="1"/>
  <c r="AL66" i="30"/>
  <c r="AO66" i="30" s="1"/>
  <c r="AS42" i="30"/>
  <c r="AV42" i="30" s="1"/>
  <c r="AZ10" i="30"/>
  <c r="BC10" i="30" s="1"/>
  <c r="AZ26" i="30"/>
  <c r="BC26" i="30" s="1"/>
  <c r="AZ42" i="30"/>
  <c r="BC42" i="30" s="1"/>
  <c r="AZ58" i="30"/>
  <c r="BC58" i="30" s="1"/>
  <c r="AL11" i="30"/>
  <c r="AO11" i="30" s="1"/>
  <c r="AL27" i="30"/>
  <c r="AO27" i="30" s="1"/>
  <c r="AL43" i="30"/>
  <c r="AO43" i="30" s="1"/>
  <c r="AL59" i="30"/>
  <c r="AO59" i="30" s="1"/>
  <c r="AS11" i="30"/>
  <c r="AV11" i="30" s="1"/>
  <c r="AS27" i="30"/>
  <c r="AV27" i="30" s="1"/>
  <c r="AS43" i="30"/>
  <c r="AV43" i="30" s="1"/>
  <c r="AS59" i="30"/>
  <c r="AV59" i="30" s="1"/>
  <c r="AL40" i="30"/>
  <c r="AO40" i="30" s="1"/>
  <c r="AS12" i="30"/>
  <c r="AV12" i="30" s="1"/>
  <c r="AS36" i="30"/>
  <c r="AV36" i="30" s="1"/>
  <c r="AS64" i="30"/>
  <c r="AV64" i="30" s="1"/>
  <c r="AZ23" i="30"/>
  <c r="BC23" i="30" s="1"/>
  <c r="AZ39" i="30"/>
  <c r="BC39" i="30" s="1"/>
  <c r="AZ55" i="30"/>
  <c r="BC55" i="30" s="1"/>
  <c r="AZ71" i="30"/>
  <c r="BC71" i="30" s="1"/>
  <c r="AL24" i="30"/>
  <c r="AO24" i="30" s="1"/>
  <c r="AL44" i="30"/>
  <c r="AO44" i="30" s="1"/>
  <c r="AL72" i="30"/>
  <c r="AS48" i="30"/>
  <c r="AV48" i="30" s="1"/>
  <c r="AZ16" i="30"/>
  <c r="BC16" i="30" s="1"/>
  <c r="AZ32" i="30"/>
  <c r="BC32" i="30" s="1"/>
  <c r="AZ48" i="30"/>
  <c r="BC48" i="30" s="1"/>
  <c r="AZ64" i="30"/>
  <c r="BC64" i="30" s="1"/>
  <c r="AL17" i="30"/>
  <c r="AO17" i="30" s="1"/>
  <c r="AL33" i="30"/>
  <c r="AO33" i="30" s="1"/>
  <c r="AO72" i="30" s="1"/>
  <c r="AL49" i="30"/>
  <c r="AO49" i="30" s="1"/>
  <c r="AL65" i="30"/>
  <c r="AO65" i="30" s="1"/>
  <c r="AS17" i="30"/>
  <c r="AV17" i="30" s="1"/>
  <c r="AS33" i="30"/>
  <c r="AV33" i="30" s="1"/>
  <c r="AS49" i="30"/>
  <c r="AV49" i="30" s="1"/>
  <c r="AS65" i="30"/>
  <c r="AV65" i="30" s="1"/>
  <c r="AL54" i="30"/>
  <c r="AO54" i="30" s="1"/>
  <c r="AS18" i="30"/>
  <c r="AV18" i="30" s="1"/>
  <c r="AS46" i="30"/>
  <c r="AV46" i="30" s="1"/>
  <c r="AE18" i="30"/>
  <c r="AH18" i="30" s="1"/>
  <c r="J11" i="30"/>
  <c r="M11" i="30" s="1"/>
  <c r="J34" i="30"/>
  <c r="M34" i="30" s="1"/>
  <c r="Q39" i="30"/>
  <c r="T39" i="30" s="1"/>
  <c r="Q24" i="30"/>
  <c r="T24" i="30" s="1"/>
  <c r="X36" i="30"/>
  <c r="AA36" i="30" s="1"/>
  <c r="Q30" i="30"/>
  <c r="T30" i="30" s="1"/>
  <c r="AE59" i="30"/>
  <c r="AH59" i="30" s="1"/>
  <c r="C9" i="30"/>
  <c r="F9" i="30" s="1"/>
  <c r="X21" i="30"/>
  <c r="AA21" i="30" s="1"/>
  <c r="AZ8" i="30"/>
  <c r="BC8" i="30" s="1"/>
  <c r="J30" i="30"/>
  <c r="M30" i="30" s="1"/>
  <c r="C27" i="30"/>
  <c r="F27" i="30" s="1"/>
  <c r="AE46" i="30"/>
  <c r="AH46" i="30" s="1"/>
  <c r="AE42" i="30"/>
  <c r="AH42" i="30" s="1"/>
  <c r="Q11" i="30"/>
  <c r="T11" i="30" s="1"/>
  <c r="X27" i="30"/>
  <c r="AA27" i="30" s="1"/>
  <c r="X24" i="30"/>
  <c r="AA24" i="30" s="1"/>
  <c r="X13" i="30"/>
  <c r="AA13" i="30" s="1"/>
  <c r="AE71" i="30"/>
  <c r="AH71" i="30" s="1"/>
  <c r="J28" i="30"/>
  <c r="M28" i="30" s="1"/>
  <c r="AE58" i="30"/>
  <c r="AH58" i="30" s="1"/>
  <c r="C30" i="30"/>
  <c r="AE65" i="30"/>
  <c r="AH65" i="30" s="1"/>
  <c r="AE52" i="30"/>
  <c r="AH52" i="30" s="1"/>
  <c r="AE69" i="30"/>
  <c r="AH69" i="30" s="1"/>
  <c r="AE27" i="30"/>
  <c r="AH27" i="30" s="1"/>
  <c r="X30" i="30"/>
  <c r="AA30" i="30" s="1"/>
  <c r="X15" i="30"/>
  <c r="AA15" i="30" s="1"/>
  <c r="J17" i="30"/>
  <c r="M17" i="30" s="1"/>
  <c r="Q29" i="30"/>
  <c r="T29" i="30" s="1"/>
  <c r="C12" i="30"/>
  <c r="F12" i="30" s="1"/>
  <c r="AE35" i="30"/>
  <c r="AH35" i="30" s="1"/>
  <c r="C33" i="30"/>
  <c r="J33" i="30"/>
  <c r="M33" i="30" s="1"/>
  <c r="AE24" i="30"/>
  <c r="AH24" i="30" s="1"/>
  <c r="AE34" i="30"/>
  <c r="AH34" i="30" s="1"/>
  <c r="C6" i="29"/>
  <c r="F25" i="30"/>
  <c r="F29" i="30"/>
  <c r="F37" i="30"/>
  <c r="F22" i="30"/>
  <c r="F26" i="30" s="1"/>
  <c r="AV8" i="30"/>
  <c r="T8" i="30"/>
  <c r="F8" i="30"/>
  <c r="AH8" i="30"/>
  <c r="F31" i="30"/>
  <c r="M8" i="30"/>
  <c r="T40" i="30" l="1"/>
  <c r="AA40" i="30"/>
  <c r="M40" i="30"/>
  <c r="AV72" i="30"/>
  <c r="AH74" i="30"/>
  <c r="BC72" i="30"/>
  <c r="F33" i="30"/>
  <c r="F30" i="30"/>
  <c r="F34" i="30" s="1"/>
  <c r="F38" i="30" s="1"/>
  <c r="F20" i="30"/>
  <c r="F24" i="30" s="1"/>
  <c r="F28" i="30" s="1"/>
  <c r="F32" i="30" s="1"/>
  <c r="F36" i="30" s="1"/>
  <c r="AS72" i="30"/>
  <c r="J40" i="30"/>
  <c r="X40" i="30"/>
  <c r="F35" i="30"/>
  <c r="F39" i="30" s="1"/>
  <c r="AZ72" i="30"/>
  <c r="C40" i="30"/>
  <c r="AE74" i="30"/>
  <c r="Q40" i="30"/>
  <c r="C2" i="29"/>
  <c r="F40" i="30" l="1"/>
  <c r="B48" i="30" s="1"/>
  <c r="C8" i="29"/>
</calcChain>
</file>

<file path=xl/comments1.xml><?xml version="1.0" encoding="utf-8"?>
<comments xmlns="http://schemas.openxmlformats.org/spreadsheetml/2006/main">
  <authors>
    <author>Patrícia Blomberg</author>
    <author>BLOMBERG Patricia -EXT</author>
    <author>Windows User</author>
  </authors>
  <commentList>
    <comment ref="E23" authorId="0">
      <text>
        <r>
          <rPr>
            <b/>
            <sz val="9"/>
            <color indexed="81"/>
            <rFont val="Tahoma"/>
            <family val="2"/>
          </rPr>
          <t>Patrícia Blomberg:</t>
        </r>
        <r>
          <rPr>
            <sz val="9"/>
            <color indexed="81"/>
            <rFont val="Tahoma"/>
            <family val="2"/>
          </rPr>
          <t xml:space="preserve">
área comum</t>
        </r>
      </text>
    </comment>
    <comment ref="B40" authorId="1">
      <text>
        <r>
          <rPr>
            <b/>
            <sz val="9"/>
            <color indexed="81"/>
            <rFont val="Tahoma"/>
            <family val="2"/>
          </rPr>
          <t>BLOMBERG Patricia -OBRIGATÓRIO</t>
        </r>
        <r>
          <rPr>
            <sz val="9"/>
            <color indexed="81"/>
            <rFont val="Tahoma"/>
            <family val="2"/>
          </rPr>
          <t xml:space="preserve">
Os condomínios residenciais e comerciais devem, por força de lei, constituir e treinar uma brigada de incêndio, formada por moradores e funcionários. Trata-se de medida para evitar tragédias em caso de incêndio, explosão, vazamento de gás e outros sinistros graves. feito em 2016 - incluir na nova previsão em 2020 (válido 4 anos)
</t>
        </r>
      </text>
    </comment>
    <comment ref="B41" authorId="2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PROVISIONAR MAIS 1000 DE TAXAS</t>
        </r>
      </text>
    </comment>
  </commentList>
</comments>
</file>

<file path=xl/sharedStrings.xml><?xml version="1.0" encoding="utf-8"?>
<sst xmlns="http://schemas.openxmlformats.org/spreadsheetml/2006/main" count="214" uniqueCount="153">
  <si>
    <t>DESPESAS ORDINÁRIAS</t>
  </si>
  <si>
    <t>Prev. Orç Mensal</t>
  </si>
  <si>
    <t>N°</t>
  </si>
  <si>
    <t>Prev. Orç Anual</t>
  </si>
  <si>
    <t>Descrição</t>
  </si>
  <si>
    <t>Gasto Real</t>
  </si>
  <si>
    <t>Previsto</t>
  </si>
  <si>
    <t>Variação</t>
  </si>
  <si>
    <t>Cto Portaria</t>
  </si>
  <si>
    <t>INSS PATRONAL 20%</t>
  </si>
  <si>
    <t>Cto Limpeza</t>
  </si>
  <si>
    <t>Admin</t>
  </si>
  <si>
    <t>Tubulação-Fiação</t>
  </si>
  <si>
    <t>Extintores</t>
  </si>
  <si>
    <t>MANUTENÇÃO ELEVADOR</t>
  </si>
  <si>
    <t>LIMPEZA E SUCÇÃO DE CAIXAS DE GORDURA E LODO BIOLÓGICO(PORTO ALEGRE DESINTUPIDORA)</t>
  </si>
  <si>
    <t>MANUTENÇÃO PORTÃO GARAGEM</t>
  </si>
  <si>
    <t>Móveis</t>
  </si>
  <si>
    <t>Lixeiras</t>
  </si>
  <si>
    <t>MATERIAL DE LIMPEZA PISCINA</t>
  </si>
  <si>
    <t>Hidrômetros</t>
  </si>
  <si>
    <t>Locação</t>
  </si>
  <si>
    <t>MANUTENÇÃO PERGOLADOS/PLAYGROUND/BANCOS (MATERIAL E M.O.)</t>
  </si>
  <si>
    <t>MATERIAL DE MANUTENÇÃO DE SINALIZAÇÃO</t>
  </si>
  <si>
    <t>CONSERTO DE FECHADURAS E ACESSORIOS</t>
  </si>
  <si>
    <t xml:space="preserve">LOCAÇÃO DE CONTEINER </t>
  </si>
  <si>
    <t>MATERIAL MANUTENÇÃO PORTAS E VIDROS</t>
  </si>
  <si>
    <t>Devolução pgto a maior</t>
  </si>
  <si>
    <t>Material Psicina</t>
  </si>
  <si>
    <t>Desinsetização</t>
  </si>
  <si>
    <t>DESPESAS COPIAS</t>
  </si>
  <si>
    <t>TARIFA BANCARIA</t>
  </si>
  <si>
    <t>CERTIFICADO DIGITAL ( ANUAL)</t>
  </si>
  <si>
    <t xml:space="preserve">CARTORIO </t>
  </si>
  <si>
    <t>ENERGIA ELÉTRICA</t>
  </si>
  <si>
    <t>ÁGUA E ESGOTO</t>
  </si>
  <si>
    <t>GÁS</t>
  </si>
  <si>
    <t>TELEFONE FIXO/MÓVEL E INTERNET</t>
  </si>
  <si>
    <t>SEGUROS PATRIMONIAIS</t>
  </si>
  <si>
    <t>SubTotal</t>
  </si>
  <si>
    <t>CONTA FUNDO DE RESERVA</t>
  </si>
  <si>
    <t>BOXES</t>
  </si>
  <si>
    <t>PEÇAS ELEVADOR</t>
  </si>
  <si>
    <t>inss</t>
  </si>
  <si>
    <t>VR</t>
  </si>
  <si>
    <t>VT</t>
  </si>
  <si>
    <t>TAXA</t>
  </si>
  <si>
    <t>Fundo de reserva (fixo)</t>
  </si>
  <si>
    <t>RENOVAÇÃO ALVARÁ PPCI ( 2 EM 2 ANOS)</t>
  </si>
  <si>
    <t>MATERIAL DE LIMPEZA</t>
  </si>
  <si>
    <r>
      <t xml:space="preserve">TOTAL GERAL DOS CUSTOS 2017 </t>
    </r>
    <r>
      <rPr>
        <b/>
        <sz val="16"/>
        <rFont val="Calibri"/>
        <family val="2"/>
      </rPr>
      <t>(Previsto)</t>
    </r>
  </si>
  <si>
    <t>DESPESAS COM PROCESSOS  COBRANÇA</t>
  </si>
  <si>
    <t>COMPRA DE LÂMPADAS E MAT ELÊTRICOS ( LED)/PEÇAS</t>
  </si>
  <si>
    <t>SINDICATO</t>
  </si>
  <si>
    <t>MATERIAL DE ESCRITÓRIO</t>
  </si>
  <si>
    <t>MANUTENÇÃO CERCA ELÉTRICA</t>
  </si>
  <si>
    <t>LIMPEZA DE AR CONDICIONADO SALÃO DE FESTAS/PORTARIA</t>
  </si>
  <si>
    <t>MANUTENÇÕES DIVERSAS</t>
  </si>
  <si>
    <t>MANUTENÇÃO CÂMERAS DE SEGURANÇA</t>
  </si>
  <si>
    <t>ALUGUEL DE RETROPROJETOR</t>
  </si>
  <si>
    <t>índice de reajuste</t>
  </si>
  <si>
    <t>Valor</t>
  </si>
  <si>
    <t>número de aptos</t>
  </si>
  <si>
    <t>SUBTOTAL</t>
  </si>
  <si>
    <t>ECONOMIA</t>
  </si>
  <si>
    <t>FRAÇÃO</t>
  </si>
  <si>
    <t>VALOR</t>
  </si>
  <si>
    <t>FUNDO 1</t>
  </si>
  <si>
    <t>FUNDO 2</t>
  </si>
  <si>
    <t>TOTAL</t>
  </si>
  <si>
    <t>CHECK PERCENTUAIS</t>
  </si>
  <si>
    <t>LTIP</t>
  </si>
  <si>
    <t>PLANO DE COMBATE Á INCÊNDIO- CURSO BRIGADISTA 4 em 4 anos</t>
  </si>
  <si>
    <t>CONVÊNIO MÉDICO</t>
  </si>
  <si>
    <t>CESTA BÁSICA</t>
  </si>
  <si>
    <r>
      <t xml:space="preserve">Taxa </t>
    </r>
    <r>
      <rPr>
        <sz val="11"/>
        <color rgb="FFFF0000"/>
        <rFont val="Calibri"/>
        <family val="2"/>
        <scheme val="minor"/>
      </rPr>
      <t>sem</t>
    </r>
    <r>
      <rPr>
        <sz val="11"/>
        <color theme="1"/>
        <rFont val="Calibri"/>
        <family val="2"/>
        <scheme val="minor"/>
      </rPr>
      <t xml:space="preserve"> fundo  ( principal)</t>
    </r>
  </si>
  <si>
    <t>INADIMPLÊNCIA</t>
  </si>
  <si>
    <t>TOTAL DA PREVISÃO ORÇAMENTÁRIA FUNDOS DE RESERVA</t>
  </si>
  <si>
    <t>TOTAL DA PREVISÃO ORÇAMENTÁRIA  (SEM FUNDOS)</t>
  </si>
  <si>
    <t xml:space="preserve">TOTAL DA PREVISÃO ORÇAMENTÁRIA FUNDOS DE OBRAS </t>
  </si>
  <si>
    <t>ORÇAMENTO</t>
  </si>
  <si>
    <t>TAXA C/ FUNDO</t>
  </si>
  <si>
    <t>inss patronal</t>
  </si>
  <si>
    <t>Referência</t>
  </si>
  <si>
    <t>Salário</t>
  </si>
  <si>
    <t>outras entidades</t>
  </si>
  <si>
    <t>Insalubridade</t>
  </si>
  <si>
    <t>fap</t>
  </si>
  <si>
    <t>Desconto VT</t>
  </si>
  <si>
    <t>Provisão 13°</t>
  </si>
  <si>
    <t>Provisão inss 13°</t>
  </si>
  <si>
    <t>Provisão fgts 13°</t>
  </si>
  <si>
    <t>Provisão 1/3 Férias</t>
  </si>
  <si>
    <t>Provisão Inss 1/3 Férias</t>
  </si>
  <si>
    <t>Provisão fgts 1/3 Férias</t>
  </si>
  <si>
    <t>Fgts</t>
  </si>
  <si>
    <t>Provisão Rescisão</t>
  </si>
  <si>
    <t>Pis sobre a Folha</t>
  </si>
  <si>
    <t>Provisão aviso prévio</t>
  </si>
  <si>
    <t>AD Noturno</t>
  </si>
  <si>
    <t>porteiro noturno</t>
  </si>
  <si>
    <t>[16:47, 7/5/2018] +55 73 8151-4214: 1 - Camareira</t>
  </si>
  <si>
    <t>[16:47, 7/5/2018] +55 73 8151-4214: 2 Eletricista</t>
  </si>
  <si>
    <t>[16:48, 7/5/2018] +55 73 8151-4214: 3 Governanta de hotelaria</t>
  </si>
  <si>
    <t>[16:49, 7/5/2018] +55 73 8151-4214: 4 Porteiro de Edificios</t>
  </si>
  <si>
    <t>[16:50, 7/5/2018] +55 73 8151-4214: 5 Auxiliar de Manutenção Predial</t>
  </si>
  <si>
    <t>[16:50, 7/5/2018] +55 73 8151-4214: 6 Recepcionista</t>
  </si>
  <si>
    <t>[16:51, 7/5/2018] +55 73 8151-4214: 7 Auxiliar administrativo</t>
  </si>
  <si>
    <t>Camareira</t>
  </si>
  <si>
    <t>Eletricista</t>
  </si>
  <si>
    <t>Governanta</t>
  </si>
  <si>
    <t>Auxiliar de manutenção predial</t>
  </si>
  <si>
    <t>Recepcionista</t>
  </si>
  <si>
    <t>Auxiliar adm</t>
  </si>
  <si>
    <t>Vale alimentação</t>
  </si>
  <si>
    <t>Vale Transporte</t>
  </si>
  <si>
    <t>Funcionários</t>
  </si>
  <si>
    <t>FOLHA DE PAGAMENTO</t>
  </si>
  <si>
    <t>Anuênio</t>
  </si>
  <si>
    <t>provisões</t>
  </si>
  <si>
    <t>folha</t>
  </si>
  <si>
    <t>PROVISÕES DA FOLHA + FERIADOS</t>
  </si>
  <si>
    <t>PMSO/PPRA/LTCAT/CIPA/NR35</t>
  </si>
  <si>
    <t>UNIFORMES/EPI</t>
  </si>
  <si>
    <t>CONTABILIDADE</t>
  </si>
  <si>
    <t>CTO QUIMICA PISCINA/JARDIM</t>
  </si>
  <si>
    <t xml:space="preserve"> MANUTENÇÃO CAIXA DE ÁGUA</t>
  </si>
  <si>
    <t xml:space="preserve">DESINSETIZAÇÃO E DESRATIFICAÇÃO </t>
  </si>
  <si>
    <t>MANUTENÇÃO BOMBAS E FILTROS  ( PAINEL CAIXA DE ÁGUA E MOTOR PISCINA)</t>
  </si>
  <si>
    <t xml:space="preserve">RECARGA DOS EXTINTORES/MANUTENÇÃO DAS MANGUEIRAS </t>
  </si>
  <si>
    <t xml:space="preserve">Fundo de Reserva </t>
  </si>
  <si>
    <t>Orçamento de Junho de 2018 até junho de 2019</t>
  </si>
  <si>
    <t>Condomínio</t>
  </si>
  <si>
    <t>CONTRATO PORTARIA</t>
  </si>
  <si>
    <t>CONTRATO LIMPEZA</t>
  </si>
  <si>
    <t>CONTRATO PORTARIA/LIMPEZA</t>
  </si>
  <si>
    <t>CONSELHEIROS (3)/SUBSINDICO</t>
  </si>
  <si>
    <t>50% DA TAXA</t>
  </si>
  <si>
    <t>DIRF/RAIS/DES</t>
  </si>
  <si>
    <t>SISTEMA</t>
  </si>
  <si>
    <t>DECORAÇÃO,COMEMORAÇÕES</t>
  </si>
  <si>
    <t xml:space="preserve">PH CAIXA DAGUA, DESINSETIZAÇÃO E DESRATIFICAÇÃO , MANUTENÇÃO BOMBAS E FILTROS </t>
  </si>
  <si>
    <t>MANUTENÇÃO  REG GÁS</t>
  </si>
  <si>
    <t>SERRALHEIRO</t>
  </si>
  <si>
    <t>DESPESAS ASSEMBLÉIAS DE CONDOMÍNIO ( PROJETANDO 1 ASSEMBLÉIAS)</t>
  </si>
  <si>
    <t>PROLABORE/ISENÇÃO SÍNDICO</t>
  </si>
  <si>
    <t>ADMINISTRADORA  DE CONDOMÍNIO</t>
  </si>
  <si>
    <t xml:space="preserve">MANUTENÇÃO PÁGINA WEB </t>
  </si>
  <si>
    <t>Fundo de Obras/Equipagem</t>
  </si>
  <si>
    <t>Fundo xxx</t>
  </si>
  <si>
    <t>TOTAL DA PREVISÃO ORÇAMENTÁRIA FUNDOS</t>
  </si>
  <si>
    <t>Fundo de obras</t>
  </si>
  <si>
    <t>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</si>
</sst>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_ ;\-#,##0.00\ "/>
    <numFmt numFmtId="167" formatCode="#,##0.00_ ;[Red]\-#,##0.00\ "/>
    <numFmt numFmtId="168" formatCode="0_ ;\-0\ "/>
    <numFmt numFmtId="169" formatCode="[$R$-416]\ #,##0.00;[Red]\-[$R$-416]\ #,##0.00"/>
    <numFmt numFmtId="170" formatCode="#,##0.000000"/>
    <numFmt numFmtId="171" formatCode="000"/>
    <numFmt numFmtId="172" formatCode="[$R$-416]#,##0.00;[Red]\-[$R$-416]#,##0.00"/>
    <numFmt numFmtId="173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22"/>
      <name val="Calibri"/>
      <family val="2"/>
    </font>
    <font>
      <b/>
      <sz val="16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1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58"/>
      <name val="Arial"/>
      <family val="2"/>
    </font>
    <font>
      <b/>
      <sz val="9"/>
      <color indexed="58"/>
      <name val="Arial"/>
      <family val="2"/>
    </font>
    <font>
      <b/>
      <sz val="9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9"/>
      </patternFill>
    </fill>
    <fill>
      <patternFill patternType="solid">
        <fgColor theme="2"/>
        <bgColor indexed="26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6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theme="4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7" borderId="14">
      <alignment horizontal="left" vertical="center"/>
      <protection locked="0" hidden="1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3" fillId="4" borderId="2" xfId="0" applyFont="1" applyFill="1" applyBorder="1"/>
    <xf numFmtId="0" fontId="6" fillId="0" borderId="0" xfId="0" applyFont="1"/>
    <xf numFmtId="0" fontId="7" fillId="5" borderId="5" xfId="0" applyFont="1" applyFill="1" applyBorder="1"/>
    <xf numFmtId="43" fontId="7" fillId="5" borderId="6" xfId="1" applyFont="1" applyFill="1" applyBorder="1" applyAlignment="1">
      <alignment horizontal="center"/>
    </xf>
    <xf numFmtId="43" fontId="7" fillId="5" borderId="6" xfId="1" applyFont="1" applyFill="1" applyBorder="1"/>
    <xf numFmtId="43" fontId="0" fillId="5" borderId="7" xfId="1" applyFont="1" applyFill="1" applyBorder="1"/>
    <xf numFmtId="4" fontId="0" fillId="0" borderId="8" xfId="0" applyNumberFormat="1" applyBorder="1"/>
    <xf numFmtId="0" fontId="0" fillId="0" borderId="8" xfId="0" applyNumberFormat="1" applyBorder="1"/>
    <xf numFmtId="0" fontId="0" fillId="0" borderId="9" xfId="0" applyBorder="1"/>
    <xf numFmtId="43" fontId="9" fillId="0" borderId="10" xfId="1" applyFont="1" applyBorder="1" applyAlignment="1">
      <alignment horizontal="center"/>
    </xf>
    <xf numFmtId="43" fontId="7" fillId="0" borderId="10" xfId="1" applyFont="1" applyBorder="1"/>
    <xf numFmtId="43" fontId="10" fillId="0" borderId="11" xfId="1" applyFont="1" applyBorder="1"/>
    <xf numFmtId="0" fontId="0" fillId="0" borderId="0" xfId="0" applyFont="1"/>
    <xf numFmtId="0" fontId="12" fillId="3" borderId="2" xfId="0" applyFont="1" applyFill="1" applyBorder="1"/>
    <xf numFmtId="4" fontId="5" fillId="3" borderId="3" xfId="0" applyNumberFormat="1" applyFont="1" applyFill="1" applyBorder="1"/>
    <xf numFmtId="0" fontId="5" fillId="3" borderId="3" xfId="0" applyNumberFormat="1" applyFont="1" applyFill="1" applyBorder="1"/>
    <xf numFmtId="0" fontId="5" fillId="2" borderId="0" xfId="0" applyFont="1" applyFill="1" applyAlignment="1">
      <alignment horizontal="center"/>
    </xf>
    <xf numFmtId="166" fontId="5" fillId="3" borderId="3" xfId="3" applyNumberFormat="1" applyFont="1" applyFill="1" applyBorder="1"/>
    <xf numFmtId="0" fontId="5" fillId="3" borderId="3" xfId="3" applyNumberFormat="1" applyFont="1" applyFill="1" applyBorder="1"/>
    <xf numFmtId="0" fontId="0" fillId="0" borderId="0" xfId="0" applyNumberFormat="1"/>
    <xf numFmtId="0" fontId="3" fillId="6" borderId="2" xfId="0" applyFont="1" applyFill="1" applyBorder="1"/>
    <xf numFmtId="4" fontId="4" fillId="6" borderId="3" xfId="0" applyNumberFormat="1" applyFont="1" applyFill="1" applyBorder="1" applyAlignment="1">
      <alignment horizontal="center"/>
    </xf>
    <xf numFmtId="0" fontId="4" fillId="6" borderId="3" xfId="0" applyNumberFormat="1" applyFont="1" applyFill="1" applyBorder="1" applyAlignment="1">
      <alignment horizontal="center"/>
    </xf>
    <xf numFmtId="0" fontId="12" fillId="2" borderId="2" xfId="0" applyFont="1" applyFill="1" applyBorder="1"/>
    <xf numFmtId="167" fontId="14" fillId="2" borderId="13" xfId="0" applyNumberFormat="1" applyFont="1" applyFill="1" applyBorder="1"/>
    <xf numFmtId="0" fontId="14" fillId="2" borderId="13" xfId="0" applyNumberFormat="1" applyFont="1" applyFill="1" applyBorder="1"/>
    <xf numFmtId="165" fontId="0" fillId="0" borderId="0" xfId="4" applyFont="1"/>
    <xf numFmtId="43" fontId="0" fillId="0" borderId="0" xfId="0" applyNumberFormat="1"/>
    <xf numFmtId="0" fontId="0" fillId="2" borderId="0" xfId="0" applyFill="1" applyBorder="1"/>
    <xf numFmtId="0" fontId="0" fillId="2" borderId="24" xfId="0" applyFill="1" applyBorder="1"/>
    <xf numFmtId="43" fontId="0" fillId="0" borderId="0" xfId="7" applyFont="1"/>
    <xf numFmtId="9" fontId="0" fillId="0" borderId="0" xfId="8" applyFont="1"/>
    <xf numFmtId="43" fontId="0" fillId="2" borderId="21" xfId="7" applyFont="1" applyFill="1" applyBorder="1"/>
    <xf numFmtId="0" fontId="12" fillId="5" borderId="2" xfId="0" applyFont="1" applyFill="1" applyBorder="1"/>
    <xf numFmtId="167" fontId="14" fillId="5" borderId="13" xfId="0" applyNumberFormat="1" applyFont="1" applyFill="1" applyBorder="1"/>
    <xf numFmtId="0" fontId="14" fillId="5" borderId="13" xfId="0" applyNumberFormat="1" applyFont="1" applyFill="1" applyBorder="1"/>
    <xf numFmtId="43" fontId="0" fillId="2" borderId="0" xfId="7" applyFont="1" applyFill="1"/>
    <xf numFmtId="0" fontId="0" fillId="2" borderId="0" xfId="0" applyFill="1" applyAlignment="1">
      <alignment horizontal="center" wrapText="1"/>
    </xf>
    <xf numFmtId="9" fontId="0" fillId="2" borderId="0" xfId="8" applyFont="1" applyFill="1" applyBorder="1"/>
    <xf numFmtId="0" fontId="23" fillId="4" borderId="3" xfId="0" applyFont="1" applyFill="1" applyBorder="1" applyAlignment="1">
      <alignment horizontal="center" wrapText="1"/>
    </xf>
    <xf numFmtId="0" fontId="12" fillId="3" borderId="4" xfId="0" applyFont="1" applyFill="1" applyBorder="1"/>
    <xf numFmtId="0" fontId="3" fillId="6" borderId="4" xfId="0" applyFont="1" applyFill="1" applyBorder="1"/>
    <xf numFmtId="0" fontId="12" fillId="2" borderId="4" xfId="0" applyFont="1" applyFill="1" applyBorder="1"/>
    <xf numFmtId="4" fontId="0" fillId="0" borderId="26" xfId="0" applyNumberFormat="1" applyBorder="1"/>
    <xf numFmtId="0" fontId="8" fillId="0" borderId="27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43" fontId="8" fillId="0" borderId="28" xfId="7" applyFont="1" applyBorder="1" applyAlignment="1">
      <alignment vertical="center"/>
    </xf>
    <xf numFmtId="43" fontId="8" fillId="0" borderId="26" xfId="7" applyFont="1" applyBorder="1" applyAlignment="1">
      <alignment vertical="center"/>
    </xf>
    <xf numFmtId="43" fontId="10" fillId="2" borderId="0" xfId="7" applyFont="1" applyFill="1"/>
    <xf numFmtId="0" fontId="10" fillId="2" borderId="0" xfId="0" applyFont="1" applyFill="1"/>
    <xf numFmtId="43" fontId="24" fillId="2" borderId="0" xfId="7" applyFont="1" applyFill="1"/>
    <xf numFmtId="168" fontId="0" fillId="2" borderId="0" xfId="7" applyNumberFormat="1" applyFont="1" applyFill="1"/>
    <xf numFmtId="43" fontId="18" fillId="2" borderId="16" xfId="7" applyFont="1" applyFill="1" applyBorder="1"/>
    <xf numFmtId="43" fontId="0" fillId="2" borderId="0" xfId="7" applyFont="1" applyFill="1" applyBorder="1"/>
    <xf numFmtId="43" fontId="0" fillId="2" borderId="22" xfId="7" applyFont="1" applyFill="1" applyBorder="1"/>
    <xf numFmtId="43" fontId="0" fillId="2" borderId="23" xfId="7" applyFont="1" applyFill="1" applyBorder="1"/>
    <xf numFmtId="43" fontId="0" fillId="2" borderId="24" xfId="7" applyFont="1" applyFill="1" applyBorder="1"/>
    <xf numFmtId="43" fontId="0" fillId="2" borderId="25" xfId="7" applyFont="1" applyFill="1" applyBorder="1"/>
    <xf numFmtId="43" fontId="18" fillId="2" borderId="23" xfId="7" applyFont="1" applyFill="1" applyBorder="1"/>
    <xf numFmtId="9" fontId="18" fillId="2" borderId="24" xfId="7" applyNumberFormat="1" applyFont="1" applyFill="1" applyBorder="1"/>
    <xf numFmtId="0" fontId="0" fillId="8" borderId="12" xfId="0" applyFill="1" applyBorder="1"/>
    <xf numFmtId="43" fontId="25" fillId="2" borderId="15" xfId="7" applyFont="1" applyFill="1" applyBorder="1"/>
    <xf numFmtId="43" fontId="1" fillId="2" borderId="25" xfId="7" applyFont="1" applyFill="1" applyBorder="1"/>
    <xf numFmtId="43" fontId="1" fillId="2" borderId="17" xfId="7" applyFont="1" applyFill="1" applyBorder="1"/>
    <xf numFmtId="43" fontId="18" fillId="10" borderId="23" xfId="7" applyFont="1" applyFill="1" applyBorder="1"/>
    <xf numFmtId="43" fontId="18" fillId="10" borderId="24" xfId="7" applyFont="1" applyFill="1" applyBorder="1"/>
    <xf numFmtId="43" fontId="18" fillId="10" borderId="25" xfId="7" applyFont="1" applyFill="1" applyBorder="1"/>
    <xf numFmtId="0" fontId="20" fillId="2" borderId="0" xfId="0" applyFont="1" applyFill="1"/>
    <xf numFmtId="4" fontId="21" fillId="11" borderId="0" xfId="0" applyNumberFormat="1" applyFont="1" applyFill="1" applyBorder="1" applyAlignment="1">
      <alignment horizontal="center"/>
    </xf>
    <xf numFmtId="169" fontId="21" fillId="11" borderId="0" xfId="0" applyNumberFormat="1" applyFont="1" applyFill="1" applyBorder="1" applyAlignment="1">
      <alignment horizontal="center"/>
    </xf>
    <xf numFmtId="0" fontId="20" fillId="11" borderId="0" xfId="0" applyFont="1" applyFill="1"/>
    <xf numFmtId="0" fontId="21" fillId="11" borderId="0" xfId="0" applyFont="1" applyFill="1" applyBorder="1" applyAlignment="1">
      <alignment horizontal="center"/>
    </xf>
    <xf numFmtId="0" fontId="21" fillId="12" borderId="29" xfId="0" applyFont="1" applyFill="1" applyBorder="1" applyAlignment="1">
      <alignment horizontal="center"/>
    </xf>
    <xf numFmtId="170" fontId="26" fillId="11" borderId="29" xfId="0" applyNumberFormat="1" applyFont="1" applyFill="1" applyBorder="1"/>
    <xf numFmtId="169" fontId="26" fillId="11" borderId="29" xfId="0" applyNumberFormat="1" applyFont="1" applyFill="1" applyBorder="1" applyAlignment="1">
      <alignment horizontal="center"/>
    </xf>
    <xf numFmtId="171" fontId="21" fillId="12" borderId="29" xfId="0" applyNumberFormat="1" applyFont="1" applyFill="1" applyBorder="1" applyAlignment="1">
      <alignment horizontal="center"/>
    </xf>
    <xf numFmtId="169" fontId="20" fillId="11" borderId="0" xfId="0" applyNumberFormat="1" applyFont="1" applyFill="1"/>
    <xf numFmtId="170" fontId="27" fillId="11" borderId="29" xfId="0" applyNumberFormat="1" applyFont="1" applyFill="1" applyBorder="1"/>
    <xf numFmtId="43" fontId="28" fillId="2" borderId="0" xfId="7" applyFont="1" applyFill="1"/>
    <xf numFmtId="0" fontId="21" fillId="13" borderId="0" xfId="0" applyFont="1" applyFill="1" applyBorder="1" applyAlignment="1">
      <alignment horizontal="center"/>
    </xf>
    <xf numFmtId="0" fontId="21" fillId="13" borderId="29" xfId="0" applyFont="1" applyFill="1" applyBorder="1" applyAlignment="1">
      <alignment horizontal="center"/>
    </xf>
    <xf numFmtId="4" fontId="21" fillId="13" borderId="29" xfId="0" applyNumberFormat="1" applyFont="1" applyFill="1" applyBorder="1" applyAlignment="1">
      <alignment horizontal="center"/>
    </xf>
    <xf numFmtId="169" fontId="21" fillId="13" borderId="29" xfId="0" applyNumberFormat="1" applyFont="1" applyFill="1" applyBorder="1" applyAlignment="1">
      <alignment horizontal="center"/>
    </xf>
    <xf numFmtId="0" fontId="20" fillId="13" borderId="0" xfId="0" applyFont="1" applyFill="1"/>
    <xf numFmtId="169" fontId="20" fillId="13" borderId="29" xfId="0" applyNumberFormat="1" applyFont="1" applyFill="1" applyBorder="1"/>
    <xf numFmtId="169" fontId="28" fillId="13" borderId="0" xfId="0" applyNumberFormat="1" applyFont="1" applyFill="1"/>
    <xf numFmtId="0" fontId="20" fillId="14" borderId="0" xfId="0" applyFont="1" applyFill="1"/>
    <xf numFmtId="0" fontId="21" fillId="14" borderId="29" xfId="0" applyFont="1" applyFill="1" applyBorder="1" applyAlignment="1">
      <alignment horizontal="center"/>
    </xf>
    <xf numFmtId="4" fontId="21" fillId="14" borderId="29" xfId="0" applyNumberFormat="1" applyFont="1" applyFill="1" applyBorder="1" applyAlignment="1">
      <alignment horizontal="center"/>
    </xf>
    <xf numFmtId="169" fontId="21" fillId="14" borderId="30" xfId="0" applyNumberFormat="1" applyFont="1" applyFill="1" applyBorder="1" applyAlignment="1">
      <alignment horizontal="center"/>
    </xf>
    <xf numFmtId="169" fontId="26" fillId="14" borderId="29" xfId="0" applyNumberFormat="1" applyFont="1" applyFill="1" applyBorder="1" applyAlignment="1">
      <alignment horizontal="center"/>
    </xf>
    <xf numFmtId="169" fontId="28" fillId="14" borderId="0" xfId="0" applyNumberFormat="1" applyFont="1" applyFill="1"/>
    <xf numFmtId="43" fontId="20" fillId="11" borderId="0" xfId="0" applyNumberFormat="1" applyFont="1" applyFill="1"/>
    <xf numFmtId="43" fontId="20" fillId="2" borderId="0" xfId="0" applyNumberFormat="1" applyFont="1" applyFill="1"/>
    <xf numFmtId="169" fontId="26" fillId="15" borderId="29" xfId="0" applyNumberFormat="1" applyFont="1" applyFill="1" applyBorder="1" applyAlignment="1">
      <alignment horizontal="center"/>
    </xf>
    <xf numFmtId="169" fontId="20" fillId="15" borderId="0" xfId="0" applyNumberFormat="1" applyFont="1" applyFill="1"/>
    <xf numFmtId="0" fontId="21" fillId="14" borderId="0" xfId="0" applyFont="1" applyFill="1" applyBorder="1" applyAlignment="1">
      <alignment horizontal="center"/>
    </xf>
    <xf numFmtId="9" fontId="20" fillId="2" borderId="0" xfId="0" applyNumberFormat="1" applyFont="1" applyFill="1"/>
    <xf numFmtId="169" fontId="21" fillId="16" borderId="29" xfId="0" applyNumberFormat="1" applyFont="1" applyFill="1" applyBorder="1" applyAlignment="1">
      <alignment horizontal="center"/>
    </xf>
    <xf numFmtId="169" fontId="21" fillId="17" borderId="29" xfId="0" applyNumberFormat="1" applyFont="1" applyFill="1" applyBorder="1" applyAlignment="1">
      <alignment horizontal="center"/>
    </xf>
    <xf numFmtId="169" fontId="21" fillId="16" borderId="0" xfId="0" applyNumberFormat="1" applyFont="1" applyFill="1" applyBorder="1" applyAlignment="1">
      <alignment horizontal="center"/>
    </xf>
    <xf numFmtId="169" fontId="21" fillId="17" borderId="0" xfId="0" applyNumberFormat="1" applyFont="1" applyFill="1" applyBorder="1" applyAlignment="1">
      <alignment horizontal="center"/>
    </xf>
    <xf numFmtId="0" fontId="20" fillId="13" borderId="31" xfId="0" applyFont="1" applyFill="1" applyBorder="1" applyAlignment="1">
      <alignment wrapText="1"/>
    </xf>
    <xf numFmtId="9" fontId="20" fillId="13" borderId="32" xfId="8" applyFont="1" applyFill="1" applyBorder="1"/>
    <xf numFmtId="0" fontId="20" fillId="13" borderId="21" xfId="0" applyFont="1" applyFill="1" applyBorder="1" applyAlignment="1">
      <alignment wrapText="1"/>
    </xf>
    <xf numFmtId="172" fontId="20" fillId="13" borderId="22" xfId="0" applyNumberFormat="1" applyFont="1" applyFill="1" applyBorder="1"/>
    <xf numFmtId="0" fontId="20" fillId="13" borderId="21" xfId="0" applyFont="1" applyFill="1" applyBorder="1"/>
    <xf numFmtId="0" fontId="20" fillId="13" borderId="23" xfId="0" applyFont="1" applyFill="1" applyBorder="1"/>
    <xf numFmtId="172" fontId="20" fillId="15" borderId="22" xfId="0" applyNumberFormat="1" applyFont="1" applyFill="1" applyBorder="1"/>
    <xf numFmtId="169" fontId="21" fillId="11" borderId="33" xfId="0" applyNumberFormat="1" applyFont="1" applyFill="1" applyBorder="1" applyAlignment="1">
      <alignment horizontal="center"/>
    </xf>
    <xf numFmtId="169" fontId="28" fillId="13" borderId="33" xfId="0" applyNumberFormat="1" applyFont="1" applyFill="1" applyBorder="1"/>
    <xf numFmtId="0" fontId="0" fillId="8" borderId="0" xfId="0" applyFill="1"/>
    <xf numFmtId="9" fontId="0" fillId="2" borderId="18" xfId="8" applyFont="1" applyFill="1" applyBorder="1"/>
    <xf numFmtId="0" fontId="0" fillId="2" borderId="19" xfId="0" applyFill="1" applyBorder="1"/>
    <xf numFmtId="0" fontId="0" fillId="2" borderId="20" xfId="0" applyFill="1" applyBorder="1"/>
    <xf numFmtId="173" fontId="0" fillId="2" borderId="21" xfId="8" applyNumberFormat="1" applyFont="1" applyFill="1" applyBorder="1"/>
    <xf numFmtId="0" fontId="0" fillId="2" borderId="22" xfId="0" applyFill="1" applyBorder="1"/>
    <xf numFmtId="9" fontId="0" fillId="2" borderId="21" xfId="8" applyFont="1" applyFill="1" applyBorder="1"/>
    <xf numFmtId="9" fontId="18" fillId="2" borderId="23" xfId="8" applyFont="1" applyFill="1" applyBorder="1"/>
    <xf numFmtId="0" fontId="0" fillId="2" borderId="25" xfId="0" applyFill="1" applyBorder="1"/>
    <xf numFmtId="0" fontId="18" fillId="8" borderId="35" xfId="0" applyFont="1" applyFill="1" applyBorder="1"/>
    <xf numFmtId="0" fontId="18" fillId="8" borderId="36" xfId="0" applyFont="1" applyFill="1" applyBorder="1"/>
    <xf numFmtId="44" fontId="10" fillId="2" borderId="38" xfId="7" applyNumberFormat="1" applyFont="1" applyFill="1" applyBorder="1"/>
    <xf numFmtId="44" fontId="10" fillId="2" borderId="39" xfId="7" applyNumberFormat="1" applyFont="1" applyFill="1" applyBorder="1"/>
    <xf numFmtId="43" fontId="24" fillId="18" borderId="34" xfId="7" applyFont="1" applyFill="1" applyBorder="1"/>
    <xf numFmtId="44" fontId="10" fillId="18" borderId="37" xfId="7" applyNumberFormat="1" applyFont="1" applyFill="1" applyBorder="1"/>
    <xf numFmtId="44" fontId="10" fillId="18" borderId="38" xfId="7" applyNumberFormat="1" applyFont="1" applyFill="1" applyBorder="1"/>
    <xf numFmtId="44" fontId="0" fillId="0" borderId="0" xfId="0" applyNumberFormat="1"/>
    <xf numFmtId="43" fontId="24" fillId="19" borderId="35" xfId="7" applyFont="1" applyFill="1" applyBorder="1"/>
    <xf numFmtId="44" fontId="10" fillId="19" borderId="38" xfId="7" applyNumberFormat="1" applyFont="1" applyFill="1" applyBorder="1"/>
    <xf numFmtId="44" fontId="10" fillId="5" borderId="39" xfId="7" applyNumberFormat="1" applyFont="1" applyFill="1" applyBorder="1"/>
    <xf numFmtId="0" fontId="18" fillId="9" borderId="36" xfId="0" applyFont="1" applyFill="1" applyBorder="1"/>
    <xf numFmtId="44" fontId="10" fillId="9" borderId="39" xfId="7" applyNumberFormat="1" applyFont="1" applyFill="1" applyBorder="1"/>
    <xf numFmtId="0" fontId="18" fillId="5" borderId="36" xfId="0" applyFont="1" applyFill="1" applyBorder="1" applyAlignment="1">
      <alignment wrapText="1"/>
    </xf>
    <xf numFmtId="44" fontId="19" fillId="20" borderId="40" xfId="0" applyNumberFormat="1" applyFont="1" applyFill="1" applyBorder="1"/>
    <xf numFmtId="0" fontId="29" fillId="2" borderId="41" xfId="0" applyFont="1" applyFill="1" applyBorder="1"/>
    <xf numFmtId="0" fontId="29" fillId="2" borderId="42" xfId="0" applyFont="1" applyFill="1" applyBorder="1"/>
    <xf numFmtId="44" fontId="10" fillId="18" borderId="42" xfId="7" applyNumberFormat="1" applyFont="1" applyFill="1" applyBorder="1"/>
    <xf numFmtId="44" fontId="10" fillId="19" borderId="42" xfId="7" applyNumberFormat="1" applyFont="1" applyFill="1" applyBorder="1"/>
    <xf numFmtId="44" fontId="10" fillId="2" borderId="42" xfId="0" applyNumberFormat="1" applyFont="1" applyFill="1" applyBorder="1"/>
    <xf numFmtId="44" fontId="10" fillId="5" borderId="42" xfId="0" applyNumberFormat="1" applyFont="1" applyFill="1" applyBorder="1"/>
    <xf numFmtId="44" fontId="10" fillId="9" borderId="42" xfId="0" applyNumberFormat="1" applyFont="1" applyFill="1" applyBorder="1"/>
    <xf numFmtId="44" fontId="10" fillId="2" borderId="42" xfId="7" applyNumberFormat="1" applyFont="1" applyFill="1" applyBorder="1"/>
    <xf numFmtId="44" fontId="10" fillId="5" borderId="42" xfId="7" applyNumberFormat="1" applyFont="1" applyFill="1" applyBorder="1"/>
    <xf numFmtId="44" fontId="10" fillId="9" borderId="42" xfId="7" applyNumberFormat="1" applyFont="1" applyFill="1" applyBorder="1"/>
    <xf numFmtId="0" fontId="30" fillId="2" borderId="42" xfId="0" applyFont="1" applyFill="1" applyBorder="1"/>
    <xf numFmtId="0" fontId="22" fillId="2" borderId="42" xfId="0" applyFont="1" applyFill="1" applyBorder="1"/>
    <xf numFmtId="0" fontId="22" fillId="2" borderId="43" xfId="0" applyFont="1" applyFill="1" applyBorder="1"/>
    <xf numFmtId="44" fontId="10" fillId="18" borderId="43" xfId="7" applyNumberFormat="1" applyFont="1" applyFill="1" applyBorder="1"/>
    <xf numFmtId="44" fontId="10" fillId="19" borderId="43" xfId="7" applyNumberFormat="1" applyFont="1" applyFill="1" applyBorder="1"/>
    <xf numFmtId="44" fontId="10" fillId="2" borderId="43" xfId="7" applyNumberFormat="1" applyFont="1" applyFill="1" applyBorder="1"/>
    <xf numFmtId="44" fontId="10" fillId="5" borderId="43" xfId="7" applyNumberFormat="1" applyFont="1" applyFill="1" applyBorder="1"/>
    <xf numFmtId="44" fontId="10" fillId="9" borderId="43" xfId="7" applyNumberFormat="1" applyFont="1" applyFill="1" applyBorder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8" borderId="0" xfId="0" applyNumberFormat="1" applyFill="1"/>
    <xf numFmtId="4" fontId="0" fillId="8" borderId="0" xfId="0" applyNumberFormat="1" applyFill="1"/>
    <xf numFmtId="17" fontId="0" fillId="2" borderId="0" xfId="0" applyNumberFormat="1" applyFill="1"/>
    <xf numFmtId="10" fontId="0" fillId="0" borderId="26" xfId="0" applyNumberFormat="1" applyBorder="1"/>
    <xf numFmtId="44" fontId="19" fillId="20" borderId="41" xfId="7" applyNumberFormat="1" applyFont="1" applyFill="1" applyBorder="1"/>
    <xf numFmtId="44" fontId="19" fillId="20" borderId="41" xfId="0" applyNumberFormat="1" applyFont="1" applyFill="1" applyBorder="1"/>
    <xf numFmtId="44" fontId="22" fillId="18" borderId="42" xfId="7" applyNumberFormat="1" applyFont="1" applyFill="1" applyBorder="1"/>
    <xf numFmtId="9" fontId="0" fillId="2" borderId="0" xfId="0" applyNumberFormat="1" applyFill="1"/>
    <xf numFmtId="9" fontId="10" fillId="2" borderId="0" xfId="7" applyNumberFormat="1" applyFont="1" applyFill="1"/>
    <xf numFmtId="44" fontId="22" fillId="19" borderId="42" xfId="7" applyNumberFormat="1" applyFont="1" applyFill="1" applyBorder="1"/>
    <xf numFmtId="44" fontId="22" fillId="2" borderId="42" xfId="7" applyNumberFormat="1" applyFont="1" applyFill="1" applyBorder="1"/>
    <xf numFmtId="44" fontId="22" fillId="5" borderId="42" xfId="7" applyNumberFormat="1" applyFont="1" applyFill="1" applyBorder="1"/>
    <xf numFmtId="44" fontId="22" fillId="9" borderId="42" xfId="7" applyNumberFormat="1" applyFont="1" applyFill="1" applyBorder="1"/>
    <xf numFmtId="0" fontId="8" fillId="0" borderId="44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9" fontId="12" fillId="5" borderId="4" xfId="0" applyNumberFormat="1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21" fillId="13" borderId="0" xfId="0" applyFont="1" applyFill="1" applyBorder="1" applyAlignment="1">
      <alignment horizontal="center"/>
    </xf>
    <xf numFmtId="0" fontId="21" fillId="14" borderId="0" xfId="0" applyFont="1" applyFill="1" applyBorder="1" applyAlignment="1">
      <alignment horizontal="center"/>
    </xf>
    <xf numFmtId="0" fontId="20" fillId="2" borderId="0" xfId="0" applyFont="1" applyFill="1" applyAlignment="1">
      <alignment horizontal="center" wrapText="1"/>
    </xf>
  </cellXfs>
  <cellStyles count="9">
    <cellStyle name="Category" xfId="5"/>
    <cellStyle name="Moeda 2" xfId="6"/>
    <cellStyle name="Moeda 3" xfId="2"/>
    <cellStyle name="Normal" xfId="0" builtinId="0"/>
    <cellStyle name="Porcentagem" xfId="8" builtinId="5"/>
    <cellStyle name="Separador de milhares 2" xfId="3"/>
    <cellStyle name="Vírgula" xfId="7" builtinId="3"/>
    <cellStyle name="Vírgula 2" xfId="1"/>
    <cellStyle name="Vírgula 2 2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38</xdr:row>
      <xdr:rowOff>0</xdr:rowOff>
    </xdr:from>
    <xdr:to>
      <xdr:col>21</xdr:col>
      <xdr:colOff>299831</xdr:colOff>
      <xdr:row>45</xdr:row>
      <xdr:rowOff>0</xdr:rowOff>
    </xdr:to>
    <xdr:sp macro="" textlink="">
      <xdr:nvSpPr>
        <xdr:cNvPr id="2" name="CaixaDeTexto 1"/>
        <xdr:cNvSpPr txBox="1"/>
      </xdr:nvSpPr>
      <xdr:spPr>
        <a:xfrm>
          <a:off x="9052891" y="5955196"/>
          <a:ext cx="5029201" cy="2581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PPCI e o LTIP</a:t>
          </a:r>
        </a:p>
        <a:p>
          <a:r>
            <a:rPr lang="pt-BR" sz="1100"/>
            <a:t>O Laudo Técnico de Inspeção Predial (LTIP) é um documento elaborado por um profissional habilitado que visa atestar as condições de segurança, manutenção, conservação e estabilidade dos edifícios.  O LTIP foi instituído pelo Decreto n° 18574 de fevereiro de 2014 e obriga as edificações de Porto Alegre, tendo que ser renovado a cada 5 anos.Plano de Prevenção contra Incêndios (PPCI) consiste em um projeto que prevê alternativas de combate a incêndios, preservando a segurança física e patrimonial  . Renovação de 2 em 2 anos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B1:S79"/>
  <sheetViews>
    <sheetView showGridLines="0" tabSelected="1" zoomScale="115" zoomScaleNormal="115" workbookViewId="0">
      <selection activeCell="I14" sqref="I14"/>
    </sheetView>
  </sheetViews>
  <sheetFormatPr defaultRowHeight="15" x14ac:dyDescent="0.25"/>
  <cols>
    <col min="1" max="1" width="1.85546875" customWidth="1"/>
    <col min="2" max="2" width="61.28515625" customWidth="1"/>
    <col min="3" max="3" width="11.140625" bestFit="1" customWidth="1"/>
    <col min="4" max="4" width="12.28515625" customWidth="1"/>
    <col min="5" max="5" width="18.7109375" bestFit="1" customWidth="1"/>
    <col min="6" max="6" width="6.28515625" style="22" bestFit="1" customWidth="1"/>
    <col min="7" max="7" width="20.7109375" bestFit="1" customWidth="1"/>
    <col min="8" max="8" width="6.28515625" style="33" bestFit="1" customWidth="1"/>
    <col min="9" max="9" width="12.140625" style="33" bestFit="1" customWidth="1"/>
    <col min="10" max="10" width="10.5703125" style="33" customWidth="1"/>
    <col min="11" max="11" width="11.42578125" customWidth="1"/>
    <col min="12" max="12" width="23.28515625" hidden="1" customWidth="1"/>
    <col min="13" max="14" width="11.5703125" hidden="1" customWidth="1"/>
    <col min="15" max="15" width="10.5703125" hidden="1" customWidth="1"/>
    <col min="16" max="17" width="0" hidden="1" customWidth="1"/>
    <col min="253" max="253" width="5.7109375" customWidth="1"/>
    <col min="254" max="254" width="3.42578125" customWidth="1"/>
    <col min="255" max="255" width="3.7109375" customWidth="1"/>
    <col min="256" max="256" width="105" bestFit="1" customWidth="1"/>
    <col min="257" max="257" width="20.7109375" bestFit="1" customWidth="1"/>
    <col min="509" max="509" width="5.7109375" customWidth="1"/>
    <col min="510" max="510" width="3.42578125" customWidth="1"/>
    <col min="511" max="511" width="3.7109375" customWidth="1"/>
    <col min="512" max="512" width="105" bestFit="1" customWidth="1"/>
    <col min="513" max="513" width="20.7109375" bestFit="1" customWidth="1"/>
    <col min="765" max="765" width="5.7109375" customWidth="1"/>
    <col min="766" max="766" width="3.42578125" customWidth="1"/>
    <col min="767" max="767" width="3.7109375" customWidth="1"/>
    <col min="768" max="768" width="105" bestFit="1" customWidth="1"/>
    <col min="769" max="769" width="20.7109375" bestFit="1" customWidth="1"/>
    <col min="1021" max="1021" width="5.7109375" customWidth="1"/>
    <col min="1022" max="1022" width="3.42578125" customWidth="1"/>
    <col min="1023" max="1023" width="3.7109375" customWidth="1"/>
    <col min="1024" max="1024" width="105" bestFit="1" customWidth="1"/>
    <col min="1025" max="1025" width="20.7109375" bestFit="1" customWidth="1"/>
    <col min="1277" max="1277" width="5.7109375" customWidth="1"/>
    <col min="1278" max="1278" width="3.42578125" customWidth="1"/>
    <col min="1279" max="1279" width="3.7109375" customWidth="1"/>
    <col min="1280" max="1280" width="105" bestFit="1" customWidth="1"/>
    <col min="1281" max="1281" width="20.7109375" bestFit="1" customWidth="1"/>
    <col min="1533" max="1533" width="5.7109375" customWidth="1"/>
    <col min="1534" max="1534" width="3.42578125" customWidth="1"/>
    <col min="1535" max="1535" width="3.7109375" customWidth="1"/>
    <col min="1536" max="1536" width="105" bestFit="1" customWidth="1"/>
    <col min="1537" max="1537" width="20.7109375" bestFit="1" customWidth="1"/>
    <col min="1789" max="1789" width="5.7109375" customWidth="1"/>
    <col min="1790" max="1790" width="3.42578125" customWidth="1"/>
    <col min="1791" max="1791" width="3.7109375" customWidth="1"/>
    <col min="1792" max="1792" width="105" bestFit="1" customWidth="1"/>
    <col min="1793" max="1793" width="20.7109375" bestFit="1" customWidth="1"/>
    <col min="2045" max="2045" width="5.7109375" customWidth="1"/>
    <col min="2046" max="2046" width="3.42578125" customWidth="1"/>
    <col min="2047" max="2047" width="3.7109375" customWidth="1"/>
    <col min="2048" max="2048" width="105" bestFit="1" customWidth="1"/>
    <col min="2049" max="2049" width="20.7109375" bestFit="1" customWidth="1"/>
    <col min="2301" max="2301" width="5.7109375" customWidth="1"/>
    <col min="2302" max="2302" width="3.42578125" customWidth="1"/>
    <col min="2303" max="2303" width="3.7109375" customWidth="1"/>
    <col min="2304" max="2304" width="105" bestFit="1" customWidth="1"/>
    <col min="2305" max="2305" width="20.7109375" bestFit="1" customWidth="1"/>
    <col min="2557" max="2557" width="5.7109375" customWidth="1"/>
    <col min="2558" max="2558" width="3.42578125" customWidth="1"/>
    <col min="2559" max="2559" width="3.7109375" customWidth="1"/>
    <col min="2560" max="2560" width="105" bestFit="1" customWidth="1"/>
    <col min="2561" max="2561" width="20.7109375" bestFit="1" customWidth="1"/>
    <col min="2813" max="2813" width="5.7109375" customWidth="1"/>
    <col min="2814" max="2814" width="3.42578125" customWidth="1"/>
    <col min="2815" max="2815" width="3.7109375" customWidth="1"/>
    <col min="2816" max="2816" width="105" bestFit="1" customWidth="1"/>
    <col min="2817" max="2817" width="20.7109375" bestFit="1" customWidth="1"/>
    <col min="3069" max="3069" width="5.7109375" customWidth="1"/>
    <col min="3070" max="3070" width="3.42578125" customWidth="1"/>
    <col min="3071" max="3071" width="3.7109375" customWidth="1"/>
    <col min="3072" max="3072" width="105" bestFit="1" customWidth="1"/>
    <col min="3073" max="3073" width="20.7109375" bestFit="1" customWidth="1"/>
    <col min="3325" max="3325" width="5.7109375" customWidth="1"/>
    <col min="3326" max="3326" width="3.42578125" customWidth="1"/>
    <col min="3327" max="3327" width="3.7109375" customWidth="1"/>
    <col min="3328" max="3328" width="105" bestFit="1" customWidth="1"/>
    <col min="3329" max="3329" width="20.7109375" bestFit="1" customWidth="1"/>
    <col min="3581" max="3581" width="5.7109375" customWidth="1"/>
    <col min="3582" max="3582" width="3.42578125" customWidth="1"/>
    <col min="3583" max="3583" width="3.7109375" customWidth="1"/>
    <col min="3584" max="3584" width="105" bestFit="1" customWidth="1"/>
    <col min="3585" max="3585" width="20.7109375" bestFit="1" customWidth="1"/>
    <col min="3837" max="3837" width="5.7109375" customWidth="1"/>
    <col min="3838" max="3838" width="3.42578125" customWidth="1"/>
    <col min="3839" max="3839" width="3.7109375" customWidth="1"/>
    <col min="3840" max="3840" width="105" bestFit="1" customWidth="1"/>
    <col min="3841" max="3841" width="20.7109375" bestFit="1" customWidth="1"/>
    <col min="4093" max="4093" width="5.7109375" customWidth="1"/>
    <col min="4094" max="4094" width="3.42578125" customWidth="1"/>
    <col min="4095" max="4095" width="3.7109375" customWidth="1"/>
    <col min="4096" max="4096" width="105" bestFit="1" customWidth="1"/>
    <col min="4097" max="4097" width="20.7109375" bestFit="1" customWidth="1"/>
    <col min="4349" max="4349" width="5.7109375" customWidth="1"/>
    <col min="4350" max="4350" width="3.42578125" customWidth="1"/>
    <col min="4351" max="4351" width="3.7109375" customWidth="1"/>
    <col min="4352" max="4352" width="105" bestFit="1" customWidth="1"/>
    <col min="4353" max="4353" width="20.7109375" bestFit="1" customWidth="1"/>
    <col min="4605" max="4605" width="5.7109375" customWidth="1"/>
    <col min="4606" max="4606" width="3.42578125" customWidth="1"/>
    <col min="4607" max="4607" width="3.7109375" customWidth="1"/>
    <col min="4608" max="4608" width="105" bestFit="1" customWidth="1"/>
    <col min="4609" max="4609" width="20.7109375" bestFit="1" customWidth="1"/>
    <col min="4861" max="4861" width="5.7109375" customWidth="1"/>
    <col min="4862" max="4862" width="3.42578125" customWidth="1"/>
    <col min="4863" max="4863" width="3.7109375" customWidth="1"/>
    <col min="4864" max="4864" width="105" bestFit="1" customWidth="1"/>
    <col min="4865" max="4865" width="20.7109375" bestFit="1" customWidth="1"/>
    <col min="5117" max="5117" width="5.7109375" customWidth="1"/>
    <col min="5118" max="5118" width="3.42578125" customWidth="1"/>
    <col min="5119" max="5119" width="3.7109375" customWidth="1"/>
    <col min="5120" max="5120" width="105" bestFit="1" customWidth="1"/>
    <col min="5121" max="5121" width="20.7109375" bestFit="1" customWidth="1"/>
    <col min="5373" max="5373" width="5.7109375" customWidth="1"/>
    <col min="5374" max="5374" width="3.42578125" customWidth="1"/>
    <col min="5375" max="5375" width="3.7109375" customWidth="1"/>
    <col min="5376" max="5376" width="105" bestFit="1" customWidth="1"/>
    <col min="5377" max="5377" width="20.7109375" bestFit="1" customWidth="1"/>
    <col min="5629" max="5629" width="5.7109375" customWidth="1"/>
    <col min="5630" max="5630" width="3.42578125" customWidth="1"/>
    <col min="5631" max="5631" width="3.7109375" customWidth="1"/>
    <col min="5632" max="5632" width="105" bestFit="1" customWidth="1"/>
    <col min="5633" max="5633" width="20.7109375" bestFit="1" customWidth="1"/>
    <col min="5885" max="5885" width="5.7109375" customWidth="1"/>
    <col min="5886" max="5886" width="3.42578125" customWidth="1"/>
    <col min="5887" max="5887" width="3.7109375" customWidth="1"/>
    <col min="5888" max="5888" width="105" bestFit="1" customWidth="1"/>
    <col min="5889" max="5889" width="20.7109375" bestFit="1" customWidth="1"/>
    <col min="6141" max="6141" width="5.7109375" customWidth="1"/>
    <col min="6142" max="6142" width="3.42578125" customWidth="1"/>
    <col min="6143" max="6143" width="3.7109375" customWidth="1"/>
    <col min="6144" max="6144" width="105" bestFit="1" customWidth="1"/>
    <col min="6145" max="6145" width="20.7109375" bestFit="1" customWidth="1"/>
    <col min="6397" max="6397" width="5.7109375" customWidth="1"/>
    <col min="6398" max="6398" width="3.42578125" customWidth="1"/>
    <col min="6399" max="6399" width="3.7109375" customWidth="1"/>
    <col min="6400" max="6400" width="105" bestFit="1" customWidth="1"/>
    <col min="6401" max="6401" width="20.7109375" bestFit="1" customWidth="1"/>
    <col min="6653" max="6653" width="5.7109375" customWidth="1"/>
    <col min="6654" max="6654" width="3.42578125" customWidth="1"/>
    <col min="6655" max="6655" width="3.7109375" customWidth="1"/>
    <col min="6656" max="6656" width="105" bestFit="1" customWidth="1"/>
    <col min="6657" max="6657" width="20.7109375" bestFit="1" customWidth="1"/>
    <col min="6909" max="6909" width="5.7109375" customWidth="1"/>
    <col min="6910" max="6910" width="3.42578125" customWidth="1"/>
    <col min="6911" max="6911" width="3.7109375" customWidth="1"/>
    <col min="6912" max="6912" width="105" bestFit="1" customWidth="1"/>
    <col min="6913" max="6913" width="20.7109375" bestFit="1" customWidth="1"/>
    <col min="7165" max="7165" width="5.7109375" customWidth="1"/>
    <col min="7166" max="7166" width="3.42578125" customWidth="1"/>
    <col min="7167" max="7167" width="3.7109375" customWidth="1"/>
    <col min="7168" max="7168" width="105" bestFit="1" customWidth="1"/>
    <col min="7169" max="7169" width="20.7109375" bestFit="1" customWidth="1"/>
    <col min="7421" max="7421" width="5.7109375" customWidth="1"/>
    <col min="7422" max="7422" width="3.42578125" customWidth="1"/>
    <col min="7423" max="7423" width="3.7109375" customWidth="1"/>
    <col min="7424" max="7424" width="105" bestFit="1" customWidth="1"/>
    <col min="7425" max="7425" width="20.7109375" bestFit="1" customWidth="1"/>
    <col min="7677" max="7677" width="5.7109375" customWidth="1"/>
    <col min="7678" max="7678" width="3.42578125" customWidth="1"/>
    <col min="7679" max="7679" width="3.7109375" customWidth="1"/>
    <col min="7680" max="7680" width="105" bestFit="1" customWidth="1"/>
    <col min="7681" max="7681" width="20.7109375" bestFit="1" customWidth="1"/>
    <col min="7933" max="7933" width="5.7109375" customWidth="1"/>
    <col min="7934" max="7934" width="3.42578125" customWidth="1"/>
    <col min="7935" max="7935" width="3.7109375" customWidth="1"/>
    <col min="7936" max="7936" width="105" bestFit="1" customWidth="1"/>
    <col min="7937" max="7937" width="20.7109375" bestFit="1" customWidth="1"/>
    <col min="8189" max="8189" width="5.7109375" customWidth="1"/>
    <col min="8190" max="8190" width="3.42578125" customWidth="1"/>
    <col min="8191" max="8191" width="3.7109375" customWidth="1"/>
    <col min="8192" max="8192" width="105" bestFit="1" customWidth="1"/>
    <col min="8193" max="8193" width="20.7109375" bestFit="1" customWidth="1"/>
    <col min="8445" max="8445" width="5.7109375" customWidth="1"/>
    <col min="8446" max="8446" width="3.42578125" customWidth="1"/>
    <col min="8447" max="8447" width="3.7109375" customWidth="1"/>
    <col min="8448" max="8448" width="105" bestFit="1" customWidth="1"/>
    <col min="8449" max="8449" width="20.7109375" bestFit="1" customWidth="1"/>
    <col min="8701" max="8701" width="5.7109375" customWidth="1"/>
    <col min="8702" max="8702" width="3.42578125" customWidth="1"/>
    <col min="8703" max="8703" width="3.7109375" customWidth="1"/>
    <col min="8704" max="8704" width="105" bestFit="1" customWidth="1"/>
    <col min="8705" max="8705" width="20.7109375" bestFit="1" customWidth="1"/>
    <col min="8957" max="8957" width="5.7109375" customWidth="1"/>
    <col min="8958" max="8958" width="3.42578125" customWidth="1"/>
    <col min="8959" max="8959" width="3.7109375" customWidth="1"/>
    <col min="8960" max="8960" width="105" bestFit="1" customWidth="1"/>
    <col min="8961" max="8961" width="20.7109375" bestFit="1" customWidth="1"/>
    <col min="9213" max="9213" width="5.7109375" customWidth="1"/>
    <col min="9214" max="9214" width="3.42578125" customWidth="1"/>
    <col min="9215" max="9215" width="3.7109375" customWidth="1"/>
    <col min="9216" max="9216" width="105" bestFit="1" customWidth="1"/>
    <col min="9217" max="9217" width="20.7109375" bestFit="1" customWidth="1"/>
    <col min="9469" max="9469" width="5.7109375" customWidth="1"/>
    <col min="9470" max="9470" width="3.42578125" customWidth="1"/>
    <col min="9471" max="9471" width="3.7109375" customWidth="1"/>
    <col min="9472" max="9472" width="105" bestFit="1" customWidth="1"/>
    <col min="9473" max="9473" width="20.7109375" bestFit="1" customWidth="1"/>
    <col min="9725" max="9725" width="5.7109375" customWidth="1"/>
    <col min="9726" max="9726" width="3.42578125" customWidth="1"/>
    <col min="9727" max="9727" width="3.7109375" customWidth="1"/>
    <col min="9728" max="9728" width="105" bestFit="1" customWidth="1"/>
    <col min="9729" max="9729" width="20.7109375" bestFit="1" customWidth="1"/>
    <col min="9981" max="9981" width="5.7109375" customWidth="1"/>
    <col min="9982" max="9982" width="3.42578125" customWidth="1"/>
    <col min="9983" max="9983" width="3.7109375" customWidth="1"/>
    <col min="9984" max="9984" width="105" bestFit="1" customWidth="1"/>
    <col min="9985" max="9985" width="20.7109375" bestFit="1" customWidth="1"/>
    <col min="10237" max="10237" width="5.7109375" customWidth="1"/>
    <col min="10238" max="10238" width="3.42578125" customWidth="1"/>
    <col min="10239" max="10239" width="3.7109375" customWidth="1"/>
    <col min="10240" max="10240" width="105" bestFit="1" customWidth="1"/>
    <col min="10241" max="10241" width="20.7109375" bestFit="1" customWidth="1"/>
    <col min="10493" max="10493" width="5.7109375" customWidth="1"/>
    <col min="10494" max="10494" width="3.42578125" customWidth="1"/>
    <col min="10495" max="10495" width="3.7109375" customWidth="1"/>
    <col min="10496" max="10496" width="105" bestFit="1" customWidth="1"/>
    <col min="10497" max="10497" width="20.7109375" bestFit="1" customWidth="1"/>
    <col min="10749" max="10749" width="5.7109375" customWidth="1"/>
    <col min="10750" max="10750" width="3.42578125" customWidth="1"/>
    <col min="10751" max="10751" width="3.7109375" customWidth="1"/>
    <col min="10752" max="10752" width="105" bestFit="1" customWidth="1"/>
    <col min="10753" max="10753" width="20.7109375" bestFit="1" customWidth="1"/>
    <col min="11005" max="11005" width="5.7109375" customWidth="1"/>
    <col min="11006" max="11006" width="3.42578125" customWidth="1"/>
    <col min="11007" max="11007" width="3.7109375" customWidth="1"/>
    <col min="11008" max="11008" width="105" bestFit="1" customWidth="1"/>
    <col min="11009" max="11009" width="20.7109375" bestFit="1" customWidth="1"/>
    <col min="11261" max="11261" width="5.7109375" customWidth="1"/>
    <col min="11262" max="11262" width="3.42578125" customWidth="1"/>
    <col min="11263" max="11263" width="3.7109375" customWidth="1"/>
    <col min="11264" max="11264" width="105" bestFit="1" customWidth="1"/>
    <col min="11265" max="11265" width="20.7109375" bestFit="1" customWidth="1"/>
    <col min="11517" max="11517" width="5.7109375" customWidth="1"/>
    <col min="11518" max="11518" width="3.42578125" customWidth="1"/>
    <col min="11519" max="11519" width="3.7109375" customWidth="1"/>
    <col min="11520" max="11520" width="105" bestFit="1" customWidth="1"/>
    <col min="11521" max="11521" width="20.7109375" bestFit="1" customWidth="1"/>
    <col min="11773" max="11773" width="5.7109375" customWidth="1"/>
    <col min="11774" max="11774" width="3.42578125" customWidth="1"/>
    <col min="11775" max="11775" width="3.7109375" customWidth="1"/>
    <col min="11776" max="11776" width="105" bestFit="1" customWidth="1"/>
    <col min="11777" max="11777" width="20.7109375" bestFit="1" customWidth="1"/>
    <col min="12029" max="12029" width="5.7109375" customWidth="1"/>
    <col min="12030" max="12030" width="3.42578125" customWidth="1"/>
    <col min="12031" max="12031" width="3.7109375" customWidth="1"/>
    <col min="12032" max="12032" width="105" bestFit="1" customWidth="1"/>
    <col min="12033" max="12033" width="20.7109375" bestFit="1" customWidth="1"/>
    <col min="12285" max="12285" width="5.7109375" customWidth="1"/>
    <col min="12286" max="12286" width="3.42578125" customWidth="1"/>
    <col min="12287" max="12287" width="3.7109375" customWidth="1"/>
    <col min="12288" max="12288" width="105" bestFit="1" customWidth="1"/>
    <col min="12289" max="12289" width="20.7109375" bestFit="1" customWidth="1"/>
    <col min="12541" max="12541" width="5.7109375" customWidth="1"/>
    <col min="12542" max="12542" width="3.42578125" customWidth="1"/>
    <col min="12543" max="12543" width="3.7109375" customWidth="1"/>
    <col min="12544" max="12544" width="105" bestFit="1" customWidth="1"/>
    <col min="12545" max="12545" width="20.7109375" bestFit="1" customWidth="1"/>
    <col min="12797" max="12797" width="5.7109375" customWidth="1"/>
    <col min="12798" max="12798" width="3.42578125" customWidth="1"/>
    <col min="12799" max="12799" width="3.7109375" customWidth="1"/>
    <col min="12800" max="12800" width="105" bestFit="1" customWidth="1"/>
    <col min="12801" max="12801" width="20.7109375" bestFit="1" customWidth="1"/>
    <col min="13053" max="13053" width="5.7109375" customWidth="1"/>
    <col min="13054" max="13054" width="3.42578125" customWidth="1"/>
    <col min="13055" max="13055" width="3.7109375" customWidth="1"/>
    <col min="13056" max="13056" width="105" bestFit="1" customWidth="1"/>
    <col min="13057" max="13057" width="20.7109375" bestFit="1" customWidth="1"/>
    <col min="13309" max="13309" width="5.7109375" customWidth="1"/>
    <col min="13310" max="13310" width="3.42578125" customWidth="1"/>
    <col min="13311" max="13311" width="3.7109375" customWidth="1"/>
    <col min="13312" max="13312" width="105" bestFit="1" customWidth="1"/>
    <col min="13313" max="13313" width="20.7109375" bestFit="1" customWidth="1"/>
    <col min="13565" max="13565" width="5.7109375" customWidth="1"/>
    <col min="13566" max="13566" width="3.42578125" customWidth="1"/>
    <col min="13567" max="13567" width="3.7109375" customWidth="1"/>
    <col min="13568" max="13568" width="105" bestFit="1" customWidth="1"/>
    <col min="13569" max="13569" width="20.7109375" bestFit="1" customWidth="1"/>
    <col min="13821" max="13821" width="5.7109375" customWidth="1"/>
    <col min="13822" max="13822" width="3.42578125" customWidth="1"/>
    <col min="13823" max="13823" width="3.7109375" customWidth="1"/>
    <col min="13824" max="13824" width="105" bestFit="1" customWidth="1"/>
    <col min="13825" max="13825" width="20.7109375" bestFit="1" customWidth="1"/>
    <col min="14077" max="14077" width="5.7109375" customWidth="1"/>
    <col min="14078" max="14078" width="3.42578125" customWidth="1"/>
    <col min="14079" max="14079" width="3.7109375" customWidth="1"/>
    <col min="14080" max="14080" width="105" bestFit="1" customWidth="1"/>
    <col min="14081" max="14081" width="20.7109375" bestFit="1" customWidth="1"/>
    <col min="14333" max="14333" width="5.7109375" customWidth="1"/>
    <col min="14334" max="14334" width="3.42578125" customWidth="1"/>
    <col min="14335" max="14335" width="3.7109375" customWidth="1"/>
    <col min="14336" max="14336" width="105" bestFit="1" customWidth="1"/>
    <col min="14337" max="14337" width="20.7109375" bestFit="1" customWidth="1"/>
    <col min="14589" max="14589" width="5.7109375" customWidth="1"/>
    <col min="14590" max="14590" width="3.42578125" customWidth="1"/>
    <col min="14591" max="14591" width="3.7109375" customWidth="1"/>
    <col min="14592" max="14592" width="105" bestFit="1" customWidth="1"/>
    <col min="14593" max="14593" width="20.7109375" bestFit="1" customWidth="1"/>
    <col min="14845" max="14845" width="5.7109375" customWidth="1"/>
    <col min="14846" max="14846" width="3.42578125" customWidth="1"/>
    <col min="14847" max="14847" width="3.7109375" customWidth="1"/>
    <col min="14848" max="14848" width="105" bestFit="1" customWidth="1"/>
    <col min="14849" max="14849" width="20.7109375" bestFit="1" customWidth="1"/>
    <col min="15101" max="15101" width="5.7109375" customWidth="1"/>
    <col min="15102" max="15102" width="3.42578125" customWidth="1"/>
    <col min="15103" max="15103" width="3.7109375" customWidth="1"/>
    <col min="15104" max="15104" width="105" bestFit="1" customWidth="1"/>
    <col min="15105" max="15105" width="20.7109375" bestFit="1" customWidth="1"/>
    <col min="15357" max="15357" width="5.7109375" customWidth="1"/>
    <col min="15358" max="15358" width="3.42578125" customWidth="1"/>
    <col min="15359" max="15359" width="3.7109375" customWidth="1"/>
    <col min="15360" max="15360" width="105" bestFit="1" customWidth="1"/>
    <col min="15361" max="15361" width="20.7109375" bestFit="1" customWidth="1"/>
    <col min="15613" max="15613" width="5.7109375" customWidth="1"/>
    <col min="15614" max="15614" width="3.42578125" customWidth="1"/>
    <col min="15615" max="15615" width="3.7109375" customWidth="1"/>
    <col min="15616" max="15616" width="105" bestFit="1" customWidth="1"/>
    <col min="15617" max="15617" width="20.7109375" bestFit="1" customWidth="1"/>
    <col min="15869" max="15869" width="5.7109375" customWidth="1"/>
    <col min="15870" max="15870" width="3.42578125" customWidth="1"/>
    <col min="15871" max="15871" width="3.7109375" customWidth="1"/>
    <col min="15872" max="15872" width="105" bestFit="1" customWidth="1"/>
    <col min="15873" max="15873" width="20.7109375" bestFit="1" customWidth="1"/>
    <col min="16125" max="16125" width="5.7109375" customWidth="1"/>
    <col min="16126" max="16126" width="3.42578125" customWidth="1"/>
    <col min="16127" max="16127" width="3.7109375" customWidth="1"/>
    <col min="16128" max="16128" width="105" bestFit="1" customWidth="1"/>
    <col min="16129" max="16129" width="20.7109375" bestFit="1" customWidth="1"/>
  </cols>
  <sheetData>
    <row r="1" spans="2:19" x14ac:dyDescent="0.25">
      <c r="B1" s="1" t="s">
        <v>131</v>
      </c>
      <c r="C1" s="160"/>
      <c r="D1" s="1"/>
      <c r="E1" s="160"/>
      <c r="F1" s="2"/>
      <c r="G1" s="1"/>
    </row>
    <row r="2" spans="2:19" ht="34.5" customHeight="1" x14ac:dyDescent="0.25">
      <c r="D2" s="41"/>
      <c r="F2" s="40"/>
    </row>
    <row r="3" spans="2:19" ht="34.5" customHeight="1" thickBot="1" x14ac:dyDescent="0.55000000000000004">
      <c r="B3" s="172" t="s">
        <v>132</v>
      </c>
      <c r="C3" s="172"/>
      <c r="D3" s="172"/>
      <c r="E3" s="172"/>
      <c r="F3" s="172"/>
      <c r="G3" s="172"/>
      <c r="K3" s="33"/>
      <c r="R3" s="30"/>
      <c r="S3" s="30"/>
    </row>
    <row r="4" spans="2:19" ht="34.5" thickBot="1" x14ac:dyDescent="0.45">
      <c r="B4" s="3" t="s">
        <v>0</v>
      </c>
      <c r="C4" s="42" t="s">
        <v>61</v>
      </c>
      <c r="D4" s="42" t="s">
        <v>60</v>
      </c>
      <c r="E4" s="42" t="s">
        <v>1</v>
      </c>
      <c r="F4" s="42" t="s">
        <v>2</v>
      </c>
      <c r="G4" s="42" t="s">
        <v>3</v>
      </c>
      <c r="K4" s="33"/>
    </row>
    <row r="5" spans="2:19" s="4" customFormat="1" ht="21" x14ac:dyDescent="0.35">
      <c r="B5" s="47" t="s">
        <v>136</v>
      </c>
      <c r="C5" s="49">
        <v>584</v>
      </c>
      <c r="D5" s="161" t="s">
        <v>137</v>
      </c>
      <c r="E5" s="9">
        <v>876</v>
      </c>
      <c r="F5" s="10">
        <v>12</v>
      </c>
      <c r="G5" s="9">
        <f>(E5*F5)</f>
        <v>10512</v>
      </c>
      <c r="I5" s="33"/>
      <c r="J5" s="33"/>
      <c r="K5" s="33"/>
      <c r="L5" s="5" t="s">
        <v>4</v>
      </c>
      <c r="M5" s="6" t="s">
        <v>5</v>
      </c>
      <c r="N5" s="7" t="s">
        <v>6</v>
      </c>
      <c r="O5" s="8" t="s">
        <v>7</v>
      </c>
    </row>
    <row r="6" spans="2:19" x14ac:dyDescent="0.25">
      <c r="B6" s="48" t="s">
        <v>145</v>
      </c>
      <c r="C6" s="50">
        <v>2144.1999999999998</v>
      </c>
      <c r="D6" s="161">
        <v>0.05</v>
      </c>
      <c r="E6" s="9">
        <f>(C6*D6)+C6</f>
        <v>2251.41</v>
      </c>
      <c r="F6" s="10">
        <v>12</v>
      </c>
      <c r="G6" s="9">
        <f>(E6*F6)</f>
        <v>27016.92</v>
      </c>
      <c r="K6" s="33"/>
      <c r="L6" s="11" t="s">
        <v>8</v>
      </c>
      <c r="M6" s="12">
        <v>60808.717399999987</v>
      </c>
      <c r="N6" s="13">
        <v>60900</v>
      </c>
      <c r="O6" s="14">
        <f>N6-M6</f>
        <v>91.28260000001319</v>
      </c>
    </row>
    <row r="7" spans="2:19" x14ac:dyDescent="0.25">
      <c r="B7" s="48" t="s">
        <v>9</v>
      </c>
      <c r="C7" s="50">
        <f>(C6+C5)*20%</f>
        <v>545.64</v>
      </c>
      <c r="D7" s="46"/>
      <c r="E7" s="9">
        <f>C7</f>
        <v>545.64</v>
      </c>
      <c r="F7" s="10">
        <v>12</v>
      </c>
      <c r="G7" s="9">
        <f>E7*F7</f>
        <v>6547.68</v>
      </c>
      <c r="K7" s="33"/>
      <c r="L7" s="11"/>
      <c r="M7" s="12"/>
      <c r="N7" s="13"/>
      <c r="O7" s="14"/>
    </row>
    <row r="8" spans="2:19" x14ac:dyDescent="0.25">
      <c r="B8" s="48" t="s">
        <v>117</v>
      </c>
      <c r="C8" s="50">
        <f>'Folha de Pagamento'!L24</f>
        <v>15990.419748824623</v>
      </c>
      <c r="D8" s="161">
        <v>0.05</v>
      </c>
      <c r="E8" s="9">
        <f t="shared" ref="E8:E14" si="0">(C8*D8)+C8</f>
        <v>16789.940736265853</v>
      </c>
      <c r="F8" s="10">
        <v>12</v>
      </c>
      <c r="G8" s="9">
        <f t="shared" ref="G8:G14" si="1">E8*F8</f>
        <v>201479.28883519024</v>
      </c>
      <c r="K8" s="33"/>
      <c r="L8" s="11" t="s">
        <v>10</v>
      </c>
      <c r="M8" s="12">
        <v>36840.718000000001</v>
      </c>
      <c r="N8" s="13">
        <v>30900</v>
      </c>
      <c r="O8" s="14">
        <f t="shared" ref="O8:O41" si="2">N8-M8</f>
        <v>-5940.7180000000008</v>
      </c>
    </row>
    <row r="9" spans="2:19" x14ac:dyDescent="0.25">
      <c r="B9" s="48" t="s">
        <v>121</v>
      </c>
      <c r="C9" s="50">
        <f>'Folha de Pagamento'!L23+300</f>
        <v>1658.97</v>
      </c>
      <c r="D9" s="161">
        <v>0.05</v>
      </c>
      <c r="E9" s="9">
        <f t="shared" si="0"/>
        <v>1741.9185</v>
      </c>
      <c r="F9" s="10">
        <v>12</v>
      </c>
      <c r="G9" s="9">
        <f t="shared" si="1"/>
        <v>20903.022000000001</v>
      </c>
      <c r="K9" s="33"/>
      <c r="L9" s="11"/>
      <c r="M9" s="12"/>
      <c r="N9" s="13"/>
      <c r="O9" s="14"/>
    </row>
    <row r="10" spans="2:19" x14ac:dyDescent="0.25">
      <c r="B10" s="48" t="s">
        <v>122</v>
      </c>
      <c r="C10" s="50">
        <f>800+180+120</f>
        <v>1100</v>
      </c>
      <c r="D10" s="46"/>
      <c r="E10" s="9">
        <f t="shared" si="0"/>
        <v>1100</v>
      </c>
      <c r="F10" s="10">
        <v>1</v>
      </c>
      <c r="G10" s="9">
        <f t="shared" si="1"/>
        <v>1100</v>
      </c>
      <c r="K10" s="33"/>
      <c r="L10" s="11"/>
      <c r="M10" s="12"/>
      <c r="N10" s="13"/>
      <c r="O10" s="14"/>
    </row>
    <row r="11" spans="2:19" x14ac:dyDescent="0.25">
      <c r="B11" s="48" t="s">
        <v>123</v>
      </c>
      <c r="C11" s="50">
        <v>300</v>
      </c>
      <c r="D11" s="46"/>
      <c r="E11" s="9">
        <f t="shared" si="0"/>
        <v>300</v>
      </c>
      <c r="F11" s="10">
        <v>1</v>
      </c>
      <c r="G11" s="9">
        <f t="shared" si="1"/>
        <v>300</v>
      </c>
      <c r="L11" s="11"/>
      <c r="M11" s="12"/>
      <c r="N11" s="13"/>
      <c r="O11" s="14"/>
    </row>
    <row r="12" spans="2:19" x14ac:dyDescent="0.25">
      <c r="B12" s="48" t="s">
        <v>53</v>
      </c>
      <c r="C12" s="50">
        <v>0</v>
      </c>
      <c r="D12" s="46"/>
      <c r="E12" s="9">
        <f t="shared" si="0"/>
        <v>0</v>
      </c>
      <c r="F12" s="10">
        <v>12</v>
      </c>
      <c r="G12" s="9">
        <f t="shared" si="1"/>
        <v>0</v>
      </c>
      <c r="L12" s="11"/>
      <c r="M12" s="12"/>
      <c r="N12" s="13"/>
      <c r="O12" s="14"/>
    </row>
    <row r="13" spans="2:19" x14ac:dyDescent="0.25">
      <c r="B13" s="48" t="s">
        <v>73</v>
      </c>
      <c r="C13" s="50">
        <v>0</v>
      </c>
      <c r="D13" s="46"/>
      <c r="E13" s="9">
        <f t="shared" si="0"/>
        <v>0</v>
      </c>
      <c r="F13" s="10">
        <v>12</v>
      </c>
      <c r="G13" s="9">
        <f t="shared" si="1"/>
        <v>0</v>
      </c>
      <c r="L13" s="11"/>
      <c r="M13" s="12"/>
      <c r="N13" s="13"/>
      <c r="O13" s="14"/>
    </row>
    <row r="14" spans="2:19" x14ac:dyDescent="0.25">
      <c r="B14" s="48" t="s">
        <v>74</v>
      </c>
      <c r="C14" s="50">
        <f>60*8</f>
        <v>480</v>
      </c>
      <c r="D14" s="46"/>
      <c r="E14" s="9">
        <f t="shared" si="0"/>
        <v>480</v>
      </c>
      <c r="F14" s="10">
        <v>12</v>
      </c>
      <c r="G14" s="9">
        <f t="shared" si="1"/>
        <v>5760</v>
      </c>
      <c r="L14" s="11"/>
      <c r="M14" s="12"/>
      <c r="N14" s="13"/>
      <c r="O14" s="14"/>
    </row>
    <row r="15" spans="2:19" x14ac:dyDescent="0.25">
      <c r="B15" s="48" t="s">
        <v>124</v>
      </c>
      <c r="C15" s="50">
        <v>983.85</v>
      </c>
      <c r="D15" s="46">
        <v>0.05</v>
      </c>
      <c r="E15" s="9">
        <f t="shared" ref="E15:E28" si="3">(C15*D15)+C15</f>
        <v>1033.0425</v>
      </c>
      <c r="F15" s="10">
        <v>12</v>
      </c>
      <c r="G15" s="9">
        <f>E15*F15</f>
        <v>12396.51</v>
      </c>
      <c r="L15" s="11"/>
      <c r="M15" s="12"/>
      <c r="N15" s="13"/>
      <c r="O15" s="14"/>
    </row>
    <row r="16" spans="2:19" x14ac:dyDescent="0.25">
      <c r="B16" s="48" t="s">
        <v>30</v>
      </c>
      <c r="C16" s="50">
        <v>50</v>
      </c>
      <c r="D16" s="46"/>
      <c r="E16" s="9">
        <f t="shared" si="3"/>
        <v>50</v>
      </c>
      <c r="F16" s="10">
        <v>1</v>
      </c>
      <c r="G16" s="9">
        <f t="shared" ref="G16:G28" si="4">E16*F16</f>
        <v>50</v>
      </c>
      <c r="L16" s="11"/>
      <c r="M16" s="12"/>
      <c r="N16" s="13"/>
      <c r="O16" s="14"/>
    </row>
    <row r="17" spans="2:15" x14ac:dyDescent="0.25">
      <c r="B17" s="48" t="s">
        <v>59</v>
      </c>
      <c r="C17" s="50">
        <v>300</v>
      </c>
      <c r="D17" s="46"/>
      <c r="E17" s="9">
        <f t="shared" si="3"/>
        <v>300</v>
      </c>
      <c r="F17" s="10">
        <v>2</v>
      </c>
      <c r="G17" s="9">
        <f t="shared" si="4"/>
        <v>600</v>
      </c>
      <c r="L17" s="11"/>
      <c r="M17" s="12"/>
      <c r="N17" s="13"/>
      <c r="O17" s="14"/>
    </row>
    <row r="18" spans="2:15" x14ac:dyDescent="0.25">
      <c r="B18" s="48" t="s">
        <v>51</v>
      </c>
      <c r="C18" s="50">
        <v>3000</v>
      </c>
      <c r="D18" s="46"/>
      <c r="E18" s="9">
        <f t="shared" si="3"/>
        <v>3000</v>
      </c>
      <c r="F18" s="10">
        <v>1</v>
      </c>
      <c r="G18" s="9">
        <f t="shared" si="4"/>
        <v>3000</v>
      </c>
      <c r="L18" s="11"/>
      <c r="M18" s="12"/>
      <c r="N18" s="13"/>
      <c r="O18" s="14"/>
    </row>
    <row r="19" spans="2:15" x14ac:dyDescent="0.25">
      <c r="B19" s="48" t="s">
        <v>31</v>
      </c>
      <c r="C19" s="50">
        <f>50+90</f>
        <v>140</v>
      </c>
      <c r="D19" s="46"/>
      <c r="E19" s="9">
        <f t="shared" si="3"/>
        <v>140</v>
      </c>
      <c r="F19" s="10">
        <v>12</v>
      </c>
      <c r="G19" s="9">
        <f t="shared" si="4"/>
        <v>1680</v>
      </c>
      <c r="L19" s="11"/>
      <c r="M19" s="12"/>
      <c r="N19" s="13"/>
      <c r="O19" s="14"/>
    </row>
    <row r="20" spans="2:15" x14ac:dyDescent="0.25">
      <c r="B20" s="48" t="s">
        <v>32</v>
      </c>
      <c r="C20" s="50">
        <v>385</v>
      </c>
      <c r="D20" s="46"/>
      <c r="E20" s="9">
        <f t="shared" si="3"/>
        <v>385</v>
      </c>
      <c r="F20" s="10">
        <v>1</v>
      </c>
      <c r="G20" s="9">
        <f t="shared" si="4"/>
        <v>385</v>
      </c>
      <c r="L20" s="11"/>
      <c r="M20" s="12"/>
      <c r="N20" s="13"/>
      <c r="O20" s="14"/>
    </row>
    <row r="21" spans="2:15" x14ac:dyDescent="0.25">
      <c r="B21" s="48" t="s">
        <v>33</v>
      </c>
      <c r="C21" s="50">
        <v>300</v>
      </c>
      <c r="D21" s="46"/>
      <c r="E21" s="9">
        <f t="shared" si="3"/>
        <v>300</v>
      </c>
      <c r="F21" s="10">
        <v>1</v>
      </c>
      <c r="G21" s="9">
        <f t="shared" si="4"/>
        <v>300</v>
      </c>
      <c r="L21" s="11"/>
      <c r="M21" s="12"/>
      <c r="N21" s="13"/>
      <c r="O21" s="14"/>
    </row>
    <row r="22" spans="2:15" x14ac:dyDescent="0.25">
      <c r="B22" s="48" t="s">
        <v>34</v>
      </c>
      <c r="C22" s="50">
        <v>5500</v>
      </c>
      <c r="D22" s="46"/>
      <c r="E22" s="9">
        <f t="shared" si="3"/>
        <v>5500</v>
      </c>
      <c r="F22" s="10">
        <v>12</v>
      </c>
      <c r="G22" s="9">
        <f t="shared" si="4"/>
        <v>66000</v>
      </c>
      <c r="L22" s="11"/>
      <c r="M22" s="12"/>
      <c r="N22" s="13"/>
      <c r="O22" s="14"/>
    </row>
    <row r="23" spans="2:15" x14ac:dyDescent="0.25">
      <c r="B23" s="48" t="s">
        <v>35</v>
      </c>
      <c r="C23" s="50">
        <v>1550</v>
      </c>
      <c r="D23" s="46"/>
      <c r="E23" s="9">
        <f t="shared" si="3"/>
        <v>1550</v>
      </c>
      <c r="F23" s="10">
        <v>12</v>
      </c>
      <c r="G23" s="9">
        <f t="shared" si="4"/>
        <v>18600</v>
      </c>
      <c r="L23" s="11"/>
      <c r="M23" s="12"/>
      <c r="N23" s="13"/>
      <c r="O23" s="14"/>
    </row>
    <row r="24" spans="2:15" x14ac:dyDescent="0.25">
      <c r="B24" s="48" t="s">
        <v>37</v>
      </c>
      <c r="C24" s="50">
        <f>400</f>
        <v>400</v>
      </c>
      <c r="D24" s="46"/>
      <c r="E24" s="9">
        <f t="shared" si="3"/>
        <v>400</v>
      </c>
      <c r="F24" s="10">
        <v>12</v>
      </c>
      <c r="G24" s="9">
        <f t="shared" si="4"/>
        <v>4800</v>
      </c>
      <c r="L24" s="11"/>
      <c r="M24" s="12"/>
      <c r="N24" s="13"/>
      <c r="O24" s="14"/>
    </row>
    <row r="25" spans="2:15" x14ac:dyDescent="0.25">
      <c r="B25" s="48" t="s">
        <v>54</v>
      </c>
      <c r="C25" s="50">
        <f>150</f>
        <v>150</v>
      </c>
      <c r="D25" s="46"/>
      <c r="E25" s="9">
        <f t="shared" si="3"/>
        <v>150</v>
      </c>
      <c r="F25" s="10">
        <v>6</v>
      </c>
      <c r="G25" s="9">
        <f t="shared" si="4"/>
        <v>900</v>
      </c>
      <c r="L25" s="11"/>
      <c r="M25" s="12"/>
      <c r="N25" s="13"/>
      <c r="O25" s="14"/>
    </row>
    <row r="26" spans="2:15" x14ac:dyDescent="0.25">
      <c r="B26" s="48" t="s">
        <v>38</v>
      </c>
      <c r="C26" s="50">
        <f>620</f>
        <v>620</v>
      </c>
      <c r="D26" s="46">
        <v>0.05</v>
      </c>
      <c r="E26" s="9">
        <f t="shared" si="3"/>
        <v>651</v>
      </c>
      <c r="F26" s="10">
        <f>12/3</f>
        <v>4</v>
      </c>
      <c r="G26" s="9">
        <f t="shared" si="4"/>
        <v>2604</v>
      </c>
      <c r="L26" s="11"/>
      <c r="M26" s="12"/>
      <c r="N26" s="13"/>
      <c r="O26" s="14"/>
    </row>
    <row r="27" spans="2:15" x14ac:dyDescent="0.25">
      <c r="B27" s="48" t="s">
        <v>133</v>
      </c>
      <c r="C27" s="50"/>
      <c r="D27" s="46"/>
      <c r="E27" s="9">
        <f t="shared" si="3"/>
        <v>0</v>
      </c>
      <c r="F27" s="10"/>
      <c r="G27" s="9">
        <f t="shared" si="4"/>
        <v>0</v>
      </c>
      <c r="L27" s="11"/>
      <c r="M27" s="12"/>
      <c r="N27" s="13"/>
      <c r="O27" s="14"/>
    </row>
    <row r="28" spans="2:15" x14ac:dyDescent="0.25">
      <c r="B28" s="48" t="s">
        <v>134</v>
      </c>
      <c r="C28" s="50"/>
      <c r="D28" s="46"/>
      <c r="E28" s="9">
        <f t="shared" si="3"/>
        <v>0</v>
      </c>
      <c r="F28" s="10"/>
      <c r="G28" s="9">
        <f t="shared" si="4"/>
        <v>0</v>
      </c>
      <c r="L28" s="11"/>
      <c r="M28" s="12"/>
      <c r="N28" s="13"/>
      <c r="O28" s="14"/>
    </row>
    <row r="29" spans="2:15" x14ac:dyDescent="0.25">
      <c r="B29" s="48" t="s">
        <v>135</v>
      </c>
      <c r="C29" s="50"/>
      <c r="D29" s="46"/>
      <c r="E29" s="9">
        <f>SUM(E30:E45)</f>
        <v>7238</v>
      </c>
      <c r="F29" s="10">
        <f>SUM(F30:F41)</f>
        <v>55</v>
      </c>
      <c r="G29" s="9">
        <f>SUM(G30:G45)</f>
        <v>17480</v>
      </c>
      <c r="L29" s="11" t="s">
        <v>11</v>
      </c>
      <c r="M29" s="12">
        <v>5979.07</v>
      </c>
      <c r="N29" s="13">
        <v>5880</v>
      </c>
      <c r="O29" s="14">
        <f t="shared" si="2"/>
        <v>-99.069999999999709</v>
      </c>
    </row>
    <row r="30" spans="2:15" x14ac:dyDescent="0.25">
      <c r="B30" s="48" t="s">
        <v>125</v>
      </c>
      <c r="C30" s="50">
        <v>300</v>
      </c>
      <c r="D30" s="46"/>
      <c r="E30" s="9">
        <f>(C30*D30)+C30</f>
        <v>300</v>
      </c>
      <c r="F30" s="10">
        <v>12</v>
      </c>
      <c r="G30" s="9">
        <f t="shared" ref="G30:G37" si="5">E30*F30</f>
        <v>3600</v>
      </c>
      <c r="L30" s="11" t="s">
        <v>12</v>
      </c>
      <c r="M30" s="12">
        <v>0</v>
      </c>
      <c r="N30" s="13">
        <v>0</v>
      </c>
      <c r="O30" s="14">
        <f t="shared" si="2"/>
        <v>0</v>
      </c>
    </row>
    <row r="31" spans="2:15" x14ac:dyDescent="0.25">
      <c r="B31" s="48" t="s">
        <v>126</v>
      </c>
      <c r="C31" s="50">
        <f>200*8</f>
        <v>1600</v>
      </c>
      <c r="D31" s="46"/>
      <c r="E31" s="9">
        <f t="shared" ref="E31:E35" si="6">(C31*D31)+C31</f>
        <v>1600</v>
      </c>
      <c r="F31" s="10">
        <v>1</v>
      </c>
      <c r="G31" s="9">
        <f t="shared" si="5"/>
        <v>1600</v>
      </c>
      <c r="L31" s="11" t="s">
        <v>13</v>
      </c>
      <c r="M31" s="12">
        <v>1470</v>
      </c>
      <c r="N31" s="13">
        <v>360</v>
      </c>
      <c r="O31" s="14">
        <f t="shared" si="2"/>
        <v>-1110</v>
      </c>
    </row>
    <row r="32" spans="2:15" x14ac:dyDescent="0.25">
      <c r="B32" s="48" t="s">
        <v>127</v>
      </c>
      <c r="C32" s="50">
        <f>600</f>
        <v>600</v>
      </c>
      <c r="D32" s="46"/>
      <c r="E32" s="9">
        <f t="shared" si="6"/>
        <v>600</v>
      </c>
      <c r="F32" s="10">
        <v>1</v>
      </c>
      <c r="G32" s="9">
        <f t="shared" si="5"/>
        <v>600</v>
      </c>
      <c r="L32" s="11"/>
      <c r="M32" s="12"/>
      <c r="N32" s="13"/>
      <c r="O32" s="14"/>
    </row>
    <row r="33" spans="2:15" x14ac:dyDescent="0.25">
      <c r="B33" s="48" t="s">
        <v>128</v>
      </c>
      <c r="C33" s="50">
        <f>200*8</f>
        <v>1600</v>
      </c>
      <c r="D33" s="46"/>
      <c r="E33" s="9">
        <f>C33</f>
        <v>1600</v>
      </c>
      <c r="F33" s="10">
        <v>1</v>
      </c>
      <c r="G33" s="9">
        <f t="shared" si="5"/>
        <v>1600</v>
      </c>
      <c r="L33" s="11"/>
      <c r="M33" s="12"/>
      <c r="N33" s="13"/>
      <c r="O33" s="14"/>
    </row>
    <row r="34" spans="2:15" x14ac:dyDescent="0.25">
      <c r="B34" s="48" t="s">
        <v>16</v>
      </c>
      <c r="C34" s="50">
        <v>350</v>
      </c>
      <c r="D34" s="46"/>
      <c r="E34" s="9">
        <f t="shared" si="6"/>
        <v>350</v>
      </c>
      <c r="F34" s="10">
        <v>4</v>
      </c>
      <c r="G34" s="9">
        <f t="shared" si="5"/>
        <v>1400</v>
      </c>
      <c r="L34" s="11" t="s">
        <v>17</v>
      </c>
      <c r="M34" s="12">
        <v>230</v>
      </c>
      <c r="N34" s="13">
        <v>0</v>
      </c>
      <c r="O34" s="14">
        <f t="shared" si="2"/>
        <v>-230</v>
      </c>
    </row>
    <row r="35" spans="2:15" x14ac:dyDescent="0.25">
      <c r="B35" s="48" t="s">
        <v>52</v>
      </c>
      <c r="C35" s="50">
        <f>18+50</f>
        <v>68</v>
      </c>
      <c r="D35" s="46"/>
      <c r="E35" s="9">
        <f t="shared" si="6"/>
        <v>68</v>
      </c>
      <c r="F35" s="10">
        <v>20</v>
      </c>
      <c r="G35" s="9">
        <f t="shared" si="5"/>
        <v>1360</v>
      </c>
      <c r="L35" s="11" t="s">
        <v>18</v>
      </c>
      <c r="M35" s="12">
        <v>0</v>
      </c>
      <c r="N35" s="13">
        <v>0</v>
      </c>
      <c r="O35" s="14">
        <f t="shared" si="2"/>
        <v>0</v>
      </c>
    </row>
    <row r="36" spans="2:15" x14ac:dyDescent="0.25">
      <c r="B36" s="48" t="s">
        <v>19</v>
      </c>
      <c r="C36" s="50">
        <v>300</v>
      </c>
      <c r="D36" s="46"/>
      <c r="E36" s="9">
        <f t="shared" ref="E36:E45" si="7">(C36*D36)+C36</f>
        <v>300</v>
      </c>
      <c r="F36" s="10">
        <v>6</v>
      </c>
      <c r="G36" s="9">
        <f t="shared" si="5"/>
        <v>1800</v>
      </c>
      <c r="L36" s="11" t="s">
        <v>20</v>
      </c>
      <c r="M36" s="12">
        <v>0</v>
      </c>
      <c r="N36" s="13">
        <v>0</v>
      </c>
      <c r="O36" s="14">
        <f t="shared" si="2"/>
        <v>0</v>
      </c>
    </row>
    <row r="37" spans="2:15" x14ac:dyDescent="0.25">
      <c r="B37" s="48" t="s">
        <v>49</v>
      </c>
      <c r="C37" s="50">
        <v>500</v>
      </c>
      <c r="D37" s="46"/>
      <c r="E37" s="9">
        <f t="shared" si="7"/>
        <v>500</v>
      </c>
      <c r="F37" s="10">
        <v>6</v>
      </c>
      <c r="G37" s="9">
        <f t="shared" si="5"/>
        <v>3000</v>
      </c>
      <c r="L37" s="11"/>
      <c r="M37" s="12"/>
      <c r="N37" s="13"/>
      <c r="O37" s="14"/>
    </row>
    <row r="38" spans="2:15" x14ac:dyDescent="0.25">
      <c r="B38" s="48" t="s">
        <v>129</v>
      </c>
      <c r="C38" s="50">
        <f>720</f>
        <v>720</v>
      </c>
      <c r="D38" s="46"/>
      <c r="E38" s="9">
        <f t="shared" si="7"/>
        <v>720</v>
      </c>
      <c r="F38" s="10">
        <v>1</v>
      </c>
      <c r="G38" s="9">
        <f>C38*F38</f>
        <v>720</v>
      </c>
      <c r="L38" s="11" t="s">
        <v>21</v>
      </c>
      <c r="M38" s="12">
        <v>0</v>
      </c>
      <c r="N38" s="13">
        <v>0</v>
      </c>
      <c r="O38" s="14">
        <f t="shared" si="2"/>
        <v>0</v>
      </c>
    </row>
    <row r="39" spans="2:15" x14ac:dyDescent="0.25">
      <c r="B39" s="48" t="s">
        <v>56</v>
      </c>
      <c r="C39" s="50">
        <v>400</v>
      </c>
      <c r="D39" s="46"/>
      <c r="E39" s="9">
        <f t="shared" si="7"/>
        <v>400</v>
      </c>
      <c r="F39" s="10">
        <v>1</v>
      </c>
      <c r="G39" s="9">
        <f t="shared" ref="G39:G64" si="8">E39*F39</f>
        <v>400</v>
      </c>
      <c r="L39" s="11" t="s">
        <v>27</v>
      </c>
      <c r="M39" s="12">
        <v>269.04000000000002</v>
      </c>
      <c r="N39" s="13">
        <v>0</v>
      </c>
      <c r="O39" s="14">
        <f t="shared" si="2"/>
        <v>-269.04000000000002</v>
      </c>
    </row>
    <row r="40" spans="2:15" x14ac:dyDescent="0.25">
      <c r="B40" s="48" t="s">
        <v>72</v>
      </c>
      <c r="C40" s="50"/>
      <c r="D40" s="46"/>
      <c r="E40" s="9">
        <f t="shared" si="7"/>
        <v>0</v>
      </c>
      <c r="F40" s="10">
        <v>1</v>
      </c>
      <c r="G40" s="9">
        <f t="shared" si="8"/>
        <v>0</v>
      </c>
      <c r="L40" s="11" t="s">
        <v>28</v>
      </c>
      <c r="M40" s="12">
        <v>644</v>
      </c>
      <c r="N40" s="13">
        <v>0</v>
      </c>
      <c r="O40" s="14">
        <f t="shared" si="2"/>
        <v>-644</v>
      </c>
    </row>
    <row r="41" spans="2:15" x14ac:dyDescent="0.25">
      <c r="B41" s="48" t="s">
        <v>48</v>
      </c>
      <c r="C41" s="50"/>
      <c r="D41" s="46"/>
      <c r="E41" s="9">
        <f t="shared" si="7"/>
        <v>0</v>
      </c>
      <c r="F41" s="10">
        <v>1</v>
      </c>
      <c r="G41" s="9">
        <f t="shared" si="8"/>
        <v>0</v>
      </c>
      <c r="L41" s="11" t="s">
        <v>29</v>
      </c>
      <c r="M41" s="12">
        <v>445</v>
      </c>
      <c r="N41" s="13">
        <v>0</v>
      </c>
      <c r="O41" s="14">
        <f t="shared" si="2"/>
        <v>-445</v>
      </c>
    </row>
    <row r="42" spans="2:15" x14ac:dyDescent="0.25">
      <c r="B42" s="48" t="s">
        <v>71</v>
      </c>
      <c r="C42" s="50"/>
      <c r="D42" s="46"/>
      <c r="E42" s="9"/>
      <c r="F42" s="10"/>
      <c r="G42" s="9"/>
      <c r="L42" s="11"/>
      <c r="M42" s="12"/>
      <c r="N42" s="13"/>
      <c r="O42" s="14"/>
    </row>
    <row r="43" spans="2:15" x14ac:dyDescent="0.25">
      <c r="B43" s="48" t="s">
        <v>55</v>
      </c>
      <c r="C43" s="50"/>
      <c r="D43" s="46"/>
      <c r="E43" s="9">
        <f t="shared" si="7"/>
        <v>0</v>
      </c>
      <c r="F43" s="10">
        <v>1</v>
      </c>
      <c r="G43" s="9">
        <f t="shared" si="8"/>
        <v>0</v>
      </c>
      <c r="L43" s="11"/>
      <c r="M43" s="12"/>
      <c r="N43" s="13"/>
      <c r="O43" s="14"/>
    </row>
    <row r="44" spans="2:15" x14ac:dyDescent="0.25">
      <c r="B44" s="48" t="s">
        <v>58</v>
      </c>
      <c r="C44" s="50">
        <v>300</v>
      </c>
      <c r="D44" s="46"/>
      <c r="E44" s="9">
        <f t="shared" si="7"/>
        <v>300</v>
      </c>
      <c r="F44" s="10">
        <v>3</v>
      </c>
      <c r="G44" s="9">
        <f t="shared" si="8"/>
        <v>900</v>
      </c>
      <c r="L44" s="11"/>
      <c r="M44" s="12"/>
      <c r="N44" s="13"/>
      <c r="O44" s="14"/>
    </row>
    <row r="45" spans="2:15" x14ac:dyDescent="0.25">
      <c r="B45" s="48" t="s">
        <v>57</v>
      </c>
      <c r="C45" s="50">
        <v>500</v>
      </c>
      <c r="D45" s="46"/>
      <c r="E45" s="9">
        <f t="shared" si="7"/>
        <v>500</v>
      </c>
      <c r="F45" s="10">
        <v>1</v>
      </c>
      <c r="G45" s="9">
        <f t="shared" si="8"/>
        <v>500</v>
      </c>
      <c r="L45" s="11"/>
      <c r="M45" s="12">
        <f>SUM(M6:M41)</f>
        <v>106686.54539999999</v>
      </c>
      <c r="N45" s="13">
        <f>SUM(N6:N41)</f>
        <v>98040</v>
      </c>
      <c r="O45" s="14">
        <f>SUM(O6:O41)</f>
        <v>-8646.5453999999881</v>
      </c>
    </row>
    <row r="46" spans="2:15" x14ac:dyDescent="0.25">
      <c r="B46" s="171" t="s">
        <v>146</v>
      </c>
      <c r="C46" s="50">
        <v>0</v>
      </c>
      <c r="D46" s="46"/>
      <c r="E46" s="9">
        <v>0</v>
      </c>
      <c r="F46" s="10">
        <v>12</v>
      </c>
      <c r="G46" s="9">
        <f t="shared" si="8"/>
        <v>0</v>
      </c>
      <c r="L46" s="11"/>
      <c r="M46" s="12"/>
      <c r="N46" s="13"/>
      <c r="O46" s="14"/>
    </row>
    <row r="47" spans="2:15" x14ac:dyDescent="0.25">
      <c r="B47" s="171" t="s">
        <v>24</v>
      </c>
      <c r="C47" s="50">
        <v>0</v>
      </c>
      <c r="D47" s="46"/>
      <c r="E47" s="9">
        <v>0</v>
      </c>
      <c r="F47" s="10">
        <v>12</v>
      </c>
      <c r="G47" s="9">
        <f t="shared" si="8"/>
        <v>0</v>
      </c>
      <c r="L47" s="11"/>
      <c r="M47" s="12"/>
      <c r="N47" s="13"/>
      <c r="O47" s="14"/>
    </row>
    <row r="48" spans="2:15" x14ac:dyDescent="0.25">
      <c r="B48" s="171" t="s">
        <v>140</v>
      </c>
      <c r="C48" s="50">
        <v>0</v>
      </c>
      <c r="D48" s="46"/>
      <c r="E48" s="9">
        <v>0</v>
      </c>
      <c r="F48" s="10">
        <v>12</v>
      </c>
      <c r="G48" s="9">
        <f t="shared" si="8"/>
        <v>0</v>
      </c>
      <c r="L48" s="11"/>
      <c r="M48" s="12"/>
      <c r="N48" s="13"/>
      <c r="O48" s="14"/>
    </row>
    <row r="49" spans="2:15" x14ac:dyDescent="0.25">
      <c r="B49" s="48" t="s">
        <v>144</v>
      </c>
      <c r="C49" s="50">
        <v>0</v>
      </c>
      <c r="D49" s="46"/>
      <c r="E49" s="9">
        <v>0</v>
      </c>
      <c r="F49" s="10">
        <v>12</v>
      </c>
      <c r="G49" s="9">
        <f t="shared" si="8"/>
        <v>0</v>
      </c>
      <c r="L49" s="11"/>
      <c r="M49" s="12"/>
      <c r="N49" s="13"/>
      <c r="O49" s="14"/>
    </row>
    <row r="50" spans="2:15" x14ac:dyDescent="0.25">
      <c r="B50" s="171" t="s">
        <v>138</v>
      </c>
      <c r="C50" s="50">
        <v>0</v>
      </c>
      <c r="D50" s="46"/>
      <c r="E50" s="9">
        <v>0</v>
      </c>
      <c r="F50" s="10">
        <v>12</v>
      </c>
      <c r="G50" s="9">
        <f t="shared" si="8"/>
        <v>0</v>
      </c>
      <c r="L50" s="11"/>
      <c r="M50" s="12"/>
      <c r="N50" s="13"/>
      <c r="O50" s="14"/>
    </row>
    <row r="51" spans="2:15" x14ac:dyDescent="0.25">
      <c r="B51" s="171" t="s">
        <v>36</v>
      </c>
      <c r="C51" s="50">
        <v>0</v>
      </c>
      <c r="D51" s="46"/>
      <c r="E51" s="9">
        <v>0</v>
      </c>
      <c r="F51" s="10">
        <v>12</v>
      </c>
      <c r="G51" s="9">
        <f t="shared" si="8"/>
        <v>0</v>
      </c>
      <c r="L51" s="11"/>
      <c r="M51" s="12"/>
      <c r="N51" s="13"/>
      <c r="O51" s="14"/>
    </row>
    <row r="52" spans="2:15" x14ac:dyDescent="0.25">
      <c r="B52" s="171" t="s">
        <v>15</v>
      </c>
      <c r="C52" s="50">
        <v>0</v>
      </c>
      <c r="D52" s="46"/>
      <c r="E52" s="9">
        <v>0</v>
      </c>
      <c r="F52" s="10">
        <v>12</v>
      </c>
      <c r="G52" s="9">
        <f t="shared" si="8"/>
        <v>0</v>
      </c>
      <c r="L52" s="11"/>
      <c r="M52" s="12"/>
      <c r="N52" s="13"/>
      <c r="O52" s="14"/>
    </row>
    <row r="53" spans="2:15" x14ac:dyDescent="0.25">
      <c r="B53" s="171" t="s">
        <v>25</v>
      </c>
      <c r="C53" s="50">
        <v>0</v>
      </c>
      <c r="D53" s="46"/>
      <c r="E53" s="9">
        <v>0</v>
      </c>
      <c r="F53" s="10">
        <v>12</v>
      </c>
      <c r="G53" s="9">
        <f t="shared" si="8"/>
        <v>0</v>
      </c>
      <c r="L53" s="11"/>
      <c r="M53" s="12"/>
      <c r="N53" s="13"/>
      <c r="O53" s="14"/>
    </row>
    <row r="54" spans="2:15" x14ac:dyDescent="0.25">
      <c r="B54" s="171" t="s">
        <v>142</v>
      </c>
      <c r="C54" s="50">
        <v>0</v>
      </c>
      <c r="D54" s="46"/>
      <c r="E54" s="9">
        <v>0</v>
      </c>
      <c r="F54" s="10">
        <v>12</v>
      </c>
      <c r="G54" s="9">
        <f t="shared" si="8"/>
        <v>0</v>
      </c>
      <c r="L54" s="11"/>
      <c r="M54" s="12"/>
      <c r="N54" s="13"/>
      <c r="O54" s="14"/>
    </row>
    <row r="55" spans="2:15" x14ac:dyDescent="0.25">
      <c r="B55" s="171" t="s">
        <v>14</v>
      </c>
      <c r="C55" s="50">
        <v>0</v>
      </c>
      <c r="D55" s="46"/>
      <c r="E55" s="9">
        <v>0</v>
      </c>
      <c r="F55" s="10">
        <v>12</v>
      </c>
      <c r="G55" s="9">
        <f t="shared" si="8"/>
        <v>0</v>
      </c>
      <c r="L55" s="11"/>
      <c r="M55" s="12"/>
      <c r="N55" s="13"/>
      <c r="O55" s="14"/>
    </row>
    <row r="56" spans="2:15" x14ac:dyDescent="0.25">
      <c r="B56" s="171" t="s">
        <v>147</v>
      </c>
      <c r="C56" s="50">
        <v>0</v>
      </c>
      <c r="D56" s="46"/>
      <c r="E56" s="9">
        <v>0</v>
      </c>
      <c r="F56" s="10">
        <v>12</v>
      </c>
      <c r="G56" s="9">
        <f t="shared" si="8"/>
        <v>0</v>
      </c>
      <c r="L56" s="11"/>
      <c r="M56" s="12"/>
      <c r="N56" s="13"/>
      <c r="O56" s="14"/>
    </row>
    <row r="57" spans="2:15" x14ac:dyDescent="0.25">
      <c r="B57" s="171" t="s">
        <v>22</v>
      </c>
      <c r="C57" s="50">
        <v>0</v>
      </c>
      <c r="D57" s="46"/>
      <c r="E57" s="9">
        <v>0</v>
      </c>
      <c r="F57" s="10">
        <v>12</v>
      </c>
      <c r="G57" s="9">
        <f t="shared" si="8"/>
        <v>0</v>
      </c>
      <c r="L57" s="11"/>
      <c r="M57" s="12"/>
      <c r="N57" s="13"/>
      <c r="O57" s="14"/>
    </row>
    <row r="58" spans="2:15" x14ac:dyDescent="0.25">
      <c r="B58" s="171" t="s">
        <v>23</v>
      </c>
      <c r="C58" s="50">
        <v>0</v>
      </c>
      <c r="D58" s="46"/>
      <c r="E58" s="9">
        <v>0</v>
      </c>
      <c r="F58" s="10">
        <v>12</v>
      </c>
      <c r="G58" s="9">
        <f t="shared" si="8"/>
        <v>0</v>
      </c>
      <c r="L58" s="11"/>
      <c r="M58" s="12"/>
      <c r="N58" s="13"/>
      <c r="O58" s="14"/>
    </row>
    <row r="59" spans="2:15" x14ac:dyDescent="0.25">
      <c r="B59" s="171" t="s">
        <v>26</v>
      </c>
      <c r="C59" s="50">
        <v>0</v>
      </c>
      <c r="D59" s="46"/>
      <c r="E59" s="9">
        <v>0</v>
      </c>
      <c r="F59" s="10">
        <v>12</v>
      </c>
      <c r="G59" s="9">
        <f t="shared" si="8"/>
        <v>0</v>
      </c>
      <c r="L59" s="11"/>
      <c r="M59" s="12"/>
      <c r="N59" s="13"/>
      <c r="O59" s="14"/>
    </row>
    <row r="60" spans="2:15" x14ac:dyDescent="0.25">
      <c r="B60" s="171" t="s">
        <v>42</v>
      </c>
      <c r="C60" s="50">
        <v>0</v>
      </c>
      <c r="D60" s="46"/>
      <c r="E60" s="9">
        <v>0</v>
      </c>
      <c r="F60" s="10">
        <v>12</v>
      </c>
      <c r="G60" s="9">
        <f t="shared" si="8"/>
        <v>0</v>
      </c>
      <c r="L60" s="11"/>
      <c r="M60" s="12"/>
      <c r="N60" s="13"/>
      <c r="O60" s="14"/>
    </row>
    <row r="61" spans="2:15" x14ac:dyDescent="0.25">
      <c r="B61" s="171" t="s">
        <v>141</v>
      </c>
      <c r="C61" s="50">
        <v>0</v>
      </c>
      <c r="D61" s="46"/>
      <c r="E61" s="9">
        <v>0</v>
      </c>
      <c r="F61" s="10">
        <v>12</v>
      </c>
      <c r="G61" s="9">
        <f t="shared" si="8"/>
        <v>0</v>
      </c>
      <c r="L61" s="11"/>
      <c r="M61" s="12"/>
      <c r="N61" s="13"/>
      <c r="O61" s="14"/>
    </row>
    <row r="62" spans="2:15" x14ac:dyDescent="0.25">
      <c r="B62" s="171" t="s">
        <v>143</v>
      </c>
      <c r="C62" s="50">
        <v>0</v>
      </c>
      <c r="D62" s="46"/>
      <c r="E62" s="9">
        <v>0</v>
      </c>
      <c r="F62" s="10">
        <v>12</v>
      </c>
      <c r="G62" s="9">
        <f t="shared" si="8"/>
        <v>0</v>
      </c>
      <c r="L62" s="11"/>
      <c r="M62" s="12"/>
      <c r="N62" s="13"/>
      <c r="O62" s="14"/>
    </row>
    <row r="63" spans="2:15" x14ac:dyDescent="0.25">
      <c r="B63" s="171" t="s">
        <v>139</v>
      </c>
      <c r="C63" s="50">
        <v>0</v>
      </c>
      <c r="D63" s="46"/>
      <c r="E63" s="9">
        <v>0</v>
      </c>
      <c r="F63" s="10">
        <v>12</v>
      </c>
      <c r="G63" s="9">
        <f t="shared" si="8"/>
        <v>0</v>
      </c>
      <c r="L63" s="11"/>
      <c r="M63" s="12"/>
      <c r="N63" s="13"/>
      <c r="O63" s="14"/>
    </row>
    <row r="64" spans="2:15" ht="15.75" thickBot="1" x14ac:dyDescent="0.3">
      <c r="B64" s="48"/>
      <c r="C64" s="50">
        <v>0</v>
      </c>
      <c r="D64" s="46"/>
      <c r="E64" s="9">
        <v>0</v>
      </c>
      <c r="F64" s="10">
        <v>12</v>
      </c>
      <c r="G64" s="9">
        <f t="shared" si="8"/>
        <v>0</v>
      </c>
      <c r="L64" s="11"/>
      <c r="M64" s="12"/>
      <c r="N64" s="13"/>
      <c r="O64" s="14"/>
    </row>
    <row r="65" spans="2:15" ht="29.25" thickBot="1" x14ac:dyDescent="0.5">
      <c r="B65" s="16" t="s">
        <v>39</v>
      </c>
      <c r="C65" s="17"/>
      <c r="D65" s="17"/>
      <c r="E65" s="17">
        <f>SUM(E5:E64)</f>
        <v>52019.951736265852</v>
      </c>
      <c r="F65" s="18"/>
      <c r="G65" s="17">
        <f>SUM(G5:G64)</f>
        <v>419894.42083519028</v>
      </c>
      <c r="H65" s="53"/>
      <c r="I65" s="51"/>
      <c r="J65" s="51"/>
      <c r="K65" s="52"/>
    </row>
    <row r="66" spans="2:15" ht="21.75" thickBot="1" x14ac:dyDescent="0.4">
      <c r="B66" s="19"/>
      <c r="C66" s="19"/>
      <c r="D66" s="1"/>
      <c r="E66" s="1"/>
      <c r="F66" s="2"/>
      <c r="G66" s="1"/>
      <c r="H66" s="51"/>
      <c r="I66" s="51"/>
      <c r="J66" s="51"/>
      <c r="K66" s="52"/>
    </row>
    <row r="67" spans="2:15" ht="27" thickBot="1" x14ac:dyDescent="0.45">
      <c r="B67" s="23" t="s">
        <v>40</v>
      </c>
      <c r="C67" s="44"/>
      <c r="D67" s="24"/>
      <c r="E67" s="24">
        <f>SUM(E68:E70)</f>
        <v>2600.9975868132929</v>
      </c>
      <c r="F67" s="25">
        <f>SUM(F68:F68)</f>
        <v>12</v>
      </c>
      <c r="G67" s="24">
        <f>SUM(G68:G70)</f>
        <v>31211.971041759512</v>
      </c>
      <c r="H67" s="51"/>
      <c r="I67" s="51"/>
      <c r="J67" s="51"/>
      <c r="K67" s="52"/>
    </row>
    <row r="68" spans="2:15" x14ac:dyDescent="0.25">
      <c r="B68" s="171" t="s">
        <v>130</v>
      </c>
      <c r="C68" s="50"/>
      <c r="D68" s="46">
        <v>0.05</v>
      </c>
      <c r="E68" s="9">
        <f>E65*D68</f>
        <v>2600.9975868132929</v>
      </c>
      <c r="F68" s="10">
        <v>12</v>
      </c>
      <c r="G68" s="9">
        <f>E68*F68</f>
        <v>31211.971041759512</v>
      </c>
      <c r="H68" s="34">
        <f>G68/$G$71</f>
        <v>1</v>
      </c>
      <c r="L68" s="11"/>
      <c r="M68" s="12"/>
      <c r="N68" s="13"/>
      <c r="O68" s="14"/>
    </row>
    <row r="69" spans="2:15" x14ac:dyDescent="0.25">
      <c r="B69" s="171" t="s">
        <v>148</v>
      </c>
      <c r="C69" s="50"/>
      <c r="D69" s="46"/>
      <c r="E69" s="9"/>
      <c r="F69" s="10">
        <v>12</v>
      </c>
      <c r="G69" s="9"/>
      <c r="H69" s="34">
        <f t="shared" ref="H69:H70" si="9">G69/$G$71</f>
        <v>0</v>
      </c>
      <c r="L69" s="11"/>
      <c r="M69" s="12"/>
      <c r="N69" s="13"/>
      <c r="O69" s="14"/>
    </row>
    <row r="70" spans="2:15" ht="15.75" thickBot="1" x14ac:dyDescent="0.3">
      <c r="B70" s="171" t="s">
        <v>149</v>
      </c>
      <c r="C70" s="50"/>
      <c r="D70" s="46"/>
      <c r="E70" s="9"/>
      <c r="F70" s="10">
        <v>12</v>
      </c>
      <c r="G70" s="9"/>
      <c r="H70" s="34">
        <f t="shared" si="9"/>
        <v>0</v>
      </c>
      <c r="L70" s="11"/>
      <c r="M70" s="12"/>
      <c r="N70" s="13"/>
      <c r="O70" s="14"/>
    </row>
    <row r="71" spans="2:15" ht="29.25" thickBot="1" x14ac:dyDescent="0.5">
      <c r="B71" s="16" t="s">
        <v>39</v>
      </c>
      <c r="C71" s="43"/>
      <c r="D71" s="20"/>
      <c r="E71" s="20">
        <f>E67</f>
        <v>2600.9975868132929</v>
      </c>
      <c r="F71" s="21">
        <f>F67</f>
        <v>12</v>
      </c>
      <c r="G71" s="20">
        <f>G67</f>
        <v>31211.971041759512</v>
      </c>
      <c r="H71" s="53"/>
      <c r="I71" s="51"/>
      <c r="J71" s="51"/>
      <c r="K71" s="52"/>
    </row>
    <row r="72" spans="2:15" ht="15.75" thickBot="1" x14ac:dyDescent="0.3">
      <c r="H72" s="51"/>
      <c r="I72" s="51"/>
      <c r="J72" s="51"/>
      <c r="K72" s="52"/>
    </row>
    <row r="73" spans="2:15" s="15" customFormat="1" ht="29.25" thickBot="1" x14ac:dyDescent="0.5">
      <c r="B73" s="26" t="s">
        <v>50</v>
      </c>
      <c r="C73" s="45"/>
      <c r="D73" s="27"/>
      <c r="E73" s="27">
        <f>E65+E71</f>
        <v>54620.949323079141</v>
      </c>
      <c r="F73" s="27"/>
      <c r="G73" s="27">
        <f>(G65+G71)</f>
        <v>451106.39187694981</v>
      </c>
      <c r="H73" s="51"/>
      <c r="I73" s="51"/>
      <c r="J73" s="51"/>
      <c r="K73" s="52"/>
    </row>
    <row r="74" spans="2:15" s="15" customFormat="1" ht="29.25" thickBot="1" x14ac:dyDescent="0.5">
      <c r="B74" s="36" t="s">
        <v>76</v>
      </c>
      <c r="C74" s="173">
        <v>0.2</v>
      </c>
      <c r="D74" s="174"/>
      <c r="E74" s="37">
        <f>E73*C74</f>
        <v>10924.18986461583</v>
      </c>
      <c r="F74" s="38"/>
      <c r="G74" s="37">
        <f>G73*C74</f>
        <v>90221.278375389971</v>
      </c>
      <c r="H74" s="51"/>
      <c r="I74" s="51"/>
      <c r="J74" s="51"/>
      <c r="K74" s="52"/>
    </row>
    <row r="75" spans="2:15" s="15" customFormat="1" ht="29.25" thickBot="1" x14ac:dyDescent="0.5">
      <c r="B75" s="26" t="s">
        <v>50</v>
      </c>
      <c r="C75" s="45"/>
      <c r="D75" s="27"/>
      <c r="E75" s="27">
        <f>E73+E74</f>
        <v>65545.139187694964</v>
      </c>
      <c r="F75" s="28"/>
      <c r="G75" s="27">
        <f>G73+G74</f>
        <v>541327.6702523398</v>
      </c>
      <c r="H75" s="53"/>
      <c r="I75" s="51"/>
      <c r="J75" s="51"/>
      <c r="K75" s="52"/>
    </row>
    <row r="76" spans="2:15" x14ac:dyDescent="0.25">
      <c r="G76" s="33"/>
      <c r="H76" s="51"/>
      <c r="I76" s="51"/>
      <c r="J76" s="51"/>
      <c r="K76" s="52"/>
    </row>
    <row r="77" spans="2:15" x14ac:dyDescent="0.25">
      <c r="G77" s="29"/>
      <c r="H77" s="51"/>
      <c r="I77" s="51"/>
      <c r="J77" s="51"/>
      <c r="K77" s="52"/>
    </row>
    <row r="78" spans="2:15" x14ac:dyDescent="0.25">
      <c r="G78" s="29"/>
      <c r="H78" s="51"/>
      <c r="I78" s="51"/>
      <c r="J78" s="51"/>
      <c r="K78" s="52"/>
    </row>
    <row r="79" spans="2:15" x14ac:dyDescent="0.25">
      <c r="G79" s="30"/>
      <c r="H79" s="51"/>
      <c r="I79" s="51"/>
      <c r="J79" s="51"/>
      <c r="K79" s="52"/>
    </row>
  </sheetData>
  <mergeCells count="2">
    <mergeCell ref="B3:G3"/>
    <mergeCell ref="C74:D74"/>
  </mergeCells>
  <conditionalFormatting sqref="O6:O7 O9:O64">
    <cfRule type="cellIs" dxfId="2" priority="9" operator="lessThan">
      <formula>-1</formula>
    </cfRule>
  </conditionalFormatting>
  <conditionalFormatting sqref="O8">
    <cfRule type="cellIs" dxfId="1" priority="5" operator="lessThan">
      <formula>-1</formula>
    </cfRule>
  </conditionalFormatting>
  <conditionalFormatting sqref="O68:O70">
    <cfRule type="cellIs" dxfId="0" priority="1" operator="lessThan">
      <formula>-1</formula>
    </cfRule>
  </conditionalFormatting>
  <pageMargins left="0.39370078740157483" right="0" top="0" bottom="0" header="0" footer="0"/>
  <pageSetup paperSize="9" scale="6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"/>
  <sheetViews>
    <sheetView workbookViewId="0">
      <selection activeCell="C5" sqref="C5"/>
    </sheetView>
  </sheetViews>
  <sheetFormatPr defaultRowHeight="15" x14ac:dyDescent="0.25"/>
  <cols>
    <col min="1" max="1" width="35" style="1" bestFit="1" customWidth="1"/>
    <col min="2" max="2" width="3.42578125" style="1" customWidth="1"/>
    <col min="3" max="3" width="8" style="1" bestFit="1" customWidth="1"/>
    <col min="4" max="16384" width="9.140625" style="1"/>
  </cols>
  <sheetData>
    <row r="1" spans="1:5" x14ac:dyDescent="0.25">
      <c r="A1" s="39"/>
      <c r="B1" s="39"/>
      <c r="C1" s="54">
        <v>2018</v>
      </c>
      <c r="D1" s="63">
        <v>64</v>
      </c>
      <c r="E1" s="1" t="s">
        <v>62</v>
      </c>
    </row>
    <row r="2" spans="1:5" x14ac:dyDescent="0.25">
      <c r="A2" s="64" t="s">
        <v>63</v>
      </c>
      <c r="B2" s="55"/>
      <c r="C2" s="66">
        <f>SUM(B3:C6)</f>
        <v>704.85373730773404</v>
      </c>
    </row>
    <row r="3" spans="1:5" x14ac:dyDescent="0.25">
      <c r="A3" s="35" t="s">
        <v>47</v>
      </c>
      <c r="B3" s="56"/>
      <c r="C3" s="57">
        <f>('Previsão Orçamentária '!G68/'taxa distribuidia por n de apto'!$D$1)/12</f>
        <v>40.640587293957701</v>
      </c>
    </row>
    <row r="4" spans="1:5" x14ac:dyDescent="0.25">
      <c r="A4" s="35" t="s">
        <v>151</v>
      </c>
      <c r="B4" s="56"/>
      <c r="C4" s="57">
        <f>('Previsão Orçamentária '!G69/'taxa distribuidia por n de apto'!$D$1)/12</f>
        <v>0</v>
      </c>
    </row>
    <row r="5" spans="1:5" x14ac:dyDescent="0.25">
      <c r="A5" s="35" t="s">
        <v>152</v>
      </c>
      <c r="B5" s="56"/>
      <c r="C5" s="57">
        <f>('Previsão Orçamentária '!G70/'taxa distribuidia por n de apto'!$D$1)/12</f>
        <v>0</v>
      </c>
    </row>
    <row r="6" spans="1:5" x14ac:dyDescent="0.25">
      <c r="A6" s="58" t="s">
        <v>75</v>
      </c>
      <c r="B6" s="59"/>
      <c r="C6" s="60">
        <f>(('Previsão Orçamentária '!G75-'Previsão Orçamentária '!G71)/'taxa distribuidia por n de apto'!$D$1)/12</f>
        <v>664.21315001377639</v>
      </c>
    </row>
    <row r="7" spans="1:5" x14ac:dyDescent="0.25">
      <c r="A7" s="61"/>
      <c r="B7" s="62"/>
      <c r="C7" s="65"/>
    </row>
    <row r="8" spans="1:5" x14ac:dyDescent="0.25">
      <c r="A8" s="67" t="s">
        <v>46</v>
      </c>
      <c r="B8" s="68"/>
      <c r="C8" s="69">
        <f>C2+C7</f>
        <v>704.85373730773404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C74"/>
  <sheetViews>
    <sheetView workbookViewId="0">
      <selection activeCell="D5" sqref="D5"/>
    </sheetView>
  </sheetViews>
  <sheetFormatPr defaultRowHeight="12" x14ac:dyDescent="0.2"/>
  <cols>
    <col min="1" max="1" width="12.7109375" style="70" bestFit="1" customWidth="1"/>
    <col min="2" max="2" width="11" style="70" bestFit="1" customWidth="1"/>
    <col min="3" max="3" width="14" style="70" customWidth="1"/>
    <col min="4" max="4" width="13.28515625" style="70" customWidth="1"/>
    <col min="5" max="5" width="9" style="70" bestFit="1" customWidth="1"/>
    <col min="6" max="6" width="12.140625" style="70" customWidth="1"/>
    <col min="7" max="7" width="2" style="70" customWidth="1"/>
    <col min="8" max="8" width="12.7109375" style="70" bestFit="1" customWidth="1"/>
    <col min="9" max="9" width="9.7109375" style="70" bestFit="1" customWidth="1"/>
    <col min="10" max="10" width="10.7109375" style="70" bestFit="1" customWidth="1"/>
    <col min="11" max="12" width="10.42578125" style="70" bestFit="1" customWidth="1"/>
    <col min="13" max="13" width="10.7109375" style="70" customWidth="1"/>
    <col min="14" max="14" width="3" style="70" customWidth="1"/>
    <col min="15" max="15" width="9.140625" style="70"/>
    <col min="16" max="16" width="9.7109375" style="70" bestFit="1" customWidth="1"/>
    <col min="17" max="20" width="9.140625" style="70"/>
    <col min="21" max="21" width="2.42578125" style="70" customWidth="1"/>
    <col min="22" max="27" width="9.140625" style="70"/>
    <col min="28" max="28" width="3.42578125" style="70" customWidth="1"/>
    <col min="29" max="34" width="9.140625" style="70"/>
    <col min="35" max="35" width="2.42578125" style="70" customWidth="1"/>
    <col min="36" max="37" width="9.140625" style="70"/>
    <col min="38" max="38" width="10.5703125" style="70" bestFit="1" customWidth="1"/>
    <col min="39" max="41" width="9.140625" style="70"/>
    <col min="42" max="42" width="3.5703125" style="70" customWidth="1"/>
    <col min="43" max="48" width="9.140625" style="70"/>
    <col min="49" max="49" width="3" style="70" customWidth="1"/>
    <col min="50" max="16384" width="9.140625" style="70"/>
  </cols>
  <sheetData>
    <row r="1" spans="1:55" ht="22.5" customHeight="1" x14ac:dyDescent="0.2">
      <c r="A1" s="177" t="s">
        <v>78</v>
      </c>
      <c r="B1" s="177"/>
      <c r="C1" s="177"/>
      <c r="D1" s="81">
        <f>'Previsão Orçamentária '!G65+'Previsão Orçamentária '!G74</f>
        <v>510115.69921058026</v>
      </c>
      <c r="F1" s="96"/>
      <c r="I1" s="100"/>
    </row>
    <row r="2" spans="1:55" ht="26.25" customHeight="1" x14ac:dyDescent="0.2">
      <c r="A2" s="177" t="s">
        <v>77</v>
      </c>
      <c r="B2" s="177"/>
      <c r="C2" s="177"/>
      <c r="D2" s="103">
        <f>'Previsão Orçamentária '!G68</f>
        <v>31211.971041759512</v>
      </c>
      <c r="E2" s="81"/>
      <c r="F2" s="95"/>
      <c r="G2" s="73"/>
      <c r="H2" s="74"/>
      <c r="I2" s="71"/>
      <c r="J2" s="72"/>
      <c r="K2" s="72"/>
      <c r="L2" s="72"/>
      <c r="M2" s="72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</row>
    <row r="3" spans="1:55" ht="21.75" customHeight="1" x14ac:dyDescent="0.2">
      <c r="A3" s="177" t="s">
        <v>79</v>
      </c>
      <c r="B3" s="177"/>
      <c r="C3" s="177"/>
      <c r="D3" s="104">
        <f>'Previsão Orçamentária '!$G$69</f>
        <v>0</v>
      </c>
      <c r="E3" s="81"/>
      <c r="F3" s="95"/>
      <c r="G3" s="73"/>
      <c r="H3" s="74"/>
      <c r="I3" s="71"/>
      <c r="J3" s="72"/>
      <c r="K3" s="72"/>
      <c r="L3" s="72"/>
      <c r="M3" s="72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</row>
    <row r="4" spans="1:55" ht="21.75" customHeight="1" thickBot="1" x14ac:dyDescent="0.25">
      <c r="A4" s="177" t="s">
        <v>150</v>
      </c>
      <c r="B4" s="177"/>
      <c r="C4" s="177"/>
      <c r="D4" s="104">
        <f>'Previsão Orçamentária '!G70</f>
        <v>0</v>
      </c>
      <c r="E4" s="81"/>
      <c r="F4" s="95"/>
      <c r="G4" s="73"/>
      <c r="H4" s="74"/>
      <c r="I4" s="71"/>
      <c r="J4" s="72"/>
      <c r="K4" s="72"/>
      <c r="L4" s="72"/>
      <c r="M4" s="72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</row>
    <row r="5" spans="1:55" ht="13.5" thickTop="1" thickBot="1" x14ac:dyDescent="0.25">
      <c r="B5" s="71"/>
      <c r="C5" s="72"/>
      <c r="D5" s="112">
        <f>SUM(D1:D3)</f>
        <v>541327.6702523398</v>
      </c>
      <c r="E5" s="81"/>
      <c r="F5" s="95"/>
      <c r="G5" s="73"/>
      <c r="H5" s="74"/>
      <c r="I5" s="71"/>
      <c r="J5" s="72"/>
      <c r="K5" s="72"/>
      <c r="L5" s="72"/>
      <c r="M5" s="72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</row>
    <row r="6" spans="1:55" ht="12.75" thickTop="1" x14ac:dyDescent="0.2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82"/>
      <c r="L6" s="82"/>
      <c r="M6" s="82"/>
      <c r="N6" s="86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82"/>
      <c r="Z6" s="82"/>
      <c r="AA6" s="82"/>
      <c r="AB6" s="73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99"/>
      <c r="AN6" s="99"/>
      <c r="AO6" s="99"/>
      <c r="AP6" s="89"/>
      <c r="AQ6" s="176"/>
      <c r="AR6" s="176"/>
      <c r="AS6" s="176"/>
      <c r="AT6" s="176"/>
      <c r="AU6" s="176"/>
      <c r="AV6" s="176"/>
      <c r="AW6" s="176"/>
      <c r="AX6" s="176"/>
      <c r="AY6" s="176"/>
      <c r="AZ6" s="176"/>
    </row>
    <row r="7" spans="1:55" x14ac:dyDescent="0.2">
      <c r="A7" s="83" t="s">
        <v>64</v>
      </c>
      <c r="B7" s="84" t="s">
        <v>65</v>
      </c>
      <c r="C7" s="85" t="s">
        <v>46</v>
      </c>
      <c r="D7" s="101" t="s">
        <v>67</v>
      </c>
      <c r="E7" s="102" t="s">
        <v>68</v>
      </c>
      <c r="F7" s="85" t="s">
        <v>69</v>
      </c>
      <c r="G7" s="86"/>
      <c r="H7" s="83" t="s">
        <v>64</v>
      </c>
      <c r="I7" s="84" t="s">
        <v>65</v>
      </c>
      <c r="J7" s="85" t="s">
        <v>46</v>
      </c>
      <c r="K7" s="101" t="s">
        <v>67</v>
      </c>
      <c r="L7" s="102" t="s">
        <v>68</v>
      </c>
      <c r="M7" s="85" t="s">
        <v>69</v>
      </c>
      <c r="N7" s="86"/>
      <c r="O7" s="83" t="s">
        <v>64</v>
      </c>
      <c r="P7" s="84" t="s">
        <v>65</v>
      </c>
      <c r="Q7" s="85" t="s">
        <v>46</v>
      </c>
      <c r="R7" s="101" t="s">
        <v>67</v>
      </c>
      <c r="S7" s="102" t="s">
        <v>68</v>
      </c>
      <c r="T7" s="85" t="s">
        <v>69</v>
      </c>
      <c r="U7" s="86"/>
      <c r="V7" s="83" t="s">
        <v>64</v>
      </c>
      <c r="W7" s="84" t="s">
        <v>65</v>
      </c>
      <c r="X7" s="85" t="s">
        <v>46</v>
      </c>
      <c r="Y7" s="101" t="s">
        <v>67</v>
      </c>
      <c r="Z7" s="102" t="s">
        <v>68</v>
      </c>
      <c r="AA7" s="85" t="s">
        <v>69</v>
      </c>
      <c r="AB7" s="73"/>
      <c r="AC7" s="90" t="s">
        <v>41</v>
      </c>
      <c r="AD7" s="91" t="s">
        <v>65</v>
      </c>
      <c r="AE7" s="92" t="s">
        <v>66</v>
      </c>
      <c r="AF7" s="101" t="s">
        <v>67</v>
      </c>
      <c r="AG7" s="102" t="s">
        <v>68</v>
      </c>
      <c r="AH7" s="92" t="s">
        <v>69</v>
      </c>
      <c r="AI7" s="89"/>
      <c r="AJ7" s="90" t="s">
        <v>41</v>
      </c>
      <c r="AK7" s="91" t="s">
        <v>65</v>
      </c>
      <c r="AL7" s="92" t="s">
        <v>66</v>
      </c>
      <c r="AM7" s="101" t="s">
        <v>67</v>
      </c>
      <c r="AN7" s="102" t="s">
        <v>68</v>
      </c>
      <c r="AO7" s="92" t="s">
        <v>69</v>
      </c>
      <c r="AP7" s="89"/>
      <c r="AQ7" s="90" t="s">
        <v>41</v>
      </c>
      <c r="AR7" s="91" t="s">
        <v>65</v>
      </c>
      <c r="AS7" s="92" t="s">
        <v>66</v>
      </c>
      <c r="AT7" s="101" t="s">
        <v>67</v>
      </c>
      <c r="AU7" s="102" t="s">
        <v>68</v>
      </c>
      <c r="AV7" s="92" t="s">
        <v>69</v>
      </c>
      <c r="AW7" s="89"/>
      <c r="AX7" s="90" t="s">
        <v>41</v>
      </c>
      <c r="AY7" s="91" t="s">
        <v>65</v>
      </c>
      <c r="AZ7" s="92" t="s">
        <v>66</v>
      </c>
      <c r="BA7" s="101" t="s">
        <v>67</v>
      </c>
      <c r="BB7" s="102" t="s">
        <v>68</v>
      </c>
      <c r="BC7" s="92" t="s">
        <v>69</v>
      </c>
    </row>
    <row r="8" spans="1:55" x14ac:dyDescent="0.2">
      <c r="A8" s="75">
        <v>101</v>
      </c>
      <c r="B8" s="76">
        <v>6.1399999999999996E-3</v>
      </c>
      <c r="C8" s="77">
        <f>(B8*$D$1)/12</f>
        <v>261.00919942941357</v>
      </c>
      <c r="D8" s="97">
        <f>($D$2*B8)/12</f>
        <v>15.970125183033616</v>
      </c>
      <c r="E8" s="97">
        <f>($D$3*B8)/12</f>
        <v>0</v>
      </c>
      <c r="F8" s="87">
        <f>SUM(C8:E8)</f>
        <v>276.97932461244716</v>
      </c>
      <c r="G8" s="73"/>
      <c r="H8" s="75">
        <v>501</v>
      </c>
      <c r="I8" s="76">
        <v>5.8919999999999997E-3</v>
      </c>
      <c r="J8" s="77">
        <f>(I8*$D$1)/12</f>
        <v>250.46680831239487</v>
      </c>
      <c r="K8" s="97">
        <f>($D$2*I8)/12</f>
        <v>15.32507778150392</v>
      </c>
      <c r="L8" s="97">
        <f t="shared" ref="L8:L39" si="0">($D$3*I8)/12</f>
        <v>0</v>
      </c>
      <c r="M8" s="87">
        <f>SUM(J8:L8)</f>
        <v>265.79188609389877</v>
      </c>
      <c r="N8" s="73"/>
      <c r="O8" s="75">
        <v>101</v>
      </c>
      <c r="P8" s="76">
        <v>6.1399999999999996E-3</v>
      </c>
      <c r="Q8" s="77">
        <f>(P8*$D$1)/12</f>
        <v>261.00919942941357</v>
      </c>
      <c r="R8" s="97">
        <f>($D$2*P8)/12</f>
        <v>15.970125183033616</v>
      </c>
      <c r="S8" s="97">
        <f t="shared" ref="S8:S39" si="1">($D$3*P8)/12</f>
        <v>0</v>
      </c>
      <c r="T8" s="87">
        <f>SUM(Q8:S8)</f>
        <v>276.97932461244716</v>
      </c>
      <c r="U8" s="73"/>
      <c r="V8" s="75">
        <v>501</v>
      </c>
      <c r="W8" s="76">
        <v>5.8919999999999997E-3</v>
      </c>
      <c r="X8" s="77">
        <f>(W8*$D$1)/12</f>
        <v>250.46680831239487</v>
      </c>
      <c r="Y8" s="97">
        <f>($D$2*W8)/12</f>
        <v>15.32507778150392</v>
      </c>
      <c r="Z8" s="97">
        <f t="shared" ref="Z8:Z39" si="2">($D$3*W8)/12</f>
        <v>0</v>
      </c>
      <c r="AA8" s="87">
        <f>SUM(X8:Z8)</f>
        <v>265.79188609389877</v>
      </c>
      <c r="AB8" s="73"/>
      <c r="AC8" s="78">
        <v>1</v>
      </c>
      <c r="AD8" s="76">
        <v>7.67E-4</v>
      </c>
      <c r="AE8" s="77">
        <f>(AD8*$D$1)/12</f>
        <v>32.604895107876253</v>
      </c>
      <c r="AF8" s="97">
        <f>($D$2*AD8)/12</f>
        <v>1.9949651490857956</v>
      </c>
      <c r="AG8" s="97">
        <f t="shared" ref="AG8:AG71" si="3">($D$3*AD8)/12</f>
        <v>0</v>
      </c>
      <c r="AH8" s="93">
        <f>SUM(AE8:AG8)</f>
        <v>34.599860256962046</v>
      </c>
      <c r="AI8" s="73"/>
      <c r="AJ8" s="78">
        <v>67</v>
      </c>
      <c r="AK8" s="76">
        <v>7.67E-4</v>
      </c>
      <c r="AL8" s="77">
        <f t="shared" ref="AL8:AL71" si="4">(AK8*$D$1)/12</f>
        <v>32.604895107876253</v>
      </c>
      <c r="AM8" s="97">
        <f t="shared" ref="AM8:AM71" si="5">($D$2*AK8)/12</f>
        <v>1.9949651490857956</v>
      </c>
      <c r="AN8" s="97">
        <f t="shared" ref="AN8:AN71" si="6">($D$3*AK8)/12</f>
        <v>0</v>
      </c>
      <c r="AO8" s="93">
        <f>SUM(AL8:AN8)</f>
        <v>34.599860256962046</v>
      </c>
      <c r="AP8" s="73"/>
      <c r="AQ8" s="78">
        <v>131</v>
      </c>
      <c r="AR8" s="76">
        <v>7.67E-4</v>
      </c>
      <c r="AS8" s="77">
        <f t="shared" ref="AS8:AS71" si="7">(AR8*$D$1)/12</f>
        <v>32.604895107876253</v>
      </c>
      <c r="AT8" s="97">
        <f t="shared" ref="AT8:AT71" si="8">($D$2*AR8)/12</f>
        <v>1.9949651490857956</v>
      </c>
      <c r="AU8" s="97">
        <f t="shared" ref="AU8:AU71" si="9">($D$3*AR8)/12</f>
        <v>0</v>
      </c>
      <c r="AV8" s="93">
        <f>SUM(AS8:AU8)</f>
        <v>34.599860256962046</v>
      </c>
      <c r="AW8" s="73"/>
      <c r="AX8" s="78">
        <v>195</v>
      </c>
      <c r="AY8" s="76">
        <v>7.67E-4</v>
      </c>
      <c r="AZ8" s="77">
        <f t="shared" ref="AZ8:AZ71" si="10">(AY8*$D$1)/12</f>
        <v>32.604895107876253</v>
      </c>
      <c r="BA8" s="97">
        <f t="shared" ref="BA8:BA71" si="11">($D$2*AY8)/12</f>
        <v>1.9949651490857956</v>
      </c>
      <c r="BB8" s="97">
        <f t="shared" ref="BB8:BB71" si="12">($D$3*AY8)/12</f>
        <v>0</v>
      </c>
      <c r="BC8" s="93">
        <f>SUM(AZ8:BB8)</f>
        <v>34.599860256962046</v>
      </c>
    </row>
    <row r="9" spans="1:55" x14ac:dyDescent="0.2">
      <c r="A9" s="75">
        <v>102</v>
      </c>
      <c r="B9" s="76">
        <v>7.0019999999999995E-3</v>
      </c>
      <c r="C9" s="77">
        <f t="shared" ref="C9:C39" si="13">(B9*$D$1)/12</f>
        <v>297.65251048937358</v>
      </c>
      <c r="D9" s="97">
        <f t="shared" ref="D9:D39" si="14">($D$2*B9)/12</f>
        <v>18.212185102866673</v>
      </c>
      <c r="E9" s="97">
        <f t="shared" ref="E9:E39" si="15">($D$3*B9)/12</f>
        <v>0</v>
      </c>
      <c r="F9" s="87">
        <f t="shared" ref="F9:F38" si="16">SUM(C9:E9)</f>
        <v>315.86469559224025</v>
      </c>
      <c r="G9" s="73"/>
      <c r="H9" s="75">
        <v>502</v>
      </c>
      <c r="I9" s="76">
        <v>6.7489999999999998E-3</v>
      </c>
      <c r="J9" s="77">
        <f t="shared" ref="J9:J39" si="17">(I9*$D$1)/12</f>
        <v>286.8975711643505</v>
      </c>
      <c r="K9" s="97">
        <f t="shared" ref="K9:K39" si="18">($D$2*I9)/12</f>
        <v>17.554132713402911</v>
      </c>
      <c r="L9" s="97">
        <f t="shared" si="0"/>
        <v>0</v>
      </c>
      <c r="M9" s="87">
        <f t="shared" ref="M9:M39" si="19">SUM(J9:L9)</f>
        <v>304.4517038777534</v>
      </c>
      <c r="N9" s="73"/>
      <c r="O9" s="75">
        <v>102</v>
      </c>
      <c r="P9" s="76">
        <v>7.0019999999999995E-3</v>
      </c>
      <c r="Q9" s="77">
        <f t="shared" ref="Q9:Q39" si="20">(P9*$D$1)/12</f>
        <v>297.65251048937358</v>
      </c>
      <c r="R9" s="97">
        <f t="shared" ref="R9:R39" si="21">($D$2*P9)/12</f>
        <v>18.212185102866673</v>
      </c>
      <c r="S9" s="97">
        <f t="shared" si="1"/>
        <v>0</v>
      </c>
      <c r="T9" s="87">
        <f t="shared" ref="T9:T39" si="22">SUM(Q9:S9)</f>
        <v>315.86469559224025</v>
      </c>
      <c r="U9" s="73"/>
      <c r="V9" s="75">
        <v>502</v>
      </c>
      <c r="W9" s="76">
        <v>6.7489999999999998E-3</v>
      </c>
      <c r="X9" s="77">
        <f t="shared" ref="X9:X39" si="23">(W9*$D$1)/12</f>
        <v>286.8975711643505</v>
      </c>
      <c r="Y9" s="97">
        <f t="shared" ref="Y9:Y39" si="24">($D$2*W9)/12</f>
        <v>17.554132713402911</v>
      </c>
      <c r="Z9" s="97">
        <f t="shared" si="2"/>
        <v>0</v>
      </c>
      <c r="AA9" s="87">
        <f t="shared" ref="AA9:AA39" si="25">SUM(X9:Z9)</f>
        <v>304.4517038777534</v>
      </c>
      <c r="AB9" s="73"/>
      <c r="AC9" s="78">
        <v>2</v>
      </c>
      <c r="AD9" s="76">
        <v>7.67E-4</v>
      </c>
      <c r="AE9" s="77">
        <f t="shared" ref="AE9:AE72" si="26">(AD9*$D$1)/12</f>
        <v>32.604895107876253</v>
      </c>
      <c r="AF9" s="97">
        <f t="shared" ref="AF9:AF72" si="27">($D$2*AD9)/12</f>
        <v>1.9949651490857956</v>
      </c>
      <c r="AG9" s="97">
        <f t="shared" si="3"/>
        <v>0</v>
      </c>
      <c r="AH9" s="93">
        <f t="shared" ref="AH9:AH72" si="28">SUM(AE9:AG9)</f>
        <v>34.599860256962046</v>
      </c>
      <c r="AI9" s="73"/>
      <c r="AJ9" s="78">
        <v>68</v>
      </c>
      <c r="AK9" s="76">
        <v>7.67E-4</v>
      </c>
      <c r="AL9" s="77">
        <f t="shared" si="4"/>
        <v>32.604895107876253</v>
      </c>
      <c r="AM9" s="97">
        <f t="shared" si="5"/>
        <v>1.9949651490857956</v>
      </c>
      <c r="AN9" s="97">
        <f t="shared" si="6"/>
        <v>0</v>
      </c>
      <c r="AO9" s="93">
        <f t="shared" ref="AO9:AO11" si="29">SUM(AL9:AN9)</f>
        <v>34.599860256962046</v>
      </c>
      <c r="AP9" s="73"/>
      <c r="AQ9" s="78">
        <v>132</v>
      </c>
      <c r="AR9" s="76">
        <v>7.67E-4</v>
      </c>
      <c r="AS9" s="77">
        <f t="shared" si="7"/>
        <v>32.604895107876253</v>
      </c>
      <c r="AT9" s="97">
        <f t="shared" si="8"/>
        <v>1.9949651490857956</v>
      </c>
      <c r="AU9" s="97">
        <f t="shared" si="9"/>
        <v>0</v>
      </c>
      <c r="AV9" s="93">
        <f t="shared" ref="AV9" si="30">SUM(AS9:AU9)</f>
        <v>34.599860256962046</v>
      </c>
      <c r="AW9" s="73"/>
      <c r="AX9" s="78">
        <v>196</v>
      </c>
      <c r="AY9" s="76">
        <v>7.67E-4</v>
      </c>
      <c r="AZ9" s="77">
        <f t="shared" si="10"/>
        <v>32.604895107876253</v>
      </c>
      <c r="BA9" s="97">
        <f t="shared" si="11"/>
        <v>1.9949651490857956</v>
      </c>
      <c r="BB9" s="97">
        <f t="shared" si="12"/>
        <v>0</v>
      </c>
      <c r="BC9" s="93">
        <f t="shared" ref="BC9:BC71" si="31">SUM(AZ9:BB9)</f>
        <v>34.599860256962046</v>
      </c>
    </row>
    <row r="10" spans="1:55" x14ac:dyDescent="0.2">
      <c r="A10" s="75">
        <v>103</v>
      </c>
      <c r="B10" s="76">
        <v>7.0019999999999995E-3</v>
      </c>
      <c r="C10" s="77">
        <f t="shared" si="13"/>
        <v>297.65251048937358</v>
      </c>
      <c r="D10" s="97">
        <f t="shared" si="14"/>
        <v>18.212185102866673</v>
      </c>
      <c r="E10" s="97">
        <f t="shared" si="15"/>
        <v>0</v>
      </c>
      <c r="F10" s="87">
        <f t="shared" si="16"/>
        <v>315.86469559224025</v>
      </c>
      <c r="G10" s="73"/>
      <c r="H10" s="75">
        <v>503</v>
      </c>
      <c r="I10" s="76">
        <v>6.7489999999999998E-3</v>
      </c>
      <c r="J10" s="77">
        <f t="shared" si="17"/>
        <v>286.8975711643505</v>
      </c>
      <c r="K10" s="97">
        <f t="shared" si="18"/>
        <v>17.554132713402911</v>
      </c>
      <c r="L10" s="97">
        <f t="shared" si="0"/>
        <v>0</v>
      </c>
      <c r="M10" s="87">
        <f t="shared" si="19"/>
        <v>304.4517038777534</v>
      </c>
      <c r="N10" s="73"/>
      <c r="O10" s="75">
        <v>103</v>
      </c>
      <c r="P10" s="76">
        <v>7.0019999999999995E-3</v>
      </c>
      <c r="Q10" s="77">
        <f t="shared" si="20"/>
        <v>297.65251048937358</v>
      </c>
      <c r="R10" s="97">
        <f t="shared" si="21"/>
        <v>18.212185102866673</v>
      </c>
      <c r="S10" s="97">
        <f t="shared" si="1"/>
        <v>0</v>
      </c>
      <c r="T10" s="87">
        <f t="shared" si="22"/>
        <v>315.86469559224025</v>
      </c>
      <c r="U10" s="73"/>
      <c r="V10" s="75">
        <v>503</v>
      </c>
      <c r="W10" s="76">
        <v>6.7489999999999998E-3</v>
      </c>
      <c r="X10" s="77">
        <f t="shared" si="23"/>
        <v>286.8975711643505</v>
      </c>
      <c r="Y10" s="97">
        <f t="shared" si="24"/>
        <v>17.554132713402911</v>
      </c>
      <c r="Z10" s="97">
        <f t="shared" si="2"/>
        <v>0</v>
      </c>
      <c r="AA10" s="87">
        <f t="shared" si="25"/>
        <v>304.4517038777534</v>
      </c>
      <c r="AB10" s="73"/>
      <c r="AC10" s="78">
        <v>3</v>
      </c>
      <c r="AD10" s="76">
        <v>7.67E-4</v>
      </c>
      <c r="AE10" s="77">
        <f t="shared" si="26"/>
        <v>32.604895107876253</v>
      </c>
      <c r="AF10" s="97">
        <f t="shared" si="27"/>
        <v>1.9949651490857956</v>
      </c>
      <c r="AG10" s="97">
        <f t="shared" si="3"/>
        <v>0</v>
      </c>
      <c r="AH10" s="93">
        <f t="shared" si="28"/>
        <v>34.599860256962046</v>
      </c>
      <c r="AI10" s="73"/>
      <c r="AJ10" s="78">
        <v>69</v>
      </c>
      <c r="AK10" s="76">
        <v>7.67E-4</v>
      </c>
      <c r="AL10" s="77">
        <f t="shared" si="4"/>
        <v>32.604895107876253</v>
      </c>
      <c r="AM10" s="97">
        <f t="shared" si="5"/>
        <v>1.9949651490857956</v>
      </c>
      <c r="AN10" s="97">
        <f t="shared" si="6"/>
        <v>0</v>
      </c>
      <c r="AO10" s="93">
        <f t="shared" si="29"/>
        <v>34.599860256962046</v>
      </c>
      <c r="AP10" s="73"/>
      <c r="AQ10" s="78">
        <v>133</v>
      </c>
      <c r="AR10" s="76">
        <v>7.67E-4</v>
      </c>
      <c r="AS10" s="77">
        <f t="shared" si="7"/>
        <v>32.604895107876253</v>
      </c>
      <c r="AT10" s="97">
        <f t="shared" si="8"/>
        <v>1.9949651490857956</v>
      </c>
      <c r="AU10" s="97">
        <f t="shared" si="9"/>
        <v>0</v>
      </c>
      <c r="AV10" s="93">
        <f t="shared" ref="AV10:AV71" si="32">SUM(AS10:AU10)</f>
        <v>34.599860256962046</v>
      </c>
      <c r="AW10" s="73"/>
      <c r="AX10" s="78">
        <v>197</v>
      </c>
      <c r="AY10" s="76">
        <v>7.67E-4</v>
      </c>
      <c r="AZ10" s="77">
        <f t="shared" si="10"/>
        <v>32.604895107876253</v>
      </c>
      <c r="BA10" s="97">
        <f t="shared" si="11"/>
        <v>1.9949651490857956</v>
      </c>
      <c r="BB10" s="97">
        <f t="shared" si="12"/>
        <v>0</v>
      </c>
      <c r="BC10" s="93">
        <f t="shared" si="31"/>
        <v>34.599860256962046</v>
      </c>
    </row>
    <row r="11" spans="1:55" x14ac:dyDescent="0.2">
      <c r="A11" s="75">
        <v>104</v>
      </c>
      <c r="B11" s="76">
        <v>6.2719999999999998E-3</v>
      </c>
      <c r="C11" s="77">
        <f t="shared" si="13"/>
        <v>266.62047212072997</v>
      </c>
      <c r="D11" s="97">
        <f t="shared" si="14"/>
        <v>16.313456864492974</v>
      </c>
      <c r="E11" s="97">
        <f t="shared" si="15"/>
        <v>0</v>
      </c>
      <c r="F11" s="87">
        <f t="shared" si="16"/>
        <v>282.93392898522296</v>
      </c>
      <c r="G11" s="73"/>
      <c r="H11" s="75">
        <v>504</v>
      </c>
      <c r="I11" s="76">
        <v>5.8919999999999997E-3</v>
      </c>
      <c r="J11" s="77">
        <f t="shared" si="17"/>
        <v>250.46680831239487</v>
      </c>
      <c r="K11" s="97">
        <f t="shared" si="18"/>
        <v>15.32507778150392</v>
      </c>
      <c r="L11" s="97">
        <f t="shared" si="0"/>
        <v>0</v>
      </c>
      <c r="M11" s="87">
        <f t="shared" si="19"/>
        <v>265.79188609389877</v>
      </c>
      <c r="N11" s="73"/>
      <c r="O11" s="75">
        <v>104</v>
      </c>
      <c r="P11" s="76">
        <v>6.2719999999999998E-3</v>
      </c>
      <c r="Q11" s="77">
        <f t="shared" si="20"/>
        <v>266.62047212072997</v>
      </c>
      <c r="R11" s="97">
        <f t="shared" si="21"/>
        <v>16.313456864492974</v>
      </c>
      <c r="S11" s="97">
        <f t="shared" si="1"/>
        <v>0</v>
      </c>
      <c r="T11" s="87">
        <f t="shared" si="22"/>
        <v>282.93392898522296</v>
      </c>
      <c r="U11" s="73"/>
      <c r="V11" s="75">
        <v>504</v>
      </c>
      <c r="W11" s="76">
        <v>5.8919999999999997E-3</v>
      </c>
      <c r="X11" s="77">
        <f t="shared" si="23"/>
        <v>250.46680831239487</v>
      </c>
      <c r="Y11" s="97">
        <f t="shared" si="24"/>
        <v>15.32507778150392</v>
      </c>
      <c r="Z11" s="97">
        <f t="shared" si="2"/>
        <v>0</v>
      </c>
      <c r="AA11" s="87">
        <f t="shared" si="25"/>
        <v>265.79188609389877</v>
      </c>
      <c r="AB11" s="73"/>
      <c r="AC11" s="78">
        <v>4</v>
      </c>
      <c r="AD11" s="76">
        <v>7.67E-4</v>
      </c>
      <c r="AE11" s="77">
        <f t="shared" si="26"/>
        <v>32.604895107876253</v>
      </c>
      <c r="AF11" s="97">
        <f t="shared" si="27"/>
        <v>1.9949651490857956</v>
      </c>
      <c r="AG11" s="97">
        <f t="shared" si="3"/>
        <v>0</v>
      </c>
      <c r="AH11" s="93">
        <f t="shared" si="28"/>
        <v>34.599860256962046</v>
      </c>
      <c r="AI11" s="73"/>
      <c r="AJ11" s="78">
        <v>70</v>
      </c>
      <c r="AK11" s="76">
        <v>7.67E-4</v>
      </c>
      <c r="AL11" s="77">
        <f t="shared" si="4"/>
        <v>32.604895107876253</v>
      </c>
      <c r="AM11" s="97">
        <f t="shared" si="5"/>
        <v>1.9949651490857956</v>
      </c>
      <c r="AN11" s="97">
        <f t="shared" si="6"/>
        <v>0</v>
      </c>
      <c r="AO11" s="93">
        <f t="shared" si="29"/>
        <v>34.599860256962046</v>
      </c>
      <c r="AP11" s="73"/>
      <c r="AQ11" s="78">
        <v>134</v>
      </c>
      <c r="AR11" s="76">
        <v>7.67E-4</v>
      </c>
      <c r="AS11" s="77">
        <f t="shared" si="7"/>
        <v>32.604895107876253</v>
      </c>
      <c r="AT11" s="97">
        <f t="shared" si="8"/>
        <v>1.9949651490857956</v>
      </c>
      <c r="AU11" s="97">
        <f t="shared" si="9"/>
        <v>0</v>
      </c>
      <c r="AV11" s="93">
        <f t="shared" si="32"/>
        <v>34.599860256962046</v>
      </c>
      <c r="AW11" s="73"/>
      <c r="AX11" s="78">
        <v>198</v>
      </c>
      <c r="AY11" s="76">
        <v>7.67E-4</v>
      </c>
      <c r="AZ11" s="77">
        <f t="shared" si="10"/>
        <v>32.604895107876253</v>
      </c>
      <c r="BA11" s="97">
        <f t="shared" si="11"/>
        <v>1.9949651490857956</v>
      </c>
      <c r="BB11" s="97">
        <f t="shared" si="12"/>
        <v>0</v>
      </c>
      <c r="BC11" s="93">
        <f t="shared" si="31"/>
        <v>34.599860256962046</v>
      </c>
    </row>
    <row r="12" spans="1:55" x14ac:dyDescent="0.2">
      <c r="A12" s="75">
        <v>105</v>
      </c>
      <c r="B12" s="76">
        <v>6.2719999999999998E-3</v>
      </c>
      <c r="C12" s="77">
        <f t="shared" si="13"/>
        <v>266.62047212072997</v>
      </c>
      <c r="D12" s="97">
        <f t="shared" si="14"/>
        <v>16.313456864492974</v>
      </c>
      <c r="E12" s="97">
        <f t="shared" si="15"/>
        <v>0</v>
      </c>
      <c r="F12" s="87">
        <f t="shared" si="16"/>
        <v>282.93392898522296</v>
      </c>
      <c r="G12" s="73"/>
      <c r="H12" s="75">
        <v>505</v>
      </c>
      <c r="I12" s="76">
        <v>5.8950000000000001E-3</v>
      </c>
      <c r="J12" s="77">
        <f t="shared" si="17"/>
        <v>250.59433723719755</v>
      </c>
      <c r="K12" s="97">
        <f t="shared" si="18"/>
        <v>15.33288077426436</v>
      </c>
      <c r="L12" s="97">
        <f t="shared" si="0"/>
        <v>0</v>
      </c>
      <c r="M12" s="87">
        <f t="shared" si="19"/>
        <v>265.92721801146189</v>
      </c>
      <c r="N12" s="73"/>
      <c r="O12" s="75">
        <v>105</v>
      </c>
      <c r="P12" s="76">
        <v>6.2719999999999998E-3</v>
      </c>
      <c r="Q12" s="77">
        <f t="shared" si="20"/>
        <v>266.62047212072997</v>
      </c>
      <c r="R12" s="97">
        <f t="shared" si="21"/>
        <v>16.313456864492974</v>
      </c>
      <c r="S12" s="97">
        <f t="shared" si="1"/>
        <v>0</v>
      </c>
      <c r="T12" s="87">
        <f t="shared" si="22"/>
        <v>282.93392898522296</v>
      </c>
      <c r="U12" s="73"/>
      <c r="V12" s="75">
        <v>505</v>
      </c>
      <c r="W12" s="76">
        <v>5.8950000000000001E-3</v>
      </c>
      <c r="X12" s="77">
        <f t="shared" si="23"/>
        <v>250.59433723719755</v>
      </c>
      <c r="Y12" s="97">
        <f t="shared" si="24"/>
        <v>15.33288077426436</v>
      </c>
      <c r="Z12" s="97">
        <f t="shared" si="2"/>
        <v>0</v>
      </c>
      <c r="AA12" s="87">
        <f t="shared" si="25"/>
        <v>265.92721801146189</v>
      </c>
      <c r="AB12" s="73"/>
      <c r="AC12" s="78">
        <v>5</v>
      </c>
      <c r="AD12" s="76">
        <v>7.67E-4</v>
      </c>
      <c r="AE12" s="77">
        <f t="shared" si="26"/>
        <v>32.604895107876253</v>
      </c>
      <c r="AF12" s="97">
        <f t="shared" si="27"/>
        <v>1.9949651490857956</v>
      </c>
      <c r="AG12" s="97">
        <f t="shared" si="3"/>
        <v>0</v>
      </c>
      <c r="AH12" s="93">
        <f t="shared" si="28"/>
        <v>34.599860256962046</v>
      </c>
      <c r="AI12" s="73"/>
      <c r="AJ12" s="78">
        <v>71</v>
      </c>
      <c r="AK12" s="76">
        <v>7.67E-4</v>
      </c>
      <c r="AL12" s="77">
        <f t="shared" si="4"/>
        <v>32.604895107876253</v>
      </c>
      <c r="AM12" s="97">
        <f t="shared" si="5"/>
        <v>1.9949651490857956</v>
      </c>
      <c r="AN12" s="97">
        <f t="shared" si="6"/>
        <v>0</v>
      </c>
      <c r="AO12" s="93">
        <f t="shared" ref="AO12:AO71" si="33">SUM(AL12:AN12)</f>
        <v>34.599860256962046</v>
      </c>
      <c r="AP12" s="73"/>
      <c r="AQ12" s="78">
        <v>135</v>
      </c>
      <c r="AR12" s="76">
        <v>7.67E-4</v>
      </c>
      <c r="AS12" s="77">
        <f t="shared" si="7"/>
        <v>32.604895107876253</v>
      </c>
      <c r="AT12" s="97">
        <f t="shared" si="8"/>
        <v>1.9949651490857956</v>
      </c>
      <c r="AU12" s="97">
        <f t="shared" si="9"/>
        <v>0</v>
      </c>
      <c r="AV12" s="93">
        <f t="shared" si="32"/>
        <v>34.599860256962046</v>
      </c>
      <c r="AW12" s="73"/>
      <c r="AX12" s="78">
        <v>199</v>
      </c>
      <c r="AY12" s="76">
        <v>7.67E-4</v>
      </c>
      <c r="AZ12" s="77">
        <f t="shared" si="10"/>
        <v>32.604895107876253</v>
      </c>
      <c r="BA12" s="97">
        <f t="shared" si="11"/>
        <v>1.9949651490857956</v>
      </c>
      <c r="BB12" s="97">
        <f t="shared" si="12"/>
        <v>0</v>
      </c>
      <c r="BC12" s="93">
        <f t="shared" si="31"/>
        <v>34.599860256962046</v>
      </c>
    </row>
    <row r="13" spans="1:55" x14ac:dyDescent="0.2">
      <c r="A13" s="75">
        <v>106</v>
      </c>
      <c r="B13" s="76">
        <v>7.0019999999999995E-3</v>
      </c>
      <c r="C13" s="77">
        <f t="shared" si="13"/>
        <v>297.65251048937358</v>
      </c>
      <c r="D13" s="97">
        <f t="shared" si="14"/>
        <v>18.212185102866673</v>
      </c>
      <c r="E13" s="97">
        <f t="shared" si="15"/>
        <v>0</v>
      </c>
      <c r="F13" s="87">
        <f t="shared" si="16"/>
        <v>315.86469559224025</v>
      </c>
      <c r="G13" s="73"/>
      <c r="H13" s="75">
        <v>506</v>
      </c>
      <c r="I13" s="76">
        <v>6.7489999999999998E-3</v>
      </c>
      <c r="J13" s="77">
        <f t="shared" si="17"/>
        <v>286.8975711643505</v>
      </c>
      <c r="K13" s="97">
        <f t="shared" si="18"/>
        <v>17.554132713402911</v>
      </c>
      <c r="L13" s="97">
        <f t="shared" si="0"/>
        <v>0</v>
      </c>
      <c r="M13" s="87">
        <f t="shared" si="19"/>
        <v>304.4517038777534</v>
      </c>
      <c r="N13" s="73"/>
      <c r="O13" s="75">
        <v>106</v>
      </c>
      <c r="P13" s="76">
        <v>7.0019999999999995E-3</v>
      </c>
      <c r="Q13" s="77">
        <f t="shared" si="20"/>
        <v>297.65251048937358</v>
      </c>
      <c r="R13" s="97">
        <f t="shared" si="21"/>
        <v>18.212185102866673</v>
      </c>
      <c r="S13" s="97">
        <f t="shared" si="1"/>
        <v>0</v>
      </c>
      <c r="T13" s="87">
        <f t="shared" si="22"/>
        <v>315.86469559224025</v>
      </c>
      <c r="U13" s="73"/>
      <c r="V13" s="75">
        <v>506</v>
      </c>
      <c r="W13" s="76">
        <v>6.7489999999999998E-3</v>
      </c>
      <c r="X13" s="77">
        <f t="shared" si="23"/>
        <v>286.8975711643505</v>
      </c>
      <c r="Y13" s="97">
        <f t="shared" si="24"/>
        <v>17.554132713402911</v>
      </c>
      <c r="Z13" s="97">
        <f t="shared" si="2"/>
        <v>0</v>
      </c>
      <c r="AA13" s="87">
        <f t="shared" si="25"/>
        <v>304.4517038777534</v>
      </c>
      <c r="AB13" s="73"/>
      <c r="AC13" s="78">
        <v>6</v>
      </c>
      <c r="AD13" s="76">
        <v>7.67E-4</v>
      </c>
      <c r="AE13" s="77">
        <f t="shared" si="26"/>
        <v>32.604895107876253</v>
      </c>
      <c r="AF13" s="97">
        <f t="shared" si="27"/>
        <v>1.9949651490857956</v>
      </c>
      <c r="AG13" s="97">
        <f t="shared" si="3"/>
        <v>0</v>
      </c>
      <c r="AH13" s="93">
        <f t="shared" si="28"/>
        <v>34.599860256962046</v>
      </c>
      <c r="AI13" s="73"/>
      <c r="AJ13" s="78">
        <v>72</v>
      </c>
      <c r="AK13" s="76">
        <v>7.67E-4</v>
      </c>
      <c r="AL13" s="77">
        <f t="shared" si="4"/>
        <v>32.604895107876253</v>
      </c>
      <c r="AM13" s="97">
        <f t="shared" si="5"/>
        <v>1.9949651490857956</v>
      </c>
      <c r="AN13" s="97">
        <f t="shared" si="6"/>
        <v>0</v>
      </c>
      <c r="AO13" s="93">
        <f t="shared" si="33"/>
        <v>34.599860256962046</v>
      </c>
      <c r="AP13" s="73"/>
      <c r="AQ13" s="78">
        <v>136</v>
      </c>
      <c r="AR13" s="76">
        <v>7.67E-4</v>
      </c>
      <c r="AS13" s="77">
        <f t="shared" si="7"/>
        <v>32.604895107876253</v>
      </c>
      <c r="AT13" s="97">
        <f t="shared" si="8"/>
        <v>1.9949651490857956</v>
      </c>
      <c r="AU13" s="97">
        <f t="shared" si="9"/>
        <v>0</v>
      </c>
      <c r="AV13" s="93">
        <f t="shared" si="32"/>
        <v>34.599860256962046</v>
      </c>
      <c r="AW13" s="73"/>
      <c r="AX13" s="78">
        <v>200</v>
      </c>
      <c r="AY13" s="76">
        <v>7.67E-4</v>
      </c>
      <c r="AZ13" s="77">
        <f t="shared" si="10"/>
        <v>32.604895107876253</v>
      </c>
      <c r="BA13" s="97">
        <f t="shared" si="11"/>
        <v>1.9949651490857956</v>
      </c>
      <c r="BB13" s="97">
        <f t="shared" si="12"/>
        <v>0</v>
      </c>
      <c r="BC13" s="93">
        <f t="shared" si="31"/>
        <v>34.599860256962046</v>
      </c>
    </row>
    <row r="14" spans="1:55" x14ac:dyDescent="0.2">
      <c r="A14" s="75">
        <v>107</v>
      </c>
      <c r="B14" s="76">
        <v>7.0019999999999995E-3</v>
      </c>
      <c r="C14" s="77">
        <f t="shared" si="13"/>
        <v>297.65251048937358</v>
      </c>
      <c r="D14" s="97">
        <f t="shared" si="14"/>
        <v>18.212185102866673</v>
      </c>
      <c r="E14" s="97">
        <f t="shared" si="15"/>
        <v>0</v>
      </c>
      <c r="F14" s="87">
        <f t="shared" si="16"/>
        <v>315.86469559224025</v>
      </c>
      <c r="G14" s="73"/>
      <c r="H14" s="75">
        <v>507</v>
      </c>
      <c r="I14" s="76">
        <v>6.7489999999999998E-3</v>
      </c>
      <c r="J14" s="77">
        <f t="shared" si="17"/>
        <v>286.8975711643505</v>
      </c>
      <c r="K14" s="97">
        <f t="shared" si="18"/>
        <v>17.554132713402911</v>
      </c>
      <c r="L14" s="97">
        <f t="shared" si="0"/>
        <v>0</v>
      </c>
      <c r="M14" s="87">
        <f t="shared" si="19"/>
        <v>304.4517038777534</v>
      </c>
      <c r="N14" s="73"/>
      <c r="O14" s="75">
        <v>107</v>
      </c>
      <c r="P14" s="76">
        <v>7.0019999999999995E-3</v>
      </c>
      <c r="Q14" s="77">
        <f t="shared" si="20"/>
        <v>297.65251048937358</v>
      </c>
      <c r="R14" s="97">
        <f t="shared" si="21"/>
        <v>18.212185102866673</v>
      </c>
      <c r="S14" s="97">
        <f t="shared" si="1"/>
        <v>0</v>
      </c>
      <c r="T14" s="87">
        <f t="shared" si="22"/>
        <v>315.86469559224025</v>
      </c>
      <c r="U14" s="73"/>
      <c r="V14" s="75">
        <v>507</v>
      </c>
      <c r="W14" s="76">
        <v>6.7489999999999998E-3</v>
      </c>
      <c r="X14" s="77">
        <f t="shared" si="23"/>
        <v>286.8975711643505</v>
      </c>
      <c r="Y14" s="97">
        <f t="shared" si="24"/>
        <v>17.554132713402911</v>
      </c>
      <c r="Z14" s="97">
        <f t="shared" si="2"/>
        <v>0</v>
      </c>
      <c r="AA14" s="87">
        <f t="shared" si="25"/>
        <v>304.4517038777534</v>
      </c>
      <c r="AB14" s="73"/>
      <c r="AC14" s="78">
        <v>7</v>
      </c>
      <c r="AD14" s="76">
        <v>7.67E-4</v>
      </c>
      <c r="AE14" s="77">
        <f t="shared" si="26"/>
        <v>32.604895107876253</v>
      </c>
      <c r="AF14" s="97">
        <f t="shared" si="27"/>
        <v>1.9949651490857956</v>
      </c>
      <c r="AG14" s="97">
        <f t="shared" si="3"/>
        <v>0</v>
      </c>
      <c r="AH14" s="93">
        <f t="shared" si="28"/>
        <v>34.599860256962046</v>
      </c>
      <c r="AI14" s="73"/>
      <c r="AJ14" s="78">
        <v>73</v>
      </c>
      <c r="AK14" s="76">
        <v>7.67E-4</v>
      </c>
      <c r="AL14" s="77">
        <f t="shared" si="4"/>
        <v>32.604895107876253</v>
      </c>
      <c r="AM14" s="97">
        <f t="shared" si="5"/>
        <v>1.9949651490857956</v>
      </c>
      <c r="AN14" s="97">
        <f t="shared" si="6"/>
        <v>0</v>
      </c>
      <c r="AO14" s="93">
        <f t="shared" si="33"/>
        <v>34.599860256962046</v>
      </c>
      <c r="AP14" s="73"/>
      <c r="AQ14" s="78">
        <v>137</v>
      </c>
      <c r="AR14" s="76">
        <v>7.67E-4</v>
      </c>
      <c r="AS14" s="77">
        <f t="shared" si="7"/>
        <v>32.604895107876253</v>
      </c>
      <c r="AT14" s="97">
        <f t="shared" si="8"/>
        <v>1.9949651490857956</v>
      </c>
      <c r="AU14" s="97">
        <f t="shared" si="9"/>
        <v>0</v>
      </c>
      <c r="AV14" s="93">
        <f t="shared" si="32"/>
        <v>34.599860256962046</v>
      </c>
      <c r="AW14" s="73"/>
      <c r="AX14" s="78">
        <v>201</v>
      </c>
      <c r="AY14" s="76">
        <v>7.67E-4</v>
      </c>
      <c r="AZ14" s="77">
        <f t="shared" si="10"/>
        <v>32.604895107876253</v>
      </c>
      <c r="BA14" s="97">
        <f t="shared" si="11"/>
        <v>1.9949651490857956</v>
      </c>
      <c r="BB14" s="97">
        <f t="shared" si="12"/>
        <v>0</v>
      </c>
      <c r="BC14" s="93">
        <f t="shared" si="31"/>
        <v>34.599860256962046</v>
      </c>
    </row>
    <row r="15" spans="1:55" x14ac:dyDescent="0.2">
      <c r="A15" s="75">
        <v>108</v>
      </c>
      <c r="B15" s="76">
        <v>6.1419999999999999E-3</v>
      </c>
      <c r="C15" s="77">
        <f t="shared" si="13"/>
        <v>261.09421871261532</v>
      </c>
      <c r="D15" s="97">
        <f t="shared" si="14"/>
        <v>15.975327178207245</v>
      </c>
      <c r="E15" s="97">
        <f t="shared" si="15"/>
        <v>0</v>
      </c>
      <c r="F15" s="87">
        <f t="shared" si="16"/>
        <v>277.06954589082255</v>
      </c>
      <c r="G15" s="73"/>
      <c r="H15" s="75">
        <v>508</v>
      </c>
      <c r="I15" s="76">
        <v>5.8950000000000001E-3</v>
      </c>
      <c r="J15" s="77">
        <f t="shared" si="17"/>
        <v>250.59433723719755</v>
      </c>
      <c r="K15" s="97">
        <f t="shared" si="18"/>
        <v>15.33288077426436</v>
      </c>
      <c r="L15" s="97">
        <f t="shared" si="0"/>
        <v>0</v>
      </c>
      <c r="M15" s="87">
        <f t="shared" si="19"/>
        <v>265.92721801146189</v>
      </c>
      <c r="N15" s="73"/>
      <c r="O15" s="75">
        <v>108</v>
      </c>
      <c r="P15" s="76">
        <v>6.1419999999999999E-3</v>
      </c>
      <c r="Q15" s="77">
        <f t="shared" si="20"/>
        <v>261.09421871261532</v>
      </c>
      <c r="R15" s="97">
        <f t="shared" si="21"/>
        <v>15.975327178207245</v>
      </c>
      <c r="S15" s="97">
        <f t="shared" si="1"/>
        <v>0</v>
      </c>
      <c r="T15" s="87">
        <f t="shared" si="22"/>
        <v>277.06954589082255</v>
      </c>
      <c r="U15" s="73"/>
      <c r="V15" s="75">
        <v>508</v>
      </c>
      <c r="W15" s="76">
        <v>5.8950000000000001E-3</v>
      </c>
      <c r="X15" s="77">
        <f t="shared" si="23"/>
        <v>250.59433723719755</v>
      </c>
      <c r="Y15" s="97">
        <f t="shared" si="24"/>
        <v>15.33288077426436</v>
      </c>
      <c r="Z15" s="97">
        <f t="shared" si="2"/>
        <v>0</v>
      </c>
      <c r="AA15" s="87">
        <f t="shared" si="25"/>
        <v>265.92721801146189</v>
      </c>
      <c r="AB15" s="73"/>
      <c r="AC15" s="78">
        <v>8</v>
      </c>
      <c r="AD15" s="76">
        <v>7.67E-4</v>
      </c>
      <c r="AE15" s="77">
        <f t="shared" si="26"/>
        <v>32.604895107876253</v>
      </c>
      <c r="AF15" s="97">
        <f t="shared" si="27"/>
        <v>1.9949651490857956</v>
      </c>
      <c r="AG15" s="97">
        <f t="shared" si="3"/>
        <v>0</v>
      </c>
      <c r="AH15" s="93">
        <f t="shared" si="28"/>
        <v>34.599860256962046</v>
      </c>
      <c r="AI15" s="73"/>
      <c r="AJ15" s="78">
        <v>74</v>
      </c>
      <c r="AK15" s="76">
        <v>7.67E-4</v>
      </c>
      <c r="AL15" s="77">
        <f t="shared" si="4"/>
        <v>32.604895107876253</v>
      </c>
      <c r="AM15" s="97">
        <f t="shared" si="5"/>
        <v>1.9949651490857956</v>
      </c>
      <c r="AN15" s="97">
        <f t="shared" si="6"/>
        <v>0</v>
      </c>
      <c r="AO15" s="93">
        <f t="shared" si="33"/>
        <v>34.599860256962046</v>
      </c>
      <c r="AP15" s="73"/>
      <c r="AQ15" s="78">
        <v>138</v>
      </c>
      <c r="AR15" s="76">
        <v>7.67E-4</v>
      </c>
      <c r="AS15" s="77">
        <f t="shared" si="7"/>
        <v>32.604895107876253</v>
      </c>
      <c r="AT15" s="97">
        <f t="shared" si="8"/>
        <v>1.9949651490857956</v>
      </c>
      <c r="AU15" s="97">
        <f t="shared" si="9"/>
        <v>0</v>
      </c>
      <c r="AV15" s="93">
        <f t="shared" si="32"/>
        <v>34.599860256962046</v>
      </c>
      <c r="AW15" s="73"/>
      <c r="AX15" s="78">
        <v>202</v>
      </c>
      <c r="AY15" s="76">
        <v>7.67E-4</v>
      </c>
      <c r="AZ15" s="77">
        <f t="shared" si="10"/>
        <v>32.604895107876253</v>
      </c>
      <c r="BA15" s="97">
        <f t="shared" si="11"/>
        <v>1.9949651490857956</v>
      </c>
      <c r="BB15" s="97">
        <f t="shared" si="12"/>
        <v>0</v>
      </c>
      <c r="BC15" s="93">
        <f t="shared" si="31"/>
        <v>34.599860256962046</v>
      </c>
    </row>
    <row r="16" spans="1:55" x14ac:dyDescent="0.2">
      <c r="A16" s="75">
        <v>201</v>
      </c>
      <c r="B16" s="76">
        <v>5.8919999999999997E-3</v>
      </c>
      <c r="C16" s="77">
        <f t="shared" si="13"/>
        <v>250.46680831239487</v>
      </c>
      <c r="D16" s="97">
        <f t="shared" si="14"/>
        <v>15.32507778150392</v>
      </c>
      <c r="E16" s="97">
        <f t="shared" si="15"/>
        <v>0</v>
      </c>
      <c r="F16" s="87">
        <f t="shared" si="16"/>
        <v>265.79188609389877</v>
      </c>
      <c r="G16" s="73"/>
      <c r="H16" s="75">
        <v>601</v>
      </c>
      <c r="I16" s="76">
        <v>5.8919999999999997E-3</v>
      </c>
      <c r="J16" s="77">
        <f t="shared" si="17"/>
        <v>250.46680831239487</v>
      </c>
      <c r="K16" s="97">
        <f t="shared" si="18"/>
        <v>15.32507778150392</v>
      </c>
      <c r="L16" s="97">
        <f t="shared" si="0"/>
        <v>0</v>
      </c>
      <c r="M16" s="87">
        <f t="shared" si="19"/>
        <v>265.79188609389877</v>
      </c>
      <c r="N16" s="73"/>
      <c r="O16" s="75">
        <v>201</v>
      </c>
      <c r="P16" s="76">
        <v>5.8919999999999997E-3</v>
      </c>
      <c r="Q16" s="77">
        <f t="shared" si="20"/>
        <v>250.46680831239487</v>
      </c>
      <c r="R16" s="97">
        <f t="shared" si="21"/>
        <v>15.32507778150392</v>
      </c>
      <c r="S16" s="97">
        <f t="shared" si="1"/>
        <v>0</v>
      </c>
      <c r="T16" s="87">
        <f t="shared" si="22"/>
        <v>265.79188609389877</v>
      </c>
      <c r="U16" s="73"/>
      <c r="V16" s="75">
        <v>601</v>
      </c>
      <c r="W16" s="76">
        <v>5.8919999999999997E-3</v>
      </c>
      <c r="X16" s="77">
        <f t="shared" si="23"/>
        <v>250.46680831239487</v>
      </c>
      <c r="Y16" s="97">
        <f t="shared" si="24"/>
        <v>15.32507778150392</v>
      </c>
      <c r="Z16" s="97">
        <f t="shared" si="2"/>
        <v>0</v>
      </c>
      <c r="AA16" s="87">
        <f t="shared" si="25"/>
        <v>265.79188609389877</v>
      </c>
      <c r="AB16" s="73"/>
      <c r="AC16" s="78">
        <v>9</v>
      </c>
      <c r="AD16" s="76">
        <v>7.67E-4</v>
      </c>
      <c r="AE16" s="77">
        <f t="shared" si="26"/>
        <v>32.604895107876253</v>
      </c>
      <c r="AF16" s="97">
        <f t="shared" si="27"/>
        <v>1.9949651490857956</v>
      </c>
      <c r="AG16" s="97">
        <f t="shared" si="3"/>
        <v>0</v>
      </c>
      <c r="AH16" s="93">
        <f t="shared" si="28"/>
        <v>34.599860256962046</v>
      </c>
      <c r="AI16" s="73"/>
      <c r="AJ16" s="78">
        <v>75</v>
      </c>
      <c r="AK16" s="76">
        <v>7.67E-4</v>
      </c>
      <c r="AL16" s="77">
        <f t="shared" si="4"/>
        <v>32.604895107876253</v>
      </c>
      <c r="AM16" s="97">
        <f t="shared" si="5"/>
        <v>1.9949651490857956</v>
      </c>
      <c r="AN16" s="97">
        <f t="shared" si="6"/>
        <v>0</v>
      </c>
      <c r="AO16" s="93">
        <f t="shared" si="33"/>
        <v>34.599860256962046</v>
      </c>
      <c r="AP16" s="73"/>
      <c r="AQ16" s="78">
        <v>139</v>
      </c>
      <c r="AR16" s="76">
        <v>7.67E-4</v>
      </c>
      <c r="AS16" s="77">
        <f t="shared" si="7"/>
        <v>32.604895107876253</v>
      </c>
      <c r="AT16" s="97">
        <f t="shared" si="8"/>
        <v>1.9949651490857956</v>
      </c>
      <c r="AU16" s="97">
        <f t="shared" si="9"/>
        <v>0</v>
      </c>
      <c r="AV16" s="93">
        <f t="shared" si="32"/>
        <v>34.599860256962046</v>
      </c>
      <c r="AW16" s="73"/>
      <c r="AX16" s="78">
        <v>203</v>
      </c>
      <c r="AY16" s="76">
        <v>7.67E-4</v>
      </c>
      <c r="AZ16" s="77">
        <f t="shared" si="10"/>
        <v>32.604895107876253</v>
      </c>
      <c r="BA16" s="97">
        <f t="shared" si="11"/>
        <v>1.9949651490857956</v>
      </c>
      <c r="BB16" s="97">
        <f t="shared" si="12"/>
        <v>0</v>
      </c>
      <c r="BC16" s="93">
        <f t="shared" si="31"/>
        <v>34.599860256962046</v>
      </c>
    </row>
    <row r="17" spans="1:55" x14ac:dyDescent="0.2">
      <c r="A17" s="75">
        <v>202</v>
      </c>
      <c r="B17" s="76">
        <v>6.7489999999999998E-3</v>
      </c>
      <c r="C17" s="77">
        <f t="shared" si="13"/>
        <v>286.8975711643505</v>
      </c>
      <c r="D17" s="97">
        <f t="shared" si="14"/>
        <v>17.554132713402911</v>
      </c>
      <c r="E17" s="97">
        <f t="shared" si="15"/>
        <v>0</v>
      </c>
      <c r="F17" s="87">
        <f t="shared" si="16"/>
        <v>304.4517038777534</v>
      </c>
      <c r="G17" s="73"/>
      <c r="H17" s="75">
        <v>602</v>
      </c>
      <c r="I17" s="76">
        <v>6.7489999999999998E-3</v>
      </c>
      <c r="J17" s="77">
        <f t="shared" si="17"/>
        <v>286.8975711643505</v>
      </c>
      <c r="K17" s="97">
        <f t="shared" si="18"/>
        <v>17.554132713402911</v>
      </c>
      <c r="L17" s="97">
        <f t="shared" si="0"/>
        <v>0</v>
      </c>
      <c r="M17" s="87">
        <f t="shared" si="19"/>
        <v>304.4517038777534</v>
      </c>
      <c r="N17" s="73"/>
      <c r="O17" s="75">
        <v>202</v>
      </c>
      <c r="P17" s="76">
        <v>6.7489999999999998E-3</v>
      </c>
      <c r="Q17" s="77">
        <f t="shared" si="20"/>
        <v>286.8975711643505</v>
      </c>
      <c r="R17" s="97">
        <f t="shared" si="21"/>
        <v>17.554132713402911</v>
      </c>
      <c r="S17" s="97">
        <f t="shared" si="1"/>
        <v>0</v>
      </c>
      <c r="T17" s="87">
        <f t="shared" si="22"/>
        <v>304.4517038777534</v>
      </c>
      <c r="U17" s="73"/>
      <c r="V17" s="75">
        <v>602</v>
      </c>
      <c r="W17" s="76">
        <v>6.7489999999999998E-3</v>
      </c>
      <c r="X17" s="77">
        <f t="shared" si="23"/>
        <v>286.8975711643505</v>
      </c>
      <c r="Y17" s="97">
        <f t="shared" si="24"/>
        <v>17.554132713402911</v>
      </c>
      <c r="Z17" s="97">
        <f t="shared" si="2"/>
        <v>0</v>
      </c>
      <c r="AA17" s="87">
        <f t="shared" si="25"/>
        <v>304.4517038777534</v>
      </c>
      <c r="AB17" s="73"/>
      <c r="AC17" s="78">
        <v>10</v>
      </c>
      <c r="AD17" s="76">
        <v>7.67E-4</v>
      </c>
      <c r="AE17" s="77">
        <f t="shared" si="26"/>
        <v>32.604895107876253</v>
      </c>
      <c r="AF17" s="97">
        <f t="shared" si="27"/>
        <v>1.9949651490857956</v>
      </c>
      <c r="AG17" s="97">
        <f t="shared" si="3"/>
        <v>0</v>
      </c>
      <c r="AH17" s="93">
        <f t="shared" si="28"/>
        <v>34.599860256962046</v>
      </c>
      <c r="AI17" s="73"/>
      <c r="AJ17" s="78">
        <v>76</v>
      </c>
      <c r="AK17" s="76">
        <v>7.67E-4</v>
      </c>
      <c r="AL17" s="77">
        <f t="shared" si="4"/>
        <v>32.604895107876253</v>
      </c>
      <c r="AM17" s="97">
        <f t="shared" si="5"/>
        <v>1.9949651490857956</v>
      </c>
      <c r="AN17" s="97">
        <f t="shared" si="6"/>
        <v>0</v>
      </c>
      <c r="AO17" s="93">
        <f t="shared" si="33"/>
        <v>34.599860256962046</v>
      </c>
      <c r="AP17" s="73"/>
      <c r="AQ17" s="78">
        <v>140</v>
      </c>
      <c r="AR17" s="76">
        <v>7.67E-4</v>
      </c>
      <c r="AS17" s="77">
        <f t="shared" si="7"/>
        <v>32.604895107876253</v>
      </c>
      <c r="AT17" s="97">
        <f t="shared" si="8"/>
        <v>1.9949651490857956</v>
      </c>
      <c r="AU17" s="97">
        <f t="shared" si="9"/>
        <v>0</v>
      </c>
      <c r="AV17" s="93">
        <f t="shared" si="32"/>
        <v>34.599860256962046</v>
      </c>
      <c r="AW17" s="73"/>
      <c r="AX17" s="78">
        <v>204</v>
      </c>
      <c r="AY17" s="76">
        <v>7.67E-4</v>
      </c>
      <c r="AZ17" s="77">
        <f t="shared" si="10"/>
        <v>32.604895107876253</v>
      </c>
      <c r="BA17" s="97">
        <f t="shared" si="11"/>
        <v>1.9949651490857956</v>
      </c>
      <c r="BB17" s="97">
        <f t="shared" si="12"/>
        <v>0</v>
      </c>
      <c r="BC17" s="93">
        <f t="shared" si="31"/>
        <v>34.599860256962046</v>
      </c>
    </row>
    <row r="18" spans="1:55" x14ac:dyDescent="0.2">
      <c r="A18" s="75">
        <v>203</v>
      </c>
      <c r="B18" s="76">
        <v>6.7489999999999998E-3</v>
      </c>
      <c r="C18" s="77">
        <f t="shared" si="13"/>
        <v>286.8975711643505</v>
      </c>
      <c r="D18" s="97">
        <f t="shared" si="14"/>
        <v>17.554132713402911</v>
      </c>
      <c r="E18" s="97">
        <f t="shared" si="15"/>
        <v>0</v>
      </c>
      <c r="F18" s="87">
        <f t="shared" si="16"/>
        <v>304.4517038777534</v>
      </c>
      <c r="G18" s="73"/>
      <c r="H18" s="75">
        <v>603</v>
      </c>
      <c r="I18" s="76">
        <v>6.7489999999999998E-3</v>
      </c>
      <c r="J18" s="77">
        <f t="shared" si="17"/>
        <v>286.8975711643505</v>
      </c>
      <c r="K18" s="97">
        <f t="shared" si="18"/>
        <v>17.554132713402911</v>
      </c>
      <c r="L18" s="97">
        <f t="shared" si="0"/>
        <v>0</v>
      </c>
      <c r="M18" s="87">
        <f t="shared" si="19"/>
        <v>304.4517038777534</v>
      </c>
      <c r="N18" s="73"/>
      <c r="O18" s="75">
        <v>203</v>
      </c>
      <c r="P18" s="76">
        <v>6.7489999999999998E-3</v>
      </c>
      <c r="Q18" s="77">
        <f t="shared" si="20"/>
        <v>286.8975711643505</v>
      </c>
      <c r="R18" s="97">
        <f t="shared" si="21"/>
        <v>17.554132713402911</v>
      </c>
      <c r="S18" s="97">
        <f t="shared" si="1"/>
        <v>0</v>
      </c>
      <c r="T18" s="87">
        <f t="shared" si="22"/>
        <v>304.4517038777534</v>
      </c>
      <c r="U18" s="73"/>
      <c r="V18" s="75">
        <v>603</v>
      </c>
      <c r="W18" s="76">
        <v>6.7489999999999998E-3</v>
      </c>
      <c r="X18" s="77">
        <f t="shared" si="23"/>
        <v>286.8975711643505</v>
      </c>
      <c r="Y18" s="97">
        <f t="shared" si="24"/>
        <v>17.554132713402911</v>
      </c>
      <c r="Z18" s="97">
        <f t="shared" si="2"/>
        <v>0</v>
      </c>
      <c r="AA18" s="87">
        <f t="shared" si="25"/>
        <v>304.4517038777534</v>
      </c>
      <c r="AB18" s="73"/>
      <c r="AC18" s="78">
        <v>11</v>
      </c>
      <c r="AD18" s="76">
        <v>7.67E-4</v>
      </c>
      <c r="AE18" s="77">
        <f t="shared" si="26"/>
        <v>32.604895107876253</v>
      </c>
      <c r="AF18" s="97">
        <f t="shared" si="27"/>
        <v>1.9949651490857956</v>
      </c>
      <c r="AG18" s="97">
        <f t="shared" si="3"/>
        <v>0</v>
      </c>
      <c r="AH18" s="93">
        <f t="shared" si="28"/>
        <v>34.599860256962046</v>
      </c>
      <c r="AI18" s="73"/>
      <c r="AJ18" s="78">
        <v>77</v>
      </c>
      <c r="AK18" s="76">
        <v>7.67E-4</v>
      </c>
      <c r="AL18" s="77">
        <f t="shared" si="4"/>
        <v>32.604895107876253</v>
      </c>
      <c r="AM18" s="97">
        <f t="shared" si="5"/>
        <v>1.9949651490857956</v>
      </c>
      <c r="AN18" s="97">
        <f t="shared" si="6"/>
        <v>0</v>
      </c>
      <c r="AO18" s="93">
        <f t="shared" si="33"/>
        <v>34.599860256962046</v>
      </c>
      <c r="AP18" s="73"/>
      <c r="AQ18" s="78">
        <v>141</v>
      </c>
      <c r="AR18" s="76">
        <v>7.67E-4</v>
      </c>
      <c r="AS18" s="77">
        <f t="shared" si="7"/>
        <v>32.604895107876253</v>
      </c>
      <c r="AT18" s="97">
        <f t="shared" si="8"/>
        <v>1.9949651490857956</v>
      </c>
      <c r="AU18" s="97">
        <f t="shared" si="9"/>
        <v>0</v>
      </c>
      <c r="AV18" s="93">
        <f t="shared" si="32"/>
        <v>34.599860256962046</v>
      </c>
      <c r="AW18" s="73"/>
      <c r="AX18" s="78">
        <v>205</v>
      </c>
      <c r="AY18" s="76">
        <v>7.67E-4</v>
      </c>
      <c r="AZ18" s="77">
        <f t="shared" si="10"/>
        <v>32.604895107876253</v>
      </c>
      <c r="BA18" s="97">
        <f t="shared" si="11"/>
        <v>1.9949651490857956</v>
      </c>
      <c r="BB18" s="97">
        <f t="shared" si="12"/>
        <v>0</v>
      </c>
      <c r="BC18" s="93">
        <f t="shared" si="31"/>
        <v>34.599860256962046</v>
      </c>
    </row>
    <row r="19" spans="1:55" x14ac:dyDescent="0.2">
      <c r="A19" s="75">
        <v>204</v>
      </c>
      <c r="B19" s="76">
        <v>5.8919999999999997E-3</v>
      </c>
      <c r="C19" s="77">
        <f t="shared" si="13"/>
        <v>250.46680831239487</v>
      </c>
      <c r="D19" s="97">
        <f t="shared" si="14"/>
        <v>15.32507778150392</v>
      </c>
      <c r="E19" s="97">
        <f t="shared" si="15"/>
        <v>0</v>
      </c>
      <c r="F19" s="87">
        <f t="shared" si="16"/>
        <v>265.79188609389877</v>
      </c>
      <c r="G19" s="73"/>
      <c r="H19" s="75">
        <v>604</v>
      </c>
      <c r="I19" s="76">
        <v>5.8919999999999997E-3</v>
      </c>
      <c r="J19" s="77">
        <f t="shared" si="17"/>
        <v>250.46680831239487</v>
      </c>
      <c r="K19" s="97">
        <f t="shared" si="18"/>
        <v>15.32507778150392</v>
      </c>
      <c r="L19" s="97">
        <f t="shared" si="0"/>
        <v>0</v>
      </c>
      <c r="M19" s="87">
        <f t="shared" si="19"/>
        <v>265.79188609389877</v>
      </c>
      <c r="N19" s="73"/>
      <c r="O19" s="75">
        <v>204</v>
      </c>
      <c r="P19" s="76">
        <v>5.8919999999999997E-3</v>
      </c>
      <c r="Q19" s="77">
        <f t="shared" si="20"/>
        <v>250.46680831239487</v>
      </c>
      <c r="R19" s="97">
        <f t="shared" si="21"/>
        <v>15.32507778150392</v>
      </c>
      <c r="S19" s="97">
        <f t="shared" si="1"/>
        <v>0</v>
      </c>
      <c r="T19" s="87">
        <f t="shared" si="22"/>
        <v>265.79188609389877</v>
      </c>
      <c r="U19" s="73"/>
      <c r="V19" s="75">
        <v>604</v>
      </c>
      <c r="W19" s="76">
        <v>5.8919999999999997E-3</v>
      </c>
      <c r="X19" s="77">
        <f t="shared" si="23"/>
        <v>250.46680831239487</v>
      </c>
      <c r="Y19" s="97">
        <f t="shared" si="24"/>
        <v>15.32507778150392</v>
      </c>
      <c r="Z19" s="97">
        <f t="shared" si="2"/>
        <v>0</v>
      </c>
      <c r="AA19" s="87">
        <f t="shared" si="25"/>
        <v>265.79188609389877</v>
      </c>
      <c r="AB19" s="73"/>
      <c r="AC19" s="78">
        <v>12</v>
      </c>
      <c r="AD19" s="76">
        <v>7.67E-4</v>
      </c>
      <c r="AE19" s="77">
        <f t="shared" si="26"/>
        <v>32.604895107876253</v>
      </c>
      <c r="AF19" s="97">
        <f t="shared" si="27"/>
        <v>1.9949651490857956</v>
      </c>
      <c r="AG19" s="97">
        <f t="shared" si="3"/>
        <v>0</v>
      </c>
      <c r="AH19" s="93">
        <f t="shared" si="28"/>
        <v>34.599860256962046</v>
      </c>
      <c r="AI19" s="73"/>
      <c r="AJ19" s="78">
        <v>78</v>
      </c>
      <c r="AK19" s="76">
        <v>7.67E-4</v>
      </c>
      <c r="AL19" s="77">
        <f t="shared" si="4"/>
        <v>32.604895107876253</v>
      </c>
      <c r="AM19" s="97">
        <f t="shared" si="5"/>
        <v>1.9949651490857956</v>
      </c>
      <c r="AN19" s="97">
        <f t="shared" si="6"/>
        <v>0</v>
      </c>
      <c r="AO19" s="93">
        <f t="shared" si="33"/>
        <v>34.599860256962046</v>
      </c>
      <c r="AP19" s="73"/>
      <c r="AQ19" s="78">
        <v>142</v>
      </c>
      <c r="AR19" s="76">
        <v>7.67E-4</v>
      </c>
      <c r="AS19" s="77">
        <f t="shared" si="7"/>
        <v>32.604895107876253</v>
      </c>
      <c r="AT19" s="97">
        <f t="shared" si="8"/>
        <v>1.9949651490857956</v>
      </c>
      <c r="AU19" s="97">
        <f t="shared" si="9"/>
        <v>0</v>
      </c>
      <c r="AV19" s="93">
        <f t="shared" si="32"/>
        <v>34.599860256962046</v>
      </c>
      <c r="AW19" s="73"/>
      <c r="AX19" s="78">
        <v>206</v>
      </c>
      <c r="AY19" s="76">
        <v>7.67E-4</v>
      </c>
      <c r="AZ19" s="77">
        <f t="shared" si="10"/>
        <v>32.604895107876253</v>
      </c>
      <c r="BA19" s="97">
        <f t="shared" si="11"/>
        <v>1.9949651490857956</v>
      </c>
      <c r="BB19" s="97">
        <f t="shared" si="12"/>
        <v>0</v>
      </c>
      <c r="BC19" s="93">
        <f t="shared" si="31"/>
        <v>34.599860256962046</v>
      </c>
    </row>
    <row r="20" spans="1:55" x14ac:dyDescent="0.2">
      <c r="A20" s="75">
        <v>205</v>
      </c>
      <c r="B20" s="76">
        <v>5.8950000000000001E-3</v>
      </c>
      <c r="C20" s="77">
        <f t="shared" si="13"/>
        <v>250.59433723719755</v>
      </c>
      <c r="D20" s="97">
        <f t="shared" si="14"/>
        <v>15.33288077426436</v>
      </c>
      <c r="E20" s="97">
        <f t="shared" si="15"/>
        <v>0</v>
      </c>
      <c r="F20" s="87">
        <f t="shared" si="16"/>
        <v>265.92721801146189</v>
      </c>
      <c r="G20" s="73"/>
      <c r="H20" s="75">
        <v>605</v>
      </c>
      <c r="I20" s="76">
        <v>5.8950000000000001E-3</v>
      </c>
      <c r="J20" s="77">
        <f t="shared" si="17"/>
        <v>250.59433723719755</v>
      </c>
      <c r="K20" s="97">
        <f t="shared" si="18"/>
        <v>15.33288077426436</v>
      </c>
      <c r="L20" s="97">
        <f t="shared" si="0"/>
        <v>0</v>
      </c>
      <c r="M20" s="87">
        <f t="shared" si="19"/>
        <v>265.92721801146189</v>
      </c>
      <c r="N20" s="73"/>
      <c r="O20" s="75">
        <v>205</v>
      </c>
      <c r="P20" s="76">
        <v>5.8950000000000001E-3</v>
      </c>
      <c r="Q20" s="77">
        <f t="shared" si="20"/>
        <v>250.59433723719755</v>
      </c>
      <c r="R20" s="97">
        <f t="shared" si="21"/>
        <v>15.33288077426436</v>
      </c>
      <c r="S20" s="97">
        <f t="shared" si="1"/>
        <v>0</v>
      </c>
      <c r="T20" s="87">
        <f t="shared" si="22"/>
        <v>265.92721801146189</v>
      </c>
      <c r="U20" s="73"/>
      <c r="V20" s="75">
        <v>605</v>
      </c>
      <c r="W20" s="76">
        <v>5.8950000000000001E-3</v>
      </c>
      <c r="X20" s="77">
        <f t="shared" si="23"/>
        <v>250.59433723719755</v>
      </c>
      <c r="Y20" s="97">
        <f t="shared" si="24"/>
        <v>15.33288077426436</v>
      </c>
      <c r="Z20" s="97">
        <f t="shared" si="2"/>
        <v>0</v>
      </c>
      <c r="AA20" s="87">
        <f t="shared" si="25"/>
        <v>265.92721801146189</v>
      </c>
      <c r="AB20" s="73"/>
      <c r="AC20" s="78">
        <v>13</v>
      </c>
      <c r="AD20" s="76">
        <v>7.67E-4</v>
      </c>
      <c r="AE20" s="77">
        <f t="shared" si="26"/>
        <v>32.604895107876253</v>
      </c>
      <c r="AF20" s="97">
        <f t="shared" si="27"/>
        <v>1.9949651490857956</v>
      </c>
      <c r="AG20" s="97">
        <f t="shared" si="3"/>
        <v>0</v>
      </c>
      <c r="AH20" s="93">
        <f t="shared" si="28"/>
        <v>34.599860256962046</v>
      </c>
      <c r="AI20" s="73"/>
      <c r="AJ20" s="78">
        <v>79</v>
      </c>
      <c r="AK20" s="76">
        <v>7.67E-4</v>
      </c>
      <c r="AL20" s="77">
        <f t="shared" si="4"/>
        <v>32.604895107876253</v>
      </c>
      <c r="AM20" s="97">
        <f t="shared" si="5"/>
        <v>1.9949651490857956</v>
      </c>
      <c r="AN20" s="97">
        <f t="shared" si="6"/>
        <v>0</v>
      </c>
      <c r="AO20" s="93">
        <f t="shared" si="33"/>
        <v>34.599860256962046</v>
      </c>
      <c r="AP20" s="73"/>
      <c r="AQ20" s="78">
        <v>143</v>
      </c>
      <c r="AR20" s="76">
        <v>7.67E-4</v>
      </c>
      <c r="AS20" s="77">
        <f t="shared" si="7"/>
        <v>32.604895107876253</v>
      </c>
      <c r="AT20" s="97">
        <f t="shared" si="8"/>
        <v>1.9949651490857956</v>
      </c>
      <c r="AU20" s="97">
        <f t="shared" si="9"/>
        <v>0</v>
      </c>
      <c r="AV20" s="93">
        <f t="shared" si="32"/>
        <v>34.599860256962046</v>
      </c>
      <c r="AW20" s="73"/>
      <c r="AX20" s="78">
        <v>207</v>
      </c>
      <c r="AY20" s="76">
        <v>7.67E-4</v>
      </c>
      <c r="AZ20" s="77">
        <f t="shared" si="10"/>
        <v>32.604895107876253</v>
      </c>
      <c r="BA20" s="97">
        <f t="shared" si="11"/>
        <v>1.9949651490857956</v>
      </c>
      <c r="BB20" s="97">
        <f t="shared" si="12"/>
        <v>0</v>
      </c>
      <c r="BC20" s="93">
        <f t="shared" si="31"/>
        <v>34.599860256962046</v>
      </c>
    </row>
    <row r="21" spans="1:55" x14ac:dyDescent="0.2">
      <c r="A21" s="75">
        <v>206</v>
      </c>
      <c r="B21" s="76">
        <v>6.7489999999999998E-3</v>
      </c>
      <c r="C21" s="77">
        <f t="shared" si="13"/>
        <v>286.8975711643505</v>
      </c>
      <c r="D21" s="97">
        <f t="shared" si="14"/>
        <v>17.554132713402911</v>
      </c>
      <c r="E21" s="97">
        <f t="shared" si="15"/>
        <v>0</v>
      </c>
      <c r="F21" s="87">
        <f t="shared" si="16"/>
        <v>304.4517038777534</v>
      </c>
      <c r="G21" s="73"/>
      <c r="H21" s="75">
        <v>606</v>
      </c>
      <c r="I21" s="76">
        <v>6.7489999999999998E-3</v>
      </c>
      <c r="J21" s="77">
        <f t="shared" si="17"/>
        <v>286.8975711643505</v>
      </c>
      <c r="K21" s="97">
        <f t="shared" si="18"/>
        <v>17.554132713402911</v>
      </c>
      <c r="L21" s="97">
        <f t="shared" si="0"/>
        <v>0</v>
      </c>
      <c r="M21" s="87">
        <f t="shared" si="19"/>
        <v>304.4517038777534</v>
      </c>
      <c r="N21" s="73"/>
      <c r="O21" s="75">
        <v>206</v>
      </c>
      <c r="P21" s="76">
        <v>6.7489999999999998E-3</v>
      </c>
      <c r="Q21" s="77">
        <f t="shared" si="20"/>
        <v>286.8975711643505</v>
      </c>
      <c r="R21" s="97">
        <f t="shared" si="21"/>
        <v>17.554132713402911</v>
      </c>
      <c r="S21" s="97">
        <f t="shared" si="1"/>
        <v>0</v>
      </c>
      <c r="T21" s="87">
        <f t="shared" si="22"/>
        <v>304.4517038777534</v>
      </c>
      <c r="U21" s="73"/>
      <c r="V21" s="75">
        <v>606</v>
      </c>
      <c r="W21" s="76">
        <v>6.7489999999999998E-3</v>
      </c>
      <c r="X21" s="77">
        <f t="shared" si="23"/>
        <v>286.8975711643505</v>
      </c>
      <c r="Y21" s="97">
        <f t="shared" si="24"/>
        <v>17.554132713402911</v>
      </c>
      <c r="Z21" s="97">
        <f t="shared" si="2"/>
        <v>0</v>
      </c>
      <c r="AA21" s="87">
        <f t="shared" si="25"/>
        <v>304.4517038777534</v>
      </c>
      <c r="AB21" s="73"/>
      <c r="AC21" s="78">
        <v>14</v>
      </c>
      <c r="AD21" s="76">
        <v>7.67E-4</v>
      </c>
      <c r="AE21" s="77">
        <f t="shared" si="26"/>
        <v>32.604895107876253</v>
      </c>
      <c r="AF21" s="97">
        <f t="shared" si="27"/>
        <v>1.9949651490857956</v>
      </c>
      <c r="AG21" s="97">
        <f t="shared" si="3"/>
        <v>0</v>
      </c>
      <c r="AH21" s="93">
        <f t="shared" si="28"/>
        <v>34.599860256962046</v>
      </c>
      <c r="AI21" s="73"/>
      <c r="AJ21" s="78">
        <v>80</v>
      </c>
      <c r="AK21" s="76">
        <v>7.67E-4</v>
      </c>
      <c r="AL21" s="77">
        <f t="shared" si="4"/>
        <v>32.604895107876253</v>
      </c>
      <c r="AM21" s="97">
        <f t="shared" si="5"/>
        <v>1.9949651490857956</v>
      </c>
      <c r="AN21" s="97">
        <f t="shared" si="6"/>
        <v>0</v>
      </c>
      <c r="AO21" s="93">
        <f t="shared" si="33"/>
        <v>34.599860256962046</v>
      </c>
      <c r="AP21" s="73"/>
      <c r="AQ21" s="78">
        <v>144</v>
      </c>
      <c r="AR21" s="76">
        <v>7.67E-4</v>
      </c>
      <c r="AS21" s="77">
        <f t="shared" si="7"/>
        <v>32.604895107876253</v>
      </c>
      <c r="AT21" s="97">
        <f t="shared" si="8"/>
        <v>1.9949651490857956</v>
      </c>
      <c r="AU21" s="97">
        <f t="shared" si="9"/>
        <v>0</v>
      </c>
      <c r="AV21" s="93">
        <f t="shared" si="32"/>
        <v>34.599860256962046</v>
      </c>
      <c r="AW21" s="73"/>
      <c r="AX21" s="78">
        <v>208</v>
      </c>
      <c r="AY21" s="76">
        <v>7.67E-4</v>
      </c>
      <c r="AZ21" s="77">
        <f t="shared" si="10"/>
        <v>32.604895107876253</v>
      </c>
      <c r="BA21" s="97">
        <f t="shared" si="11"/>
        <v>1.9949651490857956</v>
      </c>
      <c r="BB21" s="97">
        <f t="shared" si="12"/>
        <v>0</v>
      </c>
      <c r="BC21" s="93">
        <f t="shared" si="31"/>
        <v>34.599860256962046</v>
      </c>
    </row>
    <row r="22" spans="1:55" x14ac:dyDescent="0.2">
      <c r="A22" s="75">
        <v>207</v>
      </c>
      <c r="B22" s="76">
        <v>6.7489999999999998E-3</v>
      </c>
      <c r="C22" s="77">
        <f t="shared" si="13"/>
        <v>286.8975711643505</v>
      </c>
      <c r="D22" s="97">
        <f t="shared" si="14"/>
        <v>17.554132713402911</v>
      </c>
      <c r="E22" s="97">
        <f t="shared" si="15"/>
        <v>0</v>
      </c>
      <c r="F22" s="87">
        <f t="shared" si="16"/>
        <v>304.4517038777534</v>
      </c>
      <c r="G22" s="73"/>
      <c r="H22" s="75">
        <v>607</v>
      </c>
      <c r="I22" s="76">
        <v>6.7489999999999998E-3</v>
      </c>
      <c r="J22" s="77">
        <f t="shared" si="17"/>
        <v>286.8975711643505</v>
      </c>
      <c r="K22" s="97">
        <f t="shared" si="18"/>
        <v>17.554132713402911</v>
      </c>
      <c r="L22" s="97">
        <f t="shared" si="0"/>
        <v>0</v>
      </c>
      <c r="M22" s="87">
        <f t="shared" si="19"/>
        <v>304.4517038777534</v>
      </c>
      <c r="N22" s="73"/>
      <c r="O22" s="75">
        <v>207</v>
      </c>
      <c r="P22" s="76">
        <v>6.7489999999999998E-3</v>
      </c>
      <c r="Q22" s="77">
        <f t="shared" si="20"/>
        <v>286.8975711643505</v>
      </c>
      <c r="R22" s="97">
        <f t="shared" si="21"/>
        <v>17.554132713402911</v>
      </c>
      <c r="S22" s="97">
        <f t="shared" si="1"/>
        <v>0</v>
      </c>
      <c r="T22" s="87">
        <f t="shared" si="22"/>
        <v>304.4517038777534</v>
      </c>
      <c r="U22" s="73"/>
      <c r="V22" s="75">
        <v>607</v>
      </c>
      <c r="W22" s="76">
        <v>6.7489999999999998E-3</v>
      </c>
      <c r="X22" s="77">
        <f t="shared" si="23"/>
        <v>286.8975711643505</v>
      </c>
      <c r="Y22" s="97">
        <f t="shared" si="24"/>
        <v>17.554132713402911</v>
      </c>
      <c r="Z22" s="97">
        <f t="shared" si="2"/>
        <v>0</v>
      </c>
      <c r="AA22" s="87">
        <f t="shared" si="25"/>
        <v>304.4517038777534</v>
      </c>
      <c r="AB22" s="73"/>
      <c r="AC22" s="78">
        <v>15</v>
      </c>
      <c r="AD22" s="76">
        <v>7.67E-4</v>
      </c>
      <c r="AE22" s="77">
        <f t="shared" si="26"/>
        <v>32.604895107876253</v>
      </c>
      <c r="AF22" s="97">
        <f t="shared" si="27"/>
        <v>1.9949651490857956</v>
      </c>
      <c r="AG22" s="97">
        <f t="shared" si="3"/>
        <v>0</v>
      </c>
      <c r="AH22" s="93">
        <f t="shared" si="28"/>
        <v>34.599860256962046</v>
      </c>
      <c r="AI22" s="73"/>
      <c r="AJ22" s="78">
        <v>81</v>
      </c>
      <c r="AK22" s="76">
        <v>7.67E-4</v>
      </c>
      <c r="AL22" s="77">
        <f t="shared" si="4"/>
        <v>32.604895107876253</v>
      </c>
      <c r="AM22" s="97">
        <f t="shared" si="5"/>
        <v>1.9949651490857956</v>
      </c>
      <c r="AN22" s="97">
        <f t="shared" si="6"/>
        <v>0</v>
      </c>
      <c r="AO22" s="93">
        <f t="shared" si="33"/>
        <v>34.599860256962046</v>
      </c>
      <c r="AP22" s="73"/>
      <c r="AQ22" s="78">
        <v>145</v>
      </c>
      <c r="AR22" s="76">
        <v>7.67E-4</v>
      </c>
      <c r="AS22" s="77">
        <f t="shared" si="7"/>
        <v>32.604895107876253</v>
      </c>
      <c r="AT22" s="97">
        <f t="shared" si="8"/>
        <v>1.9949651490857956</v>
      </c>
      <c r="AU22" s="97">
        <f t="shared" si="9"/>
        <v>0</v>
      </c>
      <c r="AV22" s="93">
        <f t="shared" si="32"/>
        <v>34.599860256962046</v>
      </c>
      <c r="AW22" s="73"/>
      <c r="AX22" s="78">
        <v>209</v>
      </c>
      <c r="AY22" s="76">
        <v>7.67E-4</v>
      </c>
      <c r="AZ22" s="77">
        <f t="shared" si="10"/>
        <v>32.604895107876253</v>
      </c>
      <c r="BA22" s="97">
        <f t="shared" si="11"/>
        <v>1.9949651490857956</v>
      </c>
      <c r="BB22" s="97">
        <f t="shared" si="12"/>
        <v>0</v>
      </c>
      <c r="BC22" s="93">
        <f t="shared" si="31"/>
        <v>34.599860256962046</v>
      </c>
    </row>
    <row r="23" spans="1:55" x14ac:dyDescent="0.2">
      <c r="A23" s="75">
        <v>208</v>
      </c>
      <c r="B23" s="76">
        <v>5.8950000000000001E-3</v>
      </c>
      <c r="C23" s="77">
        <f t="shared" si="13"/>
        <v>250.59433723719755</v>
      </c>
      <c r="D23" s="97">
        <f t="shared" si="14"/>
        <v>15.33288077426436</v>
      </c>
      <c r="E23" s="97">
        <f t="shared" si="15"/>
        <v>0</v>
      </c>
      <c r="F23" s="87">
        <f t="shared" si="16"/>
        <v>265.92721801146189</v>
      </c>
      <c r="G23" s="73"/>
      <c r="H23" s="75">
        <v>608</v>
      </c>
      <c r="I23" s="76">
        <v>5.8950000000000001E-3</v>
      </c>
      <c r="J23" s="77">
        <f t="shared" si="17"/>
        <v>250.59433723719755</v>
      </c>
      <c r="K23" s="97">
        <f t="shared" si="18"/>
        <v>15.33288077426436</v>
      </c>
      <c r="L23" s="97">
        <f t="shared" si="0"/>
        <v>0</v>
      </c>
      <c r="M23" s="87">
        <f t="shared" si="19"/>
        <v>265.92721801146189</v>
      </c>
      <c r="N23" s="73"/>
      <c r="O23" s="75">
        <v>208</v>
      </c>
      <c r="P23" s="76">
        <v>5.8950000000000001E-3</v>
      </c>
      <c r="Q23" s="77">
        <f t="shared" si="20"/>
        <v>250.59433723719755</v>
      </c>
      <c r="R23" s="97">
        <f t="shared" si="21"/>
        <v>15.33288077426436</v>
      </c>
      <c r="S23" s="97">
        <f t="shared" si="1"/>
        <v>0</v>
      </c>
      <c r="T23" s="87">
        <f t="shared" si="22"/>
        <v>265.92721801146189</v>
      </c>
      <c r="U23" s="73"/>
      <c r="V23" s="75">
        <v>608</v>
      </c>
      <c r="W23" s="76">
        <v>5.8950000000000001E-3</v>
      </c>
      <c r="X23" s="77">
        <f t="shared" si="23"/>
        <v>250.59433723719755</v>
      </c>
      <c r="Y23" s="97">
        <f t="shared" si="24"/>
        <v>15.33288077426436</v>
      </c>
      <c r="Z23" s="97">
        <f t="shared" si="2"/>
        <v>0</v>
      </c>
      <c r="AA23" s="87">
        <f t="shared" si="25"/>
        <v>265.92721801146189</v>
      </c>
      <c r="AB23" s="73"/>
      <c r="AC23" s="78">
        <v>16</v>
      </c>
      <c r="AD23" s="76">
        <v>7.67E-4</v>
      </c>
      <c r="AE23" s="77">
        <f t="shared" si="26"/>
        <v>32.604895107876253</v>
      </c>
      <c r="AF23" s="97">
        <f t="shared" si="27"/>
        <v>1.9949651490857956</v>
      </c>
      <c r="AG23" s="97">
        <f t="shared" si="3"/>
        <v>0</v>
      </c>
      <c r="AH23" s="93">
        <f t="shared" si="28"/>
        <v>34.599860256962046</v>
      </c>
      <c r="AI23" s="73"/>
      <c r="AJ23" s="78">
        <v>82</v>
      </c>
      <c r="AK23" s="76">
        <v>7.67E-4</v>
      </c>
      <c r="AL23" s="77">
        <f t="shared" si="4"/>
        <v>32.604895107876253</v>
      </c>
      <c r="AM23" s="97">
        <f t="shared" si="5"/>
        <v>1.9949651490857956</v>
      </c>
      <c r="AN23" s="97">
        <f t="shared" si="6"/>
        <v>0</v>
      </c>
      <c r="AO23" s="93">
        <f t="shared" si="33"/>
        <v>34.599860256962046</v>
      </c>
      <c r="AP23" s="73"/>
      <c r="AQ23" s="78">
        <v>146</v>
      </c>
      <c r="AR23" s="76">
        <v>7.67E-4</v>
      </c>
      <c r="AS23" s="77">
        <f t="shared" si="7"/>
        <v>32.604895107876253</v>
      </c>
      <c r="AT23" s="97">
        <f t="shared" si="8"/>
        <v>1.9949651490857956</v>
      </c>
      <c r="AU23" s="97">
        <f t="shared" si="9"/>
        <v>0</v>
      </c>
      <c r="AV23" s="93">
        <f t="shared" si="32"/>
        <v>34.599860256962046</v>
      </c>
      <c r="AW23" s="73"/>
      <c r="AX23" s="78">
        <v>210</v>
      </c>
      <c r="AY23" s="76">
        <v>7.67E-4</v>
      </c>
      <c r="AZ23" s="77">
        <f t="shared" si="10"/>
        <v>32.604895107876253</v>
      </c>
      <c r="BA23" s="97">
        <f t="shared" si="11"/>
        <v>1.9949651490857956</v>
      </c>
      <c r="BB23" s="97">
        <f t="shared" si="12"/>
        <v>0</v>
      </c>
      <c r="BC23" s="93">
        <f t="shared" si="31"/>
        <v>34.599860256962046</v>
      </c>
    </row>
    <row r="24" spans="1:55" x14ac:dyDescent="0.2">
      <c r="A24" s="75">
        <v>301</v>
      </c>
      <c r="B24" s="76">
        <v>5.8919999999999997E-3</v>
      </c>
      <c r="C24" s="77">
        <f t="shared" si="13"/>
        <v>250.46680831239487</v>
      </c>
      <c r="D24" s="97">
        <f t="shared" si="14"/>
        <v>15.32507778150392</v>
      </c>
      <c r="E24" s="97">
        <f t="shared" si="15"/>
        <v>0</v>
      </c>
      <c r="F24" s="87">
        <f t="shared" si="16"/>
        <v>265.79188609389877</v>
      </c>
      <c r="G24" s="73"/>
      <c r="H24" s="75">
        <v>701</v>
      </c>
      <c r="I24" s="76">
        <v>5.8919999999999997E-3</v>
      </c>
      <c r="J24" s="77">
        <f t="shared" si="17"/>
        <v>250.46680831239487</v>
      </c>
      <c r="K24" s="97">
        <f t="shared" si="18"/>
        <v>15.32507778150392</v>
      </c>
      <c r="L24" s="97">
        <f t="shared" si="0"/>
        <v>0</v>
      </c>
      <c r="M24" s="87">
        <f t="shared" si="19"/>
        <v>265.79188609389877</v>
      </c>
      <c r="N24" s="73"/>
      <c r="O24" s="75">
        <v>301</v>
      </c>
      <c r="P24" s="76">
        <v>5.8919999999999997E-3</v>
      </c>
      <c r="Q24" s="77">
        <f t="shared" si="20"/>
        <v>250.46680831239487</v>
      </c>
      <c r="R24" s="97">
        <f t="shared" si="21"/>
        <v>15.32507778150392</v>
      </c>
      <c r="S24" s="97">
        <f t="shared" si="1"/>
        <v>0</v>
      </c>
      <c r="T24" s="87">
        <f t="shared" si="22"/>
        <v>265.79188609389877</v>
      </c>
      <c r="U24" s="73"/>
      <c r="V24" s="75">
        <v>701</v>
      </c>
      <c r="W24" s="76">
        <v>5.8919999999999997E-3</v>
      </c>
      <c r="X24" s="77">
        <f t="shared" si="23"/>
        <v>250.46680831239487</v>
      </c>
      <c r="Y24" s="97">
        <f t="shared" si="24"/>
        <v>15.32507778150392</v>
      </c>
      <c r="Z24" s="97">
        <f t="shared" si="2"/>
        <v>0</v>
      </c>
      <c r="AA24" s="87">
        <f t="shared" si="25"/>
        <v>265.79188609389877</v>
      </c>
      <c r="AB24" s="73"/>
      <c r="AC24" s="78">
        <v>17</v>
      </c>
      <c r="AD24" s="76">
        <v>7.67E-4</v>
      </c>
      <c r="AE24" s="77">
        <f t="shared" si="26"/>
        <v>32.604895107876253</v>
      </c>
      <c r="AF24" s="97">
        <f t="shared" si="27"/>
        <v>1.9949651490857956</v>
      </c>
      <c r="AG24" s="97">
        <f t="shared" si="3"/>
        <v>0</v>
      </c>
      <c r="AH24" s="93">
        <f t="shared" si="28"/>
        <v>34.599860256962046</v>
      </c>
      <c r="AI24" s="73"/>
      <c r="AJ24" s="78">
        <v>83</v>
      </c>
      <c r="AK24" s="76">
        <v>7.67E-4</v>
      </c>
      <c r="AL24" s="77">
        <f t="shared" si="4"/>
        <v>32.604895107876253</v>
      </c>
      <c r="AM24" s="97">
        <f t="shared" si="5"/>
        <v>1.9949651490857956</v>
      </c>
      <c r="AN24" s="97">
        <f t="shared" si="6"/>
        <v>0</v>
      </c>
      <c r="AO24" s="93">
        <f t="shared" si="33"/>
        <v>34.599860256962046</v>
      </c>
      <c r="AP24" s="73"/>
      <c r="AQ24" s="78">
        <v>147</v>
      </c>
      <c r="AR24" s="76">
        <v>7.67E-4</v>
      </c>
      <c r="AS24" s="77">
        <f t="shared" si="7"/>
        <v>32.604895107876253</v>
      </c>
      <c r="AT24" s="97">
        <f t="shared" si="8"/>
        <v>1.9949651490857956</v>
      </c>
      <c r="AU24" s="97">
        <f t="shared" si="9"/>
        <v>0</v>
      </c>
      <c r="AV24" s="93">
        <f t="shared" si="32"/>
        <v>34.599860256962046</v>
      </c>
      <c r="AW24" s="73"/>
      <c r="AX24" s="78">
        <v>211</v>
      </c>
      <c r="AY24" s="76">
        <v>7.67E-4</v>
      </c>
      <c r="AZ24" s="77">
        <f t="shared" si="10"/>
        <v>32.604895107876253</v>
      </c>
      <c r="BA24" s="97">
        <f t="shared" si="11"/>
        <v>1.9949651490857956</v>
      </c>
      <c r="BB24" s="97">
        <f t="shared" si="12"/>
        <v>0</v>
      </c>
      <c r="BC24" s="93">
        <f t="shared" si="31"/>
        <v>34.599860256962046</v>
      </c>
    </row>
    <row r="25" spans="1:55" x14ac:dyDescent="0.2">
      <c r="A25" s="75">
        <v>302</v>
      </c>
      <c r="B25" s="76">
        <v>6.7489999999999998E-3</v>
      </c>
      <c r="C25" s="77">
        <f t="shared" si="13"/>
        <v>286.8975711643505</v>
      </c>
      <c r="D25" s="97">
        <f t="shared" si="14"/>
        <v>17.554132713402911</v>
      </c>
      <c r="E25" s="97">
        <f t="shared" si="15"/>
        <v>0</v>
      </c>
      <c r="F25" s="87">
        <f t="shared" si="16"/>
        <v>304.4517038777534</v>
      </c>
      <c r="G25" s="73"/>
      <c r="H25" s="75">
        <v>702</v>
      </c>
      <c r="I25" s="76">
        <v>6.7489999999999998E-3</v>
      </c>
      <c r="J25" s="77">
        <f t="shared" si="17"/>
        <v>286.8975711643505</v>
      </c>
      <c r="K25" s="97">
        <f t="shared" si="18"/>
        <v>17.554132713402911</v>
      </c>
      <c r="L25" s="97">
        <f t="shared" si="0"/>
        <v>0</v>
      </c>
      <c r="M25" s="87">
        <f t="shared" si="19"/>
        <v>304.4517038777534</v>
      </c>
      <c r="N25" s="73"/>
      <c r="O25" s="75">
        <v>302</v>
      </c>
      <c r="P25" s="76">
        <v>6.7489999999999998E-3</v>
      </c>
      <c r="Q25" s="77">
        <f t="shared" si="20"/>
        <v>286.8975711643505</v>
      </c>
      <c r="R25" s="97">
        <f t="shared" si="21"/>
        <v>17.554132713402911</v>
      </c>
      <c r="S25" s="97">
        <f t="shared" si="1"/>
        <v>0</v>
      </c>
      <c r="T25" s="87">
        <f t="shared" si="22"/>
        <v>304.4517038777534</v>
      </c>
      <c r="U25" s="73"/>
      <c r="V25" s="75">
        <v>702</v>
      </c>
      <c r="W25" s="76">
        <v>6.7489999999999998E-3</v>
      </c>
      <c r="X25" s="77">
        <f t="shared" si="23"/>
        <v>286.8975711643505</v>
      </c>
      <c r="Y25" s="97">
        <f t="shared" si="24"/>
        <v>17.554132713402911</v>
      </c>
      <c r="Z25" s="97">
        <f t="shared" si="2"/>
        <v>0</v>
      </c>
      <c r="AA25" s="87">
        <f t="shared" si="25"/>
        <v>304.4517038777534</v>
      </c>
      <c r="AB25" s="73"/>
      <c r="AC25" s="78">
        <v>18</v>
      </c>
      <c r="AD25" s="76">
        <v>7.67E-4</v>
      </c>
      <c r="AE25" s="77">
        <f t="shared" si="26"/>
        <v>32.604895107876253</v>
      </c>
      <c r="AF25" s="97">
        <f t="shared" si="27"/>
        <v>1.9949651490857956</v>
      </c>
      <c r="AG25" s="97">
        <f t="shared" si="3"/>
        <v>0</v>
      </c>
      <c r="AH25" s="93">
        <f t="shared" si="28"/>
        <v>34.599860256962046</v>
      </c>
      <c r="AI25" s="73"/>
      <c r="AJ25" s="78">
        <v>84</v>
      </c>
      <c r="AK25" s="76">
        <v>7.67E-4</v>
      </c>
      <c r="AL25" s="77">
        <f t="shared" si="4"/>
        <v>32.604895107876253</v>
      </c>
      <c r="AM25" s="97">
        <f t="shared" si="5"/>
        <v>1.9949651490857956</v>
      </c>
      <c r="AN25" s="97">
        <f t="shared" si="6"/>
        <v>0</v>
      </c>
      <c r="AO25" s="93">
        <f t="shared" si="33"/>
        <v>34.599860256962046</v>
      </c>
      <c r="AP25" s="73"/>
      <c r="AQ25" s="78">
        <v>148</v>
      </c>
      <c r="AR25" s="76">
        <v>7.67E-4</v>
      </c>
      <c r="AS25" s="77">
        <f t="shared" si="7"/>
        <v>32.604895107876253</v>
      </c>
      <c r="AT25" s="97">
        <f t="shared" si="8"/>
        <v>1.9949651490857956</v>
      </c>
      <c r="AU25" s="97">
        <f t="shared" si="9"/>
        <v>0</v>
      </c>
      <c r="AV25" s="93">
        <f t="shared" si="32"/>
        <v>34.599860256962046</v>
      </c>
      <c r="AW25" s="73"/>
      <c r="AX25" s="78">
        <v>212</v>
      </c>
      <c r="AY25" s="76">
        <v>7.67E-4</v>
      </c>
      <c r="AZ25" s="77">
        <f t="shared" si="10"/>
        <v>32.604895107876253</v>
      </c>
      <c r="BA25" s="97">
        <f t="shared" si="11"/>
        <v>1.9949651490857956</v>
      </c>
      <c r="BB25" s="97">
        <f t="shared" si="12"/>
        <v>0</v>
      </c>
      <c r="BC25" s="93">
        <f t="shared" si="31"/>
        <v>34.599860256962046</v>
      </c>
    </row>
    <row r="26" spans="1:55" x14ac:dyDescent="0.2">
      <c r="A26" s="75">
        <v>303</v>
      </c>
      <c r="B26" s="76">
        <v>6.7489999999999998E-3</v>
      </c>
      <c r="C26" s="77">
        <f t="shared" si="13"/>
        <v>286.8975711643505</v>
      </c>
      <c r="D26" s="97">
        <f t="shared" si="14"/>
        <v>17.554132713402911</v>
      </c>
      <c r="E26" s="97">
        <f t="shared" si="15"/>
        <v>0</v>
      </c>
      <c r="F26" s="87">
        <f t="shared" si="16"/>
        <v>304.4517038777534</v>
      </c>
      <c r="G26" s="73"/>
      <c r="H26" s="75">
        <v>703</v>
      </c>
      <c r="I26" s="76">
        <v>6.7489999999999998E-3</v>
      </c>
      <c r="J26" s="77">
        <f t="shared" si="17"/>
        <v>286.8975711643505</v>
      </c>
      <c r="K26" s="97">
        <f t="shared" si="18"/>
        <v>17.554132713402911</v>
      </c>
      <c r="L26" s="97">
        <f t="shared" si="0"/>
        <v>0</v>
      </c>
      <c r="M26" s="87">
        <f t="shared" si="19"/>
        <v>304.4517038777534</v>
      </c>
      <c r="N26" s="73"/>
      <c r="O26" s="75">
        <v>303</v>
      </c>
      <c r="P26" s="76">
        <v>6.7489999999999998E-3</v>
      </c>
      <c r="Q26" s="77">
        <f t="shared" si="20"/>
        <v>286.8975711643505</v>
      </c>
      <c r="R26" s="97">
        <f t="shared" si="21"/>
        <v>17.554132713402911</v>
      </c>
      <c r="S26" s="97">
        <f t="shared" si="1"/>
        <v>0</v>
      </c>
      <c r="T26" s="87">
        <f t="shared" si="22"/>
        <v>304.4517038777534</v>
      </c>
      <c r="U26" s="73"/>
      <c r="V26" s="75">
        <v>703</v>
      </c>
      <c r="W26" s="76">
        <v>6.7489999999999998E-3</v>
      </c>
      <c r="X26" s="77">
        <f t="shared" si="23"/>
        <v>286.8975711643505</v>
      </c>
      <c r="Y26" s="97">
        <f t="shared" si="24"/>
        <v>17.554132713402911</v>
      </c>
      <c r="Z26" s="97">
        <f t="shared" si="2"/>
        <v>0</v>
      </c>
      <c r="AA26" s="87">
        <f t="shared" si="25"/>
        <v>304.4517038777534</v>
      </c>
      <c r="AB26" s="73"/>
      <c r="AC26" s="78">
        <v>19</v>
      </c>
      <c r="AD26" s="76">
        <v>7.67E-4</v>
      </c>
      <c r="AE26" s="77">
        <f t="shared" si="26"/>
        <v>32.604895107876253</v>
      </c>
      <c r="AF26" s="97">
        <f t="shared" si="27"/>
        <v>1.9949651490857956</v>
      </c>
      <c r="AG26" s="97">
        <f t="shared" si="3"/>
        <v>0</v>
      </c>
      <c r="AH26" s="93">
        <f t="shared" si="28"/>
        <v>34.599860256962046</v>
      </c>
      <c r="AI26" s="73"/>
      <c r="AJ26" s="78">
        <v>85</v>
      </c>
      <c r="AK26" s="76">
        <v>7.67E-4</v>
      </c>
      <c r="AL26" s="77">
        <f t="shared" si="4"/>
        <v>32.604895107876253</v>
      </c>
      <c r="AM26" s="97">
        <f t="shared" si="5"/>
        <v>1.9949651490857956</v>
      </c>
      <c r="AN26" s="97">
        <f t="shared" si="6"/>
        <v>0</v>
      </c>
      <c r="AO26" s="93">
        <f t="shared" si="33"/>
        <v>34.599860256962046</v>
      </c>
      <c r="AP26" s="73"/>
      <c r="AQ26" s="78">
        <v>149</v>
      </c>
      <c r="AR26" s="76">
        <v>7.67E-4</v>
      </c>
      <c r="AS26" s="77">
        <f t="shared" si="7"/>
        <v>32.604895107876253</v>
      </c>
      <c r="AT26" s="97">
        <f t="shared" si="8"/>
        <v>1.9949651490857956</v>
      </c>
      <c r="AU26" s="97">
        <f t="shared" si="9"/>
        <v>0</v>
      </c>
      <c r="AV26" s="93">
        <f t="shared" si="32"/>
        <v>34.599860256962046</v>
      </c>
      <c r="AW26" s="73"/>
      <c r="AX26" s="78">
        <v>213</v>
      </c>
      <c r="AY26" s="76">
        <v>7.67E-4</v>
      </c>
      <c r="AZ26" s="77">
        <f t="shared" si="10"/>
        <v>32.604895107876253</v>
      </c>
      <c r="BA26" s="97">
        <f t="shared" si="11"/>
        <v>1.9949651490857956</v>
      </c>
      <c r="BB26" s="97">
        <f t="shared" si="12"/>
        <v>0</v>
      </c>
      <c r="BC26" s="93">
        <f t="shared" si="31"/>
        <v>34.599860256962046</v>
      </c>
    </row>
    <row r="27" spans="1:55" x14ac:dyDescent="0.2">
      <c r="A27" s="75">
        <v>304</v>
      </c>
      <c r="B27" s="76">
        <v>5.8919999999999997E-3</v>
      </c>
      <c r="C27" s="77">
        <f t="shared" si="13"/>
        <v>250.46680831239487</v>
      </c>
      <c r="D27" s="97">
        <f t="shared" si="14"/>
        <v>15.32507778150392</v>
      </c>
      <c r="E27" s="97">
        <f t="shared" si="15"/>
        <v>0</v>
      </c>
      <c r="F27" s="87">
        <f t="shared" si="16"/>
        <v>265.79188609389877</v>
      </c>
      <c r="G27" s="73"/>
      <c r="H27" s="75">
        <v>704</v>
      </c>
      <c r="I27" s="76">
        <v>5.8919999999999997E-3</v>
      </c>
      <c r="J27" s="77">
        <f t="shared" si="17"/>
        <v>250.46680831239487</v>
      </c>
      <c r="K27" s="97">
        <f t="shared" si="18"/>
        <v>15.32507778150392</v>
      </c>
      <c r="L27" s="97">
        <f t="shared" si="0"/>
        <v>0</v>
      </c>
      <c r="M27" s="87">
        <f t="shared" si="19"/>
        <v>265.79188609389877</v>
      </c>
      <c r="N27" s="73"/>
      <c r="O27" s="75">
        <v>304</v>
      </c>
      <c r="P27" s="76">
        <v>5.8919999999999997E-3</v>
      </c>
      <c r="Q27" s="77">
        <f t="shared" si="20"/>
        <v>250.46680831239487</v>
      </c>
      <c r="R27" s="97">
        <f t="shared" si="21"/>
        <v>15.32507778150392</v>
      </c>
      <c r="S27" s="97">
        <f t="shared" si="1"/>
        <v>0</v>
      </c>
      <c r="T27" s="87">
        <f t="shared" si="22"/>
        <v>265.79188609389877</v>
      </c>
      <c r="U27" s="73"/>
      <c r="V27" s="75">
        <v>704</v>
      </c>
      <c r="W27" s="76">
        <v>5.8919999999999997E-3</v>
      </c>
      <c r="X27" s="77">
        <f t="shared" si="23"/>
        <v>250.46680831239487</v>
      </c>
      <c r="Y27" s="97">
        <f t="shared" si="24"/>
        <v>15.32507778150392</v>
      </c>
      <c r="Z27" s="97">
        <f t="shared" si="2"/>
        <v>0</v>
      </c>
      <c r="AA27" s="87">
        <f t="shared" si="25"/>
        <v>265.79188609389877</v>
      </c>
      <c r="AB27" s="73"/>
      <c r="AC27" s="78">
        <v>20</v>
      </c>
      <c r="AD27" s="76">
        <v>7.67E-4</v>
      </c>
      <c r="AE27" s="77">
        <f t="shared" si="26"/>
        <v>32.604895107876253</v>
      </c>
      <c r="AF27" s="97">
        <f t="shared" si="27"/>
        <v>1.9949651490857956</v>
      </c>
      <c r="AG27" s="97">
        <f t="shared" si="3"/>
        <v>0</v>
      </c>
      <c r="AH27" s="93">
        <f t="shared" si="28"/>
        <v>34.599860256962046</v>
      </c>
      <c r="AI27" s="73"/>
      <c r="AJ27" s="78">
        <v>86</v>
      </c>
      <c r="AK27" s="76">
        <v>7.67E-4</v>
      </c>
      <c r="AL27" s="77">
        <f t="shared" si="4"/>
        <v>32.604895107876253</v>
      </c>
      <c r="AM27" s="97">
        <f t="shared" si="5"/>
        <v>1.9949651490857956</v>
      </c>
      <c r="AN27" s="97">
        <f t="shared" si="6"/>
        <v>0</v>
      </c>
      <c r="AO27" s="93">
        <f t="shared" si="33"/>
        <v>34.599860256962046</v>
      </c>
      <c r="AP27" s="73"/>
      <c r="AQ27" s="78">
        <v>150</v>
      </c>
      <c r="AR27" s="76">
        <v>7.67E-4</v>
      </c>
      <c r="AS27" s="77">
        <f t="shared" si="7"/>
        <v>32.604895107876253</v>
      </c>
      <c r="AT27" s="97">
        <f t="shared" si="8"/>
        <v>1.9949651490857956</v>
      </c>
      <c r="AU27" s="97">
        <f t="shared" si="9"/>
        <v>0</v>
      </c>
      <c r="AV27" s="93">
        <f t="shared" si="32"/>
        <v>34.599860256962046</v>
      </c>
      <c r="AW27" s="73"/>
      <c r="AX27" s="78">
        <v>214</v>
      </c>
      <c r="AY27" s="76">
        <v>7.67E-4</v>
      </c>
      <c r="AZ27" s="77">
        <f t="shared" si="10"/>
        <v>32.604895107876253</v>
      </c>
      <c r="BA27" s="97">
        <f t="shared" si="11"/>
        <v>1.9949651490857956</v>
      </c>
      <c r="BB27" s="97">
        <f t="shared" si="12"/>
        <v>0</v>
      </c>
      <c r="BC27" s="93">
        <f t="shared" si="31"/>
        <v>34.599860256962046</v>
      </c>
    </row>
    <row r="28" spans="1:55" x14ac:dyDescent="0.2">
      <c r="A28" s="75">
        <v>305</v>
      </c>
      <c r="B28" s="76">
        <v>5.8950000000000001E-3</v>
      </c>
      <c r="C28" s="77">
        <f t="shared" si="13"/>
        <v>250.59433723719755</v>
      </c>
      <c r="D28" s="97">
        <f t="shared" si="14"/>
        <v>15.33288077426436</v>
      </c>
      <c r="E28" s="97">
        <f t="shared" si="15"/>
        <v>0</v>
      </c>
      <c r="F28" s="87">
        <f t="shared" si="16"/>
        <v>265.92721801146189</v>
      </c>
      <c r="G28" s="73"/>
      <c r="H28" s="75">
        <v>705</v>
      </c>
      <c r="I28" s="76">
        <v>5.8950000000000001E-3</v>
      </c>
      <c r="J28" s="77">
        <f t="shared" si="17"/>
        <v>250.59433723719755</v>
      </c>
      <c r="K28" s="97">
        <f t="shared" si="18"/>
        <v>15.33288077426436</v>
      </c>
      <c r="L28" s="97">
        <f t="shared" si="0"/>
        <v>0</v>
      </c>
      <c r="M28" s="87">
        <f t="shared" si="19"/>
        <v>265.92721801146189</v>
      </c>
      <c r="N28" s="73"/>
      <c r="O28" s="75">
        <v>305</v>
      </c>
      <c r="P28" s="76">
        <v>5.8950000000000001E-3</v>
      </c>
      <c r="Q28" s="77">
        <f t="shared" si="20"/>
        <v>250.59433723719755</v>
      </c>
      <c r="R28" s="97">
        <f t="shared" si="21"/>
        <v>15.33288077426436</v>
      </c>
      <c r="S28" s="97">
        <f t="shared" si="1"/>
        <v>0</v>
      </c>
      <c r="T28" s="87">
        <f t="shared" si="22"/>
        <v>265.92721801146189</v>
      </c>
      <c r="U28" s="73"/>
      <c r="V28" s="75">
        <v>705</v>
      </c>
      <c r="W28" s="76">
        <v>5.8950000000000001E-3</v>
      </c>
      <c r="X28" s="77">
        <f t="shared" si="23"/>
        <v>250.59433723719755</v>
      </c>
      <c r="Y28" s="97">
        <f t="shared" si="24"/>
        <v>15.33288077426436</v>
      </c>
      <c r="Z28" s="97">
        <f t="shared" si="2"/>
        <v>0</v>
      </c>
      <c r="AA28" s="87">
        <f t="shared" si="25"/>
        <v>265.92721801146189</v>
      </c>
      <c r="AB28" s="73"/>
      <c r="AC28" s="78">
        <v>21</v>
      </c>
      <c r="AD28" s="76">
        <v>7.67E-4</v>
      </c>
      <c r="AE28" s="77">
        <f t="shared" si="26"/>
        <v>32.604895107876253</v>
      </c>
      <c r="AF28" s="97">
        <f t="shared" si="27"/>
        <v>1.9949651490857956</v>
      </c>
      <c r="AG28" s="97">
        <f t="shared" si="3"/>
        <v>0</v>
      </c>
      <c r="AH28" s="93">
        <f t="shared" si="28"/>
        <v>34.599860256962046</v>
      </c>
      <c r="AI28" s="73"/>
      <c r="AJ28" s="78">
        <v>87</v>
      </c>
      <c r="AK28" s="76">
        <v>7.67E-4</v>
      </c>
      <c r="AL28" s="77">
        <f t="shared" si="4"/>
        <v>32.604895107876253</v>
      </c>
      <c r="AM28" s="97">
        <f t="shared" si="5"/>
        <v>1.9949651490857956</v>
      </c>
      <c r="AN28" s="97">
        <f t="shared" si="6"/>
        <v>0</v>
      </c>
      <c r="AO28" s="93">
        <f t="shared" si="33"/>
        <v>34.599860256962046</v>
      </c>
      <c r="AP28" s="73"/>
      <c r="AQ28" s="78">
        <v>151</v>
      </c>
      <c r="AR28" s="76">
        <v>7.67E-4</v>
      </c>
      <c r="AS28" s="77">
        <f t="shared" si="7"/>
        <v>32.604895107876253</v>
      </c>
      <c r="AT28" s="97">
        <f t="shared" si="8"/>
        <v>1.9949651490857956</v>
      </c>
      <c r="AU28" s="97">
        <f t="shared" si="9"/>
        <v>0</v>
      </c>
      <c r="AV28" s="93">
        <f t="shared" si="32"/>
        <v>34.599860256962046</v>
      </c>
      <c r="AW28" s="73"/>
      <c r="AX28" s="78">
        <v>215</v>
      </c>
      <c r="AY28" s="76">
        <v>7.67E-4</v>
      </c>
      <c r="AZ28" s="77">
        <f t="shared" si="10"/>
        <v>32.604895107876253</v>
      </c>
      <c r="BA28" s="97">
        <f t="shared" si="11"/>
        <v>1.9949651490857956</v>
      </c>
      <c r="BB28" s="97">
        <f t="shared" si="12"/>
        <v>0</v>
      </c>
      <c r="BC28" s="93">
        <f t="shared" si="31"/>
        <v>34.599860256962046</v>
      </c>
    </row>
    <row r="29" spans="1:55" x14ac:dyDescent="0.2">
      <c r="A29" s="75">
        <v>306</v>
      </c>
      <c r="B29" s="76">
        <v>6.7489999999999998E-3</v>
      </c>
      <c r="C29" s="77">
        <f t="shared" si="13"/>
        <v>286.8975711643505</v>
      </c>
      <c r="D29" s="97">
        <f t="shared" si="14"/>
        <v>17.554132713402911</v>
      </c>
      <c r="E29" s="97">
        <f t="shared" si="15"/>
        <v>0</v>
      </c>
      <c r="F29" s="87">
        <f t="shared" si="16"/>
        <v>304.4517038777534</v>
      </c>
      <c r="G29" s="73"/>
      <c r="H29" s="75">
        <v>706</v>
      </c>
      <c r="I29" s="76">
        <v>6.7489999999999998E-3</v>
      </c>
      <c r="J29" s="77">
        <f t="shared" si="17"/>
        <v>286.8975711643505</v>
      </c>
      <c r="K29" s="97">
        <f t="shared" si="18"/>
        <v>17.554132713402911</v>
      </c>
      <c r="L29" s="97">
        <f t="shared" si="0"/>
        <v>0</v>
      </c>
      <c r="M29" s="87">
        <f t="shared" si="19"/>
        <v>304.4517038777534</v>
      </c>
      <c r="N29" s="73"/>
      <c r="O29" s="75">
        <v>306</v>
      </c>
      <c r="P29" s="76">
        <v>6.7489999999999998E-3</v>
      </c>
      <c r="Q29" s="77">
        <f t="shared" si="20"/>
        <v>286.8975711643505</v>
      </c>
      <c r="R29" s="97">
        <f t="shared" si="21"/>
        <v>17.554132713402911</v>
      </c>
      <c r="S29" s="97">
        <f t="shared" si="1"/>
        <v>0</v>
      </c>
      <c r="T29" s="87">
        <f t="shared" si="22"/>
        <v>304.4517038777534</v>
      </c>
      <c r="U29" s="73"/>
      <c r="V29" s="75">
        <v>706</v>
      </c>
      <c r="W29" s="76">
        <v>6.7489999999999998E-3</v>
      </c>
      <c r="X29" s="77">
        <f t="shared" si="23"/>
        <v>286.8975711643505</v>
      </c>
      <c r="Y29" s="97">
        <f t="shared" si="24"/>
        <v>17.554132713402911</v>
      </c>
      <c r="Z29" s="97">
        <f t="shared" si="2"/>
        <v>0</v>
      </c>
      <c r="AA29" s="87">
        <f t="shared" si="25"/>
        <v>304.4517038777534</v>
      </c>
      <c r="AB29" s="73"/>
      <c r="AC29" s="78">
        <v>22</v>
      </c>
      <c r="AD29" s="76">
        <v>7.67E-4</v>
      </c>
      <c r="AE29" s="77">
        <f t="shared" si="26"/>
        <v>32.604895107876253</v>
      </c>
      <c r="AF29" s="97">
        <f t="shared" si="27"/>
        <v>1.9949651490857956</v>
      </c>
      <c r="AG29" s="97">
        <f t="shared" si="3"/>
        <v>0</v>
      </c>
      <c r="AH29" s="93">
        <f t="shared" si="28"/>
        <v>34.599860256962046</v>
      </c>
      <c r="AI29" s="73"/>
      <c r="AJ29" s="78">
        <v>88</v>
      </c>
      <c r="AK29" s="76">
        <v>7.67E-4</v>
      </c>
      <c r="AL29" s="77">
        <f t="shared" si="4"/>
        <v>32.604895107876253</v>
      </c>
      <c r="AM29" s="97">
        <f t="shared" si="5"/>
        <v>1.9949651490857956</v>
      </c>
      <c r="AN29" s="97">
        <f t="shared" si="6"/>
        <v>0</v>
      </c>
      <c r="AO29" s="93">
        <f t="shared" si="33"/>
        <v>34.599860256962046</v>
      </c>
      <c r="AP29" s="73"/>
      <c r="AQ29" s="78">
        <v>152</v>
      </c>
      <c r="AR29" s="76">
        <v>7.67E-4</v>
      </c>
      <c r="AS29" s="77">
        <f t="shared" si="7"/>
        <v>32.604895107876253</v>
      </c>
      <c r="AT29" s="97">
        <f t="shared" si="8"/>
        <v>1.9949651490857956</v>
      </c>
      <c r="AU29" s="97">
        <f t="shared" si="9"/>
        <v>0</v>
      </c>
      <c r="AV29" s="93">
        <f t="shared" si="32"/>
        <v>34.599860256962046</v>
      </c>
      <c r="AW29" s="73"/>
      <c r="AX29" s="78">
        <v>216</v>
      </c>
      <c r="AY29" s="76">
        <v>7.67E-4</v>
      </c>
      <c r="AZ29" s="77">
        <f t="shared" si="10"/>
        <v>32.604895107876253</v>
      </c>
      <c r="BA29" s="97">
        <f t="shared" si="11"/>
        <v>1.9949651490857956</v>
      </c>
      <c r="BB29" s="97">
        <f t="shared" si="12"/>
        <v>0</v>
      </c>
      <c r="BC29" s="93">
        <f t="shared" si="31"/>
        <v>34.599860256962046</v>
      </c>
    </row>
    <row r="30" spans="1:55" x14ac:dyDescent="0.2">
      <c r="A30" s="75">
        <v>307</v>
      </c>
      <c r="B30" s="76">
        <v>6.7489999999999998E-3</v>
      </c>
      <c r="C30" s="77">
        <f t="shared" si="13"/>
        <v>286.8975711643505</v>
      </c>
      <c r="D30" s="97">
        <f t="shared" si="14"/>
        <v>17.554132713402911</v>
      </c>
      <c r="E30" s="97">
        <f t="shared" si="15"/>
        <v>0</v>
      </c>
      <c r="F30" s="87">
        <f t="shared" si="16"/>
        <v>304.4517038777534</v>
      </c>
      <c r="G30" s="73"/>
      <c r="H30" s="75">
        <v>707</v>
      </c>
      <c r="I30" s="76">
        <v>6.7489999999999998E-3</v>
      </c>
      <c r="J30" s="77">
        <f t="shared" si="17"/>
        <v>286.8975711643505</v>
      </c>
      <c r="K30" s="97">
        <f t="shared" si="18"/>
        <v>17.554132713402911</v>
      </c>
      <c r="L30" s="97">
        <f t="shared" si="0"/>
        <v>0</v>
      </c>
      <c r="M30" s="87">
        <f t="shared" si="19"/>
        <v>304.4517038777534</v>
      </c>
      <c r="N30" s="73"/>
      <c r="O30" s="75">
        <v>307</v>
      </c>
      <c r="P30" s="76">
        <v>6.7489999999999998E-3</v>
      </c>
      <c r="Q30" s="77">
        <f t="shared" si="20"/>
        <v>286.8975711643505</v>
      </c>
      <c r="R30" s="97">
        <f t="shared" si="21"/>
        <v>17.554132713402911</v>
      </c>
      <c r="S30" s="97">
        <f t="shared" si="1"/>
        <v>0</v>
      </c>
      <c r="T30" s="87">
        <f t="shared" si="22"/>
        <v>304.4517038777534</v>
      </c>
      <c r="U30" s="73"/>
      <c r="V30" s="75">
        <v>707</v>
      </c>
      <c r="W30" s="76">
        <v>6.7489999999999998E-3</v>
      </c>
      <c r="X30" s="77">
        <f t="shared" si="23"/>
        <v>286.8975711643505</v>
      </c>
      <c r="Y30" s="97">
        <f t="shared" si="24"/>
        <v>17.554132713402911</v>
      </c>
      <c r="Z30" s="97">
        <f t="shared" si="2"/>
        <v>0</v>
      </c>
      <c r="AA30" s="87">
        <f t="shared" si="25"/>
        <v>304.4517038777534</v>
      </c>
      <c r="AB30" s="73"/>
      <c r="AC30" s="78">
        <v>23</v>
      </c>
      <c r="AD30" s="76">
        <v>7.67E-4</v>
      </c>
      <c r="AE30" s="77">
        <f t="shared" si="26"/>
        <v>32.604895107876253</v>
      </c>
      <c r="AF30" s="97">
        <f t="shared" si="27"/>
        <v>1.9949651490857956</v>
      </c>
      <c r="AG30" s="97">
        <f t="shared" si="3"/>
        <v>0</v>
      </c>
      <c r="AH30" s="93">
        <f t="shared" si="28"/>
        <v>34.599860256962046</v>
      </c>
      <c r="AI30" s="73"/>
      <c r="AJ30" s="78">
        <v>89</v>
      </c>
      <c r="AK30" s="76">
        <v>7.67E-4</v>
      </c>
      <c r="AL30" s="77">
        <f t="shared" si="4"/>
        <v>32.604895107876253</v>
      </c>
      <c r="AM30" s="97">
        <f t="shared" si="5"/>
        <v>1.9949651490857956</v>
      </c>
      <c r="AN30" s="97">
        <f t="shared" si="6"/>
        <v>0</v>
      </c>
      <c r="AO30" s="93">
        <f t="shared" si="33"/>
        <v>34.599860256962046</v>
      </c>
      <c r="AP30" s="73"/>
      <c r="AQ30" s="78">
        <v>153</v>
      </c>
      <c r="AR30" s="76">
        <v>7.67E-4</v>
      </c>
      <c r="AS30" s="77">
        <f t="shared" si="7"/>
        <v>32.604895107876253</v>
      </c>
      <c r="AT30" s="97">
        <f t="shared" si="8"/>
        <v>1.9949651490857956</v>
      </c>
      <c r="AU30" s="97">
        <f t="shared" si="9"/>
        <v>0</v>
      </c>
      <c r="AV30" s="93">
        <f t="shared" si="32"/>
        <v>34.599860256962046</v>
      </c>
      <c r="AW30" s="73"/>
      <c r="AX30" s="78">
        <v>217</v>
      </c>
      <c r="AY30" s="76">
        <v>7.67E-4</v>
      </c>
      <c r="AZ30" s="77">
        <f t="shared" si="10"/>
        <v>32.604895107876253</v>
      </c>
      <c r="BA30" s="97">
        <f t="shared" si="11"/>
        <v>1.9949651490857956</v>
      </c>
      <c r="BB30" s="97">
        <f t="shared" si="12"/>
        <v>0</v>
      </c>
      <c r="BC30" s="93">
        <f t="shared" si="31"/>
        <v>34.599860256962046</v>
      </c>
    </row>
    <row r="31" spans="1:55" x14ac:dyDescent="0.2">
      <c r="A31" s="75">
        <v>308</v>
      </c>
      <c r="B31" s="76">
        <v>5.8950000000000001E-3</v>
      </c>
      <c r="C31" s="77">
        <f t="shared" si="13"/>
        <v>250.59433723719755</v>
      </c>
      <c r="D31" s="97">
        <f t="shared" si="14"/>
        <v>15.33288077426436</v>
      </c>
      <c r="E31" s="97">
        <f t="shared" si="15"/>
        <v>0</v>
      </c>
      <c r="F31" s="87">
        <f t="shared" si="16"/>
        <v>265.92721801146189</v>
      </c>
      <c r="G31" s="73"/>
      <c r="H31" s="75">
        <v>708</v>
      </c>
      <c r="I31" s="76">
        <v>5.8950000000000001E-3</v>
      </c>
      <c r="J31" s="77">
        <f t="shared" si="17"/>
        <v>250.59433723719755</v>
      </c>
      <c r="K31" s="97">
        <f t="shared" si="18"/>
        <v>15.33288077426436</v>
      </c>
      <c r="L31" s="97">
        <f t="shared" si="0"/>
        <v>0</v>
      </c>
      <c r="M31" s="87">
        <f t="shared" si="19"/>
        <v>265.92721801146189</v>
      </c>
      <c r="N31" s="73"/>
      <c r="O31" s="75">
        <v>308</v>
      </c>
      <c r="P31" s="76">
        <v>5.8950000000000001E-3</v>
      </c>
      <c r="Q31" s="77">
        <f t="shared" si="20"/>
        <v>250.59433723719755</v>
      </c>
      <c r="R31" s="97">
        <f t="shared" si="21"/>
        <v>15.33288077426436</v>
      </c>
      <c r="S31" s="97">
        <f t="shared" si="1"/>
        <v>0</v>
      </c>
      <c r="T31" s="87">
        <f t="shared" si="22"/>
        <v>265.92721801146189</v>
      </c>
      <c r="U31" s="73"/>
      <c r="V31" s="75">
        <v>708</v>
      </c>
      <c r="W31" s="76">
        <v>5.8950000000000001E-3</v>
      </c>
      <c r="X31" s="77">
        <f t="shared" si="23"/>
        <v>250.59433723719755</v>
      </c>
      <c r="Y31" s="97">
        <f t="shared" si="24"/>
        <v>15.33288077426436</v>
      </c>
      <c r="Z31" s="97">
        <f t="shared" si="2"/>
        <v>0</v>
      </c>
      <c r="AA31" s="87">
        <f t="shared" si="25"/>
        <v>265.92721801146189</v>
      </c>
      <c r="AB31" s="73"/>
      <c r="AC31" s="78">
        <v>24</v>
      </c>
      <c r="AD31" s="76">
        <v>7.67E-4</v>
      </c>
      <c r="AE31" s="77">
        <f t="shared" si="26"/>
        <v>32.604895107876253</v>
      </c>
      <c r="AF31" s="97">
        <f t="shared" si="27"/>
        <v>1.9949651490857956</v>
      </c>
      <c r="AG31" s="97">
        <f t="shared" si="3"/>
        <v>0</v>
      </c>
      <c r="AH31" s="93">
        <f t="shared" si="28"/>
        <v>34.599860256962046</v>
      </c>
      <c r="AI31" s="73"/>
      <c r="AJ31" s="78">
        <v>90</v>
      </c>
      <c r="AK31" s="76">
        <v>7.67E-4</v>
      </c>
      <c r="AL31" s="77">
        <f t="shared" si="4"/>
        <v>32.604895107876253</v>
      </c>
      <c r="AM31" s="97">
        <f t="shared" si="5"/>
        <v>1.9949651490857956</v>
      </c>
      <c r="AN31" s="97">
        <f t="shared" si="6"/>
        <v>0</v>
      </c>
      <c r="AO31" s="93">
        <f t="shared" si="33"/>
        <v>34.599860256962046</v>
      </c>
      <c r="AP31" s="73"/>
      <c r="AQ31" s="78">
        <v>154</v>
      </c>
      <c r="AR31" s="76">
        <v>7.67E-4</v>
      </c>
      <c r="AS31" s="77">
        <f t="shared" si="7"/>
        <v>32.604895107876253</v>
      </c>
      <c r="AT31" s="97">
        <f t="shared" si="8"/>
        <v>1.9949651490857956</v>
      </c>
      <c r="AU31" s="97">
        <f t="shared" si="9"/>
        <v>0</v>
      </c>
      <c r="AV31" s="93">
        <f t="shared" si="32"/>
        <v>34.599860256962046</v>
      </c>
      <c r="AW31" s="73"/>
      <c r="AX31" s="78">
        <v>218</v>
      </c>
      <c r="AY31" s="76">
        <v>7.67E-4</v>
      </c>
      <c r="AZ31" s="77">
        <f t="shared" si="10"/>
        <v>32.604895107876253</v>
      </c>
      <c r="BA31" s="97">
        <f t="shared" si="11"/>
        <v>1.9949651490857956</v>
      </c>
      <c r="BB31" s="97">
        <f t="shared" si="12"/>
        <v>0</v>
      </c>
      <c r="BC31" s="93">
        <f t="shared" si="31"/>
        <v>34.599860256962046</v>
      </c>
    </row>
    <row r="32" spans="1:55" x14ac:dyDescent="0.2">
      <c r="A32" s="75">
        <v>401</v>
      </c>
      <c r="B32" s="76">
        <v>5.8919999999999997E-3</v>
      </c>
      <c r="C32" s="77">
        <f t="shared" si="13"/>
        <v>250.46680831239487</v>
      </c>
      <c r="D32" s="97">
        <f t="shared" si="14"/>
        <v>15.32507778150392</v>
      </c>
      <c r="E32" s="97">
        <f t="shared" si="15"/>
        <v>0</v>
      </c>
      <c r="F32" s="87">
        <f t="shared" si="16"/>
        <v>265.79188609389877</v>
      </c>
      <c r="G32" s="73"/>
      <c r="H32" s="75">
        <v>801</v>
      </c>
      <c r="I32" s="76">
        <v>5.8919999999999997E-3</v>
      </c>
      <c r="J32" s="77">
        <f t="shared" si="17"/>
        <v>250.46680831239487</v>
      </c>
      <c r="K32" s="97">
        <f t="shared" si="18"/>
        <v>15.32507778150392</v>
      </c>
      <c r="L32" s="97">
        <f t="shared" si="0"/>
        <v>0</v>
      </c>
      <c r="M32" s="87">
        <f t="shared" si="19"/>
        <v>265.79188609389877</v>
      </c>
      <c r="N32" s="73"/>
      <c r="O32" s="75">
        <v>401</v>
      </c>
      <c r="P32" s="76">
        <v>5.8919999999999997E-3</v>
      </c>
      <c r="Q32" s="77">
        <f t="shared" si="20"/>
        <v>250.46680831239487</v>
      </c>
      <c r="R32" s="97">
        <f t="shared" si="21"/>
        <v>15.32507778150392</v>
      </c>
      <c r="S32" s="97">
        <f t="shared" si="1"/>
        <v>0</v>
      </c>
      <c r="T32" s="87">
        <f t="shared" si="22"/>
        <v>265.79188609389877</v>
      </c>
      <c r="U32" s="73"/>
      <c r="V32" s="75">
        <v>801</v>
      </c>
      <c r="W32" s="76">
        <v>5.8919999999999997E-3</v>
      </c>
      <c r="X32" s="77">
        <f t="shared" si="23"/>
        <v>250.46680831239487</v>
      </c>
      <c r="Y32" s="97">
        <f t="shared" si="24"/>
        <v>15.32507778150392</v>
      </c>
      <c r="Z32" s="97">
        <f t="shared" si="2"/>
        <v>0</v>
      </c>
      <c r="AA32" s="87">
        <f t="shared" si="25"/>
        <v>265.79188609389877</v>
      </c>
      <c r="AB32" s="73"/>
      <c r="AC32" s="78">
        <v>25</v>
      </c>
      <c r="AD32" s="76">
        <v>7.67E-4</v>
      </c>
      <c r="AE32" s="77">
        <f t="shared" si="26"/>
        <v>32.604895107876253</v>
      </c>
      <c r="AF32" s="97">
        <f t="shared" si="27"/>
        <v>1.9949651490857956</v>
      </c>
      <c r="AG32" s="97">
        <f t="shared" si="3"/>
        <v>0</v>
      </c>
      <c r="AH32" s="93">
        <f t="shared" si="28"/>
        <v>34.599860256962046</v>
      </c>
      <c r="AI32" s="73"/>
      <c r="AJ32" s="78">
        <v>91</v>
      </c>
      <c r="AK32" s="76">
        <v>7.67E-4</v>
      </c>
      <c r="AL32" s="77">
        <f t="shared" si="4"/>
        <v>32.604895107876253</v>
      </c>
      <c r="AM32" s="97">
        <f t="shared" si="5"/>
        <v>1.9949651490857956</v>
      </c>
      <c r="AN32" s="97">
        <f t="shared" si="6"/>
        <v>0</v>
      </c>
      <c r="AO32" s="93">
        <f t="shared" si="33"/>
        <v>34.599860256962046</v>
      </c>
      <c r="AP32" s="73"/>
      <c r="AQ32" s="78">
        <v>155</v>
      </c>
      <c r="AR32" s="76">
        <v>7.67E-4</v>
      </c>
      <c r="AS32" s="77">
        <f t="shared" si="7"/>
        <v>32.604895107876253</v>
      </c>
      <c r="AT32" s="97">
        <f t="shared" si="8"/>
        <v>1.9949651490857956</v>
      </c>
      <c r="AU32" s="97">
        <f t="shared" si="9"/>
        <v>0</v>
      </c>
      <c r="AV32" s="93">
        <f t="shared" si="32"/>
        <v>34.599860256962046</v>
      </c>
      <c r="AW32" s="73"/>
      <c r="AX32" s="78">
        <v>219</v>
      </c>
      <c r="AY32" s="76">
        <v>7.67E-4</v>
      </c>
      <c r="AZ32" s="77">
        <f t="shared" si="10"/>
        <v>32.604895107876253</v>
      </c>
      <c r="BA32" s="97">
        <f t="shared" si="11"/>
        <v>1.9949651490857956</v>
      </c>
      <c r="BB32" s="97">
        <f t="shared" si="12"/>
        <v>0</v>
      </c>
      <c r="BC32" s="93">
        <f t="shared" si="31"/>
        <v>34.599860256962046</v>
      </c>
    </row>
    <row r="33" spans="1:55" x14ac:dyDescent="0.2">
      <c r="A33" s="75">
        <v>402</v>
      </c>
      <c r="B33" s="76">
        <v>6.7489999999999998E-3</v>
      </c>
      <c r="C33" s="77">
        <f t="shared" si="13"/>
        <v>286.8975711643505</v>
      </c>
      <c r="D33" s="97">
        <f t="shared" si="14"/>
        <v>17.554132713402911</v>
      </c>
      <c r="E33" s="97">
        <f t="shared" si="15"/>
        <v>0</v>
      </c>
      <c r="F33" s="87">
        <f t="shared" si="16"/>
        <v>304.4517038777534</v>
      </c>
      <c r="G33" s="73"/>
      <c r="H33" s="75">
        <v>802</v>
      </c>
      <c r="I33" s="76">
        <v>6.7489999999999998E-3</v>
      </c>
      <c r="J33" s="77">
        <f t="shared" si="17"/>
        <v>286.8975711643505</v>
      </c>
      <c r="K33" s="97">
        <f t="shared" si="18"/>
        <v>17.554132713402911</v>
      </c>
      <c r="L33" s="97">
        <f t="shared" si="0"/>
        <v>0</v>
      </c>
      <c r="M33" s="87">
        <f t="shared" si="19"/>
        <v>304.4517038777534</v>
      </c>
      <c r="N33" s="73"/>
      <c r="O33" s="75">
        <v>402</v>
      </c>
      <c r="P33" s="76">
        <v>6.7489999999999998E-3</v>
      </c>
      <c r="Q33" s="77">
        <f t="shared" si="20"/>
        <v>286.8975711643505</v>
      </c>
      <c r="R33" s="97">
        <f t="shared" si="21"/>
        <v>17.554132713402911</v>
      </c>
      <c r="S33" s="97">
        <f t="shared" si="1"/>
        <v>0</v>
      </c>
      <c r="T33" s="87">
        <f t="shared" si="22"/>
        <v>304.4517038777534</v>
      </c>
      <c r="U33" s="73"/>
      <c r="V33" s="75">
        <v>802</v>
      </c>
      <c r="W33" s="76">
        <v>6.7489999999999998E-3</v>
      </c>
      <c r="X33" s="77">
        <f t="shared" si="23"/>
        <v>286.8975711643505</v>
      </c>
      <c r="Y33" s="97">
        <f t="shared" si="24"/>
        <v>17.554132713402911</v>
      </c>
      <c r="Z33" s="97">
        <f t="shared" si="2"/>
        <v>0</v>
      </c>
      <c r="AA33" s="87">
        <f t="shared" si="25"/>
        <v>304.4517038777534</v>
      </c>
      <c r="AB33" s="73"/>
      <c r="AC33" s="78">
        <v>26</v>
      </c>
      <c r="AD33" s="76">
        <v>7.67E-4</v>
      </c>
      <c r="AE33" s="77">
        <f t="shared" si="26"/>
        <v>32.604895107876253</v>
      </c>
      <c r="AF33" s="97">
        <f t="shared" si="27"/>
        <v>1.9949651490857956</v>
      </c>
      <c r="AG33" s="97">
        <f t="shared" si="3"/>
        <v>0</v>
      </c>
      <c r="AH33" s="93">
        <f t="shared" si="28"/>
        <v>34.599860256962046</v>
      </c>
      <c r="AI33" s="73"/>
      <c r="AJ33" s="78">
        <v>92</v>
      </c>
      <c r="AK33" s="76">
        <v>7.67E-4</v>
      </c>
      <c r="AL33" s="77">
        <f t="shared" si="4"/>
        <v>32.604895107876253</v>
      </c>
      <c r="AM33" s="97">
        <f t="shared" si="5"/>
        <v>1.9949651490857956</v>
      </c>
      <c r="AN33" s="97">
        <f t="shared" si="6"/>
        <v>0</v>
      </c>
      <c r="AO33" s="93">
        <f t="shared" si="33"/>
        <v>34.599860256962046</v>
      </c>
      <c r="AP33" s="73"/>
      <c r="AQ33" s="78">
        <v>156</v>
      </c>
      <c r="AR33" s="76">
        <v>7.67E-4</v>
      </c>
      <c r="AS33" s="77">
        <f t="shared" si="7"/>
        <v>32.604895107876253</v>
      </c>
      <c r="AT33" s="97">
        <f t="shared" si="8"/>
        <v>1.9949651490857956</v>
      </c>
      <c r="AU33" s="97">
        <f t="shared" si="9"/>
        <v>0</v>
      </c>
      <c r="AV33" s="93">
        <f t="shared" si="32"/>
        <v>34.599860256962046</v>
      </c>
      <c r="AW33" s="73"/>
      <c r="AX33" s="78">
        <v>220</v>
      </c>
      <c r="AY33" s="76">
        <v>7.0899999999999999E-4</v>
      </c>
      <c r="AZ33" s="77">
        <f t="shared" si="10"/>
        <v>30.139335895025116</v>
      </c>
      <c r="BA33" s="97">
        <f t="shared" si="11"/>
        <v>1.8441072890506245</v>
      </c>
      <c r="BB33" s="97">
        <f t="shared" si="12"/>
        <v>0</v>
      </c>
      <c r="BC33" s="93">
        <f t="shared" si="31"/>
        <v>31.983443184075739</v>
      </c>
    </row>
    <row r="34" spans="1:55" x14ac:dyDescent="0.2">
      <c r="A34" s="75">
        <v>403</v>
      </c>
      <c r="B34" s="76">
        <v>6.7489999999999998E-3</v>
      </c>
      <c r="C34" s="77">
        <f t="shared" si="13"/>
        <v>286.8975711643505</v>
      </c>
      <c r="D34" s="97">
        <f t="shared" si="14"/>
        <v>17.554132713402911</v>
      </c>
      <c r="E34" s="97">
        <f t="shared" si="15"/>
        <v>0</v>
      </c>
      <c r="F34" s="87">
        <f t="shared" si="16"/>
        <v>304.4517038777534</v>
      </c>
      <c r="G34" s="73"/>
      <c r="H34" s="75">
        <v>803</v>
      </c>
      <c r="I34" s="76">
        <v>6.7489999999999998E-3</v>
      </c>
      <c r="J34" s="77">
        <f t="shared" si="17"/>
        <v>286.8975711643505</v>
      </c>
      <c r="K34" s="97">
        <f t="shared" si="18"/>
        <v>17.554132713402911</v>
      </c>
      <c r="L34" s="97">
        <f t="shared" si="0"/>
        <v>0</v>
      </c>
      <c r="M34" s="87">
        <f t="shared" si="19"/>
        <v>304.4517038777534</v>
      </c>
      <c r="N34" s="73"/>
      <c r="O34" s="75">
        <v>403</v>
      </c>
      <c r="P34" s="76">
        <v>6.7489999999999998E-3</v>
      </c>
      <c r="Q34" s="77">
        <f t="shared" si="20"/>
        <v>286.8975711643505</v>
      </c>
      <c r="R34" s="97">
        <f t="shared" si="21"/>
        <v>17.554132713402911</v>
      </c>
      <c r="S34" s="97">
        <f t="shared" si="1"/>
        <v>0</v>
      </c>
      <c r="T34" s="87">
        <f t="shared" si="22"/>
        <v>304.4517038777534</v>
      </c>
      <c r="U34" s="73"/>
      <c r="V34" s="75">
        <v>803</v>
      </c>
      <c r="W34" s="76">
        <v>6.7489999999999998E-3</v>
      </c>
      <c r="X34" s="77">
        <f t="shared" si="23"/>
        <v>286.8975711643505</v>
      </c>
      <c r="Y34" s="97">
        <f t="shared" si="24"/>
        <v>17.554132713402911</v>
      </c>
      <c r="Z34" s="97">
        <f t="shared" si="2"/>
        <v>0</v>
      </c>
      <c r="AA34" s="87">
        <f t="shared" si="25"/>
        <v>304.4517038777534</v>
      </c>
      <c r="AB34" s="73"/>
      <c r="AC34" s="78">
        <v>27</v>
      </c>
      <c r="AD34" s="76">
        <v>7.67E-4</v>
      </c>
      <c r="AE34" s="77">
        <f t="shared" si="26"/>
        <v>32.604895107876253</v>
      </c>
      <c r="AF34" s="97">
        <f t="shared" si="27"/>
        <v>1.9949651490857956</v>
      </c>
      <c r="AG34" s="97">
        <f t="shared" si="3"/>
        <v>0</v>
      </c>
      <c r="AH34" s="93">
        <f t="shared" si="28"/>
        <v>34.599860256962046</v>
      </c>
      <c r="AI34" s="73"/>
      <c r="AJ34" s="78">
        <v>93</v>
      </c>
      <c r="AK34" s="76">
        <v>7.67E-4</v>
      </c>
      <c r="AL34" s="77">
        <f t="shared" si="4"/>
        <v>32.604895107876253</v>
      </c>
      <c r="AM34" s="97">
        <f t="shared" si="5"/>
        <v>1.9949651490857956</v>
      </c>
      <c r="AN34" s="97">
        <f t="shared" si="6"/>
        <v>0</v>
      </c>
      <c r="AO34" s="93">
        <f t="shared" si="33"/>
        <v>34.599860256962046</v>
      </c>
      <c r="AP34" s="73"/>
      <c r="AQ34" s="78">
        <v>157</v>
      </c>
      <c r="AR34" s="76">
        <v>7.67E-4</v>
      </c>
      <c r="AS34" s="77">
        <f t="shared" si="7"/>
        <v>32.604895107876253</v>
      </c>
      <c r="AT34" s="97">
        <f t="shared" si="8"/>
        <v>1.9949651490857956</v>
      </c>
      <c r="AU34" s="97">
        <f t="shared" si="9"/>
        <v>0</v>
      </c>
      <c r="AV34" s="93">
        <f t="shared" si="32"/>
        <v>34.599860256962046</v>
      </c>
      <c r="AW34" s="73"/>
      <c r="AX34" s="78">
        <v>221</v>
      </c>
      <c r="AY34" s="76">
        <v>3.5299999999999996E-4</v>
      </c>
      <c r="AZ34" s="77">
        <f t="shared" si="10"/>
        <v>15.005903485111235</v>
      </c>
      <c r="BA34" s="97">
        <f t="shared" si="11"/>
        <v>0.91815214814509227</v>
      </c>
      <c r="BB34" s="97">
        <f t="shared" si="12"/>
        <v>0</v>
      </c>
      <c r="BC34" s="93">
        <f t="shared" si="31"/>
        <v>15.924055633256327</v>
      </c>
    </row>
    <row r="35" spans="1:55" x14ac:dyDescent="0.2">
      <c r="A35" s="75">
        <v>404</v>
      </c>
      <c r="B35" s="76">
        <v>5.8919999999999997E-3</v>
      </c>
      <c r="C35" s="77">
        <f t="shared" si="13"/>
        <v>250.46680831239487</v>
      </c>
      <c r="D35" s="97">
        <f t="shared" si="14"/>
        <v>15.32507778150392</v>
      </c>
      <c r="E35" s="97">
        <f t="shared" si="15"/>
        <v>0</v>
      </c>
      <c r="F35" s="87">
        <f t="shared" si="16"/>
        <v>265.79188609389877</v>
      </c>
      <c r="G35" s="73"/>
      <c r="H35" s="75">
        <v>804</v>
      </c>
      <c r="I35" s="76">
        <v>5.8919999999999997E-3</v>
      </c>
      <c r="J35" s="77">
        <f t="shared" si="17"/>
        <v>250.46680831239487</v>
      </c>
      <c r="K35" s="97">
        <f t="shared" si="18"/>
        <v>15.32507778150392</v>
      </c>
      <c r="L35" s="97">
        <f t="shared" si="0"/>
        <v>0</v>
      </c>
      <c r="M35" s="87">
        <f t="shared" si="19"/>
        <v>265.79188609389877</v>
      </c>
      <c r="N35" s="73"/>
      <c r="O35" s="75">
        <v>404</v>
      </c>
      <c r="P35" s="76">
        <v>5.8919999999999997E-3</v>
      </c>
      <c r="Q35" s="77">
        <f t="shared" si="20"/>
        <v>250.46680831239487</v>
      </c>
      <c r="R35" s="97">
        <f t="shared" si="21"/>
        <v>15.32507778150392</v>
      </c>
      <c r="S35" s="97">
        <f t="shared" si="1"/>
        <v>0</v>
      </c>
      <c r="T35" s="87">
        <f t="shared" si="22"/>
        <v>265.79188609389877</v>
      </c>
      <c r="U35" s="73"/>
      <c r="V35" s="75">
        <v>804</v>
      </c>
      <c r="W35" s="76">
        <v>5.8919999999999997E-3</v>
      </c>
      <c r="X35" s="77">
        <f t="shared" si="23"/>
        <v>250.46680831239487</v>
      </c>
      <c r="Y35" s="97">
        <f t="shared" si="24"/>
        <v>15.32507778150392</v>
      </c>
      <c r="Z35" s="97">
        <f t="shared" si="2"/>
        <v>0</v>
      </c>
      <c r="AA35" s="87">
        <f t="shared" si="25"/>
        <v>265.79188609389877</v>
      </c>
      <c r="AB35" s="73"/>
      <c r="AC35" s="78">
        <v>28</v>
      </c>
      <c r="AD35" s="76">
        <v>7.67E-4</v>
      </c>
      <c r="AE35" s="77">
        <f t="shared" si="26"/>
        <v>32.604895107876253</v>
      </c>
      <c r="AF35" s="97">
        <f t="shared" si="27"/>
        <v>1.9949651490857956</v>
      </c>
      <c r="AG35" s="97">
        <f t="shared" si="3"/>
        <v>0</v>
      </c>
      <c r="AH35" s="93">
        <f t="shared" si="28"/>
        <v>34.599860256962046</v>
      </c>
      <c r="AI35" s="73"/>
      <c r="AJ35" s="78">
        <v>94</v>
      </c>
      <c r="AK35" s="76">
        <v>7.67E-4</v>
      </c>
      <c r="AL35" s="77">
        <f t="shared" si="4"/>
        <v>32.604895107876253</v>
      </c>
      <c r="AM35" s="97">
        <f t="shared" si="5"/>
        <v>1.9949651490857956</v>
      </c>
      <c r="AN35" s="97">
        <f t="shared" si="6"/>
        <v>0</v>
      </c>
      <c r="AO35" s="93">
        <f t="shared" si="33"/>
        <v>34.599860256962046</v>
      </c>
      <c r="AP35" s="73"/>
      <c r="AQ35" s="78">
        <v>158</v>
      </c>
      <c r="AR35" s="76">
        <v>7.67E-4</v>
      </c>
      <c r="AS35" s="77">
        <f t="shared" si="7"/>
        <v>32.604895107876253</v>
      </c>
      <c r="AT35" s="97">
        <f t="shared" si="8"/>
        <v>1.9949651490857956</v>
      </c>
      <c r="AU35" s="97">
        <f t="shared" si="9"/>
        <v>0</v>
      </c>
      <c r="AV35" s="93">
        <f t="shared" si="32"/>
        <v>34.599860256962046</v>
      </c>
      <c r="AW35" s="73"/>
      <c r="AX35" s="78">
        <v>222</v>
      </c>
      <c r="AY35" s="76">
        <v>3.5299999999999996E-4</v>
      </c>
      <c r="AZ35" s="77">
        <f t="shared" si="10"/>
        <v>15.005903485111235</v>
      </c>
      <c r="BA35" s="97">
        <f t="shared" si="11"/>
        <v>0.91815214814509227</v>
      </c>
      <c r="BB35" s="97">
        <f t="shared" si="12"/>
        <v>0</v>
      </c>
      <c r="BC35" s="93">
        <f t="shared" si="31"/>
        <v>15.924055633256327</v>
      </c>
    </row>
    <row r="36" spans="1:55" x14ac:dyDescent="0.2">
      <c r="A36" s="75">
        <v>405</v>
      </c>
      <c r="B36" s="76">
        <v>5.8950000000000001E-3</v>
      </c>
      <c r="C36" s="77">
        <f t="shared" si="13"/>
        <v>250.59433723719755</v>
      </c>
      <c r="D36" s="97">
        <f t="shared" si="14"/>
        <v>15.33288077426436</v>
      </c>
      <c r="E36" s="97">
        <f t="shared" si="15"/>
        <v>0</v>
      </c>
      <c r="F36" s="87">
        <f t="shared" si="16"/>
        <v>265.92721801146189</v>
      </c>
      <c r="G36" s="73"/>
      <c r="H36" s="75">
        <v>805</v>
      </c>
      <c r="I36" s="76">
        <v>5.8950000000000001E-3</v>
      </c>
      <c r="J36" s="77">
        <f t="shared" si="17"/>
        <v>250.59433723719755</v>
      </c>
      <c r="K36" s="97">
        <f t="shared" si="18"/>
        <v>15.33288077426436</v>
      </c>
      <c r="L36" s="97">
        <f t="shared" si="0"/>
        <v>0</v>
      </c>
      <c r="M36" s="87">
        <f t="shared" si="19"/>
        <v>265.92721801146189</v>
      </c>
      <c r="N36" s="73"/>
      <c r="O36" s="75">
        <v>405</v>
      </c>
      <c r="P36" s="76">
        <v>5.8950000000000001E-3</v>
      </c>
      <c r="Q36" s="77">
        <f t="shared" si="20"/>
        <v>250.59433723719755</v>
      </c>
      <c r="R36" s="97">
        <f t="shared" si="21"/>
        <v>15.33288077426436</v>
      </c>
      <c r="S36" s="97">
        <f t="shared" si="1"/>
        <v>0</v>
      </c>
      <c r="T36" s="87">
        <f t="shared" si="22"/>
        <v>265.92721801146189</v>
      </c>
      <c r="U36" s="73"/>
      <c r="V36" s="75">
        <v>805</v>
      </c>
      <c r="W36" s="76">
        <v>5.8950000000000001E-3</v>
      </c>
      <c r="X36" s="77">
        <f t="shared" si="23"/>
        <v>250.59433723719755</v>
      </c>
      <c r="Y36" s="97">
        <f t="shared" si="24"/>
        <v>15.33288077426436</v>
      </c>
      <c r="Z36" s="97">
        <f t="shared" si="2"/>
        <v>0</v>
      </c>
      <c r="AA36" s="87">
        <f t="shared" si="25"/>
        <v>265.92721801146189</v>
      </c>
      <c r="AB36" s="73"/>
      <c r="AC36" s="78">
        <v>29</v>
      </c>
      <c r="AD36" s="76">
        <v>7.67E-4</v>
      </c>
      <c r="AE36" s="77">
        <f t="shared" si="26"/>
        <v>32.604895107876253</v>
      </c>
      <c r="AF36" s="97">
        <f t="shared" si="27"/>
        <v>1.9949651490857956</v>
      </c>
      <c r="AG36" s="97">
        <f t="shared" si="3"/>
        <v>0</v>
      </c>
      <c r="AH36" s="93">
        <f t="shared" si="28"/>
        <v>34.599860256962046</v>
      </c>
      <c r="AI36" s="73"/>
      <c r="AJ36" s="78">
        <v>95</v>
      </c>
      <c r="AK36" s="76">
        <v>7.67E-4</v>
      </c>
      <c r="AL36" s="77">
        <f t="shared" si="4"/>
        <v>32.604895107876253</v>
      </c>
      <c r="AM36" s="97">
        <f t="shared" si="5"/>
        <v>1.9949651490857956</v>
      </c>
      <c r="AN36" s="97">
        <f t="shared" si="6"/>
        <v>0</v>
      </c>
      <c r="AO36" s="93">
        <f t="shared" si="33"/>
        <v>34.599860256962046</v>
      </c>
      <c r="AP36" s="73"/>
      <c r="AQ36" s="78">
        <v>159</v>
      </c>
      <c r="AR36" s="76">
        <v>7.67E-4</v>
      </c>
      <c r="AS36" s="77">
        <f t="shared" si="7"/>
        <v>32.604895107876253</v>
      </c>
      <c r="AT36" s="97">
        <f t="shared" si="8"/>
        <v>1.9949651490857956</v>
      </c>
      <c r="AU36" s="97">
        <f t="shared" si="9"/>
        <v>0</v>
      </c>
      <c r="AV36" s="93">
        <f t="shared" si="32"/>
        <v>34.599860256962046</v>
      </c>
      <c r="AW36" s="73"/>
      <c r="AX36" s="78">
        <v>223</v>
      </c>
      <c r="AY36" s="76">
        <v>3.5299999999999996E-4</v>
      </c>
      <c r="AZ36" s="77">
        <f t="shared" si="10"/>
        <v>15.005903485111235</v>
      </c>
      <c r="BA36" s="97">
        <f t="shared" si="11"/>
        <v>0.91815214814509227</v>
      </c>
      <c r="BB36" s="97">
        <f t="shared" si="12"/>
        <v>0</v>
      </c>
      <c r="BC36" s="93">
        <f t="shared" si="31"/>
        <v>15.924055633256327</v>
      </c>
    </row>
    <row r="37" spans="1:55" x14ac:dyDescent="0.2">
      <c r="A37" s="75">
        <v>406</v>
      </c>
      <c r="B37" s="76">
        <v>6.7489999999999998E-3</v>
      </c>
      <c r="C37" s="77">
        <f t="shared" si="13"/>
        <v>286.8975711643505</v>
      </c>
      <c r="D37" s="97">
        <f t="shared" si="14"/>
        <v>17.554132713402911</v>
      </c>
      <c r="E37" s="97">
        <f t="shared" si="15"/>
        <v>0</v>
      </c>
      <c r="F37" s="87">
        <f t="shared" si="16"/>
        <v>304.4517038777534</v>
      </c>
      <c r="G37" s="73"/>
      <c r="H37" s="75">
        <v>806</v>
      </c>
      <c r="I37" s="76">
        <v>6.7489999999999998E-3</v>
      </c>
      <c r="J37" s="77">
        <f t="shared" si="17"/>
        <v>286.8975711643505</v>
      </c>
      <c r="K37" s="97">
        <f t="shared" si="18"/>
        <v>17.554132713402911</v>
      </c>
      <c r="L37" s="97">
        <f t="shared" si="0"/>
        <v>0</v>
      </c>
      <c r="M37" s="87">
        <f t="shared" si="19"/>
        <v>304.4517038777534</v>
      </c>
      <c r="N37" s="73"/>
      <c r="O37" s="75">
        <v>406</v>
      </c>
      <c r="P37" s="76">
        <v>6.7489999999999998E-3</v>
      </c>
      <c r="Q37" s="77">
        <f t="shared" si="20"/>
        <v>286.8975711643505</v>
      </c>
      <c r="R37" s="97">
        <f t="shared" si="21"/>
        <v>17.554132713402911</v>
      </c>
      <c r="S37" s="97">
        <f t="shared" si="1"/>
        <v>0</v>
      </c>
      <c r="T37" s="87">
        <f t="shared" si="22"/>
        <v>304.4517038777534</v>
      </c>
      <c r="U37" s="73"/>
      <c r="V37" s="75">
        <v>806</v>
      </c>
      <c r="W37" s="76">
        <v>6.7489999999999998E-3</v>
      </c>
      <c r="X37" s="77">
        <f t="shared" si="23"/>
        <v>286.8975711643505</v>
      </c>
      <c r="Y37" s="97">
        <f t="shared" si="24"/>
        <v>17.554132713402911</v>
      </c>
      <c r="Z37" s="97">
        <f t="shared" si="2"/>
        <v>0</v>
      </c>
      <c r="AA37" s="87">
        <f t="shared" si="25"/>
        <v>304.4517038777534</v>
      </c>
      <c r="AB37" s="73"/>
      <c r="AC37" s="78">
        <v>30</v>
      </c>
      <c r="AD37" s="76">
        <v>7.67E-4</v>
      </c>
      <c r="AE37" s="77">
        <f t="shared" si="26"/>
        <v>32.604895107876253</v>
      </c>
      <c r="AF37" s="97">
        <f t="shared" si="27"/>
        <v>1.9949651490857956</v>
      </c>
      <c r="AG37" s="97">
        <f t="shared" si="3"/>
        <v>0</v>
      </c>
      <c r="AH37" s="93">
        <f t="shared" si="28"/>
        <v>34.599860256962046</v>
      </c>
      <c r="AI37" s="73"/>
      <c r="AJ37" s="78">
        <v>96</v>
      </c>
      <c r="AK37" s="76">
        <v>7.67E-4</v>
      </c>
      <c r="AL37" s="77">
        <f t="shared" si="4"/>
        <v>32.604895107876253</v>
      </c>
      <c r="AM37" s="97">
        <f t="shared" si="5"/>
        <v>1.9949651490857956</v>
      </c>
      <c r="AN37" s="97">
        <f t="shared" si="6"/>
        <v>0</v>
      </c>
      <c r="AO37" s="93">
        <f t="shared" si="33"/>
        <v>34.599860256962046</v>
      </c>
      <c r="AP37" s="73"/>
      <c r="AQ37" s="78">
        <v>160</v>
      </c>
      <c r="AR37" s="76">
        <v>7.67E-4</v>
      </c>
      <c r="AS37" s="77">
        <f t="shared" si="7"/>
        <v>32.604895107876253</v>
      </c>
      <c r="AT37" s="97">
        <f t="shared" si="8"/>
        <v>1.9949651490857956</v>
      </c>
      <c r="AU37" s="97">
        <f t="shared" si="9"/>
        <v>0</v>
      </c>
      <c r="AV37" s="93">
        <f t="shared" si="32"/>
        <v>34.599860256962046</v>
      </c>
      <c r="AW37" s="73"/>
      <c r="AX37" s="78">
        <v>224</v>
      </c>
      <c r="AY37" s="76">
        <v>3.5299999999999996E-4</v>
      </c>
      <c r="AZ37" s="77">
        <f t="shared" si="10"/>
        <v>15.005903485111235</v>
      </c>
      <c r="BA37" s="97">
        <f t="shared" si="11"/>
        <v>0.91815214814509227</v>
      </c>
      <c r="BB37" s="97">
        <f t="shared" si="12"/>
        <v>0</v>
      </c>
      <c r="BC37" s="93">
        <f t="shared" si="31"/>
        <v>15.924055633256327</v>
      </c>
    </row>
    <row r="38" spans="1:55" x14ac:dyDescent="0.2">
      <c r="A38" s="75">
        <v>407</v>
      </c>
      <c r="B38" s="76">
        <v>6.7489999999999998E-3</v>
      </c>
      <c r="C38" s="77">
        <f t="shared" si="13"/>
        <v>286.8975711643505</v>
      </c>
      <c r="D38" s="97">
        <f t="shared" si="14"/>
        <v>17.554132713402911</v>
      </c>
      <c r="E38" s="97">
        <f t="shared" si="15"/>
        <v>0</v>
      </c>
      <c r="F38" s="87">
        <f t="shared" si="16"/>
        <v>304.4517038777534</v>
      </c>
      <c r="G38" s="73"/>
      <c r="H38" s="75">
        <v>807</v>
      </c>
      <c r="I38" s="76">
        <v>6.7489999999999998E-3</v>
      </c>
      <c r="J38" s="77">
        <f t="shared" si="17"/>
        <v>286.8975711643505</v>
      </c>
      <c r="K38" s="97">
        <f t="shared" si="18"/>
        <v>17.554132713402911</v>
      </c>
      <c r="L38" s="97">
        <f t="shared" si="0"/>
        <v>0</v>
      </c>
      <c r="M38" s="87">
        <f t="shared" si="19"/>
        <v>304.4517038777534</v>
      </c>
      <c r="N38" s="73"/>
      <c r="O38" s="75">
        <v>407</v>
      </c>
      <c r="P38" s="76">
        <v>6.7489999999999998E-3</v>
      </c>
      <c r="Q38" s="77">
        <f t="shared" si="20"/>
        <v>286.8975711643505</v>
      </c>
      <c r="R38" s="97">
        <f t="shared" si="21"/>
        <v>17.554132713402911</v>
      </c>
      <c r="S38" s="97">
        <f t="shared" si="1"/>
        <v>0</v>
      </c>
      <c r="T38" s="87">
        <f t="shared" si="22"/>
        <v>304.4517038777534</v>
      </c>
      <c r="U38" s="73"/>
      <c r="V38" s="75">
        <v>807</v>
      </c>
      <c r="W38" s="76">
        <v>6.7489999999999998E-3</v>
      </c>
      <c r="X38" s="77">
        <f t="shared" si="23"/>
        <v>286.8975711643505</v>
      </c>
      <c r="Y38" s="97">
        <f t="shared" si="24"/>
        <v>17.554132713402911</v>
      </c>
      <c r="Z38" s="97">
        <f t="shared" si="2"/>
        <v>0</v>
      </c>
      <c r="AA38" s="87">
        <f t="shared" si="25"/>
        <v>304.4517038777534</v>
      </c>
      <c r="AB38" s="73"/>
      <c r="AC38" s="78">
        <v>31</v>
      </c>
      <c r="AD38" s="76">
        <v>7.67E-4</v>
      </c>
      <c r="AE38" s="77">
        <f t="shared" si="26"/>
        <v>32.604895107876253</v>
      </c>
      <c r="AF38" s="97">
        <f t="shared" si="27"/>
        <v>1.9949651490857956</v>
      </c>
      <c r="AG38" s="97">
        <f t="shared" si="3"/>
        <v>0</v>
      </c>
      <c r="AH38" s="93">
        <f t="shared" si="28"/>
        <v>34.599860256962046</v>
      </c>
      <c r="AI38" s="73"/>
      <c r="AJ38" s="78">
        <v>97</v>
      </c>
      <c r="AK38" s="76">
        <v>7.67E-4</v>
      </c>
      <c r="AL38" s="77">
        <f t="shared" si="4"/>
        <v>32.604895107876253</v>
      </c>
      <c r="AM38" s="97">
        <f t="shared" si="5"/>
        <v>1.9949651490857956</v>
      </c>
      <c r="AN38" s="97">
        <f t="shared" si="6"/>
        <v>0</v>
      </c>
      <c r="AO38" s="93">
        <f t="shared" si="33"/>
        <v>34.599860256962046</v>
      </c>
      <c r="AP38" s="73"/>
      <c r="AQ38" s="78">
        <v>161</v>
      </c>
      <c r="AR38" s="76">
        <v>7.67E-4</v>
      </c>
      <c r="AS38" s="77">
        <f t="shared" si="7"/>
        <v>32.604895107876253</v>
      </c>
      <c r="AT38" s="97">
        <f t="shared" si="8"/>
        <v>1.9949651490857956</v>
      </c>
      <c r="AU38" s="97">
        <f t="shared" si="9"/>
        <v>0</v>
      </c>
      <c r="AV38" s="93">
        <f t="shared" si="32"/>
        <v>34.599860256962046</v>
      </c>
      <c r="AW38" s="73"/>
      <c r="AX38" s="78">
        <v>225</v>
      </c>
      <c r="AY38" s="76">
        <v>3.5299999999999996E-4</v>
      </c>
      <c r="AZ38" s="77">
        <f t="shared" si="10"/>
        <v>15.005903485111235</v>
      </c>
      <c r="BA38" s="97">
        <f t="shared" si="11"/>
        <v>0.91815214814509227</v>
      </c>
      <c r="BB38" s="97">
        <f t="shared" si="12"/>
        <v>0</v>
      </c>
      <c r="BC38" s="93">
        <f t="shared" si="31"/>
        <v>15.924055633256327</v>
      </c>
    </row>
    <row r="39" spans="1:55" x14ac:dyDescent="0.2">
      <c r="A39" s="75">
        <v>408</v>
      </c>
      <c r="B39" s="76">
        <v>5.8950000000000001E-3</v>
      </c>
      <c r="C39" s="77">
        <f t="shared" si="13"/>
        <v>250.59433723719755</v>
      </c>
      <c r="D39" s="97">
        <f t="shared" si="14"/>
        <v>15.33288077426436</v>
      </c>
      <c r="E39" s="97">
        <f t="shared" si="15"/>
        <v>0</v>
      </c>
      <c r="F39" s="87">
        <f>SUM(C39:E39)</f>
        <v>265.92721801146189</v>
      </c>
      <c r="G39" s="73"/>
      <c r="H39" s="75">
        <v>808</v>
      </c>
      <c r="I39" s="76">
        <v>5.8950000000000001E-3</v>
      </c>
      <c r="J39" s="77">
        <f t="shared" si="17"/>
        <v>250.59433723719755</v>
      </c>
      <c r="K39" s="97">
        <f t="shared" si="18"/>
        <v>15.33288077426436</v>
      </c>
      <c r="L39" s="97">
        <f t="shared" si="0"/>
        <v>0</v>
      </c>
      <c r="M39" s="87">
        <f t="shared" si="19"/>
        <v>265.92721801146189</v>
      </c>
      <c r="N39" s="73"/>
      <c r="O39" s="75">
        <v>408</v>
      </c>
      <c r="P39" s="76">
        <v>5.8950000000000001E-3</v>
      </c>
      <c r="Q39" s="77">
        <f t="shared" si="20"/>
        <v>250.59433723719755</v>
      </c>
      <c r="R39" s="97">
        <f t="shared" si="21"/>
        <v>15.33288077426436</v>
      </c>
      <c r="S39" s="97">
        <f t="shared" si="1"/>
        <v>0</v>
      </c>
      <c r="T39" s="87">
        <f t="shared" si="22"/>
        <v>265.92721801146189</v>
      </c>
      <c r="U39" s="73"/>
      <c r="V39" s="75">
        <v>808</v>
      </c>
      <c r="W39" s="76">
        <v>5.8950000000000001E-3</v>
      </c>
      <c r="X39" s="77">
        <f t="shared" si="23"/>
        <v>250.59433723719755</v>
      </c>
      <c r="Y39" s="97">
        <f t="shared" si="24"/>
        <v>15.33288077426436</v>
      </c>
      <c r="Z39" s="97">
        <f t="shared" si="2"/>
        <v>0</v>
      </c>
      <c r="AA39" s="87">
        <f t="shared" si="25"/>
        <v>265.92721801146189</v>
      </c>
      <c r="AB39" s="73"/>
      <c r="AC39" s="78">
        <v>32</v>
      </c>
      <c r="AD39" s="76">
        <v>7.67E-4</v>
      </c>
      <c r="AE39" s="77">
        <f t="shared" si="26"/>
        <v>32.604895107876253</v>
      </c>
      <c r="AF39" s="97">
        <f t="shared" si="27"/>
        <v>1.9949651490857956</v>
      </c>
      <c r="AG39" s="97">
        <f t="shared" si="3"/>
        <v>0</v>
      </c>
      <c r="AH39" s="93">
        <f t="shared" si="28"/>
        <v>34.599860256962046</v>
      </c>
      <c r="AI39" s="73"/>
      <c r="AJ39" s="78">
        <v>98</v>
      </c>
      <c r="AK39" s="76">
        <v>7.67E-4</v>
      </c>
      <c r="AL39" s="77">
        <f t="shared" si="4"/>
        <v>32.604895107876253</v>
      </c>
      <c r="AM39" s="97">
        <f t="shared" si="5"/>
        <v>1.9949651490857956</v>
      </c>
      <c r="AN39" s="97">
        <f t="shared" si="6"/>
        <v>0</v>
      </c>
      <c r="AO39" s="93">
        <f t="shared" si="33"/>
        <v>34.599860256962046</v>
      </c>
      <c r="AP39" s="73"/>
      <c r="AQ39" s="78">
        <v>162</v>
      </c>
      <c r="AR39" s="76">
        <v>7.67E-4</v>
      </c>
      <c r="AS39" s="77">
        <f t="shared" si="7"/>
        <v>32.604895107876253</v>
      </c>
      <c r="AT39" s="97">
        <f t="shared" si="8"/>
        <v>1.9949651490857956</v>
      </c>
      <c r="AU39" s="97">
        <f t="shared" si="9"/>
        <v>0</v>
      </c>
      <c r="AV39" s="93">
        <f t="shared" si="32"/>
        <v>34.599860256962046</v>
      </c>
      <c r="AW39" s="73"/>
      <c r="AX39" s="78">
        <v>226</v>
      </c>
      <c r="AY39" s="76">
        <v>3.5299999999999996E-4</v>
      </c>
      <c r="AZ39" s="77">
        <f t="shared" si="10"/>
        <v>15.005903485111235</v>
      </c>
      <c r="BA39" s="97">
        <f t="shared" si="11"/>
        <v>0.91815214814509227</v>
      </c>
      <c r="BB39" s="97">
        <f t="shared" si="12"/>
        <v>0</v>
      </c>
      <c r="BC39" s="93">
        <f t="shared" si="31"/>
        <v>15.924055633256327</v>
      </c>
    </row>
    <row r="40" spans="1:55" x14ac:dyDescent="0.2">
      <c r="A40" s="73"/>
      <c r="B40" s="86">
        <f>SUM(B8:B39)</f>
        <v>0.20454400000000011</v>
      </c>
      <c r="C40" s="79">
        <f>SUM(C8:C39)</f>
        <v>8695.0921316107451</v>
      </c>
      <c r="D40" s="98">
        <f>SUM(D8:D39)</f>
        <v>532.01845039713817</v>
      </c>
      <c r="E40" s="98">
        <f>SUM(E8:E39)</f>
        <v>0</v>
      </c>
      <c r="F40" s="88">
        <f>SUM(F8:F39)</f>
        <v>9227.1105820078828</v>
      </c>
      <c r="G40" s="73"/>
      <c r="H40" s="73"/>
      <c r="I40" s="86">
        <f>SUM(I8:I39)</f>
        <v>0.2022800000000001</v>
      </c>
      <c r="J40" s="79">
        <f>SUM(J8:J39)</f>
        <v>8598.8503030263491</v>
      </c>
      <c r="K40" s="98">
        <f>SUM(K8:K39)</f>
        <v>526.12979186059283</v>
      </c>
      <c r="L40" s="98">
        <f>SUM(L8:L39)</f>
        <v>0</v>
      </c>
      <c r="M40" s="88">
        <f>SUM(M8:M39)</f>
        <v>9124.9800948869415</v>
      </c>
      <c r="N40" s="73"/>
      <c r="O40" s="73"/>
      <c r="P40" s="86">
        <f>SUM(P8:P39)</f>
        <v>0.20454400000000011</v>
      </c>
      <c r="Q40" s="79">
        <f>SUM(Q8:Q39)</f>
        <v>8695.0921316107451</v>
      </c>
      <c r="R40" s="98">
        <f>SUM(R8:R39)</f>
        <v>532.01845039713817</v>
      </c>
      <c r="S40" s="98">
        <f>SUM(S8:S39)</f>
        <v>0</v>
      </c>
      <c r="T40" s="88">
        <f>SUM(T8:T39)</f>
        <v>9227.1105820078828</v>
      </c>
      <c r="U40" s="73"/>
      <c r="V40" s="73"/>
      <c r="W40" s="86">
        <f>SUM(W8:W39)</f>
        <v>0.2022800000000001</v>
      </c>
      <c r="X40" s="79">
        <f>SUM(X8:X39)</f>
        <v>8598.8503030263491</v>
      </c>
      <c r="Y40" s="98">
        <f>SUM(Y8:Y39)</f>
        <v>526.12979186059283</v>
      </c>
      <c r="Z40" s="98">
        <f>SUM(Z8:Z39)</f>
        <v>0</v>
      </c>
      <c r="AA40" s="88">
        <f>SUM(AA8:AA39)</f>
        <v>9124.9800948869415</v>
      </c>
      <c r="AB40" s="73"/>
      <c r="AC40" s="78">
        <v>33</v>
      </c>
      <c r="AD40" s="76">
        <v>7.67E-4</v>
      </c>
      <c r="AE40" s="77">
        <f t="shared" si="26"/>
        <v>32.604895107876253</v>
      </c>
      <c r="AF40" s="97">
        <f t="shared" si="27"/>
        <v>1.9949651490857956</v>
      </c>
      <c r="AG40" s="97">
        <f t="shared" si="3"/>
        <v>0</v>
      </c>
      <c r="AH40" s="93">
        <f t="shared" si="28"/>
        <v>34.599860256962046</v>
      </c>
      <c r="AI40" s="73"/>
      <c r="AJ40" s="78">
        <v>99</v>
      </c>
      <c r="AK40" s="76">
        <v>7.67E-4</v>
      </c>
      <c r="AL40" s="77">
        <f t="shared" si="4"/>
        <v>32.604895107876253</v>
      </c>
      <c r="AM40" s="97">
        <f t="shared" si="5"/>
        <v>1.9949651490857956</v>
      </c>
      <c r="AN40" s="97">
        <f t="shared" si="6"/>
        <v>0</v>
      </c>
      <c r="AO40" s="93">
        <f t="shared" si="33"/>
        <v>34.599860256962046</v>
      </c>
      <c r="AP40" s="73"/>
      <c r="AQ40" s="78">
        <v>163</v>
      </c>
      <c r="AR40" s="76">
        <v>7.67E-4</v>
      </c>
      <c r="AS40" s="77">
        <f t="shared" si="7"/>
        <v>32.604895107876253</v>
      </c>
      <c r="AT40" s="97">
        <f t="shared" si="8"/>
        <v>1.9949651490857956</v>
      </c>
      <c r="AU40" s="97">
        <f t="shared" si="9"/>
        <v>0</v>
      </c>
      <c r="AV40" s="93">
        <f t="shared" si="32"/>
        <v>34.599860256962046</v>
      </c>
      <c r="AW40" s="73"/>
      <c r="AX40" s="78">
        <v>227</v>
      </c>
      <c r="AY40" s="76">
        <v>3.5299999999999996E-4</v>
      </c>
      <c r="AZ40" s="77">
        <f t="shared" si="10"/>
        <v>15.005903485111235</v>
      </c>
      <c r="BA40" s="97">
        <f t="shared" si="11"/>
        <v>0.91815214814509227</v>
      </c>
      <c r="BB40" s="97">
        <f t="shared" si="12"/>
        <v>0</v>
      </c>
      <c r="BC40" s="93">
        <f t="shared" si="31"/>
        <v>15.924055633256327</v>
      </c>
    </row>
    <row r="41" spans="1:55" x14ac:dyDescent="0.2">
      <c r="A41" s="73"/>
      <c r="B41" s="73"/>
      <c r="C41" s="79"/>
      <c r="D41" s="79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8">
        <v>34</v>
      </c>
      <c r="AD41" s="76">
        <v>7.67E-4</v>
      </c>
      <c r="AE41" s="77">
        <f t="shared" si="26"/>
        <v>32.604895107876253</v>
      </c>
      <c r="AF41" s="97">
        <f t="shared" si="27"/>
        <v>1.9949651490857956</v>
      </c>
      <c r="AG41" s="97">
        <f t="shared" si="3"/>
        <v>0</v>
      </c>
      <c r="AH41" s="93">
        <f t="shared" si="28"/>
        <v>34.599860256962046</v>
      </c>
      <c r="AI41" s="73"/>
      <c r="AJ41" s="78">
        <v>100</v>
      </c>
      <c r="AK41" s="76">
        <v>7.67E-4</v>
      </c>
      <c r="AL41" s="77">
        <f t="shared" si="4"/>
        <v>32.604895107876253</v>
      </c>
      <c r="AM41" s="97">
        <f t="shared" si="5"/>
        <v>1.9949651490857956</v>
      </c>
      <c r="AN41" s="97">
        <f t="shared" si="6"/>
        <v>0</v>
      </c>
      <c r="AO41" s="93">
        <f t="shared" si="33"/>
        <v>34.599860256962046</v>
      </c>
      <c r="AP41" s="73"/>
      <c r="AQ41" s="78">
        <v>164</v>
      </c>
      <c r="AR41" s="76">
        <v>7.67E-4</v>
      </c>
      <c r="AS41" s="77">
        <f t="shared" si="7"/>
        <v>32.604895107876253</v>
      </c>
      <c r="AT41" s="97">
        <f t="shared" si="8"/>
        <v>1.9949651490857956</v>
      </c>
      <c r="AU41" s="97">
        <f t="shared" si="9"/>
        <v>0</v>
      </c>
      <c r="AV41" s="93">
        <f t="shared" si="32"/>
        <v>34.599860256962046</v>
      </c>
      <c r="AW41" s="73"/>
      <c r="AX41" s="78">
        <v>228</v>
      </c>
      <c r="AY41" s="76">
        <v>3.5299999999999996E-4</v>
      </c>
      <c r="AZ41" s="77">
        <f t="shared" si="10"/>
        <v>15.005903485111235</v>
      </c>
      <c r="BA41" s="97">
        <f t="shared" si="11"/>
        <v>0.91815214814509227</v>
      </c>
      <c r="BB41" s="97">
        <f t="shared" si="12"/>
        <v>0</v>
      </c>
      <c r="BC41" s="93">
        <f t="shared" si="31"/>
        <v>15.924055633256327</v>
      </c>
    </row>
    <row r="42" spans="1:55" x14ac:dyDescent="0.2">
      <c r="A42" s="73"/>
      <c r="B42" s="73"/>
      <c r="C42" s="79"/>
      <c r="D42" s="79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8">
        <v>35</v>
      </c>
      <c r="AD42" s="76">
        <v>1.5329999999999999E-3</v>
      </c>
      <c r="AE42" s="77">
        <f t="shared" si="26"/>
        <v>65.167280574151619</v>
      </c>
      <c r="AF42" s="97">
        <f t="shared" si="27"/>
        <v>3.9873293005847774</v>
      </c>
      <c r="AG42" s="97">
        <f t="shared" si="3"/>
        <v>0</v>
      </c>
      <c r="AH42" s="93">
        <f t="shared" si="28"/>
        <v>69.154609874736394</v>
      </c>
      <c r="AI42" s="73"/>
      <c r="AJ42" s="78">
        <v>101</v>
      </c>
      <c r="AK42" s="76">
        <v>7.67E-4</v>
      </c>
      <c r="AL42" s="77">
        <f t="shared" si="4"/>
        <v>32.604895107876253</v>
      </c>
      <c r="AM42" s="97">
        <f t="shared" si="5"/>
        <v>1.9949651490857956</v>
      </c>
      <c r="AN42" s="97">
        <f t="shared" si="6"/>
        <v>0</v>
      </c>
      <c r="AO42" s="93">
        <f t="shared" si="33"/>
        <v>34.599860256962046</v>
      </c>
      <c r="AP42" s="73"/>
      <c r="AQ42" s="78">
        <v>165</v>
      </c>
      <c r="AR42" s="76">
        <v>7.67E-4</v>
      </c>
      <c r="AS42" s="77">
        <f t="shared" si="7"/>
        <v>32.604895107876253</v>
      </c>
      <c r="AT42" s="97">
        <f t="shared" si="8"/>
        <v>1.9949651490857956</v>
      </c>
      <c r="AU42" s="97">
        <f t="shared" si="9"/>
        <v>0</v>
      </c>
      <c r="AV42" s="93">
        <f t="shared" si="32"/>
        <v>34.599860256962046</v>
      </c>
      <c r="AW42" s="73"/>
      <c r="AX42" s="78">
        <v>229</v>
      </c>
      <c r="AY42" s="76">
        <v>3.5299999999999996E-4</v>
      </c>
      <c r="AZ42" s="77">
        <f t="shared" si="10"/>
        <v>15.005903485111235</v>
      </c>
      <c r="BA42" s="97">
        <f t="shared" si="11"/>
        <v>0.91815214814509227</v>
      </c>
      <c r="BB42" s="97">
        <f t="shared" si="12"/>
        <v>0</v>
      </c>
      <c r="BC42" s="93">
        <f t="shared" si="31"/>
        <v>15.924055633256327</v>
      </c>
    </row>
    <row r="43" spans="1:55" x14ac:dyDescent="0.2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8">
        <v>36</v>
      </c>
      <c r="AD43" s="76">
        <v>1.5329999999999999E-3</v>
      </c>
      <c r="AE43" s="77">
        <f t="shared" si="26"/>
        <v>65.167280574151619</v>
      </c>
      <c r="AF43" s="97">
        <f t="shared" si="27"/>
        <v>3.9873293005847774</v>
      </c>
      <c r="AG43" s="97">
        <f t="shared" si="3"/>
        <v>0</v>
      </c>
      <c r="AH43" s="93">
        <f t="shared" si="28"/>
        <v>69.154609874736394</v>
      </c>
      <c r="AI43" s="73"/>
      <c r="AJ43" s="78">
        <v>102</v>
      </c>
      <c r="AK43" s="76">
        <v>7.67E-4</v>
      </c>
      <c r="AL43" s="77">
        <f t="shared" si="4"/>
        <v>32.604895107876253</v>
      </c>
      <c r="AM43" s="97">
        <f t="shared" si="5"/>
        <v>1.9949651490857956</v>
      </c>
      <c r="AN43" s="97">
        <f t="shared" si="6"/>
        <v>0</v>
      </c>
      <c r="AO43" s="93">
        <f t="shared" si="33"/>
        <v>34.599860256962046</v>
      </c>
      <c r="AP43" s="73"/>
      <c r="AQ43" s="78">
        <v>166</v>
      </c>
      <c r="AR43" s="76">
        <v>7.67E-4</v>
      </c>
      <c r="AS43" s="77">
        <f t="shared" si="7"/>
        <v>32.604895107876253</v>
      </c>
      <c r="AT43" s="97">
        <f t="shared" si="8"/>
        <v>1.9949651490857956</v>
      </c>
      <c r="AU43" s="97">
        <f t="shared" si="9"/>
        <v>0</v>
      </c>
      <c r="AV43" s="93">
        <f t="shared" si="32"/>
        <v>34.599860256962046</v>
      </c>
      <c r="AW43" s="73"/>
      <c r="AX43" s="78">
        <v>230</v>
      </c>
      <c r="AY43" s="76">
        <v>3.5299999999999996E-4</v>
      </c>
      <c r="AZ43" s="77">
        <f t="shared" si="10"/>
        <v>15.005903485111235</v>
      </c>
      <c r="BA43" s="97">
        <f t="shared" si="11"/>
        <v>0.91815214814509227</v>
      </c>
      <c r="BB43" s="97">
        <f t="shared" si="12"/>
        <v>0</v>
      </c>
      <c r="BC43" s="93">
        <f t="shared" si="31"/>
        <v>15.924055633256327</v>
      </c>
    </row>
    <row r="44" spans="1:55" x14ac:dyDescent="0.2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8">
        <v>37</v>
      </c>
      <c r="AD44" s="76">
        <v>7.67E-4</v>
      </c>
      <c r="AE44" s="77">
        <f t="shared" si="26"/>
        <v>32.604895107876253</v>
      </c>
      <c r="AF44" s="97">
        <f t="shared" si="27"/>
        <v>1.9949651490857956</v>
      </c>
      <c r="AG44" s="97">
        <f t="shared" si="3"/>
        <v>0</v>
      </c>
      <c r="AH44" s="93">
        <f t="shared" si="28"/>
        <v>34.599860256962046</v>
      </c>
      <c r="AI44" s="73"/>
      <c r="AJ44" s="78">
        <v>103</v>
      </c>
      <c r="AK44" s="76">
        <v>7.67E-4</v>
      </c>
      <c r="AL44" s="77">
        <f t="shared" si="4"/>
        <v>32.604895107876253</v>
      </c>
      <c r="AM44" s="97">
        <f t="shared" si="5"/>
        <v>1.9949651490857956</v>
      </c>
      <c r="AN44" s="97">
        <f t="shared" si="6"/>
        <v>0</v>
      </c>
      <c r="AO44" s="93">
        <f t="shared" si="33"/>
        <v>34.599860256962046</v>
      </c>
      <c r="AP44" s="73"/>
      <c r="AQ44" s="78">
        <v>167</v>
      </c>
      <c r="AR44" s="76">
        <v>7.67E-4</v>
      </c>
      <c r="AS44" s="77">
        <f t="shared" si="7"/>
        <v>32.604895107876253</v>
      </c>
      <c r="AT44" s="97">
        <f t="shared" si="8"/>
        <v>1.9949651490857956</v>
      </c>
      <c r="AU44" s="97">
        <f t="shared" si="9"/>
        <v>0</v>
      </c>
      <c r="AV44" s="93">
        <f t="shared" si="32"/>
        <v>34.599860256962046</v>
      </c>
      <c r="AW44" s="73"/>
      <c r="AX44" s="78">
        <v>231</v>
      </c>
      <c r="AY44" s="76">
        <v>3.5299999999999996E-4</v>
      </c>
      <c r="AZ44" s="77">
        <f t="shared" si="10"/>
        <v>15.005903485111235</v>
      </c>
      <c r="BA44" s="97">
        <f t="shared" si="11"/>
        <v>0.91815214814509227</v>
      </c>
      <c r="BB44" s="97">
        <f t="shared" si="12"/>
        <v>0</v>
      </c>
      <c r="BC44" s="93">
        <f t="shared" si="31"/>
        <v>15.924055633256327</v>
      </c>
    </row>
    <row r="45" spans="1:55" x14ac:dyDescent="0.2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8">
        <v>38</v>
      </c>
      <c r="AD45" s="76">
        <v>7.67E-4</v>
      </c>
      <c r="AE45" s="77">
        <f t="shared" si="26"/>
        <v>32.604895107876253</v>
      </c>
      <c r="AF45" s="97">
        <f t="shared" si="27"/>
        <v>1.9949651490857956</v>
      </c>
      <c r="AG45" s="97">
        <f t="shared" si="3"/>
        <v>0</v>
      </c>
      <c r="AH45" s="93">
        <f t="shared" si="28"/>
        <v>34.599860256962046</v>
      </c>
      <c r="AI45" s="73"/>
      <c r="AJ45" s="78">
        <v>104</v>
      </c>
      <c r="AK45" s="76">
        <v>7.67E-4</v>
      </c>
      <c r="AL45" s="77">
        <f t="shared" si="4"/>
        <v>32.604895107876253</v>
      </c>
      <c r="AM45" s="97">
        <f t="shared" si="5"/>
        <v>1.9949651490857956</v>
      </c>
      <c r="AN45" s="97">
        <f t="shared" si="6"/>
        <v>0</v>
      </c>
      <c r="AO45" s="93">
        <f t="shared" si="33"/>
        <v>34.599860256962046</v>
      </c>
      <c r="AP45" s="73"/>
      <c r="AQ45" s="78">
        <v>168</v>
      </c>
      <c r="AR45" s="76">
        <v>7.67E-4</v>
      </c>
      <c r="AS45" s="77">
        <f t="shared" si="7"/>
        <v>32.604895107876253</v>
      </c>
      <c r="AT45" s="97">
        <f t="shared" si="8"/>
        <v>1.9949651490857956</v>
      </c>
      <c r="AU45" s="97">
        <f t="shared" si="9"/>
        <v>0</v>
      </c>
      <c r="AV45" s="93">
        <f t="shared" si="32"/>
        <v>34.599860256962046</v>
      </c>
      <c r="AW45" s="73"/>
      <c r="AX45" s="78">
        <v>232</v>
      </c>
      <c r="AY45" s="76">
        <v>3.5299999999999996E-4</v>
      </c>
      <c r="AZ45" s="77">
        <f t="shared" si="10"/>
        <v>15.005903485111235</v>
      </c>
      <c r="BA45" s="97">
        <f t="shared" si="11"/>
        <v>0.91815214814509227</v>
      </c>
      <c r="BB45" s="97">
        <f t="shared" si="12"/>
        <v>0</v>
      </c>
      <c r="BC45" s="93">
        <f t="shared" si="31"/>
        <v>15.924055633256327</v>
      </c>
    </row>
    <row r="46" spans="1:55" x14ac:dyDescent="0.2">
      <c r="A46" s="73"/>
      <c r="B46" s="73"/>
      <c r="C46" s="79"/>
      <c r="D46" s="79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8">
        <v>39</v>
      </c>
      <c r="AD46" s="76">
        <v>7.67E-4</v>
      </c>
      <c r="AE46" s="77">
        <f t="shared" si="26"/>
        <v>32.604895107876253</v>
      </c>
      <c r="AF46" s="97">
        <f t="shared" si="27"/>
        <v>1.9949651490857956</v>
      </c>
      <c r="AG46" s="97">
        <f t="shared" si="3"/>
        <v>0</v>
      </c>
      <c r="AH46" s="93">
        <f t="shared" si="28"/>
        <v>34.599860256962046</v>
      </c>
      <c r="AI46" s="73"/>
      <c r="AJ46" s="78">
        <v>105</v>
      </c>
      <c r="AK46" s="76">
        <v>7.67E-4</v>
      </c>
      <c r="AL46" s="77">
        <f t="shared" si="4"/>
        <v>32.604895107876253</v>
      </c>
      <c r="AM46" s="97">
        <f t="shared" si="5"/>
        <v>1.9949651490857956</v>
      </c>
      <c r="AN46" s="97">
        <f t="shared" si="6"/>
        <v>0</v>
      </c>
      <c r="AO46" s="93">
        <f t="shared" si="33"/>
        <v>34.599860256962046</v>
      </c>
      <c r="AP46" s="73"/>
      <c r="AQ46" s="78">
        <v>169</v>
      </c>
      <c r="AR46" s="76">
        <v>7.67E-4</v>
      </c>
      <c r="AS46" s="77">
        <f t="shared" si="7"/>
        <v>32.604895107876253</v>
      </c>
      <c r="AT46" s="97">
        <f t="shared" si="8"/>
        <v>1.9949651490857956</v>
      </c>
      <c r="AU46" s="97">
        <f t="shared" si="9"/>
        <v>0</v>
      </c>
      <c r="AV46" s="93">
        <f t="shared" si="32"/>
        <v>34.599860256962046</v>
      </c>
      <c r="AW46" s="73"/>
      <c r="AX46" s="78">
        <v>233</v>
      </c>
      <c r="AY46" s="76">
        <v>3.5299999999999996E-4</v>
      </c>
      <c r="AZ46" s="77">
        <f t="shared" si="10"/>
        <v>15.005903485111235</v>
      </c>
      <c r="BA46" s="97">
        <f t="shared" si="11"/>
        <v>0.91815214814509227</v>
      </c>
      <c r="BB46" s="97">
        <f t="shared" si="12"/>
        <v>0</v>
      </c>
      <c r="BC46" s="93">
        <f t="shared" si="31"/>
        <v>15.924055633256327</v>
      </c>
    </row>
    <row r="47" spans="1:55" ht="24" x14ac:dyDescent="0.2">
      <c r="A47" s="105" t="s">
        <v>70</v>
      </c>
      <c r="B47" s="106">
        <f>B40+I40+P40+W40+AD74+AK72+AR72+AY72</f>
        <v>1.0000000000000002</v>
      </c>
      <c r="C47" s="79"/>
      <c r="D47" s="79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8">
        <v>40</v>
      </c>
      <c r="AD47" s="76">
        <v>7.67E-4</v>
      </c>
      <c r="AE47" s="77">
        <f t="shared" si="26"/>
        <v>32.604895107876253</v>
      </c>
      <c r="AF47" s="97">
        <f t="shared" si="27"/>
        <v>1.9949651490857956</v>
      </c>
      <c r="AG47" s="97">
        <f t="shared" si="3"/>
        <v>0</v>
      </c>
      <c r="AH47" s="93">
        <f t="shared" si="28"/>
        <v>34.599860256962046</v>
      </c>
      <c r="AI47" s="73"/>
      <c r="AJ47" s="78">
        <v>106</v>
      </c>
      <c r="AK47" s="76">
        <v>7.67E-4</v>
      </c>
      <c r="AL47" s="77">
        <f t="shared" si="4"/>
        <v>32.604895107876253</v>
      </c>
      <c r="AM47" s="97">
        <f t="shared" si="5"/>
        <v>1.9949651490857956</v>
      </c>
      <c r="AN47" s="97">
        <f t="shared" si="6"/>
        <v>0</v>
      </c>
      <c r="AO47" s="93">
        <f t="shared" si="33"/>
        <v>34.599860256962046</v>
      </c>
      <c r="AP47" s="73"/>
      <c r="AQ47" s="78">
        <v>170</v>
      </c>
      <c r="AR47" s="76">
        <v>7.67E-4</v>
      </c>
      <c r="AS47" s="77">
        <f t="shared" si="7"/>
        <v>32.604895107876253</v>
      </c>
      <c r="AT47" s="97">
        <f t="shared" si="8"/>
        <v>1.9949651490857956</v>
      </c>
      <c r="AU47" s="97">
        <f t="shared" si="9"/>
        <v>0</v>
      </c>
      <c r="AV47" s="93">
        <f t="shared" si="32"/>
        <v>34.599860256962046</v>
      </c>
      <c r="AW47" s="73"/>
      <c r="AX47" s="78">
        <v>234</v>
      </c>
      <c r="AY47" s="76">
        <v>3.5299999999999996E-4</v>
      </c>
      <c r="AZ47" s="77">
        <f t="shared" si="10"/>
        <v>15.005903485111235</v>
      </c>
      <c r="BA47" s="97">
        <f t="shared" si="11"/>
        <v>0.91815214814509227</v>
      </c>
      <c r="BB47" s="97">
        <f t="shared" si="12"/>
        <v>0</v>
      </c>
      <c r="BC47" s="93">
        <f t="shared" si="31"/>
        <v>15.924055633256327</v>
      </c>
    </row>
    <row r="48" spans="1:55" x14ac:dyDescent="0.2">
      <c r="A48" s="107" t="s">
        <v>81</v>
      </c>
      <c r="B48" s="111">
        <f>(F40+M40+T40+AA40+AH74+AO72+AV72+BC72)*12</f>
        <v>541327.67025233991</v>
      </c>
      <c r="C48" s="79"/>
      <c r="D48" s="79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8">
        <v>41</v>
      </c>
      <c r="AD48" s="76">
        <v>7.67E-4</v>
      </c>
      <c r="AE48" s="77">
        <f t="shared" si="26"/>
        <v>32.604895107876253</v>
      </c>
      <c r="AF48" s="97">
        <f t="shared" si="27"/>
        <v>1.9949651490857956</v>
      </c>
      <c r="AG48" s="97">
        <f t="shared" si="3"/>
        <v>0</v>
      </c>
      <c r="AH48" s="93">
        <f t="shared" si="28"/>
        <v>34.599860256962046</v>
      </c>
      <c r="AI48" s="73"/>
      <c r="AJ48" s="78">
        <v>107</v>
      </c>
      <c r="AK48" s="76">
        <v>7.67E-4</v>
      </c>
      <c r="AL48" s="77">
        <f t="shared" si="4"/>
        <v>32.604895107876253</v>
      </c>
      <c r="AM48" s="97">
        <f t="shared" si="5"/>
        <v>1.9949651490857956</v>
      </c>
      <c r="AN48" s="97">
        <f t="shared" si="6"/>
        <v>0</v>
      </c>
      <c r="AO48" s="93">
        <f t="shared" si="33"/>
        <v>34.599860256962046</v>
      </c>
      <c r="AP48" s="73"/>
      <c r="AQ48" s="78">
        <v>171</v>
      </c>
      <c r="AR48" s="76">
        <v>7.67E-4</v>
      </c>
      <c r="AS48" s="77">
        <f t="shared" si="7"/>
        <v>32.604895107876253</v>
      </c>
      <c r="AT48" s="97">
        <f t="shared" si="8"/>
        <v>1.9949651490857956</v>
      </c>
      <c r="AU48" s="97">
        <f t="shared" si="9"/>
        <v>0</v>
      </c>
      <c r="AV48" s="93">
        <f t="shared" si="32"/>
        <v>34.599860256962046</v>
      </c>
      <c r="AW48" s="73"/>
      <c r="AX48" s="78">
        <v>235</v>
      </c>
      <c r="AY48" s="76">
        <v>3.5299999999999996E-4</v>
      </c>
      <c r="AZ48" s="77">
        <f t="shared" si="10"/>
        <v>15.005903485111235</v>
      </c>
      <c r="BA48" s="97">
        <f t="shared" si="11"/>
        <v>0.91815214814509227</v>
      </c>
      <c r="BB48" s="97">
        <f t="shared" si="12"/>
        <v>0</v>
      </c>
      <c r="BC48" s="93">
        <f t="shared" si="31"/>
        <v>15.924055633256327</v>
      </c>
    </row>
    <row r="49" spans="1:55" ht="12.75" thickBot="1" x14ac:dyDescent="0.25">
      <c r="A49" s="109"/>
      <c r="B49" s="108"/>
      <c r="C49" s="79"/>
      <c r="D49" s="79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8">
        <v>42</v>
      </c>
      <c r="AD49" s="76">
        <v>7.67E-4</v>
      </c>
      <c r="AE49" s="77">
        <f t="shared" si="26"/>
        <v>32.604895107876253</v>
      </c>
      <c r="AF49" s="97">
        <f t="shared" si="27"/>
        <v>1.9949651490857956</v>
      </c>
      <c r="AG49" s="97">
        <f t="shared" si="3"/>
        <v>0</v>
      </c>
      <c r="AH49" s="93">
        <f t="shared" si="28"/>
        <v>34.599860256962046</v>
      </c>
      <c r="AI49" s="73"/>
      <c r="AJ49" s="78">
        <v>108</v>
      </c>
      <c r="AK49" s="76">
        <v>1.5329999999999999E-3</v>
      </c>
      <c r="AL49" s="77">
        <f t="shared" si="4"/>
        <v>65.167280574151619</v>
      </c>
      <c r="AM49" s="97">
        <f t="shared" si="5"/>
        <v>3.9873293005847774</v>
      </c>
      <c r="AN49" s="97">
        <f t="shared" si="6"/>
        <v>0</v>
      </c>
      <c r="AO49" s="93">
        <f t="shared" si="33"/>
        <v>69.154609874736394</v>
      </c>
      <c r="AP49" s="73"/>
      <c r="AQ49" s="78">
        <v>172</v>
      </c>
      <c r="AR49" s="76">
        <v>7.67E-4</v>
      </c>
      <c r="AS49" s="77">
        <f t="shared" si="7"/>
        <v>32.604895107876253</v>
      </c>
      <c r="AT49" s="97">
        <f t="shared" si="8"/>
        <v>1.9949651490857956</v>
      </c>
      <c r="AU49" s="97">
        <f t="shared" si="9"/>
        <v>0</v>
      </c>
      <c r="AV49" s="93">
        <f t="shared" si="32"/>
        <v>34.599860256962046</v>
      </c>
      <c r="AW49" s="73"/>
      <c r="AX49" s="78">
        <v>236</v>
      </c>
      <c r="AY49" s="76">
        <v>3.5299999999999996E-4</v>
      </c>
      <c r="AZ49" s="77">
        <f t="shared" si="10"/>
        <v>15.005903485111235</v>
      </c>
      <c r="BA49" s="97">
        <f t="shared" si="11"/>
        <v>0.91815214814509227</v>
      </c>
      <c r="BB49" s="97">
        <f t="shared" si="12"/>
        <v>0</v>
      </c>
      <c r="BC49" s="93">
        <f t="shared" si="31"/>
        <v>15.924055633256327</v>
      </c>
    </row>
    <row r="50" spans="1:55" ht="13.5" thickTop="1" thickBot="1" x14ac:dyDescent="0.25">
      <c r="A50" s="110" t="s">
        <v>80</v>
      </c>
      <c r="B50" s="113">
        <f>D5</f>
        <v>541327.6702523398</v>
      </c>
      <c r="C50" s="79"/>
      <c r="D50" s="79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8">
        <v>43</v>
      </c>
      <c r="AD50" s="76">
        <v>7.67E-4</v>
      </c>
      <c r="AE50" s="77">
        <f t="shared" si="26"/>
        <v>32.604895107876253</v>
      </c>
      <c r="AF50" s="97">
        <f t="shared" si="27"/>
        <v>1.9949651490857956</v>
      </c>
      <c r="AG50" s="97">
        <f t="shared" si="3"/>
        <v>0</v>
      </c>
      <c r="AH50" s="93">
        <f t="shared" si="28"/>
        <v>34.599860256962046</v>
      </c>
      <c r="AI50" s="73"/>
      <c r="AJ50" s="78">
        <v>109</v>
      </c>
      <c r="AK50" s="76">
        <v>1.5329999999999999E-3</v>
      </c>
      <c r="AL50" s="77">
        <f t="shared" si="4"/>
        <v>65.167280574151619</v>
      </c>
      <c r="AM50" s="97">
        <f t="shared" si="5"/>
        <v>3.9873293005847774</v>
      </c>
      <c r="AN50" s="97">
        <f t="shared" si="6"/>
        <v>0</v>
      </c>
      <c r="AO50" s="93">
        <f t="shared" si="33"/>
        <v>69.154609874736394</v>
      </c>
      <c r="AP50" s="73"/>
      <c r="AQ50" s="78">
        <v>173</v>
      </c>
      <c r="AR50" s="76">
        <v>7.67E-4</v>
      </c>
      <c r="AS50" s="77">
        <f t="shared" si="7"/>
        <v>32.604895107876253</v>
      </c>
      <c r="AT50" s="97">
        <f t="shared" si="8"/>
        <v>1.9949651490857956</v>
      </c>
      <c r="AU50" s="97">
        <f t="shared" si="9"/>
        <v>0</v>
      </c>
      <c r="AV50" s="93">
        <f t="shared" si="32"/>
        <v>34.599860256962046</v>
      </c>
      <c r="AW50" s="73"/>
      <c r="AX50" s="78">
        <v>237</v>
      </c>
      <c r="AY50" s="76">
        <v>7.0899999999999999E-4</v>
      </c>
      <c r="AZ50" s="77">
        <f t="shared" si="10"/>
        <v>30.139335895025116</v>
      </c>
      <c r="BA50" s="97">
        <f t="shared" si="11"/>
        <v>1.8441072890506245</v>
      </c>
      <c r="BB50" s="97">
        <f t="shared" si="12"/>
        <v>0</v>
      </c>
      <c r="BC50" s="93">
        <f t="shared" si="31"/>
        <v>31.983443184075739</v>
      </c>
    </row>
    <row r="51" spans="1:55" ht="12.75" thickTop="1" x14ac:dyDescent="0.2">
      <c r="A51" s="73"/>
      <c r="B51" s="95"/>
      <c r="C51" s="79"/>
      <c r="D51" s="79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8">
        <v>44</v>
      </c>
      <c r="AD51" s="76">
        <v>7.67E-4</v>
      </c>
      <c r="AE51" s="77">
        <f t="shared" si="26"/>
        <v>32.604895107876253</v>
      </c>
      <c r="AF51" s="97">
        <f t="shared" si="27"/>
        <v>1.9949651490857956</v>
      </c>
      <c r="AG51" s="97">
        <f t="shared" si="3"/>
        <v>0</v>
      </c>
      <c r="AH51" s="93">
        <f t="shared" si="28"/>
        <v>34.599860256962046</v>
      </c>
      <c r="AI51" s="73"/>
      <c r="AJ51" s="78">
        <v>110</v>
      </c>
      <c r="AK51" s="76">
        <v>7.67E-4</v>
      </c>
      <c r="AL51" s="77">
        <f t="shared" si="4"/>
        <v>32.604895107876253</v>
      </c>
      <c r="AM51" s="97">
        <f t="shared" si="5"/>
        <v>1.9949651490857956</v>
      </c>
      <c r="AN51" s="97">
        <f t="shared" si="6"/>
        <v>0</v>
      </c>
      <c r="AO51" s="93">
        <f t="shared" si="33"/>
        <v>34.599860256962046</v>
      </c>
      <c r="AP51" s="73"/>
      <c r="AQ51" s="78">
        <v>174</v>
      </c>
      <c r="AR51" s="76">
        <v>7.67E-4</v>
      </c>
      <c r="AS51" s="77">
        <f t="shared" si="7"/>
        <v>32.604895107876253</v>
      </c>
      <c r="AT51" s="97">
        <f t="shared" si="8"/>
        <v>1.9949651490857956</v>
      </c>
      <c r="AU51" s="97">
        <f t="shared" si="9"/>
        <v>0</v>
      </c>
      <c r="AV51" s="93">
        <f t="shared" si="32"/>
        <v>34.599860256962046</v>
      </c>
      <c r="AW51" s="73"/>
      <c r="AX51" s="78">
        <v>238</v>
      </c>
      <c r="AY51" s="76">
        <v>7.0899999999999999E-4</v>
      </c>
      <c r="AZ51" s="77">
        <f t="shared" si="10"/>
        <v>30.139335895025116</v>
      </c>
      <c r="BA51" s="97">
        <f t="shared" si="11"/>
        <v>1.8441072890506245</v>
      </c>
      <c r="BB51" s="97">
        <f t="shared" si="12"/>
        <v>0</v>
      </c>
      <c r="BC51" s="93">
        <f t="shared" si="31"/>
        <v>31.983443184075739</v>
      </c>
    </row>
    <row r="52" spans="1:55" x14ac:dyDescent="0.2">
      <c r="A52" s="73"/>
      <c r="B52" s="73"/>
      <c r="C52" s="79"/>
      <c r="D52" s="79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8">
        <v>45</v>
      </c>
      <c r="AD52" s="76">
        <v>7.67E-4</v>
      </c>
      <c r="AE52" s="77">
        <f t="shared" si="26"/>
        <v>32.604895107876253</v>
      </c>
      <c r="AF52" s="97">
        <f t="shared" si="27"/>
        <v>1.9949651490857956</v>
      </c>
      <c r="AG52" s="97">
        <f t="shared" si="3"/>
        <v>0</v>
      </c>
      <c r="AH52" s="93">
        <f t="shared" si="28"/>
        <v>34.599860256962046</v>
      </c>
      <c r="AI52" s="73"/>
      <c r="AJ52" s="78">
        <v>111</v>
      </c>
      <c r="AK52" s="76">
        <v>7.67E-4</v>
      </c>
      <c r="AL52" s="77">
        <f t="shared" si="4"/>
        <v>32.604895107876253</v>
      </c>
      <c r="AM52" s="97">
        <f t="shared" si="5"/>
        <v>1.9949651490857956</v>
      </c>
      <c r="AN52" s="97">
        <f t="shared" si="6"/>
        <v>0</v>
      </c>
      <c r="AO52" s="93">
        <f t="shared" si="33"/>
        <v>34.599860256962046</v>
      </c>
      <c r="AP52" s="73"/>
      <c r="AQ52" s="78">
        <v>175</v>
      </c>
      <c r="AR52" s="76">
        <v>7.67E-4</v>
      </c>
      <c r="AS52" s="77">
        <f t="shared" si="7"/>
        <v>32.604895107876253</v>
      </c>
      <c r="AT52" s="97">
        <f t="shared" si="8"/>
        <v>1.9949651490857956</v>
      </c>
      <c r="AU52" s="97">
        <f t="shared" si="9"/>
        <v>0</v>
      </c>
      <c r="AV52" s="93">
        <f t="shared" si="32"/>
        <v>34.599860256962046</v>
      </c>
      <c r="AW52" s="73"/>
      <c r="AX52" s="78">
        <v>239</v>
      </c>
      <c r="AY52" s="76">
        <v>3.5299999999999996E-4</v>
      </c>
      <c r="AZ52" s="77">
        <f t="shared" si="10"/>
        <v>15.005903485111235</v>
      </c>
      <c r="BA52" s="97">
        <f t="shared" si="11"/>
        <v>0.91815214814509227</v>
      </c>
      <c r="BB52" s="97">
        <f t="shared" si="12"/>
        <v>0</v>
      </c>
      <c r="BC52" s="93">
        <f t="shared" si="31"/>
        <v>15.924055633256327</v>
      </c>
    </row>
    <row r="53" spans="1:55" x14ac:dyDescent="0.2">
      <c r="A53" s="73"/>
      <c r="B53" s="73"/>
      <c r="C53" s="79"/>
      <c r="D53" s="79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8">
        <v>46</v>
      </c>
      <c r="AD53" s="76">
        <v>7.67E-4</v>
      </c>
      <c r="AE53" s="77">
        <f t="shared" si="26"/>
        <v>32.604895107876253</v>
      </c>
      <c r="AF53" s="97">
        <f t="shared" si="27"/>
        <v>1.9949651490857956</v>
      </c>
      <c r="AG53" s="97">
        <f t="shared" si="3"/>
        <v>0</v>
      </c>
      <c r="AH53" s="93">
        <f t="shared" si="28"/>
        <v>34.599860256962046</v>
      </c>
      <c r="AI53" s="73"/>
      <c r="AJ53" s="78">
        <v>112</v>
      </c>
      <c r="AK53" s="76">
        <v>7.67E-4</v>
      </c>
      <c r="AL53" s="77">
        <f t="shared" si="4"/>
        <v>32.604895107876253</v>
      </c>
      <c r="AM53" s="97">
        <f t="shared" si="5"/>
        <v>1.9949651490857956</v>
      </c>
      <c r="AN53" s="97">
        <f t="shared" si="6"/>
        <v>0</v>
      </c>
      <c r="AO53" s="93">
        <f t="shared" si="33"/>
        <v>34.599860256962046</v>
      </c>
      <c r="AP53" s="73"/>
      <c r="AQ53" s="78">
        <v>176</v>
      </c>
      <c r="AR53" s="76">
        <v>7.67E-4</v>
      </c>
      <c r="AS53" s="77">
        <f t="shared" si="7"/>
        <v>32.604895107876253</v>
      </c>
      <c r="AT53" s="97">
        <f t="shared" si="8"/>
        <v>1.9949651490857956</v>
      </c>
      <c r="AU53" s="97">
        <f t="shared" si="9"/>
        <v>0</v>
      </c>
      <c r="AV53" s="93">
        <f t="shared" si="32"/>
        <v>34.599860256962046</v>
      </c>
      <c r="AW53" s="73"/>
      <c r="AX53" s="78">
        <v>240</v>
      </c>
      <c r="AY53" s="76">
        <v>3.5299999999999996E-4</v>
      </c>
      <c r="AZ53" s="77">
        <f t="shared" si="10"/>
        <v>15.005903485111235</v>
      </c>
      <c r="BA53" s="97">
        <f t="shared" si="11"/>
        <v>0.91815214814509227</v>
      </c>
      <c r="BB53" s="97">
        <f t="shared" si="12"/>
        <v>0</v>
      </c>
      <c r="BC53" s="93">
        <f t="shared" si="31"/>
        <v>15.924055633256327</v>
      </c>
    </row>
    <row r="54" spans="1:55" x14ac:dyDescent="0.2">
      <c r="A54" s="73"/>
      <c r="B54" s="73"/>
      <c r="C54" s="79"/>
      <c r="D54" s="79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8">
        <v>47</v>
      </c>
      <c r="AD54" s="76">
        <v>1.5329999999999999E-3</v>
      </c>
      <c r="AE54" s="77">
        <f t="shared" si="26"/>
        <v>65.167280574151619</v>
      </c>
      <c r="AF54" s="97">
        <f t="shared" si="27"/>
        <v>3.9873293005847774</v>
      </c>
      <c r="AG54" s="97">
        <f t="shared" si="3"/>
        <v>0</v>
      </c>
      <c r="AH54" s="93">
        <f t="shared" si="28"/>
        <v>69.154609874736394</v>
      </c>
      <c r="AI54" s="73"/>
      <c r="AJ54" s="78">
        <v>113</v>
      </c>
      <c r="AK54" s="76">
        <v>7.67E-4</v>
      </c>
      <c r="AL54" s="77">
        <f t="shared" si="4"/>
        <v>32.604895107876253</v>
      </c>
      <c r="AM54" s="97">
        <f t="shared" si="5"/>
        <v>1.9949651490857956</v>
      </c>
      <c r="AN54" s="97">
        <f t="shared" si="6"/>
        <v>0</v>
      </c>
      <c r="AO54" s="93">
        <f t="shared" si="33"/>
        <v>34.599860256962046</v>
      </c>
      <c r="AP54" s="73"/>
      <c r="AQ54" s="78">
        <v>177</v>
      </c>
      <c r="AR54" s="76">
        <v>7.67E-4</v>
      </c>
      <c r="AS54" s="77">
        <f t="shared" si="7"/>
        <v>32.604895107876253</v>
      </c>
      <c r="AT54" s="97">
        <f t="shared" si="8"/>
        <v>1.9949651490857956</v>
      </c>
      <c r="AU54" s="97">
        <f t="shared" si="9"/>
        <v>0</v>
      </c>
      <c r="AV54" s="93">
        <f t="shared" si="32"/>
        <v>34.599860256962046</v>
      </c>
      <c r="AW54" s="73"/>
      <c r="AX54" s="78">
        <v>241</v>
      </c>
      <c r="AY54" s="76">
        <v>3.5299999999999996E-4</v>
      </c>
      <c r="AZ54" s="77">
        <f t="shared" si="10"/>
        <v>15.005903485111235</v>
      </c>
      <c r="BA54" s="97">
        <f t="shared" si="11"/>
        <v>0.91815214814509227</v>
      </c>
      <c r="BB54" s="97">
        <f t="shared" si="12"/>
        <v>0</v>
      </c>
      <c r="BC54" s="93">
        <f t="shared" si="31"/>
        <v>15.924055633256327</v>
      </c>
    </row>
    <row r="55" spans="1:55" x14ac:dyDescent="0.2">
      <c r="A55" s="73"/>
      <c r="B55" s="73"/>
      <c r="C55" s="79"/>
      <c r="D55" s="79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8">
        <v>48</v>
      </c>
      <c r="AD55" s="76">
        <v>1.5329999999999999E-3</v>
      </c>
      <c r="AE55" s="77">
        <f t="shared" si="26"/>
        <v>65.167280574151619</v>
      </c>
      <c r="AF55" s="97">
        <f t="shared" si="27"/>
        <v>3.9873293005847774</v>
      </c>
      <c r="AG55" s="97">
        <f t="shared" si="3"/>
        <v>0</v>
      </c>
      <c r="AH55" s="93">
        <f t="shared" si="28"/>
        <v>69.154609874736394</v>
      </c>
      <c r="AI55" s="73"/>
      <c r="AJ55" s="78">
        <v>114</v>
      </c>
      <c r="AK55" s="76">
        <v>7.67E-4</v>
      </c>
      <c r="AL55" s="77">
        <f t="shared" si="4"/>
        <v>32.604895107876253</v>
      </c>
      <c r="AM55" s="97">
        <f t="shared" si="5"/>
        <v>1.9949651490857956</v>
      </c>
      <c r="AN55" s="97">
        <f t="shared" si="6"/>
        <v>0</v>
      </c>
      <c r="AO55" s="93">
        <f t="shared" si="33"/>
        <v>34.599860256962046</v>
      </c>
      <c r="AP55" s="73"/>
      <c r="AQ55" s="78">
        <v>178</v>
      </c>
      <c r="AR55" s="76">
        <v>7.67E-4</v>
      </c>
      <c r="AS55" s="77">
        <f t="shared" si="7"/>
        <v>32.604895107876253</v>
      </c>
      <c r="AT55" s="97">
        <f t="shared" si="8"/>
        <v>1.9949651490857956</v>
      </c>
      <c r="AU55" s="97">
        <f t="shared" si="9"/>
        <v>0</v>
      </c>
      <c r="AV55" s="93">
        <f t="shared" si="32"/>
        <v>34.599860256962046</v>
      </c>
      <c r="AW55" s="73"/>
      <c r="AX55" s="78">
        <v>242</v>
      </c>
      <c r="AY55" s="76">
        <v>3.5299999999999996E-4</v>
      </c>
      <c r="AZ55" s="77">
        <f t="shared" si="10"/>
        <v>15.005903485111235</v>
      </c>
      <c r="BA55" s="97">
        <f t="shared" si="11"/>
        <v>0.91815214814509227</v>
      </c>
      <c r="BB55" s="97">
        <f t="shared" si="12"/>
        <v>0</v>
      </c>
      <c r="BC55" s="93">
        <f t="shared" si="31"/>
        <v>15.924055633256327</v>
      </c>
    </row>
    <row r="56" spans="1:55" x14ac:dyDescent="0.2">
      <c r="A56" s="73"/>
      <c r="B56" s="73"/>
      <c r="C56" s="79"/>
      <c r="D56" s="79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8">
        <v>49</v>
      </c>
      <c r="AD56" s="76">
        <v>7.67E-4</v>
      </c>
      <c r="AE56" s="77">
        <f t="shared" si="26"/>
        <v>32.604895107876253</v>
      </c>
      <c r="AF56" s="97">
        <f t="shared" si="27"/>
        <v>1.9949651490857956</v>
      </c>
      <c r="AG56" s="97">
        <f t="shared" si="3"/>
        <v>0</v>
      </c>
      <c r="AH56" s="93">
        <f t="shared" si="28"/>
        <v>34.599860256962046</v>
      </c>
      <c r="AI56" s="73"/>
      <c r="AJ56" s="78">
        <v>115</v>
      </c>
      <c r="AK56" s="76">
        <v>7.67E-4</v>
      </c>
      <c r="AL56" s="77">
        <f t="shared" si="4"/>
        <v>32.604895107876253</v>
      </c>
      <c r="AM56" s="97">
        <f t="shared" si="5"/>
        <v>1.9949651490857956</v>
      </c>
      <c r="AN56" s="97">
        <f t="shared" si="6"/>
        <v>0</v>
      </c>
      <c r="AO56" s="93">
        <f t="shared" si="33"/>
        <v>34.599860256962046</v>
      </c>
      <c r="AP56" s="73"/>
      <c r="AQ56" s="78">
        <v>179</v>
      </c>
      <c r="AR56" s="76">
        <v>7.67E-4</v>
      </c>
      <c r="AS56" s="77">
        <f t="shared" si="7"/>
        <v>32.604895107876253</v>
      </c>
      <c r="AT56" s="97">
        <f t="shared" si="8"/>
        <v>1.9949651490857956</v>
      </c>
      <c r="AU56" s="97">
        <f t="shared" si="9"/>
        <v>0</v>
      </c>
      <c r="AV56" s="93">
        <f t="shared" si="32"/>
        <v>34.599860256962046</v>
      </c>
      <c r="AW56" s="73"/>
      <c r="AX56" s="78"/>
      <c r="AY56" s="80"/>
      <c r="AZ56" s="77">
        <f t="shared" si="10"/>
        <v>0</v>
      </c>
      <c r="BA56" s="97">
        <f t="shared" si="11"/>
        <v>0</v>
      </c>
      <c r="BB56" s="97">
        <f t="shared" si="12"/>
        <v>0</v>
      </c>
      <c r="BC56" s="93">
        <f t="shared" si="31"/>
        <v>0</v>
      </c>
    </row>
    <row r="57" spans="1:55" x14ac:dyDescent="0.2">
      <c r="A57" s="73"/>
      <c r="B57" s="73"/>
      <c r="C57" s="79"/>
      <c r="D57" s="79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8">
        <v>50</v>
      </c>
      <c r="AD57" s="76">
        <v>7.67E-4</v>
      </c>
      <c r="AE57" s="77">
        <f t="shared" si="26"/>
        <v>32.604895107876253</v>
      </c>
      <c r="AF57" s="97">
        <f t="shared" si="27"/>
        <v>1.9949651490857956</v>
      </c>
      <c r="AG57" s="97">
        <f t="shared" si="3"/>
        <v>0</v>
      </c>
      <c r="AH57" s="93">
        <f t="shared" si="28"/>
        <v>34.599860256962046</v>
      </c>
      <c r="AI57" s="73"/>
      <c r="AJ57" s="78">
        <v>116</v>
      </c>
      <c r="AK57" s="76">
        <v>7.67E-4</v>
      </c>
      <c r="AL57" s="77">
        <f t="shared" si="4"/>
        <v>32.604895107876253</v>
      </c>
      <c r="AM57" s="97">
        <f t="shared" si="5"/>
        <v>1.9949651490857956</v>
      </c>
      <c r="AN57" s="97">
        <f t="shared" si="6"/>
        <v>0</v>
      </c>
      <c r="AO57" s="93">
        <f t="shared" si="33"/>
        <v>34.599860256962046</v>
      </c>
      <c r="AP57" s="73"/>
      <c r="AQ57" s="78">
        <v>180</v>
      </c>
      <c r="AR57" s="76">
        <v>7.67E-4</v>
      </c>
      <c r="AS57" s="77">
        <f t="shared" si="7"/>
        <v>32.604895107876253</v>
      </c>
      <c r="AT57" s="97">
        <f t="shared" si="8"/>
        <v>1.9949651490857956</v>
      </c>
      <c r="AU57" s="97">
        <f t="shared" si="9"/>
        <v>0</v>
      </c>
      <c r="AV57" s="93">
        <f t="shared" si="32"/>
        <v>34.599860256962046</v>
      </c>
      <c r="AW57" s="73"/>
      <c r="AX57" s="78"/>
      <c r="AY57" s="80"/>
      <c r="AZ57" s="77">
        <f t="shared" si="10"/>
        <v>0</v>
      </c>
      <c r="BA57" s="97">
        <f t="shared" si="11"/>
        <v>0</v>
      </c>
      <c r="BB57" s="97">
        <f t="shared" si="12"/>
        <v>0</v>
      </c>
      <c r="BC57" s="93">
        <f t="shared" si="31"/>
        <v>0</v>
      </c>
    </row>
    <row r="58" spans="1:55" x14ac:dyDescent="0.2">
      <c r="A58" s="73"/>
      <c r="B58" s="73"/>
      <c r="C58" s="79"/>
      <c r="D58" s="79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8">
        <v>51</v>
      </c>
      <c r="AD58" s="76">
        <v>7.67E-4</v>
      </c>
      <c r="AE58" s="77">
        <f t="shared" si="26"/>
        <v>32.604895107876253</v>
      </c>
      <c r="AF58" s="97">
        <f t="shared" si="27"/>
        <v>1.9949651490857956</v>
      </c>
      <c r="AG58" s="97">
        <f t="shared" si="3"/>
        <v>0</v>
      </c>
      <c r="AH58" s="93">
        <f t="shared" si="28"/>
        <v>34.599860256962046</v>
      </c>
      <c r="AI58" s="73"/>
      <c r="AJ58" s="78">
        <v>117</v>
      </c>
      <c r="AK58" s="76">
        <v>7.67E-4</v>
      </c>
      <c r="AL58" s="77">
        <f t="shared" si="4"/>
        <v>32.604895107876253</v>
      </c>
      <c r="AM58" s="97">
        <f t="shared" si="5"/>
        <v>1.9949651490857956</v>
      </c>
      <c r="AN58" s="97">
        <f t="shared" si="6"/>
        <v>0</v>
      </c>
      <c r="AO58" s="93">
        <f t="shared" si="33"/>
        <v>34.599860256962046</v>
      </c>
      <c r="AP58" s="73"/>
      <c r="AQ58" s="78">
        <v>181</v>
      </c>
      <c r="AR58" s="76">
        <v>1.5329999999999999E-3</v>
      </c>
      <c r="AS58" s="77">
        <f t="shared" si="7"/>
        <v>65.167280574151619</v>
      </c>
      <c r="AT58" s="97">
        <f t="shared" si="8"/>
        <v>3.9873293005847774</v>
      </c>
      <c r="AU58" s="97">
        <f t="shared" si="9"/>
        <v>0</v>
      </c>
      <c r="AV58" s="93">
        <f t="shared" si="32"/>
        <v>69.154609874736394</v>
      </c>
      <c r="AW58" s="73"/>
      <c r="AX58" s="78"/>
      <c r="AY58" s="80"/>
      <c r="AZ58" s="77">
        <f t="shared" si="10"/>
        <v>0</v>
      </c>
      <c r="BA58" s="97">
        <f t="shared" si="11"/>
        <v>0</v>
      </c>
      <c r="BB58" s="97">
        <f t="shared" si="12"/>
        <v>0</v>
      </c>
      <c r="BC58" s="93">
        <f t="shared" si="31"/>
        <v>0</v>
      </c>
    </row>
    <row r="59" spans="1:55" x14ac:dyDescent="0.2">
      <c r="A59" s="73"/>
      <c r="B59" s="73"/>
      <c r="C59" s="79"/>
      <c r="D59" s="79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8">
        <v>52</v>
      </c>
      <c r="AD59" s="76">
        <v>7.67E-4</v>
      </c>
      <c r="AE59" s="77">
        <f t="shared" si="26"/>
        <v>32.604895107876253</v>
      </c>
      <c r="AF59" s="97">
        <f t="shared" si="27"/>
        <v>1.9949651490857956</v>
      </c>
      <c r="AG59" s="97">
        <f t="shared" si="3"/>
        <v>0</v>
      </c>
      <c r="AH59" s="93">
        <f t="shared" si="28"/>
        <v>34.599860256962046</v>
      </c>
      <c r="AI59" s="73"/>
      <c r="AJ59" s="78">
        <v>118</v>
      </c>
      <c r="AK59" s="76">
        <v>7.67E-4</v>
      </c>
      <c r="AL59" s="77">
        <f t="shared" si="4"/>
        <v>32.604895107876253</v>
      </c>
      <c r="AM59" s="97">
        <f t="shared" si="5"/>
        <v>1.9949651490857956</v>
      </c>
      <c r="AN59" s="97">
        <f t="shared" si="6"/>
        <v>0</v>
      </c>
      <c r="AO59" s="93">
        <f t="shared" si="33"/>
        <v>34.599860256962046</v>
      </c>
      <c r="AP59" s="73"/>
      <c r="AQ59" s="78">
        <v>182</v>
      </c>
      <c r="AR59" s="76">
        <v>1.5329999999999999E-3</v>
      </c>
      <c r="AS59" s="77">
        <f t="shared" si="7"/>
        <v>65.167280574151619</v>
      </c>
      <c r="AT59" s="97">
        <f t="shared" si="8"/>
        <v>3.9873293005847774</v>
      </c>
      <c r="AU59" s="97">
        <f t="shared" si="9"/>
        <v>0</v>
      </c>
      <c r="AV59" s="93">
        <f t="shared" si="32"/>
        <v>69.154609874736394</v>
      </c>
      <c r="AW59" s="73"/>
      <c r="AX59" s="78"/>
      <c r="AY59" s="80"/>
      <c r="AZ59" s="77">
        <f t="shared" si="10"/>
        <v>0</v>
      </c>
      <c r="BA59" s="97">
        <f t="shared" si="11"/>
        <v>0</v>
      </c>
      <c r="BB59" s="97">
        <f t="shared" si="12"/>
        <v>0</v>
      </c>
      <c r="BC59" s="93">
        <f t="shared" si="31"/>
        <v>0</v>
      </c>
    </row>
    <row r="60" spans="1:55" x14ac:dyDescent="0.2">
      <c r="A60" s="73"/>
      <c r="B60" s="73"/>
      <c r="C60" s="79"/>
      <c r="D60" s="79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8">
        <v>53</v>
      </c>
      <c r="AD60" s="76">
        <v>7.67E-4</v>
      </c>
      <c r="AE60" s="77">
        <f t="shared" si="26"/>
        <v>32.604895107876253</v>
      </c>
      <c r="AF60" s="97">
        <f t="shared" si="27"/>
        <v>1.9949651490857956</v>
      </c>
      <c r="AG60" s="97">
        <f t="shared" si="3"/>
        <v>0</v>
      </c>
      <c r="AH60" s="93">
        <f t="shared" si="28"/>
        <v>34.599860256962046</v>
      </c>
      <c r="AI60" s="73"/>
      <c r="AJ60" s="78">
        <v>119</v>
      </c>
      <c r="AK60" s="76">
        <v>7.67E-4</v>
      </c>
      <c r="AL60" s="77">
        <f t="shared" si="4"/>
        <v>32.604895107876253</v>
      </c>
      <c r="AM60" s="97">
        <f t="shared" si="5"/>
        <v>1.9949651490857956</v>
      </c>
      <c r="AN60" s="97">
        <f t="shared" si="6"/>
        <v>0</v>
      </c>
      <c r="AO60" s="93">
        <f t="shared" si="33"/>
        <v>34.599860256962046</v>
      </c>
      <c r="AP60" s="73"/>
      <c r="AQ60" s="78">
        <v>183</v>
      </c>
      <c r="AR60" s="76">
        <v>7.67E-4</v>
      </c>
      <c r="AS60" s="77">
        <f t="shared" si="7"/>
        <v>32.604895107876253</v>
      </c>
      <c r="AT60" s="97">
        <f t="shared" si="8"/>
        <v>1.9949651490857956</v>
      </c>
      <c r="AU60" s="97">
        <f t="shared" si="9"/>
        <v>0</v>
      </c>
      <c r="AV60" s="93">
        <f t="shared" si="32"/>
        <v>34.599860256962046</v>
      </c>
      <c r="AW60" s="73"/>
      <c r="AX60" s="78"/>
      <c r="AY60" s="80"/>
      <c r="AZ60" s="77">
        <f t="shared" si="10"/>
        <v>0</v>
      </c>
      <c r="BA60" s="97">
        <f t="shared" si="11"/>
        <v>0</v>
      </c>
      <c r="BB60" s="97">
        <f t="shared" si="12"/>
        <v>0</v>
      </c>
      <c r="BC60" s="93">
        <f t="shared" si="31"/>
        <v>0</v>
      </c>
    </row>
    <row r="61" spans="1:55" x14ac:dyDescent="0.2">
      <c r="A61" s="73"/>
      <c r="B61" s="73"/>
      <c r="C61" s="79"/>
      <c r="D61" s="79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8">
        <v>54</v>
      </c>
      <c r="AD61" s="76">
        <v>7.67E-4</v>
      </c>
      <c r="AE61" s="77">
        <f t="shared" si="26"/>
        <v>32.604895107876253</v>
      </c>
      <c r="AF61" s="97">
        <f t="shared" si="27"/>
        <v>1.9949651490857956</v>
      </c>
      <c r="AG61" s="97">
        <f t="shared" si="3"/>
        <v>0</v>
      </c>
      <c r="AH61" s="93">
        <f t="shared" si="28"/>
        <v>34.599860256962046</v>
      </c>
      <c r="AI61" s="73"/>
      <c r="AJ61" s="78">
        <v>120</v>
      </c>
      <c r="AK61" s="76">
        <v>1.5329999999999999E-3</v>
      </c>
      <c r="AL61" s="77">
        <f t="shared" si="4"/>
        <v>65.167280574151619</v>
      </c>
      <c r="AM61" s="97">
        <f t="shared" si="5"/>
        <v>3.9873293005847774</v>
      </c>
      <c r="AN61" s="97">
        <f t="shared" si="6"/>
        <v>0</v>
      </c>
      <c r="AO61" s="93">
        <f t="shared" si="33"/>
        <v>69.154609874736394</v>
      </c>
      <c r="AP61" s="73"/>
      <c r="AQ61" s="78">
        <v>184</v>
      </c>
      <c r="AR61" s="76">
        <v>7.67E-4</v>
      </c>
      <c r="AS61" s="77">
        <f t="shared" si="7"/>
        <v>32.604895107876253</v>
      </c>
      <c r="AT61" s="97">
        <f t="shared" si="8"/>
        <v>1.9949651490857956</v>
      </c>
      <c r="AU61" s="97">
        <f t="shared" si="9"/>
        <v>0</v>
      </c>
      <c r="AV61" s="93">
        <f t="shared" si="32"/>
        <v>34.599860256962046</v>
      </c>
      <c r="AW61" s="73"/>
      <c r="AX61" s="78"/>
      <c r="AY61" s="80"/>
      <c r="AZ61" s="77">
        <f t="shared" si="10"/>
        <v>0</v>
      </c>
      <c r="BA61" s="97">
        <f t="shared" si="11"/>
        <v>0</v>
      </c>
      <c r="BB61" s="97">
        <f t="shared" si="12"/>
        <v>0</v>
      </c>
      <c r="BC61" s="93">
        <f t="shared" si="31"/>
        <v>0</v>
      </c>
    </row>
    <row r="62" spans="1:55" x14ac:dyDescent="0.2">
      <c r="A62" s="73"/>
      <c r="B62" s="73"/>
      <c r="C62" s="79"/>
      <c r="D62" s="79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8">
        <v>55</v>
      </c>
      <c r="AD62" s="76">
        <v>7.67E-4</v>
      </c>
      <c r="AE62" s="77">
        <f t="shared" si="26"/>
        <v>32.604895107876253</v>
      </c>
      <c r="AF62" s="97">
        <f t="shared" si="27"/>
        <v>1.9949651490857956</v>
      </c>
      <c r="AG62" s="97">
        <f t="shared" si="3"/>
        <v>0</v>
      </c>
      <c r="AH62" s="93">
        <f t="shared" si="28"/>
        <v>34.599860256962046</v>
      </c>
      <c r="AI62" s="73"/>
      <c r="AJ62" s="78">
        <v>121</v>
      </c>
      <c r="AK62" s="76">
        <v>1.5329999999999999E-3</v>
      </c>
      <c r="AL62" s="77">
        <f t="shared" si="4"/>
        <v>65.167280574151619</v>
      </c>
      <c r="AM62" s="97">
        <f t="shared" si="5"/>
        <v>3.9873293005847774</v>
      </c>
      <c r="AN62" s="97">
        <f t="shared" si="6"/>
        <v>0</v>
      </c>
      <c r="AO62" s="93">
        <f t="shared" si="33"/>
        <v>69.154609874736394</v>
      </c>
      <c r="AP62" s="73"/>
      <c r="AQ62" s="78">
        <v>185</v>
      </c>
      <c r="AR62" s="76">
        <v>7.67E-4</v>
      </c>
      <c r="AS62" s="77">
        <f t="shared" si="7"/>
        <v>32.604895107876253</v>
      </c>
      <c r="AT62" s="97">
        <f t="shared" si="8"/>
        <v>1.9949651490857956</v>
      </c>
      <c r="AU62" s="97">
        <f t="shared" si="9"/>
        <v>0</v>
      </c>
      <c r="AV62" s="93">
        <f t="shared" si="32"/>
        <v>34.599860256962046</v>
      </c>
      <c r="AW62" s="73"/>
      <c r="AX62" s="78"/>
      <c r="AY62" s="80"/>
      <c r="AZ62" s="77">
        <f t="shared" si="10"/>
        <v>0</v>
      </c>
      <c r="BA62" s="97">
        <f t="shared" si="11"/>
        <v>0</v>
      </c>
      <c r="BB62" s="97">
        <f t="shared" si="12"/>
        <v>0</v>
      </c>
      <c r="BC62" s="93">
        <f t="shared" si="31"/>
        <v>0</v>
      </c>
    </row>
    <row r="63" spans="1:55" x14ac:dyDescent="0.2">
      <c r="A63" s="73"/>
      <c r="B63" s="73"/>
      <c r="C63" s="79"/>
      <c r="D63" s="79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8">
        <v>56</v>
      </c>
      <c r="AD63" s="76">
        <v>7.67E-4</v>
      </c>
      <c r="AE63" s="77">
        <f t="shared" si="26"/>
        <v>32.604895107876253</v>
      </c>
      <c r="AF63" s="97">
        <f t="shared" si="27"/>
        <v>1.9949651490857956</v>
      </c>
      <c r="AG63" s="97">
        <f t="shared" si="3"/>
        <v>0</v>
      </c>
      <c r="AH63" s="93">
        <f t="shared" si="28"/>
        <v>34.599860256962046</v>
      </c>
      <c r="AI63" s="73"/>
      <c r="AJ63" s="78">
        <v>122</v>
      </c>
      <c r="AK63" s="76">
        <v>7.67E-4</v>
      </c>
      <c r="AL63" s="77">
        <f t="shared" si="4"/>
        <v>32.604895107876253</v>
      </c>
      <c r="AM63" s="97">
        <f t="shared" si="5"/>
        <v>1.9949651490857956</v>
      </c>
      <c r="AN63" s="97">
        <f t="shared" si="6"/>
        <v>0</v>
      </c>
      <c r="AO63" s="93">
        <f t="shared" si="33"/>
        <v>34.599860256962046</v>
      </c>
      <c r="AP63" s="73"/>
      <c r="AQ63" s="78">
        <v>186</v>
      </c>
      <c r="AR63" s="76">
        <v>7.67E-4</v>
      </c>
      <c r="AS63" s="77">
        <f t="shared" si="7"/>
        <v>32.604895107876253</v>
      </c>
      <c r="AT63" s="97">
        <f t="shared" si="8"/>
        <v>1.9949651490857956</v>
      </c>
      <c r="AU63" s="97">
        <f t="shared" si="9"/>
        <v>0</v>
      </c>
      <c r="AV63" s="93">
        <f t="shared" si="32"/>
        <v>34.599860256962046</v>
      </c>
      <c r="AW63" s="73"/>
      <c r="AX63" s="78"/>
      <c r="AY63" s="80"/>
      <c r="AZ63" s="77">
        <f t="shared" si="10"/>
        <v>0</v>
      </c>
      <c r="BA63" s="97">
        <f t="shared" si="11"/>
        <v>0</v>
      </c>
      <c r="BB63" s="97">
        <f t="shared" si="12"/>
        <v>0</v>
      </c>
      <c r="BC63" s="93">
        <f t="shared" si="31"/>
        <v>0</v>
      </c>
    </row>
    <row r="64" spans="1:55" x14ac:dyDescent="0.2">
      <c r="A64" s="73"/>
      <c r="B64" s="73"/>
      <c r="C64" s="79"/>
      <c r="D64" s="79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8">
        <v>57</v>
      </c>
      <c r="AD64" s="76">
        <v>7.67E-4</v>
      </c>
      <c r="AE64" s="77">
        <f t="shared" si="26"/>
        <v>32.604895107876253</v>
      </c>
      <c r="AF64" s="97">
        <f t="shared" si="27"/>
        <v>1.9949651490857956</v>
      </c>
      <c r="AG64" s="97">
        <f t="shared" si="3"/>
        <v>0</v>
      </c>
      <c r="AH64" s="93">
        <f t="shared" si="28"/>
        <v>34.599860256962046</v>
      </c>
      <c r="AI64" s="73"/>
      <c r="AJ64" s="78">
        <v>123</v>
      </c>
      <c r="AK64" s="76">
        <v>7.67E-4</v>
      </c>
      <c r="AL64" s="77">
        <f t="shared" si="4"/>
        <v>32.604895107876253</v>
      </c>
      <c r="AM64" s="97">
        <f t="shared" si="5"/>
        <v>1.9949651490857956</v>
      </c>
      <c r="AN64" s="97">
        <f t="shared" si="6"/>
        <v>0</v>
      </c>
      <c r="AO64" s="93">
        <f t="shared" si="33"/>
        <v>34.599860256962046</v>
      </c>
      <c r="AP64" s="73"/>
      <c r="AQ64" s="78">
        <v>187</v>
      </c>
      <c r="AR64" s="76">
        <v>7.67E-4</v>
      </c>
      <c r="AS64" s="77">
        <f t="shared" si="7"/>
        <v>32.604895107876253</v>
      </c>
      <c r="AT64" s="97">
        <f t="shared" si="8"/>
        <v>1.9949651490857956</v>
      </c>
      <c r="AU64" s="97">
        <f t="shared" si="9"/>
        <v>0</v>
      </c>
      <c r="AV64" s="93">
        <f t="shared" si="32"/>
        <v>34.599860256962046</v>
      </c>
      <c r="AW64" s="73"/>
      <c r="AX64" s="78"/>
      <c r="AY64" s="80"/>
      <c r="AZ64" s="77">
        <f t="shared" si="10"/>
        <v>0</v>
      </c>
      <c r="BA64" s="97">
        <f t="shared" si="11"/>
        <v>0</v>
      </c>
      <c r="BB64" s="97">
        <f t="shared" si="12"/>
        <v>0</v>
      </c>
      <c r="BC64" s="93">
        <f t="shared" si="31"/>
        <v>0</v>
      </c>
    </row>
    <row r="65" spans="1:55" x14ac:dyDescent="0.2">
      <c r="A65" s="73"/>
      <c r="B65" s="73"/>
      <c r="C65" s="79"/>
      <c r="D65" s="79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8">
        <v>58</v>
      </c>
      <c r="AD65" s="76">
        <v>7.67E-4</v>
      </c>
      <c r="AE65" s="77">
        <f t="shared" si="26"/>
        <v>32.604895107876253</v>
      </c>
      <c r="AF65" s="97">
        <f t="shared" si="27"/>
        <v>1.9949651490857956</v>
      </c>
      <c r="AG65" s="97">
        <f t="shared" si="3"/>
        <v>0</v>
      </c>
      <c r="AH65" s="93">
        <f t="shared" si="28"/>
        <v>34.599860256962046</v>
      </c>
      <c r="AI65" s="73"/>
      <c r="AJ65" s="78">
        <v>124</v>
      </c>
      <c r="AK65" s="76">
        <v>7.67E-4</v>
      </c>
      <c r="AL65" s="77">
        <f t="shared" si="4"/>
        <v>32.604895107876253</v>
      </c>
      <c r="AM65" s="97">
        <f t="shared" si="5"/>
        <v>1.9949651490857956</v>
      </c>
      <c r="AN65" s="97">
        <f t="shared" si="6"/>
        <v>0</v>
      </c>
      <c r="AO65" s="93">
        <f t="shared" si="33"/>
        <v>34.599860256962046</v>
      </c>
      <c r="AP65" s="73"/>
      <c r="AQ65" s="78">
        <v>188</v>
      </c>
      <c r="AR65" s="76">
        <v>7.67E-4</v>
      </c>
      <c r="AS65" s="77">
        <f t="shared" si="7"/>
        <v>32.604895107876253</v>
      </c>
      <c r="AT65" s="97">
        <f t="shared" si="8"/>
        <v>1.9949651490857956</v>
      </c>
      <c r="AU65" s="97">
        <f t="shared" si="9"/>
        <v>0</v>
      </c>
      <c r="AV65" s="93">
        <f t="shared" si="32"/>
        <v>34.599860256962046</v>
      </c>
      <c r="AW65" s="73"/>
      <c r="AX65" s="78"/>
      <c r="AY65" s="80"/>
      <c r="AZ65" s="77">
        <f t="shared" si="10"/>
        <v>0</v>
      </c>
      <c r="BA65" s="97">
        <f t="shared" si="11"/>
        <v>0</v>
      </c>
      <c r="BB65" s="97">
        <f t="shared" si="12"/>
        <v>0</v>
      </c>
      <c r="BC65" s="93">
        <f t="shared" si="31"/>
        <v>0</v>
      </c>
    </row>
    <row r="66" spans="1:55" x14ac:dyDescent="0.2">
      <c r="A66" s="73"/>
      <c r="B66" s="73"/>
      <c r="C66" s="79"/>
      <c r="D66" s="79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8">
        <v>59</v>
      </c>
      <c r="AD66" s="76">
        <v>7.67E-4</v>
      </c>
      <c r="AE66" s="77">
        <f t="shared" si="26"/>
        <v>32.604895107876253</v>
      </c>
      <c r="AF66" s="97">
        <f t="shared" si="27"/>
        <v>1.9949651490857956</v>
      </c>
      <c r="AG66" s="97">
        <f t="shared" si="3"/>
        <v>0</v>
      </c>
      <c r="AH66" s="93">
        <f t="shared" si="28"/>
        <v>34.599860256962046</v>
      </c>
      <c r="AI66" s="73"/>
      <c r="AJ66" s="78">
        <v>125</v>
      </c>
      <c r="AK66" s="76">
        <v>7.67E-4</v>
      </c>
      <c r="AL66" s="77">
        <f t="shared" si="4"/>
        <v>32.604895107876253</v>
      </c>
      <c r="AM66" s="97">
        <f t="shared" si="5"/>
        <v>1.9949651490857956</v>
      </c>
      <c r="AN66" s="97">
        <f t="shared" si="6"/>
        <v>0</v>
      </c>
      <c r="AO66" s="93">
        <f t="shared" si="33"/>
        <v>34.599860256962046</v>
      </c>
      <c r="AP66" s="73"/>
      <c r="AQ66" s="78">
        <v>189</v>
      </c>
      <c r="AR66" s="76">
        <v>7.67E-4</v>
      </c>
      <c r="AS66" s="77">
        <f t="shared" si="7"/>
        <v>32.604895107876253</v>
      </c>
      <c r="AT66" s="97">
        <f t="shared" si="8"/>
        <v>1.9949651490857956</v>
      </c>
      <c r="AU66" s="97">
        <f t="shared" si="9"/>
        <v>0</v>
      </c>
      <c r="AV66" s="93">
        <f t="shared" si="32"/>
        <v>34.599860256962046</v>
      </c>
      <c r="AW66" s="73"/>
      <c r="AX66" s="78"/>
      <c r="AY66" s="80"/>
      <c r="AZ66" s="77">
        <f t="shared" si="10"/>
        <v>0</v>
      </c>
      <c r="BA66" s="97">
        <f t="shared" si="11"/>
        <v>0</v>
      </c>
      <c r="BB66" s="97">
        <f t="shared" si="12"/>
        <v>0</v>
      </c>
      <c r="BC66" s="93">
        <f t="shared" si="31"/>
        <v>0</v>
      </c>
    </row>
    <row r="67" spans="1:55" x14ac:dyDescent="0.2">
      <c r="A67" s="73"/>
      <c r="B67" s="73"/>
      <c r="C67" s="79"/>
      <c r="D67" s="79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8">
        <v>60</v>
      </c>
      <c r="AD67" s="76">
        <v>7.67E-4</v>
      </c>
      <c r="AE67" s="77">
        <f t="shared" si="26"/>
        <v>32.604895107876253</v>
      </c>
      <c r="AF67" s="97">
        <f t="shared" si="27"/>
        <v>1.9949651490857956</v>
      </c>
      <c r="AG67" s="97">
        <f t="shared" si="3"/>
        <v>0</v>
      </c>
      <c r="AH67" s="93">
        <f t="shared" si="28"/>
        <v>34.599860256962046</v>
      </c>
      <c r="AI67" s="73"/>
      <c r="AJ67" s="78">
        <v>126</v>
      </c>
      <c r="AK67" s="76">
        <v>7.67E-4</v>
      </c>
      <c r="AL67" s="77">
        <f t="shared" si="4"/>
        <v>32.604895107876253</v>
      </c>
      <c r="AM67" s="97">
        <f t="shared" si="5"/>
        <v>1.9949651490857956</v>
      </c>
      <c r="AN67" s="97">
        <f t="shared" si="6"/>
        <v>0</v>
      </c>
      <c r="AO67" s="93">
        <f t="shared" si="33"/>
        <v>34.599860256962046</v>
      </c>
      <c r="AP67" s="73"/>
      <c r="AQ67" s="78">
        <v>190</v>
      </c>
      <c r="AR67" s="76">
        <v>7.67E-4</v>
      </c>
      <c r="AS67" s="77">
        <f t="shared" si="7"/>
        <v>32.604895107876253</v>
      </c>
      <c r="AT67" s="97">
        <f t="shared" si="8"/>
        <v>1.9949651490857956</v>
      </c>
      <c r="AU67" s="97">
        <f t="shared" si="9"/>
        <v>0</v>
      </c>
      <c r="AV67" s="93">
        <f t="shared" si="32"/>
        <v>34.599860256962046</v>
      </c>
      <c r="AW67" s="73"/>
      <c r="AX67" s="78"/>
      <c r="AY67" s="80"/>
      <c r="AZ67" s="77">
        <f t="shared" si="10"/>
        <v>0</v>
      </c>
      <c r="BA67" s="97">
        <f t="shared" si="11"/>
        <v>0</v>
      </c>
      <c r="BB67" s="97">
        <f t="shared" si="12"/>
        <v>0</v>
      </c>
      <c r="BC67" s="93">
        <f t="shared" si="31"/>
        <v>0</v>
      </c>
    </row>
    <row r="68" spans="1:55" x14ac:dyDescent="0.2">
      <c r="A68" s="73"/>
      <c r="B68" s="73"/>
      <c r="C68" s="79"/>
      <c r="D68" s="79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8">
        <v>61</v>
      </c>
      <c r="AD68" s="76">
        <v>7.67E-4</v>
      </c>
      <c r="AE68" s="77">
        <f t="shared" si="26"/>
        <v>32.604895107876253</v>
      </c>
      <c r="AF68" s="97">
        <f t="shared" si="27"/>
        <v>1.9949651490857956</v>
      </c>
      <c r="AG68" s="97">
        <f t="shared" si="3"/>
        <v>0</v>
      </c>
      <c r="AH68" s="93">
        <f t="shared" si="28"/>
        <v>34.599860256962046</v>
      </c>
      <c r="AI68" s="73"/>
      <c r="AJ68" s="78">
        <v>127</v>
      </c>
      <c r="AK68" s="76">
        <v>7.67E-4</v>
      </c>
      <c r="AL68" s="77">
        <f t="shared" si="4"/>
        <v>32.604895107876253</v>
      </c>
      <c r="AM68" s="97">
        <f t="shared" si="5"/>
        <v>1.9949651490857956</v>
      </c>
      <c r="AN68" s="97">
        <f t="shared" si="6"/>
        <v>0</v>
      </c>
      <c r="AO68" s="93">
        <f t="shared" si="33"/>
        <v>34.599860256962046</v>
      </c>
      <c r="AP68" s="73"/>
      <c r="AQ68" s="78">
        <v>191</v>
      </c>
      <c r="AR68" s="76">
        <v>7.67E-4</v>
      </c>
      <c r="AS68" s="77">
        <f t="shared" si="7"/>
        <v>32.604895107876253</v>
      </c>
      <c r="AT68" s="97">
        <f t="shared" si="8"/>
        <v>1.9949651490857956</v>
      </c>
      <c r="AU68" s="97">
        <f t="shared" si="9"/>
        <v>0</v>
      </c>
      <c r="AV68" s="93">
        <f t="shared" si="32"/>
        <v>34.599860256962046</v>
      </c>
      <c r="AW68" s="73"/>
      <c r="AX68" s="78"/>
      <c r="AY68" s="80"/>
      <c r="AZ68" s="77">
        <f t="shared" si="10"/>
        <v>0</v>
      </c>
      <c r="BA68" s="97">
        <f t="shared" si="11"/>
        <v>0</v>
      </c>
      <c r="BB68" s="97">
        <f t="shared" si="12"/>
        <v>0</v>
      </c>
      <c r="BC68" s="93">
        <f t="shared" si="31"/>
        <v>0</v>
      </c>
    </row>
    <row r="69" spans="1:55" x14ac:dyDescent="0.2">
      <c r="A69" s="73"/>
      <c r="B69" s="73"/>
      <c r="C69" s="79"/>
      <c r="D69" s="79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8">
        <v>62</v>
      </c>
      <c r="AD69" s="76">
        <v>7.67E-4</v>
      </c>
      <c r="AE69" s="77">
        <f t="shared" si="26"/>
        <v>32.604895107876253</v>
      </c>
      <c r="AF69" s="97">
        <f t="shared" si="27"/>
        <v>1.9949651490857956</v>
      </c>
      <c r="AG69" s="97">
        <f t="shared" si="3"/>
        <v>0</v>
      </c>
      <c r="AH69" s="93">
        <f t="shared" si="28"/>
        <v>34.599860256962046</v>
      </c>
      <c r="AI69" s="73"/>
      <c r="AJ69" s="78">
        <v>128</v>
      </c>
      <c r="AK69" s="76">
        <v>7.67E-4</v>
      </c>
      <c r="AL69" s="77">
        <f t="shared" si="4"/>
        <v>32.604895107876253</v>
      </c>
      <c r="AM69" s="97">
        <f t="shared" si="5"/>
        <v>1.9949651490857956</v>
      </c>
      <c r="AN69" s="97">
        <f t="shared" si="6"/>
        <v>0</v>
      </c>
      <c r="AO69" s="93">
        <f t="shared" si="33"/>
        <v>34.599860256962046</v>
      </c>
      <c r="AP69" s="73"/>
      <c r="AQ69" s="78">
        <v>192</v>
      </c>
      <c r="AR69" s="76">
        <v>7.67E-4</v>
      </c>
      <c r="AS69" s="77">
        <f t="shared" si="7"/>
        <v>32.604895107876253</v>
      </c>
      <c r="AT69" s="97">
        <f t="shared" si="8"/>
        <v>1.9949651490857956</v>
      </c>
      <c r="AU69" s="97">
        <f t="shared" si="9"/>
        <v>0</v>
      </c>
      <c r="AV69" s="93">
        <f t="shared" si="32"/>
        <v>34.599860256962046</v>
      </c>
      <c r="AW69" s="73"/>
      <c r="AX69" s="78"/>
      <c r="AY69" s="80"/>
      <c r="AZ69" s="77">
        <f t="shared" si="10"/>
        <v>0</v>
      </c>
      <c r="BA69" s="97">
        <f t="shared" si="11"/>
        <v>0</v>
      </c>
      <c r="BB69" s="97">
        <f t="shared" si="12"/>
        <v>0</v>
      </c>
      <c r="BC69" s="93">
        <f t="shared" si="31"/>
        <v>0</v>
      </c>
    </row>
    <row r="70" spans="1:55" x14ac:dyDescent="0.2">
      <c r="A70" s="73"/>
      <c r="B70" s="73"/>
      <c r="C70" s="79"/>
      <c r="D70" s="79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8">
        <v>63</v>
      </c>
      <c r="AD70" s="76">
        <v>7.67E-4</v>
      </c>
      <c r="AE70" s="77">
        <f t="shared" si="26"/>
        <v>32.604895107876253</v>
      </c>
      <c r="AF70" s="97">
        <f t="shared" si="27"/>
        <v>1.9949651490857956</v>
      </c>
      <c r="AG70" s="97">
        <f t="shared" si="3"/>
        <v>0</v>
      </c>
      <c r="AH70" s="93">
        <f t="shared" si="28"/>
        <v>34.599860256962046</v>
      </c>
      <c r="AI70" s="73"/>
      <c r="AJ70" s="78">
        <v>129</v>
      </c>
      <c r="AK70" s="76">
        <v>7.67E-4</v>
      </c>
      <c r="AL70" s="77">
        <f t="shared" si="4"/>
        <v>32.604895107876253</v>
      </c>
      <c r="AM70" s="97">
        <f t="shared" si="5"/>
        <v>1.9949651490857956</v>
      </c>
      <c r="AN70" s="97">
        <f t="shared" si="6"/>
        <v>0</v>
      </c>
      <c r="AO70" s="93">
        <f t="shared" si="33"/>
        <v>34.599860256962046</v>
      </c>
      <c r="AP70" s="73"/>
      <c r="AQ70" s="78">
        <v>193</v>
      </c>
      <c r="AR70" s="76">
        <v>1.5329999999999999E-3</v>
      </c>
      <c r="AS70" s="77">
        <f t="shared" si="7"/>
        <v>65.167280574151619</v>
      </c>
      <c r="AT70" s="97">
        <f t="shared" si="8"/>
        <v>3.9873293005847774</v>
      </c>
      <c r="AU70" s="97">
        <f t="shared" si="9"/>
        <v>0</v>
      </c>
      <c r="AV70" s="93">
        <f t="shared" si="32"/>
        <v>69.154609874736394</v>
      </c>
      <c r="AW70" s="73"/>
      <c r="AX70" s="78"/>
      <c r="AY70" s="80"/>
      <c r="AZ70" s="77">
        <f t="shared" si="10"/>
        <v>0</v>
      </c>
      <c r="BA70" s="97">
        <f t="shared" si="11"/>
        <v>0</v>
      </c>
      <c r="BB70" s="97">
        <f t="shared" si="12"/>
        <v>0</v>
      </c>
      <c r="BC70" s="93">
        <f t="shared" si="31"/>
        <v>0</v>
      </c>
    </row>
    <row r="71" spans="1:55" x14ac:dyDescent="0.2">
      <c r="A71" s="73"/>
      <c r="B71" s="73"/>
      <c r="C71" s="79"/>
      <c r="D71" s="79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8">
        <v>64</v>
      </c>
      <c r="AD71" s="76">
        <v>7.67E-4</v>
      </c>
      <c r="AE71" s="77">
        <f t="shared" si="26"/>
        <v>32.604895107876253</v>
      </c>
      <c r="AF71" s="97">
        <f t="shared" si="27"/>
        <v>1.9949651490857956</v>
      </c>
      <c r="AG71" s="97">
        <f t="shared" si="3"/>
        <v>0</v>
      </c>
      <c r="AH71" s="93">
        <f t="shared" si="28"/>
        <v>34.599860256962046</v>
      </c>
      <c r="AI71" s="73"/>
      <c r="AJ71" s="78">
        <v>130</v>
      </c>
      <c r="AK71" s="76">
        <v>7.67E-4</v>
      </c>
      <c r="AL71" s="77">
        <f t="shared" si="4"/>
        <v>32.604895107876253</v>
      </c>
      <c r="AM71" s="97">
        <f t="shared" si="5"/>
        <v>1.9949651490857956</v>
      </c>
      <c r="AN71" s="97">
        <f t="shared" si="6"/>
        <v>0</v>
      </c>
      <c r="AO71" s="93">
        <f t="shared" si="33"/>
        <v>34.599860256962046</v>
      </c>
      <c r="AP71" s="73"/>
      <c r="AQ71" s="78">
        <v>194</v>
      </c>
      <c r="AR71" s="76">
        <v>1.5329999999999999E-3</v>
      </c>
      <c r="AS71" s="77">
        <f t="shared" si="7"/>
        <v>65.167280574151619</v>
      </c>
      <c r="AT71" s="97">
        <f t="shared" si="8"/>
        <v>3.9873293005847774</v>
      </c>
      <c r="AU71" s="97">
        <f t="shared" si="9"/>
        <v>0</v>
      </c>
      <c r="AV71" s="93">
        <f t="shared" si="32"/>
        <v>69.154609874736394</v>
      </c>
      <c r="AW71" s="73"/>
      <c r="AX71" s="78"/>
      <c r="AY71" s="80"/>
      <c r="AZ71" s="77">
        <f t="shared" si="10"/>
        <v>0</v>
      </c>
      <c r="BA71" s="97">
        <f t="shared" si="11"/>
        <v>0</v>
      </c>
      <c r="BB71" s="97">
        <f t="shared" si="12"/>
        <v>0</v>
      </c>
      <c r="BC71" s="93">
        <f t="shared" si="31"/>
        <v>0</v>
      </c>
    </row>
    <row r="72" spans="1:55" x14ac:dyDescent="0.2">
      <c r="A72" s="73"/>
      <c r="B72" s="73"/>
      <c r="C72" s="79"/>
      <c r="D72" s="79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8">
        <v>65</v>
      </c>
      <c r="AD72" s="76">
        <v>7.67E-4</v>
      </c>
      <c r="AE72" s="77">
        <f t="shared" si="26"/>
        <v>32.604895107876253</v>
      </c>
      <c r="AF72" s="97">
        <f t="shared" si="27"/>
        <v>1.9949651490857956</v>
      </c>
      <c r="AG72" s="97">
        <f t="shared" ref="AG72:AG73" si="34">($D$3*AD72)/12</f>
        <v>0</v>
      </c>
      <c r="AH72" s="93">
        <f t="shared" si="28"/>
        <v>34.599860256962046</v>
      </c>
      <c r="AI72" s="73"/>
      <c r="AJ72" s="73"/>
      <c r="AK72" s="86">
        <f>SUM(AK8:AK71)</f>
        <v>5.2151999999999948E-2</v>
      </c>
      <c r="AL72" s="79">
        <f t="shared" ref="AL72" si="35">(AK72*$D$1)/12</f>
        <v>2216.9628287691799</v>
      </c>
      <c r="AM72" s="79">
        <f t="shared" ref="AM72:AO72" si="36">SUM(AM8:AM71)</f>
        <v>135.64722614748692</v>
      </c>
      <c r="AN72" s="79">
        <f t="shared" si="36"/>
        <v>0</v>
      </c>
      <c r="AO72" s="94">
        <f t="shared" si="36"/>
        <v>2352.6100549166699</v>
      </c>
      <c r="AP72" s="73"/>
      <c r="AQ72" s="73"/>
      <c r="AR72" s="86">
        <f>SUM(AR8:AR71)</f>
        <v>5.2151999999999948E-2</v>
      </c>
      <c r="AS72" s="79">
        <f>SUM(AS8:AS71)</f>
        <v>2216.9628287691821</v>
      </c>
      <c r="AT72" s="79">
        <f t="shared" ref="AT72:AV72" si="37">SUM(AT8:AT71)</f>
        <v>135.64722614748695</v>
      </c>
      <c r="AU72" s="79">
        <f t="shared" si="37"/>
        <v>0</v>
      </c>
      <c r="AV72" s="94">
        <f t="shared" si="37"/>
        <v>2352.6100549166695</v>
      </c>
      <c r="AW72" s="73"/>
      <c r="AX72" s="73"/>
      <c r="AY72" s="86">
        <f>SUM(AY8:AY71)</f>
        <v>2.8361999999999991E-2</v>
      </c>
      <c r="AZ72" s="79">
        <f>SUM(AZ8:AZ71)</f>
        <v>1205.6584550842072</v>
      </c>
      <c r="BA72" s="79">
        <f t="shared" ref="BA72:BC72" si="38">SUM(BA8:BA71)</f>
        <v>73.769493557198601</v>
      </c>
      <c r="BB72" s="79">
        <f t="shared" si="38"/>
        <v>0</v>
      </c>
      <c r="BC72" s="94">
        <f t="shared" si="38"/>
        <v>1279.4279486414052</v>
      </c>
    </row>
    <row r="73" spans="1:55" x14ac:dyDescent="0.2">
      <c r="A73" s="73"/>
      <c r="B73" s="73"/>
      <c r="C73" s="79"/>
      <c r="D73" s="79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8">
        <v>66</v>
      </c>
      <c r="AD73" s="76">
        <v>7.67E-4</v>
      </c>
      <c r="AE73" s="77">
        <f t="shared" ref="AE73" si="39">(AD73*$D$1)/12</f>
        <v>32.604895107876253</v>
      </c>
      <c r="AF73" s="97">
        <f t="shared" ref="AF73" si="40">($D$2*AD73)/12</f>
        <v>1.9949651490857956</v>
      </c>
      <c r="AG73" s="97">
        <f t="shared" si="34"/>
        <v>0</v>
      </c>
      <c r="AH73" s="93">
        <f t="shared" ref="AH73" si="41">SUM(AE73:AG73)</f>
        <v>34.599860256962046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</row>
    <row r="74" spans="1:55" x14ac:dyDescent="0.2">
      <c r="A74" s="73"/>
      <c r="B74" s="73"/>
      <c r="C74" s="79"/>
      <c r="D74" s="79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86">
        <f>SUM(AD8:AD73)</f>
        <v>5.3685999999999928E-2</v>
      </c>
      <c r="AE74" s="79">
        <f>SUM(AE8:AE73)</f>
        <v>2282.1726189849355</v>
      </c>
      <c r="AF74" s="79">
        <f t="shared" ref="AF74:AG74" si="42">SUM(AF8:AF73)</f>
        <v>139.63715644565852</v>
      </c>
      <c r="AG74" s="79">
        <f t="shared" si="42"/>
        <v>0</v>
      </c>
      <c r="AH74" s="94">
        <f>SUM(AH8:AH73)</f>
        <v>2421.8097754305941</v>
      </c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</row>
  </sheetData>
  <mergeCells count="8">
    <mergeCell ref="A6:J6"/>
    <mergeCell ref="O6:X6"/>
    <mergeCell ref="AC6:AL6"/>
    <mergeCell ref="AQ6:AZ6"/>
    <mergeCell ref="A1:C1"/>
    <mergeCell ref="A2:C2"/>
    <mergeCell ref="A3:C3"/>
    <mergeCell ref="A4:C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9"/>
  <sheetViews>
    <sheetView showGridLines="0" topLeftCell="B1" zoomScale="91" zoomScaleNormal="91" workbookViewId="0">
      <selection activeCell="I27" sqref="I27"/>
    </sheetView>
  </sheetViews>
  <sheetFormatPr defaultRowHeight="15" x14ac:dyDescent="0.25"/>
  <cols>
    <col min="2" max="2" width="15.85546875" customWidth="1"/>
    <col min="3" max="3" width="22" customWidth="1"/>
    <col min="4" max="5" width="17.5703125" customWidth="1"/>
    <col min="6" max="7" width="16.140625" customWidth="1"/>
    <col min="8" max="8" width="12.5703125" customWidth="1"/>
    <col min="9" max="9" width="21.28515625" customWidth="1"/>
    <col min="10" max="10" width="14.7109375" customWidth="1"/>
    <col min="11" max="11" width="13.7109375" bestFit="1" customWidth="1"/>
    <col min="12" max="12" width="16.5703125" customWidth="1"/>
    <col min="13" max="13" width="22.42578125" bestFit="1" customWidth="1"/>
  </cols>
  <sheetData>
    <row r="1" spans="2:18" ht="15.75" thickBot="1" x14ac:dyDescent="0.3">
      <c r="B1" t="s">
        <v>114</v>
      </c>
      <c r="C1" s="159">
        <f>330</f>
        <v>330</v>
      </c>
      <c r="D1" s="166">
        <v>0.03</v>
      </c>
      <c r="E1" s="165">
        <v>0.05</v>
      </c>
      <c r="F1" s="1"/>
      <c r="G1" s="165">
        <v>0.05</v>
      </c>
      <c r="H1" s="165">
        <v>0.05</v>
      </c>
      <c r="I1" s="165">
        <v>0.02</v>
      </c>
      <c r="J1" s="165">
        <v>0.05</v>
      </c>
      <c r="K1" s="1"/>
      <c r="L1" s="114"/>
      <c r="M1" s="114"/>
      <c r="P1" s="115">
        <v>0.2</v>
      </c>
      <c r="Q1" s="116" t="s">
        <v>82</v>
      </c>
      <c r="R1" s="117"/>
    </row>
    <row r="2" spans="2:18" ht="31.5" thickTop="1" thickBot="1" x14ac:dyDescent="0.3">
      <c r="B2" t="s">
        <v>115</v>
      </c>
      <c r="C2" s="159">
        <v>4</v>
      </c>
      <c r="D2" s="127" t="s">
        <v>100</v>
      </c>
      <c r="E2" s="127" t="s">
        <v>100</v>
      </c>
      <c r="F2" s="131" t="s">
        <v>108</v>
      </c>
      <c r="G2" s="131" t="s">
        <v>109</v>
      </c>
      <c r="H2" s="123" t="s">
        <v>110</v>
      </c>
      <c r="I2" s="136" t="s">
        <v>111</v>
      </c>
      <c r="J2" s="124" t="s">
        <v>112</v>
      </c>
      <c r="K2" s="134" t="s">
        <v>113</v>
      </c>
      <c r="L2" s="114"/>
      <c r="M2" s="114"/>
      <c r="P2" s="120"/>
      <c r="Q2" s="31"/>
      <c r="R2" s="119"/>
    </row>
    <row r="3" spans="2:18" ht="15.75" thickTop="1" x14ac:dyDescent="0.25">
      <c r="B3" s="156" t="s">
        <v>83</v>
      </c>
      <c r="C3" s="138" t="s">
        <v>84</v>
      </c>
      <c r="D3" s="162">
        <v>1078.95</v>
      </c>
      <c r="E3" s="162">
        <v>1078.95</v>
      </c>
      <c r="F3" s="162">
        <v>983.85</v>
      </c>
      <c r="G3" s="162">
        <v>1105.98</v>
      </c>
      <c r="H3" s="163">
        <v>1078.95</v>
      </c>
      <c r="I3" s="162">
        <v>1078.95</v>
      </c>
      <c r="J3" s="162">
        <v>1131.99</v>
      </c>
      <c r="K3" s="162">
        <v>1078.94</v>
      </c>
      <c r="L3" s="156" t="s">
        <v>83</v>
      </c>
      <c r="M3" s="138" t="s">
        <v>84</v>
      </c>
      <c r="P3" s="118">
        <v>4.4999999999999998E-2</v>
      </c>
      <c r="Q3" s="31" t="s">
        <v>85</v>
      </c>
      <c r="R3" s="119"/>
    </row>
    <row r="4" spans="2:18" x14ac:dyDescent="0.25">
      <c r="B4" s="157"/>
      <c r="C4" s="139" t="s">
        <v>118</v>
      </c>
      <c r="D4" s="140">
        <f>D3*D1</f>
        <v>32.368499999999997</v>
      </c>
      <c r="E4" s="140">
        <f t="shared" ref="E4:K4" si="0">E3*E1</f>
        <v>53.947500000000005</v>
      </c>
      <c r="F4" s="141">
        <f t="shared" si="0"/>
        <v>0</v>
      </c>
      <c r="G4" s="141">
        <f t="shared" si="0"/>
        <v>55.299000000000007</v>
      </c>
      <c r="H4" s="142">
        <f t="shared" si="0"/>
        <v>53.947500000000005</v>
      </c>
      <c r="I4" s="143">
        <f t="shared" si="0"/>
        <v>21.579000000000001</v>
      </c>
      <c r="J4" s="142">
        <f t="shared" si="0"/>
        <v>56.599500000000006</v>
      </c>
      <c r="K4" s="144">
        <f t="shared" si="0"/>
        <v>0</v>
      </c>
      <c r="L4" s="157">
        <v>0.4</v>
      </c>
      <c r="M4" s="139" t="s">
        <v>86</v>
      </c>
      <c r="P4" s="120">
        <v>0.01</v>
      </c>
      <c r="Q4" s="31" t="s">
        <v>87</v>
      </c>
      <c r="R4" s="119"/>
    </row>
    <row r="5" spans="2:18" x14ac:dyDescent="0.25">
      <c r="B5" s="157">
        <v>0.25</v>
      </c>
      <c r="C5" s="139" t="s">
        <v>99</v>
      </c>
      <c r="D5" s="140">
        <f>((D3/220)*120)*$B$5</f>
        <v>147.12954545454545</v>
      </c>
      <c r="E5" s="140">
        <f>((E3/220)*120)*$B$5</f>
        <v>147.12954545454545</v>
      </c>
      <c r="F5" s="141">
        <v>0</v>
      </c>
      <c r="G5" s="141">
        <v>0</v>
      </c>
      <c r="H5" s="145">
        <v>0</v>
      </c>
      <c r="I5" s="146">
        <v>0</v>
      </c>
      <c r="J5" s="145">
        <v>0</v>
      </c>
      <c r="K5" s="147">
        <v>0</v>
      </c>
      <c r="L5" s="157">
        <v>0.25</v>
      </c>
      <c r="M5" s="139" t="s">
        <v>99</v>
      </c>
      <c r="P5" s="120"/>
      <c r="Q5" s="31"/>
      <c r="R5" s="119"/>
    </row>
    <row r="6" spans="2:18" x14ac:dyDescent="0.25">
      <c r="B6" s="156">
        <v>32</v>
      </c>
      <c r="C6" s="148" t="s">
        <v>45</v>
      </c>
      <c r="D6" s="140">
        <f>$B$6*$C$2</f>
        <v>128</v>
      </c>
      <c r="E6" s="140">
        <f>$B$6*$C$2</f>
        <v>128</v>
      </c>
      <c r="F6" s="141">
        <f t="shared" ref="F6:K6" si="1">$L$6*$C$2</f>
        <v>208</v>
      </c>
      <c r="G6" s="141">
        <f t="shared" si="1"/>
        <v>208</v>
      </c>
      <c r="H6" s="145">
        <f t="shared" si="1"/>
        <v>208</v>
      </c>
      <c r="I6" s="146">
        <f t="shared" si="1"/>
        <v>208</v>
      </c>
      <c r="J6" s="145">
        <f t="shared" si="1"/>
        <v>208</v>
      </c>
      <c r="K6" s="147">
        <f t="shared" si="1"/>
        <v>208</v>
      </c>
      <c r="L6" s="156">
        <v>52</v>
      </c>
      <c r="M6" s="148" t="s">
        <v>45</v>
      </c>
      <c r="P6" s="121">
        <f>SUM(P1:P4)</f>
        <v>0.255</v>
      </c>
      <c r="Q6" s="32"/>
      <c r="R6" s="122"/>
    </row>
    <row r="7" spans="2:18" x14ac:dyDescent="0.25">
      <c r="B7" s="157">
        <v>-0.06</v>
      </c>
      <c r="C7" s="148" t="s">
        <v>88</v>
      </c>
      <c r="D7" s="164">
        <f>(D3*$B$7)</f>
        <v>-64.736999999999995</v>
      </c>
      <c r="E7" s="164">
        <f t="shared" ref="E7:K7" si="2">(E3*$B$7)</f>
        <v>-64.736999999999995</v>
      </c>
      <c r="F7" s="167">
        <f t="shared" si="2"/>
        <v>-59.030999999999999</v>
      </c>
      <c r="G7" s="167">
        <f>(G3*$B$7)</f>
        <v>-66.358800000000002</v>
      </c>
      <c r="H7" s="168">
        <f t="shared" si="2"/>
        <v>-64.736999999999995</v>
      </c>
      <c r="I7" s="169">
        <f t="shared" si="2"/>
        <v>-64.736999999999995</v>
      </c>
      <c r="J7" s="168">
        <f t="shared" si="2"/>
        <v>-67.919399999999996</v>
      </c>
      <c r="K7" s="170">
        <f t="shared" si="2"/>
        <v>-64.736400000000003</v>
      </c>
      <c r="L7" s="157">
        <v>-0.06</v>
      </c>
      <c r="M7" s="148" t="s">
        <v>88</v>
      </c>
    </row>
    <row r="8" spans="2:18" x14ac:dyDescent="0.25">
      <c r="B8" s="156">
        <v>1</v>
      </c>
      <c r="C8" s="148" t="s">
        <v>44</v>
      </c>
      <c r="D8" s="140">
        <f>$B$8*$C$1</f>
        <v>330</v>
      </c>
      <c r="E8" s="140">
        <f>$B$8*$C$1</f>
        <v>330</v>
      </c>
      <c r="F8" s="141">
        <f t="shared" ref="F8:K8" si="3">$B$8*$C$1</f>
        <v>330</v>
      </c>
      <c r="G8" s="141">
        <f t="shared" si="3"/>
        <v>330</v>
      </c>
      <c r="H8" s="145">
        <f t="shared" si="3"/>
        <v>330</v>
      </c>
      <c r="I8" s="146">
        <f t="shared" si="3"/>
        <v>330</v>
      </c>
      <c r="J8" s="145">
        <f t="shared" si="3"/>
        <v>330</v>
      </c>
      <c r="K8" s="147">
        <f t="shared" si="3"/>
        <v>330</v>
      </c>
      <c r="L8" s="156">
        <v>22</v>
      </c>
      <c r="M8" s="148" t="s">
        <v>44</v>
      </c>
    </row>
    <row r="9" spans="2:18" x14ac:dyDescent="0.25">
      <c r="B9" s="156">
        <v>12</v>
      </c>
      <c r="C9" s="149" t="s">
        <v>89</v>
      </c>
      <c r="D9" s="140">
        <f>(D3+D5+D4)/$B$9</f>
        <v>104.87067045454546</v>
      </c>
      <c r="E9" s="140">
        <f t="shared" ref="E9:K9" si="4">(E3+E5+E4)/$B$9</f>
        <v>106.66892045454546</v>
      </c>
      <c r="F9" s="141">
        <f t="shared" si="4"/>
        <v>81.987499999999997</v>
      </c>
      <c r="G9" s="141">
        <f t="shared" si="4"/>
        <v>96.773250000000004</v>
      </c>
      <c r="H9" s="145">
        <f>(H3+H5+H4)/$B$9</f>
        <v>94.408124999999998</v>
      </c>
      <c r="I9" s="146">
        <f t="shared" si="4"/>
        <v>91.710750000000004</v>
      </c>
      <c r="J9" s="145">
        <f t="shared" si="4"/>
        <v>99.049125000000004</v>
      </c>
      <c r="K9" s="147">
        <f t="shared" si="4"/>
        <v>89.911666666666676</v>
      </c>
      <c r="L9" s="156">
        <v>12</v>
      </c>
      <c r="M9" s="149" t="s">
        <v>89</v>
      </c>
    </row>
    <row r="10" spans="2:18" x14ac:dyDescent="0.25">
      <c r="B10" s="157">
        <f>P6</f>
        <v>0.255</v>
      </c>
      <c r="C10" s="149" t="s">
        <v>90</v>
      </c>
      <c r="D10" s="140">
        <f>D9*$B$10</f>
        <v>26.742020965909092</v>
      </c>
      <c r="E10" s="140">
        <f>E9*$B$10</f>
        <v>27.200574715909092</v>
      </c>
      <c r="F10" s="141">
        <f t="shared" ref="F10" si="5">F9*$B$10</f>
        <v>20.906812500000001</v>
      </c>
      <c r="G10" s="141">
        <f t="shared" ref="G10:I10" si="6">G9*$B$10</f>
        <v>24.677178750000003</v>
      </c>
      <c r="H10" s="145">
        <f t="shared" si="6"/>
        <v>24.074071875000001</v>
      </c>
      <c r="I10" s="146">
        <f t="shared" si="6"/>
        <v>23.386241250000001</v>
      </c>
      <c r="J10" s="145">
        <f t="shared" ref="J10:K10" si="7">J9*$B$10</f>
        <v>25.257526875</v>
      </c>
      <c r="K10" s="147">
        <f t="shared" si="7"/>
        <v>22.927475000000001</v>
      </c>
      <c r="L10" s="157">
        <f>Z5</f>
        <v>0</v>
      </c>
      <c r="M10" s="149" t="s">
        <v>90</v>
      </c>
    </row>
    <row r="11" spans="2:18" x14ac:dyDescent="0.25">
      <c r="B11" s="157">
        <v>0.08</v>
      </c>
      <c r="C11" s="149" t="s">
        <v>91</v>
      </c>
      <c r="D11" s="140">
        <f>D9*$B$11</f>
        <v>8.3896536363636365</v>
      </c>
      <c r="E11" s="140">
        <f>E9*$B$11</f>
        <v>8.5335136363636366</v>
      </c>
      <c r="F11" s="141">
        <f t="shared" ref="F11" si="8">F9*$B$11</f>
        <v>6.5590000000000002</v>
      </c>
      <c r="G11" s="141">
        <f t="shared" ref="G11:I11" si="9">G9*$B$11</f>
        <v>7.7418600000000009</v>
      </c>
      <c r="H11" s="145">
        <f t="shared" si="9"/>
        <v>7.5526499999999999</v>
      </c>
      <c r="I11" s="146">
        <f t="shared" si="9"/>
        <v>7.3368600000000006</v>
      </c>
      <c r="J11" s="145">
        <f t="shared" ref="J11:K11" si="10">J9*$B$11</f>
        <v>7.9239300000000004</v>
      </c>
      <c r="K11" s="147">
        <f t="shared" si="10"/>
        <v>7.1929333333333343</v>
      </c>
      <c r="L11" s="157">
        <v>0.08</v>
      </c>
      <c r="M11" s="149" t="s">
        <v>91</v>
      </c>
    </row>
    <row r="12" spans="2:18" x14ac:dyDescent="0.25">
      <c r="B12" s="157">
        <v>0.33</v>
      </c>
      <c r="C12" s="149" t="s">
        <v>92</v>
      </c>
      <c r="D12" s="140">
        <f>((D3+D5+D4)*$B$12)/12</f>
        <v>34.607321250000005</v>
      </c>
      <c r="E12" s="140">
        <f t="shared" ref="E12:K12" si="11">((E3+E5+E4)*$B$12)/12</f>
        <v>35.200743750000001</v>
      </c>
      <c r="F12" s="141">
        <f t="shared" si="11"/>
        <v>27.055875</v>
      </c>
      <c r="G12" s="141">
        <f t="shared" si="11"/>
        <v>31.935172500000004</v>
      </c>
      <c r="H12" s="145">
        <f t="shared" si="11"/>
        <v>31.154681249999999</v>
      </c>
      <c r="I12" s="146">
        <f t="shared" si="11"/>
        <v>30.264547500000003</v>
      </c>
      <c r="J12" s="145">
        <f t="shared" si="11"/>
        <v>32.686211250000007</v>
      </c>
      <c r="K12" s="147">
        <f t="shared" si="11"/>
        <v>29.670850000000002</v>
      </c>
      <c r="L12" s="157">
        <v>0.33</v>
      </c>
      <c r="M12" s="149" t="s">
        <v>92</v>
      </c>
    </row>
    <row r="13" spans="2:18" x14ac:dyDescent="0.25">
      <c r="B13" s="157">
        <f>P6</f>
        <v>0.255</v>
      </c>
      <c r="C13" s="149" t="s">
        <v>93</v>
      </c>
      <c r="D13" s="140">
        <f>D12*$B$13</f>
        <v>8.8248669187500024</v>
      </c>
      <c r="E13" s="140">
        <f>E12*$B$13</f>
        <v>8.9761896562499999</v>
      </c>
      <c r="F13" s="141">
        <f t="shared" ref="F13" si="12">F12*$B$13</f>
        <v>6.8992481250000006</v>
      </c>
      <c r="G13" s="141">
        <f t="shared" ref="G13:I13" si="13">G12*$B$13</f>
        <v>8.1434689875000004</v>
      </c>
      <c r="H13" s="145">
        <f t="shared" si="13"/>
        <v>7.9444437187499997</v>
      </c>
      <c r="I13" s="146">
        <f t="shared" si="13"/>
        <v>7.7174596125000008</v>
      </c>
      <c r="J13" s="145">
        <f t="shared" ref="J13:K13" si="14">J12*$B$13</f>
        <v>8.3349838687500011</v>
      </c>
      <c r="K13" s="147">
        <f t="shared" si="14"/>
        <v>7.566066750000001</v>
      </c>
      <c r="L13" s="157">
        <f>Z5</f>
        <v>0</v>
      </c>
      <c r="M13" s="149" t="s">
        <v>93</v>
      </c>
    </row>
    <row r="14" spans="2:18" x14ac:dyDescent="0.25">
      <c r="B14" s="157">
        <v>0.08</v>
      </c>
      <c r="C14" s="149" t="s">
        <v>94</v>
      </c>
      <c r="D14" s="140">
        <f>D12*$B$14</f>
        <v>2.7685857000000005</v>
      </c>
      <c r="E14" s="140">
        <f>E12*$B$14</f>
        <v>2.8160595000000002</v>
      </c>
      <c r="F14" s="141">
        <f t="shared" ref="F14" si="15">F12*$B$14</f>
        <v>2.1644700000000001</v>
      </c>
      <c r="G14" s="141">
        <f t="shared" ref="G14:I14" si="16">G12*$B$14</f>
        <v>2.5548138000000002</v>
      </c>
      <c r="H14" s="145">
        <f t="shared" si="16"/>
        <v>2.4923744999999999</v>
      </c>
      <c r="I14" s="146">
        <f t="shared" si="16"/>
        <v>2.4211638000000004</v>
      </c>
      <c r="J14" s="145">
        <f t="shared" ref="J14:K14" si="17">J12*$B$14</f>
        <v>2.6148969000000006</v>
      </c>
      <c r="K14" s="147">
        <f t="shared" si="17"/>
        <v>2.3736680000000003</v>
      </c>
      <c r="L14" s="157">
        <v>0.08</v>
      </c>
      <c r="M14" s="149" t="s">
        <v>94</v>
      </c>
    </row>
    <row r="15" spans="2:18" x14ac:dyDescent="0.25">
      <c r="B15" s="157">
        <v>0.08</v>
      </c>
      <c r="C15" s="139" t="s">
        <v>95</v>
      </c>
      <c r="D15" s="140">
        <f>(D3+D4+D5)*$B$15</f>
        <v>100.67584363636365</v>
      </c>
      <c r="E15" s="140">
        <f t="shared" ref="E15:K15" si="18">(E3+E4+E5)*$B$15</f>
        <v>102.40216363636364</v>
      </c>
      <c r="F15" s="141">
        <f t="shared" si="18"/>
        <v>78.707999999999998</v>
      </c>
      <c r="G15" s="141">
        <f t="shared" si="18"/>
        <v>92.902320000000003</v>
      </c>
      <c r="H15" s="145">
        <f t="shared" si="18"/>
        <v>90.631799999999998</v>
      </c>
      <c r="I15" s="146">
        <f t="shared" si="18"/>
        <v>88.042320000000004</v>
      </c>
      <c r="J15" s="145">
        <f t="shared" si="18"/>
        <v>95.087160000000011</v>
      </c>
      <c r="K15" s="147">
        <f t="shared" si="18"/>
        <v>86.315200000000004</v>
      </c>
      <c r="L15" s="157">
        <v>0.08</v>
      </c>
      <c r="M15" s="139" t="s">
        <v>95</v>
      </c>
    </row>
    <row r="16" spans="2:18" x14ac:dyDescent="0.25">
      <c r="B16" s="157">
        <f>P6</f>
        <v>0.255</v>
      </c>
      <c r="C16" s="139" t="s">
        <v>43</v>
      </c>
      <c r="D16" s="140">
        <f>(D3+D4+D5)*$B$16</f>
        <v>320.9042515909091</v>
      </c>
      <c r="E16" s="140">
        <f>(E3+E4+E5)*$B$16</f>
        <v>326.40689659090913</v>
      </c>
      <c r="F16" s="141">
        <f t="shared" ref="F16" si="19">(F3+F4+F5)*$B$16</f>
        <v>250.88175000000001</v>
      </c>
      <c r="G16" s="141">
        <f t="shared" ref="G16:I16" si="20">(G3+G4+G5)*$B$16</f>
        <v>296.12614500000001</v>
      </c>
      <c r="H16" s="145">
        <f t="shared" si="20"/>
        <v>288.88886250000002</v>
      </c>
      <c r="I16" s="146">
        <f t="shared" si="20"/>
        <v>280.63489500000003</v>
      </c>
      <c r="J16" s="145">
        <f t="shared" ref="J16:K16" si="21">(J3+J4+J5)*$B$16</f>
        <v>303.09032250000001</v>
      </c>
      <c r="K16" s="147">
        <f t="shared" si="21"/>
        <v>275.12970000000001</v>
      </c>
      <c r="L16" s="157">
        <f>Z5</f>
        <v>0</v>
      </c>
      <c r="M16" s="139" t="s">
        <v>43</v>
      </c>
    </row>
    <row r="17" spans="2:13" x14ac:dyDescent="0.25">
      <c r="B17" s="157">
        <v>0.4</v>
      </c>
      <c r="C17" s="149" t="s">
        <v>96</v>
      </c>
      <c r="D17" s="140">
        <f>((D3+D4+D5)*$B$17)/12*0</f>
        <v>0</v>
      </c>
      <c r="E17" s="140">
        <f>((E3+E4+E5)*$B$17)/12*0</f>
        <v>0</v>
      </c>
      <c r="F17" s="141">
        <f t="shared" ref="F17:K17" si="22">((F3+F4+F5)*$B$17)/12*0</f>
        <v>0</v>
      </c>
      <c r="G17" s="141">
        <f t="shared" si="22"/>
        <v>0</v>
      </c>
      <c r="H17" s="145">
        <f t="shared" si="22"/>
        <v>0</v>
      </c>
      <c r="I17" s="146">
        <f t="shared" si="22"/>
        <v>0</v>
      </c>
      <c r="J17" s="145">
        <f t="shared" si="22"/>
        <v>0</v>
      </c>
      <c r="K17" s="147">
        <f t="shared" si="22"/>
        <v>0</v>
      </c>
      <c r="L17" s="157">
        <v>0.4</v>
      </c>
      <c r="M17" s="149" t="s">
        <v>96</v>
      </c>
    </row>
    <row r="18" spans="2:13" x14ac:dyDescent="0.25">
      <c r="B18" s="157">
        <v>0.01</v>
      </c>
      <c r="C18" s="139" t="s">
        <v>97</v>
      </c>
      <c r="D18" s="140">
        <f>(D3+D4+D5+D9+D12)*$B$18</f>
        <v>13.979260371590911</v>
      </c>
      <c r="E18" s="140">
        <f>(E3+E4+E5+E9+E12)*$B$18</f>
        <v>14.218967096590909</v>
      </c>
      <c r="F18" s="141">
        <f t="shared" ref="F18" si="23">(F3+F4+F5+F9+F12)*$B$18</f>
        <v>10.928933750000001</v>
      </c>
      <c r="G18" s="141">
        <f t="shared" ref="G18:I18" si="24">(G3+G4+G5+G9+G12)*$B$18</f>
        <v>12.899874225</v>
      </c>
      <c r="H18" s="145">
        <f t="shared" si="24"/>
        <v>12.584603062500001</v>
      </c>
      <c r="I18" s="146">
        <f t="shared" si="24"/>
        <v>12.225042974999999</v>
      </c>
      <c r="J18" s="145">
        <f t="shared" ref="J18:K18" si="25">(J3+J4+J5+J9+J12)*$B$18</f>
        <v>13.203248362500002</v>
      </c>
      <c r="K18" s="147">
        <f t="shared" si="25"/>
        <v>11.985225166666666</v>
      </c>
      <c r="L18" s="157">
        <v>0.01</v>
      </c>
      <c r="M18" s="139" t="s">
        <v>97</v>
      </c>
    </row>
    <row r="19" spans="2:13" ht="15.75" thickBot="1" x14ac:dyDescent="0.3">
      <c r="B19" s="156">
        <v>12</v>
      </c>
      <c r="C19" s="150" t="s">
        <v>98</v>
      </c>
      <c r="D19" s="151">
        <f>(D3+D4+D5)/12*0</f>
        <v>0</v>
      </c>
      <c r="E19" s="151">
        <f>(E3+E4+E5)/12*0</f>
        <v>0</v>
      </c>
      <c r="F19" s="152">
        <f t="shared" ref="F19:K19" si="26">(F3+F4+F5)/12*0</f>
        <v>0</v>
      </c>
      <c r="G19" s="152">
        <f t="shared" si="26"/>
        <v>0</v>
      </c>
      <c r="H19" s="153">
        <f t="shared" si="26"/>
        <v>0</v>
      </c>
      <c r="I19" s="154">
        <f t="shared" si="26"/>
        <v>0</v>
      </c>
      <c r="J19" s="153">
        <f t="shared" si="26"/>
        <v>0</v>
      </c>
      <c r="K19" s="155">
        <f t="shared" si="26"/>
        <v>0</v>
      </c>
      <c r="L19" s="156">
        <v>12</v>
      </c>
      <c r="M19" s="150" t="s">
        <v>98</v>
      </c>
    </row>
    <row r="20" spans="2:13" ht="16.5" thickTop="1" thickBot="1" x14ac:dyDescent="0.3">
      <c r="B20" s="114"/>
      <c r="C20" s="114"/>
      <c r="D20" s="128">
        <f>SUM(D3:D19)</f>
        <v>2273.4735199789775</v>
      </c>
      <c r="E20" s="129">
        <f t="shared" ref="E20:F20" si="27">SUM(E3:E19)</f>
        <v>2305.7140744914768</v>
      </c>
      <c r="F20" s="132">
        <f t="shared" si="27"/>
        <v>1948.910589375</v>
      </c>
      <c r="G20" s="132">
        <f t="shared" ref="G20:I20" si="28">SUM(G3:G19)</f>
        <v>2206.6742832625</v>
      </c>
      <c r="H20" s="125">
        <f t="shared" si="28"/>
        <v>2165.8921119062502</v>
      </c>
      <c r="I20" s="133">
        <f t="shared" si="28"/>
        <v>2117.5312801374998</v>
      </c>
      <c r="J20" s="126">
        <f t="shared" ref="J20:K20" si="29">SUM(J3:J19)</f>
        <v>2245.9175047562499</v>
      </c>
      <c r="K20" s="135">
        <f t="shared" si="29"/>
        <v>2085.2763849166663</v>
      </c>
      <c r="L20" s="114"/>
      <c r="M20" s="114"/>
    </row>
    <row r="21" spans="2:13" ht="15.75" thickTop="1" x14ac:dyDescent="0.25">
      <c r="B21" s="114"/>
      <c r="C21" s="114"/>
      <c r="D21" s="158">
        <v>1</v>
      </c>
      <c r="E21" s="158">
        <v>1</v>
      </c>
      <c r="F21" s="158">
        <v>1</v>
      </c>
      <c r="G21" s="158">
        <v>1</v>
      </c>
      <c r="H21" s="158">
        <v>1</v>
      </c>
      <c r="I21" s="158">
        <v>1</v>
      </c>
      <c r="J21" s="158">
        <v>1</v>
      </c>
      <c r="K21" s="158">
        <v>1</v>
      </c>
      <c r="L21" s="114">
        <f>SUM(D21:K21)</f>
        <v>8</v>
      </c>
      <c r="M21" s="114" t="s">
        <v>116</v>
      </c>
    </row>
    <row r="22" spans="2:13" x14ac:dyDescent="0.25">
      <c r="D22" s="130">
        <f>D20*D21</f>
        <v>2273.4735199789775</v>
      </c>
      <c r="E22" s="130">
        <f t="shared" ref="E22:I22" si="30">E20*E21</f>
        <v>2305.7140744914768</v>
      </c>
      <c r="F22" s="130">
        <f t="shared" si="30"/>
        <v>1948.910589375</v>
      </c>
      <c r="G22" s="130">
        <f t="shared" si="30"/>
        <v>2206.6742832625</v>
      </c>
      <c r="H22" s="130">
        <f t="shared" si="30"/>
        <v>2165.8921119062502</v>
      </c>
      <c r="I22" s="130">
        <f t="shared" si="30"/>
        <v>2117.5312801374998</v>
      </c>
      <c r="J22" s="130">
        <f t="shared" ref="J22" si="31">J20*J21</f>
        <v>2245.9175047562499</v>
      </c>
      <c r="K22" s="130">
        <f>K20*K21</f>
        <v>2085.2763849166663</v>
      </c>
      <c r="L22" s="137">
        <f>SUM(D22:K22)</f>
        <v>17349.389748824622</v>
      </c>
    </row>
    <row r="23" spans="2:13" x14ac:dyDescent="0.25">
      <c r="L23">
        <v>1358.97</v>
      </c>
      <c r="M23" t="s">
        <v>119</v>
      </c>
    </row>
    <row r="24" spans="2:13" x14ac:dyDescent="0.25">
      <c r="L24" s="130">
        <f>L22-L23</f>
        <v>15990.419748824623</v>
      </c>
      <c r="M24" t="s">
        <v>120</v>
      </c>
    </row>
    <row r="32" spans="2:13" s="1" customFormat="1" x14ac:dyDescent="0.25">
      <c r="B32" s="1" t="s">
        <v>101</v>
      </c>
      <c r="F32" s="1">
        <v>1</v>
      </c>
    </row>
    <row r="33" spans="2:6" s="1" customFormat="1" x14ac:dyDescent="0.25">
      <c r="B33" s="1" t="s">
        <v>102</v>
      </c>
      <c r="F33" s="1">
        <v>2</v>
      </c>
    </row>
    <row r="34" spans="2:6" s="1" customFormat="1" x14ac:dyDescent="0.25">
      <c r="B34" s="1" t="s">
        <v>103</v>
      </c>
      <c r="F34" s="1">
        <v>3</v>
      </c>
    </row>
    <row r="35" spans="2:6" s="1" customFormat="1" x14ac:dyDescent="0.25">
      <c r="B35" s="1" t="s">
        <v>104</v>
      </c>
      <c r="F35" s="1">
        <v>4</v>
      </c>
    </row>
    <row r="36" spans="2:6" s="1" customFormat="1" x14ac:dyDescent="0.25">
      <c r="B36" s="1" t="s">
        <v>105</v>
      </c>
      <c r="F36" s="1">
        <v>5</v>
      </c>
    </row>
    <row r="37" spans="2:6" s="1" customFormat="1" x14ac:dyDescent="0.25">
      <c r="B37" s="1" t="s">
        <v>106</v>
      </c>
      <c r="F37" s="1">
        <v>6</v>
      </c>
    </row>
    <row r="38" spans="2:6" s="1" customFormat="1" x14ac:dyDescent="0.25">
      <c r="B38" s="1" t="s">
        <v>107</v>
      </c>
      <c r="F38" s="1">
        <v>7</v>
      </c>
    </row>
    <row r="39" spans="2:6" s="1" customFormat="1" x14ac:dyDescent="0.25">
      <c r="F39" s="1">
        <f>SUM(F32:F38)</f>
        <v>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Previsão Orçamentária </vt:lpstr>
      <vt:lpstr>taxa distribuidia por n de apto</vt:lpstr>
      <vt:lpstr>taxa distribuidia por fração</vt:lpstr>
      <vt:lpstr>Folha de Pagamento</vt:lpstr>
      <vt:lpstr>'Previsão Orçamentária '!Area_de_impressao</vt:lpstr>
    </vt:vector>
  </TitlesOfParts>
  <Company>ALSTOM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BLOMBERG Patricia -EXT</dc:creator>
  <cp:lastModifiedBy>Patrícia Blomberg</cp:lastModifiedBy>
  <cp:lastPrinted>2017-01-25T19:25:12Z</cp:lastPrinted>
  <dcterms:created xsi:type="dcterms:W3CDTF">2015-09-14T17:39:27Z</dcterms:created>
  <dcterms:modified xsi:type="dcterms:W3CDTF">2018-05-18T12:14:29Z</dcterms:modified>
</cp:coreProperties>
</file>