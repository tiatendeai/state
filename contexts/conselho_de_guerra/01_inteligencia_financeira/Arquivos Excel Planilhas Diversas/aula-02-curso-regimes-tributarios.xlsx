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881CD316-B7D2-49A5-8B64-143C073B3DB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tividades" sheetId="2" r:id="rId1"/>
    <sheet name="Comercial" sheetId="4" r:id="rId2"/>
    <sheet name="Indústria" sheetId="8" r:id="rId3"/>
    <sheet name="Prestação de Serviço " sheetId="11" r:id="rId4"/>
    <sheet name="Transportadora de Cargas" sheetId="9" r:id="rId5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1" l="1"/>
  <c r="D12" i="11"/>
  <c r="D15" i="11"/>
  <c r="D17" i="11"/>
  <c r="D19" i="11"/>
  <c r="C9" i="11"/>
  <c r="C12" i="11"/>
  <c r="C15" i="11"/>
  <c r="C13" i="11"/>
  <c r="C16" i="11"/>
  <c r="C17" i="11"/>
  <c r="C19" i="11"/>
  <c r="D15" i="9"/>
  <c r="D13" i="9"/>
  <c r="D10" i="9"/>
  <c r="C15" i="9"/>
  <c r="C14" i="9"/>
  <c r="C13" i="9"/>
  <c r="C11" i="9"/>
  <c r="C10" i="9"/>
  <c r="D8" i="9"/>
  <c r="C7" i="9"/>
  <c r="D15" i="8"/>
  <c r="D13" i="8"/>
  <c r="C15" i="8"/>
  <c r="C14" i="8"/>
  <c r="C13" i="8"/>
  <c r="C11" i="8"/>
  <c r="D10" i="8"/>
  <c r="C10" i="8"/>
  <c r="D8" i="8"/>
  <c r="C7" i="8"/>
  <c r="D14" i="4"/>
  <c r="C14" i="4"/>
  <c r="D12" i="4"/>
  <c r="C12" i="4"/>
  <c r="D9" i="4"/>
  <c r="C9" i="4"/>
  <c r="D8" i="4"/>
  <c r="C7" i="4"/>
  <c r="M10" i="11"/>
  <c r="M12" i="11"/>
  <c r="M15" i="11"/>
  <c r="M17" i="11"/>
  <c r="L9" i="11"/>
  <c r="L12" i="11"/>
  <c r="L15" i="11"/>
  <c r="L17" i="11"/>
  <c r="H10" i="11"/>
  <c r="H12" i="11"/>
  <c r="H15" i="11"/>
  <c r="H17" i="11"/>
  <c r="G9" i="11"/>
  <c r="G12" i="11"/>
  <c r="G15" i="11"/>
  <c r="G17" i="11"/>
  <c r="D22" i="8"/>
</calcChain>
</file>

<file path=xl/sharedStrings.xml><?xml version="1.0" encoding="utf-8"?>
<sst xmlns="http://schemas.openxmlformats.org/spreadsheetml/2006/main" count="124" uniqueCount="48">
  <si>
    <t>Descrição</t>
  </si>
  <si>
    <t>IRPJ</t>
  </si>
  <si>
    <t>CSLL</t>
  </si>
  <si>
    <t>Faturamento no Trimestre</t>
  </si>
  <si>
    <t>Outras Receitas</t>
  </si>
  <si>
    <t>Base de Cálculo</t>
  </si>
  <si>
    <t>Base de Cálculo do Adicional do IRPJ</t>
  </si>
  <si>
    <t>-</t>
  </si>
  <si>
    <t>Alíquota do Tributo</t>
  </si>
  <si>
    <t>Imposto Devido</t>
  </si>
  <si>
    <t>Adicional do IRPJ (10%)</t>
  </si>
  <si>
    <t>Imposto Total Devido</t>
  </si>
  <si>
    <t>(Receita anual até R$ 120.000,00)</t>
  </si>
  <si>
    <t>Revenda, para consumo, de combustível derivado de petróleo, álcool etílico carburante e gás natural.</t>
  </si>
  <si>
    <t>Venda de mercadorias e produtos (exceto revenda de combustível para consumo).</t>
  </si>
  <si>
    <t>Atividade Rural.</t>
  </si>
  <si>
    <t>Industrialização.</t>
  </si>
  <si>
    <t>Prestação de serviços hospitalares e de auxílio diagnóstico e terapia, fisioterapia e terapia ocupacional, fonoaudiologia, patologia clínica, imagenologia, radiologia, anatomia patológica e citopatologia, medicina nuclear e análises e patologias clínicas, exames por métodos gráficos, procedimentos endoscópicos, radioterapia, quimioterapia, diálise e oxigenoterapia hiperbárica, desde que a prestadora desses serviços seja organizada sob a forma de sociedade empresária e atenda às normas da Agência Nacional de Vigilância Sanitária (Anvisa).</t>
  </si>
  <si>
    <t>Caso a prestadora desses serviços não seja organizada sob a forma de sociedade empresária e/ou não atenda às normas da Agência Nacional de Vigilância Sanitária (Anvisa), o percentual será de 32% (sem possibilidade de redução para 16%).</t>
  </si>
  <si>
    <t>Prestação de serviços de transporte de carga.</t>
  </si>
  <si>
    <t>Atividades imobiliárias relativas a loteamento de terrenos, incorporação imobiliária, construção de prédios destinados à venda, bem como a venda de imóveis construídos ou adquiridos para revenda.</t>
  </si>
  <si>
    <t>Atividade de construção por empreitada com emprego de todos os materiais indispensáveis à sua execução, sendo tais materiais incorporados à obra.</t>
  </si>
  <si>
    <t>Serviços de transporte (exceto o de cargas).</t>
  </si>
  <si>
    <t>Prestação de serviços relativos ao exercício de profissão legalmente regulamentada.</t>
  </si>
  <si>
    <t>Intermediação de negócios.</t>
  </si>
  <si>
    <t>Administração, locação ou cessão de bens imóveis, móveis e direitos de qualquer natureza.</t>
  </si>
  <si>
    <t>Construção por administração ou por empreitada unicamente de mão de obra ou com emprego parcial de materiais.</t>
  </si>
  <si>
    <t>Construção, recuperação, reforma, ampliação ou melhoramento de infraestrutura, no caso de contratos de concessão de serviços públicos, independentemente do emprego parcial ou total de materiais.</t>
  </si>
  <si>
    <t>Coleta e transporte de resíduos até aterros sanitários ou local de descarte.</t>
  </si>
  <si>
    <t>Prestação de serviço não mencionada anteriormente.</t>
  </si>
  <si>
    <t>Importante: Segundo Solução de Consulta Cosit 200/2015, a atividade de Representação Comercial, pacificamente tratada como uma atividade regulamentada, não se beneficia da redução da presunção para 16%</t>
  </si>
  <si>
    <t xml:space="preserve">Atividade </t>
  </si>
  <si>
    <t>Pessoas jurídicas prestadoras de serviços em geral</t>
  </si>
  <si>
    <t xml:space="preserve">IRPJ Percentual </t>
  </si>
  <si>
    <t xml:space="preserve">CSLL  Percentual </t>
  </si>
  <si>
    <t>Presunção IRPJ 8%</t>
  </si>
  <si>
    <t>Presunção CSLL 12%</t>
  </si>
  <si>
    <t>Presunção IRPJ 32%</t>
  </si>
  <si>
    <t>Presunção CSLL 32%</t>
  </si>
  <si>
    <t>DARF</t>
  </si>
  <si>
    <t xml:space="preserve"> Indústria </t>
  </si>
  <si>
    <t xml:space="preserve"> Empresa Comercial </t>
  </si>
  <si>
    <t>Transportadora</t>
  </si>
  <si>
    <t>(Atividade Regulamentada)</t>
  </si>
  <si>
    <t>NÃO FAÇA ASSIM</t>
  </si>
  <si>
    <t>NÃO FAÇA ASSIM VERSÃO 2</t>
  </si>
  <si>
    <t xml:space="preserve"> Prestação de Serviços (Médico)</t>
  </si>
  <si>
    <t>IRRJ Retido na FONTE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</si>
</sst>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2" tint="-0.749992370372631"/>
      <name val="Arial"/>
      <family val="2"/>
    </font>
    <font>
      <b/>
      <sz val="11"/>
      <color rgb="FF006100"/>
      <name val="Arial"/>
      <family val="2"/>
    </font>
    <font>
      <sz val="18"/>
      <color theme="0"/>
      <name val="Arial"/>
      <family val="2"/>
    </font>
    <font>
      <b/>
      <sz val="11"/>
      <color theme="1" tint="0.14999847407452621"/>
      <name val="Arial"/>
      <family val="2"/>
    </font>
    <font>
      <b/>
      <sz val="11"/>
      <color theme="1" tint="4.9989318521683403E-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sz val="26"/>
      <color theme="0"/>
      <name val="Arial"/>
      <family val="2"/>
    </font>
    <font>
      <b/>
      <sz val="18"/>
      <color theme="7" tint="-0.499984740745262"/>
      <name val="Arial"/>
      <family val="2"/>
    </font>
    <font>
      <sz val="18"/>
      <color theme="1"/>
      <name val="Arial"/>
      <family val="2"/>
    </font>
    <font>
      <b/>
      <sz val="2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2A6F77"/>
        <bgColor indexed="64"/>
      </patternFill>
    </fill>
    <fill>
      <patternFill patternType="solid">
        <fgColor rgb="FFADDCE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9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4" fontId="1" fillId="3" borderId="0" xfId="0" applyNumberFormat="1" applyFont="1" applyFill="1"/>
    <xf numFmtId="164" fontId="1" fillId="3" borderId="0" xfId="1" applyFont="1" applyFill="1"/>
    <xf numFmtId="0" fontId="10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8" fontId="1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8" fontId="8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8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8" fontId="11" fillId="0" borderId="0" xfId="0" applyNumberFormat="1" applyFont="1" applyFill="1" applyBorder="1" applyAlignment="1">
      <alignment horizontal="center" vertical="center" wrapText="1"/>
    </xf>
    <xf numFmtId="8" fontId="1" fillId="0" borderId="0" xfId="0" applyNumberFormat="1" applyFont="1" applyFill="1" applyBorder="1" applyAlignment="1">
      <alignment horizontal="center" vertical="center" wrapText="1"/>
    </xf>
    <xf numFmtId="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8" fontId="1" fillId="5" borderId="11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8" fontId="1" fillId="2" borderId="11" xfId="0" applyNumberFormat="1" applyFont="1" applyFill="1" applyBorder="1" applyAlignment="1">
      <alignment horizontal="center" vertical="center" wrapText="1"/>
    </xf>
    <xf numFmtId="9" fontId="1" fillId="2" borderId="11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8" fontId="1" fillId="5" borderId="13" xfId="0" applyNumberFormat="1" applyFont="1" applyFill="1" applyBorder="1" applyAlignment="1">
      <alignment horizontal="center" vertical="center" wrapText="1"/>
    </xf>
    <xf numFmtId="8" fontId="1" fillId="5" borderId="14" xfId="0" applyNumberFormat="1" applyFont="1" applyFill="1" applyBorder="1" applyAlignment="1">
      <alignment horizontal="center" vertical="center" wrapText="1"/>
    </xf>
    <xf numFmtId="44" fontId="1" fillId="3" borderId="0" xfId="0" applyNumberFormat="1" applyFont="1" applyFill="1"/>
    <xf numFmtId="0" fontId="16" fillId="3" borderId="0" xfId="0" applyFont="1" applyFill="1" applyAlignment="1">
      <alignment horizontal="center" vertical="center"/>
    </xf>
    <xf numFmtId="8" fontId="17" fillId="3" borderId="0" xfId="0" applyNumberFormat="1" applyFont="1" applyFill="1"/>
    <xf numFmtId="0" fontId="8" fillId="5" borderId="12" xfId="0" applyFont="1" applyFill="1" applyBorder="1" applyAlignment="1">
      <alignment horizontal="center" vertical="center" wrapText="1"/>
    </xf>
    <xf numFmtId="8" fontId="8" fillId="5" borderId="13" xfId="0" applyNumberFormat="1" applyFont="1" applyFill="1" applyBorder="1" applyAlignment="1">
      <alignment horizontal="center" vertical="center" wrapText="1"/>
    </xf>
    <xf numFmtId="8" fontId="8" fillId="5" borderId="14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8" fontId="1" fillId="5" borderId="0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9" fontId="2" fillId="5" borderId="6" xfId="0" applyNumberFormat="1" applyFont="1" applyFill="1" applyBorder="1" applyAlignment="1">
      <alignment horizontal="center" vertical="center"/>
    </xf>
    <xf numFmtId="9" fontId="2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9" fontId="2" fillId="5" borderId="6" xfId="0" applyNumberFormat="1" applyFont="1" applyFill="1" applyBorder="1" applyAlignment="1">
      <alignment horizontal="center" vertical="center" wrapText="1"/>
    </xf>
    <xf numFmtId="9" fontId="2" fillId="5" borderId="5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8" fontId="13" fillId="4" borderId="2" xfId="0" applyNumberFormat="1" applyFont="1" applyFill="1" applyBorder="1" applyAlignment="1">
      <alignment horizontal="center" vertical="center" wrapText="1"/>
    </xf>
    <xf numFmtId="8" fontId="13" fillId="4" borderId="3" xfId="0" applyNumberFormat="1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8" fontId="11" fillId="4" borderId="2" xfId="0" applyNumberFormat="1" applyFont="1" applyFill="1" applyBorder="1" applyAlignment="1">
      <alignment horizontal="center" vertical="center" wrapText="1"/>
    </xf>
    <xf numFmtId="8" fontId="11" fillId="4" borderId="9" xfId="0" applyNumberFormat="1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2A6F77"/>
      <color rgb="FFADDCE1"/>
      <color rgb="FFE8EDF9"/>
      <color rgb="FFF6F8FB"/>
      <color rgb="FF9FD1F7"/>
      <color rgb="FF8BC8F6"/>
      <color rgb="FF006100"/>
      <color rgb="FFC6EFCE"/>
      <color rgb="FF498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1"/>
  <sheetViews>
    <sheetView showGridLines="0" showRowColHeaders="0" zoomScale="115" zoomScaleNormal="115" workbookViewId="0">
      <selection activeCell="B2" sqref="B2:B3"/>
    </sheetView>
  </sheetViews>
  <sheetFormatPr defaultColWidth="49.42578125" defaultRowHeight="14.25" x14ac:dyDescent="0.2"/>
  <cols>
    <col min="1" max="1" width="2.85546875" style="1" customWidth="1"/>
    <col min="2" max="2" width="93.7109375" style="1" customWidth="1"/>
    <col min="3" max="3" width="16.42578125" style="2" customWidth="1"/>
    <col min="4" max="4" width="28.7109375" style="2" customWidth="1"/>
    <col min="5" max="5" width="17" style="2" customWidth="1"/>
    <col min="6" max="16384" width="49.42578125" style="1"/>
  </cols>
  <sheetData>
    <row r="1" spans="2:5" ht="9.75" customHeight="1" x14ac:dyDescent="0.2"/>
    <row r="2" spans="2:5" ht="62.25" customHeight="1" x14ac:dyDescent="0.2">
      <c r="B2" s="72" t="s">
        <v>31</v>
      </c>
      <c r="C2" s="67" t="s">
        <v>33</v>
      </c>
      <c r="D2" s="16" t="s">
        <v>32</v>
      </c>
      <c r="E2" s="67" t="s">
        <v>34</v>
      </c>
    </row>
    <row r="3" spans="2:5" ht="51" customHeight="1" x14ac:dyDescent="0.2">
      <c r="B3" s="73"/>
      <c r="C3" s="68"/>
      <c r="D3" s="16" t="s">
        <v>12</v>
      </c>
      <c r="E3" s="68"/>
    </row>
    <row r="4" spans="2:5" ht="38.25" customHeight="1" x14ac:dyDescent="0.2">
      <c r="B4" s="17" t="s">
        <v>13</v>
      </c>
      <c r="C4" s="18">
        <v>1.6E-2</v>
      </c>
      <c r="D4" s="19" t="s">
        <v>7</v>
      </c>
      <c r="E4" s="20">
        <v>0.12</v>
      </c>
    </row>
    <row r="5" spans="2:5" ht="19.5" customHeight="1" x14ac:dyDescent="0.2">
      <c r="B5" s="3" t="s">
        <v>14</v>
      </c>
      <c r="C5" s="4">
        <v>0.08</v>
      </c>
      <c r="D5" s="6" t="s">
        <v>7</v>
      </c>
      <c r="E5" s="5">
        <v>0.12</v>
      </c>
    </row>
    <row r="6" spans="2:5" ht="24.75" customHeight="1" x14ac:dyDescent="0.2">
      <c r="B6" s="17" t="s">
        <v>15</v>
      </c>
      <c r="C6" s="21">
        <v>0.08</v>
      </c>
      <c r="D6" s="22" t="s">
        <v>7</v>
      </c>
      <c r="E6" s="20">
        <v>0.12</v>
      </c>
    </row>
    <row r="7" spans="2:5" ht="22.5" customHeight="1" x14ac:dyDescent="0.2">
      <c r="B7" s="3" t="s">
        <v>16</v>
      </c>
      <c r="C7" s="4">
        <v>0.08</v>
      </c>
      <c r="D7" s="6"/>
      <c r="E7" s="5">
        <v>0.12</v>
      </c>
    </row>
    <row r="8" spans="2:5" ht="85.5" x14ac:dyDescent="0.2">
      <c r="B8" s="23" t="s">
        <v>17</v>
      </c>
      <c r="C8" s="74">
        <v>0.08</v>
      </c>
      <c r="D8" s="76" t="s">
        <v>7</v>
      </c>
      <c r="E8" s="69">
        <v>0.12</v>
      </c>
    </row>
    <row r="9" spans="2:5" ht="42.75" x14ac:dyDescent="0.2">
      <c r="B9" s="17" t="s">
        <v>18</v>
      </c>
      <c r="C9" s="75"/>
      <c r="D9" s="77"/>
      <c r="E9" s="70"/>
    </row>
    <row r="10" spans="2:5" ht="42.75" customHeight="1" x14ac:dyDescent="0.2">
      <c r="B10" s="3" t="s">
        <v>19</v>
      </c>
      <c r="C10" s="4">
        <v>0.08</v>
      </c>
      <c r="D10" s="6" t="s">
        <v>7</v>
      </c>
      <c r="E10" s="5">
        <v>0.12</v>
      </c>
    </row>
    <row r="11" spans="2:5" ht="42.75" x14ac:dyDescent="0.2">
      <c r="B11" s="17" t="s">
        <v>20</v>
      </c>
      <c r="C11" s="21">
        <v>0.08</v>
      </c>
      <c r="D11" s="22" t="s">
        <v>7</v>
      </c>
      <c r="E11" s="20">
        <v>0.12</v>
      </c>
    </row>
    <row r="12" spans="2:5" ht="28.5" x14ac:dyDescent="0.2">
      <c r="B12" s="3" t="s">
        <v>21</v>
      </c>
      <c r="C12" s="4">
        <v>0.08</v>
      </c>
      <c r="D12" s="6" t="s">
        <v>7</v>
      </c>
      <c r="E12" s="5">
        <v>0.12</v>
      </c>
    </row>
    <row r="13" spans="2:5" ht="15" x14ac:dyDescent="0.2">
      <c r="B13" s="17" t="s">
        <v>22</v>
      </c>
      <c r="C13" s="21">
        <v>0.16</v>
      </c>
      <c r="D13" s="22" t="s">
        <v>7</v>
      </c>
      <c r="E13" s="20">
        <v>0.12</v>
      </c>
    </row>
    <row r="14" spans="2:5" ht="15" x14ac:dyDescent="0.2">
      <c r="B14" s="3" t="s">
        <v>23</v>
      </c>
      <c r="C14" s="4">
        <v>0.32</v>
      </c>
      <c r="D14" s="6" t="s">
        <v>7</v>
      </c>
      <c r="E14" s="5">
        <v>0.32</v>
      </c>
    </row>
    <row r="15" spans="2:5" ht="26.25" customHeight="1" x14ac:dyDescent="0.2">
      <c r="B15" s="23" t="s">
        <v>24</v>
      </c>
      <c r="C15" s="74">
        <v>0.32</v>
      </c>
      <c r="D15" s="74">
        <v>0.16</v>
      </c>
      <c r="E15" s="69">
        <v>0.32</v>
      </c>
    </row>
    <row r="16" spans="2:5" ht="42.75" x14ac:dyDescent="0.2">
      <c r="B16" s="17" t="s">
        <v>30</v>
      </c>
      <c r="C16" s="75"/>
      <c r="D16" s="75"/>
      <c r="E16" s="71"/>
    </row>
    <row r="17" spans="2:5" ht="15" x14ac:dyDescent="0.2">
      <c r="B17" s="3" t="s">
        <v>25</v>
      </c>
      <c r="C17" s="4">
        <v>0.32</v>
      </c>
      <c r="D17" s="4">
        <v>0.16</v>
      </c>
      <c r="E17" s="5">
        <v>0.32</v>
      </c>
    </row>
    <row r="18" spans="2:5" ht="28.5" x14ac:dyDescent="0.2">
      <c r="B18" s="17" t="s">
        <v>26</v>
      </c>
      <c r="C18" s="21">
        <v>0.32</v>
      </c>
      <c r="D18" s="21">
        <v>0.16</v>
      </c>
      <c r="E18" s="20">
        <v>0.32</v>
      </c>
    </row>
    <row r="19" spans="2:5" ht="113.25" customHeight="1" x14ac:dyDescent="0.2">
      <c r="B19" s="3" t="s">
        <v>27</v>
      </c>
      <c r="C19" s="4">
        <v>0.32</v>
      </c>
      <c r="D19" s="4">
        <v>0.16</v>
      </c>
      <c r="E19" s="5">
        <v>0.32</v>
      </c>
    </row>
    <row r="20" spans="2:5" ht="51" customHeight="1" x14ac:dyDescent="0.2">
      <c r="B20" s="17" t="s">
        <v>28</v>
      </c>
      <c r="C20" s="21">
        <v>0.32</v>
      </c>
      <c r="D20" s="21">
        <v>0.16</v>
      </c>
      <c r="E20" s="20">
        <v>0.32</v>
      </c>
    </row>
    <row r="21" spans="2:5" ht="40.5" customHeight="1" x14ac:dyDescent="0.2">
      <c r="B21" s="3" t="s">
        <v>29</v>
      </c>
      <c r="C21" s="4">
        <v>0.32</v>
      </c>
      <c r="D21" s="6" t="s">
        <v>7</v>
      </c>
      <c r="E21" s="5">
        <v>0.32</v>
      </c>
    </row>
  </sheetData>
  <mergeCells count="9">
    <mergeCell ref="E2:E3"/>
    <mergeCell ref="E8:E9"/>
    <mergeCell ref="E15:E16"/>
    <mergeCell ref="B2:B3"/>
    <mergeCell ref="C2:C3"/>
    <mergeCell ref="C8:C9"/>
    <mergeCell ref="D8:D9"/>
    <mergeCell ref="C15:C16"/>
    <mergeCell ref="D15:D16"/>
  </mergeCells>
  <pageMargins left="0.19685039370078741" right="0.19685039370078741" top="0.39370078740157483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5"/>
  <sheetViews>
    <sheetView zoomScaleNormal="100" workbookViewId="0">
      <selection activeCell="B2" sqref="B2:D2"/>
    </sheetView>
  </sheetViews>
  <sheetFormatPr defaultRowHeight="14.25" x14ac:dyDescent="0.2"/>
  <cols>
    <col min="1" max="1" width="2.140625" style="7" customWidth="1"/>
    <col min="2" max="2" width="37.7109375" style="7" bestFit="1" customWidth="1"/>
    <col min="3" max="4" width="29.85546875" style="7" customWidth="1"/>
    <col min="5" max="5" width="16.85546875" style="7" customWidth="1"/>
    <col min="6" max="16384" width="9.140625" style="7"/>
  </cols>
  <sheetData>
    <row r="2" spans="2:5" ht="80.25" customHeight="1" x14ac:dyDescent="0.2">
      <c r="B2" s="78" t="s">
        <v>41</v>
      </c>
      <c r="C2" s="78"/>
      <c r="D2" s="78"/>
    </row>
    <row r="3" spans="2:5" s="1" customFormat="1" ht="1.5" customHeight="1" x14ac:dyDescent="0.2">
      <c r="B3" s="8"/>
      <c r="C3" s="9"/>
      <c r="D3" s="10"/>
    </row>
    <row r="4" spans="2:5" ht="32.25" customHeight="1" x14ac:dyDescent="0.2">
      <c r="B4" s="24" t="s">
        <v>0</v>
      </c>
      <c r="C4" s="24" t="s">
        <v>1</v>
      </c>
      <c r="D4" s="24" t="s">
        <v>2</v>
      </c>
    </row>
    <row r="5" spans="2:5" s="1" customFormat="1" ht="1.5" customHeight="1" x14ac:dyDescent="0.2">
      <c r="B5" s="11"/>
      <c r="C5" s="12"/>
      <c r="D5" s="13"/>
    </row>
    <row r="6" spans="2:5" ht="35.1" customHeight="1" x14ac:dyDescent="0.2">
      <c r="B6" s="32" t="s">
        <v>3</v>
      </c>
      <c r="C6" s="79">
        <v>695730</v>
      </c>
      <c r="D6" s="80"/>
      <c r="E6" s="14"/>
    </row>
    <row r="7" spans="2:5" ht="35.1" customHeight="1" x14ac:dyDescent="0.2">
      <c r="B7" s="29" t="s">
        <v>35</v>
      </c>
      <c r="C7" s="30">
        <f>C6*8%</f>
        <v>55658.400000000001</v>
      </c>
      <c r="D7" s="30"/>
      <c r="E7" s="15"/>
    </row>
    <row r="8" spans="2:5" ht="35.1" customHeight="1" x14ac:dyDescent="0.2">
      <c r="B8" s="25" t="s">
        <v>36</v>
      </c>
      <c r="C8" s="26"/>
      <c r="D8" s="26">
        <f>C6*12%</f>
        <v>83487.599999999991</v>
      </c>
    </row>
    <row r="9" spans="2:5" ht="35.1" customHeight="1" x14ac:dyDescent="0.2">
      <c r="B9" s="29" t="s">
        <v>5</v>
      </c>
      <c r="C9" s="30">
        <f>C7</f>
        <v>55658.400000000001</v>
      </c>
      <c r="D9" s="30">
        <f>D8</f>
        <v>83487.599999999991</v>
      </c>
    </row>
    <row r="10" spans="2:5" ht="35.1" customHeight="1" x14ac:dyDescent="0.2">
      <c r="B10" s="25" t="s">
        <v>6</v>
      </c>
      <c r="C10" s="26">
        <v>0</v>
      </c>
      <c r="D10" s="26">
        <v>0</v>
      </c>
    </row>
    <row r="11" spans="2:5" ht="35.1" customHeight="1" x14ac:dyDescent="0.2">
      <c r="B11" s="29" t="s">
        <v>8</v>
      </c>
      <c r="C11" s="31">
        <v>0.15</v>
      </c>
      <c r="D11" s="31">
        <v>0.09</v>
      </c>
    </row>
    <row r="12" spans="2:5" ht="35.1" customHeight="1" x14ac:dyDescent="0.2">
      <c r="B12" s="25" t="s">
        <v>9</v>
      </c>
      <c r="C12" s="26">
        <f>C9*C11</f>
        <v>8348.76</v>
      </c>
      <c r="D12" s="26">
        <f>D9*D11</f>
        <v>7513.8839999999991</v>
      </c>
    </row>
    <row r="13" spans="2:5" ht="35.1" customHeight="1" x14ac:dyDescent="0.2">
      <c r="B13" s="29" t="s">
        <v>10</v>
      </c>
      <c r="C13" s="30">
        <v>0</v>
      </c>
      <c r="D13" s="29">
        <v>0</v>
      </c>
    </row>
    <row r="14" spans="2:5" ht="35.1" customHeight="1" x14ac:dyDescent="0.2">
      <c r="B14" s="27" t="s">
        <v>11</v>
      </c>
      <c r="C14" s="28">
        <f>C12</f>
        <v>8348.76</v>
      </c>
      <c r="D14" s="28">
        <f>D12</f>
        <v>7513.8839999999991</v>
      </c>
    </row>
    <row r="15" spans="2:5" ht="37.5" customHeight="1" x14ac:dyDescent="0.2">
      <c r="B15" s="60" t="s">
        <v>39</v>
      </c>
      <c r="C15" s="60">
        <v>2089</v>
      </c>
      <c r="D15" s="60">
        <v>2372</v>
      </c>
    </row>
  </sheetData>
  <mergeCells count="2">
    <mergeCell ref="B2:D2"/>
    <mergeCell ref="C6:D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2"/>
  <sheetViews>
    <sheetView showGridLines="0" zoomScaleNormal="100" workbookViewId="0">
      <selection activeCell="B2" sqref="B2:D2"/>
    </sheetView>
  </sheetViews>
  <sheetFormatPr defaultRowHeight="14.25" x14ac:dyDescent="0.2"/>
  <cols>
    <col min="1" max="1" width="3" style="7" customWidth="1"/>
    <col min="2" max="2" width="37.7109375" style="7" bestFit="1" customWidth="1"/>
    <col min="3" max="4" width="29.85546875" style="7" customWidth="1"/>
    <col min="5" max="5" width="13" style="41" customWidth="1"/>
    <col min="6" max="16384" width="9.140625" style="7"/>
  </cols>
  <sheetData>
    <row r="1" spans="2:5" ht="15" thickBot="1" x14ac:dyDescent="0.25"/>
    <row r="2" spans="2:5" ht="80.25" customHeight="1" x14ac:dyDescent="0.2">
      <c r="B2" s="81" t="s">
        <v>40</v>
      </c>
      <c r="C2" s="82"/>
      <c r="D2" s="83"/>
      <c r="E2" s="34"/>
    </row>
    <row r="3" spans="2:5" s="1" customFormat="1" ht="3" customHeight="1" x14ac:dyDescent="0.2">
      <c r="B3" s="43"/>
      <c r="C3" s="9"/>
      <c r="D3" s="44"/>
      <c r="E3" s="35"/>
    </row>
    <row r="4" spans="2:5" ht="32.25" customHeight="1" x14ac:dyDescent="0.2">
      <c r="B4" s="45" t="s">
        <v>0</v>
      </c>
      <c r="C4" s="33" t="s">
        <v>1</v>
      </c>
      <c r="D4" s="46" t="s">
        <v>2</v>
      </c>
      <c r="E4" s="42"/>
    </row>
    <row r="5" spans="2:5" s="1" customFormat="1" ht="3" customHeight="1" x14ac:dyDescent="0.2">
      <c r="B5" s="47"/>
      <c r="C5" s="12"/>
      <c r="D5" s="48"/>
      <c r="E5" s="36"/>
    </row>
    <row r="6" spans="2:5" ht="35.1" customHeight="1" x14ac:dyDescent="0.2">
      <c r="B6" s="49" t="s">
        <v>3</v>
      </c>
      <c r="C6" s="84">
        <v>1832364</v>
      </c>
      <c r="D6" s="85"/>
      <c r="E6" s="37"/>
    </row>
    <row r="7" spans="2:5" ht="35.1" customHeight="1" x14ac:dyDescent="0.2">
      <c r="B7" s="50" t="s">
        <v>35</v>
      </c>
      <c r="C7" s="26">
        <f>C6*8%</f>
        <v>146589.12</v>
      </c>
      <c r="D7" s="51"/>
      <c r="E7" s="38"/>
    </row>
    <row r="8" spans="2:5" ht="35.1" customHeight="1" x14ac:dyDescent="0.2">
      <c r="B8" s="52" t="s">
        <v>36</v>
      </c>
      <c r="C8" s="30"/>
      <c r="D8" s="53">
        <f>C6*12%</f>
        <v>219883.68</v>
      </c>
      <c r="E8" s="38"/>
    </row>
    <row r="9" spans="2:5" ht="35.1" customHeight="1" x14ac:dyDescent="0.2">
      <c r="B9" s="50" t="s">
        <v>4</v>
      </c>
      <c r="C9" s="26">
        <v>0</v>
      </c>
      <c r="D9" s="51">
        <v>0</v>
      </c>
      <c r="E9" s="38"/>
    </row>
    <row r="10" spans="2:5" ht="35.1" customHeight="1" x14ac:dyDescent="0.2">
      <c r="B10" s="52" t="s">
        <v>5</v>
      </c>
      <c r="C10" s="30">
        <f>C7</f>
        <v>146589.12</v>
      </c>
      <c r="D10" s="53">
        <f>D8</f>
        <v>219883.68</v>
      </c>
      <c r="E10" s="38"/>
    </row>
    <row r="11" spans="2:5" ht="35.1" customHeight="1" x14ac:dyDescent="0.2">
      <c r="B11" s="50" t="s">
        <v>6</v>
      </c>
      <c r="C11" s="26">
        <f>C10-60000</f>
        <v>86589.119999999995</v>
      </c>
      <c r="D11" s="51"/>
      <c r="E11" s="38"/>
    </row>
    <row r="12" spans="2:5" ht="35.1" customHeight="1" x14ac:dyDescent="0.2">
      <c r="B12" s="52" t="s">
        <v>8</v>
      </c>
      <c r="C12" s="31">
        <v>0.15</v>
      </c>
      <c r="D12" s="54">
        <v>0.09</v>
      </c>
      <c r="E12" s="39"/>
    </row>
    <row r="13" spans="2:5" ht="35.1" customHeight="1" x14ac:dyDescent="0.2">
      <c r="B13" s="50" t="s">
        <v>9</v>
      </c>
      <c r="C13" s="26">
        <f>C10*C12</f>
        <v>21988.367999999999</v>
      </c>
      <c r="D13" s="51">
        <f>D10*D12</f>
        <v>19789.531199999998</v>
      </c>
      <c r="E13" s="38"/>
    </row>
    <row r="14" spans="2:5" ht="35.1" customHeight="1" x14ac:dyDescent="0.2">
      <c r="B14" s="52" t="s">
        <v>10</v>
      </c>
      <c r="C14" s="30">
        <f>C11*10%</f>
        <v>8658.9120000000003</v>
      </c>
      <c r="D14" s="55">
        <v>0</v>
      </c>
      <c r="E14" s="40"/>
    </row>
    <row r="15" spans="2:5" ht="35.1" customHeight="1" thickBot="1" x14ac:dyDescent="0.25">
      <c r="B15" s="62" t="s">
        <v>11</v>
      </c>
      <c r="C15" s="63">
        <f>C13+C14</f>
        <v>30647.279999999999</v>
      </c>
      <c r="D15" s="64">
        <f>D13</f>
        <v>19789.531199999998</v>
      </c>
      <c r="E15" s="38"/>
    </row>
    <row r="16" spans="2:5" ht="29.25" customHeight="1" x14ac:dyDescent="0.2">
      <c r="B16" s="60" t="s">
        <v>39</v>
      </c>
      <c r="C16" s="60">
        <v>2089</v>
      </c>
      <c r="D16" s="60">
        <v>2372</v>
      </c>
    </row>
    <row r="17" spans="3:4" x14ac:dyDescent="0.2">
      <c r="C17" s="59"/>
    </row>
    <row r="22" spans="3:4" ht="23.25" x14ac:dyDescent="0.35">
      <c r="D22" s="61" t="e">
        <f>C15-#REF!</f>
        <v>#REF!</v>
      </c>
    </row>
  </sheetData>
  <mergeCells count="2">
    <mergeCell ref="B2:D2"/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20"/>
  <sheetViews>
    <sheetView zoomScaleNormal="100" workbookViewId="0">
      <selection activeCell="B3" sqref="B3:D3"/>
    </sheetView>
  </sheetViews>
  <sheetFormatPr defaultRowHeight="14.25" x14ac:dyDescent="0.2"/>
  <cols>
    <col min="1" max="1" width="3.42578125" style="7" customWidth="1"/>
    <col min="2" max="2" width="37.7109375" style="7" bestFit="1" customWidth="1"/>
    <col min="3" max="4" width="29.85546875" style="7" customWidth="1"/>
    <col min="5" max="5" width="16.28515625" style="7" customWidth="1"/>
    <col min="6" max="6" width="36.7109375" style="7" bestFit="1" customWidth="1"/>
    <col min="7" max="7" width="19" style="7" customWidth="1"/>
    <col min="8" max="8" width="23.5703125" style="7" customWidth="1"/>
    <col min="9" max="10" width="9.140625" style="7"/>
    <col min="11" max="11" width="36.7109375" style="7" bestFit="1" customWidth="1"/>
    <col min="12" max="12" width="17.28515625" style="7" customWidth="1"/>
    <col min="13" max="13" width="22.85546875" style="7" customWidth="1"/>
    <col min="14" max="14" width="19.42578125" style="7" customWidth="1"/>
    <col min="15" max="16384" width="9.140625" style="7"/>
  </cols>
  <sheetData>
    <row r="2" spans="2:13" ht="15" thickBot="1" x14ac:dyDescent="0.25"/>
    <row r="3" spans="2:13" ht="41.25" customHeight="1" x14ac:dyDescent="0.2">
      <c r="B3" s="86" t="s">
        <v>46</v>
      </c>
      <c r="C3" s="87"/>
      <c r="D3" s="88"/>
      <c r="F3" s="86" t="s">
        <v>46</v>
      </c>
      <c r="G3" s="87"/>
      <c r="H3" s="88"/>
      <c r="K3" s="86" t="s">
        <v>46</v>
      </c>
      <c r="L3" s="87"/>
      <c r="M3" s="88"/>
    </row>
    <row r="4" spans="2:13" ht="26.25" customHeight="1" x14ac:dyDescent="0.2">
      <c r="B4" s="92" t="s">
        <v>43</v>
      </c>
      <c r="C4" s="93"/>
      <c r="D4" s="94"/>
      <c r="F4" s="89" t="s">
        <v>44</v>
      </c>
      <c r="G4" s="90"/>
      <c r="H4" s="91"/>
      <c r="K4" s="89" t="s">
        <v>45</v>
      </c>
      <c r="L4" s="90"/>
      <c r="M4" s="91"/>
    </row>
    <row r="5" spans="2:13" s="1" customFormat="1" ht="3" customHeight="1" x14ac:dyDescent="0.2">
      <c r="B5" s="43"/>
      <c r="C5" s="9"/>
      <c r="D5" s="44"/>
      <c r="F5" s="43"/>
      <c r="G5" s="9"/>
      <c r="H5" s="44"/>
      <c r="K5" s="43"/>
      <c r="L5" s="9"/>
      <c r="M5" s="44"/>
    </row>
    <row r="6" spans="2:13" ht="32.25" customHeight="1" x14ac:dyDescent="0.2">
      <c r="B6" s="45" t="s">
        <v>0</v>
      </c>
      <c r="C6" s="33" t="s">
        <v>1</v>
      </c>
      <c r="D6" s="46" t="s">
        <v>2</v>
      </c>
      <c r="F6" s="45" t="s">
        <v>0</v>
      </c>
      <c r="G6" s="33" t="s">
        <v>1</v>
      </c>
      <c r="H6" s="46" t="s">
        <v>2</v>
      </c>
      <c r="K6" s="45" t="s">
        <v>0</v>
      </c>
      <c r="L6" s="33" t="s">
        <v>1</v>
      </c>
      <c r="M6" s="46" t="s">
        <v>2</v>
      </c>
    </row>
    <row r="7" spans="2:13" s="1" customFormat="1" ht="3" customHeight="1" x14ac:dyDescent="0.2">
      <c r="B7" s="47"/>
      <c r="C7" s="12"/>
      <c r="D7" s="48"/>
      <c r="F7" s="47"/>
      <c r="G7" s="12"/>
      <c r="H7" s="48"/>
      <c r="K7" s="47"/>
      <c r="L7" s="12"/>
      <c r="M7" s="48"/>
    </row>
    <row r="8" spans="2:13" ht="35.1" customHeight="1" x14ac:dyDescent="0.2">
      <c r="B8" s="49" t="s">
        <v>3</v>
      </c>
      <c r="C8" s="84">
        <v>170000</v>
      </c>
      <c r="D8" s="85"/>
      <c r="F8" s="49" t="s">
        <v>3</v>
      </c>
      <c r="G8" s="84">
        <v>185000</v>
      </c>
      <c r="H8" s="85"/>
      <c r="K8" s="49" t="s">
        <v>3</v>
      </c>
      <c r="L8" s="84">
        <v>170000</v>
      </c>
      <c r="M8" s="85"/>
    </row>
    <row r="9" spans="2:13" ht="35.1" customHeight="1" x14ac:dyDescent="0.2">
      <c r="B9" s="50" t="s">
        <v>37</v>
      </c>
      <c r="C9" s="26">
        <f>C8*32%</f>
        <v>54400</v>
      </c>
      <c r="D9" s="51"/>
      <c r="F9" s="50" t="s">
        <v>37</v>
      </c>
      <c r="G9" s="26">
        <f>G8*32%</f>
        <v>59200</v>
      </c>
      <c r="H9" s="51"/>
      <c r="K9" s="50" t="s">
        <v>37</v>
      </c>
      <c r="L9" s="26">
        <f>L8*32%</f>
        <v>54400</v>
      </c>
      <c r="M9" s="51"/>
    </row>
    <row r="10" spans="2:13" ht="35.1" customHeight="1" x14ac:dyDescent="0.2">
      <c r="B10" s="52" t="s">
        <v>38</v>
      </c>
      <c r="C10" s="30"/>
      <c r="D10" s="53">
        <f>C8*32%</f>
        <v>54400</v>
      </c>
      <c r="F10" s="52" t="s">
        <v>38</v>
      </c>
      <c r="G10" s="30"/>
      <c r="H10" s="53">
        <f>G8*32%</f>
        <v>59200</v>
      </c>
      <c r="K10" s="52" t="s">
        <v>38</v>
      </c>
      <c r="L10" s="30"/>
      <c r="M10" s="53">
        <f>L8*32%</f>
        <v>54400</v>
      </c>
    </row>
    <row r="11" spans="2:13" ht="35.1" customHeight="1" x14ac:dyDescent="0.2">
      <c r="B11" s="50" t="s">
        <v>4</v>
      </c>
      <c r="C11" s="26">
        <v>15000</v>
      </c>
      <c r="D11" s="51">
        <v>15000</v>
      </c>
      <c r="F11" s="50" t="s">
        <v>4</v>
      </c>
      <c r="G11" s="26">
        <v>0</v>
      </c>
      <c r="H11" s="51">
        <v>0</v>
      </c>
      <c r="K11" s="50" t="s">
        <v>4</v>
      </c>
      <c r="L11" s="26">
        <v>0</v>
      </c>
      <c r="M11" s="51">
        <v>0</v>
      </c>
    </row>
    <row r="12" spans="2:13" ht="35.1" customHeight="1" x14ac:dyDescent="0.2">
      <c r="B12" s="52" t="s">
        <v>5</v>
      </c>
      <c r="C12" s="30">
        <f>C9+C11</f>
        <v>69400</v>
      </c>
      <c r="D12" s="53">
        <f>D10+D11</f>
        <v>69400</v>
      </c>
      <c r="F12" s="52" t="s">
        <v>5</v>
      </c>
      <c r="G12" s="30">
        <f>G9</f>
        <v>59200</v>
      </c>
      <c r="H12" s="53">
        <f>H10</f>
        <v>59200</v>
      </c>
      <c r="K12" s="52" t="s">
        <v>5</v>
      </c>
      <c r="L12" s="30">
        <f>L9</f>
        <v>54400</v>
      </c>
      <c r="M12" s="53">
        <f>M10</f>
        <v>54400</v>
      </c>
    </row>
    <row r="13" spans="2:13" ht="35.1" customHeight="1" x14ac:dyDescent="0.2">
      <c r="B13" s="50" t="s">
        <v>6</v>
      </c>
      <c r="C13" s="26">
        <f>C12-60000</f>
        <v>9400</v>
      </c>
      <c r="D13" s="51"/>
      <c r="F13" s="50" t="s">
        <v>6</v>
      </c>
      <c r="G13" s="26">
        <v>0</v>
      </c>
      <c r="H13" s="51"/>
      <c r="K13" s="50" t="s">
        <v>6</v>
      </c>
      <c r="L13" s="26">
        <v>0</v>
      </c>
      <c r="M13" s="51"/>
    </row>
    <row r="14" spans="2:13" ht="35.1" customHeight="1" x14ac:dyDescent="0.2">
      <c r="B14" s="52" t="s">
        <v>8</v>
      </c>
      <c r="C14" s="31">
        <v>0.15</v>
      </c>
      <c r="D14" s="54">
        <v>0.09</v>
      </c>
      <c r="F14" s="52" t="s">
        <v>8</v>
      </c>
      <c r="G14" s="31">
        <v>0.15</v>
      </c>
      <c r="H14" s="54">
        <v>0.09</v>
      </c>
      <c r="K14" s="52" t="s">
        <v>8</v>
      </c>
      <c r="L14" s="31">
        <v>0.15</v>
      </c>
      <c r="M14" s="54">
        <v>0.09</v>
      </c>
    </row>
    <row r="15" spans="2:13" ht="35.1" customHeight="1" x14ac:dyDescent="0.2">
      <c r="B15" s="50" t="s">
        <v>9</v>
      </c>
      <c r="C15" s="26">
        <f>C12*C14</f>
        <v>10410</v>
      </c>
      <c r="D15" s="51">
        <f>D12*D14</f>
        <v>6246</v>
      </c>
      <c r="F15" s="50" t="s">
        <v>9</v>
      </c>
      <c r="G15" s="26">
        <f>G12*G14</f>
        <v>8880</v>
      </c>
      <c r="H15" s="51">
        <f>H12*H14</f>
        <v>5328</v>
      </c>
      <c r="K15" s="50" t="s">
        <v>9</v>
      </c>
      <c r="L15" s="26">
        <f>L12*L14</f>
        <v>8160</v>
      </c>
      <c r="M15" s="51">
        <f>M12*9%</f>
        <v>4896</v>
      </c>
    </row>
    <row r="16" spans="2:13" ht="35.1" customHeight="1" x14ac:dyDescent="0.2">
      <c r="B16" s="52" t="s">
        <v>10</v>
      </c>
      <c r="C16" s="30">
        <f>C13*10%</f>
        <v>940</v>
      </c>
      <c r="D16" s="55">
        <v>0</v>
      </c>
      <c r="F16" s="52" t="s">
        <v>10</v>
      </c>
      <c r="G16" s="30">
        <v>0</v>
      </c>
      <c r="H16" s="55">
        <v>0</v>
      </c>
      <c r="K16" s="52" t="s">
        <v>10</v>
      </c>
      <c r="L16" s="30">
        <v>0</v>
      </c>
      <c r="M16" s="55">
        <v>0</v>
      </c>
    </row>
    <row r="17" spans="2:13" ht="35.1" customHeight="1" thickBot="1" x14ac:dyDescent="0.25">
      <c r="B17" s="56" t="s">
        <v>11</v>
      </c>
      <c r="C17" s="57">
        <f>C15+C16</f>
        <v>11350</v>
      </c>
      <c r="D17" s="58">
        <f>D15</f>
        <v>6246</v>
      </c>
      <c r="F17" s="56" t="s">
        <v>11</v>
      </c>
      <c r="G17" s="57">
        <f>G15</f>
        <v>8880</v>
      </c>
      <c r="H17" s="58">
        <f>H15</f>
        <v>5328</v>
      </c>
      <c r="K17" s="56" t="s">
        <v>11</v>
      </c>
      <c r="L17" s="57">
        <f>L15</f>
        <v>8160</v>
      </c>
      <c r="M17" s="58">
        <f>M15</f>
        <v>4896</v>
      </c>
    </row>
    <row r="18" spans="2:13" ht="35.1" customHeight="1" x14ac:dyDescent="0.2">
      <c r="B18" s="65" t="s">
        <v>47</v>
      </c>
      <c r="C18" s="66">
        <v>1000</v>
      </c>
      <c r="D18" s="66"/>
      <c r="F18" s="65"/>
      <c r="G18" s="66"/>
      <c r="H18" s="66"/>
      <c r="K18" s="65"/>
      <c r="L18" s="66"/>
      <c r="M18" s="66"/>
    </row>
    <row r="19" spans="2:13" ht="35.1" customHeight="1" x14ac:dyDescent="0.2">
      <c r="B19" s="65"/>
      <c r="C19" s="66">
        <f>C17-C18</f>
        <v>10350</v>
      </c>
      <c r="D19" s="66">
        <f>D17</f>
        <v>6246</v>
      </c>
      <c r="F19" s="65"/>
      <c r="G19" s="66"/>
      <c r="H19" s="66"/>
      <c r="K19" s="65"/>
      <c r="L19" s="66"/>
      <c r="M19" s="66"/>
    </row>
    <row r="20" spans="2:13" ht="35.1" customHeight="1" x14ac:dyDescent="0.2">
      <c r="B20" s="60" t="s">
        <v>39</v>
      </c>
      <c r="C20" s="60">
        <v>2089</v>
      </c>
      <c r="D20" s="60">
        <v>2372</v>
      </c>
    </row>
  </sheetData>
  <mergeCells count="9">
    <mergeCell ref="K3:M3"/>
    <mergeCell ref="K4:M4"/>
    <mergeCell ref="L8:M8"/>
    <mergeCell ref="B3:D3"/>
    <mergeCell ref="C8:D8"/>
    <mergeCell ref="B4:D4"/>
    <mergeCell ref="F3:H3"/>
    <mergeCell ref="F4:H4"/>
    <mergeCell ref="G8:H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6"/>
  <sheetViews>
    <sheetView tabSelected="1" zoomScaleNormal="100" workbookViewId="0">
      <selection activeCell="B2" sqref="B2:D2"/>
    </sheetView>
  </sheetViews>
  <sheetFormatPr defaultRowHeight="14.25" x14ac:dyDescent="0.2"/>
  <cols>
    <col min="1" max="1" width="3.5703125" style="7" customWidth="1"/>
    <col min="2" max="2" width="41" style="7" customWidth="1"/>
    <col min="3" max="4" width="29.85546875" style="7" customWidth="1"/>
    <col min="5" max="16384" width="9.140625" style="7"/>
  </cols>
  <sheetData>
    <row r="1" spans="2:4" ht="15" thickBot="1" x14ac:dyDescent="0.25"/>
    <row r="2" spans="2:4" ht="80.25" customHeight="1" x14ac:dyDescent="0.2">
      <c r="B2" s="95" t="s">
        <v>42</v>
      </c>
      <c r="C2" s="96"/>
      <c r="D2" s="97"/>
    </row>
    <row r="3" spans="2:4" s="1" customFormat="1" ht="3" customHeight="1" x14ac:dyDescent="0.2">
      <c r="B3" s="43"/>
      <c r="C3" s="9"/>
      <c r="D3" s="44"/>
    </row>
    <row r="4" spans="2:4" ht="32.25" customHeight="1" x14ac:dyDescent="0.2">
      <c r="B4" s="45" t="s">
        <v>0</v>
      </c>
      <c r="C4" s="33" t="s">
        <v>1</v>
      </c>
      <c r="D4" s="46" t="s">
        <v>2</v>
      </c>
    </row>
    <row r="5" spans="2:4" s="1" customFormat="1" ht="3" customHeight="1" x14ac:dyDescent="0.2">
      <c r="B5" s="47"/>
      <c r="C5" s="12"/>
      <c r="D5" s="48"/>
    </row>
    <row r="6" spans="2:4" ht="35.1" customHeight="1" x14ac:dyDescent="0.2">
      <c r="B6" s="49" t="s">
        <v>3</v>
      </c>
      <c r="C6" s="84">
        <v>918741</v>
      </c>
      <c r="D6" s="85"/>
    </row>
    <row r="7" spans="2:4" ht="35.1" customHeight="1" x14ac:dyDescent="0.2">
      <c r="B7" s="50" t="s">
        <v>35</v>
      </c>
      <c r="C7" s="26">
        <f>C6*8%</f>
        <v>73499.28</v>
      </c>
      <c r="D7" s="51"/>
    </row>
    <row r="8" spans="2:4" ht="35.1" customHeight="1" x14ac:dyDescent="0.2">
      <c r="B8" s="52" t="s">
        <v>36</v>
      </c>
      <c r="C8" s="30"/>
      <c r="D8" s="53">
        <f>C6*12%</f>
        <v>110248.92</v>
      </c>
    </row>
    <row r="9" spans="2:4" ht="35.1" customHeight="1" x14ac:dyDescent="0.2">
      <c r="B9" s="50" t="s">
        <v>4</v>
      </c>
      <c r="C9" s="26">
        <v>120000</v>
      </c>
      <c r="D9" s="51">
        <v>120000</v>
      </c>
    </row>
    <row r="10" spans="2:4" ht="35.1" customHeight="1" x14ac:dyDescent="0.2">
      <c r="B10" s="52" t="s">
        <v>5</v>
      </c>
      <c r="C10" s="30">
        <f>C7+C9</f>
        <v>193499.28</v>
      </c>
      <c r="D10" s="53">
        <f>D8+D9</f>
        <v>230248.91999999998</v>
      </c>
    </row>
    <row r="11" spans="2:4" ht="35.1" customHeight="1" x14ac:dyDescent="0.2">
      <c r="B11" s="50" t="s">
        <v>6</v>
      </c>
      <c r="C11" s="26">
        <f>C10-60000</f>
        <v>133499.28</v>
      </c>
      <c r="D11" s="51"/>
    </row>
    <row r="12" spans="2:4" ht="35.1" customHeight="1" x14ac:dyDescent="0.2">
      <c r="B12" s="52" t="s">
        <v>8</v>
      </c>
      <c r="C12" s="31">
        <v>0.15</v>
      </c>
      <c r="D12" s="54">
        <v>0.09</v>
      </c>
    </row>
    <row r="13" spans="2:4" ht="35.1" customHeight="1" x14ac:dyDescent="0.2">
      <c r="B13" s="50" t="s">
        <v>9</v>
      </c>
      <c r="C13" s="26">
        <f>C10*C12</f>
        <v>29024.892</v>
      </c>
      <c r="D13" s="51">
        <f>D10*9%</f>
        <v>20722.402799999996</v>
      </c>
    </row>
    <row r="14" spans="2:4" ht="35.1" customHeight="1" x14ac:dyDescent="0.2">
      <c r="B14" s="52" t="s">
        <v>10</v>
      </c>
      <c r="C14" s="30">
        <f>C11*10%</f>
        <v>13349.928</v>
      </c>
      <c r="D14" s="55">
        <v>0</v>
      </c>
    </row>
    <row r="15" spans="2:4" ht="39" customHeight="1" thickBot="1" x14ac:dyDescent="0.25">
      <c r="B15" s="56" t="s">
        <v>11</v>
      </c>
      <c r="C15" s="63">
        <f>C13+C14</f>
        <v>42374.82</v>
      </c>
      <c r="D15" s="64">
        <f>D13</f>
        <v>20722.402799999996</v>
      </c>
    </row>
    <row r="16" spans="2:4" ht="23.25" x14ac:dyDescent="0.2">
      <c r="B16" s="60" t="s">
        <v>39</v>
      </c>
      <c r="C16" s="60">
        <v>2089</v>
      </c>
      <c r="D16" s="60">
        <v>2372</v>
      </c>
    </row>
  </sheetData>
  <mergeCells count="2">
    <mergeCell ref="B2:D2"/>
    <mergeCell ref="C6:D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Atividades</vt:lpstr>
      <vt:lpstr>Comercial</vt:lpstr>
      <vt:lpstr>Indústria</vt:lpstr>
      <vt:lpstr>Prestação de Serviço </vt:lpstr>
      <vt:lpstr>Transportadora de Cargas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Gonçalves</dc:creator>
  <cp:lastModifiedBy>Usuário</cp:lastModifiedBy>
  <cp:lastPrinted>2020-05-06T23:37:31Z</cp:lastPrinted>
  <dcterms:created xsi:type="dcterms:W3CDTF">2020-04-28T15:18:17Z</dcterms:created>
  <dcterms:modified xsi:type="dcterms:W3CDTF">2022-01-19T02:11:57Z</dcterms:modified>
</cp:coreProperties>
</file>