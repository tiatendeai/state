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730"/>
  <workbookPr/>
  <mc:AlternateContent xmlns:mc="http://schemas.openxmlformats.org/markup-compatibility/2006">
    <mc:Choice Requires="x15">
      <x15ac:absPath xmlns:x15ac="http://schemas.microsoft.com/office/spreadsheetml/2010/11/ac" url="D:\Windows\ServiceProfiles\NetworkService\AppData\Local\Packages\oice_16_974fa576_32c1d314_2f13\AC\Temp\"/>
    </mc:Choice>
  </mc:AlternateContent>
  <xr:revisionPtr revIDLastSave="0" documentId="8_{36DA0CBE-A295-D947-86DE-E44078700276}" xr6:coauthVersionLast="36" xr6:coauthVersionMax="36" xr10:uidLastSave="{00000000-0000-0000-0000-000000000000}"/>
  <bookViews>
    <workbookView xWindow="32760" yWindow="32760" windowWidth="16380" windowHeight="8190" tabRatio="391" xr2:uid="{00000000-000D-0000-FFFF-FFFF00000000}"/>
  </bookViews>
  <sheets>
    <sheet name="dadosgerais" sheetId="1" r:id="rId1"/>
    <sheet name="calculocusto" sheetId="2" r:id="rId2"/>
    <sheet name="Faturamento" sheetId="3" r:id="rId3"/>
    <sheet name="Dados" sheetId="4" r:id="rId4"/>
    <sheet name="Planilha4" sheetId="5" r:id="rId5"/>
  </sheets>
  <calcPr calcId="179020"/>
</workbook>
</file>

<file path=xl/calcChain.xml><?xml version="1.0" encoding="utf-8"?>
<calcChain xmlns="http://schemas.openxmlformats.org/spreadsheetml/2006/main">
  <c r="B4" i="2" l="1"/>
  <c r="J4" i="2"/>
  <c r="B5" i="2"/>
  <c r="J6" i="2"/>
  <c r="B10" i="2"/>
  <c r="B11" i="2"/>
  <c r="B12" i="2"/>
  <c r="J12" i="2"/>
  <c r="B13" i="2"/>
  <c r="J13" i="2"/>
  <c r="B14" i="2"/>
  <c r="J14" i="2"/>
  <c r="B15" i="2"/>
  <c r="J15" i="2"/>
  <c r="B16" i="2"/>
  <c r="B8" i="2"/>
  <c r="B9" i="2"/>
  <c r="B47" i="2"/>
  <c r="J16" i="2"/>
  <c r="J18" i="2"/>
  <c r="J19" i="2"/>
  <c r="J20" i="2"/>
  <c r="B20" i="2"/>
  <c r="B21" i="2"/>
  <c r="B22" i="2"/>
  <c r="B17" i="2"/>
  <c r="B23" i="2"/>
  <c r="B24" i="2"/>
  <c r="G48" i="2"/>
  <c r="B49" i="2"/>
  <c r="G49" i="2"/>
  <c r="G50" i="2"/>
  <c r="B54" i="2"/>
  <c r="B66" i="2"/>
  <c r="G22" i="4"/>
  <c r="B23" i="4"/>
  <c r="G23" i="4"/>
  <c r="B28" i="4"/>
  <c r="B38" i="4"/>
  <c r="C38" i="4"/>
  <c r="C25" i="1"/>
  <c r="J7" i="2"/>
  <c r="G25" i="1"/>
  <c r="J3" i="2"/>
  <c r="C43" i="1"/>
  <c r="J9" i="2"/>
  <c r="G43" i="1"/>
  <c r="J8" i="2"/>
  <c r="C47" i="1"/>
  <c r="C47" i="3"/>
  <c r="B25" i="2"/>
  <c r="G51" i="2"/>
  <c r="G24" i="4"/>
  <c r="B40" i="2"/>
  <c r="J17" i="2"/>
  <c r="J21" i="2"/>
  <c r="B29" i="2"/>
  <c r="B30" i="2"/>
  <c r="B32" i="2"/>
  <c r="B21" i="4"/>
  <c r="B41" i="2"/>
  <c r="G25" i="4"/>
  <c r="G52" i="2"/>
  <c r="B36" i="2"/>
  <c r="B37" i="2"/>
  <c r="B31" i="2"/>
  <c r="B33" i="2"/>
  <c r="B34" i="2"/>
  <c r="B48" i="2"/>
  <c r="B22" i="4"/>
  <c r="B35" i="2"/>
  <c r="B42" i="2"/>
  <c r="B43" i="2"/>
  <c r="B56" i="2"/>
  <c r="B30" i="4"/>
  <c r="G26" i="4"/>
  <c r="B38" i="2"/>
  <c r="B39" i="2"/>
  <c r="B50" i="2"/>
  <c r="B44" i="2"/>
  <c r="B55" i="2"/>
  <c r="B24" i="4"/>
  <c r="B51" i="2"/>
  <c r="B57" i="2"/>
  <c r="B29" i="4"/>
  <c r="B67" i="2"/>
  <c r="B25" i="4"/>
  <c r="B68" i="2"/>
  <c r="B31" i="4"/>
  <c r="C59" i="2"/>
  <c r="C33" i="4"/>
  <c r="G21" i="4"/>
  <c r="B39" i="4"/>
  <c r="C67" i="2"/>
  <c r="C39" i="4"/>
  <c r="C68" i="2"/>
  <c r="B40" i="4"/>
  <c r="B69" i="2"/>
  <c r="B41" i="4"/>
  <c r="C40" i="4"/>
  <c r="C69" i="2"/>
  <c r="C41" i="4"/>
</calcChain>
</file>

<file path=xl/sharedStrings.xml><?xml version="1.0" encoding="utf-8"?>
<sst xmlns="http://schemas.openxmlformats.org/spreadsheetml/2006/main" count="188" uniqueCount="143">
  <si>
    <t>Custo Direto</t>
  </si>
  <si>
    <t>Custo Variável</t>
  </si>
  <si>
    <t>Custo Fixo</t>
  </si>
  <si>
    <t>Descrição</t>
  </si>
  <si>
    <t>Valor</t>
  </si>
  <si>
    <t>Simples Nacional</t>
  </si>
  <si>
    <t>Folha de Pagamento</t>
  </si>
  <si>
    <t>Materiais utilizados produção</t>
  </si>
  <si>
    <t>FGTS</t>
  </si>
  <si>
    <t>Manutenções equipamentos</t>
  </si>
  <si>
    <t xml:space="preserve">GPS </t>
  </si>
  <si>
    <t>Energia Elétrica (proc. Fabricação)</t>
  </si>
  <si>
    <t>Previsão Férias</t>
  </si>
  <si>
    <t>Previsão 13 Salário</t>
  </si>
  <si>
    <t>Cesta Básica</t>
  </si>
  <si>
    <t>Total Custos Variável Direto</t>
  </si>
  <si>
    <t>Total Custo Fixo Direto</t>
  </si>
  <si>
    <t>Custo Indireto</t>
  </si>
  <si>
    <t>Energia Elétrica (administrativo)</t>
  </si>
  <si>
    <t>IPTU</t>
  </si>
  <si>
    <t>Água</t>
  </si>
  <si>
    <t>Aluguel</t>
  </si>
  <si>
    <t>Telefonia</t>
  </si>
  <si>
    <t>Seguros</t>
  </si>
  <si>
    <t>Convênios</t>
  </si>
  <si>
    <t>Pró – Labore</t>
  </si>
  <si>
    <t>Salários e despesas comerciais</t>
  </si>
  <si>
    <t>Salários Administrativos</t>
  </si>
  <si>
    <t>Total Custo Variável Indireto</t>
  </si>
  <si>
    <t>Total Custo Fixo Indireto</t>
  </si>
  <si>
    <t>Total Geral</t>
  </si>
  <si>
    <t>Características do produto</t>
  </si>
  <si>
    <t>Resumo Custos / Despesas da Empresa</t>
  </si>
  <si>
    <t>Identificação do produto</t>
  </si>
  <si>
    <t>Valvulado</t>
  </si>
  <si>
    <t>Total Folha Pagamento (Produção) – Custo Dir. Fixo</t>
  </si>
  <si>
    <t>Matéria-prima / peça</t>
  </si>
  <si>
    <t>Total Folha Pagamento (Administrativo/apoio)</t>
  </si>
  <si>
    <t>Materiais auxiliares / peça</t>
  </si>
  <si>
    <t>Depreciações</t>
  </si>
  <si>
    <t>Peças produzidas por hora /por funcionário</t>
  </si>
  <si>
    <t>Qtde. Funcionários envolvidos</t>
  </si>
  <si>
    <t>Custo Direto Variável</t>
  </si>
  <si>
    <t>Tempo produção (em minutos) por unidade</t>
  </si>
  <si>
    <t>Custo Indireto Fixo</t>
  </si>
  <si>
    <t>Tempo produção (em horas) por unidade</t>
  </si>
  <si>
    <t>Custo Indireto Variável</t>
  </si>
  <si>
    <t>Custo (MOD) /funcionário / hora</t>
  </si>
  <si>
    <t>Número total de funcionários</t>
  </si>
  <si>
    <t>Produção e Tempo Real (Utilizado para Cálculo)</t>
  </si>
  <si>
    <t>Total de peças por hora</t>
  </si>
  <si>
    <t>Total de peças produzidas por mês</t>
  </si>
  <si>
    <t>Total de peças produzidas por dia</t>
  </si>
  <si>
    <t>Total de funcionários envolvidos</t>
  </si>
  <si>
    <t>Total de peças produzidas por semana</t>
  </si>
  <si>
    <t>Produção estimada mensal do produto</t>
  </si>
  <si>
    <t>Peças produzidas por minuto</t>
  </si>
  <si>
    <t>Total de peças produzidas por hora</t>
  </si>
  <si>
    <t>Diferença entre cap. Produtiva e produção</t>
  </si>
  <si>
    <t>Quantidade produzida por funcionário</t>
  </si>
  <si>
    <t>Dados Gerais sobre o produto</t>
  </si>
  <si>
    <t>Comissão paga sobre venda</t>
  </si>
  <si>
    <t>Preço de venda</t>
  </si>
  <si>
    <t>Tempo total de produção</t>
  </si>
  <si>
    <t>Quantidade produzida/mês/produto</t>
  </si>
  <si>
    <t>Quantidade total da produção mensal</t>
  </si>
  <si>
    <t>Total de horas trabalho/mês</t>
  </si>
  <si>
    <t>Total da receita mensal da empresa</t>
  </si>
  <si>
    <t>Cálculos do Custo</t>
  </si>
  <si>
    <t>Horas diretas</t>
  </si>
  <si>
    <t>(Quantidade de peças produzidas por mês * tempo para produção/peça)</t>
  </si>
  <si>
    <t>% da utilização da produção</t>
  </si>
  <si>
    <t>(Tempo total da linha de produção utilizado para produzir o produto)</t>
  </si>
  <si>
    <t>Salários e despesas de apoio (s) (C.Fixo)</t>
  </si>
  <si>
    <t>(Total dos salários dos departamentos de apoio à produção empenhados no produto)</t>
  </si>
  <si>
    <t>Depreciações (d)</t>
  </si>
  <si>
    <t>(Total das depreciações pela % produzida do produto)</t>
  </si>
  <si>
    <t>Total (s + d)</t>
  </si>
  <si>
    <t>(Total de salários + depreciações)</t>
  </si>
  <si>
    <t>Preço por unidade (Custo Direto Fabr.- Fixo)</t>
  </si>
  <si>
    <t>(Total do custo de produção / quantidade de peças produzidas)</t>
  </si>
  <si>
    <t>Custo Direto de Fabricação (Variável) (x)</t>
  </si>
  <si>
    <t>(Custo direto de fabricação – CV* % utilização da produção)</t>
  </si>
  <si>
    <t>Custo Indireto de Fabricação (C. Fixo) (y)</t>
  </si>
  <si>
    <t>(Custo indireto de fabricação – CF * % utilização da produção)</t>
  </si>
  <si>
    <t>Custo Indireto de Fabricação (C. Variável) (z)</t>
  </si>
  <si>
    <t>(Custo indireto de fabricação – CV * % utilização da produção)</t>
  </si>
  <si>
    <t>Somatória</t>
  </si>
  <si>
    <t>(Somatória X + Y + Z)</t>
  </si>
  <si>
    <t xml:space="preserve">Custo variável por unidade </t>
  </si>
  <si>
    <t>Receita total do produto</t>
  </si>
  <si>
    <t>(Quantidade produzida do produto * valor de venda)</t>
  </si>
  <si>
    <t>Repres. Sobre faturamento do produto (%)</t>
  </si>
  <si>
    <t>(Expressa a representatividade do produto em relação ao faturamento total da empresa)</t>
  </si>
  <si>
    <t>Despesas Administrativas do produto</t>
  </si>
  <si>
    <t>(Representatividade total das desp.adm. sobre o faturamento do produto)</t>
  </si>
  <si>
    <t>Despesas Comerciais do produto</t>
  </si>
  <si>
    <t>(Representatividade total das desp. Comerciais sobre o faturamento do produto</t>
  </si>
  <si>
    <t>Despesas Adm. por unidade</t>
  </si>
  <si>
    <t>(Expressa a representatividade das desp. Adm. Por unidade)</t>
  </si>
  <si>
    <t>Despesas de Produção (DP)</t>
  </si>
  <si>
    <t>Cálculo Perdas</t>
  </si>
  <si>
    <t>Custo (Mão de obra direta)/ peça (a)</t>
  </si>
  <si>
    <t>Custo total produção</t>
  </si>
  <si>
    <t>Custo direto de Fabricação/peça (b)</t>
  </si>
  <si>
    <t>% perda</t>
  </si>
  <si>
    <t xml:space="preserve">Custo matéria-prima/peça (c) </t>
  </si>
  <si>
    <t>Peças produzidas</t>
  </si>
  <si>
    <t>Est. Peças perdidas</t>
  </si>
  <si>
    <t>Custo Total (a+b+c)</t>
  </si>
  <si>
    <t>Total perdas</t>
  </si>
  <si>
    <t>Repres. Por peça</t>
  </si>
  <si>
    <t>Despesas Operacionais (DO)</t>
  </si>
  <si>
    <t>Comissões (d)</t>
  </si>
  <si>
    <t>Administração/Comercial (e)</t>
  </si>
  <si>
    <t>Perdas produtivas</t>
  </si>
  <si>
    <t>Total (d + e)</t>
  </si>
  <si>
    <t>Custo total de produção (DP + DO) / item</t>
  </si>
  <si>
    <t>Cálculo da Margem de Lucro do Produto</t>
  </si>
  <si>
    <t>%</t>
  </si>
  <si>
    <t>(Valor da Venda = 100%)</t>
  </si>
  <si>
    <t>Custo Unitário</t>
  </si>
  <si>
    <t>(Custo unitário / preço venda = % representatividade do custo)</t>
  </si>
  <si>
    <t>Despesas Operacionais</t>
  </si>
  <si>
    <t>(Desp. Operacionais / preço venda = % representatividade das desp. Operacionais)</t>
  </si>
  <si>
    <t xml:space="preserve"> = margem de lucro</t>
  </si>
  <si>
    <t>(Total do custo unitário (100%) - Total Despesas Operacionais = Lucro Real)</t>
  </si>
  <si>
    <t>Faturamento Mensal</t>
  </si>
  <si>
    <t>Documento</t>
  </si>
  <si>
    <t>Exemplo</t>
  </si>
  <si>
    <t>Total Faturamento</t>
  </si>
  <si>
    <t>Cálculo Custo Produtos</t>
  </si>
  <si>
    <t>Informe os dados abaixo para obter o custo</t>
  </si>
  <si>
    <t>Total de peças produzidas no mês</t>
  </si>
  <si>
    <t>Número de Funcionários envolvidos</t>
  </si>
  <si>
    <t>Número total de funcionários da empresa</t>
  </si>
  <si>
    <t>Comissão sobre venda</t>
  </si>
  <si>
    <t>Custo hora de cada funcionário</t>
  </si>
  <si>
    <t>Quantidade de todos os produtos fabricados pela empresa no mês</t>
  </si>
  <si>
    <t>Valor da matéria-prima (estimado por peça)</t>
  </si>
  <si>
    <t>Valor materiais auxiliares (estimado por peça)</t>
  </si>
  <si>
    <t>Percentual estimado de perdas na produção</t>
  </si>
  <si>
    <t>Resultados Obtidos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</si>
</sst>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[$R$-416]\ #,##0.00;[Red]\-[$R$-416]\ #,##0.00"/>
    <numFmt numFmtId="165" formatCode="0.00000"/>
    <numFmt numFmtId="166" formatCode="0.0000"/>
    <numFmt numFmtId="167" formatCode="[$R$-416]\ #,##0.00000;[Red]\-[$R$-416]\ #,##0.00000"/>
    <numFmt numFmtId="168" formatCode="[$R$-416]\ #,##0.000;[Red]\-[$R$-416]\ #,##0.000"/>
  </numFmts>
  <fonts count="10" x14ac:knownFonts="1">
    <font>
      <sz val="10"/>
      <name val="Arial"/>
      <family val="2"/>
    </font>
    <font>
      <b/>
      <sz val="10"/>
      <name val="Arial"/>
      <family val="2"/>
    </font>
    <font>
      <b/>
      <sz val="10"/>
      <color indexed="10"/>
      <name val="Arial"/>
      <family val="2"/>
    </font>
    <font>
      <sz val="13"/>
      <name val="Arial"/>
      <family val="2"/>
    </font>
    <font>
      <b/>
      <sz val="13"/>
      <color indexed="17"/>
      <name val="Arial"/>
      <family val="2"/>
    </font>
    <font>
      <sz val="13"/>
      <color indexed="10"/>
      <name val="Arial"/>
      <family val="2"/>
    </font>
    <font>
      <b/>
      <sz val="13"/>
      <name val="Arial"/>
      <family val="2"/>
    </font>
    <font>
      <sz val="14"/>
      <name val="Arial"/>
      <family val="2"/>
    </font>
    <font>
      <b/>
      <sz val="14"/>
      <color indexed="17"/>
      <name val="Arial"/>
      <family val="2"/>
    </font>
    <font>
      <sz val="14"/>
      <color indexed="17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13"/>
        <bgColor indexed="34"/>
      </patternFill>
    </fill>
    <fill>
      <patternFill patternType="solid">
        <fgColor indexed="43"/>
        <bgColor indexed="26"/>
      </patternFill>
    </fill>
  </fills>
  <borders count="2">
    <border>
      <left/>
      <right/>
      <top/>
      <bottom/>
      <diagonal/>
    </border>
    <border>
      <left style="hair">
        <color indexed="8"/>
      </left>
      <right style="hair">
        <color indexed="8"/>
      </right>
      <top style="hair">
        <color indexed="8"/>
      </top>
      <bottom style="hair">
        <color indexed="8"/>
      </bottom>
      <diagonal/>
    </border>
  </borders>
  <cellStyleXfs count="1">
    <xf numFmtId="0" fontId="0" fillId="0" borderId="0"/>
  </cellStyleXfs>
  <cellXfs count="58">
    <xf numFmtId="0" fontId="0" fillId="0" borderId="0" xfId="0"/>
    <xf numFmtId="0" fontId="0" fillId="0" borderId="1" xfId="0" applyBorder="1" applyProtection="1">
      <protection locked="0"/>
    </xf>
    <xf numFmtId="164" fontId="0" fillId="0" borderId="1" xfId="0" applyNumberFormat="1" applyBorder="1" applyProtection="1">
      <protection locked="0"/>
    </xf>
    <xf numFmtId="0" fontId="1" fillId="2" borderId="1" xfId="0" applyFont="1" applyFill="1" applyBorder="1"/>
    <xf numFmtId="164" fontId="0" fillId="0" borderId="0" xfId="0" applyNumberFormat="1"/>
    <xf numFmtId="0" fontId="2" fillId="2" borderId="1" xfId="0" applyFont="1" applyFill="1" applyBorder="1" applyAlignment="1">
      <alignment horizontal="center"/>
    </xf>
    <xf numFmtId="164" fontId="2" fillId="2" borderId="1" xfId="0" applyNumberFormat="1" applyFont="1" applyFill="1" applyBorder="1" applyAlignment="1">
      <alignment horizontal="center"/>
    </xf>
    <xf numFmtId="0" fontId="3" fillId="0" borderId="0" xfId="0" applyFont="1"/>
    <xf numFmtId="0" fontId="3" fillId="0" borderId="1" xfId="0" applyFont="1" applyBorder="1"/>
    <xf numFmtId="0" fontId="3" fillId="3" borderId="1" xfId="0" applyFont="1" applyFill="1" applyBorder="1"/>
    <xf numFmtId="3" fontId="3" fillId="0" borderId="1" xfId="0" applyNumberFormat="1" applyFont="1" applyBorder="1"/>
    <xf numFmtId="1" fontId="3" fillId="0" borderId="1" xfId="0" applyNumberFormat="1" applyFont="1" applyBorder="1"/>
    <xf numFmtId="1" fontId="3" fillId="3" borderId="1" xfId="0" applyNumberFormat="1" applyFont="1" applyFill="1" applyBorder="1"/>
    <xf numFmtId="3" fontId="3" fillId="3" borderId="1" xfId="0" applyNumberFormat="1" applyFont="1" applyFill="1" applyBorder="1"/>
    <xf numFmtId="2" fontId="3" fillId="3" borderId="1" xfId="0" applyNumberFormat="1" applyFont="1" applyFill="1" applyBorder="1"/>
    <xf numFmtId="0" fontId="5" fillId="3" borderId="1" xfId="0" applyFont="1" applyFill="1" applyBorder="1"/>
    <xf numFmtId="165" fontId="3" fillId="3" borderId="1" xfId="0" applyNumberFormat="1" applyFont="1" applyFill="1" applyBorder="1"/>
    <xf numFmtId="10" fontId="3" fillId="0" borderId="1" xfId="0" applyNumberFormat="1" applyFont="1" applyBorder="1"/>
    <xf numFmtId="164" fontId="3" fillId="0" borderId="1" xfId="0" applyNumberFormat="1" applyFont="1" applyBorder="1"/>
    <xf numFmtId="164" fontId="3" fillId="3" borderId="1" xfId="0" applyNumberFormat="1" applyFont="1" applyFill="1" applyBorder="1"/>
    <xf numFmtId="166" fontId="3" fillId="3" borderId="1" xfId="0" applyNumberFormat="1" applyFont="1" applyFill="1" applyBorder="1"/>
    <xf numFmtId="10" fontId="3" fillId="3" borderId="1" xfId="0" applyNumberFormat="1" applyFont="1" applyFill="1" applyBorder="1"/>
    <xf numFmtId="167" fontId="3" fillId="3" borderId="1" xfId="0" applyNumberFormat="1" applyFont="1" applyFill="1" applyBorder="1"/>
    <xf numFmtId="168" fontId="6" fillId="3" borderId="1" xfId="0" applyNumberFormat="1" applyFont="1" applyFill="1" applyBorder="1" applyAlignment="1">
      <alignment horizontal="center" vertical="center"/>
    </xf>
    <xf numFmtId="168" fontId="6" fillId="0" borderId="0" xfId="0" applyNumberFormat="1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/>
    </xf>
    <xf numFmtId="0" fontId="5" fillId="0" borderId="0" xfId="0" applyFont="1"/>
    <xf numFmtId="0" fontId="0" fillId="0" borderId="1" xfId="0" applyBorder="1"/>
    <xf numFmtId="164" fontId="0" fillId="0" borderId="1" xfId="0" applyNumberFormat="1" applyBorder="1"/>
    <xf numFmtId="0" fontId="7" fillId="0" borderId="0" xfId="0" applyFont="1"/>
    <xf numFmtId="0" fontId="1" fillId="3" borderId="1" xfId="0" applyFont="1" applyFill="1" applyBorder="1" applyAlignment="1">
      <alignment horizontal="center" vertical="center"/>
    </xf>
    <xf numFmtId="164" fontId="1" fillId="2" borderId="1" xfId="0" applyNumberFormat="1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164" fontId="3" fillId="0" borderId="1" xfId="0" applyNumberFormat="1" applyFont="1" applyBorder="1" applyAlignment="1">
      <alignment horizontal="center" vertical="center"/>
    </xf>
    <xf numFmtId="0" fontId="3" fillId="3" borderId="1" xfId="0" applyFont="1" applyFill="1" applyBorder="1" applyAlignment="1">
      <alignment horizontal="left" vertical="center"/>
    </xf>
    <xf numFmtId="164" fontId="3" fillId="3" borderId="1" xfId="0" applyNumberFormat="1" applyFont="1" applyFill="1" applyBorder="1" applyAlignment="1">
      <alignment horizontal="left" vertical="center"/>
    </xf>
    <xf numFmtId="0" fontId="3" fillId="0" borderId="1" xfId="0" applyFont="1" applyBorder="1" applyAlignment="1">
      <alignment horizontal="left" vertical="center"/>
    </xf>
    <xf numFmtId="164" fontId="3" fillId="0" borderId="1" xfId="0" applyNumberFormat="1" applyFont="1" applyBorder="1" applyAlignment="1">
      <alignment horizontal="left" vertical="center"/>
    </xf>
    <xf numFmtId="165" fontId="3" fillId="3" borderId="1" xfId="0" applyNumberFormat="1" applyFont="1" applyFill="1" applyBorder="1" applyAlignment="1">
      <alignment horizontal="center" vertical="center"/>
    </xf>
    <xf numFmtId="3" fontId="3" fillId="3" borderId="1" xfId="0" applyNumberFormat="1" applyFont="1" applyFill="1" applyBorder="1" applyAlignment="1">
      <alignment horizontal="center" vertical="center"/>
    </xf>
    <xf numFmtId="2" fontId="3" fillId="3" borderId="1" xfId="0" applyNumberFormat="1" applyFont="1" applyFill="1" applyBorder="1" applyAlignment="1">
      <alignment horizontal="center" vertical="center"/>
    </xf>
    <xf numFmtId="3" fontId="5" fillId="3" borderId="1" xfId="0" applyNumberFormat="1" applyFont="1" applyFill="1" applyBorder="1" applyAlignment="1">
      <alignment horizontal="center" vertical="center"/>
    </xf>
    <xf numFmtId="10" fontId="3" fillId="0" borderId="1" xfId="0" applyNumberFormat="1" applyFont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164" fontId="3" fillId="3" borderId="1" xfId="0" applyNumberFormat="1" applyFont="1" applyFill="1" applyBorder="1" applyAlignment="1">
      <alignment horizontal="center" vertical="center"/>
    </xf>
    <xf numFmtId="168" fontId="3" fillId="3" borderId="1" xfId="0" applyNumberFormat="1" applyFont="1" applyFill="1" applyBorder="1" applyAlignment="1">
      <alignment horizontal="center" vertical="center"/>
    </xf>
    <xf numFmtId="168" fontId="3" fillId="3" borderId="1" xfId="0" applyNumberFormat="1" applyFont="1" applyFill="1" applyBorder="1" applyAlignment="1">
      <alignment horizontal="left" vertical="center"/>
    </xf>
    <xf numFmtId="0" fontId="1" fillId="3" borderId="1" xfId="0" applyFont="1" applyFill="1" applyBorder="1" applyAlignment="1">
      <alignment horizontal="center" vertical="center" textRotation="90"/>
    </xf>
    <xf numFmtId="0" fontId="8" fillId="0" borderId="0" xfId="0" applyFont="1" applyBorder="1" applyAlignment="1">
      <alignment horizontal="center" vertical="center"/>
    </xf>
    <xf numFmtId="0" fontId="9" fillId="0" borderId="1" xfId="0" applyFont="1" applyBorder="1" applyAlignment="1">
      <alignment horizontal="left" vertical="center"/>
    </xf>
    <xf numFmtId="3" fontId="9" fillId="0" borderId="1" xfId="0" applyNumberFormat="1" applyFont="1" applyBorder="1" applyAlignment="1" applyProtection="1">
      <alignment horizontal="center" vertical="center"/>
      <protection locked="0"/>
    </xf>
    <xf numFmtId="0" fontId="9" fillId="0" borderId="1" xfId="0" applyFont="1" applyBorder="1" applyAlignment="1" applyProtection="1">
      <alignment horizontal="center" vertical="center"/>
      <protection locked="0"/>
    </xf>
    <xf numFmtId="10" fontId="9" fillId="0" borderId="1" xfId="0" applyNumberFormat="1" applyFont="1" applyBorder="1" applyAlignment="1" applyProtection="1">
      <alignment horizontal="center" vertical="center"/>
      <protection locked="0"/>
    </xf>
    <xf numFmtId="164" fontId="9" fillId="0" borderId="1" xfId="0" applyNumberFormat="1" applyFont="1" applyBorder="1" applyAlignment="1" applyProtection="1">
      <alignment horizontal="center" vertical="center"/>
      <protection locked="0"/>
    </xf>
    <xf numFmtId="0" fontId="8" fillId="3" borderId="1" xfId="0" applyFont="1" applyFill="1" applyBorder="1" applyAlignment="1">
      <alignment horizontal="center" vertical="center"/>
    </xf>
    <xf numFmtId="10" fontId="3" fillId="3" borderId="1" xfId="0" applyNumberFormat="1" applyFont="1" applyFill="1" applyBorder="1" applyAlignment="1">
      <alignment horizontal="center" vertical="center"/>
    </xf>
    <xf numFmtId="168" fontId="6" fillId="3" borderId="1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E6E64C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 /><Relationship Id="rId3" Type="http://schemas.openxmlformats.org/officeDocument/2006/relationships/worksheet" Target="worksheets/sheet3.xml" /><Relationship Id="rId7" Type="http://schemas.openxmlformats.org/officeDocument/2006/relationships/styles" Target="styles.xml" /><Relationship Id="rId2" Type="http://schemas.openxmlformats.org/officeDocument/2006/relationships/worksheet" Target="worksheets/sheet2.xml" /><Relationship Id="rId1" Type="http://schemas.openxmlformats.org/officeDocument/2006/relationships/worksheet" Target="worksheets/sheet1.xml" /><Relationship Id="rId6" Type="http://schemas.openxmlformats.org/officeDocument/2006/relationships/theme" Target="theme/theme1.xml" /><Relationship Id="rId5" Type="http://schemas.openxmlformats.org/officeDocument/2006/relationships/worksheet" Target="worksheets/sheet5.xml" /><Relationship Id="rId4" Type="http://schemas.openxmlformats.org/officeDocument/2006/relationships/worksheet" Target="worksheets/sheet4.xml" /><Relationship Id="rId9" Type="http://schemas.openxmlformats.org/officeDocument/2006/relationships/calcChain" Target="calcChain.xml" 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H146"/>
  <sheetViews>
    <sheetView tabSelected="1" workbookViewId="0" xr3:uid="{AEA406A1-0E4B-5B11-9CD5-51D6E497D94C}">
      <selection activeCell="B9" sqref="B9"/>
    </sheetView>
  </sheetViews>
  <sheetFormatPr defaultColWidth="11.59375" defaultRowHeight="12.75" x14ac:dyDescent="0.15"/>
  <cols>
    <col min="1" max="1" width="20.359375" customWidth="1"/>
    <col min="2" max="2" width="30.74609375" customWidth="1"/>
    <col min="3" max="3" width="15.23828125" customWidth="1"/>
    <col min="6" max="6" width="30.74609375" customWidth="1"/>
    <col min="7" max="7" width="15.23828125" customWidth="1"/>
  </cols>
  <sheetData>
    <row r="2" spans="1:8" x14ac:dyDescent="0.15">
      <c r="A2" s="30" t="s">
        <v>0</v>
      </c>
      <c r="B2" s="30" t="s">
        <v>1</v>
      </c>
      <c r="C2" s="30"/>
      <c r="D2" s="30"/>
      <c r="F2" s="30" t="s">
        <v>2</v>
      </c>
      <c r="G2" s="30"/>
      <c r="H2" s="30"/>
    </row>
    <row r="3" spans="1:8" x14ac:dyDescent="0.15">
      <c r="A3" s="30"/>
      <c r="B3" s="1"/>
      <c r="C3" s="1"/>
      <c r="D3" s="1"/>
      <c r="F3" s="1"/>
      <c r="G3" s="1"/>
      <c r="H3" s="1"/>
    </row>
    <row r="4" spans="1:8" x14ac:dyDescent="0.15">
      <c r="A4" s="30"/>
      <c r="B4" s="1" t="s">
        <v>3</v>
      </c>
      <c r="C4" s="1" t="s">
        <v>4</v>
      </c>
      <c r="D4" s="1"/>
      <c r="F4" s="1" t="s">
        <v>3</v>
      </c>
      <c r="G4" s="1" t="s">
        <v>4</v>
      </c>
      <c r="H4" s="1"/>
    </row>
    <row r="5" spans="1:8" x14ac:dyDescent="0.15">
      <c r="A5" s="30"/>
      <c r="B5" s="1" t="s">
        <v>5</v>
      </c>
      <c r="C5" s="2">
        <v>4100</v>
      </c>
      <c r="D5" s="1"/>
      <c r="F5" s="1" t="s">
        <v>6</v>
      </c>
      <c r="G5" s="2">
        <v>26000</v>
      </c>
      <c r="H5" s="1"/>
    </row>
    <row r="6" spans="1:8" x14ac:dyDescent="0.15">
      <c r="A6" s="30"/>
      <c r="B6" s="1" t="s">
        <v>7</v>
      </c>
      <c r="C6" s="2">
        <v>1276.01</v>
      </c>
      <c r="D6" s="1"/>
      <c r="F6" s="1" t="s">
        <v>8</v>
      </c>
      <c r="G6" s="2">
        <v>2279.4299999999998</v>
      </c>
      <c r="H6" s="1"/>
    </row>
    <row r="7" spans="1:8" x14ac:dyDescent="0.15">
      <c r="A7" s="30"/>
      <c r="B7" s="1" t="s">
        <v>9</v>
      </c>
      <c r="C7" s="2">
        <v>255</v>
      </c>
      <c r="D7" s="1"/>
      <c r="F7" s="1" t="s">
        <v>10</v>
      </c>
      <c r="G7" s="2">
        <v>2183.7199999999998</v>
      </c>
      <c r="H7" s="1"/>
    </row>
    <row r="8" spans="1:8" x14ac:dyDescent="0.15">
      <c r="A8" s="30"/>
      <c r="B8" s="1" t="s">
        <v>11</v>
      </c>
      <c r="C8" s="2">
        <v>2700</v>
      </c>
      <c r="D8" s="1"/>
      <c r="F8" s="1" t="s">
        <v>12</v>
      </c>
      <c r="G8" s="2">
        <v>1930</v>
      </c>
      <c r="H8" s="1"/>
    </row>
    <row r="9" spans="1:8" x14ac:dyDescent="0.15">
      <c r="A9" s="30"/>
      <c r="B9" s="1"/>
      <c r="C9" s="2"/>
      <c r="D9" s="1"/>
      <c r="F9" s="1" t="s">
        <v>13</v>
      </c>
      <c r="G9" s="2">
        <v>1930</v>
      </c>
      <c r="H9" s="1"/>
    </row>
    <row r="10" spans="1:8" x14ac:dyDescent="0.15">
      <c r="A10" s="30"/>
      <c r="B10" s="1"/>
      <c r="C10" s="2"/>
      <c r="D10" s="1"/>
      <c r="F10" s="1" t="s">
        <v>14</v>
      </c>
      <c r="G10" s="2">
        <v>1500</v>
      </c>
      <c r="H10" s="1"/>
    </row>
    <row r="11" spans="1:8" x14ac:dyDescent="0.15">
      <c r="A11" s="30"/>
      <c r="B11" s="1"/>
      <c r="C11" s="2"/>
      <c r="D11" s="1"/>
      <c r="F11" s="1"/>
      <c r="G11" s="2"/>
      <c r="H11" s="1"/>
    </row>
    <row r="12" spans="1:8" x14ac:dyDescent="0.15">
      <c r="A12" s="30"/>
      <c r="B12" s="1"/>
      <c r="C12" s="2"/>
      <c r="D12" s="1"/>
      <c r="F12" s="1"/>
      <c r="G12" s="2"/>
      <c r="H12" s="1"/>
    </row>
    <row r="13" spans="1:8" x14ac:dyDescent="0.15">
      <c r="A13" s="30"/>
      <c r="B13" s="1"/>
      <c r="C13" s="2"/>
      <c r="D13" s="1"/>
      <c r="F13" s="1"/>
      <c r="G13" s="2"/>
      <c r="H13" s="1"/>
    </row>
    <row r="14" spans="1:8" x14ac:dyDescent="0.15">
      <c r="A14" s="30"/>
      <c r="B14" s="1"/>
      <c r="C14" s="2"/>
      <c r="D14" s="1"/>
      <c r="F14" s="1"/>
      <c r="G14" s="2"/>
      <c r="H14" s="1"/>
    </row>
    <row r="15" spans="1:8" x14ac:dyDescent="0.15">
      <c r="A15" s="30"/>
      <c r="B15" s="1"/>
      <c r="C15" s="2"/>
      <c r="D15" s="1"/>
      <c r="F15" s="1"/>
      <c r="G15" s="2"/>
      <c r="H15" s="1"/>
    </row>
    <row r="16" spans="1:8" x14ac:dyDescent="0.15">
      <c r="A16" s="30"/>
      <c r="B16" s="1"/>
      <c r="C16" s="2"/>
      <c r="D16" s="1"/>
      <c r="F16" s="1"/>
      <c r="G16" s="2"/>
      <c r="H16" s="1"/>
    </row>
    <row r="17" spans="1:8" x14ac:dyDescent="0.15">
      <c r="A17" s="30"/>
      <c r="B17" s="1"/>
      <c r="C17" s="2"/>
      <c r="D17" s="1"/>
      <c r="F17" s="1"/>
      <c r="G17" s="2"/>
      <c r="H17" s="1"/>
    </row>
    <row r="18" spans="1:8" x14ac:dyDescent="0.15">
      <c r="A18" s="30"/>
      <c r="B18" s="1"/>
      <c r="C18" s="2"/>
      <c r="D18" s="1"/>
      <c r="F18" s="1"/>
      <c r="G18" s="2"/>
      <c r="H18" s="1"/>
    </row>
    <row r="19" spans="1:8" x14ac:dyDescent="0.15">
      <c r="A19" s="30"/>
      <c r="B19" s="1"/>
      <c r="C19" s="2"/>
      <c r="D19" s="1"/>
      <c r="F19" s="1"/>
      <c r="G19" s="2"/>
      <c r="H19" s="1"/>
    </row>
    <row r="20" spans="1:8" x14ac:dyDescent="0.15">
      <c r="A20" s="30"/>
      <c r="B20" s="1"/>
      <c r="C20" s="2"/>
      <c r="D20" s="1"/>
      <c r="F20" s="1"/>
      <c r="G20" s="2"/>
      <c r="H20" s="1"/>
    </row>
    <row r="21" spans="1:8" x14ac:dyDescent="0.15">
      <c r="A21" s="30"/>
      <c r="B21" s="1"/>
      <c r="C21" s="2"/>
      <c r="D21" s="1"/>
      <c r="F21" s="1"/>
      <c r="G21" s="2"/>
      <c r="H21" s="1"/>
    </row>
    <row r="22" spans="1:8" x14ac:dyDescent="0.15">
      <c r="A22" s="30"/>
      <c r="B22" s="1"/>
      <c r="C22" s="2"/>
      <c r="D22" s="1"/>
      <c r="F22" s="1"/>
      <c r="G22" s="2"/>
      <c r="H22" s="1"/>
    </row>
    <row r="23" spans="1:8" x14ac:dyDescent="0.15">
      <c r="A23" s="30"/>
      <c r="B23" s="1"/>
      <c r="C23" s="2"/>
      <c r="D23" s="1"/>
      <c r="F23" s="1"/>
      <c r="G23" s="2"/>
      <c r="H23" s="1"/>
    </row>
    <row r="24" spans="1:8" x14ac:dyDescent="0.15">
      <c r="A24" s="30"/>
      <c r="B24" s="1"/>
      <c r="C24" s="2"/>
      <c r="D24" s="1"/>
      <c r="F24" s="1"/>
      <c r="G24" s="2"/>
      <c r="H24" s="1"/>
    </row>
    <row r="25" spans="1:8" x14ac:dyDescent="0.15">
      <c r="A25" s="30"/>
      <c r="B25" s="3" t="s">
        <v>15</v>
      </c>
      <c r="C25" s="31">
        <f>SUM(C5:C24)</f>
        <v>8331.01</v>
      </c>
      <c r="D25" s="31"/>
      <c r="F25" s="3" t="s">
        <v>16</v>
      </c>
      <c r="G25" s="31">
        <f>SUM(G5:G24)</f>
        <v>35823.15</v>
      </c>
      <c r="H25" s="31"/>
    </row>
    <row r="26" spans="1:8" x14ac:dyDescent="0.15">
      <c r="C26" s="4"/>
      <c r="G26" s="4"/>
    </row>
    <row r="27" spans="1:8" x14ac:dyDescent="0.15">
      <c r="C27" s="4"/>
      <c r="G27" s="4"/>
    </row>
    <row r="28" spans="1:8" x14ac:dyDescent="0.15">
      <c r="A28" s="30" t="s">
        <v>17</v>
      </c>
      <c r="B28" s="1" t="s">
        <v>18</v>
      </c>
      <c r="C28" s="2">
        <v>200</v>
      </c>
      <c r="D28" s="1"/>
      <c r="F28" s="1" t="s">
        <v>19</v>
      </c>
      <c r="G28" s="2">
        <v>146.71</v>
      </c>
      <c r="H28" s="1"/>
    </row>
    <row r="29" spans="1:8" x14ac:dyDescent="0.15">
      <c r="A29" s="30"/>
      <c r="B29" s="1" t="s">
        <v>20</v>
      </c>
      <c r="C29" s="2">
        <v>126.82</v>
      </c>
      <c r="D29" s="1"/>
      <c r="F29" s="1" t="s">
        <v>21</v>
      </c>
      <c r="G29" s="2">
        <v>5500</v>
      </c>
      <c r="H29" s="1"/>
    </row>
    <row r="30" spans="1:8" x14ac:dyDescent="0.15">
      <c r="A30" s="30"/>
      <c r="B30" s="1" t="s">
        <v>22</v>
      </c>
      <c r="C30" s="2">
        <v>767.34</v>
      </c>
      <c r="D30" s="1"/>
      <c r="F30" s="1" t="s">
        <v>23</v>
      </c>
      <c r="G30" s="2">
        <v>505.82</v>
      </c>
      <c r="H30" s="1"/>
    </row>
    <row r="31" spans="1:8" x14ac:dyDescent="0.15">
      <c r="A31" s="30"/>
      <c r="B31" s="1" t="s">
        <v>24</v>
      </c>
      <c r="C31" s="2">
        <v>3920.85</v>
      </c>
      <c r="D31" s="1"/>
      <c r="F31" s="1" t="s">
        <v>25</v>
      </c>
      <c r="G31" s="2">
        <v>0</v>
      </c>
      <c r="H31" s="1"/>
    </row>
    <row r="32" spans="1:8" x14ac:dyDescent="0.15">
      <c r="A32" s="30"/>
      <c r="B32" s="1" t="s">
        <v>26</v>
      </c>
      <c r="C32" s="2">
        <v>0</v>
      </c>
      <c r="D32" s="1"/>
      <c r="F32" s="1" t="s">
        <v>27</v>
      </c>
      <c r="G32" s="2">
        <v>1500</v>
      </c>
      <c r="H32" s="1"/>
    </row>
    <row r="33" spans="1:8" x14ac:dyDescent="0.15">
      <c r="A33" s="30"/>
      <c r="B33" s="1"/>
      <c r="C33" s="2"/>
      <c r="D33" s="1"/>
      <c r="F33" s="1"/>
      <c r="G33" s="2"/>
      <c r="H33" s="1"/>
    </row>
    <row r="34" spans="1:8" x14ac:dyDescent="0.15">
      <c r="A34" s="30"/>
      <c r="B34" s="1"/>
      <c r="C34" s="2"/>
      <c r="D34" s="1"/>
      <c r="F34" s="1"/>
      <c r="G34" s="2"/>
      <c r="H34" s="1"/>
    </row>
    <row r="35" spans="1:8" x14ac:dyDescent="0.15">
      <c r="A35" s="30"/>
      <c r="B35" s="1"/>
      <c r="C35" s="2"/>
      <c r="D35" s="1"/>
      <c r="F35" s="1"/>
      <c r="G35" s="2"/>
      <c r="H35" s="1"/>
    </row>
    <row r="36" spans="1:8" x14ac:dyDescent="0.15">
      <c r="A36" s="30"/>
      <c r="B36" s="1"/>
      <c r="C36" s="2"/>
      <c r="D36" s="1"/>
      <c r="F36" s="1"/>
      <c r="G36" s="2"/>
      <c r="H36" s="1"/>
    </row>
    <row r="37" spans="1:8" x14ac:dyDescent="0.15">
      <c r="A37" s="30"/>
      <c r="B37" s="1"/>
      <c r="C37" s="2"/>
      <c r="D37" s="1"/>
      <c r="F37" s="1"/>
      <c r="G37" s="2"/>
      <c r="H37" s="1"/>
    </row>
    <row r="38" spans="1:8" x14ac:dyDescent="0.15">
      <c r="A38" s="30"/>
      <c r="B38" s="1"/>
      <c r="C38" s="2"/>
      <c r="D38" s="1"/>
      <c r="F38" s="1"/>
      <c r="G38" s="2"/>
      <c r="H38" s="1"/>
    </row>
    <row r="39" spans="1:8" x14ac:dyDescent="0.15">
      <c r="A39" s="30"/>
      <c r="B39" s="1"/>
      <c r="C39" s="2"/>
      <c r="D39" s="1"/>
      <c r="F39" s="1"/>
      <c r="G39" s="2"/>
      <c r="H39" s="1"/>
    </row>
    <row r="40" spans="1:8" x14ac:dyDescent="0.15">
      <c r="A40" s="30"/>
      <c r="B40" s="1"/>
      <c r="C40" s="2"/>
      <c r="D40" s="1"/>
      <c r="F40" s="1"/>
      <c r="G40" s="2"/>
      <c r="H40" s="1"/>
    </row>
    <row r="41" spans="1:8" x14ac:dyDescent="0.15">
      <c r="A41" s="30"/>
      <c r="B41" s="1"/>
      <c r="C41" s="2"/>
      <c r="D41" s="1"/>
      <c r="F41" s="1"/>
      <c r="G41" s="2"/>
      <c r="H41" s="1"/>
    </row>
    <row r="42" spans="1:8" x14ac:dyDescent="0.15">
      <c r="A42" s="30"/>
      <c r="B42" s="1"/>
      <c r="C42" s="2"/>
      <c r="D42" s="1"/>
      <c r="F42" s="1"/>
      <c r="G42" s="2"/>
      <c r="H42" s="1"/>
    </row>
    <row r="43" spans="1:8" x14ac:dyDescent="0.15">
      <c r="A43" s="30"/>
      <c r="B43" s="3" t="s">
        <v>28</v>
      </c>
      <c r="C43" s="31">
        <f>SUM(C28:C42)</f>
        <v>5015.01</v>
      </c>
      <c r="D43" s="31"/>
      <c r="F43" s="3" t="s">
        <v>29</v>
      </c>
      <c r="G43" s="31">
        <f>SUM(G28:G42)</f>
        <v>7652.53</v>
      </c>
      <c r="H43" s="31"/>
    </row>
    <row r="44" spans="1:8" x14ac:dyDescent="0.15">
      <c r="C44" s="4"/>
      <c r="G44" s="4"/>
    </row>
    <row r="45" spans="1:8" x14ac:dyDescent="0.15">
      <c r="C45" s="4"/>
      <c r="G45" s="4"/>
    </row>
    <row r="46" spans="1:8" x14ac:dyDescent="0.15">
      <c r="C46" s="4"/>
      <c r="G46" s="4"/>
    </row>
    <row r="47" spans="1:8" x14ac:dyDescent="0.15">
      <c r="B47" s="5" t="s">
        <v>30</v>
      </c>
      <c r="C47" s="6">
        <f>C25+C43+G25+G43</f>
        <v>56821.7</v>
      </c>
      <c r="G47" s="4"/>
    </row>
    <row r="48" spans="1:8" x14ac:dyDescent="0.15">
      <c r="C48" s="4"/>
      <c r="G48" s="4"/>
    </row>
    <row r="49" spans="3:7" x14ac:dyDescent="0.15">
      <c r="C49" s="4"/>
      <c r="G49" s="4"/>
    </row>
    <row r="50" spans="3:7" x14ac:dyDescent="0.15">
      <c r="C50" s="4"/>
      <c r="G50" s="4"/>
    </row>
    <row r="51" spans="3:7" x14ac:dyDescent="0.15">
      <c r="C51" s="4"/>
      <c r="G51" s="4"/>
    </row>
    <row r="52" spans="3:7" x14ac:dyDescent="0.15">
      <c r="C52" s="4"/>
      <c r="G52" s="4"/>
    </row>
    <row r="53" spans="3:7" x14ac:dyDescent="0.15">
      <c r="C53" s="4"/>
      <c r="G53" s="4"/>
    </row>
    <row r="54" spans="3:7" x14ac:dyDescent="0.15">
      <c r="C54" s="4"/>
      <c r="G54" s="4"/>
    </row>
    <row r="55" spans="3:7" x14ac:dyDescent="0.15">
      <c r="C55" s="4"/>
      <c r="G55" s="4"/>
    </row>
    <row r="56" spans="3:7" x14ac:dyDescent="0.15">
      <c r="C56" s="4"/>
      <c r="G56" s="4"/>
    </row>
    <row r="57" spans="3:7" x14ac:dyDescent="0.15">
      <c r="C57" s="4"/>
      <c r="G57" s="4"/>
    </row>
    <row r="58" spans="3:7" x14ac:dyDescent="0.15">
      <c r="C58" s="4"/>
      <c r="G58" s="4"/>
    </row>
    <row r="59" spans="3:7" x14ac:dyDescent="0.15">
      <c r="C59" s="4"/>
      <c r="G59" s="4"/>
    </row>
    <row r="60" spans="3:7" x14ac:dyDescent="0.15">
      <c r="C60" s="4"/>
      <c r="G60" s="4"/>
    </row>
    <row r="61" spans="3:7" x14ac:dyDescent="0.15">
      <c r="C61" s="4"/>
      <c r="G61" s="4"/>
    </row>
    <row r="62" spans="3:7" x14ac:dyDescent="0.15">
      <c r="C62" s="4"/>
      <c r="G62" s="4"/>
    </row>
    <row r="63" spans="3:7" x14ac:dyDescent="0.15">
      <c r="C63" s="4"/>
      <c r="G63" s="4"/>
    </row>
    <row r="64" spans="3:7" x14ac:dyDescent="0.15">
      <c r="C64" s="4"/>
      <c r="G64" s="4"/>
    </row>
    <row r="65" spans="3:7" x14ac:dyDescent="0.15">
      <c r="C65" s="4"/>
      <c r="G65" s="4"/>
    </row>
    <row r="66" spans="3:7" x14ac:dyDescent="0.15">
      <c r="C66" s="4"/>
      <c r="G66" s="4"/>
    </row>
    <row r="67" spans="3:7" x14ac:dyDescent="0.15">
      <c r="C67" s="4"/>
      <c r="G67" s="4"/>
    </row>
    <row r="68" spans="3:7" x14ac:dyDescent="0.15">
      <c r="C68" s="4"/>
      <c r="G68" s="4"/>
    </row>
    <row r="69" spans="3:7" x14ac:dyDescent="0.15">
      <c r="C69" s="4"/>
      <c r="G69" s="4"/>
    </row>
    <row r="70" spans="3:7" x14ac:dyDescent="0.15">
      <c r="C70" s="4"/>
      <c r="G70" s="4"/>
    </row>
    <row r="71" spans="3:7" x14ac:dyDescent="0.15">
      <c r="C71" s="4"/>
      <c r="G71" s="4"/>
    </row>
    <row r="72" spans="3:7" x14ac:dyDescent="0.15">
      <c r="C72" s="4"/>
      <c r="G72" s="4"/>
    </row>
    <row r="73" spans="3:7" x14ac:dyDescent="0.15">
      <c r="C73" s="4"/>
      <c r="G73" s="4"/>
    </row>
    <row r="74" spans="3:7" x14ac:dyDescent="0.15">
      <c r="C74" s="4"/>
      <c r="G74" s="4"/>
    </row>
    <row r="75" spans="3:7" x14ac:dyDescent="0.15">
      <c r="C75" s="4"/>
      <c r="G75" s="4"/>
    </row>
    <row r="76" spans="3:7" x14ac:dyDescent="0.15">
      <c r="C76" s="4"/>
      <c r="G76" s="4"/>
    </row>
    <row r="77" spans="3:7" x14ac:dyDescent="0.15">
      <c r="C77" s="4"/>
      <c r="G77" s="4"/>
    </row>
    <row r="78" spans="3:7" x14ac:dyDescent="0.15">
      <c r="C78" s="4"/>
      <c r="G78" s="4"/>
    </row>
    <row r="79" spans="3:7" x14ac:dyDescent="0.15">
      <c r="C79" s="4"/>
      <c r="G79" s="4"/>
    </row>
    <row r="80" spans="3:7" x14ac:dyDescent="0.15">
      <c r="C80" s="4"/>
      <c r="G80" s="4"/>
    </row>
    <row r="81" spans="3:7" x14ac:dyDescent="0.15">
      <c r="C81" s="4"/>
      <c r="G81" s="4"/>
    </row>
    <row r="82" spans="3:7" x14ac:dyDescent="0.15">
      <c r="C82" s="4"/>
      <c r="G82" s="4"/>
    </row>
    <row r="83" spans="3:7" x14ac:dyDescent="0.15">
      <c r="C83" s="4"/>
      <c r="G83" s="4"/>
    </row>
    <row r="84" spans="3:7" x14ac:dyDescent="0.15">
      <c r="C84" s="4"/>
      <c r="G84" s="4"/>
    </row>
    <row r="85" spans="3:7" x14ac:dyDescent="0.15">
      <c r="C85" s="4"/>
      <c r="G85" s="4"/>
    </row>
    <row r="86" spans="3:7" x14ac:dyDescent="0.15">
      <c r="C86" s="4"/>
      <c r="G86" s="4"/>
    </row>
    <row r="87" spans="3:7" x14ac:dyDescent="0.15">
      <c r="C87" s="4"/>
      <c r="G87" s="4"/>
    </row>
    <row r="88" spans="3:7" x14ac:dyDescent="0.15">
      <c r="C88" s="4"/>
      <c r="G88" s="4"/>
    </row>
    <row r="89" spans="3:7" x14ac:dyDescent="0.15">
      <c r="C89" s="4"/>
      <c r="G89" s="4"/>
    </row>
    <row r="90" spans="3:7" x14ac:dyDescent="0.15">
      <c r="C90" s="4"/>
      <c r="G90" s="4"/>
    </row>
    <row r="91" spans="3:7" x14ac:dyDescent="0.15">
      <c r="C91" s="4"/>
      <c r="G91" s="4"/>
    </row>
    <row r="92" spans="3:7" x14ac:dyDescent="0.15">
      <c r="C92" s="4"/>
      <c r="G92" s="4"/>
    </row>
    <row r="93" spans="3:7" x14ac:dyDescent="0.15">
      <c r="C93" s="4"/>
      <c r="G93" s="4"/>
    </row>
    <row r="94" spans="3:7" x14ac:dyDescent="0.15">
      <c r="C94" s="4"/>
      <c r="G94" s="4"/>
    </row>
    <row r="95" spans="3:7" x14ac:dyDescent="0.15">
      <c r="C95" s="4"/>
      <c r="G95" s="4"/>
    </row>
    <row r="96" spans="3:7" x14ac:dyDescent="0.15">
      <c r="C96" s="4"/>
      <c r="G96" s="4"/>
    </row>
    <row r="97" spans="3:7" x14ac:dyDescent="0.15">
      <c r="C97" s="4"/>
      <c r="G97" s="4"/>
    </row>
    <row r="98" spans="3:7" x14ac:dyDescent="0.15">
      <c r="C98" s="4"/>
      <c r="G98" s="4"/>
    </row>
    <row r="99" spans="3:7" x14ac:dyDescent="0.15">
      <c r="C99" s="4"/>
      <c r="G99" s="4"/>
    </row>
    <row r="100" spans="3:7" x14ac:dyDescent="0.15">
      <c r="C100" s="4"/>
      <c r="G100" s="4"/>
    </row>
    <row r="101" spans="3:7" x14ac:dyDescent="0.15">
      <c r="C101" s="4"/>
      <c r="G101" s="4"/>
    </row>
    <row r="102" spans="3:7" x14ac:dyDescent="0.15">
      <c r="C102" s="4"/>
      <c r="G102" s="4"/>
    </row>
    <row r="103" spans="3:7" x14ac:dyDescent="0.15">
      <c r="C103" s="4"/>
      <c r="G103" s="4"/>
    </row>
    <row r="104" spans="3:7" x14ac:dyDescent="0.15">
      <c r="C104" s="4"/>
      <c r="G104" s="4"/>
    </row>
    <row r="105" spans="3:7" x14ac:dyDescent="0.15">
      <c r="C105" s="4"/>
      <c r="G105" s="4"/>
    </row>
    <row r="106" spans="3:7" x14ac:dyDescent="0.15">
      <c r="C106" s="4"/>
      <c r="G106" s="4"/>
    </row>
    <row r="107" spans="3:7" x14ac:dyDescent="0.15">
      <c r="C107" s="4"/>
      <c r="G107" s="4"/>
    </row>
    <row r="108" spans="3:7" x14ac:dyDescent="0.15">
      <c r="C108" s="4"/>
      <c r="G108" s="4"/>
    </row>
    <row r="109" spans="3:7" x14ac:dyDescent="0.15">
      <c r="C109" s="4"/>
      <c r="G109" s="4"/>
    </row>
    <row r="110" spans="3:7" x14ac:dyDescent="0.15">
      <c r="C110" s="4"/>
      <c r="G110" s="4"/>
    </row>
    <row r="111" spans="3:7" x14ac:dyDescent="0.15">
      <c r="C111" s="4"/>
      <c r="G111" s="4"/>
    </row>
    <row r="112" spans="3:7" x14ac:dyDescent="0.15">
      <c r="C112" s="4"/>
      <c r="G112" s="4"/>
    </row>
    <row r="113" spans="3:7" x14ac:dyDescent="0.15">
      <c r="C113" s="4"/>
      <c r="G113" s="4"/>
    </row>
    <row r="114" spans="3:7" x14ac:dyDescent="0.15">
      <c r="C114" s="4"/>
      <c r="G114" s="4"/>
    </row>
    <row r="115" spans="3:7" x14ac:dyDescent="0.15">
      <c r="C115" s="4"/>
      <c r="G115" s="4"/>
    </row>
    <row r="116" spans="3:7" x14ac:dyDescent="0.15">
      <c r="C116" s="4"/>
      <c r="G116" s="4"/>
    </row>
    <row r="117" spans="3:7" x14ac:dyDescent="0.15">
      <c r="C117" s="4"/>
      <c r="G117" s="4"/>
    </row>
    <row r="118" spans="3:7" x14ac:dyDescent="0.15">
      <c r="C118" s="4"/>
      <c r="G118" s="4"/>
    </row>
    <row r="119" spans="3:7" x14ac:dyDescent="0.15">
      <c r="C119" s="4"/>
      <c r="G119" s="4"/>
    </row>
    <row r="120" spans="3:7" x14ac:dyDescent="0.15">
      <c r="C120" s="4"/>
      <c r="G120" s="4"/>
    </row>
    <row r="121" spans="3:7" x14ac:dyDescent="0.15">
      <c r="C121" s="4"/>
      <c r="G121" s="4"/>
    </row>
    <row r="122" spans="3:7" x14ac:dyDescent="0.15">
      <c r="C122" s="4"/>
      <c r="G122" s="4"/>
    </row>
    <row r="123" spans="3:7" x14ac:dyDescent="0.15">
      <c r="C123" s="4"/>
      <c r="G123" s="4"/>
    </row>
    <row r="124" spans="3:7" x14ac:dyDescent="0.15">
      <c r="G124" s="4"/>
    </row>
    <row r="125" spans="3:7" x14ac:dyDescent="0.15">
      <c r="G125" s="4"/>
    </row>
    <row r="126" spans="3:7" x14ac:dyDescent="0.15">
      <c r="G126" s="4"/>
    </row>
    <row r="127" spans="3:7" x14ac:dyDescent="0.15">
      <c r="G127" s="4"/>
    </row>
    <row r="128" spans="3:7" x14ac:dyDescent="0.15">
      <c r="G128" s="4"/>
    </row>
    <row r="129" spans="7:7" x14ac:dyDescent="0.15">
      <c r="G129" s="4"/>
    </row>
    <row r="130" spans="7:7" x14ac:dyDescent="0.15">
      <c r="G130" s="4"/>
    </row>
    <row r="131" spans="7:7" x14ac:dyDescent="0.15">
      <c r="G131" s="4"/>
    </row>
    <row r="132" spans="7:7" x14ac:dyDescent="0.15">
      <c r="G132" s="4"/>
    </row>
    <row r="133" spans="7:7" x14ac:dyDescent="0.15">
      <c r="G133" s="4"/>
    </row>
    <row r="134" spans="7:7" x14ac:dyDescent="0.15">
      <c r="G134" s="4"/>
    </row>
    <row r="135" spans="7:7" x14ac:dyDescent="0.15">
      <c r="G135" s="4"/>
    </row>
    <row r="136" spans="7:7" x14ac:dyDescent="0.15">
      <c r="G136" s="4"/>
    </row>
    <row r="137" spans="7:7" x14ac:dyDescent="0.15">
      <c r="G137" s="4"/>
    </row>
    <row r="138" spans="7:7" x14ac:dyDescent="0.15">
      <c r="G138" s="4"/>
    </row>
    <row r="139" spans="7:7" x14ac:dyDescent="0.15">
      <c r="G139" s="4"/>
    </row>
    <row r="140" spans="7:7" x14ac:dyDescent="0.15">
      <c r="G140" s="4"/>
    </row>
    <row r="141" spans="7:7" x14ac:dyDescent="0.15">
      <c r="G141" s="4"/>
    </row>
    <row r="142" spans="7:7" x14ac:dyDescent="0.15">
      <c r="G142" s="4"/>
    </row>
    <row r="143" spans="7:7" x14ac:dyDescent="0.15">
      <c r="G143" s="4"/>
    </row>
    <row r="144" spans="7:7" x14ac:dyDescent="0.15">
      <c r="G144" s="4"/>
    </row>
    <row r="145" spans="7:7" x14ac:dyDescent="0.15">
      <c r="G145" s="4"/>
    </row>
    <row r="146" spans="7:7" x14ac:dyDescent="0.15">
      <c r="G146" s="4"/>
    </row>
  </sheetData>
  <sheetProtection password="ECAE" sheet="1"/>
  <mergeCells count="8">
    <mergeCell ref="A28:A43"/>
    <mergeCell ref="C43:D43"/>
    <mergeCell ref="G43:H43"/>
    <mergeCell ref="A2:A25"/>
    <mergeCell ref="B2:D2"/>
    <mergeCell ref="F2:H2"/>
    <mergeCell ref="C25:D25"/>
    <mergeCell ref="G25:H25"/>
  </mergeCells>
  <pageMargins left="0.78749999999999998" right="0.78749999999999998" top="1.0527777777777778" bottom="1.0527777777777778" header="0.78749999999999998" footer="0.78749999999999998"/>
  <pageSetup paperSize="9" scale="74" firstPageNumber="0" orientation="landscape" horizontalDpi="300" verticalDpi="300"/>
  <headerFooter alignWithMargins="0">
    <oddHeader>&amp;C&amp;"Times New Roman,Regular"&amp;12&amp;A</oddHeader>
    <oddFooter>&amp;C&amp;"Times New Roman,Regular"&amp;12Página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82"/>
  <sheetViews>
    <sheetView workbookViewId="0" xr3:uid="{958C4451-9541-5A59-BF78-D2F731DF1C81}">
      <selection activeCell="B5" sqref="B5:C5"/>
    </sheetView>
  </sheetViews>
  <sheetFormatPr defaultColWidth="11.59375" defaultRowHeight="17.25" x14ac:dyDescent="0.2"/>
  <cols>
    <col min="1" max="1" width="48.140625" style="7" customWidth="1"/>
    <col min="2" max="2" width="19.1484375" style="7" customWidth="1"/>
    <col min="3" max="9" width="11.59375" style="7"/>
    <col min="10" max="10" width="18.87890625" style="7" customWidth="1"/>
    <col min="11" max="16384" width="11.59375" style="7"/>
  </cols>
  <sheetData>
    <row r="1" spans="1:11" x14ac:dyDescent="0.2">
      <c r="A1" s="32" t="s">
        <v>31</v>
      </c>
      <c r="B1" s="32"/>
      <c r="C1" s="32"/>
      <c r="E1" s="32" t="s">
        <v>32</v>
      </c>
      <c r="F1" s="32"/>
      <c r="G1" s="32"/>
      <c r="H1" s="32"/>
      <c r="I1" s="32"/>
      <c r="J1" s="32"/>
      <c r="K1" s="32"/>
    </row>
    <row r="2" spans="1:11" x14ac:dyDescent="0.2">
      <c r="A2" s="8" t="s">
        <v>33</v>
      </c>
      <c r="B2" s="33" t="s">
        <v>34</v>
      </c>
      <c r="C2" s="33"/>
      <c r="E2" s="33"/>
      <c r="F2" s="33"/>
      <c r="G2" s="33"/>
      <c r="H2" s="33"/>
      <c r="I2" s="33"/>
      <c r="J2" s="34"/>
      <c r="K2" s="34"/>
    </row>
    <row r="3" spans="1:11" x14ac:dyDescent="0.2">
      <c r="A3" s="33"/>
      <c r="B3" s="33"/>
      <c r="C3" s="33"/>
      <c r="E3" s="35" t="s">
        <v>35</v>
      </c>
      <c r="F3" s="35"/>
      <c r="G3" s="35"/>
      <c r="H3" s="35"/>
      <c r="I3" s="35"/>
      <c r="J3" s="36">
        <f>(dadosgerais!G25)-J4</f>
        <v>34323.15</v>
      </c>
      <c r="K3" s="36"/>
    </row>
    <row r="4" spans="1:11" x14ac:dyDescent="0.2">
      <c r="A4" s="8" t="s">
        <v>36</v>
      </c>
      <c r="B4" s="34">
        <f>Dados!I14</f>
        <v>1.6</v>
      </c>
      <c r="C4" s="34"/>
      <c r="E4" s="35" t="s">
        <v>37</v>
      </c>
      <c r="F4" s="35"/>
      <c r="G4" s="35"/>
      <c r="H4" s="35"/>
      <c r="I4" s="35"/>
      <c r="J4" s="36">
        <f>dadosgerais!G31+dadosgerais!G32</f>
        <v>1500</v>
      </c>
      <c r="K4" s="36"/>
    </row>
    <row r="5" spans="1:11" x14ac:dyDescent="0.2">
      <c r="A5" s="8" t="s">
        <v>38</v>
      </c>
      <c r="B5" s="34">
        <f>Dados!I15</f>
        <v>0.18</v>
      </c>
      <c r="C5" s="34"/>
      <c r="E5" s="37" t="s">
        <v>39</v>
      </c>
      <c r="F5" s="37"/>
      <c r="G5" s="37"/>
      <c r="H5" s="37"/>
      <c r="I5" s="37"/>
      <c r="J5" s="38">
        <v>360</v>
      </c>
      <c r="K5" s="38"/>
    </row>
    <row r="6" spans="1:11" x14ac:dyDescent="0.2">
      <c r="A6" s="8" t="s">
        <v>40</v>
      </c>
      <c r="B6" s="33">
        <v>47</v>
      </c>
      <c r="C6" s="33"/>
      <c r="E6" s="35" t="s">
        <v>26</v>
      </c>
      <c r="F6" s="35"/>
      <c r="G6" s="35"/>
      <c r="H6" s="35"/>
      <c r="I6" s="35"/>
      <c r="J6" s="36">
        <f>dadosgerais!C32</f>
        <v>0</v>
      </c>
      <c r="K6" s="36"/>
    </row>
    <row r="7" spans="1:11" x14ac:dyDescent="0.2">
      <c r="A7" s="8" t="s">
        <v>41</v>
      </c>
      <c r="B7" s="33">
        <v>32</v>
      </c>
      <c r="C7" s="33"/>
      <c r="E7" s="35" t="s">
        <v>42</v>
      </c>
      <c r="F7" s="35"/>
      <c r="G7" s="35"/>
      <c r="H7" s="35"/>
      <c r="I7" s="35"/>
      <c r="J7" s="36">
        <f>dadosgerais!C25</f>
        <v>8331.01</v>
      </c>
      <c r="K7" s="36"/>
    </row>
    <row r="8" spans="1:11" x14ac:dyDescent="0.2">
      <c r="A8" s="9" t="s">
        <v>43</v>
      </c>
      <c r="B8" s="39">
        <f>1/B16</f>
        <v>3.9893617021276598E-2</v>
      </c>
      <c r="C8" s="39"/>
      <c r="E8" s="35" t="s">
        <v>44</v>
      </c>
      <c r="F8" s="35"/>
      <c r="G8" s="35"/>
      <c r="H8" s="35"/>
      <c r="I8" s="35"/>
      <c r="J8" s="36">
        <f>(dadosgerais!G43)-J4</f>
        <v>6152.53</v>
      </c>
      <c r="K8" s="36"/>
    </row>
    <row r="9" spans="1:11" x14ac:dyDescent="0.2">
      <c r="A9" s="9" t="s">
        <v>45</v>
      </c>
      <c r="B9" s="39">
        <f>B8/60</f>
        <v>6.6489361702127658E-4</v>
      </c>
      <c r="C9" s="39"/>
      <c r="E9" s="35" t="s">
        <v>46</v>
      </c>
      <c r="F9" s="35"/>
      <c r="G9" s="35"/>
      <c r="H9" s="35"/>
      <c r="I9" s="35"/>
      <c r="J9" s="36">
        <f>dadosgerais!C43</f>
        <v>5015.01</v>
      </c>
      <c r="K9" s="36"/>
    </row>
    <row r="10" spans="1:11" x14ac:dyDescent="0.2">
      <c r="A10" s="8" t="s">
        <v>47</v>
      </c>
      <c r="B10" s="34">
        <f>Dados!I12</f>
        <v>4.9000000000000004</v>
      </c>
      <c r="C10" s="34"/>
      <c r="E10"/>
    </row>
    <row r="11" spans="1:11" x14ac:dyDescent="0.2">
      <c r="A11" s="8" t="s">
        <v>48</v>
      </c>
      <c r="B11" s="33">
        <f>Dados!I9</f>
        <v>40</v>
      </c>
      <c r="C11" s="33"/>
      <c r="E11" s="32" t="s">
        <v>49</v>
      </c>
      <c r="F11" s="32"/>
      <c r="G11" s="32"/>
      <c r="H11" s="32"/>
      <c r="I11" s="32"/>
      <c r="J11" s="32"/>
    </row>
    <row r="12" spans="1:11" x14ac:dyDescent="0.2">
      <c r="A12" s="9" t="s">
        <v>50</v>
      </c>
      <c r="B12" s="40">
        <f>B7*B6</f>
        <v>1504</v>
      </c>
      <c r="C12" s="40"/>
      <c r="E12" s="35" t="s">
        <v>51</v>
      </c>
      <c r="F12" s="35"/>
      <c r="G12" s="35"/>
      <c r="H12" s="35"/>
      <c r="I12" s="35"/>
      <c r="J12" s="10">
        <f>Dados!I7</f>
        <v>710</v>
      </c>
    </row>
    <row r="13" spans="1:11" x14ac:dyDescent="0.2">
      <c r="A13" s="9" t="s">
        <v>52</v>
      </c>
      <c r="B13" s="40">
        <f>B12*7</f>
        <v>10528</v>
      </c>
      <c r="C13" s="40"/>
      <c r="E13" s="35" t="s">
        <v>53</v>
      </c>
      <c r="F13" s="35"/>
      <c r="G13" s="35"/>
      <c r="H13" s="35"/>
      <c r="I13" s="35"/>
      <c r="J13" s="11">
        <f>Dados!I8</f>
        <v>1</v>
      </c>
    </row>
    <row r="14" spans="1:11" x14ac:dyDescent="0.2">
      <c r="A14" s="9" t="s">
        <v>54</v>
      </c>
      <c r="B14" s="40">
        <f>B13*5</f>
        <v>52640</v>
      </c>
      <c r="C14" s="40"/>
      <c r="E14" s="35" t="s">
        <v>54</v>
      </c>
      <c r="F14" s="35"/>
      <c r="G14" s="35"/>
      <c r="H14" s="35"/>
      <c r="I14" s="35"/>
      <c r="J14" s="12">
        <f>J12/4.5</f>
        <v>157.77777777777777</v>
      </c>
    </row>
    <row r="15" spans="1:11" x14ac:dyDescent="0.2">
      <c r="A15" s="9" t="s">
        <v>55</v>
      </c>
      <c r="B15" s="40">
        <f>B14*4.5</f>
        <v>236880</v>
      </c>
      <c r="C15" s="40"/>
      <c r="E15" s="35" t="s">
        <v>52</v>
      </c>
      <c r="F15" s="35"/>
      <c r="G15" s="35"/>
      <c r="H15" s="35"/>
      <c r="I15" s="35"/>
      <c r="J15" s="13">
        <f>J14/5</f>
        <v>31.555555555555554</v>
      </c>
    </row>
    <row r="16" spans="1:11" x14ac:dyDescent="0.2">
      <c r="A16" s="9" t="s">
        <v>56</v>
      </c>
      <c r="B16" s="41">
        <f>B12/60</f>
        <v>25.066666666666666</v>
      </c>
      <c r="C16" s="41"/>
      <c r="E16" s="35" t="s">
        <v>57</v>
      </c>
      <c r="F16" s="35"/>
      <c r="G16" s="35"/>
      <c r="H16" s="35"/>
      <c r="I16" s="35"/>
      <c r="J16" s="14">
        <f>J15/7</f>
        <v>4.5079365079365079</v>
      </c>
    </row>
    <row r="17" spans="1:10" x14ac:dyDescent="0.2">
      <c r="A17" s="15" t="s">
        <v>58</v>
      </c>
      <c r="B17" s="42">
        <f>B15-B22</f>
        <v>236170</v>
      </c>
      <c r="C17" s="42"/>
      <c r="E17" s="35" t="s">
        <v>59</v>
      </c>
      <c r="F17" s="35"/>
      <c r="G17" s="35"/>
      <c r="H17" s="35"/>
      <c r="I17" s="35"/>
      <c r="J17" s="14">
        <f>J16/J13</f>
        <v>4.5079365079365079</v>
      </c>
    </row>
    <row r="18" spans="1:10" x14ac:dyDescent="0.2">
      <c r="E18" s="35" t="s">
        <v>56</v>
      </c>
      <c r="F18" s="35"/>
      <c r="G18" s="35"/>
      <c r="H18" s="35"/>
      <c r="I18" s="35"/>
      <c r="J18" s="14">
        <f>J16/60</f>
        <v>7.5132275132275134E-2</v>
      </c>
    </row>
    <row r="19" spans="1:10" x14ac:dyDescent="0.2">
      <c r="A19" s="32" t="s">
        <v>60</v>
      </c>
      <c r="B19" s="32"/>
      <c r="E19" s="35" t="s">
        <v>43</v>
      </c>
      <c r="F19" s="35"/>
      <c r="G19" s="35"/>
      <c r="H19" s="35"/>
      <c r="I19" s="35"/>
      <c r="J19" s="16">
        <f>1/J18</f>
        <v>13.309859154929578</v>
      </c>
    </row>
    <row r="20" spans="1:10" x14ac:dyDescent="0.2">
      <c r="A20" s="8" t="s">
        <v>61</v>
      </c>
      <c r="B20" s="17">
        <f>Dados!I10</f>
        <v>0.05</v>
      </c>
      <c r="E20" s="35" t="s">
        <v>45</v>
      </c>
      <c r="F20" s="35"/>
      <c r="G20" s="35"/>
      <c r="H20" s="35"/>
      <c r="I20" s="35"/>
      <c r="J20" s="16">
        <f>J19/60</f>
        <v>0.22183098591549297</v>
      </c>
    </row>
    <row r="21" spans="1:10" x14ac:dyDescent="0.2">
      <c r="A21" s="8" t="s">
        <v>62</v>
      </c>
      <c r="B21" s="18">
        <f>Dados!I11</f>
        <v>5</v>
      </c>
      <c r="E21" s="35" t="s">
        <v>63</v>
      </c>
      <c r="F21" s="35"/>
      <c r="G21" s="35"/>
      <c r="H21" s="35"/>
      <c r="I21" s="35"/>
      <c r="J21" s="9">
        <f>(J20*B22)*J13</f>
        <v>157.5</v>
      </c>
    </row>
    <row r="22" spans="1:10" x14ac:dyDescent="0.2">
      <c r="A22" s="9" t="s">
        <v>64</v>
      </c>
      <c r="B22" s="13">
        <f>J12</f>
        <v>710</v>
      </c>
    </row>
    <row r="23" spans="1:10" x14ac:dyDescent="0.2">
      <c r="A23" s="8" t="s">
        <v>65</v>
      </c>
      <c r="B23" s="10">
        <f>Dados!I13</f>
        <v>150000</v>
      </c>
    </row>
    <row r="24" spans="1:10" x14ac:dyDescent="0.2">
      <c r="A24" s="9" t="s">
        <v>66</v>
      </c>
      <c r="B24" s="13">
        <f>B11*220</f>
        <v>8800</v>
      </c>
    </row>
    <row r="25" spans="1:10" x14ac:dyDescent="0.2">
      <c r="A25" s="9" t="s">
        <v>67</v>
      </c>
      <c r="B25" s="19">
        <f>Faturamento!C47</f>
        <v>77092.039999999994</v>
      </c>
    </row>
    <row r="28" spans="1:10" x14ac:dyDescent="0.2">
      <c r="A28" s="32" t="s">
        <v>68</v>
      </c>
      <c r="B28" s="32"/>
      <c r="C28" s="32"/>
      <c r="D28" s="32"/>
      <c r="E28" s="32"/>
      <c r="F28" s="32"/>
      <c r="G28" s="32"/>
      <c r="H28" s="32"/>
      <c r="I28" s="32"/>
      <c r="J28" s="32"/>
    </row>
    <row r="29" spans="1:10" x14ac:dyDescent="0.2">
      <c r="A29" s="9" t="s">
        <v>69</v>
      </c>
      <c r="B29" s="20">
        <f>J21</f>
        <v>157.5</v>
      </c>
      <c r="C29" s="37" t="s">
        <v>70</v>
      </c>
      <c r="D29" s="37"/>
      <c r="E29" s="37"/>
      <c r="F29" s="37"/>
      <c r="G29" s="37"/>
      <c r="H29" s="37"/>
      <c r="I29" s="37"/>
      <c r="J29" s="37"/>
    </row>
    <row r="30" spans="1:10" x14ac:dyDescent="0.2">
      <c r="A30" s="9" t="s">
        <v>71</v>
      </c>
      <c r="B30" s="21">
        <f>B29/B24</f>
        <v>1.7897727272727273E-2</v>
      </c>
      <c r="C30" s="37" t="s">
        <v>72</v>
      </c>
      <c r="D30" s="37"/>
      <c r="E30" s="37"/>
      <c r="F30" s="37"/>
      <c r="G30" s="37"/>
      <c r="H30" s="37"/>
      <c r="I30" s="37"/>
      <c r="J30" s="37"/>
    </row>
    <row r="31" spans="1:10" x14ac:dyDescent="0.2">
      <c r="A31" s="9" t="s">
        <v>73</v>
      </c>
      <c r="B31" s="19">
        <f>J3*B30</f>
        <v>614.30637784090914</v>
      </c>
      <c r="C31" s="37" t="s">
        <v>74</v>
      </c>
      <c r="D31" s="37"/>
      <c r="E31" s="37"/>
      <c r="F31" s="37"/>
      <c r="G31" s="37"/>
      <c r="H31" s="37"/>
      <c r="I31" s="37"/>
      <c r="J31" s="37"/>
    </row>
    <row r="32" spans="1:10" x14ac:dyDescent="0.2">
      <c r="A32" s="9" t="s">
        <v>75</v>
      </c>
      <c r="B32" s="19">
        <f>J5*B30</f>
        <v>6.4431818181818183</v>
      </c>
      <c r="C32" s="37" t="s">
        <v>76</v>
      </c>
      <c r="D32" s="37"/>
      <c r="E32" s="37"/>
      <c r="F32" s="37"/>
      <c r="G32" s="37"/>
      <c r="H32" s="37"/>
      <c r="I32" s="37"/>
      <c r="J32" s="37"/>
    </row>
    <row r="33" spans="1:10" x14ac:dyDescent="0.2">
      <c r="A33" s="9" t="s">
        <v>77</v>
      </c>
      <c r="B33" s="19">
        <f>B31+B32</f>
        <v>620.74955965909101</v>
      </c>
      <c r="C33" s="37" t="s">
        <v>78</v>
      </c>
      <c r="D33" s="37"/>
      <c r="E33" s="37"/>
      <c r="F33" s="37"/>
      <c r="G33" s="37"/>
      <c r="H33" s="37"/>
      <c r="I33" s="37"/>
      <c r="J33" s="37"/>
    </row>
    <row r="34" spans="1:10" x14ac:dyDescent="0.2">
      <c r="A34" s="9" t="s">
        <v>79</v>
      </c>
      <c r="B34" s="22">
        <f>B33/B22</f>
        <v>0.87429515444942396</v>
      </c>
      <c r="C34" s="37" t="s">
        <v>80</v>
      </c>
      <c r="D34" s="37"/>
      <c r="E34" s="37"/>
      <c r="F34" s="37"/>
      <c r="G34" s="37"/>
      <c r="H34" s="37"/>
      <c r="I34" s="37"/>
      <c r="J34" s="37"/>
    </row>
    <row r="35" spans="1:10" x14ac:dyDescent="0.2">
      <c r="A35" s="9" t="s">
        <v>81</v>
      </c>
      <c r="B35" s="19">
        <f>J7*B30</f>
        <v>149.10614488636364</v>
      </c>
      <c r="C35" s="37" t="s">
        <v>82</v>
      </c>
      <c r="D35" s="37"/>
      <c r="E35" s="37"/>
      <c r="F35" s="37"/>
      <c r="G35" s="37"/>
      <c r="H35" s="37"/>
      <c r="I35" s="37"/>
      <c r="J35" s="37"/>
    </row>
    <row r="36" spans="1:10" x14ac:dyDescent="0.2">
      <c r="A36" s="9" t="s">
        <v>83</v>
      </c>
      <c r="B36" s="19">
        <f>J8*B30</f>
        <v>110.11630397727272</v>
      </c>
      <c r="C36" s="37" t="s">
        <v>84</v>
      </c>
      <c r="D36" s="37"/>
      <c r="E36" s="37"/>
      <c r="F36" s="37"/>
      <c r="G36" s="37"/>
      <c r="H36" s="37"/>
      <c r="I36" s="37"/>
      <c r="J36" s="37"/>
    </row>
    <row r="37" spans="1:10" x14ac:dyDescent="0.2">
      <c r="A37" s="9" t="s">
        <v>85</v>
      </c>
      <c r="B37" s="19">
        <f>J9*B30</f>
        <v>89.757281250000005</v>
      </c>
      <c r="C37" s="37" t="s">
        <v>86</v>
      </c>
      <c r="D37" s="37"/>
      <c r="E37" s="37"/>
      <c r="F37" s="37"/>
      <c r="G37" s="37"/>
      <c r="H37" s="37"/>
      <c r="I37" s="37"/>
      <c r="J37" s="37"/>
    </row>
    <row r="38" spans="1:10" x14ac:dyDescent="0.2">
      <c r="A38" s="9" t="s">
        <v>87</v>
      </c>
      <c r="B38" s="19">
        <f>SUM(B35:B37)</f>
        <v>348.97973011363638</v>
      </c>
      <c r="C38" s="37" t="s">
        <v>88</v>
      </c>
      <c r="D38" s="37"/>
      <c r="E38" s="37"/>
      <c r="F38" s="37"/>
      <c r="G38" s="37"/>
      <c r="H38" s="37"/>
      <c r="I38" s="37"/>
      <c r="J38" s="37"/>
    </row>
    <row r="39" spans="1:10" x14ac:dyDescent="0.2">
      <c r="A39" s="9" t="s">
        <v>89</v>
      </c>
      <c r="B39" s="19">
        <f>B38/B22</f>
        <v>0.49152074663892448</v>
      </c>
      <c r="C39" s="37"/>
      <c r="D39" s="37"/>
      <c r="E39" s="37"/>
      <c r="F39" s="37"/>
      <c r="G39" s="37"/>
      <c r="H39" s="37"/>
      <c r="I39" s="37"/>
      <c r="J39" s="37"/>
    </row>
    <row r="40" spans="1:10" x14ac:dyDescent="0.2">
      <c r="A40" s="9" t="s">
        <v>90</v>
      </c>
      <c r="B40" s="19">
        <f>B22*B21</f>
        <v>3550</v>
      </c>
      <c r="C40" s="37" t="s">
        <v>91</v>
      </c>
      <c r="D40" s="37"/>
      <c r="E40" s="37"/>
      <c r="F40" s="37"/>
      <c r="G40" s="37"/>
      <c r="H40" s="37"/>
      <c r="I40" s="37"/>
      <c r="J40" s="37"/>
    </row>
    <row r="41" spans="1:10" x14ac:dyDescent="0.2">
      <c r="A41" s="9" t="s">
        <v>92</v>
      </c>
      <c r="B41" s="21">
        <f>B40/B25</f>
        <v>4.6048852773905066E-2</v>
      </c>
      <c r="C41" s="37" t="s">
        <v>93</v>
      </c>
      <c r="D41" s="37"/>
      <c r="E41" s="37"/>
      <c r="F41" s="37"/>
      <c r="G41" s="37"/>
      <c r="H41" s="37"/>
      <c r="I41" s="37"/>
      <c r="J41" s="37"/>
    </row>
    <row r="42" spans="1:10" x14ac:dyDescent="0.2">
      <c r="A42" s="9" t="s">
        <v>94</v>
      </c>
      <c r="B42" s="19">
        <f>J4*B41</f>
        <v>69.073279160857595</v>
      </c>
      <c r="C42" s="37" t="s">
        <v>95</v>
      </c>
      <c r="D42" s="37"/>
      <c r="E42" s="37"/>
      <c r="F42" s="37"/>
      <c r="G42" s="37"/>
      <c r="H42" s="37"/>
      <c r="I42" s="37"/>
      <c r="J42" s="37"/>
    </row>
    <row r="43" spans="1:10" x14ac:dyDescent="0.2">
      <c r="A43" s="9" t="s">
        <v>96</v>
      </c>
      <c r="B43" s="19">
        <f>J6*B41</f>
        <v>0</v>
      </c>
      <c r="C43" s="37" t="s">
        <v>97</v>
      </c>
      <c r="D43" s="37"/>
      <c r="E43" s="37"/>
      <c r="F43" s="37"/>
      <c r="G43" s="37"/>
      <c r="H43" s="37"/>
      <c r="I43" s="37"/>
      <c r="J43" s="37"/>
    </row>
    <row r="44" spans="1:10" x14ac:dyDescent="0.2">
      <c r="A44" s="9" t="s">
        <v>98</v>
      </c>
      <c r="B44" s="19">
        <f>B42/B22</f>
        <v>9.7286308677264219E-2</v>
      </c>
      <c r="C44" s="37" t="s">
        <v>99</v>
      </c>
      <c r="D44" s="37"/>
      <c r="E44" s="37"/>
      <c r="F44" s="37"/>
      <c r="G44" s="37"/>
      <c r="H44" s="37"/>
      <c r="I44" s="37"/>
      <c r="J44" s="37"/>
    </row>
    <row r="46" spans="1:10" x14ac:dyDescent="0.2">
      <c r="A46" s="32" t="s">
        <v>100</v>
      </c>
      <c r="B46" s="32"/>
      <c r="C46" s="32"/>
      <c r="E46" s="32" t="s">
        <v>101</v>
      </c>
      <c r="F46" s="32"/>
      <c r="G46" s="32"/>
      <c r="H46" s="32"/>
    </row>
    <row r="47" spans="1:10" x14ac:dyDescent="0.2">
      <c r="A47" s="9" t="s">
        <v>102</v>
      </c>
      <c r="B47" s="36">
        <f>B10*B9</f>
        <v>3.2579787234042557E-3</v>
      </c>
      <c r="C47" s="36"/>
      <c r="E47" s="37" t="s">
        <v>103</v>
      </c>
      <c r="F47" s="37"/>
      <c r="G47" s="34">
        <v>0.183</v>
      </c>
      <c r="H47" s="34"/>
    </row>
    <row r="48" spans="1:10" x14ac:dyDescent="0.2">
      <c r="A48" s="9" t="s">
        <v>104</v>
      </c>
      <c r="B48" s="36">
        <f>B34</f>
        <v>0.87429515444942396</v>
      </c>
      <c r="C48" s="36"/>
      <c r="E48" s="37" t="s">
        <v>105</v>
      </c>
      <c r="F48" s="37"/>
      <c r="G48" s="43">
        <f>Dados!I16</f>
        <v>0.01</v>
      </c>
      <c r="H48" s="43"/>
    </row>
    <row r="49" spans="1:10" x14ac:dyDescent="0.2">
      <c r="A49" s="9" t="s">
        <v>106</v>
      </c>
      <c r="B49" s="36">
        <f>B4</f>
        <v>1.6</v>
      </c>
      <c r="C49" s="36"/>
      <c r="E49" s="35" t="s">
        <v>107</v>
      </c>
      <c r="F49" s="35"/>
      <c r="G49" s="40">
        <f>J12</f>
        <v>710</v>
      </c>
      <c r="H49" s="40"/>
    </row>
    <row r="50" spans="1:10" x14ac:dyDescent="0.2">
      <c r="A50" s="9" t="s">
        <v>89</v>
      </c>
      <c r="B50" s="36">
        <f>B39</f>
        <v>0.49152074663892448</v>
      </c>
      <c r="C50" s="36"/>
      <c r="E50" s="44" t="s">
        <v>108</v>
      </c>
      <c r="F50" s="44"/>
      <c r="G50" s="44">
        <f>G49*G48</f>
        <v>7.1000000000000005</v>
      </c>
      <c r="H50" s="44"/>
    </row>
    <row r="51" spans="1:10" x14ac:dyDescent="0.2">
      <c r="A51" s="9" t="s">
        <v>109</v>
      </c>
      <c r="B51" s="36">
        <f>SUM(B47:B50)</f>
        <v>2.9690738798117526</v>
      </c>
      <c r="C51" s="36"/>
      <c r="E51" s="35" t="s">
        <v>110</v>
      </c>
      <c r="F51" s="35"/>
      <c r="G51" s="45">
        <f>G50*G47</f>
        <v>1.2993000000000001</v>
      </c>
      <c r="H51" s="45"/>
    </row>
    <row r="52" spans="1:10" x14ac:dyDescent="0.2">
      <c r="E52" s="35" t="s">
        <v>111</v>
      </c>
      <c r="F52" s="35"/>
      <c r="G52" s="46">
        <f>G51/G49</f>
        <v>1.8300000000000002E-3</v>
      </c>
      <c r="H52" s="46"/>
    </row>
    <row r="53" spans="1:10" x14ac:dyDescent="0.2">
      <c r="A53" s="32" t="s">
        <v>112</v>
      </c>
      <c r="B53" s="32"/>
      <c r="C53" s="32"/>
    </row>
    <row r="54" spans="1:10" x14ac:dyDescent="0.2">
      <c r="A54" s="9" t="s">
        <v>113</v>
      </c>
      <c r="B54" s="36">
        <f>B21*B20</f>
        <v>0.25</v>
      </c>
      <c r="C54" s="36"/>
    </row>
    <row r="55" spans="1:10" x14ac:dyDescent="0.2">
      <c r="A55" s="9" t="s">
        <v>114</v>
      </c>
      <c r="B55" s="36">
        <f>(B42+B43)/B22</f>
        <v>9.7286308677264219E-2</v>
      </c>
      <c r="C55" s="36"/>
    </row>
    <row r="56" spans="1:10" x14ac:dyDescent="0.2">
      <c r="A56" s="9" t="s">
        <v>115</v>
      </c>
      <c r="B56" s="47">
        <f>G52</f>
        <v>1.8300000000000002E-3</v>
      </c>
      <c r="C56" s="47"/>
    </row>
    <row r="57" spans="1:10" x14ac:dyDescent="0.2">
      <c r="A57" s="9" t="s">
        <v>116</v>
      </c>
      <c r="B57" s="47">
        <f>SUM(B54:B56)</f>
        <v>0.34911630867726423</v>
      </c>
      <c r="C57" s="47"/>
    </row>
    <row r="59" spans="1:10" x14ac:dyDescent="0.2">
      <c r="A59" s="32" t="s">
        <v>117</v>
      </c>
      <c r="B59" s="32"/>
      <c r="C59" s="23">
        <f>B51+B57</f>
        <v>3.3181901884890168</v>
      </c>
      <c r="D59" s="24"/>
    </row>
    <row r="64" spans="1:10" x14ac:dyDescent="0.2">
      <c r="A64" s="32" t="s">
        <v>118</v>
      </c>
      <c r="B64" s="32"/>
      <c r="C64" s="32"/>
      <c r="D64" s="32"/>
      <c r="E64" s="32"/>
      <c r="F64" s="32"/>
      <c r="G64" s="32"/>
      <c r="H64" s="32"/>
      <c r="I64" s="32"/>
      <c r="J64" s="32"/>
    </row>
    <row r="65" spans="1:10" x14ac:dyDescent="0.2">
      <c r="A65" s="8"/>
      <c r="B65" s="25" t="s">
        <v>4</v>
      </c>
      <c r="C65" s="25" t="s">
        <v>119</v>
      </c>
      <c r="D65" s="37"/>
      <c r="E65" s="37"/>
      <c r="F65" s="37"/>
      <c r="G65" s="37"/>
      <c r="H65" s="37"/>
      <c r="I65" s="37"/>
      <c r="J65" s="37"/>
    </row>
    <row r="66" spans="1:10" x14ac:dyDescent="0.2">
      <c r="A66" s="9" t="s">
        <v>62</v>
      </c>
      <c r="B66" s="19">
        <f>B21</f>
        <v>5</v>
      </c>
      <c r="C66" s="21">
        <v>1</v>
      </c>
      <c r="D66" s="37" t="s">
        <v>120</v>
      </c>
      <c r="E66" s="37"/>
      <c r="F66" s="37"/>
      <c r="G66" s="37"/>
      <c r="H66" s="37"/>
      <c r="I66" s="37"/>
      <c r="J66" s="37"/>
    </row>
    <row r="67" spans="1:10" x14ac:dyDescent="0.2">
      <c r="A67" s="9" t="s">
        <v>121</v>
      </c>
      <c r="B67" s="19">
        <f>B51</f>
        <v>2.9690738798117526</v>
      </c>
      <c r="C67" s="21">
        <f>B67/B66</f>
        <v>0.59381477596235055</v>
      </c>
      <c r="D67" s="37" t="s">
        <v>122</v>
      </c>
      <c r="E67" s="37"/>
      <c r="F67" s="37"/>
      <c r="G67" s="37"/>
      <c r="H67" s="37"/>
      <c r="I67" s="37"/>
      <c r="J67" s="37"/>
    </row>
    <row r="68" spans="1:10" x14ac:dyDescent="0.2">
      <c r="A68" s="9" t="s">
        <v>123</v>
      </c>
      <c r="B68" s="19">
        <f>B57</f>
        <v>0.34911630867726423</v>
      </c>
      <c r="C68" s="21">
        <f>B68/B66</f>
        <v>6.9823261735452849E-2</v>
      </c>
      <c r="D68" s="37" t="s">
        <v>124</v>
      </c>
      <c r="E68" s="37"/>
      <c r="F68" s="37"/>
      <c r="G68" s="37"/>
      <c r="H68" s="37"/>
      <c r="I68" s="37"/>
      <c r="J68" s="37"/>
    </row>
    <row r="69" spans="1:10" x14ac:dyDescent="0.2">
      <c r="A69" s="9" t="s">
        <v>125</v>
      </c>
      <c r="B69" s="19">
        <f>B66-B67-B68</f>
        <v>1.6818098115109832</v>
      </c>
      <c r="C69" s="21">
        <f>C66-C67-C68</f>
        <v>0.33636196230219662</v>
      </c>
      <c r="D69" s="37" t="s">
        <v>126</v>
      </c>
      <c r="E69" s="37"/>
      <c r="F69" s="37"/>
      <c r="G69" s="37"/>
      <c r="H69" s="37"/>
      <c r="I69" s="37"/>
      <c r="J69" s="37"/>
    </row>
    <row r="77" spans="1:10" x14ac:dyDescent="0.2">
      <c r="G77" s="26"/>
    </row>
    <row r="78" spans="1:10" x14ac:dyDescent="0.2">
      <c r="G78" s="26"/>
    </row>
    <row r="79" spans="1:10" x14ac:dyDescent="0.2">
      <c r="G79" s="26"/>
    </row>
    <row r="80" spans="1:10" x14ac:dyDescent="0.2">
      <c r="G80" s="26"/>
    </row>
    <row r="82" spans="7:7" x14ac:dyDescent="0.2">
      <c r="G82" s="26"/>
    </row>
  </sheetData>
  <sheetProtection password="ECAE" sheet="1"/>
  <mergeCells count="94">
    <mergeCell ref="D65:J65"/>
    <mergeCell ref="D66:J66"/>
    <mergeCell ref="D67:J67"/>
    <mergeCell ref="D68:J68"/>
    <mergeCell ref="D69:J69"/>
    <mergeCell ref="B50:C50"/>
    <mergeCell ref="E50:F50"/>
    <mergeCell ref="G50:H50"/>
    <mergeCell ref="A64:J64"/>
    <mergeCell ref="B51:C51"/>
    <mergeCell ref="E51:F51"/>
    <mergeCell ref="G51:H51"/>
    <mergeCell ref="E52:F52"/>
    <mergeCell ref="G52:H52"/>
    <mergeCell ref="A53:C53"/>
    <mergeCell ref="B54:C54"/>
    <mergeCell ref="B55:C55"/>
    <mergeCell ref="B56:C56"/>
    <mergeCell ref="B57:C57"/>
    <mergeCell ref="A59:B59"/>
    <mergeCell ref="B48:C48"/>
    <mergeCell ref="E48:F48"/>
    <mergeCell ref="G48:H48"/>
    <mergeCell ref="B49:C49"/>
    <mergeCell ref="E49:F49"/>
    <mergeCell ref="G49:H49"/>
    <mergeCell ref="C43:J43"/>
    <mergeCell ref="C44:J44"/>
    <mergeCell ref="A46:C46"/>
    <mergeCell ref="E46:H46"/>
    <mergeCell ref="B47:C47"/>
    <mergeCell ref="E47:F47"/>
    <mergeCell ref="G47:H47"/>
    <mergeCell ref="C38:J38"/>
    <mergeCell ref="C39:J39"/>
    <mergeCell ref="C40:J40"/>
    <mergeCell ref="C41:J41"/>
    <mergeCell ref="C42:J42"/>
    <mergeCell ref="C33:J33"/>
    <mergeCell ref="C34:J34"/>
    <mergeCell ref="C35:J35"/>
    <mergeCell ref="C36:J36"/>
    <mergeCell ref="C37:J37"/>
    <mergeCell ref="A28:J28"/>
    <mergeCell ref="C29:J29"/>
    <mergeCell ref="C30:J30"/>
    <mergeCell ref="C31:J31"/>
    <mergeCell ref="C32:J32"/>
    <mergeCell ref="E18:I18"/>
    <mergeCell ref="A19:B19"/>
    <mergeCell ref="E19:I19"/>
    <mergeCell ref="E20:I20"/>
    <mergeCell ref="E21:I21"/>
    <mergeCell ref="B15:C15"/>
    <mergeCell ref="E15:I15"/>
    <mergeCell ref="B16:C16"/>
    <mergeCell ref="E16:I16"/>
    <mergeCell ref="B17:C17"/>
    <mergeCell ref="E17:I17"/>
    <mergeCell ref="B12:C12"/>
    <mergeCell ref="E12:I12"/>
    <mergeCell ref="B13:C13"/>
    <mergeCell ref="E13:I13"/>
    <mergeCell ref="B14:C14"/>
    <mergeCell ref="E14:I14"/>
    <mergeCell ref="B9:C9"/>
    <mergeCell ref="E9:I9"/>
    <mergeCell ref="J9:K9"/>
    <mergeCell ref="B10:C10"/>
    <mergeCell ref="B11:C11"/>
    <mergeCell ref="E11:J11"/>
    <mergeCell ref="B7:C7"/>
    <mergeCell ref="E7:I7"/>
    <mergeCell ref="J7:K7"/>
    <mergeCell ref="B8:C8"/>
    <mergeCell ref="E8:I8"/>
    <mergeCell ref="J8:K8"/>
    <mergeCell ref="B5:C5"/>
    <mergeCell ref="E5:I5"/>
    <mergeCell ref="J5:K5"/>
    <mergeCell ref="B6:C6"/>
    <mergeCell ref="E6:I6"/>
    <mergeCell ref="J6:K6"/>
    <mergeCell ref="A3:C3"/>
    <mergeCell ref="E3:I3"/>
    <mergeCell ref="J3:K3"/>
    <mergeCell ref="B4:C4"/>
    <mergeCell ref="E4:I4"/>
    <mergeCell ref="J4:K4"/>
    <mergeCell ref="A1:C1"/>
    <mergeCell ref="E1:K1"/>
    <mergeCell ref="B2:C2"/>
    <mergeCell ref="E2:I2"/>
    <mergeCell ref="J2:K2"/>
  </mergeCells>
  <pageMargins left="0.39374999999999999" right="0.39374999999999999" top="0.65902777777777777" bottom="0.65902777777777777" header="0.39374999999999999" footer="0.39374999999999999"/>
  <pageSetup paperSize="9" scale="82" firstPageNumber="0" orientation="landscape" horizontalDpi="300" verticalDpi="300"/>
  <headerFooter alignWithMargins="0">
    <oddHeader>&amp;C&amp;"Times New Roman,Regular"&amp;12&amp;A</oddHeader>
    <oddFooter>&amp;C&amp;"Times New Roman,Regular"&amp;12Página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D47"/>
  <sheetViews>
    <sheetView workbookViewId="0" xr3:uid="{842E5F09-E766-5B8D-85AF-A39847EA96FD}">
      <selection activeCell="B6" sqref="B6"/>
    </sheetView>
  </sheetViews>
  <sheetFormatPr defaultColWidth="11.59375" defaultRowHeight="12.75" x14ac:dyDescent="0.15"/>
  <cols>
    <col min="1" max="1" width="16.44921875" customWidth="1"/>
    <col min="2" max="2" width="31.6875" customWidth="1"/>
    <col min="3" max="3" width="15.37109375" customWidth="1"/>
    <col min="4" max="4" width="16.5859375" customWidth="1"/>
  </cols>
  <sheetData>
    <row r="2" spans="1:4" x14ac:dyDescent="0.15">
      <c r="A2" s="48" t="s">
        <v>127</v>
      </c>
      <c r="B2" s="30" t="s">
        <v>127</v>
      </c>
      <c r="C2" s="30"/>
      <c r="D2" s="30"/>
    </row>
    <row r="3" spans="1:4" x14ac:dyDescent="0.15">
      <c r="A3" s="48"/>
      <c r="B3" s="27"/>
      <c r="C3" s="27"/>
      <c r="D3" s="27"/>
    </row>
    <row r="4" spans="1:4" x14ac:dyDescent="0.15">
      <c r="A4" s="48"/>
      <c r="B4" s="27" t="s">
        <v>3</v>
      </c>
      <c r="C4" s="27" t="s">
        <v>128</v>
      </c>
      <c r="D4" s="27" t="s">
        <v>4</v>
      </c>
    </row>
    <row r="5" spans="1:4" x14ac:dyDescent="0.15">
      <c r="A5" s="48"/>
      <c r="B5" s="27" t="s">
        <v>129</v>
      </c>
      <c r="C5" s="28">
        <v>1</v>
      </c>
      <c r="D5" s="28">
        <v>77092.039999999994</v>
      </c>
    </row>
    <row r="6" spans="1:4" x14ac:dyDescent="0.15">
      <c r="A6" s="48"/>
      <c r="B6" s="27"/>
      <c r="C6" s="28"/>
      <c r="D6" s="28"/>
    </row>
    <row r="7" spans="1:4" x14ac:dyDescent="0.15">
      <c r="A7" s="48"/>
      <c r="B7" s="27"/>
      <c r="C7" s="28"/>
      <c r="D7" s="28"/>
    </row>
    <row r="8" spans="1:4" x14ac:dyDescent="0.15">
      <c r="A8" s="48"/>
      <c r="B8" s="27"/>
      <c r="C8" s="28"/>
      <c r="D8" s="28"/>
    </row>
    <row r="9" spans="1:4" x14ac:dyDescent="0.15">
      <c r="A9" s="48"/>
      <c r="B9" s="27"/>
      <c r="C9" s="28"/>
      <c r="D9" s="28"/>
    </row>
    <row r="10" spans="1:4" x14ac:dyDescent="0.15">
      <c r="A10" s="48"/>
      <c r="B10" s="27"/>
      <c r="C10" s="28"/>
      <c r="D10" s="28"/>
    </row>
    <row r="11" spans="1:4" x14ac:dyDescent="0.15">
      <c r="A11" s="48"/>
      <c r="B11" s="27"/>
      <c r="C11" s="28"/>
      <c r="D11" s="28"/>
    </row>
    <row r="12" spans="1:4" x14ac:dyDescent="0.15">
      <c r="A12" s="48"/>
      <c r="B12" s="27"/>
      <c r="C12" s="28"/>
      <c r="D12" s="28"/>
    </row>
    <row r="13" spans="1:4" x14ac:dyDescent="0.15">
      <c r="A13" s="48"/>
      <c r="B13" s="27"/>
      <c r="C13" s="28"/>
      <c r="D13" s="28"/>
    </row>
    <row r="14" spans="1:4" x14ac:dyDescent="0.15">
      <c r="A14" s="48"/>
      <c r="B14" s="27"/>
      <c r="C14" s="28"/>
      <c r="D14" s="28"/>
    </row>
    <row r="15" spans="1:4" x14ac:dyDescent="0.15">
      <c r="A15" s="48"/>
      <c r="B15" s="27"/>
      <c r="C15" s="28"/>
      <c r="D15" s="28"/>
    </row>
    <row r="16" spans="1:4" x14ac:dyDescent="0.15">
      <c r="A16" s="48"/>
      <c r="B16" s="27"/>
      <c r="C16" s="28"/>
      <c r="D16" s="28"/>
    </row>
    <row r="17" spans="1:4" x14ac:dyDescent="0.15">
      <c r="A17" s="48"/>
      <c r="B17" s="27"/>
      <c r="C17" s="28"/>
      <c r="D17" s="28"/>
    </row>
    <row r="18" spans="1:4" x14ac:dyDescent="0.15">
      <c r="A18" s="48"/>
      <c r="B18" s="27"/>
      <c r="C18" s="28"/>
      <c r="D18" s="28"/>
    </row>
    <row r="19" spans="1:4" x14ac:dyDescent="0.15">
      <c r="A19" s="48"/>
      <c r="B19" s="27"/>
      <c r="C19" s="28"/>
      <c r="D19" s="28"/>
    </row>
    <row r="20" spans="1:4" x14ac:dyDescent="0.15">
      <c r="A20" s="48"/>
      <c r="B20" s="27"/>
      <c r="C20" s="28"/>
      <c r="D20" s="28"/>
    </row>
    <row r="21" spans="1:4" x14ac:dyDescent="0.15">
      <c r="A21" s="48"/>
      <c r="B21" s="27"/>
      <c r="C21" s="28"/>
      <c r="D21" s="28"/>
    </row>
    <row r="22" spans="1:4" x14ac:dyDescent="0.15">
      <c r="A22" s="48"/>
      <c r="B22" s="27"/>
      <c r="C22" s="28"/>
      <c r="D22" s="28"/>
    </row>
    <row r="23" spans="1:4" x14ac:dyDescent="0.15">
      <c r="A23" s="48"/>
      <c r="B23" s="27"/>
      <c r="C23" s="28"/>
      <c r="D23" s="28"/>
    </row>
    <row r="24" spans="1:4" x14ac:dyDescent="0.15">
      <c r="A24" s="48"/>
      <c r="B24" s="27"/>
      <c r="C24" s="28"/>
      <c r="D24" s="28"/>
    </row>
    <row r="25" spans="1:4" x14ac:dyDescent="0.15">
      <c r="A25" s="48"/>
      <c r="B25" s="27"/>
      <c r="C25" s="28"/>
      <c r="D25" s="28"/>
    </row>
    <row r="26" spans="1:4" x14ac:dyDescent="0.15">
      <c r="A26" s="48"/>
      <c r="B26" s="27"/>
      <c r="C26" s="28"/>
      <c r="D26" s="28"/>
    </row>
    <row r="27" spans="1:4" x14ac:dyDescent="0.15">
      <c r="A27" s="48"/>
      <c r="B27" s="27"/>
      <c r="C27" s="28"/>
      <c r="D27" s="28"/>
    </row>
    <row r="28" spans="1:4" x14ac:dyDescent="0.15">
      <c r="A28" s="48"/>
      <c r="B28" s="27"/>
      <c r="C28" s="28"/>
      <c r="D28" s="28"/>
    </row>
    <row r="29" spans="1:4" x14ac:dyDescent="0.15">
      <c r="A29" s="48"/>
      <c r="B29" s="27"/>
      <c r="C29" s="28"/>
      <c r="D29" s="28"/>
    </row>
    <row r="30" spans="1:4" x14ac:dyDescent="0.15">
      <c r="A30" s="48"/>
      <c r="B30" s="27"/>
      <c r="C30" s="28"/>
      <c r="D30" s="28"/>
    </row>
    <row r="31" spans="1:4" x14ac:dyDescent="0.15">
      <c r="A31" s="48"/>
      <c r="B31" s="27"/>
      <c r="C31" s="28"/>
      <c r="D31" s="28"/>
    </row>
    <row r="32" spans="1:4" x14ac:dyDescent="0.15">
      <c r="A32" s="48"/>
      <c r="B32" s="27"/>
      <c r="C32" s="28"/>
      <c r="D32" s="28"/>
    </row>
    <row r="33" spans="1:4" x14ac:dyDescent="0.15">
      <c r="A33" s="48"/>
      <c r="B33" s="27"/>
      <c r="C33" s="28"/>
      <c r="D33" s="28"/>
    </row>
    <row r="34" spans="1:4" x14ac:dyDescent="0.15">
      <c r="A34" s="48"/>
      <c r="B34" s="27"/>
      <c r="C34" s="28"/>
      <c r="D34" s="28"/>
    </row>
    <row r="35" spans="1:4" x14ac:dyDescent="0.15">
      <c r="A35" s="48"/>
      <c r="B35" s="27"/>
      <c r="C35" s="28"/>
      <c r="D35" s="28"/>
    </row>
    <row r="36" spans="1:4" x14ac:dyDescent="0.15">
      <c r="A36" s="48"/>
      <c r="B36" s="27"/>
      <c r="C36" s="28"/>
      <c r="D36" s="28"/>
    </row>
    <row r="37" spans="1:4" x14ac:dyDescent="0.15">
      <c r="A37" s="48"/>
      <c r="B37" s="27"/>
      <c r="C37" s="28"/>
      <c r="D37" s="28"/>
    </row>
    <row r="38" spans="1:4" x14ac:dyDescent="0.15">
      <c r="A38" s="48"/>
      <c r="B38" s="27"/>
      <c r="C38" s="28"/>
      <c r="D38" s="28"/>
    </row>
    <row r="39" spans="1:4" x14ac:dyDescent="0.15">
      <c r="A39" s="48"/>
      <c r="B39" s="27"/>
      <c r="C39" s="28"/>
      <c r="D39" s="28"/>
    </row>
    <row r="40" spans="1:4" x14ac:dyDescent="0.15">
      <c r="A40" s="48"/>
      <c r="B40" s="27"/>
      <c r="C40" s="28"/>
      <c r="D40" s="28"/>
    </row>
    <row r="41" spans="1:4" x14ac:dyDescent="0.15">
      <c r="A41" s="48"/>
      <c r="B41" s="27"/>
      <c r="C41" s="28"/>
      <c r="D41" s="28"/>
    </row>
    <row r="42" spans="1:4" x14ac:dyDescent="0.15">
      <c r="A42" s="48"/>
      <c r="B42" s="27"/>
      <c r="C42" s="28"/>
      <c r="D42" s="28"/>
    </row>
    <row r="43" spans="1:4" x14ac:dyDescent="0.15">
      <c r="A43" s="48"/>
      <c r="B43" s="27"/>
      <c r="C43" s="28"/>
      <c r="D43" s="28"/>
    </row>
    <row r="44" spans="1:4" x14ac:dyDescent="0.15">
      <c r="A44" s="48"/>
      <c r="B44" s="27"/>
      <c r="C44" s="28"/>
      <c r="D44" s="28"/>
    </row>
    <row r="45" spans="1:4" x14ac:dyDescent="0.15">
      <c r="A45" s="48"/>
      <c r="B45" s="27"/>
      <c r="C45" s="28"/>
      <c r="D45" s="28"/>
    </row>
    <row r="46" spans="1:4" x14ac:dyDescent="0.15">
      <c r="A46" s="48"/>
      <c r="B46" s="27"/>
      <c r="C46" s="28"/>
      <c r="D46" s="28"/>
    </row>
    <row r="47" spans="1:4" x14ac:dyDescent="0.15">
      <c r="B47" s="3" t="s">
        <v>130</v>
      </c>
      <c r="C47" s="31">
        <f>SUM(D5:D46)</f>
        <v>77092.039999999994</v>
      </c>
      <c r="D47" s="31"/>
    </row>
  </sheetData>
  <sheetProtection selectLockedCells="1" selectUnlockedCells="1"/>
  <mergeCells count="3">
    <mergeCell ref="A2:A46"/>
    <mergeCell ref="B2:D2"/>
    <mergeCell ref="C47:D47"/>
  </mergeCells>
  <pageMargins left="0.78749999999999998" right="0.78749999999999998" top="1.0527777777777778" bottom="1.0527777777777778" header="0.78749999999999998" footer="0.78749999999999998"/>
  <pageSetup paperSize="9" firstPageNumber="0" orientation="portrait" horizontalDpi="300" verticalDpi="300"/>
  <headerFooter alignWithMargins="0">
    <oddHeader>&amp;C&amp;"Times New Roman,Regular"&amp;12&amp;A</oddHeader>
    <oddFooter>&amp;C&amp;"Times New Roman,Regular"&amp;12Página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2:N41"/>
  <sheetViews>
    <sheetView topLeftCell="A10" workbookViewId="0" xr3:uid="{51F8DEE0-4D01-5F28-A812-FC0BD7CAC4A5}">
      <selection activeCell="C33" sqref="C33:D33"/>
    </sheetView>
  </sheetViews>
  <sheetFormatPr defaultColWidth="11.59375" defaultRowHeight="18" x14ac:dyDescent="0.2"/>
  <cols>
    <col min="1" max="1" width="39.64453125" style="29" customWidth="1"/>
    <col min="2" max="16384" width="11.59375" style="29"/>
  </cols>
  <sheetData>
    <row r="2" spans="1:14" x14ac:dyDescent="0.2">
      <c r="A2" s="49" t="s">
        <v>131</v>
      </c>
      <c r="B2" s="49"/>
      <c r="C2" s="49"/>
      <c r="D2" s="49"/>
      <c r="E2" s="49"/>
      <c r="F2" s="49"/>
      <c r="G2" s="49"/>
      <c r="H2" s="49"/>
      <c r="I2" s="49"/>
      <c r="J2" s="49"/>
      <c r="K2" s="49"/>
      <c r="L2" s="49"/>
      <c r="M2" s="49"/>
      <c r="N2" s="49"/>
    </row>
    <row r="4" spans="1:14" x14ac:dyDescent="0.2">
      <c r="A4" s="49" t="s">
        <v>132</v>
      </c>
      <c r="B4" s="49"/>
      <c r="C4" s="49"/>
      <c r="D4" s="49"/>
      <c r="E4" s="49"/>
      <c r="F4" s="49"/>
      <c r="G4" s="49"/>
      <c r="H4" s="49"/>
      <c r="I4" s="49"/>
      <c r="J4" s="49"/>
      <c r="K4" s="49"/>
      <c r="L4" s="49"/>
      <c r="M4" s="49"/>
      <c r="N4" s="49"/>
    </row>
    <row r="7" spans="1:14" x14ac:dyDescent="0.2">
      <c r="A7" s="50" t="s">
        <v>133</v>
      </c>
      <c r="B7" s="50"/>
      <c r="C7" s="50"/>
      <c r="D7" s="50"/>
      <c r="E7" s="50"/>
      <c r="F7" s="50"/>
      <c r="G7" s="50"/>
      <c r="H7" s="50"/>
      <c r="I7" s="51">
        <v>710</v>
      </c>
      <c r="J7" s="51"/>
      <c r="K7" s="51"/>
    </row>
    <row r="8" spans="1:14" x14ac:dyDescent="0.2">
      <c r="A8" s="50" t="s">
        <v>134</v>
      </c>
      <c r="B8" s="50"/>
      <c r="C8" s="50"/>
      <c r="D8" s="50"/>
      <c r="E8" s="50"/>
      <c r="F8" s="50"/>
      <c r="G8" s="50"/>
      <c r="H8" s="50"/>
      <c r="I8" s="52">
        <v>1</v>
      </c>
      <c r="J8" s="52"/>
      <c r="K8" s="52"/>
    </row>
    <row r="9" spans="1:14" x14ac:dyDescent="0.2">
      <c r="A9" s="50" t="s">
        <v>135</v>
      </c>
      <c r="B9" s="50"/>
      <c r="C9" s="50"/>
      <c r="D9" s="50"/>
      <c r="E9" s="50"/>
      <c r="F9" s="50"/>
      <c r="G9" s="50"/>
      <c r="H9" s="50"/>
      <c r="I9" s="52">
        <v>40</v>
      </c>
      <c r="J9" s="52"/>
      <c r="K9" s="52"/>
    </row>
    <row r="10" spans="1:14" x14ac:dyDescent="0.2">
      <c r="A10" s="50" t="s">
        <v>136</v>
      </c>
      <c r="B10" s="50"/>
      <c r="C10" s="50"/>
      <c r="D10" s="50"/>
      <c r="E10" s="50"/>
      <c r="F10" s="50"/>
      <c r="G10" s="50"/>
      <c r="H10" s="50"/>
      <c r="I10" s="53">
        <v>0.05</v>
      </c>
      <c r="J10" s="53"/>
      <c r="K10" s="53"/>
    </row>
    <row r="11" spans="1:14" x14ac:dyDescent="0.2">
      <c r="A11" s="50" t="s">
        <v>62</v>
      </c>
      <c r="B11" s="50"/>
      <c r="C11" s="50"/>
      <c r="D11" s="50"/>
      <c r="E11" s="50"/>
      <c r="F11" s="50"/>
      <c r="G11" s="50"/>
      <c r="H11" s="50"/>
      <c r="I11" s="54">
        <v>5</v>
      </c>
      <c r="J11" s="54"/>
      <c r="K11" s="54"/>
    </row>
    <row r="12" spans="1:14" x14ac:dyDescent="0.2">
      <c r="A12" s="50" t="s">
        <v>137</v>
      </c>
      <c r="B12" s="50"/>
      <c r="C12" s="50"/>
      <c r="D12" s="50"/>
      <c r="E12" s="50"/>
      <c r="F12" s="50"/>
      <c r="G12" s="50"/>
      <c r="H12" s="50"/>
      <c r="I12" s="54">
        <v>4.9000000000000004</v>
      </c>
      <c r="J12" s="54"/>
      <c r="K12" s="54"/>
    </row>
    <row r="13" spans="1:14" x14ac:dyDescent="0.2">
      <c r="A13" s="50" t="s">
        <v>138</v>
      </c>
      <c r="B13" s="50"/>
      <c r="C13" s="50"/>
      <c r="D13" s="50"/>
      <c r="E13" s="50"/>
      <c r="F13" s="50"/>
      <c r="G13" s="50"/>
      <c r="H13" s="50"/>
      <c r="I13" s="51">
        <v>150000</v>
      </c>
      <c r="J13" s="51"/>
      <c r="K13" s="51"/>
    </row>
    <row r="14" spans="1:14" x14ac:dyDescent="0.2">
      <c r="A14" s="50" t="s">
        <v>139</v>
      </c>
      <c r="B14" s="50"/>
      <c r="C14" s="50"/>
      <c r="D14" s="50"/>
      <c r="E14" s="50"/>
      <c r="F14" s="50"/>
      <c r="G14" s="50"/>
      <c r="H14" s="50"/>
      <c r="I14" s="54">
        <v>1.6</v>
      </c>
      <c r="J14" s="54"/>
      <c r="K14" s="54"/>
    </row>
    <row r="15" spans="1:14" x14ac:dyDescent="0.2">
      <c r="A15" s="50" t="s">
        <v>140</v>
      </c>
      <c r="B15" s="50"/>
      <c r="C15" s="50"/>
      <c r="D15" s="50"/>
      <c r="E15" s="50"/>
      <c r="F15" s="50"/>
      <c r="G15" s="50"/>
      <c r="H15" s="50"/>
      <c r="I15" s="54">
        <v>0.18</v>
      </c>
      <c r="J15" s="54"/>
      <c r="K15" s="54"/>
    </row>
    <row r="16" spans="1:14" x14ac:dyDescent="0.2">
      <c r="A16" s="50" t="s">
        <v>141</v>
      </c>
      <c r="B16" s="50"/>
      <c r="C16" s="50"/>
      <c r="D16" s="50"/>
      <c r="E16" s="50"/>
      <c r="F16" s="50"/>
      <c r="G16" s="50"/>
      <c r="H16" s="50"/>
      <c r="I16" s="53">
        <v>0.01</v>
      </c>
      <c r="J16" s="53"/>
      <c r="K16" s="53"/>
    </row>
    <row r="18" spans="1:11" x14ac:dyDescent="0.2">
      <c r="A18" s="55" t="s">
        <v>142</v>
      </c>
      <c r="B18" s="55"/>
      <c r="C18" s="55"/>
      <c r="D18" s="55"/>
      <c r="E18" s="55"/>
      <c r="F18" s="55"/>
      <c r="G18" s="55"/>
      <c r="H18" s="55"/>
      <c r="I18" s="55"/>
      <c r="J18" s="55"/>
      <c r="K18" s="55"/>
    </row>
    <row r="20" spans="1:11" x14ac:dyDescent="0.2">
      <c r="A20" s="32" t="s">
        <v>100</v>
      </c>
      <c r="B20" s="32"/>
      <c r="C20" s="32"/>
      <c r="D20" s="7"/>
      <c r="E20" s="32" t="s">
        <v>101</v>
      </c>
      <c r="F20" s="32"/>
      <c r="G20" s="32"/>
      <c r="H20" s="32"/>
      <c r="I20" s="7"/>
      <c r="J20" s="7"/>
    </row>
    <row r="21" spans="1:11" x14ac:dyDescent="0.2">
      <c r="A21" s="9" t="s">
        <v>102</v>
      </c>
      <c r="B21" s="36">
        <f>calculocusto!B47</f>
        <v>3.2579787234042557E-3</v>
      </c>
      <c r="C21" s="36"/>
      <c r="D21" s="7"/>
      <c r="E21" s="35" t="s">
        <v>103</v>
      </c>
      <c r="F21" s="35"/>
      <c r="G21" s="45">
        <f>C33</f>
        <v>3.3181901884890168</v>
      </c>
      <c r="H21" s="45"/>
      <c r="I21" s="7"/>
      <c r="J21" s="7"/>
    </row>
    <row r="22" spans="1:11" x14ac:dyDescent="0.2">
      <c r="A22" s="9" t="s">
        <v>104</v>
      </c>
      <c r="B22" s="36">
        <f>calculocusto!B48</f>
        <v>0.87429515444942396</v>
      </c>
      <c r="C22" s="36"/>
      <c r="D22" s="7"/>
      <c r="E22" s="35" t="s">
        <v>105</v>
      </c>
      <c r="F22" s="35"/>
      <c r="G22" s="56">
        <f>calculocusto!G48</f>
        <v>0.01</v>
      </c>
      <c r="H22" s="56"/>
      <c r="I22" s="7"/>
      <c r="J22" s="7"/>
    </row>
    <row r="23" spans="1:11" x14ac:dyDescent="0.2">
      <c r="A23" s="9" t="s">
        <v>106</v>
      </c>
      <c r="B23" s="36">
        <f>calculocusto!B49</f>
        <v>1.6</v>
      </c>
      <c r="C23" s="36"/>
      <c r="D23" s="7"/>
      <c r="E23" s="35" t="s">
        <v>107</v>
      </c>
      <c r="F23" s="35"/>
      <c r="G23" s="40">
        <f>calculocusto!G49</f>
        <v>710</v>
      </c>
      <c r="H23" s="40"/>
      <c r="I23" s="7"/>
      <c r="J23" s="7"/>
    </row>
    <row r="24" spans="1:11" x14ac:dyDescent="0.2">
      <c r="A24" s="9" t="s">
        <v>89</v>
      </c>
      <c r="B24" s="36">
        <f>calculocusto!B50</f>
        <v>0.49152074663892448</v>
      </c>
      <c r="C24" s="36"/>
      <c r="D24" s="7"/>
      <c r="E24" s="44" t="s">
        <v>108</v>
      </c>
      <c r="F24" s="44"/>
      <c r="G24" s="44">
        <f>calculocusto!G50</f>
        <v>7.1000000000000005</v>
      </c>
      <c r="H24" s="44"/>
      <c r="I24" s="7"/>
      <c r="J24" s="7"/>
    </row>
    <row r="25" spans="1:11" x14ac:dyDescent="0.2">
      <c r="A25" s="9" t="s">
        <v>109</v>
      </c>
      <c r="B25" s="36">
        <f>calculocusto!B51</f>
        <v>2.9690738798117526</v>
      </c>
      <c r="C25" s="36"/>
      <c r="D25" s="7"/>
      <c r="E25" s="35" t="s">
        <v>110</v>
      </c>
      <c r="F25" s="35"/>
      <c r="G25" s="45">
        <f>calculocusto!G51</f>
        <v>1.2993000000000001</v>
      </c>
      <c r="H25" s="45"/>
      <c r="I25" s="7"/>
      <c r="J25" s="7"/>
    </row>
    <row r="26" spans="1:11" x14ac:dyDescent="0.2">
      <c r="A26" s="7"/>
      <c r="B26" s="7"/>
      <c r="C26" s="7"/>
      <c r="D26" s="7"/>
      <c r="E26" s="35" t="s">
        <v>111</v>
      </c>
      <c r="F26" s="35"/>
      <c r="G26" s="46">
        <f>calculocusto!G52</f>
        <v>1.8300000000000002E-3</v>
      </c>
      <c r="H26" s="46"/>
      <c r="I26" s="7"/>
      <c r="J26" s="7"/>
    </row>
    <row r="27" spans="1:11" x14ac:dyDescent="0.2">
      <c r="A27" s="32" t="s">
        <v>112</v>
      </c>
      <c r="B27" s="32"/>
      <c r="C27" s="32"/>
      <c r="D27" s="7"/>
      <c r="E27" s="7"/>
      <c r="F27" s="7"/>
      <c r="G27" s="7"/>
      <c r="H27" s="7"/>
      <c r="I27" s="7"/>
      <c r="J27" s="7"/>
    </row>
    <row r="28" spans="1:11" x14ac:dyDescent="0.2">
      <c r="A28" s="9" t="s">
        <v>113</v>
      </c>
      <c r="B28" s="36">
        <f>calculocusto!B54</f>
        <v>0.25</v>
      </c>
      <c r="C28" s="36"/>
      <c r="D28" s="7"/>
      <c r="E28" s="7"/>
      <c r="F28" s="7"/>
      <c r="G28" s="7"/>
      <c r="H28" s="7"/>
      <c r="I28" s="7"/>
      <c r="J28" s="7"/>
    </row>
    <row r="29" spans="1:11" x14ac:dyDescent="0.2">
      <c r="A29" s="9" t="s">
        <v>114</v>
      </c>
      <c r="B29" s="36">
        <f>calculocusto!B55</f>
        <v>9.7286308677264219E-2</v>
      </c>
      <c r="C29" s="36"/>
      <c r="D29" s="7"/>
      <c r="E29" s="7"/>
      <c r="F29" s="7"/>
      <c r="G29" s="7"/>
      <c r="H29" s="7"/>
      <c r="I29" s="7"/>
      <c r="J29" s="7"/>
    </row>
    <row r="30" spans="1:11" x14ac:dyDescent="0.2">
      <c r="A30" s="9" t="s">
        <v>115</v>
      </c>
      <c r="B30" s="47">
        <f>calculocusto!B56</f>
        <v>1.8300000000000002E-3</v>
      </c>
      <c r="C30" s="47"/>
      <c r="D30" s="7"/>
      <c r="E30" s="7"/>
      <c r="F30" s="7"/>
      <c r="G30" s="7"/>
      <c r="H30" s="7"/>
      <c r="I30" s="7"/>
      <c r="J30" s="7"/>
    </row>
    <row r="31" spans="1:11" x14ac:dyDescent="0.2">
      <c r="A31" s="9" t="s">
        <v>116</v>
      </c>
      <c r="B31" s="47">
        <f>calculocusto!B57</f>
        <v>0.34911630867726423</v>
      </c>
      <c r="C31" s="47"/>
      <c r="D31" s="7"/>
      <c r="E31" s="7"/>
      <c r="F31" s="7"/>
      <c r="G31" s="7"/>
      <c r="H31" s="7"/>
      <c r="I31" s="7"/>
      <c r="J31" s="7"/>
    </row>
    <row r="32" spans="1:11" x14ac:dyDescent="0.2">
      <c r="A32" s="7"/>
      <c r="B32" s="7"/>
      <c r="C32" s="7"/>
      <c r="D32" s="7"/>
      <c r="E32" s="7"/>
      <c r="F32" s="7"/>
      <c r="G32" s="7"/>
      <c r="H32" s="7"/>
      <c r="I32" s="7"/>
      <c r="J32" s="7"/>
    </row>
    <row r="33" spans="1:10" x14ac:dyDescent="0.2">
      <c r="A33" s="32" t="s">
        <v>117</v>
      </c>
      <c r="B33" s="32"/>
      <c r="C33" s="57">
        <f>calculocusto!C59</f>
        <v>3.3181901884890168</v>
      </c>
      <c r="D33" s="57"/>
      <c r="E33" s="7"/>
      <c r="F33" s="7"/>
      <c r="G33" s="7"/>
      <c r="H33" s="7"/>
      <c r="I33" s="7"/>
      <c r="J33" s="7"/>
    </row>
    <row r="34" spans="1:10" x14ac:dyDescent="0.2">
      <c r="A34" s="7"/>
      <c r="B34" s="7"/>
      <c r="C34" s="7"/>
      <c r="D34" s="7"/>
      <c r="E34" s="7"/>
      <c r="F34" s="7"/>
      <c r="G34" s="7"/>
      <c r="H34" s="7"/>
      <c r="I34" s="7"/>
      <c r="J34" s="7"/>
    </row>
    <row r="35" spans="1:10" x14ac:dyDescent="0.2">
      <c r="A35" s="7"/>
      <c r="B35" s="7"/>
      <c r="C35" s="7"/>
      <c r="D35" s="7"/>
      <c r="E35" s="7"/>
      <c r="F35" s="7"/>
      <c r="G35" s="7"/>
      <c r="H35" s="7"/>
      <c r="I35" s="7"/>
      <c r="J35" s="7"/>
    </row>
    <row r="36" spans="1:10" x14ac:dyDescent="0.2">
      <c r="A36" s="32" t="s">
        <v>118</v>
      </c>
      <c r="B36" s="32"/>
      <c r="C36" s="32"/>
      <c r="D36" s="32"/>
      <c r="E36" s="32"/>
      <c r="F36" s="32"/>
      <c r="G36" s="32"/>
      <c r="H36" s="32"/>
      <c r="I36" s="32"/>
      <c r="J36" s="32"/>
    </row>
    <row r="37" spans="1:10" x14ac:dyDescent="0.2">
      <c r="A37" s="8"/>
      <c r="B37" s="25" t="s">
        <v>4</v>
      </c>
      <c r="C37" s="25" t="s">
        <v>119</v>
      </c>
      <c r="D37" s="37"/>
      <c r="E37" s="37"/>
      <c r="F37" s="37"/>
      <c r="G37" s="37"/>
      <c r="H37" s="37"/>
      <c r="I37" s="37"/>
      <c r="J37" s="37"/>
    </row>
    <row r="38" spans="1:10" x14ac:dyDescent="0.2">
      <c r="A38" s="9" t="s">
        <v>62</v>
      </c>
      <c r="B38" s="19">
        <f>calculocusto!B66</f>
        <v>5</v>
      </c>
      <c r="C38" s="21">
        <f>calculocusto!C66</f>
        <v>1</v>
      </c>
      <c r="D38" s="37" t="s">
        <v>120</v>
      </c>
      <c r="E38" s="37"/>
      <c r="F38" s="37"/>
      <c r="G38" s="37"/>
      <c r="H38" s="37"/>
      <c r="I38" s="37"/>
      <c r="J38" s="37"/>
    </row>
    <row r="39" spans="1:10" x14ac:dyDescent="0.2">
      <c r="A39" s="9" t="s">
        <v>121</v>
      </c>
      <c r="B39" s="19">
        <f>calculocusto!B67</f>
        <v>2.9690738798117526</v>
      </c>
      <c r="C39" s="21">
        <f>calculocusto!C67</f>
        <v>0.59381477596235055</v>
      </c>
      <c r="D39" s="37" t="s">
        <v>122</v>
      </c>
      <c r="E39" s="37"/>
      <c r="F39" s="37"/>
      <c r="G39" s="37"/>
      <c r="H39" s="37"/>
      <c r="I39" s="37"/>
      <c r="J39" s="37"/>
    </row>
    <row r="40" spans="1:10" x14ac:dyDescent="0.2">
      <c r="A40" s="9" t="s">
        <v>123</v>
      </c>
      <c r="B40" s="19">
        <f>calculocusto!B68</f>
        <v>0.34911630867726423</v>
      </c>
      <c r="C40" s="21">
        <f>calculocusto!C68</f>
        <v>6.9823261735452849E-2</v>
      </c>
      <c r="D40" s="37" t="s">
        <v>124</v>
      </c>
      <c r="E40" s="37"/>
      <c r="F40" s="37"/>
      <c r="G40" s="37"/>
      <c r="H40" s="37"/>
      <c r="I40" s="37"/>
      <c r="J40" s="37"/>
    </row>
    <row r="41" spans="1:10" x14ac:dyDescent="0.2">
      <c r="A41" s="9" t="s">
        <v>125</v>
      </c>
      <c r="B41" s="19">
        <f>calculocusto!B69</f>
        <v>1.6818098115109832</v>
      </c>
      <c r="C41" s="21">
        <f>calculocusto!C69</f>
        <v>0.33636196230219662</v>
      </c>
      <c r="D41" s="37" t="s">
        <v>126</v>
      </c>
      <c r="E41" s="37"/>
      <c r="F41" s="37"/>
      <c r="G41" s="37"/>
      <c r="H41" s="37"/>
      <c r="I41" s="37"/>
      <c r="J41" s="37"/>
    </row>
  </sheetData>
  <sheetProtection password="ECAE" sheet="1"/>
  <mergeCells count="55">
    <mergeCell ref="D37:J37"/>
    <mergeCell ref="D38:J38"/>
    <mergeCell ref="D39:J39"/>
    <mergeCell ref="D40:J40"/>
    <mergeCell ref="D41:J41"/>
    <mergeCell ref="B30:C30"/>
    <mergeCell ref="B31:C31"/>
    <mergeCell ref="A33:B33"/>
    <mergeCell ref="C33:D33"/>
    <mergeCell ref="A36:J36"/>
    <mergeCell ref="E26:F26"/>
    <mergeCell ref="G26:H26"/>
    <mergeCell ref="A27:C27"/>
    <mergeCell ref="B28:C28"/>
    <mergeCell ref="B29:C29"/>
    <mergeCell ref="B24:C24"/>
    <mergeCell ref="E24:F24"/>
    <mergeCell ref="G24:H24"/>
    <mergeCell ref="B25:C25"/>
    <mergeCell ref="E25:F25"/>
    <mergeCell ref="G25:H25"/>
    <mergeCell ref="B22:C22"/>
    <mergeCell ref="E22:F22"/>
    <mergeCell ref="G22:H22"/>
    <mergeCell ref="B23:C23"/>
    <mergeCell ref="E23:F23"/>
    <mergeCell ref="G23:H23"/>
    <mergeCell ref="A20:C20"/>
    <mergeCell ref="E20:H20"/>
    <mergeCell ref="B21:C21"/>
    <mergeCell ref="E21:F21"/>
    <mergeCell ref="G21:H21"/>
    <mergeCell ref="A15:H15"/>
    <mergeCell ref="I15:K15"/>
    <mergeCell ref="A16:H16"/>
    <mergeCell ref="I16:K16"/>
    <mergeCell ref="A18:K18"/>
    <mergeCell ref="A12:H12"/>
    <mergeCell ref="I12:K12"/>
    <mergeCell ref="A13:H13"/>
    <mergeCell ref="I13:K13"/>
    <mergeCell ref="A14:H14"/>
    <mergeCell ref="I14:K14"/>
    <mergeCell ref="A9:H9"/>
    <mergeCell ref="I9:K9"/>
    <mergeCell ref="A10:H10"/>
    <mergeCell ref="I10:K10"/>
    <mergeCell ref="A11:H11"/>
    <mergeCell ref="I11:K11"/>
    <mergeCell ref="A2:N2"/>
    <mergeCell ref="A4:N4"/>
    <mergeCell ref="A7:H7"/>
    <mergeCell ref="I7:K7"/>
    <mergeCell ref="A8:H8"/>
    <mergeCell ref="I8:K8"/>
  </mergeCells>
  <pageMargins left="0.78749999999999998" right="0.78749999999999998" top="1.0527777777777778" bottom="1.0527777777777778" header="0.78749999999999998" footer="0.78749999999999998"/>
  <pageSetup paperSize="9" firstPageNumber="0" orientation="portrait" horizontalDpi="300" verticalDpi="300"/>
  <headerFooter alignWithMargins="0">
    <oddHeader>&amp;C&amp;"Times New Roman,Regular"&amp;12&amp;A</oddHeader>
    <oddFooter>&amp;C&amp;"Times New Roman,Regular"&amp;12Página 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"/>
  <sheetViews>
    <sheetView workbookViewId="0" xr3:uid="{F9CF3CF3-643B-5BE6-8B46-32C596A47465}"/>
  </sheetViews>
  <sheetFormatPr defaultColWidth="11.59375" defaultRowHeight="12.75" x14ac:dyDescent="0.15"/>
  <sheetData/>
  <sheetProtection selectLockedCells="1" selectUnlockedCells="1"/>
  <pageMargins left="0.78749999999999998" right="0.78749999999999998" top="1.0527777777777778" bottom="1.0527777777777778" header="0.78749999999999998" footer="0.78749999999999998"/>
  <pageSetup paperSize="9" firstPageNumber="0" orientation="portrait" horizontalDpi="300" verticalDpi="300"/>
  <headerFooter alignWithMargins="0">
    <oddHeader>&amp;C&amp;"Times New Roman,Regular"&amp;12&amp;A</oddHeader>
    <oddFooter>&amp;C&amp;"Times New Roman,Regular"&amp;12Página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2" baseType="variant">
      <vt:variant>
        <vt:lpstr>Planilhas</vt:lpstr>
      </vt:variant>
      <vt:variant>
        <vt:i4>5</vt:i4>
      </vt:variant>
    </vt:vector>
  </HeadingPairs>
  <TitlesOfParts>
    <vt:vector size="5" baseType="lpstr">
      <vt:lpstr>dadosgerais</vt:lpstr>
      <vt:lpstr>calculocusto</vt:lpstr>
      <vt:lpstr>Faturamento</vt:lpstr>
      <vt:lpstr>Dados</vt:lpstr>
      <vt:lpstr>Planilha4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andrebelini</dc:creator>
  <cp:lastModifiedBy>X</cp:lastModifiedBy>
  <dcterms:created xsi:type="dcterms:W3CDTF">2013-04-17T22:50:47Z</dcterms:created>
  <dcterms:modified xsi:type="dcterms:W3CDTF">2018-08-31T10:19:39Z</dcterms:modified>
</cp:coreProperties>
</file>