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40" windowHeight="12240" tabRatio="129" firstSheet="1" activeTab="1"/>
  </bookViews>
  <sheets>
    <sheet name="Gráf1" sheetId="2" r:id="rId1"/>
    <sheet name="2021" sheetId="1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5" i="1" l="1"/>
  <c r="C75" i="1"/>
  <c r="D75" i="1"/>
  <c r="E75" i="1"/>
  <c r="F75" i="1"/>
  <c r="G75" i="1"/>
  <c r="H75" i="1"/>
  <c r="I75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J83" i="1"/>
  <c r="D84" i="1"/>
  <c r="E84" i="1"/>
  <c r="B84" i="1"/>
  <c r="C84" i="1"/>
  <c r="F84" i="1"/>
  <c r="G84" i="1"/>
  <c r="H84" i="1"/>
  <c r="I84" i="1"/>
  <c r="M75" i="1"/>
  <c r="L75" i="1"/>
  <c r="K75" i="1"/>
  <c r="J75" i="1"/>
  <c r="F81" i="1"/>
  <c r="E81" i="1"/>
  <c r="D81" i="1"/>
  <c r="B81" i="1"/>
  <c r="C81" i="1"/>
  <c r="G81" i="1"/>
  <c r="H81" i="1"/>
  <c r="I81" i="1"/>
  <c r="M83" i="1"/>
  <c r="L83" i="1"/>
  <c r="K83" i="1"/>
  <c r="M84" i="1"/>
  <c r="L84" i="1"/>
  <c r="K84" i="1"/>
  <c r="J84" i="1"/>
  <c r="J82" i="1"/>
  <c r="K82" i="1"/>
  <c r="L82" i="1"/>
  <c r="M82" i="1"/>
  <c r="M81" i="1"/>
  <c r="L81" i="1"/>
  <c r="K81" i="1"/>
  <c r="J81" i="1"/>
  <c r="Q71" i="1"/>
  <c r="P71" i="1"/>
  <c r="O71" i="1"/>
  <c r="N71" i="1"/>
  <c r="Q69" i="1"/>
  <c r="P69" i="1"/>
  <c r="O69" i="1"/>
  <c r="N69" i="1"/>
  <c r="Q26" i="1"/>
  <c r="P26" i="1"/>
  <c r="O26" i="1"/>
  <c r="N26" i="1"/>
  <c r="N29" i="1"/>
  <c r="Q7" i="1"/>
  <c r="Q8" i="1"/>
  <c r="Q9" i="1"/>
  <c r="Q11" i="1"/>
  <c r="Q12" i="1"/>
  <c r="Q13" i="1"/>
  <c r="Q14" i="1"/>
  <c r="Q15" i="1"/>
  <c r="Q16" i="1"/>
  <c r="Q19" i="1"/>
  <c r="Q20" i="1"/>
  <c r="Q21" i="1"/>
  <c r="Q23" i="1"/>
  <c r="Q24" i="1"/>
  <c r="Q25" i="1"/>
  <c r="Q27" i="1"/>
  <c r="Q29" i="1"/>
  <c r="Q30" i="1"/>
  <c r="Q32" i="1"/>
  <c r="Q33" i="1"/>
  <c r="Q35" i="1"/>
  <c r="Q36" i="1"/>
  <c r="Q39" i="1"/>
  <c r="Q40" i="1"/>
  <c r="Q41" i="1"/>
  <c r="Q42" i="1"/>
  <c r="Q43" i="1"/>
  <c r="Q44" i="1"/>
  <c r="Q45" i="1"/>
  <c r="Q46" i="1"/>
  <c r="Q47" i="1"/>
  <c r="Q48" i="1"/>
  <c r="Q49" i="1"/>
  <c r="Q50" i="1"/>
  <c r="Q53" i="1"/>
  <c r="Q54" i="1"/>
  <c r="Q55" i="1"/>
  <c r="Q56" i="1"/>
  <c r="Q57" i="1"/>
  <c r="Q58" i="1"/>
  <c r="Q59" i="1"/>
  <c r="Q60" i="1"/>
  <c r="Q62" i="1"/>
  <c r="Q63" i="1"/>
  <c r="Q64" i="1"/>
  <c r="Q65" i="1"/>
  <c r="Q66" i="1"/>
  <c r="Q67" i="1"/>
  <c r="Q68" i="1"/>
  <c r="Q70" i="1"/>
  <c r="Q6" i="1"/>
  <c r="Q5" i="1"/>
  <c r="N35" i="1" l="1"/>
  <c r="N6" i="1"/>
  <c r="N7" i="1"/>
  <c r="N8" i="1"/>
  <c r="N9" i="1"/>
  <c r="N11" i="1"/>
  <c r="N12" i="1"/>
  <c r="N13" i="1"/>
  <c r="N14" i="1"/>
  <c r="N15" i="1"/>
  <c r="N16" i="1"/>
  <c r="N19" i="1"/>
  <c r="N20" i="1"/>
  <c r="N21" i="1"/>
  <c r="N23" i="1"/>
  <c r="N24" i="1"/>
  <c r="N25" i="1"/>
  <c r="N27" i="1"/>
  <c r="N30" i="1"/>
  <c r="N32" i="1"/>
  <c r="N33" i="1"/>
  <c r="N36" i="1"/>
  <c r="N39" i="1"/>
  <c r="N40" i="1"/>
  <c r="N41" i="1"/>
  <c r="N42" i="1"/>
  <c r="N43" i="1"/>
  <c r="N44" i="1"/>
  <c r="N45" i="1"/>
  <c r="N46" i="1"/>
  <c r="N47" i="1"/>
  <c r="N48" i="1"/>
  <c r="N49" i="1"/>
  <c r="N50" i="1"/>
  <c r="N53" i="1"/>
  <c r="N54" i="1"/>
  <c r="N55" i="1"/>
  <c r="N56" i="1"/>
  <c r="N57" i="1"/>
  <c r="N58" i="1"/>
  <c r="N59" i="1"/>
  <c r="N60" i="1"/>
  <c r="N62" i="1"/>
  <c r="N63" i="1"/>
  <c r="N64" i="1"/>
  <c r="N65" i="1"/>
  <c r="N66" i="1"/>
  <c r="N67" i="1"/>
  <c r="N68" i="1"/>
  <c r="N70" i="1"/>
  <c r="N5" i="1"/>
  <c r="M78" i="1" l="1"/>
  <c r="O13" i="1" l="1"/>
  <c r="O70" i="1"/>
  <c r="B73" i="1"/>
  <c r="C78" i="1"/>
  <c r="D78" i="1"/>
  <c r="E78" i="1"/>
  <c r="F78" i="1"/>
  <c r="G78" i="1"/>
  <c r="H78" i="1"/>
  <c r="I78" i="1"/>
  <c r="J78" i="1"/>
  <c r="K78" i="1"/>
  <c r="L78" i="1"/>
  <c r="B74" i="1"/>
  <c r="B78" i="1"/>
  <c r="C73" i="1"/>
  <c r="D73" i="1"/>
  <c r="E73" i="1"/>
  <c r="F73" i="1"/>
  <c r="G73" i="1"/>
  <c r="H73" i="1"/>
  <c r="I73" i="1"/>
  <c r="J73" i="1"/>
  <c r="K73" i="1"/>
  <c r="L73" i="1"/>
  <c r="M73" i="1"/>
  <c r="P6" i="1"/>
  <c r="P7" i="1"/>
  <c r="P8" i="1"/>
  <c r="P9" i="1"/>
  <c r="P11" i="1"/>
  <c r="P12" i="1"/>
  <c r="P13" i="1"/>
  <c r="P14" i="1"/>
  <c r="P15" i="1"/>
  <c r="P16" i="1"/>
  <c r="P19" i="1"/>
  <c r="P20" i="1"/>
  <c r="P21" i="1"/>
  <c r="P23" i="1"/>
  <c r="P24" i="1"/>
  <c r="P25" i="1"/>
  <c r="P27" i="1"/>
  <c r="P29" i="1"/>
  <c r="P30" i="1"/>
  <c r="P32" i="1"/>
  <c r="P33" i="1"/>
  <c r="P35" i="1"/>
  <c r="P36" i="1"/>
  <c r="P39" i="1"/>
  <c r="P40" i="1"/>
  <c r="P41" i="1"/>
  <c r="P42" i="1"/>
  <c r="P43" i="1"/>
  <c r="P44" i="1"/>
  <c r="P45" i="1"/>
  <c r="P46" i="1"/>
  <c r="P47" i="1"/>
  <c r="P48" i="1"/>
  <c r="P49" i="1"/>
  <c r="P50" i="1"/>
  <c r="P53" i="1"/>
  <c r="P54" i="1"/>
  <c r="P55" i="1"/>
  <c r="P56" i="1"/>
  <c r="P57" i="1"/>
  <c r="P58" i="1"/>
  <c r="P59" i="1"/>
  <c r="P60" i="1"/>
  <c r="P62" i="1"/>
  <c r="P63" i="1"/>
  <c r="P64" i="1"/>
  <c r="P65" i="1"/>
  <c r="P66" i="1"/>
  <c r="P67" i="1"/>
  <c r="P68" i="1"/>
  <c r="P70" i="1"/>
  <c r="O11" i="1"/>
  <c r="O12" i="1"/>
  <c r="O14" i="1"/>
  <c r="O15" i="1"/>
  <c r="O16" i="1"/>
  <c r="O19" i="1"/>
  <c r="O20" i="1"/>
  <c r="O21" i="1"/>
  <c r="O23" i="1"/>
  <c r="O24" i="1"/>
  <c r="O25" i="1"/>
  <c r="O27" i="1"/>
  <c r="O29" i="1"/>
  <c r="O30" i="1"/>
  <c r="O32" i="1"/>
  <c r="O33" i="1"/>
  <c r="O35" i="1"/>
  <c r="O36" i="1"/>
  <c r="O39" i="1"/>
  <c r="O40" i="1"/>
  <c r="O41" i="1"/>
  <c r="O42" i="1"/>
  <c r="O43" i="1"/>
  <c r="O44" i="1"/>
  <c r="O45" i="1"/>
  <c r="O46" i="1"/>
  <c r="O47" i="1"/>
  <c r="O48" i="1"/>
  <c r="O49" i="1"/>
  <c r="O50" i="1"/>
  <c r="O53" i="1"/>
  <c r="O54" i="1"/>
  <c r="O55" i="1"/>
  <c r="O56" i="1"/>
  <c r="O57" i="1"/>
  <c r="O58" i="1"/>
  <c r="O59" i="1"/>
  <c r="O60" i="1"/>
  <c r="O62" i="1"/>
  <c r="O63" i="1"/>
  <c r="O64" i="1"/>
  <c r="O65" i="1"/>
  <c r="O66" i="1"/>
  <c r="O67" i="1"/>
  <c r="O68" i="1"/>
  <c r="O6" i="1"/>
  <c r="O7" i="1"/>
  <c r="O8" i="1"/>
  <c r="O9" i="1"/>
  <c r="O5" i="1"/>
  <c r="P5" i="1"/>
  <c r="C74" i="1"/>
  <c r="D74" i="1"/>
  <c r="E74" i="1"/>
  <c r="F74" i="1"/>
  <c r="G74" i="1"/>
  <c r="H74" i="1"/>
  <c r="I74" i="1"/>
  <c r="J74" i="1"/>
  <c r="K74" i="1"/>
  <c r="L74" i="1"/>
  <c r="M74" i="1"/>
  <c r="J76" i="1" l="1"/>
  <c r="M76" i="1"/>
  <c r="E76" i="1"/>
  <c r="I76" i="1"/>
  <c r="N75" i="1"/>
  <c r="N74" i="1"/>
  <c r="R26" i="1" s="1"/>
  <c r="L76" i="1"/>
  <c r="H76" i="1"/>
  <c r="D76" i="1"/>
  <c r="K76" i="1"/>
  <c r="G76" i="1"/>
  <c r="F76" i="1"/>
  <c r="B76" i="1"/>
  <c r="N78" i="1"/>
  <c r="N73" i="1"/>
  <c r="C76" i="1"/>
  <c r="R69" i="1" l="1"/>
  <c r="R71" i="1"/>
  <c r="R46" i="1"/>
  <c r="R25" i="1"/>
  <c r="B80" i="1"/>
  <c r="R67" i="1"/>
  <c r="R63" i="1"/>
  <c r="R56" i="1"/>
  <c r="R59" i="1"/>
  <c r="R41" i="1"/>
  <c r="R55" i="1"/>
  <c r="R42" i="1"/>
  <c r="R53" i="1"/>
  <c r="R65" i="1"/>
  <c r="R48" i="1"/>
  <c r="R66" i="1"/>
  <c r="R54" i="1"/>
  <c r="R70" i="1"/>
  <c r="R49" i="1"/>
  <c r="R40" i="1"/>
  <c r="R62" i="1"/>
  <c r="R44" i="1"/>
  <c r="R60" i="1"/>
  <c r="R50" i="1"/>
  <c r="R45" i="1"/>
  <c r="R57" i="1"/>
  <c r="R43" i="1"/>
  <c r="R47" i="1"/>
  <c r="R68" i="1"/>
  <c r="R64" i="1"/>
  <c r="R39" i="1"/>
  <c r="R58" i="1"/>
  <c r="R6" i="1"/>
  <c r="R7" i="1"/>
  <c r="R8" i="1"/>
  <c r="R9" i="1"/>
  <c r="R5" i="1"/>
  <c r="R24" i="1"/>
  <c r="R36" i="1"/>
  <c r="R19" i="1"/>
  <c r="R33" i="1"/>
  <c r="R27" i="1"/>
  <c r="R35" i="1"/>
  <c r="R30" i="1"/>
  <c r="R20" i="1"/>
  <c r="R32" i="1"/>
  <c r="R21" i="1"/>
  <c r="R23" i="1"/>
  <c r="R29" i="1"/>
  <c r="R15" i="1"/>
  <c r="R16" i="1"/>
  <c r="R11" i="1"/>
  <c r="R14" i="1"/>
  <c r="R12" i="1"/>
  <c r="R13" i="1"/>
  <c r="N76" i="1"/>
</calcChain>
</file>

<file path=xl/sharedStrings.xml><?xml version="1.0" encoding="utf-8"?>
<sst xmlns="http://schemas.openxmlformats.org/spreadsheetml/2006/main" count="96" uniqueCount="64">
  <si>
    <t>%</t>
  </si>
  <si>
    <t>Categoria</t>
  </si>
  <si>
    <t>Mínimo</t>
  </si>
  <si>
    <t>Máximo</t>
  </si>
  <si>
    <t>Média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</si>
  <si>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</si>
  <si>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</si>
  <si>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</si>
  <si>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</si>
  <si>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</si>
  <si>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</si>
  <si>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</si>
  <si>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</si>
  <si>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</si>
  <si>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</si>
  <si>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</si>
  <si>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</si>
  <si>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</si>
  <si>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Despesas fixas</t>
  </si>
  <si>
    <t>Receitas</t>
  </si>
  <si>
    <t>Despesas variáveis</t>
  </si>
  <si>
    <t>SALDO FINAL</t>
  </si>
  <si>
    <t>Salário</t>
  </si>
  <si>
    <t>Reembolsos</t>
  </si>
  <si>
    <t>13º salário</t>
  </si>
  <si>
    <t>Férias</t>
  </si>
  <si>
    <t>Outros</t>
  </si>
  <si>
    <t>Tesouro Direto</t>
  </si>
  <si>
    <t>Renda fixa</t>
  </si>
  <si>
    <t>Ações</t>
  </si>
  <si>
    <t>Previdência privada</t>
  </si>
  <si>
    <t>Fundos de investimento</t>
  </si>
  <si>
    <t>IPTU</t>
  </si>
  <si>
    <t>IPVA</t>
  </si>
  <si>
    <t>Plano de saúde</t>
  </si>
  <si>
    <t>Colégio/faculdade</t>
  </si>
  <si>
    <t>Seguro do carro</t>
  </si>
  <si>
    <t>Luz</t>
  </si>
  <si>
    <t>Água</t>
  </si>
  <si>
    <t>Internet</t>
  </si>
  <si>
    <t>TV/streaming</t>
  </si>
  <si>
    <t>Dentista</t>
  </si>
  <si>
    <t>SALDO DO ANO</t>
  </si>
  <si>
    <t>Total</t>
  </si>
  <si>
    <t>TOTAL INVESTIDO</t>
  </si>
  <si>
    <t>RECEITAS</t>
  </si>
  <si>
    <t>INVESTIMENTOS</t>
  </si>
  <si>
    <t>DESPESAS FIXAS</t>
  </si>
  <si>
    <t>Impostos</t>
  </si>
  <si>
    <t>Moradia</t>
  </si>
  <si>
    <t>Saúde</t>
  </si>
  <si>
    <t>Educação</t>
  </si>
  <si>
    <t>Transporte</t>
  </si>
  <si>
    <t>DESPESAS VARIÁVEIS</t>
  </si>
  <si>
    <t>Prestação do AP</t>
  </si>
  <si>
    <t>Bradesco</t>
  </si>
  <si>
    <t>Santander</t>
  </si>
  <si>
    <t>Carrefour</t>
  </si>
  <si>
    <t>Atacadão</t>
  </si>
  <si>
    <t>TOTAL DE CARTÕES BRADESCO</t>
  </si>
  <si>
    <t>TOTAL DE CARTÕES SANTANDER</t>
  </si>
  <si>
    <t>TOTAL DE CARTÕES CARREFOUR</t>
  </si>
  <si>
    <t>TOTAL DE CARTÕES ATACADÃO</t>
  </si>
  <si>
    <t>Controle Financeiro 2021 Excel Marcio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</si>
</sst>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mmm/yyyy"/>
    <numFmt numFmtId="165" formatCode="&quot;R$&quot;\ #,##0.00"/>
  </numFmts>
  <fonts count="1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Open Sans"/>
      <family val="2"/>
    </font>
    <font>
      <b/>
      <sz val="12"/>
      <color theme="0"/>
      <name val="Open Sans"/>
      <family val="2"/>
    </font>
    <font>
      <b/>
      <sz val="12"/>
      <color theme="1"/>
      <name val="Open Sans"/>
      <family val="2"/>
    </font>
    <font>
      <b/>
      <sz val="22"/>
      <color theme="0"/>
      <name val="Open Sans"/>
      <family val="2"/>
    </font>
    <font>
      <sz val="12"/>
      <name val="Open Sans"/>
      <family val="2"/>
    </font>
    <font>
      <sz val="12"/>
      <color theme="4" tint="0.79998168889431442"/>
      <name val="Open Sans"/>
      <family val="2"/>
    </font>
    <font>
      <b/>
      <sz val="16"/>
      <color theme="0"/>
      <name val="Open Sans"/>
      <family val="2"/>
    </font>
    <font>
      <b/>
      <sz val="14"/>
      <color theme="0"/>
      <name val="Open Sans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16D36"/>
      <name val="Open Sans"/>
      <family val="2"/>
    </font>
    <font>
      <b/>
      <sz val="12"/>
      <color theme="0"/>
      <name val="Open Sans"/>
    </font>
    <font>
      <b/>
      <sz val="11"/>
      <color theme="0"/>
      <name val="Open Sans"/>
    </font>
    <font>
      <b/>
      <sz val="16"/>
      <color theme="9" tint="-0.249977111117893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16D36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82BE3C"/>
      </top>
      <bottom/>
      <diagonal/>
    </border>
    <border>
      <left/>
      <right style="thin">
        <color rgb="FF82BE3C"/>
      </right>
      <top style="thin">
        <color rgb="FF82BE3C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Border="1"/>
    <xf numFmtId="0" fontId="10" fillId="2" borderId="0" xfId="0" applyFont="1" applyFill="1" applyAlignment="1"/>
    <xf numFmtId="0" fontId="10" fillId="2" borderId="0" xfId="0" applyFont="1" applyFill="1"/>
    <xf numFmtId="9" fontId="0" fillId="2" borderId="0" xfId="1" applyFont="1" applyFill="1" applyBorder="1"/>
    <xf numFmtId="9" fontId="0" fillId="2" borderId="0" xfId="1" applyFont="1" applyFill="1"/>
    <xf numFmtId="165" fontId="2" fillId="2" borderId="0" xfId="0" applyNumberFormat="1" applyFont="1" applyFill="1" applyBorder="1" applyAlignment="1">
      <alignment vertical="center"/>
    </xf>
    <xf numFmtId="9" fontId="2" fillId="2" borderId="0" xfId="1" applyFont="1" applyFill="1" applyBorder="1" applyAlignment="1">
      <alignment vertical="center"/>
    </xf>
    <xf numFmtId="165" fontId="3" fillId="2" borderId="0" xfId="0" applyNumberFormat="1" applyFont="1" applyFill="1" applyBorder="1" applyAlignment="1">
      <alignment vertical="center"/>
    </xf>
    <xf numFmtId="165" fontId="2" fillId="0" borderId="0" xfId="0" applyNumberFormat="1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164" fontId="9" fillId="3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165" fontId="2" fillId="3" borderId="0" xfId="0" applyNumberFormat="1" applyFont="1" applyFill="1" applyBorder="1"/>
    <xf numFmtId="9" fontId="2" fillId="3" borderId="0" xfId="1" applyFont="1" applyFill="1" applyBorder="1"/>
    <xf numFmtId="0" fontId="12" fillId="0" borderId="0" xfId="0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165" fontId="2" fillId="3" borderId="0" xfId="0" applyNumberFormat="1" applyFont="1" applyFill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165" fontId="7" fillId="4" borderId="0" xfId="0" applyNumberFormat="1" applyFont="1" applyFill="1" applyBorder="1" applyAlignment="1">
      <alignment horizontal="center" vertical="center"/>
    </xf>
    <xf numFmtId="9" fontId="7" fillId="4" borderId="0" xfId="1" applyFont="1" applyFill="1" applyBorder="1" applyAlignment="1">
      <alignment horizontal="center" vertical="center"/>
    </xf>
    <xf numFmtId="165" fontId="3" fillId="3" borderId="0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/>
    </xf>
    <xf numFmtId="165" fontId="3" fillId="3" borderId="9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4" borderId="9" xfId="0" applyNumberFormat="1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14" fillId="4" borderId="0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165" fontId="2" fillId="3" borderId="6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8" fontId="13" fillId="3" borderId="1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8" xfId="0" applyFont="1" applyFill="1" applyBorder="1" applyAlignment="1">
      <alignment horizontal="left" vertical="center"/>
    </xf>
    <xf numFmtId="165" fontId="3" fillId="0" borderId="0" xfId="0" applyNumberFormat="1" applyFont="1" applyFill="1" applyBorder="1" applyAlignment="1">
      <alignment horizontal="center" vertical="center"/>
    </xf>
    <xf numFmtId="165" fontId="3" fillId="0" borderId="9" xfId="0" applyNumberFormat="1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0" xfId="0" applyFill="1" applyBorder="1"/>
    <xf numFmtId="0" fontId="0" fillId="0" borderId="9" xfId="0" applyFill="1" applyBorder="1"/>
    <xf numFmtId="0" fontId="0" fillId="0" borderId="11" xfId="0" applyFill="1" applyBorder="1"/>
    <xf numFmtId="0" fontId="0" fillId="0" borderId="12" xfId="0" applyFill="1" applyBorder="1"/>
    <xf numFmtId="44" fontId="0" fillId="2" borderId="0" xfId="2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16D36"/>
      <color rgb="FF518034"/>
      <color rgb="FF005083"/>
      <color rgb="FF82BE3C"/>
      <color rgb="FF008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42368"/>
        <c:axId val="42844160"/>
      </c:barChart>
      <c:catAx>
        <c:axId val="4284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42844160"/>
        <c:crosses val="autoZero"/>
        <c:auto val="1"/>
        <c:lblAlgn val="ctr"/>
        <c:lblOffset val="100"/>
        <c:noMultiLvlLbl val="0"/>
      </c:catAx>
      <c:valAx>
        <c:axId val="42844160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42842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6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6831" cy="6025116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3"/>
  <sheetViews>
    <sheetView tabSelected="1" zoomScale="86" zoomScaleNormal="86" workbookViewId="0">
      <pane xSplit="1" ySplit="3" topLeftCell="B4" activePane="bottomRight" state="frozen"/>
      <selection pane="topRight" activeCell="C1" sqref="C1"/>
      <selection pane="bottomLeft" activeCell="A4" sqref="A4"/>
      <selection pane="bottomRight" sqref="A1:R1"/>
    </sheetView>
  </sheetViews>
  <sheetFormatPr defaultColWidth="9.140625" defaultRowHeight="15"/>
  <cols>
    <col min="1" max="1" width="51.42578125" style="8" customWidth="1"/>
    <col min="2" max="4" width="18.42578125" style="8" bestFit="1" customWidth="1"/>
    <col min="5" max="5" width="18.42578125" style="8" customWidth="1"/>
    <col min="6" max="12" width="18.42578125" style="8" bestFit="1" customWidth="1"/>
    <col min="13" max="14" width="19.7109375" style="8" bestFit="1" customWidth="1"/>
    <col min="15" max="15" width="14.7109375" style="8" bestFit="1" customWidth="1"/>
    <col min="16" max="16" width="16.28515625" style="8" bestFit="1" customWidth="1"/>
    <col min="17" max="17" width="26.85546875" style="8" customWidth="1"/>
    <col min="18" max="18" width="11.42578125" style="15" customWidth="1"/>
    <col min="19" max="16384" width="9.140625" style="8"/>
  </cols>
  <sheetData>
    <row r="1" spans="1:39" ht="48" customHeight="1">
      <c r="A1" s="57" t="s">
        <v>63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8"/>
    </row>
    <row r="2" spans="1:39" ht="20.25">
      <c r="A2" s="41"/>
      <c r="B2" s="59">
        <v>2021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40"/>
      <c r="O2" s="60"/>
      <c r="P2" s="60"/>
      <c r="Q2" s="60"/>
      <c r="R2" s="60"/>
    </row>
    <row r="3" spans="1:39" s="13" customFormat="1" ht="18.75">
      <c r="A3" s="22" t="s">
        <v>1</v>
      </c>
      <c r="B3" s="21" t="s">
        <v>5</v>
      </c>
      <c r="C3" s="21" t="s">
        <v>6</v>
      </c>
      <c r="D3" s="21" t="s">
        <v>7</v>
      </c>
      <c r="E3" s="21" t="s">
        <v>8</v>
      </c>
      <c r="F3" s="21" t="s">
        <v>9</v>
      </c>
      <c r="G3" s="21" t="s">
        <v>10</v>
      </c>
      <c r="H3" s="21" t="s">
        <v>11</v>
      </c>
      <c r="I3" s="21" t="s">
        <v>12</v>
      </c>
      <c r="J3" s="21" t="s">
        <v>13</v>
      </c>
      <c r="K3" s="21" t="s">
        <v>14</v>
      </c>
      <c r="L3" s="21" t="s">
        <v>15</v>
      </c>
      <c r="M3" s="21" t="s">
        <v>16</v>
      </c>
      <c r="N3" s="25" t="s">
        <v>43</v>
      </c>
      <c r="O3" s="25" t="s">
        <v>2</v>
      </c>
      <c r="P3" s="25" t="s">
        <v>3</v>
      </c>
      <c r="Q3" s="26" t="s">
        <v>4</v>
      </c>
      <c r="R3" s="27" t="s">
        <v>0</v>
      </c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ht="15.75">
      <c r="A4" s="39" t="s">
        <v>45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4"/>
      <c r="AL4" s="9"/>
      <c r="AM4" s="9"/>
    </row>
    <row r="5" spans="1:39" ht="15.75">
      <c r="A5" s="1" t="s">
        <v>22</v>
      </c>
      <c r="B5" s="19"/>
      <c r="C5" s="19"/>
      <c r="D5" s="19"/>
      <c r="E5" s="19"/>
      <c r="F5" s="19"/>
      <c r="G5" s="19"/>
      <c r="H5" s="19"/>
      <c r="I5" s="19"/>
      <c r="J5" s="19">
        <v>2920</v>
      </c>
      <c r="K5" s="19">
        <v>2670</v>
      </c>
      <c r="L5" s="19">
        <v>2670</v>
      </c>
      <c r="M5" s="19">
        <v>2670</v>
      </c>
      <c r="N5" s="19">
        <f>SUM(B5:M5)</f>
        <v>10930</v>
      </c>
      <c r="O5" s="19">
        <f>MIN(B5:M5)</f>
        <v>2670</v>
      </c>
      <c r="P5" s="19">
        <f>MAX(B5:M5)</f>
        <v>2920</v>
      </c>
      <c r="Q5" s="19">
        <f>IFERROR(AVERAGE(B5:M5),"R$ 0,00")</f>
        <v>2732.5</v>
      </c>
      <c r="R5" s="20">
        <f>IFERROR(N5/$N$73,"-")</f>
        <v>0.87932421560740148</v>
      </c>
    </row>
    <row r="6" spans="1:39" ht="15.75">
      <c r="A6" s="1" t="s">
        <v>24</v>
      </c>
      <c r="B6" s="19"/>
      <c r="C6" s="19"/>
      <c r="D6" s="47"/>
      <c r="E6" s="19"/>
      <c r="F6" s="19"/>
      <c r="G6" s="19"/>
      <c r="H6" s="19"/>
      <c r="I6" s="19"/>
      <c r="J6" s="19"/>
      <c r="K6" s="19"/>
      <c r="L6" s="19"/>
      <c r="M6" s="19"/>
      <c r="N6" s="19">
        <f t="shared" ref="N6:N67" si="0">SUM(B6:M6)</f>
        <v>0</v>
      </c>
      <c r="O6" s="19">
        <f t="shared" ref="O6:O67" si="1">MIN(B6:M6)</f>
        <v>0</v>
      </c>
      <c r="P6" s="19">
        <f t="shared" ref="P6:P67" si="2">MAX(B6:M6)</f>
        <v>0</v>
      </c>
      <c r="Q6" s="19" t="str">
        <f t="shared" ref="Q6:Q67" si="3">IFERROR(AVERAGE(B6:M6),"R$ 0,00")</f>
        <v>R$ 0,00</v>
      </c>
      <c r="R6" s="20">
        <f>IFERROR(N6/$N$73,"-")</f>
        <v>0</v>
      </c>
    </row>
    <row r="7" spans="1:39" ht="15.75">
      <c r="A7" s="1" t="s">
        <v>25</v>
      </c>
      <c r="B7" s="19"/>
      <c r="C7" s="19"/>
      <c r="D7" s="47"/>
      <c r="E7" s="19"/>
      <c r="F7" s="19"/>
      <c r="G7" s="19"/>
      <c r="H7" s="19"/>
      <c r="I7" s="19"/>
      <c r="J7" s="19"/>
      <c r="K7" s="19"/>
      <c r="L7" s="19"/>
      <c r="M7" s="19"/>
      <c r="N7" s="19">
        <f t="shared" si="0"/>
        <v>0</v>
      </c>
      <c r="O7" s="19">
        <f t="shared" si="1"/>
        <v>0</v>
      </c>
      <c r="P7" s="19">
        <f t="shared" si="2"/>
        <v>0</v>
      </c>
      <c r="Q7" s="19" t="str">
        <f t="shared" si="3"/>
        <v>R$ 0,00</v>
      </c>
      <c r="R7" s="20">
        <f t="shared" ref="R7:R9" si="4">IFERROR(N7/$N$73,"-")</f>
        <v>0</v>
      </c>
    </row>
    <row r="8" spans="1:39" ht="15.75">
      <c r="A8" s="1" t="s">
        <v>23</v>
      </c>
      <c r="B8" s="19"/>
      <c r="C8" s="19"/>
      <c r="D8" s="19"/>
      <c r="E8" s="19"/>
      <c r="F8" s="19"/>
      <c r="G8" s="19"/>
      <c r="H8" s="19"/>
      <c r="I8" s="19"/>
      <c r="J8" s="19"/>
      <c r="K8" s="19">
        <v>300</v>
      </c>
      <c r="L8" s="19">
        <v>300</v>
      </c>
      <c r="M8" s="19">
        <v>300</v>
      </c>
      <c r="N8" s="19">
        <f t="shared" si="0"/>
        <v>900</v>
      </c>
      <c r="O8" s="19">
        <f t="shared" si="1"/>
        <v>300</v>
      </c>
      <c r="P8" s="19">
        <f t="shared" si="2"/>
        <v>300</v>
      </c>
      <c r="Q8" s="19">
        <f t="shared" si="3"/>
        <v>300</v>
      </c>
      <c r="R8" s="20">
        <f t="shared" si="4"/>
        <v>7.2405470635559133E-2</v>
      </c>
    </row>
    <row r="9" spans="1:39" ht="15.75">
      <c r="A9" s="2" t="s">
        <v>26</v>
      </c>
      <c r="B9" s="19"/>
      <c r="C9" s="19"/>
      <c r="D9" s="19"/>
      <c r="E9" s="19"/>
      <c r="F9" s="19"/>
      <c r="G9" s="19"/>
      <c r="H9" s="19"/>
      <c r="I9" s="19"/>
      <c r="J9" s="19"/>
      <c r="K9" s="19">
        <v>600</v>
      </c>
      <c r="L9" s="19"/>
      <c r="M9" s="19"/>
      <c r="N9" s="19">
        <f t="shared" si="0"/>
        <v>600</v>
      </c>
      <c r="O9" s="19">
        <f t="shared" si="1"/>
        <v>600</v>
      </c>
      <c r="P9" s="19">
        <f t="shared" si="2"/>
        <v>600</v>
      </c>
      <c r="Q9" s="19">
        <f t="shared" si="3"/>
        <v>600</v>
      </c>
      <c r="R9" s="20">
        <f t="shared" si="4"/>
        <v>4.8270313757039419E-2</v>
      </c>
    </row>
    <row r="10" spans="1:39" ht="15.75">
      <c r="A10" s="39" t="s">
        <v>46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</row>
    <row r="11" spans="1:39" ht="15.75">
      <c r="A11" s="1" t="s">
        <v>27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>
        <f t="shared" si="0"/>
        <v>0</v>
      </c>
      <c r="O11" s="19">
        <f t="shared" si="1"/>
        <v>0</v>
      </c>
      <c r="P11" s="19">
        <f t="shared" si="2"/>
        <v>0</v>
      </c>
      <c r="Q11" s="19" t="str">
        <f t="shared" si="3"/>
        <v>R$ 0,00</v>
      </c>
      <c r="R11" s="20">
        <f>IFERROR(N11/$N$78,"-")</f>
        <v>0</v>
      </c>
    </row>
    <row r="12" spans="1:39" ht="15.75">
      <c r="A12" s="1" t="s">
        <v>28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>
        <f t="shared" si="0"/>
        <v>0</v>
      </c>
      <c r="O12" s="19">
        <f t="shared" si="1"/>
        <v>0</v>
      </c>
      <c r="P12" s="19">
        <f t="shared" si="2"/>
        <v>0</v>
      </c>
      <c r="Q12" s="19" t="str">
        <f t="shared" si="3"/>
        <v>R$ 0,00</v>
      </c>
      <c r="R12" s="20">
        <f t="shared" ref="R12:R16" si="5">IFERROR(N12/$N$78,"-")</f>
        <v>0</v>
      </c>
    </row>
    <row r="13" spans="1:39" ht="15.75">
      <c r="A13" s="1" t="s">
        <v>29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>
        <f t="shared" si="0"/>
        <v>0</v>
      </c>
      <c r="O13" s="19">
        <f t="shared" si="1"/>
        <v>0</v>
      </c>
      <c r="P13" s="19">
        <f t="shared" si="2"/>
        <v>0</v>
      </c>
      <c r="Q13" s="19" t="str">
        <f t="shared" si="3"/>
        <v>R$ 0,00</v>
      </c>
      <c r="R13" s="20">
        <f t="shared" si="5"/>
        <v>0</v>
      </c>
    </row>
    <row r="14" spans="1:39" ht="15.75">
      <c r="A14" s="1" t="s">
        <v>30</v>
      </c>
      <c r="B14" s="19"/>
      <c r="C14" s="19"/>
      <c r="D14" s="19"/>
      <c r="E14" s="19"/>
      <c r="F14" s="19"/>
      <c r="G14" s="19"/>
      <c r="H14" s="19"/>
      <c r="I14" s="19"/>
      <c r="J14" s="19"/>
      <c r="K14" s="19">
        <v>100</v>
      </c>
      <c r="L14" s="19">
        <v>100</v>
      </c>
      <c r="M14" s="19">
        <v>100</v>
      </c>
      <c r="N14" s="19">
        <f t="shared" si="0"/>
        <v>300</v>
      </c>
      <c r="O14" s="19">
        <f t="shared" si="1"/>
        <v>100</v>
      </c>
      <c r="P14" s="19">
        <f t="shared" si="2"/>
        <v>100</v>
      </c>
      <c r="Q14" s="19">
        <f t="shared" si="3"/>
        <v>100</v>
      </c>
      <c r="R14" s="20">
        <f t="shared" si="5"/>
        <v>1</v>
      </c>
    </row>
    <row r="15" spans="1:39" ht="15.75">
      <c r="A15" s="1" t="s">
        <v>31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>
        <f t="shared" si="0"/>
        <v>0</v>
      </c>
      <c r="O15" s="19">
        <f t="shared" si="1"/>
        <v>0</v>
      </c>
      <c r="P15" s="19">
        <f t="shared" si="2"/>
        <v>0</v>
      </c>
      <c r="Q15" s="19" t="str">
        <f t="shared" si="3"/>
        <v>R$ 0,00</v>
      </c>
      <c r="R15" s="20">
        <f t="shared" si="5"/>
        <v>0</v>
      </c>
    </row>
    <row r="16" spans="1:39" ht="15.75">
      <c r="A16" s="2" t="s">
        <v>26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>
        <f t="shared" si="0"/>
        <v>0</v>
      </c>
      <c r="O16" s="19">
        <f t="shared" si="1"/>
        <v>0</v>
      </c>
      <c r="P16" s="19">
        <f t="shared" si="2"/>
        <v>0</v>
      </c>
      <c r="Q16" s="19" t="str">
        <f t="shared" si="3"/>
        <v>R$ 0,00</v>
      </c>
      <c r="R16" s="20">
        <f t="shared" si="5"/>
        <v>0</v>
      </c>
    </row>
    <row r="17" spans="1:18" ht="15.75">
      <c r="A17" s="39" t="s">
        <v>47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</row>
    <row r="18" spans="1:18" ht="15.75">
      <c r="A18" s="38" t="s">
        <v>48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1"/>
    </row>
    <row r="19" spans="1:18" ht="15.75">
      <c r="A19" s="3" t="s">
        <v>32</v>
      </c>
      <c r="B19" s="19"/>
      <c r="C19" s="19"/>
      <c r="D19" s="19"/>
      <c r="E19" s="19"/>
      <c r="F19" s="19"/>
      <c r="G19" s="19"/>
      <c r="H19" s="19"/>
      <c r="I19" s="19"/>
      <c r="J19" s="19"/>
      <c r="K19" s="19">
        <v>18.25</v>
      </c>
      <c r="L19" s="19">
        <v>18.25</v>
      </c>
      <c r="M19" s="19"/>
      <c r="N19" s="19">
        <f t="shared" si="0"/>
        <v>36.5</v>
      </c>
      <c r="O19" s="19">
        <f t="shared" si="1"/>
        <v>18.25</v>
      </c>
      <c r="P19" s="19">
        <f t="shared" si="2"/>
        <v>18.25</v>
      </c>
      <c r="Q19" s="19">
        <f t="shared" si="3"/>
        <v>18.25</v>
      </c>
      <c r="R19" s="20">
        <f>IFERROR(N19/$N$74,"-")</f>
        <v>6.5457232217153022E-3</v>
      </c>
    </row>
    <row r="20" spans="1:18" ht="15.75">
      <c r="A20" s="1" t="s">
        <v>33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>
        <f t="shared" si="0"/>
        <v>0</v>
      </c>
      <c r="O20" s="19">
        <f t="shared" si="1"/>
        <v>0</v>
      </c>
      <c r="P20" s="19">
        <f t="shared" si="2"/>
        <v>0</v>
      </c>
      <c r="Q20" s="19" t="str">
        <f t="shared" si="3"/>
        <v>R$ 0,00</v>
      </c>
      <c r="R20" s="20">
        <f>IFERROR(N20/$N$74,"-")</f>
        <v>0</v>
      </c>
    </row>
    <row r="21" spans="1:18" ht="15.75">
      <c r="A21" s="1" t="s">
        <v>26</v>
      </c>
      <c r="B21" s="19"/>
      <c r="C21" s="19"/>
      <c r="D21" s="19"/>
      <c r="E21" s="19"/>
      <c r="F21" s="19"/>
      <c r="G21" s="19"/>
      <c r="H21" s="19"/>
      <c r="I21" s="19"/>
      <c r="J21" s="19"/>
      <c r="K21" s="19">
        <v>160</v>
      </c>
      <c r="L21" s="19">
        <v>160</v>
      </c>
      <c r="M21" s="19">
        <v>160</v>
      </c>
      <c r="N21" s="19">
        <f t="shared" si="0"/>
        <v>480</v>
      </c>
      <c r="O21" s="19">
        <f t="shared" si="1"/>
        <v>160</v>
      </c>
      <c r="P21" s="19">
        <f t="shared" si="2"/>
        <v>160</v>
      </c>
      <c r="Q21" s="19">
        <f t="shared" si="3"/>
        <v>160</v>
      </c>
      <c r="R21" s="20">
        <f>IFERROR(N21/$N$74,"-")</f>
        <v>8.6080743737625892E-2</v>
      </c>
    </row>
    <row r="22" spans="1:18" ht="15.75">
      <c r="A22" s="38" t="s">
        <v>49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>
      <c r="A23" s="4" t="s">
        <v>37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>
        <f t="shared" si="0"/>
        <v>0</v>
      </c>
      <c r="O23" s="19">
        <f t="shared" si="1"/>
        <v>0</v>
      </c>
      <c r="P23" s="19">
        <f t="shared" si="2"/>
        <v>0</v>
      </c>
      <c r="Q23" s="19" t="str">
        <f t="shared" si="3"/>
        <v>R$ 0,00</v>
      </c>
      <c r="R23" s="20">
        <f>IFERROR(N23/$N$74,"-")</f>
        <v>0</v>
      </c>
    </row>
    <row r="24" spans="1:18">
      <c r="A24" s="5" t="s">
        <v>38</v>
      </c>
      <c r="B24" s="19"/>
      <c r="C24" s="19"/>
      <c r="D24" s="19"/>
      <c r="E24" s="19"/>
      <c r="F24" s="19"/>
      <c r="G24" s="19"/>
      <c r="H24" s="19"/>
      <c r="I24" s="19"/>
      <c r="J24" s="19">
        <v>60</v>
      </c>
      <c r="K24" s="19">
        <v>60</v>
      </c>
      <c r="L24" s="19">
        <v>60</v>
      </c>
      <c r="M24" s="19">
        <v>60</v>
      </c>
      <c r="N24" s="19">
        <f t="shared" si="0"/>
        <v>240</v>
      </c>
      <c r="O24" s="19">
        <f t="shared" si="1"/>
        <v>60</v>
      </c>
      <c r="P24" s="19">
        <f t="shared" si="2"/>
        <v>60</v>
      </c>
      <c r="Q24" s="19">
        <f t="shared" si="3"/>
        <v>60</v>
      </c>
      <c r="R24" s="20">
        <f>IFERROR(N24/$N$74,"-")</f>
        <v>4.3040371868812946E-2</v>
      </c>
    </row>
    <row r="25" spans="1:18">
      <c r="A25" s="6" t="s">
        <v>40</v>
      </c>
      <c r="B25" s="19"/>
      <c r="C25" s="19"/>
      <c r="D25" s="19"/>
      <c r="E25" s="19"/>
      <c r="F25" s="19"/>
      <c r="G25" s="19"/>
      <c r="H25" s="19"/>
      <c r="I25" s="19"/>
      <c r="J25" s="19">
        <v>80</v>
      </c>
      <c r="K25" s="19">
        <v>74.5</v>
      </c>
      <c r="L25" s="19">
        <v>74.5</v>
      </c>
      <c r="M25" s="19">
        <v>74.5</v>
      </c>
      <c r="N25" s="19">
        <f>SUM(B25:M25)</f>
        <v>303.5</v>
      </c>
      <c r="O25" s="19">
        <f>MIN(B25:M25)</f>
        <v>74.5</v>
      </c>
      <c r="P25" s="19">
        <f>MAX(B25:M25)</f>
        <v>80</v>
      </c>
      <c r="Q25" s="19">
        <f>IFERROR(AVERAGE(B25:M25),"R$ 0,00")</f>
        <v>75.875</v>
      </c>
      <c r="R25" s="20">
        <f>IFERROR(N25/$N$74,"-")</f>
        <v>5.4428136925769706E-2</v>
      </c>
    </row>
    <row r="26" spans="1:18">
      <c r="A26" s="5" t="s">
        <v>39</v>
      </c>
      <c r="B26" s="19"/>
      <c r="C26" s="19"/>
      <c r="D26" s="19"/>
      <c r="E26" s="19"/>
      <c r="F26" s="19"/>
      <c r="G26" s="19"/>
      <c r="H26" s="19"/>
      <c r="I26" s="19"/>
      <c r="J26" s="19"/>
      <c r="K26" s="19">
        <v>46</v>
      </c>
      <c r="L26" s="19">
        <v>46</v>
      </c>
      <c r="M26" s="19">
        <v>46</v>
      </c>
      <c r="N26" s="19">
        <f>SUM(B26:M26)</f>
        <v>138</v>
      </c>
      <c r="O26" s="19">
        <f>MIN(B26:M26)</f>
        <v>46</v>
      </c>
      <c r="P26" s="19">
        <f>MAX(B26:M26)</f>
        <v>46</v>
      </c>
      <c r="Q26" s="19">
        <f>IFERROR(AVERAGE(B26:M26),"R$ 0,00")</f>
        <v>46</v>
      </c>
      <c r="R26" s="20">
        <f t="shared" ref="R26" si="6">IFERROR(N26/$N$74,"-")</f>
        <v>2.4748213824567444E-2</v>
      </c>
    </row>
    <row r="27" spans="1:18">
      <c r="A27" s="7" t="s">
        <v>54</v>
      </c>
      <c r="B27" s="19"/>
      <c r="C27" s="19"/>
      <c r="D27" s="19"/>
      <c r="E27" s="19"/>
      <c r="F27" s="19"/>
      <c r="G27" s="19"/>
      <c r="H27" s="19"/>
      <c r="I27" s="19"/>
      <c r="J27" s="19"/>
      <c r="K27" s="19">
        <v>250</v>
      </c>
      <c r="L27" s="19">
        <v>250</v>
      </c>
      <c r="M27" s="19">
        <v>250</v>
      </c>
      <c r="N27" s="19">
        <f>SUM(B27:M27)</f>
        <v>750</v>
      </c>
      <c r="O27" s="19">
        <f>MIN(B27:M27)</f>
        <v>250</v>
      </c>
      <c r="P27" s="19">
        <f>MAX(B27:M27)</f>
        <v>250</v>
      </c>
      <c r="Q27" s="19">
        <f>IFERROR(AVERAGE(B27:M27),"R$ 0,00")</f>
        <v>250</v>
      </c>
      <c r="R27" s="20">
        <f>IFERROR(N27/$N$74,"-")</f>
        <v>0.13450116209004045</v>
      </c>
    </row>
    <row r="28" spans="1:18" ht="15.75">
      <c r="A28" s="38" t="s">
        <v>50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</row>
    <row r="29" spans="1:18" ht="15.75">
      <c r="A29" s="1" t="s">
        <v>34</v>
      </c>
      <c r="B29" s="19"/>
      <c r="C29" s="19"/>
      <c r="D29" s="19"/>
      <c r="E29" s="19"/>
      <c r="F29" s="19"/>
      <c r="G29" s="19"/>
      <c r="H29" s="19"/>
      <c r="I29" s="19"/>
      <c r="J29" s="19">
        <v>204.29</v>
      </c>
      <c r="K29" s="19">
        <v>204.29</v>
      </c>
      <c r="L29" s="19">
        <v>204.29</v>
      </c>
      <c r="M29" s="19">
        <v>204.29</v>
      </c>
      <c r="N29" s="19">
        <f t="shared" si="0"/>
        <v>817.16</v>
      </c>
      <c r="O29" s="19">
        <f t="shared" si="1"/>
        <v>204.29</v>
      </c>
      <c r="P29" s="19">
        <f t="shared" si="2"/>
        <v>204.29</v>
      </c>
      <c r="Q29" s="19">
        <f t="shared" si="3"/>
        <v>204.29</v>
      </c>
      <c r="R29" s="20">
        <f>IFERROR(N29/$N$74,"-")</f>
        <v>0.14654529281799661</v>
      </c>
    </row>
    <row r="30" spans="1:18" ht="15.75">
      <c r="A30" s="1" t="s">
        <v>41</v>
      </c>
      <c r="B30" s="19"/>
      <c r="C30" s="19"/>
      <c r="D30" s="19"/>
      <c r="E30" s="19"/>
      <c r="F30" s="19"/>
      <c r="G30" s="19"/>
      <c r="H30" s="19"/>
      <c r="I30" s="19"/>
      <c r="J30" s="19">
        <v>30</v>
      </c>
      <c r="K30" s="19">
        <v>30</v>
      </c>
      <c r="L30" s="19">
        <v>30</v>
      </c>
      <c r="M30" s="19">
        <v>30</v>
      </c>
      <c r="N30" s="19">
        <f t="shared" si="0"/>
        <v>120</v>
      </c>
      <c r="O30" s="19">
        <f t="shared" si="1"/>
        <v>30</v>
      </c>
      <c r="P30" s="19">
        <f t="shared" si="2"/>
        <v>30</v>
      </c>
      <c r="Q30" s="19">
        <f t="shared" si="3"/>
        <v>30</v>
      </c>
      <c r="R30" s="20">
        <f>IFERROR(N30/$N$74,"-")</f>
        <v>2.1520185934406473E-2</v>
      </c>
    </row>
    <row r="31" spans="1:18" ht="15.75">
      <c r="A31" s="38" t="s">
        <v>51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</row>
    <row r="32" spans="1:18" ht="15.75">
      <c r="A32" s="1" t="s">
        <v>35</v>
      </c>
      <c r="B32" s="19"/>
      <c r="C32" s="19"/>
      <c r="D32" s="19"/>
      <c r="E32" s="19"/>
      <c r="F32" s="19"/>
      <c r="G32" s="19"/>
      <c r="H32" s="19"/>
      <c r="I32" s="19"/>
      <c r="J32" s="19">
        <v>300</v>
      </c>
      <c r="K32" s="19">
        <v>300</v>
      </c>
      <c r="L32" s="19">
        <v>300</v>
      </c>
      <c r="M32" s="19">
        <v>300</v>
      </c>
      <c r="N32" s="19">
        <f t="shared" si="0"/>
        <v>1200</v>
      </c>
      <c r="O32" s="19">
        <f t="shared" si="1"/>
        <v>300</v>
      </c>
      <c r="P32" s="19">
        <f t="shared" si="2"/>
        <v>300</v>
      </c>
      <c r="Q32" s="19">
        <f t="shared" si="3"/>
        <v>300</v>
      </c>
      <c r="R32" s="20">
        <f>IFERROR(N32/$N$74,"-")</f>
        <v>0.21520185934406474</v>
      </c>
    </row>
    <row r="33" spans="1:18" ht="15.75">
      <c r="A33" s="1" t="s">
        <v>26</v>
      </c>
      <c r="B33" s="19"/>
      <c r="C33" s="19"/>
      <c r="D33" s="19"/>
      <c r="E33" s="19"/>
      <c r="F33" s="19"/>
      <c r="G33" s="19"/>
      <c r="H33" s="19"/>
      <c r="I33" s="19"/>
      <c r="J33" s="19">
        <v>30</v>
      </c>
      <c r="K33" s="19"/>
      <c r="L33" s="19"/>
      <c r="M33" s="19"/>
      <c r="N33" s="19">
        <f t="shared" si="0"/>
        <v>30</v>
      </c>
      <c r="O33" s="19">
        <f t="shared" si="1"/>
        <v>30</v>
      </c>
      <c r="P33" s="19">
        <f t="shared" si="2"/>
        <v>30</v>
      </c>
      <c r="Q33" s="19">
        <f t="shared" si="3"/>
        <v>30</v>
      </c>
      <c r="R33" s="20">
        <f>IFERROR(N33/$N$74,"-")</f>
        <v>5.3800464836016183E-3</v>
      </c>
    </row>
    <row r="34" spans="1:18" ht="15.75">
      <c r="A34" s="38" t="s">
        <v>52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5" spans="1:18" ht="15.75">
      <c r="A35" s="1" t="s">
        <v>36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>
        <f t="shared" si="0"/>
        <v>0</v>
      </c>
      <c r="O35" s="19">
        <f t="shared" si="1"/>
        <v>0</v>
      </c>
      <c r="P35" s="19">
        <f t="shared" si="2"/>
        <v>0</v>
      </c>
      <c r="Q35" s="19" t="str">
        <f t="shared" si="3"/>
        <v>R$ 0,00</v>
      </c>
      <c r="R35" s="20">
        <f>IFERROR(N35/$N$74,"-")</f>
        <v>0</v>
      </c>
    </row>
    <row r="36" spans="1:18" ht="15.75">
      <c r="A36" s="1" t="s">
        <v>26</v>
      </c>
      <c r="B36" s="19"/>
      <c r="C36" s="19"/>
      <c r="D36" s="19"/>
      <c r="E36" s="19"/>
      <c r="F36" s="19"/>
      <c r="G36" s="19"/>
      <c r="H36" s="19"/>
      <c r="I36" s="19"/>
      <c r="J36" s="19">
        <v>487</v>
      </c>
      <c r="K36" s="19">
        <v>487</v>
      </c>
      <c r="L36" s="19">
        <v>487</v>
      </c>
      <c r="M36" s="19"/>
      <c r="N36" s="19">
        <f t="shared" si="0"/>
        <v>1461</v>
      </c>
      <c r="O36" s="19">
        <f t="shared" si="1"/>
        <v>487</v>
      </c>
      <c r="P36" s="19">
        <f t="shared" si="2"/>
        <v>487</v>
      </c>
      <c r="Q36" s="19">
        <f t="shared" si="3"/>
        <v>487</v>
      </c>
      <c r="R36" s="20">
        <f>IFERROR(N36/$N$74,"-")</f>
        <v>0.2620082637513988</v>
      </c>
    </row>
    <row r="37" spans="1:18" ht="15.75">
      <c r="A37" s="39" t="s">
        <v>53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ht="15.75">
      <c r="A38" s="38" t="s">
        <v>55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</row>
    <row r="39" spans="1:18">
      <c r="A39" s="4" t="s">
        <v>55</v>
      </c>
      <c r="B39" s="19"/>
      <c r="C39" s="19"/>
      <c r="D39" s="19"/>
      <c r="E39" s="19"/>
      <c r="F39" s="19"/>
      <c r="G39" s="19"/>
      <c r="H39" s="19"/>
      <c r="I39" s="19"/>
      <c r="J39" s="19">
        <v>862.58</v>
      </c>
      <c r="K39" s="19">
        <v>16.5</v>
      </c>
      <c r="L39" s="19">
        <v>16.5</v>
      </c>
      <c r="M39" s="19">
        <v>16.5</v>
      </c>
      <c r="N39" s="19">
        <f t="shared" si="0"/>
        <v>912.08</v>
      </c>
      <c r="O39" s="19">
        <f t="shared" si="1"/>
        <v>16.5</v>
      </c>
      <c r="P39" s="19">
        <f t="shared" si="2"/>
        <v>862.58</v>
      </c>
      <c r="Q39" s="19">
        <f t="shared" si="3"/>
        <v>228.02</v>
      </c>
      <c r="R39" s="20">
        <f t="shared" ref="R39:R50" si="7">IFERROR(N39/$N$75,"-")</f>
        <v>0.17476647154066507</v>
      </c>
    </row>
    <row r="40" spans="1:18">
      <c r="A40" s="5" t="s">
        <v>55</v>
      </c>
      <c r="B40" s="19"/>
      <c r="C40" s="19"/>
      <c r="D40" s="19"/>
      <c r="E40" s="19"/>
      <c r="F40" s="19"/>
      <c r="G40" s="19"/>
      <c r="H40" s="19"/>
      <c r="I40" s="19"/>
      <c r="J40" s="19"/>
      <c r="K40" s="19">
        <v>120</v>
      </c>
      <c r="L40" s="19">
        <v>120</v>
      </c>
      <c r="M40" s="19">
        <v>120</v>
      </c>
      <c r="N40" s="19">
        <f t="shared" si="0"/>
        <v>360</v>
      </c>
      <c r="O40" s="19">
        <f t="shared" si="1"/>
        <v>120</v>
      </c>
      <c r="P40" s="19">
        <f t="shared" si="2"/>
        <v>120</v>
      </c>
      <c r="Q40" s="19">
        <f t="shared" si="3"/>
        <v>120</v>
      </c>
      <c r="R40" s="20">
        <f t="shared" si="7"/>
        <v>6.8980714142004462E-2</v>
      </c>
    </row>
    <row r="41" spans="1:18">
      <c r="A41" s="5" t="s">
        <v>55</v>
      </c>
      <c r="B41" s="19"/>
      <c r="C41" s="19"/>
      <c r="D41" s="19"/>
      <c r="E41" s="19"/>
      <c r="F41" s="19"/>
      <c r="G41" s="19"/>
      <c r="H41" s="19"/>
      <c r="I41" s="19"/>
      <c r="J41" s="19"/>
      <c r="K41" s="19">
        <v>23.65</v>
      </c>
      <c r="L41" s="19">
        <v>23.65</v>
      </c>
      <c r="M41" s="19"/>
      <c r="N41" s="19">
        <f t="shared" si="0"/>
        <v>47.3</v>
      </c>
      <c r="O41" s="19">
        <f t="shared" si="1"/>
        <v>23.65</v>
      </c>
      <c r="P41" s="19">
        <f t="shared" si="2"/>
        <v>23.65</v>
      </c>
      <c r="Q41" s="19">
        <f t="shared" si="3"/>
        <v>23.65</v>
      </c>
      <c r="R41" s="20">
        <f t="shared" si="7"/>
        <v>9.0632993858800297E-3</v>
      </c>
    </row>
    <row r="42" spans="1:18">
      <c r="A42" s="5" t="s">
        <v>55</v>
      </c>
      <c r="B42" s="19"/>
      <c r="C42" s="19"/>
      <c r="D42" s="19"/>
      <c r="E42" s="19"/>
      <c r="F42" s="19"/>
      <c r="G42" s="19"/>
      <c r="H42" s="19"/>
      <c r="I42" s="19"/>
      <c r="J42" s="19"/>
      <c r="K42" s="19">
        <v>636</v>
      </c>
      <c r="L42" s="19"/>
      <c r="M42" s="19"/>
      <c r="N42" s="19">
        <f t="shared" si="0"/>
        <v>636</v>
      </c>
      <c r="O42" s="19">
        <f t="shared" si="1"/>
        <v>636</v>
      </c>
      <c r="P42" s="19">
        <f t="shared" si="2"/>
        <v>636</v>
      </c>
      <c r="Q42" s="19">
        <f t="shared" si="3"/>
        <v>636</v>
      </c>
      <c r="R42" s="20">
        <f t="shared" si="7"/>
        <v>0.12186592831754121</v>
      </c>
    </row>
    <row r="43" spans="1:18">
      <c r="A43" s="6" t="s">
        <v>55</v>
      </c>
      <c r="B43" s="19"/>
      <c r="C43" s="19"/>
      <c r="D43" s="19"/>
      <c r="E43" s="19"/>
      <c r="F43" s="19"/>
      <c r="G43" s="19"/>
      <c r="H43" s="19"/>
      <c r="I43" s="19"/>
      <c r="J43" s="19"/>
      <c r="K43" s="19">
        <v>210</v>
      </c>
      <c r="L43" s="19">
        <v>210</v>
      </c>
      <c r="M43" s="19"/>
      <c r="N43" s="19">
        <f>SUM(B43:M43)</f>
        <v>420</v>
      </c>
      <c r="O43" s="19">
        <f>MIN(B43:M43)</f>
        <v>210</v>
      </c>
      <c r="P43" s="19">
        <f>MAX(B43:M43)</f>
        <v>210</v>
      </c>
      <c r="Q43" s="19">
        <f>IFERROR(AVERAGE(B43:M43),"R$ 0,00")</f>
        <v>210</v>
      </c>
      <c r="R43" s="20">
        <f t="shared" si="7"/>
        <v>8.0477499832338539E-2</v>
      </c>
    </row>
    <row r="44" spans="1:18">
      <c r="A44" s="5" t="s">
        <v>55</v>
      </c>
      <c r="B44" s="19"/>
      <c r="C44" s="19"/>
      <c r="D44" s="19"/>
      <c r="E44" s="19"/>
      <c r="F44" s="19"/>
      <c r="G44" s="19"/>
      <c r="H44" s="19"/>
      <c r="I44" s="19"/>
      <c r="J44" s="19"/>
      <c r="K44" s="19">
        <v>18</v>
      </c>
      <c r="L44" s="19"/>
      <c r="M44" s="19"/>
      <c r="N44" s="19">
        <f>SUM(B44:M44)</f>
        <v>18</v>
      </c>
      <c r="O44" s="19">
        <f>MIN(B44:M44)</f>
        <v>18</v>
      </c>
      <c r="P44" s="19">
        <f>MAX(B44:M44)</f>
        <v>18</v>
      </c>
      <c r="Q44" s="19">
        <f>IFERROR(AVERAGE(B44:M44),"R$ 0,00")</f>
        <v>18</v>
      </c>
      <c r="R44" s="20">
        <f t="shared" si="7"/>
        <v>3.449035707100223E-3</v>
      </c>
    </row>
    <row r="45" spans="1:18">
      <c r="A45" s="7" t="s">
        <v>55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>
        <f t="shared" si="0"/>
        <v>0</v>
      </c>
      <c r="O45" s="19">
        <f t="shared" si="1"/>
        <v>0</v>
      </c>
      <c r="P45" s="19">
        <f t="shared" si="2"/>
        <v>0</v>
      </c>
      <c r="Q45" s="19" t="str">
        <f t="shared" si="3"/>
        <v>R$ 0,00</v>
      </c>
      <c r="R45" s="20">
        <f t="shared" si="7"/>
        <v>0</v>
      </c>
    </row>
    <row r="46" spans="1:18">
      <c r="A46" s="7" t="s">
        <v>55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>
        <f t="shared" si="0"/>
        <v>0</v>
      </c>
      <c r="O46" s="19">
        <f t="shared" si="1"/>
        <v>0</v>
      </c>
      <c r="P46" s="19">
        <f t="shared" si="2"/>
        <v>0</v>
      </c>
      <c r="Q46" s="19" t="str">
        <f t="shared" si="3"/>
        <v>R$ 0,00</v>
      </c>
      <c r="R46" s="20">
        <f t="shared" si="7"/>
        <v>0</v>
      </c>
    </row>
    <row r="47" spans="1:18">
      <c r="A47" s="7" t="s">
        <v>55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>
        <f t="shared" si="0"/>
        <v>0</v>
      </c>
      <c r="O47" s="19">
        <f t="shared" si="1"/>
        <v>0</v>
      </c>
      <c r="P47" s="19">
        <f t="shared" si="2"/>
        <v>0</v>
      </c>
      <c r="Q47" s="19" t="str">
        <f t="shared" si="3"/>
        <v>R$ 0,00</v>
      </c>
      <c r="R47" s="20">
        <f t="shared" si="7"/>
        <v>0</v>
      </c>
    </row>
    <row r="48" spans="1:18">
      <c r="A48" s="7" t="s">
        <v>55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>
        <f t="shared" si="0"/>
        <v>0</v>
      </c>
      <c r="O48" s="19">
        <f t="shared" si="1"/>
        <v>0</v>
      </c>
      <c r="P48" s="19">
        <f t="shared" si="2"/>
        <v>0</v>
      </c>
      <c r="Q48" s="19" t="str">
        <f t="shared" si="3"/>
        <v>R$ 0,00</v>
      </c>
      <c r="R48" s="20">
        <f t="shared" si="7"/>
        <v>0</v>
      </c>
    </row>
    <row r="49" spans="1:18">
      <c r="A49" s="7" t="s">
        <v>55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>
        <f t="shared" si="0"/>
        <v>0</v>
      </c>
      <c r="O49" s="19">
        <f t="shared" si="1"/>
        <v>0</v>
      </c>
      <c r="P49" s="19">
        <f t="shared" si="2"/>
        <v>0</v>
      </c>
      <c r="Q49" s="19" t="str">
        <f t="shared" si="3"/>
        <v>R$ 0,00</v>
      </c>
      <c r="R49" s="20">
        <f t="shared" si="7"/>
        <v>0</v>
      </c>
    </row>
    <row r="50" spans="1:18">
      <c r="A50" s="7" t="s">
        <v>55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>
        <f t="shared" si="0"/>
        <v>0</v>
      </c>
      <c r="O50" s="19">
        <f t="shared" si="1"/>
        <v>0</v>
      </c>
      <c r="P50" s="19">
        <f t="shared" si="2"/>
        <v>0</v>
      </c>
      <c r="Q50" s="19" t="str">
        <f t="shared" si="3"/>
        <v>R$ 0,00</v>
      </c>
      <c r="R50" s="20">
        <f t="shared" si="7"/>
        <v>0</v>
      </c>
    </row>
    <row r="51" spans="1:18">
      <c r="A51" s="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</row>
    <row r="52" spans="1:18" ht="15.75">
      <c r="A52" s="38" t="s">
        <v>56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</row>
    <row r="53" spans="1:18" ht="15.75">
      <c r="A53" s="1" t="s">
        <v>56</v>
      </c>
      <c r="B53" s="19"/>
      <c r="C53" s="19"/>
      <c r="D53" s="19"/>
      <c r="E53" s="19"/>
      <c r="F53" s="19"/>
      <c r="G53" s="19"/>
      <c r="H53" s="19"/>
      <c r="I53" s="19"/>
      <c r="J53" s="19">
        <v>1060</v>
      </c>
      <c r="K53" s="19">
        <v>47.69</v>
      </c>
      <c r="L53" s="19">
        <v>47.69</v>
      </c>
      <c r="M53" s="19">
        <v>47.69</v>
      </c>
      <c r="N53" s="19">
        <f t="shared" si="0"/>
        <v>1203.0700000000002</v>
      </c>
      <c r="O53" s="19">
        <f t="shared" si="1"/>
        <v>47.69</v>
      </c>
      <c r="P53" s="19">
        <f t="shared" si="2"/>
        <v>1060</v>
      </c>
      <c r="Q53" s="19">
        <f t="shared" si="3"/>
        <v>300.76750000000004</v>
      </c>
      <c r="R53" s="20">
        <f t="shared" ref="R53:R60" si="8">IFERROR(N53/$N$75,"-")</f>
        <v>0.23052396600783698</v>
      </c>
    </row>
    <row r="54" spans="1:18" ht="15.75">
      <c r="A54" s="1" t="s">
        <v>56</v>
      </c>
      <c r="B54" s="19"/>
      <c r="C54" s="19"/>
      <c r="D54" s="19"/>
      <c r="E54" s="19"/>
      <c r="F54" s="19"/>
      <c r="G54" s="19"/>
      <c r="H54" s="19"/>
      <c r="I54" s="19"/>
      <c r="J54" s="19"/>
      <c r="K54" s="19">
        <v>7.63</v>
      </c>
      <c r="L54" s="19">
        <v>7.63</v>
      </c>
      <c r="M54" s="19">
        <v>7.63</v>
      </c>
      <c r="N54" s="19">
        <f t="shared" si="0"/>
        <v>22.89</v>
      </c>
      <c r="O54" s="19">
        <f t="shared" si="1"/>
        <v>7.63</v>
      </c>
      <c r="P54" s="19">
        <f t="shared" si="2"/>
        <v>7.63</v>
      </c>
      <c r="Q54" s="19">
        <f t="shared" si="3"/>
        <v>7.63</v>
      </c>
      <c r="R54" s="20">
        <f t="shared" si="8"/>
        <v>4.3860237408624506E-3</v>
      </c>
    </row>
    <row r="55" spans="1:18" ht="15.75">
      <c r="A55" s="1" t="s">
        <v>56</v>
      </c>
      <c r="B55" s="19"/>
      <c r="C55" s="19"/>
      <c r="D55" s="19"/>
      <c r="E55" s="19"/>
      <c r="F55" s="19"/>
      <c r="G55" s="19"/>
      <c r="H55" s="19"/>
      <c r="I55" s="19"/>
      <c r="J55" s="19"/>
      <c r="K55" s="19">
        <v>36.799999999999997</v>
      </c>
      <c r="L55" s="19"/>
      <c r="M55" s="19"/>
      <c r="N55" s="19">
        <f t="shared" si="0"/>
        <v>36.799999999999997</v>
      </c>
      <c r="O55" s="19">
        <f t="shared" si="1"/>
        <v>36.799999999999997</v>
      </c>
      <c r="P55" s="19">
        <f t="shared" si="2"/>
        <v>36.799999999999997</v>
      </c>
      <c r="Q55" s="19">
        <f t="shared" si="3"/>
        <v>36.799999999999997</v>
      </c>
      <c r="R55" s="20">
        <f t="shared" si="8"/>
        <v>7.0513618900715667E-3</v>
      </c>
    </row>
    <row r="56" spans="1:18" ht="15.75">
      <c r="A56" s="1" t="s">
        <v>56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>
        <f t="shared" si="0"/>
        <v>0</v>
      </c>
      <c r="O56" s="19">
        <f t="shared" si="1"/>
        <v>0</v>
      </c>
      <c r="P56" s="19">
        <f t="shared" si="2"/>
        <v>0</v>
      </c>
      <c r="Q56" s="19" t="str">
        <f t="shared" si="3"/>
        <v>R$ 0,00</v>
      </c>
      <c r="R56" s="20">
        <f t="shared" si="8"/>
        <v>0</v>
      </c>
    </row>
    <row r="57" spans="1:18" ht="15.75">
      <c r="A57" s="1" t="s">
        <v>56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>
        <f t="shared" si="0"/>
        <v>0</v>
      </c>
      <c r="O57" s="19">
        <f t="shared" si="1"/>
        <v>0</v>
      </c>
      <c r="P57" s="19">
        <f t="shared" si="2"/>
        <v>0</v>
      </c>
      <c r="Q57" s="19" t="str">
        <f t="shared" si="3"/>
        <v>R$ 0,00</v>
      </c>
      <c r="R57" s="20">
        <f t="shared" si="8"/>
        <v>0</v>
      </c>
    </row>
    <row r="58" spans="1:18" ht="15.75">
      <c r="A58" s="1" t="s">
        <v>56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>
        <f t="shared" si="0"/>
        <v>0</v>
      </c>
      <c r="O58" s="19">
        <f t="shared" si="1"/>
        <v>0</v>
      </c>
      <c r="P58" s="19">
        <f t="shared" si="2"/>
        <v>0</v>
      </c>
      <c r="Q58" s="19" t="str">
        <f t="shared" si="3"/>
        <v>R$ 0,00</v>
      </c>
      <c r="R58" s="20">
        <f t="shared" si="8"/>
        <v>0</v>
      </c>
    </row>
    <row r="59" spans="1:18" ht="15.75">
      <c r="A59" s="1" t="s">
        <v>56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>
        <f t="shared" si="0"/>
        <v>0</v>
      </c>
      <c r="O59" s="19">
        <f t="shared" si="1"/>
        <v>0</v>
      </c>
      <c r="P59" s="19">
        <f t="shared" si="2"/>
        <v>0</v>
      </c>
      <c r="Q59" s="19" t="str">
        <f t="shared" si="3"/>
        <v>R$ 0,00</v>
      </c>
      <c r="R59" s="20">
        <f t="shared" si="8"/>
        <v>0</v>
      </c>
    </row>
    <row r="60" spans="1:18" ht="15.75">
      <c r="A60" s="1" t="s">
        <v>56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>
        <f t="shared" si="0"/>
        <v>0</v>
      </c>
      <c r="O60" s="19">
        <f t="shared" si="1"/>
        <v>0</v>
      </c>
      <c r="P60" s="19">
        <f t="shared" si="2"/>
        <v>0</v>
      </c>
      <c r="Q60" s="19" t="str">
        <f t="shared" si="3"/>
        <v>R$ 0,00</v>
      </c>
      <c r="R60" s="20">
        <f t="shared" si="8"/>
        <v>0</v>
      </c>
    </row>
    <row r="61" spans="1:18" ht="15.75">
      <c r="A61" s="38" t="s">
        <v>57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</row>
    <row r="62" spans="1:18" ht="15.75">
      <c r="A62" s="3" t="s">
        <v>57</v>
      </c>
      <c r="B62" s="19"/>
      <c r="C62" s="19"/>
      <c r="D62" s="19"/>
      <c r="E62" s="19"/>
      <c r="F62" s="19"/>
      <c r="G62" s="19"/>
      <c r="H62" s="19"/>
      <c r="I62" s="19"/>
      <c r="J62" s="19">
        <v>478</v>
      </c>
      <c r="K62" s="19">
        <v>5.5</v>
      </c>
      <c r="L62" s="19">
        <v>5.5</v>
      </c>
      <c r="M62" s="19">
        <v>5.5</v>
      </c>
      <c r="N62" s="19">
        <f t="shared" si="0"/>
        <v>494.5</v>
      </c>
      <c r="O62" s="19">
        <f t="shared" si="1"/>
        <v>5.5</v>
      </c>
      <c r="P62" s="19">
        <f t="shared" si="2"/>
        <v>478</v>
      </c>
      <c r="Q62" s="19">
        <f t="shared" si="3"/>
        <v>123.625</v>
      </c>
      <c r="R62" s="20">
        <f t="shared" ref="R62:R71" si="9">IFERROR(N62/$N$75,"-")</f>
        <v>9.4752675397836675E-2</v>
      </c>
    </row>
    <row r="63" spans="1:18" ht="15.75">
      <c r="A63" s="3" t="s">
        <v>57</v>
      </c>
      <c r="B63" s="19"/>
      <c r="C63" s="19"/>
      <c r="D63" s="19"/>
      <c r="E63" s="19"/>
      <c r="F63" s="19"/>
      <c r="G63" s="19"/>
      <c r="H63" s="19"/>
      <c r="I63" s="19"/>
      <c r="J63" s="19"/>
      <c r="K63" s="19">
        <v>46.25</v>
      </c>
      <c r="L63" s="19"/>
      <c r="M63" s="19"/>
      <c r="N63" s="19">
        <f t="shared" si="0"/>
        <v>46.25</v>
      </c>
      <c r="O63" s="19">
        <f t="shared" si="1"/>
        <v>46.25</v>
      </c>
      <c r="P63" s="19">
        <f t="shared" si="2"/>
        <v>46.25</v>
      </c>
      <c r="Q63" s="19">
        <f t="shared" si="3"/>
        <v>46.25</v>
      </c>
      <c r="R63" s="20">
        <f t="shared" si="9"/>
        <v>8.8621056362991838E-3</v>
      </c>
    </row>
    <row r="64" spans="1:18" ht="15.75">
      <c r="A64" s="3" t="s">
        <v>57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>
        <f t="shared" si="0"/>
        <v>0</v>
      </c>
      <c r="O64" s="19">
        <f t="shared" si="1"/>
        <v>0</v>
      </c>
      <c r="P64" s="19">
        <f t="shared" si="2"/>
        <v>0</v>
      </c>
      <c r="Q64" s="19" t="str">
        <f t="shared" si="3"/>
        <v>R$ 0,00</v>
      </c>
      <c r="R64" s="20">
        <f t="shared" si="9"/>
        <v>0</v>
      </c>
    </row>
    <row r="65" spans="1:18" ht="15.75">
      <c r="A65" s="3" t="s">
        <v>57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>
        <f t="shared" si="0"/>
        <v>0</v>
      </c>
      <c r="O65" s="19">
        <f t="shared" si="1"/>
        <v>0</v>
      </c>
      <c r="P65" s="19">
        <f t="shared" si="2"/>
        <v>0</v>
      </c>
      <c r="Q65" s="19" t="str">
        <f t="shared" si="3"/>
        <v>R$ 0,00</v>
      </c>
      <c r="R65" s="20">
        <f t="shared" si="9"/>
        <v>0</v>
      </c>
    </row>
    <row r="66" spans="1:18" ht="15.75">
      <c r="A66" s="3" t="s">
        <v>57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>
        <f t="shared" si="0"/>
        <v>0</v>
      </c>
      <c r="O66" s="19">
        <f t="shared" si="1"/>
        <v>0</v>
      </c>
      <c r="P66" s="19">
        <f t="shared" si="2"/>
        <v>0</v>
      </c>
      <c r="Q66" s="19" t="str">
        <f t="shared" si="3"/>
        <v>R$ 0,00</v>
      </c>
      <c r="R66" s="20">
        <f t="shared" si="9"/>
        <v>0</v>
      </c>
    </row>
    <row r="67" spans="1:18" ht="15.75">
      <c r="A67" s="3" t="s">
        <v>57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>
        <f t="shared" si="0"/>
        <v>0</v>
      </c>
      <c r="O67" s="19">
        <f t="shared" si="1"/>
        <v>0</v>
      </c>
      <c r="P67" s="19">
        <f t="shared" si="2"/>
        <v>0</v>
      </c>
      <c r="Q67" s="19" t="str">
        <f t="shared" si="3"/>
        <v>R$ 0,00</v>
      </c>
      <c r="R67" s="20">
        <f t="shared" si="9"/>
        <v>0</v>
      </c>
    </row>
    <row r="68" spans="1:18" ht="15.75">
      <c r="A68" s="3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>
        <f t="shared" ref="N68:N71" si="10">SUM(B68:M68)</f>
        <v>0</v>
      </c>
      <c r="O68" s="19">
        <f>MIN(B68:M68)</f>
        <v>0</v>
      </c>
      <c r="P68" s="19">
        <f t="shared" ref="P68:P71" si="11">MAX(B68:M68)</f>
        <v>0</v>
      </c>
      <c r="Q68" s="19" t="str">
        <f t="shared" ref="Q68:Q71" si="12">IFERROR(AVERAGE(B68:M68),"R$ 0,00")</f>
        <v>R$ 0,00</v>
      </c>
      <c r="R68" s="20">
        <f t="shared" si="9"/>
        <v>0</v>
      </c>
    </row>
    <row r="69" spans="1:18" ht="15.75">
      <c r="A69" s="3" t="s">
        <v>58</v>
      </c>
      <c r="B69" s="19"/>
      <c r="C69" s="19"/>
      <c r="D69" s="19"/>
      <c r="E69" s="19"/>
      <c r="F69" s="19"/>
      <c r="G69" s="19"/>
      <c r="H69" s="19"/>
      <c r="I69" s="19"/>
      <c r="J69" s="19"/>
      <c r="K69" s="19">
        <v>11.99</v>
      </c>
      <c r="L69" s="19">
        <v>11.99</v>
      </c>
      <c r="M69" s="19">
        <v>11.99</v>
      </c>
      <c r="N69" s="19">
        <f t="shared" ref="N69" si="13">SUM(B69:M69)</f>
        <v>35.97</v>
      </c>
      <c r="O69" s="19">
        <f>MIN(B69:M69)</f>
        <v>11.99</v>
      </c>
      <c r="P69" s="19">
        <f t="shared" ref="P69" si="14">MAX(B69:M69)</f>
        <v>11.99</v>
      </c>
      <c r="Q69" s="19">
        <f t="shared" ref="Q69" si="15">IFERROR(AVERAGE(B69:M69),"R$ 0,00")</f>
        <v>11.99</v>
      </c>
      <c r="R69" s="20">
        <f t="shared" ref="R69" si="16">IFERROR(N69/$N$75,"-")</f>
        <v>6.8923230213552783E-3</v>
      </c>
    </row>
    <row r="70" spans="1:18" ht="15.75">
      <c r="A70" s="3" t="s">
        <v>58</v>
      </c>
      <c r="B70" s="19"/>
      <c r="C70" s="19"/>
      <c r="D70" s="19"/>
      <c r="E70" s="19"/>
      <c r="F70" s="19"/>
      <c r="G70" s="19"/>
      <c r="H70" s="19"/>
      <c r="I70" s="19"/>
      <c r="J70" s="19"/>
      <c r="K70" s="19">
        <v>72</v>
      </c>
      <c r="L70" s="19">
        <v>72</v>
      </c>
      <c r="M70" s="19">
        <v>72</v>
      </c>
      <c r="N70" s="19">
        <f t="shared" si="10"/>
        <v>216</v>
      </c>
      <c r="O70" s="19">
        <f>MIN(B70:M70)</f>
        <v>72</v>
      </c>
      <c r="P70" s="19">
        <f t="shared" si="11"/>
        <v>72</v>
      </c>
      <c r="Q70" s="19">
        <f t="shared" si="12"/>
        <v>72</v>
      </c>
      <c r="R70" s="20">
        <f t="shared" si="9"/>
        <v>4.1388428485202675E-2</v>
      </c>
    </row>
    <row r="71" spans="1:18" ht="15.75">
      <c r="A71" s="3" t="s">
        <v>58</v>
      </c>
      <c r="B71" s="19"/>
      <c r="C71" s="19"/>
      <c r="D71" s="19"/>
      <c r="E71" s="19"/>
      <c r="F71" s="19"/>
      <c r="G71" s="19"/>
      <c r="H71" s="19"/>
      <c r="I71" s="19"/>
      <c r="J71" s="19">
        <v>445</v>
      </c>
      <c r="K71" s="19">
        <v>108.33</v>
      </c>
      <c r="L71" s="19">
        <v>108.33</v>
      </c>
      <c r="M71" s="19">
        <v>108.33</v>
      </c>
      <c r="N71" s="19">
        <f t="shared" si="10"/>
        <v>769.99000000000012</v>
      </c>
      <c r="O71" s="19">
        <f>MIN(B71:M71)</f>
        <v>108.33</v>
      </c>
      <c r="P71" s="19">
        <f t="shared" si="11"/>
        <v>445</v>
      </c>
      <c r="Q71" s="19">
        <f t="shared" si="12"/>
        <v>192.49750000000003</v>
      </c>
      <c r="R71" s="20">
        <f t="shared" si="9"/>
        <v>0.14754016689500563</v>
      </c>
    </row>
    <row r="72" spans="1:18" s="10" customFormat="1" ht="26.25" customHeight="1">
      <c r="A72" s="42" t="s">
        <v>17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4"/>
      <c r="O72" s="16"/>
      <c r="P72" s="16"/>
      <c r="Q72" s="16"/>
      <c r="R72" s="17"/>
    </row>
    <row r="73" spans="1:18" s="10" customFormat="1" ht="26.25" customHeight="1">
      <c r="A73" s="35" t="s">
        <v>19</v>
      </c>
      <c r="B73" s="36">
        <f>SUM(B5:B9)</f>
        <v>0</v>
      </c>
      <c r="C73" s="36">
        <f t="shared" ref="C73:M73" si="17">SUM(C5:C9)</f>
        <v>0</v>
      </c>
      <c r="D73" s="36">
        <f t="shared" si="17"/>
        <v>0</v>
      </c>
      <c r="E73" s="36">
        <f t="shared" si="17"/>
        <v>0</v>
      </c>
      <c r="F73" s="36">
        <f t="shared" si="17"/>
        <v>0</v>
      </c>
      <c r="G73" s="36">
        <f t="shared" si="17"/>
        <v>0</v>
      </c>
      <c r="H73" s="36">
        <f t="shared" si="17"/>
        <v>0</v>
      </c>
      <c r="I73" s="36">
        <f t="shared" si="17"/>
        <v>0</v>
      </c>
      <c r="J73" s="36">
        <f t="shared" si="17"/>
        <v>2920</v>
      </c>
      <c r="K73" s="36">
        <f t="shared" si="17"/>
        <v>3570</v>
      </c>
      <c r="L73" s="36">
        <f t="shared" si="17"/>
        <v>2970</v>
      </c>
      <c r="M73" s="36">
        <f t="shared" si="17"/>
        <v>2970</v>
      </c>
      <c r="N73" s="37">
        <f>SUM(B73:M73)</f>
        <v>12430</v>
      </c>
      <c r="O73" s="16"/>
      <c r="P73" s="16"/>
      <c r="Q73" s="16"/>
      <c r="R73" s="17"/>
    </row>
    <row r="74" spans="1:18" s="10" customFormat="1" ht="26.25" customHeight="1">
      <c r="A74" s="35" t="s">
        <v>18</v>
      </c>
      <c r="B74" s="36">
        <f t="shared" ref="B74:M74" si="18">SUM(B18:B36)</f>
        <v>0</v>
      </c>
      <c r="C74" s="36">
        <f t="shared" si="18"/>
        <v>0</v>
      </c>
      <c r="D74" s="36">
        <f t="shared" si="18"/>
        <v>0</v>
      </c>
      <c r="E74" s="36">
        <f t="shared" si="18"/>
        <v>0</v>
      </c>
      <c r="F74" s="36">
        <f t="shared" si="18"/>
        <v>0</v>
      </c>
      <c r="G74" s="36">
        <f t="shared" si="18"/>
        <v>0</v>
      </c>
      <c r="H74" s="36">
        <f t="shared" si="18"/>
        <v>0</v>
      </c>
      <c r="I74" s="36">
        <f t="shared" si="18"/>
        <v>0</v>
      </c>
      <c r="J74" s="36">
        <f t="shared" si="18"/>
        <v>1191.29</v>
      </c>
      <c r="K74" s="36">
        <f t="shared" si="18"/>
        <v>1630.04</v>
      </c>
      <c r="L74" s="36">
        <f t="shared" si="18"/>
        <v>1630.04</v>
      </c>
      <c r="M74" s="36">
        <f t="shared" si="18"/>
        <v>1124.79</v>
      </c>
      <c r="N74" s="37">
        <f t="shared" ref="N74:N75" si="19">SUM(B74:M74)</f>
        <v>5576.16</v>
      </c>
      <c r="O74" s="16"/>
      <c r="P74" s="16"/>
      <c r="Q74" s="16"/>
      <c r="R74" s="17"/>
    </row>
    <row r="75" spans="1:18" s="10" customFormat="1" ht="26.25" customHeight="1">
      <c r="A75" s="35" t="s">
        <v>20</v>
      </c>
      <c r="B75" s="36">
        <f t="shared" ref="B75:M75" si="20">SUM(B39:B71)</f>
        <v>0</v>
      </c>
      <c r="C75" s="36">
        <f t="shared" si="20"/>
        <v>0</v>
      </c>
      <c r="D75" s="36">
        <f t="shared" si="20"/>
        <v>0</v>
      </c>
      <c r="E75" s="36">
        <f t="shared" si="20"/>
        <v>0</v>
      </c>
      <c r="F75" s="36">
        <f t="shared" si="20"/>
        <v>0</v>
      </c>
      <c r="G75" s="36">
        <f t="shared" si="20"/>
        <v>0</v>
      </c>
      <c r="H75" s="36">
        <f t="shared" si="20"/>
        <v>0</v>
      </c>
      <c r="I75" s="36">
        <f t="shared" si="20"/>
        <v>0</v>
      </c>
      <c r="J75" s="36">
        <f t="shared" si="20"/>
        <v>2845.58</v>
      </c>
      <c r="K75" s="36">
        <f t="shared" si="20"/>
        <v>1360.3400000000001</v>
      </c>
      <c r="L75" s="36">
        <f t="shared" si="20"/>
        <v>623.29000000000008</v>
      </c>
      <c r="M75" s="36">
        <f t="shared" si="20"/>
        <v>389.64</v>
      </c>
      <c r="N75" s="37">
        <f t="shared" si="19"/>
        <v>5218.8500000000004</v>
      </c>
      <c r="O75" s="16"/>
      <c r="P75" s="16"/>
      <c r="Q75" s="16"/>
      <c r="R75" s="17"/>
    </row>
    <row r="76" spans="1:18" s="10" customFormat="1" ht="26.25" customHeight="1">
      <c r="A76" s="33" t="s">
        <v>21</v>
      </c>
      <c r="B76" s="32">
        <f>B73-B74-B75</f>
        <v>0</v>
      </c>
      <c r="C76" s="32">
        <f t="shared" ref="C76:L76" si="21">C73-C74-C75</f>
        <v>0</v>
      </c>
      <c r="D76" s="32">
        <f t="shared" si="21"/>
        <v>0</v>
      </c>
      <c r="E76" s="32">
        <f t="shared" si="21"/>
        <v>0</v>
      </c>
      <c r="F76" s="32">
        <f t="shared" si="21"/>
        <v>0</v>
      </c>
      <c r="G76" s="32">
        <f t="shared" si="21"/>
        <v>0</v>
      </c>
      <c r="H76" s="32">
        <f t="shared" si="21"/>
        <v>0</v>
      </c>
      <c r="I76" s="32">
        <f t="shared" si="21"/>
        <v>0</v>
      </c>
      <c r="J76" s="32">
        <f>J73-J74-J75</f>
        <v>-1116.8699999999999</v>
      </c>
      <c r="K76" s="32">
        <f t="shared" si="21"/>
        <v>579.61999999999989</v>
      </c>
      <c r="L76" s="32">
        <f t="shared" si="21"/>
        <v>716.67</v>
      </c>
      <c r="M76" s="32">
        <f t="shared" ref="M76" si="22">M73-M74-M75</f>
        <v>1455.5700000000002</v>
      </c>
      <c r="N76" s="34">
        <f t="shared" ref="N76" si="23">N73-N74-N75</f>
        <v>1634.9899999999998</v>
      </c>
      <c r="O76" s="18"/>
      <c r="P76" s="16"/>
      <c r="Q76" s="16"/>
      <c r="R76" s="17"/>
    </row>
    <row r="77" spans="1:18" s="10" customFormat="1" ht="26.25" customHeight="1">
      <c r="A77" s="48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50"/>
      <c r="O77" s="18"/>
      <c r="P77" s="16"/>
      <c r="Q77" s="16"/>
      <c r="R77" s="17"/>
    </row>
    <row r="78" spans="1:18" s="10" customFormat="1" ht="26.25" customHeight="1">
      <c r="A78" s="33" t="s">
        <v>44</v>
      </c>
      <c r="B78" s="32">
        <f t="shared" ref="B78:M78" si="24">SUM(B11:B16)</f>
        <v>0</v>
      </c>
      <c r="C78" s="32">
        <f t="shared" si="24"/>
        <v>0</v>
      </c>
      <c r="D78" s="32">
        <f t="shared" si="24"/>
        <v>0</v>
      </c>
      <c r="E78" s="32">
        <f t="shared" si="24"/>
        <v>0</v>
      </c>
      <c r="F78" s="32">
        <f t="shared" si="24"/>
        <v>0</v>
      </c>
      <c r="G78" s="32">
        <f t="shared" si="24"/>
        <v>0</v>
      </c>
      <c r="H78" s="32">
        <f t="shared" si="24"/>
        <v>0</v>
      </c>
      <c r="I78" s="32">
        <f t="shared" si="24"/>
        <v>0</v>
      </c>
      <c r="J78" s="32">
        <f t="shared" si="24"/>
        <v>0</v>
      </c>
      <c r="K78" s="32">
        <f t="shared" si="24"/>
        <v>100</v>
      </c>
      <c r="L78" s="32">
        <f t="shared" si="24"/>
        <v>100</v>
      </c>
      <c r="M78" s="32">
        <f t="shared" si="24"/>
        <v>100</v>
      </c>
      <c r="N78" s="34">
        <f>SUM(B78:M78)</f>
        <v>300</v>
      </c>
      <c r="O78" s="18"/>
      <c r="P78" s="16"/>
      <c r="Q78" s="16"/>
      <c r="R78" s="17"/>
    </row>
    <row r="79" spans="1:18" ht="23.25" customHeight="1">
      <c r="A79" s="5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3"/>
      <c r="O79" s="11"/>
      <c r="P79" s="11"/>
      <c r="Q79" s="11"/>
      <c r="R79" s="14"/>
    </row>
    <row r="80" spans="1:18" ht="24.75" customHeight="1">
      <c r="A80" s="45" t="s">
        <v>42</v>
      </c>
      <c r="B80" s="46">
        <f>SUM(B76:M76)</f>
        <v>1634.9900000000002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5"/>
      <c r="O80" s="11"/>
      <c r="P80" s="11"/>
      <c r="Q80" s="11"/>
      <c r="R80" s="14"/>
    </row>
    <row r="81" spans="1:18" ht="24" customHeight="1">
      <c r="A81" s="33" t="s">
        <v>59</v>
      </c>
      <c r="B81" s="32">
        <f t="shared" ref="B81:M81" si="25">SUM(B39:B50)</f>
        <v>0</v>
      </c>
      <c r="C81" s="32">
        <f t="shared" si="25"/>
        <v>0</v>
      </c>
      <c r="D81" s="32">
        <f t="shared" si="25"/>
        <v>0</v>
      </c>
      <c r="E81" s="32">
        <f t="shared" si="25"/>
        <v>0</v>
      </c>
      <c r="F81" s="32">
        <f t="shared" si="25"/>
        <v>0</v>
      </c>
      <c r="G81" s="32">
        <f t="shared" si="25"/>
        <v>0</v>
      </c>
      <c r="H81" s="32">
        <f t="shared" si="25"/>
        <v>0</v>
      </c>
      <c r="I81" s="32">
        <f t="shared" si="25"/>
        <v>0</v>
      </c>
      <c r="J81" s="32">
        <f t="shared" si="25"/>
        <v>862.58</v>
      </c>
      <c r="K81" s="32">
        <f t="shared" si="25"/>
        <v>1024.1500000000001</v>
      </c>
      <c r="L81" s="32">
        <f t="shared" si="25"/>
        <v>370.15</v>
      </c>
      <c r="M81" s="32">
        <f t="shared" si="25"/>
        <v>136.5</v>
      </c>
      <c r="N81" s="11"/>
      <c r="O81" s="11"/>
      <c r="P81" s="11"/>
      <c r="Q81" s="11"/>
      <c r="R81" s="14"/>
    </row>
    <row r="82" spans="1:18" ht="24" customHeight="1">
      <c r="A82" s="33" t="s">
        <v>60</v>
      </c>
      <c r="B82" s="32">
        <f t="shared" ref="B82:M82" si="26">SUM(B53:B60)</f>
        <v>0</v>
      </c>
      <c r="C82" s="32">
        <f t="shared" si="26"/>
        <v>0</v>
      </c>
      <c r="D82" s="32">
        <f t="shared" si="26"/>
        <v>0</v>
      </c>
      <c r="E82" s="32">
        <f t="shared" si="26"/>
        <v>0</v>
      </c>
      <c r="F82" s="32">
        <f t="shared" si="26"/>
        <v>0</v>
      </c>
      <c r="G82" s="32">
        <f t="shared" si="26"/>
        <v>0</v>
      </c>
      <c r="H82" s="32">
        <f t="shared" si="26"/>
        <v>0</v>
      </c>
      <c r="I82" s="32">
        <f t="shared" si="26"/>
        <v>0</v>
      </c>
      <c r="J82" s="32">
        <f t="shared" si="26"/>
        <v>1060</v>
      </c>
      <c r="K82" s="32">
        <f t="shared" si="26"/>
        <v>92.12</v>
      </c>
      <c r="L82" s="32">
        <f t="shared" si="26"/>
        <v>55.32</v>
      </c>
      <c r="M82" s="32">
        <f t="shared" si="26"/>
        <v>55.32</v>
      </c>
      <c r="N82" s="11"/>
      <c r="O82" s="11"/>
      <c r="P82" s="11"/>
      <c r="Q82" s="11"/>
      <c r="R82" s="14"/>
    </row>
    <row r="83" spans="1:18" ht="24" customHeight="1">
      <c r="A83" s="33" t="s">
        <v>61</v>
      </c>
      <c r="B83" s="32">
        <f t="shared" ref="B83:M83" si="27">SUM(B62:B68)</f>
        <v>0</v>
      </c>
      <c r="C83" s="32">
        <f t="shared" si="27"/>
        <v>0</v>
      </c>
      <c r="D83" s="32">
        <f t="shared" si="27"/>
        <v>0</v>
      </c>
      <c r="E83" s="32">
        <f t="shared" si="27"/>
        <v>0</v>
      </c>
      <c r="F83" s="32">
        <f t="shared" si="27"/>
        <v>0</v>
      </c>
      <c r="G83" s="32">
        <f t="shared" si="27"/>
        <v>0</v>
      </c>
      <c r="H83" s="32">
        <f t="shared" si="27"/>
        <v>0</v>
      </c>
      <c r="I83" s="32">
        <f t="shared" si="27"/>
        <v>0</v>
      </c>
      <c r="J83" s="32">
        <f t="shared" si="27"/>
        <v>478</v>
      </c>
      <c r="K83" s="32">
        <f t="shared" si="27"/>
        <v>51.75</v>
      </c>
      <c r="L83" s="32">
        <f t="shared" si="27"/>
        <v>5.5</v>
      </c>
      <c r="M83" s="32">
        <f t="shared" si="27"/>
        <v>5.5</v>
      </c>
      <c r="N83" s="11"/>
      <c r="O83" s="11"/>
      <c r="P83" s="11"/>
      <c r="Q83" s="11"/>
      <c r="R83" s="14"/>
    </row>
    <row r="84" spans="1:18" ht="24" customHeight="1">
      <c r="A84" s="33" t="s">
        <v>62</v>
      </c>
      <c r="B84" s="32">
        <f t="shared" ref="B84:M84" si="28">SUM(B69:B71)</f>
        <v>0</v>
      </c>
      <c r="C84" s="32">
        <f t="shared" si="28"/>
        <v>0</v>
      </c>
      <c r="D84" s="32">
        <f t="shared" si="28"/>
        <v>0</v>
      </c>
      <c r="E84" s="32">
        <f t="shared" si="28"/>
        <v>0</v>
      </c>
      <c r="F84" s="32">
        <f t="shared" si="28"/>
        <v>0</v>
      </c>
      <c r="G84" s="32">
        <f t="shared" si="28"/>
        <v>0</v>
      </c>
      <c r="H84" s="32">
        <f t="shared" si="28"/>
        <v>0</v>
      </c>
      <c r="I84" s="32">
        <f t="shared" si="28"/>
        <v>0</v>
      </c>
      <c r="J84" s="32">
        <f t="shared" si="28"/>
        <v>445</v>
      </c>
      <c r="K84" s="32">
        <f t="shared" si="28"/>
        <v>192.32</v>
      </c>
      <c r="L84" s="32">
        <f t="shared" si="28"/>
        <v>192.32</v>
      </c>
      <c r="M84" s="32">
        <f t="shared" si="28"/>
        <v>192.32</v>
      </c>
      <c r="N84" s="11"/>
      <c r="O84" s="11"/>
      <c r="P84" s="11"/>
      <c r="Q84" s="11"/>
      <c r="R84" s="14"/>
    </row>
    <row r="85" spans="1:18">
      <c r="C85" s="11"/>
      <c r="D85" s="11"/>
    </row>
    <row r="89" spans="1:18">
      <c r="K89" s="56"/>
    </row>
    <row r="90" spans="1:18">
      <c r="K90" s="56"/>
    </row>
    <row r="91" spans="1:18">
      <c r="K91" s="56"/>
    </row>
    <row r="92" spans="1:18">
      <c r="K92" s="56"/>
    </row>
    <row r="93" spans="1:18">
      <c r="K93" s="56"/>
    </row>
  </sheetData>
  <mergeCells count="3">
    <mergeCell ref="A1:R1"/>
    <mergeCell ref="B2:M2"/>
    <mergeCell ref="O2:R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2021</vt:lpstr>
      <vt:lpstr>Gráf1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Duarte</dc:creator>
  <cp:lastModifiedBy>jp</cp:lastModifiedBy>
  <dcterms:created xsi:type="dcterms:W3CDTF">2019-12-16T18:26:08Z</dcterms:created>
  <dcterms:modified xsi:type="dcterms:W3CDTF">2021-11-18T19:17:02Z</dcterms:modified>
</cp:coreProperties>
</file>