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20" windowWidth="18195" windowHeight="7995"/>
  </bookViews>
  <sheets>
    <sheet name="Orçamento" sheetId="1" r:id="rId1"/>
    <sheet name="Clientes" sheetId="2" r:id="rId2"/>
    <sheet name="Serviços" sheetId="3" r:id="rId3"/>
  </sheets>
  <definedNames>
    <definedName name="_xlnm.Print_Area" localSheetId="0">Orçamento!$B$1:$G$28</definedName>
  </definedNames>
  <calcPr calcId="145621"/>
</workbook>
</file>

<file path=xl/calcChain.xml><?xml version="1.0" encoding="utf-8"?>
<calcChain xmlns="http://schemas.openxmlformats.org/spreadsheetml/2006/main">
  <c r="C5" i="1" l="1"/>
  <c r="G13" i="1" l="1"/>
  <c r="G14" i="1"/>
  <c r="G15" i="1"/>
  <c r="G16" i="1"/>
  <c r="G17" i="1"/>
  <c r="G18" i="1"/>
  <c r="G19" i="1"/>
  <c r="G20" i="1"/>
  <c r="G21" i="1"/>
  <c r="G22" i="1"/>
  <c r="G12" i="1"/>
  <c r="C4" i="1"/>
  <c r="G23" i="1" l="1"/>
  <c r="G8" i="1"/>
  <c r="E8" i="1"/>
  <c r="C8" i="1"/>
  <c r="G7" i="1"/>
  <c r="C7" i="1"/>
  <c r="C6" i="1"/>
  <c r="G25" i="1" l="1"/>
  <c r="G28" i="1"/>
  <c r="G26" i="1"/>
  <c r="G27" i="1" l="1"/>
</calcChain>
</file>

<file path=xl/sharedStrings.xml><?xml version="1.0" encoding="utf-8"?>
<sst xmlns="http://schemas.openxmlformats.org/spreadsheetml/2006/main" count="87" uniqueCount="76">
  <si>
    <t>Cliente</t>
  </si>
  <si>
    <t>Endereço</t>
  </si>
  <si>
    <t>Bairro</t>
  </si>
  <si>
    <t>Cidade</t>
  </si>
  <si>
    <t>Telefone</t>
  </si>
  <si>
    <t>Comercial</t>
  </si>
  <si>
    <t>Celular</t>
  </si>
  <si>
    <t>Serviços requisitados e valor</t>
  </si>
  <si>
    <t>Descrição</t>
  </si>
  <si>
    <t>Quantidade</t>
  </si>
  <si>
    <t>Valor</t>
  </si>
  <si>
    <t>Sub-total</t>
  </si>
  <si>
    <t>Total</t>
  </si>
  <si>
    <t>Desconto</t>
  </si>
  <si>
    <t>Acréscimo</t>
  </si>
  <si>
    <t>Cadastro de clientes</t>
  </si>
  <si>
    <t>Nome</t>
  </si>
  <si>
    <t>UF</t>
  </si>
  <si>
    <t>Rua Alagoas, 135</t>
  </si>
  <si>
    <t>Vila Morais</t>
  </si>
  <si>
    <t>São Paulo</t>
  </si>
  <si>
    <t>SP</t>
  </si>
  <si>
    <t>Rua do arco iris, 32</t>
  </si>
  <si>
    <t>Freguesia do ó</t>
  </si>
  <si>
    <t>Rua Nova Friburgo, 46</t>
  </si>
  <si>
    <t>Vila Guarani</t>
  </si>
  <si>
    <t>Rio de Janeiro</t>
  </si>
  <si>
    <t>RJ</t>
  </si>
  <si>
    <t>(21) 2345-8900</t>
  </si>
  <si>
    <t>(21) 3457-8921</t>
  </si>
  <si>
    <t>(21) 9000-2378</t>
  </si>
  <si>
    <t>(11) 3245-5678</t>
  </si>
  <si>
    <t>(11) 8956-2378</t>
  </si>
  <si>
    <t>(11) 7231-4589</t>
  </si>
  <si>
    <t>(11) 7459-0022</t>
  </si>
  <si>
    <t>(11) 8090-1122</t>
  </si>
  <si>
    <t>Jardim Alves e Silva</t>
  </si>
  <si>
    <t>Rio Grande do Sul</t>
  </si>
  <si>
    <t>RS</t>
  </si>
  <si>
    <t>(91) 3452-5290</t>
  </si>
  <si>
    <t>(91) 2234-9900</t>
  </si>
  <si>
    <t>(91)8021-3348</t>
  </si>
  <si>
    <t>Av. do Escoteiro, 236 - Apto 238</t>
  </si>
  <si>
    <t>Rua da Serraria Branca, 234 - Apto 12</t>
  </si>
  <si>
    <t>Vila dos Remédio</t>
  </si>
  <si>
    <t>Pernambuco</t>
  </si>
  <si>
    <t>PE</t>
  </si>
  <si>
    <t>(51)1137-8900</t>
  </si>
  <si>
    <t>(51)7091-3456</t>
  </si>
  <si>
    <t>(51)8078-2233</t>
  </si>
  <si>
    <t>Cadastro de serviços</t>
  </si>
  <si>
    <t>ANGELINA JOLLI</t>
  </si>
  <si>
    <t>Processamento da contabilidade</t>
  </si>
  <si>
    <t>Entrega das obrigações acessórias</t>
  </si>
  <si>
    <t>Processamento da folha de pagamento</t>
  </si>
  <si>
    <t>Emissão de guias de recolhimento</t>
  </si>
  <si>
    <t>Acesso ao site da empresa</t>
  </si>
  <si>
    <t xml:space="preserve">Condução </t>
  </si>
  <si>
    <t xml:space="preserve">Estacionamento </t>
  </si>
  <si>
    <t>Pagamento de guias</t>
  </si>
  <si>
    <t>Cópias</t>
  </si>
  <si>
    <t>Serviços de consultoria</t>
  </si>
  <si>
    <t>Atendimento a fiscalização</t>
  </si>
  <si>
    <t>ISS</t>
  </si>
  <si>
    <t>CNPJ/CPF</t>
  </si>
  <si>
    <t>223.456.678-47</t>
  </si>
  <si>
    <t>PONTO FRIO S/A</t>
  </si>
  <si>
    <t>MAS -  CONSTRUÇÕES E EMPREENDIMENTOS LTDA</t>
  </si>
  <si>
    <t>CASAS BAHIA S/A</t>
  </si>
  <si>
    <t>PÃO DE AÇUCAR S/A</t>
  </si>
  <si>
    <t>33.456.234/0001-56</t>
  </si>
  <si>
    <t>234.789.123/0001-30</t>
  </si>
  <si>
    <t>345.789.012/0001-27</t>
  </si>
  <si>
    <t>251.378.100/0001-20</t>
  </si>
  <si>
    <t>(11) 2134-9000</t>
  </si>
  <si>
    <t>Orçamento de serviços Contábeis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</si>
</sst>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_-&quot;R$&quot;\ * #,##0.00_-;\-&quot;R$&quot;\ * #,##0.00_-;_-&quot;R$&quot;\ 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8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0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1" xfId="1" applyNumberFormat="1" applyFont="1" applyBorder="1"/>
    <xf numFmtId="164" fontId="0" fillId="0" borderId="1" xfId="1" applyNumberFormat="1" applyFont="1" applyBorder="1" applyProtection="1">
      <protection locked="0" hidden="1"/>
    </xf>
    <xf numFmtId="0" fontId="0" fillId="0" borderId="1" xfId="0" applyBorder="1" applyAlignment="1" applyProtection="1">
      <protection locked="0" hidden="1"/>
    </xf>
    <xf numFmtId="0" fontId="0" fillId="0" borderId="8" xfId="0" applyBorder="1" applyAlignment="1" applyProtection="1">
      <alignment horizontal="right"/>
      <protection locked="0" hidden="1"/>
    </xf>
    <xf numFmtId="0" fontId="0" fillId="0" borderId="12" xfId="0" applyBorder="1" applyAlignment="1" applyProtection="1">
      <alignment horizontal="center"/>
      <protection locked="0" hidden="1"/>
    </xf>
    <xf numFmtId="0" fontId="0" fillId="0" borderId="9" xfId="0" applyBorder="1" applyProtection="1">
      <protection locked="0" hidden="1"/>
    </xf>
    <xf numFmtId="164" fontId="0" fillId="0" borderId="1" xfId="0" applyNumberFormat="1" applyBorder="1" applyProtection="1">
      <protection locked="0" hidden="1"/>
    </xf>
    <xf numFmtId="164" fontId="0" fillId="0" borderId="1" xfId="1" applyNumberFormat="1" applyFont="1" applyBorder="1" applyAlignment="1" applyProtection="1">
      <alignment horizontal="center"/>
      <protection locked="0" hidden="1"/>
    </xf>
    <xf numFmtId="0" fontId="2" fillId="3" borderId="0" xfId="0" applyFont="1" applyFill="1" applyBorder="1" applyAlignment="1" applyProtection="1">
      <alignment horizontal="center"/>
      <protection locked="0" hidden="1"/>
    </xf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2" xfId="0" applyBorder="1" applyAlignment="1" applyProtection="1">
      <protection locked="0"/>
    </xf>
    <xf numFmtId="0" fontId="0" fillId="0" borderId="12" xfId="0" applyBorder="1" applyProtection="1">
      <protection locked="0"/>
    </xf>
    <xf numFmtId="0" fontId="2" fillId="3" borderId="2" xfId="0" applyFont="1" applyFill="1" applyBorder="1" applyProtection="1">
      <protection locked="0"/>
    </xf>
    <xf numFmtId="0" fontId="2" fillId="3" borderId="3" xfId="0" applyFont="1" applyFill="1" applyBorder="1" applyProtection="1">
      <protection locked="0"/>
    </xf>
    <xf numFmtId="0" fontId="2" fillId="3" borderId="4" xfId="0" applyFont="1" applyFill="1" applyBorder="1" applyProtection="1">
      <protection locked="0"/>
    </xf>
    <xf numFmtId="0" fontId="0" fillId="0" borderId="10" xfId="0" applyBorder="1" applyProtection="1">
      <protection locked="0"/>
    </xf>
    <xf numFmtId="0" fontId="2" fillId="3" borderId="5" xfId="0" applyFont="1" applyFill="1" applyBorder="1" applyProtection="1">
      <protection locked="0"/>
    </xf>
    <xf numFmtId="0" fontId="2" fillId="3" borderId="0" xfId="0" applyFont="1" applyFill="1" applyBorder="1" applyProtection="1">
      <protection locked="0"/>
    </xf>
    <xf numFmtId="0" fontId="2" fillId="3" borderId="6" xfId="0" applyFont="1" applyFill="1" applyBorder="1" applyProtection="1">
      <protection locked="0"/>
    </xf>
    <xf numFmtId="0" fontId="2" fillId="3" borderId="7" xfId="0" applyFont="1" applyFill="1" applyBorder="1" applyProtection="1">
      <protection locked="0"/>
    </xf>
    <xf numFmtId="0" fontId="2" fillId="3" borderId="8" xfId="0" applyFont="1" applyFill="1" applyBorder="1" applyProtection="1">
      <protection locked="0"/>
    </xf>
    <xf numFmtId="0" fontId="2" fillId="3" borderId="9" xfId="0" applyFont="1" applyFill="1" applyBorder="1" applyProtection="1"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43" fontId="0" fillId="0" borderId="0" xfId="1" applyFont="1" applyProtection="1">
      <protection locked="0"/>
    </xf>
    <xf numFmtId="43" fontId="0" fillId="0" borderId="1" xfId="1" applyFont="1" applyBorder="1" applyAlignment="1" applyProtection="1">
      <protection locked="0"/>
    </xf>
    <xf numFmtId="0" fontId="3" fillId="2" borderId="2" xfId="0" applyFont="1" applyFill="1" applyBorder="1" applyAlignment="1" applyProtection="1">
      <alignment horizontal="center"/>
      <protection locked="0"/>
    </xf>
    <xf numFmtId="0" fontId="3" fillId="2" borderId="3" xfId="0" applyFont="1" applyFill="1" applyBorder="1" applyAlignment="1" applyProtection="1">
      <alignment horizontal="center"/>
      <protection locked="0"/>
    </xf>
    <xf numFmtId="0" fontId="3" fillId="2" borderId="4" xfId="0" applyFont="1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left"/>
      <protection locked="0" hidden="1"/>
    </xf>
    <xf numFmtId="0" fontId="0" fillId="0" borderId="11" xfId="0" applyBorder="1" applyAlignment="1" applyProtection="1">
      <alignment horizontal="left"/>
      <protection locked="0" hidden="1"/>
    </xf>
    <xf numFmtId="0" fontId="0" fillId="0" borderId="12" xfId="0" applyBorder="1" applyAlignment="1" applyProtection="1">
      <alignment horizontal="left"/>
      <protection locked="0" hidden="1"/>
    </xf>
    <xf numFmtId="0" fontId="3" fillId="2" borderId="10" xfId="0" applyFont="1" applyFill="1" applyBorder="1" applyAlignment="1" applyProtection="1">
      <alignment horizontal="center"/>
      <protection locked="0"/>
    </xf>
    <xf numFmtId="0" fontId="3" fillId="2" borderId="11" xfId="0" applyFont="1" applyFill="1" applyBorder="1" applyAlignment="1" applyProtection="1">
      <alignment horizontal="center"/>
      <protection locked="0"/>
    </xf>
    <xf numFmtId="0" fontId="3" fillId="2" borderId="12" xfId="0" applyFont="1" applyFill="1" applyBorder="1" applyAlignment="1" applyProtection="1">
      <alignment horizontal="center"/>
      <protection locked="0"/>
    </xf>
    <xf numFmtId="0" fontId="0" fillId="0" borderId="10" xfId="0" applyFill="1" applyBorder="1" applyAlignment="1" applyProtection="1">
      <alignment horizontal="center"/>
      <protection locked="0"/>
    </xf>
    <xf numFmtId="0" fontId="0" fillId="0" borderId="11" xfId="0" applyFill="1" applyBorder="1" applyAlignment="1" applyProtection="1">
      <alignment horizontal="center"/>
      <protection locked="0"/>
    </xf>
    <xf numFmtId="0" fontId="0" fillId="0" borderId="12" xfId="0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/>
      <protection locked="0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</cellXfs>
  <cellStyles count="2">
    <cellStyle name="Normal" xfId="0" builtinId="0"/>
    <cellStyle name="Vírgula" xfId="1" builtinId="3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6" dropStyle="combo" dx="16" fmlaLink="C3" fmlaRange="Clientes!$A$4:$A$9" noThreeD="1" sel="4" val="0"/>
</file>

<file path=xl/ctrlProps/ctrlProp2.xml><?xml version="1.0" encoding="utf-8"?>
<formControlPr xmlns="http://schemas.microsoft.com/office/spreadsheetml/2009/9/main" objectType="Drop" dropLines="12" dropStyle="combo" dx="16" fmlaLink="B12" fmlaRange="Serviços!$A$4:$A$15" noThreeD="1" sel="2" val="0"/>
</file>

<file path=xl/ctrlProps/ctrlProp3.xml><?xml version="1.0" encoding="utf-8"?>
<formControlPr xmlns="http://schemas.microsoft.com/office/spreadsheetml/2009/9/main" objectType="Drop" dropLines="12" dropStyle="combo" dx="16" fmlaLink="B13" fmlaRange="Serviços!$A$4:$A$15" noThreeD="1" sel="3" val="0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D27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Drop" dropLines="12" dropStyle="combo" dx="16" fmlaLink="B14" fmlaRange="Serviços!$A$4:$A$15" noThreeD="1" sel="4" val="0"/>
</file>

<file path=xl/ctrlProps/ctrlProp8.xml><?xml version="1.0" encoding="utf-8"?>
<formControlPr xmlns="http://schemas.microsoft.com/office/spreadsheetml/2009/9/main" objectType="Drop" dropLines="12" dropStyle="combo" dx="16" fmlaLink="B15" fmlaRange="Serviços!$A$4:$A$15" noThreeD="1" sel="5" val="0"/>
</file>

<file path=xl/ctrlProps/ctrlProp9.xml><?xml version="1.0" encoding="utf-8"?>
<formControlPr xmlns="http://schemas.microsoft.com/office/spreadsheetml/2009/9/main" objectType="Drop" dropLines="12" dropStyle="combo" dx="16" fmlaLink="B16" fmlaRange="Serviços!$A$4:$A$15" noThreeD="1" sel="6" val="0"/>
</file>

<file path=xl/ctrlProps/ctrlProp10.xml><?xml version="1.0" encoding="utf-8"?>
<formControlPr xmlns="http://schemas.microsoft.com/office/spreadsheetml/2009/9/main" objectType="Drop" dropLines="12" dropStyle="combo" dx="16" fmlaLink="B17" fmlaRange="Serviços!$A$4:$A$15" noThreeD="1" sel="7" val="0"/>
</file>

<file path=xl/ctrlProps/ctrlProp11.xml><?xml version="1.0" encoding="utf-8"?>
<formControlPr xmlns="http://schemas.microsoft.com/office/spreadsheetml/2009/9/main" objectType="Drop" dropLines="12" dropStyle="combo" dx="16" fmlaLink="B18" fmlaRange="Serviços!$A$4:$A$15" noThreeD="1" sel="8" val="0"/>
</file>

<file path=xl/ctrlProps/ctrlProp12.xml><?xml version="1.0" encoding="utf-8"?>
<formControlPr xmlns="http://schemas.microsoft.com/office/spreadsheetml/2009/9/main" objectType="Drop" dropLines="12" dropStyle="combo" dx="16" fmlaLink="B19" fmlaRange="Serviços!$A$4:$A$15" noThreeD="1" sel="9" val="0"/>
</file>

<file path=xl/ctrlProps/ctrlProp13.xml><?xml version="1.0" encoding="utf-8"?>
<formControlPr xmlns="http://schemas.microsoft.com/office/spreadsheetml/2009/9/main" objectType="Drop" dropLines="12" dropStyle="combo" dx="16" fmlaLink="B20" fmlaRange="Serviços!$A$4:$A$15" noThreeD="1" sel="10" val="0"/>
</file>

<file path=xl/ctrlProps/ctrlProp14.xml><?xml version="1.0" encoding="utf-8"?>
<formControlPr xmlns="http://schemas.microsoft.com/office/spreadsheetml/2009/9/main" objectType="Drop" dropLines="12" dropStyle="combo" dx="16" fmlaLink="B21" fmlaRange="Serviços!$A$4:$A$15" noThreeD="1" sel="11" val="0"/>
</file>

<file path=xl/ctrlProps/ctrlProp15.xml><?xml version="1.0" encoding="utf-8"?>
<formControlPr xmlns="http://schemas.microsoft.com/office/spreadsheetml/2009/9/main" objectType="Drop" dropLines="12" dropStyle="combo" dx="16" fmlaLink="B22" fmlaRange="Serviços!$A$4:$A$15" noThreeD="1" sel="7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6</xdr:col>
          <xdr:colOff>923925</xdr:colOff>
          <xdr:row>3</xdr:row>
          <xdr:rowOff>9525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28575</xdr:rowOff>
        </xdr:from>
        <xdr:to>
          <xdr:col>4</xdr:col>
          <xdr:colOff>942975</xdr:colOff>
          <xdr:row>11</xdr:row>
          <xdr:rowOff>219075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228600</xdr:rowOff>
        </xdr:from>
        <xdr:to>
          <xdr:col>5</xdr:col>
          <xdr:colOff>0</xdr:colOff>
          <xdr:row>12</xdr:row>
          <xdr:rowOff>180975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180975</xdr:rowOff>
        </xdr:from>
        <xdr:to>
          <xdr:col>3</xdr:col>
          <xdr:colOff>609600</xdr:colOff>
          <xdr:row>27</xdr:row>
          <xdr:rowOff>142875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PAGAMENTO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24</xdr:row>
          <xdr:rowOff>85725</xdr:rowOff>
        </xdr:from>
        <xdr:to>
          <xdr:col>2</xdr:col>
          <xdr:colOff>457200</xdr:colOff>
          <xdr:row>25</xdr:row>
          <xdr:rowOff>104775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25</xdr:row>
          <xdr:rowOff>123825</xdr:rowOff>
        </xdr:from>
        <xdr:to>
          <xdr:col>2</xdr:col>
          <xdr:colOff>457200</xdr:colOff>
          <xdr:row>26</xdr:row>
          <xdr:rowOff>142875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 PRAZO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19050</xdr:rowOff>
        </xdr:from>
        <xdr:to>
          <xdr:col>4</xdr:col>
          <xdr:colOff>942975</xdr:colOff>
          <xdr:row>14</xdr:row>
          <xdr:rowOff>19050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14</xdr:row>
          <xdr:rowOff>19050</xdr:rowOff>
        </xdr:from>
        <xdr:to>
          <xdr:col>4</xdr:col>
          <xdr:colOff>942975</xdr:colOff>
          <xdr:row>15</xdr:row>
          <xdr:rowOff>28575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38100</xdr:rowOff>
        </xdr:from>
        <xdr:to>
          <xdr:col>4</xdr:col>
          <xdr:colOff>942975</xdr:colOff>
          <xdr:row>16</xdr:row>
          <xdr:rowOff>38100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38100</xdr:rowOff>
        </xdr:from>
        <xdr:to>
          <xdr:col>4</xdr:col>
          <xdr:colOff>942975</xdr:colOff>
          <xdr:row>17</xdr:row>
          <xdr:rowOff>38100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38100</xdr:rowOff>
        </xdr:from>
        <xdr:to>
          <xdr:col>4</xdr:col>
          <xdr:colOff>942975</xdr:colOff>
          <xdr:row>18</xdr:row>
          <xdr:rowOff>38100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38100</xdr:rowOff>
        </xdr:from>
        <xdr:to>
          <xdr:col>4</xdr:col>
          <xdr:colOff>942975</xdr:colOff>
          <xdr:row>19</xdr:row>
          <xdr:rowOff>38100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38100</xdr:rowOff>
        </xdr:from>
        <xdr:to>
          <xdr:col>4</xdr:col>
          <xdr:colOff>942975</xdr:colOff>
          <xdr:row>20</xdr:row>
          <xdr:rowOff>38100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38100</xdr:rowOff>
        </xdr:from>
        <xdr:to>
          <xdr:col>4</xdr:col>
          <xdr:colOff>942975</xdr:colOff>
          <xdr:row>21</xdr:row>
          <xdr:rowOff>38100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21</xdr:row>
          <xdr:rowOff>38100</xdr:rowOff>
        </xdr:from>
        <xdr:to>
          <xdr:col>4</xdr:col>
          <xdr:colOff>942975</xdr:colOff>
          <xdr:row>22</xdr:row>
          <xdr:rowOff>38100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K28"/>
  <sheetViews>
    <sheetView showGridLines="0" tabSelected="1" workbookViewId="0">
      <selection activeCell="H9" sqref="H9"/>
    </sheetView>
  </sheetViews>
  <sheetFormatPr defaultRowHeight="15" x14ac:dyDescent="0.25"/>
  <cols>
    <col min="1" max="1" width="9.140625" style="12"/>
    <col min="2" max="2" width="9.7109375" style="12" customWidth="1"/>
    <col min="3" max="3" width="15" style="12" customWidth="1"/>
    <col min="4" max="4" width="10.140625" style="12" customWidth="1"/>
    <col min="5" max="5" width="14.28515625" style="12" customWidth="1"/>
    <col min="6" max="6" width="11.42578125" style="12" bestFit="1" customWidth="1"/>
    <col min="7" max="7" width="14" style="12" customWidth="1"/>
    <col min="8" max="16384" width="9.140625" style="12"/>
  </cols>
  <sheetData>
    <row r="1" spans="2:11" ht="23.25" x14ac:dyDescent="0.35">
      <c r="B1" s="31" t="s">
        <v>75</v>
      </c>
      <c r="C1" s="32"/>
      <c r="D1" s="32"/>
      <c r="E1" s="32"/>
      <c r="F1" s="32"/>
      <c r="G1" s="33"/>
    </row>
    <row r="2" spans="2:11" ht="13.5" customHeight="1" x14ac:dyDescent="0.25">
      <c r="B2" s="37"/>
      <c r="C2" s="38"/>
      <c r="D2" s="38"/>
      <c r="E2" s="38"/>
      <c r="F2" s="38"/>
      <c r="G2" s="39"/>
    </row>
    <row r="3" spans="2:11" ht="18" customHeight="1" x14ac:dyDescent="0.25">
      <c r="B3" s="13" t="s">
        <v>0</v>
      </c>
      <c r="C3" s="35">
        <v>4</v>
      </c>
      <c r="D3" s="35"/>
      <c r="E3" s="35"/>
      <c r="F3" s="35"/>
      <c r="G3" s="36"/>
    </row>
    <row r="4" spans="2:11" ht="18" customHeight="1" x14ac:dyDescent="0.25">
      <c r="B4" s="13" t="s">
        <v>64</v>
      </c>
      <c r="C4" s="40" t="str">
        <f ca="1">OFFSET(Clientes!B3,C3,0)</f>
        <v>234.789.123/0001-30</v>
      </c>
      <c r="D4" s="41"/>
      <c r="E4" s="41"/>
      <c r="F4" s="41"/>
      <c r="G4" s="42"/>
    </row>
    <row r="5" spans="2:11" x14ac:dyDescent="0.25">
      <c r="B5" s="13" t="s">
        <v>1</v>
      </c>
      <c r="C5" s="40" t="str">
        <f ca="1">OFFSET(Clientes!C3,C3,0)</f>
        <v>Rua Nova Friburgo, 46</v>
      </c>
      <c r="D5" s="41"/>
      <c r="E5" s="41"/>
      <c r="F5" s="41"/>
      <c r="G5" s="42"/>
    </row>
    <row r="6" spans="2:11" x14ac:dyDescent="0.25">
      <c r="B6" s="13" t="s">
        <v>2</v>
      </c>
      <c r="C6" s="40" t="str">
        <f ca="1">OFFSET(Clientes!D3,C3,0)</f>
        <v>Vila Guarani</v>
      </c>
      <c r="D6" s="41"/>
      <c r="E6" s="41"/>
      <c r="F6" s="41"/>
      <c r="G6" s="42"/>
    </row>
    <row r="7" spans="2:11" x14ac:dyDescent="0.25">
      <c r="B7" s="13" t="s">
        <v>3</v>
      </c>
      <c r="C7" s="40" t="str">
        <f ca="1">OFFSET(Clientes!E3,C3,0)</f>
        <v>Rio de Janeiro</v>
      </c>
      <c r="D7" s="41"/>
      <c r="E7" s="42"/>
      <c r="F7" s="14" t="s">
        <v>17</v>
      </c>
      <c r="G7" s="7" t="str">
        <f ca="1">OFFSET(Clientes!F3,C3,0)</f>
        <v>RJ</v>
      </c>
    </row>
    <row r="8" spans="2:11" x14ac:dyDescent="0.25">
      <c r="B8" s="13" t="s">
        <v>4</v>
      </c>
      <c r="C8" s="5" t="str">
        <f ca="1">OFFSET(Clientes!G3,C3,0)</f>
        <v>(21) 2345-8900</v>
      </c>
      <c r="D8" s="15" t="s">
        <v>5</v>
      </c>
      <c r="E8" s="6" t="str">
        <f ca="1">OFFSET(Clientes!H3,C3,0)</f>
        <v>(21) 3457-8921</v>
      </c>
      <c r="F8" s="14" t="s">
        <v>6</v>
      </c>
      <c r="G8" s="8" t="str">
        <f ca="1">OFFSET(Clientes!I3,C3,0)</f>
        <v>(21) 9000-2378</v>
      </c>
    </row>
    <row r="9" spans="2:11" x14ac:dyDescent="0.25">
      <c r="B9" s="34"/>
      <c r="C9" s="35"/>
      <c r="D9" s="35"/>
      <c r="E9" s="35"/>
      <c r="F9" s="35"/>
      <c r="G9" s="36"/>
    </row>
    <row r="10" spans="2:11" ht="23.25" x14ac:dyDescent="0.35">
      <c r="B10" s="43" t="s">
        <v>7</v>
      </c>
      <c r="C10" s="44"/>
      <c r="D10" s="44"/>
      <c r="E10" s="44"/>
      <c r="F10" s="44"/>
      <c r="G10" s="45"/>
      <c r="K10" s="29"/>
    </row>
    <row r="11" spans="2:11" ht="15.75" customHeight="1" x14ac:dyDescent="0.25">
      <c r="B11" s="46"/>
      <c r="C11" s="47"/>
      <c r="D11" s="47"/>
      <c r="E11" s="48"/>
      <c r="F11" s="14" t="s">
        <v>9</v>
      </c>
      <c r="G11" s="14" t="s">
        <v>10</v>
      </c>
    </row>
    <row r="12" spans="2:11" ht="18.75" customHeight="1" x14ac:dyDescent="0.25">
      <c r="B12" s="49">
        <v>2</v>
      </c>
      <c r="C12" s="50"/>
      <c r="D12" s="50"/>
      <c r="E12" s="51"/>
      <c r="F12" s="14">
        <v>1</v>
      </c>
      <c r="G12" s="4">
        <f ca="1">IF(F12="","",IF(F12=0,"",F12*OFFSET(Serviços!$B$3,B12,0)))</f>
        <v>2000</v>
      </c>
    </row>
    <row r="13" spans="2:11" ht="15.75" customHeight="1" x14ac:dyDescent="0.25">
      <c r="B13" s="49">
        <v>3</v>
      </c>
      <c r="C13" s="50"/>
      <c r="D13" s="50"/>
      <c r="E13" s="51"/>
      <c r="F13" s="14">
        <v>2</v>
      </c>
      <c r="G13" s="4">
        <f ca="1">IF(F13="","",IF(F13=0,"",F13*OFFSET(Serviços!$B$3,B13,0)))</f>
        <v>400</v>
      </c>
    </row>
    <row r="14" spans="2:11" x14ac:dyDescent="0.25">
      <c r="B14" s="27">
        <v>4</v>
      </c>
      <c r="C14" s="28"/>
      <c r="D14" s="28"/>
      <c r="E14" s="28"/>
      <c r="F14" s="14">
        <v>1</v>
      </c>
      <c r="G14" s="4">
        <f ca="1">IF(F14="","",IF(F14=0,"",F14*OFFSET(Serviços!$B$3,B14,0)))</f>
        <v>1000</v>
      </c>
    </row>
    <row r="15" spans="2:11" x14ac:dyDescent="0.25">
      <c r="B15" s="27">
        <v>5</v>
      </c>
      <c r="C15" s="28"/>
      <c r="D15" s="28"/>
      <c r="E15" s="28"/>
      <c r="F15" s="14">
        <v>4</v>
      </c>
      <c r="G15" s="4">
        <f ca="1">IF(F15="","",IF(F15=0,"",F15*OFFSET(Serviços!$B$3,B15,0)))</f>
        <v>160</v>
      </c>
    </row>
    <row r="16" spans="2:11" x14ac:dyDescent="0.25">
      <c r="B16" s="27">
        <v>6</v>
      </c>
      <c r="C16" s="28"/>
      <c r="D16" s="28"/>
      <c r="E16" s="28"/>
      <c r="F16" s="14">
        <v>5</v>
      </c>
      <c r="G16" s="4">
        <f ca="1">IF(F16="","",IF(F16=0,"",F16*OFFSET(Serviços!$B$3,B16,0)))</f>
        <v>100</v>
      </c>
    </row>
    <row r="17" spans="2:7" x14ac:dyDescent="0.25">
      <c r="B17" s="27">
        <v>7</v>
      </c>
      <c r="C17" s="28"/>
      <c r="D17" s="28"/>
      <c r="E17" s="28"/>
      <c r="F17" s="14">
        <v>6</v>
      </c>
      <c r="G17" s="4">
        <f ca="1">IF(F17="","",IF(F17=0,"",F17*OFFSET(Serviços!$B$3,B17,0)))</f>
        <v>180</v>
      </c>
    </row>
    <row r="18" spans="2:7" x14ac:dyDescent="0.25">
      <c r="B18" s="27">
        <v>8</v>
      </c>
      <c r="C18" s="28"/>
      <c r="D18" s="28"/>
      <c r="E18" s="28"/>
      <c r="F18" s="14">
        <v>7</v>
      </c>
      <c r="G18" s="4">
        <f ca="1">IF(F18="","",IF(F18=0,"",F18*OFFSET(Serviços!$B$3,B18,0)))</f>
        <v>70</v>
      </c>
    </row>
    <row r="19" spans="2:7" x14ac:dyDescent="0.25">
      <c r="B19" s="27">
        <v>9</v>
      </c>
      <c r="C19" s="28"/>
      <c r="D19" s="28"/>
      <c r="E19" s="28"/>
      <c r="F19" s="14">
        <v>8</v>
      </c>
      <c r="G19" s="4">
        <f ca="1">IF(F19="","",IF(F19=0,"",F19*OFFSET(Serviços!$B$3,B19,0)))</f>
        <v>1200</v>
      </c>
    </row>
    <row r="20" spans="2:7" x14ac:dyDescent="0.25">
      <c r="B20" s="27">
        <v>10</v>
      </c>
      <c r="C20" s="28"/>
      <c r="D20" s="28"/>
      <c r="E20" s="28"/>
      <c r="F20" s="14">
        <v>9</v>
      </c>
      <c r="G20" s="4">
        <f ca="1">IF(F20="","",IF(F20=0,"",F20*OFFSET(Serviços!$B$3,B20,0)))</f>
        <v>450</v>
      </c>
    </row>
    <row r="21" spans="2:7" x14ac:dyDescent="0.25">
      <c r="B21" s="27">
        <v>11</v>
      </c>
      <c r="C21" s="28"/>
      <c r="D21" s="28"/>
      <c r="E21" s="28"/>
      <c r="F21" s="14">
        <v>10</v>
      </c>
      <c r="G21" s="4">
        <f ca="1">IF(F21="","",IF(F21=0,"",F21*OFFSET(Serviços!$B$3,B21,0)))</f>
        <v>3000</v>
      </c>
    </row>
    <row r="22" spans="2:7" x14ac:dyDescent="0.25">
      <c r="B22" s="27">
        <v>7</v>
      </c>
      <c r="C22" s="28"/>
      <c r="D22" s="28"/>
      <c r="E22" s="28"/>
      <c r="F22" s="14">
        <v>11</v>
      </c>
      <c r="G22" s="4">
        <f ca="1">IF(F22="","",IF(F22=0,"",F22*OFFSET(Serviços!$B$3,B22,0)))</f>
        <v>330</v>
      </c>
    </row>
    <row r="23" spans="2:7" ht="19.5" customHeight="1" x14ac:dyDescent="0.25">
      <c r="B23" s="34"/>
      <c r="C23" s="35"/>
      <c r="D23" s="35" t="s">
        <v>11</v>
      </c>
      <c r="E23" s="35"/>
      <c r="F23" s="16"/>
      <c r="G23" s="9">
        <f ca="1">SUM(G12:G22)</f>
        <v>8890</v>
      </c>
    </row>
    <row r="24" spans="2:7" x14ac:dyDescent="0.25">
      <c r="B24" s="17"/>
      <c r="C24" s="18"/>
      <c r="D24" s="18"/>
      <c r="E24" s="19"/>
      <c r="F24" s="34"/>
      <c r="G24" s="36"/>
    </row>
    <row r="25" spans="2:7" x14ac:dyDescent="0.25">
      <c r="B25" s="21"/>
      <c r="C25" s="22"/>
      <c r="D25" s="22"/>
      <c r="E25" s="23"/>
      <c r="F25" s="20" t="s">
        <v>13</v>
      </c>
      <c r="G25" s="10">
        <f>IF(D27=1,G23*7%,0)</f>
        <v>0</v>
      </c>
    </row>
    <row r="26" spans="2:7" x14ac:dyDescent="0.25">
      <c r="B26" s="21"/>
      <c r="C26" s="22"/>
      <c r="D26" s="22"/>
      <c r="E26" s="23"/>
      <c r="F26" s="20" t="s">
        <v>14</v>
      </c>
      <c r="G26" s="4">
        <f ca="1">IF(D27=2,G23*10%,0)</f>
        <v>889</v>
      </c>
    </row>
    <row r="27" spans="2:7" x14ac:dyDescent="0.25">
      <c r="B27" s="21"/>
      <c r="C27" s="22"/>
      <c r="D27" s="11">
        <v>2</v>
      </c>
      <c r="E27" s="23"/>
      <c r="F27" s="27" t="s">
        <v>12</v>
      </c>
      <c r="G27" s="30">
        <f ca="1">G23-G25+G26</f>
        <v>9779</v>
      </c>
    </row>
    <row r="28" spans="2:7" x14ac:dyDescent="0.25">
      <c r="B28" s="24"/>
      <c r="C28" s="25"/>
      <c r="D28" s="25"/>
      <c r="E28" s="26"/>
      <c r="F28" s="27" t="s">
        <v>63</v>
      </c>
      <c r="G28" s="9">
        <f ca="1">G23*5%</f>
        <v>444.5</v>
      </c>
    </row>
  </sheetData>
  <sheetProtection formatCells="0" formatColumns="0" selectLockedCells="1" autoFilter="0" selectUnlockedCells="1"/>
  <mergeCells count="15">
    <mergeCell ref="B1:G1"/>
    <mergeCell ref="B23:C23"/>
    <mergeCell ref="D23:E23"/>
    <mergeCell ref="F24:G24"/>
    <mergeCell ref="B2:G2"/>
    <mergeCell ref="C3:G3"/>
    <mergeCell ref="C5:G5"/>
    <mergeCell ref="C6:G6"/>
    <mergeCell ref="B10:G10"/>
    <mergeCell ref="B11:E11"/>
    <mergeCell ref="B12:E12"/>
    <mergeCell ref="B13:E13"/>
    <mergeCell ref="C4:G4"/>
    <mergeCell ref="B9:G9"/>
    <mergeCell ref="C7:E7"/>
  </mergeCells>
  <conditionalFormatting sqref="C5:G6 C7:E7 C8 E8 G7:G8">
    <cfRule type="cellIs" dxfId="1" priority="2" operator="equal">
      <formula>0</formula>
    </cfRule>
  </conditionalFormatting>
  <conditionalFormatting sqref="C4:G4">
    <cfRule type="cellIs" dxfId="0" priority="1" operator="equal">
      <formula>0</formula>
    </cfRule>
  </conditionalFormatting>
  <printOptions horizontalCentered="1"/>
  <pageMargins left="0" right="0" top="0" bottom="0" header="0" footer="0"/>
  <pageSetup paperSize="9" scale="13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 Down 2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0</xdr:rowOff>
                  </from>
                  <to>
                    <xdr:col>6</xdr:col>
                    <xdr:colOff>923925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Drop Down 4">
              <controlPr defaultSize="0" autoLine="0" autoPict="0">
                <anchor moveWithCells="1">
                  <from>
                    <xdr:col>1</xdr:col>
                    <xdr:colOff>9525</xdr:colOff>
                    <xdr:row>11</xdr:row>
                    <xdr:rowOff>28575</xdr:rowOff>
                  </from>
                  <to>
                    <xdr:col>4</xdr:col>
                    <xdr:colOff>942975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Drop Down 5">
              <controlPr defaultSize="0" autoLine="0" autoPict="0">
                <anchor moveWithCells="1">
                  <from>
                    <xdr:col>1</xdr:col>
                    <xdr:colOff>9525</xdr:colOff>
                    <xdr:row>11</xdr:row>
                    <xdr:rowOff>228600</xdr:rowOff>
                  </from>
                  <to>
                    <xdr:col>5</xdr:col>
                    <xdr:colOff>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Group Box 6">
              <controlPr defaultSize="0" autoFill="0" autoPict="0">
                <anchor moveWithCells="1">
                  <from>
                    <xdr:col>1</xdr:col>
                    <xdr:colOff>19050</xdr:colOff>
                    <xdr:row>23</xdr:row>
                    <xdr:rowOff>180975</xdr:rowOff>
                  </from>
                  <to>
                    <xdr:col>3</xdr:col>
                    <xdr:colOff>609600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Option Button 7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85725</xdr:rowOff>
                  </from>
                  <to>
                    <xdr:col>2</xdr:col>
                    <xdr:colOff>457200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Option Button 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123825</xdr:rowOff>
                  </from>
                  <to>
                    <xdr:col>2</xdr:col>
                    <xdr:colOff>457200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Drop Down 9">
              <controlPr defaultSize="0" autoLine="0" autoPict="0">
                <anchor moveWithCells="1">
                  <from>
                    <xdr:col>1</xdr:col>
                    <xdr:colOff>9525</xdr:colOff>
                    <xdr:row>13</xdr:row>
                    <xdr:rowOff>19050</xdr:rowOff>
                  </from>
                  <to>
                    <xdr:col>4</xdr:col>
                    <xdr:colOff>942975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Drop Down 10">
              <controlPr defaultSize="0" autoLine="0" autoPict="0">
                <anchor moveWithCells="1" sizeWithCells="1">
                  <from>
                    <xdr:col>1</xdr:col>
                    <xdr:colOff>9525</xdr:colOff>
                    <xdr:row>14</xdr:row>
                    <xdr:rowOff>19050</xdr:rowOff>
                  </from>
                  <to>
                    <xdr:col>4</xdr:col>
                    <xdr:colOff>942975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Drop Down 11">
              <controlPr defaultSize="0" autoLine="0" autoPict="0">
                <anchor moveWithCells="1" sizeWithCells="1">
                  <from>
                    <xdr:col>1</xdr:col>
                    <xdr:colOff>9525</xdr:colOff>
                    <xdr:row>15</xdr:row>
                    <xdr:rowOff>38100</xdr:rowOff>
                  </from>
                  <to>
                    <xdr:col>4</xdr:col>
                    <xdr:colOff>942975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Drop Down 12">
              <controlPr defaultSize="0" autoLine="0" autoPict="0">
                <anchor moveWithCells="1" sizeWithCells="1">
                  <from>
                    <xdr:col>1</xdr:col>
                    <xdr:colOff>9525</xdr:colOff>
                    <xdr:row>16</xdr:row>
                    <xdr:rowOff>38100</xdr:rowOff>
                  </from>
                  <to>
                    <xdr:col>4</xdr:col>
                    <xdr:colOff>942975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Drop Down 13">
              <controlPr defaultSize="0" autoLine="0" autoPict="0">
                <anchor moveWithCells="1" sizeWithCells="1">
                  <from>
                    <xdr:col>1</xdr:col>
                    <xdr:colOff>9525</xdr:colOff>
                    <xdr:row>17</xdr:row>
                    <xdr:rowOff>38100</xdr:rowOff>
                  </from>
                  <to>
                    <xdr:col>4</xdr:col>
                    <xdr:colOff>942975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Drop Down 14">
              <controlPr defaultSize="0" autoLine="0" autoPict="0">
                <anchor moveWithCells="1" sizeWithCells="1">
                  <from>
                    <xdr:col>1</xdr:col>
                    <xdr:colOff>9525</xdr:colOff>
                    <xdr:row>18</xdr:row>
                    <xdr:rowOff>38100</xdr:rowOff>
                  </from>
                  <to>
                    <xdr:col>4</xdr:col>
                    <xdr:colOff>942975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Drop Down 15">
              <controlPr defaultSize="0" autoLine="0" autoPict="0">
                <anchor moveWithCells="1" sizeWithCells="1">
                  <from>
                    <xdr:col>1</xdr:col>
                    <xdr:colOff>9525</xdr:colOff>
                    <xdr:row>19</xdr:row>
                    <xdr:rowOff>38100</xdr:rowOff>
                  </from>
                  <to>
                    <xdr:col>4</xdr:col>
                    <xdr:colOff>942975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Drop Down 16">
              <controlPr defaultSize="0" autoLine="0" autoPict="0">
                <anchor moveWithCells="1" sizeWithCells="1">
                  <from>
                    <xdr:col>1</xdr:col>
                    <xdr:colOff>9525</xdr:colOff>
                    <xdr:row>20</xdr:row>
                    <xdr:rowOff>38100</xdr:rowOff>
                  </from>
                  <to>
                    <xdr:col>4</xdr:col>
                    <xdr:colOff>942975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Drop Down 17">
              <controlPr defaultSize="0" autoLine="0" autoPict="0">
                <anchor moveWithCells="1" sizeWithCells="1">
                  <from>
                    <xdr:col>1</xdr:col>
                    <xdr:colOff>9525</xdr:colOff>
                    <xdr:row>21</xdr:row>
                    <xdr:rowOff>38100</xdr:rowOff>
                  </from>
                  <to>
                    <xdr:col>4</xdr:col>
                    <xdr:colOff>942975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"/>
  <sheetViews>
    <sheetView showGridLines="0" workbookViewId="0">
      <selection activeCell="B4" sqref="B4"/>
    </sheetView>
  </sheetViews>
  <sheetFormatPr defaultRowHeight="15" x14ac:dyDescent="0.25"/>
  <cols>
    <col min="1" max="1" width="45.7109375" bestFit="1" customWidth="1"/>
    <col min="2" max="2" width="27.28515625" customWidth="1"/>
    <col min="3" max="3" width="33.42578125" bestFit="1" customWidth="1"/>
    <col min="4" max="4" width="18.5703125" bestFit="1" customWidth="1"/>
    <col min="5" max="5" width="16.7109375" bestFit="1" customWidth="1"/>
    <col min="7" max="9" width="13.7109375" bestFit="1" customWidth="1"/>
  </cols>
  <sheetData>
    <row r="1" spans="1:9" x14ac:dyDescent="0.25">
      <c r="A1" s="52" t="s">
        <v>15</v>
      </c>
      <c r="B1" s="53"/>
      <c r="C1" s="53"/>
      <c r="D1" s="53"/>
      <c r="E1" s="53"/>
      <c r="F1" s="53"/>
      <c r="G1" s="53"/>
      <c r="H1" s="53"/>
      <c r="I1" s="54"/>
    </row>
    <row r="2" spans="1:9" x14ac:dyDescent="0.25">
      <c r="A2" s="55"/>
      <c r="B2" s="56"/>
      <c r="C2" s="56"/>
      <c r="D2" s="56"/>
      <c r="E2" s="56"/>
      <c r="F2" s="56"/>
      <c r="G2" s="56"/>
      <c r="H2" s="56"/>
      <c r="I2" s="57"/>
    </row>
    <row r="3" spans="1:9" x14ac:dyDescent="0.25">
      <c r="A3" s="2" t="s">
        <v>16</v>
      </c>
      <c r="B3" s="2" t="s">
        <v>64</v>
      </c>
      <c r="C3" s="2" t="s">
        <v>1</v>
      </c>
      <c r="D3" s="2" t="s">
        <v>2</v>
      </c>
      <c r="E3" s="2" t="s">
        <v>3</v>
      </c>
      <c r="F3" s="2" t="s">
        <v>17</v>
      </c>
      <c r="G3" s="2" t="s">
        <v>4</v>
      </c>
      <c r="H3" s="2" t="s">
        <v>5</v>
      </c>
      <c r="I3" s="2" t="s">
        <v>6</v>
      </c>
    </row>
    <row r="4" spans="1:9" x14ac:dyDescent="0.25">
      <c r="A4" s="2"/>
      <c r="B4" s="2"/>
      <c r="C4" s="2"/>
      <c r="D4" s="2"/>
      <c r="E4" s="2"/>
      <c r="F4" s="2"/>
      <c r="G4" s="2"/>
      <c r="H4" s="2"/>
      <c r="I4" s="2"/>
    </row>
    <row r="5" spans="1:9" x14ac:dyDescent="0.25">
      <c r="A5" s="2" t="s">
        <v>51</v>
      </c>
      <c r="B5" s="2" t="s">
        <v>65</v>
      </c>
      <c r="C5" s="2" t="s">
        <v>18</v>
      </c>
      <c r="D5" s="2" t="s">
        <v>19</v>
      </c>
      <c r="E5" s="2" t="s">
        <v>20</v>
      </c>
      <c r="F5" s="2" t="s">
        <v>21</v>
      </c>
      <c r="G5" s="2" t="s">
        <v>31</v>
      </c>
      <c r="H5" s="2" t="s">
        <v>32</v>
      </c>
      <c r="I5" s="2" t="s">
        <v>34</v>
      </c>
    </row>
    <row r="6" spans="1:9" x14ac:dyDescent="0.25">
      <c r="A6" s="2" t="s">
        <v>66</v>
      </c>
      <c r="B6" s="2" t="s">
        <v>70</v>
      </c>
      <c r="C6" s="2" t="s">
        <v>22</v>
      </c>
      <c r="D6" s="2" t="s">
        <v>23</v>
      </c>
      <c r="E6" s="2" t="s">
        <v>20</v>
      </c>
      <c r="F6" s="2" t="s">
        <v>21</v>
      </c>
      <c r="G6" s="2" t="s">
        <v>74</v>
      </c>
      <c r="H6" s="2" t="s">
        <v>33</v>
      </c>
      <c r="I6" s="2" t="s">
        <v>35</v>
      </c>
    </row>
    <row r="7" spans="1:9" x14ac:dyDescent="0.25">
      <c r="A7" s="2" t="s">
        <v>67</v>
      </c>
      <c r="B7" s="2" t="s">
        <v>71</v>
      </c>
      <c r="C7" s="2" t="s">
        <v>24</v>
      </c>
      <c r="D7" s="2" t="s">
        <v>25</v>
      </c>
      <c r="E7" s="2" t="s">
        <v>26</v>
      </c>
      <c r="F7" s="2" t="s">
        <v>27</v>
      </c>
      <c r="G7" s="2" t="s">
        <v>28</v>
      </c>
      <c r="H7" s="2" t="s">
        <v>29</v>
      </c>
      <c r="I7" s="2" t="s">
        <v>30</v>
      </c>
    </row>
    <row r="8" spans="1:9" x14ac:dyDescent="0.25">
      <c r="A8" s="2" t="s">
        <v>68</v>
      </c>
      <c r="B8" s="2" t="s">
        <v>72</v>
      </c>
      <c r="C8" s="2" t="s">
        <v>43</v>
      </c>
      <c r="D8" s="2" t="s">
        <v>36</v>
      </c>
      <c r="E8" s="2" t="s">
        <v>37</v>
      </c>
      <c r="F8" s="2" t="s">
        <v>38</v>
      </c>
      <c r="G8" s="2" t="s">
        <v>39</v>
      </c>
      <c r="H8" s="2" t="s">
        <v>40</v>
      </c>
      <c r="I8" s="2" t="s">
        <v>41</v>
      </c>
    </row>
    <row r="9" spans="1:9" x14ac:dyDescent="0.25">
      <c r="A9" s="2" t="s">
        <v>69</v>
      </c>
      <c r="B9" s="2" t="s">
        <v>73</v>
      </c>
      <c r="C9" s="2" t="s">
        <v>42</v>
      </c>
      <c r="D9" s="2" t="s">
        <v>44</v>
      </c>
      <c r="E9" s="2" t="s">
        <v>45</v>
      </c>
      <c r="F9" s="2" t="s">
        <v>46</v>
      </c>
      <c r="G9" s="2" t="s">
        <v>47</v>
      </c>
      <c r="H9" s="2" t="s">
        <v>48</v>
      </c>
      <c r="I9" s="2" t="s">
        <v>49</v>
      </c>
    </row>
  </sheetData>
  <mergeCells count="2">
    <mergeCell ref="A1:I1"/>
    <mergeCell ref="A2:I2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"/>
  <sheetViews>
    <sheetView showGridLines="0" workbookViewId="0">
      <selection activeCell="B5" sqref="B5"/>
    </sheetView>
  </sheetViews>
  <sheetFormatPr defaultRowHeight="15" x14ac:dyDescent="0.25"/>
  <cols>
    <col min="1" max="1" width="36.140625" bestFit="1" customWidth="1"/>
    <col min="2" max="2" width="15.42578125" customWidth="1"/>
  </cols>
  <sheetData>
    <row r="1" spans="1:2" x14ac:dyDescent="0.25">
      <c r="A1" s="58" t="s">
        <v>50</v>
      </c>
      <c r="B1" s="59"/>
    </row>
    <row r="3" spans="1:2" x14ac:dyDescent="0.25">
      <c r="A3" s="2" t="s">
        <v>8</v>
      </c>
      <c r="B3" s="2" t="s">
        <v>10</v>
      </c>
    </row>
    <row r="5" spans="1:2" x14ac:dyDescent="0.25">
      <c r="A5" s="1" t="s">
        <v>52</v>
      </c>
      <c r="B5" s="3">
        <v>2000</v>
      </c>
    </row>
    <row r="6" spans="1:2" x14ac:dyDescent="0.25">
      <c r="A6" s="1" t="s">
        <v>53</v>
      </c>
      <c r="B6" s="3">
        <v>200</v>
      </c>
    </row>
    <row r="7" spans="1:2" x14ac:dyDescent="0.25">
      <c r="A7" s="1" t="s">
        <v>54</v>
      </c>
      <c r="B7" s="3">
        <v>1000</v>
      </c>
    </row>
    <row r="8" spans="1:2" x14ac:dyDescent="0.25">
      <c r="A8" s="1" t="s">
        <v>55</v>
      </c>
      <c r="B8" s="3">
        <v>40</v>
      </c>
    </row>
    <row r="9" spans="1:2" x14ac:dyDescent="0.25">
      <c r="A9" s="1" t="s">
        <v>56</v>
      </c>
      <c r="B9" s="3">
        <v>20</v>
      </c>
    </row>
    <row r="10" spans="1:2" x14ac:dyDescent="0.25">
      <c r="A10" s="1" t="s">
        <v>57</v>
      </c>
      <c r="B10" s="3">
        <v>30</v>
      </c>
    </row>
    <row r="11" spans="1:2" x14ac:dyDescent="0.25">
      <c r="A11" s="1" t="s">
        <v>58</v>
      </c>
      <c r="B11" s="3">
        <v>10</v>
      </c>
    </row>
    <row r="12" spans="1:2" x14ac:dyDescent="0.25">
      <c r="A12" s="1" t="s">
        <v>59</v>
      </c>
      <c r="B12" s="3">
        <v>150</v>
      </c>
    </row>
    <row r="13" spans="1:2" x14ac:dyDescent="0.25">
      <c r="A13" s="1" t="s">
        <v>60</v>
      </c>
      <c r="B13" s="3">
        <v>50</v>
      </c>
    </row>
    <row r="14" spans="1:2" x14ac:dyDescent="0.25">
      <c r="A14" s="1" t="s">
        <v>61</v>
      </c>
      <c r="B14" s="3">
        <v>300</v>
      </c>
    </row>
    <row r="15" spans="1:2" x14ac:dyDescent="0.25">
      <c r="A15" s="1" t="s">
        <v>62</v>
      </c>
      <c r="B15" s="3">
        <v>500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Orçamento</vt:lpstr>
      <vt:lpstr>Clientes</vt:lpstr>
      <vt:lpstr>Serviços</vt:lpstr>
      <vt:lpstr>Orçamento!Area_de_impressao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2013-02-03T18:22:16Z</cp:lastPrinted>
  <dcterms:created xsi:type="dcterms:W3CDTF">2013-02-02T16:06:18Z</dcterms:created>
  <dcterms:modified xsi:type="dcterms:W3CDTF">2019-03-07T00:35:32Z</dcterms:modified>
</cp:coreProperties>
</file>