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7055" windowHeight="9405" tabRatio="703"/>
  </bookViews>
  <sheets>
    <sheet name="Início" sheetId="25" r:id="rId1"/>
    <sheet name="Cadastro" sheetId="30" r:id="rId2"/>
    <sheet name="Acompanhamento Geral" sheetId="7" r:id="rId3"/>
    <sheet name="Projeto 1" sheetId="2" r:id="rId4"/>
    <sheet name="Projeto 2" sheetId="26" r:id="rId5"/>
    <sheet name="Projeto 3" sheetId="27" r:id="rId6"/>
    <sheet name="Projeto 4" sheetId="28" r:id="rId7"/>
    <sheet name="Projeto 5" sheetId="29" r:id="rId8"/>
    <sheet name="Base Painel Gerencial" sheetId="5" state="hidden" r:id="rId9"/>
    <sheet name="Panorama" sheetId="8" r:id="rId10"/>
  </sheets>
  <definedNames>
    <definedName name="_xlnm._FilterDatabase" localSheetId="3" hidden="1">'Projeto 1'!$CY$3:$CY$9</definedName>
    <definedName name="_xlnm._FilterDatabase" localSheetId="4" hidden="1">'Projeto 2'!$CY$3:$CY$9</definedName>
    <definedName name="_xlnm._FilterDatabase" localSheetId="5" hidden="1">'Projeto 3'!$CY$3:$CY$9</definedName>
    <definedName name="_xlnm._FilterDatabase" localSheetId="6" hidden="1">'Projeto 4'!$CY$3:$CY$9</definedName>
    <definedName name="_xlnm._FilterDatabase" localSheetId="7" hidden="1">'Projeto 5'!$CY$3:$CY$9</definedName>
  </definedNames>
  <calcPr calcId="145621"/>
</workbook>
</file>

<file path=xl/calcChain.xml><?xml version="1.0" encoding="utf-8"?>
<calcChain xmlns="http://schemas.openxmlformats.org/spreadsheetml/2006/main">
  <c r="F69" i="5" l="1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30" i="5"/>
  <c r="H2" i="27"/>
  <c r="F12" i="5"/>
  <c r="F13" i="5"/>
  <c r="F14" i="5"/>
  <c r="F15" i="5"/>
  <c r="F16" i="5"/>
  <c r="F17" i="5"/>
  <c r="F18" i="5"/>
  <c r="F19" i="5"/>
  <c r="F20" i="5"/>
  <c r="F21" i="5"/>
  <c r="F11" i="5"/>
  <c r="A5" i="29"/>
  <c r="L9" i="7" s="1"/>
  <c r="A5" i="28"/>
  <c r="L8" i="7" s="1"/>
  <c r="A5" i="27"/>
  <c r="L7" i="7" s="1"/>
  <c r="A5" i="26"/>
  <c r="L6" i="7" s="1"/>
  <c r="A5" i="2"/>
  <c r="L5" i="7" s="1"/>
  <c r="A7" i="29"/>
  <c r="K9" i="7" s="1"/>
  <c r="A7" i="28"/>
  <c r="K8" i="7" s="1"/>
  <c r="A7" i="27"/>
  <c r="K7" i="7" s="1"/>
  <c r="A7" i="26"/>
  <c r="K6" i="7" s="1"/>
  <c r="A7" i="2"/>
  <c r="P5" i="29"/>
  <c r="J9" i="7" s="1"/>
  <c r="P7" i="29"/>
  <c r="I9" i="7" s="1"/>
  <c r="P5" i="28"/>
  <c r="J8" i="7" s="1"/>
  <c r="P7" i="28"/>
  <c r="I8" i="7" s="1"/>
  <c r="P5" i="27"/>
  <c r="J7" i="7" s="1"/>
  <c r="P7" i="27"/>
  <c r="I7" i="7" s="1"/>
  <c r="P5" i="26"/>
  <c r="J6" i="7" s="1"/>
  <c r="P7" i="26"/>
  <c r="I6" i="7" s="1"/>
  <c r="P5" i="2"/>
  <c r="J5" i="7" s="1"/>
  <c r="P7" i="2"/>
  <c r="I5" i="7"/>
  <c r="G9" i="7"/>
  <c r="F9" i="7"/>
  <c r="G8" i="7"/>
  <c r="F8" i="7"/>
  <c r="G7" i="7"/>
  <c r="F7" i="7"/>
  <c r="G6" i="7"/>
  <c r="F6" i="7"/>
  <c r="G5" i="7"/>
  <c r="F5" i="7"/>
  <c r="E7" i="7"/>
  <c r="B7" i="5" s="1"/>
  <c r="H2" i="29"/>
  <c r="E9" i="7" s="1"/>
  <c r="B9" i="5" s="1"/>
  <c r="H2" i="28"/>
  <c r="E8" i="7" s="1"/>
  <c r="B8" i="5" s="1"/>
  <c r="H2" i="26"/>
  <c r="E6" i="7" s="1"/>
  <c r="B6" i="5" s="1"/>
  <c r="H2" i="2"/>
  <c r="E5" i="7" s="1"/>
  <c r="B5" i="5" s="1"/>
  <c r="G2" i="29"/>
  <c r="D9" i="7" s="1"/>
  <c r="G2" i="28"/>
  <c r="D8" i="7" s="1"/>
  <c r="G2" i="27"/>
  <c r="D7" i="7" s="1"/>
  <c r="G2" i="26"/>
  <c r="D6" i="7" s="1"/>
  <c r="G2" i="2"/>
  <c r="D5" i="7" s="1"/>
  <c r="D2" i="29"/>
  <c r="C9" i="7" s="1"/>
  <c r="D9" i="5" s="1"/>
  <c r="D2" i="28"/>
  <c r="C8" i="7" s="1"/>
  <c r="D8" i="5" s="1"/>
  <c r="D2" i="27"/>
  <c r="C7" i="7" s="1"/>
  <c r="D7" i="5" s="1"/>
  <c r="D2" i="26"/>
  <c r="C6" i="7" s="1"/>
  <c r="D6" i="5" s="1"/>
  <c r="E2" i="2"/>
  <c r="C5" i="7" s="1"/>
  <c r="D5" i="5" s="1"/>
  <c r="B2" i="29"/>
  <c r="B9" i="7" s="1"/>
  <c r="B2" i="28"/>
  <c r="B8" i="7" s="1"/>
  <c r="B2" i="27"/>
  <c r="B7" i="7" s="1"/>
  <c r="B2" i="26"/>
  <c r="B6" i="7" s="1"/>
  <c r="C2" i="2"/>
  <c r="B5" i="7" s="1"/>
  <c r="CQ21" i="29"/>
  <c r="CP21" i="29"/>
  <c r="CO21" i="29"/>
  <c r="CN21" i="29"/>
  <c r="CM21" i="29"/>
  <c r="CL21" i="29"/>
  <c r="CK21" i="29"/>
  <c r="CJ21" i="29"/>
  <c r="CI21" i="29"/>
  <c r="CH21" i="29"/>
  <c r="CG21" i="29"/>
  <c r="CF21" i="29"/>
  <c r="CE20" i="29"/>
  <c r="CE19" i="29"/>
  <c r="CQ16" i="29"/>
  <c r="CP16" i="29"/>
  <c r="CO16" i="29"/>
  <c r="CN16" i="29"/>
  <c r="CM16" i="29"/>
  <c r="CL16" i="29"/>
  <c r="CK16" i="29"/>
  <c r="CJ16" i="29"/>
  <c r="CI16" i="29"/>
  <c r="CH16" i="29"/>
  <c r="CG16" i="29"/>
  <c r="CF16" i="29"/>
  <c r="CE15" i="29"/>
  <c r="CE14" i="29"/>
  <c r="CQ13" i="29"/>
  <c r="CQ18" i="29" s="1"/>
  <c r="CP13" i="29"/>
  <c r="CP18" i="29" s="1"/>
  <c r="CO13" i="29"/>
  <c r="CO18" i="29" s="1"/>
  <c r="CN13" i="29"/>
  <c r="CN18" i="29" s="1"/>
  <c r="CM13" i="29"/>
  <c r="CM18" i="29" s="1"/>
  <c r="CL13" i="29"/>
  <c r="CL18" i="29" s="1"/>
  <c r="CK13" i="29"/>
  <c r="CK18" i="29" s="1"/>
  <c r="CJ13" i="29"/>
  <c r="CJ18" i="29" s="1"/>
  <c r="CI13" i="29"/>
  <c r="CI18" i="29" s="1"/>
  <c r="CH13" i="29"/>
  <c r="CH18" i="29" s="1"/>
  <c r="CG13" i="29"/>
  <c r="CG18" i="29" s="1"/>
  <c r="CF13" i="29"/>
  <c r="CF18" i="29" s="1"/>
  <c r="CQ21" i="28"/>
  <c r="CP21" i="28"/>
  <c r="CO21" i="28"/>
  <c r="CN21" i="28"/>
  <c r="CM21" i="28"/>
  <c r="CL21" i="28"/>
  <c r="CK21" i="28"/>
  <c r="CJ21" i="28"/>
  <c r="CI21" i="28"/>
  <c r="CH21" i="28"/>
  <c r="CG21" i="28"/>
  <c r="CF21" i="28"/>
  <c r="CE20" i="28"/>
  <c r="CE19" i="28"/>
  <c r="CQ16" i="28"/>
  <c r="CP16" i="28"/>
  <c r="CO16" i="28"/>
  <c r="CN16" i="28"/>
  <c r="CM16" i="28"/>
  <c r="CL16" i="28"/>
  <c r="CK16" i="28"/>
  <c r="CJ16" i="28"/>
  <c r="CI16" i="28"/>
  <c r="CH16" i="28"/>
  <c r="CG16" i="28"/>
  <c r="CF16" i="28"/>
  <c r="CE15" i="28"/>
  <c r="CE16" i="28" s="1"/>
  <c r="M8" i="7" s="1"/>
  <c r="CE14" i="28"/>
  <c r="CQ13" i="28"/>
  <c r="CQ18" i="28" s="1"/>
  <c r="CP13" i="28"/>
  <c r="CP18" i="28" s="1"/>
  <c r="CO13" i="28"/>
  <c r="CO18" i="28" s="1"/>
  <c r="CN13" i="28"/>
  <c r="CN18" i="28" s="1"/>
  <c r="CM13" i="28"/>
  <c r="CM18" i="28" s="1"/>
  <c r="CL13" i="28"/>
  <c r="CL18" i="28" s="1"/>
  <c r="CK13" i="28"/>
  <c r="CK18" i="28" s="1"/>
  <c r="CJ13" i="28"/>
  <c r="CJ18" i="28" s="1"/>
  <c r="CI13" i="28"/>
  <c r="CI18" i="28" s="1"/>
  <c r="CH13" i="28"/>
  <c r="CH18" i="28" s="1"/>
  <c r="CG13" i="28"/>
  <c r="CG18" i="28" s="1"/>
  <c r="CF13" i="28"/>
  <c r="CF18" i="28" s="1"/>
  <c r="CQ21" i="27"/>
  <c r="CP21" i="27"/>
  <c r="CO21" i="27"/>
  <c r="CN21" i="27"/>
  <c r="CM21" i="27"/>
  <c r="CL21" i="27"/>
  <c r="CK21" i="27"/>
  <c r="CJ21" i="27"/>
  <c r="CI21" i="27"/>
  <c r="CH21" i="27"/>
  <c r="CG21" i="27"/>
  <c r="CF21" i="27"/>
  <c r="CE20" i="27"/>
  <c r="CE19" i="27"/>
  <c r="CQ16" i="27"/>
  <c r="CP16" i="27"/>
  <c r="CO16" i="27"/>
  <c r="CN16" i="27"/>
  <c r="CM16" i="27"/>
  <c r="CL16" i="27"/>
  <c r="CK16" i="27"/>
  <c r="CJ16" i="27"/>
  <c r="CI16" i="27"/>
  <c r="CH16" i="27"/>
  <c r="CG16" i="27"/>
  <c r="CF16" i="27"/>
  <c r="CE15" i="27"/>
  <c r="CE16" i="27" s="1"/>
  <c r="M7" i="7" s="1"/>
  <c r="CE14" i="27"/>
  <c r="CQ13" i="27"/>
  <c r="CQ18" i="27" s="1"/>
  <c r="CP13" i="27"/>
  <c r="CP18" i="27" s="1"/>
  <c r="CO13" i="27"/>
  <c r="CO18" i="27" s="1"/>
  <c r="CN13" i="27"/>
  <c r="CN18" i="27" s="1"/>
  <c r="CM13" i="27"/>
  <c r="CM18" i="27" s="1"/>
  <c r="CL13" i="27"/>
  <c r="CL18" i="27" s="1"/>
  <c r="CK13" i="27"/>
  <c r="CK18" i="27" s="1"/>
  <c r="CJ13" i="27"/>
  <c r="CJ18" i="27" s="1"/>
  <c r="CI13" i="27"/>
  <c r="CI18" i="27" s="1"/>
  <c r="CH13" i="27"/>
  <c r="CH18" i="27" s="1"/>
  <c r="CG13" i="27"/>
  <c r="CG18" i="27" s="1"/>
  <c r="CF13" i="27"/>
  <c r="CF18" i="27" s="1"/>
  <c r="CQ21" i="26"/>
  <c r="CP21" i="26"/>
  <c r="CO21" i="26"/>
  <c r="CN21" i="26"/>
  <c r="CM21" i="26"/>
  <c r="CL21" i="26"/>
  <c r="CK21" i="26"/>
  <c r="CJ21" i="26"/>
  <c r="CI21" i="26"/>
  <c r="CH21" i="26"/>
  <c r="CG21" i="26"/>
  <c r="CF21" i="26"/>
  <c r="CE20" i="26"/>
  <c r="CE19" i="26"/>
  <c r="CQ16" i="26"/>
  <c r="CP16" i="26"/>
  <c r="CO16" i="26"/>
  <c r="CN16" i="26"/>
  <c r="CM16" i="26"/>
  <c r="CL16" i="26"/>
  <c r="CK16" i="26"/>
  <c r="CJ16" i="26"/>
  <c r="CI16" i="26"/>
  <c r="CH16" i="26"/>
  <c r="CG16" i="26"/>
  <c r="CF16" i="26"/>
  <c r="CE15" i="26"/>
  <c r="CE14" i="26"/>
  <c r="CQ13" i="26"/>
  <c r="CQ18" i="26" s="1"/>
  <c r="CP13" i="26"/>
  <c r="CP18" i="26" s="1"/>
  <c r="CO13" i="26"/>
  <c r="CO18" i="26" s="1"/>
  <c r="CN13" i="26"/>
  <c r="CN18" i="26" s="1"/>
  <c r="CM13" i="26"/>
  <c r="CM18" i="26" s="1"/>
  <c r="CL13" i="26"/>
  <c r="CL18" i="26" s="1"/>
  <c r="CK13" i="26"/>
  <c r="CK18" i="26" s="1"/>
  <c r="CJ13" i="26"/>
  <c r="CJ18" i="26" s="1"/>
  <c r="CI13" i="26"/>
  <c r="CI18" i="26" s="1"/>
  <c r="CH13" i="26"/>
  <c r="CH18" i="26" s="1"/>
  <c r="CG13" i="26"/>
  <c r="CG18" i="26" s="1"/>
  <c r="CF13" i="26"/>
  <c r="CF18" i="26" s="1"/>
  <c r="CE20" i="2"/>
  <c r="CE19" i="2"/>
  <c r="CE15" i="2"/>
  <c r="CE16" i="2" s="1"/>
  <c r="M5" i="7" s="1"/>
  <c r="C5" i="5" s="1"/>
  <c r="CE14" i="2"/>
  <c r="CF16" i="2"/>
  <c r="CE21" i="27" l="1"/>
  <c r="CE21" i="28"/>
  <c r="CE21" i="29"/>
  <c r="CE16" i="26"/>
  <c r="M6" i="7" s="1"/>
  <c r="C6" i="5" s="1"/>
  <c r="CE21" i="26"/>
  <c r="C7" i="5"/>
  <c r="N7" i="7"/>
  <c r="N8" i="7"/>
  <c r="C8" i="5"/>
  <c r="CE16" i="29"/>
  <c r="M9" i="7" s="1"/>
  <c r="H5" i="7"/>
  <c r="N5" i="7"/>
  <c r="G13" i="5"/>
  <c r="G15" i="5"/>
  <c r="G17" i="5"/>
  <c r="G19" i="5"/>
  <c r="G21" i="5"/>
  <c r="G12" i="5"/>
  <c r="G14" i="5"/>
  <c r="G16" i="5"/>
  <c r="G18" i="5"/>
  <c r="G20" i="5"/>
  <c r="G11" i="5"/>
  <c r="H9" i="7"/>
  <c r="H8" i="7"/>
  <c r="J32" i="5"/>
  <c r="Z7" i="7"/>
  <c r="K5" i="7"/>
  <c r="A7" i="7"/>
  <c r="A8" i="7"/>
  <c r="H8" i="5"/>
  <c r="Y7" i="7"/>
  <c r="AE7" i="7"/>
  <c r="AG7" i="7"/>
  <c r="AI7" i="7"/>
  <c r="AK7" i="7"/>
  <c r="AM7" i="7"/>
  <c r="AO7" i="7"/>
  <c r="AQ7" i="7"/>
  <c r="AS7" i="7"/>
  <c r="AU7" i="7"/>
  <c r="AW7" i="7"/>
  <c r="AE8" i="7"/>
  <c r="AI8" i="7"/>
  <c r="AM8" i="7"/>
  <c r="AQ8" i="7"/>
  <c r="AU8" i="7"/>
  <c r="Y9" i="7"/>
  <c r="Z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X2" i="7"/>
  <c r="X3" i="7" s="1"/>
  <c r="X4" i="7" s="1"/>
  <c r="X5" i="7" s="1"/>
  <c r="X6" i="7" s="1"/>
  <c r="X7" i="7" s="1"/>
  <c r="X8" i="7" s="1"/>
  <c r="X9" i="7" s="1"/>
  <c r="J31" i="5"/>
  <c r="J33" i="5"/>
  <c r="Y6" i="7"/>
  <c r="J30" i="5"/>
  <c r="AX5" i="7"/>
  <c r="J29" i="5"/>
  <c r="CQ13" i="2"/>
  <c r="CQ18" i="2" s="1"/>
  <c r="CP13" i="2"/>
  <c r="CP18" i="2" s="1"/>
  <c r="CO13" i="2"/>
  <c r="CO18" i="2" s="1"/>
  <c r="CN13" i="2"/>
  <c r="CN18" i="2" s="1"/>
  <c r="CM13" i="2"/>
  <c r="CM18" i="2" s="1"/>
  <c r="CL13" i="2"/>
  <c r="CL18" i="2" s="1"/>
  <c r="CK13" i="2"/>
  <c r="CK18" i="2" s="1"/>
  <c r="CJ13" i="2"/>
  <c r="CJ18" i="2" s="1"/>
  <c r="CI13" i="2"/>
  <c r="CI18" i="2" s="1"/>
  <c r="CH13" i="2"/>
  <c r="CH18" i="2" s="1"/>
  <c r="CG13" i="2"/>
  <c r="CG18" i="2" s="1"/>
  <c r="CF13" i="2"/>
  <c r="CF18" i="2" s="1"/>
  <c r="CQ21" i="2"/>
  <c r="CP21" i="2"/>
  <c r="CO21" i="2"/>
  <c r="CN21" i="2"/>
  <c r="CM21" i="2"/>
  <c r="CL21" i="2"/>
  <c r="CK21" i="2"/>
  <c r="CJ21" i="2"/>
  <c r="CI21" i="2"/>
  <c r="CH21" i="2"/>
  <c r="CG21" i="2"/>
  <c r="CF21" i="2"/>
  <c r="N6" i="7" l="1"/>
  <c r="N9" i="7"/>
  <c r="G25" i="5" s="1"/>
  <c r="C9" i="5"/>
  <c r="G26" i="5"/>
  <c r="H11" i="5"/>
  <c r="AD9" i="7"/>
  <c r="AB9" i="7"/>
  <c r="AC7" i="7"/>
  <c r="AC9" i="7"/>
  <c r="AA9" i="7"/>
  <c r="AA8" i="7"/>
  <c r="AA7" i="7"/>
  <c r="G69" i="5"/>
  <c r="AW8" i="7"/>
  <c r="AS8" i="7"/>
  <c r="AO8" i="7"/>
  <c r="AK8" i="7"/>
  <c r="AG8" i="7"/>
  <c r="AC8" i="7"/>
  <c r="Y8" i="7"/>
  <c r="AX8" i="7"/>
  <c r="AV8" i="7"/>
  <c r="AT8" i="7"/>
  <c r="AR8" i="7"/>
  <c r="AP8" i="7"/>
  <c r="AN8" i="7"/>
  <c r="AL8" i="7"/>
  <c r="AJ8" i="7"/>
  <c r="AH8" i="7"/>
  <c r="AF8" i="7"/>
  <c r="AD8" i="7"/>
  <c r="AB8" i="7"/>
  <c r="Z8" i="7"/>
  <c r="AX7" i="7"/>
  <c r="AV7" i="7"/>
  <c r="AT7" i="7"/>
  <c r="AR7" i="7"/>
  <c r="AP7" i="7"/>
  <c r="AN7" i="7"/>
  <c r="AL7" i="7"/>
  <c r="AJ7" i="7"/>
  <c r="AH7" i="7"/>
  <c r="AF7" i="7"/>
  <c r="AD7" i="7"/>
  <c r="AB7" i="7"/>
  <c r="A9" i="7"/>
  <c r="H7" i="7"/>
  <c r="H6" i="7"/>
  <c r="K31" i="5"/>
  <c r="L31" i="5" s="1"/>
  <c r="Y5" i="7"/>
  <c r="G6" i="5" s="1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I8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K30" i="5"/>
  <c r="L30" i="5" s="1"/>
  <c r="CE21" i="2"/>
  <c r="G7" i="5" l="1"/>
  <c r="H68" i="5"/>
  <c r="H6" i="5"/>
  <c r="H7" i="5" s="1"/>
  <c r="J8" i="5"/>
  <c r="I6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69" i="5"/>
  <c r="I7" i="5" l="1"/>
  <c r="K8" i="5"/>
  <c r="J6" i="5"/>
  <c r="J7" i="5" s="1"/>
  <c r="L8" i="5" l="1"/>
  <c r="K6" i="5"/>
  <c r="K7" i="5" s="1"/>
  <c r="M8" i="5" l="1"/>
  <c r="L6" i="5"/>
  <c r="L7" i="5" s="1"/>
  <c r="N8" i="5" l="1"/>
  <c r="M6" i="5"/>
  <c r="M7" i="5" s="1"/>
  <c r="O8" i="5" l="1"/>
  <c r="N6" i="5"/>
  <c r="N7" i="5" s="1"/>
  <c r="P8" i="5" l="1"/>
  <c r="O6" i="5"/>
  <c r="O7" i="5" s="1"/>
  <c r="Q8" i="5" l="1"/>
  <c r="P6" i="5"/>
  <c r="P7" i="5" s="1"/>
  <c r="R8" i="5" l="1"/>
  <c r="Q6" i="5"/>
  <c r="Q7" i="5" s="1"/>
  <c r="S8" i="5" l="1"/>
  <c r="R6" i="5"/>
  <c r="R7" i="5" s="1"/>
  <c r="T8" i="5" l="1"/>
  <c r="U8" i="5" l="1"/>
  <c r="V8" i="5" l="1"/>
  <c r="H21" i="5"/>
  <c r="H20" i="5"/>
  <c r="H19" i="5"/>
  <c r="H18" i="5"/>
  <c r="H17" i="5"/>
  <c r="H16" i="5"/>
  <c r="H15" i="5"/>
  <c r="H14" i="5"/>
  <c r="H13" i="5"/>
  <c r="H12" i="5"/>
  <c r="D50" i="5"/>
  <c r="C50" i="5"/>
  <c r="B50" i="5"/>
  <c r="CQ16" i="2"/>
  <c r="CP16" i="2"/>
  <c r="CO16" i="2"/>
  <c r="CN16" i="2"/>
  <c r="CM16" i="2"/>
  <c r="CL16" i="2"/>
  <c r="CK16" i="2"/>
  <c r="CJ16" i="2"/>
  <c r="CI16" i="2"/>
  <c r="CH16" i="2"/>
  <c r="CG16" i="2"/>
  <c r="W8" i="5" l="1"/>
  <c r="X8" i="5" l="1"/>
  <c r="K29" i="5" l="1"/>
  <c r="L29" i="5" s="1"/>
  <c r="K32" i="5"/>
  <c r="L32" i="5" s="1"/>
  <c r="K33" i="5"/>
  <c r="L33" i="5" s="1"/>
  <c r="Y8" i="5"/>
  <c r="H25" i="5" l="1"/>
  <c r="H26" i="5"/>
  <c r="Z8" i="5"/>
  <c r="AA8" i="5" l="1"/>
  <c r="AB8" i="5" l="1"/>
  <c r="AC8" i="5" l="1"/>
  <c r="AD8" i="5" l="1"/>
  <c r="AE8" i="5" l="1"/>
  <c r="AF8" i="5" l="1"/>
</calcChain>
</file>

<file path=xl/sharedStrings.xml><?xml version="1.0" encoding="utf-8"?>
<sst xmlns="http://schemas.openxmlformats.org/spreadsheetml/2006/main" count="610" uniqueCount="149">
  <si>
    <t>Líder:</t>
  </si>
  <si>
    <t>Pleno:</t>
  </si>
  <si>
    <t>Analista:</t>
  </si>
  <si>
    <t>Estagiário:</t>
  </si>
  <si>
    <t>DESCRIÇÃO DO PROBLEMA</t>
  </si>
  <si>
    <t>EQUIPE DE TRABALHO</t>
  </si>
  <si>
    <t>Nome</t>
  </si>
  <si>
    <t>Cargo</t>
  </si>
  <si>
    <t>Aprovação da Diretoria em:</t>
  </si>
  <si>
    <t>LÍDER PROJETO:</t>
  </si>
  <si>
    <t>Responsável Aprovação:</t>
  </si>
  <si>
    <t>2. Gestão Financeira</t>
  </si>
  <si>
    <t>2.1. Redução de Despesas</t>
  </si>
  <si>
    <t>2.2. Redução de Custos</t>
  </si>
  <si>
    <t>2.3. Aumento de Receita</t>
  </si>
  <si>
    <t>3. Capacitação</t>
  </si>
  <si>
    <t>3.1. Gestão para Resultados</t>
  </si>
  <si>
    <t>Situação Meta</t>
  </si>
  <si>
    <t>Real</t>
  </si>
  <si>
    <t>Aderência</t>
  </si>
  <si>
    <t>Reestruturação Organizacional e de Processos</t>
  </si>
  <si>
    <t>Redução de Despesas</t>
  </si>
  <si>
    <t>Redução de Custos</t>
  </si>
  <si>
    <t>Gestão para Resultados</t>
  </si>
  <si>
    <t>Gerenciamento pelas Diretrizes</t>
  </si>
  <si>
    <t>Método de Análise e Solução de Problemas (MASP)</t>
  </si>
  <si>
    <t>Implantação do Programa 5S</t>
  </si>
  <si>
    <t>TOTAL</t>
  </si>
  <si>
    <t>PROJETO</t>
  </si>
  <si>
    <t>Meta</t>
  </si>
  <si>
    <t>CRONOGRAMA</t>
  </si>
  <si>
    <t>Cliente</t>
  </si>
  <si>
    <t>Projeto</t>
  </si>
  <si>
    <t>Solução</t>
  </si>
  <si>
    <t>Ganho Anual Projetado</t>
  </si>
  <si>
    <t>Investimento</t>
  </si>
  <si>
    <t>Gestor do Projeto (Cliente)</t>
  </si>
  <si>
    <t>% Aderência a Meta Acumulada</t>
  </si>
  <si>
    <t>Início Projeto</t>
  </si>
  <si>
    <t>Líder Projeto</t>
  </si>
  <si>
    <t>GESTOR DO PROJETO:</t>
  </si>
  <si>
    <t>SETOR:</t>
  </si>
  <si>
    <t>DATA INÍCIO:</t>
  </si>
  <si>
    <t>Fim Projeto</t>
  </si>
  <si>
    <t>DATA FIM:</t>
  </si>
  <si>
    <t>CLIENTE:</t>
  </si>
  <si>
    <t>Setor da Empresa</t>
  </si>
  <si>
    <t>Setor</t>
  </si>
  <si>
    <t>Evolução Projetos</t>
  </si>
  <si>
    <t>Quantidade</t>
  </si>
  <si>
    <t>% Evolução</t>
  </si>
  <si>
    <t>Projetos/Solução</t>
  </si>
  <si>
    <t>Porcentagem</t>
  </si>
  <si>
    <t>Porcentagem Meta</t>
  </si>
  <si>
    <t>3.2. Gerenciamento de Diretrizes</t>
  </si>
  <si>
    <t>3.3. Método de Análise e Solução de Problemas (MASP)</t>
  </si>
  <si>
    <t>3.4. Implantação do programa 5S</t>
  </si>
  <si>
    <t>META DO PROJETO</t>
  </si>
  <si>
    <t>GANHO FINANCEIRO PROJETADO:</t>
  </si>
  <si>
    <t>INVESTIMENTO PROJETADO:</t>
  </si>
  <si>
    <t>SOLUÇÃO</t>
  </si>
  <si>
    <t>Cintia Ferreira</t>
  </si>
  <si>
    <t>Agropecuária</t>
  </si>
  <si>
    <t>Água, gás e saneamento</t>
  </si>
  <si>
    <t>Alimentos processados</t>
  </si>
  <si>
    <t>Atacado</t>
  </si>
  <si>
    <t>Bancos</t>
  </si>
  <si>
    <t>Carnes e derivados</t>
  </si>
  <si>
    <t>Comércio</t>
  </si>
  <si>
    <t>Construção civil e intermediação</t>
  </si>
  <si>
    <t>Construção pesada e engenharia</t>
  </si>
  <si>
    <t>Energia elétrica</t>
  </si>
  <si>
    <t>Equipamentos, máquinas e peças</t>
  </si>
  <si>
    <t>Holdings</t>
  </si>
  <si>
    <t>Hospitais</t>
  </si>
  <si>
    <t>Hotelaria e Restaurantes</t>
  </si>
  <si>
    <t>Imóveis comerciais e shoppings</t>
  </si>
  <si>
    <t>Industria digital</t>
  </si>
  <si>
    <t>Industrias de alimentos</t>
  </si>
  <si>
    <t>Industria em geral</t>
  </si>
  <si>
    <t>Logística</t>
  </si>
  <si>
    <t>Materiais diversos</t>
  </si>
  <si>
    <t>Mineração</t>
  </si>
  <si>
    <t>Negócios de lazer e eventos</t>
  </si>
  <si>
    <t>Papel e madeira</t>
  </si>
  <si>
    <t>Petróleo, gás e combustíveis</t>
  </si>
  <si>
    <t>Prestação de Serviços</t>
  </si>
  <si>
    <t>Química e petroquímica</t>
  </si>
  <si>
    <t>Roupas, calçados e acessórios</t>
  </si>
  <si>
    <t>Serviços diversos</t>
  </si>
  <si>
    <t>Serviços financeiros</t>
  </si>
  <si>
    <t>Setor de educação</t>
  </si>
  <si>
    <t>Setor de saúde</t>
  </si>
  <si>
    <t>Setor de seguros</t>
  </si>
  <si>
    <t>Setor de transporte</t>
  </si>
  <si>
    <t>Siderurgia e metalurgia</t>
  </si>
  <si>
    <t>Supermercados</t>
  </si>
  <si>
    <t>Tecnologia da informação</t>
  </si>
  <si>
    <t>Telecomunicações</t>
  </si>
  <si>
    <t>Têxteis</t>
  </si>
  <si>
    <t>Utilidades domésticas</t>
  </si>
  <si>
    <t>Varejo</t>
  </si>
  <si>
    <t>Consultora Sênior</t>
  </si>
  <si>
    <t>-</t>
  </si>
  <si>
    <t>Situação Investimento</t>
  </si>
  <si>
    <t>Prazo Projeto (meses)</t>
  </si>
  <si>
    <t>Projetos batendo meta</t>
  </si>
  <si>
    <t>Projetos não batendo meta</t>
  </si>
  <si>
    <t>Aderência Meta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</si>
  <si>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</si>
  <si>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</si>
  <si>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</si>
  <si>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</si>
  <si>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</si>
  <si>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</si>
  <si>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</si>
  <si>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</si>
  <si>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</si>
  <si>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</si>
  <si>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</si>
  <si>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</si>
  <si>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ETAPAS DO PROJETO</t>
  </si>
  <si>
    <t>ANÁLISE FINANCEIRA</t>
  </si>
  <si>
    <t>SOLUÇÕES OFERECIDAS</t>
  </si>
  <si>
    <t>FÁBRICA E LAYOUT</t>
  </si>
  <si>
    <t>PRECIFICAÇÃO DE PROJETOS</t>
  </si>
  <si>
    <t>ANÁLISE TEMPORAL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</si>
  <si>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</si>
  <si>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</si>
  <si>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</si>
  <si>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</si>
  <si>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</si>
  <si>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</si>
  <si>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</si>
  <si>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</si>
  <si>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</si>
  <si>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</si>
  <si>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</si>
  <si>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</si>
  <si>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SETORES</t>
  </si>
  <si>
    <r>
      <rPr>
        <b/>
        <i/>
        <sz val="18"/>
        <color theme="0"/>
        <rFont val="Calibri"/>
        <family val="2"/>
        <scheme val="minor"/>
      </rPr>
      <t xml:space="preserve">ACOMPANHAMENTO DE PROJETOS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</si>
  <si>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ACOMPANHAMENTO DE PROJETOS </t>
    </r>
    <r>
      <rPr>
        <i/>
        <sz val="16"/>
        <color theme="0"/>
        <rFont val="Calibri"/>
        <family val="2"/>
        <scheme val="minor"/>
      </rPr>
      <t>- CADASTRO</t>
    </r>
  </si>
  <si>
    <r>
      <rPr>
        <b/>
        <i/>
        <sz val="18"/>
        <color theme="0"/>
        <rFont val="Calibri"/>
        <family val="2"/>
        <scheme val="minor"/>
      </rPr>
      <t xml:space="preserve">ACOMPANHAMENTO DE PROJETOS </t>
    </r>
    <r>
      <rPr>
        <i/>
        <sz val="16"/>
        <color theme="0"/>
        <rFont val="Calibri"/>
        <family val="2"/>
        <scheme val="minor"/>
      </rPr>
      <t>- ACOMPANHAMENTO</t>
    </r>
  </si>
  <si>
    <r>
      <rPr>
        <b/>
        <i/>
        <sz val="18"/>
        <color theme="0"/>
        <rFont val="Calibri"/>
        <family val="2"/>
        <scheme val="minor"/>
      </rPr>
      <t xml:space="preserve">ACOMPANHAMENTO DE PROJETOS </t>
    </r>
    <r>
      <rPr>
        <i/>
        <sz val="16"/>
        <color theme="0"/>
        <rFont val="Calibri"/>
        <family val="2"/>
        <scheme val="minor"/>
      </rPr>
      <t>- PROJETO 1</t>
    </r>
  </si>
  <si>
    <r>
      <rPr>
        <b/>
        <i/>
        <sz val="18"/>
        <color theme="0"/>
        <rFont val="Calibri"/>
        <family val="2"/>
        <scheme val="minor"/>
      </rPr>
      <t xml:space="preserve">ACOMPANHAMENTO DE PROJETOS </t>
    </r>
    <r>
      <rPr>
        <i/>
        <sz val="16"/>
        <color theme="0"/>
        <rFont val="Calibri"/>
        <family val="2"/>
        <scheme val="minor"/>
      </rPr>
      <t>- PROJETO 2</t>
    </r>
  </si>
  <si>
    <r>
      <rPr>
        <b/>
        <i/>
        <sz val="18"/>
        <color theme="0"/>
        <rFont val="Calibri"/>
        <family val="2"/>
        <scheme val="minor"/>
      </rPr>
      <t xml:space="preserve">ACOMPANHAMENTO DE PROJETOS </t>
    </r>
    <r>
      <rPr>
        <i/>
        <sz val="16"/>
        <color theme="0"/>
        <rFont val="Calibri"/>
        <family val="2"/>
        <scheme val="minor"/>
      </rPr>
      <t>- PROJETO 3</t>
    </r>
  </si>
  <si>
    <r>
      <rPr>
        <b/>
        <i/>
        <sz val="18"/>
        <color theme="0"/>
        <rFont val="Calibri"/>
        <family val="2"/>
        <scheme val="minor"/>
      </rPr>
      <t xml:space="preserve">ACOMPANHAMENTO DE PROJETOS </t>
    </r>
    <r>
      <rPr>
        <i/>
        <sz val="16"/>
        <color theme="0"/>
        <rFont val="Calibri"/>
        <family val="2"/>
        <scheme val="minor"/>
      </rPr>
      <t>- PROJETO 4</t>
    </r>
  </si>
  <si>
    <r>
      <rPr>
        <b/>
        <i/>
        <sz val="18"/>
        <color theme="0"/>
        <rFont val="Calibri"/>
        <family val="2"/>
        <scheme val="minor"/>
      </rPr>
      <t xml:space="preserve">ACOMPANHAMENTO DE PROJETOS </t>
    </r>
    <r>
      <rPr>
        <i/>
        <sz val="16"/>
        <color theme="0"/>
        <rFont val="Calibri"/>
        <family val="2"/>
        <scheme val="minor"/>
      </rPr>
      <t>- PROJETO 5</t>
    </r>
  </si>
  <si>
    <r>
      <rPr>
        <b/>
        <i/>
        <sz val="18"/>
        <color theme="0"/>
        <rFont val="Calibri"/>
        <family val="2"/>
        <scheme val="minor"/>
      </rPr>
      <t xml:space="preserve">ACOMPANHAMENTO DE PROJETOS </t>
    </r>
    <r>
      <rPr>
        <i/>
        <sz val="16"/>
        <color theme="0"/>
        <rFont val="Calibri"/>
        <family val="2"/>
        <scheme val="minor"/>
      </rPr>
      <t>- PANORAMA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</si>
</sst>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R$ &quot;* #,##0.00_);_(&quot;R$ &quot;* \(#,##0.00\);_(&quot;R$ &quot;* &quot;-&quot;??_);_(@_)"/>
    <numFmt numFmtId="165" formatCode="&quot;R$ &quot;#,##0.00"/>
    <numFmt numFmtId="166" formatCode="0.0%"/>
    <numFmt numFmtId="167" formatCode="&quot;R$ &quot;#,##0"/>
  </numFmts>
  <fonts count="3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3" tint="-0.499984740745262"/>
      <name val="Calibri"/>
      <family val="2"/>
      <scheme val="minor"/>
    </font>
    <font>
      <b/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9"/>
      <color theme="3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2"/>
      <color theme="1"/>
      <name val="Arial"/>
      <family val="2"/>
    </font>
    <font>
      <sz val="12"/>
      <color theme="3" tint="-0.499984740745262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sz val="10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80"/>
        <bgColor indexed="64"/>
      </patternFill>
    </fill>
  </fills>
  <borders count="78">
    <border>
      <left/>
      <right/>
      <top/>
      <bottom/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/>
      <diagonal/>
    </border>
    <border>
      <left/>
      <right/>
      <top style="double">
        <color theme="0" tint="-0.24994659260841701"/>
      </top>
      <bottom/>
      <diagonal/>
    </border>
    <border>
      <left/>
      <right style="double">
        <color theme="0" tint="-0.24994659260841701"/>
      </right>
      <top style="double">
        <color theme="0" tint="-0.24994659260841701"/>
      </top>
      <bottom/>
      <diagonal/>
    </border>
    <border>
      <left style="double">
        <color theme="0" tint="-0.24994659260841701"/>
      </left>
      <right/>
      <top/>
      <bottom/>
      <diagonal/>
    </border>
    <border>
      <left/>
      <right style="double">
        <color theme="0" tint="-0.24994659260841701"/>
      </right>
      <top/>
      <bottom/>
      <diagonal/>
    </border>
    <border>
      <left style="double">
        <color theme="0" tint="-0.24994659260841701"/>
      </left>
      <right/>
      <top/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  <border>
      <left/>
      <right style="double">
        <color theme="0" tint="-0.24994659260841701"/>
      </right>
      <top/>
      <bottom style="double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hair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/>
      <top/>
      <bottom style="hair">
        <color theme="0" tint="-0.24994659260841701"/>
      </bottom>
      <diagonal/>
    </border>
    <border>
      <left style="medium">
        <color theme="3" tint="-0.499984740745262"/>
      </left>
      <right/>
      <top style="medium">
        <color theme="3" tint="-0.499984740745262"/>
      </top>
      <bottom/>
      <diagonal/>
    </border>
    <border>
      <left/>
      <right/>
      <top style="medium">
        <color theme="3" tint="-0.499984740745262"/>
      </top>
      <bottom/>
      <diagonal/>
    </border>
    <border>
      <left/>
      <right style="medium">
        <color theme="3" tint="-0.499984740745262"/>
      </right>
      <top style="medium">
        <color theme="3" tint="-0.499984740745262"/>
      </top>
      <bottom/>
      <diagonal/>
    </border>
    <border>
      <left style="medium">
        <color theme="3" tint="-0.499984740745262"/>
      </left>
      <right/>
      <top/>
      <bottom style="medium">
        <color theme="3" tint="-0.499984740745262"/>
      </bottom>
      <diagonal/>
    </border>
    <border>
      <left/>
      <right/>
      <top/>
      <bottom style="medium">
        <color theme="3" tint="-0.499984740745262"/>
      </bottom>
      <diagonal/>
    </border>
    <border>
      <left/>
      <right style="medium">
        <color theme="3" tint="-0.499984740745262"/>
      </right>
      <top/>
      <bottom style="medium">
        <color theme="3" tint="-0.499984740745262"/>
      </bottom>
      <diagonal/>
    </border>
    <border>
      <left style="medium">
        <color theme="3" tint="-0.499984740745262"/>
      </left>
      <right/>
      <top/>
      <bottom/>
      <diagonal/>
    </border>
    <border>
      <left/>
      <right style="medium">
        <color theme="3" tint="-0.499984740745262"/>
      </right>
      <top/>
      <bottom/>
      <diagonal/>
    </border>
    <border>
      <left style="medium">
        <color theme="3" tint="-0.499984740745262"/>
      </left>
      <right/>
      <top style="medium">
        <color theme="3" tint="-0.499984740745262"/>
      </top>
      <bottom style="medium">
        <color theme="3" tint="-0.499984740745262"/>
      </bottom>
      <diagonal/>
    </border>
    <border>
      <left/>
      <right/>
      <top style="medium">
        <color theme="3" tint="-0.499984740745262"/>
      </top>
      <bottom style="medium">
        <color theme="3" tint="-0.499984740745262"/>
      </bottom>
      <diagonal/>
    </border>
    <border>
      <left/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/>
      <diagonal/>
    </border>
    <border>
      <left style="medium">
        <color theme="3" tint="-0.499984740745262"/>
      </left>
      <right style="medium">
        <color theme="3" tint="-0.499984740745262"/>
      </right>
      <top/>
      <bottom/>
      <diagonal/>
    </border>
    <border>
      <left style="medium">
        <color theme="3" tint="-0.499984740745262"/>
      </left>
      <right style="medium">
        <color theme="3" tint="-0.499984740745262"/>
      </right>
      <top/>
      <bottom style="medium">
        <color theme="3" tint="-0.499984740745262"/>
      </bottom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hair">
        <color theme="3" tint="-0.499984740745262"/>
      </bottom>
      <diagonal/>
    </border>
    <border>
      <left style="medium">
        <color theme="3" tint="-0.499984740745262"/>
      </left>
      <right style="medium">
        <color theme="3" tint="-0.499984740745262"/>
      </right>
      <top style="hair">
        <color theme="3" tint="-0.499984740745262"/>
      </top>
      <bottom style="medium">
        <color theme="3" tint="-0.499984740745262"/>
      </bottom>
      <diagonal/>
    </border>
    <border>
      <left style="medium">
        <color theme="3" tint="-0.499984740745262"/>
      </left>
      <right style="medium">
        <color theme="3" tint="-0.499984740745262"/>
      </right>
      <top style="hair">
        <color theme="3" tint="-0.499984740745262"/>
      </top>
      <bottom style="hair">
        <color theme="3" tint="-0.499984740745262"/>
      </bottom>
      <diagonal/>
    </border>
    <border>
      <left/>
      <right/>
      <top style="medium">
        <color theme="3" tint="-0.499984740745262"/>
      </top>
      <bottom style="dashDotDot">
        <color theme="3" tint="-0.499984740745262"/>
      </bottom>
      <diagonal/>
    </border>
    <border>
      <left style="double">
        <color theme="0" tint="-0.24994659260841701"/>
      </left>
      <right/>
      <top style="hair">
        <color theme="0" tint="-0.24994659260841701"/>
      </top>
      <bottom style="double">
        <color theme="0" tint="-0.24994659260841701"/>
      </bottom>
      <diagonal/>
    </border>
    <border>
      <left/>
      <right/>
      <top style="hair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double">
        <color theme="0" tint="-0.24994659260841701"/>
      </bottom>
      <diagonal/>
    </border>
    <border>
      <left/>
      <right/>
      <top style="double">
        <color theme="0" tint="-0.24994659260841701"/>
      </top>
      <bottom style="double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>
      <left/>
      <right style="double">
        <color theme="0" tint="-0.24994659260841701"/>
      </right>
      <top style="hair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 style="hair">
        <color theme="0" tint="-0.24994659260841701"/>
      </right>
      <top style="double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double">
        <color theme="0" tint="-0.24994659260841701"/>
      </top>
      <bottom/>
      <diagonal/>
    </border>
    <border>
      <left style="hair">
        <color theme="0" tint="-0.24994659260841701"/>
      </left>
      <right style="double">
        <color theme="0" tint="-0.24994659260841701"/>
      </right>
      <top style="double">
        <color theme="0" tint="-0.24994659260841701"/>
      </top>
      <bottom/>
      <diagonal/>
    </border>
    <border>
      <left style="double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double">
        <color theme="0" tint="-0.24994659260841701"/>
      </right>
      <top/>
      <bottom/>
      <diagonal/>
    </border>
    <border>
      <left style="double">
        <color theme="0" tint="-0.24994659260841701"/>
      </left>
      <right style="hair">
        <color theme="0" tint="-0.24994659260841701"/>
      </right>
      <top/>
      <bottom style="double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double">
        <color theme="0" tint="-0.24994659260841701"/>
      </bottom>
      <diagonal/>
    </border>
    <border>
      <left style="hair">
        <color theme="0" tint="-0.24994659260841701"/>
      </left>
      <right style="double">
        <color theme="0" tint="-0.24994659260841701"/>
      </right>
      <top/>
      <bottom style="double">
        <color theme="0" tint="-0.24994659260841701"/>
      </bottom>
      <diagonal/>
    </border>
    <border>
      <left/>
      <right style="double">
        <color theme="3" tint="-0.499984740745262"/>
      </right>
      <top style="double">
        <color theme="3" tint="-0.499984740745262"/>
      </top>
      <bottom style="double">
        <color theme="3" tint="-0.499984740745262"/>
      </bottom>
      <diagonal/>
    </border>
    <border>
      <left style="double">
        <color theme="3" tint="-0.499984740745262"/>
      </left>
      <right style="double">
        <color theme="3" tint="-0.499984740745262"/>
      </right>
      <top style="double">
        <color theme="3" tint="-0.499984740745262"/>
      </top>
      <bottom style="double">
        <color theme="3" tint="-0.499984740745262"/>
      </bottom>
      <diagonal/>
    </border>
    <border>
      <left/>
      <right style="double">
        <color theme="3" tint="-0.499984740745262"/>
      </right>
      <top/>
      <bottom style="double">
        <color theme="3" tint="-0.499984740745262"/>
      </bottom>
      <diagonal/>
    </border>
    <border>
      <left style="double">
        <color theme="3" tint="-0.499984740745262"/>
      </left>
      <right style="double">
        <color theme="3" tint="-0.499984740745262"/>
      </right>
      <top/>
      <bottom style="double">
        <color theme="3" tint="-0.499984740745262"/>
      </bottom>
      <diagonal/>
    </border>
    <border>
      <left style="double">
        <color theme="3" tint="-0.499984740745262"/>
      </left>
      <right/>
      <top/>
      <bottom style="double">
        <color theme="3" tint="-0.499984740745262"/>
      </bottom>
      <diagonal/>
    </border>
    <border>
      <left/>
      <right style="double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double">
        <color theme="3" tint="-0.499984740745262"/>
      </top>
      <bottom style="double">
        <color theme="3" tint="-0.499984740745262"/>
      </bottom>
      <diagonal/>
    </border>
    <border>
      <left style="double">
        <color theme="3" tint="-0.499984740745262"/>
      </left>
      <right/>
      <top style="double">
        <color theme="3" tint="-0.499984740745262"/>
      </top>
      <bottom style="double">
        <color theme="3" tint="-0.4999847407452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theme="0" tint="-0.24994659260841701"/>
      </left>
      <right style="double">
        <color theme="0" tint="-0.24994659260841701"/>
      </right>
      <top style="hair">
        <color theme="0" tint="-0.24994659260841701"/>
      </top>
      <bottom style="double">
        <color theme="0" tint="-0.24994659260841701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dashDotDot">
        <color theme="3" tint="-0.499984740745262"/>
      </top>
      <bottom style="medium">
        <color theme="3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double">
        <color theme="0" tint="-0.24994659260841701"/>
      </right>
      <top/>
      <bottom style="hair">
        <color theme="0" tint="-0.24994659260841701"/>
      </bottom>
      <diagonal/>
    </border>
    <border>
      <left/>
      <right/>
      <top/>
      <bottom style="double">
        <color theme="3" tint="-0.249977111117893"/>
      </bottom>
      <diagonal/>
    </border>
    <border>
      <left/>
      <right/>
      <top style="thin">
        <color theme="3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  <border>
      <left style="medium">
        <color indexed="64"/>
      </left>
      <right/>
      <top/>
      <bottom style="dashed">
        <color theme="6" tint="-0.499984740745262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204">
    <xf numFmtId="0" fontId="0" fillId="0" borderId="0" xfId="0"/>
    <xf numFmtId="0" fontId="0" fillId="0" borderId="0" xfId="0" applyBorder="1"/>
    <xf numFmtId="0" fontId="0" fillId="3" borderId="0" xfId="0" applyFill="1"/>
    <xf numFmtId="0" fontId="4" fillId="0" borderId="0" xfId="0" applyFont="1"/>
    <xf numFmtId="0" fontId="0" fillId="0" borderId="0" xfId="0" applyFill="1"/>
    <xf numFmtId="0" fontId="1" fillId="0" borderId="0" xfId="0" applyFont="1" applyFill="1"/>
    <xf numFmtId="0" fontId="4" fillId="0" borderId="0" xfId="0" applyFont="1" applyFill="1"/>
    <xf numFmtId="14" fontId="11" fillId="0" borderId="25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 vertical="center"/>
    </xf>
    <xf numFmtId="17" fontId="15" fillId="0" borderId="10" xfId="0" applyNumberFormat="1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167" fontId="9" fillId="0" borderId="10" xfId="0" applyNumberFormat="1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167" fontId="9" fillId="0" borderId="58" xfId="0" applyNumberFormat="1" applyFont="1" applyFill="1" applyBorder="1" applyAlignment="1">
      <alignment horizontal="center" vertical="center"/>
    </xf>
    <xf numFmtId="166" fontId="15" fillId="0" borderId="35" xfId="0" applyNumberFormat="1" applyFont="1" applyFill="1" applyBorder="1" applyAlignment="1">
      <alignment horizontal="center" vertical="center"/>
    </xf>
    <xf numFmtId="166" fontId="15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/>
    <xf numFmtId="165" fontId="0" fillId="0" borderId="0" xfId="0" applyNumberFormat="1" applyFill="1"/>
    <xf numFmtId="0" fontId="6" fillId="0" borderId="0" xfId="0" applyFont="1" applyFill="1" applyBorder="1"/>
    <xf numFmtId="0" fontId="0" fillId="0" borderId="0" xfId="0" applyFill="1" applyBorder="1"/>
    <xf numFmtId="0" fontId="11" fillId="0" borderId="0" xfId="0" applyFont="1" applyFill="1" applyBorder="1" applyAlignment="1">
      <alignment horizontal="center" vertical="center"/>
    </xf>
    <xf numFmtId="0" fontId="6" fillId="5" borderId="59" xfId="0" applyFont="1" applyFill="1" applyBorder="1" applyAlignment="1">
      <alignment horizontal="left" vertical="center"/>
    </xf>
    <xf numFmtId="0" fontId="6" fillId="5" borderId="59" xfId="0" applyFont="1" applyFill="1" applyBorder="1" applyAlignment="1">
      <alignment vertical="center"/>
    </xf>
    <xf numFmtId="0" fontId="11" fillId="5" borderId="59" xfId="0" applyFont="1" applyFill="1" applyBorder="1" applyAlignment="1">
      <alignment vertical="center"/>
    </xf>
    <xf numFmtId="0" fontId="11" fillId="5" borderId="59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14" fontId="8" fillId="0" borderId="0" xfId="0" applyNumberFormat="1" applyFont="1" applyFill="1" applyBorder="1" applyAlignment="1">
      <alignment vertical="center"/>
    </xf>
    <xf numFmtId="0" fontId="10" fillId="5" borderId="60" xfId="0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vertical="center"/>
    </xf>
    <xf numFmtId="14" fontId="10" fillId="5" borderId="60" xfId="0" applyNumberFormat="1" applyFont="1" applyFill="1" applyBorder="1" applyAlignment="1">
      <alignment horizontal="left" vertical="center"/>
    </xf>
    <xf numFmtId="14" fontId="10" fillId="5" borderId="62" xfId="0" applyNumberFormat="1" applyFont="1" applyFill="1" applyBorder="1" applyAlignment="1">
      <alignment horizontal="left" vertical="center"/>
    </xf>
    <xf numFmtId="14" fontId="10" fillId="5" borderId="61" xfId="0" applyNumberFormat="1" applyFont="1" applyFill="1" applyBorder="1" applyAlignment="1">
      <alignment horizontal="left" vertical="center"/>
    </xf>
    <xf numFmtId="0" fontId="10" fillId="5" borderId="62" xfId="0" applyFont="1" applyFill="1" applyBorder="1" applyAlignment="1">
      <alignment horizontal="left" vertical="center"/>
    </xf>
    <xf numFmtId="0" fontId="10" fillId="5" borderId="61" xfId="0" applyFont="1" applyFill="1" applyBorder="1" applyAlignment="1">
      <alignment horizontal="left" vertical="center"/>
    </xf>
    <xf numFmtId="0" fontId="6" fillId="0" borderId="0" xfId="0" applyFont="1" applyFill="1" applyAlignment="1"/>
    <xf numFmtId="0" fontId="6" fillId="0" borderId="6" xfId="0" applyFont="1" applyFill="1" applyBorder="1" applyAlignment="1"/>
    <xf numFmtId="0" fontId="6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/>
    <xf numFmtId="0" fontId="20" fillId="0" borderId="37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 wrapText="1"/>
    </xf>
    <xf numFmtId="0" fontId="20" fillId="0" borderId="1" xfId="0" applyNumberFormat="1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9" fontId="20" fillId="0" borderId="35" xfId="0" applyNumberFormat="1" applyFont="1" applyBorder="1" applyAlignment="1">
      <alignment horizontal="center" vertical="center"/>
    </xf>
    <xf numFmtId="9" fontId="20" fillId="0" borderId="0" xfId="0" applyNumberFormat="1" applyFont="1" applyFill="1" applyBorder="1" applyAlignment="1">
      <alignment horizontal="center" vertical="center"/>
    </xf>
    <xf numFmtId="0" fontId="22" fillId="0" borderId="0" xfId="0" applyFont="1"/>
    <xf numFmtId="0" fontId="21" fillId="0" borderId="37" xfId="0" applyFont="1" applyBorder="1" applyAlignment="1">
      <alignment horizontal="center" vertical="center"/>
    </xf>
    <xf numFmtId="14" fontId="1" fillId="0" borderId="0" xfId="0" applyNumberFormat="1" applyFont="1" applyFill="1"/>
    <xf numFmtId="14" fontId="16" fillId="0" borderId="0" xfId="0" applyNumberFormat="1" applyFont="1" applyFill="1" applyBorder="1" applyAlignment="1">
      <alignment vertical="center"/>
    </xf>
    <xf numFmtId="17" fontId="4" fillId="0" borderId="0" xfId="0" applyNumberFormat="1" applyFont="1"/>
    <xf numFmtId="0" fontId="3" fillId="2" borderId="37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9" fontId="3" fillId="0" borderId="13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48" xfId="0" applyFont="1" applyBorder="1"/>
    <xf numFmtId="0" fontId="3" fillId="0" borderId="49" xfId="0" applyFont="1" applyBorder="1" applyAlignment="1">
      <alignment horizontal="center" vertical="center"/>
    </xf>
    <xf numFmtId="166" fontId="3" fillId="0" borderId="55" xfId="0" applyNumberFormat="1" applyFont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0" borderId="50" xfId="0" applyFont="1" applyBorder="1" applyAlignment="1">
      <alignment horizontal="left" vertical="center"/>
    </xf>
    <xf numFmtId="166" fontId="3" fillId="0" borderId="52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left" vertical="center"/>
    </xf>
    <xf numFmtId="0" fontId="24" fillId="0" borderId="0" xfId="0" applyFont="1"/>
    <xf numFmtId="17" fontId="23" fillId="0" borderId="50" xfId="0" applyNumberFormat="1" applyFont="1" applyBorder="1" applyAlignment="1">
      <alignment horizontal="center" vertical="center"/>
    </xf>
    <xf numFmtId="17" fontId="23" fillId="0" borderId="51" xfId="0" applyNumberFormat="1" applyFont="1" applyBorder="1" applyAlignment="1">
      <alignment horizontal="center" vertical="center"/>
    </xf>
    <xf numFmtId="17" fontId="23" fillId="0" borderId="55" xfId="0" applyNumberFormat="1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1" fontId="23" fillId="0" borderId="49" xfId="0" applyNumberFormat="1" applyFont="1" applyBorder="1" applyAlignment="1">
      <alignment horizontal="center" vertical="center"/>
    </xf>
    <xf numFmtId="1" fontId="23" fillId="0" borderId="55" xfId="0" applyNumberFormat="1" applyFont="1" applyBorder="1" applyAlignment="1">
      <alignment horizontal="center" vertical="center"/>
    </xf>
    <xf numFmtId="9" fontId="23" fillId="0" borderId="5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22" fillId="0" borderId="0" xfId="0" applyNumberFormat="1" applyFont="1" applyFill="1" applyBorder="1" applyAlignment="1">
      <alignment horizontal="center" vertical="center"/>
    </xf>
    <xf numFmtId="0" fontId="3" fillId="0" borderId="54" xfId="0" applyFont="1" applyBorder="1"/>
    <xf numFmtId="0" fontId="22" fillId="0" borderId="0" xfId="0" applyFont="1" applyAlignment="1">
      <alignment horizontal="center" vertical="center"/>
    </xf>
    <xf numFmtId="17" fontId="22" fillId="0" borderId="0" xfId="0" applyNumberFormat="1" applyFont="1" applyAlignment="1">
      <alignment horizontal="center" vertical="center"/>
    </xf>
    <xf numFmtId="0" fontId="25" fillId="0" borderId="0" xfId="0" applyFont="1"/>
    <xf numFmtId="0" fontId="25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17" fontId="26" fillId="0" borderId="0" xfId="0" applyNumberFormat="1" applyFont="1" applyAlignment="1">
      <alignment horizontal="center" vertical="center"/>
    </xf>
    <xf numFmtId="0" fontId="25" fillId="8" borderId="37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5" fillId="8" borderId="35" xfId="0" applyFont="1" applyFill="1" applyBorder="1" applyAlignment="1">
      <alignment horizontal="center" vertical="center"/>
    </xf>
    <xf numFmtId="167" fontId="9" fillId="7" borderId="10" xfId="0" applyNumberFormat="1" applyFont="1" applyFill="1" applyBorder="1" applyAlignment="1">
      <alignment horizontal="center" vertical="center"/>
    </xf>
    <xf numFmtId="0" fontId="30" fillId="9" borderId="75" xfId="0" applyFont="1" applyFill="1" applyBorder="1" applyAlignment="1">
      <alignment vertical="center"/>
    </xf>
    <xf numFmtId="0" fontId="1" fillId="9" borderId="76" xfId="0" applyFont="1" applyFill="1" applyBorder="1"/>
    <xf numFmtId="0" fontId="27" fillId="9" borderId="75" xfId="0" applyFont="1" applyFill="1" applyBorder="1" applyAlignment="1">
      <alignment vertical="center"/>
    </xf>
    <xf numFmtId="0" fontId="27" fillId="9" borderId="76" xfId="0" applyFont="1" applyFill="1" applyBorder="1" applyAlignment="1">
      <alignment vertical="center"/>
    </xf>
    <xf numFmtId="0" fontId="27" fillId="9" borderId="74" xfId="0" applyFont="1" applyFill="1" applyBorder="1" applyAlignment="1">
      <alignment horizontal="center" vertical="center"/>
    </xf>
    <xf numFmtId="0" fontId="27" fillId="9" borderId="75" xfId="0" applyFont="1" applyFill="1" applyBorder="1" applyAlignment="1">
      <alignment horizontal="center" vertical="center"/>
    </xf>
    <xf numFmtId="0" fontId="18" fillId="7" borderId="73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0" borderId="41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47" xfId="0" applyFill="1" applyBorder="1" applyAlignment="1">
      <alignment horizontal="center"/>
    </xf>
    <xf numFmtId="0" fontId="7" fillId="0" borderId="60" xfId="0" applyFont="1" applyFill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7" fillId="0" borderId="61" xfId="0" applyFont="1" applyFill="1" applyBorder="1" applyAlignment="1">
      <alignment horizontal="center" vertical="center"/>
    </xf>
    <xf numFmtId="0" fontId="10" fillId="5" borderId="63" xfId="0" applyFont="1" applyFill="1" applyBorder="1" applyAlignment="1">
      <alignment horizontal="center" vertical="center"/>
    </xf>
    <xf numFmtId="0" fontId="10" fillId="5" borderId="64" xfId="0" applyFont="1" applyFill="1" applyBorder="1" applyAlignment="1">
      <alignment horizontal="center" vertical="center"/>
    </xf>
    <xf numFmtId="0" fontId="10" fillId="5" borderId="65" xfId="0" applyFont="1" applyFill="1" applyBorder="1" applyAlignment="1">
      <alignment horizontal="center" vertical="center"/>
    </xf>
    <xf numFmtId="0" fontId="10" fillId="5" borderId="66" xfId="0" applyFont="1" applyFill="1" applyBorder="1" applyAlignment="1">
      <alignment horizontal="center" vertical="center"/>
    </xf>
    <xf numFmtId="0" fontId="10" fillId="5" borderId="67" xfId="0" applyFont="1" applyFill="1" applyBorder="1" applyAlignment="1">
      <alignment horizontal="center" vertical="center"/>
    </xf>
    <xf numFmtId="0" fontId="10" fillId="5" borderId="68" xfId="0" applyFont="1" applyFill="1" applyBorder="1" applyAlignment="1">
      <alignment horizontal="center" vertical="center"/>
    </xf>
    <xf numFmtId="0" fontId="17" fillId="0" borderId="63" xfId="0" applyFont="1" applyFill="1" applyBorder="1" applyAlignment="1">
      <alignment horizontal="center" vertical="center"/>
    </xf>
    <xf numFmtId="0" fontId="17" fillId="0" borderId="64" xfId="0" applyFont="1" applyFill="1" applyBorder="1" applyAlignment="1">
      <alignment horizontal="center" vertical="center"/>
    </xf>
    <xf numFmtId="0" fontId="17" fillId="0" borderId="65" xfId="0" applyFont="1" applyFill="1" applyBorder="1" applyAlignment="1">
      <alignment horizontal="center" vertical="center"/>
    </xf>
    <xf numFmtId="0" fontId="17" fillId="0" borderId="66" xfId="0" applyFont="1" applyFill="1" applyBorder="1" applyAlignment="1">
      <alignment horizontal="center" vertical="center"/>
    </xf>
    <xf numFmtId="0" fontId="17" fillId="0" borderId="67" xfId="0" applyFont="1" applyFill="1" applyBorder="1" applyAlignment="1">
      <alignment horizontal="center" vertical="center"/>
    </xf>
    <xf numFmtId="0" fontId="17" fillId="0" borderId="68" xfId="0" applyFont="1" applyFill="1" applyBorder="1" applyAlignment="1">
      <alignment horizontal="center" vertical="center"/>
    </xf>
    <xf numFmtId="0" fontId="6" fillId="0" borderId="69" xfId="0" applyFont="1" applyFill="1" applyBorder="1" applyAlignment="1">
      <alignment horizontal="center"/>
    </xf>
    <xf numFmtId="0" fontId="6" fillId="5" borderId="60" xfId="0" applyFont="1" applyFill="1" applyBorder="1" applyAlignment="1">
      <alignment horizontal="center" vertical="center"/>
    </xf>
    <xf numFmtId="0" fontId="6" fillId="5" borderId="61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8" fillId="0" borderId="60" xfId="0" applyFont="1" applyFill="1" applyBorder="1" applyAlignment="1">
      <alignment horizontal="center" vertical="center"/>
    </xf>
    <xf numFmtId="0" fontId="8" fillId="0" borderId="62" xfId="0" applyFont="1" applyFill="1" applyBorder="1" applyAlignment="1">
      <alignment horizontal="center" vertical="center"/>
    </xf>
    <xf numFmtId="0" fontId="8" fillId="0" borderId="61" xfId="0" applyFont="1" applyFill="1" applyBorder="1" applyAlignment="1">
      <alignment horizontal="center" vertical="center"/>
    </xf>
    <xf numFmtId="0" fontId="6" fillId="0" borderId="60" xfId="0" applyFont="1" applyFill="1" applyBorder="1" applyAlignment="1">
      <alignment horizontal="center"/>
    </xf>
    <xf numFmtId="0" fontId="6" fillId="0" borderId="62" xfId="0" applyFont="1" applyFill="1" applyBorder="1" applyAlignment="1">
      <alignment horizontal="center"/>
    </xf>
    <xf numFmtId="0" fontId="6" fillId="0" borderId="61" xfId="0" applyFont="1" applyFill="1" applyBorder="1" applyAlignment="1">
      <alignment horizontal="center"/>
    </xf>
    <xf numFmtId="0" fontId="6" fillId="4" borderId="60" xfId="0" applyFont="1" applyFill="1" applyBorder="1" applyAlignment="1">
      <alignment horizontal="center"/>
    </xf>
    <xf numFmtId="0" fontId="6" fillId="4" borderId="62" xfId="0" applyFont="1" applyFill="1" applyBorder="1" applyAlignment="1">
      <alignment horizontal="center"/>
    </xf>
    <xf numFmtId="0" fontId="6" fillId="4" borderId="61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left" vertical="center"/>
    </xf>
    <xf numFmtId="0" fontId="14" fillId="0" borderId="29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0" fillId="0" borderId="40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46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0" fillId="0" borderId="45" xfId="0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14" fillId="0" borderId="31" xfId="0" applyFont="1" applyFill="1" applyBorder="1" applyAlignment="1">
      <alignment horizontal="left" vertical="center"/>
    </xf>
    <xf numFmtId="0" fontId="14" fillId="0" borderId="31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left" vertical="center"/>
    </xf>
    <xf numFmtId="0" fontId="14" fillId="0" borderId="30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/>
    </xf>
    <xf numFmtId="0" fontId="6" fillId="0" borderId="19" xfId="0" applyFont="1" applyFill="1" applyBorder="1" applyAlignment="1">
      <alignment horizont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0" fillId="5" borderId="60" xfId="0" applyFont="1" applyFill="1" applyBorder="1" applyAlignment="1">
      <alignment horizontal="left" vertical="center"/>
    </xf>
    <xf numFmtId="0" fontId="10" fillId="5" borderId="61" xfId="0" applyFont="1" applyFill="1" applyBorder="1" applyAlignment="1">
      <alignment horizontal="left" vertical="center"/>
    </xf>
    <xf numFmtId="0" fontId="6" fillId="0" borderId="56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/>
    </xf>
    <xf numFmtId="14" fontId="6" fillId="0" borderId="56" xfId="0" applyNumberFormat="1" applyFont="1" applyFill="1" applyBorder="1" applyAlignment="1">
      <alignment horizontal="center" vertical="center"/>
    </xf>
    <xf numFmtId="14" fontId="6" fillId="0" borderId="57" xfId="0" applyNumberFormat="1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17" fontId="11" fillId="0" borderId="33" xfId="0" applyNumberFormat="1" applyFont="1" applyFill="1" applyBorder="1" applyAlignment="1">
      <alignment horizontal="center"/>
    </xf>
    <xf numFmtId="17" fontId="11" fillId="0" borderId="34" xfId="0" applyNumberFormat="1" applyFont="1" applyFill="1" applyBorder="1" applyAlignment="1">
      <alignment horizontal="center"/>
    </xf>
    <xf numFmtId="17" fontId="11" fillId="0" borderId="38" xfId="0" applyNumberFormat="1" applyFont="1" applyFill="1" applyBorder="1" applyAlignment="1">
      <alignment horizontal="center"/>
    </xf>
    <xf numFmtId="0" fontId="27" fillId="9" borderId="77" xfId="0" applyFont="1" applyFill="1" applyBorder="1" applyAlignment="1">
      <alignment horizontal="center" vertical="center"/>
    </xf>
    <xf numFmtId="0" fontId="27" fillId="9" borderId="7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23" fillId="2" borderId="54" xfId="0" applyFont="1" applyFill="1" applyBorder="1" applyAlignment="1">
      <alignment horizontal="center" vertical="center"/>
    </xf>
  </cellXfs>
  <cellStyles count="3">
    <cellStyle name="Moeda 2" xfId="2"/>
    <cellStyle name="Normal" xfId="0" builtinId="0"/>
    <cellStyle name="Normal 2" xfId="1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6" tint="-0.499984740745262"/>
      </font>
      <fill>
        <patternFill>
          <bgColor theme="6" tint="0.59996337778862885"/>
        </patternFill>
      </fill>
    </dxf>
    <dxf>
      <font>
        <b/>
        <i val="0"/>
        <color theme="6" tint="-0.499984740745262"/>
      </font>
      <fill>
        <patternFill>
          <bgColor theme="6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6" tint="-0.499984740745262"/>
      </font>
      <fill>
        <patternFill>
          <bgColor theme="6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6" tint="-0.499984740745262"/>
      </font>
      <fill>
        <patternFill>
          <bgColor theme="6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6" tint="-0.499984740745262"/>
      </font>
      <fill>
        <patternFill>
          <bgColor theme="6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6" tint="-0.499984740745262"/>
      </font>
      <fill>
        <patternFill>
          <bgColor theme="6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6" tint="-0.499984740745262"/>
      </font>
      <fill>
        <patternFill>
          <bgColor theme="6" tint="0.59996337778862885"/>
        </patternFill>
      </fill>
    </dxf>
  </dxfs>
  <tableStyles count="0" defaultTableStyle="TableStyleMedium9" defaultPivotStyle="PivotStyleLight16"/>
  <colors>
    <mruColors>
      <color rgb="FF33A8FF"/>
      <color rgb="FF115F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600">
                <a:solidFill>
                  <a:schemeClr val="tx2">
                    <a:lumMod val="50000"/>
                  </a:schemeClr>
                </a:solidFill>
              </a:rPr>
              <a:t>Acompanhamento de Meta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50000">
                  <a:srgbClr val="4F81BD">
                    <a:lumMod val="50000"/>
                  </a:srgbClr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1'!$CF$13:$CQ$13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1'!$CF$14:$CQ$14</c:f>
              <c:numCache>
                <c:formatCode>"R$ "#,##0</c:formatCode>
                <c:ptCount val="12"/>
              </c:numCache>
            </c:numRef>
          </c:val>
        </c:ser>
        <c:ser>
          <c:idx val="1"/>
          <c:order val="1"/>
          <c:tx>
            <c:v>Real</c:v>
          </c:tx>
          <c:spPr>
            <a:gradFill>
              <a:gsLst>
                <a:gs pos="0">
                  <a:srgbClr val="C00000"/>
                </a:gs>
                <a:gs pos="50000">
                  <a:srgbClr val="C00000"/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1'!$CF$13:$CQ$13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1'!$CF$15:$CQ$15</c:f>
              <c:numCache>
                <c:formatCode>"R$ "#,##0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147968"/>
        <c:axId val="142149888"/>
      </c:barChart>
      <c:lineChart>
        <c:grouping val="standard"/>
        <c:varyColors val="0"/>
        <c:ser>
          <c:idx val="2"/>
          <c:order val="2"/>
          <c:tx>
            <c:v>Aderência</c:v>
          </c:tx>
          <c:spPr>
            <a:ln w="25400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'Projeto 1'!$CF$13:$CQ$13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1'!$CF$16:$CQ$16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53216"/>
        <c:axId val="142151680"/>
      </c:lineChart>
      <c:catAx>
        <c:axId val="142147968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149888"/>
        <c:crosses val="autoZero"/>
        <c:auto val="1"/>
        <c:lblAlgn val="ctr"/>
        <c:lblOffset val="100"/>
        <c:noMultiLvlLbl val="0"/>
      </c:catAx>
      <c:valAx>
        <c:axId val="142149888"/>
        <c:scaling>
          <c:orientation val="minMax"/>
        </c:scaling>
        <c:delete val="0"/>
        <c:axPos val="l"/>
        <c:numFmt formatCode="&quot;R$ &quot;#,##0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147968"/>
        <c:crosses val="autoZero"/>
        <c:crossBetween val="between"/>
      </c:valAx>
      <c:valAx>
        <c:axId val="142151680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153216"/>
        <c:crosses val="max"/>
        <c:crossBetween val="between"/>
      </c:valAx>
      <c:catAx>
        <c:axId val="142153216"/>
        <c:scaling>
          <c:orientation val="minMax"/>
        </c:scaling>
        <c:delete val="1"/>
        <c:axPos val="b"/>
        <c:numFmt formatCode="mmm/yy" sourceLinked="1"/>
        <c:majorTickMark val="out"/>
        <c:minorTickMark val="none"/>
        <c:tickLblPos val="none"/>
        <c:crossAx val="142151680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097" footer="0.3149606200000009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600">
                <a:solidFill>
                  <a:schemeClr val="tx2">
                    <a:lumMod val="50000"/>
                  </a:schemeClr>
                </a:solidFill>
              </a:rPr>
              <a:t>Acompanhamento de Investimento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50000">
                  <a:srgbClr val="4F81BD">
                    <a:lumMod val="50000"/>
                  </a:srgbClr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1'!$CF$18:$CM$18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1'!$CF$19:$CM$19</c:f>
              <c:numCache>
                <c:formatCode>"R$ "#,##0</c:formatCode>
                <c:ptCount val="8"/>
              </c:numCache>
            </c:numRef>
          </c:val>
        </c:ser>
        <c:ser>
          <c:idx val="1"/>
          <c:order val="1"/>
          <c:tx>
            <c:v>Real</c:v>
          </c:tx>
          <c:spPr>
            <a:gradFill>
              <a:gsLst>
                <a:gs pos="0">
                  <a:srgbClr val="C00000"/>
                </a:gs>
                <a:gs pos="50000">
                  <a:srgbClr val="C00000"/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1'!$CF$18:$CM$18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1'!$CF$20:$CM$20</c:f>
              <c:numCache>
                <c:formatCode>"R$ "#,##0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198656"/>
        <c:axId val="142204928"/>
      </c:barChart>
      <c:lineChart>
        <c:grouping val="standard"/>
        <c:varyColors val="0"/>
        <c:ser>
          <c:idx val="2"/>
          <c:order val="2"/>
          <c:tx>
            <c:v>Aderência</c:v>
          </c:tx>
          <c:spPr>
            <a:ln w="25400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'Projeto 1'!$CF$18:$CM$18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1'!$CF$21:$CM$21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08000"/>
        <c:axId val="142206464"/>
      </c:lineChart>
      <c:catAx>
        <c:axId val="142198656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204928"/>
        <c:crosses val="autoZero"/>
        <c:auto val="1"/>
        <c:lblAlgn val="ctr"/>
        <c:lblOffset val="100"/>
        <c:noMultiLvlLbl val="0"/>
      </c:catAx>
      <c:valAx>
        <c:axId val="142204928"/>
        <c:scaling>
          <c:orientation val="minMax"/>
        </c:scaling>
        <c:delete val="0"/>
        <c:axPos val="l"/>
        <c:numFmt formatCode="&quot;R$ &quot;#,##0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198656"/>
        <c:crosses val="autoZero"/>
        <c:crossBetween val="between"/>
      </c:valAx>
      <c:valAx>
        <c:axId val="142206464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208000"/>
        <c:crosses val="max"/>
        <c:crossBetween val="between"/>
      </c:valAx>
      <c:catAx>
        <c:axId val="142208000"/>
        <c:scaling>
          <c:orientation val="minMax"/>
        </c:scaling>
        <c:delete val="1"/>
        <c:axPos val="b"/>
        <c:numFmt formatCode="mmm/yy" sourceLinked="1"/>
        <c:majorTickMark val="out"/>
        <c:minorTickMark val="none"/>
        <c:tickLblPos val="none"/>
        <c:crossAx val="142206464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600">
                <a:solidFill>
                  <a:schemeClr val="tx2">
                    <a:lumMod val="50000"/>
                  </a:schemeClr>
                </a:solidFill>
              </a:rPr>
              <a:t>Acompanhamento de Meta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50000">
                  <a:srgbClr val="4F81BD">
                    <a:lumMod val="50000"/>
                  </a:srgbClr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2'!$CF$13:$CQ$13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2'!$CF$14:$CQ$14</c:f>
              <c:numCache>
                <c:formatCode>"R$ "#,##0</c:formatCode>
                <c:ptCount val="12"/>
              </c:numCache>
            </c:numRef>
          </c:val>
        </c:ser>
        <c:ser>
          <c:idx val="1"/>
          <c:order val="1"/>
          <c:tx>
            <c:v>Real</c:v>
          </c:tx>
          <c:spPr>
            <a:gradFill>
              <a:gsLst>
                <a:gs pos="0">
                  <a:srgbClr val="C00000"/>
                </a:gs>
                <a:gs pos="50000">
                  <a:srgbClr val="C00000"/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2'!$CF$13:$CQ$13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2'!$CF$15:$CQ$15</c:f>
              <c:numCache>
                <c:formatCode>"R$ "#,##0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349440"/>
        <c:axId val="142351360"/>
      </c:barChart>
      <c:lineChart>
        <c:grouping val="standard"/>
        <c:varyColors val="0"/>
        <c:ser>
          <c:idx val="2"/>
          <c:order val="2"/>
          <c:tx>
            <c:v>Aderência</c:v>
          </c:tx>
          <c:spPr>
            <a:ln w="25400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'Projeto 2'!$CF$13:$CQ$13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2'!$CF$16:$CQ$16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66976"/>
        <c:axId val="142365440"/>
      </c:lineChart>
      <c:catAx>
        <c:axId val="142349440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351360"/>
        <c:crosses val="autoZero"/>
        <c:auto val="1"/>
        <c:lblAlgn val="ctr"/>
        <c:lblOffset val="100"/>
        <c:noMultiLvlLbl val="0"/>
      </c:catAx>
      <c:valAx>
        <c:axId val="142351360"/>
        <c:scaling>
          <c:orientation val="minMax"/>
        </c:scaling>
        <c:delete val="0"/>
        <c:axPos val="l"/>
        <c:numFmt formatCode="&quot;R$ &quot;#,##0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349440"/>
        <c:crosses val="autoZero"/>
        <c:crossBetween val="between"/>
      </c:valAx>
      <c:valAx>
        <c:axId val="142365440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366976"/>
        <c:crosses val="max"/>
        <c:crossBetween val="between"/>
      </c:valAx>
      <c:catAx>
        <c:axId val="142366976"/>
        <c:scaling>
          <c:orientation val="minMax"/>
        </c:scaling>
        <c:delete val="1"/>
        <c:axPos val="b"/>
        <c:numFmt formatCode="mmm/yy" sourceLinked="1"/>
        <c:majorTickMark val="out"/>
        <c:minorTickMark val="none"/>
        <c:tickLblPos val="none"/>
        <c:crossAx val="142365440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600">
                <a:solidFill>
                  <a:schemeClr val="tx2">
                    <a:lumMod val="50000"/>
                  </a:schemeClr>
                </a:solidFill>
              </a:rPr>
              <a:t>Acompanhamento de Investimento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50000">
                  <a:srgbClr val="4F81BD">
                    <a:lumMod val="50000"/>
                  </a:srgbClr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2'!$CF$18:$CM$18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2'!$CF$19:$CM$19</c:f>
              <c:numCache>
                <c:formatCode>"R$ "#,##0</c:formatCode>
                <c:ptCount val="8"/>
              </c:numCache>
            </c:numRef>
          </c:val>
        </c:ser>
        <c:ser>
          <c:idx val="1"/>
          <c:order val="1"/>
          <c:tx>
            <c:v>Real</c:v>
          </c:tx>
          <c:spPr>
            <a:gradFill>
              <a:gsLst>
                <a:gs pos="0">
                  <a:srgbClr val="C00000"/>
                </a:gs>
                <a:gs pos="50000">
                  <a:srgbClr val="C00000"/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2'!$CF$18:$CM$18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2'!$CF$20:$CM$20</c:f>
              <c:numCache>
                <c:formatCode>"R$ "#,##0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1299712"/>
        <c:axId val="141301632"/>
      </c:barChart>
      <c:lineChart>
        <c:grouping val="standard"/>
        <c:varyColors val="0"/>
        <c:ser>
          <c:idx val="2"/>
          <c:order val="2"/>
          <c:tx>
            <c:v>Aderência</c:v>
          </c:tx>
          <c:spPr>
            <a:ln w="25400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'Projeto 2'!$CF$18:$CM$18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2'!$CF$21:$CM$21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09056"/>
        <c:axId val="141303168"/>
      </c:lineChart>
      <c:catAx>
        <c:axId val="141299712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1301632"/>
        <c:crosses val="autoZero"/>
        <c:auto val="1"/>
        <c:lblAlgn val="ctr"/>
        <c:lblOffset val="100"/>
        <c:noMultiLvlLbl val="0"/>
      </c:catAx>
      <c:valAx>
        <c:axId val="141301632"/>
        <c:scaling>
          <c:orientation val="minMax"/>
        </c:scaling>
        <c:delete val="0"/>
        <c:axPos val="l"/>
        <c:numFmt formatCode="&quot;R$ &quot;#,##0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1299712"/>
        <c:crosses val="autoZero"/>
        <c:crossBetween val="between"/>
      </c:valAx>
      <c:valAx>
        <c:axId val="141303168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1309056"/>
        <c:crosses val="max"/>
        <c:crossBetween val="between"/>
      </c:valAx>
      <c:catAx>
        <c:axId val="141309056"/>
        <c:scaling>
          <c:orientation val="minMax"/>
        </c:scaling>
        <c:delete val="1"/>
        <c:axPos val="b"/>
        <c:numFmt formatCode="mmm/yy" sourceLinked="1"/>
        <c:majorTickMark val="out"/>
        <c:minorTickMark val="none"/>
        <c:tickLblPos val="none"/>
        <c:crossAx val="141303168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125" footer="0.3149606200000012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600">
                <a:solidFill>
                  <a:schemeClr val="tx2">
                    <a:lumMod val="50000"/>
                  </a:schemeClr>
                </a:solidFill>
              </a:rPr>
              <a:t>Acompanhamento de Meta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50000">
                  <a:srgbClr val="4F81BD">
                    <a:lumMod val="50000"/>
                  </a:srgbClr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3'!$CF$13:$CQ$13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3'!$CF$14:$CQ$14</c:f>
              <c:numCache>
                <c:formatCode>"R$ "#,##0</c:formatCode>
                <c:ptCount val="12"/>
              </c:numCache>
            </c:numRef>
          </c:val>
        </c:ser>
        <c:ser>
          <c:idx val="1"/>
          <c:order val="1"/>
          <c:tx>
            <c:v>Real</c:v>
          </c:tx>
          <c:spPr>
            <a:gradFill>
              <a:gsLst>
                <a:gs pos="0">
                  <a:srgbClr val="C00000"/>
                </a:gs>
                <a:gs pos="50000">
                  <a:srgbClr val="C00000"/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3'!$CF$13:$CQ$13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3'!$CF$15:$CQ$15</c:f>
              <c:numCache>
                <c:formatCode>"R$ "#,##0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1396224"/>
        <c:axId val="141406592"/>
      </c:barChart>
      <c:lineChart>
        <c:grouping val="standard"/>
        <c:varyColors val="0"/>
        <c:ser>
          <c:idx val="2"/>
          <c:order val="2"/>
          <c:tx>
            <c:v>Aderência</c:v>
          </c:tx>
          <c:spPr>
            <a:ln w="25400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'Projeto 3'!$CF$13:$CQ$13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3'!$CF$16:$CQ$16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09664"/>
        <c:axId val="141408128"/>
      </c:lineChart>
      <c:catAx>
        <c:axId val="141396224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1406592"/>
        <c:crosses val="autoZero"/>
        <c:auto val="1"/>
        <c:lblAlgn val="ctr"/>
        <c:lblOffset val="100"/>
        <c:noMultiLvlLbl val="0"/>
      </c:catAx>
      <c:valAx>
        <c:axId val="141406592"/>
        <c:scaling>
          <c:orientation val="minMax"/>
        </c:scaling>
        <c:delete val="0"/>
        <c:axPos val="l"/>
        <c:numFmt formatCode="&quot;R$ &quot;#,##0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1396224"/>
        <c:crosses val="autoZero"/>
        <c:crossBetween val="between"/>
      </c:valAx>
      <c:valAx>
        <c:axId val="141408128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1409664"/>
        <c:crosses val="max"/>
        <c:crossBetween val="between"/>
      </c:valAx>
      <c:catAx>
        <c:axId val="141409664"/>
        <c:scaling>
          <c:orientation val="minMax"/>
        </c:scaling>
        <c:delete val="1"/>
        <c:axPos val="b"/>
        <c:numFmt formatCode="mmm/yy" sourceLinked="1"/>
        <c:majorTickMark val="out"/>
        <c:minorTickMark val="none"/>
        <c:tickLblPos val="none"/>
        <c:crossAx val="141408128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600">
                <a:solidFill>
                  <a:schemeClr val="tx2">
                    <a:lumMod val="50000"/>
                  </a:schemeClr>
                </a:solidFill>
              </a:rPr>
              <a:t>Acompanhamento de Investimento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50000">
                  <a:srgbClr val="4F81BD">
                    <a:lumMod val="50000"/>
                  </a:srgbClr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3'!$CF$18:$CM$18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3'!$CF$19:$CM$19</c:f>
              <c:numCache>
                <c:formatCode>"R$ "#,##0</c:formatCode>
                <c:ptCount val="8"/>
              </c:numCache>
            </c:numRef>
          </c:val>
        </c:ser>
        <c:ser>
          <c:idx val="1"/>
          <c:order val="1"/>
          <c:tx>
            <c:v>Real</c:v>
          </c:tx>
          <c:spPr>
            <a:gradFill>
              <a:gsLst>
                <a:gs pos="0">
                  <a:srgbClr val="C00000"/>
                </a:gs>
                <a:gs pos="50000">
                  <a:srgbClr val="C00000"/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3'!$CF$18:$CM$18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3'!$CF$20:$CM$20</c:f>
              <c:numCache>
                <c:formatCode>"R$ "#,##0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839808"/>
        <c:axId val="142841728"/>
      </c:barChart>
      <c:lineChart>
        <c:grouping val="standard"/>
        <c:varyColors val="0"/>
        <c:ser>
          <c:idx val="2"/>
          <c:order val="2"/>
          <c:tx>
            <c:v>Aderência</c:v>
          </c:tx>
          <c:spPr>
            <a:ln w="25400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'Projeto 3'!$CF$18:$CM$18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3'!$CF$21:$CM$21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61440"/>
        <c:axId val="142843264"/>
      </c:lineChart>
      <c:catAx>
        <c:axId val="142839808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841728"/>
        <c:crosses val="autoZero"/>
        <c:auto val="1"/>
        <c:lblAlgn val="ctr"/>
        <c:lblOffset val="100"/>
        <c:noMultiLvlLbl val="0"/>
      </c:catAx>
      <c:valAx>
        <c:axId val="142841728"/>
        <c:scaling>
          <c:orientation val="minMax"/>
        </c:scaling>
        <c:delete val="0"/>
        <c:axPos val="l"/>
        <c:numFmt formatCode="&quot;R$ &quot;#,##0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839808"/>
        <c:crosses val="autoZero"/>
        <c:crossBetween val="between"/>
      </c:valAx>
      <c:valAx>
        <c:axId val="142843264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861440"/>
        <c:crosses val="max"/>
        <c:crossBetween val="between"/>
      </c:valAx>
      <c:catAx>
        <c:axId val="142861440"/>
        <c:scaling>
          <c:orientation val="minMax"/>
        </c:scaling>
        <c:delete val="1"/>
        <c:axPos val="b"/>
        <c:numFmt formatCode="mmm/yy" sourceLinked="1"/>
        <c:majorTickMark val="out"/>
        <c:minorTickMark val="none"/>
        <c:tickLblPos val="none"/>
        <c:crossAx val="142843264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125" footer="0.3149606200000012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600">
                <a:solidFill>
                  <a:schemeClr val="tx2">
                    <a:lumMod val="50000"/>
                  </a:schemeClr>
                </a:solidFill>
              </a:rPr>
              <a:t>Acompanhamento de Meta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50000">
                  <a:srgbClr val="4F81BD">
                    <a:lumMod val="50000"/>
                  </a:srgbClr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4'!$CF$13:$CQ$13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4'!$CF$14:$CQ$14</c:f>
              <c:numCache>
                <c:formatCode>"R$ "#,##0</c:formatCode>
                <c:ptCount val="12"/>
              </c:numCache>
            </c:numRef>
          </c:val>
        </c:ser>
        <c:ser>
          <c:idx val="1"/>
          <c:order val="1"/>
          <c:tx>
            <c:v>Real</c:v>
          </c:tx>
          <c:spPr>
            <a:gradFill>
              <a:gsLst>
                <a:gs pos="0">
                  <a:srgbClr val="C00000"/>
                </a:gs>
                <a:gs pos="50000">
                  <a:srgbClr val="C00000"/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4'!$CF$13:$CQ$13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4'!$CF$15:$CQ$15</c:f>
              <c:numCache>
                <c:formatCode>"R$ "#,##0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516992"/>
        <c:axId val="142518912"/>
      </c:barChart>
      <c:lineChart>
        <c:grouping val="standard"/>
        <c:varyColors val="0"/>
        <c:ser>
          <c:idx val="2"/>
          <c:order val="2"/>
          <c:tx>
            <c:v>Aderência</c:v>
          </c:tx>
          <c:spPr>
            <a:ln w="25400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'Projeto 4'!$CF$13:$CQ$13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4'!$CF$16:$CQ$16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38624"/>
        <c:axId val="142537088"/>
      </c:lineChart>
      <c:catAx>
        <c:axId val="142516992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518912"/>
        <c:crosses val="autoZero"/>
        <c:auto val="1"/>
        <c:lblAlgn val="ctr"/>
        <c:lblOffset val="100"/>
        <c:noMultiLvlLbl val="0"/>
      </c:catAx>
      <c:valAx>
        <c:axId val="142518912"/>
        <c:scaling>
          <c:orientation val="minMax"/>
        </c:scaling>
        <c:delete val="0"/>
        <c:axPos val="l"/>
        <c:numFmt formatCode="&quot;R$ &quot;#,##0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516992"/>
        <c:crosses val="autoZero"/>
        <c:crossBetween val="between"/>
      </c:valAx>
      <c:valAx>
        <c:axId val="142537088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538624"/>
        <c:crosses val="max"/>
        <c:crossBetween val="between"/>
      </c:valAx>
      <c:catAx>
        <c:axId val="142538624"/>
        <c:scaling>
          <c:orientation val="minMax"/>
        </c:scaling>
        <c:delete val="1"/>
        <c:axPos val="b"/>
        <c:numFmt formatCode="mmm/yy" sourceLinked="1"/>
        <c:majorTickMark val="out"/>
        <c:minorTickMark val="none"/>
        <c:tickLblPos val="none"/>
        <c:crossAx val="142537088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600">
                <a:solidFill>
                  <a:schemeClr val="tx2">
                    <a:lumMod val="50000"/>
                  </a:schemeClr>
                </a:solidFill>
              </a:rPr>
              <a:t>Acompanhamento de Investimento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50000">
                  <a:srgbClr val="4F81BD">
                    <a:lumMod val="50000"/>
                  </a:srgbClr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4'!$CF$18:$CM$18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4'!$CF$19:$CM$19</c:f>
              <c:numCache>
                <c:formatCode>"R$ "#,##0</c:formatCode>
                <c:ptCount val="8"/>
              </c:numCache>
            </c:numRef>
          </c:val>
        </c:ser>
        <c:ser>
          <c:idx val="1"/>
          <c:order val="1"/>
          <c:tx>
            <c:v>Real</c:v>
          </c:tx>
          <c:spPr>
            <a:gradFill>
              <a:gsLst>
                <a:gs pos="0">
                  <a:srgbClr val="C00000"/>
                </a:gs>
                <a:gs pos="50000">
                  <a:srgbClr val="C00000"/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4'!$CF$18:$CM$18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4'!$CF$20:$CM$20</c:f>
              <c:numCache>
                <c:formatCode>"R$ "#,##0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3042432"/>
        <c:axId val="143048704"/>
      </c:barChart>
      <c:lineChart>
        <c:grouping val="standard"/>
        <c:varyColors val="0"/>
        <c:ser>
          <c:idx val="2"/>
          <c:order val="2"/>
          <c:tx>
            <c:v>Aderência</c:v>
          </c:tx>
          <c:spPr>
            <a:ln w="25400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'Projeto 4'!$CF$18:$CM$18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4'!$CF$21:$CM$21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1776"/>
        <c:axId val="143050240"/>
      </c:lineChart>
      <c:catAx>
        <c:axId val="143042432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048704"/>
        <c:crosses val="autoZero"/>
        <c:auto val="1"/>
        <c:lblAlgn val="ctr"/>
        <c:lblOffset val="100"/>
        <c:noMultiLvlLbl val="0"/>
      </c:catAx>
      <c:valAx>
        <c:axId val="143048704"/>
        <c:scaling>
          <c:orientation val="minMax"/>
        </c:scaling>
        <c:delete val="0"/>
        <c:axPos val="l"/>
        <c:numFmt formatCode="&quot;R$ &quot;#,##0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042432"/>
        <c:crosses val="autoZero"/>
        <c:crossBetween val="between"/>
      </c:valAx>
      <c:valAx>
        <c:axId val="143050240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051776"/>
        <c:crosses val="max"/>
        <c:crossBetween val="between"/>
      </c:valAx>
      <c:catAx>
        <c:axId val="143051776"/>
        <c:scaling>
          <c:orientation val="minMax"/>
        </c:scaling>
        <c:delete val="1"/>
        <c:axPos val="b"/>
        <c:numFmt formatCode="mmm/yy" sourceLinked="1"/>
        <c:majorTickMark val="out"/>
        <c:minorTickMark val="none"/>
        <c:tickLblPos val="none"/>
        <c:crossAx val="143050240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125" footer="0.3149606200000012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600">
                <a:solidFill>
                  <a:schemeClr val="tx2">
                    <a:lumMod val="50000"/>
                  </a:schemeClr>
                </a:solidFill>
              </a:rPr>
              <a:t>Acompanhamento de Meta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50000">
                  <a:srgbClr val="4F81BD">
                    <a:lumMod val="50000"/>
                  </a:srgbClr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5'!$CF$13:$CQ$13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5'!$CF$14:$CQ$14</c:f>
              <c:numCache>
                <c:formatCode>"R$ "#,##0</c:formatCode>
                <c:ptCount val="12"/>
              </c:numCache>
            </c:numRef>
          </c:val>
        </c:ser>
        <c:ser>
          <c:idx val="1"/>
          <c:order val="1"/>
          <c:tx>
            <c:v>Real</c:v>
          </c:tx>
          <c:spPr>
            <a:gradFill>
              <a:gsLst>
                <a:gs pos="0">
                  <a:srgbClr val="C00000"/>
                </a:gs>
                <a:gs pos="50000">
                  <a:srgbClr val="C00000"/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5'!$CF$13:$CQ$13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5'!$CF$15:$CQ$15</c:f>
              <c:numCache>
                <c:formatCode>"R$ "#,##0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631680"/>
        <c:axId val="142633600"/>
      </c:barChart>
      <c:lineChart>
        <c:grouping val="standard"/>
        <c:varyColors val="0"/>
        <c:ser>
          <c:idx val="2"/>
          <c:order val="2"/>
          <c:tx>
            <c:v>Aderência</c:v>
          </c:tx>
          <c:spPr>
            <a:ln w="25400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'Projeto 5'!$CF$13:$CQ$13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'Projeto 5'!$CF$16:$CQ$16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41024"/>
        <c:axId val="142639488"/>
      </c:lineChart>
      <c:catAx>
        <c:axId val="142631680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633600"/>
        <c:crosses val="autoZero"/>
        <c:auto val="1"/>
        <c:lblAlgn val="ctr"/>
        <c:lblOffset val="100"/>
        <c:noMultiLvlLbl val="0"/>
      </c:catAx>
      <c:valAx>
        <c:axId val="142633600"/>
        <c:scaling>
          <c:orientation val="minMax"/>
        </c:scaling>
        <c:delete val="0"/>
        <c:axPos val="l"/>
        <c:numFmt formatCode="&quot;R$ &quot;#,##0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631680"/>
        <c:crosses val="autoZero"/>
        <c:crossBetween val="between"/>
      </c:valAx>
      <c:valAx>
        <c:axId val="142639488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641024"/>
        <c:crosses val="max"/>
        <c:crossBetween val="between"/>
      </c:valAx>
      <c:catAx>
        <c:axId val="142641024"/>
        <c:scaling>
          <c:orientation val="minMax"/>
        </c:scaling>
        <c:delete val="1"/>
        <c:axPos val="b"/>
        <c:numFmt formatCode="mmm/yy" sourceLinked="1"/>
        <c:majorTickMark val="out"/>
        <c:minorTickMark val="none"/>
        <c:tickLblPos val="none"/>
        <c:crossAx val="142639488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600">
                <a:solidFill>
                  <a:schemeClr val="tx2">
                    <a:lumMod val="50000"/>
                  </a:schemeClr>
                </a:solidFill>
              </a:rPr>
              <a:t>Acompanhamento de Investimento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50000">
                  <a:srgbClr val="4F81BD">
                    <a:lumMod val="50000"/>
                  </a:srgbClr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5'!$CF$18:$CM$18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5'!$CF$19:$CM$19</c:f>
              <c:numCache>
                <c:formatCode>"R$ "#,##0</c:formatCode>
                <c:ptCount val="8"/>
              </c:numCache>
            </c:numRef>
          </c:val>
        </c:ser>
        <c:ser>
          <c:idx val="1"/>
          <c:order val="1"/>
          <c:tx>
            <c:v>Real</c:v>
          </c:tx>
          <c:spPr>
            <a:gradFill>
              <a:gsLst>
                <a:gs pos="0">
                  <a:srgbClr val="C00000"/>
                </a:gs>
                <a:gs pos="50000">
                  <a:srgbClr val="C00000"/>
                </a:gs>
              </a:gsLst>
              <a:lin ang="5400000" scaled="0"/>
            </a:gra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9BBB59">
                      <a:lumMod val="50000"/>
                    </a:srgbClr>
                  </a:gs>
                  <a:gs pos="5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</c:dPt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'Projeto 5'!$CF$18:$CM$18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5'!$CF$20:$CM$20</c:f>
              <c:numCache>
                <c:formatCode>"R$ "#,##0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681984"/>
        <c:axId val="142696448"/>
      </c:barChart>
      <c:lineChart>
        <c:grouping val="standard"/>
        <c:varyColors val="0"/>
        <c:ser>
          <c:idx val="2"/>
          <c:order val="2"/>
          <c:tx>
            <c:v>Aderência</c:v>
          </c:tx>
          <c:spPr>
            <a:ln w="25400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'Projeto 5'!$CF$18:$CM$18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'Projeto 5'!$CF$21:$CM$21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99520"/>
        <c:axId val="142697984"/>
      </c:lineChart>
      <c:catAx>
        <c:axId val="142681984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696448"/>
        <c:crosses val="autoZero"/>
        <c:auto val="1"/>
        <c:lblAlgn val="ctr"/>
        <c:lblOffset val="100"/>
        <c:noMultiLvlLbl val="0"/>
      </c:catAx>
      <c:valAx>
        <c:axId val="142696448"/>
        <c:scaling>
          <c:orientation val="minMax"/>
        </c:scaling>
        <c:delete val="0"/>
        <c:axPos val="l"/>
        <c:numFmt formatCode="&quot;R$ &quot;#,##0" sourceLinked="1"/>
        <c:majorTickMark val="none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681984"/>
        <c:crosses val="autoZero"/>
        <c:crossBetween val="between"/>
      </c:valAx>
      <c:valAx>
        <c:axId val="142697984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2699520"/>
        <c:crosses val="max"/>
        <c:crossBetween val="between"/>
      </c:valAx>
      <c:catAx>
        <c:axId val="142699520"/>
        <c:scaling>
          <c:orientation val="minMax"/>
        </c:scaling>
        <c:delete val="1"/>
        <c:axPos val="b"/>
        <c:numFmt formatCode="mmm/yy" sourceLinked="1"/>
        <c:majorTickMark val="out"/>
        <c:minorTickMark val="none"/>
        <c:tickLblPos val="none"/>
        <c:crossAx val="142697984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125" footer="0.3149606200000012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pt-BR" sz="1400"/>
              <a:t>ACOMPANHAMENTO</a:t>
            </a:r>
            <a:r>
              <a:rPr lang="pt-BR" sz="1400" baseline="0"/>
              <a:t> DE METAS</a:t>
            </a:r>
            <a:endParaRPr lang="pt-BR" sz="1400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5"/>
          <c:dLbls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</c:dLbls>
          <c:cat>
            <c:strRef>
              <c:f>'Base Painel Gerencial'!$F$25:$F$26</c:f>
              <c:strCache>
                <c:ptCount val="2"/>
                <c:pt idx="0">
                  <c:v>Projetos batendo meta</c:v>
                </c:pt>
                <c:pt idx="1">
                  <c:v>Projetos não batendo meta</c:v>
                </c:pt>
              </c:strCache>
            </c:strRef>
          </c:cat>
          <c:val>
            <c:numRef>
              <c:f>'Base Painel Gerencial'!$G$25:$G$26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cat>
            <c:strRef>
              <c:f>'Base Painel Gerencial'!$F$25:$F$26</c:f>
              <c:strCache>
                <c:ptCount val="2"/>
                <c:pt idx="0">
                  <c:v>Projetos batendo meta</c:v>
                </c:pt>
                <c:pt idx="1">
                  <c:v>Projetos não batendo meta</c:v>
                </c:pt>
              </c:strCache>
            </c:strRef>
          </c:cat>
          <c:val>
            <c:numRef>
              <c:f>'Base Painel Gerencial'!$H$25:$H$26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097" footer="0.31496062000000097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400">
                <a:solidFill>
                  <a:schemeClr val="tx2">
                    <a:lumMod val="50000"/>
                  </a:schemeClr>
                </a:solidFill>
              </a:defRPr>
            </a:pPr>
            <a:r>
              <a:rPr lang="pt-BR" sz="1400">
                <a:solidFill>
                  <a:schemeClr val="tx2">
                    <a:lumMod val="50000"/>
                  </a:schemeClr>
                </a:solidFill>
              </a:rPr>
              <a:t>Consultoria por Setor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/>
              <a:lstStyle/>
              <a:p>
                <a:pPr>
                  <a:defRPr sz="8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'Base Painel Gerencial'!$F$30:$F$69</c:f>
              <c:strCache>
                <c:ptCount val="40"/>
                <c:pt idx="0">
                  <c:v>Agropecuária</c:v>
                </c:pt>
                <c:pt idx="1">
                  <c:v>Água, gás e saneamento</c:v>
                </c:pt>
                <c:pt idx="2">
                  <c:v>Alimentos processados</c:v>
                </c:pt>
                <c:pt idx="3">
                  <c:v>Atacado</c:v>
                </c:pt>
                <c:pt idx="4">
                  <c:v>Bancos</c:v>
                </c:pt>
                <c:pt idx="5">
                  <c:v>Carnes e derivados</c:v>
                </c:pt>
                <c:pt idx="6">
                  <c:v>Comércio</c:v>
                </c:pt>
                <c:pt idx="7">
                  <c:v>Construção civil e intermediação</c:v>
                </c:pt>
                <c:pt idx="8">
                  <c:v>Construção pesada e engenharia</c:v>
                </c:pt>
                <c:pt idx="9">
                  <c:v>Energia elétrica</c:v>
                </c:pt>
                <c:pt idx="10">
                  <c:v>Equipamentos, máquinas e peças</c:v>
                </c:pt>
                <c:pt idx="11">
                  <c:v>Holdings</c:v>
                </c:pt>
                <c:pt idx="12">
                  <c:v>Hospitais</c:v>
                </c:pt>
                <c:pt idx="13">
                  <c:v>Hotelaria e Restaurantes</c:v>
                </c:pt>
                <c:pt idx="14">
                  <c:v>Imóveis comerciais e shoppings</c:v>
                </c:pt>
                <c:pt idx="15">
                  <c:v>Industria digital</c:v>
                </c:pt>
                <c:pt idx="16">
                  <c:v>Industrias de alimentos</c:v>
                </c:pt>
                <c:pt idx="17">
                  <c:v>Industria em geral</c:v>
                </c:pt>
                <c:pt idx="18">
                  <c:v>Logística</c:v>
                </c:pt>
                <c:pt idx="19">
                  <c:v>Materiais diversos</c:v>
                </c:pt>
                <c:pt idx="20">
                  <c:v>Mineração</c:v>
                </c:pt>
                <c:pt idx="21">
                  <c:v>Negócios de lazer e eventos</c:v>
                </c:pt>
                <c:pt idx="22">
                  <c:v>Papel e madeira</c:v>
                </c:pt>
                <c:pt idx="23">
                  <c:v>Petróleo, gás e combustíveis</c:v>
                </c:pt>
                <c:pt idx="24">
                  <c:v>Prestação de Serviços</c:v>
                </c:pt>
                <c:pt idx="25">
                  <c:v>Química e petroquímica</c:v>
                </c:pt>
                <c:pt idx="26">
                  <c:v>Roupas, calçados e acessórios</c:v>
                </c:pt>
                <c:pt idx="27">
                  <c:v>Serviços diversos</c:v>
                </c:pt>
                <c:pt idx="28">
                  <c:v>Serviços financeiros</c:v>
                </c:pt>
                <c:pt idx="29">
                  <c:v>Setor de educação</c:v>
                </c:pt>
                <c:pt idx="30">
                  <c:v>Setor de saúde</c:v>
                </c:pt>
                <c:pt idx="31">
                  <c:v>Setor de seguros</c:v>
                </c:pt>
                <c:pt idx="32">
                  <c:v>Setor de transporte</c:v>
                </c:pt>
                <c:pt idx="33">
                  <c:v>Siderurgia e metalurgia</c:v>
                </c:pt>
                <c:pt idx="34">
                  <c:v>Supermercados</c:v>
                </c:pt>
                <c:pt idx="35">
                  <c:v>Tecnologia da informação</c:v>
                </c:pt>
                <c:pt idx="36">
                  <c:v>Telecomunicações</c:v>
                </c:pt>
                <c:pt idx="37">
                  <c:v>Têxteis</c:v>
                </c:pt>
                <c:pt idx="38">
                  <c:v>Utilidades domésticas</c:v>
                </c:pt>
                <c:pt idx="39">
                  <c:v>Varejo</c:v>
                </c:pt>
              </c:strCache>
            </c:strRef>
          </c:cat>
          <c:val>
            <c:numRef>
              <c:f>'Base Painel Gerencial'!$G$30:$G$69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378304"/>
        <c:axId val="143384576"/>
      </c:barChart>
      <c:lineChart>
        <c:grouping val="standard"/>
        <c:varyColors val="0"/>
        <c:ser>
          <c:idx val="1"/>
          <c:order val="1"/>
          <c:spPr>
            <a:ln w="19050">
              <a:solidFill>
                <a:schemeClr val="tx2">
                  <a:lumMod val="50000"/>
                </a:schemeClr>
              </a:solidFill>
            </a:ln>
          </c:spPr>
          <c:marker>
            <c:symbol val="diamond"/>
            <c:size val="3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strRef>
              <c:f>'Base Painel Gerencial'!$F$30:$F$69</c:f>
              <c:strCache>
                <c:ptCount val="40"/>
                <c:pt idx="0">
                  <c:v>Agropecuária</c:v>
                </c:pt>
                <c:pt idx="1">
                  <c:v>Água, gás e saneamento</c:v>
                </c:pt>
                <c:pt idx="2">
                  <c:v>Alimentos processados</c:v>
                </c:pt>
                <c:pt idx="3">
                  <c:v>Atacado</c:v>
                </c:pt>
                <c:pt idx="4">
                  <c:v>Bancos</c:v>
                </c:pt>
                <c:pt idx="5">
                  <c:v>Carnes e derivados</c:v>
                </c:pt>
                <c:pt idx="6">
                  <c:v>Comércio</c:v>
                </c:pt>
                <c:pt idx="7">
                  <c:v>Construção civil e intermediação</c:v>
                </c:pt>
                <c:pt idx="8">
                  <c:v>Construção pesada e engenharia</c:v>
                </c:pt>
                <c:pt idx="9">
                  <c:v>Energia elétrica</c:v>
                </c:pt>
                <c:pt idx="10">
                  <c:v>Equipamentos, máquinas e peças</c:v>
                </c:pt>
                <c:pt idx="11">
                  <c:v>Holdings</c:v>
                </c:pt>
                <c:pt idx="12">
                  <c:v>Hospitais</c:v>
                </c:pt>
                <c:pt idx="13">
                  <c:v>Hotelaria e Restaurantes</c:v>
                </c:pt>
                <c:pt idx="14">
                  <c:v>Imóveis comerciais e shoppings</c:v>
                </c:pt>
                <c:pt idx="15">
                  <c:v>Industria digital</c:v>
                </c:pt>
                <c:pt idx="16">
                  <c:v>Industrias de alimentos</c:v>
                </c:pt>
                <c:pt idx="17">
                  <c:v>Industria em geral</c:v>
                </c:pt>
                <c:pt idx="18">
                  <c:v>Logística</c:v>
                </c:pt>
                <c:pt idx="19">
                  <c:v>Materiais diversos</c:v>
                </c:pt>
                <c:pt idx="20">
                  <c:v>Mineração</c:v>
                </c:pt>
                <c:pt idx="21">
                  <c:v>Negócios de lazer e eventos</c:v>
                </c:pt>
                <c:pt idx="22">
                  <c:v>Papel e madeira</c:v>
                </c:pt>
                <c:pt idx="23">
                  <c:v>Petróleo, gás e combustíveis</c:v>
                </c:pt>
                <c:pt idx="24">
                  <c:v>Prestação de Serviços</c:v>
                </c:pt>
                <c:pt idx="25">
                  <c:v>Química e petroquímica</c:v>
                </c:pt>
                <c:pt idx="26">
                  <c:v>Roupas, calçados e acessórios</c:v>
                </c:pt>
                <c:pt idx="27">
                  <c:v>Serviços diversos</c:v>
                </c:pt>
                <c:pt idx="28">
                  <c:v>Serviços financeiros</c:v>
                </c:pt>
                <c:pt idx="29">
                  <c:v>Setor de educação</c:v>
                </c:pt>
                <c:pt idx="30">
                  <c:v>Setor de saúde</c:v>
                </c:pt>
                <c:pt idx="31">
                  <c:v>Setor de seguros</c:v>
                </c:pt>
                <c:pt idx="32">
                  <c:v>Setor de transporte</c:v>
                </c:pt>
                <c:pt idx="33">
                  <c:v>Siderurgia e metalurgia</c:v>
                </c:pt>
                <c:pt idx="34">
                  <c:v>Supermercados</c:v>
                </c:pt>
                <c:pt idx="35">
                  <c:v>Tecnologia da informação</c:v>
                </c:pt>
                <c:pt idx="36">
                  <c:v>Telecomunicações</c:v>
                </c:pt>
                <c:pt idx="37">
                  <c:v>Têxteis</c:v>
                </c:pt>
                <c:pt idx="38">
                  <c:v>Utilidades domésticas</c:v>
                </c:pt>
                <c:pt idx="39">
                  <c:v>Varejo</c:v>
                </c:pt>
              </c:strCache>
            </c:strRef>
          </c:cat>
          <c:val>
            <c:numRef>
              <c:f>'Base Painel Gerencial'!$H$30:$H$69</c:f>
              <c:numCache>
                <c:formatCode>0.0%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87648"/>
        <c:axId val="143386112"/>
      </c:lineChart>
      <c:catAx>
        <c:axId val="14337830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2880000"/>
          <a:lstStyle/>
          <a:p>
            <a:pPr>
              <a:defRPr sz="8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384576"/>
        <c:crosses val="autoZero"/>
        <c:auto val="1"/>
        <c:lblAlgn val="ctr"/>
        <c:lblOffset val="100"/>
        <c:noMultiLvlLbl val="0"/>
      </c:catAx>
      <c:valAx>
        <c:axId val="143384576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378304"/>
        <c:crosses val="autoZero"/>
        <c:crossBetween val="between"/>
        <c:majorUnit val="1"/>
      </c:valAx>
      <c:valAx>
        <c:axId val="14338611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387648"/>
        <c:crosses val="max"/>
        <c:crossBetween val="between"/>
      </c:valAx>
      <c:catAx>
        <c:axId val="143387648"/>
        <c:scaling>
          <c:orientation val="minMax"/>
        </c:scaling>
        <c:delete val="1"/>
        <c:axPos val="b"/>
        <c:majorTickMark val="out"/>
        <c:minorTickMark val="none"/>
        <c:tickLblPos val="none"/>
        <c:crossAx val="143386112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>
          <a:noFill/>
        </a:ln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052" footer="0.31496062000000052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400">
                <a:solidFill>
                  <a:sysClr val="windowText" lastClr="000000"/>
                </a:solidFill>
              </a:defRPr>
            </a:pPr>
            <a:r>
              <a:rPr lang="en-US" sz="1400">
                <a:solidFill>
                  <a:sysClr val="windowText" lastClr="000000"/>
                </a:solidFill>
              </a:rPr>
              <a:t>ACOMPANHAMENTO</a:t>
            </a:r>
            <a:r>
              <a:rPr lang="en-US" sz="1400" baseline="0">
                <a:solidFill>
                  <a:sysClr val="windowText" lastClr="000000"/>
                </a:solidFill>
              </a:rPr>
              <a:t> DE METAS (CLIENTES)</a:t>
            </a:r>
            <a:endParaRPr lang="en-US" sz="1400">
              <a:solidFill>
                <a:sysClr val="windowText" lastClr="000000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Aderência</c:v>
          </c:tx>
          <c:spPr>
            <a:solidFill>
              <a:schemeClr val="tx2">
                <a:lumMod val="50000"/>
              </a:schemeClr>
            </a:solidFill>
            <a:ln w="38100">
              <a:noFill/>
            </a:ln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cat>
            <c:numRef>
              <c:f>'Base Painel Gerencial'!$J$29:$J$33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'Base Painel Gerencial'!$K$29:$K$33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311232"/>
        <c:axId val="143312768"/>
      </c:barChart>
      <c:lineChart>
        <c:grouping val="standard"/>
        <c:varyColors val="0"/>
        <c:ser>
          <c:idx val="0"/>
          <c:order val="1"/>
          <c:tx>
            <c:v>Aderência</c:v>
          </c:tx>
          <c:spPr>
            <a:ln w="38100">
              <a:solidFill>
                <a:srgbClr val="FFFF00"/>
              </a:solidFill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'Base Painel Gerencial'!$J$29:$J$33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'Base Painel Gerencial'!$L$29:$L$33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11232"/>
        <c:axId val="143312768"/>
      </c:lineChart>
      <c:catAx>
        <c:axId val="14331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9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312768"/>
        <c:crosses val="autoZero"/>
        <c:auto val="1"/>
        <c:lblAlgn val="ctr"/>
        <c:lblOffset val="100"/>
        <c:noMultiLvlLbl val="0"/>
      </c:catAx>
      <c:valAx>
        <c:axId val="14331276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3112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ayout/>
      <c:overlay val="0"/>
      <c:txPr>
        <a:bodyPr/>
        <a:lstStyle/>
        <a:p>
          <a:pPr>
            <a:defRPr sz="800" b="1">
              <a:solidFill>
                <a:schemeClr val="tx2">
                  <a:lumMod val="50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99999996" l="0.511811024" r="0.511811024" t="0.78740157499999996" header="0.31496062000000086" footer="0.3149606200000008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400">
                <a:solidFill>
                  <a:sysClr val="windowText" lastClr="000000"/>
                </a:solidFill>
              </a:defRPr>
            </a:pPr>
            <a:r>
              <a:rPr lang="pt-BR" sz="1400">
                <a:solidFill>
                  <a:sysClr val="windowText" lastClr="000000"/>
                </a:solidFill>
              </a:rPr>
              <a:t>PROJETO</a:t>
            </a:r>
            <a:r>
              <a:rPr lang="pt-BR" sz="1400" baseline="0">
                <a:solidFill>
                  <a:sysClr val="windowText" lastClr="000000"/>
                </a:solidFill>
              </a:rPr>
              <a:t> / SOLUÇÃO</a:t>
            </a:r>
            <a:endParaRPr lang="pt-BR" sz="1400">
              <a:solidFill>
                <a:sysClr val="windowText" lastClr="000000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solidFill>
                <a:schemeClr val="accent2">
                  <a:lumMod val="50000"/>
                </a:schemeClr>
              </a:solidFill>
            </a:ln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txPr>
              <a:bodyPr/>
              <a:lstStyle/>
              <a:p>
                <a:pPr>
                  <a:defRPr sz="1000"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'Base Painel Gerencial'!$F$11:$F$21</c:f>
              <c:strCach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</c:strCache>
            </c:strRef>
          </c:cat>
          <c:val>
            <c:numRef>
              <c:f>'Base Painel Gerencial'!$G$11:$G$21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868288"/>
        <c:axId val="143870208"/>
      </c:barChart>
      <c:lineChart>
        <c:grouping val="standard"/>
        <c:varyColors val="0"/>
        <c:ser>
          <c:idx val="1"/>
          <c:order val="1"/>
          <c:tx>
            <c:v>Porcentagem</c:v>
          </c:tx>
          <c:spPr>
            <a:ln w="19050">
              <a:solidFill>
                <a:schemeClr val="tx2">
                  <a:lumMod val="50000"/>
                </a:schemeClr>
              </a:solidFill>
            </a:ln>
          </c:spPr>
          <c:marker>
            <c:symbol val="diamond"/>
            <c:size val="3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strRef>
              <c:f>'Base Painel Gerencial'!$F$11:$F$21</c:f>
              <c:strCach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</c:strCache>
            </c:strRef>
          </c:cat>
          <c:val>
            <c:numRef>
              <c:f>'Base Painel Gerencial'!$H$11:$H$21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94016"/>
        <c:axId val="143892480"/>
      </c:lineChart>
      <c:catAx>
        <c:axId val="14386828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1320000"/>
          <a:lstStyle/>
          <a:p>
            <a:pPr>
              <a:defRPr sz="8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870208"/>
        <c:crosses val="autoZero"/>
        <c:auto val="1"/>
        <c:lblAlgn val="ctr"/>
        <c:lblOffset val="100"/>
        <c:noMultiLvlLbl val="0"/>
      </c:catAx>
      <c:valAx>
        <c:axId val="143870208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868288"/>
        <c:crosses val="autoZero"/>
        <c:crossBetween val="between"/>
        <c:majorUnit val="1"/>
      </c:valAx>
      <c:valAx>
        <c:axId val="14389248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143894016"/>
        <c:crosses val="max"/>
        <c:crossBetween val="between"/>
      </c:valAx>
      <c:catAx>
        <c:axId val="143894016"/>
        <c:scaling>
          <c:orientation val="minMax"/>
        </c:scaling>
        <c:delete val="1"/>
        <c:axPos val="b"/>
        <c:majorTickMark val="out"/>
        <c:minorTickMark val="none"/>
        <c:tickLblPos val="none"/>
        <c:crossAx val="143892480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  <a:ln>
          <a:noFill/>
        </a:ln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>
      <a:noFill/>
    </a:ln>
  </c:spPr>
  <c:printSettings>
    <c:headerFooter/>
    <c:pageMargins b="0.78740157480314954" l="0.51181102362204722" r="0.51181102362204722" t="0.78740157480314954" header="0.31496062992126028" footer="0.31496062992126028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anorama!A1"/><Relationship Id="rId13" Type="http://schemas.openxmlformats.org/officeDocument/2006/relationships/hyperlink" Target="#'Projeto 5'!A1"/><Relationship Id="rId3" Type="http://schemas.openxmlformats.org/officeDocument/2006/relationships/hyperlink" Target="#An&#225;lise!A1"/><Relationship Id="rId7" Type="http://schemas.openxmlformats.org/officeDocument/2006/relationships/hyperlink" Target="#'Acompanhamento Geral'!A1"/><Relationship Id="rId12" Type="http://schemas.openxmlformats.org/officeDocument/2006/relationships/hyperlink" Target="#'Projeto 4'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11" Type="http://schemas.openxmlformats.org/officeDocument/2006/relationships/hyperlink" Target="#'Projeto 3'!A1"/><Relationship Id="rId5" Type="http://schemas.openxmlformats.org/officeDocument/2006/relationships/hyperlink" Target="#Cadastro!A1"/><Relationship Id="rId10" Type="http://schemas.openxmlformats.org/officeDocument/2006/relationships/hyperlink" Target="#'Projeto 2'!A1"/><Relationship Id="rId4" Type="http://schemas.openxmlformats.org/officeDocument/2006/relationships/image" Target="../media/image2.png"/><Relationship Id="rId9" Type="http://schemas.openxmlformats.org/officeDocument/2006/relationships/hyperlink" Target="#'Projeto 1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acelere.vc" TargetMode="External"/><Relationship Id="rId1" Type="http://schemas.openxmlformats.org/officeDocument/2006/relationships/image" Target="../media/image3.png"/><Relationship Id="rId5" Type="http://schemas.openxmlformats.org/officeDocument/2006/relationships/image" Target="../media/image4.png"/><Relationship Id="rId4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4.png"/><Relationship Id="rId5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4.png"/><Relationship Id="rId5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4.png"/><Relationship Id="rId5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image" Target="../media/image4.png"/><Relationship Id="rId5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13.xml"/><Relationship Id="rId7" Type="http://schemas.openxmlformats.org/officeDocument/2006/relationships/hyperlink" Target="#In&#237;cio!A1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1.png"/><Relationship Id="rId5" Type="http://schemas.openxmlformats.org/officeDocument/2006/relationships/hyperlink" Target="http://www.acelere.vc" TargetMode="Externa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159809</xdr:colOff>
      <xdr:row>0</xdr:row>
      <xdr:rowOff>0</xdr:rowOff>
    </xdr:from>
    <xdr:to>
      <xdr:col>21</xdr:col>
      <xdr:colOff>140759</xdr:colOff>
      <xdr:row>1</xdr:row>
      <xdr:rowOff>22779</xdr:rowOff>
    </xdr:to>
    <xdr:pic>
      <xdr:nvPicPr>
        <xdr:cNvPr id="12" name="Imagem 1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0734" y="0"/>
          <a:ext cx="1200150" cy="479979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6</xdr:row>
      <xdr:rowOff>76200</xdr:rowOff>
    </xdr:from>
    <xdr:to>
      <xdr:col>7</xdr:col>
      <xdr:colOff>295275</xdr:colOff>
      <xdr:row>9</xdr:row>
      <xdr:rowOff>43738</xdr:rowOff>
    </xdr:to>
    <xdr:grpSp>
      <xdr:nvGrpSpPr>
        <xdr:cNvPr id="13" name="Grupo 12">
          <a:hlinkClick xmlns:r="http://schemas.openxmlformats.org/officeDocument/2006/relationships" r:id="rId3"/>
        </xdr:cNvPr>
        <xdr:cNvGrpSpPr/>
      </xdr:nvGrpSpPr>
      <xdr:grpSpPr>
        <a:xfrm>
          <a:off x="2295525" y="1485900"/>
          <a:ext cx="1895475" cy="539038"/>
          <a:chOff x="285750" y="2400300"/>
          <a:chExt cx="1895475" cy="539038"/>
        </a:xfrm>
      </xdr:grpSpPr>
      <xdr:pic>
        <xdr:nvPicPr>
          <xdr:cNvPr id="14" name="Imagem 13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5" name="CaixaDeTexto 14">
            <a:hlinkClick xmlns:r="http://schemas.openxmlformats.org/officeDocument/2006/relationships" r:id="rId5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CADASTRO</a:t>
            </a:r>
          </a:p>
        </xdr:txBody>
      </xdr:sp>
    </xdr:grpSp>
    <xdr:clientData/>
  </xdr:twoCellAnchor>
  <xdr:twoCellAnchor>
    <xdr:from>
      <xdr:col>8</xdr:col>
      <xdr:colOff>600075</xdr:colOff>
      <xdr:row>6</xdr:row>
      <xdr:rowOff>76200</xdr:rowOff>
    </xdr:from>
    <xdr:to>
      <xdr:col>12</xdr:col>
      <xdr:colOff>57150</xdr:colOff>
      <xdr:row>9</xdr:row>
      <xdr:rowOff>43738</xdr:rowOff>
    </xdr:to>
    <xdr:grpSp>
      <xdr:nvGrpSpPr>
        <xdr:cNvPr id="16" name="Grupo 15">
          <a:hlinkClick xmlns:r="http://schemas.openxmlformats.org/officeDocument/2006/relationships" r:id="rId6"/>
        </xdr:cNvPr>
        <xdr:cNvGrpSpPr/>
      </xdr:nvGrpSpPr>
      <xdr:grpSpPr>
        <a:xfrm>
          <a:off x="5105400" y="1485900"/>
          <a:ext cx="1895475" cy="539038"/>
          <a:chOff x="285750" y="2400300"/>
          <a:chExt cx="1895475" cy="539038"/>
        </a:xfrm>
      </xdr:grpSpPr>
      <xdr:pic>
        <xdr:nvPicPr>
          <xdr:cNvPr id="17" name="Imagem 16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8" name="CaixaDeTexto 17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ACOMPANHAMENTO</a:t>
            </a:r>
          </a:p>
        </xdr:txBody>
      </xdr:sp>
    </xdr:grpSp>
    <xdr:clientData/>
  </xdr:twoCellAnchor>
  <xdr:twoCellAnchor>
    <xdr:from>
      <xdr:col>13</xdr:col>
      <xdr:colOff>466725</xdr:colOff>
      <xdr:row>6</xdr:row>
      <xdr:rowOff>76200</xdr:rowOff>
    </xdr:from>
    <xdr:to>
      <xdr:col>16</xdr:col>
      <xdr:colOff>533400</xdr:colOff>
      <xdr:row>9</xdr:row>
      <xdr:rowOff>43738</xdr:rowOff>
    </xdr:to>
    <xdr:grpSp>
      <xdr:nvGrpSpPr>
        <xdr:cNvPr id="19" name="Grupo 18">
          <a:hlinkClick xmlns:r="http://schemas.openxmlformats.org/officeDocument/2006/relationships" r:id="rId3"/>
        </xdr:cNvPr>
        <xdr:cNvGrpSpPr/>
      </xdr:nvGrpSpPr>
      <xdr:grpSpPr>
        <a:xfrm>
          <a:off x="8020050" y="1485900"/>
          <a:ext cx="1895475" cy="539038"/>
          <a:chOff x="285750" y="2400300"/>
          <a:chExt cx="1895475" cy="539038"/>
        </a:xfrm>
      </xdr:grpSpPr>
      <xdr:pic>
        <xdr:nvPicPr>
          <xdr:cNvPr id="20" name="Imagem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" name="CaixaDeTexto 20">
            <a:hlinkClick xmlns:r="http://schemas.openxmlformats.org/officeDocument/2006/relationships" r:id="rId8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PANORAMA</a:t>
            </a:r>
          </a:p>
        </xdr:txBody>
      </xdr:sp>
    </xdr:grpSp>
    <xdr:clientData/>
  </xdr:twoCellAnchor>
  <xdr:twoCellAnchor>
    <xdr:from>
      <xdr:col>1</xdr:col>
      <xdr:colOff>447675</xdr:colOff>
      <xdr:row>14</xdr:row>
      <xdr:rowOff>85725</xdr:rowOff>
    </xdr:from>
    <xdr:to>
      <xdr:col>4</xdr:col>
      <xdr:colOff>514350</xdr:colOff>
      <xdr:row>17</xdr:row>
      <xdr:rowOff>53263</xdr:rowOff>
    </xdr:to>
    <xdr:grpSp>
      <xdr:nvGrpSpPr>
        <xdr:cNvPr id="22" name="Grupo 21">
          <a:hlinkClick xmlns:r="http://schemas.openxmlformats.org/officeDocument/2006/relationships" r:id="rId3"/>
        </xdr:cNvPr>
        <xdr:cNvGrpSpPr/>
      </xdr:nvGrpSpPr>
      <xdr:grpSpPr>
        <a:xfrm>
          <a:off x="685800" y="3019425"/>
          <a:ext cx="1895475" cy="539038"/>
          <a:chOff x="285750" y="2400300"/>
          <a:chExt cx="1895475" cy="539038"/>
        </a:xfrm>
      </xdr:grpSpPr>
      <xdr:pic>
        <xdr:nvPicPr>
          <xdr:cNvPr id="23" name="Imagem 22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4" name="CaixaDeTexto 23">
            <a:hlinkClick xmlns:r="http://schemas.openxmlformats.org/officeDocument/2006/relationships" r:id="rId9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PROJETO 1</a:t>
            </a:r>
          </a:p>
        </xdr:txBody>
      </xdr:sp>
    </xdr:grpSp>
    <xdr:clientData/>
  </xdr:twoCellAnchor>
  <xdr:twoCellAnchor>
    <xdr:from>
      <xdr:col>5</xdr:col>
      <xdr:colOff>323850</xdr:colOff>
      <xdr:row>14</xdr:row>
      <xdr:rowOff>104775</xdr:rowOff>
    </xdr:from>
    <xdr:to>
      <xdr:col>8</xdr:col>
      <xdr:colOff>390525</xdr:colOff>
      <xdr:row>17</xdr:row>
      <xdr:rowOff>72313</xdr:rowOff>
    </xdr:to>
    <xdr:grpSp>
      <xdr:nvGrpSpPr>
        <xdr:cNvPr id="25" name="Grupo 24">
          <a:hlinkClick xmlns:r="http://schemas.openxmlformats.org/officeDocument/2006/relationships" r:id="rId6"/>
        </xdr:cNvPr>
        <xdr:cNvGrpSpPr/>
      </xdr:nvGrpSpPr>
      <xdr:grpSpPr>
        <a:xfrm>
          <a:off x="3000375" y="3038475"/>
          <a:ext cx="1895475" cy="539038"/>
          <a:chOff x="285750" y="2400300"/>
          <a:chExt cx="1895475" cy="539038"/>
        </a:xfrm>
      </xdr:grpSpPr>
      <xdr:pic>
        <xdr:nvPicPr>
          <xdr:cNvPr id="26" name="Imagem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7" name="CaixaDeTexto 26">
            <a:hlinkClick xmlns:r="http://schemas.openxmlformats.org/officeDocument/2006/relationships" r:id="rId10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PROJETO 2</a:t>
            </a:r>
          </a:p>
        </xdr:txBody>
      </xdr:sp>
    </xdr:grpSp>
    <xdr:clientData/>
  </xdr:twoCellAnchor>
  <xdr:twoCellAnchor>
    <xdr:from>
      <xdr:col>9</xdr:col>
      <xdr:colOff>276225</xdr:colOff>
      <xdr:row>14</xdr:row>
      <xdr:rowOff>114300</xdr:rowOff>
    </xdr:from>
    <xdr:to>
      <xdr:col>12</xdr:col>
      <xdr:colOff>342900</xdr:colOff>
      <xdr:row>17</xdr:row>
      <xdr:rowOff>81838</xdr:rowOff>
    </xdr:to>
    <xdr:grpSp>
      <xdr:nvGrpSpPr>
        <xdr:cNvPr id="28" name="Grupo 27">
          <a:hlinkClick xmlns:r="http://schemas.openxmlformats.org/officeDocument/2006/relationships" r:id="rId3"/>
        </xdr:cNvPr>
        <xdr:cNvGrpSpPr/>
      </xdr:nvGrpSpPr>
      <xdr:grpSpPr>
        <a:xfrm>
          <a:off x="5391150" y="3048000"/>
          <a:ext cx="1895475" cy="539038"/>
          <a:chOff x="285750" y="2400300"/>
          <a:chExt cx="1895475" cy="539038"/>
        </a:xfrm>
      </xdr:grpSpPr>
      <xdr:pic>
        <xdr:nvPicPr>
          <xdr:cNvPr id="29" name="Imagem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0" name="CaixaDeTexto 29">
            <a:hlinkClick xmlns:r="http://schemas.openxmlformats.org/officeDocument/2006/relationships" r:id="rId11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PROJETO 3</a:t>
            </a:r>
          </a:p>
        </xdr:txBody>
      </xdr:sp>
    </xdr:grpSp>
    <xdr:clientData/>
  </xdr:twoCellAnchor>
  <xdr:twoCellAnchor>
    <xdr:from>
      <xdr:col>13</xdr:col>
      <xdr:colOff>200025</xdr:colOff>
      <xdr:row>14</xdr:row>
      <xdr:rowOff>123825</xdr:rowOff>
    </xdr:from>
    <xdr:to>
      <xdr:col>16</xdr:col>
      <xdr:colOff>266700</xdr:colOff>
      <xdr:row>17</xdr:row>
      <xdr:rowOff>91363</xdr:rowOff>
    </xdr:to>
    <xdr:grpSp>
      <xdr:nvGrpSpPr>
        <xdr:cNvPr id="31" name="Grupo 30">
          <a:hlinkClick xmlns:r="http://schemas.openxmlformats.org/officeDocument/2006/relationships" r:id="rId6"/>
        </xdr:cNvPr>
        <xdr:cNvGrpSpPr/>
      </xdr:nvGrpSpPr>
      <xdr:grpSpPr>
        <a:xfrm>
          <a:off x="7753350" y="3057525"/>
          <a:ext cx="1895475" cy="539038"/>
          <a:chOff x="285750" y="2400300"/>
          <a:chExt cx="1895475" cy="539038"/>
        </a:xfrm>
      </xdr:grpSpPr>
      <xdr:pic>
        <xdr:nvPicPr>
          <xdr:cNvPr id="32" name="Imagem 31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3" name="CaixaDeTexto 32">
            <a:hlinkClick xmlns:r="http://schemas.openxmlformats.org/officeDocument/2006/relationships" r:id="rId12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PROJETO 4</a:t>
            </a:r>
          </a:p>
        </xdr:txBody>
      </xdr:sp>
    </xdr:grpSp>
    <xdr:clientData/>
  </xdr:twoCellAnchor>
  <xdr:twoCellAnchor>
    <xdr:from>
      <xdr:col>17</xdr:col>
      <xdr:colOff>161925</xdr:colOff>
      <xdr:row>14</xdr:row>
      <xdr:rowOff>142875</xdr:rowOff>
    </xdr:from>
    <xdr:to>
      <xdr:col>20</xdr:col>
      <xdr:colOff>228600</xdr:colOff>
      <xdr:row>17</xdr:row>
      <xdr:rowOff>110413</xdr:rowOff>
    </xdr:to>
    <xdr:grpSp>
      <xdr:nvGrpSpPr>
        <xdr:cNvPr id="34" name="Grupo 33">
          <a:hlinkClick xmlns:r="http://schemas.openxmlformats.org/officeDocument/2006/relationships" r:id="rId3"/>
        </xdr:cNvPr>
        <xdr:cNvGrpSpPr/>
      </xdr:nvGrpSpPr>
      <xdr:grpSpPr>
        <a:xfrm>
          <a:off x="10153650" y="3076575"/>
          <a:ext cx="1895475" cy="539038"/>
          <a:chOff x="285750" y="2400300"/>
          <a:chExt cx="1895475" cy="539038"/>
        </a:xfrm>
      </xdr:grpSpPr>
      <xdr:pic>
        <xdr:nvPicPr>
          <xdr:cNvPr id="35" name="Imagem 34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6" name="CaixaDeTexto 35">
            <a:hlinkClick xmlns:r="http://schemas.openxmlformats.org/officeDocument/2006/relationships" r:id="rId13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PROJETO 5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370417</xdr:colOff>
      <xdr:row>19</xdr:row>
      <xdr:rowOff>137583</xdr:rowOff>
    </xdr:from>
    <xdr:to>
      <xdr:col>20</xdr:col>
      <xdr:colOff>355120</xdr:colOff>
      <xdr:row>22</xdr:row>
      <xdr:rowOff>938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3217" y="4909608"/>
          <a:ext cx="1203902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 editAs="oneCell">
    <xdr:from>
      <xdr:col>12</xdr:col>
      <xdr:colOff>262466</xdr:colOff>
      <xdr:row>0</xdr:row>
      <xdr:rowOff>0</xdr:rowOff>
    </xdr:from>
    <xdr:to>
      <xdr:col>14</xdr:col>
      <xdr:colOff>234951</xdr:colOff>
      <xdr:row>1</xdr:row>
      <xdr:rowOff>24896</xdr:rowOff>
    </xdr:to>
    <xdr:pic>
      <xdr:nvPicPr>
        <xdr:cNvPr id="10" name="Imagem 9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6133" y="0"/>
          <a:ext cx="1200151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52916</xdr:colOff>
      <xdr:row>0</xdr:row>
      <xdr:rowOff>66675</xdr:rowOff>
    </xdr:from>
    <xdr:to>
      <xdr:col>1</xdr:col>
      <xdr:colOff>1058</xdr:colOff>
      <xdr:row>0</xdr:row>
      <xdr:rowOff>396724</xdr:rowOff>
    </xdr:to>
    <xdr:pic>
      <xdr:nvPicPr>
        <xdr:cNvPr id="11" name="Imagem 10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16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7942792</xdr:colOff>
      <xdr:row>0</xdr:row>
      <xdr:rowOff>0</xdr:rowOff>
    </xdr:from>
    <xdr:to>
      <xdr:col>3</xdr:col>
      <xdr:colOff>9142943</xdr:colOff>
      <xdr:row>1</xdr:row>
      <xdr:rowOff>22779</xdr:rowOff>
    </xdr:to>
    <xdr:pic>
      <xdr:nvPicPr>
        <xdr:cNvPr id="9" name="Imagem 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0367" y="0"/>
          <a:ext cx="1200151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66675</xdr:rowOff>
    </xdr:from>
    <xdr:to>
      <xdr:col>0</xdr:col>
      <xdr:colOff>619125</xdr:colOff>
      <xdr:row>0</xdr:row>
      <xdr:rowOff>396724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342900</xdr:colOff>
      <xdr:row>22</xdr:row>
      <xdr:rowOff>28574</xdr:rowOff>
    </xdr:from>
    <xdr:to>
      <xdr:col>94</xdr:col>
      <xdr:colOff>857249</xdr:colOff>
      <xdr:row>36</xdr:row>
      <xdr:rowOff>95249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81</xdr:col>
      <xdr:colOff>309562</xdr:colOff>
      <xdr:row>22</xdr:row>
      <xdr:rowOff>45244</xdr:rowOff>
    </xdr:from>
    <xdr:to>
      <xdr:col>88</xdr:col>
      <xdr:colOff>146217</xdr:colOff>
      <xdr:row>36</xdr:row>
      <xdr:rowOff>111919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7933267</xdr:colOff>
      <xdr:row>0</xdr:row>
      <xdr:rowOff>0</xdr:rowOff>
    </xdr:from>
    <xdr:to>
      <xdr:col>3</xdr:col>
      <xdr:colOff>646643</xdr:colOff>
      <xdr:row>1</xdr:row>
      <xdr:rowOff>22779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42" y="0"/>
          <a:ext cx="1" cy="479979"/>
        </a:xfrm>
        <a:prstGeom prst="rect">
          <a:avLst/>
        </a:prstGeom>
      </xdr:spPr>
    </xdr:pic>
    <xdr:clientData/>
  </xdr:twoCellAnchor>
  <xdr:twoCellAnchor editAs="oneCell">
    <xdr:from>
      <xdr:col>21</xdr:col>
      <xdr:colOff>84667</xdr:colOff>
      <xdr:row>0</xdr:row>
      <xdr:rowOff>0</xdr:rowOff>
    </xdr:from>
    <xdr:to>
      <xdr:col>34</xdr:col>
      <xdr:colOff>46568</xdr:colOff>
      <xdr:row>1</xdr:row>
      <xdr:rowOff>22779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0367" y="0"/>
          <a:ext cx="1200151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66675</xdr:rowOff>
    </xdr:from>
    <xdr:to>
      <xdr:col>0</xdr:col>
      <xdr:colOff>619125</xdr:colOff>
      <xdr:row>0</xdr:row>
      <xdr:rowOff>396724</xdr:rowOff>
    </xdr:to>
    <xdr:pic>
      <xdr:nvPicPr>
        <xdr:cNvPr id="11" name="Imagem 10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342900</xdr:colOff>
      <xdr:row>22</xdr:row>
      <xdr:rowOff>28574</xdr:rowOff>
    </xdr:from>
    <xdr:to>
      <xdr:col>94</xdr:col>
      <xdr:colOff>857249</xdr:colOff>
      <xdr:row>36</xdr:row>
      <xdr:rowOff>95249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81</xdr:col>
      <xdr:colOff>309562</xdr:colOff>
      <xdr:row>22</xdr:row>
      <xdr:rowOff>45244</xdr:rowOff>
    </xdr:from>
    <xdr:to>
      <xdr:col>88</xdr:col>
      <xdr:colOff>146217</xdr:colOff>
      <xdr:row>36</xdr:row>
      <xdr:rowOff>111919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7933267</xdr:colOff>
      <xdr:row>0</xdr:row>
      <xdr:rowOff>0</xdr:rowOff>
    </xdr:from>
    <xdr:to>
      <xdr:col>4</xdr:col>
      <xdr:colOff>3706</xdr:colOff>
      <xdr:row>1</xdr:row>
      <xdr:rowOff>22779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42" y="0"/>
          <a:ext cx="4764" cy="479979"/>
        </a:xfrm>
        <a:prstGeom prst="rect">
          <a:avLst/>
        </a:prstGeom>
      </xdr:spPr>
    </xdr:pic>
    <xdr:clientData/>
  </xdr:twoCellAnchor>
  <xdr:twoCellAnchor editAs="oneCell">
    <xdr:from>
      <xdr:col>21</xdr:col>
      <xdr:colOff>65617</xdr:colOff>
      <xdr:row>0</xdr:row>
      <xdr:rowOff>0</xdr:rowOff>
    </xdr:from>
    <xdr:to>
      <xdr:col>34</xdr:col>
      <xdr:colOff>27518</xdr:colOff>
      <xdr:row>1</xdr:row>
      <xdr:rowOff>22779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1317" y="0"/>
          <a:ext cx="1200151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66675</xdr:rowOff>
    </xdr:from>
    <xdr:to>
      <xdr:col>0</xdr:col>
      <xdr:colOff>600075</xdr:colOff>
      <xdr:row>0</xdr:row>
      <xdr:rowOff>396724</xdr:rowOff>
    </xdr:to>
    <xdr:pic>
      <xdr:nvPicPr>
        <xdr:cNvPr id="11" name="Imagem 10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342900</xdr:colOff>
      <xdr:row>22</xdr:row>
      <xdr:rowOff>28574</xdr:rowOff>
    </xdr:from>
    <xdr:to>
      <xdr:col>94</xdr:col>
      <xdr:colOff>857249</xdr:colOff>
      <xdr:row>36</xdr:row>
      <xdr:rowOff>95249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81</xdr:col>
      <xdr:colOff>309562</xdr:colOff>
      <xdr:row>22</xdr:row>
      <xdr:rowOff>45244</xdr:rowOff>
    </xdr:from>
    <xdr:to>
      <xdr:col>88</xdr:col>
      <xdr:colOff>146217</xdr:colOff>
      <xdr:row>36</xdr:row>
      <xdr:rowOff>111919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7933267</xdr:colOff>
      <xdr:row>0</xdr:row>
      <xdr:rowOff>0</xdr:rowOff>
    </xdr:from>
    <xdr:to>
      <xdr:col>4</xdr:col>
      <xdr:colOff>3706</xdr:colOff>
      <xdr:row>1</xdr:row>
      <xdr:rowOff>22779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42" y="0"/>
          <a:ext cx="4764" cy="479979"/>
        </a:xfrm>
        <a:prstGeom prst="rect">
          <a:avLst/>
        </a:prstGeom>
      </xdr:spPr>
    </xdr:pic>
    <xdr:clientData/>
  </xdr:twoCellAnchor>
  <xdr:twoCellAnchor editAs="oneCell">
    <xdr:from>
      <xdr:col>21</xdr:col>
      <xdr:colOff>94192</xdr:colOff>
      <xdr:row>0</xdr:row>
      <xdr:rowOff>0</xdr:rowOff>
    </xdr:from>
    <xdr:to>
      <xdr:col>34</xdr:col>
      <xdr:colOff>56093</xdr:colOff>
      <xdr:row>1</xdr:row>
      <xdr:rowOff>22779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892" y="0"/>
          <a:ext cx="1200151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0</xdr:col>
      <xdr:colOff>628650</xdr:colOff>
      <xdr:row>0</xdr:row>
      <xdr:rowOff>396724</xdr:rowOff>
    </xdr:to>
    <xdr:pic>
      <xdr:nvPicPr>
        <xdr:cNvPr id="11" name="Imagem 10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342900</xdr:colOff>
      <xdr:row>22</xdr:row>
      <xdr:rowOff>28574</xdr:rowOff>
    </xdr:from>
    <xdr:to>
      <xdr:col>94</xdr:col>
      <xdr:colOff>857249</xdr:colOff>
      <xdr:row>36</xdr:row>
      <xdr:rowOff>95249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81</xdr:col>
      <xdr:colOff>309562</xdr:colOff>
      <xdr:row>22</xdr:row>
      <xdr:rowOff>45244</xdr:rowOff>
    </xdr:from>
    <xdr:to>
      <xdr:col>88</xdr:col>
      <xdr:colOff>146217</xdr:colOff>
      <xdr:row>36</xdr:row>
      <xdr:rowOff>111919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7933267</xdr:colOff>
      <xdr:row>0</xdr:row>
      <xdr:rowOff>0</xdr:rowOff>
    </xdr:from>
    <xdr:to>
      <xdr:col>4</xdr:col>
      <xdr:colOff>3706</xdr:colOff>
      <xdr:row>1</xdr:row>
      <xdr:rowOff>22779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42" y="0"/>
          <a:ext cx="4764" cy="479979"/>
        </a:xfrm>
        <a:prstGeom prst="rect">
          <a:avLst/>
        </a:prstGeom>
      </xdr:spPr>
    </xdr:pic>
    <xdr:clientData/>
  </xdr:twoCellAnchor>
  <xdr:twoCellAnchor editAs="oneCell">
    <xdr:from>
      <xdr:col>21</xdr:col>
      <xdr:colOff>75142</xdr:colOff>
      <xdr:row>0</xdr:row>
      <xdr:rowOff>0</xdr:rowOff>
    </xdr:from>
    <xdr:to>
      <xdr:col>34</xdr:col>
      <xdr:colOff>37043</xdr:colOff>
      <xdr:row>1</xdr:row>
      <xdr:rowOff>22779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0842" y="0"/>
          <a:ext cx="1200151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0</xdr:col>
      <xdr:colOff>609600</xdr:colOff>
      <xdr:row>0</xdr:row>
      <xdr:rowOff>396724</xdr:rowOff>
    </xdr:to>
    <xdr:pic>
      <xdr:nvPicPr>
        <xdr:cNvPr id="11" name="Imagem 10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342900</xdr:colOff>
      <xdr:row>22</xdr:row>
      <xdr:rowOff>28574</xdr:rowOff>
    </xdr:from>
    <xdr:to>
      <xdr:col>94</xdr:col>
      <xdr:colOff>857249</xdr:colOff>
      <xdr:row>36</xdr:row>
      <xdr:rowOff>95249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81</xdr:col>
      <xdr:colOff>309562</xdr:colOff>
      <xdr:row>22</xdr:row>
      <xdr:rowOff>45244</xdr:rowOff>
    </xdr:from>
    <xdr:to>
      <xdr:col>88</xdr:col>
      <xdr:colOff>146217</xdr:colOff>
      <xdr:row>36</xdr:row>
      <xdr:rowOff>111919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7933267</xdr:colOff>
      <xdr:row>0</xdr:row>
      <xdr:rowOff>0</xdr:rowOff>
    </xdr:from>
    <xdr:to>
      <xdr:col>4</xdr:col>
      <xdr:colOff>3706</xdr:colOff>
      <xdr:row>1</xdr:row>
      <xdr:rowOff>22779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42" y="0"/>
          <a:ext cx="4764" cy="479979"/>
        </a:xfrm>
        <a:prstGeom prst="rect">
          <a:avLst/>
        </a:prstGeom>
      </xdr:spPr>
    </xdr:pic>
    <xdr:clientData/>
  </xdr:twoCellAnchor>
  <xdr:twoCellAnchor editAs="oneCell">
    <xdr:from>
      <xdr:col>21</xdr:col>
      <xdr:colOff>75142</xdr:colOff>
      <xdr:row>0</xdr:row>
      <xdr:rowOff>0</xdr:rowOff>
    </xdr:from>
    <xdr:to>
      <xdr:col>34</xdr:col>
      <xdr:colOff>37043</xdr:colOff>
      <xdr:row>1</xdr:row>
      <xdr:rowOff>22779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0842" y="0"/>
          <a:ext cx="1200151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0</xdr:col>
      <xdr:colOff>609600</xdr:colOff>
      <xdr:row>0</xdr:row>
      <xdr:rowOff>396724</xdr:rowOff>
    </xdr:to>
    <xdr:pic>
      <xdr:nvPicPr>
        <xdr:cNvPr id="11" name="Imagem 10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833438</xdr:colOff>
      <xdr:row>0</xdr:row>
      <xdr:rowOff>38095</xdr:rowOff>
    </xdr:from>
    <xdr:to>
      <xdr:col>32</xdr:col>
      <xdr:colOff>95249</xdr:colOff>
      <xdr:row>2</xdr:row>
      <xdr:rowOff>16667</xdr:rowOff>
    </xdr:to>
    <xdr:sp macro="" textlink="">
      <xdr:nvSpPr>
        <xdr:cNvPr id="2" name="Retângulo de cantos arredondados 1"/>
        <xdr:cNvSpPr/>
      </xdr:nvSpPr>
      <xdr:spPr>
        <a:xfrm>
          <a:off x="928688" y="38095"/>
          <a:ext cx="26027061" cy="359572"/>
        </a:xfrm>
        <a:prstGeom prst="roundRect">
          <a:avLst/>
        </a:prstGeom>
        <a:ln>
          <a:solidFill>
            <a:schemeClr val="tx2">
              <a:lumMod val="50000"/>
            </a:schemeClr>
          </a:solidFill>
          <a:prstDash val="dashDot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pt-BR" sz="1200" u="none"/>
            <a:t>Base Painel </a:t>
          </a:r>
          <a:r>
            <a:rPr lang="pt-BR" sz="1200" u="none" baseline="0"/>
            <a:t>Gerencial</a:t>
          </a:r>
          <a:endParaRPr lang="pt-BR" sz="1200" u="none"/>
        </a:p>
      </xdr:txBody>
    </xdr:sp>
    <xdr:clientData/>
  </xdr:twoCellAnchor>
  <xdr:twoCellAnchor editAs="oneCell">
    <xdr:from>
      <xdr:col>0</xdr:col>
      <xdr:colOff>35718</xdr:colOff>
      <xdr:row>0</xdr:row>
      <xdr:rowOff>35718</xdr:rowOff>
    </xdr:from>
    <xdr:to>
      <xdr:col>1</xdr:col>
      <xdr:colOff>795361</xdr:colOff>
      <xdr:row>2</xdr:row>
      <xdr:rowOff>59595</xdr:rowOff>
    </xdr:to>
    <xdr:pic>
      <xdr:nvPicPr>
        <xdr:cNvPr id="3" name="Imagem 2" descr="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718" y="35718"/>
          <a:ext cx="854893" cy="40487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135729</xdr:colOff>
      <xdr:row>2</xdr:row>
      <xdr:rowOff>142875</xdr:rowOff>
    </xdr:from>
    <xdr:to>
      <xdr:col>13</xdr:col>
      <xdr:colOff>1131092</xdr:colOff>
      <xdr:row>22</xdr:row>
      <xdr:rowOff>11906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40481</xdr:colOff>
      <xdr:row>24</xdr:row>
      <xdr:rowOff>180975</xdr:rowOff>
    </xdr:from>
    <xdr:to>
      <xdr:col>13</xdr:col>
      <xdr:colOff>1409700</xdr:colOff>
      <xdr:row>55</xdr:row>
      <xdr:rowOff>9525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11905</xdr:colOff>
      <xdr:row>2</xdr:row>
      <xdr:rowOff>130969</xdr:rowOff>
    </xdr:from>
    <xdr:to>
      <xdr:col>10</xdr:col>
      <xdr:colOff>1314448</xdr:colOff>
      <xdr:row>22</xdr:row>
      <xdr:rowOff>11908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11907</xdr:colOff>
      <xdr:row>56</xdr:row>
      <xdr:rowOff>47625</xdr:rowOff>
    </xdr:from>
    <xdr:to>
      <xdr:col>13</xdr:col>
      <xdr:colOff>1216819</xdr:colOff>
      <xdr:row>84</xdr:row>
      <xdr:rowOff>142875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1427692</xdr:colOff>
      <xdr:row>0</xdr:row>
      <xdr:rowOff>0</xdr:rowOff>
    </xdr:from>
    <xdr:to>
      <xdr:col>11</xdr:col>
      <xdr:colOff>1139562</xdr:colOff>
      <xdr:row>1</xdr:row>
      <xdr:rowOff>27541</xdr:rowOff>
    </xdr:to>
    <xdr:pic>
      <xdr:nvPicPr>
        <xdr:cNvPr id="12" name="Imagem 11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1317" y="0"/>
          <a:ext cx="1197770" cy="48474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66675</xdr:rowOff>
    </xdr:from>
    <xdr:to>
      <xdr:col>0</xdr:col>
      <xdr:colOff>600075</xdr:colOff>
      <xdr:row>0</xdr:row>
      <xdr:rowOff>396724</xdr:rowOff>
    </xdr:to>
    <xdr:pic>
      <xdr:nvPicPr>
        <xdr:cNvPr id="15" name="Imagem 14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6675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showGridLines="0" tabSelected="1" zoomScaleNormal="100" workbookViewId="0">
      <selection activeCell="B4" sqref="B4"/>
    </sheetView>
  </sheetViews>
  <sheetFormatPr defaultRowHeight="15" x14ac:dyDescent="0.25"/>
  <cols>
    <col min="1" max="1" width="3.5703125" customWidth="1"/>
  </cols>
  <sheetData>
    <row r="1" spans="1:25" s="94" customFormat="1" ht="36" customHeight="1" x14ac:dyDescent="0.25">
      <c r="A1" s="97" t="s">
        <v>140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3"/>
      <c r="W1" s="93"/>
      <c r="X1" s="93"/>
      <c r="Y1" s="93"/>
    </row>
  </sheetData>
  <mergeCells count="1">
    <mergeCell ref="A1:U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showGridLines="0" zoomScale="90" zoomScaleNormal="90" workbookViewId="0">
      <selection activeCell="B11" sqref="B11"/>
    </sheetView>
  </sheetViews>
  <sheetFormatPr defaultRowHeight="15" x14ac:dyDescent="0.25"/>
  <cols>
    <col min="6" max="6" width="37.28515625" style="38" customWidth="1"/>
    <col min="8" max="8" width="37.5703125" customWidth="1"/>
  </cols>
  <sheetData>
    <row r="1" spans="1:25" s="94" customFormat="1" ht="36" customHeight="1" x14ac:dyDescent="0.25">
      <c r="A1" s="97" t="s">
        <v>141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5"/>
      <c r="Q1" s="95"/>
      <c r="R1" s="95"/>
      <c r="S1" s="95"/>
      <c r="T1" s="95"/>
      <c r="U1" s="93"/>
      <c r="V1" s="93"/>
      <c r="W1" s="93"/>
      <c r="X1" s="93"/>
      <c r="Y1" s="93"/>
    </row>
    <row r="5" spans="1:25" x14ac:dyDescent="0.25">
      <c r="E5" s="1"/>
      <c r="F5" s="99" t="s">
        <v>123</v>
      </c>
      <c r="G5" s="1"/>
      <c r="H5" s="99" t="s">
        <v>139</v>
      </c>
      <c r="I5" s="1"/>
    </row>
    <row r="6" spans="1:25" ht="12" customHeight="1" thickBot="1" x14ac:dyDescent="0.3">
      <c r="E6" s="1"/>
      <c r="F6" s="100"/>
      <c r="G6" s="1"/>
      <c r="H6" s="100"/>
      <c r="I6" s="1"/>
    </row>
    <row r="7" spans="1:25" ht="16.5" thickTop="1" thickBot="1" x14ac:dyDescent="0.3">
      <c r="E7" s="1"/>
      <c r="F7" s="80"/>
      <c r="G7" s="1"/>
      <c r="H7" s="80" t="s">
        <v>62</v>
      </c>
      <c r="I7" s="1"/>
    </row>
    <row r="8" spans="1:25" ht="16.5" thickTop="1" thickBot="1" x14ac:dyDescent="0.3">
      <c r="E8" s="1"/>
      <c r="F8" s="80"/>
      <c r="G8" s="1"/>
      <c r="H8" s="80" t="s">
        <v>63</v>
      </c>
      <c r="I8" s="1"/>
    </row>
    <row r="9" spans="1:25" ht="16.5" thickTop="1" thickBot="1" x14ac:dyDescent="0.3">
      <c r="E9" s="1"/>
      <c r="F9" s="80"/>
      <c r="G9" s="1"/>
      <c r="H9" s="80" t="s">
        <v>64</v>
      </c>
      <c r="I9" s="1"/>
    </row>
    <row r="10" spans="1:25" ht="16.5" thickTop="1" thickBot="1" x14ac:dyDescent="0.3">
      <c r="E10" s="1"/>
      <c r="F10" s="80"/>
      <c r="G10" s="1"/>
      <c r="H10" s="80" t="s">
        <v>65</v>
      </c>
      <c r="I10" s="1"/>
    </row>
    <row r="11" spans="1:25" ht="16.5" thickTop="1" thickBot="1" x14ac:dyDescent="0.3">
      <c r="E11" s="1"/>
      <c r="F11" s="80" t="s">
        <v>103</v>
      </c>
      <c r="G11" s="1"/>
      <c r="H11" s="80" t="s">
        <v>66</v>
      </c>
      <c r="I11" s="1"/>
    </row>
    <row r="12" spans="1:25" ht="16.5" thickTop="1" thickBot="1" x14ac:dyDescent="0.3">
      <c r="E12" s="1"/>
      <c r="F12" s="80" t="s">
        <v>103</v>
      </c>
      <c r="G12" s="1"/>
      <c r="H12" s="80" t="s">
        <v>67</v>
      </c>
      <c r="I12" s="1"/>
    </row>
    <row r="13" spans="1:25" ht="16.5" thickTop="1" thickBot="1" x14ac:dyDescent="0.3">
      <c r="E13" s="1"/>
      <c r="F13" s="80" t="s">
        <v>103</v>
      </c>
      <c r="G13" s="1"/>
      <c r="H13" s="80" t="s">
        <v>68</v>
      </c>
      <c r="I13" s="1"/>
    </row>
    <row r="14" spans="1:25" ht="16.5" thickTop="1" thickBot="1" x14ac:dyDescent="0.3">
      <c r="E14" s="1"/>
      <c r="F14" s="80" t="s">
        <v>103</v>
      </c>
      <c r="G14" s="1"/>
      <c r="H14" s="80" t="s">
        <v>69</v>
      </c>
      <c r="I14" s="1"/>
    </row>
    <row r="15" spans="1:25" ht="16.5" thickTop="1" thickBot="1" x14ac:dyDescent="0.3">
      <c r="E15" s="1"/>
      <c r="F15" s="80" t="s">
        <v>103</v>
      </c>
      <c r="G15" s="1"/>
      <c r="H15" s="80" t="s">
        <v>70</v>
      </c>
      <c r="I15" s="1"/>
    </row>
    <row r="16" spans="1:25" ht="16.5" thickTop="1" thickBot="1" x14ac:dyDescent="0.3">
      <c r="E16" s="1"/>
      <c r="F16" s="80" t="s">
        <v>103</v>
      </c>
      <c r="G16" s="1"/>
      <c r="H16" s="80" t="s">
        <v>71</v>
      </c>
      <c r="I16" s="1"/>
    </row>
    <row r="17" spans="5:9" ht="16.5" thickTop="1" thickBot="1" x14ac:dyDescent="0.3">
      <c r="E17" s="1"/>
      <c r="F17" s="80" t="s">
        <v>103</v>
      </c>
      <c r="G17" s="1"/>
      <c r="H17" s="80" t="s">
        <v>72</v>
      </c>
      <c r="I17" s="1"/>
    </row>
    <row r="18" spans="5:9" ht="16.5" thickTop="1" thickBot="1" x14ac:dyDescent="0.3">
      <c r="H18" s="80" t="s">
        <v>73</v>
      </c>
      <c r="I18" s="1"/>
    </row>
    <row r="19" spans="5:9" ht="16.5" thickTop="1" thickBot="1" x14ac:dyDescent="0.3">
      <c r="H19" s="80" t="s">
        <v>74</v>
      </c>
      <c r="I19" s="1"/>
    </row>
    <row r="20" spans="5:9" ht="16.5" thickTop="1" thickBot="1" x14ac:dyDescent="0.3">
      <c r="H20" s="80" t="s">
        <v>75</v>
      </c>
      <c r="I20" s="1"/>
    </row>
    <row r="21" spans="5:9" ht="16.5" thickTop="1" thickBot="1" x14ac:dyDescent="0.3">
      <c r="H21" s="80" t="s">
        <v>76</v>
      </c>
      <c r="I21" s="1"/>
    </row>
    <row r="22" spans="5:9" ht="16.5" thickTop="1" thickBot="1" x14ac:dyDescent="0.3">
      <c r="H22" s="80" t="s">
        <v>77</v>
      </c>
      <c r="I22" s="1"/>
    </row>
    <row r="23" spans="5:9" ht="16.5" thickTop="1" thickBot="1" x14ac:dyDescent="0.3">
      <c r="H23" s="80" t="s">
        <v>78</v>
      </c>
      <c r="I23" s="1"/>
    </row>
    <row r="24" spans="5:9" ht="16.5" thickTop="1" thickBot="1" x14ac:dyDescent="0.3">
      <c r="H24" s="80" t="s">
        <v>79</v>
      </c>
      <c r="I24" s="1"/>
    </row>
    <row r="25" spans="5:9" ht="16.5" thickTop="1" thickBot="1" x14ac:dyDescent="0.3">
      <c r="H25" s="80" t="s">
        <v>80</v>
      </c>
      <c r="I25" s="1"/>
    </row>
    <row r="26" spans="5:9" ht="16.5" thickTop="1" thickBot="1" x14ac:dyDescent="0.3">
      <c r="H26" s="80" t="s">
        <v>81</v>
      </c>
      <c r="I26" s="1"/>
    </row>
    <row r="27" spans="5:9" ht="16.5" thickTop="1" thickBot="1" x14ac:dyDescent="0.3">
      <c r="H27" s="80" t="s">
        <v>82</v>
      </c>
      <c r="I27" s="1"/>
    </row>
    <row r="28" spans="5:9" ht="16.5" thickTop="1" thickBot="1" x14ac:dyDescent="0.3">
      <c r="H28" s="80" t="s">
        <v>83</v>
      </c>
      <c r="I28" s="1"/>
    </row>
    <row r="29" spans="5:9" ht="16.5" thickTop="1" thickBot="1" x14ac:dyDescent="0.3">
      <c r="H29" s="80" t="s">
        <v>84</v>
      </c>
      <c r="I29" s="1"/>
    </row>
    <row r="30" spans="5:9" ht="16.5" thickTop="1" thickBot="1" x14ac:dyDescent="0.3">
      <c r="H30" s="80" t="s">
        <v>85</v>
      </c>
      <c r="I30" s="1"/>
    </row>
    <row r="31" spans="5:9" ht="16.5" thickTop="1" thickBot="1" x14ac:dyDescent="0.3">
      <c r="H31" s="80" t="s">
        <v>86</v>
      </c>
      <c r="I31" s="1"/>
    </row>
    <row r="32" spans="5:9" ht="16.5" thickTop="1" thickBot="1" x14ac:dyDescent="0.3">
      <c r="H32" s="80" t="s">
        <v>87</v>
      </c>
      <c r="I32" s="1"/>
    </row>
    <row r="33" spans="8:9" ht="16.5" thickTop="1" thickBot="1" x14ac:dyDescent="0.3">
      <c r="H33" s="80" t="s">
        <v>88</v>
      </c>
      <c r="I33" s="1"/>
    </row>
    <row r="34" spans="8:9" ht="16.5" thickTop="1" thickBot="1" x14ac:dyDescent="0.3">
      <c r="H34" s="80" t="s">
        <v>89</v>
      </c>
      <c r="I34" s="1"/>
    </row>
    <row r="35" spans="8:9" ht="16.5" thickTop="1" thickBot="1" x14ac:dyDescent="0.3">
      <c r="H35" s="80" t="s">
        <v>90</v>
      </c>
      <c r="I35" s="1"/>
    </row>
    <row r="36" spans="8:9" ht="16.5" thickTop="1" thickBot="1" x14ac:dyDescent="0.3">
      <c r="H36" s="80" t="s">
        <v>91</v>
      </c>
      <c r="I36" s="1"/>
    </row>
    <row r="37" spans="8:9" ht="16.5" thickTop="1" thickBot="1" x14ac:dyDescent="0.3">
      <c r="H37" s="80" t="s">
        <v>92</v>
      </c>
      <c r="I37" s="1"/>
    </row>
    <row r="38" spans="8:9" ht="16.5" thickTop="1" thickBot="1" x14ac:dyDescent="0.3">
      <c r="H38" s="80" t="s">
        <v>93</v>
      </c>
      <c r="I38" s="1"/>
    </row>
    <row r="39" spans="8:9" ht="16.5" thickTop="1" thickBot="1" x14ac:dyDescent="0.3">
      <c r="H39" s="80" t="s">
        <v>94</v>
      </c>
      <c r="I39" s="1"/>
    </row>
    <row r="40" spans="8:9" ht="16.5" thickTop="1" thickBot="1" x14ac:dyDescent="0.3">
      <c r="H40" s="80" t="s">
        <v>95</v>
      </c>
      <c r="I40" s="1"/>
    </row>
    <row r="41" spans="8:9" ht="16.5" thickTop="1" thickBot="1" x14ac:dyDescent="0.3">
      <c r="H41" s="80" t="s">
        <v>96</v>
      </c>
      <c r="I41" s="1"/>
    </row>
    <row r="42" spans="8:9" ht="16.5" thickTop="1" thickBot="1" x14ac:dyDescent="0.3">
      <c r="H42" s="80" t="s">
        <v>97</v>
      </c>
      <c r="I42" s="1"/>
    </row>
    <row r="43" spans="8:9" ht="16.5" thickTop="1" thickBot="1" x14ac:dyDescent="0.3">
      <c r="H43" s="80" t="s">
        <v>98</v>
      </c>
      <c r="I43" s="1"/>
    </row>
    <row r="44" spans="8:9" ht="16.5" thickTop="1" thickBot="1" x14ac:dyDescent="0.3">
      <c r="H44" s="80" t="s">
        <v>99</v>
      </c>
      <c r="I44" s="1"/>
    </row>
    <row r="45" spans="8:9" ht="16.5" thickTop="1" thickBot="1" x14ac:dyDescent="0.3">
      <c r="H45" s="80" t="s">
        <v>100</v>
      </c>
      <c r="I45" s="1"/>
    </row>
    <row r="46" spans="8:9" ht="16.5" thickTop="1" thickBot="1" x14ac:dyDescent="0.3">
      <c r="H46" s="80" t="s">
        <v>101</v>
      </c>
      <c r="I46" s="1"/>
    </row>
    <row r="47" spans="8:9" ht="15.75" thickTop="1" x14ac:dyDescent="0.25"/>
  </sheetData>
  <mergeCells count="3">
    <mergeCell ref="F5:F6"/>
    <mergeCell ref="H5:H6"/>
    <mergeCell ref="A1:O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"/>
  <sheetViews>
    <sheetView showGridLines="0" topLeftCell="D1" zoomScaleNormal="100" workbookViewId="0">
      <selection activeCell="D5" sqref="D5"/>
    </sheetView>
  </sheetViews>
  <sheetFormatPr defaultColWidth="0" defaultRowHeight="15" x14ac:dyDescent="0.2"/>
  <cols>
    <col min="1" max="1" width="13" style="39" bestFit="1" customWidth="1"/>
    <col min="2" max="2" width="13.28515625" style="39" bestFit="1" customWidth="1"/>
    <col min="3" max="3" width="25.5703125" style="39" bestFit="1" customWidth="1"/>
    <col min="4" max="4" width="152.5703125" style="39" bestFit="1" customWidth="1"/>
    <col min="5" max="5" width="36.85546875" style="39" bestFit="1" customWidth="1"/>
    <col min="6" max="6" width="19.7109375" style="39" bestFit="1" customWidth="1"/>
    <col min="7" max="7" width="17" style="39" bestFit="1" customWidth="1"/>
    <col min="8" max="8" width="31.85546875" style="39" bestFit="1" customWidth="1"/>
    <col min="9" max="9" width="33.7109375" style="39" bestFit="1" customWidth="1"/>
    <col min="10" max="10" width="19" style="39" bestFit="1" customWidth="1"/>
    <col min="11" max="11" width="19.140625" style="39" bestFit="1" customWidth="1"/>
    <col min="12" max="12" width="38.28515625" style="39" bestFit="1" customWidth="1"/>
    <col min="13" max="13" width="44.85546875" style="39" bestFit="1" customWidth="1"/>
    <col min="14" max="14" width="3" style="39" bestFit="1" customWidth="1"/>
    <col min="15" max="18" width="28.42578125" style="39" customWidth="1"/>
    <col min="19" max="19" width="2.5703125" style="39" customWidth="1"/>
    <col min="20" max="23" width="9.140625" style="39" hidden="1"/>
    <col min="24" max="24" width="3.7109375" style="39" bestFit="1" customWidth="1"/>
    <col min="25" max="26" width="10.5703125" style="39" bestFit="1" customWidth="1"/>
    <col min="27" max="28" width="9.85546875" style="39" bestFit="1" customWidth="1"/>
    <col min="29" max="29" width="10.5703125" style="39" bestFit="1" customWidth="1"/>
    <col min="30" max="30" width="10.140625" style="39" bestFit="1" customWidth="1"/>
    <col min="31" max="31" width="10.42578125" style="39" bestFit="1" customWidth="1"/>
    <col min="32" max="32" width="9.85546875" style="39" bestFit="1" customWidth="1"/>
    <col min="33" max="33" width="9.7109375" style="39" bestFit="1" customWidth="1"/>
    <col min="34" max="34" width="10.85546875" style="39" bestFit="1" customWidth="1"/>
    <col min="35" max="35" width="9.85546875" style="39" bestFit="1" customWidth="1"/>
    <col min="36" max="36" width="10.140625" style="39" bestFit="1" customWidth="1"/>
    <col min="37" max="38" width="10.5703125" style="39" bestFit="1" customWidth="1"/>
    <col min="39" max="40" width="9.85546875" style="39" bestFit="1" customWidth="1"/>
    <col min="41" max="41" width="10.5703125" style="39" bestFit="1" customWidth="1"/>
    <col min="42" max="42" width="10.140625" style="39" bestFit="1" customWidth="1"/>
    <col min="43" max="43" width="10.42578125" style="39" bestFit="1" customWidth="1"/>
    <col min="44" max="44" width="9.85546875" style="39" bestFit="1" customWidth="1"/>
    <col min="45" max="45" width="9.7109375" style="39" bestFit="1" customWidth="1"/>
    <col min="46" max="46" width="10.85546875" style="39" bestFit="1" customWidth="1"/>
    <col min="47" max="47" width="9.85546875" style="39" bestFit="1" customWidth="1"/>
    <col min="48" max="48" width="10.140625" style="39" bestFit="1" customWidth="1"/>
    <col min="49" max="50" width="10.5703125" style="39" bestFit="1" customWidth="1"/>
    <col min="51" max="16384" width="9.140625" style="39" hidden="1"/>
  </cols>
  <sheetData>
    <row r="1" spans="1:50" s="94" customFormat="1" ht="36" customHeight="1" x14ac:dyDescent="0.25">
      <c r="A1" s="97" t="s">
        <v>142</v>
      </c>
      <c r="B1" s="98"/>
      <c r="C1" s="98"/>
      <c r="D1" s="98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3"/>
      <c r="V1" s="93"/>
      <c r="W1" s="93"/>
      <c r="X1" s="93"/>
      <c r="Y1" s="93"/>
    </row>
    <row r="2" spans="1:50" x14ac:dyDescent="0.2">
      <c r="R2" s="49"/>
      <c r="S2" s="49"/>
      <c r="T2" s="49"/>
      <c r="U2" s="49"/>
      <c r="V2" s="49"/>
      <c r="W2" s="49"/>
      <c r="X2" s="81" t="e">
        <f>#REF!+1</f>
        <v>#REF!</v>
      </c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</row>
    <row r="3" spans="1:50" ht="15.75" thickBot="1" x14ac:dyDescent="0.25">
      <c r="R3" s="49"/>
      <c r="S3" s="49"/>
      <c r="T3" s="49"/>
      <c r="U3" s="49"/>
      <c r="V3" s="49"/>
      <c r="W3" s="49"/>
      <c r="X3" s="81" t="e">
        <f t="shared" ref="X3:X9" si="0">X2+1</f>
        <v>#REF!</v>
      </c>
      <c r="Y3" s="82">
        <v>41608</v>
      </c>
      <c r="Z3" s="82">
        <v>41639</v>
      </c>
      <c r="AA3" s="82">
        <v>41670</v>
      </c>
      <c r="AB3" s="82">
        <v>41698</v>
      </c>
      <c r="AC3" s="82">
        <v>41729</v>
      </c>
      <c r="AD3" s="82">
        <v>41759</v>
      </c>
      <c r="AE3" s="82">
        <v>41790</v>
      </c>
      <c r="AF3" s="82">
        <v>41820</v>
      </c>
      <c r="AG3" s="82">
        <v>41851</v>
      </c>
      <c r="AH3" s="82">
        <v>41882</v>
      </c>
      <c r="AI3" s="82">
        <v>41912</v>
      </c>
      <c r="AJ3" s="82">
        <v>41943</v>
      </c>
      <c r="AK3" s="82">
        <v>41973</v>
      </c>
      <c r="AL3" s="82">
        <v>42004</v>
      </c>
      <c r="AM3" s="82">
        <v>42035</v>
      </c>
      <c r="AN3" s="82">
        <v>42063</v>
      </c>
      <c r="AO3" s="82">
        <v>42094</v>
      </c>
      <c r="AP3" s="82">
        <v>42124</v>
      </c>
      <c r="AQ3" s="82">
        <v>42155</v>
      </c>
      <c r="AR3" s="82">
        <v>42185</v>
      </c>
      <c r="AS3" s="82">
        <v>42216</v>
      </c>
      <c r="AT3" s="82">
        <v>42247</v>
      </c>
      <c r="AU3" s="82">
        <v>42277</v>
      </c>
      <c r="AV3" s="82">
        <v>42308</v>
      </c>
      <c r="AW3" s="82">
        <v>42338</v>
      </c>
      <c r="AX3" s="82">
        <v>42369</v>
      </c>
    </row>
    <row r="4" spans="1:50" s="83" customFormat="1" ht="36.75" customHeight="1" thickTop="1" thickBot="1" x14ac:dyDescent="0.3">
      <c r="B4" s="89" t="s">
        <v>31</v>
      </c>
      <c r="C4" s="89" t="s">
        <v>46</v>
      </c>
      <c r="D4" s="90" t="s">
        <v>32</v>
      </c>
      <c r="E4" s="90" t="s">
        <v>33</v>
      </c>
      <c r="F4" s="90" t="s">
        <v>38</v>
      </c>
      <c r="G4" s="90" t="s">
        <v>43</v>
      </c>
      <c r="H4" s="90" t="s">
        <v>105</v>
      </c>
      <c r="I4" s="90" t="s">
        <v>34</v>
      </c>
      <c r="J4" s="90" t="s">
        <v>35</v>
      </c>
      <c r="K4" s="90" t="s">
        <v>39</v>
      </c>
      <c r="L4" s="90" t="s">
        <v>36</v>
      </c>
      <c r="M4" s="91" t="s">
        <v>37</v>
      </c>
      <c r="N4" s="84"/>
      <c r="O4" s="84"/>
      <c r="P4" s="84"/>
      <c r="Q4" s="84"/>
      <c r="R4" s="85"/>
      <c r="S4" s="86"/>
      <c r="T4" s="86"/>
      <c r="U4" s="86"/>
      <c r="V4" s="86"/>
      <c r="W4" s="86"/>
      <c r="X4" s="87" t="e">
        <f t="shared" si="0"/>
        <v>#REF!</v>
      </c>
      <c r="Y4" s="88">
        <v>41579</v>
      </c>
      <c r="Z4" s="88">
        <v>41609</v>
      </c>
      <c r="AA4" s="88">
        <v>41640</v>
      </c>
      <c r="AB4" s="88">
        <v>41671</v>
      </c>
      <c r="AC4" s="88">
        <v>41699</v>
      </c>
      <c r="AD4" s="88">
        <v>41730</v>
      </c>
      <c r="AE4" s="88">
        <v>41760</v>
      </c>
      <c r="AF4" s="88">
        <v>41791</v>
      </c>
      <c r="AG4" s="88">
        <v>41821</v>
      </c>
      <c r="AH4" s="88">
        <v>41852</v>
      </c>
      <c r="AI4" s="88">
        <v>41883</v>
      </c>
      <c r="AJ4" s="88">
        <v>41913</v>
      </c>
      <c r="AK4" s="88">
        <v>41944</v>
      </c>
      <c r="AL4" s="88">
        <v>41974</v>
      </c>
      <c r="AM4" s="88">
        <v>42005</v>
      </c>
      <c r="AN4" s="88">
        <v>42036</v>
      </c>
      <c r="AO4" s="88">
        <v>42064</v>
      </c>
      <c r="AP4" s="88">
        <v>42095</v>
      </c>
      <c r="AQ4" s="88">
        <v>42125</v>
      </c>
      <c r="AR4" s="88">
        <v>42156</v>
      </c>
      <c r="AS4" s="88">
        <v>42186</v>
      </c>
      <c r="AT4" s="88">
        <v>42217</v>
      </c>
      <c r="AU4" s="88">
        <v>42248</v>
      </c>
      <c r="AV4" s="88">
        <v>42278</v>
      </c>
      <c r="AW4" s="88">
        <v>42309</v>
      </c>
      <c r="AX4" s="88">
        <v>42339</v>
      </c>
    </row>
    <row r="5" spans="1:50" ht="39.950000000000003" customHeight="1" thickTop="1" thickBot="1" x14ac:dyDescent="0.25">
      <c r="B5" s="50">
        <f>'Projeto 1'!C2</f>
        <v>0</v>
      </c>
      <c r="C5" s="40">
        <f>'Projeto 1'!E2</f>
        <v>0</v>
      </c>
      <c r="D5" s="41">
        <f>'Projeto 1'!G2</f>
        <v>0</v>
      </c>
      <c r="E5" s="42" t="str">
        <f>'Projeto 1'!H2</f>
        <v>FÁBRICA E LAYOUT</v>
      </c>
      <c r="F5" s="43">
        <f>'Projeto 1'!I5</f>
        <v>0</v>
      </c>
      <c r="G5" s="43">
        <f>'Projeto 1'!I7</f>
        <v>0</v>
      </c>
      <c r="H5" s="44">
        <f>IFERROR((G5-F5)/30,"")</f>
        <v>0</v>
      </c>
      <c r="I5" s="45">
        <f>'Projeto 1'!P7</f>
        <v>0</v>
      </c>
      <c r="J5" s="43">
        <f>'Projeto 1'!P5</f>
        <v>0</v>
      </c>
      <c r="K5" s="46">
        <f>'Projeto 1'!$D$7</f>
        <v>0</v>
      </c>
      <c r="L5" s="46">
        <f>'Projeto 1'!A5</f>
        <v>0</v>
      </c>
      <c r="M5" s="47" t="str">
        <f>'Projeto 1'!CE16</f>
        <v>-</v>
      </c>
      <c r="N5" s="79" t="str">
        <f>IF(M5&gt;=100%,"s","n")</f>
        <v>s</v>
      </c>
      <c r="O5" s="48"/>
      <c r="P5" s="48"/>
      <c r="Q5" s="48"/>
      <c r="R5" s="79"/>
      <c r="S5" s="49"/>
      <c r="T5" s="49"/>
      <c r="U5" s="49"/>
      <c r="V5" s="49"/>
      <c r="W5" s="49"/>
      <c r="X5" s="81" t="e">
        <f t="shared" si="0"/>
        <v>#REF!</v>
      </c>
      <c r="Y5" s="81" t="b">
        <f>IF($G5&gt;=$Y$3,IF($F5&lt;=$Y$4,$X$1,""))</f>
        <v>0</v>
      </c>
      <c r="Z5" s="81" t="b">
        <f>IF($G5&gt;=$Z$3,IF($F5&lt;=$Z$4,#REF!,""))</f>
        <v>0</v>
      </c>
      <c r="AA5" s="81" t="b">
        <f>IF($G5&gt;=$AA$3,IF($F5&lt;=$AA$4,$X$2,""))</f>
        <v>0</v>
      </c>
      <c r="AB5" s="81" t="b">
        <f>IF($G5&gt;=$AB$3,IF($F5&lt;=$AB$4,$X$3,""))</f>
        <v>0</v>
      </c>
      <c r="AC5" s="81" t="b">
        <f>IF($G5&gt;=$AC$3,IF($F5&lt;=$AC$4,$X$4,""))</f>
        <v>0</v>
      </c>
      <c r="AD5" s="81" t="b">
        <f>IF($G5&gt;=$AD$3,IF($F5&lt;=$AD$4,$X$5,""))</f>
        <v>0</v>
      </c>
      <c r="AE5" s="81" t="b">
        <f>IF($G5&gt;=$AE$3,IF($F5&lt;=$AE$4,$X$6,""))</f>
        <v>0</v>
      </c>
      <c r="AF5" s="81" t="b">
        <f>IF($G5&gt;=$AF$3,IF($F5&lt;=$AF$4,$X$7,""))</f>
        <v>0</v>
      </c>
      <c r="AG5" s="81" t="b">
        <f>IF($G5&gt;=$AG$3,IF($F5&lt;=$AG$4,$X$8,""))</f>
        <v>0</v>
      </c>
      <c r="AH5" s="81" t="b">
        <f>IF($G5&gt;=$AH$3,IF($F5&lt;=$AH$4,$X$9,""))</f>
        <v>0</v>
      </c>
      <c r="AI5" s="81" t="b">
        <f>IF($G5&gt;=$AI$3,IF($F5&lt;=$AI$4,#REF!,""))</f>
        <v>0</v>
      </c>
      <c r="AJ5" s="81" t="b">
        <f>IF($G5&gt;=$AJ$3,IF($F5&lt;=$AJ$4,#REF!,""))</f>
        <v>0</v>
      </c>
      <c r="AK5" s="81" t="b">
        <f>IF($G5&gt;=$AK$3,IF($F5&lt;=$AK$4,#REF!,""))</f>
        <v>0</v>
      </c>
      <c r="AL5" s="81" t="b">
        <f>IF($G5&gt;=$AL$3,IF($F5&lt;=$AL$4,#REF!,""))</f>
        <v>0</v>
      </c>
      <c r="AM5" s="81" t="b">
        <f>IF($G5&gt;=$AM$3,IF($F5&lt;=$AM$4,#REF!,""))</f>
        <v>0</v>
      </c>
      <c r="AN5" s="81" t="b">
        <f>IF($G5&gt;=$AN$3,IF($F5&lt;=$AN$4,#REF!,""))</f>
        <v>0</v>
      </c>
      <c r="AO5" s="81" t="b">
        <f>IF($G5&gt;=$AO$3,IF($F5&lt;=$AO$4,#REF!,""))</f>
        <v>0</v>
      </c>
      <c r="AP5" s="81" t="b">
        <f>IF($G5&gt;=$AP$3,IF($F5&lt;=$AP$4,#REF!,""))</f>
        <v>0</v>
      </c>
      <c r="AQ5" s="81" t="b">
        <f>IF($G5&gt;=$AQ$3,IF($F5&lt;=$AQ$4,#REF!,""))</f>
        <v>0</v>
      </c>
      <c r="AR5" s="81" t="b">
        <f>IF($G5&gt;=$AR$3,IF($F5&lt;=$AR$4,#REF!,""))</f>
        <v>0</v>
      </c>
      <c r="AS5" s="81" t="b">
        <f>IF($G5&gt;=$AS$3,IF($F5&lt;=$AS$4,#REF!,""))</f>
        <v>0</v>
      </c>
      <c r="AT5" s="81" t="b">
        <f>IF($G5&gt;=$AT$3,IF($F5&lt;=$AT$4,#REF!,""))</f>
        <v>0</v>
      </c>
      <c r="AU5" s="81" t="b">
        <f>IF($G5&gt;=$AU$3,IF($F5&lt;=$AU$4,#REF!,""))</f>
        <v>0</v>
      </c>
      <c r="AV5" s="81" t="b">
        <f>IF($G5&gt;=$AV$3,IF($F5&lt;=$AV$4,#REF!,""))</f>
        <v>0</v>
      </c>
      <c r="AW5" s="81" t="b">
        <f>IF($G5&gt;=$AW$3,IF($F5&lt;=$AW$4,#REF!,""))</f>
        <v>0</v>
      </c>
      <c r="AX5" s="81" t="b">
        <f>IF($G5&gt;=$AX$3,IF($F5&lt;=$AX$4,#REF!,""))</f>
        <v>0</v>
      </c>
    </row>
    <row r="6" spans="1:50" ht="39.950000000000003" customHeight="1" thickTop="1" thickBot="1" x14ac:dyDescent="0.25">
      <c r="B6" s="50">
        <f>'Projeto 2'!B2</f>
        <v>0</v>
      </c>
      <c r="C6" s="40">
        <f>'Projeto 2'!D2</f>
        <v>0</v>
      </c>
      <c r="D6" s="41">
        <f>'Projeto 2'!G2</f>
        <v>0</v>
      </c>
      <c r="E6" s="42" t="str">
        <f>'Projeto 2'!H2</f>
        <v>FÁBRICA E LAYOUT</v>
      </c>
      <c r="F6" s="43">
        <f>'Projeto 2'!I5</f>
        <v>0</v>
      </c>
      <c r="G6" s="43">
        <f>'Projeto 2'!I7</f>
        <v>0</v>
      </c>
      <c r="H6" s="44">
        <f t="shared" ref="H6:H9" si="1">IFERROR((G6-F6)/30,"")</f>
        <v>0</v>
      </c>
      <c r="I6" s="45">
        <f>'Projeto 2'!P7</f>
        <v>0</v>
      </c>
      <c r="J6" s="43">
        <f>'Projeto 2'!P5</f>
        <v>0</v>
      </c>
      <c r="K6" s="46">
        <f>'Projeto 2'!A7</f>
        <v>0</v>
      </c>
      <c r="L6" s="46">
        <f>'Projeto 2'!A5</f>
        <v>0</v>
      </c>
      <c r="M6" s="47" t="str">
        <f>'Projeto 2'!CE16</f>
        <v>-</v>
      </c>
      <c r="N6" s="79" t="str">
        <f t="shared" ref="N6:N9" si="2">IF(M6&gt;=100%,"s","n")</f>
        <v>s</v>
      </c>
      <c r="O6" s="48"/>
      <c r="P6" s="48"/>
      <c r="Q6" s="48"/>
      <c r="R6" s="79"/>
      <c r="S6" s="49"/>
      <c r="T6" s="49"/>
      <c r="U6" s="49"/>
      <c r="V6" s="49"/>
      <c r="W6" s="49"/>
      <c r="X6" s="81" t="e">
        <f t="shared" si="0"/>
        <v>#REF!</v>
      </c>
      <c r="Y6" s="81" t="b">
        <f>IF($G6&gt;=$Y$3,IF($F6&lt;=$Y$4,$X$1,""))</f>
        <v>0</v>
      </c>
      <c r="Z6" s="81" t="b">
        <f>IF($G6&gt;=$Z$3,IF($F6&lt;=$Z$4,#REF!,""))</f>
        <v>0</v>
      </c>
      <c r="AA6" s="81" t="b">
        <f>IF($G6&gt;=$AA$3,IF($F6&lt;=$AA$4,$X$2,""))</f>
        <v>0</v>
      </c>
      <c r="AB6" s="81" t="b">
        <f>IF($G6&gt;=$AB$3,IF($F6&lt;=$AB$4,$X$3,""))</f>
        <v>0</v>
      </c>
      <c r="AC6" s="81" t="b">
        <f>IF($G6&gt;=$AC$3,IF($F6&lt;=$AC$4,$X$4,""))</f>
        <v>0</v>
      </c>
      <c r="AD6" s="81" t="b">
        <f>IF($G6&gt;=$AD$3,IF($F6&lt;=$AD$4,$X$5,""))</f>
        <v>0</v>
      </c>
      <c r="AE6" s="81" t="b">
        <f>IF($G6&gt;=$AE$3,IF($F6&lt;=$AE$4,$X$6,""))</f>
        <v>0</v>
      </c>
      <c r="AF6" s="81" t="b">
        <f>IF($G6&gt;=$AF$3,IF($F6&lt;=$AF$4,$X$7,""))</f>
        <v>0</v>
      </c>
      <c r="AG6" s="81" t="b">
        <f>IF($G6&gt;=$AG$3,IF($F6&lt;=$AG$4,$X$8,""))</f>
        <v>0</v>
      </c>
      <c r="AH6" s="81" t="b">
        <f>IF($G6&gt;=$AH$3,IF($F6&lt;=$AH$4,$X$9,""))</f>
        <v>0</v>
      </c>
      <c r="AI6" s="81" t="b">
        <f>IF($G6&gt;=$AI$3,IF($F6&lt;=$AI$4,#REF!,""))</f>
        <v>0</v>
      </c>
      <c r="AJ6" s="81" t="b">
        <f>IF($G6&gt;=$AJ$3,IF($F6&lt;=$AJ$4,#REF!,""))</f>
        <v>0</v>
      </c>
      <c r="AK6" s="81" t="b">
        <f>IF($G6&gt;=$AK$3,IF($F6&lt;=$AK$4,#REF!,""))</f>
        <v>0</v>
      </c>
      <c r="AL6" s="81" t="b">
        <f>IF($G6&gt;=$AL$3,IF($F6&lt;=$AL$4,#REF!,""))</f>
        <v>0</v>
      </c>
      <c r="AM6" s="81" t="b">
        <f>IF($G6&gt;=$AM$3,IF($F6&lt;=$AM$4,#REF!,""))</f>
        <v>0</v>
      </c>
      <c r="AN6" s="81" t="b">
        <f>IF($G6&gt;=$AN$3,IF($F6&lt;=$AN$4,#REF!,""))</f>
        <v>0</v>
      </c>
      <c r="AO6" s="81" t="b">
        <f>IF($G6&gt;=$AO$3,IF($F6&lt;=$AO$4,#REF!,""))</f>
        <v>0</v>
      </c>
      <c r="AP6" s="81" t="b">
        <f>IF($G6&gt;=$AP$3,IF($F6&lt;=$AP$4,#REF!,""))</f>
        <v>0</v>
      </c>
      <c r="AQ6" s="81" t="b">
        <f>IF($G6&gt;=$AQ$3,IF($F6&lt;=$AQ$4,#REF!,""))</f>
        <v>0</v>
      </c>
      <c r="AR6" s="81" t="b">
        <f>IF($G6&gt;=$AR$3,IF($F6&lt;=$AR$4,#REF!,""))</f>
        <v>0</v>
      </c>
      <c r="AS6" s="81" t="b">
        <f>IF($G6&gt;=$AS$3,IF($F6&lt;=$AS$4,#REF!,""))</f>
        <v>0</v>
      </c>
      <c r="AT6" s="81" t="b">
        <f>IF($G6&gt;=$AT$3,IF($F6&lt;=$AT$4,#REF!,""))</f>
        <v>0</v>
      </c>
      <c r="AU6" s="81" t="b">
        <f>IF($G6&gt;=$AU$3,IF($F6&lt;=$AU$4,#REF!,""))</f>
        <v>0</v>
      </c>
      <c r="AV6" s="81" t="b">
        <f>IF($G6&gt;=$AV$3,IF($F6&lt;=$AV$4,#REF!,""))</f>
        <v>0</v>
      </c>
      <c r="AW6" s="81" t="b">
        <f>IF($G6&gt;=$AW$3,IF($F6&lt;=$AW$4,#REF!,""))</f>
        <v>0</v>
      </c>
      <c r="AX6" s="81" t="b">
        <f>IF($G6&gt;=$AX$3,IF($F6&lt;=$AX$4,#REF!,""))</f>
        <v>0</v>
      </c>
    </row>
    <row r="7" spans="1:50" ht="39.950000000000003" customHeight="1" thickTop="1" thickBot="1" x14ac:dyDescent="0.25">
      <c r="A7" s="49" t="b">
        <f t="shared" ref="A7:A9" ca="1" si="3">IF(F7&gt;0,IF(F7&lt;=TODAY(),IF(G7&gt;=TODAY(),"Em Andamento","Concluído")))</f>
        <v>0</v>
      </c>
      <c r="B7" s="50">
        <f>'Projeto 3'!B2</f>
        <v>0</v>
      </c>
      <c r="C7" s="40">
        <f>'Projeto 3'!D2</f>
        <v>0</v>
      </c>
      <c r="D7" s="41">
        <f>'Projeto 3'!G2</f>
        <v>0</v>
      </c>
      <c r="E7" s="42" t="str">
        <f>'Projeto 3'!H2</f>
        <v>PRECIFICAÇÃO DE PROJETOS</v>
      </c>
      <c r="F7" s="43">
        <f>'Projeto 3'!I5</f>
        <v>0</v>
      </c>
      <c r="G7" s="43">
        <f>'Projeto 3'!I7</f>
        <v>0</v>
      </c>
      <c r="H7" s="44">
        <f t="shared" si="1"/>
        <v>0</v>
      </c>
      <c r="I7" s="45">
        <f>'Projeto 3'!P7</f>
        <v>0</v>
      </c>
      <c r="J7" s="43">
        <f>'Projeto 3'!P5</f>
        <v>0</v>
      </c>
      <c r="K7" s="46">
        <f>'Projeto 3'!A7</f>
        <v>0</v>
      </c>
      <c r="L7" s="46">
        <f>'Projeto 3'!A5</f>
        <v>0</v>
      </c>
      <c r="M7" s="47" t="str">
        <f>'Projeto 3'!CE16</f>
        <v>-</v>
      </c>
      <c r="N7" s="79" t="str">
        <f t="shared" si="2"/>
        <v>s</v>
      </c>
      <c r="O7" s="48"/>
      <c r="P7" s="48"/>
      <c r="Q7" s="48"/>
      <c r="R7" s="79"/>
      <c r="S7" s="49"/>
      <c r="T7" s="49"/>
      <c r="U7" s="49"/>
      <c r="V7" s="49"/>
      <c r="W7" s="49"/>
      <c r="X7" s="81" t="e">
        <f t="shared" si="0"/>
        <v>#REF!</v>
      </c>
      <c r="Y7" s="81" t="b">
        <f>IF($G7&gt;=$Y$3,IF($F7&lt;=$Y$4,$X$1,""))</f>
        <v>0</v>
      </c>
      <c r="Z7" s="81" t="b">
        <f>IF($G7&gt;=$Z$3,IF($F7&lt;=$Z$4,#REF!,""))</f>
        <v>0</v>
      </c>
      <c r="AA7" s="81" t="b">
        <f>IF($G7&gt;=$AA$3,IF($F7&lt;=$AA$4,$X$2,""))</f>
        <v>0</v>
      </c>
      <c r="AB7" s="81" t="b">
        <f>IF($G7&gt;=$AB$3,IF($F7&lt;=$AB$4,$X$3,""))</f>
        <v>0</v>
      </c>
      <c r="AC7" s="81" t="b">
        <f>IF($G7&gt;=$AC$3,IF($F7&lt;=$AC$4,$X$4,""))</f>
        <v>0</v>
      </c>
      <c r="AD7" s="81" t="b">
        <f>IF($G7&gt;=$AD$3,IF($F7&lt;=$AD$4,$X$5,""))</f>
        <v>0</v>
      </c>
      <c r="AE7" s="81" t="b">
        <f>IF($G7&gt;=$AE$3,IF($F7&lt;=$AE$4,$X$6,""))</f>
        <v>0</v>
      </c>
      <c r="AF7" s="81" t="b">
        <f>IF($G7&gt;=$AF$3,IF($F7&lt;=$AF$4,$X$7,""))</f>
        <v>0</v>
      </c>
      <c r="AG7" s="81" t="b">
        <f>IF($G7&gt;=$AG$3,IF($F7&lt;=$AG$4,$X$8,""))</f>
        <v>0</v>
      </c>
      <c r="AH7" s="81" t="b">
        <f>IF($G7&gt;=$AH$3,IF($F7&lt;=$AH$4,$X$9,""))</f>
        <v>0</v>
      </c>
      <c r="AI7" s="81" t="b">
        <f>IF($G7&gt;=$AI$3,IF($F7&lt;=$AI$4,#REF!,""))</f>
        <v>0</v>
      </c>
      <c r="AJ7" s="81" t="b">
        <f>IF($G7&gt;=$AJ$3,IF($F7&lt;=$AJ$4,#REF!,""))</f>
        <v>0</v>
      </c>
      <c r="AK7" s="81" t="b">
        <f>IF($G7&gt;=$AK$3,IF($F7&lt;=$AK$4,#REF!,""))</f>
        <v>0</v>
      </c>
      <c r="AL7" s="81" t="b">
        <f>IF($G7&gt;=$AL$3,IF($F7&lt;=$AL$4,#REF!,""))</f>
        <v>0</v>
      </c>
      <c r="AM7" s="81" t="b">
        <f>IF($G7&gt;=$AM$3,IF($F7&lt;=$AM$4,#REF!,""))</f>
        <v>0</v>
      </c>
      <c r="AN7" s="81" t="b">
        <f>IF($G7&gt;=$AN$3,IF($F7&lt;=$AN$4,#REF!,""))</f>
        <v>0</v>
      </c>
      <c r="AO7" s="81" t="b">
        <f>IF($G7&gt;=$AO$3,IF($F7&lt;=$AO$4,#REF!,""))</f>
        <v>0</v>
      </c>
      <c r="AP7" s="81" t="b">
        <f>IF($G7&gt;=$AP$3,IF($F7&lt;=$AP$4,#REF!,""))</f>
        <v>0</v>
      </c>
      <c r="AQ7" s="81" t="b">
        <f>IF($G7&gt;=$AQ$3,IF($F7&lt;=$AQ$4,#REF!,""))</f>
        <v>0</v>
      </c>
      <c r="AR7" s="81" t="b">
        <f>IF($G7&gt;=$AR$3,IF($F7&lt;=$AR$4,#REF!,""))</f>
        <v>0</v>
      </c>
      <c r="AS7" s="81" t="b">
        <f>IF($G7&gt;=$AS$3,IF($F7&lt;=$AS$4,#REF!,""))</f>
        <v>0</v>
      </c>
      <c r="AT7" s="81" t="b">
        <f>IF($G7&gt;=$AT$3,IF($F7&lt;=$AT$4,#REF!,""))</f>
        <v>0</v>
      </c>
      <c r="AU7" s="81" t="b">
        <f>IF($G7&gt;=$AU$3,IF($F7&lt;=$AU$4,#REF!,""))</f>
        <v>0</v>
      </c>
      <c r="AV7" s="81" t="b">
        <f>IF($G7&gt;=$AV$3,IF($F7&lt;=$AV$4,#REF!,""))</f>
        <v>0</v>
      </c>
      <c r="AW7" s="81" t="b">
        <f>IF($G7&gt;=$AW$3,IF($F7&lt;=$AW$4,#REF!,""))</f>
        <v>0</v>
      </c>
      <c r="AX7" s="81" t="b">
        <f>IF($G7&gt;=$AX$3,IF($F7&lt;=$AX$4,#REF!,""))</f>
        <v>0</v>
      </c>
    </row>
    <row r="8" spans="1:50" ht="39.950000000000003" customHeight="1" thickTop="1" thickBot="1" x14ac:dyDescent="0.25">
      <c r="A8" s="49" t="b">
        <f t="shared" ca="1" si="3"/>
        <v>0</v>
      </c>
      <c r="B8" s="50">
        <f>'Projeto 4'!B2</f>
        <v>0</v>
      </c>
      <c r="C8" s="40">
        <f>'Projeto 4'!D2</f>
        <v>0</v>
      </c>
      <c r="D8" s="41">
        <f>'Projeto 4'!G2</f>
        <v>0</v>
      </c>
      <c r="E8" s="42" t="str">
        <f>'Projeto 4'!H2</f>
        <v>PRECIFICAÇÃO DE PROJETOS</v>
      </c>
      <c r="F8" s="43">
        <f>'Projeto 4'!I5</f>
        <v>0</v>
      </c>
      <c r="G8" s="43">
        <f>'Projeto 4'!I7</f>
        <v>0</v>
      </c>
      <c r="H8" s="44">
        <f t="shared" si="1"/>
        <v>0</v>
      </c>
      <c r="I8" s="45">
        <f>'Projeto 4'!P7</f>
        <v>0</v>
      </c>
      <c r="J8" s="43">
        <f>'Projeto 4'!P5</f>
        <v>0</v>
      </c>
      <c r="K8" s="46">
        <f>'Projeto 4'!A7</f>
        <v>0</v>
      </c>
      <c r="L8" s="46">
        <f>'Projeto 4'!A5</f>
        <v>0</v>
      </c>
      <c r="M8" s="47" t="str">
        <f>'Projeto 4'!CE16</f>
        <v>-</v>
      </c>
      <c r="N8" s="79" t="str">
        <f t="shared" si="2"/>
        <v>s</v>
      </c>
      <c r="O8" s="48"/>
      <c r="P8" s="48"/>
      <c r="Q8" s="48"/>
      <c r="R8" s="79"/>
      <c r="S8" s="49"/>
      <c r="T8" s="49"/>
      <c r="U8" s="49"/>
      <c r="V8" s="49"/>
      <c r="W8" s="49"/>
      <c r="X8" s="81" t="e">
        <f t="shared" si="0"/>
        <v>#REF!</v>
      </c>
      <c r="Y8" s="81" t="b">
        <f>IF($G8&gt;=$Y$3,IF($F8&lt;=$Y$4,$X$1,""))</f>
        <v>0</v>
      </c>
      <c r="Z8" s="81" t="b">
        <f>IF($G8&gt;=$Z$3,IF($F8&lt;=$Z$4,#REF!,""))</f>
        <v>0</v>
      </c>
      <c r="AA8" s="81" t="b">
        <f>IF($G8&gt;=$AA$3,IF($F8&lt;=$AA$4,$X$2,""))</f>
        <v>0</v>
      </c>
      <c r="AB8" s="81" t="b">
        <f>IF($G8&gt;=$AB$3,IF($F8&lt;=$AB$4,$X$3,""))</f>
        <v>0</v>
      </c>
      <c r="AC8" s="81" t="b">
        <f>IF($G8&gt;=$AC$3,IF($F8&lt;=$AC$4,$X$4,""))</f>
        <v>0</v>
      </c>
      <c r="AD8" s="81" t="b">
        <f>IF($G8&gt;=$AD$3,IF($F8&lt;=$AD$4,$X$5,""))</f>
        <v>0</v>
      </c>
      <c r="AE8" s="81" t="b">
        <f>IF($G8&gt;=$AE$3,IF($F8&lt;=$AE$4,$X$6,""))</f>
        <v>0</v>
      </c>
      <c r="AF8" s="81" t="b">
        <f>IF($G8&gt;=$AF$3,IF($F8&lt;=$AF$4,$X$7,""))</f>
        <v>0</v>
      </c>
      <c r="AG8" s="81" t="b">
        <f>IF($G8&gt;=$AG$3,IF($F8&lt;=$AG$4,$X$8,""))</f>
        <v>0</v>
      </c>
      <c r="AH8" s="81" t="b">
        <f>IF($G8&gt;=$AH$3,IF($F8&lt;=$AH$4,$X$9,""))</f>
        <v>0</v>
      </c>
      <c r="AI8" s="81" t="b">
        <f>IF($G8&gt;=$AI$3,IF($F8&lt;=$AI$4,#REF!,""))</f>
        <v>0</v>
      </c>
      <c r="AJ8" s="81" t="b">
        <f>IF($G8&gt;=$AJ$3,IF($F8&lt;=$AJ$4,#REF!,""))</f>
        <v>0</v>
      </c>
      <c r="AK8" s="81" t="b">
        <f>IF($G8&gt;=$AK$3,IF($F8&lt;=$AK$4,#REF!,""))</f>
        <v>0</v>
      </c>
      <c r="AL8" s="81" t="b">
        <f>IF($G8&gt;=$AL$3,IF($F8&lt;=$AL$4,#REF!,""))</f>
        <v>0</v>
      </c>
      <c r="AM8" s="81" t="b">
        <f>IF($G8&gt;=$AM$3,IF($F8&lt;=$AM$4,#REF!,""))</f>
        <v>0</v>
      </c>
      <c r="AN8" s="81" t="b">
        <f>IF($G8&gt;=$AN$3,IF($F8&lt;=$AN$4,#REF!,""))</f>
        <v>0</v>
      </c>
      <c r="AO8" s="81" t="b">
        <f>IF($G8&gt;=$AO$3,IF($F8&lt;=$AO$4,#REF!,""))</f>
        <v>0</v>
      </c>
      <c r="AP8" s="81" t="b">
        <f>IF($G8&gt;=$AP$3,IF($F8&lt;=$AP$4,#REF!,""))</f>
        <v>0</v>
      </c>
      <c r="AQ8" s="81" t="b">
        <f>IF($G8&gt;=$AQ$3,IF($F8&lt;=$AQ$4,#REF!,""))</f>
        <v>0</v>
      </c>
      <c r="AR8" s="81" t="b">
        <f>IF($G8&gt;=$AR$3,IF($F8&lt;=$AR$4,#REF!,""))</f>
        <v>0</v>
      </c>
      <c r="AS8" s="81" t="b">
        <f>IF($G8&gt;=$AS$3,IF($F8&lt;=$AS$4,#REF!,""))</f>
        <v>0</v>
      </c>
      <c r="AT8" s="81" t="b">
        <f>IF($G8&gt;=$AT$3,IF($F8&lt;=$AT$4,#REF!,""))</f>
        <v>0</v>
      </c>
      <c r="AU8" s="81" t="b">
        <f>IF($G8&gt;=$AU$3,IF($F8&lt;=$AU$4,#REF!,""))</f>
        <v>0</v>
      </c>
      <c r="AV8" s="81" t="b">
        <f>IF($G8&gt;=$AV$3,IF($F8&lt;=$AV$4,#REF!,""))</f>
        <v>0</v>
      </c>
      <c r="AW8" s="81" t="b">
        <f>IF($G8&gt;=$AW$3,IF($F8&lt;=$AW$4,#REF!,""))</f>
        <v>0</v>
      </c>
      <c r="AX8" s="81" t="b">
        <f>IF($G8&gt;=$AX$3,IF($F8&lt;=$AX$4,#REF!,""))</f>
        <v>0</v>
      </c>
    </row>
    <row r="9" spans="1:50" ht="39.950000000000003" customHeight="1" thickTop="1" thickBot="1" x14ac:dyDescent="0.25">
      <c r="A9" s="49" t="b">
        <f t="shared" ca="1" si="3"/>
        <v>0</v>
      </c>
      <c r="B9" s="50">
        <f>'Projeto 5'!B2</f>
        <v>0</v>
      </c>
      <c r="C9" s="40">
        <f>'Projeto 5'!D2</f>
        <v>0</v>
      </c>
      <c r="D9" s="41">
        <f>'Projeto 5'!G2</f>
        <v>0</v>
      </c>
      <c r="E9" s="42" t="str">
        <f>'Projeto 5'!H2</f>
        <v>Gestão para Resultados</v>
      </c>
      <c r="F9" s="43">
        <f>'Projeto 5'!I5</f>
        <v>0</v>
      </c>
      <c r="G9" s="43">
        <f>'Projeto 5'!I7</f>
        <v>0</v>
      </c>
      <c r="H9" s="44">
        <f t="shared" si="1"/>
        <v>0</v>
      </c>
      <c r="I9" s="45">
        <f>'Projeto 5'!P7</f>
        <v>0</v>
      </c>
      <c r="J9" s="43">
        <f>'Projeto 5'!P5</f>
        <v>0</v>
      </c>
      <c r="K9" s="46">
        <f>'Projeto 5'!A7</f>
        <v>0</v>
      </c>
      <c r="L9" s="46">
        <f>'Projeto 5'!A5</f>
        <v>0</v>
      </c>
      <c r="M9" s="47" t="str">
        <f>'Projeto 5'!CE16</f>
        <v>-</v>
      </c>
      <c r="N9" s="79" t="str">
        <f t="shared" si="2"/>
        <v>s</v>
      </c>
      <c r="O9" s="48"/>
      <c r="P9" s="48"/>
      <c r="Q9" s="48"/>
      <c r="R9" s="79"/>
      <c r="S9" s="49"/>
      <c r="T9" s="49"/>
      <c r="U9" s="49"/>
      <c r="V9" s="49"/>
      <c r="W9" s="49"/>
      <c r="X9" s="81" t="e">
        <f t="shared" si="0"/>
        <v>#REF!</v>
      </c>
      <c r="Y9" s="81" t="b">
        <f>IF($G9&gt;=$Y$3,IF($F9&lt;=$Y$4,$X$1,""))</f>
        <v>0</v>
      </c>
      <c r="Z9" s="81" t="b">
        <f>IF($G9&gt;=$Z$3,IF($F9&lt;=$Z$4,#REF!,""))</f>
        <v>0</v>
      </c>
      <c r="AA9" s="81" t="b">
        <f>IF($G9&gt;=$AA$3,IF($F9&lt;=$AA$4,$X$2,""))</f>
        <v>0</v>
      </c>
      <c r="AB9" s="81" t="b">
        <f>IF($G9&gt;=$AB$3,IF($F9&lt;=$AB$4,$X$3,""))</f>
        <v>0</v>
      </c>
      <c r="AC9" s="81" t="b">
        <f>IF($G9&gt;=$AC$3,IF($F9&lt;=$AC$4,$X$4,""))</f>
        <v>0</v>
      </c>
      <c r="AD9" s="81" t="b">
        <f>IF($G9&gt;=$AD$3,IF($F9&lt;=$AD$4,$X$5,""))</f>
        <v>0</v>
      </c>
      <c r="AE9" s="81" t="b">
        <f>IF($G9&gt;=$AE$3,IF($F9&lt;=$AE$4,$X$6,""))</f>
        <v>0</v>
      </c>
      <c r="AF9" s="81" t="b">
        <f>IF($G9&gt;=$AF$3,IF($F9&lt;=$AF$4,$X$7,""))</f>
        <v>0</v>
      </c>
      <c r="AG9" s="81" t="b">
        <f>IF($G9&gt;=$AG$3,IF($F9&lt;=$AG$4,$X$8,""))</f>
        <v>0</v>
      </c>
      <c r="AH9" s="81" t="b">
        <f>IF($G9&gt;=$AH$3,IF($F9&lt;=$AH$4,$X$9,""))</f>
        <v>0</v>
      </c>
      <c r="AI9" s="81" t="b">
        <f>IF($G9&gt;=$AI$3,IF($F9&lt;=$AI$4,#REF!,""))</f>
        <v>0</v>
      </c>
      <c r="AJ9" s="81" t="b">
        <f>IF($G9&gt;=$AJ$3,IF($F9&lt;=$AJ$4,#REF!,""))</f>
        <v>0</v>
      </c>
      <c r="AK9" s="81" t="b">
        <f>IF($G9&gt;=$AK$3,IF($F9&lt;=$AK$4,#REF!,""))</f>
        <v>0</v>
      </c>
      <c r="AL9" s="81" t="b">
        <f>IF($G9&gt;=$AL$3,IF($F9&lt;=$AL$4,#REF!,""))</f>
        <v>0</v>
      </c>
      <c r="AM9" s="81" t="b">
        <f>IF($G9&gt;=$AM$3,IF($F9&lt;=$AM$4,#REF!,""))</f>
        <v>0</v>
      </c>
      <c r="AN9" s="81" t="b">
        <f>IF($G9&gt;=$AN$3,IF($F9&lt;=$AN$4,#REF!,""))</f>
        <v>0</v>
      </c>
      <c r="AO9" s="81" t="b">
        <f>IF($G9&gt;=$AO$3,IF($F9&lt;=$AO$4,#REF!,""))</f>
        <v>0</v>
      </c>
      <c r="AP9" s="81" t="b">
        <f>IF($G9&gt;=$AP$3,IF($F9&lt;=$AP$4,#REF!,""))</f>
        <v>0</v>
      </c>
      <c r="AQ9" s="81" t="b">
        <f>IF($G9&gt;=$AQ$3,IF($F9&lt;=$AQ$4,#REF!,""))</f>
        <v>0</v>
      </c>
      <c r="AR9" s="81" t="b">
        <f>IF($G9&gt;=$AR$3,IF($F9&lt;=$AR$4,#REF!,""))</f>
        <v>0</v>
      </c>
      <c r="AS9" s="81" t="b">
        <f>IF($G9&gt;=$AS$3,IF($F9&lt;=$AS$4,#REF!,""))</f>
        <v>0</v>
      </c>
      <c r="AT9" s="81" t="b">
        <f>IF($G9&gt;=$AT$3,IF($F9&lt;=$AT$4,#REF!,""))</f>
        <v>0</v>
      </c>
      <c r="AU9" s="81" t="b">
        <f>IF($G9&gt;=$AU$3,IF($F9&lt;=$AU$4,#REF!,""))</f>
        <v>0</v>
      </c>
      <c r="AV9" s="81" t="b">
        <f>IF($G9&gt;=$AV$3,IF($F9&lt;=$AV$4,#REF!,""))</f>
        <v>0</v>
      </c>
      <c r="AW9" s="81" t="b">
        <f>IF($G9&gt;=$AW$3,IF($F9&lt;=$AW$4,#REF!,""))</f>
        <v>0</v>
      </c>
      <c r="AX9" s="81" t="b">
        <f>IF($G9&gt;=$AX$3,IF($F9&lt;=$AX$4,#REF!,""))</f>
        <v>0</v>
      </c>
    </row>
    <row r="10" spans="1:50" ht="15.75" thickTop="1" x14ac:dyDescent="0.2">
      <c r="A10" s="49"/>
    </row>
  </sheetData>
  <mergeCells count="1">
    <mergeCell ref="A1:D1"/>
  </mergeCells>
  <conditionalFormatting sqref="M5:M9">
    <cfRule type="cellIs" dxfId="13" priority="203" operator="greaterThanOrEqual">
      <formula>1</formula>
    </cfRule>
    <cfRule type="cellIs" dxfId="12" priority="204" operator="lessThan">
      <formula>1</formula>
    </cfRule>
  </conditionalFormatting>
  <hyperlinks>
    <hyperlink ref="B5" location="DrogaMais!A1" display="DrogaMais!A1"/>
    <hyperlink ref="B6" location="DrogaMattos!A1" display="DrogaMattos!A1"/>
    <hyperlink ref="B7" location="'Cliente A'!A1" display="'Cliente A'!A1"/>
    <hyperlink ref="B8" location="'Cliente B'!A1" display="'Cliente B'!A1"/>
    <hyperlink ref="B9" location="'Cliente C'!A1" display="'Cliente C'!A1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49"/>
  <sheetViews>
    <sheetView showGridLines="0" zoomScaleNormal="100" workbookViewId="0">
      <selection activeCell="C3" sqref="C3:F3"/>
    </sheetView>
  </sheetViews>
  <sheetFormatPr defaultColWidth="0" defaultRowHeight="15" zeroHeight="1" x14ac:dyDescent="0.25"/>
  <cols>
    <col min="1" max="6" width="9.7109375" style="4" customWidth="1"/>
    <col min="7" max="7" width="9.28515625" style="4" customWidth="1"/>
    <col min="8" max="8" width="14.28515625" style="4" bestFit="1" customWidth="1"/>
    <col min="9" max="9" width="11.28515625" style="4" bestFit="1" customWidth="1"/>
    <col min="10" max="16" width="9.7109375" style="4" customWidth="1"/>
    <col min="17" max="17" width="0.28515625" style="4" customWidth="1"/>
    <col min="18" max="18" width="4" style="4" customWidth="1"/>
    <col min="19" max="81" width="1.42578125" style="4" customWidth="1"/>
    <col min="82" max="82" width="10.5703125" style="4" bestFit="1" customWidth="1"/>
    <col min="83" max="83" width="14.28515625" style="4" bestFit="1" customWidth="1"/>
    <col min="84" max="92" width="13.28515625" style="4" customWidth="1"/>
    <col min="93" max="93" width="13.28515625" style="5" customWidth="1"/>
    <col min="94" max="95" width="13.28515625" style="4" customWidth="1"/>
    <col min="96" max="96" width="1.28515625" style="4" customWidth="1"/>
    <col min="97" max="16384" width="9.140625" style="4" hidden="1"/>
  </cols>
  <sheetData>
    <row r="1" spans="1:107" s="94" customFormat="1" ht="36" customHeight="1" x14ac:dyDescent="0.25">
      <c r="A1" s="197" t="s">
        <v>143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</row>
    <row r="2" spans="1:107" ht="15.75" thickBot="1" x14ac:dyDescent="0.3">
      <c r="C2" s="5">
        <f>C3</f>
        <v>0</v>
      </c>
      <c r="D2" s="5"/>
      <c r="E2" s="5">
        <f>I3</f>
        <v>0</v>
      </c>
      <c r="F2" s="5"/>
      <c r="G2" s="5">
        <f>B13</f>
        <v>0</v>
      </c>
      <c r="H2" s="5" t="str">
        <f>E9</f>
        <v>FÁBRICA E LAYOUT</v>
      </c>
      <c r="I2" s="5"/>
    </row>
    <row r="3" spans="1:107" s="6" customFormat="1" ht="18" customHeight="1" thickBot="1" x14ac:dyDescent="0.3">
      <c r="A3" s="4"/>
      <c r="B3" s="22" t="s">
        <v>45</v>
      </c>
      <c r="C3" s="176"/>
      <c r="D3" s="176"/>
      <c r="E3" s="176"/>
      <c r="F3" s="177"/>
      <c r="G3" s="4"/>
      <c r="H3" s="23" t="s">
        <v>41</v>
      </c>
      <c r="I3" s="108"/>
      <c r="J3" s="109"/>
      <c r="K3" s="110"/>
      <c r="L3" s="26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20"/>
      <c r="CE3" s="37"/>
      <c r="CF3" s="199"/>
      <c r="CG3" s="199"/>
      <c r="CH3" s="199"/>
      <c r="CI3" s="37"/>
      <c r="CJ3" s="199"/>
      <c r="CK3" s="199"/>
      <c r="CL3" s="199"/>
      <c r="CM3" s="4"/>
      <c r="CN3" s="4"/>
      <c r="CO3" s="5"/>
      <c r="CP3" s="4"/>
      <c r="CQ3" s="4"/>
      <c r="CR3" s="4"/>
      <c r="CT3" s="5" t="s">
        <v>11</v>
      </c>
      <c r="CU3" s="5"/>
      <c r="CV3" s="5"/>
      <c r="CW3" s="5"/>
      <c r="CX3" s="5"/>
      <c r="CY3" s="5" t="s">
        <v>24</v>
      </c>
      <c r="CZ3" s="5"/>
      <c r="DA3" s="5"/>
      <c r="DB3" s="5"/>
      <c r="DC3" s="5" t="s">
        <v>66</v>
      </c>
    </row>
    <row r="4" spans="1:107" s="6" customFormat="1" ht="7.5" customHeight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20"/>
      <c r="CE4" s="201"/>
      <c r="CF4" s="199"/>
      <c r="CG4" s="199"/>
      <c r="CH4" s="199"/>
      <c r="CI4" s="200"/>
      <c r="CJ4" s="199"/>
      <c r="CK4" s="199"/>
      <c r="CL4" s="199"/>
      <c r="CM4" s="4"/>
      <c r="CN4" s="4"/>
      <c r="CO4" s="5"/>
      <c r="CP4" s="4"/>
      <c r="CQ4" s="4"/>
      <c r="CR4" s="4"/>
      <c r="CT4" s="5" t="s">
        <v>12</v>
      </c>
      <c r="CU4" s="5"/>
      <c r="CV4" s="5"/>
      <c r="CW4" s="5"/>
      <c r="CX4" s="5"/>
      <c r="CY4" s="5" t="s">
        <v>23</v>
      </c>
      <c r="CZ4" s="5"/>
      <c r="DA4" s="5"/>
      <c r="DB4" s="5"/>
      <c r="DC4" s="5" t="s">
        <v>67</v>
      </c>
    </row>
    <row r="5" spans="1:107" s="6" customFormat="1" ht="18" customHeight="1" thickBot="1" x14ac:dyDescent="0.3">
      <c r="A5" s="5">
        <f>D5</f>
        <v>0</v>
      </c>
      <c r="B5" s="178" t="s">
        <v>40</v>
      </c>
      <c r="C5" s="179"/>
      <c r="D5" s="176"/>
      <c r="E5" s="176"/>
      <c r="F5" s="177"/>
      <c r="G5" s="4"/>
      <c r="H5" s="24" t="s">
        <v>42</v>
      </c>
      <c r="I5" s="7"/>
      <c r="K5" s="30" t="s">
        <v>59</v>
      </c>
      <c r="L5" s="31"/>
      <c r="M5" s="32"/>
      <c r="N5" s="182"/>
      <c r="O5" s="183"/>
      <c r="P5" s="51">
        <f>N5</f>
        <v>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20"/>
      <c r="CE5" s="201"/>
      <c r="CF5" s="199"/>
      <c r="CG5" s="199"/>
      <c r="CH5" s="199"/>
      <c r="CI5" s="200"/>
      <c r="CJ5" s="199"/>
      <c r="CK5" s="199"/>
      <c r="CL5" s="199"/>
      <c r="CM5" s="4"/>
      <c r="CN5" s="4"/>
      <c r="CO5" s="5"/>
      <c r="CP5" s="4"/>
      <c r="CQ5" s="4"/>
      <c r="CR5" s="4"/>
      <c r="CT5" s="5" t="s">
        <v>13</v>
      </c>
      <c r="CU5" s="5"/>
      <c r="CV5" s="5"/>
      <c r="CW5" s="5"/>
      <c r="CX5" s="5"/>
      <c r="CY5" s="5" t="s">
        <v>26</v>
      </c>
      <c r="CZ5" s="5"/>
      <c r="DA5" s="5"/>
      <c r="DB5" s="5"/>
      <c r="DC5" s="5" t="s">
        <v>68</v>
      </c>
    </row>
    <row r="6" spans="1:107" s="6" customFormat="1" ht="7.5" customHeight="1" thickBot="1" x14ac:dyDescent="0.3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20"/>
      <c r="CE6" s="201"/>
      <c r="CF6" s="199"/>
      <c r="CG6" s="199"/>
      <c r="CH6" s="199"/>
      <c r="CI6" s="200"/>
      <c r="CJ6" s="199"/>
      <c r="CK6" s="199"/>
      <c r="CL6" s="199"/>
      <c r="CM6" s="4"/>
      <c r="CN6" s="4"/>
      <c r="CO6" s="5"/>
      <c r="CP6" s="4"/>
      <c r="CQ6" s="4"/>
      <c r="CR6" s="4"/>
      <c r="CT6" s="5" t="s">
        <v>14</v>
      </c>
      <c r="CU6" s="5"/>
      <c r="CV6" s="5"/>
      <c r="CW6" s="5"/>
      <c r="CX6" s="5"/>
      <c r="CY6" s="5" t="s">
        <v>25</v>
      </c>
      <c r="CZ6" s="5"/>
      <c r="DA6" s="5"/>
      <c r="DB6" s="5"/>
      <c r="DC6" s="5" t="s">
        <v>69</v>
      </c>
    </row>
    <row r="7" spans="1:107" s="6" customFormat="1" ht="18" customHeight="1" thickBot="1" x14ac:dyDescent="0.3">
      <c r="A7" s="5">
        <f>D7</f>
        <v>0</v>
      </c>
      <c r="B7" s="178" t="s">
        <v>9</v>
      </c>
      <c r="C7" s="179"/>
      <c r="D7" s="176"/>
      <c r="E7" s="176"/>
      <c r="F7" s="177"/>
      <c r="G7" s="4"/>
      <c r="H7" s="25" t="s">
        <v>44</v>
      </c>
      <c r="I7" s="7"/>
      <c r="J7" s="27"/>
      <c r="K7" s="28" t="s">
        <v>58</v>
      </c>
      <c r="L7" s="33"/>
      <c r="M7" s="34"/>
      <c r="N7" s="180"/>
      <c r="O7" s="181"/>
      <c r="P7" s="5">
        <f>N7</f>
        <v>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20"/>
      <c r="CE7" s="201"/>
      <c r="CF7" s="199"/>
      <c r="CG7" s="199"/>
      <c r="CH7" s="199"/>
      <c r="CI7" s="200"/>
      <c r="CJ7" s="199"/>
      <c r="CK7" s="199"/>
      <c r="CL7" s="199"/>
      <c r="CM7" s="4"/>
      <c r="CN7" s="4"/>
      <c r="CO7" s="5"/>
      <c r="CP7" s="4"/>
      <c r="CQ7" s="4"/>
      <c r="CR7" s="4"/>
      <c r="CT7" s="5" t="s">
        <v>15</v>
      </c>
      <c r="CU7" s="5"/>
      <c r="CV7" s="5"/>
      <c r="CW7" s="5"/>
      <c r="CX7" s="5"/>
      <c r="CY7" s="5" t="s">
        <v>22</v>
      </c>
      <c r="CZ7" s="5"/>
      <c r="DA7" s="5"/>
      <c r="DB7" s="5"/>
      <c r="DC7" s="5" t="s">
        <v>70</v>
      </c>
    </row>
    <row r="8" spans="1:107" s="6" customFormat="1" ht="7.5" customHeight="1" thickBot="1" x14ac:dyDescent="0.3">
      <c r="A8" s="4"/>
      <c r="B8" s="4"/>
      <c r="C8" s="4"/>
      <c r="D8" s="4"/>
      <c r="E8" s="4"/>
      <c r="F8" s="4"/>
      <c r="G8" s="4"/>
      <c r="H8" s="29"/>
      <c r="I8" s="27"/>
      <c r="J8" s="27"/>
      <c r="K8" s="27"/>
      <c r="L8" s="27"/>
      <c r="M8" s="27"/>
      <c r="N8" s="27"/>
      <c r="O8" s="27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5"/>
      <c r="CP8" s="4"/>
      <c r="CQ8" s="4"/>
      <c r="CR8" s="4"/>
      <c r="CT8" s="5" t="s">
        <v>16</v>
      </c>
      <c r="CU8" s="5"/>
      <c r="CV8" s="5"/>
      <c r="CW8" s="5"/>
      <c r="CX8" s="5"/>
      <c r="CY8" s="5" t="s">
        <v>21</v>
      </c>
      <c r="CZ8" s="5"/>
      <c r="DA8" s="5"/>
      <c r="DB8" s="5"/>
      <c r="DC8" s="5" t="s">
        <v>71</v>
      </c>
    </row>
    <row r="9" spans="1:107" s="6" customFormat="1" ht="15" customHeight="1" x14ac:dyDescent="0.25">
      <c r="A9" s="4"/>
      <c r="B9" s="111" t="s">
        <v>60</v>
      </c>
      <c r="C9" s="112"/>
      <c r="D9" s="113"/>
      <c r="E9" s="117" t="s">
        <v>124</v>
      </c>
      <c r="F9" s="118"/>
      <c r="G9" s="118"/>
      <c r="H9" s="118"/>
      <c r="I9" s="118"/>
      <c r="J9" s="118"/>
      <c r="K9" s="118"/>
      <c r="L9" s="119"/>
      <c r="M9" s="27"/>
      <c r="N9" s="27"/>
      <c r="O9" s="27"/>
      <c r="P9" s="27"/>
      <c r="Q9" s="4"/>
      <c r="R9" s="4"/>
      <c r="S9" s="104" t="s">
        <v>126</v>
      </c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4"/>
      <c r="CA9" s="4"/>
      <c r="CB9" s="4"/>
      <c r="CC9" s="4"/>
      <c r="CD9" s="104" t="s">
        <v>122</v>
      </c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4"/>
      <c r="CT9" s="5" t="s">
        <v>54</v>
      </c>
      <c r="CU9" s="5"/>
      <c r="CV9" s="5"/>
      <c r="CW9" s="5"/>
      <c r="CX9" s="5"/>
      <c r="CY9" s="5" t="s">
        <v>20</v>
      </c>
      <c r="CZ9" s="5"/>
      <c r="DA9" s="5"/>
      <c r="DB9" s="5"/>
      <c r="DC9" s="5" t="s">
        <v>72</v>
      </c>
    </row>
    <row r="10" spans="1:107" s="6" customFormat="1" ht="7.5" customHeight="1" thickBot="1" x14ac:dyDescent="0.3">
      <c r="A10" s="4"/>
      <c r="B10" s="114"/>
      <c r="C10" s="115"/>
      <c r="D10" s="116"/>
      <c r="E10" s="120"/>
      <c r="F10" s="121"/>
      <c r="G10" s="121"/>
      <c r="H10" s="121"/>
      <c r="I10" s="121"/>
      <c r="J10" s="121"/>
      <c r="K10" s="121"/>
      <c r="L10" s="122"/>
      <c r="M10" s="27"/>
      <c r="N10" s="27"/>
      <c r="O10" s="27"/>
      <c r="P10" s="27"/>
      <c r="Q10" s="4"/>
      <c r="R10" s="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4"/>
      <c r="CA10" s="4"/>
      <c r="CB10" s="4"/>
      <c r="CC10" s="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4"/>
      <c r="CT10" s="5" t="s">
        <v>55</v>
      </c>
      <c r="CU10" s="5"/>
      <c r="CV10" s="5"/>
      <c r="CW10" s="5"/>
      <c r="CX10" s="5"/>
      <c r="CY10" s="5"/>
      <c r="CZ10" s="5"/>
      <c r="DA10" s="5"/>
      <c r="DB10" s="5"/>
      <c r="DC10" s="5" t="s">
        <v>73</v>
      </c>
    </row>
    <row r="11" spans="1:107" s="6" customFormat="1" ht="15" customHeight="1" thickBot="1" x14ac:dyDescent="0.3">
      <c r="A11" s="4"/>
      <c r="G11" s="4"/>
      <c r="H11" s="29"/>
      <c r="I11" s="27"/>
      <c r="J11" s="27"/>
      <c r="K11" s="27"/>
      <c r="L11" s="27"/>
      <c r="M11" s="27"/>
      <c r="N11" s="27"/>
      <c r="O11" s="27"/>
      <c r="P11" s="27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R11" s="4"/>
      <c r="CT11" s="5" t="s">
        <v>56</v>
      </c>
      <c r="CU11" s="5"/>
      <c r="CV11" s="5"/>
      <c r="CW11" s="5"/>
      <c r="CX11" s="5"/>
      <c r="CY11" s="5"/>
      <c r="CZ11" s="5"/>
      <c r="DA11" s="5"/>
      <c r="DB11" s="5"/>
      <c r="DC11" s="5" t="s">
        <v>74</v>
      </c>
    </row>
    <row r="12" spans="1:107" s="6" customFormat="1" ht="15" customHeight="1" thickTop="1" thickBot="1" x14ac:dyDescent="0.3">
      <c r="A12" s="4"/>
      <c r="B12" s="174" t="s">
        <v>28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4"/>
      <c r="R12" s="4"/>
      <c r="S12" s="134" t="s">
        <v>30</v>
      </c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6"/>
      <c r="BZ12" s="35"/>
      <c r="CA12" s="35"/>
      <c r="CB12" s="35"/>
      <c r="CC12" s="36"/>
      <c r="CD12" s="101" t="s">
        <v>17</v>
      </c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3"/>
      <c r="CR12" s="4"/>
      <c r="CT12" s="5"/>
      <c r="CU12" s="5"/>
      <c r="CV12" s="5"/>
      <c r="CW12" s="5"/>
      <c r="CX12" s="5"/>
      <c r="CY12" s="5"/>
      <c r="CZ12" s="5"/>
      <c r="DA12" s="5"/>
      <c r="DB12" s="5"/>
      <c r="DC12" s="5" t="s">
        <v>75</v>
      </c>
    </row>
    <row r="13" spans="1:107" s="6" customFormat="1" ht="15" customHeight="1" thickTop="1" thickBot="1" x14ac:dyDescent="0.3">
      <c r="A13" s="4"/>
      <c r="B13" s="165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7"/>
      <c r="Q13" s="4"/>
      <c r="R13" s="4"/>
      <c r="S13" s="185" t="s">
        <v>121</v>
      </c>
      <c r="T13" s="186"/>
      <c r="U13" s="186"/>
      <c r="V13" s="186"/>
      <c r="W13" s="186"/>
      <c r="X13" s="186"/>
      <c r="Y13" s="186"/>
      <c r="Z13" s="186"/>
      <c r="AA13" s="186"/>
      <c r="AB13" s="186"/>
      <c r="AC13" s="187"/>
      <c r="AD13" s="191">
        <v>1</v>
      </c>
      <c r="AE13" s="192"/>
      <c r="AF13" s="192"/>
      <c r="AG13" s="193"/>
      <c r="AH13" s="191">
        <v>2</v>
      </c>
      <c r="AI13" s="192"/>
      <c r="AJ13" s="192"/>
      <c r="AK13" s="193"/>
      <c r="AL13" s="191">
        <v>3</v>
      </c>
      <c r="AM13" s="192"/>
      <c r="AN13" s="192"/>
      <c r="AO13" s="193"/>
      <c r="AP13" s="191">
        <v>4</v>
      </c>
      <c r="AQ13" s="192"/>
      <c r="AR13" s="192"/>
      <c r="AS13" s="193"/>
      <c r="AT13" s="191">
        <v>5</v>
      </c>
      <c r="AU13" s="192"/>
      <c r="AV13" s="192"/>
      <c r="AW13" s="193"/>
      <c r="AX13" s="191">
        <v>6</v>
      </c>
      <c r="AY13" s="192"/>
      <c r="AZ13" s="192"/>
      <c r="BA13" s="193"/>
      <c r="BB13" s="191">
        <v>7</v>
      </c>
      <c r="BC13" s="192"/>
      <c r="BD13" s="192"/>
      <c r="BE13" s="193"/>
      <c r="BF13" s="191">
        <v>8</v>
      </c>
      <c r="BG13" s="192"/>
      <c r="BH13" s="192"/>
      <c r="BI13" s="193"/>
      <c r="BJ13" s="191">
        <v>9</v>
      </c>
      <c r="BK13" s="192"/>
      <c r="BL13" s="192"/>
      <c r="BM13" s="193"/>
      <c r="BN13" s="191">
        <v>10</v>
      </c>
      <c r="BO13" s="192"/>
      <c r="BP13" s="192"/>
      <c r="BQ13" s="193"/>
      <c r="BR13" s="191">
        <v>11</v>
      </c>
      <c r="BS13" s="192"/>
      <c r="BT13" s="192"/>
      <c r="BU13" s="193"/>
      <c r="BV13" s="191">
        <v>12</v>
      </c>
      <c r="BW13" s="192"/>
      <c r="BX13" s="192"/>
      <c r="BY13" s="193"/>
      <c r="BZ13" s="4"/>
      <c r="CA13" s="4"/>
      <c r="CB13" s="4"/>
      <c r="CC13" s="4"/>
      <c r="CD13" s="8"/>
      <c r="CE13" s="9" t="s">
        <v>27</v>
      </c>
      <c r="CF13" s="10" t="str">
        <f>AD14</f>
        <v>JAN</v>
      </c>
      <c r="CG13" s="10" t="str">
        <f>AH14</f>
        <v>FEV</v>
      </c>
      <c r="CH13" s="10" t="str">
        <f>AL14</f>
        <v>MAR</v>
      </c>
      <c r="CI13" s="10" t="str">
        <f>AP14</f>
        <v>ABR</v>
      </c>
      <c r="CJ13" s="10" t="str">
        <f>AT14</f>
        <v>MAI</v>
      </c>
      <c r="CK13" s="10" t="str">
        <f>AX14</f>
        <v>JUN</v>
      </c>
      <c r="CL13" s="10" t="str">
        <f>BB14</f>
        <v>JUL</v>
      </c>
      <c r="CM13" s="10" t="str">
        <f>BF14</f>
        <v>AGO</v>
      </c>
      <c r="CN13" s="10" t="str">
        <f>BJ14</f>
        <v>SET</v>
      </c>
      <c r="CO13" s="10" t="str">
        <f>BN14</f>
        <v>OUT</v>
      </c>
      <c r="CP13" s="10" t="str">
        <f>BR14</f>
        <v>NOV</v>
      </c>
      <c r="CQ13" s="10" t="str">
        <f>BV14</f>
        <v>DEZ</v>
      </c>
      <c r="CR13" s="4"/>
      <c r="CT13" s="5"/>
      <c r="CU13" s="5"/>
      <c r="CV13" s="5"/>
      <c r="CW13" s="5"/>
      <c r="CX13" s="5"/>
      <c r="CY13" s="5"/>
      <c r="CZ13" s="5"/>
      <c r="DA13" s="5"/>
      <c r="DB13" s="5"/>
      <c r="DC13" s="5" t="s">
        <v>76</v>
      </c>
    </row>
    <row r="14" spans="1:107" s="6" customFormat="1" ht="15" customHeight="1" thickTop="1" thickBot="1" x14ac:dyDescent="0.3">
      <c r="A14" s="4"/>
      <c r="B14" s="168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70"/>
      <c r="Q14" s="4"/>
      <c r="R14" s="4"/>
      <c r="S14" s="188"/>
      <c r="T14" s="189"/>
      <c r="U14" s="189"/>
      <c r="V14" s="189"/>
      <c r="W14" s="189"/>
      <c r="X14" s="189"/>
      <c r="Y14" s="189"/>
      <c r="Z14" s="189"/>
      <c r="AA14" s="189"/>
      <c r="AB14" s="189"/>
      <c r="AC14" s="190"/>
      <c r="AD14" s="194" t="s">
        <v>109</v>
      </c>
      <c r="AE14" s="195"/>
      <c r="AF14" s="195"/>
      <c r="AG14" s="196"/>
      <c r="AH14" s="194" t="s">
        <v>110</v>
      </c>
      <c r="AI14" s="195"/>
      <c r="AJ14" s="195"/>
      <c r="AK14" s="196"/>
      <c r="AL14" s="194" t="s">
        <v>111</v>
      </c>
      <c r="AM14" s="195"/>
      <c r="AN14" s="195"/>
      <c r="AO14" s="196"/>
      <c r="AP14" s="194" t="s">
        <v>112</v>
      </c>
      <c r="AQ14" s="195"/>
      <c r="AR14" s="195"/>
      <c r="AS14" s="196"/>
      <c r="AT14" s="194" t="s">
        <v>113</v>
      </c>
      <c r="AU14" s="195"/>
      <c r="AV14" s="195"/>
      <c r="AW14" s="196"/>
      <c r="AX14" s="194" t="s">
        <v>114</v>
      </c>
      <c r="AY14" s="195"/>
      <c r="AZ14" s="195"/>
      <c r="BA14" s="196"/>
      <c r="BB14" s="194" t="s">
        <v>115</v>
      </c>
      <c r="BC14" s="195"/>
      <c r="BD14" s="195"/>
      <c r="BE14" s="196"/>
      <c r="BF14" s="194" t="s">
        <v>116</v>
      </c>
      <c r="BG14" s="195"/>
      <c r="BH14" s="195"/>
      <c r="BI14" s="196"/>
      <c r="BJ14" s="194" t="s">
        <v>117</v>
      </c>
      <c r="BK14" s="195"/>
      <c r="BL14" s="195"/>
      <c r="BM14" s="196"/>
      <c r="BN14" s="194" t="s">
        <v>118</v>
      </c>
      <c r="BO14" s="195"/>
      <c r="BP14" s="195"/>
      <c r="BQ14" s="196"/>
      <c r="BR14" s="194" t="s">
        <v>119</v>
      </c>
      <c r="BS14" s="195"/>
      <c r="BT14" s="195"/>
      <c r="BU14" s="196"/>
      <c r="BV14" s="194" t="s">
        <v>120</v>
      </c>
      <c r="BW14" s="195"/>
      <c r="BX14" s="195"/>
      <c r="BY14" s="196"/>
      <c r="BZ14" s="4"/>
      <c r="CA14" s="4"/>
      <c r="CB14" s="4"/>
      <c r="CC14" s="4"/>
      <c r="CD14" s="11" t="s">
        <v>29</v>
      </c>
      <c r="CE14" s="92">
        <f>SUM(CF14:CQ14)</f>
        <v>0</v>
      </c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4"/>
      <c r="CT14" s="5"/>
      <c r="CU14" s="5"/>
      <c r="CV14" s="5"/>
      <c r="CW14" s="5"/>
      <c r="CX14" s="5"/>
      <c r="CY14" s="5"/>
      <c r="CZ14" s="5"/>
      <c r="DA14" s="5"/>
      <c r="DB14" s="5"/>
      <c r="DC14" s="5" t="s">
        <v>77</v>
      </c>
    </row>
    <row r="15" spans="1:107" s="6" customFormat="1" ht="15" customHeight="1" thickTop="1" thickBot="1" x14ac:dyDescent="0.3">
      <c r="A15" s="4"/>
      <c r="B15" s="168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70"/>
      <c r="Q15" s="4"/>
      <c r="R15" s="4"/>
      <c r="S15" s="150"/>
      <c r="T15" s="151"/>
      <c r="U15" s="151"/>
      <c r="V15" s="151"/>
      <c r="W15" s="151"/>
      <c r="X15" s="151"/>
      <c r="Y15" s="151"/>
      <c r="Z15" s="151"/>
      <c r="AA15" s="151"/>
      <c r="AB15" s="151"/>
      <c r="AC15" s="152"/>
      <c r="AD15" s="144"/>
      <c r="AE15" s="141"/>
      <c r="AF15" s="141"/>
      <c r="AG15" s="105"/>
      <c r="AH15" s="144"/>
      <c r="AI15" s="141"/>
      <c r="AJ15" s="141"/>
      <c r="AK15" s="105"/>
      <c r="AL15" s="144"/>
      <c r="AM15" s="141"/>
      <c r="AN15" s="141"/>
      <c r="AO15" s="105"/>
      <c r="AP15" s="144"/>
      <c r="AQ15" s="141"/>
      <c r="AR15" s="141"/>
      <c r="AS15" s="105"/>
      <c r="AT15" s="144"/>
      <c r="AU15" s="141"/>
      <c r="AV15" s="141"/>
      <c r="AW15" s="105"/>
      <c r="AX15" s="144"/>
      <c r="AY15" s="141"/>
      <c r="AZ15" s="141"/>
      <c r="BA15" s="105"/>
      <c r="BB15" s="144"/>
      <c r="BC15" s="141"/>
      <c r="BD15" s="141"/>
      <c r="BE15" s="105"/>
      <c r="BF15" s="144"/>
      <c r="BG15" s="141"/>
      <c r="BH15" s="141"/>
      <c r="BI15" s="105"/>
      <c r="BJ15" s="144"/>
      <c r="BK15" s="141"/>
      <c r="BL15" s="141"/>
      <c r="BM15" s="105"/>
      <c r="BN15" s="144"/>
      <c r="BO15" s="141"/>
      <c r="BP15" s="141"/>
      <c r="BQ15" s="105"/>
      <c r="BR15" s="144"/>
      <c r="BS15" s="141"/>
      <c r="BT15" s="141"/>
      <c r="BU15" s="105"/>
      <c r="BV15" s="144"/>
      <c r="BW15" s="141"/>
      <c r="BX15" s="141"/>
      <c r="BY15" s="105"/>
      <c r="BZ15" s="4"/>
      <c r="CA15" s="4"/>
      <c r="CB15" s="4"/>
      <c r="CC15" s="4"/>
      <c r="CD15" s="13" t="s">
        <v>18</v>
      </c>
      <c r="CE15" s="92">
        <f>SUM(CF15:CQ15)</f>
        <v>0</v>
      </c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4"/>
      <c r="CT15" s="5"/>
      <c r="CU15" s="5"/>
      <c r="CV15" s="5"/>
      <c r="CW15" s="5"/>
      <c r="CX15" s="5"/>
      <c r="CY15" s="5"/>
      <c r="CZ15" s="5"/>
      <c r="DA15" s="5"/>
      <c r="DB15" s="5"/>
      <c r="DC15" s="5" t="s">
        <v>78</v>
      </c>
    </row>
    <row r="16" spans="1:107" s="6" customFormat="1" ht="15" customHeight="1" thickTop="1" thickBot="1" x14ac:dyDescent="0.3">
      <c r="A16" s="4"/>
      <c r="B16" s="171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3"/>
      <c r="Q16" s="4"/>
      <c r="R16" s="4"/>
      <c r="S16" s="153"/>
      <c r="T16" s="154"/>
      <c r="U16" s="154"/>
      <c r="V16" s="154"/>
      <c r="W16" s="154"/>
      <c r="X16" s="154"/>
      <c r="Y16" s="154"/>
      <c r="Z16" s="154"/>
      <c r="AA16" s="154"/>
      <c r="AB16" s="154"/>
      <c r="AC16" s="155"/>
      <c r="AD16" s="145"/>
      <c r="AE16" s="142"/>
      <c r="AF16" s="142"/>
      <c r="AG16" s="106"/>
      <c r="AH16" s="145"/>
      <c r="AI16" s="142"/>
      <c r="AJ16" s="142"/>
      <c r="AK16" s="106"/>
      <c r="AL16" s="145"/>
      <c r="AM16" s="142"/>
      <c r="AN16" s="142"/>
      <c r="AO16" s="106"/>
      <c r="AP16" s="145"/>
      <c r="AQ16" s="142"/>
      <c r="AR16" s="142"/>
      <c r="AS16" s="106"/>
      <c r="AT16" s="145"/>
      <c r="AU16" s="142"/>
      <c r="AV16" s="142"/>
      <c r="AW16" s="106"/>
      <c r="AX16" s="145"/>
      <c r="AY16" s="142"/>
      <c r="AZ16" s="142"/>
      <c r="BA16" s="106"/>
      <c r="BB16" s="145"/>
      <c r="BC16" s="142"/>
      <c r="BD16" s="142"/>
      <c r="BE16" s="106"/>
      <c r="BF16" s="145"/>
      <c r="BG16" s="142"/>
      <c r="BH16" s="142"/>
      <c r="BI16" s="106"/>
      <c r="BJ16" s="145"/>
      <c r="BK16" s="142"/>
      <c r="BL16" s="142"/>
      <c r="BM16" s="106"/>
      <c r="BN16" s="145"/>
      <c r="BO16" s="142"/>
      <c r="BP16" s="142"/>
      <c r="BQ16" s="106"/>
      <c r="BR16" s="145"/>
      <c r="BS16" s="142"/>
      <c r="BT16" s="142"/>
      <c r="BU16" s="106"/>
      <c r="BV16" s="145"/>
      <c r="BW16" s="142"/>
      <c r="BX16" s="142"/>
      <c r="BY16" s="106"/>
      <c r="BZ16" s="4"/>
      <c r="CA16" s="4"/>
      <c r="CB16" s="4"/>
      <c r="CC16" s="4"/>
      <c r="CD16" s="9" t="s">
        <v>19</v>
      </c>
      <c r="CE16" s="16" t="str">
        <f>IFERROR(CE15/CE14,"-")</f>
        <v>-</v>
      </c>
      <c r="CF16" s="16" t="str">
        <f>IFERROR(CF15/CF14,"-")</f>
        <v>-</v>
      </c>
      <c r="CG16" s="16" t="str">
        <f t="shared" ref="CG16:CQ16" si="0">IFERROR(CG15/CG14,"-")</f>
        <v>-</v>
      </c>
      <c r="CH16" s="16" t="str">
        <f t="shared" si="0"/>
        <v>-</v>
      </c>
      <c r="CI16" s="16" t="str">
        <f t="shared" si="0"/>
        <v>-</v>
      </c>
      <c r="CJ16" s="16" t="str">
        <f t="shared" si="0"/>
        <v>-</v>
      </c>
      <c r="CK16" s="16" t="str">
        <f t="shared" si="0"/>
        <v>-</v>
      </c>
      <c r="CL16" s="16" t="str">
        <f t="shared" si="0"/>
        <v>-</v>
      </c>
      <c r="CM16" s="16" t="str">
        <f t="shared" si="0"/>
        <v>-</v>
      </c>
      <c r="CN16" s="16" t="str">
        <f t="shared" si="0"/>
        <v>-</v>
      </c>
      <c r="CO16" s="16" t="str">
        <f t="shared" si="0"/>
        <v>-</v>
      </c>
      <c r="CP16" s="16" t="str">
        <f t="shared" si="0"/>
        <v>-</v>
      </c>
      <c r="CQ16" s="16" t="str">
        <f t="shared" si="0"/>
        <v>-</v>
      </c>
      <c r="CR16" s="4"/>
      <c r="CT16" s="5"/>
      <c r="CU16" s="5"/>
      <c r="CV16" s="5"/>
      <c r="CW16" s="5"/>
      <c r="CX16" s="5"/>
      <c r="CY16" s="5"/>
      <c r="CZ16" s="5"/>
      <c r="DA16" s="5"/>
      <c r="DB16" s="5"/>
      <c r="DC16" s="5" t="s">
        <v>79</v>
      </c>
    </row>
    <row r="17" spans="1:107" s="6" customFormat="1" ht="15" customHeight="1" thickTop="1" thickBot="1" x14ac:dyDescent="0.3">
      <c r="A17" s="4"/>
      <c r="B17" s="174" t="s">
        <v>57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4"/>
      <c r="R17" s="4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8"/>
      <c r="AD17" s="146"/>
      <c r="AE17" s="143"/>
      <c r="AF17" s="143"/>
      <c r="AG17" s="107"/>
      <c r="AH17" s="146"/>
      <c r="AI17" s="143"/>
      <c r="AJ17" s="143"/>
      <c r="AK17" s="107"/>
      <c r="AL17" s="146"/>
      <c r="AM17" s="143"/>
      <c r="AN17" s="143"/>
      <c r="AO17" s="107"/>
      <c r="AP17" s="146"/>
      <c r="AQ17" s="143"/>
      <c r="AR17" s="143"/>
      <c r="AS17" s="107"/>
      <c r="AT17" s="146"/>
      <c r="AU17" s="143"/>
      <c r="AV17" s="143"/>
      <c r="AW17" s="107"/>
      <c r="AX17" s="146"/>
      <c r="AY17" s="143"/>
      <c r="AZ17" s="143"/>
      <c r="BA17" s="107"/>
      <c r="BB17" s="146"/>
      <c r="BC17" s="143"/>
      <c r="BD17" s="143"/>
      <c r="BE17" s="107"/>
      <c r="BF17" s="146"/>
      <c r="BG17" s="143"/>
      <c r="BH17" s="143"/>
      <c r="BI17" s="107"/>
      <c r="BJ17" s="146"/>
      <c r="BK17" s="143"/>
      <c r="BL17" s="143"/>
      <c r="BM17" s="107"/>
      <c r="BN17" s="146"/>
      <c r="BO17" s="143"/>
      <c r="BP17" s="143"/>
      <c r="BQ17" s="107"/>
      <c r="BR17" s="146"/>
      <c r="BS17" s="143"/>
      <c r="BT17" s="143"/>
      <c r="BU17" s="107"/>
      <c r="BV17" s="146"/>
      <c r="BW17" s="143"/>
      <c r="BX17" s="143"/>
      <c r="BY17" s="107"/>
      <c r="BZ17" s="4"/>
      <c r="CA17" s="4"/>
      <c r="CB17" s="4"/>
      <c r="CC17" s="4"/>
      <c r="CD17" s="101" t="s">
        <v>104</v>
      </c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3"/>
      <c r="CR17" s="4"/>
      <c r="CT17" s="5"/>
      <c r="CU17" s="5"/>
      <c r="CV17" s="5"/>
      <c r="CW17" s="5"/>
      <c r="CX17" s="5"/>
      <c r="CY17" s="5"/>
      <c r="CZ17" s="5"/>
      <c r="DA17" s="5"/>
      <c r="DB17" s="5"/>
      <c r="DC17" s="5" t="s">
        <v>80</v>
      </c>
    </row>
    <row r="18" spans="1:107" s="6" customFormat="1" ht="15" customHeight="1" thickTop="1" thickBot="1" x14ac:dyDescent="0.3">
      <c r="A18" s="4"/>
      <c r="B18" s="165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7"/>
      <c r="Q18" s="4"/>
      <c r="R18" s="4"/>
      <c r="S18" s="150"/>
      <c r="T18" s="151"/>
      <c r="U18" s="151"/>
      <c r="V18" s="151"/>
      <c r="W18" s="151"/>
      <c r="X18" s="151"/>
      <c r="Y18" s="151"/>
      <c r="Z18" s="151"/>
      <c r="AA18" s="151"/>
      <c r="AB18" s="151"/>
      <c r="AC18" s="152"/>
      <c r="AD18" s="144"/>
      <c r="AE18" s="141"/>
      <c r="AF18" s="141"/>
      <c r="AG18" s="105"/>
      <c r="AH18" s="144"/>
      <c r="AI18" s="141"/>
      <c r="AJ18" s="141"/>
      <c r="AK18" s="105"/>
      <c r="AL18" s="144"/>
      <c r="AM18" s="141"/>
      <c r="AN18" s="141"/>
      <c r="AO18" s="105"/>
      <c r="AP18" s="144"/>
      <c r="AQ18" s="141"/>
      <c r="AR18" s="141"/>
      <c r="AS18" s="105"/>
      <c r="AT18" s="144"/>
      <c r="AU18" s="141"/>
      <c r="AV18" s="141"/>
      <c r="AW18" s="105"/>
      <c r="AX18" s="144"/>
      <c r="AY18" s="141"/>
      <c r="AZ18" s="141"/>
      <c r="BA18" s="105"/>
      <c r="BB18" s="144"/>
      <c r="BC18" s="141"/>
      <c r="BD18" s="141"/>
      <c r="BE18" s="105"/>
      <c r="BF18" s="144"/>
      <c r="BG18" s="141"/>
      <c r="BH18" s="141"/>
      <c r="BI18" s="105"/>
      <c r="BJ18" s="144"/>
      <c r="BK18" s="141"/>
      <c r="BL18" s="141"/>
      <c r="BM18" s="105"/>
      <c r="BN18" s="144"/>
      <c r="BO18" s="141"/>
      <c r="BP18" s="141"/>
      <c r="BQ18" s="105"/>
      <c r="BR18" s="144"/>
      <c r="BS18" s="141"/>
      <c r="BT18" s="141"/>
      <c r="BU18" s="105"/>
      <c r="BV18" s="144"/>
      <c r="BW18" s="141"/>
      <c r="BX18" s="141"/>
      <c r="BY18" s="105"/>
      <c r="BZ18" s="4"/>
      <c r="CA18" s="4"/>
      <c r="CB18" s="4"/>
      <c r="CC18" s="4"/>
      <c r="CD18" s="8"/>
      <c r="CE18" s="9" t="s">
        <v>27</v>
      </c>
      <c r="CF18" s="10" t="str">
        <f>CF13</f>
        <v>JAN</v>
      </c>
      <c r="CG18" s="10" t="str">
        <f t="shared" ref="CG18:CQ18" si="1">CG13</f>
        <v>FEV</v>
      </c>
      <c r="CH18" s="10" t="str">
        <f t="shared" si="1"/>
        <v>MAR</v>
      </c>
      <c r="CI18" s="10" t="str">
        <f t="shared" si="1"/>
        <v>ABR</v>
      </c>
      <c r="CJ18" s="10" t="str">
        <f t="shared" si="1"/>
        <v>MAI</v>
      </c>
      <c r="CK18" s="10" t="str">
        <f t="shared" si="1"/>
        <v>JUN</v>
      </c>
      <c r="CL18" s="10" t="str">
        <f t="shared" si="1"/>
        <v>JUL</v>
      </c>
      <c r="CM18" s="10" t="str">
        <f t="shared" si="1"/>
        <v>AGO</v>
      </c>
      <c r="CN18" s="10" t="str">
        <f t="shared" si="1"/>
        <v>SET</v>
      </c>
      <c r="CO18" s="10" t="str">
        <f t="shared" si="1"/>
        <v>OUT</v>
      </c>
      <c r="CP18" s="10" t="str">
        <f t="shared" si="1"/>
        <v>NOV</v>
      </c>
      <c r="CQ18" s="10" t="str">
        <f t="shared" si="1"/>
        <v>DEZ</v>
      </c>
      <c r="CR18" s="4"/>
      <c r="CT18" s="5"/>
      <c r="CU18" s="5"/>
      <c r="CV18" s="5"/>
      <c r="CW18" s="5"/>
      <c r="CX18" s="5"/>
      <c r="CY18" s="5"/>
      <c r="CZ18" s="5"/>
      <c r="DA18" s="5"/>
      <c r="DB18" s="5"/>
      <c r="DC18" s="5" t="s">
        <v>81</v>
      </c>
    </row>
    <row r="19" spans="1:107" s="6" customFormat="1" ht="15" customHeight="1" thickTop="1" thickBot="1" x14ac:dyDescent="0.3">
      <c r="A19" s="4"/>
      <c r="B19" s="168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4"/>
      <c r="R19" s="4"/>
      <c r="S19" s="153"/>
      <c r="T19" s="154"/>
      <c r="U19" s="154"/>
      <c r="V19" s="154"/>
      <c r="W19" s="154"/>
      <c r="X19" s="154"/>
      <c r="Y19" s="154"/>
      <c r="Z19" s="154"/>
      <c r="AA19" s="154"/>
      <c r="AB19" s="154"/>
      <c r="AC19" s="155"/>
      <c r="AD19" s="145"/>
      <c r="AE19" s="142"/>
      <c r="AF19" s="142"/>
      <c r="AG19" s="106"/>
      <c r="AH19" s="145"/>
      <c r="AI19" s="142"/>
      <c r="AJ19" s="142"/>
      <c r="AK19" s="106"/>
      <c r="AL19" s="145"/>
      <c r="AM19" s="142"/>
      <c r="AN19" s="142"/>
      <c r="AO19" s="106"/>
      <c r="AP19" s="145"/>
      <c r="AQ19" s="142"/>
      <c r="AR19" s="142"/>
      <c r="AS19" s="106"/>
      <c r="AT19" s="145"/>
      <c r="AU19" s="142"/>
      <c r="AV19" s="142"/>
      <c r="AW19" s="106"/>
      <c r="AX19" s="145"/>
      <c r="AY19" s="142"/>
      <c r="AZ19" s="142"/>
      <c r="BA19" s="106"/>
      <c r="BB19" s="145"/>
      <c r="BC19" s="142"/>
      <c r="BD19" s="142"/>
      <c r="BE19" s="106"/>
      <c r="BF19" s="145"/>
      <c r="BG19" s="142"/>
      <c r="BH19" s="142"/>
      <c r="BI19" s="106"/>
      <c r="BJ19" s="145"/>
      <c r="BK19" s="142"/>
      <c r="BL19" s="142"/>
      <c r="BM19" s="106"/>
      <c r="BN19" s="145"/>
      <c r="BO19" s="142"/>
      <c r="BP19" s="142"/>
      <c r="BQ19" s="106"/>
      <c r="BR19" s="145"/>
      <c r="BS19" s="142"/>
      <c r="BT19" s="142"/>
      <c r="BU19" s="106"/>
      <c r="BV19" s="145"/>
      <c r="BW19" s="142"/>
      <c r="BX19" s="142"/>
      <c r="BY19" s="106"/>
      <c r="BZ19" s="4"/>
      <c r="CA19" s="4"/>
      <c r="CB19" s="4"/>
      <c r="CC19" s="4"/>
      <c r="CD19" s="11" t="s">
        <v>29</v>
      </c>
      <c r="CE19" s="92">
        <f>SUM(CF19:CQ19)</f>
        <v>0</v>
      </c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4"/>
      <c r="CT19" s="5"/>
      <c r="CU19" s="5"/>
      <c r="CV19" s="5"/>
      <c r="CW19" s="5"/>
      <c r="CX19" s="5"/>
      <c r="CY19" s="5"/>
      <c r="CZ19" s="5"/>
      <c r="DA19" s="5"/>
      <c r="DB19" s="5"/>
      <c r="DC19" s="5" t="s">
        <v>82</v>
      </c>
    </row>
    <row r="20" spans="1:107" s="6" customFormat="1" ht="15" customHeight="1" thickTop="1" thickBot="1" x14ac:dyDescent="0.3">
      <c r="A20" s="4"/>
      <c r="B20" s="168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70"/>
      <c r="Q20" s="4"/>
      <c r="R20" s="4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8"/>
      <c r="AD20" s="146"/>
      <c r="AE20" s="143"/>
      <c r="AF20" s="143"/>
      <c r="AG20" s="107"/>
      <c r="AH20" s="146"/>
      <c r="AI20" s="143"/>
      <c r="AJ20" s="143"/>
      <c r="AK20" s="107"/>
      <c r="AL20" s="146"/>
      <c r="AM20" s="143"/>
      <c r="AN20" s="143"/>
      <c r="AO20" s="107"/>
      <c r="AP20" s="146"/>
      <c r="AQ20" s="143"/>
      <c r="AR20" s="143"/>
      <c r="AS20" s="107"/>
      <c r="AT20" s="146"/>
      <c r="AU20" s="143"/>
      <c r="AV20" s="143"/>
      <c r="AW20" s="107"/>
      <c r="AX20" s="146"/>
      <c r="AY20" s="143"/>
      <c r="AZ20" s="143"/>
      <c r="BA20" s="107"/>
      <c r="BB20" s="146"/>
      <c r="BC20" s="143"/>
      <c r="BD20" s="143"/>
      <c r="BE20" s="107"/>
      <c r="BF20" s="146"/>
      <c r="BG20" s="143"/>
      <c r="BH20" s="143"/>
      <c r="BI20" s="107"/>
      <c r="BJ20" s="146"/>
      <c r="BK20" s="143"/>
      <c r="BL20" s="143"/>
      <c r="BM20" s="107"/>
      <c r="BN20" s="146"/>
      <c r="BO20" s="143"/>
      <c r="BP20" s="143"/>
      <c r="BQ20" s="107"/>
      <c r="BR20" s="146"/>
      <c r="BS20" s="143"/>
      <c r="BT20" s="143"/>
      <c r="BU20" s="107"/>
      <c r="BV20" s="146"/>
      <c r="BW20" s="143"/>
      <c r="BX20" s="143"/>
      <c r="BY20" s="107"/>
      <c r="BZ20" s="4"/>
      <c r="CA20" s="4"/>
      <c r="CB20" s="4"/>
      <c r="CC20" s="4"/>
      <c r="CD20" s="13" t="s">
        <v>18</v>
      </c>
      <c r="CE20" s="92">
        <f>SUM(CF20:CQ20)</f>
        <v>0</v>
      </c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4"/>
      <c r="CT20" s="5"/>
      <c r="CU20" s="5"/>
      <c r="CV20" s="5"/>
      <c r="CW20" s="5"/>
      <c r="CX20" s="5"/>
      <c r="CY20" s="5"/>
      <c r="CZ20" s="5"/>
      <c r="DA20" s="5"/>
      <c r="DB20" s="5"/>
      <c r="DC20" s="5" t="s">
        <v>83</v>
      </c>
    </row>
    <row r="21" spans="1:107" s="6" customFormat="1" ht="15" customHeight="1" thickTop="1" thickBot="1" x14ac:dyDescent="0.3">
      <c r="A21" s="4"/>
      <c r="B21" s="171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4"/>
      <c r="R21" s="4"/>
      <c r="S21" s="150"/>
      <c r="T21" s="151"/>
      <c r="U21" s="151"/>
      <c r="V21" s="151"/>
      <c r="W21" s="151"/>
      <c r="X21" s="151"/>
      <c r="Y21" s="151"/>
      <c r="Z21" s="151"/>
      <c r="AA21" s="151"/>
      <c r="AB21" s="151"/>
      <c r="AC21" s="152"/>
      <c r="AD21" s="144"/>
      <c r="AE21" s="141"/>
      <c r="AF21" s="141"/>
      <c r="AG21" s="105"/>
      <c r="AH21" s="144"/>
      <c r="AI21" s="141"/>
      <c r="AJ21" s="141"/>
      <c r="AK21" s="105"/>
      <c r="AL21" s="144"/>
      <c r="AM21" s="141"/>
      <c r="AN21" s="141"/>
      <c r="AO21" s="105"/>
      <c r="AP21" s="144"/>
      <c r="AQ21" s="141"/>
      <c r="AR21" s="141"/>
      <c r="AS21" s="105"/>
      <c r="AT21" s="144"/>
      <c r="AU21" s="141"/>
      <c r="AV21" s="141"/>
      <c r="AW21" s="105"/>
      <c r="AX21" s="144"/>
      <c r="AY21" s="141"/>
      <c r="AZ21" s="141"/>
      <c r="BA21" s="105"/>
      <c r="BB21" s="144"/>
      <c r="BC21" s="141"/>
      <c r="BD21" s="141"/>
      <c r="BE21" s="105"/>
      <c r="BF21" s="144"/>
      <c r="BG21" s="141"/>
      <c r="BH21" s="141"/>
      <c r="BI21" s="105"/>
      <c r="BJ21" s="144"/>
      <c r="BK21" s="141"/>
      <c r="BL21" s="141"/>
      <c r="BM21" s="105"/>
      <c r="BN21" s="144"/>
      <c r="BO21" s="141"/>
      <c r="BP21" s="141"/>
      <c r="BQ21" s="105"/>
      <c r="BR21" s="144"/>
      <c r="BS21" s="141"/>
      <c r="BT21" s="141"/>
      <c r="BU21" s="105"/>
      <c r="BV21" s="144"/>
      <c r="BW21" s="141"/>
      <c r="BX21" s="141"/>
      <c r="BY21" s="105"/>
      <c r="BZ21" s="4"/>
      <c r="CA21" s="4"/>
      <c r="CB21" s="4"/>
      <c r="CC21" s="4"/>
      <c r="CD21" s="9" t="s">
        <v>19</v>
      </c>
      <c r="CE21" s="15" t="str">
        <f t="shared" ref="CE21" si="2">IFERROR(CE20/CE19,"-")</f>
        <v>-</v>
      </c>
      <c r="CF21" s="16" t="str">
        <f>IFERROR(CF20/CF19,"-")</f>
        <v>-</v>
      </c>
      <c r="CG21" s="16" t="str">
        <f t="shared" ref="CG21:CQ21" si="3">IFERROR(CG20/CG19,"-")</f>
        <v>-</v>
      </c>
      <c r="CH21" s="16" t="str">
        <f t="shared" si="3"/>
        <v>-</v>
      </c>
      <c r="CI21" s="16" t="str">
        <f t="shared" si="3"/>
        <v>-</v>
      </c>
      <c r="CJ21" s="16" t="str">
        <f t="shared" si="3"/>
        <v>-</v>
      </c>
      <c r="CK21" s="16" t="str">
        <f t="shared" si="3"/>
        <v>-</v>
      </c>
      <c r="CL21" s="16" t="str">
        <f t="shared" si="3"/>
        <v>-</v>
      </c>
      <c r="CM21" s="16" t="str">
        <f t="shared" si="3"/>
        <v>-</v>
      </c>
      <c r="CN21" s="16" t="str">
        <f t="shared" si="3"/>
        <v>-</v>
      </c>
      <c r="CO21" s="16" t="str">
        <f t="shared" si="3"/>
        <v>-</v>
      </c>
      <c r="CP21" s="16" t="str">
        <f t="shared" si="3"/>
        <v>-</v>
      </c>
      <c r="CQ21" s="16" t="str">
        <f t="shared" si="3"/>
        <v>-</v>
      </c>
      <c r="CR21" s="4"/>
      <c r="CT21" s="5"/>
      <c r="CU21" s="5"/>
      <c r="CV21" s="5"/>
      <c r="CW21" s="5"/>
      <c r="CX21" s="5"/>
      <c r="CY21" s="5"/>
      <c r="CZ21" s="5"/>
      <c r="DA21" s="5"/>
      <c r="DB21" s="5"/>
      <c r="DC21" s="5" t="s">
        <v>84</v>
      </c>
    </row>
    <row r="22" spans="1:107" s="6" customFormat="1" ht="15" customHeight="1" thickBot="1" x14ac:dyDescent="0.3">
      <c r="A22" s="4"/>
      <c r="B22" s="174" t="s">
        <v>4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4"/>
      <c r="R22" s="4"/>
      <c r="S22" s="153"/>
      <c r="T22" s="154"/>
      <c r="U22" s="154"/>
      <c r="V22" s="154"/>
      <c r="W22" s="154"/>
      <c r="X22" s="154"/>
      <c r="Y22" s="154"/>
      <c r="Z22" s="154"/>
      <c r="AA22" s="154"/>
      <c r="AB22" s="154"/>
      <c r="AC22" s="155"/>
      <c r="AD22" s="145"/>
      <c r="AE22" s="142"/>
      <c r="AF22" s="142"/>
      <c r="AG22" s="106"/>
      <c r="AH22" s="145"/>
      <c r="AI22" s="142"/>
      <c r="AJ22" s="142"/>
      <c r="AK22" s="106"/>
      <c r="AL22" s="145"/>
      <c r="AM22" s="142"/>
      <c r="AN22" s="142"/>
      <c r="AO22" s="106"/>
      <c r="AP22" s="145"/>
      <c r="AQ22" s="142"/>
      <c r="AR22" s="142"/>
      <c r="AS22" s="106"/>
      <c r="AT22" s="145"/>
      <c r="AU22" s="142"/>
      <c r="AV22" s="142"/>
      <c r="AW22" s="106"/>
      <c r="AX22" s="145"/>
      <c r="AY22" s="142"/>
      <c r="AZ22" s="142"/>
      <c r="BA22" s="106"/>
      <c r="BB22" s="145"/>
      <c r="BC22" s="142"/>
      <c r="BD22" s="142"/>
      <c r="BE22" s="106"/>
      <c r="BF22" s="145"/>
      <c r="BG22" s="142"/>
      <c r="BH22" s="142"/>
      <c r="BI22" s="106"/>
      <c r="BJ22" s="145"/>
      <c r="BK22" s="142"/>
      <c r="BL22" s="142"/>
      <c r="BM22" s="106"/>
      <c r="BN22" s="145"/>
      <c r="BO22" s="142"/>
      <c r="BP22" s="142"/>
      <c r="BQ22" s="106"/>
      <c r="BR22" s="145"/>
      <c r="BS22" s="142"/>
      <c r="BT22" s="142"/>
      <c r="BU22" s="106"/>
      <c r="BV22" s="145"/>
      <c r="BW22" s="142"/>
      <c r="BX22" s="142"/>
      <c r="BY22" s="106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5"/>
      <c r="CP22" s="4"/>
      <c r="CQ22" s="4"/>
      <c r="CR22" s="4"/>
      <c r="CT22" s="5"/>
      <c r="CU22" s="5"/>
      <c r="CV22" s="5"/>
      <c r="CW22" s="5"/>
      <c r="CX22" s="5"/>
      <c r="CY22" s="5"/>
      <c r="CZ22" s="5"/>
      <c r="DA22" s="5"/>
      <c r="DB22" s="5"/>
      <c r="DC22" s="5" t="s">
        <v>85</v>
      </c>
    </row>
    <row r="23" spans="1:107" s="6" customFormat="1" ht="15" customHeight="1" thickBot="1" x14ac:dyDescent="0.3">
      <c r="A23" s="4"/>
      <c r="B23" s="165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7"/>
      <c r="Q23" s="4"/>
      <c r="R23" s="4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8"/>
      <c r="AD23" s="146"/>
      <c r="AE23" s="143"/>
      <c r="AF23" s="143"/>
      <c r="AG23" s="107"/>
      <c r="AH23" s="146"/>
      <c r="AI23" s="143"/>
      <c r="AJ23" s="143"/>
      <c r="AK23" s="107"/>
      <c r="AL23" s="146"/>
      <c r="AM23" s="143"/>
      <c r="AN23" s="143"/>
      <c r="AO23" s="107"/>
      <c r="AP23" s="146"/>
      <c r="AQ23" s="143"/>
      <c r="AR23" s="143"/>
      <c r="AS23" s="107"/>
      <c r="AT23" s="146"/>
      <c r="AU23" s="143"/>
      <c r="AV23" s="143"/>
      <c r="AW23" s="107"/>
      <c r="AX23" s="146"/>
      <c r="AY23" s="143"/>
      <c r="AZ23" s="143"/>
      <c r="BA23" s="107"/>
      <c r="BB23" s="146"/>
      <c r="BC23" s="143"/>
      <c r="BD23" s="143"/>
      <c r="BE23" s="107"/>
      <c r="BF23" s="146"/>
      <c r="BG23" s="143"/>
      <c r="BH23" s="143"/>
      <c r="BI23" s="107"/>
      <c r="BJ23" s="146"/>
      <c r="BK23" s="143"/>
      <c r="BL23" s="143"/>
      <c r="BM23" s="107"/>
      <c r="BN23" s="146"/>
      <c r="BO23" s="143"/>
      <c r="BP23" s="143"/>
      <c r="BQ23" s="107"/>
      <c r="BR23" s="146"/>
      <c r="BS23" s="143"/>
      <c r="BT23" s="143"/>
      <c r="BU23" s="107"/>
      <c r="BV23" s="146"/>
      <c r="BW23" s="143"/>
      <c r="BX23" s="143"/>
      <c r="BY23" s="107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5"/>
      <c r="CP23" s="4"/>
      <c r="CQ23" s="4"/>
      <c r="CR23" s="4"/>
      <c r="CT23" s="5"/>
      <c r="CU23" s="5"/>
      <c r="CV23" s="5"/>
      <c r="CW23" s="5"/>
      <c r="CX23" s="5"/>
      <c r="CY23" s="5"/>
      <c r="CZ23" s="5"/>
      <c r="DA23" s="5"/>
      <c r="DB23" s="5"/>
      <c r="DC23" s="5" t="s">
        <v>86</v>
      </c>
    </row>
    <row r="24" spans="1:107" s="6" customFormat="1" ht="15" customHeight="1" thickTop="1" x14ac:dyDescent="0.25">
      <c r="A24" s="4"/>
      <c r="B24" s="168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70"/>
      <c r="Q24" s="4"/>
      <c r="R24" s="4"/>
      <c r="S24" s="150"/>
      <c r="T24" s="151"/>
      <c r="U24" s="151"/>
      <c r="V24" s="151"/>
      <c r="W24" s="151"/>
      <c r="X24" s="151"/>
      <c r="Y24" s="151"/>
      <c r="Z24" s="151"/>
      <c r="AA24" s="151"/>
      <c r="AB24" s="151"/>
      <c r="AC24" s="152"/>
      <c r="AD24" s="144"/>
      <c r="AE24" s="141"/>
      <c r="AF24" s="141"/>
      <c r="AG24" s="105"/>
      <c r="AH24" s="144"/>
      <c r="AI24" s="141"/>
      <c r="AJ24" s="141"/>
      <c r="AK24" s="105"/>
      <c r="AL24" s="144"/>
      <c r="AM24" s="141"/>
      <c r="AN24" s="141"/>
      <c r="AO24" s="105"/>
      <c r="AP24" s="144"/>
      <c r="AQ24" s="141"/>
      <c r="AR24" s="141"/>
      <c r="AS24" s="105"/>
      <c r="AT24" s="144"/>
      <c r="AU24" s="141"/>
      <c r="AV24" s="141"/>
      <c r="AW24" s="105"/>
      <c r="AX24" s="144"/>
      <c r="AY24" s="141"/>
      <c r="AZ24" s="141"/>
      <c r="BA24" s="105"/>
      <c r="BB24" s="144"/>
      <c r="BC24" s="141"/>
      <c r="BD24" s="141"/>
      <c r="BE24" s="105"/>
      <c r="BF24" s="144"/>
      <c r="BG24" s="141"/>
      <c r="BH24" s="141"/>
      <c r="BI24" s="105"/>
      <c r="BJ24" s="144"/>
      <c r="BK24" s="141"/>
      <c r="BL24" s="141"/>
      <c r="BM24" s="105"/>
      <c r="BN24" s="144"/>
      <c r="BO24" s="141"/>
      <c r="BP24" s="141"/>
      <c r="BQ24" s="105"/>
      <c r="BR24" s="144"/>
      <c r="BS24" s="141"/>
      <c r="BT24" s="141"/>
      <c r="BU24" s="105"/>
      <c r="BV24" s="144"/>
      <c r="BW24" s="141"/>
      <c r="BX24" s="141"/>
      <c r="BY24" s="105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5"/>
      <c r="CP24" s="4"/>
      <c r="CQ24" s="4"/>
      <c r="CR24" s="4"/>
      <c r="CT24" s="5"/>
      <c r="CU24" s="5"/>
      <c r="CV24" s="5"/>
      <c r="CW24" s="5"/>
      <c r="CX24" s="5"/>
      <c r="CY24" s="5"/>
      <c r="CZ24" s="5"/>
      <c r="DA24" s="5"/>
      <c r="DB24" s="5"/>
      <c r="DC24" s="5" t="s">
        <v>87</v>
      </c>
    </row>
    <row r="25" spans="1:107" s="6" customFormat="1" ht="15" customHeight="1" thickBot="1" x14ac:dyDescent="0.3">
      <c r="A25" s="4"/>
      <c r="B25" s="171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3"/>
      <c r="Q25" s="4"/>
      <c r="R25" s="4"/>
      <c r="S25" s="153"/>
      <c r="T25" s="154"/>
      <c r="U25" s="154"/>
      <c r="V25" s="154"/>
      <c r="W25" s="154"/>
      <c r="X25" s="154"/>
      <c r="Y25" s="154"/>
      <c r="Z25" s="154"/>
      <c r="AA25" s="154"/>
      <c r="AB25" s="154"/>
      <c r="AC25" s="155"/>
      <c r="AD25" s="145"/>
      <c r="AE25" s="142"/>
      <c r="AF25" s="142"/>
      <c r="AG25" s="106"/>
      <c r="AH25" s="145"/>
      <c r="AI25" s="142"/>
      <c r="AJ25" s="142"/>
      <c r="AK25" s="106"/>
      <c r="AL25" s="145"/>
      <c r="AM25" s="142"/>
      <c r="AN25" s="142"/>
      <c r="AO25" s="106"/>
      <c r="AP25" s="145"/>
      <c r="AQ25" s="142"/>
      <c r="AR25" s="142"/>
      <c r="AS25" s="106"/>
      <c r="AT25" s="145"/>
      <c r="AU25" s="142"/>
      <c r="AV25" s="142"/>
      <c r="AW25" s="106"/>
      <c r="AX25" s="145"/>
      <c r="AY25" s="142"/>
      <c r="AZ25" s="142"/>
      <c r="BA25" s="106"/>
      <c r="BB25" s="145"/>
      <c r="BC25" s="142"/>
      <c r="BD25" s="142"/>
      <c r="BE25" s="106"/>
      <c r="BF25" s="145"/>
      <c r="BG25" s="142"/>
      <c r="BH25" s="142"/>
      <c r="BI25" s="106"/>
      <c r="BJ25" s="145"/>
      <c r="BK25" s="142"/>
      <c r="BL25" s="142"/>
      <c r="BM25" s="106"/>
      <c r="BN25" s="145"/>
      <c r="BO25" s="142"/>
      <c r="BP25" s="142"/>
      <c r="BQ25" s="106"/>
      <c r="BR25" s="145"/>
      <c r="BS25" s="142"/>
      <c r="BT25" s="142"/>
      <c r="BU25" s="106"/>
      <c r="BV25" s="145"/>
      <c r="BW25" s="142"/>
      <c r="BX25" s="142"/>
      <c r="BY25" s="106"/>
      <c r="BZ25" s="4"/>
      <c r="CA25" s="4"/>
      <c r="CB25" s="4"/>
      <c r="CC25" s="4"/>
      <c r="CD25" s="4"/>
      <c r="CE25" s="4"/>
      <c r="CF25" s="17"/>
      <c r="CG25" s="4"/>
      <c r="CH25" s="4"/>
      <c r="CI25" s="4"/>
      <c r="CJ25" s="4"/>
      <c r="CK25" s="4"/>
      <c r="CL25" s="4"/>
      <c r="CM25" s="4"/>
      <c r="CN25" s="4"/>
      <c r="CO25" s="5"/>
      <c r="CP25" s="4"/>
      <c r="CQ25" s="4"/>
      <c r="CR25" s="4"/>
      <c r="CT25" s="5"/>
      <c r="CU25" s="5"/>
      <c r="CV25" s="5"/>
      <c r="CW25" s="5"/>
      <c r="CX25" s="5"/>
      <c r="CY25" s="5"/>
      <c r="CZ25" s="5"/>
      <c r="DA25" s="5"/>
      <c r="DB25" s="5"/>
      <c r="DC25" s="5" t="s">
        <v>88</v>
      </c>
    </row>
    <row r="26" spans="1:107" s="6" customFormat="1" ht="15" customHeight="1" thickBot="1" x14ac:dyDescent="0.3">
      <c r="A26" s="4"/>
      <c r="B26" s="184" t="s">
        <v>5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4"/>
      <c r="R26" s="4"/>
      <c r="S26" s="156"/>
      <c r="T26" s="157"/>
      <c r="U26" s="157"/>
      <c r="V26" s="157"/>
      <c r="W26" s="157"/>
      <c r="X26" s="157"/>
      <c r="Y26" s="157"/>
      <c r="Z26" s="157"/>
      <c r="AA26" s="157"/>
      <c r="AB26" s="157"/>
      <c r="AC26" s="158"/>
      <c r="AD26" s="146"/>
      <c r="AE26" s="143"/>
      <c r="AF26" s="143"/>
      <c r="AG26" s="107"/>
      <c r="AH26" s="146"/>
      <c r="AI26" s="143"/>
      <c r="AJ26" s="143"/>
      <c r="AK26" s="107"/>
      <c r="AL26" s="146"/>
      <c r="AM26" s="143"/>
      <c r="AN26" s="143"/>
      <c r="AO26" s="107"/>
      <c r="AP26" s="146"/>
      <c r="AQ26" s="143"/>
      <c r="AR26" s="143"/>
      <c r="AS26" s="107"/>
      <c r="AT26" s="146"/>
      <c r="AU26" s="143"/>
      <c r="AV26" s="143"/>
      <c r="AW26" s="107"/>
      <c r="AX26" s="146"/>
      <c r="AY26" s="143"/>
      <c r="AZ26" s="143"/>
      <c r="BA26" s="107"/>
      <c r="BB26" s="146"/>
      <c r="BC26" s="143"/>
      <c r="BD26" s="143"/>
      <c r="BE26" s="107"/>
      <c r="BF26" s="146"/>
      <c r="BG26" s="143"/>
      <c r="BH26" s="143"/>
      <c r="BI26" s="107"/>
      <c r="BJ26" s="146"/>
      <c r="BK26" s="143"/>
      <c r="BL26" s="143"/>
      <c r="BM26" s="107"/>
      <c r="BN26" s="146"/>
      <c r="BO26" s="143"/>
      <c r="BP26" s="143"/>
      <c r="BQ26" s="107"/>
      <c r="BR26" s="146"/>
      <c r="BS26" s="143"/>
      <c r="BT26" s="143"/>
      <c r="BU26" s="107"/>
      <c r="BV26" s="146"/>
      <c r="BW26" s="143"/>
      <c r="BX26" s="143"/>
      <c r="BY26" s="107"/>
      <c r="BZ26" s="4"/>
      <c r="CA26" s="4"/>
      <c r="CB26" s="4"/>
      <c r="CC26" s="4"/>
      <c r="CD26" s="4"/>
      <c r="CE26" s="4"/>
      <c r="CF26" s="18"/>
      <c r="CG26" s="4"/>
      <c r="CH26" s="4"/>
      <c r="CI26" s="4"/>
      <c r="CJ26" s="4"/>
      <c r="CK26" s="4"/>
      <c r="CL26" s="4"/>
      <c r="CM26" s="4"/>
      <c r="CN26" s="4"/>
      <c r="CO26" s="5"/>
      <c r="CP26" s="4"/>
      <c r="CQ26" s="4"/>
      <c r="CR26" s="4"/>
      <c r="CT26" s="5"/>
      <c r="CU26" s="5"/>
      <c r="CV26" s="5"/>
      <c r="CW26" s="5"/>
      <c r="CX26" s="5"/>
      <c r="CY26" s="5"/>
      <c r="CZ26" s="5"/>
      <c r="DA26" s="5"/>
      <c r="DB26" s="5"/>
      <c r="DC26" s="5" t="s">
        <v>89</v>
      </c>
    </row>
    <row r="27" spans="1:107" s="6" customFormat="1" ht="15" customHeight="1" thickTop="1" thickBot="1" x14ac:dyDescent="0.3">
      <c r="A27" s="4"/>
      <c r="B27" s="123" t="s">
        <v>6</v>
      </c>
      <c r="C27" s="123"/>
      <c r="D27" s="123"/>
      <c r="E27" s="123"/>
      <c r="F27" s="123"/>
      <c r="G27" s="123"/>
      <c r="H27" s="123"/>
      <c r="I27" s="175" t="s">
        <v>7</v>
      </c>
      <c r="J27" s="175"/>
      <c r="K27" s="175"/>
      <c r="L27" s="175"/>
      <c r="M27" s="175"/>
      <c r="N27" s="175"/>
      <c r="O27" s="175"/>
      <c r="P27" s="175"/>
      <c r="Q27" s="4"/>
      <c r="R27" s="4"/>
      <c r="S27" s="150"/>
      <c r="T27" s="151"/>
      <c r="U27" s="151"/>
      <c r="V27" s="151"/>
      <c r="W27" s="151"/>
      <c r="X27" s="151"/>
      <c r="Y27" s="151"/>
      <c r="Z27" s="151"/>
      <c r="AA27" s="151"/>
      <c r="AB27" s="151"/>
      <c r="AC27" s="152"/>
      <c r="AD27" s="144"/>
      <c r="AE27" s="141"/>
      <c r="AF27" s="141"/>
      <c r="AG27" s="105"/>
      <c r="AH27" s="144"/>
      <c r="AI27" s="141"/>
      <c r="AJ27" s="141"/>
      <c r="AK27" s="105"/>
      <c r="AL27" s="144"/>
      <c r="AM27" s="141"/>
      <c r="AN27" s="141"/>
      <c r="AO27" s="105"/>
      <c r="AP27" s="144"/>
      <c r="AQ27" s="141"/>
      <c r="AR27" s="141"/>
      <c r="AS27" s="105"/>
      <c r="AT27" s="144"/>
      <c r="AU27" s="141"/>
      <c r="AV27" s="141"/>
      <c r="AW27" s="105"/>
      <c r="AX27" s="144"/>
      <c r="AY27" s="141"/>
      <c r="AZ27" s="141"/>
      <c r="BA27" s="105"/>
      <c r="BB27" s="144"/>
      <c r="BC27" s="141"/>
      <c r="BD27" s="141"/>
      <c r="BE27" s="105"/>
      <c r="BF27" s="144"/>
      <c r="BG27" s="141"/>
      <c r="BH27" s="141"/>
      <c r="BI27" s="105"/>
      <c r="BJ27" s="144"/>
      <c r="BK27" s="141"/>
      <c r="BL27" s="141"/>
      <c r="BM27" s="105"/>
      <c r="BN27" s="144"/>
      <c r="BO27" s="141"/>
      <c r="BP27" s="141"/>
      <c r="BQ27" s="105"/>
      <c r="BR27" s="144"/>
      <c r="BS27" s="141"/>
      <c r="BT27" s="141"/>
      <c r="BU27" s="105"/>
      <c r="BV27" s="144"/>
      <c r="BW27" s="141"/>
      <c r="BX27" s="141"/>
      <c r="BY27" s="105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5"/>
      <c r="CP27" s="4"/>
      <c r="CQ27" s="4"/>
      <c r="CR27" s="4"/>
      <c r="CT27" s="5"/>
      <c r="CU27" s="5"/>
      <c r="CV27" s="5"/>
      <c r="CW27" s="5"/>
      <c r="CX27" s="5"/>
      <c r="CY27" s="5"/>
      <c r="CZ27" s="5"/>
      <c r="DA27" s="5"/>
      <c r="DB27" s="5"/>
      <c r="DC27" s="5" t="s">
        <v>90</v>
      </c>
    </row>
    <row r="28" spans="1:107" s="6" customFormat="1" ht="15" customHeight="1" x14ac:dyDescent="0.25">
      <c r="A28" s="4"/>
      <c r="B28" s="139" t="s">
        <v>0</v>
      </c>
      <c r="C28" s="137" t="s">
        <v>61</v>
      </c>
      <c r="D28" s="137"/>
      <c r="E28" s="137"/>
      <c r="F28" s="137"/>
      <c r="G28" s="137"/>
      <c r="H28" s="137"/>
      <c r="I28" s="138" t="s">
        <v>102</v>
      </c>
      <c r="J28" s="138"/>
      <c r="K28" s="138"/>
      <c r="L28" s="138"/>
      <c r="M28" s="138"/>
      <c r="N28" s="138"/>
      <c r="O28" s="138"/>
      <c r="P28" s="138"/>
      <c r="Q28" s="4"/>
      <c r="R28" s="4"/>
      <c r="S28" s="153"/>
      <c r="T28" s="154"/>
      <c r="U28" s="154"/>
      <c r="V28" s="154"/>
      <c r="W28" s="154"/>
      <c r="X28" s="154"/>
      <c r="Y28" s="154"/>
      <c r="Z28" s="154"/>
      <c r="AA28" s="154"/>
      <c r="AB28" s="154"/>
      <c r="AC28" s="155"/>
      <c r="AD28" s="145"/>
      <c r="AE28" s="142"/>
      <c r="AF28" s="142"/>
      <c r="AG28" s="106"/>
      <c r="AH28" s="145"/>
      <c r="AI28" s="142"/>
      <c r="AJ28" s="142"/>
      <c r="AK28" s="106"/>
      <c r="AL28" s="145"/>
      <c r="AM28" s="142"/>
      <c r="AN28" s="142"/>
      <c r="AO28" s="106"/>
      <c r="AP28" s="145"/>
      <c r="AQ28" s="142"/>
      <c r="AR28" s="142"/>
      <c r="AS28" s="106"/>
      <c r="AT28" s="145"/>
      <c r="AU28" s="142"/>
      <c r="AV28" s="142"/>
      <c r="AW28" s="106"/>
      <c r="AX28" s="145"/>
      <c r="AY28" s="142"/>
      <c r="AZ28" s="142"/>
      <c r="BA28" s="106"/>
      <c r="BB28" s="145"/>
      <c r="BC28" s="142"/>
      <c r="BD28" s="142"/>
      <c r="BE28" s="106"/>
      <c r="BF28" s="145"/>
      <c r="BG28" s="142"/>
      <c r="BH28" s="142"/>
      <c r="BI28" s="106"/>
      <c r="BJ28" s="145"/>
      <c r="BK28" s="142"/>
      <c r="BL28" s="142"/>
      <c r="BM28" s="106"/>
      <c r="BN28" s="145"/>
      <c r="BO28" s="142"/>
      <c r="BP28" s="142"/>
      <c r="BQ28" s="106"/>
      <c r="BR28" s="145"/>
      <c r="BS28" s="142"/>
      <c r="BT28" s="142"/>
      <c r="BU28" s="106"/>
      <c r="BV28" s="145"/>
      <c r="BW28" s="142"/>
      <c r="BX28" s="142"/>
      <c r="BY28" s="106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5"/>
      <c r="CP28" s="4"/>
      <c r="CQ28" s="4"/>
      <c r="CR28" s="4"/>
      <c r="CT28" s="5"/>
      <c r="CU28" s="5"/>
      <c r="CV28" s="5"/>
      <c r="CW28" s="5"/>
      <c r="CX28" s="5"/>
      <c r="CY28" s="5"/>
      <c r="CZ28" s="5"/>
      <c r="DA28" s="5"/>
      <c r="DB28" s="5"/>
      <c r="DC28" s="5" t="s">
        <v>91</v>
      </c>
    </row>
    <row r="29" spans="1:107" s="6" customFormat="1" ht="15" customHeight="1" thickBot="1" x14ac:dyDescent="0.3">
      <c r="A29" s="4"/>
      <c r="B29" s="140"/>
      <c r="C29" s="162"/>
      <c r="D29" s="162"/>
      <c r="E29" s="162"/>
      <c r="F29" s="162"/>
      <c r="G29" s="162"/>
      <c r="H29" s="162"/>
      <c r="I29" s="163"/>
      <c r="J29" s="163"/>
      <c r="K29" s="163"/>
      <c r="L29" s="163"/>
      <c r="M29" s="163"/>
      <c r="N29" s="163"/>
      <c r="O29" s="163"/>
      <c r="P29" s="163"/>
      <c r="Q29" s="4"/>
      <c r="R29" s="4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8"/>
      <c r="AD29" s="146"/>
      <c r="AE29" s="143"/>
      <c r="AF29" s="143"/>
      <c r="AG29" s="107"/>
      <c r="AH29" s="146"/>
      <c r="AI29" s="143"/>
      <c r="AJ29" s="143"/>
      <c r="AK29" s="107"/>
      <c r="AL29" s="146"/>
      <c r="AM29" s="143"/>
      <c r="AN29" s="143"/>
      <c r="AO29" s="107"/>
      <c r="AP29" s="146"/>
      <c r="AQ29" s="143"/>
      <c r="AR29" s="143"/>
      <c r="AS29" s="107"/>
      <c r="AT29" s="146"/>
      <c r="AU29" s="143"/>
      <c r="AV29" s="143"/>
      <c r="AW29" s="107"/>
      <c r="AX29" s="146"/>
      <c r="AY29" s="143"/>
      <c r="AZ29" s="143"/>
      <c r="BA29" s="107"/>
      <c r="BB29" s="146"/>
      <c r="BC29" s="143"/>
      <c r="BD29" s="143"/>
      <c r="BE29" s="107"/>
      <c r="BF29" s="146"/>
      <c r="BG29" s="143"/>
      <c r="BH29" s="143"/>
      <c r="BI29" s="107"/>
      <c r="BJ29" s="146"/>
      <c r="BK29" s="143"/>
      <c r="BL29" s="143"/>
      <c r="BM29" s="107"/>
      <c r="BN29" s="146"/>
      <c r="BO29" s="143"/>
      <c r="BP29" s="143"/>
      <c r="BQ29" s="107"/>
      <c r="BR29" s="146"/>
      <c r="BS29" s="143"/>
      <c r="BT29" s="143"/>
      <c r="BU29" s="107"/>
      <c r="BV29" s="146"/>
      <c r="BW29" s="143"/>
      <c r="BX29" s="143"/>
      <c r="BY29" s="107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5"/>
      <c r="CP29" s="4"/>
      <c r="CQ29" s="4"/>
      <c r="CR29" s="4"/>
      <c r="CT29" s="5"/>
      <c r="CU29" s="5"/>
      <c r="CV29" s="5"/>
      <c r="CW29" s="5"/>
      <c r="CX29" s="5"/>
      <c r="CY29" s="5"/>
      <c r="CZ29" s="5"/>
      <c r="DA29" s="5"/>
      <c r="DB29" s="5"/>
      <c r="DC29" s="5" t="s">
        <v>92</v>
      </c>
    </row>
    <row r="30" spans="1:107" s="6" customFormat="1" ht="15" customHeight="1" thickTop="1" x14ac:dyDescent="0.25">
      <c r="A30" s="4"/>
      <c r="B30" s="139" t="s">
        <v>1</v>
      </c>
      <c r="C30" s="137"/>
      <c r="D30" s="137"/>
      <c r="E30" s="137"/>
      <c r="F30" s="137"/>
      <c r="G30" s="137"/>
      <c r="H30" s="137"/>
      <c r="I30" s="138"/>
      <c r="J30" s="138"/>
      <c r="K30" s="138"/>
      <c r="L30" s="138"/>
      <c r="M30" s="138"/>
      <c r="N30" s="138"/>
      <c r="O30" s="138"/>
      <c r="P30" s="138"/>
      <c r="Q30" s="4"/>
      <c r="R30" s="4"/>
      <c r="S30" s="150"/>
      <c r="T30" s="151"/>
      <c r="U30" s="151"/>
      <c r="V30" s="151"/>
      <c r="W30" s="151"/>
      <c r="X30" s="151"/>
      <c r="Y30" s="151"/>
      <c r="Z30" s="151"/>
      <c r="AA30" s="151"/>
      <c r="AB30" s="151"/>
      <c r="AC30" s="152"/>
      <c r="AD30" s="144"/>
      <c r="AE30" s="141"/>
      <c r="AF30" s="141"/>
      <c r="AG30" s="105"/>
      <c r="AH30" s="144"/>
      <c r="AI30" s="141"/>
      <c r="AJ30" s="141"/>
      <c r="AK30" s="105"/>
      <c r="AL30" s="144"/>
      <c r="AM30" s="141"/>
      <c r="AN30" s="141"/>
      <c r="AO30" s="105"/>
      <c r="AP30" s="144"/>
      <c r="AQ30" s="141"/>
      <c r="AR30" s="141"/>
      <c r="AS30" s="105"/>
      <c r="AT30" s="144"/>
      <c r="AU30" s="141"/>
      <c r="AV30" s="141"/>
      <c r="AW30" s="105"/>
      <c r="AX30" s="144"/>
      <c r="AY30" s="141"/>
      <c r="AZ30" s="141"/>
      <c r="BA30" s="105"/>
      <c r="BB30" s="144"/>
      <c r="BC30" s="141"/>
      <c r="BD30" s="141"/>
      <c r="BE30" s="105"/>
      <c r="BF30" s="144"/>
      <c r="BG30" s="141"/>
      <c r="BH30" s="141"/>
      <c r="BI30" s="105"/>
      <c r="BJ30" s="144"/>
      <c r="BK30" s="141"/>
      <c r="BL30" s="141"/>
      <c r="BM30" s="105"/>
      <c r="BN30" s="144"/>
      <c r="BO30" s="141"/>
      <c r="BP30" s="141"/>
      <c r="BQ30" s="105"/>
      <c r="BR30" s="144"/>
      <c r="BS30" s="141"/>
      <c r="BT30" s="141"/>
      <c r="BU30" s="105"/>
      <c r="BV30" s="144"/>
      <c r="BW30" s="141"/>
      <c r="BX30" s="141"/>
      <c r="BY30" s="105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5"/>
      <c r="CP30" s="4"/>
      <c r="CQ30" s="4"/>
      <c r="CR30" s="4"/>
      <c r="CT30" s="5"/>
      <c r="CU30" s="5"/>
      <c r="CV30" s="5"/>
      <c r="CW30" s="5"/>
      <c r="CX30" s="5"/>
      <c r="CY30" s="5"/>
      <c r="CZ30" s="5"/>
      <c r="DA30" s="5"/>
      <c r="DB30" s="5"/>
      <c r="DC30" s="5" t="s">
        <v>93</v>
      </c>
    </row>
    <row r="31" spans="1:107" s="6" customFormat="1" ht="15" customHeight="1" thickBot="1" x14ac:dyDescent="0.3">
      <c r="A31" s="4"/>
      <c r="B31" s="140"/>
      <c r="C31" s="162"/>
      <c r="D31" s="162"/>
      <c r="E31" s="162"/>
      <c r="F31" s="162"/>
      <c r="G31" s="162"/>
      <c r="H31" s="162"/>
      <c r="I31" s="163"/>
      <c r="J31" s="163"/>
      <c r="K31" s="163"/>
      <c r="L31" s="163"/>
      <c r="M31" s="163"/>
      <c r="N31" s="163"/>
      <c r="O31" s="163"/>
      <c r="P31" s="163"/>
      <c r="Q31" s="4"/>
      <c r="R31" s="4"/>
      <c r="S31" s="153"/>
      <c r="T31" s="154"/>
      <c r="U31" s="154"/>
      <c r="V31" s="154"/>
      <c r="W31" s="154"/>
      <c r="X31" s="154"/>
      <c r="Y31" s="154"/>
      <c r="Z31" s="154"/>
      <c r="AA31" s="154"/>
      <c r="AB31" s="154"/>
      <c r="AC31" s="155"/>
      <c r="AD31" s="145"/>
      <c r="AE31" s="142"/>
      <c r="AF31" s="142"/>
      <c r="AG31" s="106"/>
      <c r="AH31" s="145"/>
      <c r="AI31" s="142"/>
      <c r="AJ31" s="142"/>
      <c r="AK31" s="106"/>
      <c r="AL31" s="145"/>
      <c r="AM31" s="142"/>
      <c r="AN31" s="142"/>
      <c r="AO31" s="106"/>
      <c r="AP31" s="145"/>
      <c r="AQ31" s="142"/>
      <c r="AR31" s="142"/>
      <c r="AS31" s="106"/>
      <c r="AT31" s="145"/>
      <c r="AU31" s="142"/>
      <c r="AV31" s="142"/>
      <c r="AW31" s="106"/>
      <c r="AX31" s="145"/>
      <c r="AY31" s="142"/>
      <c r="AZ31" s="142"/>
      <c r="BA31" s="106"/>
      <c r="BB31" s="145"/>
      <c r="BC31" s="142"/>
      <c r="BD31" s="142"/>
      <c r="BE31" s="106"/>
      <c r="BF31" s="145"/>
      <c r="BG31" s="142"/>
      <c r="BH31" s="142"/>
      <c r="BI31" s="106"/>
      <c r="BJ31" s="145"/>
      <c r="BK31" s="142"/>
      <c r="BL31" s="142"/>
      <c r="BM31" s="106"/>
      <c r="BN31" s="145"/>
      <c r="BO31" s="142"/>
      <c r="BP31" s="142"/>
      <c r="BQ31" s="106"/>
      <c r="BR31" s="145"/>
      <c r="BS31" s="142"/>
      <c r="BT31" s="142"/>
      <c r="BU31" s="106"/>
      <c r="BV31" s="145"/>
      <c r="BW31" s="142"/>
      <c r="BX31" s="142"/>
      <c r="BY31" s="106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5"/>
      <c r="CP31" s="4"/>
      <c r="CQ31" s="4"/>
      <c r="CR31" s="4"/>
      <c r="CT31" s="5"/>
      <c r="CU31" s="5"/>
      <c r="CV31" s="5"/>
      <c r="CW31" s="5"/>
      <c r="CX31" s="5"/>
      <c r="CY31" s="5"/>
      <c r="CZ31" s="5"/>
      <c r="DA31" s="5"/>
      <c r="DB31" s="5"/>
      <c r="DC31" s="5" t="s">
        <v>94</v>
      </c>
    </row>
    <row r="32" spans="1:107" s="6" customFormat="1" ht="15" customHeight="1" thickBot="1" x14ac:dyDescent="0.3">
      <c r="A32" s="4"/>
      <c r="B32" s="139" t="s">
        <v>2</v>
      </c>
      <c r="C32" s="137"/>
      <c r="D32" s="137"/>
      <c r="E32" s="137"/>
      <c r="F32" s="137"/>
      <c r="G32" s="137"/>
      <c r="H32" s="137"/>
      <c r="I32" s="138"/>
      <c r="J32" s="138"/>
      <c r="K32" s="138"/>
      <c r="L32" s="138"/>
      <c r="M32" s="138"/>
      <c r="N32" s="138"/>
      <c r="O32" s="138"/>
      <c r="P32" s="138"/>
      <c r="Q32" s="4"/>
      <c r="R32" s="4"/>
      <c r="S32" s="156"/>
      <c r="T32" s="157"/>
      <c r="U32" s="157"/>
      <c r="V32" s="157"/>
      <c r="W32" s="157"/>
      <c r="X32" s="157"/>
      <c r="Y32" s="157"/>
      <c r="Z32" s="157"/>
      <c r="AA32" s="157"/>
      <c r="AB32" s="157"/>
      <c r="AC32" s="158"/>
      <c r="AD32" s="146"/>
      <c r="AE32" s="143"/>
      <c r="AF32" s="143"/>
      <c r="AG32" s="107"/>
      <c r="AH32" s="146"/>
      <c r="AI32" s="143"/>
      <c r="AJ32" s="143"/>
      <c r="AK32" s="107"/>
      <c r="AL32" s="146"/>
      <c r="AM32" s="143"/>
      <c r="AN32" s="143"/>
      <c r="AO32" s="107"/>
      <c r="AP32" s="146"/>
      <c r="AQ32" s="143"/>
      <c r="AR32" s="143"/>
      <c r="AS32" s="107"/>
      <c r="AT32" s="146"/>
      <c r="AU32" s="143"/>
      <c r="AV32" s="143"/>
      <c r="AW32" s="107"/>
      <c r="AX32" s="146"/>
      <c r="AY32" s="143"/>
      <c r="AZ32" s="143"/>
      <c r="BA32" s="107"/>
      <c r="BB32" s="146"/>
      <c r="BC32" s="143"/>
      <c r="BD32" s="143"/>
      <c r="BE32" s="107"/>
      <c r="BF32" s="146"/>
      <c r="BG32" s="143"/>
      <c r="BH32" s="143"/>
      <c r="BI32" s="107"/>
      <c r="BJ32" s="146"/>
      <c r="BK32" s="143"/>
      <c r="BL32" s="143"/>
      <c r="BM32" s="107"/>
      <c r="BN32" s="146"/>
      <c r="BO32" s="143"/>
      <c r="BP32" s="143"/>
      <c r="BQ32" s="107"/>
      <c r="BR32" s="146"/>
      <c r="BS32" s="143"/>
      <c r="BT32" s="143"/>
      <c r="BU32" s="107"/>
      <c r="BV32" s="146"/>
      <c r="BW32" s="143"/>
      <c r="BX32" s="143"/>
      <c r="BY32" s="107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5"/>
      <c r="CP32" s="4"/>
      <c r="CQ32" s="4"/>
      <c r="CR32" s="4"/>
      <c r="CT32" s="5"/>
      <c r="CU32" s="5"/>
      <c r="CV32" s="5"/>
      <c r="CW32" s="5"/>
      <c r="CX32" s="5"/>
      <c r="CY32" s="5"/>
      <c r="CZ32" s="5"/>
      <c r="DA32" s="5"/>
      <c r="DB32" s="5"/>
      <c r="DC32" s="5" t="s">
        <v>95</v>
      </c>
    </row>
    <row r="33" spans="1:107" s="6" customFormat="1" ht="15" customHeight="1" thickTop="1" x14ac:dyDescent="0.25">
      <c r="A33" s="4"/>
      <c r="B33" s="164"/>
      <c r="C33" s="160"/>
      <c r="D33" s="160"/>
      <c r="E33" s="160"/>
      <c r="F33" s="160"/>
      <c r="G33" s="160"/>
      <c r="H33" s="160"/>
      <c r="I33" s="161"/>
      <c r="J33" s="161"/>
      <c r="K33" s="161"/>
      <c r="L33" s="161"/>
      <c r="M33" s="161"/>
      <c r="N33" s="161"/>
      <c r="O33" s="161"/>
      <c r="P33" s="161"/>
      <c r="Q33" s="4"/>
      <c r="R33" s="4"/>
      <c r="S33" s="150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144"/>
      <c r="AE33" s="141"/>
      <c r="AF33" s="141"/>
      <c r="AG33" s="105"/>
      <c r="AH33" s="144"/>
      <c r="AI33" s="141"/>
      <c r="AJ33" s="141"/>
      <c r="AK33" s="105"/>
      <c r="AL33" s="144"/>
      <c r="AM33" s="141"/>
      <c r="AN33" s="141"/>
      <c r="AO33" s="105"/>
      <c r="AP33" s="144"/>
      <c r="AQ33" s="141"/>
      <c r="AR33" s="141"/>
      <c r="AS33" s="105"/>
      <c r="AT33" s="144"/>
      <c r="AU33" s="141"/>
      <c r="AV33" s="141"/>
      <c r="AW33" s="105"/>
      <c r="AX33" s="144"/>
      <c r="AY33" s="141"/>
      <c r="AZ33" s="141"/>
      <c r="BA33" s="105"/>
      <c r="BB33" s="144"/>
      <c r="BC33" s="141"/>
      <c r="BD33" s="141"/>
      <c r="BE33" s="105"/>
      <c r="BF33" s="144"/>
      <c r="BG33" s="141"/>
      <c r="BH33" s="141"/>
      <c r="BI33" s="105"/>
      <c r="BJ33" s="144"/>
      <c r="BK33" s="141"/>
      <c r="BL33" s="141"/>
      <c r="BM33" s="105"/>
      <c r="BN33" s="144"/>
      <c r="BO33" s="141"/>
      <c r="BP33" s="141"/>
      <c r="BQ33" s="105"/>
      <c r="BR33" s="144"/>
      <c r="BS33" s="141"/>
      <c r="BT33" s="141"/>
      <c r="BU33" s="105"/>
      <c r="BV33" s="144"/>
      <c r="BW33" s="141"/>
      <c r="BX33" s="141"/>
      <c r="BY33" s="105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5"/>
      <c r="CP33" s="4"/>
      <c r="CQ33" s="4"/>
      <c r="CR33" s="4"/>
      <c r="CT33" s="5"/>
      <c r="CU33" s="5"/>
      <c r="CV33" s="5"/>
      <c r="CW33" s="5"/>
      <c r="CX33" s="5"/>
      <c r="CY33" s="5"/>
      <c r="CZ33" s="5"/>
      <c r="DA33" s="5"/>
      <c r="DB33" s="5"/>
      <c r="DC33" s="5" t="s">
        <v>96</v>
      </c>
    </row>
    <row r="34" spans="1:107" s="6" customFormat="1" ht="15" customHeight="1" thickBot="1" x14ac:dyDescent="0.3">
      <c r="A34" s="4"/>
      <c r="B34" s="140"/>
      <c r="C34" s="162"/>
      <c r="D34" s="162"/>
      <c r="E34" s="162"/>
      <c r="F34" s="162"/>
      <c r="G34" s="162"/>
      <c r="H34" s="162"/>
      <c r="I34" s="163"/>
      <c r="J34" s="163"/>
      <c r="K34" s="163"/>
      <c r="L34" s="163"/>
      <c r="M34" s="163"/>
      <c r="N34" s="163"/>
      <c r="O34" s="163"/>
      <c r="P34" s="163"/>
      <c r="Q34" s="4"/>
      <c r="R34" s="4"/>
      <c r="S34" s="153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145"/>
      <c r="AE34" s="142"/>
      <c r="AF34" s="142"/>
      <c r="AG34" s="106"/>
      <c r="AH34" s="145"/>
      <c r="AI34" s="142"/>
      <c r="AJ34" s="142"/>
      <c r="AK34" s="106"/>
      <c r="AL34" s="145"/>
      <c r="AM34" s="142"/>
      <c r="AN34" s="142"/>
      <c r="AO34" s="106"/>
      <c r="AP34" s="145"/>
      <c r="AQ34" s="142"/>
      <c r="AR34" s="142"/>
      <c r="AS34" s="106"/>
      <c r="AT34" s="145"/>
      <c r="AU34" s="142"/>
      <c r="AV34" s="142"/>
      <c r="AW34" s="106"/>
      <c r="AX34" s="145"/>
      <c r="AY34" s="142"/>
      <c r="AZ34" s="142"/>
      <c r="BA34" s="106"/>
      <c r="BB34" s="145"/>
      <c r="BC34" s="142"/>
      <c r="BD34" s="142"/>
      <c r="BE34" s="106"/>
      <c r="BF34" s="145"/>
      <c r="BG34" s="142"/>
      <c r="BH34" s="142"/>
      <c r="BI34" s="106"/>
      <c r="BJ34" s="145"/>
      <c r="BK34" s="142"/>
      <c r="BL34" s="142"/>
      <c r="BM34" s="106"/>
      <c r="BN34" s="145"/>
      <c r="BO34" s="142"/>
      <c r="BP34" s="142"/>
      <c r="BQ34" s="106"/>
      <c r="BR34" s="145"/>
      <c r="BS34" s="142"/>
      <c r="BT34" s="142"/>
      <c r="BU34" s="106"/>
      <c r="BV34" s="145"/>
      <c r="BW34" s="142"/>
      <c r="BX34" s="142"/>
      <c r="BY34" s="106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5"/>
      <c r="CP34" s="4"/>
      <c r="CQ34" s="4"/>
      <c r="CR34" s="4"/>
      <c r="CT34" s="5"/>
      <c r="CU34" s="5"/>
      <c r="CV34" s="5"/>
      <c r="CW34" s="5"/>
      <c r="CX34" s="5"/>
      <c r="CY34" s="5"/>
      <c r="CZ34" s="5"/>
      <c r="DA34" s="5"/>
      <c r="DB34" s="5"/>
      <c r="DC34" s="5" t="s">
        <v>97</v>
      </c>
    </row>
    <row r="35" spans="1:107" s="6" customFormat="1" ht="15" customHeight="1" thickBot="1" x14ac:dyDescent="0.3">
      <c r="A35" s="4"/>
      <c r="B35" s="139" t="s">
        <v>3</v>
      </c>
      <c r="C35" s="137"/>
      <c r="D35" s="137"/>
      <c r="E35" s="137"/>
      <c r="F35" s="137"/>
      <c r="G35" s="137"/>
      <c r="H35" s="137"/>
      <c r="I35" s="138"/>
      <c r="J35" s="138"/>
      <c r="K35" s="138"/>
      <c r="L35" s="138"/>
      <c r="M35" s="138"/>
      <c r="N35" s="138"/>
      <c r="O35" s="138"/>
      <c r="P35" s="138"/>
      <c r="Q35" s="4"/>
      <c r="R35" s="4"/>
      <c r="S35" s="156"/>
      <c r="T35" s="157"/>
      <c r="U35" s="157"/>
      <c r="V35" s="157"/>
      <c r="W35" s="157"/>
      <c r="X35" s="157"/>
      <c r="Y35" s="157"/>
      <c r="Z35" s="157"/>
      <c r="AA35" s="157"/>
      <c r="AB35" s="157"/>
      <c r="AC35" s="158"/>
      <c r="AD35" s="146"/>
      <c r="AE35" s="143"/>
      <c r="AF35" s="143"/>
      <c r="AG35" s="107"/>
      <c r="AH35" s="146"/>
      <c r="AI35" s="143"/>
      <c r="AJ35" s="143"/>
      <c r="AK35" s="107"/>
      <c r="AL35" s="146"/>
      <c r="AM35" s="143"/>
      <c r="AN35" s="143"/>
      <c r="AO35" s="107"/>
      <c r="AP35" s="146"/>
      <c r="AQ35" s="143"/>
      <c r="AR35" s="143"/>
      <c r="AS35" s="107"/>
      <c r="AT35" s="146"/>
      <c r="AU35" s="143"/>
      <c r="AV35" s="143"/>
      <c r="AW35" s="107"/>
      <c r="AX35" s="146"/>
      <c r="AY35" s="143"/>
      <c r="AZ35" s="143"/>
      <c r="BA35" s="107"/>
      <c r="BB35" s="146"/>
      <c r="BC35" s="143"/>
      <c r="BD35" s="143"/>
      <c r="BE35" s="107"/>
      <c r="BF35" s="146"/>
      <c r="BG35" s="143"/>
      <c r="BH35" s="143"/>
      <c r="BI35" s="107"/>
      <c r="BJ35" s="146"/>
      <c r="BK35" s="143"/>
      <c r="BL35" s="143"/>
      <c r="BM35" s="107"/>
      <c r="BN35" s="146"/>
      <c r="BO35" s="143"/>
      <c r="BP35" s="143"/>
      <c r="BQ35" s="107"/>
      <c r="BR35" s="146"/>
      <c r="BS35" s="143"/>
      <c r="BT35" s="143"/>
      <c r="BU35" s="107"/>
      <c r="BV35" s="146"/>
      <c r="BW35" s="143"/>
      <c r="BX35" s="143"/>
      <c r="BY35" s="107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5"/>
      <c r="CP35" s="4"/>
      <c r="CQ35" s="4"/>
      <c r="CR35" s="4"/>
      <c r="CT35" s="5"/>
      <c r="CU35" s="5"/>
      <c r="CV35" s="5"/>
      <c r="CW35" s="5"/>
      <c r="CX35" s="5"/>
      <c r="CY35" s="5"/>
      <c r="CZ35" s="5"/>
      <c r="DA35" s="5"/>
      <c r="DB35" s="5"/>
      <c r="DC35" s="5" t="s">
        <v>98</v>
      </c>
    </row>
    <row r="36" spans="1:107" s="6" customFormat="1" ht="15" customHeight="1" thickTop="1" thickBot="1" x14ac:dyDescent="0.3">
      <c r="A36" s="4"/>
      <c r="B36" s="140"/>
      <c r="C36" s="162"/>
      <c r="D36" s="162"/>
      <c r="E36" s="162"/>
      <c r="F36" s="162"/>
      <c r="G36" s="162"/>
      <c r="H36" s="162"/>
      <c r="I36" s="163"/>
      <c r="J36" s="163"/>
      <c r="K36" s="163"/>
      <c r="L36" s="163"/>
      <c r="M36" s="163"/>
      <c r="N36" s="163"/>
      <c r="O36" s="163"/>
      <c r="P36" s="163"/>
      <c r="Q36" s="4"/>
      <c r="R36" s="4"/>
      <c r="S36" s="150"/>
      <c r="T36" s="151"/>
      <c r="U36" s="151"/>
      <c r="V36" s="151"/>
      <c r="W36" s="151"/>
      <c r="X36" s="151"/>
      <c r="Y36" s="151"/>
      <c r="Z36" s="151"/>
      <c r="AA36" s="151"/>
      <c r="AB36" s="151"/>
      <c r="AC36" s="152"/>
      <c r="AD36" s="144"/>
      <c r="AE36" s="141"/>
      <c r="AF36" s="141"/>
      <c r="AG36" s="105"/>
      <c r="AH36" s="144"/>
      <c r="AI36" s="141"/>
      <c r="AJ36" s="141"/>
      <c r="AK36" s="105"/>
      <c r="AL36" s="144"/>
      <c r="AM36" s="141"/>
      <c r="AN36" s="141"/>
      <c r="AO36" s="105"/>
      <c r="AP36" s="144"/>
      <c r="AQ36" s="141"/>
      <c r="AR36" s="141"/>
      <c r="AS36" s="105"/>
      <c r="AT36" s="144"/>
      <c r="AU36" s="141"/>
      <c r="AV36" s="141"/>
      <c r="AW36" s="105"/>
      <c r="AX36" s="144"/>
      <c r="AY36" s="141"/>
      <c r="AZ36" s="141"/>
      <c r="BA36" s="105"/>
      <c r="BB36" s="144"/>
      <c r="BC36" s="141"/>
      <c r="BD36" s="141"/>
      <c r="BE36" s="105"/>
      <c r="BF36" s="144"/>
      <c r="BG36" s="141"/>
      <c r="BH36" s="141"/>
      <c r="BI36" s="105"/>
      <c r="BJ36" s="144"/>
      <c r="BK36" s="141"/>
      <c r="BL36" s="141"/>
      <c r="BM36" s="105"/>
      <c r="BN36" s="144"/>
      <c r="BO36" s="141"/>
      <c r="BP36" s="141"/>
      <c r="BQ36" s="105"/>
      <c r="BR36" s="144"/>
      <c r="BS36" s="141"/>
      <c r="BT36" s="141"/>
      <c r="BU36" s="105"/>
      <c r="BV36" s="144"/>
      <c r="BW36" s="141"/>
      <c r="BX36" s="141"/>
      <c r="BY36" s="105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5"/>
      <c r="CP36" s="4"/>
      <c r="CQ36" s="4"/>
      <c r="CR36" s="4"/>
      <c r="CT36" s="5"/>
      <c r="CU36" s="5"/>
      <c r="CV36" s="5"/>
      <c r="CW36" s="5"/>
      <c r="CX36" s="5"/>
      <c r="CY36" s="5"/>
      <c r="CZ36" s="5"/>
      <c r="DA36" s="5"/>
      <c r="DB36" s="5"/>
      <c r="DC36" s="5" t="s">
        <v>99</v>
      </c>
    </row>
    <row r="37" spans="1:107" s="6" customFormat="1" ht="15" customHeight="1" thickBot="1" x14ac:dyDescent="0.3">
      <c r="A37" s="4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4"/>
      <c r="R37" s="4"/>
      <c r="S37" s="153"/>
      <c r="T37" s="154"/>
      <c r="U37" s="154"/>
      <c r="V37" s="154"/>
      <c r="W37" s="154"/>
      <c r="X37" s="154"/>
      <c r="Y37" s="154"/>
      <c r="Z37" s="154"/>
      <c r="AA37" s="154"/>
      <c r="AB37" s="154"/>
      <c r="AC37" s="155"/>
      <c r="AD37" s="145"/>
      <c r="AE37" s="142"/>
      <c r="AF37" s="142"/>
      <c r="AG37" s="106"/>
      <c r="AH37" s="145"/>
      <c r="AI37" s="142"/>
      <c r="AJ37" s="142"/>
      <c r="AK37" s="106"/>
      <c r="AL37" s="145"/>
      <c r="AM37" s="142"/>
      <c r="AN37" s="142"/>
      <c r="AO37" s="106"/>
      <c r="AP37" s="145"/>
      <c r="AQ37" s="142"/>
      <c r="AR37" s="142"/>
      <c r="AS37" s="106"/>
      <c r="AT37" s="145"/>
      <c r="AU37" s="142"/>
      <c r="AV37" s="142"/>
      <c r="AW37" s="106"/>
      <c r="AX37" s="145"/>
      <c r="AY37" s="142"/>
      <c r="AZ37" s="142"/>
      <c r="BA37" s="106"/>
      <c r="BB37" s="145"/>
      <c r="BC37" s="142"/>
      <c r="BD37" s="142"/>
      <c r="BE37" s="106"/>
      <c r="BF37" s="145"/>
      <c r="BG37" s="142"/>
      <c r="BH37" s="142"/>
      <c r="BI37" s="106"/>
      <c r="BJ37" s="145"/>
      <c r="BK37" s="142"/>
      <c r="BL37" s="142"/>
      <c r="BM37" s="106"/>
      <c r="BN37" s="145"/>
      <c r="BO37" s="142"/>
      <c r="BP37" s="142"/>
      <c r="BQ37" s="106"/>
      <c r="BR37" s="145"/>
      <c r="BS37" s="142"/>
      <c r="BT37" s="142"/>
      <c r="BU37" s="106"/>
      <c r="BV37" s="145"/>
      <c r="BW37" s="142"/>
      <c r="BX37" s="142"/>
      <c r="BY37" s="106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5"/>
      <c r="CP37" s="4"/>
      <c r="CQ37" s="4"/>
      <c r="CR37" s="4"/>
      <c r="CT37" s="5"/>
      <c r="CU37" s="5"/>
      <c r="CV37" s="5"/>
      <c r="CW37" s="5"/>
      <c r="CX37" s="5"/>
      <c r="CY37" s="5"/>
      <c r="CZ37" s="5"/>
      <c r="DA37" s="5"/>
      <c r="DB37" s="5"/>
      <c r="DC37" s="5" t="s">
        <v>100</v>
      </c>
    </row>
    <row r="38" spans="1:107" s="6" customFormat="1" ht="15" customHeight="1" thickBot="1" x14ac:dyDescent="0.3">
      <c r="A38" s="4"/>
      <c r="B38" s="126" t="s">
        <v>8</v>
      </c>
      <c r="C38" s="127"/>
      <c r="D38" s="127"/>
      <c r="E38" s="128"/>
      <c r="F38" s="129"/>
      <c r="G38" s="129"/>
      <c r="H38" s="130"/>
      <c r="I38" s="124" t="s">
        <v>10</v>
      </c>
      <c r="J38" s="125"/>
      <c r="K38" s="131"/>
      <c r="L38" s="132"/>
      <c r="M38" s="132"/>
      <c r="N38" s="132"/>
      <c r="O38" s="132"/>
      <c r="P38" s="133"/>
      <c r="Q38" s="4"/>
      <c r="R38" s="4"/>
      <c r="S38" s="156"/>
      <c r="T38" s="157"/>
      <c r="U38" s="157"/>
      <c r="V38" s="157"/>
      <c r="W38" s="157"/>
      <c r="X38" s="157"/>
      <c r="Y38" s="157"/>
      <c r="Z38" s="157"/>
      <c r="AA38" s="157"/>
      <c r="AB38" s="157"/>
      <c r="AC38" s="158"/>
      <c r="AD38" s="146"/>
      <c r="AE38" s="143"/>
      <c r="AF38" s="143"/>
      <c r="AG38" s="107"/>
      <c r="AH38" s="146"/>
      <c r="AI38" s="143"/>
      <c r="AJ38" s="143"/>
      <c r="AK38" s="107"/>
      <c r="AL38" s="146"/>
      <c r="AM38" s="143"/>
      <c r="AN38" s="143"/>
      <c r="AO38" s="107"/>
      <c r="AP38" s="146"/>
      <c r="AQ38" s="143"/>
      <c r="AR38" s="143"/>
      <c r="AS38" s="107"/>
      <c r="AT38" s="146"/>
      <c r="AU38" s="143"/>
      <c r="AV38" s="143"/>
      <c r="AW38" s="107"/>
      <c r="AX38" s="146"/>
      <c r="AY38" s="143"/>
      <c r="AZ38" s="143"/>
      <c r="BA38" s="107"/>
      <c r="BB38" s="146"/>
      <c r="BC38" s="143"/>
      <c r="BD38" s="143"/>
      <c r="BE38" s="107"/>
      <c r="BF38" s="146"/>
      <c r="BG38" s="143"/>
      <c r="BH38" s="143"/>
      <c r="BI38" s="107"/>
      <c r="BJ38" s="146"/>
      <c r="BK38" s="143"/>
      <c r="BL38" s="143"/>
      <c r="BM38" s="107"/>
      <c r="BN38" s="146"/>
      <c r="BO38" s="143"/>
      <c r="BP38" s="143"/>
      <c r="BQ38" s="107"/>
      <c r="BR38" s="146"/>
      <c r="BS38" s="143"/>
      <c r="BT38" s="143"/>
      <c r="BU38" s="107"/>
      <c r="BV38" s="146"/>
      <c r="BW38" s="143"/>
      <c r="BX38" s="143"/>
      <c r="BY38" s="107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5"/>
      <c r="CP38" s="4"/>
      <c r="CQ38" s="4"/>
      <c r="CR38" s="4"/>
      <c r="CT38" s="5"/>
      <c r="CU38" s="5"/>
      <c r="CV38" s="5"/>
      <c r="CW38" s="5"/>
      <c r="CX38" s="5"/>
      <c r="CY38" s="5"/>
      <c r="CZ38" s="5"/>
      <c r="DA38" s="5"/>
      <c r="DB38" s="5"/>
      <c r="DC38" s="5" t="s">
        <v>101</v>
      </c>
    </row>
    <row r="39" spans="1:107" s="6" customFormat="1" ht="1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5"/>
      <c r="CP39" s="4"/>
      <c r="CQ39" s="4"/>
      <c r="CR39" s="4"/>
    </row>
    <row r="40" spans="1:107" s="6" customFormat="1" ht="1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9"/>
      <c r="T40" s="20"/>
      <c r="U40" s="20"/>
      <c r="V40" s="20"/>
      <c r="W40" s="20"/>
      <c r="X40" s="20"/>
      <c r="Y40" s="20"/>
      <c r="Z40" s="149"/>
      <c r="AA40" s="149"/>
      <c r="AB40" s="149"/>
      <c r="AC40" s="20"/>
      <c r="AD40" s="20"/>
      <c r="AE40" s="148"/>
      <c r="AF40" s="148"/>
      <c r="AG40" s="148"/>
      <c r="AH40" s="20"/>
      <c r="AI40" s="20"/>
      <c r="AJ40" s="148"/>
      <c r="AK40" s="148"/>
      <c r="AL40" s="148"/>
      <c r="AM40" s="20"/>
      <c r="AN40" s="20"/>
      <c r="AO40" s="20"/>
      <c r="AP40" s="149"/>
      <c r="AQ40" s="149"/>
      <c r="AR40" s="149"/>
      <c r="AS40" s="20"/>
      <c r="AT40" s="20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5"/>
      <c r="CP40" s="4"/>
      <c r="CQ40" s="4"/>
      <c r="CR40" s="4"/>
    </row>
    <row r="41" spans="1:107" s="6" customFormat="1" ht="15" customHeight="1" x14ac:dyDescent="0.25">
      <c r="A41" s="4"/>
      <c r="B41" s="4"/>
      <c r="C41" s="4"/>
      <c r="D41" s="4"/>
      <c r="E41" s="4"/>
      <c r="F41" s="4"/>
      <c r="G41" s="4"/>
      <c r="J41" s="4"/>
      <c r="K41" s="4"/>
      <c r="L41" s="4"/>
      <c r="M41" s="4"/>
      <c r="N41" s="4"/>
      <c r="O41" s="4"/>
      <c r="P41" s="4"/>
      <c r="Q41" s="4"/>
      <c r="R41" s="4"/>
      <c r="S41" s="20"/>
      <c r="T41" s="20"/>
      <c r="U41" s="20"/>
      <c r="V41" s="20"/>
      <c r="W41" s="20"/>
      <c r="X41" s="20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5"/>
      <c r="CP41" s="4"/>
      <c r="CQ41" s="4"/>
      <c r="CR41" s="4"/>
    </row>
    <row r="42" spans="1:107" s="6" customFormat="1" ht="1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0"/>
      <c r="T42" s="20"/>
      <c r="U42" s="20"/>
      <c r="V42" s="20"/>
      <c r="W42" s="20"/>
      <c r="X42" s="20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5"/>
      <c r="CP42" s="4"/>
      <c r="CQ42" s="4"/>
      <c r="CR42" s="4"/>
    </row>
    <row r="43" spans="1:107" s="6" customFormat="1" ht="1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5"/>
      <c r="CP43" s="4"/>
      <c r="CQ43" s="4"/>
      <c r="CR43" s="4"/>
    </row>
    <row r="44" spans="1:107" s="6" customFormat="1" ht="1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5"/>
      <c r="CP44" s="4"/>
      <c r="CQ44" s="4"/>
      <c r="CR44" s="4"/>
    </row>
    <row r="45" spans="1:107" s="6" customFormat="1" ht="1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5"/>
      <c r="CP45" s="4"/>
      <c r="CQ45" s="4"/>
      <c r="CR45" s="4"/>
    </row>
    <row r="46" spans="1:107" s="6" customFormat="1" ht="1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5"/>
      <c r="CP46" s="4"/>
      <c r="CQ46" s="4"/>
      <c r="CR46" s="4"/>
    </row>
    <row r="47" spans="1:107" s="6" customFormat="1" ht="1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5"/>
      <c r="CP47" s="4"/>
      <c r="CQ47" s="4"/>
      <c r="CR47" s="4"/>
    </row>
    <row r="48" spans="1:107" s="6" customFormat="1" ht="1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5"/>
      <c r="CP48" s="4"/>
      <c r="CQ48" s="4"/>
      <c r="CR48" s="4"/>
    </row>
    <row r="49" spans="92:93" ht="15" customHeight="1" x14ac:dyDescent="0.25"/>
    <row r="50" spans="92:93" ht="15" customHeight="1" x14ac:dyDescent="0.25">
      <c r="CN50" s="5"/>
      <c r="CO50" s="4"/>
    </row>
    <row r="51" spans="92:93" ht="15" customHeight="1" x14ac:dyDescent="0.25">
      <c r="CN51" s="5"/>
      <c r="CO51" s="4"/>
    </row>
    <row r="52" spans="92:93" ht="15" customHeight="1" x14ac:dyDescent="0.25">
      <c r="CN52" s="5"/>
      <c r="CO52" s="4"/>
    </row>
    <row r="53" spans="92:93" ht="15" customHeight="1" x14ac:dyDescent="0.25">
      <c r="CN53" s="5"/>
      <c r="CO53" s="4"/>
    </row>
    <row r="54" spans="92:93" ht="15" customHeight="1" x14ac:dyDescent="0.25"/>
    <row r="55" spans="92:93" ht="15" customHeight="1" x14ac:dyDescent="0.25"/>
    <row r="56" spans="92:93" ht="15" customHeight="1" x14ac:dyDescent="0.25"/>
    <row r="57" spans="92:93" ht="15" customHeight="1" x14ac:dyDescent="0.25"/>
    <row r="58" spans="92:93" ht="15" customHeight="1" x14ac:dyDescent="0.25"/>
    <row r="59" spans="92:93" ht="15" customHeight="1" x14ac:dyDescent="0.25"/>
    <row r="60" spans="92:93" ht="15" customHeight="1" x14ac:dyDescent="0.25"/>
    <row r="61" spans="92:93" ht="15" customHeight="1" x14ac:dyDescent="0.25"/>
    <row r="62" spans="92:93" ht="15" customHeight="1" x14ac:dyDescent="0.25"/>
    <row r="63" spans="92:93" ht="15" customHeight="1" x14ac:dyDescent="0.25"/>
    <row r="64" spans="92:93" ht="15" customHeight="1" x14ac:dyDescent="0.25"/>
    <row r="65" ht="15" customHeight="1" x14ac:dyDescent="0.25"/>
    <row r="66" ht="15" customHeight="1" x14ac:dyDescent="0.25"/>
    <row r="67" ht="15" hidden="1" customHeight="1" x14ac:dyDescent="0.25"/>
    <row r="68" ht="15" hidden="1" customHeight="1" x14ac:dyDescent="0.25"/>
    <row r="69" ht="15" hidden="1" customHeight="1" x14ac:dyDescent="0.25"/>
    <row r="70" ht="15" hidden="1" customHeight="1" x14ac:dyDescent="0.25"/>
    <row r="71" ht="15" hidden="1" customHeight="1" x14ac:dyDescent="0.25"/>
    <row r="72" ht="15" hidden="1" customHeight="1" x14ac:dyDescent="0.25"/>
    <row r="73" ht="15" hidden="1" customHeight="1" x14ac:dyDescent="0.25"/>
    <row r="74" ht="15" hidden="1" customHeight="1" x14ac:dyDescent="0.25"/>
    <row r="75" ht="15" hidden="1" customHeight="1" x14ac:dyDescent="0.25"/>
    <row r="76" ht="15" hidden="1" customHeight="1" x14ac:dyDescent="0.25"/>
    <row r="77" ht="15" hidden="1" customHeight="1" x14ac:dyDescent="0.25"/>
    <row r="78" ht="15" hidden="1" customHeight="1" x14ac:dyDescent="0.25"/>
    <row r="79" ht="15" hidden="1" customHeight="1" x14ac:dyDescent="0.25"/>
    <row r="80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5" hidden="1" customHeight="1" x14ac:dyDescent="0.25"/>
    <row r="115" ht="15" hidden="1" customHeight="1" x14ac:dyDescent="0.25"/>
    <row r="116" ht="15" hidden="1" customHeight="1" x14ac:dyDescent="0.25"/>
    <row r="117" ht="15" hidden="1" customHeight="1" x14ac:dyDescent="0.25"/>
    <row r="118" ht="15" hidden="1" customHeight="1" x14ac:dyDescent="0.25"/>
    <row r="119" ht="15" hidden="1" customHeight="1" x14ac:dyDescent="0.25"/>
    <row r="120" ht="15" hidden="1" customHeight="1" x14ac:dyDescent="0.25"/>
    <row r="121" ht="15" hidden="1" customHeight="1" x14ac:dyDescent="0.25"/>
    <row r="122" ht="15" hidden="1" customHeight="1" x14ac:dyDescent="0.25"/>
    <row r="123" ht="15" hidden="1" customHeight="1" x14ac:dyDescent="0.25"/>
    <row r="124" ht="15" hidden="1" customHeight="1" x14ac:dyDescent="0.25"/>
    <row r="125" ht="15" hidden="1" customHeight="1" x14ac:dyDescent="0.25"/>
    <row r="126" ht="15" hidden="1" customHeight="1" x14ac:dyDescent="0.25"/>
    <row r="127" ht="15" hidden="1" customHeight="1" x14ac:dyDescent="0.25"/>
    <row r="128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34" ht="15" hidden="1" customHeight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</sheetData>
  <mergeCells count="485">
    <mergeCell ref="A1:AH1"/>
    <mergeCell ref="CF3:CH3"/>
    <mergeCell ref="CF4:CH5"/>
    <mergeCell ref="CF6:CH7"/>
    <mergeCell ref="CJ3:CL3"/>
    <mergeCell ref="CI4:CI7"/>
    <mergeCell ref="CJ4:CL7"/>
    <mergeCell ref="CD12:CQ12"/>
    <mergeCell ref="CE4:CE5"/>
    <mergeCell ref="CE6:CE7"/>
    <mergeCell ref="B12:P12"/>
    <mergeCell ref="BP36:BP38"/>
    <mergeCell ref="BQ36:BQ38"/>
    <mergeCell ref="BR36:BR38"/>
    <mergeCell ref="BS36:BS38"/>
    <mergeCell ref="BT36:BT38"/>
    <mergeCell ref="BU36:BU38"/>
    <mergeCell ref="BV36:BV38"/>
    <mergeCell ref="AX36:AX38"/>
    <mergeCell ref="AY36:AY38"/>
    <mergeCell ref="AZ36:AZ38"/>
    <mergeCell ref="BA36:BA38"/>
    <mergeCell ref="BV33:BV35"/>
    <mergeCell ref="BW33:BW35"/>
    <mergeCell ref="BX33:BX35"/>
    <mergeCell ref="BY33:BY35"/>
    <mergeCell ref="BT33:BT35"/>
    <mergeCell ref="BU33:BU35"/>
    <mergeCell ref="BW36:BW38"/>
    <mergeCell ref="BX36:BX38"/>
    <mergeCell ref="BG36:BG38"/>
    <mergeCell ref="BH36:BH38"/>
    <mergeCell ref="BI36:BI38"/>
    <mergeCell ref="BJ36:BJ38"/>
    <mergeCell ref="BK36:BK38"/>
    <mergeCell ref="BL36:BL38"/>
    <mergeCell ref="BM36:BM38"/>
    <mergeCell ref="BN36:BN38"/>
    <mergeCell ref="BO36:BO38"/>
    <mergeCell ref="BY36:BY38"/>
    <mergeCell ref="BM33:BM35"/>
    <mergeCell ref="BN33:BN35"/>
    <mergeCell ref="BO33:BO35"/>
    <mergeCell ref="BP33:BP35"/>
    <mergeCell ref="BQ33:BQ35"/>
    <mergeCell ref="BR33:BR35"/>
    <mergeCell ref="AE36:AE38"/>
    <mergeCell ref="AF36:AF38"/>
    <mergeCell ref="AG36:AG38"/>
    <mergeCell ref="AH36:AH38"/>
    <mergeCell ref="AI36:AI38"/>
    <mergeCell ref="AJ36:AJ38"/>
    <mergeCell ref="AK36:AK38"/>
    <mergeCell ref="AL36:AL38"/>
    <mergeCell ref="BB36:BB38"/>
    <mergeCell ref="AM36:AM38"/>
    <mergeCell ref="AN36:AN38"/>
    <mergeCell ref="AO36:AO38"/>
    <mergeCell ref="AP36:AP38"/>
    <mergeCell ref="AQ36:AQ38"/>
    <mergeCell ref="AR36:AR38"/>
    <mergeCell ref="AS36:AS38"/>
    <mergeCell ref="AT36:AT38"/>
    <mergeCell ref="AU36:AU38"/>
    <mergeCell ref="AV36:AV38"/>
    <mergeCell ref="AW36:AW38"/>
    <mergeCell ref="BS33:BS35"/>
    <mergeCell ref="BD33:BD35"/>
    <mergeCell ref="BE33:BE35"/>
    <mergeCell ref="BF33:BF35"/>
    <mergeCell ref="BG33:BG35"/>
    <mergeCell ref="BH33:BH35"/>
    <mergeCell ref="BI33:BI35"/>
    <mergeCell ref="BJ33:BJ35"/>
    <mergeCell ref="BK33:BK35"/>
    <mergeCell ref="BL33:BL35"/>
    <mergeCell ref="AT33:AT35"/>
    <mergeCell ref="BC36:BC38"/>
    <mergeCell ref="BD36:BD38"/>
    <mergeCell ref="BE36:BE38"/>
    <mergeCell ref="BF36:BF38"/>
    <mergeCell ref="AU33:AU35"/>
    <mergeCell ref="AV33:AV35"/>
    <mergeCell ref="AW33:AW35"/>
    <mergeCell ref="AX33:AX35"/>
    <mergeCell ref="AY33:AY35"/>
    <mergeCell ref="AZ33:AZ35"/>
    <mergeCell ref="BA33:BA35"/>
    <mergeCell ref="BB33:BB35"/>
    <mergeCell ref="BC33:BC35"/>
    <mergeCell ref="BR30:BR32"/>
    <mergeCell ref="BS30:BS32"/>
    <mergeCell ref="BT30:BT32"/>
    <mergeCell ref="BU30:BU32"/>
    <mergeCell ref="BV30:BV32"/>
    <mergeCell ref="BW30:BW32"/>
    <mergeCell ref="BX30:BX32"/>
    <mergeCell ref="BY30:BY32"/>
    <mergeCell ref="AD33:AD35"/>
    <mergeCell ref="AE33:AE35"/>
    <mergeCell ref="AF33:AF35"/>
    <mergeCell ref="AG33:AG35"/>
    <mergeCell ref="AH33:AH35"/>
    <mergeCell ref="AI33:AI35"/>
    <mergeCell ref="AJ33:AJ35"/>
    <mergeCell ref="AK33:AK35"/>
    <mergeCell ref="AL33:AL35"/>
    <mergeCell ref="AM33:AM35"/>
    <mergeCell ref="AN33:AN35"/>
    <mergeCell ref="AO33:AO35"/>
    <mergeCell ref="AP33:AP35"/>
    <mergeCell ref="AQ33:AQ35"/>
    <mergeCell ref="AR33:AR35"/>
    <mergeCell ref="AS33:AS35"/>
    <mergeCell ref="BI30:BI32"/>
    <mergeCell ref="BJ30:BJ32"/>
    <mergeCell ref="BK30:BK32"/>
    <mergeCell ref="BL30:BL32"/>
    <mergeCell ref="BM30:BM32"/>
    <mergeCell ref="BN30:BN32"/>
    <mergeCell ref="BO30:BO32"/>
    <mergeCell ref="BP30:BP32"/>
    <mergeCell ref="BQ30:BQ32"/>
    <mergeCell ref="AZ30:AZ32"/>
    <mergeCell ref="BA30:BA32"/>
    <mergeCell ref="BB30:BB32"/>
    <mergeCell ref="BC30:BC32"/>
    <mergeCell ref="BD30:BD32"/>
    <mergeCell ref="BE30:BE32"/>
    <mergeCell ref="BF30:BF32"/>
    <mergeCell ref="BG30:BG32"/>
    <mergeCell ref="BH30:BH32"/>
    <mergeCell ref="BX27:BX29"/>
    <mergeCell ref="BY27:BY29"/>
    <mergeCell ref="AD30:AD32"/>
    <mergeCell ref="AE30:AE32"/>
    <mergeCell ref="AF30:AF32"/>
    <mergeCell ref="AG30:AG32"/>
    <mergeCell ref="AH30:AH32"/>
    <mergeCell ref="AI30:AI32"/>
    <mergeCell ref="AJ30:AJ32"/>
    <mergeCell ref="AK30:AK32"/>
    <mergeCell ref="AL30:AL32"/>
    <mergeCell ref="AM30:AM32"/>
    <mergeCell ref="AN30:AN32"/>
    <mergeCell ref="AO30:AO32"/>
    <mergeCell ref="AP30:AP32"/>
    <mergeCell ref="AQ30:AQ32"/>
    <mergeCell ref="AR30:AR32"/>
    <mergeCell ref="AS30:AS32"/>
    <mergeCell ref="AT30:AT32"/>
    <mergeCell ref="AU30:AU32"/>
    <mergeCell ref="AV30:AV32"/>
    <mergeCell ref="AW30:AW32"/>
    <mergeCell ref="AX30:AX32"/>
    <mergeCell ref="AY30:AY32"/>
    <mergeCell ref="BO27:BO29"/>
    <mergeCell ref="BP27:BP29"/>
    <mergeCell ref="BQ27:BQ29"/>
    <mergeCell ref="BR27:BR29"/>
    <mergeCell ref="BS27:BS29"/>
    <mergeCell ref="BT27:BT29"/>
    <mergeCell ref="BU27:BU29"/>
    <mergeCell ref="BV27:BV29"/>
    <mergeCell ref="BW27:BW29"/>
    <mergeCell ref="BF27:BF29"/>
    <mergeCell ref="BG27:BG29"/>
    <mergeCell ref="BH27:BH29"/>
    <mergeCell ref="BI27:BI29"/>
    <mergeCell ref="BJ27:BJ29"/>
    <mergeCell ref="BK27:BK29"/>
    <mergeCell ref="BL27:BL29"/>
    <mergeCell ref="BM27:BM29"/>
    <mergeCell ref="BN27:BN29"/>
    <mergeCell ref="AV27:AV29"/>
    <mergeCell ref="AX27:AX29"/>
    <mergeCell ref="AY27:AY29"/>
    <mergeCell ref="AZ27:AZ29"/>
    <mergeCell ref="BA27:BA29"/>
    <mergeCell ref="BB27:BB29"/>
    <mergeCell ref="BC27:BC29"/>
    <mergeCell ref="BD27:BD29"/>
    <mergeCell ref="BE27:BE29"/>
    <mergeCell ref="AM27:AM29"/>
    <mergeCell ref="AN27:AN29"/>
    <mergeCell ref="AO27:AO29"/>
    <mergeCell ref="AP27:AP29"/>
    <mergeCell ref="AQ27:AQ29"/>
    <mergeCell ref="AR27:AR29"/>
    <mergeCell ref="AS27:AS29"/>
    <mergeCell ref="AT27:AT29"/>
    <mergeCell ref="AU27:AU29"/>
    <mergeCell ref="BQ24:BQ26"/>
    <mergeCell ref="BR24:BR26"/>
    <mergeCell ref="BS24:BS26"/>
    <mergeCell ref="BT24:BT26"/>
    <mergeCell ref="BU24:BU26"/>
    <mergeCell ref="BV24:BV26"/>
    <mergeCell ref="BW24:BW26"/>
    <mergeCell ref="BX24:BX26"/>
    <mergeCell ref="BY24:BY26"/>
    <mergeCell ref="BW21:BW23"/>
    <mergeCell ref="BX21:BX23"/>
    <mergeCell ref="BY21:BY23"/>
    <mergeCell ref="AD24:AD26"/>
    <mergeCell ref="AE24:AE26"/>
    <mergeCell ref="AF24:AF26"/>
    <mergeCell ref="AG24:AG26"/>
    <mergeCell ref="AH24:AH26"/>
    <mergeCell ref="AI24:AI26"/>
    <mergeCell ref="AJ24:AJ26"/>
    <mergeCell ref="AK24:AK26"/>
    <mergeCell ref="AL24:AL26"/>
    <mergeCell ref="AM24:AM26"/>
    <mergeCell ref="AN24:AN26"/>
    <mergeCell ref="AO24:AO26"/>
    <mergeCell ref="AP24:AP26"/>
    <mergeCell ref="AQ24:AQ26"/>
    <mergeCell ref="AR24:AR26"/>
    <mergeCell ref="AS24:AS26"/>
    <mergeCell ref="BL24:BL26"/>
    <mergeCell ref="BM24:BM26"/>
    <mergeCell ref="BN24:BN26"/>
    <mergeCell ref="BO24:BO26"/>
    <mergeCell ref="BP24:BP26"/>
    <mergeCell ref="BN21:BN23"/>
    <mergeCell ref="BO21:BO23"/>
    <mergeCell ref="BP21:BP23"/>
    <mergeCell ref="BQ21:BQ23"/>
    <mergeCell ref="BR21:BR23"/>
    <mergeCell ref="BS21:BS23"/>
    <mergeCell ref="BT21:BT23"/>
    <mergeCell ref="BU21:BU23"/>
    <mergeCell ref="BV21:BV23"/>
    <mergeCell ref="BE21:BE23"/>
    <mergeCell ref="BF21:BF23"/>
    <mergeCell ref="BG21:BG23"/>
    <mergeCell ref="BH21:BH23"/>
    <mergeCell ref="BI21:BI23"/>
    <mergeCell ref="BJ21:BJ23"/>
    <mergeCell ref="BK21:BK23"/>
    <mergeCell ref="BL21:BL23"/>
    <mergeCell ref="BM21:BM23"/>
    <mergeCell ref="AV21:AV23"/>
    <mergeCell ref="AW21:AW23"/>
    <mergeCell ref="AX21:AX23"/>
    <mergeCell ref="AY21:AY23"/>
    <mergeCell ref="AZ21:AZ23"/>
    <mergeCell ref="BA21:BA23"/>
    <mergeCell ref="BB21:BB23"/>
    <mergeCell ref="BC21:BC23"/>
    <mergeCell ref="BD21:BD23"/>
    <mergeCell ref="BT18:BT20"/>
    <mergeCell ref="BU18:BU20"/>
    <mergeCell ref="BV18:BV20"/>
    <mergeCell ref="BW18:BW20"/>
    <mergeCell ref="BX18:BX20"/>
    <mergeCell ref="BY18:BY20"/>
    <mergeCell ref="AD21:AD23"/>
    <mergeCell ref="AE21:AE23"/>
    <mergeCell ref="AF21:AF23"/>
    <mergeCell ref="AG21:AG23"/>
    <mergeCell ref="AH21:AH23"/>
    <mergeCell ref="AI21:AI23"/>
    <mergeCell ref="AJ21:AJ23"/>
    <mergeCell ref="AK21:AK23"/>
    <mergeCell ref="AL21:AL23"/>
    <mergeCell ref="AM21:AM23"/>
    <mergeCell ref="AN21:AN23"/>
    <mergeCell ref="AO21:AO23"/>
    <mergeCell ref="AP21:AP23"/>
    <mergeCell ref="AQ21:AQ23"/>
    <mergeCell ref="AR21:AR23"/>
    <mergeCell ref="AS21:AS23"/>
    <mergeCell ref="AT21:AT23"/>
    <mergeCell ref="AU21:AU23"/>
    <mergeCell ref="BK18:BK20"/>
    <mergeCell ref="BL18:BL20"/>
    <mergeCell ref="BM18:BM20"/>
    <mergeCell ref="BN18:BN20"/>
    <mergeCell ref="BO18:BO20"/>
    <mergeCell ref="BP18:BP20"/>
    <mergeCell ref="BQ18:BQ20"/>
    <mergeCell ref="BR18:BR20"/>
    <mergeCell ref="BS18:BS20"/>
    <mergeCell ref="BB18:BB20"/>
    <mergeCell ref="BC18:BC20"/>
    <mergeCell ref="BD18:BD20"/>
    <mergeCell ref="BE18:BE20"/>
    <mergeCell ref="BF18:BF20"/>
    <mergeCell ref="BG18:BG20"/>
    <mergeCell ref="BH18:BH20"/>
    <mergeCell ref="BI18:BI20"/>
    <mergeCell ref="BJ18:BJ20"/>
    <mergeCell ref="AS18:AS20"/>
    <mergeCell ref="AT18:AT20"/>
    <mergeCell ref="AU18:AU20"/>
    <mergeCell ref="AV18:AV20"/>
    <mergeCell ref="AW18:AW20"/>
    <mergeCell ref="AX18:AX20"/>
    <mergeCell ref="AY18:AY20"/>
    <mergeCell ref="AZ18:AZ20"/>
    <mergeCell ref="BA18:BA20"/>
    <mergeCell ref="BS15:BS17"/>
    <mergeCell ref="BT15:BT17"/>
    <mergeCell ref="BU15:BU17"/>
    <mergeCell ref="BV15:BV17"/>
    <mergeCell ref="BW15:BW17"/>
    <mergeCell ref="BX15:BX17"/>
    <mergeCell ref="BY15:BY17"/>
    <mergeCell ref="S18:AC20"/>
    <mergeCell ref="S21:AC23"/>
    <mergeCell ref="AD18:AD20"/>
    <mergeCell ref="AE18:AE20"/>
    <mergeCell ref="AF18:AF20"/>
    <mergeCell ref="AG18:AG20"/>
    <mergeCell ref="AH18:AH20"/>
    <mergeCell ref="AI18:AI20"/>
    <mergeCell ref="AJ18:AJ20"/>
    <mergeCell ref="AK18:AK20"/>
    <mergeCell ref="AL18:AL20"/>
    <mergeCell ref="AM18:AM20"/>
    <mergeCell ref="AN18:AN20"/>
    <mergeCell ref="AO18:AO20"/>
    <mergeCell ref="AP18:AP20"/>
    <mergeCell ref="AQ18:AQ20"/>
    <mergeCell ref="AR18:AR20"/>
    <mergeCell ref="BJ15:BJ17"/>
    <mergeCell ref="BK15:BK17"/>
    <mergeCell ref="BL15:BL17"/>
    <mergeCell ref="BM15:BM17"/>
    <mergeCell ref="BN15:BN17"/>
    <mergeCell ref="BO15:BO17"/>
    <mergeCell ref="BP15:BP17"/>
    <mergeCell ref="BQ15:BQ17"/>
    <mergeCell ref="BR15:BR17"/>
    <mergeCell ref="BA15:BA17"/>
    <mergeCell ref="BB15:BB17"/>
    <mergeCell ref="BC15:BC17"/>
    <mergeCell ref="BD15:BD17"/>
    <mergeCell ref="BE15:BE17"/>
    <mergeCell ref="BF15:BF17"/>
    <mergeCell ref="BG15:BG17"/>
    <mergeCell ref="BH15:BH17"/>
    <mergeCell ref="BI15:BI17"/>
    <mergeCell ref="AR15:AR17"/>
    <mergeCell ref="AS15:AS17"/>
    <mergeCell ref="AT15:AT17"/>
    <mergeCell ref="AU15:AU17"/>
    <mergeCell ref="AV15:AV17"/>
    <mergeCell ref="AW15:AW17"/>
    <mergeCell ref="AX15:AX17"/>
    <mergeCell ref="AY15:AY17"/>
    <mergeCell ref="AZ15:AZ17"/>
    <mergeCell ref="AT13:AW13"/>
    <mergeCell ref="AX13:BA13"/>
    <mergeCell ref="BB13:BE13"/>
    <mergeCell ref="BF13:BI13"/>
    <mergeCell ref="BJ13:BM13"/>
    <mergeCell ref="BN13:BQ13"/>
    <mergeCell ref="BR13:BU13"/>
    <mergeCell ref="BV13:BY13"/>
    <mergeCell ref="AD14:AG14"/>
    <mergeCell ref="AH14:AK14"/>
    <mergeCell ref="AL14:AO14"/>
    <mergeCell ref="AP14:AS14"/>
    <mergeCell ref="AT14:AW14"/>
    <mergeCell ref="AX14:BA14"/>
    <mergeCell ref="BB14:BE14"/>
    <mergeCell ref="BF14:BI14"/>
    <mergeCell ref="BJ14:BM14"/>
    <mergeCell ref="BN14:BQ14"/>
    <mergeCell ref="BR14:BU14"/>
    <mergeCell ref="BV14:BY14"/>
    <mergeCell ref="I31:P31"/>
    <mergeCell ref="C32:H32"/>
    <mergeCell ref="I32:P32"/>
    <mergeCell ref="B26:P26"/>
    <mergeCell ref="S13:AC14"/>
    <mergeCell ref="AD13:AG13"/>
    <mergeCell ref="AH13:AK13"/>
    <mergeCell ref="AL13:AO13"/>
    <mergeCell ref="AP13:AS13"/>
    <mergeCell ref="S15:AC17"/>
    <mergeCell ref="AD15:AD17"/>
    <mergeCell ref="AE15:AE17"/>
    <mergeCell ref="AF15:AF17"/>
    <mergeCell ref="AG15:AG17"/>
    <mergeCell ref="AH15:AH17"/>
    <mergeCell ref="AI15:AI17"/>
    <mergeCell ref="AJ15:AJ17"/>
    <mergeCell ref="AK15:AK17"/>
    <mergeCell ref="AL15:AL17"/>
    <mergeCell ref="AM15:AM17"/>
    <mergeCell ref="AN15:AN17"/>
    <mergeCell ref="AO15:AO17"/>
    <mergeCell ref="AP15:AP17"/>
    <mergeCell ref="AQ15:AQ17"/>
    <mergeCell ref="B13:P16"/>
    <mergeCell ref="C29:H29"/>
    <mergeCell ref="B18:P21"/>
    <mergeCell ref="B22:P22"/>
    <mergeCell ref="B17:P17"/>
    <mergeCell ref="I27:P27"/>
    <mergeCell ref="C3:F3"/>
    <mergeCell ref="D5:F5"/>
    <mergeCell ref="D7:F7"/>
    <mergeCell ref="I29:P29"/>
    <mergeCell ref="B23:P25"/>
    <mergeCell ref="B5:C5"/>
    <mergeCell ref="B7:C7"/>
    <mergeCell ref="N7:O7"/>
    <mergeCell ref="N5:O5"/>
    <mergeCell ref="BJ24:BJ26"/>
    <mergeCell ref="AT24:AT26"/>
    <mergeCell ref="AU24:AU26"/>
    <mergeCell ref="AV24:AV26"/>
    <mergeCell ref="AY24:AY26"/>
    <mergeCell ref="AZ24:AZ26"/>
    <mergeCell ref="BA24:BA26"/>
    <mergeCell ref="B37:P37"/>
    <mergeCell ref="C33:H33"/>
    <mergeCell ref="I33:P33"/>
    <mergeCell ref="C34:H34"/>
    <mergeCell ref="I34:P34"/>
    <mergeCell ref="C35:H35"/>
    <mergeCell ref="I35:P35"/>
    <mergeCell ref="C36:H36"/>
    <mergeCell ref="I36:P36"/>
    <mergeCell ref="AW24:AW26"/>
    <mergeCell ref="AX24:AX26"/>
    <mergeCell ref="B30:B31"/>
    <mergeCell ref="B32:B34"/>
    <mergeCell ref="B35:B36"/>
    <mergeCell ref="C30:H30"/>
    <mergeCell ref="I30:P30"/>
    <mergeCell ref="C31:H31"/>
    <mergeCell ref="Y41:AC41"/>
    <mergeCell ref="AD41:AH41"/>
    <mergeCell ref="AI41:AM41"/>
    <mergeCell ref="AN41:AT41"/>
    <mergeCell ref="AE40:AG40"/>
    <mergeCell ref="AJ40:AL40"/>
    <mergeCell ref="AP40:AR40"/>
    <mergeCell ref="Z40:AB40"/>
    <mergeCell ref="BB24:BB26"/>
    <mergeCell ref="S24:AC26"/>
    <mergeCell ref="S27:AC29"/>
    <mergeCell ref="S30:AC32"/>
    <mergeCell ref="S33:AC35"/>
    <mergeCell ref="S36:AC38"/>
    <mergeCell ref="AD36:AD38"/>
    <mergeCell ref="AD27:AD29"/>
    <mergeCell ref="AE27:AE29"/>
    <mergeCell ref="AF27:AF29"/>
    <mergeCell ref="AG27:AG29"/>
    <mergeCell ref="AH27:AH29"/>
    <mergeCell ref="AI27:AI29"/>
    <mergeCell ref="AJ27:AJ29"/>
    <mergeCell ref="AK27:AK29"/>
    <mergeCell ref="AL27:AL29"/>
    <mergeCell ref="CD17:CQ17"/>
    <mergeCell ref="S9:BY10"/>
    <mergeCell ref="CD9:CQ10"/>
    <mergeCell ref="AW27:AW29"/>
    <mergeCell ref="I3:K3"/>
    <mergeCell ref="B9:D10"/>
    <mergeCell ref="E9:L10"/>
    <mergeCell ref="B27:H27"/>
    <mergeCell ref="I38:J38"/>
    <mergeCell ref="B38:D38"/>
    <mergeCell ref="E38:H38"/>
    <mergeCell ref="K38:P38"/>
    <mergeCell ref="S12:BY12"/>
    <mergeCell ref="C28:H28"/>
    <mergeCell ref="I28:P28"/>
    <mergeCell ref="B28:B29"/>
    <mergeCell ref="BK24:BK26"/>
    <mergeCell ref="BC24:BC26"/>
    <mergeCell ref="BD24:BD26"/>
    <mergeCell ref="BE24:BE26"/>
    <mergeCell ref="BF24:BF26"/>
    <mergeCell ref="BG24:BG26"/>
    <mergeCell ref="BH24:BH26"/>
    <mergeCell ref="BI24:BI26"/>
  </mergeCells>
  <conditionalFormatting sqref="CE21:CQ21 CE16:CQ16">
    <cfRule type="cellIs" dxfId="11" priority="7" operator="lessThan">
      <formula>1</formula>
    </cfRule>
    <cfRule type="cellIs" dxfId="10" priority="8" operator="greaterThanOrEqual">
      <formula>1</formula>
    </cfRule>
  </conditionalFormatting>
  <dataValidations count="1">
    <dataValidation type="list" allowBlank="1" showInputMessage="1" showErrorMessage="1" sqref="I3 L3">
      <formula1>$DC$3:$DC$38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Cadastro!F7:F17</xm:f>
          </x14:formula1>
          <xm:sqref>E9:L10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49"/>
  <sheetViews>
    <sheetView showGridLines="0" zoomScaleNormal="100" workbookViewId="0">
      <selection activeCell="C3" sqref="C3:F3"/>
    </sheetView>
  </sheetViews>
  <sheetFormatPr defaultColWidth="0" defaultRowHeight="15" customHeight="1" zeroHeight="1" x14ac:dyDescent="0.25"/>
  <cols>
    <col min="1" max="6" width="9.7109375" style="4" customWidth="1"/>
    <col min="7" max="7" width="9.28515625" style="4" customWidth="1"/>
    <col min="8" max="8" width="14.28515625" style="4" bestFit="1" customWidth="1"/>
    <col min="9" max="9" width="11.28515625" style="4" bestFit="1" customWidth="1"/>
    <col min="10" max="16" width="9.7109375" style="4" customWidth="1"/>
    <col min="17" max="17" width="0.28515625" style="4" customWidth="1"/>
    <col min="18" max="18" width="4" style="4" customWidth="1"/>
    <col min="19" max="81" width="1.42578125" style="4" customWidth="1"/>
    <col min="82" max="82" width="10.5703125" style="4" bestFit="1" customWidth="1"/>
    <col min="83" max="83" width="14.28515625" style="4" bestFit="1" customWidth="1"/>
    <col min="84" max="92" width="13.28515625" style="4" customWidth="1"/>
    <col min="93" max="93" width="13.28515625" style="5" customWidth="1"/>
    <col min="94" max="95" width="13.28515625" style="4" customWidth="1"/>
    <col min="96" max="96" width="1.28515625" style="4" customWidth="1"/>
    <col min="97" max="16384" width="9.140625" style="4" hidden="1"/>
  </cols>
  <sheetData>
    <row r="1" spans="1:107" s="94" customFormat="1" ht="36" customHeight="1" x14ac:dyDescent="0.25">
      <c r="A1" s="197" t="s">
        <v>144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</row>
    <row r="2" spans="1:107" ht="15.75" thickBot="1" x14ac:dyDescent="0.3">
      <c r="B2" s="5">
        <f>C3</f>
        <v>0</v>
      </c>
      <c r="C2" s="5"/>
      <c r="D2" s="5">
        <f>I3</f>
        <v>0</v>
      </c>
      <c r="E2" s="5"/>
      <c r="F2" s="5"/>
      <c r="G2" s="5">
        <f>B13</f>
        <v>0</v>
      </c>
      <c r="H2" s="5" t="str">
        <f>E9</f>
        <v>FÁBRICA E LAYOUT</v>
      </c>
      <c r="I2" s="5"/>
      <c r="J2" s="5"/>
    </row>
    <row r="3" spans="1:107" s="6" customFormat="1" ht="18" customHeight="1" thickBot="1" x14ac:dyDescent="0.3">
      <c r="A3" s="4"/>
      <c r="B3" s="22" t="s">
        <v>45</v>
      </c>
      <c r="C3" s="176"/>
      <c r="D3" s="176"/>
      <c r="E3" s="176"/>
      <c r="F3" s="177"/>
      <c r="G3" s="4"/>
      <c r="H3" s="23" t="s">
        <v>41</v>
      </c>
      <c r="I3" s="108"/>
      <c r="J3" s="109"/>
      <c r="K3" s="110"/>
      <c r="L3" s="26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20"/>
      <c r="CE3" s="37"/>
      <c r="CF3" s="199"/>
      <c r="CG3" s="199"/>
      <c r="CH3" s="199"/>
      <c r="CI3" s="37"/>
      <c r="CJ3" s="199"/>
      <c r="CK3" s="199"/>
      <c r="CL3" s="199"/>
      <c r="CM3" s="4"/>
      <c r="CN3" s="4"/>
      <c r="CO3" s="5"/>
      <c r="CP3" s="4"/>
      <c r="CQ3" s="4"/>
      <c r="CR3" s="4"/>
      <c r="CT3" s="5" t="s">
        <v>11</v>
      </c>
      <c r="CU3" s="5"/>
      <c r="CV3" s="5"/>
      <c r="CW3" s="5"/>
      <c r="CX3" s="5"/>
      <c r="CY3" s="5" t="s">
        <v>24</v>
      </c>
      <c r="CZ3" s="5"/>
      <c r="DA3" s="5"/>
      <c r="DB3" s="5"/>
      <c r="DC3" s="5" t="s">
        <v>66</v>
      </c>
    </row>
    <row r="4" spans="1:107" s="6" customFormat="1" ht="7.5" customHeight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20"/>
      <c r="CE4" s="201"/>
      <c r="CF4" s="199"/>
      <c r="CG4" s="199"/>
      <c r="CH4" s="199"/>
      <c r="CI4" s="200"/>
      <c r="CJ4" s="199"/>
      <c r="CK4" s="199"/>
      <c r="CL4" s="199"/>
      <c r="CM4" s="4"/>
      <c r="CN4" s="4"/>
      <c r="CO4" s="5"/>
      <c r="CP4" s="4"/>
      <c r="CQ4" s="4"/>
      <c r="CR4" s="4"/>
      <c r="CT4" s="5" t="s">
        <v>12</v>
      </c>
      <c r="CU4" s="5"/>
      <c r="CV4" s="5"/>
      <c r="CW4" s="5"/>
      <c r="CX4" s="5"/>
      <c r="CY4" s="5" t="s">
        <v>23</v>
      </c>
      <c r="CZ4" s="5"/>
      <c r="DA4" s="5"/>
      <c r="DB4" s="5"/>
      <c r="DC4" s="5" t="s">
        <v>67</v>
      </c>
    </row>
    <row r="5" spans="1:107" s="6" customFormat="1" ht="18" customHeight="1" thickBot="1" x14ac:dyDescent="0.3">
      <c r="A5" s="5">
        <f>D5</f>
        <v>0</v>
      </c>
      <c r="B5" s="178" t="s">
        <v>40</v>
      </c>
      <c r="C5" s="179"/>
      <c r="D5" s="176"/>
      <c r="E5" s="176"/>
      <c r="F5" s="177"/>
      <c r="G5" s="4"/>
      <c r="H5" s="24" t="s">
        <v>42</v>
      </c>
      <c r="I5" s="7"/>
      <c r="K5" s="30" t="s">
        <v>59</v>
      </c>
      <c r="L5" s="31"/>
      <c r="M5" s="32"/>
      <c r="N5" s="182"/>
      <c r="O5" s="183"/>
      <c r="P5" s="51">
        <f>N5</f>
        <v>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20"/>
      <c r="CE5" s="201"/>
      <c r="CF5" s="199"/>
      <c r="CG5" s="199"/>
      <c r="CH5" s="199"/>
      <c r="CI5" s="200"/>
      <c r="CJ5" s="199"/>
      <c r="CK5" s="199"/>
      <c r="CL5" s="199"/>
      <c r="CM5" s="4"/>
      <c r="CN5" s="4"/>
      <c r="CO5" s="5"/>
      <c r="CP5" s="4"/>
      <c r="CQ5" s="4"/>
      <c r="CR5" s="4"/>
      <c r="CT5" s="5" t="s">
        <v>13</v>
      </c>
      <c r="CU5" s="5"/>
      <c r="CV5" s="5"/>
      <c r="CW5" s="5"/>
      <c r="CX5" s="5"/>
      <c r="CY5" s="5" t="s">
        <v>26</v>
      </c>
      <c r="CZ5" s="5"/>
      <c r="DA5" s="5"/>
      <c r="DB5" s="5"/>
      <c r="DC5" s="5" t="s">
        <v>68</v>
      </c>
    </row>
    <row r="6" spans="1:107" s="6" customFormat="1" ht="7.5" customHeight="1" thickBot="1" x14ac:dyDescent="0.3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20"/>
      <c r="CE6" s="201"/>
      <c r="CF6" s="199"/>
      <c r="CG6" s="199"/>
      <c r="CH6" s="199"/>
      <c r="CI6" s="200"/>
      <c r="CJ6" s="199"/>
      <c r="CK6" s="199"/>
      <c r="CL6" s="199"/>
      <c r="CM6" s="4"/>
      <c r="CN6" s="4"/>
      <c r="CO6" s="5"/>
      <c r="CP6" s="4"/>
      <c r="CQ6" s="4"/>
      <c r="CR6" s="4"/>
      <c r="CT6" s="5" t="s">
        <v>14</v>
      </c>
      <c r="CU6" s="5"/>
      <c r="CV6" s="5"/>
      <c r="CW6" s="5"/>
      <c r="CX6" s="5"/>
      <c r="CY6" s="5" t="s">
        <v>25</v>
      </c>
      <c r="CZ6" s="5"/>
      <c r="DA6" s="5"/>
      <c r="DB6" s="5"/>
      <c r="DC6" s="5" t="s">
        <v>69</v>
      </c>
    </row>
    <row r="7" spans="1:107" s="6" customFormat="1" ht="18" customHeight="1" thickBot="1" x14ac:dyDescent="0.3">
      <c r="A7" s="5">
        <f>D7</f>
        <v>0</v>
      </c>
      <c r="B7" s="178" t="s">
        <v>9</v>
      </c>
      <c r="C7" s="179"/>
      <c r="D7" s="176"/>
      <c r="E7" s="176"/>
      <c r="F7" s="177"/>
      <c r="G7" s="4"/>
      <c r="H7" s="25" t="s">
        <v>44</v>
      </c>
      <c r="I7" s="7"/>
      <c r="J7" s="27"/>
      <c r="K7" s="28" t="s">
        <v>58</v>
      </c>
      <c r="L7" s="33"/>
      <c r="M7" s="34"/>
      <c r="N7" s="180"/>
      <c r="O7" s="181"/>
      <c r="P7" s="5">
        <f>N7</f>
        <v>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20"/>
      <c r="CE7" s="201"/>
      <c r="CF7" s="199"/>
      <c r="CG7" s="199"/>
      <c r="CH7" s="199"/>
      <c r="CI7" s="200"/>
      <c r="CJ7" s="199"/>
      <c r="CK7" s="199"/>
      <c r="CL7" s="199"/>
      <c r="CM7" s="4"/>
      <c r="CN7" s="4"/>
      <c r="CO7" s="5"/>
      <c r="CP7" s="4"/>
      <c r="CQ7" s="4"/>
      <c r="CR7" s="4"/>
      <c r="CT7" s="5" t="s">
        <v>15</v>
      </c>
      <c r="CU7" s="5"/>
      <c r="CV7" s="5"/>
      <c r="CW7" s="5"/>
      <c r="CX7" s="5"/>
      <c r="CY7" s="5" t="s">
        <v>22</v>
      </c>
      <c r="CZ7" s="5"/>
      <c r="DA7" s="5"/>
      <c r="DB7" s="5"/>
      <c r="DC7" s="5" t="s">
        <v>70</v>
      </c>
    </row>
    <row r="8" spans="1:107" s="6" customFormat="1" ht="7.5" customHeight="1" thickBot="1" x14ac:dyDescent="0.3">
      <c r="A8" s="4"/>
      <c r="B8" s="4"/>
      <c r="C8" s="4"/>
      <c r="D8" s="4"/>
      <c r="E8" s="4"/>
      <c r="F8" s="4"/>
      <c r="G8" s="4"/>
      <c r="H8" s="29"/>
      <c r="I8" s="27"/>
      <c r="J8" s="27"/>
      <c r="K8" s="27"/>
      <c r="L8" s="27"/>
      <c r="M8" s="27"/>
      <c r="N8" s="27"/>
      <c r="O8" s="27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5"/>
      <c r="CP8" s="4"/>
      <c r="CQ8" s="4"/>
      <c r="CR8" s="4"/>
      <c r="CT8" s="5" t="s">
        <v>16</v>
      </c>
      <c r="CU8" s="5"/>
      <c r="CV8" s="5"/>
      <c r="CW8" s="5"/>
      <c r="CX8" s="5"/>
      <c r="CY8" s="5" t="s">
        <v>21</v>
      </c>
      <c r="CZ8" s="5"/>
      <c r="DA8" s="5"/>
      <c r="DB8" s="5"/>
      <c r="DC8" s="5" t="s">
        <v>71</v>
      </c>
    </row>
    <row r="9" spans="1:107" s="6" customFormat="1" ht="15" customHeight="1" x14ac:dyDescent="0.25">
      <c r="A9" s="4"/>
      <c r="B9" s="111" t="s">
        <v>60</v>
      </c>
      <c r="C9" s="112"/>
      <c r="D9" s="113"/>
      <c r="E9" s="117" t="s">
        <v>124</v>
      </c>
      <c r="F9" s="118"/>
      <c r="G9" s="118"/>
      <c r="H9" s="118"/>
      <c r="I9" s="118"/>
      <c r="J9" s="118"/>
      <c r="K9" s="118"/>
      <c r="L9" s="119"/>
      <c r="M9" s="27"/>
      <c r="N9" s="27"/>
      <c r="O9" s="27"/>
      <c r="P9" s="27"/>
      <c r="Q9" s="4"/>
      <c r="R9" s="4"/>
      <c r="S9" s="104" t="s">
        <v>126</v>
      </c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4"/>
      <c r="CA9" s="4"/>
      <c r="CB9" s="4"/>
      <c r="CC9" s="4"/>
      <c r="CD9" s="104" t="s">
        <v>122</v>
      </c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4"/>
      <c r="CT9" s="5" t="s">
        <v>54</v>
      </c>
      <c r="CU9" s="5"/>
      <c r="CV9" s="5"/>
      <c r="CW9" s="5"/>
      <c r="CX9" s="5"/>
      <c r="CY9" s="5" t="s">
        <v>20</v>
      </c>
      <c r="CZ9" s="5"/>
      <c r="DA9" s="5"/>
      <c r="DB9" s="5"/>
      <c r="DC9" s="5" t="s">
        <v>72</v>
      </c>
    </row>
    <row r="10" spans="1:107" s="6" customFormat="1" ht="7.5" customHeight="1" thickBot="1" x14ac:dyDescent="0.3">
      <c r="A10" s="4"/>
      <c r="B10" s="114"/>
      <c r="C10" s="115"/>
      <c r="D10" s="116"/>
      <c r="E10" s="120"/>
      <c r="F10" s="121"/>
      <c r="G10" s="121"/>
      <c r="H10" s="121"/>
      <c r="I10" s="121"/>
      <c r="J10" s="121"/>
      <c r="K10" s="121"/>
      <c r="L10" s="122"/>
      <c r="M10" s="27"/>
      <c r="N10" s="27"/>
      <c r="O10" s="27"/>
      <c r="P10" s="27"/>
      <c r="Q10" s="4"/>
      <c r="R10" s="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4"/>
      <c r="CA10" s="4"/>
      <c r="CB10" s="4"/>
      <c r="CC10" s="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4"/>
      <c r="CT10" s="5" t="s">
        <v>55</v>
      </c>
      <c r="CU10" s="5"/>
      <c r="CV10" s="5"/>
      <c r="CW10" s="5"/>
      <c r="CX10" s="5"/>
      <c r="CY10" s="5"/>
      <c r="CZ10" s="5"/>
      <c r="DA10" s="5"/>
      <c r="DB10" s="5"/>
      <c r="DC10" s="5" t="s">
        <v>73</v>
      </c>
    </row>
    <row r="11" spans="1:107" s="6" customFormat="1" ht="15" customHeight="1" thickBot="1" x14ac:dyDescent="0.3">
      <c r="A11" s="4"/>
      <c r="G11" s="4"/>
      <c r="H11" s="29"/>
      <c r="I11" s="27"/>
      <c r="J11" s="27"/>
      <c r="K11" s="27"/>
      <c r="L11" s="27"/>
      <c r="M11" s="27"/>
      <c r="N11" s="27"/>
      <c r="O11" s="27"/>
      <c r="P11" s="27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R11" s="4"/>
      <c r="CT11" s="5" t="s">
        <v>56</v>
      </c>
      <c r="CU11" s="5"/>
      <c r="CV11" s="5"/>
      <c r="CW11" s="5"/>
      <c r="CX11" s="5"/>
      <c r="CY11" s="5"/>
      <c r="CZ11" s="5"/>
      <c r="DA11" s="5"/>
      <c r="DB11" s="5"/>
      <c r="DC11" s="5" t="s">
        <v>74</v>
      </c>
    </row>
    <row r="12" spans="1:107" s="6" customFormat="1" ht="15" customHeight="1" thickTop="1" thickBot="1" x14ac:dyDescent="0.3">
      <c r="A12" s="4"/>
      <c r="B12" s="174" t="s">
        <v>28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4"/>
      <c r="R12" s="4"/>
      <c r="S12" s="134" t="s">
        <v>30</v>
      </c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6"/>
      <c r="BZ12" s="35"/>
      <c r="CA12" s="35"/>
      <c r="CB12" s="35"/>
      <c r="CC12" s="36"/>
      <c r="CD12" s="101" t="s">
        <v>17</v>
      </c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3"/>
      <c r="CR12" s="4"/>
      <c r="CT12" s="5"/>
      <c r="CU12" s="5"/>
      <c r="CV12" s="5"/>
      <c r="CW12" s="5"/>
      <c r="CX12" s="5"/>
      <c r="CY12" s="5"/>
      <c r="CZ12" s="5"/>
      <c r="DA12" s="5"/>
      <c r="DB12" s="5"/>
      <c r="DC12" s="5" t="s">
        <v>75</v>
      </c>
    </row>
    <row r="13" spans="1:107" s="6" customFormat="1" ht="15" customHeight="1" thickTop="1" thickBot="1" x14ac:dyDescent="0.3">
      <c r="A13" s="4"/>
      <c r="B13" s="165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7"/>
      <c r="Q13" s="4"/>
      <c r="R13" s="4"/>
      <c r="S13" s="185" t="s">
        <v>121</v>
      </c>
      <c r="T13" s="186"/>
      <c r="U13" s="186"/>
      <c r="V13" s="186"/>
      <c r="W13" s="186"/>
      <c r="X13" s="186"/>
      <c r="Y13" s="186"/>
      <c r="Z13" s="186"/>
      <c r="AA13" s="186"/>
      <c r="AB13" s="186"/>
      <c r="AC13" s="187"/>
      <c r="AD13" s="191">
        <v>1</v>
      </c>
      <c r="AE13" s="192"/>
      <c r="AF13" s="192"/>
      <c r="AG13" s="193"/>
      <c r="AH13" s="191">
        <v>2</v>
      </c>
      <c r="AI13" s="192"/>
      <c r="AJ13" s="192"/>
      <c r="AK13" s="193"/>
      <c r="AL13" s="191">
        <v>3</v>
      </c>
      <c r="AM13" s="192"/>
      <c r="AN13" s="192"/>
      <c r="AO13" s="193"/>
      <c r="AP13" s="191">
        <v>4</v>
      </c>
      <c r="AQ13" s="192"/>
      <c r="AR13" s="192"/>
      <c r="AS13" s="193"/>
      <c r="AT13" s="191">
        <v>5</v>
      </c>
      <c r="AU13" s="192"/>
      <c r="AV13" s="192"/>
      <c r="AW13" s="193"/>
      <c r="AX13" s="191">
        <v>6</v>
      </c>
      <c r="AY13" s="192"/>
      <c r="AZ13" s="192"/>
      <c r="BA13" s="193"/>
      <c r="BB13" s="191">
        <v>7</v>
      </c>
      <c r="BC13" s="192"/>
      <c r="BD13" s="192"/>
      <c r="BE13" s="193"/>
      <c r="BF13" s="191">
        <v>8</v>
      </c>
      <c r="BG13" s="192"/>
      <c r="BH13" s="192"/>
      <c r="BI13" s="193"/>
      <c r="BJ13" s="191">
        <v>9</v>
      </c>
      <c r="BK13" s="192"/>
      <c r="BL13" s="192"/>
      <c r="BM13" s="193"/>
      <c r="BN13" s="191">
        <v>10</v>
      </c>
      <c r="BO13" s="192"/>
      <c r="BP13" s="192"/>
      <c r="BQ13" s="193"/>
      <c r="BR13" s="191">
        <v>11</v>
      </c>
      <c r="BS13" s="192"/>
      <c r="BT13" s="192"/>
      <c r="BU13" s="193"/>
      <c r="BV13" s="191">
        <v>12</v>
      </c>
      <c r="BW13" s="192"/>
      <c r="BX13" s="192"/>
      <c r="BY13" s="193"/>
      <c r="BZ13" s="4"/>
      <c r="CA13" s="4"/>
      <c r="CB13" s="4"/>
      <c r="CC13" s="4"/>
      <c r="CD13" s="8"/>
      <c r="CE13" s="9" t="s">
        <v>27</v>
      </c>
      <c r="CF13" s="10" t="str">
        <f>AD14</f>
        <v>JAN</v>
      </c>
      <c r="CG13" s="10" t="str">
        <f>AH14</f>
        <v>FEV</v>
      </c>
      <c r="CH13" s="10" t="str">
        <f>AL14</f>
        <v>MAR</v>
      </c>
      <c r="CI13" s="10" t="str">
        <f>AP14</f>
        <v>ABR</v>
      </c>
      <c r="CJ13" s="10" t="str">
        <f>AT14</f>
        <v>MAI</v>
      </c>
      <c r="CK13" s="10" t="str">
        <f>AX14</f>
        <v>JUN</v>
      </c>
      <c r="CL13" s="10" t="str">
        <f>BB14</f>
        <v>JUL</v>
      </c>
      <c r="CM13" s="10" t="str">
        <f>BF14</f>
        <v>AGO</v>
      </c>
      <c r="CN13" s="10" t="str">
        <f>BJ14</f>
        <v>SET</v>
      </c>
      <c r="CO13" s="10" t="str">
        <f>BN14</f>
        <v>OUT</v>
      </c>
      <c r="CP13" s="10" t="str">
        <f>BR14</f>
        <v>NOV</v>
      </c>
      <c r="CQ13" s="10" t="str">
        <f>BV14</f>
        <v>DEZ</v>
      </c>
      <c r="CR13" s="4"/>
      <c r="CT13" s="5"/>
      <c r="CU13" s="5"/>
      <c r="CV13" s="5"/>
      <c r="CW13" s="5"/>
      <c r="CX13" s="5"/>
      <c r="CY13" s="5"/>
      <c r="CZ13" s="5"/>
      <c r="DA13" s="5"/>
      <c r="DB13" s="5"/>
      <c r="DC13" s="5" t="s">
        <v>76</v>
      </c>
    </row>
    <row r="14" spans="1:107" s="6" customFormat="1" ht="15" customHeight="1" thickTop="1" thickBot="1" x14ac:dyDescent="0.3">
      <c r="A14" s="4"/>
      <c r="B14" s="168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70"/>
      <c r="Q14" s="4"/>
      <c r="R14" s="4"/>
      <c r="S14" s="188"/>
      <c r="T14" s="189"/>
      <c r="U14" s="189"/>
      <c r="V14" s="189"/>
      <c r="W14" s="189"/>
      <c r="X14" s="189"/>
      <c r="Y14" s="189"/>
      <c r="Z14" s="189"/>
      <c r="AA14" s="189"/>
      <c r="AB14" s="189"/>
      <c r="AC14" s="190"/>
      <c r="AD14" s="194" t="s">
        <v>109</v>
      </c>
      <c r="AE14" s="195"/>
      <c r="AF14" s="195"/>
      <c r="AG14" s="196"/>
      <c r="AH14" s="194" t="s">
        <v>110</v>
      </c>
      <c r="AI14" s="195"/>
      <c r="AJ14" s="195"/>
      <c r="AK14" s="196"/>
      <c r="AL14" s="194" t="s">
        <v>111</v>
      </c>
      <c r="AM14" s="195"/>
      <c r="AN14" s="195"/>
      <c r="AO14" s="196"/>
      <c r="AP14" s="194" t="s">
        <v>112</v>
      </c>
      <c r="AQ14" s="195"/>
      <c r="AR14" s="195"/>
      <c r="AS14" s="196"/>
      <c r="AT14" s="194" t="s">
        <v>113</v>
      </c>
      <c r="AU14" s="195"/>
      <c r="AV14" s="195"/>
      <c r="AW14" s="196"/>
      <c r="AX14" s="194" t="s">
        <v>114</v>
      </c>
      <c r="AY14" s="195"/>
      <c r="AZ14" s="195"/>
      <c r="BA14" s="196"/>
      <c r="BB14" s="194" t="s">
        <v>115</v>
      </c>
      <c r="BC14" s="195"/>
      <c r="BD14" s="195"/>
      <c r="BE14" s="196"/>
      <c r="BF14" s="194" t="s">
        <v>116</v>
      </c>
      <c r="BG14" s="195"/>
      <c r="BH14" s="195"/>
      <c r="BI14" s="196"/>
      <c r="BJ14" s="194" t="s">
        <v>117</v>
      </c>
      <c r="BK14" s="195"/>
      <c r="BL14" s="195"/>
      <c r="BM14" s="196"/>
      <c r="BN14" s="194" t="s">
        <v>118</v>
      </c>
      <c r="BO14" s="195"/>
      <c r="BP14" s="195"/>
      <c r="BQ14" s="196"/>
      <c r="BR14" s="194" t="s">
        <v>119</v>
      </c>
      <c r="BS14" s="195"/>
      <c r="BT14" s="195"/>
      <c r="BU14" s="196"/>
      <c r="BV14" s="194" t="s">
        <v>120</v>
      </c>
      <c r="BW14" s="195"/>
      <c r="BX14" s="195"/>
      <c r="BY14" s="196"/>
      <c r="BZ14" s="4"/>
      <c r="CA14" s="4"/>
      <c r="CB14" s="4"/>
      <c r="CC14" s="4"/>
      <c r="CD14" s="11" t="s">
        <v>29</v>
      </c>
      <c r="CE14" s="12">
        <f>SUM(CF14:CQ14)</f>
        <v>0</v>
      </c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4"/>
      <c r="CT14" s="5"/>
      <c r="CU14" s="5"/>
      <c r="CV14" s="5"/>
      <c r="CW14" s="5"/>
      <c r="CX14" s="5"/>
      <c r="CY14" s="5"/>
      <c r="CZ14" s="5"/>
      <c r="DA14" s="5"/>
      <c r="DB14" s="5"/>
      <c r="DC14" s="5" t="s">
        <v>77</v>
      </c>
    </row>
    <row r="15" spans="1:107" s="6" customFormat="1" ht="15" customHeight="1" thickTop="1" thickBot="1" x14ac:dyDescent="0.3">
      <c r="A15" s="4"/>
      <c r="B15" s="168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70"/>
      <c r="Q15" s="4"/>
      <c r="R15" s="4"/>
      <c r="S15" s="150"/>
      <c r="T15" s="151"/>
      <c r="U15" s="151"/>
      <c r="V15" s="151"/>
      <c r="W15" s="151"/>
      <c r="X15" s="151"/>
      <c r="Y15" s="151"/>
      <c r="Z15" s="151"/>
      <c r="AA15" s="151"/>
      <c r="AB15" s="151"/>
      <c r="AC15" s="152"/>
      <c r="AD15" s="144"/>
      <c r="AE15" s="141"/>
      <c r="AF15" s="141"/>
      <c r="AG15" s="105"/>
      <c r="AH15" s="144"/>
      <c r="AI15" s="141"/>
      <c r="AJ15" s="141"/>
      <c r="AK15" s="105"/>
      <c r="AL15" s="144"/>
      <c r="AM15" s="141"/>
      <c r="AN15" s="141"/>
      <c r="AO15" s="105"/>
      <c r="AP15" s="144"/>
      <c r="AQ15" s="141"/>
      <c r="AR15" s="141"/>
      <c r="AS15" s="105"/>
      <c r="AT15" s="144"/>
      <c r="AU15" s="141"/>
      <c r="AV15" s="141"/>
      <c r="AW15" s="105"/>
      <c r="AX15" s="144"/>
      <c r="AY15" s="141"/>
      <c r="AZ15" s="141"/>
      <c r="BA15" s="105"/>
      <c r="BB15" s="144"/>
      <c r="BC15" s="141"/>
      <c r="BD15" s="141"/>
      <c r="BE15" s="105"/>
      <c r="BF15" s="144"/>
      <c r="BG15" s="141"/>
      <c r="BH15" s="141"/>
      <c r="BI15" s="105"/>
      <c r="BJ15" s="144"/>
      <c r="BK15" s="141"/>
      <c r="BL15" s="141"/>
      <c r="BM15" s="105"/>
      <c r="BN15" s="144"/>
      <c r="BO15" s="141"/>
      <c r="BP15" s="141"/>
      <c r="BQ15" s="105"/>
      <c r="BR15" s="144"/>
      <c r="BS15" s="141"/>
      <c r="BT15" s="141"/>
      <c r="BU15" s="105"/>
      <c r="BV15" s="144"/>
      <c r="BW15" s="141"/>
      <c r="BX15" s="141"/>
      <c r="BY15" s="105"/>
      <c r="BZ15" s="4"/>
      <c r="CA15" s="4"/>
      <c r="CB15" s="4"/>
      <c r="CC15" s="4"/>
      <c r="CD15" s="13" t="s">
        <v>18</v>
      </c>
      <c r="CE15" s="12">
        <f>SUM(CF15:CQ15)</f>
        <v>0</v>
      </c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4"/>
      <c r="CT15" s="5"/>
      <c r="CU15" s="5"/>
      <c r="CV15" s="5"/>
      <c r="CW15" s="5"/>
      <c r="CX15" s="5"/>
      <c r="CY15" s="5"/>
      <c r="CZ15" s="5"/>
      <c r="DA15" s="5"/>
      <c r="DB15" s="5"/>
      <c r="DC15" s="5" t="s">
        <v>78</v>
      </c>
    </row>
    <row r="16" spans="1:107" s="6" customFormat="1" ht="15" customHeight="1" thickTop="1" thickBot="1" x14ac:dyDescent="0.3">
      <c r="A16" s="4"/>
      <c r="B16" s="171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3"/>
      <c r="Q16" s="4"/>
      <c r="R16" s="4"/>
      <c r="S16" s="153"/>
      <c r="T16" s="154"/>
      <c r="U16" s="154"/>
      <c r="V16" s="154"/>
      <c r="W16" s="154"/>
      <c r="X16" s="154"/>
      <c r="Y16" s="154"/>
      <c r="Z16" s="154"/>
      <c r="AA16" s="154"/>
      <c r="AB16" s="154"/>
      <c r="AC16" s="155"/>
      <c r="AD16" s="145"/>
      <c r="AE16" s="142"/>
      <c r="AF16" s="142"/>
      <c r="AG16" s="106"/>
      <c r="AH16" s="145"/>
      <c r="AI16" s="142"/>
      <c r="AJ16" s="142"/>
      <c r="AK16" s="106"/>
      <c r="AL16" s="145"/>
      <c r="AM16" s="142"/>
      <c r="AN16" s="142"/>
      <c r="AO16" s="106"/>
      <c r="AP16" s="145"/>
      <c r="AQ16" s="142"/>
      <c r="AR16" s="142"/>
      <c r="AS16" s="106"/>
      <c r="AT16" s="145"/>
      <c r="AU16" s="142"/>
      <c r="AV16" s="142"/>
      <c r="AW16" s="106"/>
      <c r="AX16" s="145"/>
      <c r="AY16" s="142"/>
      <c r="AZ16" s="142"/>
      <c r="BA16" s="106"/>
      <c r="BB16" s="145"/>
      <c r="BC16" s="142"/>
      <c r="BD16" s="142"/>
      <c r="BE16" s="106"/>
      <c r="BF16" s="145"/>
      <c r="BG16" s="142"/>
      <c r="BH16" s="142"/>
      <c r="BI16" s="106"/>
      <c r="BJ16" s="145"/>
      <c r="BK16" s="142"/>
      <c r="BL16" s="142"/>
      <c r="BM16" s="106"/>
      <c r="BN16" s="145"/>
      <c r="BO16" s="142"/>
      <c r="BP16" s="142"/>
      <c r="BQ16" s="106"/>
      <c r="BR16" s="145"/>
      <c r="BS16" s="142"/>
      <c r="BT16" s="142"/>
      <c r="BU16" s="106"/>
      <c r="BV16" s="145"/>
      <c r="BW16" s="142"/>
      <c r="BX16" s="142"/>
      <c r="BY16" s="106"/>
      <c r="BZ16" s="4"/>
      <c r="CA16" s="4"/>
      <c r="CB16" s="4"/>
      <c r="CC16" s="4"/>
      <c r="CD16" s="9" t="s">
        <v>19</v>
      </c>
      <c r="CE16" s="15" t="str">
        <f t="shared" ref="CE16" si="0">IFERROR(CE15/CE14,"-")</f>
        <v>-</v>
      </c>
      <c r="CF16" s="16" t="str">
        <f>IFERROR(CF15/CF14,"-")</f>
        <v>-</v>
      </c>
      <c r="CG16" s="16" t="str">
        <f t="shared" ref="CG16:CQ16" si="1">IFERROR(CG15/CG14,"-")</f>
        <v>-</v>
      </c>
      <c r="CH16" s="16" t="str">
        <f t="shared" si="1"/>
        <v>-</v>
      </c>
      <c r="CI16" s="16" t="str">
        <f t="shared" si="1"/>
        <v>-</v>
      </c>
      <c r="CJ16" s="16" t="str">
        <f t="shared" si="1"/>
        <v>-</v>
      </c>
      <c r="CK16" s="16" t="str">
        <f t="shared" si="1"/>
        <v>-</v>
      </c>
      <c r="CL16" s="16" t="str">
        <f t="shared" si="1"/>
        <v>-</v>
      </c>
      <c r="CM16" s="16" t="str">
        <f t="shared" si="1"/>
        <v>-</v>
      </c>
      <c r="CN16" s="16" t="str">
        <f t="shared" si="1"/>
        <v>-</v>
      </c>
      <c r="CO16" s="16" t="str">
        <f t="shared" si="1"/>
        <v>-</v>
      </c>
      <c r="CP16" s="16" t="str">
        <f t="shared" si="1"/>
        <v>-</v>
      </c>
      <c r="CQ16" s="16" t="str">
        <f t="shared" si="1"/>
        <v>-</v>
      </c>
      <c r="CR16" s="4"/>
      <c r="CT16" s="5"/>
      <c r="CU16" s="5"/>
      <c r="CV16" s="5"/>
      <c r="CW16" s="5"/>
      <c r="CX16" s="5"/>
      <c r="CY16" s="5"/>
      <c r="CZ16" s="5"/>
      <c r="DA16" s="5"/>
      <c r="DB16" s="5"/>
      <c r="DC16" s="5" t="s">
        <v>79</v>
      </c>
    </row>
    <row r="17" spans="1:107" s="6" customFormat="1" ht="15" customHeight="1" thickTop="1" thickBot="1" x14ac:dyDescent="0.3">
      <c r="A17" s="4"/>
      <c r="B17" s="174" t="s">
        <v>57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4"/>
      <c r="R17" s="4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8"/>
      <c r="AD17" s="146"/>
      <c r="AE17" s="143"/>
      <c r="AF17" s="143"/>
      <c r="AG17" s="107"/>
      <c r="AH17" s="146"/>
      <c r="AI17" s="143"/>
      <c r="AJ17" s="143"/>
      <c r="AK17" s="107"/>
      <c r="AL17" s="146"/>
      <c r="AM17" s="143"/>
      <c r="AN17" s="143"/>
      <c r="AO17" s="107"/>
      <c r="AP17" s="146"/>
      <c r="AQ17" s="143"/>
      <c r="AR17" s="143"/>
      <c r="AS17" s="107"/>
      <c r="AT17" s="146"/>
      <c r="AU17" s="143"/>
      <c r="AV17" s="143"/>
      <c r="AW17" s="107"/>
      <c r="AX17" s="146"/>
      <c r="AY17" s="143"/>
      <c r="AZ17" s="143"/>
      <c r="BA17" s="107"/>
      <c r="BB17" s="146"/>
      <c r="BC17" s="143"/>
      <c r="BD17" s="143"/>
      <c r="BE17" s="107"/>
      <c r="BF17" s="146"/>
      <c r="BG17" s="143"/>
      <c r="BH17" s="143"/>
      <c r="BI17" s="107"/>
      <c r="BJ17" s="146"/>
      <c r="BK17" s="143"/>
      <c r="BL17" s="143"/>
      <c r="BM17" s="107"/>
      <c r="BN17" s="146"/>
      <c r="BO17" s="143"/>
      <c r="BP17" s="143"/>
      <c r="BQ17" s="107"/>
      <c r="BR17" s="146"/>
      <c r="BS17" s="143"/>
      <c r="BT17" s="143"/>
      <c r="BU17" s="107"/>
      <c r="BV17" s="146"/>
      <c r="BW17" s="143"/>
      <c r="BX17" s="143"/>
      <c r="BY17" s="107"/>
      <c r="BZ17" s="4"/>
      <c r="CA17" s="4"/>
      <c r="CB17" s="4"/>
      <c r="CC17" s="4"/>
      <c r="CD17" s="101" t="s">
        <v>104</v>
      </c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3"/>
      <c r="CR17" s="4"/>
      <c r="CT17" s="5"/>
      <c r="CU17" s="5"/>
      <c r="CV17" s="5"/>
      <c r="CW17" s="5"/>
      <c r="CX17" s="5"/>
      <c r="CY17" s="5"/>
      <c r="CZ17" s="5"/>
      <c r="DA17" s="5"/>
      <c r="DB17" s="5"/>
      <c r="DC17" s="5" t="s">
        <v>80</v>
      </c>
    </row>
    <row r="18" spans="1:107" s="6" customFormat="1" ht="15" customHeight="1" thickTop="1" thickBot="1" x14ac:dyDescent="0.3">
      <c r="A18" s="4"/>
      <c r="B18" s="165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7"/>
      <c r="Q18" s="4"/>
      <c r="R18" s="4"/>
      <c r="S18" s="150"/>
      <c r="T18" s="151"/>
      <c r="U18" s="151"/>
      <c r="V18" s="151"/>
      <c r="W18" s="151"/>
      <c r="X18" s="151"/>
      <c r="Y18" s="151"/>
      <c r="Z18" s="151"/>
      <c r="AA18" s="151"/>
      <c r="AB18" s="151"/>
      <c r="AC18" s="152"/>
      <c r="AD18" s="144"/>
      <c r="AE18" s="141"/>
      <c r="AF18" s="141"/>
      <c r="AG18" s="105"/>
      <c r="AH18" s="144"/>
      <c r="AI18" s="141"/>
      <c r="AJ18" s="141"/>
      <c r="AK18" s="105"/>
      <c r="AL18" s="144"/>
      <c r="AM18" s="141"/>
      <c r="AN18" s="141"/>
      <c r="AO18" s="105"/>
      <c r="AP18" s="144"/>
      <c r="AQ18" s="141"/>
      <c r="AR18" s="141"/>
      <c r="AS18" s="105"/>
      <c r="AT18" s="144"/>
      <c r="AU18" s="141"/>
      <c r="AV18" s="141"/>
      <c r="AW18" s="105"/>
      <c r="AX18" s="144"/>
      <c r="AY18" s="141"/>
      <c r="AZ18" s="141"/>
      <c r="BA18" s="105"/>
      <c r="BB18" s="144"/>
      <c r="BC18" s="141"/>
      <c r="BD18" s="141"/>
      <c r="BE18" s="105"/>
      <c r="BF18" s="144"/>
      <c r="BG18" s="141"/>
      <c r="BH18" s="141"/>
      <c r="BI18" s="105"/>
      <c r="BJ18" s="144"/>
      <c r="BK18" s="141"/>
      <c r="BL18" s="141"/>
      <c r="BM18" s="105"/>
      <c r="BN18" s="144"/>
      <c r="BO18" s="141"/>
      <c r="BP18" s="141"/>
      <c r="BQ18" s="105"/>
      <c r="BR18" s="144"/>
      <c r="BS18" s="141"/>
      <c r="BT18" s="141"/>
      <c r="BU18" s="105"/>
      <c r="BV18" s="144"/>
      <c r="BW18" s="141"/>
      <c r="BX18" s="141"/>
      <c r="BY18" s="105"/>
      <c r="BZ18" s="4"/>
      <c r="CA18" s="4"/>
      <c r="CB18" s="4"/>
      <c r="CC18" s="4"/>
      <c r="CD18" s="8"/>
      <c r="CE18" s="9" t="s">
        <v>27</v>
      </c>
      <c r="CF18" s="10" t="str">
        <f>CF13</f>
        <v>JAN</v>
      </c>
      <c r="CG18" s="10" t="str">
        <f t="shared" ref="CG18:CQ18" si="2">CG13</f>
        <v>FEV</v>
      </c>
      <c r="CH18" s="10" t="str">
        <f t="shared" si="2"/>
        <v>MAR</v>
      </c>
      <c r="CI18" s="10" t="str">
        <f t="shared" si="2"/>
        <v>ABR</v>
      </c>
      <c r="CJ18" s="10" t="str">
        <f t="shared" si="2"/>
        <v>MAI</v>
      </c>
      <c r="CK18" s="10" t="str">
        <f t="shared" si="2"/>
        <v>JUN</v>
      </c>
      <c r="CL18" s="10" t="str">
        <f t="shared" si="2"/>
        <v>JUL</v>
      </c>
      <c r="CM18" s="10" t="str">
        <f t="shared" si="2"/>
        <v>AGO</v>
      </c>
      <c r="CN18" s="10" t="str">
        <f t="shared" si="2"/>
        <v>SET</v>
      </c>
      <c r="CO18" s="10" t="str">
        <f t="shared" si="2"/>
        <v>OUT</v>
      </c>
      <c r="CP18" s="10" t="str">
        <f t="shared" si="2"/>
        <v>NOV</v>
      </c>
      <c r="CQ18" s="10" t="str">
        <f t="shared" si="2"/>
        <v>DEZ</v>
      </c>
      <c r="CR18" s="4"/>
      <c r="CT18" s="5"/>
      <c r="CU18" s="5"/>
      <c r="CV18" s="5"/>
      <c r="CW18" s="5"/>
      <c r="CX18" s="5"/>
      <c r="CY18" s="5"/>
      <c r="CZ18" s="5"/>
      <c r="DA18" s="5"/>
      <c r="DB18" s="5"/>
      <c r="DC18" s="5" t="s">
        <v>81</v>
      </c>
    </row>
    <row r="19" spans="1:107" s="6" customFormat="1" ht="15" customHeight="1" thickTop="1" thickBot="1" x14ac:dyDescent="0.3">
      <c r="A19" s="4"/>
      <c r="B19" s="168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4"/>
      <c r="R19" s="4"/>
      <c r="S19" s="153"/>
      <c r="T19" s="154"/>
      <c r="U19" s="154"/>
      <c r="V19" s="154"/>
      <c r="W19" s="154"/>
      <c r="X19" s="154"/>
      <c r="Y19" s="154"/>
      <c r="Z19" s="154"/>
      <c r="AA19" s="154"/>
      <c r="AB19" s="154"/>
      <c r="AC19" s="155"/>
      <c r="AD19" s="145"/>
      <c r="AE19" s="142"/>
      <c r="AF19" s="142"/>
      <c r="AG19" s="106"/>
      <c r="AH19" s="145"/>
      <c r="AI19" s="142"/>
      <c r="AJ19" s="142"/>
      <c r="AK19" s="106"/>
      <c r="AL19" s="145"/>
      <c r="AM19" s="142"/>
      <c r="AN19" s="142"/>
      <c r="AO19" s="106"/>
      <c r="AP19" s="145"/>
      <c r="AQ19" s="142"/>
      <c r="AR19" s="142"/>
      <c r="AS19" s="106"/>
      <c r="AT19" s="145"/>
      <c r="AU19" s="142"/>
      <c r="AV19" s="142"/>
      <c r="AW19" s="106"/>
      <c r="AX19" s="145"/>
      <c r="AY19" s="142"/>
      <c r="AZ19" s="142"/>
      <c r="BA19" s="106"/>
      <c r="BB19" s="145"/>
      <c r="BC19" s="142"/>
      <c r="BD19" s="142"/>
      <c r="BE19" s="106"/>
      <c r="BF19" s="145"/>
      <c r="BG19" s="142"/>
      <c r="BH19" s="142"/>
      <c r="BI19" s="106"/>
      <c r="BJ19" s="145"/>
      <c r="BK19" s="142"/>
      <c r="BL19" s="142"/>
      <c r="BM19" s="106"/>
      <c r="BN19" s="145"/>
      <c r="BO19" s="142"/>
      <c r="BP19" s="142"/>
      <c r="BQ19" s="106"/>
      <c r="BR19" s="145"/>
      <c r="BS19" s="142"/>
      <c r="BT19" s="142"/>
      <c r="BU19" s="106"/>
      <c r="BV19" s="145"/>
      <c r="BW19" s="142"/>
      <c r="BX19" s="142"/>
      <c r="BY19" s="106"/>
      <c r="BZ19" s="4"/>
      <c r="CA19" s="4"/>
      <c r="CB19" s="4"/>
      <c r="CC19" s="4"/>
      <c r="CD19" s="11" t="s">
        <v>29</v>
      </c>
      <c r="CE19" s="12">
        <f>SUM(CF19:CQ19)</f>
        <v>0</v>
      </c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4"/>
      <c r="CT19" s="5"/>
      <c r="CU19" s="5"/>
      <c r="CV19" s="5"/>
      <c r="CW19" s="5"/>
      <c r="CX19" s="5"/>
      <c r="CY19" s="5"/>
      <c r="CZ19" s="5"/>
      <c r="DA19" s="5"/>
      <c r="DB19" s="5"/>
      <c r="DC19" s="5" t="s">
        <v>82</v>
      </c>
    </row>
    <row r="20" spans="1:107" s="6" customFormat="1" ht="15" customHeight="1" thickTop="1" thickBot="1" x14ac:dyDescent="0.3">
      <c r="A20" s="4"/>
      <c r="B20" s="168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70"/>
      <c r="Q20" s="4"/>
      <c r="R20" s="4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8"/>
      <c r="AD20" s="146"/>
      <c r="AE20" s="143"/>
      <c r="AF20" s="143"/>
      <c r="AG20" s="107"/>
      <c r="AH20" s="146"/>
      <c r="AI20" s="143"/>
      <c r="AJ20" s="143"/>
      <c r="AK20" s="107"/>
      <c r="AL20" s="146"/>
      <c r="AM20" s="143"/>
      <c r="AN20" s="143"/>
      <c r="AO20" s="107"/>
      <c r="AP20" s="146"/>
      <c r="AQ20" s="143"/>
      <c r="AR20" s="143"/>
      <c r="AS20" s="107"/>
      <c r="AT20" s="146"/>
      <c r="AU20" s="143"/>
      <c r="AV20" s="143"/>
      <c r="AW20" s="107"/>
      <c r="AX20" s="146"/>
      <c r="AY20" s="143"/>
      <c r="AZ20" s="143"/>
      <c r="BA20" s="107"/>
      <c r="BB20" s="146"/>
      <c r="BC20" s="143"/>
      <c r="BD20" s="143"/>
      <c r="BE20" s="107"/>
      <c r="BF20" s="146"/>
      <c r="BG20" s="143"/>
      <c r="BH20" s="143"/>
      <c r="BI20" s="107"/>
      <c r="BJ20" s="146"/>
      <c r="BK20" s="143"/>
      <c r="BL20" s="143"/>
      <c r="BM20" s="107"/>
      <c r="BN20" s="146"/>
      <c r="BO20" s="143"/>
      <c r="BP20" s="143"/>
      <c r="BQ20" s="107"/>
      <c r="BR20" s="146"/>
      <c r="BS20" s="143"/>
      <c r="BT20" s="143"/>
      <c r="BU20" s="107"/>
      <c r="BV20" s="146"/>
      <c r="BW20" s="143"/>
      <c r="BX20" s="143"/>
      <c r="BY20" s="107"/>
      <c r="BZ20" s="4"/>
      <c r="CA20" s="4"/>
      <c r="CB20" s="4"/>
      <c r="CC20" s="4"/>
      <c r="CD20" s="13" t="s">
        <v>18</v>
      </c>
      <c r="CE20" s="12">
        <f>SUM(CF20:CQ20)</f>
        <v>0</v>
      </c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4"/>
      <c r="CT20" s="5"/>
      <c r="CU20" s="5"/>
      <c r="CV20" s="5"/>
      <c r="CW20" s="5"/>
      <c r="CX20" s="5"/>
      <c r="CY20" s="5"/>
      <c r="CZ20" s="5"/>
      <c r="DA20" s="5"/>
      <c r="DB20" s="5"/>
      <c r="DC20" s="5" t="s">
        <v>83</v>
      </c>
    </row>
    <row r="21" spans="1:107" s="6" customFormat="1" ht="15" customHeight="1" thickTop="1" thickBot="1" x14ac:dyDescent="0.3">
      <c r="A21" s="4"/>
      <c r="B21" s="171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4"/>
      <c r="R21" s="4"/>
      <c r="S21" s="150"/>
      <c r="T21" s="151"/>
      <c r="U21" s="151"/>
      <c r="V21" s="151"/>
      <c r="W21" s="151"/>
      <c r="X21" s="151"/>
      <c r="Y21" s="151"/>
      <c r="Z21" s="151"/>
      <c r="AA21" s="151"/>
      <c r="AB21" s="151"/>
      <c r="AC21" s="152"/>
      <c r="AD21" s="144"/>
      <c r="AE21" s="141"/>
      <c r="AF21" s="141"/>
      <c r="AG21" s="105"/>
      <c r="AH21" s="144"/>
      <c r="AI21" s="141"/>
      <c r="AJ21" s="141"/>
      <c r="AK21" s="105"/>
      <c r="AL21" s="144"/>
      <c r="AM21" s="141"/>
      <c r="AN21" s="141"/>
      <c r="AO21" s="105"/>
      <c r="AP21" s="144"/>
      <c r="AQ21" s="141"/>
      <c r="AR21" s="141"/>
      <c r="AS21" s="105"/>
      <c r="AT21" s="144"/>
      <c r="AU21" s="141"/>
      <c r="AV21" s="141"/>
      <c r="AW21" s="105"/>
      <c r="AX21" s="144"/>
      <c r="AY21" s="141"/>
      <c r="AZ21" s="141"/>
      <c r="BA21" s="105"/>
      <c r="BB21" s="144"/>
      <c r="BC21" s="141"/>
      <c r="BD21" s="141"/>
      <c r="BE21" s="105"/>
      <c r="BF21" s="144"/>
      <c r="BG21" s="141"/>
      <c r="BH21" s="141"/>
      <c r="BI21" s="105"/>
      <c r="BJ21" s="144"/>
      <c r="BK21" s="141"/>
      <c r="BL21" s="141"/>
      <c r="BM21" s="105"/>
      <c r="BN21" s="144"/>
      <c r="BO21" s="141"/>
      <c r="BP21" s="141"/>
      <c r="BQ21" s="105"/>
      <c r="BR21" s="144"/>
      <c r="BS21" s="141"/>
      <c r="BT21" s="141"/>
      <c r="BU21" s="105"/>
      <c r="BV21" s="144"/>
      <c r="BW21" s="141"/>
      <c r="BX21" s="141"/>
      <c r="BY21" s="105"/>
      <c r="BZ21" s="4"/>
      <c r="CA21" s="4"/>
      <c r="CB21" s="4"/>
      <c r="CC21" s="4"/>
      <c r="CD21" s="9" t="s">
        <v>19</v>
      </c>
      <c r="CE21" s="15" t="str">
        <f t="shared" ref="CE21" si="3">IFERROR(CE20/CE19,"-")</f>
        <v>-</v>
      </c>
      <c r="CF21" s="16" t="str">
        <f>IFERROR(CF20/CF19,"-")</f>
        <v>-</v>
      </c>
      <c r="CG21" s="16" t="str">
        <f t="shared" ref="CG21:CQ21" si="4">IFERROR(CG20/CG19,"-")</f>
        <v>-</v>
      </c>
      <c r="CH21" s="16" t="str">
        <f t="shared" si="4"/>
        <v>-</v>
      </c>
      <c r="CI21" s="16" t="str">
        <f t="shared" si="4"/>
        <v>-</v>
      </c>
      <c r="CJ21" s="16" t="str">
        <f t="shared" si="4"/>
        <v>-</v>
      </c>
      <c r="CK21" s="16" t="str">
        <f t="shared" si="4"/>
        <v>-</v>
      </c>
      <c r="CL21" s="16" t="str">
        <f t="shared" si="4"/>
        <v>-</v>
      </c>
      <c r="CM21" s="16" t="str">
        <f t="shared" si="4"/>
        <v>-</v>
      </c>
      <c r="CN21" s="16" t="str">
        <f t="shared" si="4"/>
        <v>-</v>
      </c>
      <c r="CO21" s="16" t="str">
        <f t="shared" si="4"/>
        <v>-</v>
      </c>
      <c r="CP21" s="16" t="str">
        <f t="shared" si="4"/>
        <v>-</v>
      </c>
      <c r="CQ21" s="16" t="str">
        <f t="shared" si="4"/>
        <v>-</v>
      </c>
      <c r="CR21" s="4"/>
      <c r="CT21" s="5"/>
      <c r="CU21" s="5"/>
      <c r="CV21" s="5"/>
      <c r="CW21" s="5"/>
      <c r="CX21" s="5"/>
      <c r="CY21" s="5"/>
      <c r="CZ21" s="5"/>
      <c r="DA21" s="5"/>
      <c r="DB21" s="5"/>
      <c r="DC21" s="5" t="s">
        <v>84</v>
      </c>
    </row>
    <row r="22" spans="1:107" s="6" customFormat="1" ht="15" customHeight="1" thickBot="1" x14ac:dyDescent="0.3">
      <c r="A22" s="4"/>
      <c r="B22" s="174" t="s">
        <v>4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4"/>
      <c r="R22" s="4"/>
      <c r="S22" s="153"/>
      <c r="T22" s="154"/>
      <c r="U22" s="154"/>
      <c r="V22" s="154"/>
      <c r="W22" s="154"/>
      <c r="X22" s="154"/>
      <c r="Y22" s="154"/>
      <c r="Z22" s="154"/>
      <c r="AA22" s="154"/>
      <c r="AB22" s="154"/>
      <c r="AC22" s="155"/>
      <c r="AD22" s="145"/>
      <c r="AE22" s="142"/>
      <c r="AF22" s="142"/>
      <c r="AG22" s="106"/>
      <c r="AH22" s="145"/>
      <c r="AI22" s="142"/>
      <c r="AJ22" s="142"/>
      <c r="AK22" s="106"/>
      <c r="AL22" s="145"/>
      <c r="AM22" s="142"/>
      <c r="AN22" s="142"/>
      <c r="AO22" s="106"/>
      <c r="AP22" s="145"/>
      <c r="AQ22" s="142"/>
      <c r="AR22" s="142"/>
      <c r="AS22" s="106"/>
      <c r="AT22" s="145"/>
      <c r="AU22" s="142"/>
      <c r="AV22" s="142"/>
      <c r="AW22" s="106"/>
      <c r="AX22" s="145"/>
      <c r="AY22" s="142"/>
      <c r="AZ22" s="142"/>
      <c r="BA22" s="106"/>
      <c r="BB22" s="145"/>
      <c r="BC22" s="142"/>
      <c r="BD22" s="142"/>
      <c r="BE22" s="106"/>
      <c r="BF22" s="145"/>
      <c r="BG22" s="142"/>
      <c r="BH22" s="142"/>
      <c r="BI22" s="106"/>
      <c r="BJ22" s="145"/>
      <c r="BK22" s="142"/>
      <c r="BL22" s="142"/>
      <c r="BM22" s="106"/>
      <c r="BN22" s="145"/>
      <c r="BO22" s="142"/>
      <c r="BP22" s="142"/>
      <c r="BQ22" s="106"/>
      <c r="BR22" s="145"/>
      <c r="BS22" s="142"/>
      <c r="BT22" s="142"/>
      <c r="BU22" s="106"/>
      <c r="BV22" s="145"/>
      <c r="BW22" s="142"/>
      <c r="BX22" s="142"/>
      <c r="BY22" s="106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5"/>
      <c r="CP22" s="4"/>
      <c r="CQ22" s="4"/>
      <c r="CR22" s="4"/>
      <c r="CT22" s="5"/>
      <c r="CU22" s="5"/>
      <c r="CV22" s="5"/>
      <c r="CW22" s="5"/>
      <c r="CX22" s="5"/>
      <c r="CY22" s="5"/>
      <c r="CZ22" s="5"/>
      <c r="DA22" s="5"/>
      <c r="DB22" s="5"/>
      <c r="DC22" s="5" t="s">
        <v>85</v>
      </c>
    </row>
    <row r="23" spans="1:107" s="6" customFormat="1" ht="15" customHeight="1" thickBot="1" x14ac:dyDescent="0.3">
      <c r="A23" s="4"/>
      <c r="B23" s="165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7"/>
      <c r="Q23" s="4"/>
      <c r="R23" s="4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8"/>
      <c r="AD23" s="146"/>
      <c r="AE23" s="143"/>
      <c r="AF23" s="143"/>
      <c r="AG23" s="107"/>
      <c r="AH23" s="146"/>
      <c r="AI23" s="143"/>
      <c r="AJ23" s="143"/>
      <c r="AK23" s="107"/>
      <c r="AL23" s="146"/>
      <c r="AM23" s="143"/>
      <c r="AN23" s="143"/>
      <c r="AO23" s="107"/>
      <c r="AP23" s="146"/>
      <c r="AQ23" s="143"/>
      <c r="AR23" s="143"/>
      <c r="AS23" s="107"/>
      <c r="AT23" s="146"/>
      <c r="AU23" s="143"/>
      <c r="AV23" s="143"/>
      <c r="AW23" s="107"/>
      <c r="AX23" s="146"/>
      <c r="AY23" s="143"/>
      <c r="AZ23" s="143"/>
      <c r="BA23" s="107"/>
      <c r="BB23" s="146"/>
      <c r="BC23" s="143"/>
      <c r="BD23" s="143"/>
      <c r="BE23" s="107"/>
      <c r="BF23" s="146"/>
      <c r="BG23" s="143"/>
      <c r="BH23" s="143"/>
      <c r="BI23" s="107"/>
      <c r="BJ23" s="146"/>
      <c r="BK23" s="143"/>
      <c r="BL23" s="143"/>
      <c r="BM23" s="107"/>
      <c r="BN23" s="146"/>
      <c r="BO23" s="143"/>
      <c r="BP23" s="143"/>
      <c r="BQ23" s="107"/>
      <c r="BR23" s="146"/>
      <c r="BS23" s="143"/>
      <c r="BT23" s="143"/>
      <c r="BU23" s="107"/>
      <c r="BV23" s="146"/>
      <c r="BW23" s="143"/>
      <c r="BX23" s="143"/>
      <c r="BY23" s="107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5"/>
      <c r="CP23" s="4"/>
      <c r="CQ23" s="4"/>
      <c r="CR23" s="4"/>
      <c r="CT23" s="5"/>
      <c r="CU23" s="5"/>
      <c r="CV23" s="5"/>
      <c r="CW23" s="5"/>
      <c r="CX23" s="5"/>
      <c r="CY23" s="5"/>
      <c r="CZ23" s="5"/>
      <c r="DA23" s="5"/>
      <c r="DB23" s="5"/>
      <c r="DC23" s="5" t="s">
        <v>86</v>
      </c>
    </row>
    <row r="24" spans="1:107" s="6" customFormat="1" ht="15" customHeight="1" thickTop="1" x14ac:dyDescent="0.25">
      <c r="A24" s="4"/>
      <c r="B24" s="168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70"/>
      <c r="Q24" s="4"/>
      <c r="R24" s="4"/>
      <c r="S24" s="150"/>
      <c r="T24" s="151"/>
      <c r="U24" s="151"/>
      <c r="V24" s="151"/>
      <c r="W24" s="151"/>
      <c r="X24" s="151"/>
      <c r="Y24" s="151"/>
      <c r="Z24" s="151"/>
      <c r="AA24" s="151"/>
      <c r="AB24" s="151"/>
      <c r="AC24" s="152"/>
      <c r="AD24" s="144"/>
      <c r="AE24" s="141"/>
      <c r="AF24" s="141"/>
      <c r="AG24" s="105"/>
      <c r="AH24" s="144"/>
      <c r="AI24" s="141"/>
      <c r="AJ24" s="141"/>
      <c r="AK24" s="105"/>
      <c r="AL24" s="144"/>
      <c r="AM24" s="141"/>
      <c r="AN24" s="141"/>
      <c r="AO24" s="105"/>
      <c r="AP24" s="144"/>
      <c r="AQ24" s="141"/>
      <c r="AR24" s="141"/>
      <c r="AS24" s="105"/>
      <c r="AT24" s="144"/>
      <c r="AU24" s="141"/>
      <c r="AV24" s="141"/>
      <c r="AW24" s="105"/>
      <c r="AX24" s="144"/>
      <c r="AY24" s="141"/>
      <c r="AZ24" s="141"/>
      <c r="BA24" s="105"/>
      <c r="BB24" s="144"/>
      <c r="BC24" s="141"/>
      <c r="BD24" s="141"/>
      <c r="BE24" s="105"/>
      <c r="BF24" s="144"/>
      <c r="BG24" s="141"/>
      <c r="BH24" s="141"/>
      <c r="BI24" s="105"/>
      <c r="BJ24" s="144"/>
      <c r="BK24" s="141"/>
      <c r="BL24" s="141"/>
      <c r="BM24" s="105"/>
      <c r="BN24" s="144"/>
      <c r="BO24" s="141"/>
      <c r="BP24" s="141"/>
      <c r="BQ24" s="105"/>
      <c r="BR24" s="144"/>
      <c r="BS24" s="141"/>
      <c r="BT24" s="141"/>
      <c r="BU24" s="105"/>
      <c r="BV24" s="144"/>
      <c r="BW24" s="141"/>
      <c r="BX24" s="141"/>
      <c r="BY24" s="105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5"/>
      <c r="CP24" s="4"/>
      <c r="CQ24" s="4"/>
      <c r="CR24" s="4"/>
      <c r="CT24" s="5"/>
      <c r="CU24" s="5"/>
      <c r="CV24" s="5"/>
      <c r="CW24" s="5"/>
      <c r="CX24" s="5"/>
      <c r="CY24" s="5"/>
      <c r="CZ24" s="5"/>
      <c r="DA24" s="5"/>
      <c r="DB24" s="5"/>
      <c r="DC24" s="5" t="s">
        <v>87</v>
      </c>
    </row>
    <row r="25" spans="1:107" s="6" customFormat="1" ht="15" customHeight="1" thickBot="1" x14ac:dyDescent="0.3">
      <c r="A25" s="4"/>
      <c r="B25" s="171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3"/>
      <c r="Q25" s="4"/>
      <c r="R25" s="4"/>
      <c r="S25" s="153"/>
      <c r="T25" s="154"/>
      <c r="U25" s="154"/>
      <c r="V25" s="154"/>
      <c r="W25" s="154"/>
      <c r="X25" s="154"/>
      <c r="Y25" s="154"/>
      <c r="Z25" s="154"/>
      <c r="AA25" s="154"/>
      <c r="AB25" s="154"/>
      <c r="AC25" s="155"/>
      <c r="AD25" s="145"/>
      <c r="AE25" s="142"/>
      <c r="AF25" s="142"/>
      <c r="AG25" s="106"/>
      <c r="AH25" s="145"/>
      <c r="AI25" s="142"/>
      <c r="AJ25" s="142"/>
      <c r="AK25" s="106"/>
      <c r="AL25" s="145"/>
      <c r="AM25" s="142"/>
      <c r="AN25" s="142"/>
      <c r="AO25" s="106"/>
      <c r="AP25" s="145"/>
      <c r="AQ25" s="142"/>
      <c r="AR25" s="142"/>
      <c r="AS25" s="106"/>
      <c r="AT25" s="145"/>
      <c r="AU25" s="142"/>
      <c r="AV25" s="142"/>
      <c r="AW25" s="106"/>
      <c r="AX25" s="145"/>
      <c r="AY25" s="142"/>
      <c r="AZ25" s="142"/>
      <c r="BA25" s="106"/>
      <c r="BB25" s="145"/>
      <c r="BC25" s="142"/>
      <c r="BD25" s="142"/>
      <c r="BE25" s="106"/>
      <c r="BF25" s="145"/>
      <c r="BG25" s="142"/>
      <c r="BH25" s="142"/>
      <c r="BI25" s="106"/>
      <c r="BJ25" s="145"/>
      <c r="BK25" s="142"/>
      <c r="BL25" s="142"/>
      <c r="BM25" s="106"/>
      <c r="BN25" s="145"/>
      <c r="BO25" s="142"/>
      <c r="BP25" s="142"/>
      <c r="BQ25" s="106"/>
      <c r="BR25" s="145"/>
      <c r="BS25" s="142"/>
      <c r="BT25" s="142"/>
      <c r="BU25" s="106"/>
      <c r="BV25" s="145"/>
      <c r="BW25" s="142"/>
      <c r="BX25" s="142"/>
      <c r="BY25" s="106"/>
      <c r="BZ25" s="4"/>
      <c r="CA25" s="4"/>
      <c r="CB25" s="4"/>
      <c r="CC25" s="4"/>
      <c r="CD25" s="4"/>
      <c r="CE25" s="4"/>
      <c r="CF25" s="17"/>
      <c r="CG25" s="4"/>
      <c r="CH25" s="4"/>
      <c r="CI25" s="4"/>
      <c r="CJ25" s="4"/>
      <c r="CK25" s="4"/>
      <c r="CL25" s="4"/>
      <c r="CM25" s="4"/>
      <c r="CN25" s="4"/>
      <c r="CO25" s="5"/>
      <c r="CP25" s="4"/>
      <c r="CQ25" s="4"/>
      <c r="CR25" s="4"/>
      <c r="CT25" s="5"/>
      <c r="CU25" s="5"/>
      <c r="CV25" s="5"/>
      <c r="CW25" s="5"/>
      <c r="CX25" s="5"/>
      <c r="CY25" s="5"/>
      <c r="CZ25" s="5"/>
      <c r="DA25" s="5"/>
      <c r="DB25" s="5"/>
      <c r="DC25" s="5" t="s">
        <v>88</v>
      </c>
    </row>
    <row r="26" spans="1:107" s="6" customFormat="1" ht="15" customHeight="1" thickBot="1" x14ac:dyDescent="0.3">
      <c r="A26" s="4"/>
      <c r="B26" s="184" t="s">
        <v>5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4"/>
      <c r="R26" s="4"/>
      <c r="S26" s="156"/>
      <c r="T26" s="157"/>
      <c r="U26" s="157"/>
      <c r="V26" s="157"/>
      <c r="W26" s="157"/>
      <c r="X26" s="157"/>
      <c r="Y26" s="157"/>
      <c r="Z26" s="157"/>
      <c r="AA26" s="157"/>
      <c r="AB26" s="157"/>
      <c r="AC26" s="158"/>
      <c r="AD26" s="146"/>
      <c r="AE26" s="143"/>
      <c r="AF26" s="143"/>
      <c r="AG26" s="107"/>
      <c r="AH26" s="146"/>
      <c r="AI26" s="143"/>
      <c r="AJ26" s="143"/>
      <c r="AK26" s="107"/>
      <c r="AL26" s="146"/>
      <c r="AM26" s="143"/>
      <c r="AN26" s="143"/>
      <c r="AO26" s="107"/>
      <c r="AP26" s="146"/>
      <c r="AQ26" s="143"/>
      <c r="AR26" s="143"/>
      <c r="AS26" s="107"/>
      <c r="AT26" s="146"/>
      <c r="AU26" s="143"/>
      <c r="AV26" s="143"/>
      <c r="AW26" s="107"/>
      <c r="AX26" s="146"/>
      <c r="AY26" s="143"/>
      <c r="AZ26" s="143"/>
      <c r="BA26" s="107"/>
      <c r="BB26" s="146"/>
      <c r="BC26" s="143"/>
      <c r="BD26" s="143"/>
      <c r="BE26" s="107"/>
      <c r="BF26" s="146"/>
      <c r="BG26" s="143"/>
      <c r="BH26" s="143"/>
      <c r="BI26" s="107"/>
      <c r="BJ26" s="146"/>
      <c r="BK26" s="143"/>
      <c r="BL26" s="143"/>
      <c r="BM26" s="107"/>
      <c r="BN26" s="146"/>
      <c r="BO26" s="143"/>
      <c r="BP26" s="143"/>
      <c r="BQ26" s="107"/>
      <c r="BR26" s="146"/>
      <c r="BS26" s="143"/>
      <c r="BT26" s="143"/>
      <c r="BU26" s="107"/>
      <c r="BV26" s="146"/>
      <c r="BW26" s="143"/>
      <c r="BX26" s="143"/>
      <c r="BY26" s="107"/>
      <c r="BZ26" s="4"/>
      <c r="CA26" s="4"/>
      <c r="CB26" s="4"/>
      <c r="CC26" s="4"/>
      <c r="CD26" s="4"/>
      <c r="CE26" s="4"/>
      <c r="CF26" s="18"/>
      <c r="CG26" s="4"/>
      <c r="CH26" s="4"/>
      <c r="CI26" s="4"/>
      <c r="CJ26" s="4"/>
      <c r="CK26" s="4"/>
      <c r="CL26" s="4"/>
      <c r="CM26" s="4"/>
      <c r="CN26" s="4"/>
      <c r="CO26" s="5"/>
      <c r="CP26" s="4"/>
      <c r="CQ26" s="4"/>
      <c r="CR26" s="4"/>
      <c r="CT26" s="5"/>
      <c r="CU26" s="5"/>
      <c r="CV26" s="5"/>
      <c r="CW26" s="5"/>
      <c r="CX26" s="5"/>
      <c r="CY26" s="5"/>
      <c r="CZ26" s="5"/>
      <c r="DA26" s="5"/>
      <c r="DB26" s="5"/>
      <c r="DC26" s="5" t="s">
        <v>89</v>
      </c>
    </row>
    <row r="27" spans="1:107" s="6" customFormat="1" ht="15" customHeight="1" thickTop="1" thickBot="1" x14ac:dyDescent="0.3">
      <c r="A27" s="4"/>
      <c r="B27" s="123" t="s">
        <v>6</v>
      </c>
      <c r="C27" s="123"/>
      <c r="D27" s="123"/>
      <c r="E27" s="123"/>
      <c r="F27" s="123"/>
      <c r="G27" s="123"/>
      <c r="H27" s="123"/>
      <c r="I27" s="175" t="s">
        <v>7</v>
      </c>
      <c r="J27" s="175"/>
      <c r="K27" s="175"/>
      <c r="L27" s="175"/>
      <c r="M27" s="175"/>
      <c r="N27" s="175"/>
      <c r="O27" s="175"/>
      <c r="P27" s="175"/>
      <c r="Q27" s="4"/>
      <c r="R27" s="4"/>
      <c r="S27" s="150"/>
      <c r="T27" s="151"/>
      <c r="U27" s="151"/>
      <c r="V27" s="151"/>
      <c r="W27" s="151"/>
      <c r="X27" s="151"/>
      <c r="Y27" s="151"/>
      <c r="Z27" s="151"/>
      <c r="AA27" s="151"/>
      <c r="AB27" s="151"/>
      <c r="AC27" s="152"/>
      <c r="AD27" s="144"/>
      <c r="AE27" s="141"/>
      <c r="AF27" s="141"/>
      <c r="AG27" s="105"/>
      <c r="AH27" s="144"/>
      <c r="AI27" s="141"/>
      <c r="AJ27" s="141"/>
      <c r="AK27" s="105"/>
      <c r="AL27" s="144"/>
      <c r="AM27" s="141"/>
      <c r="AN27" s="141"/>
      <c r="AO27" s="105"/>
      <c r="AP27" s="144"/>
      <c r="AQ27" s="141"/>
      <c r="AR27" s="141"/>
      <c r="AS27" s="105"/>
      <c r="AT27" s="144"/>
      <c r="AU27" s="141"/>
      <c r="AV27" s="141"/>
      <c r="AW27" s="105"/>
      <c r="AX27" s="144"/>
      <c r="AY27" s="141"/>
      <c r="AZ27" s="141"/>
      <c r="BA27" s="105"/>
      <c r="BB27" s="144"/>
      <c r="BC27" s="141"/>
      <c r="BD27" s="141"/>
      <c r="BE27" s="105"/>
      <c r="BF27" s="144"/>
      <c r="BG27" s="141"/>
      <c r="BH27" s="141"/>
      <c r="BI27" s="105"/>
      <c r="BJ27" s="144"/>
      <c r="BK27" s="141"/>
      <c r="BL27" s="141"/>
      <c r="BM27" s="105"/>
      <c r="BN27" s="144"/>
      <c r="BO27" s="141"/>
      <c r="BP27" s="141"/>
      <c r="BQ27" s="105"/>
      <c r="BR27" s="144"/>
      <c r="BS27" s="141"/>
      <c r="BT27" s="141"/>
      <c r="BU27" s="105"/>
      <c r="BV27" s="144"/>
      <c r="BW27" s="141"/>
      <c r="BX27" s="141"/>
      <c r="BY27" s="105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5"/>
      <c r="CP27" s="4"/>
      <c r="CQ27" s="4"/>
      <c r="CR27" s="4"/>
      <c r="CT27" s="5"/>
      <c r="CU27" s="5"/>
      <c r="CV27" s="5"/>
      <c r="CW27" s="5"/>
      <c r="CX27" s="5"/>
      <c r="CY27" s="5"/>
      <c r="CZ27" s="5"/>
      <c r="DA27" s="5"/>
      <c r="DB27" s="5"/>
      <c r="DC27" s="5" t="s">
        <v>90</v>
      </c>
    </row>
    <row r="28" spans="1:107" s="6" customFormat="1" ht="15" customHeight="1" x14ac:dyDescent="0.25">
      <c r="A28" s="4"/>
      <c r="B28" s="139" t="s">
        <v>0</v>
      </c>
      <c r="C28" s="137" t="s">
        <v>61</v>
      </c>
      <c r="D28" s="137"/>
      <c r="E28" s="137"/>
      <c r="F28" s="137"/>
      <c r="G28" s="137"/>
      <c r="H28" s="137"/>
      <c r="I28" s="138" t="s">
        <v>102</v>
      </c>
      <c r="J28" s="138"/>
      <c r="K28" s="138"/>
      <c r="L28" s="138"/>
      <c r="M28" s="138"/>
      <c r="N28" s="138"/>
      <c r="O28" s="138"/>
      <c r="P28" s="138"/>
      <c r="Q28" s="4"/>
      <c r="R28" s="4"/>
      <c r="S28" s="153"/>
      <c r="T28" s="154"/>
      <c r="U28" s="154"/>
      <c r="V28" s="154"/>
      <c r="W28" s="154"/>
      <c r="X28" s="154"/>
      <c r="Y28" s="154"/>
      <c r="Z28" s="154"/>
      <c r="AA28" s="154"/>
      <c r="AB28" s="154"/>
      <c r="AC28" s="155"/>
      <c r="AD28" s="145"/>
      <c r="AE28" s="142"/>
      <c r="AF28" s="142"/>
      <c r="AG28" s="106"/>
      <c r="AH28" s="145"/>
      <c r="AI28" s="142"/>
      <c r="AJ28" s="142"/>
      <c r="AK28" s="106"/>
      <c r="AL28" s="145"/>
      <c r="AM28" s="142"/>
      <c r="AN28" s="142"/>
      <c r="AO28" s="106"/>
      <c r="AP28" s="145"/>
      <c r="AQ28" s="142"/>
      <c r="AR28" s="142"/>
      <c r="AS28" s="106"/>
      <c r="AT28" s="145"/>
      <c r="AU28" s="142"/>
      <c r="AV28" s="142"/>
      <c r="AW28" s="106"/>
      <c r="AX28" s="145"/>
      <c r="AY28" s="142"/>
      <c r="AZ28" s="142"/>
      <c r="BA28" s="106"/>
      <c r="BB28" s="145"/>
      <c r="BC28" s="142"/>
      <c r="BD28" s="142"/>
      <c r="BE28" s="106"/>
      <c r="BF28" s="145"/>
      <c r="BG28" s="142"/>
      <c r="BH28" s="142"/>
      <c r="BI28" s="106"/>
      <c r="BJ28" s="145"/>
      <c r="BK28" s="142"/>
      <c r="BL28" s="142"/>
      <c r="BM28" s="106"/>
      <c r="BN28" s="145"/>
      <c r="BO28" s="142"/>
      <c r="BP28" s="142"/>
      <c r="BQ28" s="106"/>
      <c r="BR28" s="145"/>
      <c r="BS28" s="142"/>
      <c r="BT28" s="142"/>
      <c r="BU28" s="106"/>
      <c r="BV28" s="145"/>
      <c r="BW28" s="142"/>
      <c r="BX28" s="142"/>
      <c r="BY28" s="106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5"/>
      <c r="CP28" s="4"/>
      <c r="CQ28" s="4"/>
      <c r="CR28" s="4"/>
      <c r="CT28" s="5"/>
      <c r="CU28" s="5"/>
      <c r="CV28" s="5"/>
      <c r="CW28" s="5"/>
      <c r="CX28" s="5"/>
      <c r="CY28" s="5"/>
      <c r="CZ28" s="5"/>
      <c r="DA28" s="5"/>
      <c r="DB28" s="5"/>
      <c r="DC28" s="5" t="s">
        <v>91</v>
      </c>
    </row>
    <row r="29" spans="1:107" s="6" customFormat="1" ht="15" customHeight="1" thickBot="1" x14ac:dyDescent="0.3">
      <c r="A29" s="4"/>
      <c r="B29" s="140"/>
      <c r="C29" s="162"/>
      <c r="D29" s="162"/>
      <c r="E29" s="162"/>
      <c r="F29" s="162"/>
      <c r="G29" s="162"/>
      <c r="H29" s="162"/>
      <c r="I29" s="163"/>
      <c r="J29" s="163"/>
      <c r="K29" s="163"/>
      <c r="L29" s="163"/>
      <c r="M29" s="163"/>
      <c r="N29" s="163"/>
      <c r="O29" s="163"/>
      <c r="P29" s="163"/>
      <c r="Q29" s="4"/>
      <c r="R29" s="4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8"/>
      <c r="AD29" s="146"/>
      <c r="AE29" s="143"/>
      <c r="AF29" s="143"/>
      <c r="AG29" s="107"/>
      <c r="AH29" s="146"/>
      <c r="AI29" s="143"/>
      <c r="AJ29" s="143"/>
      <c r="AK29" s="107"/>
      <c r="AL29" s="146"/>
      <c r="AM29" s="143"/>
      <c r="AN29" s="143"/>
      <c r="AO29" s="107"/>
      <c r="AP29" s="146"/>
      <c r="AQ29" s="143"/>
      <c r="AR29" s="143"/>
      <c r="AS29" s="107"/>
      <c r="AT29" s="146"/>
      <c r="AU29" s="143"/>
      <c r="AV29" s="143"/>
      <c r="AW29" s="107"/>
      <c r="AX29" s="146"/>
      <c r="AY29" s="143"/>
      <c r="AZ29" s="143"/>
      <c r="BA29" s="107"/>
      <c r="BB29" s="146"/>
      <c r="BC29" s="143"/>
      <c r="BD29" s="143"/>
      <c r="BE29" s="107"/>
      <c r="BF29" s="146"/>
      <c r="BG29" s="143"/>
      <c r="BH29" s="143"/>
      <c r="BI29" s="107"/>
      <c r="BJ29" s="146"/>
      <c r="BK29" s="143"/>
      <c r="BL29" s="143"/>
      <c r="BM29" s="107"/>
      <c r="BN29" s="146"/>
      <c r="BO29" s="143"/>
      <c r="BP29" s="143"/>
      <c r="BQ29" s="107"/>
      <c r="BR29" s="146"/>
      <c r="BS29" s="143"/>
      <c r="BT29" s="143"/>
      <c r="BU29" s="107"/>
      <c r="BV29" s="146"/>
      <c r="BW29" s="143"/>
      <c r="BX29" s="143"/>
      <c r="BY29" s="107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5"/>
      <c r="CP29" s="4"/>
      <c r="CQ29" s="4"/>
      <c r="CR29" s="4"/>
      <c r="CT29" s="5"/>
      <c r="CU29" s="5"/>
      <c r="CV29" s="5"/>
      <c r="CW29" s="5"/>
      <c r="CX29" s="5"/>
      <c r="CY29" s="5"/>
      <c r="CZ29" s="5"/>
      <c r="DA29" s="5"/>
      <c r="DB29" s="5"/>
      <c r="DC29" s="5" t="s">
        <v>92</v>
      </c>
    </row>
    <row r="30" spans="1:107" s="6" customFormat="1" ht="15" customHeight="1" thickTop="1" x14ac:dyDescent="0.25">
      <c r="A30" s="4"/>
      <c r="B30" s="139" t="s">
        <v>1</v>
      </c>
      <c r="C30" s="137"/>
      <c r="D30" s="137"/>
      <c r="E30" s="137"/>
      <c r="F30" s="137"/>
      <c r="G30" s="137"/>
      <c r="H30" s="137"/>
      <c r="I30" s="138"/>
      <c r="J30" s="138"/>
      <c r="K30" s="138"/>
      <c r="L30" s="138"/>
      <c r="M30" s="138"/>
      <c r="N30" s="138"/>
      <c r="O30" s="138"/>
      <c r="P30" s="138"/>
      <c r="Q30" s="4"/>
      <c r="R30" s="4"/>
      <c r="S30" s="150"/>
      <c r="T30" s="151"/>
      <c r="U30" s="151"/>
      <c r="V30" s="151"/>
      <c r="W30" s="151"/>
      <c r="X30" s="151"/>
      <c r="Y30" s="151"/>
      <c r="Z30" s="151"/>
      <c r="AA30" s="151"/>
      <c r="AB30" s="151"/>
      <c r="AC30" s="152"/>
      <c r="AD30" s="144"/>
      <c r="AE30" s="141"/>
      <c r="AF30" s="141"/>
      <c r="AG30" s="105"/>
      <c r="AH30" s="144"/>
      <c r="AI30" s="141"/>
      <c r="AJ30" s="141"/>
      <c r="AK30" s="105"/>
      <c r="AL30" s="144"/>
      <c r="AM30" s="141"/>
      <c r="AN30" s="141"/>
      <c r="AO30" s="105"/>
      <c r="AP30" s="144"/>
      <c r="AQ30" s="141"/>
      <c r="AR30" s="141"/>
      <c r="AS30" s="105"/>
      <c r="AT30" s="144"/>
      <c r="AU30" s="141"/>
      <c r="AV30" s="141"/>
      <c r="AW30" s="105"/>
      <c r="AX30" s="144"/>
      <c r="AY30" s="141"/>
      <c r="AZ30" s="141"/>
      <c r="BA30" s="105"/>
      <c r="BB30" s="144"/>
      <c r="BC30" s="141"/>
      <c r="BD30" s="141"/>
      <c r="BE30" s="105"/>
      <c r="BF30" s="144"/>
      <c r="BG30" s="141"/>
      <c r="BH30" s="141"/>
      <c r="BI30" s="105"/>
      <c r="BJ30" s="144"/>
      <c r="BK30" s="141"/>
      <c r="BL30" s="141"/>
      <c r="BM30" s="105"/>
      <c r="BN30" s="144"/>
      <c r="BO30" s="141"/>
      <c r="BP30" s="141"/>
      <c r="BQ30" s="105"/>
      <c r="BR30" s="144"/>
      <c r="BS30" s="141"/>
      <c r="BT30" s="141"/>
      <c r="BU30" s="105"/>
      <c r="BV30" s="144"/>
      <c r="BW30" s="141"/>
      <c r="BX30" s="141"/>
      <c r="BY30" s="105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5"/>
      <c r="CP30" s="4"/>
      <c r="CQ30" s="4"/>
      <c r="CR30" s="4"/>
      <c r="CT30" s="5"/>
      <c r="CU30" s="5"/>
      <c r="CV30" s="5"/>
      <c r="CW30" s="5"/>
      <c r="CX30" s="5"/>
      <c r="CY30" s="5"/>
      <c r="CZ30" s="5"/>
      <c r="DA30" s="5"/>
      <c r="DB30" s="5"/>
      <c r="DC30" s="5" t="s">
        <v>93</v>
      </c>
    </row>
    <row r="31" spans="1:107" s="6" customFormat="1" ht="15" customHeight="1" thickBot="1" x14ac:dyDescent="0.3">
      <c r="A31" s="4"/>
      <c r="B31" s="140"/>
      <c r="C31" s="162"/>
      <c r="D31" s="162"/>
      <c r="E31" s="162"/>
      <c r="F31" s="162"/>
      <c r="G31" s="162"/>
      <c r="H31" s="162"/>
      <c r="I31" s="163"/>
      <c r="J31" s="163"/>
      <c r="K31" s="163"/>
      <c r="L31" s="163"/>
      <c r="M31" s="163"/>
      <c r="N31" s="163"/>
      <c r="O31" s="163"/>
      <c r="P31" s="163"/>
      <c r="Q31" s="4"/>
      <c r="R31" s="4"/>
      <c r="S31" s="153"/>
      <c r="T31" s="154"/>
      <c r="U31" s="154"/>
      <c r="V31" s="154"/>
      <c r="W31" s="154"/>
      <c r="X31" s="154"/>
      <c r="Y31" s="154"/>
      <c r="Z31" s="154"/>
      <c r="AA31" s="154"/>
      <c r="AB31" s="154"/>
      <c r="AC31" s="155"/>
      <c r="AD31" s="145"/>
      <c r="AE31" s="142"/>
      <c r="AF31" s="142"/>
      <c r="AG31" s="106"/>
      <c r="AH31" s="145"/>
      <c r="AI31" s="142"/>
      <c r="AJ31" s="142"/>
      <c r="AK31" s="106"/>
      <c r="AL31" s="145"/>
      <c r="AM31" s="142"/>
      <c r="AN31" s="142"/>
      <c r="AO31" s="106"/>
      <c r="AP31" s="145"/>
      <c r="AQ31" s="142"/>
      <c r="AR31" s="142"/>
      <c r="AS31" s="106"/>
      <c r="AT31" s="145"/>
      <c r="AU31" s="142"/>
      <c r="AV31" s="142"/>
      <c r="AW31" s="106"/>
      <c r="AX31" s="145"/>
      <c r="AY31" s="142"/>
      <c r="AZ31" s="142"/>
      <c r="BA31" s="106"/>
      <c r="BB31" s="145"/>
      <c r="BC31" s="142"/>
      <c r="BD31" s="142"/>
      <c r="BE31" s="106"/>
      <c r="BF31" s="145"/>
      <c r="BG31" s="142"/>
      <c r="BH31" s="142"/>
      <c r="BI31" s="106"/>
      <c r="BJ31" s="145"/>
      <c r="BK31" s="142"/>
      <c r="BL31" s="142"/>
      <c r="BM31" s="106"/>
      <c r="BN31" s="145"/>
      <c r="BO31" s="142"/>
      <c r="BP31" s="142"/>
      <c r="BQ31" s="106"/>
      <c r="BR31" s="145"/>
      <c r="BS31" s="142"/>
      <c r="BT31" s="142"/>
      <c r="BU31" s="106"/>
      <c r="BV31" s="145"/>
      <c r="BW31" s="142"/>
      <c r="BX31" s="142"/>
      <c r="BY31" s="106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5"/>
      <c r="CP31" s="4"/>
      <c r="CQ31" s="4"/>
      <c r="CR31" s="4"/>
      <c r="CT31" s="5"/>
      <c r="CU31" s="5"/>
      <c r="CV31" s="5"/>
      <c r="CW31" s="5"/>
      <c r="CX31" s="5"/>
      <c r="CY31" s="5"/>
      <c r="CZ31" s="5"/>
      <c r="DA31" s="5"/>
      <c r="DB31" s="5"/>
      <c r="DC31" s="5" t="s">
        <v>94</v>
      </c>
    </row>
    <row r="32" spans="1:107" s="6" customFormat="1" ht="15" customHeight="1" thickBot="1" x14ac:dyDescent="0.3">
      <c r="A32" s="4"/>
      <c r="B32" s="139" t="s">
        <v>2</v>
      </c>
      <c r="C32" s="137"/>
      <c r="D32" s="137"/>
      <c r="E32" s="137"/>
      <c r="F32" s="137"/>
      <c r="G32" s="137"/>
      <c r="H32" s="137"/>
      <c r="I32" s="138"/>
      <c r="J32" s="138"/>
      <c r="K32" s="138"/>
      <c r="L32" s="138"/>
      <c r="M32" s="138"/>
      <c r="N32" s="138"/>
      <c r="O32" s="138"/>
      <c r="P32" s="138"/>
      <c r="Q32" s="4"/>
      <c r="R32" s="4"/>
      <c r="S32" s="156"/>
      <c r="T32" s="157"/>
      <c r="U32" s="157"/>
      <c r="V32" s="157"/>
      <c r="W32" s="157"/>
      <c r="X32" s="157"/>
      <c r="Y32" s="157"/>
      <c r="Z32" s="157"/>
      <c r="AA32" s="157"/>
      <c r="AB32" s="157"/>
      <c r="AC32" s="158"/>
      <c r="AD32" s="146"/>
      <c r="AE32" s="143"/>
      <c r="AF32" s="143"/>
      <c r="AG32" s="107"/>
      <c r="AH32" s="146"/>
      <c r="AI32" s="143"/>
      <c r="AJ32" s="143"/>
      <c r="AK32" s="107"/>
      <c r="AL32" s="146"/>
      <c r="AM32" s="143"/>
      <c r="AN32" s="143"/>
      <c r="AO32" s="107"/>
      <c r="AP32" s="146"/>
      <c r="AQ32" s="143"/>
      <c r="AR32" s="143"/>
      <c r="AS32" s="107"/>
      <c r="AT32" s="146"/>
      <c r="AU32" s="143"/>
      <c r="AV32" s="143"/>
      <c r="AW32" s="107"/>
      <c r="AX32" s="146"/>
      <c r="AY32" s="143"/>
      <c r="AZ32" s="143"/>
      <c r="BA32" s="107"/>
      <c r="BB32" s="146"/>
      <c r="BC32" s="143"/>
      <c r="BD32" s="143"/>
      <c r="BE32" s="107"/>
      <c r="BF32" s="146"/>
      <c r="BG32" s="143"/>
      <c r="BH32" s="143"/>
      <c r="BI32" s="107"/>
      <c r="BJ32" s="146"/>
      <c r="BK32" s="143"/>
      <c r="BL32" s="143"/>
      <c r="BM32" s="107"/>
      <c r="BN32" s="146"/>
      <c r="BO32" s="143"/>
      <c r="BP32" s="143"/>
      <c r="BQ32" s="107"/>
      <c r="BR32" s="146"/>
      <c r="BS32" s="143"/>
      <c r="BT32" s="143"/>
      <c r="BU32" s="107"/>
      <c r="BV32" s="146"/>
      <c r="BW32" s="143"/>
      <c r="BX32" s="143"/>
      <c r="BY32" s="107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5"/>
      <c r="CP32" s="4"/>
      <c r="CQ32" s="4"/>
      <c r="CR32" s="4"/>
      <c r="CT32" s="5"/>
      <c r="CU32" s="5"/>
      <c r="CV32" s="5"/>
      <c r="CW32" s="5"/>
      <c r="CX32" s="5"/>
      <c r="CY32" s="5"/>
      <c r="CZ32" s="5"/>
      <c r="DA32" s="5"/>
      <c r="DB32" s="5"/>
      <c r="DC32" s="5" t="s">
        <v>95</v>
      </c>
    </row>
    <row r="33" spans="1:107" s="6" customFormat="1" ht="15" customHeight="1" thickTop="1" x14ac:dyDescent="0.25">
      <c r="A33" s="4"/>
      <c r="B33" s="164"/>
      <c r="C33" s="160"/>
      <c r="D33" s="160"/>
      <c r="E33" s="160"/>
      <c r="F33" s="160"/>
      <c r="G33" s="160"/>
      <c r="H33" s="160"/>
      <c r="I33" s="161"/>
      <c r="J33" s="161"/>
      <c r="K33" s="161"/>
      <c r="L33" s="161"/>
      <c r="M33" s="161"/>
      <c r="N33" s="161"/>
      <c r="O33" s="161"/>
      <c r="P33" s="161"/>
      <c r="Q33" s="4"/>
      <c r="R33" s="4"/>
      <c r="S33" s="150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144"/>
      <c r="AE33" s="141"/>
      <c r="AF33" s="141"/>
      <c r="AG33" s="105"/>
      <c r="AH33" s="144"/>
      <c r="AI33" s="141"/>
      <c r="AJ33" s="141"/>
      <c r="AK33" s="105"/>
      <c r="AL33" s="144"/>
      <c r="AM33" s="141"/>
      <c r="AN33" s="141"/>
      <c r="AO33" s="105"/>
      <c r="AP33" s="144"/>
      <c r="AQ33" s="141"/>
      <c r="AR33" s="141"/>
      <c r="AS33" s="105"/>
      <c r="AT33" s="144"/>
      <c r="AU33" s="141"/>
      <c r="AV33" s="141"/>
      <c r="AW33" s="105"/>
      <c r="AX33" s="144"/>
      <c r="AY33" s="141"/>
      <c r="AZ33" s="141"/>
      <c r="BA33" s="105"/>
      <c r="BB33" s="144"/>
      <c r="BC33" s="141"/>
      <c r="BD33" s="141"/>
      <c r="BE33" s="105"/>
      <c r="BF33" s="144"/>
      <c r="BG33" s="141"/>
      <c r="BH33" s="141"/>
      <c r="BI33" s="105"/>
      <c r="BJ33" s="144"/>
      <c r="BK33" s="141"/>
      <c r="BL33" s="141"/>
      <c r="BM33" s="105"/>
      <c r="BN33" s="144"/>
      <c r="BO33" s="141"/>
      <c r="BP33" s="141"/>
      <c r="BQ33" s="105"/>
      <c r="BR33" s="144"/>
      <c r="BS33" s="141"/>
      <c r="BT33" s="141"/>
      <c r="BU33" s="105"/>
      <c r="BV33" s="144"/>
      <c r="BW33" s="141"/>
      <c r="BX33" s="141"/>
      <c r="BY33" s="105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5"/>
      <c r="CP33" s="4"/>
      <c r="CQ33" s="4"/>
      <c r="CR33" s="4"/>
      <c r="CT33" s="5"/>
      <c r="CU33" s="5"/>
      <c r="CV33" s="5"/>
      <c r="CW33" s="5"/>
      <c r="CX33" s="5"/>
      <c r="CY33" s="5"/>
      <c r="CZ33" s="5"/>
      <c r="DA33" s="5"/>
      <c r="DB33" s="5"/>
      <c r="DC33" s="5" t="s">
        <v>96</v>
      </c>
    </row>
    <row r="34" spans="1:107" s="6" customFormat="1" ht="15" customHeight="1" thickBot="1" x14ac:dyDescent="0.3">
      <c r="A34" s="4"/>
      <c r="B34" s="140"/>
      <c r="C34" s="162"/>
      <c r="D34" s="162"/>
      <c r="E34" s="162"/>
      <c r="F34" s="162"/>
      <c r="G34" s="162"/>
      <c r="H34" s="162"/>
      <c r="I34" s="163"/>
      <c r="J34" s="163"/>
      <c r="K34" s="163"/>
      <c r="L34" s="163"/>
      <c r="M34" s="163"/>
      <c r="N34" s="163"/>
      <c r="O34" s="163"/>
      <c r="P34" s="163"/>
      <c r="Q34" s="4"/>
      <c r="R34" s="4"/>
      <c r="S34" s="153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145"/>
      <c r="AE34" s="142"/>
      <c r="AF34" s="142"/>
      <c r="AG34" s="106"/>
      <c r="AH34" s="145"/>
      <c r="AI34" s="142"/>
      <c r="AJ34" s="142"/>
      <c r="AK34" s="106"/>
      <c r="AL34" s="145"/>
      <c r="AM34" s="142"/>
      <c r="AN34" s="142"/>
      <c r="AO34" s="106"/>
      <c r="AP34" s="145"/>
      <c r="AQ34" s="142"/>
      <c r="AR34" s="142"/>
      <c r="AS34" s="106"/>
      <c r="AT34" s="145"/>
      <c r="AU34" s="142"/>
      <c r="AV34" s="142"/>
      <c r="AW34" s="106"/>
      <c r="AX34" s="145"/>
      <c r="AY34" s="142"/>
      <c r="AZ34" s="142"/>
      <c r="BA34" s="106"/>
      <c r="BB34" s="145"/>
      <c r="BC34" s="142"/>
      <c r="BD34" s="142"/>
      <c r="BE34" s="106"/>
      <c r="BF34" s="145"/>
      <c r="BG34" s="142"/>
      <c r="BH34" s="142"/>
      <c r="BI34" s="106"/>
      <c r="BJ34" s="145"/>
      <c r="BK34" s="142"/>
      <c r="BL34" s="142"/>
      <c r="BM34" s="106"/>
      <c r="BN34" s="145"/>
      <c r="BO34" s="142"/>
      <c r="BP34" s="142"/>
      <c r="BQ34" s="106"/>
      <c r="BR34" s="145"/>
      <c r="BS34" s="142"/>
      <c r="BT34" s="142"/>
      <c r="BU34" s="106"/>
      <c r="BV34" s="145"/>
      <c r="BW34" s="142"/>
      <c r="BX34" s="142"/>
      <c r="BY34" s="106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5"/>
      <c r="CP34" s="4"/>
      <c r="CQ34" s="4"/>
      <c r="CR34" s="4"/>
      <c r="CT34" s="5"/>
      <c r="CU34" s="5"/>
      <c r="CV34" s="5"/>
      <c r="CW34" s="5"/>
      <c r="CX34" s="5"/>
      <c r="CY34" s="5"/>
      <c r="CZ34" s="5"/>
      <c r="DA34" s="5"/>
      <c r="DB34" s="5"/>
      <c r="DC34" s="5" t="s">
        <v>97</v>
      </c>
    </row>
    <row r="35" spans="1:107" s="6" customFormat="1" ht="15" customHeight="1" thickBot="1" x14ac:dyDescent="0.3">
      <c r="A35" s="4"/>
      <c r="B35" s="139" t="s">
        <v>3</v>
      </c>
      <c r="C35" s="137"/>
      <c r="D35" s="137"/>
      <c r="E35" s="137"/>
      <c r="F35" s="137"/>
      <c r="G35" s="137"/>
      <c r="H35" s="137"/>
      <c r="I35" s="138"/>
      <c r="J35" s="138"/>
      <c r="K35" s="138"/>
      <c r="L35" s="138"/>
      <c r="M35" s="138"/>
      <c r="N35" s="138"/>
      <c r="O35" s="138"/>
      <c r="P35" s="138"/>
      <c r="Q35" s="4"/>
      <c r="R35" s="4"/>
      <c r="S35" s="156"/>
      <c r="T35" s="157"/>
      <c r="U35" s="157"/>
      <c r="V35" s="157"/>
      <c r="W35" s="157"/>
      <c r="X35" s="157"/>
      <c r="Y35" s="157"/>
      <c r="Z35" s="157"/>
      <c r="AA35" s="157"/>
      <c r="AB35" s="157"/>
      <c r="AC35" s="158"/>
      <c r="AD35" s="146"/>
      <c r="AE35" s="143"/>
      <c r="AF35" s="143"/>
      <c r="AG35" s="107"/>
      <c r="AH35" s="146"/>
      <c r="AI35" s="143"/>
      <c r="AJ35" s="143"/>
      <c r="AK35" s="107"/>
      <c r="AL35" s="146"/>
      <c r="AM35" s="143"/>
      <c r="AN35" s="143"/>
      <c r="AO35" s="107"/>
      <c r="AP35" s="146"/>
      <c r="AQ35" s="143"/>
      <c r="AR35" s="143"/>
      <c r="AS35" s="107"/>
      <c r="AT35" s="146"/>
      <c r="AU35" s="143"/>
      <c r="AV35" s="143"/>
      <c r="AW35" s="107"/>
      <c r="AX35" s="146"/>
      <c r="AY35" s="143"/>
      <c r="AZ35" s="143"/>
      <c r="BA35" s="107"/>
      <c r="BB35" s="146"/>
      <c r="BC35" s="143"/>
      <c r="BD35" s="143"/>
      <c r="BE35" s="107"/>
      <c r="BF35" s="146"/>
      <c r="BG35" s="143"/>
      <c r="BH35" s="143"/>
      <c r="BI35" s="107"/>
      <c r="BJ35" s="146"/>
      <c r="BK35" s="143"/>
      <c r="BL35" s="143"/>
      <c r="BM35" s="107"/>
      <c r="BN35" s="146"/>
      <c r="BO35" s="143"/>
      <c r="BP35" s="143"/>
      <c r="BQ35" s="107"/>
      <c r="BR35" s="146"/>
      <c r="BS35" s="143"/>
      <c r="BT35" s="143"/>
      <c r="BU35" s="107"/>
      <c r="BV35" s="146"/>
      <c r="BW35" s="143"/>
      <c r="BX35" s="143"/>
      <c r="BY35" s="107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5"/>
      <c r="CP35" s="4"/>
      <c r="CQ35" s="4"/>
      <c r="CR35" s="4"/>
      <c r="CT35" s="5"/>
      <c r="CU35" s="5"/>
      <c r="CV35" s="5"/>
      <c r="CW35" s="5"/>
      <c r="CX35" s="5"/>
      <c r="CY35" s="5"/>
      <c r="CZ35" s="5"/>
      <c r="DA35" s="5"/>
      <c r="DB35" s="5"/>
      <c r="DC35" s="5" t="s">
        <v>98</v>
      </c>
    </row>
    <row r="36" spans="1:107" s="6" customFormat="1" ht="15" customHeight="1" thickTop="1" thickBot="1" x14ac:dyDescent="0.3">
      <c r="A36" s="4"/>
      <c r="B36" s="140"/>
      <c r="C36" s="162"/>
      <c r="D36" s="162"/>
      <c r="E36" s="162"/>
      <c r="F36" s="162"/>
      <c r="G36" s="162"/>
      <c r="H36" s="162"/>
      <c r="I36" s="163"/>
      <c r="J36" s="163"/>
      <c r="K36" s="163"/>
      <c r="L36" s="163"/>
      <c r="M36" s="163"/>
      <c r="N36" s="163"/>
      <c r="O36" s="163"/>
      <c r="P36" s="163"/>
      <c r="Q36" s="4"/>
      <c r="R36" s="4"/>
      <c r="S36" s="150"/>
      <c r="T36" s="151"/>
      <c r="U36" s="151"/>
      <c r="V36" s="151"/>
      <c r="W36" s="151"/>
      <c r="X36" s="151"/>
      <c r="Y36" s="151"/>
      <c r="Z36" s="151"/>
      <c r="AA36" s="151"/>
      <c r="AB36" s="151"/>
      <c r="AC36" s="152"/>
      <c r="AD36" s="144"/>
      <c r="AE36" s="141"/>
      <c r="AF36" s="141"/>
      <c r="AG36" s="105"/>
      <c r="AH36" s="144"/>
      <c r="AI36" s="141"/>
      <c r="AJ36" s="141"/>
      <c r="AK36" s="105"/>
      <c r="AL36" s="144"/>
      <c r="AM36" s="141"/>
      <c r="AN36" s="141"/>
      <c r="AO36" s="105"/>
      <c r="AP36" s="144"/>
      <c r="AQ36" s="141"/>
      <c r="AR36" s="141"/>
      <c r="AS36" s="105"/>
      <c r="AT36" s="144"/>
      <c r="AU36" s="141"/>
      <c r="AV36" s="141"/>
      <c r="AW36" s="105"/>
      <c r="AX36" s="144"/>
      <c r="AY36" s="141"/>
      <c r="AZ36" s="141"/>
      <c r="BA36" s="105"/>
      <c r="BB36" s="144"/>
      <c r="BC36" s="141"/>
      <c r="BD36" s="141"/>
      <c r="BE36" s="105"/>
      <c r="BF36" s="144"/>
      <c r="BG36" s="141"/>
      <c r="BH36" s="141"/>
      <c r="BI36" s="105"/>
      <c r="BJ36" s="144"/>
      <c r="BK36" s="141"/>
      <c r="BL36" s="141"/>
      <c r="BM36" s="105"/>
      <c r="BN36" s="144"/>
      <c r="BO36" s="141"/>
      <c r="BP36" s="141"/>
      <c r="BQ36" s="105"/>
      <c r="BR36" s="144"/>
      <c r="BS36" s="141"/>
      <c r="BT36" s="141"/>
      <c r="BU36" s="105"/>
      <c r="BV36" s="144"/>
      <c r="BW36" s="141"/>
      <c r="BX36" s="141"/>
      <c r="BY36" s="105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5"/>
      <c r="CP36" s="4"/>
      <c r="CQ36" s="4"/>
      <c r="CR36" s="4"/>
      <c r="CT36" s="5"/>
      <c r="CU36" s="5"/>
      <c r="CV36" s="5"/>
      <c r="CW36" s="5"/>
      <c r="CX36" s="5"/>
      <c r="CY36" s="5"/>
      <c r="CZ36" s="5"/>
      <c r="DA36" s="5"/>
      <c r="DB36" s="5"/>
      <c r="DC36" s="5" t="s">
        <v>99</v>
      </c>
    </row>
    <row r="37" spans="1:107" s="6" customFormat="1" ht="15" customHeight="1" thickBot="1" x14ac:dyDescent="0.3">
      <c r="A37" s="4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4"/>
      <c r="R37" s="4"/>
      <c r="S37" s="153"/>
      <c r="T37" s="154"/>
      <c r="U37" s="154"/>
      <c r="V37" s="154"/>
      <c r="W37" s="154"/>
      <c r="X37" s="154"/>
      <c r="Y37" s="154"/>
      <c r="Z37" s="154"/>
      <c r="AA37" s="154"/>
      <c r="AB37" s="154"/>
      <c r="AC37" s="155"/>
      <c r="AD37" s="145"/>
      <c r="AE37" s="142"/>
      <c r="AF37" s="142"/>
      <c r="AG37" s="106"/>
      <c r="AH37" s="145"/>
      <c r="AI37" s="142"/>
      <c r="AJ37" s="142"/>
      <c r="AK37" s="106"/>
      <c r="AL37" s="145"/>
      <c r="AM37" s="142"/>
      <c r="AN37" s="142"/>
      <c r="AO37" s="106"/>
      <c r="AP37" s="145"/>
      <c r="AQ37" s="142"/>
      <c r="AR37" s="142"/>
      <c r="AS37" s="106"/>
      <c r="AT37" s="145"/>
      <c r="AU37" s="142"/>
      <c r="AV37" s="142"/>
      <c r="AW37" s="106"/>
      <c r="AX37" s="145"/>
      <c r="AY37" s="142"/>
      <c r="AZ37" s="142"/>
      <c r="BA37" s="106"/>
      <c r="BB37" s="145"/>
      <c r="BC37" s="142"/>
      <c r="BD37" s="142"/>
      <c r="BE37" s="106"/>
      <c r="BF37" s="145"/>
      <c r="BG37" s="142"/>
      <c r="BH37" s="142"/>
      <c r="BI37" s="106"/>
      <c r="BJ37" s="145"/>
      <c r="BK37" s="142"/>
      <c r="BL37" s="142"/>
      <c r="BM37" s="106"/>
      <c r="BN37" s="145"/>
      <c r="BO37" s="142"/>
      <c r="BP37" s="142"/>
      <c r="BQ37" s="106"/>
      <c r="BR37" s="145"/>
      <c r="BS37" s="142"/>
      <c r="BT37" s="142"/>
      <c r="BU37" s="106"/>
      <c r="BV37" s="145"/>
      <c r="BW37" s="142"/>
      <c r="BX37" s="142"/>
      <c r="BY37" s="106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5"/>
      <c r="CP37" s="4"/>
      <c r="CQ37" s="4"/>
      <c r="CR37" s="4"/>
      <c r="CT37" s="5"/>
      <c r="CU37" s="5"/>
      <c r="CV37" s="5"/>
      <c r="CW37" s="5"/>
      <c r="CX37" s="5"/>
      <c r="CY37" s="5"/>
      <c r="CZ37" s="5"/>
      <c r="DA37" s="5"/>
      <c r="DB37" s="5"/>
      <c r="DC37" s="5" t="s">
        <v>100</v>
      </c>
    </row>
    <row r="38" spans="1:107" s="6" customFormat="1" ht="15" customHeight="1" thickBot="1" x14ac:dyDescent="0.3">
      <c r="A38" s="4"/>
      <c r="B38" s="126" t="s">
        <v>8</v>
      </c>
      <c r="C38" s="127"/>
      <c r="D38" s="127"/>
      <c r="E38" s="128"/>
      <c r="F38" s="129"/>
      <c r="G38" s="129"/>
      <c r="H38" s="130"/>
      <c r="I38" s="124" t="s">
        <v>10</v>
      </c>
      <c r="J38" s="125"/>
      <c r="K38" s="131"/>
      <c r="L38" s="132"/>
      <c r="M38" s="132"/>
      <c r="N38" s="132"/>
      <c r="O38" s="132"/>
      <c r="P38" s="133"/>
      <c r="Q38" s="4"/>
      <c r="R38" s="4"/>
      <c r="S38" s="156"/>
      <c r="T38" s="157"/>
      <c r="U38" s="157"/>
      <c r="V38" s="157"/>
      <c r="W38" s="157"/>
      <c r="X38" s="157"/>
      <c r="Y38" s="157"/>
      <c r="Z38" s="157"/>
      <c r="AA38" s="157"/>
      <c r="AB38" s="157"/>
      <c r="AC38" s="158"/>
      <c r="AD38" s="146"/>
      <c r="AE38" s="143"/>
      <c r="AF38" s="143"/>
      <c r="AG38" s="107"/>
      <c r="AH38" s="146"/>
      <c r="AI38" s="143"/>
      <c r="AJ38" s="143"/>
      <c r="AK38" s="107"/>
      <c r="AL38" s="146"/>
      <c r="AM38" s="143"/>
      <c r="AN38" s="143"/>
      <c r="AO38" s="107"/>
      <c r="AP38" s="146"/>
      <c r="AQ38" s="143"/>
      <c r="AR38" s="143"/>
      <c r="AS38" s="107"/>
      <c r="AT38" s="146"/>
      <c r="AU38" s="143"/>
      <c r="AV38" s="143"/>
      <c r="AW38" s="107"/>
      <c r="AX38" s="146"/>
      <c r="AY38" s="143"/>
      <c r="AZ38" s="143"/>
      <c r="BA38" s="107"/>
      <c r="BB38" s="146"/>
      <c r="BC38" s="143"/>
      <c r="BD38" s="143"/>
      <c r="BE38" s="107"/>
      <c r="BF38" s="146"/>
      <c r="BG38" s="143"/>
      <c r="BH38" s="143"/>
      <c r="BI38" s="107"/>
      <c r="BJ38" s="146"/>
      <c r="BK38" s="143"/>
      <c r="BL38" s="143"/>
      <c r="BM38" s="107"/>
      <c r="BN38" s="146"/>
      <c r="BO38" s="143"/>
      <c r="BP38" s="143"/>
      <c r="BQ38" s="107"/>
      <c r="BR38" s="146"/>
      <c r="BS38" s="143"/>
      <c r="BT38" s="143"/>
      <c r="BU38" s="107"/>
      <c r="BV38" s="146"/>
      <c r="BW38" s="143"/>
      <c r="BX38" s="143"/>
      <c r="BY38" s="107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5"/>
      <c r="CP38" s="4"/>
      <c r="CQ38" s="4"/>
      <c r="CR38" s="4"/>
      <c r="CT38" s="5"/>
      <c r="CU38" s="5"/>
      <c r="CV38" s="5"/>
      <c r="CW38" s="5"/>
      <c r="CX38" s="5"/>
      <c r="CY38" s="5"/>
      <c r="CZ38" s="5"/>
      <c r="DA38" s="5"/>
      <c r="DB38" s="5"/>
      <c r="DC38" s="5" t="s">
        <v>101</v>
      </c>
    </row>
    <row r="39" spans="1:107" s="6" customFormat="1" ht="1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5"/>
      <c r="CP39" s="4"/>
      <c r="CQ39" s="4"/>
      <c r="CR39" s="4"/>
    </row>
    <row r="40" spans="1:107" s="6" customFormat="1" ht="1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9"/>
      <c r="T40" s="20"/>
      <c r="U40" s="20"/>
      <c r="V40" s="20"/>
      <c r="W40" s="20"/>
      <c r="X40" s="20"/>
      <c r="Y40" s="20"/>
      <c r="Z40" s="149"/>
      <c r="AA40" s="149"/>
      <c r="AB40" s="149"/>
      <c r="AC40" s="20"/>
      <c r="AD40" s="20"/>
      <c r="AE40" s="148"/>
      <c r="AF40" s="148"/>
      <c r="AG40" s="148"/>
      <c r="AH40" s="20"/>
      <c r="AI40" s="20"/>
      <c r="AJ40" s="148"/>
      <c r="AK40" s="148"/>
      <c r="AL40" s="148"/>
      <c r="AM40" s="20"/>
      <c r="AN40" s="20"/>
      <c r="AO40" s="20"/>
      <c r="AP40" s="149"/>
      <c r="AQ40" s="149"/>
      <c r="AR40" s="149"/>
      <c r="AS40" s="20"/>
      <c r="AT40" s="20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5"/>
      <c r="CP40" s="4"/>
      <c r="CQ40" s="4"/>
      <c r="CR40" s="4"/>
    </row>
    <row r="41" spans="1:107" s="6" customFormat="1" ht="15" customHeight="1" x14ac:dyDescent="0.25">
      <c r="A41" s="4"/>
      <c r="B41" s="4"/>
      <c r="C41" s="4"/>
      <c r="D41" s="4"/>
      <c r="E41" s="4"/>
      <c r="F41" s="4"/>
      <c r="G41" s="4"/>
      <c r="J41" s="4"/>
      <c r="K41" s="4"/>
      <c r="L41" s="4"/>
      <c r="M41" s="4"/>
      <c r="N41" s="4"/>
      <c r="O41" s="4"/>
      <c r="P41" s="4"/>
      <c r="Q41" s="4"/>
      <c r="R41" s="4"/>
      <c r="S41" s="20"/>
      <c r="T41" s="20"/>
      <c r="U41" s="20"/>
      <c r="V41" s="20"/>
      <c r="W41" s="20"/>
      <c r="X41" s="20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5"/>
      <c r="CP41" s="4"/>
      <c r="CQ41" s="4"/>
      <c r="CR41" s="4"/>
    </row>
    <row r="42" spans="1:107" s="6" customFormat="1" ht="1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0"/>
      <c r="T42" s="20"/>
      <c r="U42" s="20"/>
      <c r="V42" s="20"/>
      <c r="W42" s="20"/>
      <c r="X42" s="20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5"/>
      <c r="CP42" s="4"/>
      <c r="CQ42" s="4"/>
      <c r="CR42" s="4"/>
    </row>
    <row r="43" spans="1:107" s="6" customFormat="1" ht="1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5"/>
      <c r="CP43" s="4"/>
      <c r="CQ43" s="4"/>
      <c r="CR43" s="4"/>
    </row>
    <row r="44" spans="1:107" s="6" customFormat="1" ht="1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5"/>
      <c r="CP44" s="4"/>
      <c r="CQ44" s="4"/>
      <c r="CR44" s="4"/>
    </row>
    <row r="45" spans="1:107" s="6" customFormat="1" ht="1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5"/>
      <c r="CP45" s="4"/>
      <c r="CQ45" s="4"/>
      <c r="CR45" s="4"/>
    </row>
    <row r="46" spans="1:107" s="6" customFormat="1" ht="1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5"/>
      <c r="CP46" s="4"/>
      <c r="CQ46" s="4"/>
      <c r="CR46" s="4"/>
    </row>
    <row r="47" spans="1:107" s="6" customFormat="1" ht="1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5"/>
      <c r="CP47" s="4"/>
      <c r="CQ47" s="4"/>
      <c r="CR47" s="4"/>
    </row>
    <row r="48" spans="1:107" s="6" customFormat="1" ht="1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5"/>
      <c r="CP48" s="4"/>
      <c r="CQ48" s="4"/>
      <c r="CR48" s="4"/>
    </row>
    <row r="49" spans="92:93" ht="15" customHeight="1" x14ac:dyDescent="0.25"/>
    <row r="50" spans="92:93" ht="15" customHeight="1" x14ac:dyDescent="0.25">
      <c r="CN50" s="5"/>
      <c r="CO50" s="4"/>
    </row>
    <row r="51" spans="92:93" ht="15" customHeight="1" x14ac:dyDescent="0.25">
      <c r="CN51" s="5"/>
      <c r="CO51" s="4"/>
    </row>
    <row r="52" spans="92:93" ht="15" customHeight="1" x14ac:dyDescent="0.25">
      <c r="CN52" s="5"/>
      <c r="CO52" s="4"/>
    </row>
    <row r="53" spans="92:93" ht="15" customHeight="1" x14ac:dyDescent="0.25">
      <c r="CN53" s="5"/>
      <c r="CO53" s="4"/>
    </row>
    <row r="54" spans="92:93" ht="15" customHeight="1" x14ac:dyDescent="0.25"/>
    <row r="55" spans="92:93" ht="15" customHeight="1" x14ac:dyDescent="0.25"/>
    <row r="56" spans="92:93" ht="15" customHeight="1" x14ac:dyDescent="0.25"/>
    <row r="57" spans="92:93" ht="15" customHeight="1" x14ac:dyDescent="0.25"/>
    <row r="58" spans="92:93" ht="15" customHeight="1" x14ac:dyDescent="0.25"/>
    <row r="59" spans="92:93" ht="15" customHeight="1" x14ac:dyDescent="0.25"/>
    <row r="60" spans="92:93" ht="15" customHeight="1" x14ac:dyDescent="0.25"/>
    <row r="61" spans="92:93" ht="15" customHeight="1" x14ac:dyDescent="0.25"/>
    <row r="62" spans="92:93" ht="15" customHeight="1" x14ac:dyDescent="0.25"/>
    <row r="63" spans="92:93" ht="15" customHeight="1" x14ac:dyDescent="0.25"/>
    <row r="64" spans="92:93" ht="15" customHeight="1" x14ac:dyDescent="0.25"/>
    <row r="65" ht="15" customHeight="1" x14ac:dyDescent="0.25"/>
    <row r="66" ht="15" customHeight="1" x14ac:dyDescent="0.25"/>
    <row r="67" ht="15" hidden="1" customHeight="1" x14ac:dyDescent="0.25"/>
    <row r="68" ht="15" hidden="1" customHeight="1" x14ac:dyDescent="0.25"/>
    <row r="69" ht="15" hidden="1" customHeight="1" x14ac:dyDescent="0.25"/>
    <row r="70" ht="15" hidden="1" customHeight="1" x14ac:dyDescent="0.25"/>
    <row r="71" ht="15" hidden="1" customHeight="1" x14ac:dyDescent="0.25"/>
    <row r="72" ht="15" hidden="1" customHeight="1" x14ac:dyDescent="0.25"/>
    <row r="73" ht="15" hidden="1" customHeight="1" x14ac:dyDescent="0.25"/>
    <row r="74" ht="15" hidden="1" customHeight="1" x14ac:dyDescent="0.25"/>
    <row r="75" ht="15" hidden="1" customHeight="1" x14ac:dyDescent="0.25"/>
    <row r="76" ht="15" hidden="1" customHeight="1" x14ac:dyDescent="0.25"/>
    <row r="77" ht="15" hidden="1" customHeight="1" x14ac:dyDescent="0.25"/>
    <row r="78" ht="15" hidden="1" customHeight="1" x14ac:dyDescent="0.25"/>
    <row r="79" ht="15" hidden="1" customHeight="1" x14ac:dyDescent="0.25"/>
    <row r="80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5" hidden="1" customHeight="1" x14ac:dyDescent="0.25"/>
    <row r="115" ht="15" hidden="1" customHeight="1" x14ac:dyDescent="0.25"/>
    <row r="116" ht="15" hidden="1" customHeight="1" x14ac:dyDescent="0.25"/>
    <row r="117" ht="15" hidden="1" customHeight="1" x14ac:dyDescent="0.25"/>
    <row r="118" ht="15" hidden="1" customHeight="1" x14ac:dyDescent="0.25"/>
    <row r="119" ht="15" hidden="1" customHeight="1" x14ac:dyDescent="0.25"/>
    <row r="120" ht="15" hidden="1" customHeight="1" x14ac:dyDescent="0.25"/>
    <row r="121" ht="15" hidden="1" customHeight="1" x14ac:dyDescent="0.25"/>
    <row r="122" ht="15" hidden="1" customHeight="1" x14ac:dyDescent="0.25"/>
    <row r="123" ht="15" hidden="1" customHeight="1" x14ac:dyDescent="0.25"/>
    <row r="124" ht="15" hidden="1" customHeight="1" x14ac:dyDescent="0.25"/>
    <row r="125" ht="15" hidden="1" customHeight="1" x14ac:dyDescent="0.25"/>
    <row r="126" ht="15" hidden="1" customHeight="1" x14ac:dyDescent="0.25"/>
    <row r="127" ht="15" hidden="1" customHeight="1" x14ac:dyDescent="0.25"/>
    <row r="128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34" ht="15" hidden="1" customHeight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x14ac:dyDescent="0.25"/>
    <row r="145" x14ac:dyDescent="0.25"/>
    <row r="146" x14ac:dyDescent="0.25"/>
    <row r="147" x14ac:dyDescent="0.25"/>
    <row r="148" x14ac:dyDescent="0.25"/>
    <row r="149" ht="15" customHeight="1" x14ac:dyDescent="0.25"/>
  </sheetData>
  <mergeCells count="485">
    <mergeCell ref="A1:AH1"/>
    <mergeCell ref="C3:F3"/>
    <mergeCell ref="I3:K3"/>
    <mergeCell ref="CF3:CH3"/>
    <mergeCell ref="CJ3:CL3"/>
    <mergeCell ref="CE4:CE5"/>
    <mergeCell ref="CF4:CH5"/>
    <mergeCell ref="CI4:CI7"/>
    <mergeCell ref="CJ4:CL7"/>
    <mergeCell ref="B5:C5"/>
    <mergeCell ref="D5:F5"/>
    <mergeCell ref="B9:D10"/>
    <mergeCell ref="E9:L10"/>
    <mergeCell ref="S9:BY10"/>
    <mergeCell ref="CD9:CQ10"/>
    <mergeCell ref="B12:P12"/>
    <mergeCell ref="S12:BY12"/>
    <mergeCell ref="CD12:CQ12"/>
    <mergeCell ref="N5:O5"/>
    <mergeCell ref="CE6:CE7"/>
    <mergeCell ref="CF6:CH7"/>
    <mergeCell ref="B7:C7"/>
    <mergeCell ref="D7:F7"/>
    <mergeCell ref="N7:O7"/>
    <mergeCell ref="B13:P16"/>
    <mergeCell ref="S13:AC14"/>
    <mergeCell ref="AD13:AG13"/>
    <mergeCell ref="AH13:AK13"/>
    <mergeCell ref="AL13:AO13"/>
    <mergeCell ref="AP13:AS13"/>
    <mergeCell ref="AI15:AI17"/>
    <mergeCell ref="AJ15:AJ17"/>
    <mergeCell ref="AK15:AK17"/>
    <mergeCell ref="AL15:AL17"/>
    <mergeCell ref="AO15:AO17"/>
    <mergeCell ref="AP15:AP17"/>
    <mergeCell ref="AQ15:AQ17"/>
    <mergeCell ref="AR15:AR17"/>
    <mergeCell ref="S15:AC17"/>
    <mergeCell ref="AD15:AD17"/>
    <mergeCell ref="AE15:AE17"/>
    <mergeCell ref="AF15:AF17"/>
    <mergeCell ref="AG15:AG17"/>
    <mergeCell ref="AH15:AH17"/>
    <mergeCell ref="B17:P17"/>
    <mergeCell ref="BR13:BU13"/>
    <mergeCell ref="BV13:BY13"/>
    <mergeCell ref="AD14:AG14"/>
    <mergeCell ref="AH14:AK14"/>
    <mergeCell ref="AL14:AO14"/>
    <mergeCell ref="AP14:AS14"/>
    <mergeCell ref="AT14:AW14"/>
    <mergeCell ref="AX14:BA14"/>
    <mergeCell ref="BB14:BE14"/>
    <mergeCell ref="BF14:BI14"/>
    <mergeCell ref="AT13:AW13"/>
    <mergeCell ref="AX13:BA13"/>
    <mergeCell ref="BB13:BE13"/>
    <mergeCell ref="BF13:BI13"/>
    <mergeCell ref="BJ13:BM13"/>
    <mergeCell ref="BN13:BQ13"/>
    <mergeCell ref="BJ14:BM14"/>
    <mergeCell ref="BN14:BQ14"/>
    <mergeCell ref="BR14:BU14"/>
    <mergeCell ref="BV14:BY14"/>
    <mergeCell ref="CD17:CQ17"/>
    <mergeCell ref="B18:P21"/>
    <mergeCell ref="S18:AC20"/>
    <mergeCell ref="AD18:AD20"/>
    <mergeCell ref="AE18:AE20"/>
    <mergeCell ref="AF18:AF20"/>
    <mergeCell ref="BQ15:BQ17"/>
    <mergeCell ref="BR15:BR17"/>
    <mergeCell ref="BS15:BS17"/>
    <mergeCell ref="BT15:BT17"/>
    <mergeCell ref="BU15:BU17"/>
    <mergeCell ref="BV15:BV17"/>
    <mergeCell ref="BK15:BK17"/>
    <mergeCell ref="BL15:BL17"/>
    <mergeCell ref="BM15:BM17"/>
    <mergeCell ref="BN15:BN17"/>
    <mergeCell ref="BO15:BO17"/>
    <mergeCell ref="BP15:BP17"/>
    <mergeCell ref="BE15:BE17"/>
    <mergeCell ref="BF15:BF17"/>
    <mergeCell ref="BG15:BG17"/>
    <mergeCell ref="BH15:BH17"/>
    <mergeCell ref="BI15:BI17"/>
    <mergeCell ref="AG18:AG20"/>
    <mergeCell ref="AH18:AH20"/>
    <mergeCell ref="AI18:AI20"/>
    <mergeCell ref="AJ18:AJ20"/>
    <mergeCell ref="AK18:AK20"/>
    <mergeCell ref="AL18:AL20"/>
    <mergeCell ref="BW15:BW17"/>
    <mergeCell ref="BX15:BX17"/>
    <mergeCell ref="BY15:BY17"/>
    <mergeCell ref="BJ15:BJ17"/>
    <mergeCell ref="AY15:AY17"/>
    <mergeCell ref="AZ15:AZ17"/>
    <mergeCell ref="BA15:BA17"/>
    <mergeCell ref="BB15:BB17"/>
    <mergeCell ref="BC15:BC17"/>
    <mergeCell ref="BD15:BD17"/>
    <mergeCell ref="AS15:AS17"/>
    <mergeCell ref="AT15:AT17"/>
    <mergeCell ref="AU15:AU17"/>
    <mergeCell ref="AV15:AV17"/>
    <mergeCell ref="AW15:AW17"/>
    <mergeCell ref="AX15:AX17"/>
    <mergeCell ref="AM15:AM17"/>
    <mergeCell ref="AN15:AN17"/>
    <mergeCell ref="AS18:AS20"/>
    <mergeCell ref="AT18:AT20"/>
    <mergeCell ref="AU18:AU20"/>
    <mergeCell ref="AV18:AV20"/>
    <mergeCell ref="AW18:AW20"/>
    <mergeCell ref="AX18:AX20"/>
    <mergeCell ref="AM18:AM20"/>
    <mergeCell ref="AN18:AN20"/>
    <mergeCell ref="AO18:AO20"/>
    <mergeCell ref="AP18:AP20"/>
    <mergeCell ref="AQ18:AQ20"/>
    <mergeCell ref="AR18:AR20"/>
    <mergeCell ref="BP18:BP20"/>
    <mergeCell ref="BE18:BE20"/>
    <mergeCell ref="BF18:BF20"/>
    <mergeCell ref="BG18:BG20"/>
    <mergeCell ref="BH18:BH20"/>
    <mergeCell ref="BI18:BI20"/>
    <mergeCell ref="BJ18:BJ20"/>
    <mergeCell ref="AY18:AY20"/>
    <mergeCell ref="AZ18:AZ20"/>
    <mergeCell ref="BA18:BA20"/>
    <mergeCell ref="BB18:BB20"/>
    <mergeCell ref="BC18:BC20"/>
    <mergeCell ref="BD18:BD20"/>
    <mergeCell ref="AM21:AM23"/>
    <mergeCell ref="AN21:AN23"/>
    <mergeCell ref="AO21:AO23"/>
    <mergeCell ref="BW18:BW20"/>
    <mergeCell ref="BX18:BX20"/>
    <mergeCell ref="BY18:BY20"/>
    <mergeCell ref="S21:AC23"/>
    <mergeCell ref="AD21:AD23"/>
    <mergeCell ref="AE21:AE23"/>
    <mergeCell ref="AF21:AF23"/>
    <mergeCell ref="AG21:AG23"/>
    <mergeCell ref="AH21:AH23"/>
    <mergeCell ref="AI21:AI23"/>
    <mergeCell ref="BQ18:BQ20"/>
    <mergeCell ref="BR18:BR20"/>
    <mergeCell ref="BS18:BS20"/>
    <mergeCell ref="BT18:BT20"/>
    <mergeCell ref="BU18:BU20"/>
    <mergeCell ref="BV18:BV20"/>
    <mergeCell ref="BK18:BK20"/>
    <mergeCell ref="BL18:BL20"/>
    <mergeCell ref="BM18:BM20"/>
    <mergeCell ref="BN18:BN20"/>
    <mergeCell ref="BO18:BO20"/>
    <mergeCell ref="AV21:AV23"/>
    <mergeCell ref="AW21:AW23"/>
    <mergeCell ref="AX21:AX23"/>
    <mergeCell ref="AY21:AY23"/>
    <mergeCell ref="AZ21:AZ23"/>
    <mergeCell ref="BA21:BA23"/>
    <mergeCell ref="AP21:AP23"/>
    <mergeCell ref="AQ21:AQ23"/>
    <mergeCell ref="AR21:AR23"/>
    <mergeCell ref="AS21:AS23"/>
    <mergeCell ref="AT21:AT23"/>
    <mergeCell ref="AU21:AU23"/>
    <mergeCell ref="BH21:BH23"/>
    <mergeCell ref="BI21:BI23"/>
    <mergeCell ref="BJ21:BJ23"/>
    <mergeCell ref="BK21:BK23"/>
    <mergeCell ref="BL21:BL23"/>
    <mergeCell ref="BM21:BM23"/>
    <mergeCell ref="BB21:BB23"/>
    <mergeCell ref="BC21:BC23"/>
    <mergeCell ref="BD21:BD23"/>
    <mergeCell ref="BE21:BE23"/>
    <mergeCell ref="BF21:BF23"/>
    <mergeCell ref="BG21:BG23"/>
    <mergeCell ref="BT21:BT23"/>
    <mergeCell ref="BU21:BU23"/>
    <mergeCell ref="BV21:BV23"/>
    <mergeCell ref="BW21:BW23"/>
    <mergeCell ref="BX21:BX23"/>
    <mergeCell ref="BY21:BY23"/>
    <mergeCell ref="BN21:BN23"/>
    <mergeCell ref="BO21:BO23"/>
    <mergeCell ref="BP21:BP23"/>
    <mergeCell ref="BQ21:BQ23"/>
    <mergeCell ref="BR21:BR23"/>
    <mergeCell ref="BS21:BS23"/>
    <mergeCell ref="AG24:AG26"/>
    <mergeCell ref="AH24:AH26"/>
    <mergeCell ref="AI24:AI26"/>
    <mergeCell ref="AJ24:AJ26"/>
    <mergeCell ref="AK24:AK26"/>
    <mergeCell ref="AL24:AL26"/>
    <mergeCell ref="B22:P22"/>
    <mergeCell ref="B23:P25"/>
    <mergeCell ref="S24:AC26"/>
    <mergeCell ref="AD24:AD26"/>
    <mergeCell ref="AE24:AE26"/>
    <mergeCell ref="AF24:AF26"/>
    <mergeCell ref="AJ21:AJ23"/>
    <mergeCell ref="AK21:AK23"/>
    <mergeCell ref="AL21:AL23"/>
    <mergeCell ref="AS24:AS26"/>
    <mergeCell ref="AT24:AT26"/>
    <mergeCell ref="AU24:AU26"/>
    <mergeCell ref="AV24:AV26"/>
    <mergeCell ref="AW24:AW26"/>
    <mergeCell ref="AX24:AX26"/>
    <mergeCell ref="AM24:AM26"/>
    <mergeCell ref="AN24:AN26"/>
    <mergeCell ref="AO24:AO26"/>
    <mergeCell ref="AP24:AP26"/>
    <mergeCell ref="AQ24:AQ26"/>
    <mergeCell ref="AR24:AR26"/>
    <mergeCell ref="BG24:BG26"/>
    <mergeCell ref="BH24:BH26"/>
    <mergeCell ref="BI24:BI26"/>
    <mergeCell ref="BJ24:BJ26"/>
    <mergeCell ref="AY24:AY26"/>
    <mergeCell ref="AZ24:AZ26"/>
    <mergeCell ref="BA24:BA26"/>
    <mergeCell ref="BB24:BB26"/>
    <mergeCell ref="BC24:BC26"/>
    <mergeCell ref="BD24:BD26"/>
    <mergeCell ref="BW24:BW26"/>
    <mergeCell ref="BX24:BX26"/>
    <mergeCell ref="BY24:BY26"/>
    <mergeCell ref="B26:P26"/>
    <mergeCell ref="B27:H27"/>
    <mergeCell ref="I27:P27"/>
    <mergeCell ref="S27:AC29"/>
    <mergeCell ref="AD27:AD29"/>
    <mergeCell ref="AE27:AE29"/>
    <mergeCell ref="AF27:AF29"/>
    <mergeCell ref="BQ24:BQ26"/>
    <mergeCell ref="BR24:BR26"/>
    <mergeCell ref="BS24:BS26"/>
    <mergeCell ref="BT24:BT26"/>
    <mergeCell ref="BU24:BU26"/>
    <mergeCell ref="BV24:BV26"/>
    <mergeCell ref="BK24:BK26"/>
    <mergeCell ref="BL24:BL26"/>
    <mergeCell ref="BM24:BM26"/>
    <mergeCell ref="BN24:BN26"/>
    <mergeCell ref="BO24:BO26"/>
    <mergeCell ref="BP24:BP26"/>
    <mergeCell ref="BE24:BE26"/>
    <mergeCell ref="BF24:BF26"/>
    <mergeCell ref="AM27:AM29"/>
    <mergeCell ref="AN27:AN29"/>
    <mergeCell ref="AO27:AO29"/>
    <mergeCell ref="AP27:AP29"/>
    <mergeCell ref="AQ27:AQ29"/>
    <mergeCell ref="AR27:AR29"/>
    <mergeCell ref="AG27:AG29"/>
    <mergeCell ref="AH27:AH29"/>
    <mergeCell ref="AI27:AI29"/>
    <mergeCell ref="AJ27:AJ29"/>
    <mergeCell ref="AK27:AK29"/>
    <mergeCell ref="AL27:AL29"/>
    <mergeCell ref="BI27:BI29"/>
    <mergeCell ref="BJ27:BJ29"/>
    <mergeCell ref="AY27:AY29"/>
    <mergeCell ref="AZ27:AZ29"/>
    <mergeCell ref="BA27:BA29"/>
    <mergeCell ref="BB27:BB29"/>
    <mergeCell ref="BC27:BC29"/>
    <mergeCell ref="BD27:BD29"/>
    <mergeCell ref="AS27:AS29"/>
    <mergeCell ref="AT27:AT29"/>
    <mergeCell ref="AU27:AU29"/>
    <mergeCell ref="AV27:AV29"/>
    <mergeCell ref="AW27:AW29"/>
    <mergeCell ref="AX27:AX29"/>
    <mergeCell ref="BW27:BW29"/>
    <mergeCell ref="BX27:BX29"/>
    <mergeCell ref="BY27:BY29"/>
    <mergeCell ref="B28:B29"/>
    <mergeCell ref="C28:H28"/>
    <mergeCell ref="I28:P28"/>
    <mergeCell ref="C29:H29"/>
    <mergeCell ref="I29:P29"/>
    <mergeCell ref="BQ27:BQ29"/>
    <mergeCell ref="BR27:BR29"/>
    <mergeCell ref="BS27:BS29"/>
    <mergeCell ref="BT27:BT29"/>
    <mergeCell ref="BU27:BU29"/>
    <mergeCell ref="BV27:BV29"/>
    <mergeCell ref="BK27:BK29"/>
    <mergeCell ref="BL27:BL29"/>
    <mergeCell ref="BM27:BM29"/>
    <mergeCell ref="BN27:BN29"/>
    <mergeCell ref="BO27:BO29"/>
    <mergeCell ref="BP27:BP29"/>
    <mergeCell ref="BE27:BE29"/>
    <mergeCell ref="BF27:BF29"/>
    <mergeCell ref="BG27:BG29"/>
    <mergeCell ref="BH27:BH29"/>
    <mergeCell ref="B30:B31"/>
    <mergeCell ref="C30:H30"/>
    <mergeCell ref="I30:P30"/>
    <mergeCell ref="S30:AC32"/>
    <mergeCell ref="AD30:AD32"/>
    <mergeCell ref="AE30:AE32"/>
    <mergeCell ref="B32:B34"/>
    <mergeCell ref="C33:H33"/>
    <mergeCell ref="I33:P33"/>
    <mergeCell ref="S33:AC35"/>
    <mergeCell ref="C34:H34"/>
    <mergeCell ref="I34:P34"/>
    <mergeCell ref="B35:B36"/>
    <mergeCell ref="C35:H35"/>
    <mergeCell ref="I35:P35"/>
    <mergeCell ref="C36:H36"/>
    <mergeCell ref="I36:P36"/>
    <mergeCell ref="AL30:AL32"/>
    <mergeCell ref="AM30:AM32"/>
    <mergeCell ref="AN30:AN32"/>
    <mergeCell ref="AO30:AO32"/>
    <mergeCell ref="AP30:AP32"/>
    <mergeCell ref="AQ30:AQ32"/>
    <mergeCell ref="AF30:AF32"/>
    <mergeCell ref="AG30:AG32"/>
    <mergeCell ref="AH30:AH32"/>
    <mergeCell ref="AI30:AI32"/>
    <mergeCell ref="AJ30:AJ32"/>
    <mergeCell ref="AK30:AK32"/>
    <mergeCell ref="BH30:BH32"/>
    <mergeCell ref="BI30:BI32"/>
    <mergeCell ref="AX30:AX32"/>
    <mergeCell ref="AY30:AY32"/>
    <mergeCell ref="AZ30:AZ32"/>
    <mergeCell ref="BA30:BA32"/>
    <mergeCell ref="BB30:BB32"/>
    <mergeCell ref="BC30:BC32"/>
    <mergeCell ref="AR30:AR32"/>
    <mergeCell ref="AS30:AS32"/>
    <mergeCell ref="AT30:AT32"/>
    <mergeCell ref="AU30:AU32"/>
    <mergeCell ref="AV30:AV32"/>
    <mergeCell ref="AW30:AW32"/>
    <mergeCell ref="BV30:BV32"/>
    <mergeCell ref="BW30:BW32"/>
    <mergeCell ref="BX30:BX32"/>
    <mergeCell ref="BY30:BY32"/>
    <mergeCell ref="C31:H31"/>
    <mergeCell ref="I31:P31"/>
    <mergeCell ref="C32:H32"/>
    <mergeCell ref="I32:P32"/>
    <mergeCell ref="BP30:BP32"/>
    <mergeCell ref="BQ30:BQ32"/>
    <mergeCell ref="BR30:BR32"/>
    <mergeCell ref="BS30:BS32"/>
    <mergeCell ref="BT30:BT32"/>
    <mergeCell ref="BU30:BU32"/>
    <mergeCell ref="BJ30:BJ32"/>
    <mergeCell ref="BK30:BK32"/>
    <mergeCell ref="BL30:BL32"/>
    <mergeCell ref="BM30:BM32"/>
    <mergeCell ref="BN30:BN32"/>
    <mergeCell ref="BO30:BO32"/>
    <mergeCell ref="BD30:BD32"/>
    <mergeCell ref="BE30:BE32"/>
    <mergeCell ref="BF30:BF32"/>
    <mergeCell ref="BG30:BG32"/>
    <mergeCell ref="AJ33:AJ35"/>
    <mergeCell ref="AK33:AK35"/>
    <mergeCell ref="AL33:AL35"/>
    <mergeCell ref="AM33:AM35"/>
    <mergeCell ref="AN33:AN35"/>
    <mergeCell ref="AO33:AO35"/>
    <mergeCell ref="AD33:AD35"/>
    <mergeCell ref="AE33:AE35"/>
    <mergeCell ref="AF33:AF35"/>
    <mergeCell ref="AG33:AG35"/>
    <mergeCell ref="AH33:AH35"/>
    <mergeCell ref="AI33:AI35"/>
    <mergeCell ref="AY33:AY35"/>
    <mergeCell ref="AZ33:AZ35"/>
    <mergeCell ref="BA33:BA35"/>
    <mergeCell ref="AP33:AP35"/>
    <mergeCell ref="AQ33:AQ35"/>
    <mergeCell ref="AR33:AR35"/>
    <mergeCell ref="AS33:AS35"/>
    <mergeCell ref="AT33:AT35"/>
    <mergeCell ref="AU33:AU35"/>
    <mergeCell ref="AV33:AV35"/>
    <mergeCell ref="AW33:AW35"/>
    <mergeCell ref="AX33:AX35"/>
    <mergeCell ref="BV33:BV35"/>
    <mergeCell ref="BW33:BW35"/>
    <mergeCell ref="BX33:BX35"/>
    <mergeCell ref="BY33:BY35"/>
    <mergeCell ref="BN33:BN35"/>
    <mergeCell ref="BO33:BO35"/>
    <mergeCell ref="BP33:BP35"/>
    <mergeCell ref="BQ33:BQ35"/>
    <mergeCell ref="BR33:BR35"/>
    <mergeCell ref="BS33:BS35"/>
    <mergeCell ref="BT33:BT35"/>
    <mergeCell ref="BU33:BU35"/>
    <mergeCell ref="BH33:BH35"/>
    <mergeCell ref="BI33:BI35"/>
    <mergeCell ref="BJ33:BJ35"/>
    <mergeCell ref="BK33:BK35"/>
    <mergeCell ref="BL33:BL35"/>
    <mergeCell ref="BM33:BM35"/>
    <mergeCell ref="BB33:BB35"/>
    <mergeCell ref="BC33:BC35"/>
    <mergeCell ref="BD33:BD35"/>
    <mergeCell ref="BE33:BE35"/>
    <mergeCell ref="BF33:BF35"/>
    <mergeCell ref="BG33:BG35"/>
    <mergeCell ref="AS36:AS38"/>
    <mergeCell ref="AT36:AT38"/>
    <mergeCell ref="AI36:AI38"/>
    <mergeCell ref="AJ36:AJ38"/>
    <mergeCell ref="AK36:AK38"/>
    <mergeCell ref="AL36:AL38"/>
    <mergeCell ref="AM36:AM38"/>
    <mergeCell ref="AN36:AN38"/>
    <mergeCell ref="S36:AC38"/>
    <mergeCell ref="AD36:AD38"/>
    <mergeCell ref="AE36:AE38"/>
    <mergeCell ref="AF36:AF38"/>
    <mergeCell ref="AG36:AG38"/>
    <mergeCell ref="AH36:AH38"/>
    <mergeCell ref="B37:P37"/>
    <mergeCell ref="B38:D38"/>
    <mergeCell ref="E38:H38"/>
    <mergeCell ref="I38:J38"/>
    <mergeCell ref="K38:P38"/>
    <mergeCell ref="BS36:BS38"/>
    <mergeCell ref="BT36:BT38"/>
    <mergeCell ref="BU36:BU38"/>
    <mergeCell ref="BV36:BV38"/>
    <mergeCell ref="BM36:BM38"/>
    <mergeCell ref="BN36:BN38"/>
    <mergeCell ref="BO36:BO38"/>
    <mergeCell ref="BP36:BP38"/>
    <mergeCell ref="BQ36:BQ38"/>
    <mergeCell ref="BR36:BR38"/>
    <mergeCell ref="BG36:BG38"/>
    <mergeCell ref="BH36:BH38"/>
    <mergeCell ref="BI36:BI38"/>
    <mergeCell ref="BJ36:BJ38"/>
    <mergeCell ref="BK36:BK38"/>
    <mergeCell ref="BL36:BL38"/>
    <mergeCell ref="BA36:BA38"/>
    <mergeCell ref="BB36:BB38"/>
    <mergeCell ref="BC36:BC38"/>
    <mergeCell ref="Z40:AB40"/>
    <mergeCell ref="AE40:AG40"/>
    <mergeCell ref="AJ40:AL40"/>
    <mergeCell ref="AP40:AR40"/>
    <mergeCell ref="Y41:AC41"/>
    <mergeCell ref="AD41:AH41"/>
    <mergeCell ref="AI41:AM41"/>
    <mergeCell ref="AN41:AT41"/>
    <mergeCell ref="BY36:BY38"/>
    <mergeCell ref="BW36:BW38"/>
    <mergeCell ref="BX36:BX38"/>
    <mergeCell ref="BD36:BD38"/>
    <mergeCell ref="BE36:BE38"/>
    <mergeCell ref="BF36:BF38"/>
    <mergeCell ref="AU36:AU38"/>
    <mergeCell ref="AV36:AV38"/>
    <mergeCell ref="AW36:AW38"/>
    <mergeCell ref="AX36:AX38"/>
    <mergeCell ref="AY36:AY38"/>
    <mergeCell ref="AZ36:AZ38"/>
    <mergeCell ref="AO36:AO38"/>
    <mergeCell ref="AP36:AP38"/>
    <mergeCell ref="AQ36:AQ38"/>
    <mergeCell ref="AR36:AR38"/>
  </mergeCells>
  <conditionalFormatting sqref="CE16:CQ16 CE21:CQ21">
    <cfRule type="cellIs" dxfId="9" priority="1" operator="lessThan">
      <formula>1</formula>
    </cfRule>
    <cfRule type="cellIs" dxfId="8" priority="2" operator="greaterThanOrEqual">
      <formula>1</formula>
    </cfRule>
  </conditionalFormatting>
  <dataValidations disablePrompts="1" count="1">
    <dataValidation type="list" allowBlank="1" showInputMessage="1" showErrorMessage="1" sqref="I3 L3">
      <formula1>$DC$3:$DC$38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Cadastro!F7:F17</xm:f>
          </x14:formula1>
          <xm:sqref>E9:L10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49"/>
  <sheetViews>
    <sheetView showGridLines="0" zoomScaleNormal="100" workbookViewId="0">
      <selection activeCell="C3" sqref="C3:F3"/>
    </sheetView>
  </sheetViews>
  <sheetFormatPr defaultColWidth="0" defaultRowHeight="15" customHeight="1" zeroHeight="1" x14ac:dyDescent="0.25"/>
  <cols>
    <col min="1" max="6" width="9.7109375" style="4" customWidth="1"/>
    <col min="7" max="7" width="9.28515625" style="4" customWidth="1"/>
    <col min="8" max="8" width="14.28515625" style="4" bestFit="1" customWidth="1"/>
    <col min="9" max="9" width="11.28515625" style="4" bestFit="1" customWidth="1"/>
    <col min="10" max="16" width="9.7109375" style="4" customWidth="1"/>
    <col min="17" max="17" width="0.28515625" style="4" customWidth="1"/>
    <col min="18" max="18" width="4" style="4" customWidth="1"/>
    <col min="19" max="81" width="1.42578125" style="4" customWidth="1"/>
    <col min="82" max="82" width="10.5703125" style="4" bestFit="1" customWidth="1"/>
    <col min="83" max="83" width="14.28515625" style="4" bestFit="1" customWidth="1"/>
    <col min="84" max="92" width="13.28515625" style="4" customWidth="1"/>
    <col min="93" max="93" width="13.28515625" style="5" customWidth="1"/>
    <col min="94" max="95" width="13.28515625" style="4" customWidth="1"/>
    <col min="96" max="96" width="1.28515625" style="4" customWidth="1"/>
    <col min="97" max="16384" width="9.140625" style="4" hidden="1"/>
  </cols>
  <sheetData>
    <row r="1" spans="1:107" s="94" customFormat="1" ht="36" customHeight="1" x14ac:dyDescent="0.25">
      <c r="A1" s="197" t="s">
        <v>145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</row>
    <row r="2" spans="1:107" ht="15.75" thickBot="1" x14ac:dyDescent="0.3">
      <c r="B2" s="5">
        <f>C3</f>
        <v>0</v>
      </c>
      <c r="C2" s="5"/>
      <c r="D2" s="5">
        <f>I3</f>
        <v>0</v>
      </c>
      <c r="E2" s="5"/>
      <c r="F2" s="5"/>
      <c r="G2" s="5">
        <f>B13</f>
        <v>0</v>
      </c>
      <c r="H2" s="5" t="str">
        <f>E9</f>
        <v>PRECIFICAÇÃO DE PROJETOS</v>
      </c>
    </row>
    <row r="3" spans="1:107" s="6" customFormat="1" ht="18" customHeight="1" thickBot="1" x14ac:dyDescent="0.3">
      <c r="A3" s="4"/>
      <c r="B3" s="22" t="s">
        <v>45</v>
      </c>
      <c r="C3" s="176"/>
      <c r="D3" s="176"/>
      <c r="E3" s="176"/>
      <c r="F3" s="177"/>
      <c r="G3" s="4"/>
      <c r="H3" s="23" t="s">
        <v>41</v>
      </c>
      <c r="I3" s="108"/>
      <c r="J3" s="109"/>
      <c r="K3" s="110"/>
      <c r="L3" s="26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20"/>
      <c r="CE3" s="37"/>
      <c r="CF3" s="199"/>
      <c r="CG3" s="199"/>
      <c r="CH3" s="199"/>
      <c r="CI3" s="37"/>
      <c r="CJ3" s="199"/>
      <c r="CK3" s="199"/>
      <c r="CL3" s="199"/>
      <c r="CM3" s="4"/>
      <c r="CN3" s="4"/>
      <c r="CO3" s="5"/>
      <c r="CP3" s="4"/>
      <c r="CQ3" s="4"/>
      <c r="CR3" s="4"/>
      <c r="CT3" s="5" t="s">
        <v>11</v>
      </c>
      <c r="CU3" s="5"/>
      <c r="CV3" s="5"/>
      <c r="CW3" s="5"/>
      <c r="CX3" s="5"/>
      <c r="CY3" s="5" t="s">
        <v>24</v>
      </c>
      <c r="CZ3" s="5"/>
      <c r="DA3" s="5"/>
      <c r="DB3" s="5"/>
      <c r="DC3" s="5" t="s">
        <v>66</v>
      </c>
    </row>
    <row r="4" spans="1:107" s="6" customFormat="1" ht="7.5" customHeight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20"/>
      <c r="CE4" s="201"/>
      <c r="CF4" s="199"/>
      <c r="CG4" s="199"/>
      <c r="CH4" s="199"/>
      <c r="CI4" s="200"/>
      <c r="CJ4" s="199"/>
      <c r="CK4" s="199"/>
      <c r="CL4" s="199"/>
      <c r="CM4" s="4"/>
      <c r="CN4" s="4"/>
      <c r="CO4" s="5"/>
      <c r="CP4" s="4"/>
      <c r="CQ4" s="4"/>
      <c r="CR4" s="4"/>
      <c r="CT4" s="5" t="s">
        <v>12</v>
      </c>
      <c r="CU4" s="5"/>
      <c r="CV4" s="5"/>
      <c r="CW4" s="5"/>
      <c r="CX4" s="5"/>
      <c r="CY4" s="5" t="s">
        <v>23</v>
      </c>
      <c r="CZ4" s="5"/>
      <c r="DA4" s="5"/>
      <c r="DB4" s="5"/>
      <c r="DC4" s="5" t="s">
        <v>67</v>
      </c>
    </row>
    <row r="5" spans="1:107" s="6" customFormat="1" ht="18" customHeight="1" thickBot="1" x14ac:dyDescent="0.3">
      <c r="A5" s="5">
        <f>D5</f>
        <v>0</v>
      </c>
      <c r="B5" s="178" t="s">
        <v>40</v>
      </c>
      <c r="C5" s="179"/>
      <c r="D5" s="176"/>
      <c r="E5" s="176"/>
      <c r="F5" s="177"/>
      <c r="G5" s="4"/>
      <c r="H5" s="24" t="s">
        <v>42</v>
      </c>
      <c r="I5" s="7"/>
      <c r="K5" s="30" t="s">
        <v>59</v>
      </c>
      <c r="L5" s="31"/>
      <c r="M5" s="32"/>
      <c r="N5" s="182"/>
      <c r="O5" s="183"/>
      <c r="P5" s="51">
        <f>N5</f>
        <v>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20"/>
      <c r="CE5" s="201"/>
      <c r="CF5" s="199"/>
      <c r="CG5" s="199"/>
      <c r="CH5" s="199"/>
      <c r="CI5" s="200"/>
      <c r="CJ5" s="199"/>
      <c r="CK5" s="199"/>
      <c r="CL5" s="199"/>
      <c r="CM5" s="4"/>
      <c r="CN5" s="4"/>
      <c r="CO5" s="5"/>
      <c r="CP5" s="4"/>
      <c r="CQ5" s="4"/>
      <c r="CR5" s="4"/>
      <c r="CT5" s="5" t="s">
        <v>13</v>
      </c>
      <c r="CU5" s="5"/>
      <c r="CV5" s="5"/>
      <c r="CW5" s="5"/>
      <c r="CX5" s="5"/>
      <c r="CY5" s="5" t="s">
        <v>26</v>
      </c>
      <c r="CZ5" s="5"/>
      <c r="DA5" s="5"/>
      <c r="DB5" s="5"/>
      <c r="DC5" s="5" t="s">
        <v>68</v>
      </c>
    </row>
    <row r="6" spans="1:107" s="6" customFormat="1" ht="7.5" customHeight="1" thickBot="1" x14ac:dyDescent="0.3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20"/>
      <c r="CE6" s="201"/>
      <c r="CF6" s="199"/>
      <c r="CG6" s="199"/>
      <c r="CH6" s="199"/>
      <c r="CI6" s="200"/>
      <c r="CJ6" s="199"/>
      <c r="CK6" s="199"/>
      <c r="CL6" s="199"/>
      <c r="CM6" s="4"/>
      <c r="CN6" s="4"/>
      <c r="CO6" s="5"/>
      <c r="CP6" s="4"/>
      <c r="CQ6" s="4"/>
      <c r="CR6" s="4"/>
      <c r="CT6" s="5" t="s">
        <v>14</v>
      </c>
      <c r="CU6" s="5"/>
      <c r="CV6" s="5"/>
      <c r="CW6" s="5"/>
      <c r="CX6" s="5"/>
      <c r="CY6" s="5" t="s">
        <v>25</v>
      </c>
      <c r="CZ6" s="5"/>
      <c r="DA6" s="5"/>
      <c r="DB6" s="5"/>
      <c r="DC6" s="5" t="s">
        <v>69</v>
      </c>
    </row>
    <row r="7" spans="1:107" s="6" customFormat="1" ht="18" customHeight="1" thickBot="1" x14ac:dyDescent="0.3">
      <c r="A7" s="5">
        <f>D7</f>
        <v>0</v>
      </c>
      <c r="B7" s="178" t="s">
        <v>9</v>
      </c>
      <c r="C7" s="179"/>
      <c r="D7" s="176"/>
      <c r="E7" s="176"/>
      <c r="F7" s="177"/>
      <c r="G7" s="4"/>
      <c r="H7" s="25" t="s">
        <v>44</v>
      </c>
      <c r="I7" s="7"/>
      <c r="J7" s="27"/>
      <c r="K7" s="28" t="s">
        <v>58</v>
      </c>
      <c r="L7" s="33"/>
      <c r="M7" s="34"/>
      <c r="N7" s="180"/>
      <c r="O7" s="181"/>
      <c r="P7" s="5">
        <f>N7</f>
        <v>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20"/>
      <c r="CE7" s="201"/>
      <c r="CF7" s="199"/>
      <c r="CG7" s="199"/>
      <c r="CH7" s="199"/>
      <c r="CI7" s="200"/>
      <c r="CJ7" s="199"/>
      <c r="CK7" s="199"/>
      <c r="CL7" s="199"/>
      <c r="CM7" s="4"/>
      <c r="CN7" s="4"/>
      <c r="CO7" s="5"/>
      <c r="CP7" s="4"/>
      <c r="CQ7" s="4"/>
      <c r="CR7" s="4"/>
      <c r="CT7" s="5" t="s">
        <v>15</v>
      </c>
      <c r="CU7" s="5"/>
      <c r="CV7" s="5"/>
      <c r="CW7" s="5"/>
      <c r="CX7" s="5"/>
      <c r="CY7" s="5" t="s">
        <v>22</v>
      </c>
      <c r="CZ7" s="5"/>
      <c r="DA7" s="5"/>
      <c r="DB7" s="5"/>
      <c r="DC7" s="5" t="s">
        <v>70</v>
      </c>
    </row>
    <row r="8" spans="1:107" s="6" customFormat="1" ht="7.5" customHeight="1" thickBot="1" x14ac:dyDescent="0.3">
      <c r="A8" s="4"/>
      <c r="B8" s="4"/>
      <c r="C8" s="4"/>
      <c r="D8" s="4"/>
      <c r="E8" s="4"/>
      <c r="F8" s="4"/>
      <c r="G8" s="4"/>
      <c r="H8" s="29"/>
      <c r="I8" s="27"/>
      <c r="J8" s="27"/>
      <c r="K8" s="27"/>
      <c r="L8" s="27"/>
      <c r="M8" s="27"/>
      <c r="N8" s="27"/>
      <c r="O8" s="27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5"/>
      <c r="CP8" s="4"/>
      <c r="CQ8" s="4"/>
      <c r="CR8" s="4"/>
      <c r="CT8" s="5" t="s">
        <v>16</v>
      </c>
      <c r="CU8" s="5"/>
      <c r="CV8" s="5"/>
      <c r="CW8" s="5"/>
      <c r="CX8" s="5"/>
      <c r="CY8" s="5" t="s">
        <v>21</v>
      </c>
      <c r="CZ8" s="5"/>
      <c r="DA8" s="5"/>
      <c r="DB8" s="5"/>
      <c r="DC8" s="5" t="s">
        <v>71</v>
      </c>
    </row>
    <row r="9" spans="1:107" s="6" customFormat="1" ht="15" customHeight="1" x14ac:dyDescent="0.25">
      <c r="A9" s="4"/>
      <c r="B9" s="111" t="s">
        <v>60</v>
      </c>
      <c r="C9" s="112"/>
      <c r="D9" s="113"/>
      <c r="E9" s="117" t="s">
        <v>125</v>
      </c>
      <c r="F9" s="118"/>
      <c r="G9" s="118"/>
      <c r="H9" s="118"/>
      <c r="I9" s="118"/>
      <c r="J9" s="118"/>
      <c r="K9" s="118"/>
      <c r="L9" s="119"/>
      <c r="M9" s="27"/>
      <c r="N9" s="27"/>
      <c r="O9" s="27"/>
      <c r="P9" s="27"/>
      <c r="Q9" s="4"/>
      <c r="R9" s="4"/>
      <c r="S9" s="104" t="s">
        <v>126</v>
      </c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4"/>
      <c r="CA9" s="4"/>
      <c r="CB9" s="4"/>
      <c r="CC9" s="4"/>
      <c r="CD9" s="104" t="s">
        <v>122</v>
      </c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4"/>
      <c r="CT9" s="5" t="s">
        <v>54</v>
      </c>
      <c r="CU9" s="5"/>
      <c r="CV9" s="5"/>
      <c r="CW9" s="5"/>
      <c r="CX9" s="5"/>
      <c r="CY9" s="5" t="s">
        <v>20</v>
      </c>
      <c r="CZ9" s="5"/>
      <c r="DA9" s="5"/>
      <c r="DB9" s="5"/>
      <c r="DC9" s="5" t="s">
        <v>72</v>
      </c>
    </row>
    <row r="10" spans="1:107" s="6" customFormat="1" ht="7.5" customHeight="1" thickBot="1" x14ac:dyDescent="0.3">
      <c r="A10" s="4"/>
      <c r="B10" s="114"/>
      <c r="C10" s="115"/>
      <c r="D10" s="116"/>
      <c r="E10" s="120"/>
      <c r="F10" s="121"/>
      <c r="G10" s="121"/>
      <c r="H10" s="121"/>
      <c r="I10" s="121"/>
      <c r="J10" s="121"/>
      <c r="K10" s="121"/>
      <c r="L10" s="122"/>
      <c r="M10" s="27"/>
      <c r="N10" s="27"/>
      <c r="O10" s="27"/>
      <c r="P10" s="27"/>
      <c r="Q10" s="4"/>
      <c r="R10" s="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4"/>
      <c r="CA10" s="4"/>
      <c r="CB10" s="4"/>
      <c r="CC10" s="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4"/>
      <c r="CT10" s="5" t="s">
        <v>55</v>
      </c>
      <c r="CU10" s="5"/>
      <c r="CV10" s="5"/>
      <c r="CW10" s="5"/>
      <c r="CX10" s="5"/>
      <c r="CY10" s="5"/>
      <c r="CZ10" s="5"/>
      <c r="DA10" s="5"/>
      <c r="DB10" s="5"/>
      <c r="DC10" s="5" t="s">
        <v>73</v>
      </c>
    </row>
    <row r="11" spans="1:107" s="6" customFormat="1" ht="15" customHeight="1" thickBot="1" x14ac:dyDescent="0.3">
      <c r="A11" s="4"/>
      <c r="G11" s="4"/>
      <c r="H11" s="29"/>
      <c r="I11" s="27"/>
      <c r="J11" s="27"/>
      <c r="K11" s="27"/>
      <c r="L11" s="27"/>
      <c r="M11" s="27"/>
      <c r="N11" s="27"/>
      <c r="O11" s="27"/>
      <c r="P11" s="27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R11" s="4"/>
      <c r="CT11" s="5" t="s">
        <v>56</v>
      </c>
      <c r="CU11" s="5"/>
      <c r="CV11" s="5"/>
      <c r="CW11" s="5"/>
      <c r="CX11" s="5"/>
      <c r="CY11" s="5"/>
      <c r="CZ11" s="5"/>
      <c r="DA11" s="5"/>
      <c r="DB11" s="5"/>
      <c r="DC11" s="5" t="s">
        <v>74</v>
      </c>
    </row>
    <row r="12" spans="1:107" s="6" customFormat="1" ht="15" customHeight="1" thickTop="1" thickBot="1" x14ac:dyDescent="0.3">
      <c r="A12" s="4"/>
      <c r="B12" s="174" t="s">
        <v>28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4"/>
      <c r="R12" s="4"/>
      <c r="S12" s="134" t="s">
        <v>30</v>
      </c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6"/>
      <c r="BZ12" s="35"/>
      <c r="CA12" s="35"/>
      <c r="CB12" s="35"/>
      <c r="CC12" s="36"/>
      <c r="CD12" s="101" t="s">
        <v>17</v>
      </c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3"/>
      <c r="CR12" s="4"/>
      <c r="CT12" s="5"/>
      <c r="CU12" s="5"/>
      <c r="CV12" s="5"/>
      <c r="CW12" s="5"/>
      <c r="CX12" s="5"/>
      <c r="CY12" s="5"/>
      <c r="CZ12" s="5"/>
      <c r="DA12" s="5"/>
      <c r="DB12" s="5"/>
      <c r="DC12" s="5" t="s">
        <v>75</v>
      </c>
    </row>
    <row r="13" spans="1:107" s="6" customFormat="1" ht="15" customHeight="1" thickTop="1" thickBot="1" x14ac:dyDescent="0.3">
      <c r="A13" s="4"/>
      <c r="B13" s="165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7"/>
      <c r="Q13" s="4"/>
      <c r="R13" s="4"/>
      <c r="S13" s="185" t="s">
        <v>121</v>
      </c>
      <c r="T13" s="186"/>
      <c r="U13" s="186"/>
      <c r="V13" s="186"/>
      <c r="W13" s="186"/>
      <c r="X13" s="186"/>
      <c r="Y13" s="186"/>
      <c r="Z13" s="186"/>
      <c r="AA13" s="186"/>
      <c r="AB13" s="186"/>
      <c r="AC13" s="187"/>
      <c r="AD13" s="191">
        <v>1</v>
      </c>
      <c r="AE13" s="192"/>
      <c r="AF13" s="192"/>
      <c r="AG13" s="193"/>
      <c r="AH13" s="191">
        <v>2</v>
      </c>
      <c r="AI13" s="192"/>
      <c r="AJ13" s="192"/>
      <c r="AK13" s="193"/>
      <c r="AL13" s="191">
        <v>3</v>
      </c>
      <c r="AM13" s="192"/>
      <c r="AN13" s="192"/>
      <c r="AO13" s="193"/>
      <c r="AP13" s="191">
        <v>4</v>
      </c>
      <c r="AQ13" s="192"/>
      <c r="AR13" s="192"/>
      <c r="AS13" s="193"/>
      <c r="AT13" s="191">
        <v>5</v>
      </c>
      <c r="AU13" s="192"/>
      <c r="AV13" s="192"/>
      <c r="AW13" s="193"/>
      <c r="AX13" s="191">
        <v>6</v>
      </c>
      <c r="AY13" s="192"/>
      <c r="AZ13" s="192"/>
      <c r="BA13" s="193"/>
      <c r="BB13" s="191">
        <v>7</v>
      </c>
      <c r="BC13" s="192"/>
      <c r="BD13" s="192"/>
      <c r="BE13" s="193"/>
      <c r="BF13" s="191">
        <v>8</v>
      </c>
      <c r="BG13" s="192"/>
      <c r="BH13" s="192"/>
      <c r="BI13" s="193"/>
      <c r="BJ13" s="191">
        <v>9</v>
      </c>
      <c r="BK13" s="192"/>
      <c r="BL13" s="192"/>
      <c r="BM13" s="193"/>
      <c r="BN13" s="191">
        <v>10</v>
      </c>
      <c r="BO13" s="192"/>
      <c r="BP13" s="192"/>
      <c r="BQ13" s="193"/>
      <c r="BR13" s="191">
        <v>11</v>
      </c>
      <c r="BS13" s="192"/>
      <c r="BT13" s="192"/>
      <c r="BU13" s="193"/>
      <c r="BV13" s="191">
        <v>12</v>
      </c>
      <c r="BW13" s="192"/>
      <c r="BX13" s="192"/>
      <c r="BY13" s="193"/>
      <c r="BZ13" s="4"/>
      <c r="CA13" s="4"/>
      <c r="CB13" s="4"/>
      <c r="CC13" s="4"/>
      <c r="CD13" s="8"/>
      <c r="CE13" s="9" t="s">
        <v>27</v>
      </c>
      <c r="CF13" s="10" t="str">
        <f>AD14</f>
        <v>JAN</v>
      </c>
      <c r="CG13" s="10" t="str">
        <f>AH14</f>
        <v>FEV</v>
      </c>
      <c r="CH13" s="10" t="str">
        <f>AL14</f>
        <v>MAR</v>
      </c>
      <c r="CI13" s="10" t="str">
        <f>AP14</f>
        <v>ABR</v>
      </c>
      <c r="CJ13" s="10" t="str">
        <f>AT14</f>
        <v>MAI</v>
      </c>
      <c r="CK13" s="10" t="str">
        <f>AX14</f>
        <v>JUN</v>
      </c>
      <c r="CL13" s="10" t="str">
        <f>BB14</f>
        <v>JUL</v>
      </c>
      <c r="CM13" s="10" t="str">
        <f>BF14</f>
        <v>AGO</v>
      </c>
      <c r="CN13" s="10" t="str">
        <f>BJ14</f>
        <v>SET</v>
      </c>
      <c r="CO13" s="10" t="str">
        <f>BN14</f>
        <v>OUT</v>
      </c>
      <c r="CP13" s="10" t="str">
        <f>BR14</f>
        <v>NOV</v>
      </c>
      <c r="CQ13" s="10" t="str">
        <f>BV14</f>
        <v>DEZ</v>
      </c>
      <c r="CR13" s="4"/>
      <c r="CT13" s="5"/>
      <c r="CU13" s="5"/>
      <c r="CV13" s="5"/>
      <c r="CW13" s="5"/>
      <c r="CX13" s="5"/>
      <c r="CY13" s="5"/>
      <c r="CZ13" s="5"/>
      <c r="DA13" s="5"/>
      <c r="DB13" s="5"/>
      <c r="DC13" s="5" t="s">
        <v>76</v>
      </c>
    </row>
    <row r="14" spans="1:107" s="6" customFormat="1" ht="15" customHeight="1" thickTop="1" thickBot="1" x14ac:dyDescent="0.3">
      <c r="A14" s="4"/>
      <c r="B14" s="168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70"/>
      <c r="Q14" s="4"/>
      <c r="R14" s="4"/>
      <c r="S14" s="188"/>
      <c r="T14" s="189"/>
      <c r="U14" s="189"/>
      <c r="V14" s="189"/>
      <c r="W14" s="189"/>
      <c r="X14" s="189"/>
      <c r="Y14" s="189"/>
      <c r="Z14" s="189"/>
      <c r="AA14" s="189"/>
      <c r="AB14" s="189"/>
      <c r="AC14" s="190"/>
      <c r="AD14" s="194" t="s">
        <v>109</v>
      </c>
      <c r="AE14" s="195"/>
      <c r="AF14" s="195"/>
      <c r="AG14" s="196"/>
      <c r="AH14" s="194" t="s">
        <v>110</v>
      </c>
      <c r="AI14" s="195"/>
      <c r="AJ14" s="195"/>
      <c r="AK14" s="196"/>
      <c r="AL14" s="194" t="s">
        <v>111</v>
      </c>
      <c r="AM14" s="195"/>
      <c r="AN14" s="195"/>
      <c r="AO14" s="196"/>
      <c r="AP14" s="194" t="s">
        <v>112</v>
      </c>
      <c r="AQ14" s="195"/>
      <c r="AR14" s="195"/>
      <c r="AS14" s="196"/>
      <c r="AT14" s="194" t="s">
        <v>113</v>
      </c>
      <c r="AU14" s="195"/>
      <c r="AV14" s="195"/>
      <c r="AW14" s="196"/>
      <c r="AX14" s="194" t="s">
        <v>114</v>
      </c>
      <c r="AY14" s="195"/>
      <c r="AZ14" s="195"/>
      <c r="BA14" s="196"/>
      <c r="BB14" s="194" t="s">
        <v>115</v>
      </c>
      <c r="BC14" s="195"/>
      <c r="BD14" s="195"/>
      <c r="BE14" s="196"/>
      <c r="BF14" s="194" t="s">
        <v>116</v>
      </c>
      <c r="BG14" s="195"/>
      <c r="BH14" s="195"/>
      <c r="BI14" s="196"/>
      <c r="BJ14" s="194" t="s">
        <v>117</v>
      </c>
      <c r="BK14" s="195"/>
      <c r="BL14" s="195"/>
      <c r="BM14" s="196"/>
      <c r="BN14" s="194" t="s">
        <v>118</v>
      </c>
      <c r="BO14" s="195"/>
      <c r="BP14" s="195"/>
      <c r="BQ14" s="196"/>
      <c r="BR14" s="194" t="s">
        <v>119</v>
      </c>
      <c r="BS14" s="195"/>
      <c r="BT14" s="195"/>
      <c r="BU14" s="196"/>
      <c r="BV14" s="194" t="s">
        <v>120</v>
      </c>
      <c r="BW14" s="195"/>
      <c r="BX14" s="195"/>
      <c r="BY14" s="196"/>
      <c r="BZ14" s="4"/>
      <c r="CA14" s="4"/>
      <c r="CB14" s="4"/>
      <c r="CC14" s="4"/>
      <c r="CD14" s="11" t="s">
        <v>29</v>
      </c>
      <c r="CE14" s="12">
        <f>SUM(CF14:CQ14)</f>
        <v>0</v>
      </c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4"/>
      <c r="CT14" s="5"/>
      <c r="CU14" s="5"/>
      <c r="CV14" s="5"/>
      <c r="CW14" s="5"/>
      <c r="CX14" s="5"/>
      <c r="CY14" s="5"/>
      <c r="CZ14" s="5"/>
      <c r="DA14" s="5"/>
      <c r="DB14" s="5"/>
      <c r="DC14" s="5" t="s">
        <v>77</v>
      </c>
    </row>
    <row r="15" spans="1:107" s="6" customFormat="1" ht="15" customHeight="1" thickTop="1" thickBot="1" x14ac:dyDescent="0.3">
      <c r="A15" s="4"/>
      <c r="B15" s="168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70"/>
      <c r="Q15" s="4"/>
      <c r="R15" s="4"/>
      <c r="S15" s="150"/>
      <c r="T15" s="151"/>
      <c r="U15" s="151"/>
      <c r="V15" s="151"/>
      <c r="W15" s="151"/>
      <c r="X15" s="151"/>
      <c r="Y15" s="151"/>
      <c r="Z15" s="151"/>
      <c r="AA15" s="151"/>
      <c r="AB15" s="151"/>
      <c r="AC15" s="152"/>
      <c r="AD15" s="144"/>
      <c r="AE15" s="141"/>
      <c r="AF15" s="141"/>
      <c r="AG15" s="105"/>
      <c r="AH15" s="144"/>
      <c r="AI15" s="141"/>
      <c r="AJ15" s="141"/>
      <c r="AK15" s="105"/>
      <c r="AL15" s="144"/>
      <c r="AM15" s="141"/>
      <c r="AN15" s="141"/>
      <c r="AO15" s="105"/>
      <c r="AP15" s="144"/>
      <c r="AQ15" s="141"/>
      <c r="AR15" s="141"/>
      <c r="AS15" s="105"/>
      <c r="AT15" s="144"/>
      <c r="AU15" s="141"/>
      <c r="AV15" s="141"/>
      <c r="AW15" s="105"/>
      <c r="AX15" s="144"/>
      <c r="AY15" s="141"/>
      <c r="AZ15" s="141"/>
      <c r="BA15" s="105"/>
      <c r="BB15" s="144"/>
      <c r="BC15" s="141"/>
      <c r="BD15" s="141"/>
      <c r="BE15" s="105"/>
      <c r="BF15" s="144"/>
      <c r="BG15" s="141"/>
      <c r="BH15" s="141"/>
      <c r="BI15" s="105"/>
      <c r="BJ15" s="144"/>
      <c r="BK15" s="141"/>
      <c r="BL15" s="141"/>
      <c r="BM15" s="105"/>
      <c r="BN15" s="144"/>
      <c r="BO15" s="141"/>
      <c r="BP15" s="141"/>
      <c r="BQ15" s="105"/>
      <c r="BR15" s="144"/>
      <c r="BS15" s="141"/>
      <c r="BT15" s="141"/>
      <c r="BU15" s="105"/>
      <c r="BV15" s="144"/>
      <c r="BW15" s="141"/>
      <c r="BX15" s="141"/>
      <c r="BY15" s="105"/>
      <c r="BZ15" s="4"/>
      <c r="CA15" s="4"/>
      <c r="CB15" s="4"/>
      <c r="CC15" s="4"/>
      <c r="CD15" s="13" t="s">
        <v>18</v>
      </c>
      <c r="CE15" s="12">
        <f>SUM(CF15:CQ15)</f>
        <v>0</v>
      </c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4"/>
      <c r="CT15" s="5"/>
      <c r="CU15" s="5"/>
      <c r="CV15" s="5"/>
      <c r="CW15" s="5"/>
      <c r="CX15" s="5"/>
      <c r="CY15" s="5"/>
      <c r="CZ15" s="5"/>
      <c r="DA15" s="5"/>
      <c r="DB15" s="5"/>
      <c r="DC15" s="5" t="s">
        <v>78</v>
      </c>
    </row>
    <row r="16" spans="1:107" s="6" customFormat="1" ht="15" customHeight="1" thickTop="1" thickBot="1" x14ac:dyDescent="0.3">
      <c r="A16" s="4"/>
      <c r="B16" s="171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3"/>
      <c r="Q16" s="4"/>
      <c r="R16" s="4"/>
      <c r="S16" s="153"/>
      <c r="T16" s="154"/>
      <c r="U16" s="154"/>
      <c r="V16" s="154"/>
      <c r="W16" s="154"/>
      <c r="X16" s="154"/>
      <c r="Y16" s="154"/>
      <c r="Z16" s="154"/>
      <c r="AA16" s="154"/>
      <c r="AB16" s="154"/>
      <c r="AC16" s="155"/>
      <c r="AD16" s="145"/>
      <c r="AE16" s="142"/>
      <c r="AF16" s="142"/>
      <c r="AG16" s="106"/>
      <c r="AH16" s="145"/>
      <c r="AI16" s="142"/>
      <c r="AJ16" s="142"/>
      <c r="AK16" s="106"/>
      <c r="AL16" s="145"/>
      <c r="AM16" s="142"/>
      <c r="AN16" s="142"/>
      <c r="AO16" s="106"/>
      <c r="AP16" s="145"/>
      <c r="AQ16" s="142"/>
      <c r="AR16" s="142"/>
      <c r="AS16" s="106"/>
      <c r="AT16" s="145"/>
      <c r="AU16" s="142"/>
      <c r="AV16" s="142"/>
      <c r="AW16" s="106"/>
      <c r="AX16" s="145"/>
      <c r="AY16" s="142"/>
      <c r="AZ16" s="142"/>
      <c r="BA16" s="106"/>
      <c r="BB16" s="145"/>
      <c r="BC16" s="142"/>
      <c r="BD16" s="142"/>
      <c r="BE16" s="106"/>
      <c r="BF16" s="145"/>
      <c r="BG16" s="142"/>
      <c r="BH16" s="142"/>
      <c r="BI16" s="106"/>
      <c r="BJ16" s="145"/>
      <c r="BK16" s="142"/>
      <c r="BL16" s="142"/>
      <c r="BM16" s="106"/>
      <c r="BN16" s="145"/>
      <c r="BO16" s="142"/>
      <c r="BP16" s="142"/>
      <c r="BQ16" s="106"/>
      <c r="BR16" s="145"/>
      <c r="BS16" s="142"/>
      <c r="BT16" s="142"/>
      <c r="BU16" s="106"/>
      <c r="BV16" s="145"/>
      <c r="BW16" s="142"/>
      <c r="BX16" s="142"/>
      <c r="BY16" s="106"/>
      <c r="BZ16" s="4"/>
      <c r="CA16" s="4"/>
      <c r="CB16" s="4"/>
      <c r="CC16" s="4"/>
      <c r="CD16" s="9" t="s">
        <v>19</v>
      </c>
      <c r="CE16" s="15" t="str">
        <f t="shared" ref="CE16" si="0">IFERROR(CE15/CE14,"-")</f>
        <v>-</v>
      </c>
      <c r="CF16" s="16" t="str">
        <f>IFERROR(CF15/CF14,"-")</f>
        <v>-</v>
      </c>
      <c r="CG16" s="16" t="str">
        <f t="shared" ref="CG16:CQ16" si="1">IFERROR(CG15/CG14,"-")</f>
        <v>-</v>
      </c>
      <c r="CH16" s="16" t="str">
        <f t="shared" si="1"/>
        <v>-</v>
      </c>
      <c r="CI16" s="16" t="str">
        <f t="shared" si="1"/>
        <v>-</v>
      </c>
      <c r="CJ16" s="16" t="str">
        <f t="shared" si="1"/>
        <v>-</v>
      </c>
      <c r="CK16" s="16" t="str">
        <f t="shared" si="1"/>
        <v>-</v>
      </c>
      <c r="CL16" s="16" t="str">
        <f t="shared" si="1"/>
        <v>-</v>
      </c>
      <c r="CM16" s="16" t="str">
        <f t="shared" si="1"/>
        <v>-</v>
      </c>
      <c r="CN16" s="16" t="str">
        <f t="shared" si="1"/>
        <v>-</v>
      </c>
      <c r="CO16" s="16" t="str">
        <f t="shared" si="1"/>
        <v>-</v>
      </c>
      <c r="CP16" s="16" t="str">
        <f t="shared" si="1"/>
        <v>-</v>
      </c>
      <c r="CQ16" s="16" t="str">
        <f t="shared" si="1"/>
        <v>-</v>
      </c>
      <c r="CR16" s="4"/>
      <c r="CT16" s="5"/>
      <c r="CU16" s="5"/>
      <c r="CV16" s="5"/>
      <c r="CW16" s="5"/>
      <c r="CX16" s="5"/>
      <c r="CY16" s="5"/>
      <c r="CZ16" s="5"/>
      <c r="DA16" s="5"/>
      <c r="DB16" s="5"/>
      <c r="DC16" s="5" t="s">
        <v>79</v>
      </c>
    </row>
    <row r="17" spans="1:107" s="6" customFormat="1" ht="15" customHeight="1" thickTop="1" thickBot="1" x14ac:dyDescent="0.3">
      <c r="A17" s="4"/>
      <c r="B17" s="174" t="s">
        <v>57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4"/>
      <c r="R17" s="4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8"/>
      <c r="AD17" s="146"/>
      <c r="AE17" s="143"/>
      <c r="AF17" s="143"/>
      <c r="AG17" s="107"/>
      <c r="AH17" s="146"/>
      <c r="AI17" s="143"/>
      <c r="AJ17" s="143"/>
      <c r="AK17" s="107"/>
      <c r="AL17" s="146"/>
      <c r="AM17" s="143"/>
      <c r="AN17" s="143"/>
      <c r="AO17" s="107"/>
      <c r="AP17" s="146"/>
      <c r="AQ17" s="143"/>
      <c r="AR17" s="143"/>
      <c r="AS17" s="107"/>
      <c r="AT17" s="146"/>
      <c r="AU17" s="143"/>
      <c r="AV17" s="143"/>
      <c r="AW17" s="107"/>
      <c r="AX17" s="146"/>
      <c r="AY17" s="143"/>
      <c r="AZ17" s="143"/>
      <c r="BA17" s="107"/>
      <c r="BB17" s="146"/>
      <c r="BC17" s="143"/>
      <c r="BD17" s="143"/>
      <c r="BE17" s="107"/>
      <c r="BF17" s="146"/>
      <c r="BG17" s="143"/>
      <c r="BH17" s="143"/>
      <c r="BI17" s="107"/>
      <c r="BJ17" s="146"/>
      <c r="BK17" s="143"/>
      <c r="BL17" s="143"/>
      <c r="BM17" s="107"/>
      <c r="BN17" s="146"/>
      <c r="BO17" s="143"/>
      <c r="BP17" s="143"/>
      <c r="BQ17" s="107"/>
      <c r="BR17" s="146"/>
      <c r="BS17" s="143"/>
      <c r="BT17" s="143"/>
      <c r="BU17" s="107"/>
      <c r="BV17" s="146"/>
      <c r="BW17" s="143"/>
      <c r="BX17" s="143"/>
      <c r="BY17" s="107"/>
      <c r="BZ17" s="4"/>
      <c r="CA17" s="4"/>
      <c r="CB17" s="4"/>
      <c r="CC17" s="4"/>
      <c r="CD17" s="101" t="s">
        <v>104</v>
      </c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3"/>
      <c r="CR17" s="4"/>
      <c r="CT17" s="5"/>
      <c r="CU17" s="5"/>
      <c r="CV17" s="5"/>
      <c r="CW17" s="5"/>
      <c r="CX17" s="5"/>
      <c r="CY17" s="5"/>
      <c r="CZ17" s="5"/>
      <c r="DA17" s="5"/>
      <c r="DB17" s="5"/>
      <c r="DC17" s="5" t="s">
        <v>80</v>
      </c>
    </row>
    <row r="18" spans="1:107" s="6" customFormat="1" ht="15" customHeight="1" thickTop="1" thickBot="1" x14ac:dyDescent="0.3">
      <c r="A18" s="4"/>
      <c r="B18" s="165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7"/>
      <c r="Q18" s="4"/>
      <c r="R18" s="4"/>
      <c r="S18" s="150"/>
      <c r="T18" s="151"/>
      <c r="U18" s="151"/>
      <c r="V18" s="151"/>
      <c r="W18" s="151"/>
      <c r="X18" s="151"/>
      <c r="Y18" s="151"/>
      <c r="Z18" s="151"/>
      <c r="AA18" s="151"/>
      <c r="AB18" s="151"/>
      <c r="AC18" s="152"/>
      <c r="AD18" s="144"/>
      <c r="AE18" s="141"/>
      <c r="AF18" s="141"/>
      <c r="AG18" s="105"/>
      <c r="AH18" s="144"/>
      <c r="AI18" s="141"/>
      <c r="AJ18" s="141"/>
      <c r="AK18" s="105"/>
      <c r="AL18" s="144"/>
      <c r="AM18" s="141"/>
      <c r="AN18" s="141"/>
      <c r="AO18" s="105"/>
      <c r="AP18" s="144"/>
      <c r="AQ18" s="141"/>
      <c r="AR18" s="141"/>
      <c r="AS18" s="105"/>
      <c r="AT18" s="144"/>
      <c r="AU18" s="141"/>
      <c r="AV18" s="141"/>
      <c r="AW18" s="105"/>
      <c r="AX18" s="144"/>
      <c r="AY18" s="141"/>
      <c r="AZ18" s="141"/>
      <c r="BA18" s="105"/>
      <c r="BB18" s="144"/>
      <c r="BC18" s="141"/>
      <c r="BD18" s="141"/>
      <c r="BE18" s="105"/>
      <c r="BF18" s="144"/>
      <c r="BG18" s="141"/>
      <c r="BH18" s="141"/>
      <c r="BI18" s="105"/>
      <c r="BJ18" s="144"/>
      <c r="BK18" s="141"/>
      <c r="BL18" s="141"/>
      <c r="BM18" s="105"/>
      <c r="BN18" s="144"/>
      <c r="BO18" s="141"/>
      <c r="BP18" s="141"/>
      <c r="BQ18" s="105"/>
      <c r="BR18" s="144"/>
      <c r="BS18" s="141"/>
      <c r="BT18" s="141"/>
      <c r="BU18" s="105"/>
      <c r="BV18" s="144"/>
      <c r="BW18" s="141"/>
      <c r="BX18" s="141"/>
      <c r="BY18" s="105"/>
      <c r="BZ18" s="4"/>
      <c r="CA18" s="4"/>
      <c r="CB18" s="4"/>
      <c r="CC18" s="4"/>
      <c r="CD18" s="8"/>
      <c r="CE18" s="9" t="s">
        <v>27</v>
      </c>
      <c r="CF18" s="10" t="str">
        <f>CF13</f>
        <v>JAN</v>
      </c>
      <c r="CG18" s="10" t="str">
        <f t="shared" ref="CG18:CQ18" si="2">CG13</f>
        <v>FEV</v>
      </c>
      <c r="CH18" s="10" t="str">
        <f t="shared" si="2"/>
        <v>MAR</v>
      </c>
      <c r="CI18" s="10" t="str">
        <f t="shared" si="2"/>
        <v>ABR</v>
      </c>
      <c r="CJ18" s="10" t="str">
        <f t="shared" si="2"/>
        <v>MAI</v>
      </c>
      <c r="CK18" s="10" t="str">
        <f t="shared" si="2"/>
        <v>JUN</v>
      </c>
      <c r="CL18" s="10" t="str">
        <f t="shared" si="2"/>
        <v>JUL</v>
      </c>
      <c r="CM18" s="10" t="str">
        <f t="shared" si="2"/>
        <v>AGO</v>
      </c>
      <c r="CN18" s="10" t="str">
        <f t="shared" si="2"/>
        <v>SET</v>
      </c>
      <c r="CO18" s="10" t="str">
        <f t="shared" si="2"/>
        <v>OUT</v>
      </c>
      <c r="CP18" s="10" t="str">
        <f t="shared" si="2"/>
        <v>NOV</v>
      </c>
      <c r="CQ18" s="10" t="str">
        <f t="shared" si="2"/>
        <v>DEZ</v>
      </c>
      <c r="CR18" s="4"/>
      <c r="CT18" s="5"/>
      <c r="CU18" s="5"/>
      <c r="CV18" s="5"/>
      <c r="CW18" s="5"/>
      <c r="CX18" s="5"/>
      <c r="CY18" s="5"/>
      <c r="CZ18" s="5"/>
      <c r="DA18" s="5"/>
      <c r="DB18" s="5"/>
      <c r="DC18" s="5" t="s">
        <v>81</v>
      </c>
    </row>
    <row r="19" spans="1:107" s="6" customFormat="1" ht="15" customHeight="1" thickTop="1" thickBot="1" x14ac:dyDescent="0.3">
      <c r="A19" s="4"/>
      <c r="B19" s="168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4"/>
      <c r="R19" s="4"/>
      <c r="S19" s="153"/>
      <c r="T19" s="154"/>
      <c r="U19" s="154"/>
      <c r="V19" s="154"/>
      <c r="W19" s="154"/>
      <c r="X19" s="154"/>
      <c r="Y19" s="154"/>
      <c r="Z19" s="154"/>
      <c r="AA19" s="154"/>
      <c r="AB19" s="154"/>
      <c r="AC19" s="155"/>
      <c r="AD19" s="145"/>
      <c r="AE19" s="142"/>
      <c r="AF19" s="142"/>
      <c r="AG19" s="106"/>
      <c r="AH19" s="145"/>
      <c r="AI19" s="142"/>
      <c r="AJ19" s="142"/>
      <c r="AK19" s="106"/>
      <c r="AL19" s="145"/>
      <c r="AM19" s="142"/>
      <c r="AN19" s="142"/>
      <c r="AO19" s="106"/>
      <c r="AP19" s="145"/>
      <c r="AQ19" s="142"/>
      <c r="AR19" s="142"/>
      <c r="AS19" s="106"/>
      <c r="AT19" s="145"/>
      <c r="AU19" s="142"/>
      <c r="AV19" s="142"/>
      <c r="AW19" s="106"/>
      <c r="AX19" s="145"/>
      <c r="AY19" s="142"/>
      <c r="AZ19" s="142"/>
      <c r="BA19" s="106"/>
      <c r="BB19" s="145"/>
      <c r="BC19" s="142"/>
      <c r="BD19" s="142"/>
      <c r="BE19" s="106"/>
      <c r="BF19" s="145"/>
      <c r="BG19" s="142"/>
      <c r="BH19" s="142"/>
      <c r="BI19" s="106"/>
      <c r="BJ19" s="145"/>
      <c r="BK19" s="142"/>
      <c r="BL19" s="142"/>
      <c r="BM19" s="106"/>
      <c r="BN19" s="145"/>
      <c r="BO19" s="142"/>
      <c r="BP19" s="142"/>
      <c r="BQ19" s="106"/>
      <c r="BR19" s="145"/>
      <c r="BS19" s="142"/>
      <c r="BT19" s="142"/>
      <c r="BU19" s="106"/>
      <c r="BV19" s="145"/>
      <c r="BW19" s="142"/>
      <c r="BX19" s="142"/>
      <c r="BY19" s="106"/>
      <c r="BZ19" s="4"/>
      <c r="CA19" s="4"/>
      <c r="CB19" s="4"/>
      <c r="CC19" s="4"/>
      <c r="CD19" s="11" t="s">
        <v>29</v>
      </c>
      <c r="CE19" s="12">
        <f>SUM(CF19:CQ19)</f>
        <v>0</v>
      </c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4"/>
      <c r="CT19" s="5"/>
      <c r="CU19" s="5"/>
      <c r="CV19" s="5"/>
      <c r="CW19" s="5"/>
      <c r="CX19" s="5"/>
      <c r="CY19" s="5"/>
      <c r="CZ19" s="5"/>
      <c r="DA19" s="5"/>
      <c r="DB19" s="5"/>
      <c r="DC19" s="5" t="s">
        <v>82</v>
      </c>
    </row>
    <row r="20" spans="1:107" s="6" customFormat="1" ht="15" customHeight="1" thickTop="1" thickBot="1" x14ac:dyDescent="0.3">
      <c r="A20" s="4"/>
      <c r="B20" s="168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70"/>
      <c r="Q20" s="4"/>
      <c r="R20" s="4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8"/>
      <c r="AD20" s="146"/>
      <c r="AE20" s="143"/>
      <c r="AF20" s="143"/>
      <c r="AG20" s="107"/>
      <c r="AH20" s="146"/>
      <c r="AI20" s="143"/>
      <c r="AJ20" s="143"/>
      <c r="AK20" s="107"/>
      <c r="AL20" s="146"/>
      <c r="AM20" s="143"/>
      <c r="AN20" s="143"/>
      <c r="AO20" s="107"/>
      <c r="AP20" s="146"/>
      <c r="AQ20" s="143"/>
      <c r="AR20" s="143"/>
      <c r="AS20" s="107"/>
      <c r="AT20" s="146"/>
      <c r="AU20" s="143"/>
      <c r="AV20" s="143"/>
      <c r="AW20" s="107"/>
      <c r="AX20" s="146"/>
      <c r="AY20" s="143"/>
      <c r="AZ20" s="143"/>
      <c r="BA20" s="107"/>
      <c r="BB20" s="146"/>
      <c r="BC20" s="143"/>
      <c r="BD20" s="143"/>
      <c r="BE20" s="107"/>
      <c r="BF20" s="146"/>
      <c r="BG20" s="143"/>
      <c r="BH20" s="143"/>
      <c r="BI20" s="107"/>
      <c r="BJ20" s="146"/>
      <c r="BK20" s="143"/>
      <c r="BL20" s="143"/>
      <c r="BM20" s="107"/>
      <c r="BN20" s="146"/>
      <c r="BO20" s="143"/>
      <c r="BP20" s="143"/>
      <c r="BQ20" s="107"/>
      <c r="BR20" s="146"/>
      <c r="BS20" s="143"/>
      <c r="BT20" s="143"/>
      <c r="BU20" s="107"/>
      <c r="BV20" s="146"/>
      <c r="BW20" s="143"/>
      <c r="BX20" s="143"/>
      <c r="BY20" s="107"/>
      <c r="BZ20" s="4"/>
      <c r="CA20" s="4"/>
      <c r="CB20" s="4"/>
      <c r="CC20" s="4"/>
      <c r="CD20" s="13" t="s">
        <v>18</v>
      </c>
      <c r="CE20" s="12">
        <f>SUM(CF20:CQ20)</f>
        <v>0</v>
      </c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4"/>
      <c r="CT20" s="5"/>
      <c r="CU20" s="5"/>
      <c r="CV20" s="5"/>
      <c r="CW20" s="5"/>
      <c r="CX20" s="5"/>
      <c r="CY20" s="5"/>
      <c r="CZ20" s="5"/>
      <c r="DA20" s="5"/>
      <c r="DB20" s="5"/>
      <c r="DC20" s="5" t="s">
        <v>83</v>
      </c>
    </row>
    <row r="21" spans="1:107" s="6" customFormat="1" ht="15" customHeight="1" thickTop="1" thickBot="1" x14ac:dyDescent="0.3">
      <c r="A21" s="4"/>
      <c r="B21" s="171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4"/>
      <c r="R21" s="4"/>
      <c r="S21" s="150"/>
      <c r="T21" s="151"/>
      <c r="U21" s="151"/>
      <c r="V21" s="151"/>
      <c r="W21" s="151"/>
      <c r="X21" s="151"/>
      <c r="Y21" s="151"/>
      <c r="Z21" s="151"/>
      <c r="AA21" s="151"/>
      <c r="AB21" s="151"/>
      <c r="AC21" s="152"/>
      <c r="AD21" s="144"/>
      <c r="AE21" s="141"/>
      <c r="AF21" s="141"/>
      <c r="AG21" s="105"/>
      <c r="AH21" s="144"/>
      <c r="AI21" s="141"/>
      <c r="AJ21" s="141"/>
      <c r="AK21" s="105"/>
      <c r="AL21" s="144"/>
      <c r="AM21" s="141"/>
      <c r="AN21" s="141"/>
      <c r="AO21" s="105"/>
      <c r="AP21" s="144"/>
      <c r="AQ21" s="141"/>
      <c r="AR21" s="141"/>
      <c r="AS21" s="105"/>
      <c r="AT21" s="144"/>
      <c r="AU21" s="141"/>
      <c r="AV21" s="141"/>
      <c r="AW21" s="105"/>
      <c r="AX21" s="144"/>
      <c r="AY21" s="141"/>
      <c r="AZ21" s="141"/>
      <c r="BA21" s="105"/>
      <c r="BB21" s="144"/>
      <c r="BC21" s="141"/>
      <c r="BD21" s="141"/>
      <c r="BE21" s="105"/>
      <c r="BF21" s="144"/>
      <c r="BG21" s="141"/>
      <c r="BH21" s="141"/>
      <c r="BI21" s="105"/>
      <c r="BJ21" s="144"/>
      <c r="BK21" s="141"/>
      <c r="BL21" s="141"/>
      <c r="BM21" s="105"/>
      <c r="BN21" s="144"/>
      <c r="BO21" s="141"/>
      <c r="BP21" s="141"/>
      <c r="BQ21" s="105"/>
      <c r="BR21" s="144"/>
      <c r="BS21" s="141"/>
      <c r="BT21" s="141"/>
      <c r="BU21" s="105"/>
      <c r="BV21" s="144"/>
      <c r="BW21" s="141"/>
      <c r="BX21" s="141"/>
      <c r="BY21" s="105"/>
      <c r="BZ21" s="4"/>
      <c r="CA21" s="4"/>
      <c r="CB21" s="4"/>
      <c r="CC21" s="4"/>
      <c r="CD21" s="9" t="s">
        <v>19</v>
      </c>
      <c r="CE21" s="15" t="str">
        <f t="shared" ref="CE21" si="3">IFERROR(CE20/CE19,"-")</f>
        <v>-</v>
      </c>
      <c r="CF21" s="16" t="str">
        <f>IFERROR(CF20/CF19,"-")</f>
        <v>-</v>
      </c>
      <c r="CG21" s="16" t="str">
        <f t="shared" ref="CG21:CQ21" si="4">IFERROR(CG20/CG19,"-")</f>
        <v>-</v>
      </c>
      <c r="CH21" s="16" t="str">
        <f t="shared" si="4"/>
        <v>-</v>
      </c>
      <c r="CI21" s="16" t="str">
        <f t="shared" si="4"/>
        <v>-</v>
      </c>
      <c r="CJ21" s="16" t="str">
        <f t="shared" si="4"/>
        <v>-</v>
      </c>
      <c r="CK21" s="16" t="str">
        <f t="shared" si="4"/>
        <v>-</v>
      </c>
      <c r="CL21" s="16" t="str">
        <f t="shared" si="4"/>
        <v>-</v>
      </c>
      <c r="CM21" s="16" t="str">
        <f t="shared" si="4"/>
        <v>-</v>
      </c>
      <c r="CN21" s="16" t="str">
        <f t="shared" si="4"/>
        <v>-</v>
      </c>
      <c r="CO21" s="16" t="str">
        <f t="shared" si="4"/>
        <v>-</v>
      </c>
      <c r="CP21" s="16" t="str">
        <f t="shared" si="4"/>
        <v>-</v>
      </c>
      <c r="CQ21" s="16" t="str">
        <f t="shared" si="4"/>
        <v>-</v>
      </c>
      <c r="CR21" s="4"/>
      <c r="CT21" s="5"/>
      <c r="CU21" s="5"/>
      <c r="CV21" s="5"/>
      <c r="CW21" s="5"/>
      <c r="CX21" s="5"/>
      <c r="CY21" s="5"/>
      <c r="CZ21" s="5"/>
      <c r="DA21" s="5"/>
      <c r="DB21" s="5"/>
      <c r="DC21" s="5" t="s">
        <v>84</v>
      </c>
    </row>
    <row r="22" spans="1:107" s="6" customFormat="1" ht="15" customHeight="1" thickBot="1" x14ac:dyDescent="0.3">
      <c r="A22" s="4"/>
      <c r="B22" s="174" t="s">
        <v>4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4"/>
      <c r="R22" s="4"/>
      <c r="S22" s="153"/>
      <c r="T22" s="154"/>
      <c r="U22" s="154"/>
      <c r="V22" s="154"/>
      <c r="W22" s="154"/>
      <c r="X22" s="154"/>
      <c r="Y22" s="154"/>
      <c r="Z22" s="154"/>
      <c r="AA22" s="154"/>
      <c r="AB22" s="154"/>
      <c r="AC22" s="155"/>
      <c r="AD22" s="145"/>
      <c r="AE22" s="142"/>
      <c r="AF22" s="142"/>
      <c r="AG22" s="106"/>
      <c r="AH22" s="145"/>
      <c r="AI22" s="142"/>
      <c r="AJ22" s="142"/>
      <c r="AK22" s="106"/>
      <c r="AL22" s="145"/>
      <c r="AM22" s="142"/>
      <c r="AN22" s="142"/>
      <c r="AO22" s="106"/>
      <c r="AP22" s="145"/>
      <c r="AQ22" s="142"/>
      <c r="AR22" s="142"/>
      <c r="AS22" s="106"/>
      <c r="AT22" s="145"/>
      <c r="AU22" s="142"/>
      <c r="AV22" s="142"/>
      <c r="AW22" s="106"/>
      <c r="AX22" s="145"/>
      <c r="AY22" s="142"/>
      <c r="AZ22" s="142"/>
      <c r="BA22" s="106"/>
      <c r="BB22" s="145"/>
      <c r="BC22" s="142"/>
      <c r="BD22" s="142"/>
      <c r="BE22" s="106"/>
      <c r="BF22" s="145"/>
      <c r="BG22" s="142"/>
      <c r="BH22" s="142"/>
      <c r="BI22" s="106"/>
      <c r="BJ22" s="145"/>
      <c r="BK22" s="142"/>
      <c r="BL22" s="142"/>
      <c r="BM22" s="106"/>
      <c r="BN22" s="145"/>
      <c r="BO22" s="142"/>
      <c r="BP22" s="142"/>
      <c r="BQ22" s="106"/>
      <c r="BR22" s="145"/>
      <c r="BS22" s="142"/>
      <c r="BT22" s="142"/>
      <c r="BU22" s="106"/>
      <c r="BV22" s="145"/>
      <c r="BW22" s="142"/>
      <c r="BX22" s="142"/>
      <c r="BY22" s="106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5"/>
      <c r="CP22" s="4"/>
      <c r="CQ22" s="4"/>
      <c r="CR22" s="4"/>
      <c r="CT22" s="5"/>
      <c r="CU22" s="5"/>
      <c r="CV22" s="5"/>
      <c r="CW22" s="5"/>
      <c r="CX22" s="5"/>
      <c r="CY22" s="5"/>
      <c r="CZ22" s="5"/>
      <c r="DA22" s="5"/>
      <c r="DB22" s="5"/>
      <c r="DC22" s="5" t="s">
        <v>85</v>
      </c>
    </row>
    <row r="23" spans="1:107" s="6" customFormat="1" ht="15" customHeight="1" thickBot="1" x14ac:dyDescent="0.3">
      <c r="A23" s="4"/>
      <c r="B23" s="165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7"/>
      <c r="Q23" s="4"/>
      <c r="R23" s="4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8"/>
      <c r="AD23" s="146"/>
      <c r="AE23" s="143"/>
      <c r="AF23" s="143"/>
      <c r="AG23" s="107"/>
      <c r="AH23" s="146"/>
      <c r="AI23" s="143"/>
      <c r="AJ23" s="143"/>
      <c r="AK23" s="107"/>
      <c r="AL23" s="146"/>
      <c r="AM23" s="143"/>
      <c r="AN23" s="143"/>
      <c r="AO23" s="107"/>
      <c r="AP23" s="146"/>
      <c r="AQ23" s="143"/>
      <c r="AR23" s="143"/>
      <c r="AS23" s="107"/>
      <c r="AT23" s="146"/>
      <c r="AU23" s="143"/>
      <c r="AV23" s="143"/>
      <c r="AW23" s="107"/>
      <c r="AX23" s="146"/>
      <c r="AY23" s="143"/>
      <c r="AZ23" s="143"/>
      <c r="BA23" s="107"/>
      <c r="BB23" s="146"/>
      <c r="BC23" s="143"/>
      <c r="BD23" s="143"/>
      <c r="BE23" s="107"/>
      <c r="BF23" s="146"/>
      <c r="BG23" s="143"/>
      <c r="BH23" s="143"/>
      <c r="BI23" s="107"/>
      <c r="BJ23" s="146"/>
      <c r="BK23" s="143"/>
      <c r="BL23" s="143"/>
      <c r="BM23" s="107"/>
      <c r="BN23" s="146"/>
      <c r="BO23" s="143"/>
      <c r="BP23" s="143"/>
      <c r="BQ23" s="107"/>
      <c r="BR23" s="146"/>
      <c r="BS23" s="143"/>
      <c r="BT23" s="143"/>
      <c r="BU23" s="107"/>
      <c r="BV23" s="146"/>
      <c r="BW23" s="143"/>
      <c r="BX23" s="143"/>
      <c r="BY23" s="107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5"/>
      <c r="CP23" s="4"/>
      <c r="CQ23" s="4"/>
      <c r="CR23" s="4"/>
      <c r="CT23" s="5"/>
      <c r="CU23" s="5"/>
      <c r="CV23" s="5"/>
      <c r="CW23" s="5"/>
      <c r="CX23" s="5"/>
      <c r="CY23" s="5"/>
      <c r="CZ23" s="5"/>
      <c r="DA23" s="5"/>
      <c r="DB23" s="5"/>
      <c r="DC23" s="5" t="s">
        <v>86</v>
      </c>
    </row>
    <row r="24" spans="1:107" s="6" customFormat="1" ht="15" customHeight="1" thickTop="1" x14ac:dyDescent="0.25">
      <c r="A24" s="4"/>
      <c r="B24" s="168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70"/>
      <c r="Q24" s="4"/>
      <c r="R24" s="4"/>
      <c r="S24" s="150"/>
      <c r="T24" s="151"/>
      <c r="U24" s="151"/>
      <c r="V24" s="151"/>
      <c r="W24" s="151"/>
      <c r="X24" s="151"/>
      <c r="Y24" s="151"/>
      <c r="Z24" s="151"/>
      <c r="AA24" s="151"/>
      <c r="AB24" s="151"/>
      <c r="AC24" s="152"/>
      <c r="AD24" s="144"/>
      <c r="AE24" s="141"/>
      <c r="AF24" s="141"/>
      <c r="AG24" s="105"/>
      <c r="AH24" s="144"/>
      <c r="AI24" s="141"/>
      <c r="AJ24" s="141"/>
      <c r="AK24" s="105"/>
      <c r="AL24" s="144"/>
      <c r="AM24" s="141"/>
      <c r="AN24" s="141"/>
      <c r="AO24" s="105"/>
      <c r="AP24" s="144"/>
      <c r="AQ24" s="141"/>
      <c r="AR24" s="141"/>
      <c r="AS24" s="105"/>
      <c r="AT24" s="144"/>
      <c r="AU24" s="141"/>
      <c r="AV24" s="141"/>
      <c r="AW24" s="105"/>
      <c r="AX24" s="144"/>
      <c r="AY24" s="141"/>
      <c r="AZ24" s="141"/>
      <c r="BA24" s="105"/>
      <c r="BB24" s="144"/>
      <c r="BC24" s="141"/>
      <c r="BD24" s="141"/>
      <c r="BE24" s="105"/>
      <c r="BF24" s="144"/>
      <c r="BG24" s="141"/>
      <c r="BH24" s="141"/>
      <c r="BI24" s="105"/>
      <c r="BJ24" s="144"/>
      <c r="BK24" s="141"/>
      <c r="BL24" s="141"/>
      <c r="BM24" s="105"/>
      <c r="BN24" s="144"/>
      <c r="BO24" s="141"/>
      <c r="BP24" s="141"/>
      <c r="BQ24" s="105"/>
      <c r="BR24" s="144"/>
      <c r="BS24" s="141"/>
      <c r="BT24" s="141"/>
      <c r="BU24" s="105"/>
      <c r="BV24" s="144"/>
      <c r="BW24" s="141"/>
      <c r="BX24" s="141"/>
      <c r="BY24" s="105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5"/>
      <c r="CP24" s="4"/>
      <c r="CQ24" s="4"/>
      <c r="CR24" s="4"/>
      <c r="CT24" s="5"/>
      <c r="CU24" s="5"/>
      <c r="CV24" s="5"/>
      <c r="CW24" s="5"/>
      <c r="CX24" s="5"/>
      <c r="CY24" s="5"/>
      <c r="CZ24" s="5"/>
      <c r="DA24" s="5"/>
      <c r="DB24" s="5"/>
      <c r="DC24" s="5" t="s">
        <v>87</v>
      </c>
    </row>
    <row r="25" spans="1:107" s="6" customFormat="1" ht="15" customHeight="1" thickBot="1" x14ac:dyDescent="0.3">
      <c r="A25" s="4"/>
      <c r="B25" s="171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3"/>
      <c r="Q25" s="4"/>
      <c r="R25" s="4"/>
      <c r="S25" s="153"/>
      <c r="T25" s="154"/>
      <c r="U25" s="154"/>
      <c r="V25" s="154"/>
      <c r="W25" s="154"/>
      <c r="X25" s="154"/>
      <c r="Y25" s="154"/>
      <c r="Z25" s="154"/>
      <c r="AA25" s="154"/>
      <c r="AB25" s="154"/>
      <c r="AC25" s="155"/>
      <c r="AD25" s="145"/>
      <c r="AE25" s="142"/>
      <c r="AF25" s="142"/>
      <c r="AG25" s="106"/>
      <c r="AH25" s="145"/>
      <c r="AI25" s="142"/>
      <c r="AJ25" s="142"/>
      <c r="AK25" s="106"/>
      <c r="AL25" s="145"/>
      <c r="AM25" s="142"/>
      <c r="AN25" s="142"/>
      <c r="AO25" s="106"/>
      <c r="AP25" s="145"/>
      <c r="AQ25" s="142"/>
      <c r="AR25" s="142"/>
      <c r="AS25" s="106"/>
      <c r="AT25" s="145"/>
      <c r="AU25" s="142"/>
      <c r="AV25" s="142"/>
      <c r="AW25" s="106"/>
      <c r="AX25" s="145"/>
      <c r="AY25" s="142"/>
      <c r="AZ25" s="142"/>
      <c r="BA25" s="106"/>
      <c r="BB25" s="145"/>
      <c r="BC25" s="142"/>
      <c r="BD25" s="142"/>
      <c r="BE25" s="106"/>
      <c r="BF25" s="145"/>
      <c r="BG25" s="142"/>
      <c r="BH25" s="142"/>
      <c r="BI25" s="106"/>
      <c r="BJ25" s="145"/>
      <c r="BK25" s="142"/>
      <c r="BL25" s="142"/>
      <c r="BM25" s="106"/>
      <c r="BN25" s="145"/>
      <c r="BO25" s="142"/>
      <c r="BP25" s="142"/>
      <c r="BQ25" s="106"/>
      <c r="BR25" s="145"/>
      <c r="BS25" s="142"/>
      <c r="BT25" s="142"/>
      <c r="BU25" s="106"/>
      <c r="BV25" s="145"/>
      <c r="BW25" s="142"/>
      <c r="BX25" s="142"/>
      <c r="BY25" s="106"/>
      <c r="BZ25" s="4"/>
      <c r="CA25" s="4"/>
      <c r="CB25" s="4"/>
      <c r="CC25" s="4"/>
      <c r="CD25" s="4"/>
      <c r="CE25" s="4"/>
      <c r="CF25" s="17"/>
      <c r="CG25" s="4"/>
      <c r="CH25" s="4"/>
      <c r="CI25" s="4"/>
      <c r="CJ25" s="4"/>
      <c r="CK25" s="4"/>
      <c r="CL25" s="4"/>
      <c r="CM25" s="4"/>
      <c r="CN25" s="4"/>
      <c r="CO25" s="5"/>
      <c r="CP25" s="4"/>
      <c r="CQ25" s="4"/>
      <c r="CR25" s="4"/>
      <c r="CT25" s="5"/>
      <c r="CU25" s="5"/>
      <c r="CV25" s="5"/>
      <c r="CW25" s="5"/>
      <c r="CX25" s="5"/>
      <c r="CY25" s="5"/>
      <c r="CZ25" s="5"/>
      <c r="DA25" s="5"/>
      <c r="DB25" s="5"/>
      <c r="DC25" s="5" t="s">
        <v>88</v>
      </c>
    </row>
    <row r="26" spans="1:107" s="6" customFormat="1" ht="15" customHeight="1" thickBot="1" x14ac:dyDescent="0.3">
      <c r="A26" s="4"/>
      <c r="B26" s="184" t="s">
        <v>5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4"/>
      <c r="R26" s="4"/>
      <c r="S26" s="156"/>
      <c r="T26" s="157"/>
      <c r="U26" s="157"/>
      <c r="V26" s="157"/>
      <c r="W26" s="157"/>
      <c r="X26" s="157"/>
      <c r="Y26" s="157"/>
      <c r="Z26" s="157"/>
      <c r="AA26" s="157"/>
      <c r="AB26" s="157"/>
      <c r="AC26" s="158"/>
      <c r="AD26" s="146"/>
      <c r="AE26" s="143"/>
      <c r="AF26" s="143"/>
      <c r="AG26" s="107"/>
      <c r="AH26" s="146"/>
      <c r="AI26" s="143"/>
      <c r="AJ26" s="143"/>
      <c r="AK26" s="107"/>
      <c r="AL26" s="146"/>
      <c r="AM26" s="143"/>
      <c r="AN26" s="143"/>
      <c r="AO26" s="107"/>
      <c r="AP26" s="146"/>
      <c r="AQ26" s="143"/>
      <c r="AR26" s="143"/>
      <c r="AS26" s="107"/>
      <c r="AT26" s="146"/>
      <c r="AU26" s="143"/>
      <c r="AV26" s="143"/>
      <c r="AW26" s="107"/>
      <c r="AX26" s="146"/>
      <c r="AY26" s="143"/>
      <c r="AZ26" s="143"/>
      <c r="BA26" s="107"/>
      <c r="BB26" s="146"/>
      <c r="BC26" s="143"/>
      <c r="BD26" s="143"/>
      <c r="BE26" s="107"/>
      <c r="BF26" s="146"/>
      <c r="BG26" s="143"/>
      <c r="BH26" s="143"/>
      <c r="BI26" s="107"/>
      <c r="BJ26" s="146"/>
      <c r="BK26" s="143"/>
      <c r="BL26" s="143"/>
      <c r="BM26" s="107"/>
      <c r="BN26" s="146"/>
      <c r="BO26" s="143"/>
      <c r="BP26" s="143"/>
      <c r="BQ26" s="107"/>
      <c r="BR26" s="146"/>
      <c r="BS26" s="143"/>
      <c r="BT26" s="143"/>
      <c r="BU26" s="107"/>
      <c r="BV26" s="146"/>
      <c r="BW26" s="143"/>
      <c r="BX26" s="143"/>
      <c r="BY26" s="107"/>
      <c r="BZ26" s="4"/>
      <c r="CA26" s="4"/>
      <c r="CB26" s="4"/>
      <c r="CC26" s="4"/>
      <c r="CD26" s="4"/>
      <c r="CE26" s="4"/>
      <c r="CF26" s="18"/>
      <c r="CG26" s="4"/>
      <c r="CH26" s="4"/>
      <c r="CI26" s="4"/>
      <c r="CJ26" s="4"/>
      <c r="CK26" s="4"/>
      <c r="CL26" s="4"/>
      <c r="CM26" s="4"/>
      <c r="CN26" s="4"/>
      <c r="CO26" s="5"/>
      <c r="CP26" s="4"/>
      <c r="CQ26" s="4"/>
      <c r="CR26" s="4"/>
      <c r="CT26" s="5"/>
      <c r="CU26" s="5"/>
      <c r="CV26" s="5"/>
      <c r="CW26" s="5"/>
      <c r="CX26" s="5"/>
      <c r="CY26" s="5"/>
      <c r="CZ26" s="5"/>
      <c r="DA26" s="5"/>
      <c r="DB26" s="5"/>
      <c r="DC26" s="5" t="s">
        <v>89</v>
      </c>
    </row>
    <row r="27" spans="1:107" s="6" customFormat="1" ht="15" customHeight="1" thickTop="1" thickBot="1" x14ac:dyDescent="0.3">
      <c r="A27" s="4"/>
      <c r="B27" s="123" t="s">
        <v>6</v>
      </c>
      <c r="C27" s="123"/>
      <c r="D27" s="123"/>
      <c r="E27" s="123"/>
      <c r="F27" s="123"/>
      <c r="G27" s="123"/>
      <c r="H27" s="123"/>
      <c r="I27" s="175" t="s">
        <v>7</v>
      </c>
      <c r="J27" s="175"/>
      <c r="K27" s="175"/>
      <c r="L27" s="175"/>
      <c r="M27" s="175"/>
      <c r="N27" s="175"/>
      <c r="O27" s="175"/>
      <c r="P27" s="175"/>
      <c r="Q27" s="4"/>
      <c r="R27" s="4"/>
      <c r="S27" s="150"/>
      <c r="T27" s="151"/>
      <c r="U27" s="151"/>
      <c r="V27" s="151"/>
      <c r="W27" s="151"/>
      <c r="X27" s="151"/>
      <c r="Y27" s="151"/>
      <c r="Z27" s="151"/>
      <c r="AA27" s="151"/>
      <c r="AB27" s="151"/>
      <c r="AC27" s="152"/>
      <c r="AD27" s="144"/>
      <c r="AE27" s="141"/>
      <c r="AF27" s="141"/>
      <c r="AG27" s="105"/>
      <c r="AH27" s="144"/>
      <c r="AI27" s="141"/>
      <c r="AJ27" s="141"/>
      <c r="AK27" s="105"/>
      <c r="AL27" s="144"/>
      <c r="AM27" s="141"/>
      <c r="AN27" s="141"/>
      <c r="AO27" s="105"/>
      <c r="AP27" s="144"/>
      <c r="AQ27" s="141"/>
      <c r="AR27" s="141"/>
      <c r="AS27" s="105"/>
      <c r="AT27" s="144"/>
      <c r="AU27" s="141"/>
      <c r="AV27" s="141"/>
      <c r="AW27" s="105"/>
      <c r="AX27" s="144"/>
      <c r="AY27" s="141"/>
      <c r="AZ27" s="141"/>
      <c r="BA27" s="105"/>
      <c r="BB27" s="144"/>
      <c r="BC27" s="141"/>
      <c r="BD27" s="141"/>
      <c r="BE27" s="105"/>
      <c r="BF27" s="144"/>
      <c r="BG27" s="141"/>
      <c r="BH27" s="141"/>
      <c r="BI27" s="105"/>
      <c r="BJ27" s="144"/>
      <c r="BK27" s="141"/>
      <c r="BL27" s="141"/>
      <c r="BM27" s="105"/>
      <c r="BN27" s="144"/>
      <c r="BO27" s="141"/>
      <c r="BP27" s="141"/>
      <c r="BQ27" s="105"/>
      <c r="BR27" s="144"/>
      <c r="BS27" s="141"/>
      <c r="BT27" s="141"/>
      <c r="BU27" s="105"/>
      <c r="BV27" s="144"/>
      <c r="BW27" s="141"/>
      <c r="BX27" s="141"/>
      <c r="BY27" s="105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5"/>
      <c r="CP27" s="4"/>
      <c r="CQ27" s="4"/>
      <c r="CR27" s="4"/>
      <c r="CT27" s="5"/>
      <c r="CU27" s="5"/>
      <c r="CV27" s="5"/>
      <c r="CW27" s="5"/>
      <c r="CX27" s="5"/>
      <c r="CY27" s="5"/>
      <c r="CZ27" s="5"/>
      <c r="DA27" s="5"/>
      <c r="DB27" s="5"/>
      <c r="DC27" s="5" t="s">
        <v>90</v>
      </c>
    </row>
    <row r="28" spans="1:107" s="6" customFormat="1" ht="15" customHeight="1" x14ac:dyDescent="0.25">
      <c r="A28" s="4"/>
      <c r="B28" s="139" t="s">
        <v>0</v>
      </c>
      <c r="C28" s="137" t="s">
        <v>61</v>
      </c>
      <c r="D28" s="137"/>
      <c r="E28" s="137"/>
      <c r="F28" s="137"/>
      <c r="G28" s="137"/>
      <c r="H28" s="137"/>
      <c r="I28" s="138" t="s">
        <v>102</v>
      </c>
      <c r="J28" s="138"/>
      <c r="K28" s="138"/>
      <c r="L28" s="138"/>
      <c r="M28" s="138"/>
      <c r="N28" s="138"/>
      <c r="O28" s="138"/>
      <c r="P28" s="138"/>
      <c r="Q28" s="4"/>
      <c r="R28" s="4"/>
      <c r="S28" s="153"/>
      <c r="T28" s="154"/>
      <c r="U28" s="154"/>
      <c r="V28" s="154"/>
      <c r="W28" s="154"/>
      <c r="X28" s="154"/>
      <c r="Y28" s="154"/>
      <c r="Z28" s="154"/>
      <c r="AA28" s="154"/>
      <c r="AB28" s="154"/>
      <c r="AC28" s="155"/>
      <c r="AD28" s="145"/>
      <c r="AE28" s="142"/>
      <c r="AF28" s="142"/>
      <c r="AG28" s="106"/>
      <c r="AH28" s="145"/>
      <c r="AI28" s="142"/>
      <c r="AJ28" s="142"/>
      <c r="AK28" s="106"/>
      <c r="AL28" s="145"/>
      <c r="AM28" s="142"/>
      <c r="AN28" s="142"/>
      <c r="AO28" s="106"/>
      <c r="AP28" s="145"/>
      <c r="AQ28" s="142"/>
      <c r="AR28" s="142"/>
      <c r="AS28" s="106"/>
      <c r="AT28" s="145"/>
      <c r="AU28" s="142"/>
      <c r="AV28" s="142"/>
      <c r="AW28" s="106"/>
      <c r="AX28" s="145"/>
      <c r="AY28" s="142"/>
      <c r="AZ28" s="142"/>
      <c r="BA28" s="106"/>
      <c r="BB28" s="145"/>
      <c r="BC28" s="142"/>
      <c r="BD28" s="142"/>
      <c r="BE28" s="106"/>
      <c r="BF28" s="145"/>
      <c r="BG28" s="142"/>
      <c r="BH28" s="142"/>
      <c r="BI28" s="106"/>
      <c r="BJ28" s="145"/>
      <c r="BK28" s="142"/>
      <c r="BL28" s="142"/>
      <c r="BM28" s="106"/>
      <c r="BN28" s="145"/>
      <c r="BO28" s="142"/>
      <c r="BP28" s="142"/>
      <c r="BQ28" s="106"/>
      <c r="BR28" s="145"/>
      <c r="BS28" s="142"/>
      <c r="BT28" s="142"/>
      <c r="BU28" s="106"/>
      <c r="BV28" s="145"/>
      <c r="BW28" s="142"/>
      <c r="BX28" s="142"/>
      <c r="BY28" s="106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5"/>
      <c r="CP28" s="4"/>
      <c r="CQ28" s="4"/>
      <c r="CR28" s="4"/>
      <c r="CT28" s="5"/>
      <c r="CU28" s="5"/>
      <c r="CV28" s="5"/>
      <c r="CW28" s="5"/>
      <c r="CX28" s="5"/>
      <c r="CY28" s="5"/>
      <c r="CZ28" s="5"/>
      <c r="DA28" s="5"/>
      <c r="DB28" s="5"/>
      <c r="DC28" s="5" t="s">
        <v>91</v>
      </c>
    </row>
    <row r="29" spans="1:107" s="6" customFormat="1" ht="15" customHeight="1" thickBot="1" x14ac:dyDescent="0.3">
      <c r="A29" s="4"/>
      <c r="B29" s="140"/>
      <c r="C29" s="162"/>
      <c r="D29" s="162"/>
      <c r="E29" s="162"/>
      <c r="F29" s="162"/>
      <c r="G29" s="162"/>
      <c r="H29" s="162"/>
      <c r="I29" s="163"/>
      <c r="J29" s="163"/>
      <c r="K29" s="163"/>
      <c r="L29" s="163"/>
      <c r="M29" s="163"/>
      <c r="N29" s="163"/>
      <c r="O29" s="163"/>
      <c r="P29" s="163"/>
      <c r="Q29" s="4"/>
      <c r="R29" s="4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8"/>
      <c r="AD29" s="146"/>
      <c r="AE29" s="143"/>
      <c r="AF29" s="143"/>
      <c r="AG29" s="107"/>
      <c r="AH29" s="146"/>
      <c r="AI29" s="143"/>
      <c r="AJ29" s="143"/>
      <c r="AK29" s="107"/>
      <c r="AL29" s="146"/>
      <c r="AM29" s="143"/>
      <c r="AN29" s="143"/>
      <c r="AO29" s="107"/>
      <c r="AP29" s="146"/>
      <c r="AQ29" s="143"/>
      <c r="AR29" s="143"/>
      <c r="AS29" s="107"/>
      <c r="AT29" s="146"/>
      <c r="AU29" s="143"/>
      <c r="AV29" s="143"/>
      <c r="AW29" s="107"/>
      <c r="AX29" s="146"/>
      <c r="AY29" s="143"/>
      <c r="AZ29" s="143"/>
      <c r="BA29" s="107"/>
      <c r="BB29" s="146"/>
      <c r="BC29" s="143"/>
      <c r="BD29" s="143"/>
      <c r="BE29" s="107"/>
      <c r="BF29" s="146"/>
      <c r="BG29" s="143"/>
      <c r="BH29" s="143"/>
      <c r="BI29" s="107"/>
      <c r="BJ29" s="146"/>
      <c r="BK29" s="143"/>
      <c r="BL29" s="143"/>
      <c r="BM29" s="107"/>
      <c r="BN29" s="146"/>
      <c r="BO29" s="143"/>
      <c r="BP29" s="143"/>
      <c r="BQ29" s="107"/>
      <c r="BR29" s="146"/>
      <c r="BS29" s="143"/>
      <c r="BT29" s="143"/>
      <c r="BU29" s="107"/>
      <c r="BV29" s="146"/>
      <c r="BW29" s="143"/>
      <c r="BX29" s="143"/>
      <c r="BY29" s="107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5"/>
      <c r="CP29" s="4"/>
      <c r="CQ29" s="4"/>
      <c r="CR29" s="4"/>
      <c r="CT29" s="5"/>
      <c r="CU29" s="5"/>
      <c r="CV29" s="5"/>
      <c r="CW29" s="5"/>
      <c r="CX29" s="5"/>
      <c r="CY29" s="5"/>
      <c r="CZ29" s="5"/>
      <c r="DA29" s="5"/>
      <c r="DB29" s="5"/>
      <c r="DC29" s="5" t="s">
        <v>92</v>
      </c>
    </row>
    <row r="30" spans="1:107" s="6" customFormat="1" ht="15" customHeight="1" thickTop="1" x14ac:dyDescent="0.25">
      <c r="A30" s="4"/>
      <c r="B30" s="139" t="s">
        <v>1</v>
      </c>
      <c r="C30" s="137"/>
      <c r="D30" s="137"/>
      <c r="E30" s="137"/>
      <c r="F30" s="137"/>
      <c r="G30" s="137"/>
      <c r="H30" s="137"/>
      <c r="I30" s="138"/>
      <c r="J30" s="138"/>
      <c r="K30" s="138"/>
      <c r="L30" s="138"/>
      <c r="M30" s="138"/>
      <c r="N30" s="138"/>
      <c r="O30" s="138"/>
      <c r="P30" s="138"/>
      <c r="Q30" s="4"/>
      <c r="R30" s="4"/>
      <c r="S30" s="150"/>
      <c r="T30" s="151"/>
      <c r="U30" s="151"/>
      <c r="V30" s="151"/>
      <c r="W30" s="151"/>
      <c r="X30" s="151"/>
      <c r="Y30" s="151"/>
      <c r="Z30" s="151"/>
      <c r="AA30" s="151"/>
      <c r="AB30" s="151"/>
      <c r="AC30" s="152"/>
      <c r="AD30" s="144"/>
      <c r="AE30" s="141"/>
      <c r="AF30" s="141"/>
      <c r="AG30" s="105"/>
      <c r="AH30" s="144"/>
      <c r="AI30" s="141"/>
      <c r="AJ30" s="141"/>
      <c r="AK30" s="105"/>
      <c r="AL30" s="144"/>
      <c r="AM30" s="141"/>
      <c r="AN30" s="141"/>
      <c r="AO30" s="105"/>
      <c r="AP30" s="144"/>
      <c r="AQ30" s="141"/>
      <c r="AR30" s="141"/>
      <c r="AS30" s="105"/>
      <c r="AT30" s="144"/>
      <c r="AU30" s="141"/>
      <c r="AV30" s="141"/>
      <c r="AW30" s="105"/>
      <c r="AX30" s="144"/>
      <c r="AY30" s="141"/>
      <c r="AZ30" s="141"/>
      <c r="BA30" s="105"/>
      <c r="BB30" s="144"/>
      <c r="BC30" s="141"/>
      <c r="BD30" s="141"/>
      <c r="BE30" s="105"/>
      <c r="BF30" s="144"/>
      <c r="BG30" s="141"/>
      <c r="BH30" s="141"/>
      <c r="BI30" s="105"/>
      <c r="BJ30" s="144"/>
      <c r="BK30" s="141"/>
      <c r="BL30" s="141"/>
      <c r="BM30" s="105"/>
      <c r="BN30" s="144"/>
      <c r="BO30" s="141"/>
      <c r="BP30" s="141"/>
      <c r="BQ30" s="105"/>
      <c r="BR30" s="144"/>
      <c r="BS30" s="141"/>
      <c r="BT30" s="141"/>
      <c r="BU30" s="105"/>
      <c r="BV30" s="144"/>
      <c r="BW30" s="141"/>
      <c r="BX30" s="141"/>
      <c r="BY30" s="105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5"/>
      <c r="CP30" s="4"/>
      <c r="CQ30" s="4"/>
      <c r="CR30" s="4"/>
      <c r="CT30" s="5"/>
      <c r="CU30" s="5"/>
      <c r="CV30" s="5"/>
      <c r="CW30" s="5"/>
      <c r="CX30" s="5"/>
      <c r="CY30" s="5"/>
      <c r="CZ30" s="5"/>
      <c r="DA30" s="5"/>
      <c r="DB30" s="5"/>
      <c r="DC30" s="5" t="s">
        <v>93</v>
      </c>
    </row>
    <row r="31" spans="1:107" s="6" customFormat="1" ht="15" customHeight="1" thickBot="1" x14ac:dyDescent="0.3">
      <c r="A31" s="4"/>
      <c r="B31" s="140"/>
      <c r="C31" s="162"/>
      <c r="D31" s="162"/>
      <c r="E31" s="162"/>
      <c r="F31" s="162"/>
      <c r="G31" s="162"/>
      <c r="H31" s="162"/>
      <c r="I31" s="163"/>
      <c r="J31" s="163"/>
      <c r="K31" s="163"/>
      <c r="L31" s="163"/>
      <c r="M31" s="163"/>
      <c r="N31" s="163"/>
      <c r="O31" s="163"/>
      <c r="P31" s="163"/>
      <c r="Q31" s="4"/>
      <c r="R31" s="4"/>
      <c r="S31" s="153"/>
      <c r="T31" s="154"/>
      <c r="U31" s="154"/>
      <c r="V31" s="154"/>
      <c r="W31" s="154"/>
      <c r="X31" s="154"/>
      <c r="Y31" s="154"/>
      <c r="Z31" s="154"/>
      <c r="AA31" s="154"/>
      <c r="AB31" s="154"/>
      <c r="AC31" s="155"/>
      <c r="AD31" s="145"/>
      <c r="AE31" s="142"/>
      <c r="AF31" s="142"/>
      <c r="AG31" s="106"/>
      <c r="AH31" s="145"/>
      <c r="AI31" s="142"/>
      <c r="AJ31" s="142"/>
      <c r="AK31" s="106"/>
      <c r="AL31" s="145"/>
      <c r="AM31" s="142"/>
      <c r="AN31" s="142"/>
      <c r="AO31" s="106"/>
      <c r="AP31" s="145"/>
      <c r="AQ31" s="142"/>
      <c r="AR31" s="142"/>
      <c r="AS31" s="106"/>
      <c r="AT31" s="145"/>
      <c r="AU31" s="142"/>
      <c r="AV31" s="142"/>
      <c r="AW31" s="106"/>
      <c r="AX31" s="145"/>
      <c r="AY31" s="142"/>
      <c r="AZ31" s="142"/>
      <c r="BA31" s="106"/>
      <c r="BB31" s="145"/>
      <c r="BC31" s="142"/>
      <c r="BD31" s="142"/>
      <c r="BE31" s="106"/>
      <c r="BF31" s="145"/>
      <c r="BG31" s="142"/>
      <c r="BH31" s="142"/>
      <c r="BI31" s="106"/>
      <c r="BJ31" s="145"/>
      <c r="BK31" s="142"/>
      <c r="BL31" s="142"/>
      <c r="BM31" s="106"/>
      <c r="BN31" s="145"/>
      <c r="BO31" s="142"/>
      <c r="BP31" s="142"/>
      <c r="BQ31" s="106"/>
      <c r="BR31" s="145"/>
      <c r="BS31" s="142"/>
      <c r="BT31" s="142"/>
      <c r="BU31" s="106"/>
      <c r="BV31" s="145"/>
      <c r="BW31" s="142"/>
      <c r="BX31" s="142"/>
      <c r="BY31" s="106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5"/>
      <c r="CP31" s="4"/>
      <c r="CQ31" s="4"/>
      <c r="CR31" s="4"/>
      <c r="CT31" s="5"/>
      <c r="CU31" s="5"/>
      <c r="CV31" s="5"/>
      <c r="CW31" s="5"/>
      <c r="CX31" s="5"/>
      <c r="CY31" s="5"/>
      <c r="CZ31" s="5"/>
      <c r="DA31" s="5"/>
      <c r="DB31" s="5"/>
      <c r="DC31" s="5" t="s">
        <v>94</v>
      </c>
    </row>
    <row r="32" spans="1:107" s="6" customFormat="1" ht="15" customHeight="1" thickBot="1" x14ac:dyDescent="0.3">
      <c r="A32" s="4"/>
      <c r="B32" s="139" t="s">
        <v>2</v>
      </c>
      <c r="C32" s="137"/>
      <c r="D32" s="137"/>
      <c r="E32" s="137"/>
      <c r="F32" s="137"/>
      <c r="G32" s="137"/>
      <c r="H32" s="137"/>
      <c r="I32" s="138"/>
      <c r="J32" s="138"/>
      <c r="K32" s="138"/>
      <c r="L32" s="138"/>
      <c r="M32" s="138"/>
      <c r="N32" s="138"/>
      <c r="O32" s="138"/>
      <c r="P32" s="138"/>
      <c r="Q32" s="4"/>
      <c r="R32" s="4"/>
      <c r="S32" s="156"/>
      <c r="T32" s="157"/>
      <c r="U32" s="157"/>
      <c r="V32" s="157"/>
      <c r="W32" s="157"/>
      <c r="X32" s="157"/>
      <c r="Y32" s="157"/>
      <c r="Z32" s="157"/>
      <c r="AA32" s="157"/>
      <c r="AB32" s="157"/>
      <c r="AC32" s="158"/>
      <c r="AD32" s="146"/>
      <c r="AE32" s="143"/>
      <c r="AF32" s="143"/>
      <c r="AG32" s="107"/>
      <c r="AH32" s="146"/>
      <c r="AI32" s="143"/>
      <c r="AJ32" s="143"/>
      <c r="AK32" s="107"/>
      <c r="AL32" s="146"/>
      <c r="AM32" s="143"/>
      <c r="AN32" s="143"/>
      <c r="AO32" s="107"/>
      <c r="AP32" s="146"/>
      <c r="AQ32" s="143"/>
      <c r="AR32" s="143"/>
      <c r="AS32" s="107"/>
      <c r="AT32" s="146"/>
      <c r="AU32" s="143"/>
      <c r="AV32" s="143"/>
      <c r="AW32" s="107"/>
      <c r="AX32" s="146"/>
      <c r="AY32" s="143"/>
      <c r="AZ32" s="143"/>
      <c r="BA32" s="107"/>
      <c r="BB32" s="146"/>
      <c r="BC32" s="143"/>
      <c r="BD32" s="143"/>
      <c r="BE32" s="107"/>
      <c r="BF32" s="146"/>
      <c r="BG32" s="143"/>
      <c r="BH32" s="143"/>
      <c r="BI32" s="107"/>
      <c r="BJ32" s="146"/>
      <c r="BK32" s="143"/>
      <c r="BL32" s="143"/>
      <c r="BM32" s="107"/>
      <c r="BN32" s="146"/>
      <c r="BO32" s="143"/>
      <c r="BP32" s="143"/>
      <c r="BQ32" s="107"/>
      <c r="BR32" s="146"/>
      <c r="BS32" s="143"/>
      <c r="BT32" s="143"/>
      <c r="BU32" s="107"/>
      <c r="BV32" s="146"/>
      <c r="BW32" s="143"/>
      <c r="BX32" s="143"/>
      <c r="BY32" s="107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5"/>
      <c r="CP32" s="4"/>
      <c r="CQ32" s="4"/>
      <c r="CR32" s="4"/>
      <c r="CT32" s="5"/>
      <c r="CU32" s="5"/>
      <c r="CV32" s="5"/>
      <c r="CW32" s="5"/>
      <c r="CX32" s="5"/>
      <c r="CY32" s="5"/>
      <c r="CZ32" s="5"/>
      <c r="DA32" s="5"/>
      <c r="DB32" s="5"/>
      <c r="DC32" s="5" t="s">
        <v>95</v>
      </c>
    </row>
    <row r="33" spans="1:107" s="6" customFormat="1" ht="15" customHeight="1" thickTop="1" x14ac:dyDescent="0.25">
      <c r="A33" s="4"/>
      <c r="B33" s="164"/>
      <c r="C33" s="160"/>
      <c r="D33" s="160"/>
      <c r="E33" s="160"/>
      <c r="F33" s="160"/>
      <c r="G33" s="160"/>
      <c r="H33" s="160"/>
      <c r="I33" s="161"/>
      <c r="J33" s="161"/>
      <c r="K33" s="161"/>
      <c r="L33" s="161"/>
      <c r="M33" s="161"/>
      <c r="N33" s="161"/>
      <c r="O33" s="161"/>
      <c r="P33" s="161"/>
      <c r="Q33" s="4"/>
      <c r="R33" s="4"/>
      <c r="S33" s="150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144"/>
      <c r="AE33" s="141"/>
      <c r="AF33" s="141"/>
      <c r="AG33" s="105"/>
      <c r="AH33" s="144"/>
      <c r="AI33" s="141"/>
      <c r="AJ33" s="141"/>
      <c r="AK33" s="105"/>
      <c r="AL33" s="144"/>
      <c r="AM33" s="141"/>
      <c r="AN33" s="141"/>
      <c r="AO33" s="105"/>
      <c r="AP33" s="144"/>
      <c r="AQ33" s="141"/>
      <c r="AR33" s="141"/>
      <c r="AS33" s="105"/>
      <c r="AT33" s="144"/>
      <c r="AU33" s="141"/>
      <c r="AV33" s="141"/>
      <c r="AW33" s="105"/>
      <c r="AX33" s="144"/>
      <c r="AY33" s="141"/>
      <c r="AZ33" s="141"/>
      <c r="BA33" s="105"/>
      <c r="BB33" s="144"/>
      <c r="BC33" s="141"/>
      <c r="BD33" s="141"/>
      <c r="BE33" s="105"/>
      <c r="BF33" s="144"/>
      <c r="BG33" s="141"/>
      <c r="BH33" s="141"/>
      <c r="BI33" s="105"/>
      <c r="BJ33" s="144"/>
      <c r="BK33" s="141"/>
      <c r="BL33" s="141"/>
      <c r="BM33" s="105"/>
      <c r="BN33" s="144"/>
      <c r="BO33" s="141"/>
      <c r="BP33" s="141"/>
      <c r="BQ33" s="105"/>
      <c r="BR33" s="144"/>
      <c r="BS33" s="141"/>
      <c r="BT33" s="141"/>
      <c r="BU33" s="105"/>
      <c r="BV33" s="144"/>
      <c r="BW33" s="141"/>
      <c r="BX33" s="141"/>
      <c r="BY33" s="105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5"/>
      <c r="CP33" s="4"/>
      <c r="CQ33" s="4"/>
      <c r="CR33" s="4"/>
      <c r="CT33" s="5"/>
      <c r="CU33" s="5"/>
      <c r="CV33" s="5"/>
      <c r="CW33" s="5"/>
      <c r="CX33" s="5"/>
      <c r="CY33" s="5"/>
      <c r="CZ33" s="5"/>
      <c r="DA33" s="5"/>
      <c r="DB33" s="5"/>
      <c r="DC33" s="5" t="s">
        <v>96</v>
      </c>
    </row>
    <row r="34" spans="1:107" s="6" customFormat="1" ht="15" customHeight="1" thickBot="1" x14ac:dyDescent="0.3">
      <c r="A34" s="4"/>
      <c r="B34" s="140"/>
      <c r="C34" s="162"/>
      <c r="D34" s="162"/>
      <c r="E34" s="162"/>
      <c r="F34" s="162"/>
      <c r="G34" s="162"/>
      <c r="H34" s="162"/>
      <c r="I34" s="163"/>
      <c r="J34" s="163"/>
      <c r="K34" s="163"/>
      <c r="L34" s="163"/>
      <c r="M34" s="163"/>
      <c r="N34" s="163"/>
      <c r="O34" s="163"/>
      <c r="P34" s="163"/>
      <c r="Q34" s="4"/>
      <c r="R34" s="4"/>
      <c r="S34" s="153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145"/>
      <c r="AE34" s="142"/>
      <c r="AF34" s="142"/>
      <c r="AG34" s="106"/>
      <c r="AH34" s="145"/>
      <c r="AI34" s="142"/>
      <c r="AJ34" s="142"/>
      <c r="AK34" s="106"/>
      <c r="AL34" s="145"/>
      <c r="AM34" s="142"/>
      <c r="AN34" s="142"/>
      <c r="AO34" s="106"/>
      <c r="AP34" s="145"/>
      <c r="AQ34" s="142"/>
      <c r="AR34" s="142"/>
      <c r="AS34" s="106"/>
      <c r="AT34" s="145"/>
      <c r="AU34" s="142"/>
      <c r="AV34" s="142"/>
      <c r="AW34" s="106"/>
      <c r="AX34" s="145"/>
      <c r="AY34" s="142"/>
      <c r="AZ34" s="142"/>
      <c r="BA34" s="106"/>
      <c r="BB34" s="145"/>
      <c r="BC34" s="142"/>
      <c r="BD34" s="142"/>
      <c r="BE34" s="106"/>
      <c r="BF34" s="145"/>
      <c r="BG34" s="142"/>
      <c r="BH34" s="142"/>
      <c r="BI34" s="106"/>
      <c r="BJ34" s="145"/>
      <c r="BK34" s="142"/>
      <c r="BL34" s="142"/>
      <c r="BM34" s="106"/>
      <c r="BN34" s="145"/>
      <c r="BO34" s="142"/>
      <c r="BP34" s="142"/>
      <c r="BQ34" s="106"/>
      <c r="BR34" s="145"/>
      <c r="BS34" s="142"/>
      <c r="BT34" s="142"/>
      <c r="BU34" s="106"/>
      <c r="BV34" s="145"/>
      <c r="BW34" s="142"/>
      <c r="BX34" s="142"/>
      <c r="BY34" s="106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5"/>
      <c r="CP34" s="4"/>
      <c r="CQ34" s="4"/>
      <c r="CR34" s="4"/>
      <c r="CT34" s="5"/>
      <c r="CU34" s="5"/>
      <c r="CV34" s="5"/>
      <c r="CW34" s="5"/>
      <c r="CX34" s="5"/>
      <c r="CY34" s="5"/>
      <c r="CZ34" s="5"/>
      <c r="DA34" s="5"/>
      <c r="DB34" s="5"/>
      <c r="DC34" s="5" t="s">
        <v>97</v>
      </c>
    </row>
    <row r="35" spans="1:107" s="6" customFormat="1" ht="15" customHeight="1" thickBot="1" x14ac:dyDescent="0.3">
      <c r="A35" s="4"/>
      <c r="B35" s="139" t="s">
        <v>3</v>
      </c>
      <c r="C35" s="137"/>
      <c r="D35" s="137"/>
      <c r="E35" s="137"/>
      <c r="F35" s="137"/>
      <c r="G35" s="137"/>
      <c r="H35" s="137"/>
      <c r="I35" s="138"/>
      <c r="J35" s="138"/>
      <c r="K35" s="138"/>
      <c r="L35" s="138"/>
      <c r="M35" s="138"/>
      <c r="N35" s="138"/>
      <c r="O35" s="138"/>
      <c r="P35" s="138"/>
      <c r="Q35" s="4"/>
      <c r="R35" s="4"/>
      <c r="S35" s="156"/>
      <c r="T35" s="157"/>
      <c r="U35" s="157"/>
      <c r="V35" s="157"/>
      <c r="W35" s="157"/>
      <c r="X35" s="157"/>
      <c r="Y35" s="157"/>
      <c r="Z35" s="157"/>
      <c r="AA35" s="157"/>
      <c r="AB35" s="157"/>
      <c r="AC35" s="158"/>
      <c r="AD35" s="146"/>
      <c r="AE35" s="143"/>
      <c r="AF35" s="143"/>
      <c r="AG35" s="107"/>
      <c r="AH35" s="146"/>
      <c r="AI35" s="143"/>
      <c r="AJ35" s="143"/>
      <c r="AK35" s="107"/>
      <c r="AL35" s="146"/>
      <c r="AM35" s="143"/>
      <c r="AN35" s="143"/>
      <c r="AO35" s="107"/>
      <c r="AP35" s="146"/>
      <c r="AQ35" s="143"/>
      <c r="AR35" s="143"/>
      <c r="AS35" s="107"/>
      <c r="AT35" s="146"/>
      <c r="AU35" s="143"/>
      <c r="AV35" s="143"/>
      <c r="AW35" s="107"/>
      <c r="AX35" s="146"/>
      <c r="AY35" s="143"/>
      <c r="AZ35" s="143"/>
      <c r="BA35" s="107"/>
      <c r="BB35" s="146"/>
      <c r="BC35" s="143"/>
      <c r="BD35" s="143"/>
      <c r="BE35" s="107"/>
      <c r="BF35" s="146"/>
      <c r="BG35" s="143"/>
      <c r="BH35" s="143"/>
      <c r="BI35" s="107"/>
      <c r="BJ35" s="146"/>
      <c r="BK35" s="143"/>
      <c r="BL35" s="143"/>
      <c r="BM35" s="107"/>
      <c r="BN35" s="146"/>
      <c r="BO35" s="143"/>
      <c r="BP35" s="143"/>
      <c r="BQ35" s="107"/>
      <c r="BR35" s="146"/>
      <c r="BS35" s="143"/>
      <c r="BT35" s="143"/>
      <c r="BU35" s="107"/>
      <c r="BV35" s="146"/>
      <c r="BW35" s="143"/>
      <c r="BX35" s="143"/>
      <c r="BY35" s="107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5"/>
      <c r="CP35" s="4"/>
      <c r="CQ35" s="4"/>
      <c r="CR35" s="4"/>
      <c r="CT35" s="5"/>
      <c r="CU35" s="5"/>
      <c r="CV35" s="5"/>
      <c r="CW35" s="5"/>
      <c r="CX35" s="5"/>
      <c r="CY35" s="5"/>
      <c r="CZ35" s="5"/>
      <c r="DA35" s="5"/>
      <c r="DB35" s="5"/>
      <c r="DC35" s="5" t="s">
        <v>98</v>
      </c>
    </row>
    <row r="36" spans="1:107" s="6" customFormat="1" ht="15" customHeight="1" thickTop="1" thickBot="1" x14ac:dyDescent="0.3">
      <c r="A36" s="4"/>
      <c r="B36" s="140"/>
      <c r="C36" s="162"/>
      <c r="D36" s="162"/>
      <c r="E36" s="162"/>
      <c r="F36" s="162"/>
      <c r="G36" s="162"/>
      <c r="H36" s="162"/>
      <c r="I36" s="163"/>
      <c r="J36" s="163"/>
      <c r="K36" s="163"/>
      <c r="L36" s="163"/>
      <c r="M36" s="163"/>
      <c r="N36" s="163"/>
      <c r="O36" s="163"/>
      <c r="P36" s="163"/>
      <c r="Q36" s="4"/>
      <c r="R36" s="4"/>
      <c r="S36" s="150"/>
      <c r="T36" s="151"/>
      <c r="U36" s="151"/>
      <c r="V36" s="151"/>
      <c r="W36" s="151"/>
      <c r="X36" s="151"/>
      <c r="Y36" s="151"/>
      <c r="Z36" s="151"/>
      <c r="AA36" s="151"/>
      <c r="AB36" s="151"/>
      <c r="AC36" s="152"/>
      <c r="AD36" s="144"/>
      <c r="AE36" s="141"/>
      <c r="AF36" s="141"/>
      <c r="AG36" s="105"/>
      <c r="AH36" s="144"/>
      <c r="AI36" s="141"/>
      <c r="AJ36" s="141"/>
      <c r="AK36" s="105"/>
      <c r="AL36" s="144"/>
      <c r="AM36" s="141"/>
      <c r="AN36" s="141"/>
      <c r="AO36" s="105"/>
      <c r="AP36" s="144"/>
      <c r="AQ36" s="141"/>
      <c r="AR36" s="141"/>
      <c r="AS36" s="105"/>
      <c r="AT36" s="144"/>
      <c r="AU36" s="141"/>
      <c r="AV36" s="141"/>
      <c r="AW36" s="105"/>
      <c r="AX36" s="144"/>
      <c r="AY36" s="141"/>
      <c r="AZ36" s="141"/>
      <c r="BA36" s="105"/>
      <c r="BB36" s="144"/>
      <c r="BC36" s="141"/>
      <c r="BD36" s="141"/>
      <c r="BE36" s="105"/>
      <c r="BF36" s="144"/>
      <c r="BG36" s="141"/>
      <c r="BH36" s="141"/>
      <c r="BI36" s="105"/>
      <c r="BJ36" s="144"/>
      <c r="BK36" s="141"/>
      <c r="BL36" s="141"/>
      <c r="BM36" s="105"/>
      <c r="BN36" s="144"/>
      <c r="BO36" s="141"/>
      <c r="BP36" s="141"/>
      <c r="BQ36" s="105"/>
      <c r="BR36" s="144"/>
      <c r="BS36" s="141"/>
      <c r="BT36" s="141"/>
      <c r="BU36" s="105"/>
      <c r="BV36" s="144"/>
      <c r="BW36" s="141"/>
      <c r="BX36" s="141"/>
      <c r="BY36" s="105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5"/>
      <c r="CP36" s="4"/>
      <c r="CQ36" s="4"/>
      <c r="CR36" s="4"/>
      <c r="CT36" s="5"/>
      <c r="CU36" s="5"/>
      <c r="CV36" s="5"/>
      <c r="CW36" s="5"/>
      <c r="CX36" s="5"/>
      <c r="CY36" s="5"/>
      <c r="CZ36" s="5"/>
      <c r="DA36" s="5"/>
      <c r="DB36" s="5"/>
      <c r="DC36" s="5" t="s">
        <v>99</v>
      </c>
    </row>
    <row r="37" spans="1:107" s="6" customFormat="1" ht="15" customHeight="1" thickBot="1" x14ac:dyDescent="0.3">
      <c r="A37" s="4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4"/>
      <c r="R37" s="4"/>
      <c r="S37" s="153"/>
      <c r="T37" s="154"/>
      <c r="U37" s="154"/>
      <c r="V37" s="154"/>
      <c r="W37" s="154"/>
      <c r="X37" s="154"/>
      <c r="Y37" s="154"/>
      <c r="Z37" s="154"/>
      <c r="AA37" s="154"/>
      <c r="AB37" s="154"/>
      <c r="AC37" s="155"/>
      <c r="AD37" s="145"/>
      <c r="AE37" s="142"/>
      <c r="AF37" s="142"/>
      <c r="AG37" s="106"/>
      <c r="AH37" s="145"/>
      <c r="AI37" s="142"/>
      <c r="AJ37" s="142"/>
      <c r="AK37" s="106"/>
      <c r="AL37" s="145"/>
      <c r="AM37" s="142"/>
      <c r="AN37" s="142"/>
      <c r="AO37" s="106"/>
      <c r="AP37" s="145"/>
      <c r="AQ37" s="142"/>
      <c r="AR37" s="142"/>
      <c r="AS37" s="106"/>
      <c r="AT37" s="145"/>
      <c r="AU37" s="142"/>
      <c r="AV37" s="142"/>
      <c r="AW37" s="106"/>
      <c r="AX37" s="145"/>
      <c r="AY37" s="142"/>
      <c r="AZ37" s="142"/>
      <c r="BA37" s="106"/>
      <c r="BB37" s="145"/>
      <c r="BC37" s="142"/>
      <c r="BD37" s="142"/>
      <c r="BE37" s="106"/>
      <c r="BF37" s="145"/>
      <c r="BG37" s="142"/>
      <c r="BH37" s="142"/>
      <c r="BI37" s="106"/>
      <c r="BJ37" s="145"/>
      <c r="BK37" s="142"/>
      <c r="BL37" s="142"/>
      <c r="BM37" s="106"/>
      <c r="BN37" s="145"/>
      <c r="BO37" s="142"/>
      <c r="BP37" s="142"/>
      <c r="BQ37" s="106"/>
      <c r="BR37" s="145"/>
      <c r="BS37" s="142"/>
      <c r="BT37" s="142"/>
      <c r="BU37" s="106"/>
      <c r="BV37" s="145"/>
      <c r="BW37" s="142"/>
      <c r="BX37" s="142"/>
      <c r="BY37" s="106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5"/>
      <c r="CP37" s="4"/>
      <c r="CQ37" s="4"/>
      <c r="CR37" s="4"/>
      <c r="CT37" s="5"/>
      <c r="CU37" s="5"/>
      <c r="CV37" s="5"/>
      <c r="CW37" s="5"/>
      <c r="CX37" s="5"/>
      <c r="CY37" s="5"/>
      <c r="CZ37" s="5"/>
      <c r="DA37" s="5"/>
      <c r="DB37" s="5"/>
      <c r="DC37" s="5" t="s">
        <v>100</v>
      </c>
    </row>
    <row r="38" spans="1:107" s="6" customFormat="1" ht="15" customHeight="1" thickBot="1" x14ac:dyDescent="0.3">
      <c r="A38" s="4"/>
      <c r="B38" s="126" t="s">
        <v>8</v>
      </c>
      <c r="C38" s="127"/>
      <c r="D38" s="127"/>
      <c r="E38" s="128"/>
      <c r="F38" s="129"/>
      <c r="G38" s="129"/>
      <c r="H38" s="130"/>
      <c r="I38" s="124" t="s">
        <v>10</v>
      </c>
      <c r="J38" s="125"/>
      <c r="K38" s="131"/>
      <c r="L38" s="132"/>
      <c r="M38" s="132"/>
      <c r="N38" s="132"/>
      <c r="O38" s="132"/>
      <c r="P38" s="133"/>
      <c r="Q38" s="4"/>
      <c r="R38" s="4"/>
      <c r="S38" s="156"/>
      <c r="T38" s="157"/>
      <c r="U38" s="157"/>
      <c r="V38" s="157"/>
      <c r="W38" s="157"/>
      <c r="X38" s="157"/>
      <c r="Y38" s="157"/>
      <c r="Z38" s="157"/>
      <c r="AA38" s="157"/>
      <c r="AB38" s="157"/>
      <c r="AC38" s="158"/>
      <c r="AD38" s="146"/>
      <c r="AE38" s="143"/>
      <c r="AF38" s="143"/>
      <c r="AG38" s="107"/>
      <c r="AH38" s="146"/>
      <c r="AI38" s="143"/>
      <c r="AJ38" s="143"/>
      <c r="AK38" s="107"/>
      <c r="AL38" s="146"/>
      <c r="AM38" s="143"/>
      <c r="AN38" s="143"/>
      <c r="AO38" s="107"/>
      <c r="AP38" s="146"/>
      <c r="AQ38" s="143"/>
      <c r="AR38" s="143"/>
      <c r="AS38" s="107"/>
      <c r="AT38" s="146"/>
      <c r="AU38" s="143"/>
      <c r="AV38" s="143"/>
      <c r="AW38" s="107"/>
      <c r="AX38" s="146"/>
      <c r="AY38" s="143"/>
      <c r="AZ38" s="143"/>
      <c r="BA38" s="107"/>
      <c r="BB38" s="146"/>
      <c r="BC38" s="143"/>
      <c r="BD38" s="143"/>
      <c r="BE38" s="107"/>
      <c r="BF38" s="146"/>
      <c r="BG38" s="143"/>
      <c r="BH38" s="143"/>
      <c r="BI38" s="107"/>
      <c r="BJ38" s="146"/>
      <c r="BK38" s="143"/>
      <c r="BL38" s="143"/>
      <c r="BM38" s="107"/>
      <c r="BN38" s="146"/>
      <c r="BO38" s="143"/>
      <c r="BP38" s="143"/>
      <c r="BQ38" s="107"/>
      <c r="BR38" s="146"/>
      <c r="BS38" s="143"/>
      <c r="BT38" s="143"/>
      <c r="BU38" s="107"/>
      <c r="BV38" s="146"/>
      <c r="BW38" s="143"/>
      <c r="BX38" s="143"/>
      <c r="BY38" s="107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5"/>
      <c r="CP38" s="4"/>
      <c r="CQ38" s="4"/>
      <c r="CR38" s="4"/>
      <c r="CT38" s="5"/>
      <c r="CU38" s="5"/>
      <c r="CV38" s="5"/>
      <c r="CW38" s="5"/>
      <c r="CX38" s="5"/>
      <c r="CY38" s="5"/>
      <c r="CZ38" s="5"/>
      <c r="DA38" s="5"/>
      <c r="DB38" s="5"/>
      <c r="DC38" s="5" t="s">
        <v>101</v>
      </c>
    </row>
    <row r="39" spans="1:107" s="6" customFormat="1" ht="1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5"/>
      <c r="CP39" s="4"/>
      <c r="CQ39" s="4"/>
      <c r="CR39" s="4"/>
    </row>
    <row r="40" spans="1:107" s="6" customFormat="1" ht="1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9"/>
      <c r="T40" s="20"/>
      <c r="U40" s="20"/>
      <c r="V40" s="20"/>
      <c r="W40" s="20"/>
      <c r="X40" s="20"/>
      <c r="Y40" s="20"/>
      <c r="Z40" s="149"/>
      <c r="AA40" s="149"/>
      <c r="AB40" s="149"/>
      <c r="AC40" s="20"/>
      <c r="AD40" s="20"/>
      <c r="AE40" s="148"/>
      <c r="AF40" s="148"/>
      <c r="AG40" s="148"/>
      <c r="AH40" s="20"/>
      <c r="AI40" s="20"/>
      <c r="AJ40" s="148"/>
      <c r="AK40" s="148"/>
      <c r="AL40" s="148"/>
      <c r="AM40" s="20"/>
      <c r="AN40" s="20"/>
      <c r="AO40" s="20"/>
      <c r="AP40" s="149"/>
      <c r="AQ40" s="149"/>
      <c r="AR40" s="149"/>
      <c r="AS40" s="20"/>
      <c r="AT40" s="20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5"/>
      <c r="CP40" s="4"/>
      <c r="CQ40" s="4"/>
      <c r="CR40" s="4"/>
    </row>
    <row r="41" spans="1:107" s="6" customFormat="1" ht="15" customHeight="1" x14ac:dyDescent="0.25">
      <c r="A41" s="4"/>
      <c r="B41" s="4"/>
      <c r="C41" s="4"/>
      <c r="D41" s="4"/>
      <c r="E41" s="4"/>
      <c r="F41" s="4"/>
      <c r="G41" s="4"/>
      <c r="J41" s="4"/>
      <c r="K41" s="4"/>
      <c r="L41" s="4"/>
      <c r="M41" s="4"/>
      <c r="N41" s="4"/>
      <c r="O41" s="4"/>
      <c r="P41" s="4"/>
      <c r="Q41" s="4"/>
      <c r="R41" s="4"/>
      <c r="S41" s="20"/>
      <c r="T41" s="20"/>
      <c r="U41" s="20"/>
      <c r="V41" s="20"/>
      <c r="W41" s="20"/>
      <c r="X41" s="20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5"/>
      <c r="CP41" s="4"/>
      <c r="CQ41" s="4"/>
      <c r="CR41" s="4"/>
    </row>
    <row r="42" spans="1:107" s="6" customFormat="1" ht="1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0"/>
      <c r="T42" s="20"/>
      <c r="U42" s="20"/>
      <c r="V42" s="20"/>
      <c r="W42" s="20"/>
      <c r="X42" s="20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5"/>
      <c r="CP42" s="4"/>
      <c r="CQ42" s="4"/>
      <c r="CR42" s="4"/>
    </row>
    <row r="43" spans="1:107" s="6" customFormat="1" ht="1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5"/>
      <c r="CP43" s="4"/>
      <c r="CQ43" s="4"/>
      <c r="CR43" s="4"/>
    </row>
    <row r="44" spans="1:107" s="6" customFormat="1" ht="1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5"/>
      <c r="CP44" s="4"/>
      <c r="CQ44" s="4"/>
      <c r="CR44" s="4"/>
    </row>
    <row r="45" spans="1:107" s="6" customFormat="1" ht="1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5"/>
      <c r="CP45" s="4"/>
      <c r="CQ45" s="4"/>
      <c r="CR45" s="4"/>
    </row>
    <row r="46" spans="1:107" s="6" customFormat="1" ht="1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5"/>
      <c r="CP46" s="4"/>
      <c r="CQ46" s="4"/>
      <c r="CR46" s="4"/>
    </row>
    <row r="47" spans="1:107" s="6" customFormat="1" ht="1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5"/>
      <c r="CP47" s="4"/>
      <c r="CQ47" s="4"/>
      <c r="CR47" s="4"/>
    </row>
    <row r="48" spans="1:107" s="6" customFormat="1" ht="1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5"/>
      <c r="CP48" s="4"/>
      <c r="CQ48" s="4"/>
      <c r="CR48" s="4"/>
    </row>
    <row r="49" spans="92:93" ht="15" customHeight="1" x14ac:dyDescent="0.25"/>
    <row r="50" spans="92:93" ht="15" customHeight="1" x14ac:dyDescent="0.25">
      <c r="CN50" s="5"/>
      <c r="CO50" s="4"/>
    </row>
    <row r="51" spans="92:93" ht="15" customHeight="1" x14ac:dyDescent="0.25">
      <c r="CN51" s="5"/>
      <c r="CO51" s="4"/>
    </row>
    <row r="52" spans="92:93" ht="15" customHeight="1" x14ac:dyDescent="0.25">
      <c r="CN52" s="5"/>
      <c r="CO52" s="4"/>
    </row>
    <row r="53" spans="92:93" ht="15" customHeight="1" x14ac:dyDescent="0.25">
      <c r="CN53" s="5"/>
      <c r="CO53" s="4"/>
    </row>
    <row r="54" spans="92:93" ht="15" customHeight="1" x14ac:dyDescent="0.25"/>
    <row r="55" spans="92:93" ht="15" customHeight="1" x14ac:dyDescent="0.25"/>
    <row r="56" spans="92:93" ht="15" customHeight="1" x14ac:dyDescent="0.25"/>
    <row r="57" spans="92:93" ht="15" customHeight="1" x14ac:dyDescent="0.25"/>
    <row r="58" spans="92:93" ht="15" customHeight="1" x14ac:dyDescent="0.25"/>
    <row r="59" spans="92:93" ht="15" customHeight="1" x14ac:dyDescent="0.25"/>
    <row r="60" spans="92:93" ht="15" customHeight="1" x14ac:dyDescent="0.25"/>
    <row r="61" spans="92:93" ht="15" customHeight="1" x14ac:dyDescent="0.25"/>
    <row r="62" spans="92:93" ht="15" customHeight="1" x14ac:dyDescent="0.25"/>
    <row r="63" spans="92:93" ht="15" customHeight="1" x14ac:dyDescent="0.25"/>
    <row r="64" spans="92:93" ht="15" customHeight="1" x14ac:dyDescent="0.25"/>
    <row r="65" ht="15" customHeight="1" x14ac:dyDescent="0.25"/>
    <row r="66" ht="15" customHeight="1" x14ac:dyDescent="0.25"/>
    <row r="67" ht="15" hidden="1" customHeight="1" x14ac:dyDescent="0.25"/>
    <row r="68" ht="15" hidden="1" customHeight="1" x14ac:dyDescent="0.25"/>
    <row r="69" ht="15" hidden="1" customHeight="1" x14ac:dyDescent="0.25"/>
    <row r="70" ht="15" hidden="1" customHeight="1" x14ac:dyDescent="0.25"/>
    <row r="71" ht="15" hidden="1" customHeight="1" x14ac:dyDescent="0.25"/>
    <row r="72" ht="15" hidden="1" customHeight="1" x14ac:dyDescent="0.25"/>
    <row r="73" ht="15" hidden="1" customHeight="1" x14ac:dyDescent="0.25"/>
    <row r="74" ht="15" hidden="1" customHeight="1" x14ac:dyDescent="0.25"/>
    <row r="75" ht="15" hidden="1" customHeight="1" x14ac:dyDescent="0.25"/>
    <row r="76" ht="15" hidden="1" customHeight="1" x14ac:dyDescent="0.25"/>
    <row r="77" ht="15" hidden="1" customHeight="1" x14ac:dyDescent="0.25"/>
    <row r="78" ht="15" hidden="1" customHeight="1" x14ac:dyDescent="0.25"/>
    <row r="79" ht="15" hidden="1" customHeight="1" x14ac:dyDescent="0.25"/>
    <row r="80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5" hidden="1" customHeight="1" x14ac:dyDescent="0.25"/>
    <row r="115" ht="15" hidden="1" customHeight="1" x14ac:dyDescent="0.25"/>
    <row r="116" ht="15" hidden="1" customHeight="1" x14ac:dyDescent="0.25"/>
    <row r="117" ht="15" hidden="1" customHeight="1" x14ac:dyDescent="0.25"/>
    <row r="118" ht="15" hidden="1" customHeight="1" x14ac:dyDescent="0.25"/>
    <row r="119" ht="15" hidden="1" customHeight="1" x14ac:dyDescent="0.25"/>
    <row r="120" ht="15" hidden="1" customHeight="1" x14ac:dyDescent="0.25"/>
    <row r="121" ht="15" hidden="1" customHeight="1" x14ac:dyDescent="0.25"/>
    <row r="122" ht="15" hidden="1" customHeight="1" x14ac:dyDescent="0.25"/>
    <row r="123" ht="15" hidden="1" customHeight="1" x14ac:dyDescent="0.25"/>
    <row r="124" ht="15" hidden="1" customHeight="1" x14ac:dyDescent="0.25"/>
    <row r="125" ht="15" hidden="1" customHeight="1" x14ac:dyDescent="0.25"/>
    <row r="126" ht="15" hidden="1" customHeight="1" x14ac:dyDescent="0.25"/>
    <row r="127" ht="15" hidden="1" customHeight="1" x14ac:dyDescent="0.25"/>
    <row r="128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34" ht="15" hidden="1" customHeight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x14ac:dyDescent="0.25"/>
    <row r="145" x14ac:dyDescent="0.25"/>
    <row r="146" x14ac:dyDescent="0.25"/>
    <row r="147" x14ac:dyDescent="0.25"/>
    <row r="148" x14ac:dyDescent="0.25"/>
    <row r="149" ht="15" customHeight="1" x14ac:dyDescent="0.25"/>
  </sheetData>
  <mergeCells count="485">
    <mergeCell ref="A1:AH1"/>
    <mergeCell ref="C3:F3"/>
    <mergeCell ref="I3:K3"/>
    <mergeCell ref="CF3:CH3"/>
    <mergeCell ref="CJ3:CL3"/>
    <mergeCell ref="CE4:CE5"/>
    <mergeCell ref="CF4:CH5"/>
    <mergeCell ref="CI4:CI7"/>
    <mergeCell ref="CJ4:CL7"/>
    <mergeCell ref="B5:C5"/>
    <mergeCell ref="D5:F5"/>
    <mergeCell ref="B9:D10"/>
    <mergeCell ref="E9:L10"/>
    <mergeCell ref="S9:BY10"/>
    <mergeCell ref="CD9:CQ10"/>
    <mergeCell ref="B12:P12"/>
    <mergeCell ref="S12:BY12"/>
    <mergeCell ref="CD12:CQ12"/>
    <mergeCell ref="N5:O5"/>
    <mergeCell ref="CE6:CE7"/>
    <mergeCell ref="CF6:CH7"/>
    <mergeCell ref="B7:C7"/>
    <mergeCell ref="D7:F7"/>
    <mergeCell ref="N7:O7"/>
    <mergeCell ref="B13:P16"/>
    <mergeCell ref="S13:AC14"/>
    <mergeCell ref="AD13:AG13"/>
    <mergeCell ref="AH13:AK13"/>
    <mergeCell ref="AL13:AO13"/>
    <mergeCell ref="AP13:AS13"/>
    <mergeCell ref="AI15:AI17"/>
    <mergeCell ref="AJ15:AJ17"/>
    <mergeCell ref="AK15:AK17"/>
    <mergeCell ref="AL15:AL17"/>
    <mergeCell ref="AO15:AO17"/>
    <mergeCell ref="AP15:AP17"/>
    <mergeCell ref="AQ15:AQ17"/>
    <mergeCell ref="AR15:AR17"/>
    <mergeCell ref="S15:AC17"/>
    <mergeCell ref="AD15:AD17"/>
    <mergeCell ref="AE15:AE17"/>
    <mergeCell ref="AF15:AF17"/>
    <mergeCell ref="AG15:AG17"/>
    <mergeCell ref="AH15:AH17"/>
    <mergeCell ref="B17:P17"/>
    <mergeCell ref="BR13:BU13"/>
    <mergeCell ref="BV13:BY13"/>
    <mergeCell ref="AD14:AG14"/>
    <mergeCell ref="AH14:AK14"/>
    <mergeCell ref="AL14:AO14"/>
    <mergeCell ref="AP14:AS14"/>
    <mergeCell ref="AT14:AW14"/>
    <mergeCell ref="AX14:BA14"/>
    <mergeCell ref="BB14:BE14"/>
    <mergeCell ref="BF14:BI14"/>
    <mergeCell ref="AT13:AW13"/>
    <mergeCell ref="AX13:BA13"/>
    <mergeCell ref="BB13:BE13"/>
    <mergeCell ref="BF13:BI13"/>
    <mergeCell ref="BJ13:BM13"/>
    <mergeCell ref="BN13:BQ13"/>
    <mergeCell ref="BJ14:BM14"/>
    <mergeCell ref="BN14:BQ14"/>
    <mergeCell ref="BR14:BU14"/>
    <mergeCell ref="BV14:BY14"/>
    <mergeCell ref="CD17:CQ17"/>
    <mergeCell ref="B18:P21"/>
    <mergeCell ref="S18:AC20"/>
    <mergeCell ref="AD18:AD20"/>
    <mergeCell ref="AE18:AE20"/>
    <mergeCell ref="AF18:AF20"/>
    <mergeCell ref="BQ15:BQ17"/>
    <mergeCell ref="BR15:BR17"/>
    <mergeCell ref="BS15:BS17"/>
    <mergeCell ref="BT15:BT17"/>
    <mergeCell ref="BU15:BU17"/>
    <mergeCell ref="BV15:BV17"/>
    <mergeCell ref="BK15:BK17"/>
    <mergeCell ref="BL15:BL17"/>
    <mergeCell ref="BM15:BM17"/>
    <mergeCell ref="BN15:BN17"/>
    <mergeCell ref="BO15:BO17"/>
    <mergeCell ref="BP15:BP17"/>
    <mergeCell ref="BE15:BE17"/>
    <mergeCell ref="BF15:BF17"/>
    <mergeCell ref="BG15:BG17"/>
    <mergeCell ref="BH15:BH17"/>
    <mergeCell ref="BI15:BI17"/>
    <mergeCell ref="AG18:AG20"/>
    <mergeCell ref="AH18:AH20"/>
    <mergeCell ref="AI18:AI20"/>
    <mergeCell ref="AJ18:AJ20"/>
    <mergeCell ref="AK18:AK20"/>
    <mergeCell ref="AL18:AL20"/>
    <mergeCell ref="BW15:BW17"/>
    <mergeCell ref="BX15:BX17"/>
    <mergeCell ref="BY15:BY17"/>
    <mergeCell ref="BJ15:BJ17"/>
    <mergeCell ref="AY15:AY17"/>
    <mergeCell ref="AZ15:AZ17"/>
    <mergeCell ref="BA15:BA17"/>
    <mergeCell ref="BB15:BB17"/>
    <mergeCell ref="BC15:BC17"/>
    <mergeCell ref="BD15:BD17"/>
    <mergeCell ref="AS15:AS17"/>
    <mergeCell ref="AT15:AT17"/>
    <mergeCell ref="AU15:AU17"/>
    <mergeCell ref="AV15:AV17"/>
    <mergeCell ref="AW15:AW17"/>
    <mergeCell ref="AX15:AX17"/>
    <mergeCell ref="AM15:AM17"/>
    <mergeCell ref="AN15:AN17"/>
    <mergeCell ref="AS18:AS20"/>
    <mergeCell ref="AT18:AT20"/>
    <mergeCell ref="AU18:AU20"/>
    <mergeCell ref="AV18:AV20"/>
    <mergeCell ref="AW18:AW20"/>
    <mergeCell ref="AX18:AX20"/>
    <mergeCell ref="AM18:AM20"/>
    <mergeCell ref="AN18:AN20"/>
    <mergeCell ref="AO18:AO20"/>
    <mergeCell ref="AP18:AP20"/>
    <mergeCell ref="AQ18:AQ20"/>
    <mergeCell ref="AR18:AR20"/>
    <mergeCell ref="BP18:BP20"/>
    <mergeCell ref="BE18:BE20"/>
    <mergeCell ref="BF18:BF20"/>
    <mergeCell ref="BG18:BG20"/>
    <mergeCell ref="BH18:BH20"/>
    <mergeCell ref="BI18:BI20"/>
    <mergeCell ref="BJ18:BJ20"/>
    <mergeCell ref="AY18:AY20"/>
    <mergeCell ref="AZ18:AZ20"/>
    <mergeCell ref="BA18:BA20"/>
    <mergeCell ref="BB18:BB20"/>
    <mergeCell ref="BC18:BC20"/>
    <mergeCell ref="BD18:BD20"/>
    <mergeCell ref="AM21:AM23"/>
    <mergeCell ref="AN21:AN23"/>
    <mergeCell ref="AO21:AO23"/>
    <mergeCell ref="BW18:BW20"/>
    <mergeCell ref="BX18:BX20"/>
    <mergeCell ref="BY18:BY20"/>
    <mergeCell ref="S21:AC23"/>
    <mergeCell ref="AD21:AD23"/>
    <mergeCell ref="AE21:AE23"/>
    <mergeCell ref="AF21:AF23"/>
    <mergeCell ref="AG21:AG23"/>
    <mergeCell ref="AH21:AH23"/>
    <mergeCell ref="AI21:AI23"/>
    <mergeCell ref="BQ18:BQ20"/>
    <mergeCell ref="BR18:BR20"/>
    <mergeCell ref="BS18:BS20"/>
    <mergeCell ref="BT18:BT20"/>
    <mergeCell ref="BU18:BU20"/>
    <mergeCell ref="BV18:BV20"/>
    <mergeCell ref="BK18:BK20"/>
    <mergeCell ref="BL18:BL20"/>
    <mergeCell ref="BM18:BM20"/>
    <mergeCell ref="BN18:BN20"/>
    <mergeCell ref="BO18:BO20"/>
    <mergeCell ref="AV21:AV23"/>
    <mergeCell ref="AW21:AW23"/>
    <mergeCell ref="AX21:AX23"/>
    <mergeCell ref="AY21:AY23"/>
    <mergeCell ref="AZ21:AZ23"/>
    <mergeCell ref="BA21:BA23"/>
    <mergeCell ref="AP21:AP23"/>
    <mergeCell ref="AQ21:AQ23"/>
    <mergeCell ref="AR21:AR23"/>
    <mergeCell ref="AS21:AS23"/>
    <mergeCell ref="AT21:AT23"/>
    <mergeCell ref="AU21:AU23"/>
    <mergeCell ref="BH21:BH23"/>
    <mergeCell ref="BI21:BI23"/>
    <mergeCell ref="BJ21:BJ23"/>
    <mergeCell ref="BK21:BK23"/>
    <mergeCell ref="BL21:BL23"/>
    <mergeCell ref="BM21:BM23"/>
    <mergeCell ref="BB21:BB23"/>
    <mergeCell ref="BC21:BC23"/>
    <mergeCell ref="BD21:BD23"/>
    <mergeCell ref="BE21:BE23"/>
    <mergeCell ref="BF21:BF23"/>
    <mergeCell ref="BG21:BG23"/>
    <mergeCell ref="BT21:BT23"/>
    <mergeCell ref="BU21:BU23"/>
    <mergeCell ref="BV21:BV23"/>
    <mergeCell ref="BW21:BW23"/>
    <mergeCell ref="BX21:BX23"/>
    <mergeCell ref="BY21:BY23"/>
    <mergeCell ref="BN21:BN23"/>
    <mergeCell ref="BO21:BO23"/>
    <mergeCell ref="BP21:BP23"/>
    <mergeCell ref="BQ21:BQ23"/>
    <mergeCell ref="BR21:BR23"/>
    <mergeCell ref="BS21:BS23"/>
    <mergeCell ref="AG24:AG26"/>
    <mergeCell ref="AH24:AH26"/>
    <mergeCell ref="AI24:AI26"/>
    <mergeCell ref="AJ24:AJ26"/>
    <mergeCell ref="AK24:AK26"/>
    <mergeCell ref="AL24:AL26"/>
    <mergeCell ref="B22:P22"/>
    <mergeCell ref="B23:P25"/>
    <mergeCell ref="S24:AC26"/>
    <mergeCell ref="AD24:AD26"/>
    <mergeCell ref="AE24:AE26"/>
    <mergeCell ref="AF24:AF26"/>
    <mergeCell ref="AJ21:AJ23"/>
    <mergeCell ref="AK21:AK23"/>
    <mergeCell ref="AL21:AL23"/>
    <mergeCell ref="AS24:AS26"/>
    <mergeCell ref="AT24:AT26"/>
    <mergeCell ref="AU24:AU26"/>
    <mergeCell ref="AV24:AV26"/>
    <mergeCell ref="AW24:AW26"/>
    <mergeCell ref="AX24:AX26"/>
    <mergeCell ref="AM24:AM26"/>
    <mergeCell ref="AN24:AN26"/>
    <mergeCell ref="AO24:AO26"/>
    <mergeCell ref="AP24:AP26"/>
    <mergeCell ref="AQ24:AQ26"/>
    <mergeCell ref="AR24:AR26"/>
    <mergeCell ref="BG24:BG26"/>
    <mergeCell ref="BH24:BH26"/>
    <mergeCell ref="BI24:BI26"/>
    <mergeCell ref="BJ24:BJ26"/>
    <mergeCell ref="AY24:AY26"/>
    <mergeCell ref="AZ24:AZ26"/>
    <mergeCell ref="BA24:BA26"/>
    <mergeCell ref="BB24:BB26"/>
    <mergeCell ref="BC24:BC26"/>
    <mergeCell ref="BD24:BD26"/>
    <mergeCell ref="BW24:BW26"/>
    <mergeCell ref="BX24:BX26"/>
    <mergeCell ref="BY24:BY26"/>
    <mergeCell ref="B26:P26"/>
    <mergeCell ref="B27:H27"/>
    <mergeCell ref="I27:P27"/>
    <mergeCell ref="S27:AC29"/>
    <mergeCell ref="AD27:AD29"/>
    <mergeCell ref="AE27:AE29"/>
    <mergeCell ref="AF27:AF29"/>
    <mergeCell ref="BQ24:BQ26"/>
    <mergeCell ref="BR24:BR26"/>
    <mergeCell ref="BS24:BS26"/>
    <mergeCell ref="BT24:BT26"/>
    <mergeCell ref="BU24:BU26"/>
    <mergeCell ref="BV24:BV26"/>
    <mergeCell ref="BK24:BK26"/>
    <mergeCell ref="BL24:BL26"/>
    <mergeCell ref="BM24:BM26"/>
    <mergeCell ref="BN24:BN26"/>
    <mergeCell ref="BO24:BO26"/>
    <mergeCell ref="BP24:BP26"/>
    <mergeCell ref="BE24:BE26"/>
    <mergeCell ref="BF24:BF26"/>
    <mergeCell ref="AM27:AM29"/>
    <mergeCell ref="AN27:AN29"/>
    <mergeCell ref="AO27:AO29"/>
    <mergeCell ref="AP27:AP29"/>
    <mergeCell ref="AQ27:AQ29"/>
    <mergeCell ref="AR27:AR29"/>
    <mergeCell ref="AG27:AG29"/>
    <mergeCell ref="AH27:AH29"/>
    <mergeCell ref="AI27:AI29"/>
    <mergeCell ref="AJ27:AJ29"/>
    <mergeCell ref="AK27:AK29"/>
    <mergeCell ref="AL27:AL29"/>
    <mergeCell ref="BI27:BI29"/>
    <mergeCell ref="BJ27:BJ29"/>
    <mergeCell ref="AY27:AY29"/>
    <mergeCell ref="AZ27:AZ29"/>
    <mergeCell ref="BA27:BA29"/>
    <mergeCell ref="BB27:BB29"/>
    <mergeCell ref="BC27:BC29"/>
    <mergeCell ref="BD27:BD29"/>
    <mergeCell ref="AS27:AS29"/>
    <mergeCell ref="AT27:AT29"/>
    <mergeCell ref="AU27:AU29"/>
    <mergeCell ref="AV27:AV29"/>
    <mergeCell ref="AW27:AW29"/>
    <mergeCell ref="AX27:AX29"/>
    <mergeCell ref="BW27:BW29"/>
    <mergeCell ref="BX27:BX29"/>
    <mergeCell ref="BY27:BY29"/>
    <mergeCell ref="B28:B29"/>
    <mergeCell ref="C28:H28"/>
    <mergeCell ref="I28:P28"/>
    <mergeCell ref="C29:H29"/>
    <mergeCell ref="I29:P29"/>
    <mergeCell ref="BQ27:BQ29"/>
    <mergeCell ref="BR27:BR29"/>
    <mergeCell ref="BS27:BS29"/>
    <mergeCell ref="BT27:BT29"/>
    <mergeCell ref="BU27:BU29"/>
    <mergeCell ref="BV27:BV29"/>
    <mergeCell ref="BK27:BK29"/>
    <mergeCell ref="BL27:BL29"/>
    <mergeCell ref="BM27:BM29"/>
    <mergeCell ref="BN27:BN29"/>
    <mergeCell ref="BO27:BO29"/>
    <mergeCell ref="BP27:BP29"/>
    <mergeCell ref="BE27:BE29"/>
    <mergeCell ref="BF27:BF29"/>
    <mergeCell ref="BG27:BG29"/>
    <mergeCell ref="BH27:BH29"/>
    <mergeCell ref="B30:B31"/>
    <mergeCell ref="C30:H30"/>
    <mergeCell ref="I30:P30"/>
    <mergeCell ref="S30:AC32"/>
    <mergeCell ref="AD30:AD32"/>
    <mergeCell ref="AE30:AE32"/>
    <mergeCell ref="B32:B34"/>
    <mergeCell ref="C33:H33"/>
    <mergeCell ref="I33:P33"/>
    <mergeCell ref="S33:AC35"/>
    <mergeCell ref="C34:H34"/>
    <mergeCell ref="I34:P34"/>
    <mergeCell ref="B35:B36"/>
    <mergeCell ref="C35:H35"/>
    <mergeCell ref="I35:P35"/>
    <mergeCell ref="C36:H36"/>
    <mergeCell ref="I36:P36"/>
    <mergeCell ref="AL30:AL32"/>
    <mergeCell ref="AM30:AM32"/>
    <mergeCell ref="AN30:AN32"/>
    <mergeCell ref="AO30:AO32"/>
    <mergeCell ref="AP30:AP32"/>
    <mergeCell ref="AQ30:AQ32"/>
    <mergeCell ref="AF30:AF32"/>
    <mergeCell ref="AG30:AG32"/>
    <mergeCell ref="AH30:AH32"/>
    <mergeCell ref="AI30:AI32"/>
    <mergeCell ref="AJ30:AJ32"/>
    <mergeCell ref="AK30:AK32"/>
    <mergeCell ref="BH30:BH32"/>
    <mergeCell ref="BI30:BI32"/>
    <mergeCell ref="AX30:AX32"/>
    <mergeCell ref="AY30:AY32"/>
    <mergeCell ref="AZ30:AZ32"/>
    <mergeCell ref="BA30:BA32"/>
    <mergeCell ref="BB30:BB32"/>
    <mergeCell ref="BC30:BC32"/>
    <mergeCell ref="AR30:AR32"/>
    <mergeCell ref="AS30:AS32"/>
    <mergeCell ref="AT30:AT32"/>
    <mergeCell ref="AU30:AU32"/>
    <mergeCell ref="AV30:AV32"/>
    <mergeCell ref="AW30:AW32"/>
    <mergeCell ref="BV30:BV32"/>
    <mergeCell ref="BW30:BW32"/>
    <mergeCell ref="BX30:BX32"/>
    <mergeCell ref="BY30:BY32"/>
    <mergeCell ref="C31:H31"/>
    <mergeCell ref="I31:P31"/>
    <mergeCell ref="C32:H32"/>
    <mergeCell ref="I32:P32"/>
    <mergeCell ref="BP30:BP32"/>
    <mergeCell ref="BQ30:BQ32"/>
    <mergeCell ref="BR30:BR32"/>
    <mergeCell ref="BS30:BS32"/>
    <mergeCell ref="BT30:BT32"/>
    <mergeCell ref="BU30:BU32"/>
    <mergeCell ref="BJ30:BJ32"/>
    <mergeCell ref="BK30:BK32"/>
    <mergeCell ref="BL30:BL32"/>
    <mergeCell ref="BM30:BM32"/>
    <mergeCell ref="BN30:BN32"/>
    <mergeCell ref="BO30:BO32"/>
    <mergeCell ref="BD30:BD32"/>
    <mergeCell ref="BE30:BE32"/>
    <mergeCell ref="BF30:BF32"/>
    <mergeCell ref="BG30:BG32"/>
    <mergeCell ref="AJ33:AJ35"/>
    <mergeCell ref="AK33:AK35"/>
    <mergeCell ref="AL33:AL35"/>
    <mergeCell ref="AM33:AM35"/>
    <mergeCell ref="AN33:AN35"/>
    <mergeCell ref="AO33:AO35"/>
    <mergeCell ref="AD33:AD35"/>
    <mergeCell ref="AE33:AE35"/>
    <mergeCell ref="AF33:AF35"/>
    <mergeCell ref="AG33:AG35"/>
    <mergeCell ref="AH33:AH35"/>
    <mergeCell ref="AI33:AI35"/>
    <mergeCell ref="AY33:AY35"/>
    <mergeCell ref="AZ33:AZ35"/>
    <mergeCell ref="BA33:BA35"/>
    <mergeCell ref="AP33:AP35"/>
    <mergeCell ref="AQ33:AQ35"/>
    <mergeCell ref="AR33:AR35"/>
    <mergeCell ref="AS33:AS35"/>
    <mergeCell ref="AT33:AT35"/>
    <mergeCell ref="AU33:AU35"/>
    <mergeCell ref="AV33:AV35"/>
    <mergeCell ref="AW33:AW35"/>
    <mergeCell ref="AX33:AX35"/>
    <mergeCell ref="BV33:BV35"/>
    <mergeCell ref="BW33:BW35"/>
    <mergeCell ref="BX33:BX35"/>
    <mergeCell ref="BY33:BY35"/>
    <mergeCell ref="BN33:BN35"/>
    <mergeCell ref="BO33:BO35"/>
    <mergeCell ref="BP33:BP35"/>
    <mergeCell ref="BQ33:BQ35"/>
    <mergeCell ref="BR33:BR35"/>
    <mergeCell ref="BS33:BS35"/>
    <mergeCell ref="BT33:BT35"/>
    <mergeCell ref="BU33:BU35"/>
    <mergeCell ref="BH33:BH35"/>
    <mergeCell ref="BI33:BI35"/>
    <mergeCell ref="BJ33:BJ35"/>
    <mergeCell ref="BK33:BK35"/>
    <mergeCell ref="BL33:BL35"/>
    <mergeCell ref="BM33:BM35"/>
    <mergeCell ref="BB33:BB35"/>
    <mergeCell ref="BC33:BC35"/>
    <mergeCell ref="BD33:BD35"/>
    <mergeCell ref="BE33:BE35"/>
    <mergeCell ref="BF33:BF35"/>
    <mergeCell ref="BG33:BG35"/>
    <mergeCell ref="AS36:AS38"/>
    <mergeCell ref="AT36:AT38"/>
    <mergeCell ref="AI36:AI38"/>
    <mergeCell ref="AJ36:AJ38"/>
    <mergeCell ref="AK36:AK38"/>
    <mergeCell ref="AL36:AL38"/>
    <mergeCell ref="AM36:AM38"/>
    <mergeCell ref="AN36:AN38"/>
    <mergeCell ref="S36:AC38"/>
    <mergeCell ref="AD36:AD38"/>
    <mergeCell ref="AE36:AE38"/>
    <mergeCell ref="AF36:AF38"/>
    <mergeCell ref="AG36:AG38"/>
    <mergeCell ref="AH36:AH38"/>
    <mergeCell ref="B37:P37"/>
    <mergeCell ref="B38:D38"/>
    <mergeCell ref="E38:H38"/>
    <mergeCell ref="I38:J38"/>
    <mergeCell ref="K38:P38"/>
    <mergeCell ref="BS36:BS38"/>
    <mergeCell ref="BT36:BT38"/>
    <mergeCell ref="BU36:BU38"/>
    <mergeCell ref="BV36:BV38"/>
    <mergeCell ref="BM36:BM38"/>
    <mergeCell ref="BN36:BN38"/>
    <mergeCell ref="BO36:BO38"/>
    <mergeCell ref="BP36:BP38"/>
    <mergeCell ref="BQ36:BQ38"/>
    <mergeCell ref="BR36:BR38"/>
    <mergeCell ref="BG36:BG38"/>
    <mergeCell ref="BH36:BH38"/>
    <mergeCell ref="BI36:BI38"/>
    <mergeCell ref="BJ36:BJ38"/>
    <mergeCell ref="BK36:BK38"/>
    <mergeCell ref="BL36:BL38"/>
    <mergeCell ref="BA36:BA38"/>
    <mergeCell ref="BB36:BB38"/>
    <mergeCell ref="BC36:BC38"/>
    <mergeCell ref="Z40:AB40"/>
    <mergeCell ref="AE40:AG40"/>
    <mergeCell ref="AJ40:AL40"/>
    <mergeCell ref="AP40:AR40"/>
    <mergeCell ref="Y41:AC41"/>
    <mergeCell ref="AD41:AH41"/>
    <mergeCell ref="AI41:AM41"/>
    <mergeCell ref="AN41:AT41"/>
    <mergeCell ref="BY36:BY38"/>
    <mergeCell ref="BW36:BW38"/>
    <mergeCell ref="BX36:BX38"/>
    <mergeCell ref="BD36:BD38"/>
    <mergeCell ref="BE36:BE38"/>
    <mergeCell ref="BF36:BF38"/>
    <mergeCell ref="AU36:AU38"/>
    <mergeCell ref="AV36:AV38"/>
    <mergeCell ref="AW36:AW38"/>
    <mergeCell ref="AX36:AX38"/>
    <mergeCell ref="AY36:AY38"/>
    <mergeCell ref="AZ36:AZ38"/>
    <mergeCell ref="AO36:AO38"/>
    <mergeCell ref="AP36:AP38"/>
    <mergeCell ref="AQ36:AQ38"/>
    <mergeCell ref="AR36:AR38"/>
  </mergeCells>
  <conditionalFormatting sqref="CE16:CQ16 CE21:CQ21">
    <cfRule type="cellIs" dxfId="7" priority="1" operator="lessThan">
      <formula>1</formula>
    </cfRule>
    <cfRule type="cellIs" dxfId="6" priority="2" operator="greaterThanOrEqual">
      <formula>1</formula>
    </cfRule>
  </conditionalFormatting>
  <dataValidations count="1">
    <dataValidation type="list" allowBlank="1" showInputMessage="1" showErrorMessage="1" sqref="I3 L3">
      <formula1>$DC$3:$DC$38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Cadastro!F7:F17</xm:f>
          </x14:formula1>
          <xm:sqref>E9:L10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49"/>
  <sheetViews>
    <sheetView showGridLines="0" zoomScaleNormal="100" workbookViewId="0">
      <selection activeCell="C3" sqref="C3:F3"/>
    </sheetView>
  </sheetViews>
  <sheetFormatPr defaultColWidth="0" defaultRowHeight="15" customHeight="1" zeroHeight="1" x14ac:dyDescent="0.25"/>
  <cols>
    <col min="1" max="6" width="9.7109375" style="4" customWidth="1"/>
    <col min="7" max="7" width="9.28515625" style="4" customWidth="1"/>
    <col min="8" max="8" width="14.28515625" style="4" bestFit="1" customWidth="1"/>
    <col min="9" max="9" width="11.28515625" style="4" bestFit="1" customWidth="1"/>
    <col min="10" max="16" width="9.7109375" style="4" customWidth="1"/>
    <col min="17" max="17" width="0.28515625" style="4" customWidth="1"/>
    <col min="18" max="18" width="4" style="4" customWidth="1"/>
    <col min="19" max="81" width="1.42578125" style="4" customWidth="1"/>
    <col min="82" max="82" width="10.5703125" style="4" bestFit="1" customWidth="1"/>
    <col min="83" max="83" width="14.28515625" style="4" bestFit="1" customWidth="1"/>
    <col min="84" max="92" width="13.28515625" style="4" customWidth="1"/>
    <col min="93" max="93" width="13.28515625" style="5" customWidth="1"/>
    <col min="94" max="95" width="13.28515625" style="4" customWidth="1"/>
    <col min="96" max="96" width="1.28515625" style="4" customWidth="1"/>
    <col min="97" max="16384" width="9.140625" style="4" hidden="1"/>
  </cols>
  <sheetData>
    <row r="1" spans="1:107" s="94" customFormat="1" ht="36" customHeight="1" x14ac:dyDescent="0.25">
      <c r="A1" s="197" t="s">
        <v>146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</row>
    <row r="2" spans="1:107" ht="15.75" thickBot="1" x14ac:dyDescent="0.3">
      <c r="B2" s="5">
        <f>C3</f>
        <v>0</v>
      </c>
      <c r="C2" s="5"/>
      <c r="D2" s="5">
        <f>I3</f>
        <v>0</v>
      </c>
      <c r="E2" s="5"/>
      <c r="F2" s="5"/>
      <c r="G2" s="5">
        <f>B13</f>
        <v>0</v>
      </c>
      <c r="H2" s="5" t="str">
        <f>E9</f>
        <v>PRECIFICAÇÃO DE PROJETOS</v>
      </c>
      <c r="I2" s="5"/>
      <c r="J2" s="5"/>
    </row>
    <row r="3" spans="1:107" s="6" customFormat="1" ht="18" customHeight="1" thickBot="1" x14ac:dyDescent="0.3">
      <c r="A3" s="4"/>
      <c r="B3" s="22" t="s">
        <v>45</v>
      </c>
      <c r="C3" s="176"/>
      <c r="D3" s="176"/>
      <c r="E3" s="176"/>
      <c r="F3" s="177"/>
      <c r="G3" s="4"/>
      <c r="H3" s="23" t="s">
        <v>41</v>
      </c>
      <c r="I3" s="108"/>
      <c r="J3" s="109"/>
      <c r="K3" s="110"/>
      <c r="L3" s="26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20"/>
      <c r="CE3" s="37"/>
      <c r="CF3" s="199"/>
      <c r="CG3" s="199"/>
      <c r="CH3" s="199"/>
      <c r="CI3" s="37"/>
      <c r="CJ3" s="199"/>
      <c r="CK3" s="199"/>
      <c r="CL3" s="199"/>
      <c r="CM3" s="4"/>
      <c r="CN3" s="4"/>
      <c r="CO3" s="5"/>
      <c r="CP3" s="4"/>
      <c r="CQ3" s="4"/>
      <c r="CR3" s="4"/>
      <c r="CT3" s="5" t="s">
        <v>11</v>
      </c>
      <c r="CU3" s="5"/>
      <c r="CV3" s="5"/>
      <c r="CW3" s="5"/>
      <c r="CX3" s="5"/>
      <c r="CY3" s="5" t="s">
        <v>24</v>
      </c>
      <c r="CZ3" s="5"/>
      <c r="DA3" s="5"/>
      <c r="DB3" s="5"/>
      <c r="DC3" s="5" t="s">
        <v>66</v>
      </c>
    </row>
    <row r="4" spans="1:107" s="6" customFormat="1" ht="7.5" customHeight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20"/>
      <c r="CE4" s="201"/>
      <c r="CF4" s="199"/>
      <c r="CG4" s="199"/>
      <c r="CH4" s="199"/>
      <c r="CI4" s="200"/>
      <c r="CJ4" s="199"/>
      <c r="CK4" s="199"/>
      <c r="CL4" s="199"/>
      <c r="CM4" s="4"/>
      <c r="CN4" s="4"/>
      <c r="CO4" s="5"/>
      <c r="CP4" s="4"/>
      <c r="CQ4" s="4"/>
      <c r="CR4" s="4"/>
      <c r="CT4" s="5" t="s">
        <v>12</v>
      </c>
      <c r="CU4" s="5"/>
      <c r="CV4" s="5"/>
      <c r="CW4" s="5"/>
      <c r="CX4" s="5"/>
      <c r="CY4" s="5" t="s">
        <v>23</v>
      </c>
      <c r="CZ4" s="5"/>
      <c r="DA4" s="5"/>
      <c r="DB4" s="5"/>
      <c r="DC4" s="5" t="s">
        <v>67</v>
      </c>
    </row>
    <row r="5" spans="1:107" s="6" customFormat="1" ht="18" customHeight="1" thickBot="1" x14ac:dyDescent="0.3">
      <c r="A5" s="5">
        <f>D5</f>
        <v>0</v>
      </c>
      <c r="B5" s="178" t="s">
        <v>40</v>
      </c>
      <c r="C5" s="179"/>
      <c r="D5" s="176"/>
      <c r="E5" s="176"/>
      <c r="F5" s="177"/>
      <c r="G5" s="4"/>
      <c r="H5" s="24" t="s">
        <v>42</v>
      </c>
      <c r="I5" s="7"/>
      <c r="K5" s="30" t="s">
        <v>59</v>
      </c>
      <c r="L5" s="31"/>
      <c r="M5" s="32"/>
      <c r="N5" s="182"/>
      <c r="O5" s="183"/>
      <c r="P5" s="51">
        <f>N5</f>
        <v>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20"/>
      <c r="CE5" s="201"/>
      <c r="CF5" s="199"/>
      <c r="CG5" s="199"/>
      <c r="CH5" s="199"/>
      <c r="CI5" s="200"/>
      <c r="CJ5" s="199"/>
      <c r="CK5" s="199"/>
      <c r="CL5" s="199"/>
      <c r="CM5" s="4"/>
      <c r="CN5" s="4"/>
      <c r="CO5" s="5"/>
      <c r="CP5" s="4"/>
      <c r="CQ5" s="4"/>
      <c r="CR5" s="4"/>
      <c r="CT5" s="5" t="s">
        <v>13</v>
      </c>
      <c r="CU5" s="5"/>
      <c r="CV5" s="5"/>
      <c r="CW5" s="5"/>
      <c r="CX5" s="5"/>
      <c r="CY5" s="5" t="s">
        <v>26</v>
      </c>
      <c r="CZ5" s="5"/>
      <c r="DA5" s="5"/>
      <c r="DB5" s="5"/>
      <c r="DC5" s="5" t="s">
        <v>68</v>
      </c>
    </row>
    <row r="6" spans="1:107" s="6" customFormat="1" ht="7.5" customHeight="1" thickBot="1" x14ac:dyDescent="0.3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20"/>
      <c r="CE6" s="201"/>
      <c r="CF6" s="199"/>
      <c r="CG6" s="199"/>
      <c r="CH6" s="199"/>
      <c r="CI6" s="200"/>
      <c r="CJ6" s="199"/>
      <c r="CK6" s="199"/>
      <c r="CL6" s="199"/>
      <c r="CM6" s="4"/>
      <c r="CN6" s="4"/>
      <c r="CO6" s="5"/>
      <c r="CP6" s="4"/>
      <c r="CQ6" s="4"/>
      <c r="CR6" s="4"/>
      <c r="CT6" s="5" t="s">
        <v>14</v>
      </c>
      <c r="CU6" s="5"/>
      <c r="CV6" s="5"/>
      <c r="CW6" s="5"/>
      <c r="CX6" s="5"/>
      <c r="CY6" s="5" t="s">
        <v>25</v>
      </c>
      <c r="CZ6" s="5"/>
      <c r="DA6" s="5"/>
      <c r="DB6" s="5"/>
      <c r="DC6" s="5" t="s">
        <v>69</v>
      </c>
    </row>
    <row r="7" spans="1:107" s="6" customFormat="1" ht="18" customHeight="1" thickBot="1" x14ac:dyDescent="0.3">
      <c r="A7" s="5">
        <f>D7</f>
        <v>0</v>
      </c>
      <c r="B7" s="178" t="s">
        <v>9</v>
      </c>
      <c r="C7" s="179"/>
      <c r="D7" s="176"/>
      <c r="E7" s="176"/>
      <c r="F7" s="177"/>
      <c r="G7" s="4"/>
      <c r="H7" s="25" t="s">
        <v>44</v>
      </c>
      <c r="I7" s="7"/>
      <c r="J7" s="27"/>
      <c r="K7" s="28" t="s">
        <v>58</v>
      </c>
      <c r="L7" s="33"/>
      <c r="M7" s="34"/>
      <c r="N7" s="180"/>
      <c r="O7" s="181"/>
      <c r="P7" s="5">
        <f>N7</f>
        <v>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20"/>
      <c r="CE7" s="201"/>
      <c r="CF7" s="199"/>
      <c r="CG7" s="199"/>
      <c r="CH7" s="199"/>
      <c r="CI7" s="200"/>
      <c r="CJ7" s="199"/>
      <c r="CK7" s="199"/>
      <c r="CL7" s="199"/>
      <c r="CM7" s="4"/>
      <c r="CN7" s="4"/>
      <c r="CO7" s="5"/>
      <c r="CP7" s="4"/>
      <c r="CQ7" s="4"/>
      <c r="CR7" s="4"/>
      <c r="CT7" s="5" t="s">
        <v>15</v>
      </c>
      <c r="CU7" s="5"/>
      <c r="CV7" s="5"/>
      <c r="CW7" s="5"/>
      <c r="CX7" s="5"/>
      <c r="CY7" s="5" t="s">
        <v>22</v>
      </c>
      <c r="CZ7" s="5"/>
      <c r="DA7" s="5"/>
      <c r="DB7" s="5"/>
      <c r="DC7" s="5" t="s">
        <v>70</v>
      </c>
    </row>
    <row r="8" spans="1:107" s="6" customFormat="1" ht="7.5" customHeight="1" thickBot="1" x14ac:dyDescent="0.3">
      <c r="A8" s="4"/>
      <c r="B8" s="4"/>
      <c r="C8" s="4"/>
      <c r="D8" s="4"/>
      <c r="E8" s="4"/>
      <c r="F8" s="4"/>
      <c r="G8" s="4"/>
      <c r="H8" s="29"/>
      <c r="I8" s="27"/>
      <c r="J8" s="27"/>
      <c r="K8" s="27"/>
      <c r="L8" s="27"/>
      <c r="M8" s="27"/>
      <c r="N8" s="27"/>
      <c r="O8" s="27"/>
      <c r="P8" s="52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5"/>
      <c r="CP8" s="4"/>
      <c r="CQ8" s="4"/>
      <c r="CR8" s="4"/>
      <c r="CT8" s="5" t="s">
        <v>16</v>
      </c>
      <c r="CU8" s="5"/>
      <c r="CV8" s="5"/>
      <c r="CW8" s="5"/>
      <c r="CX8" s="5"/>
      <c r="CY8" s="5" t="s">
        <v>21</v>
      </c>
      <c r="CZ8" s="5"/>
      <c r="DA8" s="5"/>
      <c r="DB8" s="5"/>
      <c r="DC8" s="5" t="s">
        <v>71</v>
      </c>
    </row>
    <row r="9" spans="1:107" s="6" customFormat="1" ht="15" customHeight="1" x14ac:dyDescent="0.25">
      <c r="A9" s="4"/>
      <c r="B9" s="111" t="s">
        <v>60</v>
      </c>
      <c r="C9" s="112"/>
      <c r="D9" s="113"/>
      <c r="E9" s="117" t="s">
        <v>125</v>
      </c>
      <c r="F9" s="118"/>
      <c r="G9" s="118"/>
      <c r="H9" s="118"/>
      <c r="I9" s="118"/>
      <c r="J9" s="118"/>
      <c r="K9" s="118"/>
      <c r="L9" s="119"/>
      <c r="M9" s="27"/>
      <c r="N9" s="27"/>
      <c r="O9" s="27"/>
      <c r="P9" s="52"/>
      <c r="Q9" s="4"/>
      <c r="R9" s="4"/>
      <c r="S9" s="104" t="s">
        <v>126</v>
      </c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4"/>
      <c r="CA9" s="4"/>
      <c r="CB9" s="4"/>
      <c r="CC9" s="4"/>
      <c r="CD9" s="104" t="s">
        <v>122</v>
      </c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4"/>
      <c r="CT9" s="5" t="s">
        <v>54</v>
      </c>
      <c r="CU9" s="5"/>
      <c r="CV9" s="5"/>
      <c r="CW9" s="5"/>
      <c r="CX9" s="5"/>
      <c r="CY9" s="5" t="s">
        <v>20</v>
      </c>
      <c r="CZ9" s="5"/>
      <c r="DA9" s="5"/>
      <c r="DB9" s="5"/>
      <c r="DC9" s="5" t="s">
        <v>72</v>
      </c>
    </row>
    <row r="10" spans="1:107" s="6" customFormat="1" ht="7.5" customHeight="1" thickBot="1" x14ac:dyDescent="0.3">
      <c r="A10" s="4"/>
      <c r="B10" s="114"/>
      <c r="C10" s="115"/>
      <c r="D10" s="116"/>
      <c r="E10" s="120"/>
      <c r="F10" s="121"/>
      <c r="G10" s="121"/>
      <c r="H10" s="121"/>
      <c r="I10" s="121"/>
      <c r="J10" s="121"/>
      <c r="K10" s="121"/>
      <c r="L10" s="122"/>
      <c r="M10" s="27"/>
      <c r="N10" s="27"/>
      <c r="O10" s="27"/>
      <c r="P10" s="27"/>
      <c r="Q10" s="4"/>
      <c r="R10" s="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4"/>
      <c r="CA10" s="4"/>
      <c r="CB10" s="4"/>
      <c r="CC10" s="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4"/>
      <c r="CT10" s="5" t="s">
        <v>55</v>
      </c>
      <c r="CU10" s="5"/>
      <c r="CV10" s="5"/>
      <c r="CW10" s="5"/>
      <c r="CX10" s="5"/>
      <c r="CY10" s="5"/>
      <c r="CZ10" s="5"/>
      <c r="DA10" s="5"/>
      <c r="DB10" s="5"/>
      <c r="DC10" s="5" t="s">
        <v>73</v>
      </c>
    </row>
    <row r="11" spans="1:107" s="6" customFormat="1" ht="15" customHeight="1" thickBot="1" x14ac:dyDescent="0.3">
      <c r="A11" s="4"/>
      <c r="G11" s="4"/>
      <c r="H11" s="29"/>
      <c r="I11" s="27"/>
      <c r="J11" s="27"/>
      <c r="K11" s="27"/>
      <c r="L11" s="27"/>
      <c r="M11" s="27"/>
      <c r="N11" s="27"/>
      <c r="O11" s="27"/>
      <c r="P11" s="27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R11" s="4"/>
      <c r="CT11" s="5" t="s">
        <v>56</v>
      </c>
      <c r="CU11" s="5"/>
      <c r="CV11" s="5"/>
      <c r="CW11" s="5"/>
      <c r="CX11" s="5"/>
      <c r="CY11" s="5"/>
      <c r="CZ11" s="5"/>
      <c r="DA11" s="5"/>
      <c r="DB11" s="5"/>
      <c r="DC11" s="5" t="s">
        <v>74</v>
      </c>
    </row>
    <row r="12" spans="1:107" s="6" customFormat="1" ht="15" customHeight="1" thickTop="1" thickBot="1" x14ac:dyDescent="0.3">
      <c r="A12" s="4"/>
      <c r="B12" s="174" t="s">
        <v>28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4"/>
      <c r="R12" s="4"/>
      <c r="S12" s="134" t="s">
        <v>30</v>
      </c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6"/>
      <c r="BZ12" s="35"/>
      <c r="CA12" s="35"/>
      <c r="CB12" s="35"/>
      <c r="CC12" s="36"/>
      <c r="CD12" s="101" t="s">
        <v>17</v>
      </c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3"/>
      <c r="CR12" s="4"/>
      <c r="CT12" s="5"/>
      <c r="CU12" s="5"/>
      <c r="CV12" s="5"/>
      <c r="CW12" s="5"/>
      <c r="CX12" s="5"/>
      <c r="CY12" s="5"/>
      <c r="CZ12" s="5"/>
      <c r="DA12" s="5"/>
      <c r="DB12" s="5"/>
      <c r="DC12" s="5" t="s">
        <v>75</v>
      </c>
    </row>
    <row r="13" spans="1:107" s="6" customFormat="1" ht="15" customHeight="1" thickTop="1" thickBot="1" x14ac:dyDescent="0.3">
      <c r="A13" s="4"/>
      <c r="B13" s="165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7"/>
      <c r="Q13" s="4"/>
      <c r="R13" s="4"/>
      <c r="S13" s="185" t="s">
        <v>121</v>
      </c>
      <c r="T13" s="186"/>
      <c r="U13" s="186"/>
      <c r="V13" s="186"/>
      <c r="W13" s="186"/>
      <c r="X13" s="186"/>
      <c r="Y13" s="186"/>
      <c r="Z13" s="186"/>
      <c r="AA13" s="186"/>
      <c r="AB13" s="186"/>
      <c r="AC13" s="187"/>
      <c r="AD13" s="191">
        <v>1</v>
      </c>
      <c r="AE13" s="192"/>
      <c r="AF13" s="192"/>
      <c r="AG13" s="193"/>
      <c r="AH13" s="191">
        <v>2</v>
      </c>
      <c r="AI13" s="192"/>
      <c r="AJ13" s="192"/>
      <c r="AK13" s="193"/>
      <c r="AL13" s="191">
        <v>3</v>
      </c>
      <c r="AM13" s="192"/>
      <c r="AN13" s="192"/>
      <c r="AO13" s="193"/>
      <c r="AP13" s="191">
        <v>4</v>
      </c>
      <c r="AQ13" s="192"/>
      <c r="AR13" s="192"/>
      <c r="AS13" s="193"/>
      <c r="AT13" s="191">
        <v>5</v>
      </c>
      <c r="AU13" s="192"/>
      <c r="AV13" s="192"/>
      <c r="AW13" s="193"/>
      <c r="AX13" s="191">
        <v>6</v>
      </c>
      <c r="AY13" s="192"/>
      <c r="AZ13" s="192"/>
      <c r="BA13" s="193"/>
      <c r="BB13" s="191">
        <v>7</v>
      </c>
      <c r="BC13" s="192"/>
      <c r="BD13" s="192"/>
      <c r="BE13" s="193"/>
      <c r="BF13" s="191">
        <v>8</v>
      </c>
      <c r="BG13" s="192"/>
      <c r="BH13" s="192"/>
      <c r="BI13" s="193"/>
      <c r="BJ13" s="191">
        <v>9</v>
      </c>
      <c r="BK13" s="192"/>
      <c r="BL13" s="192"/>
      <c r="BM13" s="193"/>
      <c r="BN13" s="191">
        <v>10</v>
      </c>
      <c r="BO13" s="192"/>
      <c r="BP13" s="192"/>
      <c r="BQ13" s="193"/>
      <c r="BR13" s="191">
        <v>11</v>
      </c>
      <c r="BS13" s="192"/>
      <c r="BT13" s="192"/>
      <c r="BU13" s="193"/>
      <c r="BV13" s="191">
        <v>12</v>
      </c>
      <c r="BW13" s="192"/>
      <c r="BX13" s="192"/>
      <c r="BY13" s="193"/>
      <c r="BZ13" s="4"/>
      <c r="CA13" s="4"/>
      <c r="CB13" s="4"/>
      <c r="CC13" s="4"/>
      <c r="CD13" s="8"/>
      <c r="CE13" s="9" t="s">
        <v>27</v>
      </c>
      <c r="CF13" s="10" t="str">
        <f>AD14</f>
        <v>JAN</v>
      </c>
      <c r="CG13" s="10" t="str">
        <f>AH14</f>
        <v>FEV</v>
      </c>
      <c r="CH13" s="10" t="str">
        <f>AL14</f>
        <v>MAR</v>
      </c>
      <c r="CI13" s="10" t="str">
        <f>AP14</f>
        <v>ABR</v>
      </c>
      <c r="CJ13" s="10" t="str">
        <f>AT14</f>
        <v>MAI</v>
      </c>
      <c r="CK13" s="10" t="str">
        <f>AX14</f>
        <v>JUN</v>
      </c>
      <c r="CL13" s="10" t="str">
        <f>BB14</f>
        <v>JUL</v>
      </c>
      <c r="CM13" s="10" t="str">
        <f>BF14</f>
        <v>AGO</v>
      </c>
      <c r="CN13" s="10" t="str">
        <f>BJ14</f>
        <v>SET</v>
      </c>
      <c r="CO13" s="10" t="str">
        <f>BN14</f>
        <v>OUT</v>
      </c>
      <c r="CP13" s="10" t="str">
        <f>BR14</f>
        <v>NOV</v>
      </c>
      <c r="CQ13" s="10" t="str">
        <f>BV14</f>
        <v>DEZ</v>
      </c>
      <c r="CR13" s="4"/>
      <c r="CT13" s="5"/>
      <c r="CU13" s="5"/>
      <c r="CV13" s="5"/>
      <c r="CW13" s="5"/>
      <c r="CX13" s="5"/>
      <c r="CY13" s="5"/>
      <c r="CZ13" s="5"/>
      <c r="DA13" s="5"/>
      <c r="DB13" s="5"/>
      <c r="DC13" s="5" t="s">
        <v>76</v>
      </c>
    </row>
    <row r="14" spans="1:107" s="6" customFormat="1" ht="15" customHeight="1" thickTop="1" thickBot="1" x14ac:dyDescent="0.3">
      <c r="A14" s="4"/>
      <c r="B14" s="168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70"/>
      <c r="Q14" s="4"/>
      <c r="R14" s="4"/>
      <c r="S14" s="188"/>
      <c r="T14" s="189"/>
      <c r="U14" s="189"/>
      <c r="V14" s="189"/>
      <c r="W14" s="189"/>
      <c r="X14" s="189"/>
      <c r="Y14" s="189"/>
      <c r="Z14" s="189"/>
      <c r="AA14" s="189"/>
      <c r="AB14" s="189"/>
      <c r="AC14" s="190"/>
      <c r="AD14" s="194" t="s">
        <v>109</v>
      </c>
      <c r="AE14" s="195"/>
      <c r="AF14" s="195"/>
      <c r="AG14" s="196"/>
      <c r="AH14" s="194" t="s">
        <v>110</v>
      </c>
      <c r="AI14" s="195"/>
      <c r="AJ14" s="195"/>
      <c r="AK14" s="196"/>
      <c r="AL14" s="194" t="s">
        <v>111</v>
      </c>
      <c r="AM14" s="195"/>
      <c r="AN14" s="195"/>
      <c r="AO14" s="196"/>
      <c r="AP14" s="194" t="s">
        <v>112</v>
      </c>
      <c r="AQ14" s="195"/>
      <c r="AR14" s="195"/>
      <c r="AS14" s="196"/>
      <c r="AT14" s="194" t="s">
        <v>113</v>
      </c>
      <c r="AU14" s="195"/>
      <c r="AV14" s="195"/>
      <c r="AW14" s="196"/>
      <c r="AX14" s="194" t="s">
        <v>114</v>
      </c>
      <c r="AY14" s="195"/>
      <c r="AZ14" s="195"/>
      <c r="BA14" s="196"/>
      <c r="BB14" s="194" t="s">
        <v>115</v>
      </c>
      <c r="BC14" s="195"/>
      <c r="BD14" s="195"/>
      <c r="BE14" s="196"/>
      <c r="BF14" s="194" t="s">
        <v>116</v>
      </c>
      <c r="BG14" s="195"/>
      <c r="BH14" s="195"/>
      <c r="BI14" s="196"/>
      <c r="BJ14" s="194" t="s">
        <v>117</v>
      </c>
      <c r="BK14" s="195"/>
      <c r="BL14" s="195"/>
      <c r="BM14" s="196"/>
      <c r="BN14" s="194" t="s">
        <v>118</v>
      </c>
      <c r="BO14" s="195"/>
      <c r="BP14" s="195"/>
      <c r="BQ14" s="196"/>
      <c r="BR14" s="194" t="s">
        <v>119</v>
      </c>
      <c r="BS14" s="195"/>
      <c r="BT14" s="195"/>
      <c r="BU14" s="196"/>
      <c r="BV14" s="194" t="s">
        <v>120</v>
      </c>
      <c r="BW14" s="195"/>
      <c r="BX14" s="195"/>
      <c r="BY14" s="196"/>
      <c r="BZ14" s="4"/>
      <c r="CA14" s="4"/>
      <c r="CB14" s="4"/>
      <c r="CC14" s="4"/>
      <c r="CD14" s="11" t="s">
        <v>29</v>
      </c>
      <c r="CE14" s="12">
        <f>SUM(CF14:CQ14)</f>
        <v>0</v>
      </c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4"/>
      <c r="CT14" s="5"/>
      <c r="CU14" s="5"/>
      <c r="CV14" s="5"/>
      <c r="CW14" s="5"/>
      <c r="CX14" s="5"/>
      <c r="CY14" s="5"/>
      <c r="CZ14" s="5"/>
      <c r="DA14" s="5"/>
      <c r="DB14" s="5"/>
      <c r="DC14" s="5" t="s">
        <v>77</v>
      </c>
    </row>
    <row r="15" spans="1:107" s="6" customFormat="1" ht="15" customHeight="1" thickTop="1" thickBot="1" x14ac:dyDescent="0.3">
      <c r="A15" s="4"/>
      <c r="B15" s="168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70"/>
      <c r="Q15" s="4"/>
      <c r="R15" s="4"/>
      <c r="S15" s="150"/>
      <c r="T15" s="151"/>
      <c r="U15" s="151"/>
      <c r="V15" s="151"/>
      <c r="W15" s="151"/>
      <c r="X15" s="151"/>
      <c r="Y15" s="151"/>
      <c r="Z15" s="151"/>
      <c r="AA15" s="151"/>
      <c r="AB15" s="151"/>
      <c r="AC15" s="152"/>
      <c r="AD15" s="144"/>
      <c r="AE15" s="141"/>
      <c r="AF15" s="141"/>
      <c r="AG15" s="105"/>
      <c r="AH15" s="144"/>
      <c r="AI15" s="141"/>
      <c r="AJ15" s="141"/>
      <c r="AK15" s="105"/>
      <c r="AL15" s="144"/>
      <c r="AM15" s="141"/>
      <c r="AN15" s="141"/>
      <c r="AO15" s="105"/>
      <c r="AP15" s="144"/>
      <c r="AQ15" s="141"/>
      <c r="AR15" s="141"/>
      <c r="AS15" s="105"/>
      <c r="AT15" s="144"/>
      <c r="AU15" s="141"/>
      <c r="AV15" s="141"/>
      <c r="AW15" s="105"/>
      <c r="AX15" s="144"/>
      <c r="AY15" s="141"/>
      <c r="AZ15" s="141"/>
      <c r="BA15" s="105"/>
      <c r="BB15" s="144"/>
      <c r="BC15" s="141"/>
      <c r="BD15" s="141"/>
      <c r="BE15" s="105"/>
      <c r="BF15" s="144"/>
      <c r="BG15" s="141"/>
      <c r="BH15" s="141"/>
      <c r="BI15" s="105"/>
      <c r="BJ15" s="144"/>
      <c r="BK15" s="141"/>
      <c r="BL15" s="141"/>
      <c r="BM15" s="105"/>
      <c r="BN15" s="144"/>
      <c r="BO15" s="141"/>
      <c r="BP15" s="141"/>
      <c r="BQ15" s="105"/>
      <c r="BR15" s="144"/>
      <c r="BS15" s="141"/>
      <c r="BT15" s="141"/>
      <c r="BU15" s="105"/>
      <c r="BV15" s="144"/>
      <c r="BW15" s="141"/>
      <c r="BX15" s="141"/>
      <c r="BY15" s="105"/>
      <c r="BZ15" s="4"/>
      <c r="CA15" s="4"/>
      <c r="CB15" s="4"/>
      <c r="CC15" s="4"/>
      <c r="CD15" s="13" t="s">
        <v>18</v>
      </c>
      <c r="CE15" s="12">
        <f>SUM(CF15:CQ15)</f>
        <v>0</v>
      </c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4"/>
      <c r="CT15" s="5"/>
      <c r="CU15" s="5"/>
      <c r="CV15" s="5"/>
      <c r="CW15" s="5"/>
      <c r="CX15" s="5"/>
      <c r="CY15" s="5"/>
      <c r="CZ15" s="5"/>
      <c r="DA15" s="5"/>
      <c r="DB15" s="5"/>
      <c r="DC15" s="5" t="s">
        <v>78</v>
      </c>
    </row>
    <row r="16" spans="1:107" s="6" customFormat="1" ht="15" customHeight="1" thickTop="1" thickBot="1" x14ac:dyDescent="0.3">
      <c r="A16" s="4"/>
      <c r="B16" s="171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3"/>
      <c r="Q16" s="4"/>
      <c r="R16" s="4"/>
      <c r="S16" s="153"/>
      <c r="T16" s="154"/>
      <c r="U16" s="154"/>
      <c r="V16" s="154"/>
      <c r="W16" s="154"/>
      <c r="X16" s="154"/>
      <c r="Y16" s="154"/>
      <c r="Z16" s="154"/>
      <c r="AA16" s="154"/>
      <c r="AB16" s="154"/>
      <c r="AC16" s="155"/>
      <c r="AD16" s="145"/>
      <c r="AE16" s="142"/>
      <c r="AF16" s="142"/>
      <c r="AG16" s="106"/>
      <c r="AH16" s="145"/>
      <c r="AI16" s="142"/>
      <c r="AJ16" s="142"/>
      <c r="AK16" s="106"/>
      <c r="AL16" s="145"/>
      <c r="AM16" s="142"/>
      <c r="AN16" s="142"/>
      <c r="AO16" s="106"/>
      <c r="AP16" s="145"/>
      <c r="AQ16" s="142"/>
      <c r="AR16" s="142"/>
      <c r="AS16" s="106"/>
      <c r="AT16" s="145"/>
      <c r="AU16" s="142"/>
      <c r="AV16" s="142"/>
      <c r="AW16" s="106"/>
      <c r="AX16" s="145"/>
      <c r="AY16" s="142"/>
      <c r="AZ16" s="142"/>
      <c r="BA16" s="106"/>
      <c r="BB16" s="145"/>
      <c r="BC16" s="142"/>
      <c r="BD16" s="142"/>
      <c r="BE16" s="106"/>
      <c r="BF16" s="145"/>
      <c r="BG16" s="142"/>
      <c r="BH16" s="142"/>
      <c r="BI16" s="106"/>
      <c r="BJ16" s="145"/>
      <c r="BK16" s="142"/>
      <c r="BL16" s="142"/>
      <c r="BM16" s="106"/>
      <c r="BN16" s="145"/>
      <c r="BO16" s="142"/>
      <c r="BP16" s="142"/>
      <c r="BQ16" s="106"/>
      <c r="BR16" s="145"/>
      <c r="BS16" s="142"/>
      <c r="BT16" s="142"/>
      <c r="BU16" s="106"/>
      <c r="BV16" s="145"/>
      <c r="BW16" s="142"/>
      <c r="BX16" s="142"/>
      <c r="BY16" s="106"/>
      <c r="BZ16" s="4"/>
      <c r="CA16" s="4"/>
      <c r="CB16" s="4"/>
      <c r="CC16" s="4"/>
      <c r="CD16" s="9" t="s">
        <v>19</v>
      </c>
      <c r="CE16" s="15" t="str">
        <f t="shared" ref="CE16" si="0">IFERROR(CE15/CE14,"-")</f>
        <v>-</v>
      </c>
      <c r="CF16" s="16" t="str">
        <f>IFERROR(CF15/CF14,"-")</f>
        <v>-</v>
      </c>
      <c r="CG16" s="16" t="str">
        <f t="shared" ref="CG16:CQ16" si="1">IFERROR(CG15/CG14,"-")</f>
        <v>-</v>
      </c>
      <c r="CH16" s="16" t="str">
        <f t="shared" si="1"/>
        <v>-</v>
      </c>
      <c r="CI16" s="16" t="str">
        <f t="shared" si="1"/>
        <v>-</v>
      </c>
      <c r="CJ16" s="16" t="str">
        <f t="shared" si="1"/>
        <v>-</v>
      </c>
      <c r="CK16" s="16" t="str">
        <f t="shared" si="1"/>
        <v>-</v>
      </c>
      <c r="CL16" s="16" t="str">
        <f t="shared" si="1"/>
        <v>-</v>
      </c>
      <c r="CM16" s="16" t="str">
        <f t="shared" si="1"/>
        <v>-</v>
      </c>
      <c r="CN16" s="16" t="str">
        <f t="shared" si="1"/>
        <v>-</v>
      </c>
      <c r="CO16" s="16" t="str">
        <f t="shared" si="1"/>
        <v>-</v>
      </c>
      <c r="CP16" s="16" t="str">
        <f t="shared" si="1"/>
        <v>-</v>
      </c>
      <c r="CQ16" s="16" t="str">
        <f t="shared" si="1"/>
        <v>-</v>
      </c>
      <c r="CR16" s="4"/>
      <c r="CT16" s="5"/>
      <c r="CU16" s="5"/>
      <c r="CV16" s="5"/>
      <c r="CW16" s="5"/>
      <c r="CX16" s="5"/>
      <c r="CY16" s="5"/>
      <c r="CZ16" s="5"/>
      <c r="DA16" s="5"/>
      <c r="DB16" s="5"/>
      <c r="DC16" s="5" t="s">
        <v>79</v>
      </c>
    </row>
    <row r="17" spans="1:107" s="6" customFormat="1" ht="15" customHeight="1" thickTop="1" thickBot="1" x14ac:dyDescent="0.3">
      <c r="A17" s="4"/>
      <c r="B17" s="174" t="s">
        <v>57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4"/>
      <c r="R17" s="4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8"/>
      <c r="AD17" s="146"/>
      <c r="AE17" s="143"/>
      <c r="AF17" s="143"/>
      <c r="AG17" s="107"/>
      <c r="AH17" s="146"/>
      <c r="AI17" s="143"/>
      <c r="AJ17" s="143"/>
      <c r="AK17" s="107"/>
      <c r="AL17" s="146"/>
      <c r="AM17" s="143"/>
      <c r="AN17" s="143"/>
      <c r="AO17" s="107"/>
      <c r="AP17" s="146"/>
      <c r="AQ17" s="143"/>
      <c r="AR17" s="143"/>
      <c r="AS17" s="107"/>
      <c r="AT17" s="146"/>
      <c r="AU17" s="143"/>
      <c r="AV17" s="143"/>
      <c r="AW17" s="107"/>
      <c r="AX17" s="146"/>
      <c r="AY17" s="143"/>
      <c r="AZ17" s="143"/>
      <c r="BA17" s="107"/>
      <c r="BB17" s="146"/>
      <c r="BC17" s="143"/>
      <c r="BD17" s="143"/>
      <c r="BE17" s="107"/>
      <c r="BF17" s="146"/>
      <c r="BG17" s="143"/>
      <c r="BH17" s="143"/>
      <c r="BI17" s="107"/>
      <c r="BJ17" s="146"/>
      <c r="BK17" s="143"/>
      <c r="BL17" s="143"/>
      <c r="BM17" s="107"/>
      <c r="BN17" s="146"/>
      <c r="BO17" s="143"/>
      <c r="BP17" s="143"/>
      <c r="BQ17" s="107"/>
      <c r="BR17" s="146"/>
      <c r="BS17" s="143"/>
      <c r="BT17" s="143"/>
      <c r="BU17" s="107"/>
      <c r="BV17" s="146"/>
      <c r="BW17" s="143"/>
      <c r="BX17" s="143"/>
      <c r="BY17" s="107"/>
      <c r="BZ17" s="4"/>
      <c r="CA17" s="4"/>
      <c r="CB17" s="4"/>
      <c r="CC17" s="4"/>
      <c r="CD17" s="101" t="s">
        <v>104</v>
      </c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3"/>
      <c r="CR17" s="4"/>
      <c r="CT17" s="5"/>
      <c r="CU17" s="5"/>
      <c r="CV17" s="5"/>
      <c r="CW17" s="5"/>
      <c r="CX17" s="5"/>
      <c r="CY17" s="5"/>
      <c r="CZ17" s="5"/>
      <c r="DA17" s="5"/>
      <c r="DB17" s="5"/>
      <c r="DC17" s="5" t="s">
        <v>80</v>
      </c>
    </row>
    <row r="18" spans="1:107" s="6" customFormat="1" ht="15" customHeight="1" thickTop="1" thickBot="1" x14ac:dyDescent="0.3">
      <c r="A18" s="4"/>
      <c r="B18" s="165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7"/>
      <c r="Q18" s="4"/>
      <c r="R18" s="4"/>
      <c r="S18" s="150"/>
      <c r="T18" s="151"/>
      <c r="U18" s="151"/>
      <c r="V18" s="151"/>
      <c r="W18" s="151"/>
      <c r="X18" s="151"/>
      <c r="Y18" s="151"/>
      <c r="Z18" s="151"/>
      <c r="AA18" s="151"/>
      <c r="AB18" s="151"/>
      <c r="AC18" s="152"/>
      <c r="AD18" s="144"/>
      <c r="AE18" s="141"/>
      <c r="AF18" s="141"/>
      <c r="AG18" s="105"/>
      <c r="AH18" s="144"/>
      <c r="AI18" s="141"/>
      <c r="AJ18" s="141"/>
      <c r="AK18" s="105"/>
      <c r="AL18" s="144"/>
      <c r="AM18" s="141"/>
      <c r="AN18" s="141"/>
      <c r="AO18" s="105"/>
      <c r="AP18" s="144"/>
      <c r="AQ18" s="141"/>
      <c r="AR18" s="141"/>
      <c r="AS18" s="105"/>
      <c r="AT18" s="144"/>
      <c r="AU18" s="141"/>
      <c r="AV18" s="141"/>
      <c r="AW18" s="105"/>
      <c r="AX18" s="144"/>
      <c r="AY18" s="141"/>
      <c r="AZ18" s="141"/>
      <c r="BA18" s="105"/>
      <c r="BB18" s="144"/>
      <c r="BC18" s="141"/>
      <c r="BD18" s="141"/>
      <c r="BE18" s="105"/>
      <c r="BF18" s="144"/>
      <c r="BG18" s="141"/>
      <c r="BH18" s="141"/>
      <c r="BI18" s="105"/>
      <c r="BJ18" s="144"/>
      <c r="BK18" s="141"/>
      <c r="BL18" s="141"/>
      <c r="BM18" s="105"/>
      <c r="BN18" s="144"/>
      <c r="BO18" s="141"/>
      <c r="BP18" s="141"/>
      <c r="BQ18" s="105"/>
      <c r="BR18" s="144"/>
      <c r="BS18" s="141"/>
      <c r="BT18" s="141"/>
      <c r="BU18" s="105"/>
      <c r="BV18" s="144"/>
      <c r="BW18" s="141"/>
      <c r="BX18" s="141"/>
      <c r="BY18" s="105"/>
      <c r="BZ18" s="4"/>
      <c r="CA18" s="4"/>
      <c r="CB18" s="4"/>
      <c r="CC18" s="4"/>
      <c r="CD18" s="8"/>
      <c r="CE18" s="9" t="s">
        <v>27</v>
      </c>
      <c r="CF18" s="10" t="str">
        <f>CF13</f>
        <v>JAN</v>
      </c>
      <c r="CG18" s="10" t="str">
        <f t="shared" ref="CG18:CQ18" si="2">CG13</f>
        <v>FEV</v>
      </c>
      <c r="CH18" s="10" t="str">
        <f t="shared" si="2"/>
        <v>MAR</v>
      </c>
      <c r="CI18" s="10" t="str">
        <f t="shared" si="2"/>
        <v>ABR</v>
      </c>
      <c r="CJ18" s="10" t="str">
        <f t="shared" si="2"/>
        <v>MAI</v>
      </c>
      <c r="CK18" s="10" t="str">
        <f t="shared" si="2"/>
        <v>JUN</v>
      </c>
      <c r="CL18" s="10" t="str">
        <f t="shared" si="2"/>
        <v>JUL</v>
      </c>
      <c r="CM18" s="10" t="str">
        <f t="shared" si="2"/>
        <v>AGO</v>
      </c>
      <c r="CN18" s="10" t="str">
        <f t="shared" si="2"/>
        <v>SET</v>
      </c>
      <c r="CO18" s="10" t="str">
        <f t="shared" si="2"/>
        <v>OUT</v>
      </c>
      <c r="CP18" s="10" t="str">
        <f t="shared" si="2"/>
        <v>NOV</v>
      </c>
      <c r="CQ18" s="10" t="str">
        <f t="shared" si="2"/>
        <v>DEZ</v>
      </c>
      <c r="CR18" s="4"/>
      <c r="CT18" s="5"/>
      <c r="CU18" s="5"/>
      <c r="CV18" s="5"/>
      <c r="CW18" s="5"/>
      <c r="CX18" s="5"/>
      <c r="CY18" s="5"/>
      <c r="CZ18" s="5"/>
      <c r="DA18" s="5"/>
      <c r="DB18" s="5"/>
      <c r="DC18" s="5" t="s">
        <v>81</v>
      </c>
    </row>
    <row r="19" spans="1:107" s="6" customFormat="1" ht="15" customHeight="1" thickTop="1" thickBot="1" x14ac:dyDescent="0.3">
      <c r="A19" s="4"/>
      <c r="B19" s="168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4"/>
      <c r="R19" s="4"/>
      <c r="S19" s="153"/>
      <c r="T19" s="154"/>
      <c r="U19" s="154"/>
      <c r="V19" s="154"/>
      <c r="W19" s="154"/>
      <c r="X19" s="154"/>
      <c r="Y19" s="154"/>
      <c r="Z19" s="154"/>
      <c r="AA19" s="154"/>
      <c r="AB19" s="154"/>
      <c r="AC19" s="155"/>
      <c r="AD19" s="145"/>
      <c r="AE19" s="142"/>
      <c r="AF19" s="142"/>
      <c r="AG19" s="106"/>
      <c r="AH19" s="145"/>
      <c r="AI19" s="142"/>
      <c r="AJ19" s="142"/>
      <c r="AK19" s="106"/>
      <c r="AL19" s="145"/>
      <c r="AM19" s="142"/>
      <c r="AN19" s="142"/>
      <c r="AO19" s="106"/>
      <c r="AP19" s="145"/>
      <c r="AQ19" s="142"/>
      <c r="AR19" s="142"/>
      <c r="AS19" s="106"/>
      <c r="AT19" s="145"/>
      <c r="AU19" s="142"/>
      <c r="AV19" s="142"/>
      <c r="AW19" s="106"/>
      <c r="AX19" s="145"/>
      <c r="AY19" s="142"/>
      <c r="AZ19" s="142"/>
      <c r="BA19" s="106"/>
      <c r="BB19" s="145"/>
      <c r="BC19" s="142"/>
      <c r="BD19" s="142"/>
      <c r="BE19" s="106"/>
      <c r="BF19" s="145"/>
      <c r="BG19" s="142"/>
      <c r="BH19" s="142"/>
      <c r="BI19" s="106"/>
      <c r="BJ19" s="145"/>
      <c r="BK19" s="142"/>
      <c r="BL19" s="142"/>
      <c r="BM19" s="106"/>
      <c r="BN19" s="145"/>
      <c r="BO19" s="142"/>
      <c r="BP19" s="142"/>
      <c r="BQ19" s="106"/>
      <c r="BR19" s="145"/>
      <c r="BS19" s="142"/>
      <c r="BT19" s="142"/>
      <c r="BU19" s="106"/>
      <c r="BV19" s="145"/>
      <c r="BW19" s="142"/>
      <c r="BX19" s="142"/>
      <c r="BY19" s="106"/>
      <c r="BZ19" s="4"/>
      <c r="CA19" s="4"/>
      <c r="CB19" s="4"/>
      <c r="CC19" s="4"/>
      <c r="CD19" s="11" t="s">
        <v>29</v>
      </c>
      <c r="CE19" s="12">
        <f>SUM(CF19:CQ19)</f>
        <v>0</v>
      </c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4"/>
      <c r="CT19" s="5"/>
      <c r="CU19" s="5"/>
      <c r="CV19" s="5"/>
      <c r="CW19" s="5"/>
      <c r="CX19" s="5"/>
      <c r="CY19" s="5"/>
      <c r="CZ19" s="5"/>
      <c r="DA19" s="5"/>
      <c r="DB19" s="5"/>
      <c r="DC19" s="5" t="s">
        <v>82</v>
      </c>
    </row>
    <row r="20" spans="1:107" s="6" customFormat="1" ht="15" customHeight="1" thickTop="1" thickBot="1" x14ac:dyDescent="0.3">
      <c r="A20" s="4"/>
      <c r="B20" s="168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70"/>
      <c r="Q20" s="4"/>
      <c r="R20" s="4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8"/>
      <c r="AD20" s="146"/>
      <c r="AE20" s="143"/>
      <c r="AF20" s="143"/>
      <c r="AG20" s="107"/>
      <c r="AH20" s="146"/>
      <c r="AI20" s="143"/>
      <c r="AJ20" s="143"/>
      <c r="AK20" s="107"/>
      <c r="AL20" s="146"/>
      <c r="AM20" s="143"/>
      <c r="AN20" s="143"/>
      <c r="AO20" s="107"/>
      <c r="AP20" s="146"/>
      <c r="AQ20" s="143"/>
      <c r="AR20" s="143"/>
      <c r="AS20" s="107"/>
      <c r="AT20" s="146"/>
      <c r="AU20" s="143"/>
      <c r="AV20" s="143"/>
      <c r="AW20" s="107"/>
      <c r="AX20" s="146"/>
      <c r="AY20" s="143"/>
      <c r="AZ20" s="143"/>
      <c r="BA20" s="107"/>
      <c r="BB20" s="146"/>
      <c r="BC20" s="143"/>
      <c r="BD20" s="143"/>
      <c r="BE20" s="107"/>
      <c r="BF20" s="146"/>
      <c r="BG20" s="143"/>
      <c r="BH20" s="143"/>
      <c r="BI20" s="107"/>
      <c r="BJ20" s="146"/>
      <c r="BK20" s="143"/>
      <c r="BL20" s="143"/>
      <c r="BM20" s="107"/>
      <c r="BN20" s="146"/>
      <c r="BO20" s="143"/>
      <c r="BP20" s="143"/>
      <c r="BQ20" s="107"/>
      <c r="BR20" s="146"/>
      <c r="BS20" s="143"/>
      <c r="BT20" s="143"/>
      <c r="BU20" s="107"/>
      <c r="BV20" s="146"/>
      <c r="BW20" s="143"/>
      <c r="BX20" s="143"/>
      <c r="BY20" s="107"/>
      <c r="BZ20" s="4"/>
      <c r="CA20" s="4"/>
      <c r="CB20" s="4"/>
      <c r="CC20" s="4"/>
      <c r="CD20" s="13" t="s">
        <v>18</v>
      </c>
      <c r="CE20" s="12">
        <f>SUM(CF20:CQ20)</f>
        <v>0</v>
      </c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4"/>
      <c r="CT20" s="5"/>
      <c r="CU20" s="5"/>
      <c r="CV20" s="5"/>
      <c r="CW20" s="5"/>
      <c r="CX20" s="5"/>
      <c r="CY20" s="5"/>
      <c r="CZ20" s="5"/>
      <c r="DA20" s="5"/>
      <c r="DB20" s="5"/>
      <c r="DC20" s="5" t="s">
        <v>83</v>
      </c>
    </row>
    <row r="21" spans="1:107" s="6" customFormat="1" ht="15" customHeight="1" thickTop="1" thickBot="1" x14ac:dyDescent="0.3">
      <c r="A21" s="4"/>
      <c r="B21" s="171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4"/>
      <c r="R21" s="4"/>
      <c r="S21" s="150"/>
      <c r="T21" s="151"/>
      <c r="U21" s="151"/>
      <c r="V21" s="151"/>
      <c r="W21" s="151"/>
      <c r="X21" s="151"/>
      <c r="Y21" s="151"/>
      <c r="Z21" s="151"/>
      <c r="AA21" s="151"/>
      <c r="AB21" s="151"/>
      <c r="AC21" s="152"/>
      <c r="AD21" s="144"/>
      <c r="AE21" s="141"/>
      <c r="AF21" s="141"/>
      <c r="AG21" s="105"/>
      <c r="AH21" s="144"/>
      <c r="AI21" s="141"/>
      <c r="AJ21" s="141"/>
      <c r="AK21" s="105"/>
      <c r="AL21" s="144"/>
      <c r="AM21" s="141"/>
      <c r="AN21" s="141"/>
      <c r="AO21" s="105"/>
      <c r="AP21" s="144"/>
      <c r="AQ21" s="141"/>
      <c r="AR21" s="141"/>
      <c r="AS21" s="105"/>
      <c r="AT21" s="144"/>
      <c r="AU21" s="141"/>
      <c r="AV21" s="141"/>
      <c r="AW21" s="105"/>
      <c r="AX21" s="144"/>
      <c r="AY21" s="141"/>
      <c r="AZ21" s="141"/>
      <c r="BA21" s="105"/>
      <c r="BB21" s="144"/>
      <c r="BC21" s="141"/>
      <c r="BD21" s="141"/>
      <c r="BE21" s="105"/>
      <c r="BF21" s="144"/>
      <c r="BG21" s="141"/>
      <c r="BH21" s="141"/>
      <c r="BI21" s="105"/>
      <c r="BJ21" s="144"/>
      <c r="BK21" s="141"/>
      <c r="BL21" s="141"/>
      <c r="BM21" s="105"/>
      <c r="BN21" s="144"/>
      <c r="BO21" s="141"/>
      <c r="BP21" s="141"/>
      <c r="BQ21" s="105"/>
      <c r="BR21" s="144"/>
      <c r="BS21" s="141"/>
      <c r="BT21" s="141"/>
      <c r="BU21" s="105"/>
      <c r="BV21" s="144"/>
      <c r="BW21" s="141"/>
      <c r="BX21" s="141"/>
      <c r="BY21" s="105"/>
      <c r="BZ21" s="4"/>
      <c r="CA21" s="4"/>
      <c r="CB21" s="4"/>
      <c r="CC21" s="4"/>
      <c r="CD21" s="9" t="s">
        <v>19</v>
      </c>
      <c r="CE21" s="15" t="str">
        <f t="shared" ref="CE21" si="3">IFERROR(CE20/CE19,"-")</f>
        <v>-</v>
      </c>
      <c r="CF21" s="16" t="str">
        <f>IFERROR(CF20/CF19,"-")</f>
        <v>-</v>
      </c>
      <c r="CG21" s="16" t="str">
        <f t="shared" ref="CG21:CQ21" si="4">IFERROR(CG20/CG19,"-")</f>
        <v>-</v>
      </c>
      <c r="CH21" s="16" t="str">
        <f t="shared" si="4"/>
        <v>-</v>
      </c>
      <c r="CI21" s="16" t="str">
        <f t="shared" si="4"/>
        <v>-</v>
      </c>
      <c r="CJ21" s="16" t="str">
        <f t="shared" si="4"/>
        <v>-</v>
      </c>
      <c r="CK21" s="16" t="str">
        <f t="shared" si="4"/>
        <v>-</v>
      </c>
      <c r="CL21" s="16" t="str">
        <f t="shared" si="4"/>
        <v>-</v>
      </c>
      <c r="CM21" s="16" t="str">
        <f t="shared" si="4"/>
        <v>-</v>
      </c>
      <c r="CN21" s="16" t="str">
        <f t="shared" si="4"/>
        <v>-</v>
      </c>
      <c r="CO21" s="16" t="str">
        <f t="shared" si="4"/>
        <v>-</v>
      </c>
      <c r="CP21" s="16" t="str">
        <f t="shared" si="4"/>
        <v>-</v>
      </c>
      <c r="CQ21" s="16" t="str">
        <f t="shared" si="4"/>
        <v>-</v>
      </c>
      <c r="CR21" s="4"/>
      <c r="CT21" s="5"/>
      <c r="CU21" s="5"/>
      <c r="CV21" s="5"/>
      <c r="CW21" s="5"/>
      <c r="CX21" s="5"/>
      <c r="CY21" s="5"/>
      <c r="CZ21" s="5"/>
      <c r="DA21" s="5"/>
      <c r="DB21" s="5"/>
      <c r="DC21" s="5" t="s">
        <v>84</v>
      </c>
    </row>
    <row r="22" spans="1:107" s="6" customFormat="1" ht="15" customHeight="1" thickBot="1" x14ac:dyDescent="0.3">
      <c r="A22" s="4"/>
      <c r="B22" s="174" t="s">
        <v>4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4"/>
      <c r="R22" s="4"/>
      <c r="S22" s="153"/>
      <c r="T22" s="154"/>
      <c r="U22" s="154"/>
      <c r="V22" s="154"/>
      <c r="W22" s="154"/>
      <c r="X22" s="154"/>
      <c r="Y22" s="154"/>
      <c r="Z22" s="154"/>
      <c r="AA22" s="154"/>
      <c r="AB22" s="154"/>
      <c r="AC22" s="155"/>
      <c r="AD22" s="145"/>
      <c r="AE22" s="142"/>
      <c r="AF22" s="142"/>
      <c r="AG22" s="106"/>
      <c r="AH22" s="145"/>
      <c r="AI22" s="142"/>
      <c r="AJ22" s="142"/>
      <c r="AK22" s="106"/>
      <c r="AL22" s="145"/>
      <c r="AM22" s="142"/>
      <c r="AN22" s="142"/>
      <c r="AO22" s="106"/>
      <c r="AP22" s="145"/>
      <c r="AQ22" s="142"/>
      <c r="AR22" s="142"/>
      <c r="AS22" s="106"/>
      <c r="AT22" s="145"/>
      <c r="AU22" s="142"/>
      <c r="AV22" s="142"/>
      <c r="AW22" s="106"/>
      <c r="AX22" s="145"/>
      <c r="AY22" s="142"/>
      <c r="AZ22" s="142"/>
      <c r="BA22" s="106"/>
      <c r="BB22" s="145"/>
      <c r="BC22" s="142"/>
      <c r="BD22" s="142"/>
      <c r="BE22" s="106"/>
      <c r="BF22" s="145"/>
      <c r="BG22" s="142"/>
      <c r="BH22" s="142"/>
      <c r="BI22" s="106"/>
      <c r="BJ22" s="145"/>
      <c r="BK22" s="142"/>
      <c r="BL22" s="142"/>
      <c r="BM22" s="106"/>
      <c r="BN22" s="145"/>
      <c r="BO22" s="142"/>
      <c r="BP22" s="142"/>
      <c r="BQ22" s="106"/>
      <c r="BR22" s="145"/>
      <c r="BS22" s="142"/>
      <c r="BT22" s="142"/>
      <c r="BU22" s="106"/>
      <c r="BV22" s="145"/>
      <c r="BW22" s="142"/>
      <c r="BX22" s="142"/>
      <c r="BY22" s="106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5"/>
      <c r="CP22" s="4"/>
      <c r="CQ22" s="4"/>
      <c r="CR22" s="4"/>
      <c r="CT22" s="5"/>
      <c r="CU22" s="5"/>
      <c r="CV22" s="5"/>
      <c r="CW22" s="5"/>
      <c r="CX22" s="5"/>
      <c r="CY22" s="5"/>
      <c r="CZ22" s="5"/>
      <c r="DA22" s="5"/>
      <c r="DB22" s="5"/>
      <c r="DC22" s="5" t="s">
        <v>85</v>
      </c>
    </row>
    <row r="23" spans="1:107" s="6" customFormat="1" ht="15" customHeight="1" thickBot="1" x14ac:dyDescent="0.3">
      <c r="A23" s="4"/>
      <c r="B23" s="165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7"/>
      <c r="Q23" s="4"/>
      <c r="R23" s="4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8"/>
      <c r="AD23" s="146"/>
      <c r="AE23" s="143"/>
      <c r="AF23" s="143"/>
      <c r="AG23" s="107"/>
      <c r="AH23" s="146"/>
      <c r="AI23" s="143"/>
      <c r="AJ23" s="143"/>
      <c r="AK23" s="107"/>
      <c r="AL23" s="146"/>
      <c r="AM23" s="143"/>
      <c r="AN23" s="143"/>
      <c r="AO23" s="107"/>
      <c r="AP23" s="146"/>
      <c r="AQ23" s="143"/>
      <c r="AR23" s="143"/>
      <c r="AS23" s="107"/>
      <c r="AT23" s="146"/>
      <c r="AU23" s="143"/>
      <c r="AV23" s="143"/>
      <c r="AW23" s="107"/>
      <c r="AX23" s="146"/>
      <c r="AY23" s="143"/>
      <c r="AZ23" s="143"/>
      <c r="BA23" s="107"/>
      <c r="BB23" s="146"/>
      <c r="BC23" s="143"/>
      <c r="BD23" s="143"/>
      <c r="BE23" s="107"/>
      <c r="BF23" s="146"/>
      <c r="BG23" s="143"/>
      <c r="BH23" s="143"/>
      <c r="BI23" s="107"/>
      <c r="BJ23" s="146"/>
      <c r="BK23" s="143"/>
      <c r="BL23" s="143"/>
      <c r="BM23" s="107"/>
      <c r="BN23" s="146"/>
      <c r="BO23" s="143"/>
      <c r="BP23" s="143"/>
      <c r="BQ23" s="107"/>
      <c r="BR23" s="146"/>
      <c r="BS23" s="143"/>
      <c r="BT23" s="143"/>
      <c r="BU23" s="107"/>
      <c r="BV23" s="146"/>
      <c r="BW23" s="143"/>
      <c r="BX23" s="143"/>
      <c r="BY23" s="107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5"/>
      <c r="CP23" s="4"/>
      <c r="CQ23" s="4"/>
      <c r="CR23" s="4"/>
      <c r="CT23" s="5"/>
      <c r="CU23" s="5"/>
      <c r="CV23" s="5"/>
      <c r="CW23" s="5"/>
      <c r="CX23" s="5"/>
      <c r="CY23" s="5"/>
      <c r="CZ23" s="5"/>
      <c r="DA23" s="5"/>
      <c r="DB23" s="5"/>
      <c r="DC23" s="5" t="s">
        <v>86</v>
      </c>
    </row>
    <row r="24" spans="1:107" s="6" customFormat="1" ht="15" customHeight="1" thickTop="1" x14ac:dyDescent="0.25">
      <c r="A24" s="4"/>
      <c r="B24" s="168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70"/>
      <c r="Q24" s="4"/>
      <c r="R24" s="4"/>
      <c r="S24" s="150"/>
      <c r="T24" s="151"/>
      <c r="U24" s="151"/>
      <c r="V24" s="151"/>
      <c r="W24" s="151"/>
      <c r="X24" s="151"/>
      <c r="Y24" s="151"/>
      <c r="Z24" s="151"/>
      <c r="AA24" s="151"/>
      <c r="AB24" s="151"/>
      <c r="AC24" s="152"/>
      <c r="AD24" s="144"/>
      <c r="AE24" s="141"/>
      <c r="AF24" s="141"/>
      <c r="AG24" s="105"/>
      <c r="AH24" s="144"/>
      <c r="AI24" s="141"/>
      <c r="AJ24" s="141"/>
      <c r="AK24" s="105"/>
      <c r="AL24" s="144"/>
      <c r="AM24" s="141"/>
      <c r="AN24" s="141"/>
      <c r="AO24" s="105"/>
      <c r="AP24" s="144"/>
      <c r="AQ24" s="141"/>
      <c r="AR24" s="141"/>
      <c r="AS24" s="105"/>
      <c r="AT24" s="144"/>
      <c r="AU24" s="141"/>
      <c r="AV24" s="141"/>
      <c r="AW24" s="105"/>
      <c r="AX24" s="144"/>
      <c r="AY24" s="141"/>
      <c r="AZ24" s="141"/>
      <c r="BA24" s="105"/>
      <c r="BB24" s="144"/>
      <c r="BC24" s="141"/>
      <c r="BD24" s="141"/>
      <c r="BE24" s="105"/>
      <c r="BF24" s="144"/>
      <c r="BG24" s="141"/>
      <c r="BH24" s="141"/>
      <c r="BI24" s="105"/>
      <c r="BJ24" s="144"/>
      <c r="BK24" s="141"/>
      <c r="BL24" s="141"/>
      <c r="BM24" s="105"/>
      <c r="BN24" s="144"/>
      <c r="BO24" s="141"/>
      <c r="BP24" s="141"/>
      <c r="BQ24" s="105"/>
      <c r="BR24" s="144"/>
      <c r="BS24" s="141"/>
      <c r="BT24" s="141"/>
      <c r="BU24" s="105"/>
      <c r="BV24" s="144"/>
      <c r="BW24" s="141"/>
      <c r="BX24" s="141"/>
      <c r="BY24" s="105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5"/>
      <c r="CP24" s="4"/>
      <c r="CQ24" s="4"/>
      <c r="CR24" s="4"/>
      <c r="CT24" s="5"/>
      <c r="CU24" s="5"/>
      <c r="CV24" s="5"/>
      <c r="CW24" s="5"/>
      <c r="CX24" s="5"/>
      <c r="CY24" s="5"/>
      <c r="CZ24" s="5"/>
      <c r="DA24" s="5"/>
      <c r="DB24" s="5"/>
      <c r="DC24" s="5" t="s">
        <v>87</v>
      </c>
    </row>
    <row r="25" spans="1:107" s="6" customFormat="1" ht="15" customHeight="1" thickBot="1" x14ac:dyDescent="0.3">
      <c r="A25" s="4"/>
      <c r="B25" s="171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3"/>
      <c r="Q25" s="4"/>
      <c r="R25" s="4"/>
      <c r="S25" s="153"/>
      <c r="T25" s="154"/>
      <c r="U25" s="154"/>
      <c r="V25" s="154"/>
      <c r="W25" s="154"/>
      <c r="X25" s="154"/>
      <c r="Y25" s="154"/>
      <c r="Z25" s="154"/>
      <c r="AA25" s="154"/>
      <c r="AB25" s="154"/>
      <c r="AC25" s="155"/>
      <c r="AD25" s="145"/>
      <c r="AE25" s="142"/>
      <c r="AF25" s="142"/>
      <c r="AG25" s="106"/>
      <c r="AH25" s="145"/>
      <c r="AI25" s="142"/>
      <c r="AJ25" s="142"/>
      <c r="AK25" s="106"/>
      <c r="AL25" s="145"/>
      <c r="AM25" s="142"/>
      <c r="AN25" s="142"/>
      <c r="AO25" s="106"/>
      <c r="AP25" s="145"/>
      <c r="AQ25" s="142"/>
      <c r="AR25" s="142"/>
      <c r="AS25" s="106"/>
      <c r="AT25" s="145"/>
      <c r="AU25" s="142"/>
      <c r="AV25" s="142"/>
      <c r="AW25" s="106"/>
      <c r="AX25" s="145"/>
      <c r="AY25" s="142"/>
      <c r="AZ25" s="142"/>
      <c r="BA25" s="106"/>
      <c r="BB25" s="145"/>
      <c r="BC25" s="142"/>
      <c r="BD25" s="142"/>
      <c r="BE25" s="106"/>
      <c r="BF25" s="145"/>
      <c r="BG25" s="142"/>
      <c r="BH25" s="142"/>
      <c r="BI25" s="106"/>
      <c r="BJ25" s="145"/>
      <c r="BK25" s="142"/>
      <c r="BL25" s="142"/>
      <c r="BM25" s="106"/>
      <c r="BN25" s="145"/>
      <c r="BO25" s="142"/>
      <c r="BP25" s="142"/>
      <c r="BQ25" s="106"/>
      <c r="BR25" s="145"/>
      <c r="BS25" s="142"/>
      <c r="BT25" s="142"/>
      <c r="BU25" s="106"/>
      <c r="BV25" s="145"/>
      <c r="BW25" s="142"/>
      <c r="BX25" s="142"/>
      <c r="BY25" s="106"/>
      <c r="BZ25" s="4"/>
      <c r="CA25" s="4"/>
      <c r="CB25" s="4"/>
      <c r="CC25" s="4"/>
      <c r="CD25" s="4"/>
      <c r="CE25" s="4"/>
      <c r="CF25" s="17"/>
      <c r="CG25" s="4"/>
      <c r="CH25" s="4"/>
      <c r="CI25" s="4"/>
      <c r="CJ25" s="4"/>
      <c r="CK25" s="4"/>
      <c r="CL25" s="4"/>
      <c r="CM25" s="4"/>
      <c r="CN25" s="4"/>
      <c r="CO25" s="5"/>
      <c r="CP25" s="4"/>
      <c r="CQ25" s="4"/>
      <c r="CR25" s="4"/>
      <c r="CT25" s="5"/>
      <c r="CU25" s="5"/>
      <c r="CV25" s="5"/>
      <c r="CW25" s="5"/>
      <c r="CX25" s="5"/>
      <c r="CY25" s="5"/>
      <c r="CZ25" s="5"/>
      <c r="DA25" s="5"/>
      <c r="DB25" s="5"/>
      <c r="DC25" s="5" t="s">
        <v>88</v>
      </c>
    </row>
    <row r="26" spans="1:107" s="6" customFormat="1" ht="15" customHeight="1" thickBot="1" x14ac:dyDescent="0.3">
      <c r="A26" s="4"/>
      <c r="B26" s="184" t="s">
        <v>5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4"/>
      <c r="R26" s="4"/>
      <c r="S26" s="156"/>
      <c r="T26" s="157"/>
      <c r="U26" s="157"/>
      <c r="V26" s="157"/>
      <c r="W26" s="157"/>
      <c r="X26" s="157"/>
      <c r="Y26" s="157"/>
      <c r="Z26" s="157"/>
      <c r="AA26" s="157"/>
      <c r="AB26" s="157"/>
      <c r="AC26" s="158"/>
      <c r="AD26" s="146"/>
      <c r="AE26" s="143"/>
      <c r="AF26" s="143"/>
      <c r="AG26" s="107"/>
      <c r="AH26" s="146"/>
      <c r="AI26" s="143"/>
      <c r="AJ26" s="143"/>
      <c r="AK26" s="107"/>
      <c r="AL26" s="146"/>
      <c r="AM26" s="143"/>
      <c r="AN26" s="143"/>
      <c r="AO26" s="107"/>
      <c r="AP26" s="146"/>
      <c r="AQ26" s="143"/>
      <c r="AR26" s="143"/>
      <c r="AS26" s="107"/>
      <c r="AT26" s="146"/>
      <c r="AU26" s="143"/>
      <c r="AV26" s="143"/>
      <c r="AW26" s="107"/>
      <c r="AX26" s="146"/>
      <c r="AY26" s="143"/>
      <c r="AZ26" s="143"/>
      <c r="BA26" s="107"/>
      <c r="BB26" s="146"/>
      <c r="BC26" s="143"/>
      <c r="BD26" s="143"/>
      <c r="BE26" s="107"/>
      <c r="BF26" s="146"/>
      <c r="BG26" s="143"/>
      <c r="BH26" s="143"/>
      <c r="BI26" s="107"/>
      <c r="BJ26" s="146"/>
      <c r="BK26" s="143"/>
      <c r="BL26" s="143"/>
      <c r="BM26" s="107"/>
      <c r="BN26" s="146"/>
      <c r="BO26" s="143"/>
      <c r="BP26" s="143"/>
      <c r="BQ26" s="107"/>
      <c r="BR26" s="146"/>
      <c r="BS26" s="143"/>
      <c r="BT26" s="143"/>
      <c r="BU26" s="107"/>
      <c r="BV26" s="146"/>
      <c r="BW26" s="143"/>
      <c r="BX26" s="143"/>
      <c r="BY26" s="107"/>
      <c r="BZ26" s="4"/>
      <c r="CA26" s="4"/>
      <c r="CB26" s="4"/>
      <c r="CC26" s="4"/>
      <c r="CD26" s="4"/>
      <c r="CE26" s="4"/>
      <c r="CF26" s="18"/>
      <c r="CG26" s="4"/>
      <c r="CH26" s="4"/>
      <c r="CI26" s="4"/>
      <c r="CJ26" s="4"/>
      <c r="CK26" s="4"/>
      <c r="CL26" s="4"/>
      <c r="CM26" s="4"/>
      <c r="CN26" s="4"/>
      <c r="CO26" s="5"/>
      <c r="CP26" s="4"/>
      <c r="CQ26" s="4"/>
      <c r="CR26" s="4"/>
      <c r="CT26" s="5"/>
      <c r="CU26" s="5"/>
      <c r="CV26" s="5"/>
      <c r="CW26" s="5"/>
      <c r="CX26" s="5"/>
      <c r="CY26" s="5"/>
      <c r="CZ26" s="5"/>
      <c r="DA26" s="5"/>
      <c r="DB26" s="5"/>
      <c r="DC26" s="5" t="s">
        <v>89</v>
      </c>
    </row>
    <row r="27" spans="1:107" s="6" customFormat="1" ht="15" customHeight="1" thickTop="1" thickBot="1" x14ac:dyDescent="0.3">
      <c r="A27" s="4"/>
      <c r="B27" s="123" t="s">
        <v>6</v>
      </c>
      <c r="C27" s="123"/>
      <c r="D27" s="123"/>
      <c r="E27" s="123"/>
      <c r="F27" s="123"/>
      <c r="G27" s="123"/>
      <c r="H27" s="123"/>
      <c r="I27" s="175" t="s">
        <v>7</v>
      </c>
      <c r="J27" s="175"/>
      <c r="K27" s="175"/>
      <c r="L27" s="175"/>
      <c r="M27" s="175"/>
      <c r="N27" s="175"/>
      <c r="O27" s="175"/>
      <c r="P27" s="175"/>
      <c r="Q27" s="4"/>
      <c r="R27" s="4"/>
      <c r="S27" s="150"/>
      <c r="T27" s="151"/>
      <c r="U27" s="151"/>
      <c r="V27" s="151"/>
      <c r="W27" s="151"/>
      <c r="X27" s="151"/>
      <c r="Y27" s="151"/>
      <c r="Z27" s="151"/>
      <c r="AA27" s="151"/>
      <c r="AB27" s="151"/>
      <c r="AC27" s="152"/>
      <c r="AD27" s="144"/>
      <c r="AE27" s="141"/>
      <c r="AF27" s="141"/>
      <c r="AG27" s="105"/>
      <c r="AH27" s="144"/>
      <c r="AI27" s="141"/>
      <c r="AJ27" s="141"/>
      <c r="AK27" s="105"/>
      <c r="AL27" s="144"/>
      <c r="AM27" s="141"/>
      <c r="AN27" s="141"/>
      <c r="AO27" s="105"/>
      <c r="AP27" s="144"/>
      <c r="AQ27" s="141"/>
      <c r="AR27" s="141"/>
      <c r="AS27" s="105"/>
      <c r="AT27" s="144"/>
      <c r="AU27" s="141"/>
      <c r="AV27" s="141"/>
      <c r="AW27" s="105"/>
      <c r="AX27" s="144"/>
      <c r="AY27" s="141"/>
      <c r="AZ27" s="141"/>
      <c r="BA27" s="105"/>
      <c r="BB27" s="144"/>
      <c r="BC27" s="141"/>
      <c r="BD27" s="141"/>
      <c r="BE27" s="105"/>
      <c r="BF27" s="144"/>
      <c r="BG27" s="141"/>
      <c r="BH27" s="141"/>
      <c r="BI27" s="105"/>
      <c r="BJ27" s="144"/>
      <c r="BK27" s="141"/>
      <c r="BL27" s="141"/>
      <c r="BM27" s="105"/>
      <c r="BN27" s="144"/>
      <c r="BO27" s="141"/>
      <c r="BP27" s="141"/>
      <c r="BQ27" s="105"/>
      <c r="BR27" s="144"/>
      <c r="BS27" s="141"/>
      <c r="BT27" s="141"/>
      <c r="BU27" s="105"/>
      <c r="BV27" s="144"/>
      <c r="BW27" s="141"/>
      <c r="BX27" s="141"/>
      <c r="BY27" s="105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5"/>
      <c r="CP27" s="4"/>
      <c r="CQ27" s="4"/>
      <c r="CR27" s="4"/>
      <c r="CT27" s="5"/>
      <c r="CU27" s="5"/>
      <c r="CV27" s="5"/>
      <c r="CW27" s="5"/>
      <c r="CX27" s="5"/>
      <c r="CY27" s="5"/>
      <c r="CZ27" s="5"/>
      <c r="DA27" s="5"/>
      <c r="DB27" s="5"/>
      <c r="DC27" s="5" t="s">
        <v>90</v>
      </c>
    </row>
    <row r="28" spans="1:107" s="6" customFormat="1" ht="15" customHeight="1" x14ac:dyDescent="0.25">
      <c r="A28" s="4"/>
      <c r="B28" s="139" t="s">
        <v>0</v>
      </c>
      <c r="C28" s="137" t="s">
        <v>61</v>
      </c>
      <c r="D28" s="137"/>
      <c r="E28" s="137"/>
      <c r="F28" s="137"/>
      <c r="G28" s="137"/>
      <c r="H28" s="137"/>
      <c r="I28" s="138" t="s">
        <v>102</v>
      </c>
      <c r="J28" s="138"/>
      <c r="K28" s="138"/>
      <c r="L28" s="138"/>
      <c r="M28" s="138"/>
      <c r="N28" s="138"/>
      <c r="O28" s="138"/>
      <c r="P28" s="138"/>
      <c r="Q28" s="4"/>
      <c r="R28" s="4"/>
      <c r="S28" s="153"/>
      <c r="T28" s="154"/>
      <c r="U28" s="154"/>
      <c r="V28" s="154"/>
      <c r="W28" s="154"/>
      <c r="X28" s="154"/>
      <c r="Y28" s="154"/>
      <c r="Z28" s="154"/>
      <c r="AA28" s="154"/>
      <c r="AB28" s="154"/>
      <c r="AC28" s="155"/>
      <c r="AD28" s="145"/>
      <c r="AE28" s="142"/>
      <c r="AF28" s="142"/>
      <c r="AG28" s="106"/>
      <c r="AH28" s="145"/>
      <c r="AI28" s="142"/>
      <c r="AJ28" s="142"/>
      <c r="AK28" s="106"/>
      <c r="AL28" s="145"/>
      <c r="AM28" s="142"/>
      <c r="AN28" s="142"/>
      <c r="AO28" s="106"/>
      <c r="AP28" s="145"/>
      <c r="AQ28" s="142"/>
      <c r="AR28" s="142"/>
      <c r="AS28" s="106"/>
      <c r="AT28" s="145"/>
      <c r="AU28" s="142"/>
      <c r="AV28" s="142"/>
      <c r="AW28" s="106"/>
      <c r="AX28" s="145"/>
      <c r="AY28" s="142"/>
      <c r="AZ28" s="142"/>
      <c r="BA28" s="106"/>
      <c r="BB28" s="145"/>
      <c r="BC28" s="142"/>
      <c r="BD28" s="142"/>
      <c r="BE28" s="106"/>
      <c r="BF28" s="145"/>
      <c r="BG28" s="142"/>
      <c r="BH28" s="142"/>
      <c r="BI28" s="106"/>
      <c r="BJ28" s="145"/>
      <c r="BK28" s="142"/>
      <c r="BL28" s="142"/>
      <c r="BM28" s="106"/>
      <c r="BN28" s="145"/>
      <c r="BO28" s="142"/>
      <c r="BP28" s="142"/>
      <c r="BQ28" s="106"/>
      <c r="BR28" s="145"/>
      <c r="BS28" s="142"/>
      <c r="BT28" s="142"/>
      <c r="BU28" s="106"/>
      <c r="BV28" s="145"/>
      <c r="BW28" s="142"/>
      <c r="BX28" s="142"/>
      <c r="BY28" s="106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5"/>
      <c r="CP28" s="4"/>
      <c r="CQ28" s="4"/>
      <c r="CR28" s="4"/>
      <c r="CT28" s="5"/>
      <c r="CU28" s="5"/>
      <c r="CV28" s="5"/>
      <c r="CW28" s="5"/>
      <c r="CX28" s="5"/>
      <c r="CY28" s="5"/>
      <c r="CZ28" s="5"/>
      <c r="DA28" s="5"/>
      <c r="DB28" s="5"/>
      <c r="DC28" s="5" t="s">
        <v>91</v>
      </c>
    </row>
    <row r="29" spans="1:107" s="6" customFormat="1" ht="15" customHeight="1" thickBot="1" x14ac:dyDescent="0.3">
      <c r="A29" s="4"/>
      <c r="B29" s="140"/>
      <c r="C29" s="162"/>
      <c r="D29" s="162"/>
      <c r="E29" s="162"/>
      <c r="F29" s="162"/>
      <c r="G29" s="162"/>
      <c r="H29" s="162"/>
      <c r="I29" s="163"/>
      <c r="J29" s="163"/>
      <c r="K29" s="163"/>
      <c r="L29" s="163"/>
      <c r="M29" s="163"/>
      <c r="N29" s="163"/>
      <c r="O29" s="163"/>
      <c r="P29" s="163"/>
      <c r="Q29" s="4"/>
      <c r="R29" s="4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8"/>
      <c r="AD29" s="146"/>
      <c r="AE29" s="143"/>
      <c r="AF29" s="143"/>
      <c r="AG29" s="107"/>
      <c r="AH29" s="146"/>
      <c r="AI29" s="143"/>
      <c r="AJ29" s="143"/>
      <c r="AK29" s="107"/>
      <c r="AL29" s="146"/>
      <c r="AM29" s="143"/>
      <c r="AN29" s="143"/>
      <c r="AO29" s="107"/>
      <c r="AP29" s="146"/>
      <c r="AQ29" s="143"/>
      <c r="AR29" s="143"/>
      <c r="AS29" s="107"/>
      <c r="AT29" s="146"/>
      <c r="AU29" s="143"/>
      <c r="AV29" s="143"/>
      <c r="AW29" s="107"/>
      <c r="AX29" s="146"/>
      <c r="AY29" s="143"/>
      <c r="AZ29" s="143"/>
      <c r="BA29" s="107"/>
      <c r="BB29" s="146"/>
      <c r="BC29" s="143"/>
      <c r="BD29" s="143"/>
      <c r="BE29" s="107"/>
      <c r="BF29" s="146"/>
      <c r="BG29" s="143"/>
      <c r="BH29" s="143"/>
      <c r="BI29" s="107"/>
      <c r="BJ29" s="146"/>
      <c r="BK29" s="143"/>
      <c r="BL29" s="143"/>
      <c r="BM29" s="107"/>
      <c r="BN29" s="146"/>
      <c r="BO29" s="143"/>
      <c r="BP29" s="143"/>
      <c r="BQ29" s="107"/>
      <c r="BR29" s="146"/>
      <c r="BS29" s="143"/>
      <c r="BT29" s="143"/>
      <c r="BU29" s="107"/>
      <c r="BV29" s="146"/>
      <c r="BW29" s="143"/>
      <c r="BX29" s="143"/>
      <c r="BY29" s="107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5"/>
      <c r="CP29" s="4"/>
      <c r="CQ29" s="4"/>
      <c r="CR29" s="4"/>
      <c r="CT29" s="5"/>
      <c r="CU29" s="5"/>
      <c r="CV29" s="5"/>
      <c r="CW29" s="5"/>
      <c r="CX29" s="5"/>
      <c r="CY29" s="5"/>
      <c r="CZ29" s="5"/>
      <c r="DA29" s="5"/>
      <c r="DB29" s="5"/>
      <c r="DC29" s="5" t="s">
        <v>92</v>
      </c>
    </row>
    <row r="30" spans="1:107" s="6" customFormat="1" ht="15" customHeight="1" thickTop="1" x14ac:dyDescent="0.25">
      <c r="A30" s="4"/>
      <c r="B30" s="139" t="s">
        <v>1</v>
      </c>
      <c r="C30" s="137"/>
      <c r="D30" s="137"/>
      <c r="E30" s="137"/>
      <c r="F30" s="137"/>
      <c r="G30" s="137"/>
      <c r="H30" s="137"/>
      <c r="I30" s="138"/>
      <c r="J30" s="138"/>
      <c r="K30" s="138"/>
      <c r="L30" s="138"/>
      <c r="M30" s="138"/>
      <c r="N30" s="138"/>
      <c r="O30" s="138"/>
      <c r="P30" s="138"/>
      <c r="Q30" s="4"/>
      <c r="R30" s="4"/>
      <c r="S30" s="150"/>
      <c r="T30" s="151"/>
      <c r="U30" s="151"/>
      <c r="V30" s="151"/>
      <c r="W30" s="151"/>
      <c r="X30" s="151"/>
      <c r="Y30" s="151"/>
      <c r="Z30" s="151"/>
      <c r="AA30" s="151"/>
      <c r="AB30" s="151"/>
      <c r="AC30" s="152"/>
      <c r="AD30" s="144"/>
      <c r="AE30" s="141"/>
      <c r="AF30" s="141"/>
      <c r="AG30" s="105"/>
      <c r="AH30" s="144"/>
      <c r="AI30" s="141"/>
      <c r="AJ30" s="141"/>
      <c r="AK30" s="105"/>
      <c r="AL30" s="144"/>
      <c r="AM30" s="141"/>
      <c r="AN30" s="141"/>
      <c r="AO30" s="105"/>
      <c r="AP30" s="144"/>
      <c r="AQ30" s="141"/>
      <c r="AR30" s="141"/>
      <c r="AS30" s="105"/>
      <c r="AT30" s="144"/>
      <c r="AU30" s="141"/>
      <c r="AV30" s="141"/>
      <c r="AW30" s="105"/>
      <c r="AX30" s="144"/>
      <c r="AY30" s="141"/>
      <c r="AZ30" s="141"/>
      <c r="BA30" s="105"/>
      <c r="BB30" s="144"/>
      <c r="BC30" s="141"/>
      <c r="BD30" s="141"/>
      <c r="BE30" s="105"/>
      <c r="BF30" s="144"/>
      <c r="BG30" s="141"/>
      <c r="BH30" s="141"/>
      <c r="BI30" s="105"/>
      <c r="BJ30" s="144"/>
      <c r="BK30" s="141"/>
      <c r="BL30" s="141"/>
      <c r="BM30" s="105"/>
      <c r="BN30" s="144"/>
      <c r="BO30" s="141"/>
      <c r="BP30" s="141"/>
      <c r="BQ30" s="105"/>
      <c r="BR30" s="144"/>
      <c r="BS30" s="141"/>
      <c r="BT30" s="141"/>
      <c r="BU30" s="105"/>
      <c r="BV30" s="144"/>
      <c r="BW30" s="141"/>
      <c r="BX30" s="141"/>
      <c r="BY30" s="105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5"/>
      <c r="CP30" s="4"/>
      <c r="CQ30" s="4"/>
      <c r="CR30" s="4"/>
      <c r="CT30" s="5"/>
      <c r="CU30" s="5"/>
      <c r="CV30" s="5"/>
      <c r="CW30" s="5"/>
      <c r="CX30" s="5"/>
      <c r="CY30" s="5"/>
      <c r="CZ30" s="5"/>
      <c r="DA30" s="5"/>
      <c r="DB30" s="5"/>
      <c r="DC30" s="5" t="s">
        <v>93</v>
      </c>
    </row>
    <row r="31" spans="1:107" s="6" customFormat="1" ht="15" customHeight="1" thickBot="1" x14ac:dyDescent="0.3">
      <c r="A31" s="4"/>
      <c r="B31" s="140"/>
      <c r="C31" s="162"/>
      <c r="D31" s="162"/>
      <c r="E31" s="162"/>
      <c r="F31" s="162"/>
      <c r="G31" s="162"/>
      <c r="H31" s="162"/>
      <c r="I31" s="163"/>
      <c r="J31" s="163"/>
      <c r="K31" s="163"/>
      <c r="L31" s="163"/>
      <c r="M31" s="163"/>
      <c r="N31" s="163"/>
      <c r="O31" s="163"/>
      <c r="P31" s="163"/>
      <c r="Q31" s="4"/>
      <c r="R31" s="4"/>
      <c r="S31" s="153"/>
      <c r="T31" s="154"/>
      <c r="U31" s="154"/>
      <c r="V31" s="154"/>
      <c r="W31" s="154"/>
      <c r="X31" s="154"/>
      <c r="Y31" s="154"/>
      <c r="Z31" s="154"/>
      <c r="AA31" s="154"/>
      <c r="AB31" s="154"/>
      <c r="AC31" s="155"/>
      <c r="AD31" s="145"/>
      <c r="AE31" s="142"/>
      <c r="AF31" s="142"/>
      <c r="AG31" s="106"/>
      <c r="AH31" s="145"/>
      <c r="AI31" s="142"/>
      <c r="AJ31" s="142"/>
      <c r="AK31" s="106"/>
      <c r="AL31" s="145"/>
      <c r="AM31" s="142"/>
      <c r="AN31" s="142"/>
      <c r="AO31" s="106"/>
      <c r="AP31" s="145"/>
      <c r="AQ31" s="142"/>
      <c r="AR31" s="142"/>
      <c r="AS31" s="106"/>
      <c r="AT31" s="145"/>
      <c r="AU31" s="142"/>
      <c r="AV31" s="142"/>
      <c r="AW31" s="106"/>
      <c r="AX31" s="145"/>
      <c r="AY31" s="142"/>
      <c r="AZ31" s="142"/>
      <c r="BA31" s="106"/>
      <c r="BB31" s="145"/>
      <c r="BC31" s="142"/>
      <c r="BD31" s="142"/>
      <c r="BE31" s="106"/>
      <c r="BF31" s="145"/>
      <c r="BG31" s="142"/>
      <c r="BH31" s="142"/>
      <c r="BI31" s="106"/>
      <c r="BJ31" s="145"/>
      <c r="BK31" s="142"/>
      <c r="BL31" s="142"/>
      <c r="BM31" s="106"/>
      <c r="BN31" s="145"/>
      <c r="BO31" s="142"/>
      <c r="BP31" s="142"/>
      <c r="BQ31" s="106"/>
      <c r="BR31" s="145"/>
      <c r="BS31" s="142"/>
      <c r="BT31" s="142"/>
      <c r="BU31" s="106"/>
      <c r="BV31" s="145"/>
      <c r="BW31" s="142"/>
      <c r="BX31" s="142"/>
      <c r="BY31" s="106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5"/>
      <c r="CP31" s="4"/>
      <c r="CQ31" s="4"/>
      <c r="CR31" s="4"/>
      <c r="CT31" s="5"/>
      <c r="CU31" s="5"/>
      <c r="CV31" s="5"/>
      <c r="CW31" s="5"/>
      <c r="CX31" s="5"/>
      <c r="CY31" s="5"/>
      <c r="CZ31" s="5"/>
      <c r="DA31" s="5"/>
      <c r="DB31" s="5"/>
      <c r="DC31" s="5" t="s">
        <v>94</v>
      </c>
    </row>
    <row r="32" spans="1:107" s="6" customFormat="1" ht="15" customHeight="1" thickBot="1" x14ac:dyDescent="0.3">
      <c r="A32" s="4"/>
      <c r="B32" s="139" t="s">
        <v>2</v>
      </c>
      <c r="C32" s="137"/>
      <c r="D32" s="137"/>
      <c r="E32" s="137"/>
      <c r="F32" s="137"/>
      <c r="G32" s="137"/>
      <c r="H32" s="137"/>
      <c r="I32" s="138"/>
      <c r="J32" s="138"/>
      <c r="K32" s="138"/>
      <c r="L32" s="138"/>
      <c r="M32" s="138"/>
      <c r="N32" s="138"/>
      <c r="O32" s="138"/>
      <c r="P32" s="138"/>
      <c r="Q32" s="4"/>
      <c r="R32" s="4"/>
      <c r="S32" s="156"/>
      <c r="T32" s="157"/>
      <c r="U32" s="157"/>
      <c r="V32" s="157"/>
      <c r="W32" s="157"/>
      <c r="X32" s="157"/>
      <c r="Y32" s="157"/>
      <c r="Z32" s="157"/>
      <c r="AA32" s="157"/>
      <c r="AB32" s="157"/>
      <c r="AC32" s="158"/>
      <c r="AD32" s="146"/>
      <c r="AE32" s="143"/>
      <c r="AF32" s="143"/>
      <c r="AG32" s="107"/>
      <c r="AH32" s="146"/>
      <c r="AI32" s="143"/>
      <c r="AJ32" s="143"/>
      <c r="AK32" s="107"/>
      <c r="AL32" s="146"/>
      <c r="AM32" s="143"/>
      <c r="AN32" s="143"/>
      <c r="AO32" s="107"/>
      <c r="AP32" s="146"/>
      <c r="AQ32" s="143"/>
      <c r="AR32" s="143"/>
      <c r="AS32" s="107"/>
      <c r="AT32" s="146"/>
      <c r="AU32" s="143"/>
      <c r="AV32" s="143"/>
      <c r="AW32" s="107"/>
      <c r="AX32" s="146"/>
      <c r="AY32" s="143"/>
      <c r="AZ32" s="143"/>
      <c r="BA32" s="107"/>
      <c r="BB32" s="146"/>
      <c r="BC32" s="143"/>
      <c r="BD32" s="143"/>
      <c r="BE32" s="107"/>
      <c r="BF32" s="146"/>
      <c r="BG32" s="143"/>
      <c r="BH32" s="143"/>
      <c r="BI32" s="107"/>
      <c r="BJ32" s="146"/>
      <c r="BK32" s="143"/>
      <c r="BL32" s="143"/>
      <c r="BM32" s="107"/>
      <c r="BN32" s="146"/>
      <c r="BO32" s="143"/>
      <c r="BP32" s="143"/>
      <c r="BQ32" s="107"/>
      <c r="BR32" s="146"/>
      <c r="BS32" s="143"/>
      <c r="BT32" s="143"/>
      <c r="BU32" s="107"/>
      <c r="BV32" s="146"/>
      <c r="BW32" s="143"/>
      <c r="BX32" s="143"/>
      <c r="BY32" s="107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5"/>
      <c r="CP32" s="4"/>
      <c r="CQ32" s="4"/>
      <c r="CR32" s="4"/>
      <c r="CT32" s="5"/>
      <c r="CU32" s="5"/>
      <c r="CV32" s="5"/>
      <c r="CW32" s="5"/>
      <c r="CX32" s="5"/>
      <c r="CY32" s="5"/>
      <c r="CZ32" s="5"/>
      <c r="DA32" s="5"/>
      <c r="DB32" s="5"/>
      <c r="DC32" s="5" t="s">
        <v>95</v>
      </c>
    </row>
    <row r="33" spans="1:107" s="6" customFormat="1" ht="15" customHeight="1" thickTop="1" x14ac:dyDescent="0.25">
      <c r="A33" s="4"/>
      <c r="B33" s="164"/>
      <c r="C33" s="160"/>
      <c r="D33" s="160"/>
      <c r="E33" s="160"/>
      <c r="F33" s="160"/>
      <c r="G33" s="160"/>
      <c r="H33" s="160"/>
      <c r="I33" s="161"/>
      <c r="J33" s="161"/>
      <c r="K33" s="161"/>
      <c r="L33" s="161"/>
      <c r="M33" s="161"/>
      <c r="N33" s="161"/>
      <c r="O33" s="161"/>
      <c r="P33" s="161"/>
      <c r="Q33" s="4"/>
      <c r="R33" s="4"/>
      <c r="S33" s="150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144"/>
      <c r="AE33" s="141"/>
      <c r="AF33" s="141"/>
      <c r="AG33" s="105"/>
      <c r="AH33" s="144"/>
      <c r="AI33" s="141"/>
      <c r="AJ33" s="141"/>
      <c r="AK33" s="105"/>
      <c r="AL33" s="144"/>
      <c r="AM33" s="141"/>
      <c r="AN33" s="141"/>
      <c r="AO33" s="105"/>
      <c r="AP33" s="144"/>
      <c r="AQ33" s="141"/>
      <c r="AR33" s="141"/>
      <c r="AS33" s="105"/>
      <c r="AT33" s="144"/>
      <c r="AU33" s="141"/>
      <c r="AV33" s="141"/>
      <c r="AW33" s="105"/>
      <c r="AX33" s="144"/>
      <c r="AY33" s="141"/>
      <c r="AZ33" s="141"/>
      <c r="BA33" s="105"/>
      <c r="BB33" s="144"/>
      <c r="BC33" s="141"/>
      <c r="BD33" s="141"/>
      <c r="BE33" s="105"/>
      <c r="BF33" s="144"/>
      <c r="BG33" s="141"/>
      <c r="BH33" s="141"/>
      <c r="BI33" s="105"/>
      <c r="BJ33" s="144"/>
      <c r="BK33" s="141"/>
      <c r="BL33" s="141"/>
      <c r="BM33" s="105"/>
      <c r="BN33" s="144"/>
      <c r="BO33" s="141"/>
      <c r="BP33" s="141"/>
      <c r="BQ33" s="105"/>
      <c r="BR33" s="144"/>
      <c r="BS33" s="141"/>
      <c r="BT33" s="141"/>
      <c r="BU33" s="105"/>
      <c r="BV33" s="144"/>
      <c r="BW33" s="141"/>
      <c r="BX33" s="141"/>
      <c r="BY33" s="105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5"/>
      <c r="CP33" s="4"/>
      <c r="CQ33" s="4"/>
      <c r="CR33" s="4"/>
      <c r="CT33" s="5"/>
      <c r="CU33" s="5"/>
      <c r="CV33" s="5"/>
      <c r="CW33" s="5"/>
      <c r="CX33" s="5"/>
      <c r="CY33" s="5"/>
      <c r="CZ33" s="5"/>
      <c r="DA33" s="5"/>
      <c r="DB33" s="5"/>
      <c r="DC33" s="5" t="s">
        <v>96</v>
      </c>
    </row>
    <row r="34" spans="1:107" s="6" customFormat="1" ht="15" customHeight="1" thickBot="1" x14ac:dyDescent="0.3">
      <c r="A34" s="4"/>
      <c r="B34" s="140"/>
      <c r="C34" s="162"/>
      <c r="D34" s="162"/>
      <c r="E34" s="162"/>
      <c r="F34" s="162"/>
      <c r="G34" s="162"/>
      <c r="H34" s="162"/>
      <c r="I34" s="163"/>
      <c r="J34" s="163"/>
      <c r="K34" s="163"/>
      <c r="L34" s="163"/>
      <c r="M34" s="163"/>
      <c r="N34" s="163"/>
      <c r="O34" s="163"/>
      <c r="P34" s="163"/>
      <c r="Q34" s="4"/>
      <c r="R34" s="4"/>
      <c r="S34" s="153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145"/>
      <c r="AE34" s="142"/>
      <c r="AF34" s="142"/>
      <c r="AG34" s="106"/>
      <c r="AH34" s="145"/>
      <c r="AI34" s="142"/>
      <c r="AJ34" s="142"/>
      <c r="AK34" s="106"/>
      <c r="AL34" s="145"/>
      <c r="AM34" s="142"/>
      <c r="AN34" s="142"/>
      <c r="AO34" s="106"/>
      <c r="AP34" s="145"/>
      <c r="AQ34" s="142"/>
      <c r="AR34" s="142"/>
      <c r="AS34" s="106"/>
      <c r="AT34" s="145"/>
      <c r="AU34" s="142"/>
      <c r="AV34" s="142"/>
      <c r="AW34" s="106"/>
      <c r="AX34" s="145"/>
      <c r="AY34" s="142"/>
      <c r="AZ34" s="142"/>
      <c r="BA34" s="106"/>
      <c r="BB34" s="145"/>
      <c r="BC34" s="142"/>
      <c r="BD34" s="142"/>
      <c r="BE34" s="106"/>
      <c r="BF34" s="145"/>
      <c r="BG34" s="142"/>
      <c r="BH34" s="142"/>
      <c r="BI34" s="106"/>
      <c r="BJ34" s="145"/>
      <c r="BK34" s="142"/>
      <c r="BL34" s="142"/>
      <c r="BM34" s="106"/>
      <c r="BN34" s="145"/>
      <c r="BO34" s="142"/>
      <c r="BP34" s="142"/>
      <c r="BQ34" s="106"/>
      <c r="BR34" s="145"/>
      <c r="BS34" s="142"/>
      <c r="BT34" s="142"/>
      <c r="BU34" s="106"/>
      <c r="BV34" s="145"/>
      <c r="BW34" s="142"/>
      <c r="BX34" s="142"/>
      <c r="BY34" s="106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5"/>
      <c r="CP34" s="4"/>
      <c r="CQ34" s="4"/>
      <c r="CR34" s="4"/>
      <c r="CT34" s="5"/>
      <c r="CU34" s="5"/>
      <c r="CV34" s="5"/>
      <c r="CW34" s="5"/>
      <c r="CX34" s="5"/>
      <c r="CY34" s="5"/>
      <c r="CZ34" s="5"/>
      <c r="DA34" s="5"/>
      <c r="DB34" s="5"/>
      <c r="DC34" s="5" t="s">
        <v>97</v>
      </c>
    </row>
    <row r="35" spans="1:107" s="6" customFormat="1" ht="15" customHeight="1" thickBot="1" x14ac:dyDescent="0.3">
      <c r="A35" s="4"/>
      <c r="B35" s="139" t="s">
        <v>3</v>
      </c>
      <c r="C35" s="137"/>
      <c r="D35" s="137"/>
      <c r="E35" s="137"/>
      <c r="F35" s="137"/>
      <c r="G35" s="137"/>
      <c r="H35" s="137"/>
      <c r="I35" s="138"/>
      <c r="J35" s="138"/>
      <c r="K35" s="138"/>
      <c r="L35" s="138"/>
      <c r="M35" s="138"/>
      <c r="N35" s="138"/>
      <c r="O35" s="138"/>
      <c r="P35" s="138"/>
      <c r="Q35" s="4"/>
      <c r="R35" s="4"/>
      <c r="S35" s="156"/>
      <c r="T35" s="157"/>
      <c r="U35" s="157"/>
      <c r="V35" s="157"/>
      <c r="W35" s="157"/>
      <c r="X35" s="157"/>
      <c r="Y35" s="157"/>
      <c r="Z35" s="157"/>
      <c r="AA35" s="157"/>
      <c r="AB35" s="157"/>
      <c r="AC35" s="158"/>
      <c r="AD35" s="146"/>
      <c r="AE35" s="143"/>
      <c r="AF35" s="143"/>
      <c r="AG35" s="107"/>
      <c r="AH35" s="146"/>
      <c r="AI35" s="143"/>
      <c r="AJ35" s="143"/>
      <c r="AK35" s="107"/>
      <c r="AL35" s="146"/>
      <c r="AM35" s="143"/>
      <c r="AN35" s="143"/>
      <c r="AO35" s="107"/>
      <c r="AP35" s="146"/>
      <c r="AQ35" s="143"/>
      <c r="AR35" s="143"/>
      <c r="AS35" s="107"/>
      <c r="AT35" s="146"/>
      <c r="AU35" s="143"/>
      <c r="AV35" s="143"/>
      <c r="AW35" s="107"/>
      <c r="AX35" s="146"/>
      <c r="AY35" s="143"/>
      <c r="AZ35" s="143"/>
      <c r="BA35" s="107"/>
      <c r="BB35" s="146"/>
      <c r="BC35" s="143"/>
      <c r="BD35" s="143"/>
      <c r="BE35" s="107"/>
      <c r="BF35" s="146"/>
      <c r="BG35" s="143"/>
      <c r="BH35" s="143"/>
      <c r="BI35" s="107"/>
      <c r="BJ35" s="146"/>
      <c r="BK35" s="143"/>
      <c r="BL35" s="143"/>
      <c r="BM35" s="107"/>
      <c r="BN35" s="146"/>
      <c r="BO35" s="143"/>
      <c r="BP35" s="143"/>
      <c r="BQ35" s="107"/>
      <c r="BR35" s="146"/>
      <c r="BS35" s="143"/>
      <c r="BT35" s="143"/>
      <c r="BU35" s="107"/>
      <c r="BV35" s="146"/>
      <c r="BW35" s="143"/>
      <c r="BX35" s="143"/>
      <c r="BY35" s="107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5"/>
      <c r="CP35" s="4"/>
      <c r="CQ35" s="4"/>
      <c r="CR35" s="4"/>
      <c r="CT35" s="5"/>
      <c r="CU35" s="5"/>
      <c r="CV35" s="5"/>
      <c r="CW35" s="5"/>
      <c r="CX35" s="5"/>
      <c r="CY35" s="5"/>
      <c r="CZ35" s="5"/>
      <c r="DA35" s="5"/>
      <c r="DB35" s="5"/>
      <c r="DC35" s="5" t="s">
        <v>98</v>
      </c>
    </row>
    <row r="36" spans="1:107" s="6" customFormat="1" ht="15" customHeight="1" thickTop="1" thickBot="1" x14ac:dyDescent="0.3">
      <c r="A36" s="4"/>
      <c r="B36" s="140"/>
      <c r="C36" s="162"/>
      <c r="D36" s="162"/>
      <c r="E36" s="162"/>
      <c r="F36" s="162"/>
      <c r="G36" s="162"/>
      <c r="H36" s="162"/>
      <c r="I36" s="163"/>
      <c r="J36" s="163"/>
      <c r="K36" s="163"/>
      <c r="L36" s="163"/>
      <c r="M36" s="163"/>
      <c r="N36" s="163"/>
      <c r="O36" s="163"/>
      <c r="P36" s="163"/>
      <c r="Q36" s="4"/>
      <c r="R36" s="4"/>
      <c r="S36" s="150"/>
      <c r="T36" s="151"/>
      <c r="U36" s="151"/>
      <c r="V36" s="151"/>
      <c r="W36" s="151"/>
      <c r="X36" s="151"/>
      <c r="Y36" s="151"/>
      <c r="Z36" s="151"/>
      <c r="AA36" s="151"/>
      <c r="AB36" s="151"/>
      <c r="AC36" s="152"/>
      <c r="AD36" s="144"/>
      <c r="AE36" s="141"/>
      <c r="AF36" s="141"/>
      <c r="AG36" s="105"/>
      <c r="AH36" s="144"/>
      <c r="AI36" s="141"/>
      <c r="AJ36" s="141"/>
      <c r="AK36" s="105"/>
      <c r="AL36" s="144"/>
      <c r="AM36" s="141"/>
      <c r="AN36" s="141"/>
      <c r="AO36" s="105"/>
      <c r="AP36" s="144"/>
      <c r="AQ36" s="141"/>
      <c r="AR36" s="141"/>
      <c r="AS36" s="105"/>
      <c r="AT36" s="144"/>
      <c r="AU36" s="141"/>
      <c r="AV36" s="141"/>
      <c r="AW36" s="105"/>
      <c r="AX36" s="144"/>
      <c r="AY36" s="141"/>
      <c r="AZ36" s="141"/>
      <c r="BA36" s="105"/>
      <c r="BB36" s="144"/>
      <c r="BC36" s="141"/>
      <c r="BD36" s="141"/>
      <c r="BE36" s="105"/>
      <c r="BF36" s="144"/>
      <c r="BG36" s="141"/>
      <c r="BH36" s="141"/>
      <c r="BI36" s="105"/>
      <c r="BJ36" s="144"/>
      <c r="BK36" s="141"/>
      <c r="BL36" s="141"/>
      <c r="BM36" s="105"/>
      <c r="BN36" s="144"/>
      <c r="BO36" s="141"/>
      <c r="BP36" s="141"/>
      <c r="BQ36" s="105"/>
      <c r="BR36" s="144"/>
      <c r="BS36" s="141"/>
      <c r="BT36" s="141"/>
      <c r="BU36" s="105"/>
      <c r="BV36" s="144"/>
      <c r="BW36" s="141"/>
      <c r="BX36" s="141"/>
      <c r="BY36" s="105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5"/>
      <c r="CP36" s="4"/>
      <c r="CQ36" s="4"/>
      <c r="CR36" s="4"/>
      <c r="CT36" s="5"/>
      <c r="CU36" s="5"/>
      <c r="CV36" s="5"/>
      <c r="CW36" s="5"/>
      <c r="CX36" s="5"/>
      <c r="CY36" s="5"/>
      <c r="CZ36" s="5"/>
      <c r="DA36" s="5"/>
      <c r="DB36" s="5"/>
      <c r="DC36" s="5" t="s">
        <v>99</v>
      </c>
    </row>
    <row r="37" spans="1:107" s="6" customFormat="1" ht="15" customHeight="1" thickBot="1" x14ac:dyDescent="0.3">
      <c r="A37" s="4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4"/>
      <c r="R37" s="4"/>
      <c r="S37" s="153"/>
      <c r="T37" s="154"/>
      <c r="U37" s="154"/>
      <c r="V37" s="154"/>
      <c r="W37" s="154"/>
      <c r="X37" s="154"/>
      <c r="Y37" s="154"/>
      <c r="Z37" s="154"/>
      <c r="AA37" s="154"/>
      <c r="AB37" s="154"/>
      <c r="AC37" s="155"/>
      <c r="AD37" s="145"/>
      <c r="AE37" s="142"/>
      <c r="AF37" s="142"/>
      <c r="AG37" s="106"/>
      <c r="AH37" s="145"/>
      <c r="AI37" s="142"/>
      <c r="AJ37" s="142"/>
      <c r="AK37" s="106"/>
      <c r="AL37" s="145"/>
      <c r="AM37" s="142"/>
      <c r="AN37" s="142"/>
      <c r="AO37" s="106"/>
      <c r="AP37" s="145"/>
      <c r="AQ37" s="142"/>
      <c r="AR37" s="142"/>
      <c r="AS37" s="106"/>
      <c r="AT37" s="145"/>
      <c r="AU37" s="142"/>
      <c r="AV37" s="142"/>
      <c r="AW37" s="106"/>
      <c r="AX37" s="145"/>
      <c r="AY37" s="142"/>
      <c r="AZ37" s="142"/>
      <c r="BA37" s="106"/>
      <c r="BB37" s="145"/>
      <c r="BC37" s="142"/>
      <c r="BD37" s="142"/>
      <c r="BE37" s="106"/>
      <c r="BF37" s="145"/>
      <c r="BG37" s="142"/>
      <c r="BH37" s="142"/>
      <c r="BI37" s="106"/>
      <c r="BJ37" s="145"/>
      <c r="BK37" s="142"/>
      <c r="BL37" s="142"/>
      <c r="BM37" s="106"/>
      <c r="BN37" s="145"/>
      <c r="BO37" s="142"/>
      <c r="BP37" s="142"/>
      <c r="BQ37" s="106"/>
      <c r="BR37" s="145"/>
      <c r="BS37" s="142"/>
      <c r="BT37" s="142"/>
      <c r="BU37" s="106"/>
      <c r="BV37" s="145"/>
      <c r="BW37" s="142"/>
      <c r="BX37" s="142"/>
      <c r="BY37" s="106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5"/>
      <c r="CP37" s="4"/>
      <c r="CQ37" s="4"/>
      <c r="CR37" s="4"/>
      <c r="CT37" s="5"/>
      <c r="CU37" s="5"/>
      <c r="CV37" s="5"/>
      <c r="CW37" s="5"/>
      <c r="CX37" s="5"/>
      <c r="CY37" s="5"/>
      <c r="CZ37" s="5"/>
      <c r="DA37" s="5"/>
      <c r="DB37" s="5"/>
      <c r="DC37" s="5" t="s">
        <v>100</v>
      </c>
    </row>
    <row r="38" spans="1:107" s="6" customFormat="1" ht="15" customHeight="1" thickBot="1" x14ac:dyDescent="0.3">
      <c r="A38" s="4"/>
      <c r="B38" s="126" t="s">
        <v>8</v>
      </c>
      <c r="C38" s="127"/>
      <c r="D38" s="127"/>
      <c r="E38" s="128"/>
      <c r="F38" s="129"/>
      <c r="G38" s="129"/>
      <c r="H38" s="130"/>
      <c r="I38" s="124" t="s">
        <v>10</v>
      </c>
      <c r="J38" s="125"/>
      <c r="K38" s="131"/>
      <c r="L38" s="132"/>
      <c r="M38" s="132"/>
      <c r="N38" s="132"/>
      <c r="O38" s="132"/>
      <c r="P38" s="133"/>
      <c r="Q38" s="4"/>
      <c r="R38" s="4"/>
      <c r="S38" s="156"/>
      <c r="T38" s="157"/>
      <c r="U38" s="157"/>
      <c r="V38" s="157"/>
      <c r="W38" s="157"/>
      <c r="X38" s="157"/>
      <c r="Y38" s="157"/>
      <c r="Z38" s="157"/>
      <c r="AA38" s="157"/>
      <c r="AB38" s="157"/>
      <c r="AC38" s="158"/>
      <c r="AD38" s="146"/>
      <c r="AE38" s="143"/>
      <c r="AF38" s="143"/>
      <c r="AG38" s="107"/>
      <c r="AH38" s="146"/>
      <c r="AI38" s="143"/>
      <c r="AJ38" s="143"/>
      <c r="AK38" s="107"/>
      <c r="AL38" s="146"/>
      <c r="AM38" s="143"/>
      <c r="AN38" s="143"/>
      <c r="AO38" s="107"/>
      <c r="AP38" s="146"/>
      <c r="AQ38" s="143"/>
      <c r="AR38" s="143"/>
      <c r="AS38" s="107"/>
      <c r="AT38" s="146"/>
      <c r="AU38" s="143"/>
      <c r="AV38" s="143"/>
      <c r="AW38" s="107"/>
      <c r="AX38" s="146"/>
      <c r="AY38" s="143"/>
      <c r="AZ38" s="143"/>
      <c r="BA38" s="107"/>
      <c r="BB38" s="146"/>
      <c r="BC38" s="143"/>
      <c r="BD38" s="143"/>
      <c r="BE38" s="107"/>
      <c r="BF38" s="146"/>
      <c r="BG38" s="143"/>
      <c r="BH38" s="143"/>
      <c r="BI38" s="107"/>
      <c r="BJ38" s="146"/>
      <c r="BK38" s="143"/>
      <c r="BL38" s="143"/>
      <c r="BM38" s="107"/>
      <c r="BN38" s="146"/>
      <c r="BO38" s="143"/>
      <c r="BP38" s="143"/>
      <c r="BQ38" s="107"/>
      <c r="BR38" s="146"/>
      <c r="BS38" s="143"/>
      <c r="BT38" s="143"/>
      <c r="BU38" s="107"/>
      <c r="BV38" s="146"/>
      <c r="BW38" s="143"/>
      <c r="BX38" s="143"/>
      <c r="BY38" s="107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5"/>
      <c r="CP38" s="4"/>
      <c r="CQ38" s="4"/>
      <c r="CR38" s="4"/>
      <c r="CT38" s="5"/>
      <c r="CU38" s="5"/>
      <c r="CV38" s="5"/>
      <c r="CW38" s="5"/>
      <c r="CX38" s="5"/>
      <c r="CY38" s="5"/>
      <c r="CZ38" s="5"/>
      <c r="DA38" s="5"/>
      <c r="DB38" s="5"/>
      <c r="DC38" s="5" t="s">
        <v>101</v>
      </c>
    </row>
    <row r="39" spans="1:107" s="6" customFormat="1" ht="1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5"/>
      <c r="CP39" s="4"/>
      <c r="CQ39" s="4"/>
      <c r="CR39" s="4"/>
    </row>
    <row r="40" spans="1:107" s="6" customFormat="1" ht="1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9"/>
      <c r="T40" s="20"/>
      <c r="U40" s="20"/>
      <c r="V40" s="20"/>
      <c r="W40" s="20"/>
      <c r="X40" s="20"/>
      <c r="Y40" s="20"/>
      <c r="Z40" s="149"/>
      <c r="AA40" s="149"/>
      <c r="AB40" s="149"/>
      <c r="AC40" s="20"/>
      <c r="AD40" s="20"/>
      <c r="AE40" s="148"/>
      <c r="AF40" s="148"/>
      <c r="AG40" s="148"/>
      <c r="AH40" s="20"/>
      <c r="AI40" s="20"/>
      <c r="AJ40" s="148"/>
      <c r="AK40" s="148"/>
      <c r="AL40" s="148"/>
      <c r="AM40" s="20"/>
      <c r="AN40" s="20"/>
      <c r="AO40" s="20"/>
      <c r="AP40" s="149"/>
      <c r="AQ40" s="149"/>
      <c r="AR40" s="149"/>
      <c r="AS40" s="20"/>
      <c r="AT40" s="20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5"/>
      <c r="CP40" s="4"/>
      <c r="CQ40" s="4"/>
      <c r="CR40" s="4"/>
    </row>
    <row r="41" spans="1:107" s="6" customFormat="1" ht="15" customHeight="1" x14ac:dyDescent="0.25">
      <c r="A41" s="4"/>
      <c r="B41" s="4"/>
      <c r="C41" s="4"/>
      <c r="D41" s="4"/>
      <c r="E41" s="4"/>
      <c r="F41" s="4"/>
      <c r="G41" s="4"/>
      <c r="J41" s="4"/>
      <c r="K41" s="4"/>
      <c r="L41" s="4"/>
      <c r="M41" s="4"/>
      <c r="N41" s="4"/>
      <c r="O41" s="4"/>
      <c r="P41" s="4"/>
      <c r="Q41" s="4"/>
      <c r="R41" s="4"/>
      <c r="S41" s="20"/>
      <c r="T41" s="20"/>
      <c r="U41" s="20"/>
      <c r="V41" s="20"/>
      <c r="W41" s="20"/>
      <c r="X41" s="20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5"/>
      <c r="CP41" s="4"/>
      <c r="CQ41" s="4"/>
      <c r="CR41" s="4"/>
    </row>
    <row r="42" spans="1:107" s="6" customFormat="1" ht="1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0"/>
      <c r="T42" s="20"/>
      <c r="U42" s="20"/>
      <c r="V42" s="20"/>
      <c r="W42" s="20"/>
      <c r="X42" s="20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5"/>
      <c r="CP42" s="4"/>
      <c r="CQ42" s="4"/>
      <c r="CR42" s="4"/>
    </row>
    <row r="43" spans="1:107" s="6" customFormat="1" ht="1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5"/>
      <c r="CP43" s="4"/>
      <c r="CQ43" s="4"/>
      <c r="CR43" s="4"/>
    </row>
    <row r="44" spans="1:107" s="6" customFormat="1" ht="1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5"/>
      <c r="CP44" s="4"/>
      <c r="CQ44" s="4"/>
      <c r="CR44" s="4"/>
    </row>
    <row r="45" spans="1:107" s="6" customFormat="1" ht="1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5"/>
      <c r="CP45" s="4"/>
      <c r="CQ45" s="4"/>
      <c r="CR45" s="4"/>
    </row>
    <row r="46" spans="1:107" s="6" customFormat="1" ht="1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5"/>
      <c r="CP46" s="4"/>
      <c r="CQ46" s="4"/>
      <c r="CR46" s="4"/>
    </row>
    <row r="47" spans="1:107" s="6" customFormat="1" ht="1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5"/>
      <c r="CP47" s="4"/>
      <c r="CQ47" s="4"/>
      <c r="CR47" s="4"/>
    </row>
    <row r="48" spans="1:107" s="6" customFormat="1" ht="1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5"/>
      <c r="CP48" s="4"/>
      <c r="CQ48" s="4"/>
      <c r="CR48" s="4"/>
    </row>
    <row r="49" spans="92:93" ht="15" customHeight="1" x14ac:dyDescent="0.25"/>
    <row r="50" spans="92:93" ht="15" customHeight="1" x14ac:dyDescent="0.25">
      <c r="CN50" s="5"/>
      <c r="CO50" s="4"/>
    </row>
    <row r="51" spans="92:93" ht="15" customHeight="1" x14ac:dyDescent="0.25">
      <c r="CN51" s="5"/>
      <c r="CO51" s="4"/>
    </row>
    <row r="52" spans="92:93" ht="15" customHeight="1" x14ac:dyDescent="0.25">
      <c r="CN52" s="5"/>
      <c r="CO52" s="4"/>
    </row>
    <row r="53" spans="92:93" ht="15" customHeight="1" x14ac:dyDescent="0.25">
      <c r="CN53" s="5"/>
      <c r="CO53" s="4"/>
    </row>
    <row r="54" spans="92:93" ht="15" customHeight="1" x14ac:dyDescent="0.25"/>
    <row r="55" spans="92:93" ht="15" customHeight="1" x14ac:dyDescent="0.25"/>
    <row r="56" spans="92:93" ht="15" customHeight="1" x14ac:dyDescent="0.25"/>
    <row r="57" spans="92:93" ht="15" customHeight="1" x14ac:dyDescent="0.25"/>
    <row r="58" spans="92:93" ht="15" customHeight="1" x14ac:dyDescent="0.25"/>
    <row r="59" spans="92:93" ht="15" customHeight="1" x14ac:dyDescent="0.25"/>
    <row r="60" spans="92:93" ht="15" customHeight="1" x14ac:dyDescent="0.25"/>
    <row r="61" spans="92:93" ht="15" customHeight="1" x14ac:dyDescent="0.25"/>
    <row r="62" spans="92:93" ht="15" customHeight="1" x14ac:dyDescent="0.25"/>
    <row r="63" spans="92:93" ht="15" customHeight="1" x14ac:dyDescent="0.25"/>
    <row r="64" spans="92:93" ht="15" customHeight="1" x14ac:dyDescent="0.25"/>
    <row r="65" ht="15" customHeight="1" x14ac:dyDescent="0.25"/>
    <row r="66" ht="15" customHeight="1" x14ac:dyDescent="0.25"/>
    <row r="67" ht="15" hidden="1" customHeight="1" x14ac:dyDescent="0.25"/>
    <row r="68" ht="15" hidden="1" customHeight="1" x14ac:dyDescent="0.25"/>
    <row r="69" ht="15" hidden="1" customHeight="1" x14ac:dyDescent="0.25"/>
    <row r="70" ht="15" hidden="1" customHeight="1" x14ac:dyDescent="0.25"/>
    <row r="71" ht="15" hidden="1" customHeight="1" x14ac:dyDescent="0.25"/>
    <row r="72" ht="15" hidden="1" customHeight="1" x14ac:dyDescent="0.25"/>
    <row r="73" ht="15" hidden="1" customHeight="1" x14ac:dyDescent="0.25"/>
    <row r="74" ht="15" hidden="1" customHeight="1" x14ac:dyDescent="0.25"/>
    <row r="75" ht="15" hidden="1" customHeight="1" x14ac:dyDescent="0.25"/>
    <row r="76" ht="15" hidden="1" customHeight="1" x14ac:dyDescent="0.25"/>
    <row r="77" ht="15" hidden="1" customHeight="1" x14ac:dyDescent="0.25"/>
    <row r="78" ht="15" hidden="1" customHeight="1" x14ac:dyDescent="0.25"/>
    <row r="79" ht="15" hidden="1" customHeight="1" x14ac:dyDescent="0.25"/>
    <row r="80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5" hidden="1" customHeight="1" x14ac:dyDescent="0.25"/>
    <row r="115" ht="15" hidden="1" customHeight="1" x14ac:dyDescent="0.25"/>
    <row r="116" ht="15" hidden="1" customHeight="1" x14ac:dyDescent="0.25"/>
    <row r="117" ht="15" hidden="1" customHeight="1" x14ac:dyDescent="0.25"/>
    <row r="118" ht="15" hidden="1" customHeight="1" x14ac:dyDescent="0.25"/>
    <row r="119" ht="15" hidden="1" customHeight="1" x14ac:dyDescent="0.25"/>
    <row r="120" ht="15" hidden="1" customHeight="1" x14ac:dyDescent="0.25"/>
    <row r="121" ht="15" hidden="1" customHeight="1" x14ac:dyDescent="0.25"/>
    <row r="122" ht="15" hidden="1" customHeight="1" x14ac:dyDescent="0.25"/>
    <row r="123" ht="15" hidden="1" customHeight="1" x14ac:dyDescent="0.25"/>
    <row r="124" ht="15" hidden="1" customHeight="1" x14ac:dyDescent="0.25"/>
    <row r="125" ht="15" hidden="1" customHeight="1" x14ac:dyDescent="0.25"/>
    <row r="126" ht="15" hidden="1" customHeight="1" x14ac:dyDescent="0.25"/>
    <row r="127" ht="15" hidden="1" customHeight="1" x14ac:dyDescent="0.25"/>
    <row r="128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34" ht="15" hidden="1" customHeight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x14ac:dyDescent="0.25"/>
    <row r="145" x14ac:dyDescent="0.25"/>
    <row r="146" x14ac:dyDescent="0.25"/>
    <row r="147" x14ac:dyDescent="0.25"/>
    <row r="148" x14ac:dyDescent="0.25"/>
    <row r="149" ht="15" customHeight="1" x14ac:dyDescent="0.25"/>
  </sheetData>
  <mergeCells count="485">
    <mergeCell ref="A1:AH1"/>
    <mergeCell ref="C3:F3"/>
    <mergeCell ref="I3:K3"/>
    <mergeCell ref="CF3:CH3"/>
    <mergeCell ref="CJ3:CL3"/>
    <mergeCell ref="CE4:CE5"/>
    <mergeCell ref="CF4:CH5"/>
    <mergeCell ref="CI4:CI7"/>
    <mergeCell ref="CJ4:CL7"/>
    <mergeCell ref="B5:C5"/>
    <mergeCell ref="D5:F5"/>
    <mergeCell ref="B9:D10"/>
    <mergeCell ref="E9:L10"/>
    <mergeCell ref="S9:BY10"/>
    <mergeCell ref="CD9:CQ10"/>
    <mergeCell ref="B12:P12"/>
    <mergeCell ref="S12:BY12"/>
    <mergeCell ref="CD12:CQ12"/>
    <mergeCell ref="N5:O5"/>
    <mergeCell ref="CE6:CE7"/>
    <mergeCell ref="CF6:CH7"/>
    <mergeCell ref="B7:C7"/>
    <mergeCell ref="D7:F7"/>
    <mergeCell ref="N7:O7"/>
    <mergeCell ref="B13:P16"/>
    <mergeCell ref="S13:AC14"/>
    <mergeCell ref="AD13:AG13"/>
    <mergeCell ref="AH13:AK13"/>
    <mergeCell ref="AL13:AO13"/>
    <mergeCell ref="AP13:AS13"/>
    <mergeCell ref="AI15:AI17"/>
    <mergeCell ref="AJ15:AJ17"/>
    <mergeCell ref="AK15:AK17"/>
    <mergeCell ref="AL15:AL17"/>
    <mergeCell ref="AO15:AO17"/>
    <mergeCell ref="AP15:AP17"/>
    <mergeCell ref="AQ15:AQ17"/>
    <mergeCell ref="AR15:AR17"/>
    <mergeCell ref="S15:AC17"/>
    <mergeCell ref="AD15:AD17"/>
    <mergeCell ref="AE15:AE17"/>
    <mergeCell ref="AF15:AF17"/>
    <mergeCell ref="AG15:AG17"/>
    <mergeCell ref="AH15:AH17"/>
    <mergeCell ref="B17:P17"/>
    <mergeCell ref="BR13:BU13"/>
    <mergeCell ref="BV13:BY13"/>
    <mergeCell ref="AD14:AG14"/>
    <mergeCell ref="AH14:AK14"/>
    <mergeCell ref="AL14:AO14"/>
    <mergeCell ref="AP14:AS14"/>
    <mergeCell ref="AT14:AW14"/>
    <mergeCell ref="AX14:BA14"/>
    <mergeCell ref="BB14:BE14"/>
    <mergeCell ref="BF14:BI14"/>
    <mergeCell ref="AT13:AW13"/>
    <mergeCell ref="AX13:BA13"/>
    <mergeCell ref="BB13:BE13"/>
    <mergeCell ref="BF13:BI13"/>
    <mergeCell ref="BJ13:BM13"/>
    <mergeCell ref="BN13:BQ13"/>
    <mergeCell ref="BJ14:BM14"/>
    <mergeCell ref="BN14:BQ14"/>
    <mergeCell ref="BR14:BU14"/>
    <mergeCell ref="BV14:BY14"/>
    <mergeCell ref="CD17:CQ17"/>
    <mergeCell ref="B18:P21"/>
    <mergeCell ref="S18:AC20"/>
    <mergeCell ref="AD18:AD20"/>
    <mergeCell ref="AE18:AE20"/>
    <mergeCell ref="AF18:AF20"/>
    <mergeCell ref="BQ15:BQ17"/>
    <mergeCell ref="BR15:BR17"/>
    <mergeCell ref="BS15:BS17"/>
    <mergeCell ref="BT15:BT17"/>
    <mergeCell ref="BU15:BU17"/>
    <mergeCell ref="BV15:BV17"/>
    <mergeCell ref="BK15:BK17"/>
    <mergeCell ref="BL15:BL17"/>
    <mergeCell ref="BM15:BM17"/>
    <mergeCell ref="BN15:BN17"/>
    <mergeCell ref="BO15:BO17"/>
    <mergeCell ref="BP15:BP17"/>
    <mergeCell ref="BE15:BE17"/>
    <mergeCell ref="BF15:BF17"/>
    <mergeCell ref="BG15:BG17"/>
    <mergeCell ref="BH15:BH17"/>
    <mergeCell ref="BI15:BI17"/>
    <mergeCell ref="AG18:AG20"/>
    <mergeCell ref="AH18:AH20"/>
    <mergeCell ref="AI18:AI20"/>
    <mergeCell ref="AJ18:AJ20"/>
    <mergeCell ref="AK18:AK20"/>
    <mergeCell ref="AL18:AL20"/>
    <mergeCell ref="BW15:BW17"/>
    <mergeCell ref="BX15:BX17"/>
    <mergeCell ref="BY15:BY17"/>
    <mergeCell ref="BJ15:BJ17"/>
    <mergeCell ref="AY15:AY17"/>
    <mergeCell ref="AZ15:AZ17"/>
    <mergeCell ref="BA15:BA17"/>
    <mergeCell ref="BB15:BB17"/>
    <mergeCell ref="BC15:BC17"/>
    <mergeCell ref="BD15:BD17"/>
    <mergeCell ref="AS15:AS17"/>
    <mergeCell ref="AT15:AT17"/>
    <mergeCell ref="AU15:AU17"/>
    <mergeCell ref="AV15:AV17"/>
    <mergeCell ref="AW15:AW17"/>
    <mergeCell ref="AX15:AX17"/>
    <mergeCell ref="AM15:AM17"/>
    <mergeCell ref="AN15:AN17"/>
    <mergeCell ref="AS18:AS20"/>
    <mergeCell ref="AT18:AT20"/>
    <mergeCell ref="AU18:AU20"/>
    <mergeCell ref="AV18:AV20"/>
    <mergeCell ref="AW18:AW20"/>
    <mergeCell ref="AX18:AX20"/>
    <mergeCell ref="AM18:AM20"/>
    <mergeCell ref="AN18:AN20"/>
    <mergeCell ref="AO18:AO20"/>
    <mergeCell ref="AP18:AP20"/>
    <mergeCell ref="AQ18:AQ20"/>
    <mergeCell ref="AR18:AR20"/>
    <mergeCell ref="BP18:BP20"/>
    <mergeCell ref="BE18:BE20"/>
    <mergeCell ref="BF18:BF20"/>
    <mergeCell ref="BG18:BG20"/>
    <mergeCell ref="BH18:BH20"/>
    <mergeCell ref="BI18:BI20"/>
    <mergeCell ref="BJ18:BJ20"/>
    <mergeCell ref="AY18:AY20"/>
    <mergeCell ref="AZ18:AZ20"/>
    <mergeCell ref="BA18:BA20"/>
    <mergeCell ref="BB18:BB20"/>
    <mergeCell ref="BC18:BC20"/>
    <mergeCell ref="BD18:BD20"/>
    <mergeCell ref="AM21:AM23"/>
    <mergeCell ref="AN21:AN23"/>
    <mergeCell ref="AO21:AO23"/>
    <mergeCell ref="BW18:BW20"/>
    <mergeCell ref="BX18:BX20"/>
    <mergeCell ref="BY18:BY20"/>
    <mergeCell ref="S21:AC23"/>
    <mergeCell ref="AD21:AD23"/>
    <mergeCell ref="AE21:AE23"/>
    <mergeCell ref="AF21:AF23"/>
    <mergeCell ref="AG21:AG23"/>
    <mergeCell ref="AH21:AH23"/>
    <mergeCell ref="AI21:AI23"/>
    <mergeCell ref="BQ18:BQ20"/>
    <mergeCell ref="BR18:BR20"/>
    <mergeCell ref="BS18:BS20"/>
    <mergeCell ref="BT18:BT20"/>
    <mergeCell ref="BU18:BU20"/>
    <mergeCell ref="BV18:BV20"/>
    <mergeCell ref="BK18:BK20"/>
    <mergeCell ref="BL18:BL20"/>
    <mergeCell ref="BM18:BM20"/>
    <mergeCell ref="BN18:BN20"/>
    <mergeCell ref="BO18:BO20"/>
    <mergeCell ref="AV21:AV23"/>
    <mergeCell ref="AW21:AW23"/>
    <mergeCell ref="AX21:AX23"/>
    <mergeCell ref="AY21:AY23"/>
    <mergeCell ref="AZ21:AZ23"/>
    <mergeCell ref="BA21:BA23"/>
    <mergeCell ref="AP21:AP23"/>
    <mergeCell ref="AQ21:AQ23"/>
    <mergeCell ref="AR21:AR23"/>
    <mergeCell ref="AS21:AS23"/>
    <mergeCell ref="AT21:AT23"/>
    <mergeCell ref="AU21:AU23"/>
    <mergeCell ref="BH21:BH23"/>
    <mergeCell ref="BI21:BI23"/>
    <mergeCell ref="BJ21:BJ23"/>
    <mergeCell ref="BK21:BK23"/>
    <mergeCell ref="BL21:BL23"/>
    <mergeCell ref="BM21:BM23"/>
    <mergeCell ref="BB21:BB23"/>
    <mergeCell ref="BC21:BC23"/>
    <mergeCell ref="BD21:BD23"/>
    <mergeCell ref="BE21:BE23"/>
    <mergeCell ref="BF21:BF23"/>
    <mergeCell ref="BG21:BG23"/>
    <mergeCell ref="BT21:BT23"/>
    <mergeCell ref="BU21:BU23"/>
    <mergeCell ref="BV21:BV23"/>
    <mergeCell ref="BW21:BW23"/>
    <mergeCell ref="BX21:BX23"/>
    <mergeCell ref="BY21:BY23"/>
    <mergeCell ref="BN21:BN23"/>
    <mergeCell ref="BO21:BO23"/>
    <mergeCell ref="BP21:BP23"/>
    <mergeCell ref="BQ21:BQ23"/>
    <mergeCell ref="BR21:BR23"/>
    <mergeCell ref="BS21:BS23"/>
    <mergeCell ref="AG24:AG26"/>
    <mergeCell ref="AH24:AH26"/>
    <mergeCell ref="AI24:AI26"/>
    <mergeCell ref="AJ24:AJ26"/>
    <mergeCell ref="AK24:AK26"/>
    <mergeCell ref="AL24:AL26"/>
    <mergeCell ref="B22:P22"/>
    <mergeCell ref="B23:P25"/>
    <mergeCell ref="S24:AC26"/>
    <mergeCell ref="AD24:AD26"/>
    <mergeCell ref="AE24:AE26"/>
    <mergeCell ref="AF24:AF26"/>
    <mergeCell ref="AJ21:AJ23"/>
    <mergeCell ref="AK21:AK23"/>
    <mergeCell ref="AL21:AL23"/>
    <mergeCell ref="AS24:AS26"/>
    <mergeCell ref="AT24:AT26"/>
    <mergeCell ref="AU24:AU26"/>
    <mergeCell ref="AV24:AV26"/>
    <mergeCell ref="AW24:AW26"/>
    <mergeCell ref="AX24:AX26"/>
    <mergeCell ref="AM24:AM26"/>
    <mergeCell ref="AN24:AN26"/>
    <mergeCell ref="AO24:AO26"/>
    <mergeCell ref="AP24:AP26"/>
    <mergeCell ref="AQ24:AQ26"/>
    <mergeCell ref="AR24:AR26"/>
    <mergeCell ref="BG24:BG26"/>
    <mergeCell ref="BH24:BH26"/>
    <mergeCell ref="BI24:BI26"/>
    <mergeCell ref="BJ24:BJ26"/>
    <mergeCell ref="AY24:AY26"/>
    <mergeCell ref="AZ24:AZ26"/>
    <mergeCell ref="BA24:BA26"/>
    <mergeCell ref="BB24:BB26"/>
    <mergeCell ref="BC24:BC26"/>
    <mergeCell ref="BD24:BD26"/>
    <mergeCell ref="BW24:BW26"/>
    <mergeCell ref="BX24:BX26"/>
    <mergeCell ref="BY24:BY26"/>
    <mergeCell ref="B26:P26"/>
    <mergeCell ref="B27:H27"/>
    <mergeCell ref="I27:P27"/>
    <mergeCell ref="S27:AC29"/>
    <mergeCell ref="AD27:AD29"/>
    <mergeCell ref="AE27:AE29"/>
    <mergeCell ref="AF27:AF29"/>
    <mergeCell ref="BQ24:BQ26"/>
    <mergeCell ref="BR24:BR26"/>
    <mergeCell ref="BS24:BS26"/>
    <mergeCell ref="BT24:BT26"/>
    <mergeCell ref="BU24:BU26"/>
    <mergeCell ref="BV24:BV26"/>
    <mergeCell ref="BK24:BK26"/>
    <mergeCell ref="BL24:BL26"/>
    <mergeCell ref="BM24:BM26"/>
    <mergeCell ref="BN24:BN26"/>
    <mergeCell ref="BO24:BO26"/>
    <mergeCell ref="BP24:BP26"/>
    <mergeCell ref="BE24:BE26"/>
    <mergeCell ref="BF24:BF26"/>
    <mergeCell ref="AM27:AM29"/>
    <mergeCell ref="AN27:AN29"/>
    <mergeCell ref="AO27:AO29"/>
    <mergeCell ref="AP27:AP29"/>
    <mergeCell ref="AQ27:AQ29"/>
    <mergeCell ref="AR27:AR29"/>
    <mergeCell ref="AG27:AG29"/>
    <mergeCell ref="AH27:AH29"/>
    <mergeCell ref="AI27:AI29"/>
    <mergeCell ref="AJ27:AJ29"/>
    <mergeCell ref="AK27:AK29"/>
    <mergeCell ref="AL27:AL29"/>
    <mergeCell ref="BI27:BI29"/>
    <mergeCell ref="BJ27:BJ29"/>
    <mergeCell ref="AY27:AY29"/>
    <mergeCell ref="AZ27:AZ29"/>
    <mergeCell ref="BA27:BA29"/>
    <mergeCell ref="BB27:BB29"/>
    <mergeCell ref="BC27:BC29"/>
    <mergeCell ref="BD27:BD29"/>
    <mergeCell ref="AS27:AS29"/>
    <mergeCell ref="AT27:AT29"/>
    <mergeCell ref="AU27:AU29"/>
    <mergeCell ref="AV27:AV29"/>
    <mergeCell ref="AW27:AW29"/>
    <mergeCell ref="AX27:AX29"/>
    <mergeCell ref="BW27:BW29"/>
    <mergeCell ref="BX27:BX29"/>
    <mergeCell ref="BY27:BY29"/>
    <mergeCell ref="B28:B29"/>
    <mergeCell ref="C28:H28"/>
    <mergeCell ref="I28:P28"/>
    <mergeCell ref="C29:H29"/>
    <mergeCell ref="I29:P29"/>
    <mergeCell ref="BQ27:BQ29"/>
    <mergeCell ref="BR27:BR29"/>
    <mergeCell ref="BS27:BS29"/>
    <mergeCell ref="BT27:BT29"/>
    <mergeCell ref="BU27:BU29"/>
    <mergeCell ref="BV27:BV29"/>
    <mergeCell ref="BK27:BK29"/>
    <mergeCell ref="BL27:BL29"/>
    <mergeCell ref="BM27:BM29"/>
    <mergeCell ref="BN27:BN29"/>
    <mergeCell ref="BO27:BO29"/>
    <mergeCell ref="BP27:BP29"/>
    <mergeCell ref="BE27:BE29"/>
    <mergeCell ref="BF27:BF29"/>
    <mergeCell ref="BG27:BG29"/>
    <mergeCell ref="BH27:BH29"/>
    <mergeCell ref="B30:B31"/>
    <mergeCell ref="C30:H30"/>
    <mergeCell ref="I30:P30"/>
    <mergeCell ref="S30:AC32"/>
    <mergeCell ref="AD30:AD32"/>
    <mergeCell ref="AE30:AE32"/>
    <mergeCell ref="B32:B34"/>
    <mergeCell ref="C33:H33"/>
    <mergeCell ref="I33:P33"/>
    <mergeCell ref="S33:AC35"/>
    <mergeCell ref="C34:H34"/>
    <mergeCell ref="I34:P34"/>
    <mergeCell ref="B35:B36"/>
    <mergeCell ref="C35:H35"/>
    <mergeCell ref="I35:P35"/>
    <mergeCell ref="C36:H36"/>
    <mergeCell ref="I36:P36"/>
    <mergeCell ref="AL30:AL32"/>
    <mergeCell ref="AM30:AM32"/>
    <mergeCell ref="AN30:AN32"/>
    <mergeCell ref="AO30:AO32"/>
    <mergeCell ref="AP30:AP32"/>
    <mergeCell ref="AQ30:AQ32"/>
    <mergeCell ref="AF30:AF32"/>
    <mergeCell ref="AG30:AG32"/>
    <mergeCell ref="AH30:AH32"/>
    <mergeCell ref="AI30:AI32"/>
    <mergeCell ref="AJ30:AJ32"/>
    <mergeCell ref="AK30:AK32"/>
    <mergeCell ref="BH30:BH32"/>
    <mergeCell ref="BI30:BI32"/>
    <mergeCell ref="AX30:AX32"/>
    <mergeCell ref="AY30:AY32"/>
    <mergeCell ref="AZ30:AZ32"/>
    <mergeCell ref="BA30:BA32"/>
    <mergeCell ref="BB30:BB32"/>
    <mergeCell ref="BC30:BC32"/>
    <mergeCell ref="AR30:AR32"/>
    <mergeCell ref="AS30:AS32"/>
    <mergeCell ref="AT30:AT32"/>
    <mergeCell ref="AU30:AU32"/>
    <mergeCell ref="AV30:AV32"/>
    <mergeCell ref="AW30:AW32"/>
    <mergeCell ref="BV30:BV32"/>
    <mergeCell ref="BW30:BW32"/>
    <mergeCell ref="BX30:BX32"/>
    <mergeCell ref="BY30:BY32"/>
    <mergeCell ref="C31:H31"/>
    <mergeCell ref="I31:P31"/>
    <mergeCell ref="C32:H32"/>
    <mergeCell ref="I32:P32"/>
    <mergeCell ref="BP30:BP32"/>
    <mergeCell ref="BQ30:BQ32"/>
    <mergeCell ref="BR30:BR32"/>
    <mergeCell ref="BS30:BS32"/>
    <mergeCell ref="BT30:BT32"/>
    <mergeCell ref="BU30:BU32"/>
    <mergeCell ref="BJ30:BJ32"/>
    <mergeCell ref="BK30:BK32"/>
    <mergeCell ref="BL30:BL32"/>
    <mergeCell ref="BM30:BM32"/>
    <mergeCell ref="BN30:BN32"/>
    <mergeCell ref="BO30:BO32"/>
    <mergeCell ref="BD30:BD32"/>
    <mergeCell ref="BE30:BE32"/>
    <mergeCell ref="BF30:BF32"/>
    <mergeCell ref="BG30:BG32"/>
    <mergeCell ref="AJ33:AJ35"/>
    <mergeCell ref="AK33:AK35"/>
    <mergeCell ref="AL33:AL35"/>
    <mergeCell ref="AM33:AM35"/>
    <mergeCell ref="AN33:AN35"/>
    <mergeCell ref="AO33:AO35"/>
    <mergeCell ref="AD33:AD35"/>
    <mergeCell ref="AE33:AE35"/>
    <mergeCell ref="AF33:AF35"/>
    <mergeCell ref="AG33:AG35"/>
    <mergeCell ref="AH33:AH35"/>
    <mergeCell ref="AI33:AI35"/>
    <mergeCell ref="AY33:AY35"/>
    <mergeCell ref="AZ33:AZ35"/>
    <mergeCell ref="BA33:BA35"/>
    <mergeCell ref="AP33:AP35"/>
    <mergeCell ref="AQ33:AQ35"/>
    <mergeCell ref="AR33:AR35"/>
    <mergeCell ref="AS33:AS35"/>
    <mergeCell ref="AT33:AT35"/>
    <mergeCell ref="AU33:AU35"/>
    <mergeCell ref="AV33:AV35"/>
    <mergeCell ref="AW33:AW35"/>
    <mergeCell ref="AX33:AX35"/>
    <mergeCell ref="BV33:BV35"/>
    <mergeCell ref="BW33:BW35"/>
    <mergeCell ref="BX33:BX35"/>
    <mergeCell ref="BY33:BY35"/>
    <mergeCell ref="BN33:BN35"/>
    <mergeCell ref="BO33:BO35"/>
    <mergeCell ref="BP33:BP35"/>
    <mergeCell ref="BQ33:BQ35"/>
    <mergeCell ref="BR33:BR35"/>
    <mergeCell ref="BS33:BS35"/>
    <mergeCell ref="BT33:BT35"/>
    <mergeCell ref="BU33:BU35"/>
    <mergeCell ref="BH33:BH35"/>
    <mergeCell ref="BI33:BI35"/>
    <mergeCell ref="BJ33:BJ35"/>
    <mergeCell ref="BK33:BK35"/>
    <mergeCell ref="BL33:BL35"/>
    <mergeCell ref="BM33:BM35"/>
    <mergeCell ref="BB33:BB35"/>
    <mergeCell ref="BC33:BC35"/>
    <mergeCell ref="BD33:BD35"/>
    <mergeCell ref="BE33:BE35"/>
    <mergeCell ref="BF33:BF35"/>
    <mergeCell ref="BG33:BG35"/>
    <mergeCell ref="AS36:AS38"/>
    <mergeCell ref="AT36:AT38"/>
    <mergeCell ref="AI36:AI38"/>
    <mergeCell ref="AJ36:AJ38"/>
    <mergeCell ref="AK36:AK38"/>
    <mergeCell ref="AL36:AL38"/>
    <mergeCell ref="AM36:AM38"/>
    <mergeCell ref="AN36:AN38"/>
    <mergeCell ref="S36:AC38"/>
    <mergeCell ref="AD36:AD38"/>
    <mergeCell ref="AE36:AE38"/>
    <mergeCell ref="AF36:AF38"/>
    <mergeCell ref="AG36:AG38"/>
    <mergeCell ref="AH36:AH38"/>
    <mergeCell ref="B37:P37"/>
    <mergeCell ref="B38:D38"/>
    <mergeCell ref="E38:H38"/>
    <mergeCell ref="I38:J38"/>
    <mergeCell ref="K38:P38"/>
    <mergeCell ref="BS36:BS38"/>
    <mergeCell ref="BT36:BT38"/>
    <mergeCell ref="BU36:BU38"/>
    <mergeCell ref="BV36:BV38"/>
    <mergeCell ref="BM36:BM38"/>
    <mergeCell ref="BN36:BN38"/>
    <mergeCell ref="BO36:BO38"/>
    <mergeCell ref="BP36:BP38"/>
    <mergeCell ref="BQ36:BQ38"/>
    <mergeCell ref="BR36:BR38"/>
    <mergeCell ref="BG36:BG38"/>
    <mergeCell ref="BH36:BH38"/>
    <mergeCell ref="BI36:BI38"/>
    <mergeCell ref="BJ36:BJ38"/>
    <mergeCell ref="BK36:BK38"/>
    <mergeCell ref="BL36:BL38"/>
    <mergeCell ref="BA36:BA38"/>
    <mergeCell ref="BB36:BB38"/>
    <mergeCell ref="BC36:BC38"/>
    <mergeCell ref="Z40:AB40"/>
    <mergeCell ref="AE40:AG40"/>
    <mergeCell ref="AJ40:AL40"/>
    <mergeCell ref="AP40:AR40"/>
    <mergeCell ref="Y41:AC41"/>
    <mergeCell ref="AD41:AH41"/>
    <mergeCell ref="AI41:AM41"/>
    <mergeCell ref="AN41:AT41"/>
    <mergeCell ref="BY36:BY38"/>
    <mergeCell ref="BW36:BW38"/>
    <mergeCell ref="BX36:BX38"/>
    <mergeCell ref="BD36:BD38"/>
    <mergeCell ref="BE36:BE38"/>
    <mergeCell ref="BF36:BF38"/>
    <mergeCell ref="AU36:AU38"/>
    <mergeCell ref="AV36:AV38"/>
    <mergeCell ref="AW36:AW38"/>
    <mergeCell ref="AX36:AX38"/>
    <mergeCell ref="AY36:AY38"/>
    <mergeCell ref="AZ36:AZ38"/>
    <mergeCell ref="AO36:AO38"/>
    <mergeCell ref="AP36:AP38"/>
    <mergeCell ref="AQ36:AQ38"/>
    <mergeCell ref="AR36:AR38"/>
  </mergeCells>
  <conditionalFormatting sqref="CE16:CQ16 CE21:CQ21">
    <cfRule type="cellIs" dxfId="5" priority="1" operator="lessThan">
      <formula>1</formula>
    </cfRule>
    <cfRule type="cellIs" dxfId="4" priority="2" operator="greaterThanOrEqual">
      <formula>1</formula>
    </cfRule>
  </conditionalFormatting>
  <dataValidations count="1">
    <dataValidation type="list" allowBlank="1" showInputMessage="1" showErrorMessage="1" sqref="I3 L3">
      <formula1>$DC$3:$DC$38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Cadastro!F7:F17</xm:f>
          </x14:formula1>
          <xm:sqref>E9:L10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49"/>
  <sheetViews>
    <sheetView showGridLines="0" zoomScaleNormal="100" workbookViewId="0">
      <selection activeCell="C3" sqref="C3:F3"/>
    </sheetView>
  </sheetViews>
  <sheetFormatPr defaultColWidth="0" defaultRowHeight="15" customHeight="1" zeroHeight="1" x14ac:dyDescent="0.25"/>
  <cols>
    <col min="1" max="6" width="9.7109375" style="4" customWidth="1"/>
    <col min="7" max="7" width="9.28515625" style="4" customWidth="1"/>
    <col min="8" max="8" width="14.28515625" style="4" bestFit="1" customWidth="1"/>
    <col min="9" max="9" width="11.28515625" style="4" bestFit="1" customWidth="1"/>
    <col min="10" max="16" width="9.7109375" style="4" customWidth="1"/>
    <col min="17" max="17" width="0.28515625" style="4" customWidth="1"/>
    <col min="18" max="18" width="4" style="4" customWidth="1"/>
    <col min="19" max="81" width="1.42578125" style="4" customWidth="1"/>
    <col min="82" max="82" width="10.5703125" style="4" bestFit="1" customWidth="1"/>
    <col min="83" max="83" width="14.28515625" style="4" bestFit="1" customWidth="1"/>
    <col min="84" max="92" width="13.28515625" style="4" customWidth="1"/>
    <col min="93" max="93" width="13.28515625" style="5" customWidth="1"/>
    <col min="94" max="95" width="13.28515625" style="4" customWidth="1"/>
    <col min="96" max="96" width="1.28515625" style="4" customWidth="1"/>
    <col min="97" max="16384" width="9.140625" style="4" hidden="1"/>
  </cols>
  <sheetData>
    <row r="1" spans="1:107" s="94" customFormat="1" ht="36" customHeight="1" x14ac:dyDescent="0.25">
      <c r="A1" s="197" t="s">
        <v>147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</row>
    <row r="2" spans="1:107" ht="15.75" thickBot="1" x14ac:dyDescent="0.3">
      <c r="B2" s="5">
        <f>C3</f>
        <v>0</v>
      </c>
      <c r="C2" s="5"/>
      <c r="D2" s="5">
        <f>I3</f>
        <v>0</v>
      </c>
      <c r="E2" s="5"/>
      <c r="F2" s="5"/>
      <c r="G2" s="5">
        <f>B13</f>
        <v>0</v>
      </c>
      <c r="H2" s="5" t="str">
        <f>E9</f>
        <v>Gestão para Resultados</v>
      </c>
      <c r="I2" s="5"/>
      <c r="J2" s="5"/>
    </row>
    <row r="3" spans="1:107" s="6" customFormat="1" ht="18" customHeight="1" thickBot="1" x14ac:dyDescent="0.3">
      <c r="A3" s="4"/>
      <c r="B3" s="22" t="s">
        <v>45</v>
      </c>
      <c r="C3" s="176"/>
      <c r="D3" s="176"/>
      <c r="E3" s="176"/>
      <c r="F3" s="177"/>
      <c r="G3" s="4"/>
      <c r="H3" s="23" t="s">
        <v>41</v>
      </c>
      <c r="I3" s="108"/>
      <c r="J3" s="109"/>
      <c r="K3" s="110"/>
      <c r="L3" s="26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20"/>
      <c r="CE3" s="37"/>
      <c r="CF3" s="199"/>
      <c r="CG3" s="199"/>
      <c r="CH3" s="199"/>
      <c r="CI3" s="37"/>
      <c r="CJ3" s="199"/>
      <c r="CK3" s="199"/>
      <c r="CL3" s="199"/>
      <c r="CM3" s="4"/>
      <c r="CN3" s="4"/>
      <c r="CO3" s="5"/>
      <c r="CP3" s="4"/>
      <c r="CQ3" s="4"/>
      <c r="CR3" s="4"/>
      <c r="CT3" s="5" t="s">
        <v>11</v>
      </c>
      <c r="CU3" s="5"/>
      <c r="CV3" s="5"/>
      <c r="CW3" s="5"/>
      <c r="CX3" s="5"/>
      <c r="CY3" s="5" t="s">
        <v>24</v>
      </c>
      <c r="CZ3" s="5"/>
      <c r="DA3" s="5"/>
      <c r="DB3" s="5"/>
      <c r="DC3" s="5" t="s">
        <v>66</v>
      </c>
    </row>
    <row r="4" spans="1:107" s="6" customFormat="1" ht="7.5" customHeight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20"/>
      <c r="CE4" s="201"/>
      <c r="CF4" s="199"/>
      <c r="CG4" s="199"/>
      <c r="CH4" s="199"/>
      <c r="CI4" s="200"/>
      <c r="CJ4" s="199"/>
      <c r="CK4" s="199"/>
      <c r="CL4" s="199"/>
      <c r="CM4" s="4"/>
      <c r="CN4" s="4"/>
      <c r="CO4" s="5"/>
      <c r="CP4" s="4"/>
      <c r="CQ4" s="4"/>
      <c r="CR4" s="4"/>
      <c r="CT4" s="5" t="s">
        <v>12</v>
      </c>
      <c r="CU4" s="5"/>
      <c r="CV4" s="5"/>
      <c r="CW4" s="5"/>
      <c r="CX4" s="5"/>
      <c r="CY4" s="5" t="s">
        <v>23</v>
      </c>
      <c r="CZ4" s="5"/>
      <c r="DA4" s="5"/>
      <c r="DB4" s="5"/>
      <c r="DC4" s="5" t="s">
        <v>67</v>
      </c>
    </row>
    <row r="5" spans="1:107" s="6" customFormat="1" ht="18" customHeight="1" thickBot="1" x14ac:dyDescent="0.3">
      <c r="A5" s="5">
        <f>D5</f>
        <v>0</v>
      </c>
      <c r="B5" s="178" t="s">
        <v>40</v>
      </c>
      <c r="C5" s="179"/>
      <c r="D5" s="176"/>
      <c r="E5" s="176"/>
      <c r="F5" s="177"/>
      <c r="G5" s="4"/>
      <c r="H5" s="24" t="s">
        <v>42</v>
      </c>
      <c r="I5" s="7"/>
      <c r="K5" s="30" t="s">
        <v>59</v>
      </c>
      <c r="L5" s="31"/>
      <c r="M5" s="32"/>
      <c r="N5" s="182"/>
      <c r="O5" s="183"/>
      <c r="P5" s="51">
        <f>N5</f>
        <v>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20"/>
      <c r="CE5" s="201"/>
      <c r="CF5" s="199"/>
      <c r="CG5" s="199"/>
      <c r="CH5" s="199"/>
      <c r="CI5" s="200"/>
      <c r="CJ5" s="199"/>
      <c r="CK5" s="199"/>
      <c r="CL5" s="199"/>
      <c r="CM5" s="4"/>
      <c r="CN5" s="4"/>
      <c r="CO5" s="5"/>
      <c r="CP5" s="4"/>
      <c r="CQ5" s="4"/>
      <c r="CR5" s="4"/>
      <c r="CT5" s="5" t="s">
        <v>13</v>
      </c>
      <c r="CU5" s="5"/>
      <c r="CV5" s="5"/>
      <c r="CW5" s="5"/>
      <c r="CX5" s="5"/>
      <c r="CY5" s="5" t="s">
        <v>26</v>
      </c>
      <c r="CZ5" s="5"/>
      <c r="DA5" s="5"/>
      <c r="DB5" s="5"/>
      <c r="DC5" s="5" t="s">
        <v>68</v>
      </c>
    </row>
    <row r="6" spans="1:107" s="6" customFormat="1" ht="7.5" customHeight="1" thickBot="1" x14ac:dyDescent="0.3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20"/>
      <c r="CE6" s="201"/>
      <c r="CF6" s="199"/>
      <c r="CG6" s="199"/>
      <c r="CH6" s="199"/>
      <c r="CI6" s="200"/>
      <c r="CJ6" s="199"/>
      <c r="CK6" s="199"/>
      <c r="CL6" s="199"/>
      <c r="CM6" s="4"/>
      <c r="CN6" s="4"/>
      <c r="CO6" s="5"/>
      <c r="CP6" s="4"/>
      <c r="CQ6" s="4"/>
      <c r="CR6" s="4"/>
      <c r="CT6" s="5" t="s">
        <v>14</v>
      </c>
      <c r="CU6" s="5"/>
      <c r="CV6" s="5"/>
      <c r="CW6" s="5"/>
      <c r="CX6" s="5"/>
      <c r="CY6" s="5" t="s">
        <v>25</v>
      </c>
      <c r="CZ6" s="5"/>
      <c r="DA6" s="5"/>
      <c r="DB6" s="5"/>
      <c r="DC6" s="5" t="s">
        <v>69</v>
      </c>
    </row>
    <row r="7" spans="1:107" s="6" customFormat="1" ht="18" customHeight="1" thickBot="1" x14ac:dyDescent="0.3">
      <c r="A7" s="5">
        <f>D7</f>
        <v>0</v>
      </c>
      <c r="B7" s="178" t="s">
        <v>9</v>
      </c>
      <c r="C7" s="179"/>
      <c r="D7" s="176"/>
      <c r="E7" s="176"/>
      <c r="F7" s="177"/>
      <c r="G7" s="4"/>
      <c r="H7" s="25" t="s">
        <v>44</v>
      </c>
      <c r="I7" s="7"/>
      <c r="J7" s="27"/>
      <c r="K7" s="28" t="s">
        <v>58</v>
      </c>
      <c r="L7" s="33"/>
      <c r="M7" s="34"/>
      <c r="N7" s="180"/>
      <c r="O7" s="181"/>
      <c r="P7" s="5">
        <f>N7</f>
        <v>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20"/>
      <c r="CE7" s="201"/>
      <c r="CF7" s="199"/>
      <c r="CG7" s="199"/>
      <c r="CH7" s="199"/>
      <c r="CI7" s="200"/>
      <c r="CJ7" s="199"/>
      <c r="CK7" s="199"/>
      <c r="CL7" s="199"/>
      <c r="CM7" s="4"/>
      <c r="CN7" s="4"/>
      <c r="CO7" s="5"/>
      <c r="CP7" s="4"/>
      <c r="CQ7" s="4"/>
      <c r="CR7" s="4"/>
      <c r="CT7" s="5" t="s">
        <v>15</v>
      </c>
      <c r="CU7" s="5"/>
      <c r="CV7" s="5"/>
      <c r="CW7" s="5"/>
      <c r="CX7" s="5"/>
      <c r="CY7" s="5" t="s">
        <v>22</v>
      </c>
      <c r="CZ7" s="5"/>
      <c r="DA7" s="5"/>
      <c r="DB7" s="5"/>
      <c r="DC7" s="5" t="s">
        <v>70</v>
      </c>
    </row>
    <row r="8" spans="1:107" s="6" customFormat="1" ht="7.5" customHeight="1" thickBot="1" x14ac:dyDescent="0.3">
      <c r="A8" s="4"/>
      <c r="B8" s="4"/>
      <c r="C8" s="4"/>
      <c r="D8" s="4"/>
      <c r="E8" s="4"/>
      <c r="F8" s="4"/>
      <c r="G8" s="4"/>
      <c r="H8" s="29"/>
      <c r="I8" s="27"/>
      <c r="J8" s="27"/>
      <c r="K8" s="27"/>
      <c r="L8" s="27"/>
      <c r="M8" s="27"/>
      <c r="N8" s="27"/>
      <c r="O8" s="27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5"/>
      <c r="CP8" s="4"/>
      <c r="CQ8" s="4"/>
      <c r="CR8" s="4"/>
      <c r="CT8" s="5" t="s">
        <v>16</v>
      </c>
      <c r="CU8" s="5"/>
      <c r="CV8" s="5"/>
      <c r="CW8" s="5"/>
      <c r="CX8" s="5"/>
      <c r="CY8" s="5" t="s">
        <v>21</v>
      </c>
      <c r="CZ8" s="5"/>
      <c r="DA8" s="5"/>
      <c r="DB8" s="5"/>
      <c r="DC8" s="5" t="s">
        <v>71</v>
      </c>
    </row>
    <row r="9" spans="1:107" s="6" customFormat="1" ht="15" customHeight="1" x14ac:dyDescent="0.25">
      <c r="A9" s="4"/>
      <c r="B9" s="111" t="s">
        <v>60</v>
      </c>
      <c r="C9" s="112"/>
      <c r="D9" s="113"/>
      <c r="E9" s="117" t="s">
        <v>23</v>
      </c>
      <c r="F9" s="118"/>
      <c r="G9" s="118"/>
      <c r="H9" s="118"/>
      <c r="I9" s="118"/>
      <c r="J9" s="118"/>
      <c r="K9" s="118"/>
      <c r="L9" s="119"/>
      <c r="M9" s="27"/>
      <c r="N9" s="27"/>
      <c r="O9" s="27"/>
      <c r="P9" s="27"/>
      <c r="Q9" s="4"/>
      <c r="R9" s="4"/>
      <c r="S9" s="104" t="s">
        <v>126</v>
      </c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4"/>
      <c r="CA9" s="4"/>
      <c r="CB9" s="4"/>
      <c r="CC9" s="4"/>
      <c r="CD9" s="104" t="s">
        <v>122</v>
      </c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4"/>
      <c r="CT9" s="5" t="s">
        <v>54</v>
      </c>
      <c r="CU9" s="5"/>
      <c r="CV9" s="5"/>
      <c r="CW9" s="5"/>
      <c r="CX9" s="5"/>
      <c r="CY9" s="5" t="s">
        <v>20</v>
      </c>
      <c r="CZ9" s="5"/>
      <c r="DA9" s="5"/>
      <c r="DB9" s="5"/>
      <c r="DC9" s="5" t="s">
        <v>72</v>
      </c>
    </row>
    <row r="10" spans="1:107" s="6" customFormat="1" ht="7.5" customHeight="1" thickBot="1" x14ac:dyDescent="0.3">
      <c r="A10" s="4"/>
      <c r="B10" s="114"/>
      <c r="C10" s="115"/>
      <c r="D10" s="116"/>
      <c r="E10" s="120"/>
      <c r="F10" s="121"/>
      <c r="G10" s="121"/>
      <c r="H10" s="121"/>
      <c r="I10" s="121"/>
      <c r="J10" s="121"/>
      <c r="K10" s="121"/>
      <c r="L10" s="122"/>
      <c r="M10" s="27"/>
      <c r="N10" s="27"/>
      <c r="O10" s="27"/>
      <c r="P10" s="27"/>
      <c r="Q10" s="4"/>
      <c r="R10" s="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4"/>
      <c r="CA10" s="4"/>
      <c r="CB10" s="4"/>
      <c r="CC10" s="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4"/>
      <c r="CT10" s="5" t="s">
        <v>55</v>
      </c>
      <c r="CU10" s="5"/>
      <c r="CV10" s="5"/>
      <c r="CW10" s="5"/>
      <c r="CX10" s="5"/>
      <c r="CY10" s="5"/>
      <c r="CZ10" s="5"/>
      <c r="DA10" s="5"/>
      <c r="DB10" s="5"/>
      <c r="DC10" s="5" t="s">
        <v>73</v>
      </c>
    </row>
    <row r="11" spans="1:107" s="6" customFormat="1" ht="15" customHeight="1" thickBot="1" x14ac:dyDescent="0.3">
      <c r="A11" s="4"/>
      <c r="G11" s="4"/>
      <c r="H11" s="29"/>
      <c r="I11" s="27"/>
      <c r="J11" s="27"/>
      <c r="K11" s="27"/>
      <c r="L11" s="27"/>
      <c r="M11" s="27"/>
      <c r="N11" s="27"/>
      <c r="O11" s="27"/>
      <c r="P11" s="27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R11" s="4"/>
      <c r="CT11" s="5" t="s">
        <v>56</v>
      </c>
      <c r="CU11" s="5"/>
      <c r="CV11" s="5"/>
      <c r="CW11" s="5"/>
      <c r="CX11" s="5"/>
      <c r="CY11" s="5"/>
      <c r="CZ11" s="5"/>
      <c r="DA11" s="5"/>
      <c r="DB11" s="5"/>
      <c r="DC11" s="5" t="s">
        <v>74</v>
      </c>
    </row>
    <row r="12" spans="1:107" s="6" customFormat="1" ht="15" customHeight="1" thickTop="1" thickBot="1" x14ac:dyDescent="0.3">
      <c r="A12" s="4"/>
      <c r="B12" s="174" t="s">
        <v>28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4"/>
      <c r="R12" s="4"/>
      <c r="S12" s="134" t="s">
        <v>30</v>
      </c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6"/>
      <c r="BZ12" s="35"/>
      <c r="CA12" s="35"/>
      <c r="CB12" s="35"/>
      <c r="CC12" s="36"/>
      <c r="CD12" s="101" t="s">
        <v>17</v>
      </c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3"/>
      <c r="CR12" s="4"/>
      <c r="CT12" s="5"/>
      <c r="CU12" s="5"/>
      <c r="CV12" s="5"/>
      <c r="CW12" s="5"/>
      <c r="CX12" s="5"/>
      <c r="CY12" s="5"/>
      <c r="CZ12" s="5"/>
      <c r="DA12" s="5"/>
      <c r="DB12" s="5"/>
      <c r="DC12" s="5" t="s">
        <v>75</v>
      </c>
    </row>
    <row r="13" spans="1:107" s="6" customFormat="1" ht="15" customHeight="1" thickTop="1" thickBot="1" x14ac:dyDescent="0.3">
      <c r="A13" s="4"/>
      <c r="B13" s="165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7"/>
      <c r="Q13" s="4"/>
      <c r="R13" s="4"/>
      <c r="S13" s="185" t="s">
        <v>121</v>
      </c>
      <c r="T13" s="186"/>
      <c r="U13" s="186"/>
      <c r="V13" s="186"/>
      <c r="W13" s="186"/>
      <c r="X13" s="186"/>
      <c r="Y13" s="186"/>
      <c r="Z13" s="186"/>
      <c r="AA13" s="186"/>
      <c r="AB13" s="186"/>
      <c r="AC13" s="187"/>
      <c r="AD13" s="191">
        <v>1</v>
      </c>
      <c r="AE13" s="192"/>
      <c r="AF13" s="192"/>
      <c r="AG13" s="193"/>
      <c r="AH13" s="191">
        <v>2</v>
      </c>
      <c r="AI13" s="192"/>
      <c r="AJ13" s="192"/>
      <c r="AK13" s="193"/>
      <c r="AL13" s="191">
        <v>3</v>
      </c>
      <c r="AM13" s="192"/>
      <c r="AN13" s="192"/>
      <c r="AO13" s="193"/>
      <c r="AP13" s="191">
        <v>4</v>
      </c>
      <c r="AQ13" s="192"/>
      <c r="AR13" s="192"/>
      <c r="AS13" s="193"/>
      <c r="AT13" s="191">
        <v>5</v>
      </c>
      <c r="AU13" s="192"/>
      <c r="AV13" s="192"/>
      <c r="AW13" s="193"/>
      <c r="AX13" s="191">
        <v>6</v>
      </c>
      <c r="AY13" s="192"/>
      <c r="AZ13" s="192"/>
      <c r="BA13" s="193"/>
      <c r="BB13" s="191">
        <v>7</v>
      </c>
      <c r="BC13" s="192"/>
      <c r="BD13" s="192"/>
      <c r="BE13" s="193"/>
      <c r="BF13" s="191">
        <v>8</v>
      </c>
      <c r="BG13" s="192"/>
      <c r="BH13" s="192"/>
      <c r="BI13" s="193"/>
      <c r="BJ13" s="191">
        <v>9</v>
      </c>
      <c r="BK13" s="192"/>
      <c r="BL13" s="192"/>
      <c r="BM13" s="193"/>
      <c r="BN13" s="191">
        <v>10</v>
      </c>
      <c r="BO13" s="192"/>
      <c r="BP13" s="192"/>
      <c r="BQ13" s="193"/>
      <c r="BR13" s="191">
        <v>11</v>
      </c>
      <c r="BS13" s="192"/>
      <c r="BT13" s="192"/>
      <c r="BU13" s="193"/>
      <c r="BV13" s="191">
        <v>12</v>
      </c>
      <c r="BW13" s="192"/>
      <c r="BX13" s="192"/>
      <c r="BY13" s="193"/>
      <c r="BZ13" s="4"/>
      <c r="CA13" s="4"/>
      <c r="CB13" s="4"/>
      <c r="CC13" s="4"/>
      <c r="CD13" s="8"/>
      <c r="CE13" s="9" t="s">
        <v>27</v>
      </c>
      <c r="CF13" s="10" t="str">
        <f>AD14</f>
        <v>JAN</v>
      </c>
      <c r="CG13" s="10" t="str">
        <f>AH14</f>
        <v>FEV</v>
      </c>
      <c r="CH13" s="10" t="str">
        <f>AL14</f>
        <v>MAR</v>
      </c>
      <c r="CI13" s="10" t="str">
        <f>AP14</f>
        <v>ABR</v>
      </c>
      <c r="CJ13" s="10" t="str">
        <f>AT14</f>
        <v>MAI</v>
      </c>
      <c r="CK13" s="10" t="str">
        <f>AX14</f>
        <v>JUN</v>
      </c>
      <c r="CL13" s="10" t="str">
        <f>BB14</f>
        <v>JUL</v>
      </c>
      <c r="CM13" s="10" t="str">
        <f>BF14</f>
        <v>AGO</v>
      </c>
      <c r="CN13" s="10" t="str">
        <f>BJ14</f>
        <v>SET</v>
      </c>
      <c r="CO13" s="10" t="str">
        <f>BN14</f>
        <v>OUT</v>
      </c>
      <c r="CP13" s="10" t="str">
        <f>BR14</f>
        <v>NOV</v>
      </c>
      <c r="CQ13" s="10" t="str">
        <f>BV14</f>
        <v>DEZ</v>
      </c>
      <c r="CR13" s="4"/>
      <c r="CT13" s="5"/>
      <c r="CU13" s="5"/>
      <c r="CV13" s="5"/>
      <c r="CW13" s="5"/>
      <c r="CX13" s="5"/>
      <c r="CY13" s="5"/>
      <c r="CZ13" s="5"/>
      <c r="DA13" s="5"/>
      <c r="DB13" s="5"/>
      <c r="DC13" s="5" t="s">
        <v>76</v>
      </c>
    </row>
    <row r="14" spans="1:107" s="6" customFormat="1" ht="15" customHeight="1" thickTop="1" thickBot="1" x14ac:dyDescent="0.3">
      <c r="A14" s="4"/>
      <c r="B14" s="168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70"/>
      <c r="Q14" s="4"/>
      <c r="R14" s="4"/>
      <c r="S14" s="188"/>
      <c r="T14" s="189"/>
      <c r="U14" s="189"/>
      <c r="V14" s="189"/>
      <c r="W14" s="189"/>
      <c r="X14" s="189"/>
      <c r="Y14" s="189"/>
      <c r="Z14" s="189"/>
      <c r="AA14" s="189"/>
      <c r="AB14" s="189"/>
      <c r="AC14" s="190"/>
      <c r="AD14" s="194" t="s">
        <v>109</v>
      </c>
      <c r="AE14" s="195"/>
      <c r="AF14" s="195"/>
      <c r="AG14" s="196"/>
      <c r="AH14" s="194" t="s">
        <v>110</v>
      </c>
      <c r="AI14" s="195"/>
      <c r="AJ14" s="195"/>
      <c r="AK14" s="196"/>
      <c r="AL14" s="194" t="s">
        <v>111</v>
      </c>
      <c r="AM14" s="195"/>
      <c r="AN14" s="195"/>
      <c r="AO14" s="196"/>
      <c r="AP14" s="194" t="s">
        <v>112</v>
      </c>
      <c r="AQ14" s="195"/>
      <c r="AR14" s="195"/>
      <c r="AS14" s="196"/>
      <c r="AT14" s="194" t="s">
        <v>113</v>
      </c>
      <c r="AU14" s="195"/>
      <c r="AV14" s="195"/>
      <c r="AW14" s="196"/>
      <c r="AX14" s="194" t="s">
        <v>114</v>
      </c>
      <c r="AY14" s="195"/>
      <c r="AZ14" s="195"/>
      <c r="BA14" s="196"/>
      <c r="BB14" s="194" t="s">
        <v>115</v>
      </c>
      <c r="BC14" s="195"/>
      <c r="BD14" s="195"/>
      <c r="BE14" s="196"/>
      <c r="BF14" s="194" t="s">
        <v>116</v>
      </c>
      <c r="BG14" s="195"/>
      <c r="BH14" s="195"/>
      <c r="BI14" s="196"/>
      <c r="BJ14" s="194" t="s">
        <v>117</v>
      </c>
      <c r="BK14" s="195"/>
      <c r="BL14" s="195"/>
      <c r="BM14" s="196"/>
      <c r="BN14" s="194" t="s">
        <v>118</v>
      </c>
      <c r="BO14" s="195"/>
      <c r="BP14" s="195"/>
      <c r="BQ14" s="196"/>
      <c r="BR14" s="194" t="s">
        <v>119</v>
      </c>
      <c r="BS14" s="195"/>
      <c r="BT14" s="195"/>
      <c r="BU14" s="196"/>
      <c r="BV14" s="194" t="s">
        <v>120</v>
      </c>
      <c r="BW14" s="195"/>
      <c r="BX14" s="195"/>
      <c r="BY14" s="196"/>
      <c r="BZ14" s="4"/>
      <c r="CA14" s="4"/>
      <c r="CB14" s="4"/>
      <c r="CC14" s="4"/>
      <c r="CD14" s="11" t="s">
        <v>29</v>
      </c>
      <c r="CE14" s="12">
        <f>SUM(CF14:CQ14)</f>
        <v>0</v>
      </c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4"/>
      <c r="CT14" s="5"/>
      <c r="CU14" s="5"/>
      <c r="CV14" s="5"/>
      <c r="CW14" s="5"/>
      <c r="CX14" s="5"/>
      <c r="CY14" s="5"/>
      <c r="CZ14" s="5"/>
      <c r="DA14" s="5"/>
      <c r="DB14" s="5"/>
      <c r="DC14" s="5" t="s">
        <v>77</v>
      </c>
    </row>
    <row r="15" spans="1:107" s="6" customFormat="1" ht="15" customHeight="1" thickTop="1" thickBot="1" x14ac:dyDescent="0.3">
      <c r="A15" s="4"/>
      <c r="B15" s="168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70"/>
      <c r="Q15" s="4"/>
      <c r="R15" s="4"/>
      <c r="S15" s="150"/>
      <c r="T15" s="151"/>
      <c r="U15" s="151"/>
      <c r="V15" s="151"/>
      <c r="W15" s="151"/>
      <c r="X15" s="151"/>
      <c r="Y15" s="151"/>
      <c r="Z15" s="151"/>
      <c r="AA15" s="151"/>
      <c r="AB15" s="151"/>
      <c r="AC15" s="152"/>
      <c r="AD15" s="144"/>
      <c r="AE15" s="141"/>
      <c r="AF15" s="141"/>
      <c r="AG15" s="105"/>
      <c r="AH15" s="144"/>
      <c r="AI15" s="141"/>
      <c r="AJ15" s="141"/>
      <c r="AK15" s="105"/>
      <c r="AL15" s="144"/>
      <c r="AM15" s="141"/>
      <c r="AN15" s="141"/>
      <c r="AO15" s="105"/>
      <c r="AP15" s="144"/>
      <c r="AQ15" s="141"/>
      <c r="AR15" s="141"/>
      <c r="AS15" s="105"/>
      <c r="AT15" s="144"/>
      <c r="AU15" s="141"/>
      <c r="AV15" s="141"/>
      <c r="AW15" s="105"/>
      <c r="AX15" s="144"/>
      <c r="AY15" s="141"/>
      <c r="AZ15" s="141"/>
      <c r="BA15" s="105"/>
      <c r="BB15" s="144"/>
      <c r="BC15" s="141"/>
      <c r="BD15" s="141"/>
      <c r="BE15" s="105"/>
      <c r="BF15" s="144"/>
      <c r="BG15" s="141"/>
      <c r="BH15" s="141"/>
      <c r="BI15" s="105"/>
      <c r="BJ15" s="144"/>
      <c r="BK15" s="141"/>
      <c r="BL15" s="141"/>
      <c r="BM15" s="105"/>
      <c r="BN15" s="144"/>
      <c r="BO15" s="141"/>
      <c r="BP15" s="141"/>
      <c r="BQ15" s="105"/>
      <c r="BR15" s="144"/>
      <c r="BS15" s="141"/>
      <c r="BT15" s="141"/>
      <c r="BU15" s="105"/>
      <c r="BV15" s="144"/>
      <c r="BW15" s="141"/>
      <c r="BX15" s="141"/>
      <c r="BY15" s="105"/>
      <c r="BZ15" s="4"/>
      <c r="CA15" s="4"/>
      <c r="CB15" s="4"/>
      <c r="CC15" s="4"/>
      <c r="CD15" s="13" t="s">
        <v>18</v>
      </c>
      <c r="CE15" s="12">
        <f>SUM(CF15:CQ15)</f>
        <v>0</v>
      </c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4"/>
      <c r="CT15" s="5"/>
      <c r="CU15" s="5"/>
      <c r="CV15" s="5"/>
      <c r="CW15" s="5"/>
      <c r="CX15" s="5"/>
      <c r="CY15" s="5"/>
      <c r="CZ15" s="5"/>
      <c r="DA15" s="5"/>
      <c r="DB15" s="5"/>
      <c r="DC15" s="5" t="s">
        <v>78</v>
      </c>
    </row>
    <row r="16" spans="1:107" s="6" customFormat="1" ht="15" customHeight="1" thickTop="1" thickBot="1" x14ac:dyDescent="0.3">
      <c r="A16" s="4"/>
      <c r="B16" s="171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3"/>
      <c r="Q16" s="4"/>
      <c r="R16" s="4"/>
      <c r="S16" s="153"/>
      <c r="T16" s="154"/>
      <c r="U16" s="154"/>
      <c r="V16" s="154"/>
      <c r="W16" s="154"/>
      <c r="X16" s="154"/>
      <c r="Y16" s="154"/>
      <c r="Z16" s="154"/>
      <c r="AA16" s="154"/>
      <c r="AB16" s="154"/>
      <c r="AC16" s="155"/>
      <c r="AD16" s="145"/>
      <c r="AE16" s="142"/>
      <c r="AF16" s="142"/>
      <c r="AG16" s="106"/>
      <c r="AH16" s="145"/>
      <c r="AI16" s="142"/>
      <c r="AJ16" s="142"/>
      <c r="AK16" s="106"/>
      <c r="AL16" s="145"/>
      <c r="AM16" s="142"/>
      <c r="AN16" s="142"/>
      <c r="AO16" s="106"/>
      <c r="AP16" s="145"/>
      <c r="AQ16" s="142"/>
      <c r="AR16" s="142"/>
      <c r="AS16" s="106"/>
      <c r="AT16" s="145"/>
      <c r="AU16" s="142"/>
      <c r="AV16" s="142"/>
      <c r="AW16" s="106"/>
      <c r="AX16" s="145"/>
      <c r="AY16" s="142"/>
      <c r="AZ16" s="142"/>
      <c r="BA16" s="106"/>
      <c r="BB16" s="145"/>
      <c r="BC16" s="142"/>
      <c r="BD16" s="142"/>
      <c r="BE16" s="106"/>
      <c r="BF16" s="145"/>
      <c r="BG16" s="142"/>
      <c r="BH16" s="142"/>
      <c r="BI16" s="106"/>
      <c r="BJ16" s="145"/>
      <c r="BK16" s="142"/>
      <c r="BL16" s="142"/>
      <c r="BM16" s="106"/>
      <c r="BN16" s="145"/>
      <c r="BO16" s="142"/>
      <c r="BP16" s="142"/>
      <c r="BQ16" s="106"/>
      <c r="BR16" s="145"/>
      <c r="BS16" s="142"/>
      <c r="BT16" s="142"/>
      <c r="BU16" s="106"/>
      <c r="BV16" s="145"/>
      <c r="BW16" s="142"/>
      <c r="BX16" s="142"/>
      <c r="BY16" s="106"/>
      <c r="BZ16" s="4"/>
      <c r="CA16" s="4"/>
      <c r="CB16" s="4"/>
      <c r="CC16" s="4"/>
      <c r="CD16" s="9" t="s">
        <v>19</v>
      </c>
      <c r="CE16" s="15" t="str">
        <f t="shared" ref="CE16" si="0">IFERROR(CE15/CE14,"-")</f>
        <v>-</v>
      </c>
      <c r="CF16" s="16" t="str">
        <f>IFERROR(CF15/CF14,"-")</f>
        <v>-</v>
      </c>
      <c r="CG16" s="16" t="str">
        <f t="shared" ref="CG16:CQ16" si="1">IFERROR(CG15/CG14,"-")</f>
        <v>-</v>
      </c>
      <c r="CH16" s="16" t="str">
        <f t="shared" si="1"/>
        <v>-</v>
      </c>
      <c r="CI16" s="16" t="str">
        <f t="shared" si="1"/>
        <v>-</v>
      </c>
      <c r="CJ16" s="16" t="str">
        <f t="shared" si="1"/>
        <v>-</v>
      </c>
      <c r="CK16" s="16" t="str">
        <f t="shared" si="1"/>
        <v>-</v>
      </c>
      <c r="CL16" s="16" t="str">
        <f t="shared" si="1"/>
        <v>-</v>
      </c>
      <c r="CM16" s="16" t="str">
        <f t="shared" si="1"/>
        <v>-</v>
      </c>
      <c r="CN16" s="16" t="str">
        <f t="shared" si="1"/>
        <v>-</v>
      </c>
      <c r="CO16" s="16" t="str">
        <f t="shared" si="1"/>
        <v>-</v>
      </c>
      <c r="CP16" s="16" t="str">
        <f t="shared" si="1"/>
        <v>-</v>
      </c>
      <c r="CQ16" s="16" t="str">
        <f t="shared" si="1"/>
        <v>-</v>
      </c>
      <c r="CR16" s="4"/>
      <c r="CT16" s="5"/>
      <c r="CU16" s="5"/>
      <c r="CV16" s="5"/>
      <c r="CW16" s="5"/>
      <c r="CX16" s="5"/>
      <c r="CY16" s="5"/>
      <c r="CZ16" s="5"/>
      <c r="DA16" s="5"/>
      <c r="DB16" s="5"/>
      <c r="DC16" s="5" t="s">
        <v>79</v>
      </c>
    </row>
    <row r="17" spans="1:107" s="6" customFormat="1" ht="15" customHeight="1" thickTop="1" thickBot="1" x14ac:dyDescent="0.3">
      <c r="A17" s="4"/>
      <c r="B17" s="174" t="s">
        <v>57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4"/>
      <c r="R17" s="4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8"/>
      <c r="AD17" s="146"/>
      <c r="AE17" s="143"/>
      <c r="AF17" s="143"/>
      <c r="AG17" s="107"/>
      <c r="AH17" s="146"/>
      <c r="AI17" s="143"/>
      <c r="AJ17" s="143"/>
      <c r="AK17" s="107"/>
      <c r="AL17" s="146"/>
      <c r="AM17" s="143"/>
      <c r="AN17" s="143"/>
      <c r="AO17" s="107"/>
      <c r="AP17" s="146"/>
      <c r="AQ17" s="143"/>
      <c r="AR17" s="143"/>
      <c r="AS17" s="107"/>
      <c r="AT17" s="146"/>
      <c r="AU17" s="143"/>
      <c r="AV17" s="143"/>
      <c r="AW17" s="107"/>
      <c r="AX17" s="146"/>
      <c r="AY17" s="143"/>
      <c r="AZ17" s="143"/>
      <c r="BA17" s="107"/>
      <c r="BB17" s="146"/>
      <c r="BC17" s="143"/>
      <c r="BD17" s="143"/>
      <c r="BE17" s="107"/>
      <c r="BF17" s="146"/>
      <c r="BG17" s="143"/>
      <c r="BH17" s="143"/>
      <c r="BI17" s="107"/>
      <c r="BJ17" s="146"/>
      <c r="BK17" s="143"/>
      <c r="BL17" s="143"/>
      <c r="BM17" s="107"/>
      <c r="BN17" s="146"/>
      <c r="BO17" s="143"/>
      <c r="BP17" s="143"/>
      <c r="BQ17" s="107"/>
      <c r="BR17" s="146"/>
      <c r="BS17" s="143"/>
      <c r="BT17" s="143"/>
      <c r="BU17" s="107"/>
      <c r="BV17" s="146"/>
      <c r="BW17" s="143"/>
      <c r="BX17" s="143"/>
      <c r="BY17" s="107"/>
      <c r="BZ17" s="4"/>
      <c r="CA17" s="4"/>
      <c r="CB17" s="4"/>
      <c r="CC17" s="4"/>
      <c r="CD17" s="101" t="s">
        <v>104</v>
      </c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3"/>
      <c r="CR17" s="4"/>
      <c r="CT17" s="5"/>
      <c r="CU17" s="5"/>
      <c r="CV17" s="5"/>
      <c r="CW17" s="5"/>
      <c r="CX17" s="5"/>
      <c r="CY17" s="5"/>
      <c r="CZ17" s="5"/>
      <c r="DA17" s="5"/>
      <c r="DB17" s="5"/>
      <c r="DC17" s="5" t="s">
        <v>80</v>
      </c>
    </row>
    <row r="18" spans="1:107" s="6" customFormat="1" ht="15" customHeight="1" thickTop="1" thickBot="1" x14ac:dyDescent="0.3">
      <c r="A18" s="4"/>
      <c r="B18" s="165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7"/>
      <c r="Q18" s="4"/>
      <c r="R18" s="4"/>
      <c r="S18" s="150"/>
      <c r="T18" s="151"/>
      <c r="U18" s="151"/>
      <c r="V18" s="151"/>
      <c r="W18" s="151"/>
      <c r="X18" s="151"/>
      <c r="Y18" s="151"/>
      <c r="Z18" s="151"/>
      <c r="AA18" s="151"/>
      <c r="AB18" s="151"/>
      <c r="AC18" s="152"/>
      <c r="AD18" s="144"/>
      <c r="AE18" s="141"/>
      <c r="AF18" s="141"/>
      <c r="AG18" s="105"/>
      <c r="AH18" s="144"/>
      <c r="AI18" s="141"/>
      <c r="AJ18" s="141"/>
      <c r="AK18" s="105"/>
      <c r="AL18" s="144"/>
      <c r="AM18" s="141"/>
      <c r="AN18" s="141"/>
      <c r="AO18" s="105"/>
      <c r="AP18" s="144"/>
      <c r="AQ18" s="141"/>
      <c r="AR18" s="141"/>
      <c r="AS18" s="105"/>
      <c r="AT18" s="144"/>
      <c r="AU18" s="141"/>
      <c r="AV18" s="141"/>
      <c r="AW18" s="105"/>
      <c r="AX18" s="144"/>
      <c r="AY18" s="141"/>
      <c r="AZ18" s="141"/>
      <c r="BA18" s="105"/>
      <c r="BB18" s="144"/>
      <c r="BC18" s="141"/>
      <c r="BD18" s="141"/>
      <c r="BE18" s="105"/>
      <c r="BF18" s="144"/>
      <c r="BG18" s="141"/>
      <c r="BH18" s="141"/>
      <c r="BI18" s="105"/>
      <c r="BJ18" s="144"/>
      <c r="BK18" s="141"/>
      <c r="BL18" s="141"/>
      <c r="BM18" s="105"/>
      <c r="BN18" s="144"/>
      <c r="BO18" s="141"/>
      <c r="BP18" s="141"/>
      <c r="BQ18" s="105"/>
      <c r="BR18" s="144"/>
      <c r="BS18" s="141"/>
      <c r="BT18" s="141"/>
      <c r="BU18" s="105"/>
      <c r="BV18" s="144"/>
      <c r="BW18" s="141"/>
      <c r="BX18" s="141"/>
      <c r="BY18" s="105"/>
      <c r="BZ18" s="4"/>
      <c r="CA18" s="4"/>
      <c r="CB18" s="4"/>
      <c r="CC18" s="4"/>
      <c r="CD18" s="8"/>
      <c r="CE18" s="9" t="s">
        <v>27</v>
      </c>
      <c r="CF18" s="10" t="str">
        <f>CF13</f>
        <v>JAN</v>
      </c>
      <c r="CG18" s="10" t="str">
        <f t="shared" ref="CG18:CQ18" si="2">CG13</f>
        <v>FEV</v>
      </c>
      <c r="CH18" s="10" t="str">
        <f t="shared" si="2"/>
        <v>MAR</v>
      </c>
      <c r="CI18" s="10" t="str">
        <f t="shared" si="2"/>
        <v>ABR</v>
      </c>
      <c r="CJ18" s="10" t="str">
        <f t="shared" si="2"/>
        <v>MAI</v>
      </c>
      <c r="CK18" s="10" t="str">
        <f t="shared" si="2"/>
        <v>JUN</v>
      </c>
      <c r="CL18" s="10" t="str">
        <f t="shared" si="2"/>
        <v>JUL</v>
      </c>
      <c r="CM18" s="10" t="str">
        <f t="shared" si="2"/>
        <v>AGO</v>
      </c>
      <c r="CN18" s="10" t="str">
        <f t="shared" si="2"/>
        <v>SET</v>
      </c>
      <c r="CO18" s="10" t="str">
        <f t="shared" si="2"/>
        <v>OUT</v>
      </c>
      <c r="CP18" s="10" t="str">
        <f t="shared" si="2"/>
        <v>NOV</v>
      </c>
      <c r="CQ18" s="10" t="str">
        <f t="shared" si="2"/>
        <v>DEZ</v>
      </c>
      <c r="CR18" s="4"/>
      <c r="CT18" s="5"/>
      <c r="CU18" s="5"/>
      <c r="CV18" s="5"/>
      <c r="CW18" s="5"/>
      <c r="CX18" s="5"/>
      <c r="CY18" s="5"/>
      <c r="CZ18" s="5"/>
      <c r="DA18" s="5"/>
      <c r="DB18" s="5"/>
      <c r="DC18" s="5" t="s">
        <v>81</v>
      </c>
    </row>
    <row r="19" spans="1:107" s="6" customFormat="1" ht="15" customHeight="1" thickTop="1" thickBot="1" x14ac:dyDescent="0.3">
      <c r="A19" s="4"/>
      <c r="B19" s="168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4"/>
      <c r="R19" s="4"/>
      <c r="S19" s="153"/>
      <c r="T19" s="154"/>
      <c r="U19" s="154"/>
      <c r="V19" s="154"/>
      <c r="W19" s="154"/>
      <c r="X19" s="154"/>
      <c r="Y19" s="154"/>
      <c r="Z19" s="154"/>
      <c r="AA19" s="154"/>
      <c r="AB19" s="154"/>
      <c r="AC19" s="155"/>
      <c r="AD19" s="145"/>
      <c r="AE19" s="142"/>
      <c r="AF19" s="142"/>
      <c r="AG19" s="106"/>
      <c r="AH19" s="145"/>
      <c r="AI19" s="142"/>
      <c r="AJ19" s="142"/>
      <c r="AK19" s="106"/>
      <c r="AL19" s="145"/>
      <c r="AM19" s="142"/>
      <c r="AN19" s="142"/>
      <c r="AO19" s="106"/>
      <c r="AP19" s="145"/>
      <c r="AQ19" s="142"/>
      <c r="AR19" s="142"/>
      <c r="AS19" s="106"/>
      <c r="AT19" s="145"/>
      <c r="AU19" s="142"/>
      <c r="AV19" s="142"/>
      <c r="AW19" s="106"/>
      <c r="AX19" s="145"/>
      <c r="AY19" s="142"/>
      <c r="AZ19" s="142"/>
      <c r="BA19" s="106"/>
      <c r="BB19" s="145"/>
      <c r="BC19" s="142"/>
      <c r="BD19" s="142"/>
      <c r="BE19" s="106"/>
      <c r="BF19" s="145"/>
      <c r="BG19" s="142"/>
      <c r="BH19" s="142"/>
      <c r="BI19" s="106"/>
      <c r="BJ19" s="145"/>
      <c r="BK19" s="142"/>
      <c r="BL19" s="142"/>
      <c r="BM19" s="106"/>
      <c r="BN19" s="145"/>
      <c r="BO19" s="142"/>
      <c r="BP19" s="142"/>
      <c r="BQ19" s="106"/>
      <c r="BR19" s="145"/>
      <c r="BS19" s="142"/>
      <c r="BT19" s="142"/>
      <c r="BU19" s="106"/>
      <c r="BV19" s="145"/>
      <c r="BW19" s="142"/>
      <c r="BX19" s="142"/>
      <c r="BY19" s="106"/>
      <c r="BZ19" s="4"/>
      <c r="CA19" s="4"/>
      <c r="CB19" s="4"/>
      <c r="CC19" s="4"/>
      <c r="CD19" s="11" t="s">
        <v>29</v>
      </c>
      <c r="CE19" s="12">
        <f>SUM(CF19:CQ19)</f>
        <v>0</v>
      </c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4"/>
      <c r="CT19" s="5"/>
      <c r="CU19" s="5"/>
      <c r="CV19" s="5"/>
      <c r="CW19" s="5"/>
      <c r="CX19" s="5"/>
      <c r="CY19" s="5"/>
      <c r="CZ19" s="5"/>
      <c r="DA19" s="5"/>
      <c r="DB19" s="5"/>
      <c r="DC19" s="5" t="s">
        <v>82</v>
      </c>
    </row>
    <row r="20" spans="1:107" s="6" customFormat="1" ht="15" customHeight="1" thickTop="1" thickBot="1" x14ac:dyDescent="0.3">
      <c r="A20" s="4"/>
      <c r="B20" s="168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70"/>
      <c r="Q20" s="4"/>
      <c r="R20" s="4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8"/>
      <c r="AD20" s="146"/>
      <c r="AE20" s="143"/>
      <c r="AF20" s="143"/>
      <c r="AG20" s="107"/>
      <c r="AH20" s="146"/>
      <c r="AI20" s="143"/>
      <c r="AJ20" s="143"/>
      <c r="AK20" s="107"/>
      <c r="AL20" s="146"/>
      <c r="AM20" s="143"/>
      <c r="AN20" s="143"/>
      <c r="AO20" s="107"/>
      <c r="AP20" s="146"/>
      <c r="AQ20" s="143"/>
      <c r="AR20" s="143"/>
      <c r="AS20" s="107"/>
      <c r="AT20" s="146"/>
      <c r="AU20" s="143"/>
      <c r="AV20" s="143"/>
      <c r="AW20" s="107"/>
      <c r="AX20" s="146"/>
      <c r="AY20" s="143"/>
      <c r="AZ20" s="143"/>
      <c r="BA20" s="107"/>
      <c r="BB20" s="146"/>
      <c r="BC20" s="143"/>
      <c r="BD20" s="143"/>
      <c r="BE20" s="107"/>
      <c r="BF20" s="146"/>
      <c r="BG20" s="143"/>
      <c r="BH20" s="143"/>
      <c r="BI20" s="107"/>
      <c r="BJ20" s="146"/>
      <c r="BK20" s="143"/>
      <c r="BL20" s="143"/>
      <c r="BM20" s="107"/>
      <c r="BN20" s="146"/>
      <c r="BO20" s="143"/>
      <c r="BP20" s="143"/>
      <c r="BQ20" s="107"/>
      <c r="BR20" s="146"/>
      <c r="BS20" s="143"/>
      <c r="BT20" s="143"/>
      <c r="BU20" s="107"/>
      <c r="BV20" s="146"/>
      <c r="BW20" s="143"/>
      <c r="BX20" s="143"/>
      <c r="BY20" s="107"/>
      <c r="BZ20" s="4"/>
      <c r="CA20" s="4"/>
      <c r="CB20" s="4"/>
      <c r="CC20" s="4"/>
      <c r="CD20" s="13" t="s">
        <v>18</v>
      </c>
      <c r="CE20" s="12">
        <f>SUM(CF20:CQ20)</f>
        <v>0</v>
      </c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4"/>
      <c r="CT20" s="5"/>
      <c r="CU20" s="5"/>
      <c r="CV20" s="5"/>
      <c r="CW20" s="5"/>
      <c r="CX20" s="5"/>
      <c r="CY20" s="5"/>
      <c r="CZ20" s="5"/>
      <c r="DA20" s="5"/>
      <c r="DB20" s="5"/>
      <c r="DC20" s="5" t="s">
        <v>83</v>
      </c>
    </row>
    <row r="21" spans="1:107" s="6" customFormat="1" ht="15" customHeight="1" thickTop="1" thickBot="1" x14ac:dyDescent="0.3">
      <c r="A21" s="4"/>
      <c r="B21" s="171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4"/>
      <c r="R21" s="4"/>
      <c r="S21" s="150"/>
      <c r="T21" s="151"/>
      <c r="U21" s="151"/>
      <c r="V21" s="151"/>
      <c r="W21" s="151"/>
      <c r="X21" s="151"/>
      <c r="Y21" s="151"/>
      <c r="Z21" s="151"/>
      <c r="AA21" s="151"/>
      <c r="AB21" s="151"/>
      <c r="AC21" s="152"/>
      <c r="AD21" s="144"/>
      <c r="AE21" s="141"/>
      <c r="AF21" s="141"/>
      <c r="AG21" s="105"/>
      <c r="AH21" s="144"/>
      <c r="AI21" s="141"/>
      <c r="AJ21" s="141"/>
      <c r="AK21" s="105"/>
      <c r="AL21" s="144"/>
      <c r="AM21" s="141"/>
      <c r="AN21" s="141"/>
      <c r="AO21" s="105"/>
      <c r="AP21" s="144"/>
      <c r="AQ21" s="141"/>
      <c r="AR21" s="141"/>
      <c r="AS21" s="105"/>
      <c r="AT21" s="144"/>
      <c r="AU21" s="141"/>
      <c r="AV21" s="141"/>
      <c r="AW21" s="105"/>
      <c r="AX21" s="144"/>
      <c r="AY21" s="141"/>
      <c r="AZ21" s="141"/>
      <c r="BA21" s="105"/>
      <c r="BB21" s="144"/>
      <c r="BC21" s="141"/>
      <c r="BD21" s="141"/>
      <c r="BE21" s="105"/>
      <c r="BF21" s="144"/>
      <c r="BG21" s="141"/>
      <c r="BH21" s="141"/>
      <c r="BI21" s="105"/>
      <c r="BJ21" s="144"/>
      <c r="BK21" s="141"/>
      <c r="BL21" s="141"/>
      <c r="BM21" s="105"/>
      <c r="BN21" s="144"/>
      <c r="BO21" s="141"/>
      <c r="BP21" s="141"/>
      <c r="BQ21" s="105"/>
      <c r="BR21" s="144"/>
      <c r="BS21" s="141"/>
      <c r="BT21" s="141"/>
      <c r="BU21" s="105"/>
      <c r="BV21" s="144"/>
      <c r="BW21" s="141"/>
      <c r="BX21" s="141"/>
      <c r="BY21" s="105"/>
      <c r="BZ21" s="4"/>
      <c r="CA21" s="4"/>
      <c r="CB21" s="4"/>
      <c r="CC21" s="4"/>
      <c r="CD21" s="9" t="s">
        <v>19</v>
      </c>
      <c r="CE21" s="15" t="str">
        <f t="shared" ref="CE21" si="3">IFERROR(CE20/CE19,"-")</f>
        <v>-</v>
      </c>
      <c r="CF21" s="16" t="str">
        <f>IFERROR(CF20/CF19,"-")</f>
        <v>-</v>
      </c>
      <c r="CG21" s="16" t="str">
        <f t="shared" ref="CG21:CQ21" si="4">IFERROR(CG20/CG19,"-")</f>
        <v>-</v>
      </c>
      <c r="CH21" s="16" t="str">
        <f t="shared" si="4"/>
        <v>-</v>
      </c>
      <c r="CI21" s="16" t="str">
        <f t="shared" si="4"/>
        <v>-</v>
      </c>
      <c r="CJ21" s="16" t="str">
        <f t="shared" si="4"/>
        <v>-</v>
      </c>
      <c r="CK21" s="16" t="str">
        <f t="shared" si="4"/>
        <v>-</v>
      </c>
      <c r="CL21" s="16" t="str">
        <f t="shared" si="4"/>
        <v>-</v>
      </c>
      <c r="CM21" s="16" t="str">
        <f t="shared" si="4"/>
        <v>-</v>
      </c>
      <c r="CN21" s="16" t="str">
        <f t="shared" si="4"/>
        <v>-</v>
      </c>
      <c r="CO21" s="16" t="str">
        <f t="shared" si="4"/>
        <v>-</v>
      </c>
      <c r="CP21" s="16" t="str">
        <f t="shared" si="4"/>
        <v>-</v>
      </c>
      <c r="CQ21" s="16" t="str">
        <f t="shared" si="4"/>
        <v>-</v>
      </c>
      <c r="CR21" s="4"/>
      <c r="CT21" s="5"/>
      <c r="CU21" s="5"/>
      <c r="CV21" s="5"/>
      <c r="CW21" s="5"/>
      <c r="CX21" s="5"/>
      <c r="CY21" s="5"/>
      <c r="CZ21" s="5"/>
      <c r="DA21" s="5"/>
      <c r="DB21" s="5"/>
      <c r="DC21" s="5" t="s">
        <v>84</v>
      </c>
    </row>
    <row r="22" spans="1:107" s="6" customFormat="1" ht="15" customHeight="1" thickBot="1" x14ac:dyDescent="0.3">
      <c r="A22" s="4"/>
      <c r="B22" s="174" t="s">
        <v>4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4"/>
      <c r="R22" s="4"/>
      <c r="S22" s="153"/>
      <c r="T22" s="154"/>
      <c r="U22" s="154"/>
      <c r="V22" s="154"/>
      <c r="W22" s="154"/>
      <c r="X22" s="154"/>
      <c r="Y22" s="154"/>
      <c r="Z22" s="154"/>
      <c r="AA22" s="154"/>
      <c r="AB22" s="154"/>
      <c r="AC22" s="155"/>
      <c r="AD22" s="145"/>
      <c r="AE22" s="142"/>
      <c r="AF22" s="142"/>
      <c r="AG22" s="106"/>
      <c r="AH22" s="145"/>
      <c r="AI22" s="142"/>
      <c r="AJ22" s="142"/>
      <c r="AK22" s="106"/>
      <c r="AL22" s="145"/>
      <c r="AM22" s="142"/>
      <c r="AN22" s="142"/>
      <c r="AO22" s="106"/>
      <c r="AP22" s="145"/>
      <c r="AQ22" s="142"/>
      <c r="AR22" s="142"/>
      <c r="AS22" s="106"/>
      <c r="AT22" s="145"/>
      <c r="AU22" s="142"/>
      <c r="AV22" s="142"/>
      <c r="AW22" s="106"/>
      <c r="AX22" s="145"/>
      <c r="AY22" s="142"/>
      <c r="AZ22" s="142"/>
      <c r="BA22" s="106"/>
      <c r="BB22" s="145"/>
      <c r="BC22" s="142"/>
      <c r="BD22" s="142"/>
      <c r="BE22" s="106"/>
      <c r="BF22" s="145"/>
      <c r="BG22" s="142"/>
      <c r="BH22" s="142"/>
      <c r="BI22" s="106"/>
      <c r="BJ22" s="145"/>
      <c r="BK22" s="142"/>
      <c r="BL22" s="142"/>
      <c r="BM22" s="106"/>
      <c r="BN22" s="145"/>
      <c r="BO22" s="142"/>
      <c r="BP22" s="142"/>
      <c r="BQ22" s="106"/>
      <c r="BR22" s="145"/>
      <c r="BS22" s="142"/>
      <c r="BT22" s="142"/>
      <c r="BU22" s="106"/>
      <c r="BV22" s="145"/>
      <c r="BW22" s="142"/>
      <c r="BX22" s="142"/>
      <c r="BY22" s="106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5"/>
      <c r="CP22" s="4"/>
      <c r="CQ22" s="4"/>
      <c r="CR22" s="4"/>
      <c r="CT22" s="5"/>
      <c r="CU22" s="5"/>
      <c r="CV22" s="5"/>
      <c r="CW22" s="5"/>
      <c r="CX22" s="5"/>
      <c r="CY22" s="5"/>
      <c r="CZ22" s="5"/>
      <c r="DA22" s="5"/>
      <c r="DB22" s="5"/>
      <c r="DC22" s="5" t="s">
        <v>85</v>
      </c>
    </row>
    <row r="23" spans="1:107" s="6" customFormat="1" ht="15" customHeight="1" thickBot="1" x14ac:dyDescent="0.3">
      <c r="A23" s="4"/>
      <c r="B23" s="165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7"/>
      <c r="Q23" s="4"/>
      <c r="R23" s="4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8"/>
      <c r="AD23" s="146"/>
      <c r="AE23" s="143"/>
      <c r="AF23" s="143"/>
      <c r="AG23" s="107"/>
      <c r="AH23" s="146"/>
      <c r="AI23" s="143"/>
      <c r="AJ23" s="143"/>
      <c r="AK23" s="107"/>
      <c r="AL23" s="146"/>
      <c r="AM23" s="143"/>
      <c r="AN23" s="143"/>
      <c r="AO23" s="107"/>
      <c r="AP23" s="146"/>
      <c r="AQ23" s="143"/>
      <c r="AR23" s="143"/>
      <c r="AS23" s="107"/>
      <c r="AT23" s="146"/>
      <c r="AU23" s="143"/>
      <c r="AV23" s="143"/>
      <c r="AW23" s="107"/>
      <c r="AX23" s="146"/>
      <c r="AY23" s="143"/>
      <c r="AZ23" s="143"/>
      <c r="BA23" s="107"/>
      <c r="BB23" s="146"/>
      <c r="BC23" s="143"/>
      <c r="BD23" s="143"/>
      <c r="BE23" s="107"/>
      <c r="BF23" s="146"/>
      <c r="BG23" s="143"/>
      <c r="BH23" s="143"/>
      <c r="BI23" s="107"/>
      <c r="BJ23" s="146"/>
      <c r="BK23" s="143"/>
      <c r="BL23" s="143"/>
      <c r="BM23" s="107"/>
      <c r="BN23" s="146"/>
      <c r="BO23" s="143"/>
      <c r="BP23" s="143"/>
      <c r="BQ23" s="107"/>
      <c r="BR23" s="146"/>
      <c r="BS23" s="143"/>
      <c r="BT23" s="143"/>
      <c r="BU23" s="107"/>
      <c r="BV23" s="146"/>
      <c r="BW23" s="143"/>
      <c r="BX23" s="143"/>
      <c r="BY23" s="107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5"/>
      <c r="CP23" s="4"/>
      <c r="CQ23" s="4"/>
      <c r="CR23" s="4"/>
      <c r="CT23" s="5"/>
      <c r="CU23" s="5"/>
      <c r="CV23" s="5"/>
      <c r="CW23" s="5"/>
      <c r="CX23" s="5"/>
      <c r="CY23" s="5"/>
      <c r="CZ23" s="5"/>
      <c r="DA23" s="5"/>
      <c r="DB23" s="5"/>
      <c r="DC23" s="5" t="s">
        <v>86</v>
      </c>
    </row>
    <row r="24" spans="1:107" s="6" customFormat="1" ht="15" customHeight="1" thickTop="1" x14ac:dyDescent="0.25">
      <c r="A24" s="4"/>
      <c r="B24" s="168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70"/>
      <c r="Q24" s="4"/>
      <c r="R24" s="4"/>
      <c r="S24" s="150"/>
      <c r="T24" s="151"/>
      <c r="U24" s="151"/>
      <c r="V24" s="151"/>
      <c r="W24" s="151"/>
      <c r="X24" s="151"/>
      <c r="Y24" s="151"/>
      <c r="Z24" s="151"/>
      <c r="AA24" s="151"/>
      <c r="AB24" s="151"/>
      <c r="AC24" s="152"/>
      <c r="AD24" s="144"/>
      <c r="AE24" s="141"/>
      <c r="AF24" s="141"/>
      <c r="AG24" s="105"/>
      <c r="AH24" s="144"/>
      <c r="AI24" s="141"/>
      <c r="AJ24" s="141"/>
      <c r="AK24" s="105"/>
      <c r="AL24" s="144"/>
      <c r="AM24" s="141"/>
      <c r="AN24" s="141"/>
      <c r="AO24" s="105"/>
      <c r="AP24" s="144"/>
      <c r="AQ24" s="141"/>
      <c r="AR24" s="141"/>
      <c r="AS24" s="105"/>
      <c r="AT24" s="144"/>
      <c r="AU24" s="141"/>
      <c r="AV24" s="141"/>
      <c r="AW24" s="105"/>
      <c r="AX24" s="144"/>
      <c r="AY24" s="141"/>
      <c r="AZ24" s="141"/>
      <c r="BA24" s="105"/>
      <c r="BB24" s="144"/>
      <c r="BC24" s="141"/>
      <c r="BD24" s="141"/>
      <c r="BE24" s="105"/>
      <c r="BF24" s="144"/>
      <c r="BG24" s="141"/>
      <c r="BH24" s="141"/>
      <c r="BI24" s="105"/>
      <c r="BJ24" s="144"/>
      <c r="BK24" s="141"/>
      <c r="BL24" s="141"/>
      <c r="BM24" s="105"/>
      <c r="BN24" s="144"/>
      <c r="BO24" s="141"/>
      <c r="BP24" s="141"/>
      <c r="BQ24" s="105"/>
      <c r="BR24" s="144"/>
      <c r="BS24" s="141"/>
      <c r="BT24" s="141"/>
      <c r="BU24" s="105"/>
      <c r="BV24" s="144"/>
      <c r="BW24" s="141"/>
      <c r="BX24" s="141"/>
      <c r="BY24" s="105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5"/>
      <c r="CP24" s="4"/>
      <c r="CQ24" s="4"/>
      <c r="CR24" s="4"/>
      <c r="CT24" s="5"/>
      <c r="CU24" s="5"/>
      <c r="CV24" s="5"/>
      <c r="CW24" s="5"/>
      <c r="CX24" s="5"/>
      <c r="CY24" s="5"/>
      <c r="CZ24" s="5"/>
      <c r="DA24" s="5"/>
      <c r="DB24" s="5"/>
      <c r="DC24" s="5" t="s">
        <v>87</v>
      </c>
    </row>
    <row r="25" spans="1:107" s="6" customFormat="1" ht="15" customHeight="1" thickBot="1" x14ac:dyDescent="0.3">
      <c r="A25" s="4"/>
      <c r="B25" s="171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3"/>
      <c r="Q25" s="4"/>
      <c r="R25" s="4"/>
      <c r="S25" s="153"/>
      <c r="T25" s="154"/>
      <c r="U25" s="154"/>
      <c r="V25" s="154"/>
      <c r="W25" s="154"/>
      <c r="X25" s="154"/>
      <c r="Y25" s="154"/>
      <c r="Z25" s="154"/>
      <c r="AA25" s="154"/>
      <c r="AB25" s="154"/>
      <c r="AC25" s="155"/>
      <c r="AD25" s="145"/>
      <c r="AE25" s="142"/>
      <c r="AF25" s="142"/>
      <c r="AG25" s="106"/>
      <c r="AH25" s="145"/>
      <c r="AI25" s="142"/>
      <c r="AJ25" s="142"/>
      <c r="AK25" s="106"/>
      <c r="AL25" s="145"/>
      <c r="AM25" s="142"/>
      <c r="AN25" s="142"/>
      <c r="AO25" s="106"/>
      <c r="AP25" s="145"/>
      <c r="AQ25" s="142"/>
      <c r="AR25" s="142"/>
      <c r="AS25" s="106"/>
      <c r="AT25" s="145"/>
      <c r="AU25" s="142"/>
      <c r="AV25" s="142"/>
      <c r="AW25" s="106"/>
      <c r="AX25" s="145"/>
      <c r="AY25" s="142"/>
      <c r="AZ25" s="142"/>
      <c r="BA25" s="106"/>
      <c r="BB25" s="145"/>
      <c r="BC25" s="142"/>
      <c r="BD25" s="142"/>
      <c r="BE25" s="106"/>
      <c r="BF25" s="145"/>
      <c r="BG25" s="142"/>
      <c r="BH25" s="142"/>
      <c r="BI25" s="106"/>
      <c r="BJ25" s="145"/>
      <c r="BK25" s="142"/>
      <c r="BL25" s="142"/>
      <c r="BM25" s="106"/>
      <c r="BN25" s="145"/>
      <c r="BO25" s="142"/>
      <c r="BP25" s="142"/>
      <c r="BQ25" s="106"/>
      <c r="BR25" s="145"/>
      <c r="BS25" s="142"/>
      <c r="BT25" s="142"/>
      <c r="BU25" s="106"/>
      <c r="BV25" s="145"/>
      <c r="BW25" s="142"/>
      <c r="BX25" s="142"/>
      <c r="BY25" s="106"/>
      <c r="BZ25" s="4"/>
      <c r="CA25" s="4"/>
      <c r="CB25" s="4"/>
      <c r="CC25" s="4"/>
      <c r="CD25" s="4"/>
      <c r="CE25" s="4"/>
      <c r="CF25" s="17"/>
      <c r="CG25" s="4"/>
      <c r="CH25" s="4"/>
      <c r="CI25" s="4"/>
      <c r="CJ25" s="4"/>
      <c r="CK25" s="4"/>
      <c r="CL25" s="4"/>
      <c r="CM25" s="4"/>
      <c r="CN25" s="4"/>
      <c r="CO25" s="5"/>
      <c r="CP25" s="4"/>
      <c r="CQ25" s="4"/>
      <c r="CR25" s="4"/>
      <c r="CT25" s="5"/>
      <c r="CU25" s="5"/>
      <c r="CV25" s="5"/>
      <c r="CW25" s="5"/>
      <c r="CX25" s="5"/>
      <c r="CY25" s="5"/>
      <c r="CZ25" s="5"/>
      <c r="DA25" s="5"/>
      <c r="DB25" s="5"/>
      <c r="DC25" s="5" t="s">
        <v>88</v>
      </c>
    </row>
    <row r="26" spans="1:107" s="6" customFormat="1" ht="15" customHeight="1" thickBot="1" x14ac:dyDescent="0.3">
      <c r="A26" s="4"/>
      <c r="B26" s="184" t="s">
        <v>5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4"/>
      <c r="R26" s="4"/>
      <c r="S26" s="156"/>
      <c r="T26" s="157"/>
      <c r="U26" s="157"/>
      <c r="V26" s="157"/>
      <c r="W26" s="157"/>
      <c r="X26" s="157"/>
      <c r="Y26" s="157"/>
      <c r="Z26" s="157"/>
      <c r="AA26" s="157"/>
      <c r="AB26" s="157"/>
      <c r="AC26" s="158"/>
      <c r="AD26" s="146"/>
      <c r="AE26" s="143"/>
      <c r="AF26" s="143"/>
      <c r="AG26" s="107"/>
      <c r="AH26" s="146"/>
      <c r="AI26" s="143"/>
      <c r="AJ26" s="143"/>
      <c r="AK26" s="107"/>
      <c r="AL26" s="146"/>
      <c r="AM26" s="143"/>
      <c r="AN26" s="143"/>
      <c r="AO26" s="107"/>
      <c r="AP26" s="146"/>
      <c r="AQ26" s="143"/>
      <c r="AR26" s="143"/>
      <c r="AS26" s="107"/>
      <c r="AT26" s="146"/>
      <c r="AU26" s="143"/>
      <c r="AV26" s="143"/>
      <c r="AW26" s="107"/>
      <c r="AX26" s="146"/>
      <c r="AY26" s="143"/>
      <c r="AZ26" s="143"/>
      <c r="BA26" s="107"/>
      <c r="BB26" s="146"/>
      <c r="BC26" s="143"/>
      <c r="BD26" s="143"/>
      <c r="BE26" s="107"/>
      <c r="BF26" s="146"/>
      <c r="BG26" s="143"/>
      <c r="BH26" s="143"/>
      <c r="BI26" s="107"/>
      <c r="BJ26" s="146"/>
      <c r="BK26" s="143"/>
      <c r="BL26" s="143"/>
      <c r="BM26" s="107"/>
      <c r="BN26" s="146"/>
      <c r="BO26" s="143"/>
      <c r="BP26" s="143"/>
      <c r="BQ26" s="107"/>
      <c r="BR26" s="146"/>
      <c r="BS26" s="143"/>
      <c r="BT26" s="143"/>
      <c r="BU26" s="107"/>
      <c r="BV26" s="146"/>
      <c r="BW26" s="143"/>
      <c r="BX26" s="143"/>
      <c r="BY26" s="107"/>
      <c r="BZ26" s="4"/>
      <c r="CA26" s="4"/>
      <c r="CB26" s="4"/>
      <c r="CC26" s="4"/>
      <c r="CD26" s="4"/>
      <c r="CE26" s="4"/>
      <c r="CF26" s="18"/>
      <c r="CG26" s="4"/>
      <c r="CH26" s="4"/>
      <c r="CI26" s="4"/>
      <c r="CJ26" s="4"/>
      <c r="CK26" s="4"/>
      <c r="CL26" s="4"/>
      <c r="CM26" s="4"/>
      <c r="CN26" s="4"/>
      <c r="CO26" s="5"/>
      <c r="CP26" s="4"/>
      <c r="CQ26" s="4"/>
      <c r="CR26" s="4"/>
      <c r="CT26" s="5"/>
      <c r="CU26" s="5"/>
      <c r="CV26" s="5"/>
      <c r="CW26" s="5"/>
      <c r="CX26" s="5"/>
      <c r="CY26" s="5"/>
      <c r="CZ26" s="5"/>
      <c r="DA26" s="5"/>
      <c r="DB26" s="5"/>
      <c r="DC26" s="5" t="s">
        <v>89</v>
      </c>
    </row>
    <row r="27" spans="1:107" s="6" customFormat="1" ht="15" customHeight="1" thickTop="1" thickBot="1" x14ac:dyDescent="0.3">
      <c r="A27" s="4"/>
      <c r="B27" s="123" t="s">
        <v>6</v>
      </c>
      <c r="C27" s="123"/>
      <c r="D27" s="123"/>
      <c r="E27" s="123"/>
      <c r="F27" s="123"/>
      <c r="G27" s="123"/>
      <c r="H27" s="123"/>
      <c r="I27" s="175" t="s">
        <v>7</v>
      </c>
      <c r="J27" s="175"/>
      <c r="K27" s="175"/>
      <c r="L27" s="175"/>
      <c r="M27" s="175"/>
      <c r="N27" s="175"/>
      <c r="O27" s="175"/>
      <c r="P27" s="175"/>
      <c r="Q27" s="4"/>
      <c r="R27" s="4"/>
      <c r="S27" s="150"/>
      <c r="T27" s="151"/>
      <c r="U27" s="151"/>
      <c r="V27" s="151"/>
      <c r="W27" s="151"/>
      <c r="X27" s="151"/>
      <c r="Y27" s="151"/>
      <c r="Z27" s="151"/>
      <c r="AA27" s="151"/>
      <c r="AB27" s="151"/>
      <c r="AC27" s="152"/>
      <c r="AD27" s="144"/>
      <c r="AE27" s="141"/>
      <c r="AF27" s="141"/>
      <c r="AG27" s="105"/>
      <c r="AH27" s="144"/>
      <c r="AI27" s="141"/>
      <c r="AJ27" s="141"/>
      <c r="AK27" s="105"/>
      <c r="AL27" s="144"/>
      <c r="AM27" s="141"/>
      <c r="AN27" s="141"/>
      <c r="AO27" s="105"/>
      <c r="AP27" s="144"/>
      <c r="AQ27" s="141"/>
      <c r="AR27" s="141"/>
      <c r="AS27" s="105"/>
      <c r="AT27" s="144"/>
      <c r="AU27" s="141"/>
      <c r="AV27" s="141"/>
      <c r="AW27" s="105"/>
      <c r="AX27" s="144"/>
      <c r="AY27" s="141"/>
      <c r="AZ27" s="141"/>
      <c r="BA27" s="105"/>
      <c r="BB27" s="144"/>
      <c r="BC27" s="141"/>
      <c r="BD27" s="141"/>
      <c r="BE27" s="105"/>
      <c r="BF27" s="144"/>
      <c r="BG27" s="141"/>
      <c r="BH27" s="141"/>
      <c r="BI27" s="105"/>
      <c r="BJ27" s="144"/>
      <c r="BK27" s="141"/>
      <c r="BL27" s="141"/>
      <c r="BM27" s="105"/>
      <c r="BN27" s="144"/>
      <c r="BO27" s="141"/>
      <c r="BP27" s="141"/>
      <c r="BQ27" s="105"/>
      <c r="BR27" s="144"/>
      <c r="BS27" s="141"/>
      <c r="BT27" s="141"/>
      <c r="BU27" s="105"/>
      <c r="BV27" s="144"/>
      <c r="BW27" s="141"/>
      <c r="BX27" s="141"/>
      <c r="BY27" s="105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5"/>
      <c r="CP27" s="4"/>
      <c r="CQ27" s="4"/>
      <c r="CR27" s="4"/>
      <c r="CT27" s="5"/>
      <c r="CU27" s="5"/>
      <c r="CV27" s="5"/>
      <c r="CW27" s="5"/>
      <c r="CX27" s="5"/>
      <c r="CY27" s="5"/>
      <c r="CZ27" s="5"/>
      <c r="DA27" s="5"/>
      <c r="DB27" s="5"/>
      <c r="DC27" s="5" t="s">
        <v>90</v>
      </c>
    </row>
    <row r="28" spans="1:107" s="6" customFormat="1" ht="15" customHeight="1" x14ac:dyDescent="0.25">
      <c r="A28" s="4"/>
      <c r="B28" s="139" t="s">
        <v>0</v>
      </c>
      <c r="C28" s="137" t="s">
        <v>61</v>
      </c>
      <c r="D28" s="137"/>
      <c r="E28" s="137"/>
      <c r="F28" s="137"/>
      <c r="G28" s="137"/>
      <c r="H28" s="137"/>
      <c r="I28" s="138" t="s">
        <v>102</v>
      </c>
      <c r="J28" s="138"/>
      <c r="K28" s="138"/>
      <c r="L28" s="138"/>
      <c r="M28" s="138"/>
      <c r="N28" s="138"/>
      <c r="O28" s="138"/>
      <c r="P28" s="138"/>
      <c r="Q28" s="4"/>
      <c r="R28" s="4"/>
      <c r="S28" s="153"/>
      <c r="T28" s="154"/>
      <c r="U28" s="154"/>
      <c r="V28" s="154"/>
      <c r="W28" s="154"/>
      <c r="X28" s="154"/>
      <c r="Y28" s="154"/>
      <c r="Z28" s="154"/>
      <c r="AA28" s="154"/>
      <c r="AB28" s="154"/>
      <c r="AC28" s="155"/>
      <c r="AD28" s="145"/>
      <c r="AE28" s="142"/>
      <c r="AF28" s="142"/>
      <c r="AG28" s="106"/>
      <c r="AH28" s="145"/>
      <c r="AI28" s="142"/>
      <c r="AJ28" s="142"/>
      <c r="AK28" s="106"/>
      <c r="AL28" s="145"/>
      <c r="AM28" s="142"/>
      <c r="AN28" s="142"/>
      <c r="AO28" s="106"/>
      <c r="AP28" s="145"/>
      <c r="AQ28" s="142"/>
      <c r="AR28" s="142"/>
      <c r="AS28" s="106"/>
      <c r="AT28" s="145"/>
      <c r="AU28" s="142"/>
      <c r="AV28" s="142"/>
      <c r="AW28" s="106"/>
      <c r="AX28" s="145"/>
      <c r="AY28" s="142"/>
      <c r="AZ28" s="142"/>
      <c r="BA28" s="106"/>
      <c r="BB28" s="145"/>
      <c r="BC28" s="142"/>
      <c r="BD28" s="142"/>
      <c r="BE28" s="106"/>
      <c r="BF28" s="145"/>
      <c r="BG28" s="142"/>
      <c r="BH28" s="142"/>
      <c r="BI28" s="106"/>
      <c r="BJ28" s="145"/>
      <c r="BK28" s="142"/>
      <c r="BL28" s="142"/>
      <c r="BM28" s="106"/>
      <c r="BN28" s="145"/>
      <c r="BO28" s="142"/>
      <c r="BP28" s="142"/>
      <c r="BQ28" s="106"/>
      <c r="BR28" s="145"/>
      <c r="BS28" s="142"/>
      <c r="BT28" s="142"/>
      <c r="BU28" s="106"/>
      <c r="BV28" s="145"/>
      <c r="BW28" s="142"/>
      <c r="BX28" s="142"/>
      <c r="BY28" s="106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5"/>
      <c r="CP28" s="4"/>
      <c r="CQ28" s="4"/>
      <c r="CR28" s="4"/>
      <c r="CT28" s="5"/>
      <c r="CU28" s="5"/>
      <c r="CV28" s="5"/>
      <c r="CW28" s="5"/>
      <c r="CX28" s="5"/>
      <c r="CY28" s="5"/>
      <c r="CZ28" s="5"/>
      <c r="DA28" s="5"/>
      <c r="DB28" s="5"/>
      <c r="DC28" s="5" t="s">
        <v>91</v>
      </c>
    </row>
    <row r="29" spans="1:107" s="6" customFormat="1" ht="15" customHeight="1" thickBot="1" x14ac:dyDescent="0.3">
      <c r="A29" s="4"/>
      <c r="B29" s="140"/>
      <c r="C29" s="162"/>
      <c r="D29" s="162"/>
      <c r="E29" s="162"/>
      <c r="F29" s="162"/>
      <c r="G29" s="162"/>
      <c r="H29" s="162"/>
      <c r="I29" s="163"/>
      <c r="J29" s="163"/>
      <c r="K29" s="163"/>
      <c r="L29" s="163"/>
      <c r="M29" s="163"/>
      <c r="N29" s="163"/>
      <c r="O29" s="163"/>
      <c r="P29" s="163"/>
      <c r="Q29" s="4"/>
      <c r="R29" s="4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8"/>
      <c r="AD29" s="146"/>
      <c r="AE29" s="143"/>
      <c r="AF29" s="143"/>
      <c r="AG29" s="107"/>
      <c r="AH29" s="146"/>
      <c r="AI29" s="143"/>
      <c r="AJ29" s="143"/>
      <c r="AK29" s="107"/>
      <c r="AL29" s="146"/>
      <c r="AM29" s="143"/>
      <c r="AN29" s="143"/>
      <c r="AO29" s="107"/>
      <c r="AP29" s="146"/>
      <c r="AQ29" s="143"/>
      <c r="AR29" s="143"/>
      <c r="AS29" s="107"/>
      <c r="AT29" s="146"/>
      <c r="AU29" s="143"/>
      <c r="AV29" s="143"/>
      <c r="AW29" s="107"/>
      <c r="AX29" s="146"/>
      <c r="AY29" s="143"/>
      <c r="AZ29" s="143"/>
      <c r="BA29" s="107"/>
      <c r="BB29" s="146"/>
      <c r="BC29" s="143"/>
      <c r="BD29" s="143"/>
      <c r="BE29" s="107"/>
      <c r="BF29" s="146"/>
      <c r="BG29" s="143"/>
      <c r="BH29" s="143"/>
      <c r="BI29" s="107"/>
      <c r="BJ29" s="146"/>
      <c r="BK29" s="143"/>
      <c r="BL29" s="143"/>
      <c r="BM29" s="107"/>
      <c r="BN29" s="146"/>
      <c r="BO29" s="143"/>
      <c r="BP29" s="143"/>
      <c r="BQ29" s="107"/>
      <c r="BR29" s="146"/>
      <c r="BS29" s="143"/>
      <c r="BT29" s="143"/>
      <c r="BU29" s="107"/>
      <c r="BV29" s="146"/>
      <c r="BW29" s="143"/>
      <c r="BX29" s="143"/>
      <c r="BY29" s="107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5"/>
      <c r="CP29" s="4"/>
      <c r="CQ29" s="4"/>
      <c r="CR29" s="4"/>
      <c r="CT29" s="5"/>
      <c r="CU29" s="5"/>
      <c r="CV29" s="5"/>
      <c r="CW29" s="5"/>
      <c r="CX29" s="5"/>
      <c r="CY29" s="5"/>
      <c r="CZ29" s="5"/>
      <c r="DA29" s="5"/>
      <c r="DB29" s="5"/>
      <c r="DC29" s="5" t="s">
        <v>92</v>
      </c>
    </row>
    <row r="30" spans="1:107" s="6" customFormat="1" ht="15" customHeight="1" thickTop="1" x14ac:dyDescent="0.25">
      <c r="A30" s="4"/>
      <c r="B30" s="139" t="s">
        <v>1</v>
      </c>
      <c r="C30" s="137"/>
      <c r="D30" s="137"/>
      <c r="E30" s="137"/>
      <c r="F30" s="137"/>
      <c r="G30" s="137"/>
      <c r="H30" s="137"/>
      <c r="I30" s="138"/>
      <c r="J30" s="138"/>
      <c r="K30" s="138"/>
      <c r="L30" s="138"/>
      <c r="M30" s="138"/>
      <c r="N30" s="138"/>
      <c r="O30" s="138"/>
      <c r="P30" s="138"/>
      <c r="Q30" s="4"/>
      <c r="R30" s="4"/>
      <c r="S30" s="150"/>
      <c r="T30" s="151"/>
      <c r="U30" s="151"/>
      <c r="V30" s="151"/>
      <c r="W30" s="151"/>
      <c r="X30" s="151"/>
      <c r="Y30" s="151"/>
      <c r="Z30" s="151"/>
      <c r="AA30" s="151"/>
      <c r="AB30" s="151"/>
      <c r="AC30" s="152"/>
      <c r="AD30" s="144"/>
      <c r="AE30" s="141"/>
      <c r="AF30" s="141"/>
      <c r="AG30" s="105"/>
      <c r="AH30" s="144"/>
      <c r="AI30" s="141"/>
      <c r="AJ30" s="141"/>
      <c r="AK30" s="105"/>
      <c r="AL30" s="144"/>
      <c r="AM30" s="141"/>
      <c r="AN30" s="141"/>
      <c r="AO30" s="105"/>
      <c r="AP30" s="144"/>
      <c r="AQ30" s="141"/>
      <c r="AR30" s="141"/>
      <c r="AS30" s="105"/>
      <c r="AT30" s="144"/>
      <c r="AU30" s="141"/>
      <c r="AV30" s="141"/>
      <c r="AW30" s="105"/>
      <c r="AX30" s="144"/>
      <c r="AY30" s="141"/>
      <c r="AZ30" s="141"/>
      <c r="BA30" s="105"/>
      <c r="BB30" s="144"/>
      <c r="BC30" s="141"/>
      <c r="BD30" s="141"/>
      <c r="BE30" s="105"/>
      <c r="BF30" s="144"/>
      <c r="BG30" s="141"/>
      <c r="BH30" s="141"/>
      <c r="BI30" s="105"/>
      <c r="BJ30" s="144"/>
      <c r="BK30" s="141"/>
      <c r="BL30" s="141"/>
      <c r="BM30" s="105"/>
      <c r="BN30" s="144"/>
      <c r="BO30" s="141"/>
      <c r="BP30" s="141"/>
      <c r="BQ30" s="105"/>
      <c r="BR30" s="144"/>
      <c r="BS30" s="141"/>
      <c r="BT30" s="141"/>
      <c r="BU30" s="105"/>
      <c r="BV30" s="144"/>
      <c r="BW30" s="141"/>
      <c r="BX30" s="141"/>
      <c r="BY30" s="105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5"/>
      <c r="CP30" s="4"/>
      <c r="CQ30" s="4"/>
      <c r="CR30" s="4"/>
      <c r="CT30" s="5"/>
      <c r="CU30" s="5"/>
      <c r="CV30" s="5"/>
      <c r="CW30" s="5"/>
      <c r="CX30" s="5"/>
      <c r="CY30" s="5"/>
      <c r="CZ30" s="5"/>
      <c r="DA30" s="5"/>
      <c r="DB30" s="5"/>
      <c r="DC30" s="5" t="s">
        <v>93</v>
      </c>
    </row>
    <row r="31" spans="1:107" s="6" customFormat="1" ht="15" customHeight="1" thickBot="1" x14ac:dyDescent="0.3">
      <c r="A31" s="4"/>
      <c r="B31" s="140"/>
      <c r="C31" s="162"/>
      <c r="D31" s="162"/>
      <c r="E31" s="162"/>
      <c r="F31" s="162"/>
      <c r="G31" s="162"/>
      <c r="H31" s="162"/>
      <c r="I31" s="163"/>
      <c r="J31" s="163"/>
      <c r="K31" s="163"/>
      <c r="L31" s="163"/>
      <c r="M31" s="163"/>
      <c r="N31" s="163"/>
      <c r="O31" s="163"/>
      <c r="P31" s="163"/>
      <c r="Q31" s="4"/>
      <c r="R31" s="4"/>
      <c r="S31" s="153"/>
      <c r="T31" s="154"/>
      <c r="U31" s="154"/>
      <c r="V31" s="154"/>
      <c r="W31" s="154"/>
      <c r="X31" s="154"/>
      <c r="Y31" s="154"/>
      <c r="Z31" s="154"/>
      <c r="AA31" s="154"/>
      <c r="AB31" s="154"/>
      <c r="AC31" s="155"/>
      <c r="AD31" s="145"/>
      <c r="AE31" s="142"/>
      <c r="AF31" s="142"/>
      <c r="AG31" s="106"/>
      <c r="AH31" s="145"/>
      <c r="AI31" s="142"/>
      <c r="AJ31" s="142"/>
      <c r="AK31" s="106"/>
      <c r="AL31" s="145"/>
      <c r="AM31" s="142"/>
      <c r="AN31" s="142"/>
      <c r="AO31" s="106"/>
      <c r="AP31" s="145"/>
      <c r="AQ31" s="142"/>
      <c r="AR31" s="142"/>
      <c r="AS31" s="106"/>
      <c r="AT31" s="145"/>
      <c r="AU31" s="142"/>
      <c r="AV31" s="142"/>
      <c r="AW31" s="106"/>
      <c r="AX31" s="145"/>
      <c r="AY31" s="142"/>
      <c r="AZ31" s="142"/>
      <c r="BA31" s="106"/>
      <c r="BB31" s="145"/>
      <c r="BC31" s="142"/>
      <c r="BD31" s="142"/>
      <c r="BE31" s="106"/>
      <c r="BF31" s="145"/>
      <c r="BG31" s="142"/>
      <c r="BH31" s="142"/>
      <c r="BI31" s="106"/>
      <c r="BJ31" s="145"/>
      <c r="BK31" s="142"/>
      <c r="BL31" s="142"/>
      <c r="BM31" s="106"/>
      <c r="BN31" s="145"/>
      <c r="BO31" s="142"/>
      <c r="BP31" s="142"/>
      <c r="BQ31" s="106"/>
      <c r="BR31" s="145"/>
      <c r="BS31" s="142"/>
      <c r="BT31" s="142"/>
      <c r="BU31" s="106"/>
      <c r="BV31" s="145"/>
      <c r="BW31" s="142"/>
      <c r="BX31" s="142"/>
      <c r="BY31" s="106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5"/>
      <c r="CP31" s="4"/>
      <c r="CQ31" s="4"/>
      <c r="CR31" s="4"/>
      <c r="CT31" s="5"/>
      <c r="CU31" s="5"/>
      <c r="CV31" s="5"/>
      <c r="CW31" s="5"/>
      <c r="CX31" s="5"/>
      <c r="CY31" s="5"/>
      <c r="CZ31" s="5"/>
      <c r="DA31" s="5"/>
      <c r="DB31" s="5"/>
      <c r="DC31" s="5" t="s">
        <v>94</v>
      </c>
    </row>
    <row r="32" spans="1:107" s="6" customFormat="1" ht="15" customHeight="1" thickBot="1" x14ac:dyDescent="0.3">
      <c r="A32" s="4"/>
      <c r="B32" s="139" t="s">
        <v>2</v>
      </c>
      <c r="C32" s="137"/>
      <c r="D32" s="137"/>
      <c r="E32" s="137"/>
      <c r="F32" s="137"/>
      <c r="G32" s="137"/>
      <c r="H32" s="137"/>
      <c r="I32" s="138"/>
      <c r="J32" s="138"/>
      <c r="K32" s="138"/>
      <c r="L32" s="138"/>
      <c r="M32" s="138"/>
      <c r="N32" s="138"/>
      <c r="O32" s="138"/>
      <c r="P32" s="138"/>
      <c r="Q32" s="4"/>
      <c r="R32" s="4"/>
      <c r="S32" s="156"/>
      <c r="T32" s="157"/>
      <c r="U32" s="157"/>
      <c r="V32" s="157"/>
      <c r="W32" s="157"/>
      <c r="X32" s="157"/>
      <c r="Y32" s="157"/>
      <c r="Z32" s="157"/>
      <c r="AA32" s="157"/>
      <c r="AB32" s="157"/>
      <c r="AC32" s="158"/>
      <c r="AD32" s="146"/>
      <c r="AE32" s="143"/>
      <c r="AF32" s="143"/>
      <c r="AG32" s="107"/>
      <c r="AH32" s="146"/>
      <c r="AI32" s="143"/>
      <c r="AJ32" s="143"/>
      <c r="AK32" s="107"/>
      <c r="AL32" s="146"/>
      <c r="AM32" s="143"/>
      <c r="AN32" s="143"/>
      <c r="AO32" s="107"/>
      <c r="AP32" s="146"/>
      <c r="AQ32" s="143"/>
      <c r="AR32" s="143"/>
      <c r="AS32" s="107"/>
      <c r="AT32" s="146"/>
      <c r="AU32" s="143"/>
      <c r="AV32" s="143"/>
      <c r="AW32" s="107"/>
      <c r="AX32" s="146"/>
      <c r="AY32" s="143"/>
      <c r="AZ32" s="143"/>
      <c r="BA32" s="107"/>
      <c r="BB32" s="146"/>
      <c r="BC32" s="143"/>
      <c r="BD32" s="143"/>
      <c r="BE32" s="107"/>
      <c r="BF32" s="146"/>
      <c r="BG32" s="143"/>
      <c r="BH32" s="143"/>
      <c r="BI32" s="107"/>
      <c r="BJ32" s="146"/>
      <c r="BK32" s="143"/>
      <c r="BL32" s="143"/>
      <c r="BM32" s="107"/>
      <c r="BN32" s="146"/>
      <c r="BO32" s="143"/>
      <c r="BP32" s="143"/>
      <c r="BQ32" s="107"/>
      <c r="BR32" s="146"/>
      <c r="BS32" s="143"/>
      <c r="BT32" s="143"/>
      <c r="BU32" s="107"/>
      <c r="BV32" s="146"/>
      <c r="BW32" s="143"/>
      <c r="BX32" s="143"/>
      <c r="BY32" s="107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5"/>
      <c r="CP32" s="4"/>
      <c r="CQ32" s="4"/>
      <c r="CR32" s="4"/>
      <c r="CT32" s="5"/>
      <c r="CU32" s="5"/>
      <c r="CV32" s="5"/>
      <c r="CW32" s="5"/>
      <c r="CX32" s="5"/>
      <c r="CY32" s="5"/>
      <c r="CZ32" s="5"/>
      <c r="DA32" s="5"/>
      <c r="DB32" s="5"/>
      <c r="DC32" s="5" t="s">
        <v>95</v>
      </c>
    </row>
    <row r="33" spans="1:107" s="6" customFormat="1" ht="15" customHeight="1" thickTop="1" x14ac:dyDescent="0.25">
      <c r="A33" s="4"/>
      <c r="B33" s="164"/>
      <c r="C33" s="160"/>
      <c r="D33" s="160"/>
      <c r="E33" s="160"/>
      <c r="F33" s="160"/>
      <c r="G33" s="160"/>
      <c r="H33" s="160"/>
      <c r="I33" s="161"/>
      <c r="J33" s="161"/>
      <c r="K33" s="161"/>
      <c r="L33" s="161"/>
      <c r="M33" s="161"/>
      <c r="N33" s="161"/>
      <c r="O33" s="161"/>
      <c r="P33" s="161"/>
      <c r="Q33" s="4"/>
      <c r="R33" s="4"/>
      <c r="S33" s="150"/>
      <c r="T33" s="151"/>
      <c r="U33" s="151"/>
      <c r="V33" s="151"/>
      <c r="W33" s="151"/>
      <c r="X33" s="151"/>
      <c r="Y33" s="151"/>
      <c r="Z33" s="151"/>
      <c r="AA33" s="151"/>
      <c r="AB33" s="151"/>
      <c r="AC33" s="152"/>
      <c r="AD33" s="144"/>
      <c r="AE33" s="141"/>
      <c r="AF33" s="141"/>
      <c r="AG33" s="105"/>
      <c r="AH33" s="144"/>
      <c r="AI33" s="141"/>
      <c r="AJ33" s="141"/>
      <c r="AK33" s="105"/>
      <c r="AL33" s="144"/>
      <c r="AM33" s="141"/>
      <c r="AN33" s="141"/>
      <c r="AO33" s="105"/>
      <c r="AP33" s="144"/>
      <c r="AQ33" s="141"/>
      <c r="AR33" s="141"/>
      <c r="AS33" s="105"/>
      <c r="AT33" s="144"/>
      <c r="AU33" s="141"/>
      <c r="AV33" s="141"/>
      <c r="AW33" s="105"/>
      <c r="AX33" s="144"/>
      <c r="AY33" s="141"/>
      <c r="AZ33" s="141"/>
      <c r="BA33" s="105"/>
      <c r="BB33" s="144"/>
      <c r="BC33" s="141"/>
      <c r="BD33" s="141"/>
      <c r="BE33" s="105"/>
      <c r="BF33" s="144"/>
      <c r="BG33" s="141"/>
      <c r="BH33" s="141"/>
      <c r="BI33" s="105"/>
      <c r="BJ33" s="144"/>
      <c r="BK33" s="141"/>
      <c r="BL33" s="141"/>
      <c r="BM33" s="105"/>
      <c r="BN33" s="144"/>
      <c r="BO33" s="141"/>
      <c r="BP33" s="141"/>
      <c r="BQ33" s="105"/>
      <c r="BR33" s="144"/>
      <c r="BS33" s="141"/>
      <c r="BT33" s="141"/>
      <c r="BU33" s="105"/>
      <c r="BV33" s="144"/>
      <c r="BW33" s="141"/>
      <c r="BX33" s="141"/>
      <c r="BY33" s="105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5"/>
      <c r="CP33" s="4"/>
      <c r="CQ33" s="4"/>
      <c r="CR33" s="4"/>
      <c r="CT33" s="5"/>
      <c r="CU33" s="5"/>
      <c r="CV33" s="5"/>
      <c r="CW33" s="5"/>
      <c r="CX33" s="5"/>
      <c r="CY33" s="5"/>
      <c r="CZ33" s="5"/>
      <c r="DA33" s="5"/>
      <c r="DB33" s="5"/>
      <c r="DC33" s="5" t="s">
        <v>96</v>
      </c>
    </row>
    <row r="34" spans="1:107" s="6" customFormat="1" ht="15" customHeight="1" thickBot="1" x14ac:dyDescent="0.3">
      <c r="A34" s="4"/>
      <c r="B34" s="140"/>
      <c r="C34" s="162"/>
      <c r="D34" s="162"/>
      <c r="E34" s="162"/>
      <c r="F34" s="162"/>
      <c r="G34" s="162"/>
      <c r="H34" s="162"/>
      <c r="I34" s="163"/>
      <c r="J34" s="163"/>
      <c r="K34" s="163"/>
      <c r="L34" s="163"/>
      <c r="M34" s="163"/>
      <c r="N34" s="163"/>
      <c r="O34" s="163"/>
      <c r="P34" s="163"/>
      <c r="Q34" s="4"/>
      <c r="R34" s="4"/>
      <c r="S34" s="153"/>
      <c r="T34" s="154"/>
      <c r="U34" s="154"/>
      <c r="V34" s="154"/>
      <c r="W34" s="154"/>
      <c r="X34" s="154"/>
      <c r="Y34" s="154"/>
      <c r="Z34" s="154"/>
      <c r="AA34" s="154"/>
      <c r="AB34" s="154"/>
      <c r="AC34" s="155"/>
      <c r="AD34" s="145"/>
      <c r="AE34" s="142"/>
      <c r="AF34" s="142"/>
      <c r="AG34" s="106"/>
      <c r="AH34" s="145"/>
      <c r="AI34" s="142"/>
      <c r="AJ34" s="142"/>
      <c r="AK34" s="106"/>
      <c r="AL34" s="145"/>
      <c r="AM34" s="142"/>
      <c r="AN34" s="142"/>
      <c r="AO34" s="106"/>
      <c r="AP34" s="145"/>
      <c r="AQ34" s="142"/>
      <c r="AR34" s="142"/>
      <c r="AS34" s="106"/>
      <c r="AT34" s="145"/>
      <c r="AU34" s="142"/>
      <c r="AV34" s="142"/>
      <c r="AW34" s="106"/>
      <c r="AX34" s="145"/>
      <c r="AY34" s="142"/>
      <c r="AZ34" s="142"/>
      <c r="BA34" s="106"/>
      <c r="BB34" s="145"/>
      <c r="BC34" s="142"/>
      <c r="BD34" s="142"/>
      <c r="BE34" s="106"/>
      <c r="BF34" s="145"/>
      <c r="BG34" s="142"/>
      <c r="BH34" s="142"/>
      <c r="BI34" s="106"/>
      <c r="BJ34" s="145"/>
      <c r="BK34" s="142"/>
      <c r="BL34" s="142"/>
      <c r="BM34" s="106"/>
      <c r="BN34" s="145"/>
      <c r="BO34" s="142"/>
      <c r="BP34" s="142"/>
      <c r="BQ34" s="106"/>
      <c r="BR34" s="145"/>
      <c r="BS34" s="142"/>
      <c r="BT34" s="142"/>
      <c r="BU34" s="106"/>
      <c r="BV34" s="145"/>
      <c r="BW34" s="142"/>
      <c r="BX34" s="142"/>
      <c r="BY34" s="106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5"/>
      <c r="CP34" s="4"/>
      <c r="CQ34" s="4"/>
      <c r="CR34" s="4"/>
      <c r="CT34" s="5"/>
      <c r="CU34" s="5"/>
      <c r="CV34" s="5"/>
      <c r="CW34" s="5"/>
      <c r="CX34" s="5"/>
      <c r="CY34" s="5"/>
      <c r="CZ34" s="5"/>
      <c r="DA34" s="5"/>
      <c r="DB34" s="5"/>
      <c r="DC34" s="5" t="s">
        <v>97</v>
      </c>
    </row>
    <row r="35" spans="1:107" s="6" customFormat="1" ht="15" customHeight="1" thickBot="1" x14ac:dyDescent="0.3">
      <c r="A35" s="4"/>
      <c r="B35" s="139" t="s">
        <v>3</v>
      </c>
      <c r="C35" s="137"/>
      <c r="D35" s="137"/>
      <c r="E35" s="137"/>
      <c r="F35" s="137"/>
      <c r="G35" s="137"/>
      <c r="H35" s="137"/>
      <c r="I35" s="138"/>
      <c r="J35" s="138"/>
      <c r="K35" s="138"/>
      <c r="L35" s="138"/>
      <c r="M35" s="138"/>
      <c r="N35" s="138"/>
      <c r="O35" s="138"/>
      <c r="P35" s="138"/>
      <c r="Q35" s="4"/>
      <c r="R35" s="4"/>
      <c r="S35" s="156"/>
      <c r="T35" s="157"/>
      <c r="U35" s="157"/>
      <c r="V35" s="157"/>
      <c r="W35" s="157"/>
      <c r="X35" s="157"/>
      <c r="Y35" s="157"/>
      <c r="Z35" s="157"/>
      <c r="AA35" s="157"/>
      <c r="AB35" s="157"/>
      <c r="AC35" s="158"/>
      <c r="AD35" s="146"/>
      <c r="AE35" s="143"/>
      <c r="AF35" s="143"/>
      <c r="AG35" s="107"/>
      <c r="AH35" s="146"/>
      <c r="AI35" s="143"/>
      <c r="AJ35" s="143"/>
      <c r="AK35" s="107"/>
      <c r="AL35" s="146"/>
      <c r="AM35" s="143"/>
      <c r="AN35" s="143"/>
      <c r="AO35" s="107"/>
      <c r="AP35" s="146"/>
      <c r="AQ35" s="143"/>
      <c r="AR35" s="143"/>
      <c r="AS35" s="107"/>
      <c r="AT35" s="146"/>
      <c r="AU35" s="143"/>
      <c r="AV35" s="143"/>
      <c r="AW35" s="107"/>
      <c r="AX35" s="146"/>
      <c r="AY35" s="143"/>
      <c r="AZ35" s="143"/>
      <c r="BA35" s="107"/>
      <c r="BB35" s="146"/>
      <c r="BC35" s="143"/>
      <c r="BD35" s="143"/>
      <c r="BE35" s="107"/>
      <c r="BF35" s="146"/>
      <c r="BG35" s="143"/>
      <c r="BH35" s="143"/>
      <c r="BI35" s="107"/>
      <c r="BJ35" s="146"/>
      <c r="BK35" s="143"/>
      <c r="BL35" s="143"/>
      <c r="BM35" s="107"/>
      <c r="BN35" s="146"/>
      <c r="BO35" s="143"/>
      <c r="BP35" s="143"/>
      <c r="BQ35" s="107"/>
      <c r="BR35" s="146"/>
      <c r="BS35" s="143"/>
      <c r="BT35" s="143"/>
      <c r="BU35" s="107"/>
      <c r="BV35" s="146"/>
      <c r="BW35" s="143"/>
      <c r="BX35" s="143"/>
      <c r="BY35" s="107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5"/>
      <c r="CP35" s="4"/>
      <c r="CQ35" s="4"/>
      <c r="CR35" s="4"/>
      <c r="CT35" s="5"/>
      <c r="CU35" s="5"/>
      <c r="CV35" s="5"/>
      <c r="CW35" s="5"/>
      <c r="CX35" s="5"/>
      <c r="CY35" s="5"/>
      <c r="CZ35" s="5"/>
      <c r="DA35" s="5"/>
      <c r="DB35" s="5"/>
      <c r="DC35" s="5" t="s">
        <v>98</v>
      </c>
    </row>
    <row r="36" spans="1:107" s="6" customFormat="1" ht="15" customHeight="1" thickTop="1" thickBot="1" x14ac:dyDescent="0.3">
      <c r="A36" s="4"/>
      <c r="B36" s="140"/>
      <c r="C36" s="162"/>
      <c r="D36" s="162"/>
      <c r="E36" s="162"/>
      <c r="F36" s="162"/>
      <c r="G36" s="162"/>
      <c r="H36" s="162"/>
      <c r="I36" s="163"/>
      <c r="J36" s="163"/>
      <c r="K36" s="163"/>
      <c r="L36" s="163"/>
      <c r="M36" s="163"/>
      <c r="N36" s="163"/>
      <c r="O36" s="163"/>
      <c r="P36" s="163"/>
      <c r="Q36" s="4"/>
      <c r="R36" s="4"/>
      <c r="S36" s="150"/>
      <c r="T36" s="151"/>
      <c r="U36" s="151"/>
      <c r="V36" s="151"/>
      <c r="W36" s="151"/>
      <c r="X36" s="151"/>
      <c r="Y36" s="151"/>
      <c r="Z36" s="151"/>
      <c r="AA36" s="151"/>
      <c r="AB36" s="151"/>
      <c r="AC36" s="152"/>
      <c r="AD36" s="144"/>
      <c r="AE36" s="141"/>
      <c r="AF36" s="141"/>
      <c r="AG36" s="105"/>
      <c r="AH36" s="144"/>
      <c r="AI36" s="141"/>
      <c r="AJ36" s="141"/>
      <c r="AK36" s="105"/>
      <c r="AL36" s="144"/>
      <c r="AM36" s="141"/>
      <c r="AN36" s="141"/>
      <c r="AO36" s="105"/>
      <c r="AP36" s="144"/>
      <c r="AQ36" s="141"/>
      <c r="AR36" s="141"/>
      <c r="AS36" s="105"/>
      <c r="AT36" s="144"/>
      <c r="AU36" s="141"/>
      <c r="AV36" s="141"/>
      <c r="AW36" s="105"/>
      <c r="AX36" s="144"/>
      <c r="AY36" s="141"/>
      <c r="AZ36" s="141"/>
      <c r="BA36" s="105"/>
      <c r="BB36" s="144"/>
      <c r="BC36" s="141"/>
      <c r="BD36" s="141"/>
      <c r="BE36" s="105"/>
      <c r="BF36" s="144"/>
      <c r="BG36" s="141"/>
      <c r="BH36" s="141"/>
      <c r="BI36" s="105"/>
      <c r="BJ36" s="144"/>
      <c r="BK36" s="141"/>
      <c r="BL36" s="141"/>
      <c r="BM36" s="105"/>
      <c r="BN36" s="144"/>
      <c r="BO36" s="141"/>
      <c r="BP36" s="141"/>
      <c r="BQ36" s="105"/>
      <c r="BR36" s="144"/>
      <c r="BS36" s="141"/>
      <c r="BT36" s="141"/>
      <c r="BU36" s="105"/>
      <c r="BV36" s="144"/>
      <c r="BW36" s="141"/>
      <c r="BX36" s="141"/>
      <c r="BY36" s="105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5"/>
      <c r="CP36" s="4"/>
      <c r="CQ36" s="4"/>
      <c r="CR36" s="4"/>
      <c r="CT36" s="5"/>
      <c r="CU36" s="5"/>
      <c r="CV36" s="5"/>
      <c r="CW36" s="5"/>
      <c r="CX36" s="5"/>
      <c r="CY36" s="5"/>
      <c r="CZ36" s="5"/>
      <c r="DA36" s="5"/>
      <c r="DB36" s="5"/>
      <c r="DC36" s="5" t="s">
        <v>99</v>
      </c>
    </row>
    <row r="37" spans="1:107" s="6" customFormat="1" ht="15" customHeight="1" thickBot="1" x14ac:dyDescent="0.3">
      <c r="A37" s="4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4"/>
      <c r="R37" s="4"/>
      <c r="S37" s="153"/>
      <c r="T37" s="154"/>
      <c r="U37" s="154"/>
      <c r="V37" s="154"/>
      <c r="W37" s="154"/>
      <c r="X37" s="154"/>
      <c r="Y37" s="154"/>
      <c r="Z37" s="154"/>
      <c r="AA37" s="154"/>
      <c r="AB37" s="154"/>
      <c r="AC37" s="155"/>
      <c r="AD37" s="145"/>
      <c r="AE37" s="142"/>
      <c r="AF37" s="142"/>
      <c r="AG37" s="106"/>
      <c r="AH37" s="145"/>
      <c r="AI37" s="142"/>
      <c r="AJ37" s="142"/>
      <c r="AK37" s="106"/>
      <c r="AL37" s="145"/>
      <c r="AM37" s="142"/>
      <c r="AN37" s="142"/>
      <c r="AO37" s="106"/>
      <c r="AP37" s="145"/>
      <c r="AQ37" s="142"/>
      <c r="AR37" s="142"/>
      <c r="AS37" s="106"/>
      <c r="AT37" s="145"/>
      <c r="AU37" s="142"/>
      <c r="AV37" s="142"/>
      <c r="AW37" s="106"/>
      <c r="AX37" s="145"/>
      <c r="AY37" s="142"/>
      <c r="AZ37" s="142"/>
      <c r="BA37" s="106"/>
      <c r="BB37" s="145"/>
      <c r="BC37" s="142"/>
      <c r="BD37" s="142"/>
      <c r="BE37" s="106"/>
      <c r="BF37" s="145"/>
      <c r="BG37" s="142"/>
      <c r="BH37" s="142"/>
      <c r="BI37" s="106"/>
      <c r="BJ37" s="145"/>
      <c r="BK37" s="142"/>
      <c r="BL37" s="142"/>
      <c r="BM37" s="106"/>
      <c r="BN37" s="145"/>
      <c r="BO37" s="142"/>
      <c r="BP37" s="142"/>
      <c r="BQ37" s="106"/>
      <c r="BR37" s="145"/>
      <c r="BS37" s="142"/>
      <c r="BT37" s="142"/>
      <c r="BU37" s="106"/>
      <c r="BV37" s="145"/>
      <c r="BW37" s="142"/>
      <c r="BX37" s="142"/>
      <c r="BY37" s="106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5"/>
      <c r="CP37" s="4"/>
      <c r="CQ37" s="4"/>
      <c r="CR37" s="4"/>
      <c r="CT37" s="5"/>
      <c r="CU37" s="5"/>
      <c r="CV37" s="5"/>
      <c r="CW37" s="5"/>
      <c r="CX37" s="5"/>
      <c r="CY37" s="5"/>
      <c r="CZ37" s="5"/>
      <c r="DA37" s="5"/>
      <c r="DB37" s="5"/>
      <c r="DC37" s="5" t="s">
        <v>100</v>
      </c>
    </row>
    <row r="38" spans="1:107" s="6" customFormat="1" ht="15" customHeight="1" thickBot="1" x14ac:dyDescent="0.3">
      <c r="A38" s="4"/>
      <c r="B38" s="126" t="s">
        <v>8</v>
      </c>
      <c r="C38" s="127"/>
      <c r="D38" s="127"/>
      <c r="E38" s="128"/>
      <c r="F38" s="129"/>
      <c r="G38" s="129"/>
      <c r="H38" s="130"/>
      <c r="I38" s="124" t="s">
        <v>10</v>
      </c>
      <c r="J38" s="125"/>
      <c r="K38" s="131"/>
      <c r="L38" s="132"/>
      <c r="M38" s="132"/>
      <c r="N38" s="132"/>
      <c r="O38" s="132"/>
      <c r="P38" s="133"/>
      <c r="Q38" s="4"/>
      <c r="R38" s="4"/>
      <c r="S38" s="156"/>
      <c r="T38" s="157"/>
      <c r="U38" s="157"/>
      <c r="V38" s="157"/>
      <c r="W38" s="157"/>
      <c r="X38" s="157"/>
      <c r="Y38" s="157"/>
      <c r="Z38" s="157"/>
      <c r="AA38" s="157"/>
      <c r="AB38" s="157"/>
      <c r="AC38" s="158"/>
      <c r="AD38" s="146"/>
      <c r="AE38" s="143"/>
      <c r="AF38" s="143"/>
      <c r="AG38" s="107"/>
      <c r="AH38" s="146"/>
      <c r="AI38" s="143"/>
      <c r="AJ38" s="143"/>
      <c r="AK38" s="107"/>
      <c r="AL38" s="146"/>
      <c r="AM38" s="143"/>
      <c r="AN38" s="143"/>
      <c r="AO38" s="107"/>
      <c r="AP38" s="146"/>
      <c r="AQ38" s="143"/>
      <c r="AR38" s="143"/>
      <c r="AS38" s="107"/>
      <c r="AT38" s="146"/>
      <c r="AU38" s="143"/>
      <c r="AV38" s="143"/>
      <c r="AW38" s="107"/>
      <c r="AX38" s="146"/>
      <c r="AY38" s="143"/>
      <c r="AZ38" s="143"/>
      <c r="BA38" s="107"/>
      <c r="BB38" s="146"/>
      <c r="BC38" s="143"/>
      <c r="BD38" s="143"/>
      <c r="BE38" s="107"/>
      <c r="BF38" s="146"/>
      <c r="BG38" s="143"/>
      <c r="BH38" s="143"/>
      <c r="BI38" s="107"/>
      <c r="BJ38" s="146"/>
      <c r="BK38" s="143"/>
      <c r="BL38" s="143"/>
      <c r="BM38" s="107"/>
      <c r="BN38" s="146"/>
      <c r="BO38" s="143"/>
      <c r="BP38" s="143"/>
      <c r="BQ38" s="107"/>
      <c r="BR38" s="146"/>
      <c r="BS38" s="143"/>
      <c r="BT38" s="143"/>
      <c r="BU38" s="107"/>
      <c r="BV38" s="146"/>
      <c r="BW38" s="143"/>
      <c r="BX38" s="143"/>
      <c r="BY38" s="107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5"/>
      <c r="CP38" s="4"/>
      <c r="CQ38" s="4"/>
      <c r="CR38" s="4"/>
      <c r="CT38" s="5"/>
      <c r="CU38" s="5"/>
      <c r="CV38" s="5"/>
      <c r="CW38" s="5"/>
      <c r="CX38" s="5"/>
      <c r="CY38" s="5"/>
      <c r="CZ38" s="5"/>
      <c r="DA38" s="5"/>
      <c r="DB38" s="5"/>
      <c r="DC38" s="5" t="s">
        <v>101</v>
      </c>
    </row>
    <row r="39" spans="1:107" s="6" customFormat="1" ht="1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5"/>
      <c r="CP39" s="4"/>
      <c r="CQ39" s="4"/>
      <c r="CR39" s="4"/>
    </row>
    <row r="40" spans="1:107" s="6" customFormat="1" ht="1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9"/>
      <c r="T40" s="20"/>
      <c r="U40" s="20"/>
      <c r="V40" s="20"/>
      <c r="W40" s="20"/>
      <c r="X40" s="20"/>
      <c r="Y40" s="20"/>
      <c r="Z40" s="149"/>
      <c r="AA40" s="149"/>
      <c r="AB40" s="149"/>
      <c r="AC40" s="20"/>
      <c r="AD40" s="20"/>
      <c r="AE40" s="148"/>
      <c r="AF40" s="148"/>
      <c r="AG40" s="148"/>
      <c r="AH40" s="20"/>
      <c r="AI40" s="20"/>
      <c r="AJ40" s="148"/>
      <c r="AK40" s="148"/>
      <c r="AL40" s="148"/>
      <c r="AM40" s="20"/>
      <c r="AN40" s="20"/>
      <c r="AO40" s="20"/>
      <c r="AP40" s="149"/>
      <c r="AQ40" s="149"/>
      <c r="AR40" s="149"/>
      <c r="AS40" s="20"/>
      <c r="AT40" s="20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5"/>
      <c r="CP40" s="4"/>
      <c r="CQ40" s="4"/>
      <c r="CR40" s="4"/>
    </row>
    <row r="41" spans="1:107" s="6" customFormat="1" ht="15" customHeight="1" x14ac:dyDescent="0.25">
      <c r="A41" s="4"/>
      <c r="B41" s="4"/>
      <c r="C41" s="4"/>
      <c r="D41" s="4"/>
      <c r="E41" s="4"/>
      <c r="F41" s="4"/>
      <c r="G41" s="4"/>
      <c r="J41" s="4"/>
      <c r="K41" s="4"/>
      <c r="L41" s="4"/>
      <c r="M41" s="4"/>
      <c r="N41" s="4"/>
      <c r="O41" s="4"/>
      <c r="P41" s="4"/>
      <c r="Q41" s="4"/>
      <c r="R41" s="4"/>
      <c r="S41" s="20"/>
      <c r="T41" s="20"/>
      <c r="U41" s="20"/>
      <c r="V41" s="20"/>
      <c r="W41" s="20"/>
      <c r="X41" s="20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5"/>
      <c r="CP41" s="4"/>
      <c r="CQ41" s="4"/>
      <c r="CR41" s="4"/>
    </row>
    <row r="42" spans="1:107" s="6" customFormat="1" ht="1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0"/>
      <c r="T42" s="20"/>
      <c r="U42" s="20"/>
      <c r="V42" s="20"/>
      <c r="W42" s="20"/>
      <c r="X42" s="20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5"/>
      <c r="CP42" s="4"/>
      <c r="CQ42" s="4"/>
      <c r="CR42" s="4"/>
    </row>
    <row r="43" spans="1:107" s="6" customFormat="1" ht="1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5"/>
      <c r="CP43" s="4"/>
      <c r="CQ43" s="4"/>
      <c r="CR43" s="4"/>
    </row>
    <row r="44" spans="1:107" s="6" customFormat="1" ht="1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5"/>
      <c r="CP44" s="4"/>
      <c r="CQ44" s="4"/>
      <c r="CR44" s="4"/>
    </row>
    <row r="45" spans="1:107" s="6" customFormat="1" ht="1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5"/>
      <c r="CP45" s="4"/>
      <c r="CQ45" s="4"/>
      <c r="CR45" s="4"/>
    </row>
    <row r="46" spans="1:107" s="6" customFormat="1" ht="1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5"/>
      <c r="CP46" s="4"/>
      <c r="CQ46" s="4"/>
      <c r="CR46" s="4"/>
    </row>
    <row r="47" spans="1:107" s="6" customFormat="1" ht="1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5"/>
      <c r="CP47" s="4"/>
      <c r="CQ47" s="4"/>
      <c r="CR47" s="4"/>
    </row>
    <row r="48" spans="1:107" s="6" customFormat="1" ht="1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5"/>
      <c r="CP48" s="4"/>
      <c r="CQ48" s="4"/>
      <c r="CR48" s="4"/>
    </row>
    <row r="49" spans="92:93" ht="15" customHeight="1" x14ac:dyDescent="0.25"/>
    <row r="50" spans="92:93" ht="15" customHeight="1" x14ac:dyDescent="0.25">
      <c r="CN50" s="5"/>
      <c r="CO50" s="4"/>
    </row>
    <row r="51" spans="92:93" ht="15" customHeight="1" x14ac:dyDescent="0.25">
      <c r="CN51" s="5"/>
      <c r="CO51" s="4"/>
    </row>
    <row r="52" spans="92:93" ht="15" customHeight="1" x14ac:dyDescent="0.25">
      <c r="CN52" s="5"/>
      <c r="CO52" s="4"/>
    </row>
    <row r="53" spans="92:93" ht="15" customHeight="1" x14ac:dyDescent="0.25">
      <c r="CN53" s="5"/>
      <c r="CO53" s="4"/>
    </row>
    <row r="54" spans="92:93" ht="15" customHeight="1" x14ac:dyDescent="0.25"/>
    <row r="55" spans="92:93" ht="15" customHeight="1" x14ac:dyDescent="0.25"/>
    <row r="56" spans="92:93" ht="15" customHeight="1" x14ac:dyDescent="0.25"/>
    <row r="57" spans="92:93" ht="15" customHeight="1" x14ac:dyDescent="0.25"/>
    <row r="58" spans="92:93" ht="15" customHeight="1" x14ac:dyDescent="0.25"/>
    <row r="59" spans="92:93" ht="15" customHeight="1" x14ac:dyDescent="0.25"/>
    <row r="60" spans="92:93" ht="15" customHeight="1" x14ac:dyDescent="0.25"/>
    <row r="61" spans="92:93" ht="15" customHeight="1" x14ac:dyDescent="0.25"/>
    <row r="62" spans="92:93" ht="15" customHeight="1" x14ac:dyDescent="0.25"/>
    <row r="63" spans="92:93" ht="15" customHeight="1" x14ac:dyDescent="0.25"/>
    <row r="64" spans="92:93" ht="15" customHeight="1" x14ac:dyDescent="0.25"/>
    <row r="65" ht="15" customHeight="1" x14ac:dyDescent="0.25"/>
    <row r="66" ht="15" customHeight="1" x14ac:dyDescent="0.25"/>
    <row r="67" ht="15" hidden="1" customHeight="1" x14ac:dyDescent="0.25"/>
    <row r="68" ht="15" hidden="1" customHeight="1" x14ac:dyDescent="0.25"/>
    <row r="69" ht="15" hidden="1" customHeight="1" x14ac:dyDescent="0.25"/>
    <row r="70" ht="15" hidden="1" customHeight="1" x14ac:dyDescent="0.25"/>
    <row r="71" ht="15" hidden="1" customHeight="1" x14ac:dyDescent="0.25"/>
    <row r="72" ht="15" hidden="1" customHeight="1" x14ac:dyDescent="0.25"/>
    <row r="73" ht="15" hidden="1" customHeight="1" x14ac:dyDescent="0.25"/>
    <row r="74" ht="15" hidden="1" customHeight="1" x14ac:dyDescent="0.25"/>
    <row r="75" ht="15" hidden="1" customHeight="1" x14ac:dyDescent="0.25"/>
    <row r="76" ht="15" hidden="1" customHeight="1" x14ac:dyDescent="0.25"/>
    <row r="77" ht="15" hidden="1" customHeight="1" x14ac:dyDescent="0.25"/>
    <row r="78" ht="15" hidden="1" customHeight="1" x14ac:dyDescent="0.25"/>
    <row r="79" ht="15" hidden="1" customHeight="1" x14ac:dyDescent="0.25"/>
    <row r="80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5" hidden="1" customHeight="1" x14ac:dyDescent="0.25"/>
    <row r="115" ht="15" hidden="1" customHeight="1" x14ac:dyDescent="0.25"/>
    <row r="116" ht="15" hidden="1" customHeight="1" x14ac:dyDescent="0.25"/>
    <row r="117" ht="15" hidden="1" customHeight="1" x14ac:dyDescent="0.25"/>
    <row r="118" ht="15" hidden="1" customHeight="1" x14ac:dyDescent="0.25"/>
    <row r="119" ht="15" hidden="1" customHeight="1" x14ac:dyDescent="0.25"/>
    <row r="120" ht="15" hidden="1" customHeight="1" x14ac:dyDescent="0.25"/>
    <row r="121" ht="15" hidden="1" customHeight="1" x14ac:dyDescent="0.25"/>
    <row r="122" ht="15" hidden="1" customHeight="1" x14ac:dyDescent="0.25"/>
    <row r="123" ht="15" hidden="1" customHeight="1" x14ac:dyDescent="0.25"/>
    <row r="124" ht="15" hidden="1" customHeight="1" x14ac:dyDescent="0.25"/>
    <row r="125" ht="15" hidden="1" customHeight="1" x14ac:dyDescent="0.25"/>
    <row r="126" ht="15" hidden="1" customHeight="1" x14ac:dyDescent="0.25"/>
    <row r="127" ht="15" hidden="1" customHeight="1" x14ac:dyDescent="0.25"/>
    <row r="128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34" ht="15" hidden="1" customHeight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x14ac:dyDescent="0.25"/>
    <row r="145" x14ac:dyDescent="0.25"/>
    <row r="146" x14ac:dyDescent="0.25"/>
    <row r="147" x14ac:dyDescent="0.25"/>
    <row r="148" x14ac:dyDescent="0.25"/>
    <row r="149" ht="15" customHeight="1" x14ac:dyDescent="0.25"/>
  </sheetData>
  <mergeCells count="485">
    <mergeCell ref="A1:AH1"/>
    <mergeCell ref="C3:F3"/>
    <mergeCell ref="I3:K3"/>
    <mergeCell ref="CF3:CH3"/>
    <mergeCell ref="CJ3:CL3"/>
    <mergeCell ref="CE4:CE5"/>
    <mergeCell ref="CF4:CH5"/>
    <mergeCell ref="CI4:CI7"/>
    <mergeCell ref="CJ4:CL7"/>
    <mergeCell ref="B5:C5"/>
    <mergeCell ref="D5:F5"/>
    <mergeCell ref="B9:D10"/>
    <mergeCell ref="E9:L10"/>
    <mergeCell ref="S9:BY10"/>
    <mergeCell ref="CD9:CQ10"/>
    <mergeCell ref="B12:P12"/>
    <mergeCell ref="S12:BY12"/>
    <mergeCell ref="CD12:CQ12"/>
    <mergeCell ref="N5:O5"/>
    <mergeCell ref="CE6:CE7"/>
    <mergeCell ref="CF6:CH7"/>
    <mergeCell ref="B7:C7"/>
    <mergeCell ref="D7:F7"/>
    <mergeCell ref="N7:O7"/>
    <mergeCell ref="B13:P16"/>
    <mergeCell ref="S13:AC14"/>
    <mergeCell ref="AD13:AG13"/>
    <mergeCell ref="AH13:AK13"/>
    <mergeCell ref="AL13:AO13"/>
    <mergeCell ref="AP13:AS13"/>
    <mergeCell ref="AI15:AI17"/>
    <mergeCell ref="AJ15:AJ17"/>
    <mergeCell ref="AK15:AK17"/>
    <mergeCell ref="AL15:AL17"/>
    <mergeCell ref="AO15:AO17"/>
    <mergeCell ref="AP15:AP17"/>
    <mergeCell ref="AQ15:AQ17"/>
    <mergeCell ref="AR15:AR17"/>
    <mergeCell ref="S15:AC17"/>
    <mergeCell ref="AD15:AD17"/>
    <mergeCell ref="AE15:AE17"/>
    <mergeCell ref="AF15:AF17"/>
    <mergeCell ref="AG15:AG17"/>
    <mergeCell ref="AH15:AH17"/>
    <mergeCell ref="B17:P17"/>
    <mergeCell ref="BR13:BU13"/>
    <mergeCell ref="BV13:BY13"/>
    <mergeCell ref="AD14:AG14"/>
    <mergeCell ref="AH14:AK14"/>
    <mergeCell ref="AL14:AO14"/>
    <mergeCell ref="AP14:AS14"/>
    <mergeCell ref="AT14:AW14"/>
    <mergeCell ref="AX14:BA14"/>
    <mergeCell ref="BB14:BE14"/>
    <mergeCell ref="BF14:BI14"/>
    <mergeCell ref="AT13:AW13"/>
    <mergeCell ref="AX13:BA13"/>
    <mergeCell ref="BB13:BE13"/>
    <mergeCell ref="BF13:BI13"/>
    <mergeCell ref="BJ13:BM13"/>
    <mergeCell ref="BN13:BQ13"/>
    <mergeCell ref="BJ14:BM14"/>
    <mergeCell ref="BN14:BQ14"/>
    <mergeCell ref="BR14:BU14"/>
    <mergeCell ref="BV14:BY14"/>
    <mergeCell ref="CD17:CQ17"/>
    <mergeCell ref="B18:P21"/>
    <mergeCell ref="S18:AC20"/>
    <mergeCell ref="AD18:AD20"/>
    <mergeCell ref="AE18:AE20"/>
    <mergeCell ref="AF18:AF20"/>
    <mergeCell ref="BQ15:BQ17"/>
    <mergeCell ref="BR15:BR17"/>
    <mergeCell ref="BS15:BS17"/>
    <mergeCell ref="BT15:BT17"/>
    <mergeCell ref="BU15:BU17"/>
    <mergeCell ref="BV15:BV17"/>
    <mergeCell ref="BK15:BK17"/>
    <mergeCell ref="BL15:BL17"/>
    <mergeCell ref="BM15:BM17"/>
    <mergeCell ref="BN15:BN17"/>
    <mergeCell ref="BO15:BO17"/>
    <mergeCell ref="BP15:BP17"/>
    <mergeCell ref="BE15:BE17"/>
    <mergeCell ref="BF15:BF17"/>
    <mergeCell ref="BG15:BG17"/>
    <mergeCell ref="BH15:BH17"/>
    <mergeCell ref="BI15:BI17"/>
    <mergeCell ref="AG18:AG20"/>
    <mergeCell ref="AH18:AH20"/>
    <mergeCell ref="AI18:AI20"/>
    <mergeCell ref="AJ18:AJ20"/>
    <mergeCell ref="AK18:AK20"/>
    <mergeCell ref="AL18:AL20"/>
    <mergeCell ref="BW15:BW17"/>
    <mergeCell ref="BX15:BX17"/>
    <mergeCell ref="BY15:BY17"/>
    <mergeCell ref="BJ15:BJ17"/>
    <mergeCell ref="AY15:AY17"/>
    <mergeCell ref="AZ15:AZ17"/>
    <mergeCell ref="BA15:BA17"/>
    <mergeCell ref="BB15:BB17"/>
    <mergeCell ref="BC15:BC17"/>
    <mergeCell ref="BD15:BD17"/>
    <mergeCell ref="AS15:AS17"/>
    <mergeCell ref="AT15:AT17"/>
    <mergeCell ref="AU15:AU17"/>
    <mergeCell ref="AV15:AV17"/>
    <mergeCell ref="AW15:AW17"/>
    <mergeCell ref="AX15:AX17"/>
    <mergeCell ref="AM15:AM17"/>
    <mergeCell ref="AN15:AN17"/>
    <mergeCell ref="AS18:AS20"/>
    <mergeCell ref="AT18:AT20"/>
    <mergeCell ref="AU18:AU20"/>
    <mergeCell ref="AV18:AV20"/>
    <mergeCell ref="AW18:AW20"/>
    <mergeCell ref="AX18:AX20"/>
    <mergeCell ref="AM18:AM20"/>
    <mergeCell ref="AN18:AN20"/>
    <mergeCell ref="AO18:AO20"/>
    <mergeCell ref="AP18:AP20"/>
    <mergeCell ref="AQ18:AQ20"/>
    <mergeCell ref="AR18:AR20"/>
    <mergeCell ref="BP18:BP20"/>
    <mergeCell ref="BE18:BE20"/>
    <mergeCell ref="BF18:BF20"/>
    <mergeCell ref="BG18:BG20"/>
    <mergeCell ref="BH18:BH20"/>
    <mergeCell ref="BI18:BI20"/>
    <mergeCell ref="BJ18:BJ20"/>
    <mergeCell ref="AY18:AY20"/>
    <mergeCell ref="AZ18:AZ20"/>
    <mergeCell ref="BA18:BA20"/>
    <mergeCell ref="BB18:BB20"/>
    <mergeCell ref="BC18:BC20"/>
    <mergeCell ref="BD18:BD20"/>
    <mergeCell ref="AM21:AM23"/>
    <mergeCell ref="AN21:AN23"/>
    <mergeCell ref="AO21:AO23"/>
    <mergeCell ref="BW18:BW20"/>
    <mergeCell ref="BX18:BX20"/>
    <mergeCell ref="BY18:BY20"/>
    <mergeCell ref="S21:AC23"/>
    <mergeCell ref="AD21:AD23"/>
    <mergeCell ref="AE21:AE23"/>
    <mergeCell ref="AF21:AF23"/>
    <mergeCell ref="AG21:AG23"/>
    <mergeCell ref="AH21:AH23"/>
    <mergeCell ref="AI21:AI23"/>
    <mergeCell ref="BQ18:BQ20"/>
    <mergeCell ref="BR18:BR20"/>
    <mergeCell ref="BS18:BS20"/>
    <mergeCell ref="BT18:BT20"/>
    <mergeCell ref="BU18:BU20"/>
    <mergeCell ref="BV18:BV20"/>
    <mergeCell ref="BK18:BK20"/>
    <mergeCell ref="BL18:BL20"/>
    <mergeCell ref="BM18:BM20"/>
    <mergeCell ref="BN18:BN20"/>
    <mergeCell ref="BO18:BO20"/>
    <mergeCell ref="AV21:AV23"/>
    <mergeCell ref="AW21:AW23"/>
    <mergeCell ref="AX21:AX23"/>
    <mergeCell ref="AY21:AY23"/>
    <mergeCell ref="AZ21:AZ23"/>
    <mergeCell ref="BA21:BA23"/>
    <mergeCell ref="AP21:AP23"/>
    <mergeCell ref="AQ21:AQ23"/>
    <mergeCell ref="AR21:AR23"/>
    <mergeCell ref="AS21:AS23"/>
    <mergeCell ref="AT21:AT23"/>
    <mergeCell ref="AU21:AU23"/>
    <mergeCell ref="BH21:BH23"/>
    <mergeCell ref="BI21:BI23"/>
    <mergeCell ref="BJ21:BJ23"/>
    <mergeCell ref="BK21:BK23"/>
    <mergeCell ref="BL21:BL23"/>
    <mergeCell ref="BM21:BM23"/>
    <mergeCell ref="BB21:BB23"/>
    <mergeCell ref="BC21:BC23"/>
    <mergeCell ref="BD21:BD23"/>
    <mergeCell ref="BE21:BE23"/>
    <mergeCell ref="BF21:BF23"/>
    <mergeCell ref="BG21:BG23"/>
    <mergeCell ref="BT21:BT23"/>
    <mergeCell ref="BU21:BU23"/>
    <mergeCell ref="BV21:BV23"/>
    <mergeCell ref="BW21:BW23"/>
    <mergeCell ref="BX21:BX23"/>
    <mergeCell ref="BY21:BY23"/>
    <mergeCell ref="BN21:BN23"/>
    <mergeCell ref="BO21:BO23"/>
    <mergeCell ref="BP21:BP23"/>
    <mergeCell ref="BQ21:BQ23"/>
    <mergeCell ref="BR21:BR23"/>
    <mergeCell ref="BS21:BS23"/>
    <mergeCell ref="AG24:AG26"/>
    <mergeCell ref="AH24:AH26"/>
    <mergeCell ref="AI24:AI26"/>
    <mergeCell ref="AJ24:AJ26"/>
    <mergeCell ref="AK24:AK26"/>
    <mergeCell ref="AL24:AL26"/>
    <mergeCell ref="B22:P22"/>
    <mergeCell ref="B23:P25"/>
    <mergeCell ref="S24:AC26"/>
    <mergeCell ref="AD24:AD26"/>
    <mergeCell ref="AE24:AE26"/>
    <mergeCell ref="AF24:AF26"/>
    <mergeCell ref="AJ21:AJ23"/>
    <mergeCell ref="AK21:AK23"/>
    <mergeCell ref="AL21:AL23"/>
    <mergeCell ref="AS24:AS26"/>
    <mergeCell ref="AT24:AT26"/>
    <mergeCell ref="AU24:AU26"/>
    <mergeCell ref="AV24:AV26"/>
    <mergeCell ref="AW24:AW26"/>
    <mergeCell ref="AX24:AX26"/>
    <mergeCell ref="AM24:AM26"/>
    <mergeCell ref="AN24:AN26"/>
    <mergeCell ref="AO24:AO26"/>
    <mergeCell ref="AP24:AP26"/>
    <mergeCell ref="AQ24:AQ26"/>
    <mergeCell ref="AR24:AR26"/>
    <mergeCell ref="BG24:BG26"/>
    <mergeCell ref="BH24:BH26"/>
    <mergeCell ref="BI24:BI26"/>
    <mergeCell ref="BJ24:BJ26"/>
    <mergeCell ref="AY24:AY26"/>
    <mergeCell ref="AZ24:AZ26"/>
    <mergeCell ref="BA24:BA26"/>
    <mergeCell ref="BB24:BB26"/>
    <mergeCell ref="BC24:BC26"/>
    <mergeCell ref="BD24:BD26"/>
    <mergeCell ref="BW24:BW26"/>
    <mergeCell ref="BX24:BX26"/>
    <mergeCell ref="BY24:BY26"/>
    <mergeCell ref="B26:P26"/>
    <mergeCell ref="B27:H27"/>
    <mergeCell ref="I27:P27"/>
    <mergeCell ref="S27:AC29"/>
    <mergeCell ref="AD27:AD29"/>
    <mergeCell ref="AE27:AE29"/>
    <mergeCell ref="AF27:AF29"/>
    <mergeCell ref="BQ24:BQ26"/>
    <mergeCell ref="BR24:BR26"/>
    <mergeCell ref="BS24:BS26"/>
    <mergeCell ref="BT24:BT26"/>
    <mergeCell ref="BU24:BU26"/>
    <mergeCell ref="BV24:BV26"/>
    <mergeCell ref="BK24:BK26"/>
    <mergeCell ref="BL24:BL26"/>
    <mergeCell ref="BM24:BM26"/>
    <mergeCell ref="BN24:BN26"/>
    <mergeCell ref="BO24:BO26"/>
    <mergeCell ref="BP24:BP26"/>
    <mergeCell ref="BE24:BE26"/>
    <mergeCell ref="BF24:BF26"/>
    <mergeCell ref="AM27:AM29"/>
    <mergeCell ref="AN27:AN29"/>
    <mergeCell ref="AO27:AO29"/>
    <mergeCell ref="AP27:AP29"/>
    <mergeCell ref="AQ27:AQ29"/>
    <mergeCell ref="AR27:AR29"/>
    <mergeCell ref="AG27:AG29"/>
    <mergeCell ref="AH27:AH29"/>
    <mergeCell ref="AI27:AI29"/>
    <mergeCell ref="AJ27:AJ29"/>
    <mergeCell ref="AK27:AK29"/>
    <mergeCell ref="AL27:AL29"/>
    <mergeCell ref="BI27:BI29"/>
    <mergeCell ref="BJ27:BJ29"/>
    <mergeCell ref="AY27:AY29"/>
    <mergeCell ref="AZ27:AZ29"/>
    <mergeCell ref="BA27:BA29"/>
    <mergeCell ref="BB27:BB29"/>
    <mergeCell ref="BC27:BC29"/>
    <mergeCell ref="BD27:BD29"/>
    <mergeCell ref="AS27:AS29"/>
    <mergeCell ref="AT27:AT29"/>
    <mergeCell ref="AU27:AU29"/>
    <mergeCell ref="AV27:AV29"/>
    <mergeCell ref="AW27:AW29"/>
    <mergeCell ref="AX27:AX29"/>
    <mergeCell ref="BW27:BW29"/>
    <mergeCell ref="BX27:BX29"/>
    <mergeCell ref="BY27:BY29"/>
    <mergeCell ref="B28:B29"/>
    <mergeCell ref="C28:H28"/>
    <mergeCell ref="I28:P28"/>
    <mergeCell ref="C29:H29"/>
    <mergeCell ref="I29:P29"/>
    <mergeCell ref="BQ27:BQ29"/>
    <mergeCell ref="BR27:BR29"/>
    <mergeCell ref="BS27:BS29"/>
    <mergeCell ref="BT27:BT29"/>
    <mergeCell ref="BU27:BU29"/>
    <mergeCell ref="BV27:BV29"/>
    <mergeCell ref="BK27:BK29"/>
    <mergeCell ref="BL27:BL29"/>
    <mergeCell ref="BM27:BM29"/>
    <mergeCell ref="BN27:BN29"/>
    <mergeCell ref="BO27:BO29"/>
    <mergeCell ref="BP27:BP29"/>
    <mergeCell ref="BE27:BE29"/>
    <mergeCell ref="BF27:BF29"/>
    <mergeCell ref="BG27:BG29"/>
    <mergeCell ref="BH27:BH29"/>
    <mergeCell ref="B30:B31"/>
    <mergeCell ref="C30:H30"/>
    <mergeCell ref="I30:P30"/>
    <mergeCell ref="S30:AC32"/>
    <mergeCell ref="AD30:AD32"/>
    <mergeCell ref="AE30:AE32"/>
    <mergeCell ref="B32:B34"/>
    <mergeCell ref="C33:H33"/>
    <mergeCell ref="I33:P33"/>
    <mergeCell ref="S33:AC35"/>
    <mergeCell ref="C34:H34"/>
    <mergeCell ref="I34:P34"/>
    <mergeCell ref="B35:B36"/>
    <mergeCell ref="C35:H35"/>
    <mergeCell ref="I35:P35"/>
    <mergeCell ref="C36:H36"/>
    <mergeCell ref="I36:P36"/>
    <mergeCell ref="AL30:AL32"/>
    <mergeCell ref="AM30:AM32"/>
    <mergeCell ref="AN30:AN32"/>
    <mergeCell ref="AO30:AO32"/>
    <mergeCell ref="AP30:AP32"/>
    <mergeCell ref="AQ30:AQ32"/>
    <mergeCell ref="AF30:AF32"/>
    <mergeCell ref="AG30:AG32"/>
    <mergeCell ref="AH30:AH32"/>
    <mergeCell ref="AI30:AI32"/>
    <mergeCell ref="AJ30:AJ32"/>
    <mergeCell ref="AK30:AK32"/>
    <mergeCell ref="BH30:BH32"/>
    <mergeCell ref="BI30:BI32"/>
    <mergeCell ref="AX30:AX32"/>
    <mergeCell ref="AY30:AY32"/>
    <mergeCell ref="AZ30:AZ32"/>
    <mergeCell ref="BA30:BA32"/>
    <mergeCell ref="BB30:BB32"/>
    <mergeCell ref="BC30:BC32"/>
    <mergeCell ref="AR30:AR32"/>
    <mergeCell ref="AS30:AS32"/>
    <mergeCell ref="AT30:AT32"/>
    <mergeCell ref="AU30:AU32"/>
    <mergeCell ref="AV30:AV32"/>
    <mergeCell ref="AW30:AW32"/>
    <mergeCell ref="BV30:BV32"/>
    <mergeCell ref="BW30:BW32"/>
    <mergeCell ref="BX30:BX32"/>
    <mergeCell ref="BY30:BY32"/>
    <mergeCell ref="C31:H31"/>
    <mergeCell ref="I31:P31"/>
    <mergeCell ref="C32:H32"/>
    <mergeCell ref="I32:P32"/>
    <mergeCell ref="BP30:BP32"/>
    <mergeCell ref="BQ30:BQ32"/>
    <mergeCell ref="BR30:BR32"/>
    <mergeCell ref="BS30:BS32"/>
    <mergeCell ref="BT30:BT32"/>
    <mergeCell ref="BU30:BU32"/>
    <mergeCell ref="BJ30:BJ32"/>
    <mergeCell ref="BK30:BK32"/>
    <mergeCell ref="BL30:BL32"/>
    <mergeCell ref="BM30:BM32"/>
    <mergeCell ref="BN30:BN32"/>
    <mergeCell ref="BO30:BO32"/>
    <mergeCell ref="BD30:BD32"/>
    <mergeCell ref="BE30:BE32"/>
    <mergeCell ref="BF30:BF32"/>
    <mergeCell ref="BG30:BG32"/>
    <mergeCell ref="AJ33:AJ35"/>
    <mergeCell ref="AK33:AK35"/>
    <mergeCell ref="AL33:AL35"/>
    <mergeCell ref="AM33:AM35"/>
    <mergeCell ref="AN33:AN35"/>
    <mergeCell ref="AO33:AO35"/>
    <mergeCell ref="AD33:AD35"/>
    <mergeCell ref="AE33:AE35"/>
    <mergeCell ref="AF33:AF35"/>
    <mergeCell ref="AG33:AG35"/>
    <mergeCell ref="AH33:AH35"/>
    <mergeCell ref="AI33:AI35"/>
    <mergeCell ref="AY33:AY35"/>
    <mergeCell ref="AZ33:AZ35"/>
    <mergeCell ref="BA33:BA35"/>
    <mergeCell ref="AP33:AP35"/>
    <mergeCell ref="AQ33:AQ35"/>
    <mergeCell ref="AR33:AR35"/>
    <mergeCell ref="AS33:AS35"/>
    <mergeCell ref="AT33:AT35"/>
    <mergeCell ref="AU33:AU35"/>
    <mergeCell ref="AV33:AV35"/>
    <mergeCell ref="AW33:AW35"/>
    <mergeCell ref="AX33:AX35"/>
    <mergeCell ref="BV33:BV35"/>
    <mergeCell ref="BW33:BW35"/>
    <mergeCell ref="BX33:BX35"/>
    <mergeCell ref="BY33:BY35"/>
    <mergeCell ref="BN33:BN35"/>
    <mergeCell ref="BO33:BO35"/>
    <mergeCell ref="BP33:BP35"/>
    <mergeCell ref="BQ33:BQ35"/>
    <mergeCell ref="BR33:BR35"/>
    <mergeCell ref="BS33:BS35"/>
    <mergeCell ref="BT33:BT35"/>
    <mergeCell ref="BU33:BU35"/>
    <mergeCell ref="BH33:BH35"/>
    <mergeCell ref="BI33:BI35"/>
    <mergeCell ref="BJ33:BJ35"/>
    <mergeCell ref="BK33:BK35"/>
    <mergeCell ref="BL33:BL35"/>
    <mergeCell ref="BM33:BM35"/>
    <mergeCell ref="BB33:BB35"/>
    <mergeCell ref="BC33:BC35"/>
    <mergeCell ref="BD33:BD35"/>
    <mergeCell ref="BE33:BE35"/>
    <mergeCell ref="BF33:BF35"/>
    <mergeCell ref="BG33:BG35"/>
    <mergeCell ref="AS36:AS38"/>
    <mergeCell ref="AT36:AT38"/>
    <mergeCell ref="AI36:AI38"/>
    <mergeCell ref="AJ36:AJ38"/>
    <mergeCell ref="AK36:AK38"/>
    <mergeCell ref="AL36:AL38"/>
    <mergeCell ref="AM36:AM38"/>
    <mergeCell ref="AN36:AN38"/>
    <mergeCell ref="S36:AC38"/>
    <mergeCell ref="AD36:AD38"/>
    <mergeCell ref="AE36:AE38"/>
    <mergeCell ref="AF36:AF38"/>
    <mergeCell ref="AG36:AG38"/>
    <mergeCell ref="AH36:AH38"/>
    <mergeCell ref="B37:P37"/>
    <mergeCell ref="B38:D38"/>
    <mergeCell ref="E38:H38"/>
    <mergeCell ref="I38:J38"/>
    <mergeCell ref="K38:P38"/>
    <mergeCell ref="BS36:BS38"/>
    <mergeCell ref="BT36:BT38"/>
    <mergeCell ref="BU36:BU38"/>
    <mergeCell ref="BV36:BV38"/>
    <mergeCell ref="BM36:BM38"/>
    <mergeCell ref="BN36:BN38"/>
    <mergeCell ref="BO36:BO38"/>
    <mergeCell ref="BP36:BP38"/>
    <mergeCell ref="BQ36:BQ38"/>
    <mergeCell ref="BR36:BR38"/>
    <mergeCell ref="BG36:BG38"/>
    <mergeCell ref="BH36:BH38"/>
    <mergeCell ref="BI36:BI38"/>
    <mergeCell ref="BJ36:BJ38"/>
    <mergeCell ref="BK36:BK38"/>
    <mergeCell ref="BL36:BL38"/>
    <mergeCell ref="BA36:BA38"/>
    <mergeCell ref="BB36:BB38"/>
    <mergeCell ref="BC36:BC38"/>
    <mergeCell ref="Z40:AB40"/>
    <mergeCell ref="AE40:AG40"/>
    <mergeCell ref="AJ40:AL40"/>
    <mergeCell ref="AP40:AR40"/>
    <mergeCell ref="Y41:AC41"/>
    <mergeCell ref="AD41:AH41"/>
    <mergeCell ref="AI41:AM41"/>
    <mergeCell ref="AN41:AT41"/>
    <mergeCell ref="BY36:BY38"/>
    <mergeCell ref="BW36:BW38"/>
    <mergeCell ref="BX36:BX38"/>
    <mergeCell ref="BD36:BD38"/>
    <mergeCell ref="BE36:BE38"/>
    <mergeCell ref="BF36:BF38"/>
    <mergeCell ref="AU36:AU38"/>
    <mergeCell ref="AV36:AV38"/>
    <mergeCell ref="AW36:AW38"/>
    <mergeCell ref="AX36:AX38"/>
    <mergeCell ref="AY36:AY38"/>
    <mergeCell ref="AZ36:AZ38"/>
    <mergeCell ref="AO36:AO38"/>
    <mergeCell ref="AP36:AP38"/>
    <mergeCell ref="AQ36:AQ38"/>
    <mergeCell ref="AR36:AR38"/>
  </mergeCells>
  <conditionalFormatting sqref="CE16:CQ16 CE21:CQ21">
    <cfRule type="cellIs" dxfId="3" priority="1" operator="lessThan">
      <formula>1</formula>
    </cfRule>
    <cfRule type="cellIs" dxfId="2" priority="2" operator="greaterThanOrEqual">
      <formula>1</formula>
    </cfRule>
  </conditionalFormatting>
  <dataValidations count="1">
    <dataValidation type="list" allowBlank="1" showInputMessage="1" showErrorMessage="1" sqref="I3 L3">
      <formula1>$DC$3:$DC$38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Cadastro!F7:F17</xm:f>
          </x14:formula1>
          <xm:sqref>E9:L10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B1:AF70"/>
  <sheetViews>
    <sheetView topLeftCell="C11" zoomScale="80" zoomScaleNormal="80" workbookViewId="0">
      <selection activeCell="O42" sqref="O42"/>
    </sheetView>
  </sheetViews>
  <sheetFormatPr defaultRowHeight="15" x14ac:dyDescent="0.25"/>
  <cols>
    <col min="1" max="1" width="1.42578125" style="3" customWidth="1"/>
    <col min="2" max="2" width="52.140625" style="3" bestFit="1" customWidth="1"/>
    <col min="3" max="3" width="28.42578125" style="3" bestFit="1" customWidth="1"/>
    <col min="4" max="4" width="18.7109375" style="3" customWidth="1"/>
    <col min="5" max="5" width="9.140625" style="3"/>
    <col min="6" max="6" width="44.5703125" style="3" bestFit="1" customWidth="1"/>
    <col min="7" max="7" width="12.85546875" style="3" bestFit="1" customWidth="1"/>
    <col min="8" max="8" width="13.7109375" style="3" bestFit="1" customWidth="1"/>
    <col min="9" max="9" width="9.140625" style="3"/>
    <col min="10" max="10" width="12.28515625" style="3" bestFit="1" customWidth="1"/>
    <col min="11" max="16384" width="9.140625" style="3"/>
  </cols>
  <sheetData>
    <row r="1" spans="2:32" x14ac:dyDescent="0.25">
      <c r="B1" s="53"/>
    </row>
    <row r="3" spans="2:32" ht="15.75" thickBot="1" x14ac:dyDescent="0.3"/>
    <row r="4" spans="2:32" ht="16.5" thickTop="1" thickBot="1" x14ac:dyDescent="0.3">
      <c r="B4" s="54" t="s">
        <v>33</v>
      </c>
      <c r="C4" s="54" t="s">
        <v>37</v>
      </c>
      <c r="D4" s="55" t="s">
        <v>47</v>
      </c>
      <c r="F4" s="203" t="s">
        <v>48</v>
      </c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</row>
    <row r="5" spans="2:32" ht="16.5" thickTop="1" thickBot="1" x14ac:dyDescent="0.3">
      <c r="B5" s="56" t="str">
        <f>'Acompanhamento Geral'!E5</f>
        <v>FÁBRICA E LAYOUT</v>
      </c>
      <c r="C5" s="57" t="str">
        <f>'Acompanhamento Geral'!M5</f>
        <v>-</v>
      </c>
      <c r="D5" s="58">
        <f>'Acompanhamento Geral'!C5</f>
        <v>0</v>
      </c>
      <c r="F5" s="70"/>
      <c r="G5" s="71" t="s">
        <v>127</v>
      </c>
      <c r="H5" s="71" t="s">
        <v>128</v>
      </c>
      <c r="I5" s="71" t="s">
        <v>129</v>
      </c>
      <c r="J5" s="71" t="s">
        <v>130</v>
      </c>
      <c r="K5" s="71" t="s">
        <v>131</v>
      </c>
      <c r="L5" s="71" t="s">
        <v>132</v>
      </c>
      <c r="M5" s="71" t="s">
        <v>133</v>
      </c>
      <c r="N5" s="71" t="s">
        <v>134</v>
      </c>
      <c r="O5" s="71" t="s">
        <v>135</v>
      </c>
      <c r="P5" s="71" t="s">
        <v>136</v>
      </c>
      <c r="Q5" s="71" t="s">
        <v>137</v>
      </c>
      <c r="R5" s="71" t="s">
        <v>138</v>
      </c>
      <c r="S5" s="71"/>
      <c r="T5" s="71"/>
      <c r="U5" s="71"/>
      <c r="V5" s="71"/>
      <c r="W5" s="71"/>
      <c r="X5" s="71"/>
      <c r="Y5" s="71"/>
      <c r="Z5" s="71"/>
      <c r="AA5" s="72"/>
      <c r="AB5" s="72"/>
      <c r="AC5" s="72"/>
      <c r="AD5" s="72"/>
      <c r="AE5" s="72"/>
      <c r="AF5" s="73"/>
    </row>
    <row r="6" spans="2:32" ht="16.5" thickTop="1" thickBot="1" x14ac:dyDescent="0.3">
      <c r="B6" s="59" t="str">
        <f>'Acompanhamento Geral'!E6</f>
        <v>FÁBRICA E LAYOUT</v>
      </c>
      <c r="C6" s="57" t="str">
        <f>'Acompanhamento Geral'!M6</f>
        <v>-</v>
      </c>
      <c r="D6" s="58">
        <f>'Acompanhamento Geral'!C6</f>
        <v>0</v>
      </c>
      <c r="F6" s="74" t="s">
        <v>49</v>
      </c>
      <c r="G6" s="75">
        <f>COUNTIF('Acompanhamento Geral'!Y:Y,G8)</f>
        <v>0</v>
      </c>
      <c r="H6" s="75">
        <f>COUNTIF('Acompanhamento Geral'!Z:Z,H8)</f>
        <v>0</v>
      </c>
      <c r="I6" s="75">
        <f>COUNTIF('Acompanhamento Geral'!AA:AA,I8)</f>
        <v>0</v>
      </c>
      <c r="J6" s="75">
        <f>COUNTIF('Acompanhamento Geral'!AB:AB,J8)</f>
        <v>0</v>
      </c>
      <c r="K6" s="75">
        <f>COUNTIF('Acompanhamento Geral'!AC:AC,K8)</f>
        <v>0</v>
      </c>
      <c r="L6" s="75">
        <f>COUNTIF('Acompanhamento Geral'!AD:AD,L8)</f>
        <v>0</v>
      </c>
      <c r="M6" s="75">
        <f>COUNTIF('Acompanhamento Geral'!AE:AE,M8)</f>
        <v>0</v>
      </c>
      <c r="N6" s="75">
        <f>COUNTIF('Acompanhamento Geral'!AF:AF,N8)</f>
        <v>0</v>
      </c>
      <c r="O6" s="75">
        <f>COUNTIF('Acompanhamento Geral'!AG:AG,O8)</f>
        <v>0</v>
      </c>
      <c r="P6" s="75">
        <f>COUNTIF('Acompanhamento Geral'!AH:AH,P8)</f>
        <v>0</v>
      </c>
      <c r="Q6" s="75">
        <f>COUNTIF('Acompanhamento Geral'!AI:AI,Q8)</f>
        <v>0</v>
      </c>
      <c r="R6" s="76">
        <f>COUNTIF('Acompanhamento Geral'!AJ:AJ,R8)</f>
        <v>0</v>
      </c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</row>
    <row r="7" spans="2:32" ht="16.5" thickTop="1" thickBot="1" x14ac:dyDescent="0.3">
      <c r="B7" s="59" t="str">
        <f>'Acompanhamento Geral'!E7</f>
        <v>PRECIFICAÇÃO DE PROJETOS</v>
      </c>
      <c r="C7" s="57" t="str">
        <f>'Acompanhamento Geral'!M7</f>
        <v>-</v>
      </c>
      <c r="D7" s="58">
        <f>'Acompanhamento Geral'!C7</f>
        <v>0</v>
      </c>
      <c r="F7" s="74" t="s">
        <v>50</v>
      </c>
      <c r="G7" s="77">
        <f>IFERROR(G6/G6,1)</f>
        <v>1</v>
      </c>
      <c r="H7" s="77">
        <f>IFERROR(H6/G6,1)</f>
        <v>1</v>
      </c>
      <c r="I7" s="77">
        <f t="shared" ref="I7:N7" si="0">IFERROR(I6/H6,1)</f>
        <v>1</v>
      </c>
      <c r="J7" s="77">
        <f t="shared" si="0"/>
        <v>1</v>
      </c>
      <c r="K7" s="77">
        <f t="shared" si="0"/>
        <v>1</v>
      </c>
      <c r="L7" s="77">
        <f t="shared" si="0"/>
        <v>1</v>
      </c>
      <c r="M7" s="77">
        <f t="shared" si="0"/>
        <v>1</v>
      </c>
      <c r="N7" s="77">
        <f t="shared" si="0"/>
        <v>1</v>
      </c>
      <c r="O7" s="77">
        <f>IFERROR(O6/N6,N7)</f>
        <v>1</v>
      </c>
      <c r="P7" s="77">
        <f t="shared" ref="P7:R7" si="1">IFERROR(P6/O6,O7)</f>
        <v>1</v>
      </c>
      <c r="Q7" s="77">
        <f t="shared" si="1"/>
        <v>1</v>
      </c>
      <c r="R7" s="77">
        <f t="shared" si="1"/>
        <v>1</v>
      </c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</row>
    <row r="8" spans="2:32" ht="16.5" thickTop="1" thickBot="1" x14ac:dyDescent="0.3">
      <c r="B8" s="59" t="str">
        <f>'Acompanhamento Geral'!E8</f>
        <v>PRECIFICAÇÃO DE PROJETOS</v>
      </c>
      <c r="C8" s="57" t="str">
        <f>'Acompanhamento Geral'!M8</f>
        <v>-</v>
      </c>
      <c r="D8" s="58">
        <f>'Acompanhamento Geral'!C8</f>
        <v>0</v>
      </c>
      <c r="F8" s="70"/>
      <c r="G8" s="78">
        <v>1</v>
      </c>
      <c r="H8" s="78">
        <f>G8+1</f>
        <v>2</v>
      </c>
      <c r="I8" s="78">
        <f t="shared" ref="I8:AF8" si="2">H8+1</f>
        <v>3</v>
      </c>
      <c r="J8" s="78">
        <f t="shared" si="2"/>
        <v>4</v>
      </c>
      <c r="K8" s="78">
        <f t="shared" si="2"/>
        <v>5</v>
      </c>
      <c r="L8" s="78">
        <f t="shared" si="2"/>
        <v>6</v>
      </c>
      <c r="M8" s="78">
        <f t="shared" si="2"/>
        <v>7</v>
      </c>
      <c r="N8" s="78">
        <f t="shared" si="2"/>
        <v>8</v>
      </c>
      <c r="O8" s="78">
        <f t="shared" si="2"/>
        <v>9</v>
      </c>
      <c r="P8" s="78">
        <f t="shared" si="2"/>
        <v>10</v>
      </c>
      <c r="Q8" s="78">
        <f t="shared" si="2"/>
        <v>11</v>
      </c>
      <c r="R8" s="78">
        <f t="shared" si="2"/>
        <v>12</v>
      </c>
      <c r="S8" s="78">
        <f t="shared" si="2"/>
        <v>13</v>
      </c>
      <c r="T8" s="78">
        <f t="shared" si="2"/>
        <v>14</v>
      </c>
      <c r="U8" s="78">
        <f t="shared" si="2"/>
        <v>15</v>
      </c>
      <c r="V8" s="78">
        <f t="shared" si="2"/>
        <v>16</v>
      </c>
      <c r="W8" s="78">
        <f t="shared" si="2"/>
        <v>17</v>
      </c>
      <c r="X8" s="78">
        <f t="shared" si="2"/>
        <v>18</v>
      </c>
      <c r="Y8" s="78">
        <f t="shared" si="2"/>
        <v>19</v>
      </c>
      <c r="Z8" s="78">
        <f t="shared" si="2"/>
        <v>20</v>
      </c>
      <c r="AA8" s="78">
        <f t="shared" si="2"/>
        <v>21</v>
      </c>
      <c r="AB8" s="78">
        <f t="shared" si="2"/>
        <v>22</v>
      </c>
      <c r="AC8" s="78">
        <f t="shared" si="2"/>
        <v>23</v>
      </c>
      <c r="AD8" s="78">
        <f t="shared" si="2"/>
        <v>24</v>
      </c>
      <c r="AE8" s="78">
        <f t="shared" si="2"/>
        <v>25</v>
      </c>
      <c r="AF8" s="78">
        <f t="shared" si="2"/>
        <v>26</v>
      </c>
    </row>
    <row r="9" spans="2:32" ht="16.5" thickTop="1" thickBot="1" x14ac:dyDescent="0.3">
      <c r="B9" s="59" t="str">
        <f>'Acompanhamento Geral'!E9</f>
        <v>Gestão para Resultados</v>
      </c>
      <c r="C9" s="57" t="str">
        <f>'Acompanhamento Geral'!M9</f>
        <v>-</v>
      </c>
      <c r="D9" s="58">
        <f>'Acompanhamento Geral'!C9</f>
        <v>0</v>
      </c>
      <c r="F9" s="202" t="s">
        <v>51</v>
      </c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</row>
    <row r="10" spans="2:32" ht="16.5" thickTop="1" thickBot="1" x14ac:dyDescent="0.3">
      <c r="B10" s="59"/>
      <c r="C10" s="61"/>
      <c r="D10" s="58"/>
      <c r="G10" s="60" t="s">
        <v>49</v>
      </c>
      <c r="H10" s="62" t="s">
        <v>52</v>
      </c>
    </row>
    <row r="11" spans="2:32" ht="16.5" thickTop="1" thickBot="1" x14ac:dyDescent="0.3">
      <c r="B11" s="59"/>
      <c r="C11" s="61"/>
      <c r="D11" s="58"/>
      <c r="F11" s="63">
        <f>Cadastro!F7</f>
        <v>0</v>
      </c>
      <c r="G11" s="64">
        <f>COUNTIF($B$5:$B$9,'Base Painel Gerencial'!F11)</f>
        <v>0</v>
      </c>
      <c r="H11" s="65">
        <f>IFERROR(G11/SUM($G$11:$G$21),0)</f>
        <v>0</v>
      </c>
    </row>
    <row r="12" spans="2:32" ht="16.5" thickTop="1" thickBot="1" x14ac:dyDescent="0.3">
      <c r="B12" s="59"/>
      <c r="C12" s="61"/>
      <c r="D12" s="58"/>
      <c r="F12" s="63">
        <f>Cadastro!F8</f>
        <v>0</v>
      </c>
      <c r="G12" s="64">
        <f>COUNTIF($B$5:$B$9,'Base Painel Gerencial'!F12)</f>
        <v>0</v>
      </c>
      <c r="H12" s="65">
        <f t="shared" ref="H12:H21" si="3">IFERROR(G12/SUM($G$11:$G$21),0)</f>
        <v>0</v>
      </c>
    </row>
    <row r="13" spans="2:32" ht="16.5" thickTop="1" thickBot="1" x14ac:dyDescent="0.3">
      <c r="B13" s="59"/>
      <c r="C13" s="61"/>
      <c r="D13" s="58"/>
      <c r="F13" s="63">
        <f>Cadastro!F9</f>
        <v>0</v>
      </c>
      <c r="G13" s="64">
        <f>COUNTIF($B$5:$B$9,'Base Painel Gerencial'!F13)</f>
        <v>0</v>
      </c>
      <c r="H13" s="65">
        <f t="shared" si="3"/>
        <v>0</v>
      </c>
    </row>
    <row r="14" spans="2:32" ht="16.5" thickTop="1" thickBot="1" x14ac:dyDescent="0.3">
      <c r="B14" s="59"/>
      <c r="C14" s="61"/>
      <c r="D14" s="58"/>
      <c r="F14" s="63">
        <f>Cadastro!F10</f>
        <v>0</v>
      </c>
      <c r="G14" s="64">
        <f>COUNTIF($B$5:$B$9,'Base Painel Gerencial'!F14)</f>
        <v>0</v>
      </c>
      <c r="H14" s="65">
        <f t="shared" si="3"/>
        <v>0</v>
      </c>
    </row>
    <row r="15" spans="2:32" ht="16.5" thickTop="1" thickBot="1" x14ac:dyDescent="0.3">
      <c r="B15" s="59"/>
      <c r="C15" s="61"/>
      <c r="D15" s="58"/>
      <c r="F15" s="63" t="str">
        <f>Cadastro!F11</f>
        <v>-</v>
      </c>
      <c r="G15" s="64">
        <f>COUNTIF($B$5:$B$9,'Base Painel Gerencial'!F15)</f>
        <v>0</v>
      </c>
      <c r="H15" s="65">
        <f t="shared" si="3"/>
        <v>0</v>
      </c>
    </row>
    <row r="16" spans="2:32" ht="16.5" thickTop="1" thickBot="1" x14ac:dyDescent="0.3">
      <c r="B16" s="59"/>
      <c r="C16" s="61"/>
      <c r="D16" s="58"/>
      <c r="F16" s="63" t="str">
        <f>Cadastro!F12</f>
        <v>-</v>
      </c>
      <c r="G16" s="64">
        <f>COUNTIF($B$5:$B$9,'Base Painel Gerencial'!F16)</f>
        <v>0</v>
      </c>
      <c r="H16" s="65">
        <f t="shared" si="3"/>
        <v>0</v>
      </c>
    </row>
    <row r="17" spans="2:18" ht="16.5" thickTop="1" thickBot="1" x14ac:dyDescent="0.3">
      <c r="B17" s="59"/>
      <c r="C17" s="61"/>
      <c r="D17" s="58"/>
      <c r="F17" s="63" t="str">
        <f>Cadastro!F13</f>
        <v>-</v>
      </c>
      <c r="G17" s="64">
        <f>COUNTIF($B$5:$B$9,'Base Painel Gerencial'!F17)</f>
        <v>0</v>
      </c>
      <c r="H17" s="65">
        <f t="shared" si="3"/>
        <v>0</v>
      </c>
    </row>
    <row r="18" spans="2:18" ht="16.5" thickTop="1" thickBot="1" x14ac:dyDescent="0.3">
      <c r="B18" s="59"/>
      <c r="C18" s="61"/>
      <c r="D18" s="58"/>
      <c r="F18" s="63" t="str">
        <f>Cadastro!F14</f>
        <v>-</v>
      </c>
      <c r="G18" s="64">
        <f>COUNTIF($B$5:$B$9,'Base Painel Gerencial'!F18)</f>
        <v>0</v>
      </c>
      <c r="H18" s="65">
        <f t="shared" si="3"/>
        <v>0</v>
      </c>
    </row>
    <row r="19" spans="2:18" ht="16.5" thickTop="1" thickBot="1" x14ac:dyDescent="0.3">
      <c r="B19" s="59"/>
      <c r="C19" s="61"/>
      <c r="D19" s="58"/>
      <c r="F19" s="63" t="str">
        <f>Cadastro!F15</f>
        <v>-</v>
      </c>
      <c r="G19" s="64">
        <f>COUNTIF($B$5:$B$9,'Base Painel Gerencial'!F19)</f>
        <v>0</v>
      </c>
      <c r="H19" s="65">
        <f t="shared" si="3"/>
        <v>0</v>
      </c>
    </row>
    <row r="20" spans="2:18" ht="16.5" thickTop="1" thickBot="1" x14ac:dyDescent="0.3">
      <c r="B20" s="59"/>
      <c r="C20" s="61"/>
      <c r="D20" s="58"/>
      <c r="F20" s="63" t="str">
        <f>Cadastro!F16</f>
        <v>-</v>
      </c>
      <c r="G20" s="64">
        <f>COUNTIF($B$5:$B$9,'Base Painel Gerencial'!F20)</f>
        <v>0</v>
      </c>
      <c r="H20" s="65">
        <f t="shared" si="3"/>
        <v>0</v>
      </c>
    </row>
    <row r="21" spans="2:18" ht="16.5" thickTop="1" thickBot="1" x14ac:dyDescent="0.3">
      <c r="B21" s="59"/>
      <c r="C21" s="61"/>
      <c r="D21" s="58"/>
      <c r="F21" s="63" t="str">
        <f>Cadastro!F17</f>
        <v>-</v>
      </c>
      <c r="G21" s="64">
        <f>COUNTIF($B$5:$B$9,'Base Painel Gerencial'!F21)</f>
        <v>0</v>
      </c>
      <c r="H21" s="65">
        <f t="shared" si="3"/>
        <v>0</v>
      </c>
    </row>
    <row r="22" spans="2:18" ht="16.5" thickTop="1" thickBot="1" x14ac:dyDescent="0.3">
      <c r="B22" s="59"/>
      <c r="C22" s="61"/>
      <c r="D22" s="58"/>
    </row>
    <row r="23" spans="2:18" ht="16.5" thickTop="1" thickBot="1" x14ac:dyDescent="0.3">
      <c r="B23" s="59"/>
      <c r="C23" s="61"/>
      <c r="D23" s="58"/>
      <c r="F23" s="202" t="s">
        <v>53</v>
      </c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</row>
    <row r="24" spans="2:18" ht="16.5" thickTop="1" thickBot="1" x14ac:dyDescent="0.3">
      <c r="B24" s="59"/>
      <c r="C24" s="61"/>
      <c r="D24" s="58"/>
      <c r="G24" s="60" t="s">
        <v>49</v>
      </c>
      <c r="H24" s="62" t="s">
        <v>52</v>
      </c>
    </row>
    <row r="25" spans="2:18" ht="16.5" thickTop="1" thickBot="1" x14ac:dyDescent="0.3">
      <c r="B25" s="59"/>
      <c r="C25" s="61"/>
      <c r="D25" s="58"/>
      <c r="F25" s="63" t="s">
        <v>106</v>
      </c>
      <c r="G25" s="64">
        <f>COUNTIF('Acompanhamento Geral'!$N$5:$N$9,"s")</f>
        <v>5</v>
      </c>
      <c r="H25" s="65">
        <f>IFERROR(G25/SUM($G$25:$G$26),0)</f>
        <v>1</v>
      </c>
    </row>
    <row r="26" spans="2:18" ht="16.5" thickTop="1" thickBot="1" x14ac:dyDescent="0.3">
      <c r="B26" s="59"/>
      <c r="C26" s="61"/>
      <c r="D26" s="58"/>
      <c r="F26" s="63" t="s">
        <v>107</v>
      </c>
      <c r="G26" s="64">
        <f>COUNTIF('Acompanhamento Geral'!$N$5:$N$9,"n")</f>
        <v>0</v>
      </c>
      <c r="H26" s="65">
        <f t="shared" ref="H26" si="4">IFERROR(G26/SUM($G$25:$G$26),0)</f>
        <v>0</v>
      </c>
    </row>
    <row r="27" spans="2:18" ht="16.5" thickTop="1" thickBot="1" x14ac:dyDescent="0.3">
      <c r="B27" s="59"/>
      <c r="C27" s="61"/>
      <c r="D27" s="58"/>
    </row>
    <row r="28" spans="2:18" ht="16.5" thickTop="1" thickBot="1" x14ac:dyDescent="0.3">
      <c r="B28" s="59"/>
      <c r="C28" s="61"/>
      <c r="D28" s="58"/>
      <c r="F28" s="202" t="s">
        <v>47</v>
      </c>
      <c r="G28" s="202"/>
      <c r="H28" s="202"/>
      <c r="I28" s="66"/>
      <c r="J28" s="202" t="s">
        <v>108</v>
      </c>
      <c r="K28" s="202"/>
      <c r="L28" s="202"/>
      <c r="M28" s="66"/>
      <c r="N28" s="66"/>
      <c r="O28" s="66"/>
      <c r="P28" s="66"/>
      <c r="Q28" s="66"/>
      <c r="R28" s="66"/>
    </row>
    <row r="29" spans="2:18" ht="16.5" thickTop="1" thickBot="1" x14ac:dyDescent="0.3">
      <c r="B29" s="59"/>
      <c r="C29" s="61"/>
      <c r="D29" s="58"/>
      <c r="G29" s="60" t="s">
        <v>49</v>
      </c>
      <c r="H29" s="62" t="s">
        <v>52</v>
      </c>
      <c r="J29" s="67">
        <f>'Acompanhamento Geral'!B5</f>
        <v>0</v>
      </c>
      <c r="K29" s="68" t="str">
        <f>'Acompanhamento Geral'!M5</f>
        <v>-</v>
      </c>
      <c r="L29" s="68" t="str">
        <f>K29</f>
        <v>-</v>
      </c>
    </row>
    <row r="30" spans="2:18" ht="16.5" thickTop="1" thickBot="1" x14ac:dyDescent="0.3">
      <c r="B30" s="59"/>
      <c r="C30" s="61"/>
      <c r="D30" s="58"/>
      <c r="F30" s="63" t="str">
        <f>Cadastro!H7</f>
        <v>Agropecuária</v>
      </c>
      <c r="G30" s="64">
        <f>COUNTIF('Acompanhamento Geral'!$C:$C,F30)</f>
        <v>0</v>
      </c>
      <c r="H30" s="65">
        <f>IFERROR(G30/SUM($G$30:$G$69),0)</f>
        <v>0</v>
      </c>
      <c r="J30" s="69">
        <f>'Acompanhamento Geral'!B6</f>
        <v>0</v>
      </c>
      <c r="K30" s="65" t="str">
        <f>'Acompanhamento Geral'!M6</f>
        <v>-</v>
      </c>
      <c r="L30" s="68" t="str">
        <f t="shared" ref="L30:L33" si="5">K30</f>
        <v>-</v>
      </c>
    </row>
    <row r="31" spans="2:18" ht="16.5" thickTop="1" thickBot="1" x14ac:dyDescent="0.3">
      <c r="B31" s="59"/>
      <c r="C31" s="61"/>
      <c r="D31" s="58"/>
      <c r="F31" s="63" t="str">
        <f>Cadastro!H8</f>
        <v>Água, gás e saneamento</v>
      </c>
      <c r="G31" s="64">
        <f>COUNTIF('Acompanhamento Geral'!$C:$C,F31)</f>
        <v>0</v>
      </c>
      <c r="H31" s="65">
        <f t="shared" ref="H31:H69" si="6">IFERROR(G31/SUM($G$30:$G$69),0)</f>
        <v>0</v>
      </c>
      <c r="J31" s="69">
        <f>'Acompanhamento Geral'!B7</f>
        <v>0</v>
      </c>
      <c r="K31" s="65" t="str">
        <f>'Acompanhamento Geral'!M7</f>
        <v>-</v>
      </c>
      <c r="L31" s="68" t="str">
        <f t="shared" si="5"/>
        <v>-</v>
      </c>
    </row>
    <row r="32" spans="2:18" ht="16.5" thickTop="1" thickBot="1" x14ac:dyDescent="0.3">
      <c r="B32" s="59"/>
      <c r="C32" s="61"/>
      <c r="D32" s="58"/>
      <c r="F32" s="63" t="str">
        <f>Cadastro!H9</f>
        <v>Alimentos processados</v>
      </c>
      <c r="G32" s="64">
        <f>COUNTIF('Acompanhamento Geral'!$C:$C,F32)</f>
        <v>0</v>
      </c>
      <c r="H32" s="65">
        <f t="shared" si="6"/>
        <v>0</v>
      </c>
      <c r="J32" s="69">
        <f>'Acompanhamento Geral'!B8</f>
        <v>0</v>
      </c>
      <c r="K32" s="65" t="str">
        <f>'Acompanhamento Geral'!M8</f>
        <v>-</v>
      </c>
      <c r="L32" s="68" t="str">
        <f t="shared" si="5"/>
        <v>-</v>
      </c>
    </row>
    <row r="33" spans="2:12" ht="16.5" thickTop="1" thickBot="1" x14ac:dyDescent="0.3">
      <c r="B33" s="59"/>
      <c r="C33" s="61"/>
      <c r="D33" s="58"/>
      <c r="F33" s="63" t="str">
        <f>Cadastro!H10</f>
        <v>Atacado</v>
      </c>
      <c r="G33" s="64">
        <f>COUNTIF('Acompanhamento Geral'!$C:$C,F33)</f>
        <v>0</v>
      </c>
      <c r="H33" s="65">
        <f t="shared" si="6"/>
        <v>0</v>
      </c>
      <c r="J33" s="69">
        <f>'Acompanhamento Geral'!B9</f>
        <v>0</v>
      </c>
      <c r="K33" s="65" t="str">
        <f>'Acompanhamento Geral'!M9</f>
        <v>-</v>
      </c>
      <c r="L33" s="68" t="str">
        <f t="shared" si="5"/>
        <v>-</v>
      </c>
    </row>
    <row r="34" spans="2:12" ht="16.5" thickTop="1" thickBot="1" x14ac:dyDescent="0.3">
      <c r="B34" s="59"/>
      <c r="C34" s="61"/>
      <c r="D34" s="58"/>
      <c r="F34" s="63" t="str">
        <f>Cadastro!H11</f>
        <v>Bancos</v>
      </c>
      <c r="G34" s="64">
        <f>COUNTIF('Acompanhamento Geral'!$C:$C,F34)</f>
        <v>0</v>
      </c>
      <c r="H34" s="65">
        <f t="shared" si="6"/>
        <v>0</v>
      </c>
      <c r="J34" s="69"/>
      <c r="K34" s="65"/>
      <c r="L34" s="68"/>
    </row>
    <row r="35" spans="2:12" ht="16.5" thickTop="1" thickBot="1" x14ac:dyDescent="0.3">
      <c r="B35" s="59"/>
      <c r="C35" s="61"/>
      <c r="D35" s="58"/>
      <c r="F35" s="63" t="str">
        <f>Cadastro!H12</f>
        <v>Carnes e derivados</v>
      </c>
      <c r="G35" s="64">
        <f>COUNTIF('Acompanhamento Geral'!$C:$C,F35)</f>
        <v>0</v>
      </c>
      <c r="H35" s="65">
        <f t="shared" si="6"/>
        <v>0</v>
      </c>
      <c r="J35" s="69"/>
      <c r="K35" s="65"/>
      <c r="L35" s="68"/>
    </row>
    <row r="36" spans="2:12" ht="16.5" thickTop="1" thickBot="1" x14ac:dyDescent="0.3">
      <c r="B36" s="59"/>
      <c r="C36" s="61"/>
      <c r="D36" s="58"/>
      <c r="F36" s="63" t="str">
        <f>Cadastro!H13</f>
        <v>Comércio</v>
      </c>
      <c r="G36" s="64">
        <f>COUNTIF('Acompanhamento Geral'!$C:$C,F36)</f>
        <v>0</v>
      </c>
      <c r="H36" s="65">
        <f t="shared" si="6"/>
        <v>0</v>
      </c>
      <c r="J36" s="69"/>
      <c r="K36" s="65"/>
      <c r="L36" s="68"/>
    </row>
    <row r="37" spans="2:12" ht="16.5" thickTop="1" thickBot="1" x14ac:dyDescent="0.3">
      <c r="B37" s="59"/>
      <c r="C37" s="61"/>
      <c r="D37" s="58"/>
      <c r="F37" s="63" t="str">
        <f>Cadastro!H14</f>
        <v>Construção civil e intermediação</v>
      </c>
      <c r="G37" s="64">
        <f>COUNTIF('Acompanhamento Geral'!$C:$C,F37)</f>
        <v>0</v>
      </c>
      <c r="H37" s="65">
        <f t="shared" si="6"/>
        <v>0</v>
      </c>
      <c r="J37" s="69"/>
      <c r="K37" s="65"/>
      <c r="L37" s="68"/>
    </row>
    <row r="38" spans="2:12" ht="16.5" thickTop="1" thickBot="1" x14ac:dyDescent="0.3">
      <c r="B38" s="59"/>
      <c r="C38" s="61"/>
      <c r="D38" s="58"/>
      <c r="F38" s="63" t="str">
        <f>Cadastro!H15</f>
        <v>Construção pesada e engenharia</v>
      </c>
      <c r="G38" s="64">
        <f>COUNTIF('Acompanhamento Geral'!$C:$C,F38)</f>
        <v>0</v>
      </c>
      <c r="H38" s="65">
        <f t="shared" si="6"/>
        <v>0</v>
      </c>
      <c r="J38" s="69"/>
      <c r="K38" s="65"/>
      <c r="L38" s="68"/>
    </row>
    <row r="39" spans="2:12" ht="16.5" thickTop="1" thickBot="1" x14ac:dyDescent="0.3">
      <c r="B39" s="59"/>
      <c r="C39" s="61"/>
      <c r="D39" s="58"/>
      <c r="F39" s="63" t="str">
        <f>Cadastro!H16</f>
        <v>Energia elétrica</v>
      </c>
      <c r="G39" s="64">
        <f>COUNTIF('Acompanhamento Geral'!$C:$C,F39)</f>
        <v>0</v>
      </c>
      <c r="H39" s="65">
        <f t="shared" si="6"/>
        <v>0</v>
      </c>
      <c r="J39" s="69"/>
      <c r="K39" s="65"/>
      <c r="L39" s="68"/>
    </row>
    <row r="40" spans="2:12" ht="16.5" thickTop="1" thickBot="1" x14ac:dyDescent="0.3">
      <c r="B40" s="59"/>
      <c r="C40" s="61"/>
      <c r="D40" s="58"/>
      <c r="F40" s="63" t="str">
        <f>Cadastro!H17</f>
        <v>Equipamentos, máquinas e peças</v>
      </c>
      <c r="G40" s="64">
        <f>COUNTIF('Acompanhamento Geral'!$C:$C,F40)</f>
        <v>0</v>
      </c>
      <c r="H40" s="65">
        <f t="shared" si="6"/>
        <v>0</v>
      </c>
      <c r="J40" s="69"/>
      <c r="K40" s="65"/>
      <c r="L40" s="68"/>
    </row>
    <row r="41" spans="2:12" ht="16.5" thickTop="1" thickBot="1" x14ac:dyDescent="0.3">
      <c r="B41" s="59"/>
      <c r="C41" s="61"/>
      <c r="D41" s="58"/>
      <c r="F41" s="63" t="str">
        <f>Cadastro!H18</f>
        <v>Holdings</v>
      </c>
      <c r="G41" s="64">
        <f>COUNTIF('Acompanhamento Geral'!$C:$C,F41)</f>
        <v>0</v>
      </c>
      <c r="H41" s="65">
        <f t="shared" si="6"/>
        <v>0</v>
      </c>
      <c r="J41" s="69"/>
      <c r="K41" s="65"/>
      <c r="L41" s="68"/>
    </row>
    <row r="42" spans="2:12" ht="16.5" thickTop="1" thickBot="1" x14ac:dyDescent="0.3">
      <c r="B42" s="59"/>
      <c r="C42" s="61"/>
      <c r="D42" s="58"/>
      <c r="F42" s="63" t="str">
        <f>Cadastro!H19</f>
        <v>Hospitais</v>
      </c>
      <c r="G42" s="64">
        <f>COUNTIF('Acompanhamento Geral'!$C:$C,F42)</f>
        <v>0</v>
      </c>
      <c r="H42" s="65">
        <f t="shared" si="6"/>
        <v>0</v>
      </c>
      <c r="J42" s="69"/>
      <c r="K42" s="65"/>
      <c r="L42" s="68"/>
    </row>
    <row r="43" spans="2:12" ht="16.5" thickTop="1" thickBot="1" x14ac:dyDescent="0.3">
      <c r="B43" s="59"/>
      <c r="C43" s="61"/>
      <c r="D43" s="58"/>
      <c r="F43" s="63" t="str">
        <f>Cadastro!H20</f>
        <v>Hotelaria e Restaurantes</v>
      </c>
      <c r="G43" s="64">
        <f>COUNTIF('Acompanhamento Geral'!$C:$C,F43)</f>
        <v>0</v>
      </c>
      <c r="H43" s="65">
        <f t="shared" si="6"/>
        <v>0</v>
      </c>
      <c r="J43" s="69"/>
      <c r="K43" s="65"/>
      <c r="L43" s="68"/>
    </row>
    <row r="44" spans="2:12" ht="16.5" thickTop="1" thickBot="1" x14ac:dyDescent="0.3">
      <c r="B44" s="59"/>
      <c r="C44" s="61"/>
      <c r="D44" s="58"/>
      <c r="F44" s="63" t="str">
        <f>Cadastro!H21</f>
        <v>Imóveis comerciais e shoppings</v>
      </c>
      <c r="G44" s="64">
        <f>COUNTIF('Acompanhamento Geral'!$C:$C,F44)</f>
        <v>0</v>
      </c>
      <c r="H44" s="65">
        <f t="shared" si="6"/>
        <v>0</v>
      </c>
      <c r="J44" s="69"/>
      <c r="K44" s="65"/>
      <c r="L44" s="68"/>
    </row>
    <row r="45" spans="2:12" ht="16.5" thickTop="1" thickBot="1" x14ac:dyDescent="0.3">
      <c r="B45" s="59"/>
      <c r="C45" s="61"/>
      <c r="D45" s="58"/>
      <c r="F45" s="63" t="str">
        <f>Cadastro!H22</f>
        <v>Industria digital</v>
      </c>
      <c r="G45" s="64">
        <f>COUNTIF('Acompanhamento Geral'!$C:$C,F45)</f>
        <v>0</v>
      </c>
      <c r="H45" s="65">
        <f t="shared" si="6"/>
        <v>0</v>
      </c>
      <c r="J45" s="69"/>
      <c r="K45" s="65"/>
      <c r="L45" s="68"/>
    </row>
    <row r="46" spans="2:12" ht="16.5" thickTop="1" thickBot="1" x14ac:dyDescent="0.3">
      <c r="B46" s="59"/>
      <c r="C46" s="61"/>
      <c r="D46" s="58"/>
      <c r="F46" s="63" t="str">
        <f>Cadastro!H23</f>
        <v>Industrias de alimentos</v>
      </c>
      <c r="G46" s="64">
        <f>COUNTIF('Acompanhamento Geral'!$C:$C,F46)</f>
        <v>0</v>
      </c>
      <c r="H46" s="65">
        <f t="shared" si="6"/>
        <v>0</v>
      </c>
      <c r="J46" s="69"/>
      <c r="K46" s="65"/>
      <c r="L46" s="68"/>
    </row>
    <row r="47" spans="2:12" ht="16.5" thickTop="1" thickBot="1" x14ac:dyDescent="0.3">
      <c r="B47" s="59"/>
      <c r="C47" s="61"/>
      <c r="D47" s="58"/>
      <c r="F47" s="63" t="str">
        <f>Cadastro!H24</f>
        <v>Industria em geral</v>
      </c>
      <c r="G47" s="64">
        <f>COUNTIF('Acompanhamento Geral'!$C:$C,F47)</f>
        <v>0</v>
      </c>
      <c r="H47" s="65">
        <f t="shared" si="6"/>
        <v>0</v>
      </c>
      <c r="J47" s="69"/>
      <c r="K47" s="65"/>
      <c r="L47" s="68"/>
    </row>
    <row r="48" spans="2:12" ht="16.5" thickTop="1" thickBot="1" x14ac:dyDescent="0.3">
      <c r="B48" s="59"/>
      <c r="C48" s="61"/>
      <c r="D48" s="58"/>
      <c r="F48" s="63" t="str">
        <f>Cadastro!H25</f>
        <v>Logística</v>
      </c>
      <c r="G48" s="64">
        <f>COUNTIF('Acompanhamento Geral'!$C:$C,F48)</f>
        <v>0</v>
      </c>
      <c r="H48" s="65">
        <f t="shared" si="6"/>
        <v>0</v>
      </c>
      <c r="J48" s="69"/>
      <c r="K48" s="65"/>
      <c r="L48" s="68"/>
    </row>
    <row r="49" spans="2:12" ht="16.5" thickTop="1" thickBot="1" x14ac:dyDescent="0.3">
      <c r="B49" s="59"/>
      <c r="C49" s="61"/>
      <c r="D49" s="58"/>
      <c r="F49" s="63" t="str">
        <f>Cadastro!H26</f>
        <v>Materiais diversos</v>
      </c>
      <c r="G49" s="64">
        <f>COUNTIF('Acompanhamento Geral'!$C:$C,F49)</f>
        <v>0</v>
      </c>
      <c r="H49" s="65">
        <f t="shared" si="6"/>
        <v>0</v>
      </c>
      <c r="J49" s="69"/>
      <c r="K49" s="65"/>
      <c r="L49" s="68"/>
    </row>
    <row r="50" spans="2:12" ht="16.5" thickTop="1" thickBot="1" x14ac:dyDescent="0.3">
      <c r="B50" s="59">
        <f>'Acompanhamento Geral'!E10</f>
        <v>0</v>
      </c>
      <c r="C50" s="61">
        <f>'Acompanhamento Geral'!M10</f>
        <v>0</v>
      </c>
      <c r="D50" s="58">
        <f>'Acompanhamento Geral'!C10</f>
        <v>0</v>
      </c>
      <c r="F50" s="63" t="str">
        <f>Cadastro!H27</f>
        <v>Mineração</v>
      </c>
      <c r="G50" s="64">
        <f>COUNTIF('Acompanhamento Geral'!$C:$C,F50)</f>
        <v>0</v>
      </c>
      <c r="H50" s="65">
        <f t="shared" si="6"/>
        <v>0</v>
      </c>
      <c r="J50" s="69"/>
      <c r="K50" s="65"/>
      <c r="L50" s="68"/>
    </row>
    <row r="51" spans="2:12" ht="16.5" thickTop="1" thickBot="1" x14ac:dyDescent="0.3">
      <c r="F51" s="63" t="str">
        <f>Cadastro!H28</f>
        <v>Negócios de lazer e eventos</v>
      </c>
      <c r="G51" s="64">
        <f>COUNTIF('Acompanhamento Geral'!$C:$C,F51)</f>
        <v>0</v>
      </c>
      <c r="H51" s="65">
        <f t="shared" si="6"/>
        <v>0</v>
      </c>
      <c r="J51" s="69"/>
      <c r="K51" s="65"/>
      <c r="L51" s="68"/>
    </row>
    <row r="52" spans="2:12" ht="16.5" thickTop="1" thickBot="1" x14ac:dyDescent="0.3">
      <c r="F52" s="63" t="str">
        <f>Cadastro!H29</f>
        <v>Papel e madeira</v>
      </c>
      <c r="G52" s="64">
        <f>COUNTIF('Acompanhamento Geral'!$C:$C,F52)</f>
        <v>0</v>
      </c>
      <c r="H52" s="65">
        <f t="shared" si="6"/>
        <v>0</v>
      </c>
      <c r="J52" s="69"/>
      <c r="K52" s="65"/>
      <c r="L52" s="68"/>
    </row>
    <row r="53" spans="2:12" ht="16.5" thickTop="1" thickBot="1" x14ac:dyDescent="0.3">
      <c r="F53" s="63" t="str">
        <f>Cadastro!H30</f>
        <v>Petróleo, gás e combustíveis</v>
      </c>
      <c r="G53" s="64">
        <f>COUNTIF('Acompanhamento Geral'!$C:$C,F53)</f>
        <v>0</v>
      </c>
      <c r="H53" s="65">
        <f t="shared" si="6"/>
        <v>0</v>
      </c>
      <c r="J53" s="69"/>
      <c r="K53" s="65"/>
      <c r="L53" s="68"/>
    </row>
    <row r="54" spans="2:12" ht="16.5" thickTop="1" thickBot="1" x14ac:dyDescent="0.3">
      <c r="F54" s="63" t="str">
        <f>Cadastro!H31</f>
        <v>Prestação de Serviços</v>
      </c>
      <c r="G54" s="64">
        <f>COUNTIF('Acompanhamento Geral'!$C:$C,F54)</f>
        <v>0</v>
      </c>
      <c r="H54" s="65">
        <f t="shared" si="6"/>
        <v>0</v>
      </c>
      <c r="J54" s="69"/>
      <c r="K54" s="65"/>
      <c r="L54" s="68"/>
    </row>
    <row r="55" spans="2:12" ht="16.5" thickTop="1" thickBot="1" x14ac:dyDescent="0.3">
      <c r="F55" s="63" t="str">
        <f>Cadastro!H32</f>
        <v>Química e petroquímica</v>
      </c>
      <c r="G55" s="64">
        <f>COUNTIF('Acompanhamento Geral'!$C:$C,F55)</f>
        <v>0</v>
      </c>
      <c r="H55" s="65">
        <f t="shared" si="6"/>
        <v>0</v>
      </c>
      <c r="J55" s="69"/>
      <c r="K55" s="65"/>
      <c r="L55" s="68"/>
    </row>
    <row r="56" spans="2:12" ht="16.5" thickTop="1" thickBot="1" x14ac:dyDescent="0.3">
      <c r="F56" s="63" t="str">
        <f>Cadastro!H33</f>
        <v>Roupas, calçados e acessórios</v>
      </c>
      <c r="G56" s="64">
        <f>COUNTIF('Acompanhamento Geral'!$C:$C,F56)</f>
        <v>0</v>
      </c>
      <c r="H56" s="65">
        <f t="shared" si="6"/>
        <v>0</v>
      </c>
      <c r="J56" s="69"/>
      <c r="K56" s="65"/>
      <c r="L56" s="68"/>
    </row>
    <row r="57" spans="2:12" ht="16.5" thickTop="1" thickBot="1" x14ac:dyDescent="0.3">
      <c r="F57" s="63" t="str">
        <f>Cadastro!H34</f>
        <v>Serviços diversos</v>
      </c>
      <c r="G57" s="64">
        <f>COUNTIF('Acompanhamento Geral'!$C:$C,F57)</f>
        <v>0</v>
      </c>
      <c r="H57" s="65">
        <f t="shared" si="6"/>
        <v>0</v>
      </c>
      <c r="J57" s="69"/>
      <c r="K57" s="65"/>
      <c r="L57" s="68"/>
    </row>
    <row r="58" spans="2:12" ht="16.5" thickTop="1" thickBot="1" x14ac:dyDescent="0.3">
      <c r="F58" s="63" t="str">
        <f>Cadastro!H35</f>
        <v>Serviços financeiros</v>
      </c>
      <c r="G58" s="64">
        <f>COUNTIF('Acompanhamento Geral'!$C:$C,F58)</f>
        <v>0</v>
      </c>
      <c r="H58" s="65">
        <f t="shared" si="6"/>
        <v>0</v>
      </c>
      <c r="J58" s="69"/>
      <c r="K58" s="65"/>
      <c r="L58" s="68"/>
    </row>
    <row r="59" spans="2:12" ht="16.5" thickTop="1" thickBot="1" x14ac:dyDescent="0.3">
      <c r="F59" s="63" t="str">
        <f>Cadastro!H36</f>
        <v>Setor de educação</v>
      </c>
      <c r="G59" s="64">
        <f>COUNTIF('Acompanhamento Geral'!$C:$C,F59)</f>
        <v>0</v>
      </c>
      <c r="H59" s="65">
        <f t="shared" si="6"/>
        <v>0</v>
      </c>
      <c r="J59" s="69"/>
      <c r="K59" s="65"/>
      <c r="L59" s="68"/>
    </row>
    <row r="60" spans="2:12" ht="16.5" thickTop="1" thickBot="1" x14ac:dyDescent="0.3">
      <c r="F60" s="63" t="str">
        <f>Cadastro!H37</f>
        <v>Setor de saúde</v>
      </c>
      <c r="G60" s="64">
        <f>COUNTIF('Acompanhamento Geral'!$C:$C,F60)</f>
        <v>0</v>
      </c>
      <c r="H60" s="65">
        <f t="shared" si="6"/>
        <v>0</v>
      </c>
      <c r="J60" s="69"/>
      <c r="K60" s="65"/>
      <c r="L60" s="68"/>
    </row>
    <row r="61" spans="2:12" ht="16.5" thickTop="1" thickBot="1" x14ac:dyDescent="0.3">
      <c r="F61" s="63" t="str">
        <f>Cadastro!H38</f>
        <v>Setor de seguros</v>
      </c>
      <c r="G61" s="64">
        <f>COUNTIF('Acompanhamento Geral'!$C:$C,F61)</f>
        <v>0</v>
      </c>
      <c r="H61" s="65">
        <f t="shared" si="6"/>
        <v>0</v>
      </c>
      <c r="J61" s="69"/>
      <c r="K61" s="65"/>
      <c r="L61" s="68"/>
    </row>
    <row r="62" spans="2:12" ht="16.5" thickTop="1" thickBot="1" x14ac:dyDescent="0.3">
      <c r="F62" s="63" t="str">
        <f>Cadastro!H39</f>
        <v>Setor de transporte</v>
      </c>
      <c r="G62" s="64">
        <f>COUNTIF('Acompanhamento Geral'!$C:$C,F62)</f>
        <v>0</v>
      </c>
      <c r="H62" s="65">
        <f t="shared" si="6"/>
        <v>0</v>
      </c>
      <c r="J62" s="69"/>
      <c r="K62" s="65"/>
      <c r="L62" s="68"/>
    </row>
    <row r="63" spans="2:12" ht="16.5" thickTop="1" thickBot="1" x14ac:dyDescent="0.3">
      <c r="F63" s="63" t="str">
        <f>Cadastro!H40</f>
        <v>Siderurgia e metalurgia</v>
      </c>
      <c r="G63" s="64">
        <f>COUNTIF('Acompanhamento Geral'!$C:$C,F63)</f>
        <v>0</v>
      </c>
      <c r="H63" s="65">
        <f t="shared" si="6"/>
        <v>0</v>
      </c>
      <c r="J63" s="69"/>
      <c r="K63" s="65"/>
      <c r="L63" s="68"/>
    </row>
    <row r="64" spans="2:12" ht="16.5" thickTop="1" thickBot="1" x14ac:dyDescent="0.3">
      <c r="F64" s="63" t="str">
        <f>Cadastro!H41</f>
        <v>Supermercados</v>
      </c>
      <c r="G64" s="64">
        <f>COUNTIF('Acompanhamento Geral'!$C:$C,F64)</f>
        <v>0</v>
      </c>
      <c r="H64" s="65">
        <f t="shared" si="6"/>
        <v>0</v>
      </c>
      <c r="J64" s="69"/>
      <c r="K64" s="65"/>
      <c r="L64" s="68"/>
    </row>
    <row r="65" spans="6:12" ht="16.5" thickTop="1" thickBot="1" x14ac:dyDescent="0.3">
      <c r="F65" s="63" t="str">
        <f>Cadastro!H42</f>
        <v>Tecnologia da informação</v>
      </c>
      <c r="G65" s="64">
        <f>COUNTIF('Acompanhamento Geral'!$C:$C,F65)</f>
        <v>0</v>
      </c>
      <c r="H65" s="65">
        <f t="shared" si="6"/>
        <v>0</v>
      </c>
      <c r="J65" s="69"/>
      <c r="K65" s="65"/>
      <c r="L65" s="68"/>
    </row>
    <row r="66" spans="6:12" ht="16.5" thickTop="1" thickBot="1" x14ac:dyDescent="0.3">
      <c r="F66" s="63" t="str">
        <f>Cadastro!H43</f>
        <v>Telecomunicações</v>
      </c>
      <c r="G66" s="64">
        <f>COUNTIF('Acompanhamento Geral'!$C:$C,F66)</f>
        <v>0</v>
      </c>
      <c r="H66" s="65">
        <f t="shared" si="6"/>
        <v>0</v>
      </c>
      <c r="J66" s="69"/>
      <c r="K66" s="65"/>
      <c r="L66" s="68"/>
    </row>
    <row r="67" spans="6:12" ht="16.5" thickTop="1" thickBot="1" x14ac:dyDescent="0.3">
      <c r="F67" s="63" t="str">
        <f>Cadastro!H44</f>
        <v>Têxteis</v>
      </c>
      <c r="G67" s="64">
        <f>COUNTIF('Acompanhamento Geral'!$C:$C,F67)</f>
        <v>0</v>
      </c>
      <c r="H67" s="65">
        <f t="shared" si="6"/>
        <v>0</v>
      </c>
      <c r="J67" s="69"/>
      <c r="K67" s="65"/>
      <c r="L67" s="68"/>
    </row>
    <row r="68" spans="6:12" ht="16.5" thickTop="1" thickBot="1" x14ac:dyDescent="0.3">
      <c r="F68" s="63" t="str">
        <f>Cadastro!H45</f>
        <v>Utilidades domésticas</v>
      </c>
      <c r="G68" s="64">
        <f>COUNTIF('Acompanhamento Geral'!$C:$C,F68)</f>
        <v>0</v>
      </c>
      <c r="H68" s="65">
        <f t="shared" si="6"/>
        <v>0</v>
      </c>
      <c r="J68" s="69"/>
      <c r="K68" s="65"/>
      <c r="L68" s="68"/>
    </row>
    <row r="69" spans="6:12" ht="16.5" thickTop="1" thickBot="1" x14ac:dyDescent="0.3">
      <c r="F69" s="63" t="str">
        <f>Cadastro!H46</f>
        <v>Varejo</v>
      </c>
      <c r="G69" s="64">
        <f>COUNTIF('Acompanhamento Geral'!$C:$C,F69)</f>
        <v>0</v>
      </c>
      <c r="H69" s="65">
        <f t="shared" si="6"/>
        <v>0</v>
      </c>
      <c r="J69" s="69"/>
      <c r="K69" s="65"/>
      <c r="L69" s="68"/>
    </row>
    <row r="70" spans="6:12" ht="15.75" thickTop="1" x14ac:dyDescent="0.25"/>
  </sheetData>
  <mergeCells count="5">
    <mergeCell ref="F9:R9"/>
    <mergeCell ref="F23:R23"/>
    <mergeCell ref="F28:H28"/>
    <mergeCell ref="J28:L28"/>
    <mergeCell ref="F4:AF4"/>
  </mergeCells>
  <conditionalFormatting sqref="C5:C50">
    <cfRule type="cellIs" dxfId="1" priority="1" operator="greaterThanOrEqual">
      <formula>1</formula>
    </cfRule>
    <cfRule type="cellIs" dxfId="0" priority="2" operator="less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7"/>
  <sheetViews>
    <sheetView zoomScaleNormal="100" workbookViewId="0">
      <selection sqref="A1:L1"/>
    </sheetView>
  </sheetViews>
  <sheetFormatPr defaultColWidth="0" defaultRowHeight="15" zeroHeight="1" x14ac:dyDescent="0.25"/>
  <cols>
    <col min="1" max="1" width="9.140625" style="2" customWidth="1"/>
    <col min="2" max="2" width="22.140625" style="2" bestFit="1" customWidth="1"/>
    <col min="3" max="3" width="11.28515625" style="2" bestFit="1" customWidth="1"/>
    <col min="4" max="4" width="12.42578125" style="2" bestFit="1" customWidth="1"/>
    <col min="5" max="7" width="9.140625" style="2" customWidth="1"/>
    <col min="8" max="14" width="22.28515625" style="2" customWidth="1"/>
    <col min="15" max="16384" width="22.28515625" style="2" hidden="1"/>
  </cols>
  <sheetData>
    <row r="1" spans="1:34" s="94" customFormat="1" ht="36" customHeight="1" x14ac:dyDescent="0.25">
      <c r="A1" s="197" t="s">
        <v>148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</row>
    <row r="2" spans="1:34" x14ac:dyDescent="0.25"/>
    <row r="3" spans="1:34" x14ac:dyDescent="0.25"/>
    <row r="4" spans="1:34" x14ac:dyDescent="0.25"/>
    <row r="5" spans="1:34" x14ac:dyDescent="0.25"/>
    <row r="6" spans="1:34" x14ac:dyDescent="0.25"/>
    <row r="7" spans="1:34" x14ac:dyDescent="0.25"/>
    <row r="8" spans="1:34" x14ac:dyDescent="0.25"/>
    <row r="9" spans="1:34" x14ac:dyDescent="0.25"/>
    <row r="10" spans="1:34" x14ac:dyDescent="0.25"/>
    <row r="11" spans="1:34" x14ac:dyDescent="0.25"/>
    <row r="12" spans="1:34" x14ac:dyDescent="0.25"/>
    <row r="13" spans="1:34" x14ac:dyDescent="0.25"/>
    <row r="14" spans="1:34" x14ac:dyDescent="0.25"/>
    <row r="15" spans="1:34" x14ac:dyDescent="0.25"/>
    <row r="16" spans="1:34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</sheetData>
  <mergeCells count="1">
    <mergeCell ref="A1:L1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Início</vt:lpstr>
      <vt:lpstr>Cadastro</vt:lpstr>
      <vt:lpstr>Acompanhamento Geral</vt:lpstr>
      <vt:lpstr>Projeto 1</vt:lpstr>
      <vt:lpstr>Projeto 2</vt:lpstr>
      <vt:lpstr>Projeto 3</vt:lpstr>
      <vt:lpstr>Projeto 4</vt:lpstr>
      <vt:lpstr>Projeto 5</vt:lpstr>
      <vt:lpstr>Base Painel Gerencial</vt:lpstr>
      <vt:lpstr>Panorama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cp:lastPrinted>2014-03-21T23:49:52Z</cp:lastPrinted>
  <dcterms:created xsi:type="dcterms:W3CDTF">2014-03-18T10:55:52Z</dcterms:created>
  <dcterms:modified xsi:type="dcterms:W3CDTF">2014-06-02T16:11:00Z</dcterms:modified>
</cp:coreProperties>
</file>