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iryelle\Desktop\"/>
    </mc:Choice>
  </mc:AlternateContent>
  <bookViews>
    <workbookView xWindow="-120" yWindow="-120" windowWidth="20730" windowHeight="11160" activeTab="1"/>
  </bookViews>
  <sheets>
    <sheet name="PIS e COFINS" sheetId="1" r:id="rId1"/>
    <sheet name="IRPF e CSLL" sheetId="2" r:id="rId2"/>
  </sheets>
  <definedNames>
    <definedName name="_xlnm.Print_Area" localSheetId="1">'IRPF e CSLL'!$A$1:$F$41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2" i="2"/>
  <c r="F19" i="2" l="1"/>
  <c r="E19" i="2"/>
  <c r="D19" i="2"/>
  <c r="C19" i="2"/>
  <c r="D20" i="1"/>
  <c r="E20" i="1"/>
  <c r="F20" i="1"/>
  <c r="G20" i="1"/>
  <c r="H20" i="1"/>
  <c r="I20" i="1"/>
  <c r="J20" i="1"/>
  <c r="K20" i="1"/>
  <c r="L20" i="1"/>
  <c r="M20" i="1"/>
  <c r="N20" i="1"/>
  <c r="D21" i="1"/>
  <c r="E21" i="1"/>
  <c r="F21" i="1"/>
  <c r="G21" i="1"/>
  <c r="H21" i="1"/>
  <c r="I21" i="1"/>
  <c r="J21" i="1"/>
  <c r="K21" i="1"/>
  <c r="L21" i="1"/>
  <c r="M21" i="1"/>
  <c r="N21" i="1"/>
  <c r="D22" i="1"/>
  <c r="E22" i="1"/>
  <c r="F22" i="1"/>
  <c r="G22" i="1"/>
  <c r="H22" i="1"/>
  <c r="I22" i="1"/>
  <c r="J22" i="1"/>
  <c r="K22" i="1"/>
  <c r="L22" i="1"/>
  <c r="M22" i="1"/>
  <c r="N22" i="1"/>
  <c r="C21" i="1"/>
  <c r="C22" i="1"/>
  <c r="C20" i="1"/>
  <c r="D28" i="2"/>
  <c r="E28" i="2"/>
  <c r="F28" i="2"/>
  <c r="D29" i="2"/>
  <c r="E29" i="2"/>
  <c r="F29" i="2"/>
  <c r="C28" i="2"/>
  <c r="C29" i="2"/>
  <c r="F8" i="2"/>
  <c r="F13" i="2" s="1"/>
  <c r="F7" i="2"/>
  <c r="F12" i="2" s="1"/>
  <c r="E8" i="2"/>
  <c r="E13" i="2" s="1"/>
  <c r="E7" i="2"/>
  <c r="E26" i="2" s="1"/>
  <c r="D8" i="2"/>
  <c r="D13" i="2" s="1"/>
  <c r="D7" i="2"/>
  <c r="D12" i="2" s="1"/>
  <c r="C8" i="2"/>
  <c r="C13" i="2" s="1"/>
  <c r="C7" i="2"/>
  <c r="C26" i="2" s="1"/>
  <c r="C31" i="2" s="1"/>
  <c r="C37" i="2"/>
  <c r="C38" i="2" s="1"/>
  <c r="D37" i="2"/>
  <c r="D38" i="2" s="1"/>
  <c r="E37" i="2"/>
  <c r="E38" i="2" s="1"/>
  <c r="F37" i="2"/>
  <c r="F38" i="2" s="1"/>
  <c r="D10" i="1"/>
  <c r="D11" i="1" s="1"/>
  <c r="D14" i="1" s="1"/>
  <c r="D16" i="1" s="1"/>
  <c r="E10" i="1"/>
  <c r="E11" i="1" s="1"/>
  <c r="E14" i="1" s="1"/>
  <c r="E16" i="1" s="1"/>
  <c r="F10" i="1"/>
  <c r="F11" i="1" s="1"/>
  <c r="F14" i="1" s="1"/>
  <c r="F16" i="1" s="1"/>
  <c r="G10" i="1"/>
  <c r="G11" i="1" s="1"/>
  <c r="G14" i="1" s="1"/>
  <c r="G16" i="1" s="1"/>
  <c r="H10" i="1"/>
  <c r="H11" i="1" s="1"/>
  <c r="H14" i="1" s="1"/>
  <c r="H16" i="1" s="1"/>
  <c r="I10" i="1"/>
  <c r="I11" i="1" s="1"/>
  <c r="I14" i="1" s="1"/>
  <c r="I16" i="1" s="1"/>
  <c r="J10" i="1"/>
  <c r="J11" i="1" s="1"/>
  <c r="J14" i="1" s="1"/>
  <c r="J16" i="1" s="1"/>
  <c r="K10" i="1"/>
  <c r="K11" i="1" s="1"/>
  <c r="K14" i="1" s="1"/>
  <c r="K16" i="1" s="1"/>
  <c r="L10" i="1"/>
  <c r="L11" i="1" s="1"/>
  <c r="L14" i="1" s="1"/>
  <c r="L16" i="1" s="1"/>
  <c r="M10" i="1"/>
  <c r="M11" i="1" s="1"/>
  <c r="M14" i="1" s="1"/>
  <c r="M16" i="1" s="1"/>
  <c r="N10" i="1"/>
  <c r="N11" i="1" s="1"/>
  <c r="N14" i="1" s="1"/>
  <c r="N16" i="1" s="1"/>
  <c r="C10" i="1"/>
  <c r="C11" i="1" s="1"/>
  <c r="E23" i="1" l="1"/>
  <c r="E24" i="1" s="1"/>
  <c r="E27" i="1" s="1"/>
  <c r="E29" i="1" s="1"/>
  <c r="N23" i="1"/>
  <c r="N24" i="1" s="1"/>
  <c r="N27" i="1" s="1"/>
  <c r="N29" i="1" s="1"/>
  <c r="J23" i="1"/>
  <c r="J24" i="1" s="1"/>
  <c r="J27" i="1" s="1"/>
  <c r="J29" i="1" s="1"/>
  <c r="I23" i="1"/>
  <c r="I24" i="1" s="1"/>
  <c r="I27" i="1" s="1"/>
  <c r="I29" i="1" s="1"/>
  <c r="F15" i="2"/>
  <c r="F16" i="2" s="1"/>
  <c r="F18" i="2" s="1"/>
  <c r="F21" i="2" s="1"/>
  <c r="F22" i="2" s="1"/>
  <c r="K23" i="1"/>
  <c r="K24" i="1" s="1"/>
  <c r="K27" i="1" s="1"/>
  <c r="K29" i="1" s="1"/>
  <c r="G23" i="1"/>
  <c r="G24" i="1" s="1"/>
  <c r="G27" i="1" s="1"/>
  <c r="G29" i="1" s="1"/>
  <c r="C23" i="1"/>
  <c r="C24" i="1" s="1"/>
  <c r="C27" i="1" s="1"/>
  <c r="C29" i="1" s="1"/>
  <c r="F23" i="1"/>
  <c r="F24" i="1" s="1"/>
  <c r="F27" i="1" s="1"/>
  <c r="F29" i="1" s="1"/>
  <c r="H23" i="1"/>
  <c r="H24" i="1" s="1"/>
  <c r="H27" i="1" s="1"/>
  <c r="H29" i="1" s="1"/>
  <c r="D23" i="1"/>
  <c r="D24" i="1" s="1"/>
  <c r="D27" i="1" s="1"/>
  <c r="D29" i="1" s="1"/>
  <c r="M23" i="1"/>
  <c r="M24" i="1" s="1"/>
  <c r="M27" i="1" s="1"/>
  <c r="M29" i="1" s="1"/>
  <c r="L23" i="1"/>
  <c r="L24" i="1" s="1"/>
  <c r="L27" i="1" s="1"/>
  <c r="L29" i="1" s="1"/>
  <c r="F11" i="2"/>
  <c r="D27" i="2"/>
  <c r="D32" i="2" s="1"/>
  <c r="E31" i="2"/>
  <c r="F26" i="2"/>
  <c r="F31" i="2" s="1"/>
  <c r="F27" i="2"/>
  <c r="E11" i="2"/>
  <c r="C27" i="2"/>
  <c r="C32" i="2" s="1"/>
  <c r="C34" i="2" s="1"/>
  <c r="C35" i="2" s="1"/>
  <c r="C39" i="2" s="1"/>
  <c r="C40" i="2" s="1"/>
  <c r="E27" i="2"/>
  <c r="E32" i="2" s="1"/>
  <c r="D26" i="2"/>
  <c r="C11" i="2"/>
  <c r="D15" i="2"/>
  <c r="D16" i="2" s="1"/>
  <c r="D18" i="2" s="1"/>
  <c r="D21" i="2" s="1"/>
  <c r="D22" i="2" s="1"/>
  <c r="C12" i="2"/>
  <c r="C15" i="2" s="1"/>
  <c r="C16" i="2" s="1"/>
  <c r="C18" i="2" s="1"/>
  <c r="C21" i="2" s="1"/>
  <c r="C22" i="2" s="1"/>
  <c r="E12" i="2"/>
  <c r="E15" i="2" s="1"/>
  <c r="E16" i="2" s="1"/>
  <c r="E18" i="2" s="1"/>
  <c r="E21" i="2" s="1"/>
  <c r="E22" i="2" s="1"/>
  <c r="D11" i="2"/>
  <c r="C14" i="1"/>
  <c r="C16" i="1" s="1"/>
  <c r="D31" i="2" l="1"/>
  <c r="D34" i="2" s="1"/>
  <c r="D35" i="2" s="1"/>
  <c r="D39" i="2" s="1"/>
  <c r="D40" i="2" s="1"/>
  <c r="D30" i="2"/>
  <c r="F30" i="2"/>
  <c r="F32" i="2"/>
  <c r="F34" i="2" s="1"/>
  <c r="F35" i="2" s="1"/>
  <c r="F39" i="2" s="1"/>
  <c r="F40" i="2" s="1"/>
  <c r="E34" i="2"/>
  <c r="E35" i="2" s="1"/>
  <c r="E39" i="2" s="1"/>
  <c r="E40" i="2" s="1"/>
  <c r="C30" i="2"/>
  <c r="E30" i="2"/>
</calcChain>
</file>

<file path=xl/comments1.xml><?xml version="1.0" encoding="utf-8"?>
<comments xmlns="http://schemas.openxmlformats.org/spreadsheetml/2006/main">
  <authors>
    <author>BEMOL</author>
  </authors>
  <commentList>
    <comment ref="A15" authorId="0" shapeId="0">
      <text>
        <r>
          <rPr>
            <b/>
            <sz val="9"/>
            <color indexed="81"/>
            <rFont val="Segoe UI"/>
            <family val="2"/>
          </rPr>
          <t>BEMOL:</t>
        </r>
        <r>
          <rPr>
            <sz val="9"/>
            <color indexed="81"/>
            <rFont val="Segoe UI"/>
            <family val="2"/>
          </rPr>
          <t xml:space="preserve">
Imposto de valor inferior a R$ 10,00 deve ser agregado no período seguinte.</t>
        </r>
      </text>
    </comment>
    <comment ref="A28" authorId="0" shapeId="0">
      <text>
        <r>
          <rPr>
            <b/>
            <sz val="9"/>
            <color indexed="81"/>
            <rFont val="Segoe UI"/>
            <family val="2"/>
          </rPr>
          <t>BEMOL:
Imposto de valor inferior a R$ 10,00 deve ser agregado no período seguinte.</t>
        </r>
      </text>
    </comment>
  </commentList>
</comments>
</file>

<file path=xl/sharedStrings.xml><?xml version="1.0" encoding="utf-8"?>
<sst xmlns="http://schemas.openxmlformats.org/spreadsheetml/2006/main" count="118" uniqueCount="72">
  <si>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</si>
  <si>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</si>
  <si>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</si>
  <si>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</si>
  <si>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</si>
  <si>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</si>
  <si>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</si>
  <si>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</si>
  <si>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</si>
  <si>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</si>
  <si>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</si>
  <si>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</si>
  <si>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 Venda de Serviço</t>
  </si>
  <si>
    <t>Receita Venda de Venda</t>
  </si>
  <si>
    <t>Demais Receitas</t>
  </si>
  <si>
    <t>Base de Cálculo</t>
  </si>
  <si>
    <t>Base de Cálculo - 3%</t>
  </si>
  <si>
    <t>COFINS Retido</t>
  </si>
  <si>
    <t>COFINS Devido</t>
  </si>
  <si>
    <t>COFINS a Compensar</t>
  </si>
  <si>
    <t>SUB TOTAL</t>
  </si>
  <si>
    <t>COFINS A RECOLHER</t>
  </si>
  <si>
    <t>PIS       8109</t>
  </si>
  <si>
    <t>COFINS       2172</t>
  </si>
  <si>
    <t>Base de Cálculo - 0,65%</t>
  </si>
  <si>
    <t xml:space="preserve">COFINS Período Anterios </t>
  </si>
  <si>
    <t>IRPJ      2089</t>
  </si>
  <si>
    <t>1º TRIM</t>
  </si>
  <si>
    <t>2º TRIM</t>
  </si>
  <si>
    <t>3º TRIM</t>
  </si>
  <si>
    <t>4º TRIM</t>
  </si>
  <si>
    <t>Receita de Venda</t>
  </si>
  <si>
    <t>Receita de Serviços (Construção)</t>
  </si>
  <si>
    <t>Receita de Serviços (Técnico)</t>
  </si>
  <si>
    <t>Receita de Serviços</t>
  </si>
  <si>
    <t>Total de Receita</t>
  </si>
  <si>
    <t>Lucro Presumido (32%)</t>
  </si>
  <si>
    <t>Lucro Presumido (8%)</t>
  </si>
  <si>
    <t>IRPJ (15%)</t>
  </si>
  <si>
    <t>Adicional</t>
  </si>
  <si>
    <t>IRPJ Devido</t>
  </si>
  <si>
    <t>IRPJ Retido na Fonte</t>
  </si>
  <si>
    <t>IRPJ a Compensar</t>
  </si>
  <si>
    <t>IRPJ A RECOLHER</t>
  </si>
  <si>
    <t>Valor da Quota (Opcional)</t>
  </si>
  <si>
    <t>Lucro Presumido (12%)</t>
  </si>
  <si>
    <t>CSLL Retida na Fonte</t>
  </si>
  <si>
    <t>CSLL Devida (9%)</t>
  </si>
  <si>
    <t>CSLL a Compensar</t>
  </si>
  <si>
    <t>CSLL Recolhida</t>
  </si>
  <si>
    <t>CSLL A RECOLHER</t>
  </si>
  <si>
    <t>DCTF</t>
  </si>
  <si>
    <t>Ok</t>
  </si>
  <si>
    <t>CSLL     2372</t>
  </si>
  <si>
    <t>OK</t>
  </si>
  <si>
    <t>1º Quota - Venc - 31/01/2021</t>
  </si>
  <si>
    <t>2º Quota - Venc - 28/02/2021</t>
  </si>
  <si>
    <t>3º Quota - Venc - 31/03/2021</t>
  </si>
  <si>
    <t>PIS Devido</t>
  </si>
  <si>
    <t>PIS A RECOLHER</t>
  </si>
  <si>
    <t>Receita Venda de Mercadoria</t>
  </si>
  <si>
    <t>1º Quota - Venc - 30/04/2020</t>
  </si>
  <si>
    <t>2º Quota - Venc - 31/05/2020</t>
  </si>
  <si>
    <t>3º Quota - Venc - 30/06/2020</t>
  </si>
  <si>
    <t>1º Quota - Venc - 31/10/2020</t>
  </si>
  <si>
    <t>2º Quota - Venc - 30/11/2020</t>
  </si>
  <si>
    <t>3º Quota - Venc - 30/12/2020</t>
  </si>
  <si>
    <t>1º Quota - Venc - 31/07/2020</t>
  </si>
  <si>
    <t>2º Quota - Venc - 31/08/2020</t>
  </si>
  <si>
    <t>3º Quota - Venc - 30/09/2020</t>
  </si>
  <si>
    <t>EMPRESA FULANO DE TAL</t>
  </si>
  <si>
    <t>CNPJ 00.000.000/0000-00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</si>
</sst>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43" fontId="0" fillId="0" borderId="1" xfId="1" applyFont="1" applyBorder="1"/>
    <xf numFmtId="43" fontId="2" fillId="2" borderId="1" xfId="1" applyFont="1" applyFill="1" applyBorder="1"/>
    <xf numFmtId="43" fontId="2" fillId="3" borderId="1" xfId="1" applyFont="1" applyFill="1" applyBorder="1"/>
    <xf numFmtId="0" fontId="2" fillId="4" borderId="1" xfId="0" applyFont="1" applyFill="1" applyBorder="1" applyAlignment="1">
      <alignment horizontal="center"/>
    </xf>
    <xf numFmtId="0" fontId="0" fillId="0" borderId="0" xfId="0" applyBorder="1"/>
    <xf numFmtId="43" fontId="2" fillId="4" borderId="1" xfId="1" applyFont="1" applyFill="1" applyBorder="1"/>
    <xf numFmtId="0" fontId="3" fillId="3" borderId="1" xfId="0" applyFont="1" applyFill="1" applyBorder="1" applyAlignment="1">
      <alignment horizontal="center"/>
    </xf>
    <xf numFmtId="43" fontId="3" fillId="3" borderId="1" xfId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43" fontId="0" fillId="0" borderId="14" xfId="1" applyFont="1" applyBorder="1"/>
    <xf numFmtId="43" fontId="0" fillId="0" borderId="15" xfId="1" applyFont="1" applyBorder="1"/>
    <xf numFmtId="43" fontId="2" fillId="2" borderId="14" xfId="1" applyFont="1" applyFill="1" applyBorder="1"/>
    <xf numFmtId="43" fontId="2" fillId="2" borderId="15" xfId="1" applyFont="1" applyFill="1" applyBorder="1"/>
    <xf numFmtId="43" fontId="3" fillId="3" borderId="16" xfId="1" applyFont="1" applyFill="1" applyBorder="1"/>
    <xf numFmtId="43" fontId="3" fillId="3" borderId="17" xfId="1" applyFont="1" applyFill="1" applyBorder="1"/>
    <xf numFmtId="43" fontId="3" fillId="3" borderId="18" xfId="1" applyFont="1" applyFill="1" applyBorder="1"/>
    <xf numFmtId="0" fontId="8" fillId="0" borderId="0" xfId="0" applyFont="1" applyAlignment="1">
      <alignment horizontal="center"/>
    </xf>
    <xf numFmtId="43" fontId="3" fillId="2" borderId="1" xfId="1" applyFont="1" applyFill="1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0" fillId="0" borderId="9" xfId="0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31"/>
  <sheetViews>
    <sheetView showGridLines="0" zoomScaleNormal="100" workbookViewId="0">
      <selection activeCell="N8" sqref="N8"/>
    </sheetView>
  </sheetViews>
  <sheetFormatPr defaultRowHeight="15" x14ac:dyDescent="0.25"/>
  <cols>
    <col min="1" max="1" width="16.7109375" customWidth="1"/>
    <col min="2" max="2" width="11.140625" customWidth="1"/>
    <col min="3" max="6" width="10.85546875" customWidth="1"/>
    <col min="7" max="7" width="11.7109375" customWidth="1"/>
    <col min="8" max="14" width="10.85546875" customWidth="1"/>
  </cols>
  <sheetData>
    <row r="2" spans="1:14" ht="18.75" x14ac:dyDescent="0.3">
      <c r="A2" s="34" t="s">
        <v>70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</row>
    <row r="3" spans="1:14" ht="18.75" x14ac:dyDescent="0.3">
      <c r="A3" s="31" t="s">
        <v>71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ht="20.25" customHeight="1" x14ac:dyDescent="0.25"/>
    <row r="5" spans="1:14" ht="15.75" thickBot="1" x14ac:dyDescent="0.3">
      <c r="A5" s="28" t="s">
        <v>22</v>
      </c>
      <c r="B5" s="28"/>
      <c r="C5" s="29">
        <v>2020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25">
      <c r="A6" s="28"/>
      <c r="B6" s="30"/>
      <c r="C6" s="9" t="s">
        <v>0</v>
      </c>
      <c r="D6" s="10" t="s">
        <v>1</v>
      </c>
      <c r="E6" s="11" t="s">
        <v>2</v>
      </c>
      <c r="F6" s="9" t="s">
        <v>3</v>
      </c>
      <c r="G6" s="10" t="s">
        <v>4</v>
      </c>
      <c r="H6" s="11" t="s">
        <v>5</v>
      </c>
      <c r="I6" s="9" t="s">
        <v>6</v>
      </c>
      <c r="J6" s="10" t="s">
        <v>7</v>
      </c>
      <c r="K6" s="11" t="s">
        <v>8</v>
      </c>
      <c r="L6" s="9" t="s">
        <v>9</v>
      </c>
      <c r="M6" s="10" t="s">
        <v>10</v>
      </c>
      <c r="N6" s="11" t="s">
        <v>11</v>
      </c>
    </row>
    <row r="7" spans="1:14" x14ac:dyDescent="0.25">
      <c r="A7" s="21" t="s">
        <v>60</v>
      </c>
      <c r="B7" s="25"/>
      <c r="C7" s="12"/>
      <c r="D7" s="1"/>
      <c r="E7" s="13"/>
      <c r="F7" s="12"/>
      <c r="G7" s="1"/>
      <c r="H7" s="13"/>
      <c r="I7" s="12"/>
      <c r="J7" s="1"/>
      <c r="K7" s="13"/>
      <c r="L7" s="12"/>
      <c r="M7" s="1"/>
      <c r="N7" s="13"/>
    </row>
    <row r="8" spans="1:14" x14ac:dyDescent="0.25">
      <c r="A8" s="21" t="s">
        <v>12</v>
      </c>
      <c r="B8" s="25"/>
      <c r="C8" s="12">
        <v>0</v>
      </c>
      <c r="D8" s="1">
        <v>0</v>
      </c>
      <c r="E8" s="13">
        <v>0</v>
      </c>
      <c r="F8" s="12">
        <v>0</v>
      </c>
      <c r="G8" s="1">
        <v>0</v>
      </c>
      <c r="H8" s="13">
        <v>0</v>
      </c>
      <c r="I8" s="12">
        <v>0</v>
      </c>
      <c r="J8" s="1">
        <v>0</v>
      </c>
      <c r="K8" s="13">
        <v>0</v>
      </c>
      <c r="L8" s="12">
        <v>0</v>
      </c>
      <c r="M8" s="1">
        <v>0</v>
      </c>
      <c r="N8" s="13"/>
    </row>
    <row r="9" spans="1:14" x14ac:dyDescent="0.25">
      <c r="A9" s="21" t="s">
        <v>14</v>
      </c>
      <c r="B9" s="25"/>
      <c r="C9" s="12">
        <v>0</v>
      </c>
      <c r="D9" s="1">
        <v>0</v>
      </c>
      <c r="E9" s="13">
        <v>0</v>
      </c>
      <c r="F9" s="12">
        <v>0</v>
      </c>
      <c r="G9" s="1">
        <v>0</v>
      </c>
      <c r="H9" s="13">
        <v>0</v>
      </c>
      <c r="I9" s="12">
        <v>0</v>
      </c>
      <c r="J9" s="1">
        <v>0</v>
      </c>
      <c r="K9" s="13">
        <v>0</v>
      </c>
      <c r="L9" s="12">
        <v>0</v>
      </c>
      <c r="M9" s="1">
        <v>0</v>
      </c>
      <c r="N9" s="13">
        <v>0</v>
      </c>
    </row>
    <row r="10" spans="1:14" x14ac:dyDescent="0.25">
      <c r="A10" s="22" t="s">
        <v>24</v>
      </c>
      <c r="B10" s="26"/>
      <c r="C10" s="14">
        <f>SUM(C7:C9)</f>
        <v>0</v>
      </c>
      <c r="D10" s="2">
        <f t="shared" ref="D10:N10" si="0">SUM(D7:D9)</f>
        <v>0</v>
      </c>
      <c r="E10" s="15">
        <f t="shared" si="0"/>
        <v>0</v>
      </c>
      <c r="F10" s="14">
        <f t="shared" si="0"/>
        <v>0</v>
      </c>
      <c r="G10" s="2">
        <f t="shared" si="0"/>
        <v>0</v>
      </c>
      <c r="H10" s="15">
        <f t="shared" si="0"/>
        <v>0</v>
      </c>
      <c r="I10" s="14">
        <f t="shared" si="0"/>
        <v>0</v>
      </c>
      <c r="J10" s="2">
        <f t="shared" si="0"/>
        <v>0</v>
      </c>
      <c r="K10" s="15">
        <f t="shared" si="0"/>
        <v>0</v>
      </c>
      <c r="L10" s="14">
        <f t="shared" si="0"/>
        <v>0</v>
      </c>
      <c r="M10" s="2">
        <f t="shared" si="0"/>
        <v>0</v>
      </c>
      <c r="N10" s="15">
        <f t="shared" si="0"/>
        <v>0</v>
      </c>
    </row>
    <row r="11" spans="1:14" x14ac:dyDescent="0.25">
      <c r="A11" s="22" t="s">
        <v>58</v>
      </c>
      <c r="B11" s="26"/>
      <c r="C11" s="14">
        <f>C10*0.65%</f>
        <v>0</v>
      </c>
      <c r="D11" s="2">
        <f t="shared" ref="D11:N11" si="1">D10*0.65%</f>
        <v>0</v>
      </c>
      <c r="E11" s="15">
        <f t="shared" si="1"/>
        <v>0</v>
      </c>
      <c r="F11" s="14">
        <f t="shared" si="1"/>
        <v>0</v>
      </c>
      <c r="G11" s="2">
        <f t="shared" si="1"/>
        <v>0</v>
      </c>
      <c r="H11" s="15">
        <f t="shared" si="1"/>
        <v>0</v>
      </c>
      <c r="I11" s="14">
        <f t="shared" si="1"/>
        <v>0</v>
      </c>
      <c r="J11" s="2">
        <f t="shared" si="1"/>
        <v>0</v>
      </c>
      <c r="K11" s="15">
        <f t="shared" si="1"/>
        <v>0</v>
      </c>
      <c r="L11" s="14">
        <f t="shared" si="1"/>
        <v>0</v>
      </c>
      <c r="M11" s="2">
        <f t="shared" si="1"/>
        <v>0</v>
      </c>
      <c r="N11" s="15">
        <f t="shared" si="1"/>
        <v>0</v>
      </c>
    </row>
    <row r="12" spans="1:14" x14ac:dyDescent="0.25">
      <c r="A12" s="21" t="s">
        <v>17</v>
      </c>
      <c r="B12" s="25"/>
      <c r="C12" s="12"/>
      <c r="D12" s="1"/>
      <c r="E12" s="13"/>
      <c r="F12" s="12"/>
      <c r="G12" s="1"/>
      <c r="H12" s="13"/>
      <c r="I12" s="12"/>
      <c r="J12" s="1"/>
      <c r="K12" s="13"/>
      <c r="L12" s="12"/>
      <c r="M12" s="1"/>
      <c r="N12" s="13"/>
    </row>
    <row r="13" spans="1:14" x14ac:dyDescent="0.25">
      <c r="A13" s="21" t="s">
        <v>19</v>
      </c>
      <c r="B13" s="25"/>
      <c r="C13" s="12"/>
      <c r="D13" s="1"/>
      <c r="E13" s="13"/>
      <c r="F13" s="12"/>
      <c r="G13" s="1"/>
      <c r="H13" s="13"/>
      <c r="I13" s="12"/>
      <c r="J13" s="1"/>
      <c r="K13" s="13"/>
      <c r="L13" s="12"/>
      <c r="M13" s="1"/>
      <c r="N13" s="13"/>
    </row>
    <row r="14" spans="1:14" x14ac:dyDescent="0.25">
      <c r="A14" s="22" t="s">
        <v>20</v>
      </c>
      <c r="B14" s="26"/>
      <c r="C14" s="14">
        <f>C11-C12-C13</f>
        <v>0</v>
      </c>
      <c r="D14" s="2">
        <f t="shared" ref="D14:N14" si="2">D11-D12-D13</f>
        <v>0</v>
      </c>
      <c r="E14" s="15">
        <f t="shared" si="2"/>
        <v>0</v>
      </c>
      <c r="F14" s="14">
        <f t="shared" si="2"/>
        <v>0</v>
      </c>
      <c r="G14" s="2">
        <f t="shared" si="2"/>
        <v>0</v>
      </c>
      <c r="H14" s="15">
        <f t="shared" si="2"/>
        <v>0</v>
      </c>
      <c r="I14" s="14">
        <f t="shared" si="2"/>
        <v>0</v>
      </c>
      <c r="J14" s="2">
        <f t="shared" si="2"/>
        <v>0</v>
      </c>
      <c r="K14" s="15">
        <f t="shared" si="2"/>
        <v>0</v>
      </c>
      <c r="L14" s="14">
        <f t="shared" si="2"/>
        <v>0</v>
      </c>
      <c r="M14" s="2">
        <f t="shared" si="2"/>
        <v>0</v>
      </c>
      <c r="N14" s="15">
        <f t="shared" si="2"/>
        <v>0</v>
      </c>
    </row>
    <row r="15" spans="1:14" x14ac:dyDescent="0.25">
      <c r="A15" s="21" t="s">
        <v>25</v>
      </c>
      <c r="B15" s="25"/>
      <c r="C15" s="12"/>
      <c r="D15" s="1"/>
      <c r="E15" s="13"/>
      <c r="F15" s="12"/>
      <c r="G15" s="1"/>
      <c r="H15" s="13"/>
      <c r="I15" s="12"/>
      <c r="J15" s="1"/>
      <c r="K15" s="13"/>
      <c r="L15" s="12"/>
      <c r="M15" s="1"/>
      <c r="N15" s="13"/>
    </row>
    <row r="16" spans="1:14" ht="15.75" thickBot="1" x14ac:dyDescent="0.3">
      <c r="A16" s="23" t="s">
        <v>59</v>
      </c>
      <c r="B16" s="27"/>
      <c r="C16" s="16">
        <f>C14+C15</f>
        <v>0</v>
      </c>
      <c r="D16" s="17">
        <f t="shared" ref="D16:N16" si="3">D14+D15</f>
        <v>0</v>
      </c>
      <c r="E16" s="18">
        <f t="shared" si="3"/>
        <v>0</v>
      </c>
      <c r="F16" s="16">
        <f t="shared" si="3"/>
        <v>0</v>
      </c>
      <c r="G16" s="17">
        <f t="shared" si="3"/>
        <v>0</v>
      </c>
      <c r="H16" s="18">
        <f>H14+H15+0.01</f>
        <v>0.01</v>
      </c>
      <c r="I16" s="16">
        <f t="shared" si="3"/>
        <v>0</v>
      </c>
      <c r="J16" s="17">
        <f t="shared" si="3"/>
        <v>0</v>
      </c>
      <c r="K16" s="18">
        <f t="shared" si="3"/>
        <v>0</v>
      </c>
      <c r="L16" s="16">
        <f t="shared" si="3"/>
        <v>0</v>
      </c>
      <c r="M16" s="17">
        <f t="shared" si="3"/>
        <v>0</v>
      </c>
      <c r="N16" s="18">
        <f t="shared" si="3"/>
        <v>0</v>
      </c>
    </row>
    <row r="18" spans="1:14" x14ac:dyDescent="0.25">
      <c r="A18" s="28" t="s">
        <v>23</v>
      </c>
      <c r="B18" s="28"/>
      <c r="C18" s="24">
        <v>2020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x14ac:dyDescent="0.25">
      <c r="A19" s="28"/>
      <c r="B19" s="28"/>
      <c r="C19" s="7" t="s">
        <v>0</v>
      </c>
      <c r="D19" s="7" t="s">
        <v>1</v>
      </c>
      <c r="E19" s="7" t="s">
        <v>2</v>
      </c>
      <c r="F19" s="7" t="s">
        <v>3</v>
      </c>
      <c r="G19" s="7" t="s">
        <v>4</v>
      </c>
      <c r="H19" s="7" t="s">
        <v>5</v>
      </c>
      <c r="I19" s="7" t="s">
        <v>6</v>
      </c>
      <c r="J19" s="7" t="s">
        <v>7</v>
      </c>
      <c r="K19" s="7" t="s">
        <v>8</v>
      </c>
      <c r="L19" s="7" t="s">
        <v>9</v>
      </c>
      <c r="M19" s="7" t="s">
        <v>10</v>
      </c>
      <c r="N19" s="7" t="s">
        <v>11</v>
      </c>
    </row>
    <row r="20" spans="1:14" x14ac:dyDescent="0.25">
      <c r="A20" s="21" t="s">
        <v>13</v>
      </c>
      <c r="B20" s="21"/>
      <c r="C20" s="1">
        <f>C7</f>
        <v>0</v>
      </c>
      <c r="D20" s="1">
        <f t="shared" ref="D20:N20" si="4">D7</f>
        <v>0</v>
      </c>
      <c r="E20" s="1">
        <f t="shared" si="4"/>
        <v>0</v>
      </c>
      <c r="F20" s="1">
        <f t="shared" si="4"/>
        <v>0</v>
      </c>
      <c r="G20" s="1">
        <f t="shared" si="4"/>
        <v>0</v>
      </c>
      <c r="H20" s="1">
        <f t="shared" si="4"/>
        <v>0</v>
      </c>
      <c r="I20" s="1">
        <f t="shared" si="4"/>
        <v>0</v>
      </c>
      <c r="J20" s="1">
        <f t="shared" si="4"/>
        <v>0</v>
      </c>
      <c r="K20" s="1">
        <f t="shared" si="4"/>
        <v>0</v>
      </c>
      <c r="L20" s="1">
        <f t="shared" si="4"/>
        <v>0</v>
      </c>
      <c r="M20" s="1">
        <f t="shared" si="4"/>
        <v>0</v>
      </c>
      <c r="N20" s="1">
        <f t="shared" si="4"/>
        <v>0</v>
      </c>
    </row>
    <row r="21" spans="1:14" x14ac:dyDescent="0.25">
      <c r="A21" s="21" t="s">
        <v>12</v>
      </c>
      <c r="B21" s="21"/>
      <c r="C21" s="1">
        <f t="shared" ref="C21:N22" si="5">C8</f>
        <v>0</v>
      </c>
      <c r="D21" s="1">
        <f t="shared" si="5"/>
        <v>0</v>
      </c>
      <c r="E21" s="1">
        <f t="shared" si="5"/>
        <v>0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  <c r="M21" s="1">
        <f t="shared" si="5"/>
        <v>0</v>
      </c>
      <c r="N21" s="1">
        <f t="shared" si="5"/>
        <v>0</v>
      </c>
    </row>
    <row r="22" spans="1:14" x14ac:dyDescent="0.25">
      <c r="A22" s="21" t="s">
        <v>14</v>
      </c>
      <c r="B22" s="21"/>
      <c r="C22" s="1">
        <f t="shared" si="5"/>
        <v>0</v>
      </c>
      <c r="D22" s="1">
        <f t="shared" si="5"/>
        <v>0</v>
      </c>
      <c r="E22" s="1">
        <f t="shared" si="5"/>
        <v>0</v>
      </c>
      <c r="F22" s="1">
        <f t="shared" si="5"/>
        <v>0</v>
      </c>
      <c r="G22" s="1">
        <f t="shared" si="5"/>
        <v>0</v>
      </c>
      <c r="H22" s="1">
        <f t="shared" si="5"/>
        <v>0</v>
      </c>
      <c r="I22" s="1">
        <f t="shared" si="5"/>
        <v>0</v>
      </c>
      <c r="J22" s="1">
        <f t="shared" si="5"/>
        <v>0</v>
      </c>
      <c r="K22" s="1">
        <f t="shared" si="5"/>
        <v>0</v>
      </c>
      <c r="L22" s="1">
        <f t="shared" si="5"/>
        <v>0</v>
      </c>
      <c r="M22" s="1">
        <f t="shared" si="5"/>
        <v>0</v>
      </c>
      <c r="N22" s="1">
        <f t="shared" si="5"/>
        <v>0</v>
      </c>
    </row>
    <row r="23" spans="1:14" x14ac:dyDescent="0.25">
      <c r="A23" s="22" t="s">
        <v>16</v>
      </c>
      <c r="B23" s="22"/>
      <c r="C23" s="2">
        <f>SUM(C20:C22)</f>
        <v>0</v>
      </c>
      <c r="D23" s="2">
        <f t="shared" ref="D23" si="6">SUM(D20:D22)</f>
        <v>0</v>
      </c>
      <c r="E23" s="2">
        <f t="shared" ref="E23" si="7">SUM(E20:E22)</f>
        <v>0</v>
      </c>
      <c r="F23" s="2">
        <f t="shared" ref="F23" si="8">SUM(F20:F22)</f>
        <v>0</v>
      </c>
      <c r="G23" s="2">
        <f t="shared" ref="G23" si="9">SUM(G20:G22)</f>
        <v>0</v>
      </c>
      <c r="H23" s="2">
        <f t="shared" ref="H23" si="10">SUM(H20:H22)</f>
        <v>0</v>
      </c>
      <c r="I23" s="2">
        <f t="shared" ref="I23" si="11">SUM(I20:I22)</f>
        <v>0</v>
      </c>
      <c r="J23" s="2">
        <f t="shared" ref="J23" si="12">SUM(J20:J22)</f>
        <v>0</v>
      </c>
      <c r="K23" s="2">
        <f t="shared" ref="K23" si="13">SUM(K20:K22)</f>
        <v>0</v>
      </c>
      <c r="L23" s="2">
        <f t="shared" ref="L23" si="14">SUM(L20:L22)</f>
        <v>0</v>
      </c>
      <c r="M23" s="2">
        <f t="shared" ref="M23" si="15">SUM(M20:M22)</f>
        <v>0</v>
      </c>
      <c r="N23" s="2">
        <f t="shared" ref="N23" si="16">SUM(N20:N22)</f>
        <v>0</v>
      </c>
    </row>
    <row r="24" spans="1:14" x14ac:dyDescent="0.25">
      <c r="A24" s="22" t="s">
        <v>18</v>
      </c>
      <c r="B24" s="22"/>
      <c r="C24" s="20">
        <f>C23*3%</f>
        <v>0</v>
      </c>
      <c r="D24" s="20">
        <f t="shared" ref="D24" si="17">D23*3%</f>
        <v>0</v>
      </c>
      <c r="E24" s="2">
        <f t="shared" ref="E24" si="18">E23*3%</f>
        <v>0</v>
      </c>
      <c r="F24" s="2">
        <f t="shared" ref="F24" si="19">F23*3%</f>
        <v>0</v>
      </c>
      <c r="G24" s="2">
        <f t="shared" ref="G24" si="20">G23*3%</f>
        <v>0</v>
      </c>
      <c r="H24" s="2">
        <f t="shared" ref="H24" si="21">H23*3%</f>
        <v>0</v>
      </c>
      <c r="I24" s="2">
        <f t="shared" ref="I24" si="22">I23*3%</f>
        <v>0</v>
      </c>
      <c r="J24" s="2">
        <f t="shared" ref="J24" si="23">J23*3%</f>
        <v>0</v>
      </c>
      <c r="K24" s="2">
        <f t="shared" ref="K24" si="24">K23*3%</f>
        <v>0</v>
      </c>
      <c r="L24" s="2">
        <f t="shared" ref="L24" si="25">L23*3%</f>
        <v>0</v>
      </c>
      <c r="M24" s="2">
        <f t="shared" ref="M24" si="26">M23*3%</f>
        <v>0</v>
      </c>
      <c r="N24" s="2">
        <f t="shared" ref="N24" si="27">N23*3%</f>
        <v>0</v>
      </c>
    </row>
    <row r="25" spans="1:14" x14ac:dyDescent="0.25">
      <c r="A25" s="21" t="s">
        <v>17</v>
      </c>
      <c r="B25" s="21"/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21" t="s">
        <v>19</v>
      </c>
      <c r="B26" s="21"/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22" t="s">
        <v>20</v>
      </c>
      <c r="B27" s="22"/>
      <c r="C27" s="2">
        <f>C24-C25-C26</f>
        <v>0</v>
      </c>
      <c r="D27" s="2">
        <f t="shared" ref="D27" si="28">D24-D25-D26</f>
        <v>0</v>
      </c>
      <c r="E27" s="2">
        <f t="shared" ref="E27" si="29">E24-E25-E26</f>
        <v>0</v>
      </c>
      <c r="F27" s="2">
        <f t="shared" ref="F27" si="30">F24-F25-F26</f>
        <v>0</v>
      </c>
      <c r="G27" s="2">
        <f t="shared" ref="G27" si="31">G24-G25-G26</f>
        <v>0</v>
      </c>
      <c r="H27" s="2">
        <f t="shared" ref="H27" si="32">H24-H25-H26</f>
        <v>0</v>
      </c>
      <c r="I27" s="2">
        <f t="shared" ref="I27" si="33">I24-I25-I26</f>
        <v>0</v>
      </c>
      <c r="J27" s="2">
        <f t="shared" ref="J27" si="34">J24-J25-J26</f>
        <v>0</v>
      </c>
      <c r="K27" s="2">
        <f t="shared" ref="K27" si="35">K24-K25-K26</f>
        <v>0</v>
      </c>
      <c r="L27" s="2">
        <f t="shared" ref="L27" si="36">L24-L25-L26</f>
        <v>0</v>
      </c>
      <c r="M27" s="2">
        <f t="shared" ref="M27" si="37">M24-M25-M26</f>
        <v>0</v>
      </c>
      <c r="N27" s="2">
        <f t="shared" ref="N27" si="38">N24-N25-N26</f>
        <v>0</v>
      </c>
    </row>
    <row r="28" spans="1:14" x14ac:dyDescent="0.25">
      <c r="A28" s="21" t="s">
        <v>25</v>
      </c>
      <c r="B28" s="21"/>
      <c r="C28" s="1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23" t="s">
        <v>21</v>
      </c>
      <c r="B29" s="23"/>
      <c r="C29" s="8">
        <f>C27+C28</f>
        <v>0</v>
      </c>
      <c r="D29" s="8">
        <f t="shared" ref="D29:N29" si="39">D27+D28</f>
        <v>0</v>
      </c>
      <c r="E29" s="8">
        <f t="shared" si="39"/>
        <v>0</v>
      </c>
      <c r="F29" s="8">
        <f t="shared" si="39"/>
        <v>0</v>
      </c>
      <c r="G29" s="8">
        <f t="shared" si="39"/>
        <v>0</v>
      </c>
      <c r="H29" s="8">
        <f t="shared" si="39"/>
        <v>0</v>
      </c>
      <c r="I29" s="8">
        <f t="shared" si="39"/>
        <v>0</v>
      </c>
      <c r="J29" s="8">
        <f t="shared" si="39"/>
        <v>0</v>
      </c>
      <c r="K29" s="8">
        <f t="shared" si="39"/>
        <v>0</v>
      </c>
      <c r="L29" s="8">
        <f t="shared" si="39"/>
        <v>0</v>
      </c>
      <c r="M29" s="8">
        <f t="shared" si="39"/>
        <v>0</v>
      </c>
      <c r="N29" s="8">
        <f t="shared" si="39"/>
        <v>0</v>
      </c>
    </row>
    <row r="31" spans="1:14" x14ac:dyDescent="0.25">
      <c r="A31" t="s">
        <v>51</v>
      </c>
      <c r="C31" s="19" t="s">
        <v>52</v>
      </c>
      <c r="D31" s="19" t="s">
        <v>52</v>
      </c>
      <c r="E31" s="19" t="s">
        <v>52</v>
      </c>
      <c r="F31" s="19" t="s">
        <v>52</v>
      </c>
      <c r="G31" s="19" t="s">
        <v>52</v>
      </c>
      <c r="H31" s="19" t="s">
        <v>52</v>
      </c>
      <c r="I31" s="19" t="s">
        <v>52</v>
      </c>
      <c r="J31" s="19" t="s">
        <v>52</v>
      </c>
      <c r="K31" s="19" t="s">
        <v>52</v>
      </c>
      <c r="L31" s="19" t="s">
        <v>52</v>
      </c>
      <c r="M31" s="19" t="s">
        <v>54</v>
      </c>
      <c r="N31" s="19" t="s">
        <v>54</v>
      </c>
    </row>
  </sheetData>
  <mergeCells count="26">
    <mergeCell ref="A8:B8"/>
    <mergeCell ref="C5:N5"/>
    <mergeCell ref="A5:B6"/>
    <mergeCell ref="A3:N3"/>
    <mergeCell ref="A2:N2"/>
    <mergeCell ref="A7:B7"/>
    <mergeCell ref="C18:N18"/>
    <mergeCell ref="A9:B9"/>
    <mergeCell ref="A10:B10"/>
    <mergeCell ref="A11:B11"/>
    <mergeCell ref="A12:B12"/>
    <mergeCell ref="A13:B13"/>
    <mergeCell ref="A14:B14"/>
    <mergeCell ref="A15:B15"/>
    <mergeCell ref="A16:B16"/>
    <mergeCell ref="A18:B19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25:B25"/>
  </mergeCells>
  <printOptions horizontalCentered="1"/>
  <pageMargins left="0.19685039370078741" right="0.19685039370078741" top="0.78740157480314965" bottom="0.78740157480314965" header="0.31496062992125984" footer="0.31496062992125984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2"/>
  <sheetViews>
    <sheetView showGridLines="0" tabSelected="1" view="pageBreakPreview" zoomScale="130" zoomScaleNormal="130" zoomScaleSheetLayoutView="130" workbookViewId="0">
      <selection activeCell="E9" sqref="E9"/>
    </sheetView>
  </sheetViews>
  <sheetFormatPr defaultRowHeight="15" x14ac:dyDescent="0.25"/>
  <cols>
    <col min="1" max="1" width="20.85546875" customWidth="1"/>
    <col min="2" max="2" width="7.85546875" customWidth="1"/>
    <col min="3" max="6" width="15.7109375" customWidth="1"/>
  </cols>
  <sheetData>
    <row r="2" spans="1:6" x14ac:dyDescent="0.25">
      <c r="A2" s="39" t="str">
        <f>'PIS e COFINS'!A2:N2</f>
        <v>EMPRESA FULANO DE TAL</v>
      </c>
      <c r="B2" s="39"/>
      <c r="C2" s="39"/>
      <c r="D2" s="39"/>
      <c r="E2" s="39"/>
      <c r="F2" s="39"/>
    </row>
    <row r="3" spans="1:6" x14ac:dyDescent="0.25">
      <c r="A3" s="39" t="str">
        <f>'PIS e COFINS'!A3:N3</f>
        <v>CNPJ 00.000.000/0000-00</v>
      </c>
      <c r="B3" s="39"/>
      <c r="C3" s="39"/>
      <c r="D3" s="39"/>
      <c r="E3" s="39"/>
      <c r="F3" s="39"/>
    </row>
    <row r="5" spans="1:6" x14ac:dyDescent="0.25">
      <c r="A5" s="43" t="s">
        <v>26</v>
      </c>
      <c r="B5" s="43"/>
      <c r="C5" s="44">
        <v>2020</v>
      </c>
      <c r="D5" s="44"/>
      <c r="E5" s="44"/>
      <c r="F5" s="44"/>
    </row>
    <row r="6" spans="1:6" x14ac:dyDescent="0.25">
      <c r="A6" s="43"/>
      <c r="B6" s="43"/>
      <c r="C6" s="4" t="s">
        <v>27</v>
      </c>
      <c r="D6" s="4" t="s">
        <v>28</v>
      </c>
      <c r="E6" s="4" t="s">
        <v>29</v>
      </c>
      <c r="F6" s="4" t="s">
        <v>30</v>
      </c>
    </row>
    <row r="7" spans="1:6" x14ac:dyDescent="0.25">
      <c r="A7" s="21" t="s">
        <v>31</v>
      </c>
      <c r="B7" s="21"/>
      <c r="C7" s="1">
        <f>SUM('PIS e COFINS'!C7:E7)</f>
        <v>0</v>
      </c>
      <c r="D7" s="1">
        <f>SUM('PIS e COFINS'!F7:H7)</f>
        <v>0</v>
      </c>
      <c r="E7" s="1">
        <f>SUM('PIS e COFINS'!I7:K7)</f>
        <v>0</v>
      </c>
      <c r="F7" s="1">
        <f>SUM('PIS e COFINS'!L7:N7)</f>
        <v>0</v>
      </c>
    </row>
    <row r="8" spans="1:6" x14ac:dyDescent="0.25">
      <c r="A8" s="21" t="s">
        <v>34</v>
      </c>
      <c r="B8" s="21"/>
      <c r="C8" s="1">
        <f>SUM('PIS e COFINS'!C8:E8)</f>
        <v>0</v>
      </c>
      <c r="D8" s="1">
        <f>SUM('PIS e COFINS'!F8:H8)</f>
        <v>0</v>
      </c>
      <c r="E8" s="1">
        <f>SUM('PIS e COFINS'!I8:K8)</f>
        <v>0</v>
      </c>
      <c r="F8" s="1">
        <f>SUM('PIS e COFINS'!L8:N8)</f>
        <v>0</v>
      </c>
    </row>
    <row r="9" spans="1:6" x14ac:dyDescent="0.25">
      <c r="A9" s="21" t="s">
        <v>33</v>
      </c>
      <c r="B9" s="21"/>
      <c r="C9" s="1">
        <v>0</v>
      </c>
      <c r="D9" s="1"/>
      <c r="E9" s="1"/>
      <c r="F9" s="1"/>
    </row>
    <row r="10" spans="1:6" x14ac:dyDescent="0.25">
      <c r="A10" s="21" t="s">
        <v>32</v>
      </c>
      <c r="B10" s="21"/>
      <c r="C10" s="1">
        <v>0</v>
      </c>
      <c r="D10" s="1"/>
      <c r="E10" s="1"/>
      <c r="F10" s="1"/>
    </row>
    <row r="11" spans="1:6" x14ac:dyDescent="0.25">
      <c r="A11" s="42" t="s">
        <v>35</v>
      </c>
      <c r="B11" s="42"/>
      <c r="C11" s="3">
        <f>SUM(C7:C10)</f>
        <v>0</v>
      </c>
      <c r="D11" s="3">
        <f t="shared" ref="D11:F11" si="0">SUM(D7:D10)</f>
        <v>0</v>
      </c>
      <c r="E11" s="3">
        <f t="shared" si="0"/>
        <v>0</v>
      </c>
      <c r="F11" s="3">
        <f t="shared" si="0"/>
        <v>0</v>
      </c>
    </row>
    <row r="12" spans="1:6" x14ac:dyDescent="0.25">
      <c r="A12" s="21" t="s">
        <v>37</v>
      </c>
      <c r="B12" s="21"/>
      <c r="C12" s="1">
        <f>(C7*8)/100</f>
        <v>0</v>
      </c>
      <c r="D12" s="1">
        <f t="shared" ref="D12:F12" si="1">(D7*8)/100</f>
        <v>0</v>
      </c>
      <c r="E12" s="1">
        <f t="shared" si="1"/>
        <v>0</v>
      </c>
      <c r="F12" s="1">
        <f t="shared" si="1"/>
        <v>0</v>
      </c>
    </row>
    <row r="13" spans="1:6" x14ac:dyDescent="0.25">
      <c r="A13" s="21" t="s">
        <v>36</v>
      </c>
      <c r="B13" s="21"/>
      <c r="C13" s="1">
        <f>(C8*32)/100</f>
        <v>0</v>
      </c>
      <c r="D13" s="1">
        <f t="shared" ref="D13:F13" si="2">(D8*32)/100</f>
        <v>0</v>
      </c>
      <c r="E13" s="1">
        <f t="shared" si="2"/>
        <v>0</v>
      </c>
      <c r="F13" s="1">
        <f t="shared" si="2"/>
        <v>0</v>
      </c>
    </row>
    <row r="14" spans="1:6" x14ac:dyDescent="0.25">
      <c r="A14" s="21" t="s">
        <v>14</v>
      </c>
      <c r="B14" s="21"/>
      <c r="C14" s="1">
        <v>0</v>
      </c>
      <c r="D14" s="1">
        <v>0</v>
      </c>
      <c r="E14" s="1">
        <v>0</v>
      </c>
      <c r="F14" s="1">
        <v>0</v>
      </c>
    </row>
    <row r="15" spans="1:6" x14ac:dyDescent="0.25">
      <c r="A15" s="42" t="s">
        <v>15</v>
      </c>
      <c r="B15" s="42"/>
      <c r="C15" s="3">
        <f>SUM(C12:C14)</f>
        <v>0</v>
      </c>
      <c r="D15" s="3">
        <f t="shared" ref="D15:F15" si="3">SUM(D12:D14)</f>
        <v>0</v>
      </c>
      <c r="E15" s="3">
        <f t="shared" si="3"/>
        <v>0</v>
      </c>
      <c r="F15" s="3">
        <f t="shared" si="3"/>
        <v>0</v>
      </c>
    </row>
    <row r="16" spans="1:6" x14ac:dyDescent="0.25">
      <c r="A16" s="21" t="s">
        <v>38</v>
      </c>
      <c r="B16" s="21"/>
      <c r="C16" s="1">
        <f>(C15*15)/100</f>
        <v>0</v>
      </c>
      <c r="D16" s="1">
        <f t="shared" ref="D16:F16" si="4">(D15*15)/100</f>
        <v>0</v>
      </c>
      <c r="E16" s="1">
        <f t="shared" si="4"/>
        <v>0</v>
      </c>
      <c r="F16" s="1">
        <f t="shared" si="4"/>
        <v>0</v>
      </c>
    </row>
    <row r="17" spans="1:6" x14ac:dyDescent="0.25">
      <c r="A17" s="45" t="s">
        <v>39</v>
      </c>
      <c r="B17" s="45"/>
      <c r="C17" s="1"/>
      <c r="D17" s="1"/>
      <c r="E17" s="1"/>
      <c r="F17" s="1"/>
    </row>
    <row r="18" spans="1:6" x14ac:dyDescent="0.25">
      <c r="A18" s="42" t="s">
        <v>40</v>
      </c>
      <c r="B18" s="42"/>
      <c r="C18" s="3">
        <f>C17+C16</f>
        <v>0</v>
      </c>
      <c r="D18" s="3">
        <f t="shared" ref="D18:F18" si="5">D17+D16</f>
        <v>0</v>
      </c>
      <c r="E18" s="3">
        <f t="shared" si="5"/>
        <v>0</v>
      </c>
      <c r="F18" s="3">
        <f t="shared" si="5"/>
        <v>0</v>
      </c>
    </row>
    <row r="19" spans="1:6" x14ac:dyDescent="0.25">
      <c r="A19" s="21" t="s">
        <v>41</v>
      </c>
      <c r="B19" s="21"/>
      <c r="C19" s="1">
        <f>86.39+219.28+211.65-0.08</f>
        <v>517.24</v>
      </c>
      <c r="D19" s="1">
        <f>151+171.94+127.73</f>
        <v>450.67</v>
      </c>
      <c r="E19" s="1">
        <f>208.82+223.97+342.07</f>
        <v>774.8599999999999</v>
      </c>
      <c r="F19" s="1">
        <f>167.82+21.78</f>
        <v>189.6</v>
      </c>
    </row>
    <row r="20" spans="1:6" x14ac:dyDescent="0.25">
      <c r="A20" s="21" t="s">
        <v>42</v>
      </c>
      <c r="B20" s="21"/>
      <c r="C20" s="1"/>
      <c r="D20" s="1"/>
      <c r="E20" s="1"/>
      <c r="F20" s="1"/>
    </row>
    <row r="21" spans="1:6" x14ac:dyDescent="0.25">
      <c r="A21" s="41" t="s">
        <v>43</v>
      </c>
      <c r="B21" s="41"/>
      <c r="C21" s="6">
        <f>C18-C19-C20</f>
        <v>-517.24</v>
      </c>
      <c r="D21" s="6">
        <f t="shared" ref="D21:F21" si="6">D18-D19-D20</f>
        <v>-450.67</v>
      </c>
      <c r="E21" s="6">
        <f t="shared" si="6"/>
        <v>-774.8599999999999</v>
      </c>
      <c r="F21" s="6">
        <f t="shared" si="6"/>
        <v>-189.6</v>
      </c>
    </row>
    <row r="22" spans="1:6" ht="1.5" customHeight="1" x14ac:dyDescent="0.25">
      <c r="A22" s="25" t="s">
        <v>44</v>
      </c>
      <c r="B22" s="40"/>
      <c r="C22" s="1">
        <f>C21/3</f>
        <v>-172.41333333333333</v>
      </c>
      <c r="D22" s="1">
        <f t="shared" ref="D22:F22" si="7">D21/3</f>
        <v>-150.22333333333333</v>
      </c>
      <c r="E22" s="1">
        <f t="shared" si="7"/>
        <v>-258.28666666666663</v>
      </c>
      <c r="F22" s="1">
        <f t="shared" si="7"/>
        <v>-63.199999999999996</v>
      </c>
    </row>
    <row r="24" spans="1:6" x14ac:dyDescent="0.25">
      <c r="A24" s="43" t="s">
        <v>53</v>
      </c>
      <c r="B24" s="43"/>
      <c r="C24" s="44">
        <v>2020</v>
      </c>
      <c r="D24" s="44"/>
      <c r="E24" s="44"/>
      <c r="F24" s="44"/>
    </row>
    <row r="25" spans="1:6" x14ac:dyDescent="0.25">
      <c r="A25" s="43"/>
      <c r="B25" s="43"/>
      <c r="C25" s="4" t="s">
        <v>27</v>
      </c>
      <c r="D25" s="4" t="s">
        <v>28</v>
      </c>
      <c r="E25" s="4" t="s">
        <v>29</v>
      </c>
      <c r="F25" s="4" t="s">
        <v>30</v>
      </c>
    </row>
    <row r="26" spans="1:6" x14ac:dyDescent="0.25">
      <c r="A26" s="21" t="s">
        <v>31</v>
      </c>
      <c r="B26" s="21"/>
      <c r="C26" s="1">
        <f t="shared" ref="C26:F29" si="8">C7</f>
        <v>0</v>
      </c>
      <c r="D26" s="1">
        <f t="shared" si="8"/>
        <v>0</v>
      </c>
      <c r="E26" s="1">
        <f t="shared" si="8"/>
        <v>0</v>
      </c>
      <c r="F26" s="1">
        <f t="shared" si="8"/>
        <v>0</v>
      </c>
    </row>
    <row r="27" spans="1:6" x14ac:dyDescent="0.25">
      <c r="A27" s="21" t="s">
        <v>34</v>
      </c>
      <c r="B27" s="21"/>
      <c r="C27" s="1">
        <f t="shared" si="8"/>
        <v>0</v>
      </c>
      <c r="D27" s="1">
        <f t="shared" si="8"/>
        <v>0</v>
      </c>
      <c r="E27" s="1">
        <f t="shared" si="8"/>
        <v>0</v>
      </c>
      <c r="F27" s="1">
        <f t="shared" si="8"/>
        <v>0</v>
      </c>
    </row>
    <row r="28" spans="1:6" x14ac:dyDescent="0.25">
      <c r="A28" s="21" t="s">
        <v>33</v>
      </c>
      <c r="B28" s="21"/>
      <c r="C28" s="1">
        <f t="shared" si="8"/>
        <v>0</v>
      </c>
      <c r="D28" s="1">
        <f t="shared" si="8"/>
        <v>0</v>
      </c>
      <c r="E28" s="1">
        <f t="shared" si="8"/>
        <v>0</v>
      </c>
      <c r="F28" s="1">
        <f t="shared" si="8"/>
        <v>0</v>
      </c>
    </row>
    <row r="29" spans="1:6" x14ac:dyDescent="0.25">
      <c r="A29" s="21" t="s">
        <v>32</v>
      </c>
      <c r="B29" s="21"/>
      <c r="C29" s="1">
        <f t="shared" si="8"/>
        <v>0</v>
      </c>
      <c r="D29" s="1">
        <f t="shared" si="8"/>
        <v>0</v>
      </c>
      <c r="E29" s="1">
        <f t="shared" si="8"/>
        <v>0</v>
      </c>
      <c r="F29" s="1">
        <f t="shared" si="8"/>
        <v>0</v>
      </c>
    </row>
    <row r="30" spans="1:6" x14ac:dyDescent="0.25">
      <c r="A30" s="42" t="s">
        <v>35</v>
      </c>
      <c r="B30" s="42"/>
      <c r="C30" s="3">
        <f>SUM(C26:C29)</f>
        <v>0</v>
      </c>
      <c r="D30" s="3">
        <f t="shared" ref="D30" si="9">SUM(D26:D29)</f>
        <v>0</v>
      </c>
      <c r="E30" s="3">
        <f t="shared" ref="E30" si="10">SUM(E26:E29)</f>
        <v>0</v>
      </c>
      <c r="F30" s="3">
        <f t="shared" ref="F30" si="11">SUM(F26:F29)</f>
        <v>0</v>
      </c>
    </row>
    <row r="31" spans="1:6" x14ac:dyDescent="0.25">
      <c r="A31" s="21" t="s">
        <v>45</v>
      </c>
      <c r="B31" s="21"/>
      <c r="C31" s="1">
        <f>(C26*12)/100</f>
        <v>0</v>
      </c>
      <c r="D31" s="1">
        <f t="shared" ref="D31:F31" si="12">(D26*12)/100</f>
        <v>0</v>
      </c>
      <c r="E31" s="1">
        <f t="shared" si="12"/>
        <v>0</v>
      </c>
      <c r="F31" s="1">
        <f t="shared" si="12"/>
        <v>0</v>
      </c>
    </row>
    <row r="32" spans="1:6" x14ac:dyDescent="0.25">
      <c r="A32" s="21" t="s">
        <v>36</v>
      </c>
      <c r="B32" s="21"/>
      <c r="C32" s="1">
        <f>(C27*32)/100</f>
        <v>0</v>
      </c>
      <c r="D32" s="1">
        <f t="shared" ref="D32:F32" si="13">(D27*32)/100</f>
        <v>0</v>
      </c>
      <c r="E32" s="1">
        <f t="shared" si="13"/>
        <v>0</v>
      </c>
      <c r="F32" s="1">
        <f t="shared" si="13"/>
        <v>0</v>
      </c>
    </row>
    <row r="33" spans="1:6" x14ac:dyDescent="0.25">
      <c r="A33" s="21" t="s">
        <v>14</v>
      </c>
      <c r="B33" s="21"/>
      <c r="C33" s="1">
        <v>0</v>
      </c>
      <c r="D33" s="1">
        <v>0</v>
      </c>
      <c r="E33" s="1">
        <v>0</v>
      </c>
      <c r="F33" s="1">
        <v>0</v>
      </c>
    </row>
    <row r="34" spans="1:6" x14ac:dyDescent="0.25">
      <c r="A34" s="42" t="s">
        <v>15</v>
      </c>
      <c r="B34" s="42"/>
      <c r="C34" s="3">
        <f>SUM(C31:C33)</f>
        <v>0</v>
      </c>
      <c r="D34" s="3">
        <f t="shared" ref="D34:F34" si="14">SUM(D31:D33)</f>
        <v>0</v>
      </c>
      <c r="E34" s="3">
        <f t="shared" si="14"/>
        <v>0</v>
      </c>
      <c r="F34" s="3">
        <f t="shared" si="14"/>
        <v>0</v>
      </c>
    </row>
    <row r="35" spans="1:6" x14ac:dyDescent="0.25">
      <c r="A35" s="21" t="s">
        <v>47</v>
      </c>
      <c r="B35" s="21"/>
      <c r="C35" s="1">
        <f>(C34*9)/100</f>
        <v>0</v>
      </c>
      <c r="D35" s="1">
        <f t="shared" ref="D35:F35" si="15">(D34*9)/100</f>
        <v>0</v>
      </c>
      <c r="E35" s="1">
        <f t="shared" si="15"/>
        <v>0</v>
      </c>
      <c r="F35" s="1">
        <f t="shared" si="15"/>
        <v>0</v>
      </c>
    </row>
    <row r="36" spans="1:6" x14ac:dyDescent="0.25">
      <c r="A36" s="21" t="s">
        <v>46</v>
      </c>
      <c r="B36" s="21"/>
      <c r="C36" s="1"/>
      <c r="D36" s="1"/>
      <c r="E36" s="1"/>
      <c r="F36" s="1"/>
    </row>
    <row r="37" spans="1:6" x14ac:dyDescent="0.25">
      <c r="A37" s="25" t="s">
        <v>48</v>
      </c>
      <c r="B37" s="40"/>
      <c r="C37" s="1">
        <f t="shared" ref="C37:C38" si="16">C36/3</f>
        <v>0</v>
      </c>
      <c r="D37" s="1">
        <f t="shared" ref="D37:D40" si="17">D36/3</f>
        <v>0</v>
      </c>
      <c r="E37" s="1">
        <f t="shared" ref="E37:E40" si="18">E36/3</f>
        <v>0</v>
      </c>
      <c r="F37" s="1">
        <f t="shared" ref="F37:F40" si="19">F36/3</f>
        <v>0</v>
      </c>
    </row>
    <row r="38" spans="1:6" x14ac:dyDescent="0.25">
      <c r="A38" s="25" t="s">
        <v>49</v>
      </c>
      <c r="B38" s="40"/>
      <c r="C38" s="1">
        <f t="shared" si="16"/>
        <v>0</v>
      </c>
      <c r="D38" s="1">
        <f t="shared" si="17"/>
        <v>0</v>
      </c>
      <c r="E38" s="1">
        <f t="shared" si="18"/>
        <v>0</v>
      </c>
      <c r="F38" s="1">
        <f t="shared" si="19"/>
        <v>0</v>
      </c>
    </row>
    <row r="39" spans="1:6" x14ac:dyDescent="0.25">
      <c r="A39" s="41" t="s">
        <v>50</v>
      </c>
      <c r="B39" s="41"/>
      <c r="C39" s="6">
        <f>C35-C36-C37-C38</f>
        <v>0</v>
      </c>
      <c r="D39" s="6">
        <f t="shared" ref="D39:F39" si="20">D35-D36-D37-D38</f>
        <v>0</v>
      </c>
      <c r="E39" s="6">
        <f t="shared" si="20"/>
        <v>0</v>
      </c>
      <c r="F39" s="6">
        <f t="shared" si="20"/>
        <v>0</v>
      </c>
    </row>
    <row r="40" spans="1:6" ht="1.5" customHeight="1" x14ac:dyDescent="0.25">
      <c r="A40" s="25" t="s">
        <v>44</v>
      </c>
      <c r="B40" s="40"/>
      <c r="C40" s="1">
        <f>C39/3</f>
        <v>0</v>
      </c>
      <c r="D40" s="1">
        <f t="shared" si="17"/>
        <v>0</v>
      </c>
      <c r="E40" s="1">
        <f t="shared" si="18"/>
        <v>0</v>
      </c>
      <c r="F40" s="1">
        <f t="shared" si="19"/>
        <v>0</v>
      </c>
    </row>
    <row r="42" spans="1:6" x14ac:dyDescent="0.25">
      <c r="A42" s="38" t="s">
        <v>27</v>
      </c>
      <c r="B42" s="38"/>
      <c r="C42" s="5"/>
      <c r="D42" s="38" t="s">
        <v>28</v>
      </c>
      <c r="E42" s="38"/>
      <c r="F42" s="5"/>
    </row>
    <row r="43" spans="1:6" x14ac:dyDescent="0.25">
      <c r="A43" s="37" t="s">
        <v>61</v>
      </c>
      <c r="B43" s="37"/>
      <c r="C43" s="5"/>
      <c r="D43" s="37" t="s">
        <v>67</v>
      </c>
      <c r="E43" s="37"/>
      <c r="F43" s="5"/>
    </row>
    <row r="44" spans="1:6" x14ac:dyDescent="0.25">
      <c r="A44" s="37" t="s">
        <v>62</v>
      </c>
      <c r="B44" s="37"/>
      <c r="C44" s="5"/>
      <c r="D44" s="37" t="s">
        <v>68</v>
      </c>
      <c r="E44" s="37"/>
      <c r="F44" s="5"/>
    </row>
    <row r="45" spans="1:6" x14ac:dyDescent="0.25">
      <c r="A45" s="37" t="s">
        <v>63</v>
      </c>
      <c r="B45" s="37"/>
      <c r="C45" s="5"/>
      <c r="D45" s="37" t="s">
        <v>69</v>
      </c>
      <c r="E45" s="37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38" t="s">
        <v>29</v>
      </c>
      <c r="B47" s="38"/>
      <c r="C47" s="5"/>
      <c r="D47" s="38" t="s">
        <v>30</v>
      </c>
      <c r="E47" s="38"/>
      <c r="F47" s="5"/>
    </row>
    <row r="48" spans="1:6" x14ac:dyDescent="0.25">
      <c r="A48" s="37" t="s">
        <v>64</v>
      </c>
      <c r="B48" s="37"/>
      <c r="C48" s="5"/>
      <c r="D48" s="37" t="s">
        <v>55</v>
      </c>
      <c r="E48" s="37"/>
      <c r="F48" s="5"/>
    </row>
    <row r="49" spans="1:6" x14ac:dyDescent="0.25">
      <c r="A49" s="37" t="s">
        <v>65</v>
      </c>
      <c r="B49" s="37"/>
      <c r="C49" s="5"/>
      <c r="D49" s="37" t="s">
        <v>56</v>
      </c>
      <c r="E49" s="37"/>
      <c r="F49" s="5"/>
    </row>
    <row r="50" spans="1:6" x14ac:dyDescent="0.25">
      <c r="A50" s="37" t="s">
        <v>66</v>
      </c>
      <c r="B50" s="37"/>
      <c r="C50" s="5"/>
      <c r="D50" s="37" t="s">
        <v>57</v>
      </c>
      <c r="E50" s="37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</sheetData>
  <mergeCells count="53">
    <mergeCell ref="A10:B10"/>
    <mergeCell ref="A5:B6"/>
    <mergeCell ref="C5:F5"/>
    <mergeCell ref="A7:B7"/>
    <mergeCell ref="A8:B8"/>
    <mergeCell ref="A9:B9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34:B34"/>
    <mergeCell ref="A24:B25"/>
    <mergeCell ref="C24:F24"/>
    <mergeCell ref="A26:B26"/>
    <mergeCell ref="A27:B27"/>
    <mergeCell ref="A28:B28"/>
    <mergeCell ref="A3:F3"/>
    <mergeCell ref="A2:F2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45:B45"/>
    <mergeCell ref="D42:E42"/>
    <mergeCell ref="D43:E43"/>
    <mergeCell ref="D44:E44"/>
    <mergeCell ref="D45:E45"/>
    <mergeCell ref="A48:B48"/>
    <mergeCell ref="A49:B49"/>
    <mergeCell ref="A50:B50"/>
    <mergeCell ref="D47:E47"/>
    <mergeCell ref="D48:E48"/>
    <mergeCell ref="D49:E49"/>
    <mergeCell ref="D50:E50"/>
    <mergeCell ref="A47:B4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PIS e COFINS</vt:lpstr>
      <vt:lpstr>IRPF e CSLL</vt:lpstr>
      <vt:lpstr>'IRPF e CSLL'!Area_de_impressao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BEMOL</dc:creator>
  <cp:lastModifiedBy>Meiryelle</cp:lastModifiedBy>
  <cp:lastPrinted>2020-01-09T13:28:44Z</cp:lastPrinted>
  <dcterms:created xsi:type="dcterms:W3CDTF">2016-09-25T00:48:16Z</dcterms:created>
  <dcterms:modified xsi:type="dcterms:W3CDTF">2021-12-07T13:27:57Z</dcterms:modified>
</cp:coreProperties>
</file>