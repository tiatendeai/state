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6AF72FCB-0160-48A2-A312-FC2EBA5F1847}" xr6:coauthVersionLast="41" xr6:coauthVersionMax="41" xr10:uidLastSave="{00000000-0000-0000-0000-000000000000}"/>
  <bookViews>
    <workbookView xWindow="-108" yWindow="-108" windowWidth="19416" windowHeight="1041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 l="1"/>
  <c r="C10" i="1"/>
  <c r="C11" i="1" s="1"/>
  <c r="C14" i="1" l="1"/>
</calcChain>
</file>

<file path=xl/sharedStrings.xml><?xml version="1.0" encoding="utf-8"?>
<sst xmlns="http://schemas.openxmlformats.org/spreadsheetml/2006/main" count="29" uniqueCount="29">
  <si>
    <t>SP</t>
  </si>
  <si>
    <t>GO</t>
  </si>
  <si>
    <t>Valor da Mercadoria</t>
  </si>
  <si>
    <t>Valor do Frete</t>
  </si>
  <si>
    <t>Valor do Seguro</t>
  </si>
  <si>
    <t>Alíquota Interestadual  ICMS de SP para GO</t>
  </si>
  <si>
    <t>Alíquota interna  no Estado de destino</t>
  </si>
  <si>
    <t>Valor do ICMS Interestadual (próprio)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</si>
  <si>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</si>
  <si>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</si>
  <si>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</si>
  <si>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</si>
  <si>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</si>
  <si>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</si>
  <si>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</si>
  <si>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</si>
  <si>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</si>
  <si>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</si>
  <si>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Base de Cálculo do ICMS próprio (C+D+E)</t>
  </si>
  <si>
    <t>Base de Cálculo da ST (C+D+E)+(*H)</t>
  </si>
  <si>
    <t>L)</t>
  </si>
  <si>
    <t>M)</t>
  </si>
  <si>
    <t>N)</t>
  </si>
  <si>
    <t>Cálculo do ICMS-ST (L*G)</t>
  </si>
  <si>
    <t>Valor do ICMS - ST</t>
  </si>
  <si>
    <t>Exemplo de Cálculo da Substituição Tributária em  operação interestadual</t>
  </si>
  <si>
    <t xml:space="preserve">Estado de Origem </t>
  </si>
  <si>
    <t>Estado de Destino</t>
  </si>
  <si>
    <t>MVA  (Margem Valor Agregado)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</si>
</sst>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4" xfId="0" applyFont="1" applyBorder="1" applyAlignment="1">
      <alignment horizontal="center"/>
    </xf>
    <xf numFmtId="4" fontId="0" fillId="0" borderId="4" xfId="0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9" fontId="0" fillId="0" borderId="4" xfId="0" applyNumberFormat="1" applyFont="1" applyBorder="1" applyAlignment="1">
      <alignment horizontal="center"/>
    </xf>
    <xf numFmtId="4" fontId="0" fillId="4" borderId="4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2" sqref="C2"/>
    </sheetView>
  </sheetViews>
  <sheetFormatPr defaultRowHeight="14.4" x14ac:dyDescent="0.3"/>
  <cols>
    <col min="1" max="1" width="3.6640625" customWidth="1"/>
    <col min="2" max="2" width="55.88671875" customWidth="1"/>
    <col min="3" max="3" width="20.109375" style="1" customWidth="1"/>
  </cols>
  <sheetData>
    <row r="1" spans="1:3" ht="15" thickBot="1" x14ac:dyDescent="0.35">
      <c r="A1" s="9" t="s">
        <v>25</v>
      </c>
      <c r="B1" s="10"/>
      <c r="C1" s="11"/>
    </row>
    <row r="2" spans="1:3" ht="18" customHeight="1" x14ac:dyDescent="0.3">
      <c r="A2" s="7" t="s">
        <v>8</v>
      </c>
      <c r="B2" s="7" t="s">
        <v>26</v>
      </c>
      <c r="C2" s="2" t="s">
        <v>0</v>
      </c>
    </row>
    <row r="3" spans="1:3" ht="18" customHeight="1" x14ac:dyDescent="0.3">
      <c r="A3" s="7" t="s">
        <v>9</v>
      </c>
      <c r="B3" s="7" t="s">
        <v>27</v>
      </c>
      <c r="C3" s="2" t="s">
        <v>1</v>
      </c>
    </row>
    <row r="4" spans="1:3" ht="18" customHeight="1" x14ac:dyDescent="0.3">
      <c r="A4" s="7" t="s">
        <v>10</v>
      </c>
      <c r="B4" s="7" t="s">
        <v>2</v>
      </c>
      <c r="C4" s="3">
        <v>10000</v>
      </c>
    </row>
    <row r="5" spans="1:3" ht="18" customHeight="1" x14ac:dyDescent="0.3">
      <c r="A5" s="7" t="s">
        <v>11</v>
      </c>
      <c r="B5" s="7" t="s">
        <v>3</v>
      </c>
      <c r="C5" s="4">
        <v>80</v>
      </c>
    </row>
    <row r="6" spans="1:3" ht="18" customHeight="1" x14ac:dyDescent="0.3">
      <c r="A6" s="7" t="s">
        <v>12</v>
      </c>
      <c r="B6" s="7" t="s">
        <v>4</v>
      </c>
      <c r="C6" s="4">
        <v>20</v>
      </c>
    </row>
    <row r="7" spans="1:3" ht="18" customHeight="1" x14ac:dyDescent="0.3">
      <c r="A7" s="7" t="s">
        <v>13</v>
      </c>
      <c r="B7" s="8" t="s">
        <v>5</v>
      </c>
      <c r="C7" s="5">
        <v>7.0000000000000007E-2</v>
      </c>
    </row>
    <row r="8" spans="1:3" ht="18" customHeight="1" x14ac:dyDescent="0.3">
      <c r="A8" s="7" t="s">
        <v>14</v>
      </c>
      <c r="B8" s="8" t="s">
        <v>6</v>
      </c>
      <c r="C8" s="5">
        <v>0.18</v>
      </c>
    </row>
    <row r="9" spans="1:3" ht="18" customHeight="1" x14ac:dyDescent="0.3">
      <c r="A9" s="7" t="s">
        <v>15</v>
      </c>
      <c r="B9" s="7" t="s">
        <v>28</v>
      </c>
      <c r="C9" s="5">
        <v>0.4</v>
      </c>
    </row>
    <row r="10" spans="1:3" ht="18" customHeight="1" x14ac:dyDescent="0.3">
      <c r="A10" s="7" t="s">
        <v>16</v>
      </c>
      <c r="B10" s="8" t="s">
        <v>18</v>
      </c>
      <c r="C10" s="3">
        <f>C4+C5+C6</f>
        <v>10100</v>
      </c>
    </row>
    <row r="11" spans="1:3" ht="18" customHeight="1" x14ac:dyDescent="0.3">
      <c r="A11" s="7" t="s">
        <v>17</v>
      </c>
      <c r="B11" s="8" t="s">
        <v>7</v>
      </c>
      <c r="C11" s="3">
        <f>C10*C7</f>
        <v>707.00000000000011</v>
      </c>
    </row>
    <row r="12" spans="1:3" ht="18" customHeight="1" x14ac:dyDescent="0.3">
      <c r="A12" s="7" t="s">
        <v>20</v>
      </c>
      <c r="B12" s="8" t="s">
        <v>19</v>
      </c>
      <c r="C12" s="6">
        <f>(C4+C5+C6)*(1.4)</f>
        <v>14140</v>
      </c>
    </row>
    <row r="13" spans="1:3" ht="18" customHeight="1" x14ac:dyDescent="0.3">
      <c r="A13" s="7" t="s">
        <v>21</v>
      </c>
      <c r="B13" s="8" t="s">
        <v>23</v>
      </c>
      <c r="C13" s="6">
        <f>C12*C8</f>
        <v>2545.1999999999998</v>
      </c>
    </row>
    <row r="14" spans="1:3" ht="18" customHeight="1" x14ac:dyDescent="0.3">
      <c r="A14" s="7" t="s">
        <v>22</v>
      </c>
      <c r="B14" s="8" t="s">
        <v>24</v>
      </c>
      <c r="C14" s="6">
        <f>C13-C11</f>
        <v>1838.1999999999998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Santos</dc:creator>
  <cp:lastModifiedBy>milgoncalves120122</cp:lastModifiedBy>
  <dcterms:created xsi:type="dcterms:W3CDTF">2016-09-08T11:34:26Z</dcterms:created>
  <dcterms:modified xsi:type="dcterms:W3CDTF">2022-01-18T16:48:30Z</dcterms:modified>
</cp:coreProperties>
</file>