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8735" windowHeight="11640" firstSheet="1" activeTab="4"/>
  </bookViews>
  <sheets>
    <sheet name="IRPJ e CSLL 1TRIM" sheetId="3" r:id="rId1"/>
    <sheet name="IRPJ e CSLL 2TRIM" sheetId="4" r:id="rId2"/>
    <sheet name="IRPJ e CSLL 3TRIM" sheetId="5" r:id="rId3"/>
    <sheet name="IRPJ e CSLL 4TRIM" sheetId="7" r:id="rId4"/>
    <sheet name="PIS E COFINS" sheetId="8" r:id="rId5"/>
  </sheets>
  <definedNames>
    <definedName name="_xlnm.Print_Area" localSheetId="0">'IRPJ e CSLL 1TRIM'!$A$5:$E$28</definedName>
    <definedName name="_xlnm.Print_Area" localSheetId="1">'IRPJ e CSLL 2TRIM'!$A$3:$E$27</definedName>
    <definedName name="_xlnm.Print_Area" localSheetId="2">'IRPJ e CSLL 3TRIM'!$A$3:$E$27</definedName>
  </definedNames>
  <calcPr calcId="152511"/>
</workbook>
</file>

<file path=xl/calcChain.xml><?xml version="1.0" encoding="utf-8"?>
<calcChain xmlns="http://schemas.openxmlformats.org/spreadsheetml/2006/main">
  <c r="C7" i="8" l="1"/>
  <c r="C8" i="8"/>
  <c r="C9" i="8"/>
  <c r="C10" i="8"/>
  <c r="C11" i="8"/>
  <c r="C12" i="8"/>
  <c r="C13" i="8"/>
  <c r="C14" i="8"/>
  <c r="C15" i="8"/>
  <c r="C5" i="8"/>
  <c r="C6" i="8"/>
  <c r="D4" i="7"/>
  <c r="D5" i="7" s="1"/>
  <c r="D8" i="7" s="1"/>
  <c r="D10" i="7" s="1"/>
  <c r="C4" i="7"/>
  <c r="B4" i="7"/>
  <c r="B5" i="7" s="1"/>
  <c r="B8" i="7" s="1"/>
  <c r="D6" i="5"/>
  <c r="C6" i="5"/>
  <c r="C7" i="5" s="1"/>
  <c r="B6" i="5"/>
  <c r="B7" i="5" s="1"/>
  <c r="D7" i="5"/>
  <c r="D7" i="4"/>
  <c r="C7" i="4"/>
  <c r="B7" i="4"/>
  <c r="B8" i="4" s="1"/>
  <c r="C8" i="4"/>
  <c r="D8" i="4"/>
  <c r="D8" i="3"/>
  <c r="D9" i="3" s="1"/>
  <c r="C8" i="3"/>
  <c r="C9" i="3" s="1"/>
  <c r="B8" i="3"/>
  <c r="B9" i="3" s="1"/>
  <c r="D6" i="8"/>
  <c r="D7" i="8"/>
  <c r="D8" i="8"/>
  <c r="D9" i="8"/>
  <c r="D10" i="8"/>
  <c r="D11" i="8"/>
  <c r="D12" i="8"/>
  <c r="D13" i="8"/>
  <c r="D14" i="8"/>
  <c r="D15" i="8"/>
  <c r="D16" i="8"/>
  <c r="C16" i="8"/>
  <c r="B17" i="8"/>
  <c r="D5" i="8"/>
  <c r="D21" i="7"/>
  <c r="D22" i="7" s="1"/>
  <c r="D23" i="7" s="1"/>
  <c r="C21" i="7"/>
  <c r="C22" i="7" s="1"/>
  <c r="C23" i="7" s="1"/>
  <c r="B21" i="7"/>
  <c r="B22" i="7" s="1"/>
  <c r="B23" i="7" s="1"/>
  <c r="B17" i="7"/>
  <c r="B18" i="7" s="1"/>
  <c r="B19" i="7" s="1"/>
  <c r="B20" i="7" s="1"/>
  <c r="D12" i="7"/>
  <c r="D13" i="7" s="1"/>
  <c r="D14" i="7" s="1"/>
  <c r="C12" i="7"/>
  <c r="C13" i="7" s="1"/>
  <c r="C14" i="7" s="1"/>
  <c r="B12" i="7"/>
  <c r="B13" i="7" s="1"/>
  <c r="B14" i="7" s="1"/>
  <c r="E11" i="7"/>
  <c r="E21" i="7" s="1"/>
  <c r="E22" i="7" s="1"/>
  <c r="E23" i="7" s="1"/>
  <c r="E9" i="7"/>
  <c r="D17" i="7" l="1"/>
  <c r="D18" i="7" s="1"/>
  <c r="D19" i="7" s="1"/>
  <c r="D20" i="7" s="1"/>
  <c r="E4" i="7"/>
  <c r="E17" i="7" s="1"/>
  <c r="E18" i="7" s="1"/>
  <c r="E19" i="7" s="1"/>
  <c r="E20" i="7" s="1"/>
  <c r="C17" i="7"/>
  <c r="C18" i="7" s="1"/>
  <c r="C19" i="7" s="1"/>
  <c r="C20" i="7" s="1"/>
  <c r="C24" i="7" s="1"/>
  <c r="C5" i="7"/>
  <c r="C8" i="7" s="1"/>
  <c r="C10" i="7" s="1"/>
  <c r="C17" i="8"/>
  <c r="D17" i="8"/>
  <c r="B15" i="7"/>
  <c r="B10" i="7"/>
  <c r="B16" i="7" s="1"/>
  <c r="B24" i="7"/>
  <c r="C16" i="7"/>
  <c r="C15" i="7"/>
  <c r="D16" i="7"/>
  <c r="D15" i="7"/>
  <c r="D24" i="7"/>
  <c r="E5" i="7"/>
  <c r="E8" i="7" s="1"/>
  <c r="E10" i="7" s="1"/>
  <c r="E12" i="7"/>
  <c r="E13" i="7" s="1"/>
  <c r="E14" i="7" s="1"/>
  <c r="E15" i="7" l="1"/>
  <c r="E24" i="7"/>
  <c r="E16" i="7"/>
  <c r="D23" i="5" l="1"/>
  <c r="D24" i="5" s="1"/>
  <c r="D25" i="5" s="1"/>
  <c r="C23" i="5"/>
  <c r="C24" i="5" s="1"/>
  <c r="C25" i="5" s="1"/>
  <c r="B23" i="5"/>
  <c r="B24" i="5" s="1"/>
  <c r="B25" i="5" s="1"/>
  <c r="D19" i="5"/>
  <c r="D20" i="5" s="1"/>
  <c r="D21" i="5" s="1"/>
  <c r="D22" i="5" s="1"/>
  <c r="C19" i="5"/>
  <c r="C20" i="5" s="1"/>
  <c r="C21" i="5" s="1"/>
  <c r="C22" i="5" s="1"/>
  <c r="B19" i="5"/>
  <c r="B20" i="5" s="1"/>
  <c r="B21" i="5" s="1"/>
  <c r="B22" i="5" s="1"/>
  <c r="D14" i="5"/>
  <c r="D15" i="5" s="1"/>
  <c r="D16" i="5" s="1"/>
  <c r="C14" i="5"/>
  <c r="C15" i="5" s="1"/>
  <c r="C16" i="5" s="1"/>
  <c r="B14" i="5"/>
  <c r="B15" i="5" s="1"/>
  <c r="B16" i="5" s="1"/>
  <c r="E13" i="5"/>
  <c r="E23" i="5" s="1"/>
  <c r="E24" i="5" s="1"/>
  <c r="E25" i="5" s="1"/>
  <c r="E11" i="5"/>
  <c r="D10" i="5"/>
  <c r="D12" i="5" s="1"/>
  <c r="C10" i="5"/>
  <c r="C12" i="5" s="1"/>
  <c r="B10" i="5"/>
  <c r="E6" i="5"/>
  <c r="E19" i="5" s="1"/>
  <c r="E20" i="5" s="1"/>
  <c r="E21" i="5" s="1"/>
  <c r="E22" i="5" s="1"/>
  <c r="B26" i="5" l="1"/>
  <c r="E26" i="5" s="1"/>
  <c r="C26" i="5"/>
  <c r="D26" i="5"/>
  <c r="B17" i="5"/>
  <c r="B12" i="5"/>
  <c r="B18" i="5" s="1"/>
  <c r="C18" i="5"/>
  <c r="C17" i="5"/>
  <c r="D18" i="5"/>
  <c r="D17" i="5"/>
  <c r="E7" i="5"/>
  <c r="E10" i="5" s="1"/>
  <c r="E12" i="5" s="1"/>
  <c r="E14" i="5"/>
  <c r="E15" i="5" s="1"/>
  <c r="E16" i="5" s="1"/>
  <c r="D24" i="4"/>
  <c r="D25" i="4" s="1"/>
  <c r="D26" i="4" s="1"/>
  <c r="C24" i="4"/>
  <c r="C25" i="4" s="1"/>
  <c r="C26" i="4" s="1"/>
  <c r="B24" i="4"/>
  <c r="B25" i="4" s="1"/>
  <c r="B26" i="4" s="1"/>
  <c r="D20" i="4"/>
  <c r="D21" i="4" s="1"/>
  <c r="D22" i="4" s="1"/>
  <c r="D23" i="4" s="1"/>
  <c r="C20" i="4"/>
  <c r="C21" i="4" s="1"/>
  <c r="C22" i="4" s="1"/>
  <c r="C23" i="4" s="1"/>
  <c r="B20" i="4"/>
  <c r="B21" i="4" s="1"/>
  <c r="B22" i="4" s="1"/>
  <c r="B23" i="4" s="1"/>
  <c r="B27" i="4" s="1"/>
  <c r="D15" i="4"/>
  <c r="D16" i="4" s="1"/>
  <c r="D17" i="4" s="1"/>
  <c r="C15" i="4"/>
  <c r="C16" i="4" s="1"/>
  <c r="C17" i="4" s="1"/>
  <c r="B15" i="4"/>
  <c r="B16" i="4" s="1"/>
  <c r="B17" i="4" s="1"/>
  <c r="E14" i="4"/>
  <c r="E24" i="4" s="1"/>
  <c r="E25" i="4" s="1"/>
  <c r="E26" i="4" s="1"/>
  <c r="E12" i="4"/>
  <c r="D11" i="4"/>
  <c r="D13" i="4" s="1"/>
  <c r="C11" i="4"/>
  <c r="C13" i="4" s="1"/>
  <c r="B11" i="4"/>
  <c r="E7" i="4"/>
  <c r="E20" i="4" s="1"/>
  <c r="E21" i="4" s="1"/>
  <c r="E22" i="4" s="1"/>
  <c r="E23" i="4" s="1"/>
  <c r="C27" i="4" l="1"/>
  <c r="D27" i="4"/>
  <c r="E27" i="4"/>
  <c r="E18" i="5"/>
  <c r="E17" i="5"/>
  <c r="B18" i="4"/>
  <c r="B13" i="4"/>
  <c r="B19" i="4" s="1"/>
  <c r="C19" i="4"/>
  <c r="C18" i="4"/>
  <c r="D19" i="4"/>
  <c r="D18" i="4"/>
  <c r="H23" i="4" s="1"/>
  <c r="E8" i="4"/>
  <c r="E11" i="4" s="1"/>
  <c r="E13" i="4" s="1"/>
  <c r="E15" i="4"/>
  <c r="E16" i="4" s="1"/>
  <c r="E17" i="4" s="1"/>
  <c r="E15" i="3"/>
  <c r="E13" i="3"/>
  <c r="E19" i="4" l="1"/>
  <c r="E18" i="4"/>
  <c r="D27" i="5"/>
  <c r="B27" i="5"/>
  <c r="C27" i="5"/>
  <c r="C25" i="3"/>
  <c r="C26" i="3" s="1"/>
  <c r="C27" i="3" s="1"/>
  <c r="B25" i="3"/>
  <c r="B26" i="3" s="1"/>
  <c r="B27" i="3" s="1"/>
  <c r="D12" i="3"/>
  <c r="D14" i="3" s="1"/>
  <c r="C21" i="3"/>
  <c r="C22" i="3" s="1"/>
  <c r="C23" i="3" s="1"/>
  <c r="C24" i="3" s="1"/>
  <c r="B31" i="3"/>
  <c r="E25" i="3"/>
  <c r="E26" i="3" s="1"/>
  <c r="E27" i="3" s="1"/>
  <c r="D25" i="3"/>
  <c r="D26" i="3" s="1"/>
  <c r="D27" i="3" s="1"/>
  <c r="D21" i="3"/>
  <c r="D22" i="3" s="1"/>
  <c r="D23" i="3" s="1"/>
  <c r="D24" i="3" s="1"/>
  <c r="B21" i="3"/>
  <c r="B22" i="3" s="1"/>
  <c r="B23" i="3" s="1"/>
  <c r="B24" i="3" s="1"/>
  <c r="E16" i="3"/>
  <c r="E17" i="3" s="1"/>
  <c r="E18" i="3" s="1"/>
  <c r="D16" i="3"/>
  <c r="D17" i="3" s="1"/>
  <c r="D18" i="3" s="1"/>
  <c r="B12" i="3"/>
  <c r="D20" i="3" l="1"/>
  <c r="D28" i="3"/>
  <c r="E27" i="5"/>
  <c r="C16" i="3"/>
  <c r="C17" i="3" s="1"/>
  <c r="C18" i="3" s="1"/>
  <c r="H30" i="4"/>
  <c r="B16" i="3"/>
  <c r="B17" i="3" s="1"/>
  <c r="B18" i="3" s="1"/>
  <c r="B19" i="3" s="1"/>
  <c r="B28" i="3"/>
  <c r="E8" i="3"/>
  <c r="C12" i="3"/>
  <c r="C14" i="3" s="1"/>
  <c r="C20" i="3" s="1"/>
  <c r="C28" i="3"/>
  <c r="E21" i="3" l="1"/>
  <c r="E22" i="3" s="1"/>
  <c r="E23" i="3" s="1"/>
  <c r="E24" i="3" s="1"/>
  <c r="E9" i="3"/>
  <c r="E12" i="3" s="1"/>
  <c r="E14" i="3" s="1"/>
  <c r="E32" i="3"/>
  <c r="H28" i="3"/>
  <c r="E28" i="3"/>
  <c r="H26" i="4"/>
  <c r="D19" i="3"/>
  <c r="C19" i="3"/>
  <c r="B14" i="3"/>
  <c r="B20" i="3" s="1"/>
  <c r="H21" i="4" l="1"/>
  <c r="E19" i="3"/>
  <c r="H19" i="3" s="1"/>
  <c r="H18" i="3"/>
  <c r="E20" i="3"/>
  <c r="H18" i="4" l="1"/>
</calcChain>
</file>

<file path=xl/comments1.xml><?xml version="1.0" encoding="utf-8"?>
<comments xmlns="http://schemas.openxmlformats.org/spreadsheetml/2006/main">
  <authors>
    <author>Autor</author>
  </authors>
  <commentList>
    <comment ref="E11" authorId="0" shape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Adicional de 10% s/ IRPJ se ultrapassar 60.000,00 de base de cálculo no trimestre.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E10" authorId="0" shape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Adicional de 10% s/ IRPJ se ultrapassar 60.000,00 de base de cálculo no trimestre.
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E9" authorId="0" shape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Adicional de 10% s/ IRPJ se ultrapassar 60.000,00 de base de cálculo no trimestre.
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E7" authorId="0" shape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Adicional de 10% s/ IRPJ se ultrapassar 60.000,00 de base de cálculo no trimestre.
</t>
        </r>
      </text>
    </comment>
  </commentList>
</comments>
</file>

<file path=xl/sharedStrings.xml><?xml version="1.0" encoding="utf-8"?>
<sst xmlns="http://schemas.openxmlformats.org/spreadsheetml/2006/main" count="132" uniqueCount="42">
  <si>
    <t>Total</t>
  </si>
  <si>
    <t xml:space="preserve"> IRPJ 15% (Vendas)</t>
  </si>
  <si>
    <t xml:space="preserve"> IRPJ 15% (Serviços)</t>
  </si>
  <si>
    <t>CSLL 9% (Vendas)</t>
  </si>
  <si>
    <t>IRPJ a Pagar (vendas)</t>
  </si>
  <si>
    <t>Faturamento (Vendas)</t>
  </si>
  <si>
    <t>Faturamento (Serviços)</t>
  </si>
  <si>
    <t>IRPJ a Pagar (Serviços)</t>
  </si>
  <si>
    <t>IRPJ Total (Serv + Vendas)</t>
  </si>
  <si>
    <t>BC CSLL Aliq 12% ( Vendas)</t>
  </si>
  <si>
    <t>CSLL a Pagar (vendas)</t>
  </si>
  <si>
    <t>BC CSLL Aliq 32% ( Vendas)</t>
  </si>
  <si>
    <t>CSLL Total (Serv + Vendas)</t>
  </si>
  <si>
    <t>IRPJ E CSLL</t>
  </si>
  <si>
    <t>Adic 10% s/ IRPJ</t>
  </si>
  <si>
    <t>IRPJ Total (Serv + Vendas+Adicional)</t>
  </si>
  <si>
    <t>Rend Aplic Fin</t>
  </si>
  <si>
    <t>IRRF Retido</t>
  </si>
  <si>
    <t>BC IRPJ Aliq9% (Serviços)</t>
  </si>
  <si>
    <t>MESES</t>
  </si>
  <si>
    <t>FATURAMENTO</t>
  </si>
  <si>
    <t>PIS</t>
  </si>
  <si>
    <t>COFINS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</si>
  <si>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</si>
  <si>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</si>
  <si>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</si>
  <si>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</si>
  <si>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</si>
  <si>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</si>
  <si>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</si>
  <si>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</si>
  <si>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</si>
  <si>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</si>
  <si>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</si>
  <si>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</si>
  <si>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APURAÇÃO PIS/ COFINS 2017</t>
  </si>
  <si>
    <t>MARÇO</t>
  </si>
  <si>
    <t>BC IRPJ Aliq 8 % ( Vendas)</t>
  </si>
  <si>
    <t>BC IRPJ Aliq 8% ( Vendas)</t>
  </si>
  <si>
    <t>empresa</t>
  </si>
  <si>
    <t>cnpj</t>
  </si>
  <si>
    <t>emrpesa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</si>
</sst>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(* #,##0.00_);_(* \(#,##0.00\);_(* &quot;-&quot;??_);_(@_)"/>
    <numFmt numFmtId="165" formatCode="_-&quot;R$&quot;\ * #,##0.0_-;\-&quot;R$&quot;\ * #,##0.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164" fontId="0" fillId="0" borderId="1" xfId="1" applyFont="1" applyBorder="1"/>
    <xf numFmtId="164" fontId="0" fillId="2" borderId="1" xfId="1" applyFont="1" applyFill="1" applyBorder="1"/>
    <xf numFmtId="164" fontId="2" fillId="2" borderId="1" xfId="1" applyFont="1" applyFill="1" applyBorder="1"/>
    <xf numFmtId="164" fontId="2" fillId="3" borderId="1" xfId="1" applyFont="1" applyFill="1" applyBorder="1"/>
    <xf numFmtId="164" fontId="1" fillId="0" borderId="1" xfId="1" applyFont="1" applyBorder="1"/>
    <xf numFmtId="164" fontId="0" fillId="0" borderId="0" xfId="0" applyNumberFormat="1"/>
    <xf numFmtId="164" fontId="2" fillId="4" borderId="1" xfId="1" applyFont="1" applyFill="1" applyBorder="1"/>
    <xf numFmtId="164" fontId="0" fillId="2" borderId="1" xfId="0" applyNumberForma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/>
    <xf numFmtId="165" fontId="0" fillId="2" borderId="1" xfId="0" applyNumberFormat="1" applyFill="1" applyBorder="1"/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H32"/>
  <sheetViews>
    <sheetView workbookViewId="0">
      <selection activeCell="A5" sqref="A5:E5"/>
    </sheetView>
  </sheetViews>
  <sheetFormatPr defaultRowHeight="15" x14ac:dyDescent="0.25"/>
  <cols>
    <col min="1" max="1" width="24.85546875" customWidth="1"/>
    <col min="2" max="2" width="18.5703125" customWidth="1"/>
    <col min="3" max="3" width="13.7109375" customWidth="1"/>
    <col min="4" max="4" width="15.7109375" customWidth="1"/>
    <col min="5" max="5" width="25" customWidth="1"/>
    <col min="8" max="8" width="16.85546875" customWidth="1"/>
  </cols>
  <sheetData>
    <row r="4" spans="1:5" ht="21" x14ac:dyDescent="0.25">
      <c r="A4" s="20" t="s">
        <v>39</v>
      </c>
      <c r="B4" s="21"/>
      <c r="C4" s="21"/>
      <c r="D4" s="21"/>
      <c r="E4" s="21"/>
    </row>
    <row r="5" spans="1:5" ht="21" x14ac:dyDescent="0.25">
      <c r="A5" s="22" t="s">
        <v>40</v>
      </c>
      <c r="B5" s="23"/>
      <c r="C5" s="23"/>
      <c r="D5" s="23"/>
      <c r="E5" s="24"/>
    </row>
    <row r="6" spans="1:5" ht="21" x14ac:dyDescent="0.25">
      <c r="A6" s="22"/>
      <c r="B6" s="23"/>
      <c r="C6" s="23"/>
      <c r="D6" s="23"/>
      <c r="E6" s="24"/>
    </row>
    <row r="7" spans="1:5" x14ac:dyDescent="0.25">
      <c r="A7" s="10" t="s">
        <v>13</v>
      </c>
      <c r="B7" s="10" t="s">
        <v>23</v>
      </c>
      <c r="C7" s="10" t="s">
        <v>24</v>
      </c>
      <c r="D7" s="10" t="s">
        <v>36</v>
      </c>
      <c r="E7" s="10" t="s">
        <v>0</v>
      </c>
    </row>
    <row r="8" spans="1:5" x14ac:dyDescent="0.25">
      <c r="A8" s="10" t="s">
        <v>5</v>
      </c>
      <c r="B8" s="2">
        <f>'PIS E COFINS'!B5</f>
        <v>0</v>
      </c>
      <c r="C8" s="2">
        <f>'PIS E COFINS'!B6</f>
        <v>4462.5</v>
      </c>
      <c r="D8" s="2">
        <f>'PIS E COFINS'!B7</f>
        <v>16447.5</v>
      </c>
      <c r="E8" s="2">
        <f>B8+C8+D8</f>
        <v>20910</v>
      </c>
    </row>
    <row r="9" spans="1:5" x14ac:dyDescent="0.25">
      <c r="A9" s="10" t="s">
        <v>37</v>
      </c>
      <c r="B9" s="2">
        <f>8%*B8</f>
        <v>0</v>
      </c>
      <c r="C9" s="2">
        <f t="shared" ref="C9:D9" si="0">8%*C8</f>
        <v>357</v>
      </c>
      <c r="D9" s="2">
        <f t="shared" si="0"/>
        <v>1315.8</v>
      </c>
      <c r="E9" s="2">
        <f>1.6%*E8</f>
        <v>334.56</v>
      </c>
    </row>
    <row r="10" spans="1:5" x14ac:dyDescent="0.25">
      <c r="A10" s="12" t="s">
        <v>16</v>
      </c>
      <c r="B10" s="2"/>
      <c r="C10" s="2"/>
      <c r="D10" s="2"/>
      <c r="E10" s="2"/>
    </row>
    <row r="11" spans="1:5" x14ac:dyDescent="0.25">
      <c r="A11" s="10" t="s">
        <v>14</v>
      </c>
      <c r="B11" s="2"/>
      <c r="C11" s="2"/>
      <c r="D11" s="2"/>
      <c r="E11" s="2"/>
    </row>
    <row r="12" spans="1:5" x14ac:dyDescent="0.25">
      <c r="A12" s="10" t="s">
        <v>1</v>
      </c>
      <c r="B12" s="2">
        <f t="shared" ref="B12:D12" si="1">15%*B9</f>
        <v>0</v>
      </c>
      <c r="C12" s="2">
        <f t="shared" si="1"/>
        <v>53.55</v>
      </c>
      <c r="D12" s="2">
        <f t="shared" si="1"/>
        <v>197.36999999999998</v>
      </c>
      <c r="E12" s="2">
        <f>15%*E9</f>
        <v>50.183999999999997</v>
      </c>
    </row>
    <row r="13" spans="1:5" x14ac:dyDescent="0.25">
      <c r="A13" s="12" t="s">
        <v>17</v>
      </c>
      <c r="B13" s="2"/>
      <c r="C13" s="2"/>
      <c r="D13" s="2"/>
      <c r="E13" s="2">
        <f>B13+C13+D13</f>
        <v>0</v>
      </c>
    </row>
    <row r="14" spans="1:5" x14ac:dyDescent="0.25">
      <c r="A14" s="10" t="s">
        <v>4</v>
      </c>
      <c r="B14" s="3">
        <f>B11+B12</f>
        <v>0</v>
      </c>
      <c r="C14" s="9">
        <f>C12</f>
        <v>53.55</v>
      </c>
      <c r="D14" s="9">
        <f>D12</f>
        <v>197.36999999999998</v>
      </c>
      <c r="E14" s="4">
        <f>E12</f>
        <v>50.183999999999997</v>
      </c>
    </row>
    <row r="15" spans="1:5" x14ac:dyDescent="0.25">
      <c r="A15" s="10" t="s">
        <v>6</v>
      </c>
      <c r="B15" s="2"/>
      <c r="C15" s="11"/>
      <c r="D15" s="1"/>
      <c r="E15" s="2">
        <f>D15+C15+B15</f>
        <v>0</v>
      </c>
    </row>
    <row r="16" spans="1:5" x14ac:dyDescent="0.25">
      <c r="A16" s="10" t="s">
        <v>18</v>
      </c>
      <c r="B16" s="2">
        <f t="shared" ref="B16:D16" si="2">32%*B15</f>
        <v>0</v>
      </c>
      <c r="C16" s="2">
        <f t="shared" si="2"/>
        <v>0</v>
      </c>
      <c r="D16" s="2">
        <f t="shared" si="2"/>
        <v>0</v>
      </c>
      <c r="E16" s="2">
        <f>32%*E15</f>
        <v>0</v>
      </c>
    </row>
    <row r="17" spans="1:8" x14ac:dyDescent="0.25">
      <c r="A17" s="10" t="s">
        <v>2</v>
      </c>
      <c r="B17" s="2">
        <f t="shared" ref="B17:D17" si="3">15%*B16</f>
        <v>0</v>
      </c>
      <c r="C17" s="2">
        <f t="shared" si="3"/>
        <v>0</v>
      </c>
      <c r="D17" s="2">
        <f t="shared" si="3"/>
        <v>0</v>
      </c>
      <c r="E17" s="2">
        <f>15%*E16</f>
        <v>0</v>
      </c>
    </row>
    <row r="18" spans="1:8" x14ac:dyDescent="0.25">
      <c r="A18" s="10" t="s">
        <v>7</v>
      </c>
      <c r="B18" s="4">
        <f t="shared" ref="B18:D18" si="4">B17</f>
        <v>0</v>
      </c>
      <c r="C18" s="4">
        <f t="shared" si="4"/>
        <v>0</v>
      </c>
      <c r="D18" s="4">
        <f t="shared" si="4"/>
        <v>0</v>
      </c>
      <c r="E18" s="4">
        <f>E17</f>
        <v>0</v>
      </c>
      <c r="H18" s="7">
        <f>B20+C20+D20</f>
        <v>250.91999999999996</v>
      </c>
    </row>
    <row r="19" spans="1:8" x14ac:dyDescent="0.25">
      <c r="A19" s="10" t="s">
        <v>8</v>
      </c>
      <c r="B19" s="5">
        <f>+B11+B12+B18</f>
        <v>0</v>
      </c>
      <c r="C19" s="5">
        <f t="shared" ref="C19:D19" si="5">+C11+C14+C18</f>
        <v>53.55</v>
      </c>
      <c r="D19" s="5">
        <f t="shared" si="5"/>
        <v>197.36999999999998</v>
      </c>
      <c r="E19" s="5">
        <f>B19+C19+D19</f>
        <v>250.91999999999996</v>
      </c>
      <c r="H19" s="14">
        <f>E19-E13</f>
        <v>250.91999999999996</v>
      </c>
    </row>
    <row r="20" spans="1:8" x14ac:dyDescent="0.25">
      <c r="A20" s="10" t="s">
        <v>15</v>
      </c>
      <c r="B20" s="8">
        <f>B14+B18-B13</f>
        <v>0</v>
      </c>
      <c r="C20" s="8">
        <f>C11+C14+C18-C13</f>
        <v>53.55</v>
      </c>
      <c r="D20" s="8">
        <f>D11+D14+D18-D13</f>
        <v>197.36999999999998</v>
      </c>
      <c r="E20" s="8">
        <f>B20+C20+D20</f>
        <v>250.91999999999996</v>
      </c>
    </row>
    <row r="21" spans="1:8" x14ac:dyDescent="0.25">
      <c r="A21" s="10" t="s">
        <v>5</v>
      </c>
      <c r="B21" s="2">
        <f t="shared" ref="B21:D21" si="6">B8</f>
        <v>0</v>
      </c>
      <c r="C21" s="2">
        <f t="shared" si="6"/>
        <v>4462.5</v>
      </c>
      <c r="D21" s="2">
        <f t="shared" si="6"/>
        <v>16447.5</v>
      </c>
      <c r="E21" s="2">
        <f>E8</f>
        <v>20910</v>
      </c>
    </row>
    <row r="22" spans="1:8" x14ac:dyDescent="0.25">
      <c r="A22" s="10" t="s">
        <v>9</v>
      </c>
      <c r="B22" s="2">
        <f t="shared" ref="B22:D22" si="7">12%*B21</f>
        <v>0</v>
      </c>
      <c r="C22" s="2">
        <f t="shared" si="7"/>
        <v>535.5</v>
      </c>
      <c r="D22" s="2">
        <f t="shared" si="7"/>
        <v>1973.6999999999998</v>
      </c>
      <c r="E22" s="2">
        <f>12%*E21</f>
        <v>2509.1999999999998</v>
      </c>
    </row>
    <row r="23" spans="1:8" x14ac:dyDescent="0.25">
      <c r="A23" s="10" t="s">
        <v>3</v>
      </c>
      <c r="B23" s="6">
        <f t="shared" ref="B23:D23" si="8">9%*B22</f>
        <v>0</v>
      </c>
      <c r="C23" s="6">
        <f t="shared" si="8"/>
        <v>48.195</v>
      </c>
      <c r="D23" s="6">
        <f t="shared" si="8"/>
        <v>177.63299999999998</v>
      </c>
      <c r="E23" s="6">
        <f>9%*E22</f>
        <v>225.82799999999997</v>
      </c>
    </row>
    <row r="24" spans="1:8" x14ac:dyDescent="0.25">
      <c r="A24" s="10" t="s">
        <v>10</v>
      </c>
      <c r="B24" s="4">
        <f t="shared" ref="B24:D24" si="9">B23</f>
        <v>0</v>
      </c>
      <c r="C24" s="4">
        <f t="shared" si="9"/>
        <v>48.195</v>
      </c>
      <c r="D24" s="4">
        <f t="shared" si="9"/>
        <v>177.63299999999998</v>
      </c>
      <c r="E24" s="4">
        <f>E23</f>
        <v>225.82799999999997</v>
      </c>
    </row>
    <row r="25" spans="1:8" x14ac:dyDescent="0.25">
      <c r="A25" s="10" t="s">
        <v>6</v>
      </c>
      <c r="B25" s="2">
        <f t="shared" ref="B25:D25" si="10">B15</f>
        <v>0</v>
      </c>
      <c r="C25" s="2">
        <f t="shared" si="10"/>
        <v>0</v>
      </c>
      <c r="D25" s="2">
        <f t="shared" si="10"/>
        <v>0</v>
      </c>
      <c r="E25" s="2">
        <f>E15</f>
        <v>0</v>
      </c>
    </row>
    <row r="26" spans="1:8" x14ac:dyDescent="0.25">
      <c r="A26" s="10" t="s">
        <v>11</v>
      </c>
      <c r="B26" s="2">
        <f t="shared" ref="B26:D26" si="11">32%*B25</f>
        <v>0</v>
      </c>
      <c r="C26" s="2">
        <f t="shared" si="11"/>
        <v>0</v>
      </c>
      <c r="D26" s="2">
        <f t="shared" si="11"/>
        <v>0</v>
      </c>
      <c r="E26" s="2">
        <f>32%*E25</f>
        <v>0</v>
      </c>
    </row>
    <row r="27" spans="1:8" x14ac:dyDescent="0.25">
      <c r="A27" s="10" t="s">
        <v>3</v>
      </c>
      <c r="B27" s="4">
        <f t="shared" ref="B27:C27" si="12">9%*B26</f>
        <v>0</v>
      </c>
      <c r="C27" s="4">
        <f t="shared" si="12"/>
        <v>0</v>
      </c>
      <c r="D27" s="4">
        <f>9%*D26</f>
        <v>0</v>
      </c>
      <c r="E27" s="4">
        <f>9%*E26</f>
        <v>0</v>
      </c>
    </row>
    <row r="28" spans="1:8" x14ac:dyDescent="0.25">
      <c r="A28" s="10" t="s">
        <v>12</v>
      </c>
      <c r="B28" s="5">
        <f t="shared" ref="B28:D28" si="13">B24+B27</f>
        <v>0</v>
      </c>
      <c r="C28" s="5">
        <f t="shared" si="13"/>
        <v>48.195</v>
      </c>
      <c r="D28" s="5">
        <f t="shared" si="13"/>
        <v>177.63299999999998</v>
      </c>
      <c r="E28" s="5">
        <f>B28+C28+D28</f>
        <v>225.82799999999997</v>
      </c>
      <c r="H28" s="7">
        <f>C28+B28+D28</f>
        <v>225.82799999999997</v>
      </c>
    </row>
    <row r="30" spans="1:8" x14ac:dyDescent="0.25">
      <c r="B30" s="7"/>
      <c r="E30" s="7"/>
    </row>
    <row r="31" spans="1:8" x14ac:dyDescent="0.25">
      <c r="B31" s="7">
        <f>10%*B30</f>
        <v>0</v>
      </c>
    </row>
    <row r="32" spans="1:8" x14ac:dyDescent="0.25">
      <c r="E32" s="7">
        <f>D28+C28+B28</f>
        <v>225.82799999999997</v>
      </c>
    </row>
  </sheetData>
  <mergeCells count="3">
    <mergeCell ref="A4:E4"/>
    <mergeCell ref="A5:E5"/>
    <mergeCell ref="A6:E6"/>
  </mergeCells>
  <pageMargins left="0.51181102362204722" right="0.51181102362204722" top="0.78740157480314965" bottom="0.78740157480314965" header="0.31496062992125984" footer="0.31496062992125984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H31"/>
  <sheetViews>
    <sheetView topLeftCell="A3" workbookViewId="0">
      <selection activeCell="A6" sqref="A6"/>
    </sheetView>
  </sheetViews>
  <sheetFormatPr defaultRowHeight="15" x14ac:dyDescent="0.25"/>
  <cols>
    <col min="1" max="1" width="34.85546875" customWidth="1"/>
    <col min="2" max="2" width="16.7109375" customWidth="1"/>
    <col min="3" max="3" width="15.42578125" customWidth="1"/>
    <col min="4" max="4" width="14" customWidth="1"/>
    <col min="5" max="5" width="17.140625" customWidth="1"/>
    <col min="8" max="8" width="14.42578125" customWidth="1"/>
  </cols>
  <sheetData>
    <row r="3" spans="1:8" x14ac:dyDescent="0.25">
      <c r="A3" s="25"/>
      <c r="B3" s="25"/>
      <c r="C3" s="25"/>
      <c r="D3" s="25"/>
      <c r="E3" s="25"/>
    </row>
    <row r="4" spans="1:8" ht="21" x14ac:dyDescent="0.25">
      <c r="A4" s="20" t="s">
        <v>39</v>
      </c>
      <c r="B4" s="21"/>
      <c r="C4" s="21"/>
      <c r="D4" s="21"/>
      <c r="E4" s="21"/>
    </row>
    <row r="5" spans="1:8" ht="21" x14ac:dyDescent="0.25">
      <c r="A5" s="22" t="s">
        <v>40</v>
      </c>
      <c r="B5" s="23"/>
      <c r="C5" s="23"/>
      <c r="D5" s="23"/>
      <c r="E5" s="24"/>
    </row>
    <row r="6" spans="1:8" x14ac:dyDescent="0.25">
      <c r="A6" s="15" t="s">
        <v>13</v>
      </c>
      <c r="B6" s="15" t="s">
        <v>26</v>
      </c>
      <c r="C6" s="15" t="s">
        <v>27</v>
      </c>
      <c r="D6" s="15" t="s">
        <v>28</v>
      </c>
      <c r="E6" s="15" t="s">
        <v>0</v>
      </c>
    </row>
    <row r="7" spans="1:8" x14ac:dyDescent="0.25">
      <c r="A7" s="15" t="s">
        <v>5</v>
      </c>
      <c r="B7" s="2">
        <f>'PIS E COFINS'!B8</f>
        <v>12487.5</v>
      </c>
      <c r="C7" s="2">
        <f>'PIS E COFINS'!B9</f>
        <v>15675</v>
      </c>
      <c r="D7" s="2">
        <f>'PIS E COFINS'!B10</f>
        <v>15675</v>
      </c>
      <c r="E7" s="2">
        <f>B7+C7+D7</f>
        <v>43837.5</v>
      </c>
    </row>
    <row r="8" spans="1:8" x14ac:dyDescent="0.25">
      <c r="A8" s="15" t="s">
        <v>37</v>
      </c>
      <c r="B8" s="2">
        <f>8%*B7</f>
        <v>999</v>
      </c>
      <c r="C8" s="2">
        <f t="shared" ref="C8:D8" si="0">8%*C7</f>
        <v>1254</v>
      </c>
      <c r="D8" s="2">
        <f t="shared" si="0"/>
        <v>1254</v>
      </c>
      <c r="E8" s="2">
        <f>1.6%*E7</f>
        <v>701.4</v>
      </c>
    </row>
    <row r="9" spans="1:8" x14ac:dyDescent="0.25">
      <c r="A9" s="15" t="s">
        <v>16</v>
      </c>
      <c r="B9" s="2"/>
      <c r="C9" s="2"/>
      <c r="D9" s="2"/>
      <c r="E9" s="2"/>
      <c r="H9" s="7"/>
    </row>
    <row r="10" spans="1:8" x14ac:dyDescent="0.25">
      <c r="A10" s="15" t="s">
        <v>14</v>
      </c>
      <c r="B10" s="2"/>
      <c r="C10" s="2"/>
      <c r="D10" s="2"/>
      <c r="E10" s="2"/>
      <c r="H10" s="7"/>
    </row>
    <row r="11" spans="1:8" x14ac:dyDescent="0.25">
      <c r="A11" s="15" t="s">
        <v>1</v>
      </c>
      <c r="B11" s="2">
        <f t="shared" ref="B11:D11" si="1">15%*B8</f>
        <v>149.85</v>
      </c>
      <c r="C11" s="2">
        <f t="shared" si="1"/>
        <v>188.1</v>
      </c>
      <c r="D11" s="2">
        <f t="shared" si="1"/>
        <v>188.1</v>
      </c>
      <c r="E11" s="2">
        <f>15%*E8</f>
        <v>105.21</v>
      </c>
      <c r="H11" s="7"/>
    </row>
    <row r="12" spans="1:8" x14ac:dyDescent="0.25">
      <c r="A12" s="15" t="s">
        <v>17</v>
      </c>
      <c r="B12" s="2"/>
      <c r="C12" s="2"/>
      <c r="D12" s="2"/>
      <c r="E12" s="2">
        <f>B12+C12+D12</f>
        <v>0</v>
      </c>
    </row>
    <row r="13" spans="1:8" x14ac:dyDescent="0.25">
      <c r="A13" s="15" t="s">
        <v>4</v>
      </c>
      <c r="B13" s="3">
        <f>B10+B11</f>
        <v>149.85</v>
      </c>
      <c r="C13" s="9">
        <f>C11</f>
        <v>188.1</v>
      </c>
      <c r="D13" s="9">
        <f>D11</f>
        <v>188.1</v>
      </c>
      <c r="E13" s="4">
        <f>E11</f>
        <v>105.21</v>
      </c>
    </row>
    <row r="14" spans="1:8" x14ac:dyDescent="0.25">
      <c r="A14" s="15" t="s">
        <v>6</v>
      </c>
      <c r="B14" s="2"/>
      <c r="C14" s="11"/>
      <c r="D14" s="1"/>
      <c r="E14" s="2">
        <f>D14+C14+B14</f>
        <v>0</v>
      </c>
    </row>
    <row r="15" spans="1:8" x14ac:dyDescent="0.25">
      <c r="A15" s="15" t="s">
        <v>18</v>
      </c>
      <c r="B15" s="2">
        <f t="shared" ref="B15:D15" si="2">32%*B14</f>
        <v>0</v>
      </c>
      <c r="C15" s="2">
        <f t="shared" si="2"/>
        <v>0</v>
      </c>
      <c r="D15" s="2">
        <f t="shared" si="2"/>
        <v>0</v>
      </c>
      <c r="E15" s="2">
        <f>32%*E14</f>
        <v>0</v>
      </c>
    </row>
    <row r="16" spans="1:8" x14ac:dyDescent="0.25">
      <c r="A16" s="15" t="s">
        <v>2</v>
      </c>
      <c r="B16" s="2">
        <f t="shared" ref="B16:D16" si="3">15%*B15</f>
        <v>0</v>
      </c>
      <c r="C16" s="2">
        <f t="shared" si="3"/>
        <v>0</v>
      </c>
      <c r="D16" s="2">
        <f t="shared" si="3"/>
        <v>0</v>
      </c>
      <c r="E16" s="2">
        <f>15%*E15</f>
        <v>0</v>
      </c>
    </row>
    <row r="17" spans="1:8" x14ac:dyDescent="0.25">
      <c r="A17" s="15" t="s">
        <v>7</v>
      </c>
      <c r="B17" s="4">
        <f t="shared" ref="B17:D17" si="4">B16</f>
        <v>0</v>
      </c>
      <c r="C17" s="4">
        <f t="shared" si="4"/>
        <v>0</v>
      </c>
      <c r="D17" s="4">
        <f t="shared" si="4"/>
        <v>0</v>
      </c>
      <c r="E17" s="4">
        <f>E16</f>
        <v>0</v>
      </c>
      <c r="H17" s="7"/>
    </row>
    <row r="18" spans="1:8" x14ac:dyDescent="0.25">
      <c r="A18" s="15" t="s">
        <v>8</v>
      </c>
      <c r="B18" s="5">
        <f>+B10+B11+B17</f>
        <v>149.85</v>
      </c>
      <c r="C18" s="5">
        <f t="shared" ref="C18:D18" si="5">+C10+C13+C17</f>
        <v>188.1</v>
      </c>
      <c r="D18" s="5">
        <f t="shared" si="5"/>
        <v>188.1</v>
      </c>
      <c r="E18" s="5">
        <f>B18+C18+D18</f>
        <v>526.04999999999995</v>
      </c>
      <c r="H18" s="7">
        <f>E16+E17</f>
        <v>0</v>
      </c>
    </row>
    <row r="19" spans="1:8" x14ac:dyDescent="0.25">
      <c r="A19" s="15" t="s">
        <v>15</v>
      </c>
      <c r="B19" s="8">
        <f>B13+B17-B12</f>
        <v>149.85</v>
      </c>
      <c r="C19" s="8">
        <f>C10+C13+C17-C12</f>
        <v>188.1</v>
      </c>
      <c r="D19" s="8">
        <f>D10+D13+D17-D12</f>
        <v>188.1</v>
      </c>
      <c r="E19" s="8">
        <f>B19+C19+D19</f>
        <v>526.04999999999995</v>
      </c>
      <c r="H19" s="7"/>
    </row>
    <row r="20" spans="1:8" x14ac:dyDescent="0.25">
      <c r="A20" s="15" t="s">
        <v>5</v>
      </c>
      <c r="B20" s="2">
        <f t="shared" ref="B20:D20" si="6">B7</f>
        <v>12487.5</v>
      </c>
      <c r="C20" s="2">
        <f t="shared" si="6"/>
        <v>15675</v>
      </c>
      <c r="D20" s="2">
        <f t="shared" si="6"/>
        <v>15675</v>
      </c>
      <c r="E20" s="2">
        <f>E7</f>
        <v>43837.5</v>
      </c>
      <c r="H20" s="7"/>
    </row>
    <row r="21" spans="1:8" x14ac:dyDescent="0.25">
      <c r="A21" s="15" t="s">
        <v>9</v>
      </c>
      <c r="B21" s="2">
        <f t="shared" ref="B21:D21" si="7">12%*B20</f>
        <v>1498.5</v>
      </c>
      <c r="C21" s="2">
        <f t="shared" si="7"/>
        <v>1881</v>
      </c>
      <c r="D21" s="2">
        <f t="shared" si="7"/>
        <v>1881</v>
      </c>
      <c r="E21" s="2">
        <f>12%*E20</f>
        <v>5260.5</v>
      </c>
      <c r="H21" s="7">
        <f>B19+C19</f>
        <v>337.95</v>
      </c>
    </row>
    <row r="22" spans="1:8" x14ac:dyDescent="0.25">
      <c r="A22" s="15" t="s">
        <v>3</v>
      </c>
      <c r="B22" s="6">
        <f t="shared" ref="B22:D22" si="8">9%*B21</f>
        <v>134.86500000000001</v>
      </c>
      <c r="C22" s="6">
        <f t="shared" si="8"/>
        <v>169.29</v>
      </c>
      <c r="D22" s="6">
        <f t="shared" si="8"/>
        <v>169.29</v>
      </c>
      <c r="E22" s="6">
        <f>9%*E21</f>
        <v>473.44499999999999</v>
      </c>
    </row>
    <row r="23" spans="1:8" x14ac:dyDescent="0.25">
      <c r="A23" s="15" t="s">
        <v>10</v>
      </c>
      <c r="B23" s="4">
        <f t="shared" ref="B23:D23" si="9">B22</f>
        <v>134.86500000000001</v>
      </c>
      <c r="C23" s="4">
        <f t="shared" si="9"/>
        <v>169.29</v>
      </c>
      <c r="D23" s="4">
        <f t="shared" si="9"/>
        <v>169.29</v>
      </c>
      <c r="E23" s="4">
        <f>E22</f>
        <v>473.44499999999999</v>
      </c>
      <c r="H23" s="7">
        <f>B18+C18+D18</f>
        <v>526.04999999999995</v>
      </c>
    </row>
    <row r="24" spans="1:8" x14ac:dyDescent="0.25">
      <c r="A24" s="15" t="s">
        <v>6</v>
      </c>
      <c r="B24" s="2">
        <f t="shared" ref="B24:D24" si="10">B14</f>
        <v>0</v>
      </c>
      <c r="C24" s="2">
        <f t="shared" si="10"/>
        <v>0</v>
      </c>
      <c r="D24" s="2">
        <f t="shared" si="10"/>
        <v>0</v>
      </c>
      <c r="E24" s="2">
        <f>E14</f>
        <v>0</v>
      </c>
      <c r="H24" s="7"/>
    </row>
    <row r="25" spans="1:8" x14ac:dyDescent="0.25">
      <c r="A25" s="15" t="s">
        <v>11</v>
      </c>
      <c r="B25" s="2">
        <f t="shared" ref="B25:D25" si="11">32%*B24</f>
        <v>0</v>
      </c>
      <c r="C25" s="2">
        <f t="shared" si="11"/>
        <v>0</v>
      </c>
      <c r="D25" s="2">
        <f t="shared" si="11"/>
        <v>0</v>
      </c>
      <c r="E25" s="2">
        <f>32%*E24</f>
        <v>0</v>
      </c>
    </row>
    <row r="26" spans="1:8" x14ac:dyDescent="0.25">
      <c r="A26" s="15" t="s">
        <v>3</v>
      </c>
      <c r="B26" s="4">
        <f t="shared" ref="B26:C26" si="12">9%*B25</f>
        <v>0</v>
      </c>
      <c r="C26" s="4">
        <f t="shared" si="12"/>
        <v>0</v>
      </c>
      <c r="D26" s="4">
        <f>9%*D25</f>
        <v>0</v>
      </c>
      <c r="E26" s="4">
        <f>9%*E25</f>
        <v>0</v>
      </c>
      <c r="H26" s="7">
        <f>E23+E26</f>
        <v>473.44499999999999</v>
      </c>
    </row>
    <row r="27" spans="1:8" x14ac:dyDescent="0.25">
      <c r="A27" s="15" t="s">
        <v>12</v>
      </c>
      <c r="B27" s="5">
        <f t="shared" ref="B27:D27" si="13">B23+B26</f>
        <v>134.86500000000001</v>
      </c>
      <c r="C27" s="5">
        <f t="shared" si="13"/>
        <v>169.29</v>
      </c>
      <c r="D27" s="5">
        <f t="shared" si="13"/>
        <v>169.29</v>
      </c>
      <c r="E27" s="5">
        <f>B27+C27+D27</f>
        <v>473.44499999999994</v>
      </c>
    </row>
    <row r="29" spans="1:8" x14ac:dyDescent="0.25">
      <c r="B29" s="7"/>
    </row>
    <row r="30" spans="1:8" x14ac:dyDescent="0.25">
      <c r="H30" s="7">
        <f>20688.97-B27-C27</f>
        <v>20384.814999999999</v>
      </c>
    </row>
    <row r="31" spans="1:8" x14ac:dyDescent="0.25">
      <c r="C31" s="7"/>
    </row>
  </sheetData>
  <mergeCells count="3">
    <mergeCell ref="A3:E3"/>
    <mergeCell ref="A4:E4"/>
    <mergeCell ref="A5:E5"/>
  </mergeCells>
  <pageMargins left="0.51181102362204722" right="0.51181102362204722" top="0.78740157480314965" bottom="0.78740157480314965" header="0.31496062992125984" footer="0.31496062992125984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E27"/>
  <sheetViews>
    <sheetView workbookViewId="0">
      <selection activeCell="A5" sqref="A5"/>
    </sheetView>
  </sheetViews>
  <sheetFormatPr defaultRowHeight="15" x14ac:dyDescent="0.25"/>
  <cols>
    <col min="1" max="1" width="33.85546875" customWidth="1"/>
    <col min="2" max="2" width="14.42578125" customWidth="1"/>
    <col min="3" max="3" width="14.5703125" customWidth="1"/>
    <col min="4" max="4" width="16" customWidth="1"/>
    <col min="5" max="5" width="15.28515625" customWidth="1"/>
    <col min="6" max="6" width="12.140625" customWidth="1"/>
  </cols>
  <sheetData>
    <row r="3" spans="1:5" ht="21" x14ac:dyDescent="0.25">
      <c r="A3" s="20" t="s">
        <v>39</v>
      </c>
      <c r="B3" s="21"/>
      <c r="C3" s="21"/>
      <c r="D3" s="21"/>
      <c r="E3" s="21"/>
    </row>
    <row r="4" spans="1:5" ht="21" x14ac:dyDescent="0.25">
      <c r="A4" s="22" t="s">
        <v>40</v>
      </c>
      <c r="B4" s="23"/>
      <c r="C4" s="23"/>
      <c r="D4" s="23"/>
      <c r="E4" s="24"/>
    </row>
    <row r="5" spans="1:5" x14ac:dyDescent="0.25">
      <c r="A5" s="16" t="s">
        <v>13</v>
      </c>
      <c r="B5" s="16" t="s">
        <v>29</v>
      </c>
      <c r="C5" s="16" t="s">
        <v>30</v>
      </c>
      <c r="D5" s="16" t="s">
        <v>31</v>
      </c>
      <c r="E5" s="16" t="s">
        <v>0</v>
      </c>
    </row>
    <row r="6" spans="1:5" x14ac:dyDescent="0.25">
      <c r="A6" s="16" t="s">
        <v>5</v>
      </c>
      <c r="B6" s="2">
        <f>'PIS E COFINS'!B11</f>
        <v>15127.5</v>
      </c>
      <c r="C6" s="2">
        <f>'PIS E COFINS'!B12</f>
        <v>17460</v>
      </c>
      <c r="D6" s="2">
        <f>'PIS E COFINS'!B13</f>
        <v>14512.5</v>
      </c>
      <c r="E6" s="2">
        <f>B6+C6+D6</f>
        <v>47100</v>
      </c>
    </row>
    <row r="7" spans="1:5" x14ac:dyDescent="0.25">
      <c r="A7" s="16" t="s">
        <v>38</v>
      </c>
      <c r="B7" s="2">
        <f>8%*B6</f>
        <v>1210.2</v>
      </c>
      <c r="C7" s="2">
        <f t="shared" ref="C7:D7" si="0">8%*C6</f>
        <v>1396.8</v>
      </c>
      <c r="D7" s="2">
        <f t="shared" si="0"/>
        <v>1161</v>
      </c>
      <c r="E7" s="2">
        <f>1.6%*E6</f>
        <v>753.6</v>
      </c>
    </row>
    <row r="8" spans="1:5" x14ac:dyDescent="0.25">
      <c r="A8" s="16" t="s">
        <v>16</v>
      </c>
      <c r="B8" s="2"/>
      <c r="C8" s="2"/>
      <c r="D8" s="2"/>
      <c r="E8" s="2"/>
    </row>
    <row r="9" spans="1:5" x14ac:dyDescent="0.25">
      <c r="A9" s="16" t="s">
        <v>14</v>
      </c>
      <c r="B9" s="2"/>
      <c r="C9" s="2"/>
      <c r="D9" s="2"/>
      <c r="E9" s="2"/>
    </row>
    <row r="10" spans="1:5" x14ac:dyDescent="0.25">
      <c r="A10" s="16" t="s">
        <v>1</v>
      </c>
      <c r="B10" s="2">
        <f t="shared" ref="B10:D10" si="1">15%*B7</f>
        <v>181.53</v>
      </c>
      <c r="C10" s="2">
        <f t="shared" si="1"/>
        <v>209.51999999999998</v>
      </c>
      <c r="D10" s="2">
        <f t="shared" si="1"/>
        <v>174.15</v>
      </c>
      <c r="E10" s="2">
        <f>15%*E7</f>
        <v>113.04</v>
      </c>
    </row>
    <row r="11" spans="1:5" x14ac:dyDescent="0.25">
      <c r="A11" s="16" t="s">
        <v>17</v>
      </c>
      <c r="B11" s="2"/>
      <c r="C11" s="2"/>
      <c r="D11" s="2"/>
      <c r="E11" s="2">
        <f>B11+C11+D11</f>
        <v>0</v>
      </c>
    </row>
    <row r="12" spans="1:5" x14ac:dyDescent="0.25">
      <c r="A12" s="16" t="s">
        <v>4</v>
      </c>
      <c r="B12" s="3">
        <f>B9+B10</f>
        <v>181.53</v>
      </c>
      <c r="C12" s="9">
        <f>C10</f>
        <v>209.51999999999998</v>
      </c>
      <c r="D12" s="9">
        <f>D10</f>
        <v>174.15</v>
      </c>
      <c r="E12" s="4">
        <f>E10</f>
        <v>113.04</v>
      </c>
    </row>
    <row r="13" spans="1:5" x14ac:dyDescent="0.25">
      <c r="A13" s="16" t="s">
        <v>6</v>
      </c>
      <c r="B13" s="2"/>
      <c r="C13" s="11"/>
      <c r="D13" s="1"/>
      <c r="E13" s="2">
        <f>D13+C13+B13</f>
        <v>0</v>
      </c>
    </row>
    <row r="14" spans="1:5" x14ac:dyDescent="0.25">
      <c r="A14" s="16" t="s">
        <v>18</v>
      </c>
      <c r="B14" s="2">
        <f t="shared" ref="B14:D14" si="2">32%*B13</f>
        <v>0</v>
      </c>
      <c r="C14" s="2">
        <f t="shared" si="2"/>
        <v>0</v>
      </c>
      <c r="D14" s="2">
        <f t="shared" si="2"/>
        <v>0</v>
      </c>
      <c r="E14" s="2">
        <f>32%*E13</f>
        <v>0</v>
      </c>
    </row>
    <row r="15" spans="1:5" x14ac:dyDescent="0.25">
      <c r="A15" s="16" t="s">
        <v>2</v>
      </c>
      <c r="B15" s="2">
        <f t="shared" ref="B15:D15" si="3">15%*B14</f>
        <v>0</v>
      </c>
      <c r="C15" s="2">
        <f t="shared" si="3"/>
        <v>0</v>
      </c>
      <c r="D15" s="2">
        <f t="shared" si="3"/>
        <v>0</v>
      </c>
      <c r="E15" s="2">
        <f>15%*E14</f>
        <v>0</v>
      </c>
    </row>
    <row r="16" spans="1:5" x14ac:dyDescent="0.25">
      <c r="A16" s="16" t="s">
        <v>7</v>
      </c>
      <c r="B16" s="4">
        <f t="shared" ref="B16:D16" si="4">B15</f>
        <v>0</v>
      </c>
      <c r="C16" s="4">
        <f t="shared" si="4"/>
        <v>0</v>
      </c>
      <c r="D16" s="4">
        <f t="shared" si="4"/>
        <v>0</v>
      </c>
      <c r="E16" s="4">
        <f>E15</f>
        <v>0</v>
      </c>
    </row>
    <row r="17" spans="1:5" x14ac:dyDescent="0.25">
      <c r="A17" s="16" t="s">
        <v>8</v>
      </c>
      <c r="B17" s="5">
        <f>+B9+B10+B16</f>
        <v>181.53</v>
      </c>
      <c r="C17" s="5">
        <f t="shared" ref="C17:D17" si="5">+C9+C12+C16</f>
        <v>209.51999999999998</v>
      </c>
      <c r="D17" s="5">
        <f t="shared" si="5"/>
        <v>174.15</v>
      </c>
      <c r="E17" s="5">
        <f>B17+C17+D17</f>
        <v>565.19999999999993</v>
      </c>
    </row>
    <row r="18" spans="1:5" x14ac:dyDescent="0.25">
      <c r="A18" s="16" t="s">
        <v>15</v>
      </c>
      <c r="B18" s="8">
        <f>B12+B16-B11</f>
        <v>181.53</v>
      </c>
      <c r="C18" s="8">
        <f>C9+C12+C16-C11</f>
        <v>209.51999999999998</v>
      </c>
      <c r="D18" s="8">
        <f>D9+D12+D16-D11</f>
        <v>174.15</v>
      </c>
      <c r="E18" s="8">
        <f>B18+C18+D18</f>
        <v>565.19999999999993</v>
      </c>
    </row>
    <row r="19" spans="1:5" x14ac:dyDescent="0.25">
      <c r="A19" s="16" t="s">
        <v>5</v>
      </c>
      <c r="B19" s="2">
        <f t="shared" ref="B19:D19" si="6">B6</f>
        <v>15127.5</v>
      </c>
      <c r="C19" s="2">
        <f t="shared" si="6"/>
        <v>17460</v>
      </c>
      <c r="D19" s="2">
        <f t="shared" si="6"/>
        <v>14512.5</v>
      </c>
      <c r="E19" s="2">
        <f>E6</f>
        <v>47100</v>
      </c>
    </row>
    <row r="20" spans="1:5" x14ac:dyDescent="0.25">
      <c r="A20" s="16" t="s">
        <v>9</v>
      </c>
      <c r="B20" s="2">
        <f t="shared" ref="B20:D20" si="7">12%*B19</f>
        <v>1815.3</v>
      </c>
      <c r="C20" s="2">
        <f t="shared" si="7"/>
        <v>2095.1999999999998</v>
      </c>
      <c r="D20" s="2">
        <f t="shared" si="7"/>
        <v>1741.5</v>
      </c>
      <c r="E20" s="2">
        <f>12%*E19</f>
        <v>5652</v>
      </c>
    </row>
    <row r="21" spans="1:5" x14ac:dyDescent="0.25">
      <c r="A21" s="16" t="s">
        <v>3</v>
      </c>
      <c r="B21" s="6">
        <f t="shared" ref="B21:D21" si="8">9%*B20</f>
        <v>163.37699999999998</v>
      </c>
      <c r="C21" s="6">
        <f t="shared" si="8"/>
        <v>188.56799999999998</v>
      </c>
      <c r="D21" s="6">
        <f t="shared" si="8"/>
        <v>156.73499999999999</v>
      </c>
      <c r="E21" s="6">
        <f>9%*E20</f>
        <v>508.68</v>
      </c>
    </row>
    <row r="22" spans="1:5" x14ac:dyDescent="0.25">
      <c r="A22" s="16" t="s">
        <v>10</v>
      </c>
      <c r="B22" s="4">
        <f t="shared" ref="B22:D22" si="9">B21</f>
        <v>163.37699999999998</v>
      </c>
      <c r="C22" s="4">
        <f t="shared" si="9"/>
        <v>188.56799999999998</v>
      </c>
      <c r="D22" s="4">
        <f t="shared" si="9"/>
        <v>156.73499999999999</v>
      </c>
      <c r="E22" s="4">
        <f>E21</f>
        <v>508.68</v>
      </c>
    </row>
    <row r="23" spans="1:5" x14ac:dyDescent="0.25">
      <c r="A23" s="16" t="s">
        <v>6</v>
      </c>
      <c r="B23" s="2">
        <f t="shared" ref="B23:D23" si="10">B13</f>
        <v>0</v>
      </c>
      <c r="C23" s="2">
        <f t="shared" si="10"/>
        <v>0</v>
      </c>
      <c r="D23" s="2">
        <f t="shared" si="10"/>
        <v>0</v>
      </c>
      <c r="E23" s="2">
        <f>E13</f>
        <v>0</v>
      </c>
    </row>
    <row r="24" spans="1:5" x14ac:dyDescent="0.25">
      <c r="A24" s="16" t="s">
        <v>11</v>
      </c>
      <c r="B24" s="2">
        <f t="shared" ref="B24:D24" si="11">32%*B23</f>
        <v>0</v>
      </c>
      <c r="C24" s="2">
        <f t="shared" si="11"/>
        <v>0</v>
      </c>
      <c r="D24" s="2">
        <f t="shared" si="11"/>
        <v>0</v>
      </c>
      <c r="E24" s="2">
        <f>32%*E23</f>
        <v>0</v>
      </c>
    </row>
    <row r="25" spans="1:5" x14ac:dyDescent="0.25">
      <c r="A25" s="16" t="s">
        <v>3</v>
      </c>
      <c r="B25" s="4">
        <f t="shared" ref="B25:C25" si="12">9%*B24</f>
        <v>0</v>
      </c>
      <c r="C25" s="4">
        <f t="shared" si="12"/>
        <v>0</v>
      </c>
      <c r="D25" s="4">
        <f>9%*D24</f>
        <v>0</v>
      </c>
      <c r="E25" s="4">
        <f>9%*E24</f>
        <v>0</v>
      </c>
    </row>
    <row r="26" spans="1:5" x14ac:dyDescent="0.25">
      <c r="A26" s="16" t="s">
        <v>12</v>
      </c>
      <c r="B26" s="5">
        <f t="shared" ref="B26:D26" si="13">B22+B25</f>
        <v>163.37699999999998</v>
      </c>
      <c r="C26" s="5">
        <f t="shared" si="13"/>
        <v>188.56799999999998</v>
      </c>
      <c r="D26" s="5">
        <f t="shared" si="13"/>
        <v>156.73499999999999</v>
      </c>
      <c r="E26" s="5">
        <f>B26+C26+D26</f>
        <v>508.67999999999995</v>
      </c>
    </row>
    <row r="27" spans="1:5" x14ac:dyDescent="0.25">
      <c r="A27" s="13" t="s">
        <v>12</v>
      </c>
      <c r="B27" s="5">
        <f t="shared" ref="B27:D27" si="14">B23+B26</f>
        <v>163.37699999999998</v>
      </c>
      <c r="C27" s="5">
        <f t="shared" si="14"/>
        <v>188.56799999999998</v>
      </c>
      <c r="D27" s="5">
        <f t="shared" si="14"/>
        <v>156.73499999999999</v>
      </c>
      <c r="E27" s="5">
        <f>B27+C27+D27</f>
        <v>508.67999999999995</v>
      </c>
    </row>
  </sheetData>
  <mergeCells count="2">
    <mergeCell ref="A3:E3"/>
    <mergeCell ref="A4:E4"/>
  </mergeCells>
  <pageMargins left="0.51181102362204722" right="0.51181102362204722" top="0.78740157480314965" bottom="0.78740157480314965" header="0.31496062992125984" footer="0.31496062992125984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4"/>
  <sheetViews>
    <sheetView workbookViewId="0">
      <selection activeCell="A3" sqref="A3"/>
    </sheetView>
  </sheetViews>
  <sheetFormatPr defaultRowHeight="15" x14ac:dyDescent="0.25"/>
  <cols>
    <col min="1" max="1" width="28.42578125" customWidth="1"/>
    <col min="2" max="2" width="14.140625" customWidth="1"/>
    <col min="3" max="3" width="16.42578125" customWidth="1"/>
    <col min="4" max="4" width="19.28515625" customWidth="1"/>
    <col min="5" max="5" width="17.28515625" customWidth="1"/>
  </cols>
  <sheetData>
    <row r="1" spans="1:5" ht="21" x14ac:dyDescent="0.25">
      <c r="A1" s="20" t="s">
        <v>41</v>
      </c>
      <c r="B1" s="21"/>
      <c r="C1" s="21"/>
      <c r="D1" s="21"/>
      <c r="E1" s="21"/>
    </row>
    <row r="2" spans="1:5" ht="21" x14ac:dyDescent="0.25">
      <c r="A2" s="22" t="s">
        <v>40</v>
      </c>
      <c r="B2" s="23"/>
      <c r="C2" s="23"/>
      <c r="D2" s="23"/>
      <c r="E2" s="24"/>
    </row>
    <row r="3" spans="1:5" x14ac:dyDescent="0.25">
      <c r="A3" s="17" t="s">
        <v>13</v>
      </c>
      <c r="B3" s="17" t="s">
        <v>32</v>
      </c>
      <c r="C3" s="17" t="s">
        <v>33</v>
      </c>
      <c r="D3" s="17" t="s">
        <v>34</v>
      </c>
      <c r="E3" s="17" t="s">
        <v>0</v>
      </c>
    </row>
    <row r="4" spans="1:5" x14ac:dyDescent="0.25">
      <c r="A4" s="17" t="s">
        <v>5</v>
      </c>
      <c r="B4" s="2">
        <f>'PIS E COFINS'!B14</f>
        <v>6502.5</v>
      </c>
      <c r="C4" s="2">
        <f>'PIS E COFINS'!B15</f>
        <v>0</v>
      </c>
      <c r="D4" s="2">
        <f>'PIS E COFINS'!B16</f>
        <v>0</v>
      </c>
      <c r="E4" s="2">
        <f>B4+C4+D4</f>
        <v>6502.5</v>
      </c>
    </row>
    <row r="5" spans="1:5" x14ac:dyDescent="0.25">
      <c r="A5" s="17" t="s">
        <v>37</v>
      </c>
      <c r="B5" s="2">
        <f>8%*B4</f>
        <v>520.20000000000005</v>
      </c>
      <c r="C5" s="2">
        <f t="shared" ref="C5:D5" si="0">8%*C4</f>
        <v>0</v>
      </c>
      <c r="D5" s="2">
        <f t="shared" si="0"/>
        <v>0</v>
      </c>
      <c r="E5" s="2">
        <f>1.6%*E4</f>
        <v>104.04</v>
      </c>
    </row>
    <row r="6" spans="1:5" x14ac:dyDescent="0.25">
      <c r="A6" s="17" t="s">
        <v>16</v>
      </c>
      <c r="B6" s="2"/>
      <c r="C6" s="2"/>
      <c r="D6" s="2"/>
      <c r="E6" s="2"/>
    </row>
    <row r="7" spans="1:5" x14ac:dyDescent="0.25">
      <c r="A7" s="17" t="s">
        <v>14</v>
      </c>
      <c r="B7" s="2"/>
      <c r="C7" s="2"/>
      <c r="D7" s="2"/>
      <c r="E7" s="2"/>
    </row>
    <row r="8" spans="1:5" x14ac:dyDescent="0.25">
      <c r="A8" s="17" t="s">
        <v>1</v>
      </c>
      <c r="B8" s="2">
        <f t="shared" ref="B8:D8" si="1">15%*B5</f>
        <v>78.03</v>
      </c>
      <c r="C8" s="2">
        <f t="shared" si="1"/>
        <v>0</v>
      </c>
      <c r="D8" s="2">
        <f t="shared" si="1"/>
        <v>0</v>
      </c>
      <c r="E8" s="2">
        <f>15%*E5</f>
        <v>15.606</v>
      </c>
    </row>
    <row r="9" spans="1:5" x14ac:dyDescent="0.25">
      <c r="A9" s="17" t="s">
        <v>17</v>
      </c>
      <c r="B9" s="2"/>
      <c r="C9" s="2"/>
      <c r="D9" s="2"/>
      <c r="E9" s="2">
        <f>B9+C9+D9</f>
        <v>0</v>
      </c>
    </row>
    <row r="10" spans="1:5" x14ac:dyDescent="0.25">
      <c r="A10" s="17" t="s">
        <v>4</v>
      </c>
      <c r="B10" s="3">
        <f>B7+B8</f>
        <v>78.03</v>
      </c>
      <c r="C10" s="9">
        <f>C8</f>
        <v>0</v>
      </c>
      <c r="D10" s="9">
        <f>D8</f>
        <v>0</v>
      </c>
      <c r="E10" s="4">
        <f>E8</f>
        <v>15.606</v>
      </c>
    </row>
    <row r="11" spans="1:5" x14ac:dyDescent="0.25">
      <c r="A11" s="17" t="s">
        <v>6</v>
      </c>
      <c r="B11" s="2"/>
      <c r="C11" s="11"/>
      <c r="D11" s="1"/>
      <c r="E11" s="2">
        <f>D11+C11+B11</f>
        <v>0</v>
      </c>
    </row>
    <row r="12" spans="1:5" x14ac:dyDescent="0.25">
      <c r="A12" s="17" t="s">
        <v>18</v>
      </c>
      <c r="B12" s="2">
        <f t="shared" ref="B12:D12" si="2">32%*B11</f>
        <v>0</v>
      </c>
      <c r="C12" s="2">
        <f t="shared" si="2"/>
        <v>0</v>
      </c>
      <c r="D12" s="2">
        <f t="shared" si="2"/>
        <v>0</v>
      </c>
      <c r="E12" s="2">
        <f>32%*E11</f>
        <v>0</v>
      </c>
    </row>
    <row r="13" spans="1:5" x14ac:dyDescent="0.25">
      <c r="A13" s="17" t="s">
        <v>2</v>
      </c>
      <c r="B13" s="2">
        <f t="shared" ref="B13:D13" si="3">15%*B12</f>
        <v>0</v>
      </c>
      <c r="C13" s="2">
        <f t="shared" si="3"/>
        <v>0</v>
      </c>
      <c r="D13" s="2">
        <f t="shared" si="3"/>
        <v>0</v>
      </c>
      <c r="E13" s="2">
        <f>15%*E12</f>
        <v>0</v>
      </c>
    </row>
    <row r="14" spans="1:5" x14ac:dyDescent="0.25">
      <c r="A14" s="17" t="s">
        <v>7</v>
      </c>
      <c r="B14" s="4">
        <f t="shared" ref="B14:D14" si="4">B13</f>
        <v>0</v>
      </c>
      <c r="C14" s="4">
        <f t="shared" si="4"/>
        <v>0</v>
      </c>
      <c r="D14" s="4">
        <f t="shared" si="4"/>
        <v>0</v>
      </c>
      <c r="E14" s="4">
        <f>E13</f>
        <v>0</v>
      </c>
    </row>
    <row r="15" spans="1:5" x14ac:dyDescent="0.25">
      <c r="A15" s="17" t="s">
        <v>8</v>
      </c>
      <c r="B15" s="5">
        <f>+B7+B8+B14</f>
        <v>78.03</v>
      </c>
      <c r="C15" s="5">
        <f t="shared" ref="C15:D15" si="5">+C7+C10+C14</f>
        <v>0</v>
      </c>
      <c r="D15" s="5">
        <f t="shared" si="5"/>
        <v>0</v>
      </c>
      <c r="E15" s="5">
        <f>B15+C15+D15</f>
        <v>78.03</v>
      </c>
    </row>
    <row r="16" spans="1:5" x14ac:dyDescent="0.25">
      <c r="A16" s="17" t="s">
        <v>15</v>
      </c>
      <c r="B16" s="8">
        <f>B10+B14-B9</f>
        <v>78.03</v>
      </c>
      <c r="C16" s="8">
        <f>C7+C10+C14-C9</f>
        <v>0</v>
      </c>
      <c r="D16" s="8">
        <f>D7+D10+D14-D9</f>
        <v>0</v>
      </c>
      <c r="E16" s="8">
        <f>B16+C16+D16</f>
        <v>78.03</v>
      </c>
    </row>
    <row r="17" spans="1:5" x14ac:dyDescent="0.25">
      <c r="A17" s="17" t="s">
        <v>5</v>
      </c>
      <c r="B17" s="2">
        <f t="shared" ref="B17:D17" si="6">B4</f>
        <v>6502.5</v>
      </c>
      <c r="C17" s="2">
        <f t="shared" si="6"/>
        <v>0</v>
      </c>
      <c r="D17" s="2">
        <f t="shared" si="6"/>
        <v>0</v>
      </c>
      <c r="E17" s="2">
        <f>E4</f>
        <v>6502.5</v>
      </c>
    </row>
    <row r="18" spans="1:5" x14ac:dyDescent="0.25">
      <c r="A18" s="17" t="s">
        <v>9</v>
      </c>
      <c r="B18" s="2">
        <f t="shared" ref="B18:D18" si="7">12%*B17</f>
        <v>780.3</v>
      </c>
      <c r="C18" s="2">
        <f t="shared" si="7"/>
        <v>0</v>
      </c>
      <c r="D18" s="2">
        <f t="shared" si="7"/>
        <v>0</v>
      </c>
      <c r="E18" s="2">
        <f>12%*E17</f>
        <v>780.3</v>
      </c>
    </row>
    <row r="19" spans="1:5" x14ac:dyDescent="0.25">
      <c r="A19" s="17" t="s">
        <v>3</v>
      </c>
      <c r="B19" s="6">
        <f t="shared" ref="B19:D19" si="8">9%*B18</f>
        <v>70.22699999999999</v>
      </c>
      <c r="C19" s="6">
        <f t="shared" si="8"/>
        <v>0</v>
      </c>
      <c r="D19" s="6">
        <f t="shared" si="8"/>
        <v>0</v>
      </c>
      <c r="E19" s="6">
        <f>9%*E18</f>
        <v>70.22699999999999</v>
      </c>
    </row>
    <row r="20" spans="1:5" x14ac:dyDescent="0.25">
      <c r="A20" s="17" t="s">
        <v>10</v>
      </c>
      <c r="B20" s="4">
        <f t="shared" ref="B20:D20" si="9">B19</f>
        <v>70.22699999999999</v>
      </c>
      <c r="C20" s="4">
        <f t="shared" si="9"/>
        <v>0</v>
      </c>
      <c r="D20" s="4">
        <f t="shared" si="9"/>
        <v>0</v>
      </c>
      <c r="E20" s="4">
        <f>E19</f>
        <v>70.22699999999999</v>
      </c>
    </row>
    <row r="21" spans="1:5" x14ac:dyDescent="0.25">
      <c r="A21" s="17" t="s">
        <v>6</v>
      </c>
      <c r="B21" s="2">
        <f t="shared" ref="B21:D21" si="10">B11</f>
        <v>0</v>
      </c>
      <c r="C21" s="2">
        <f t="shared" si="10"/>
        <v>0</v>
      </c>
      <c r="D21" s="2">
        <f t="shared" si="10"/>
        <v>0</v>
      </c>
      <c r="E21" s="2">
        <f>E11</f>
        <v>0</v>
      </c>
    </row>
    <row r="22" spans="1:5" x14ac:dyDescent="0.25">
      <c r="A22" s="17" t="s">
        <v>11</v>
      </c>
      <c r="B22" s="2">
        <f t="shared" ref="B22:D22" si="11">32%*B21</f>
        <v>0</v>
      </c>
      <c r="C22" s="2">
        <f t="shared" si="11"/>
        <v>0</v>
      </c>
      <c r="D22" s="2">
        <f t="shared" si="11"/>
        <v>0</v>
      </c>
      <c r="E22" s="2">
        <f>32%*E21</f>
        <v>0</v>
      </c>
    </row>
    <row r="23" spans="1:5" x14ac:dyDescent="0.25">
      <c r="A23" s="17" t="s">
        <v>3</v>
      </c>
      <c r="B23" s="4">
        <f t="shared" ref="B23:C23" si="12">9%*B22</f>
        <v>0</v>
      </c>
      <c r="C23" s="4">
        <f t="shared" si="12"/>
        <v>0</v>
      </c>
      <c r="D23" s="4">
        <f>9%*D22</f>
        <v>0</v>
      </c>
      <c r="E23" s="4">
        <f>9%*E22</f>
        <v>0</v>
      </c>
    </row>
    <row r="24" spans="1:5" x14ac:dyDescent="0.25">
      <c r="A24" s="17" t="s">
        <v>12</v>
      </c>
      <c r="B24" s="5">
        <f t="shared" ref="B24:D24" si="13">B20+B23</f>
        <v>70.22699999999999</v>
      </c>
      <c r="C24" s="5">
        <f t="shared" si="13"/>
        <v>0</v>
      </c>
      <c r="D24" s="5">
        <f t="shared" si="13"/>
        <v>0</v>
      </c>
      <c r="E24" s="5">
        <f>B24+C24+D24</f>
        <v>70.22699999999999</v>
      </c>
    </row>
  </sheetData>
  <mergeCells count="2">
    <mergeCell ref="A1:E1"/>
    <mergeCell ref="A2:E2"/>
  </mergeCell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A2" sqref="A2:E2"/>
    </sheetView>
  </sheetViews>
  <sheetFormatPr defaultRowHeight="15" x14ac:dyDescent="0.25"/>
  <cols>
    <col min="1" max="1" width="19.42578125" customWidth="1"/>
    <col min="2" max="2" width="19.5703125" customWidth="1"/>
    <col min="3" max="3" width="17.42578125" customWidth="1"/>
    <col min="4" max="4" width="20.7109375" customWidth="1"/>
    <col min="5" max="5" width="14.42578125" customWidth="1"/>
  </cols>
  <sheetData>
    <row r="1" spans="1:5" ht="21" x14ac:dyDescent="0.25">
      <c r="A1" s="20" t="s">
        <v>39</v>
      </c>
      <c r="B1" s="21"/>
      <c r="C1" s="21"/>
      <c r="D1" s="21"/>
      <c r="E1" s="21"/>
    </row>
    <row r="2" spans="1:5" ht="21" x14ac:dyDescent="0.25">
      <c r="A2" s="26" t="s">
        <v>40</v>
      </c>
      <c r="B2" s="26"/>
      <c r="C2" s="26"/>
      <c r="D2" s="26"/>
      <c r="E2" s="26"/>
    </row>
    <row r="3" spans="1:5" ht="21" x14ac:dyDescent="0.25">
      <c r="A3" s="27" t="s">
        <v>35</v>
      </c>
      <c r="B3" s="28"/>
      <c r="C3" s="28"/>
      <c r="D3" s="28"/>
      <c r="E3" s="29"/>
    </row>
    <row r="4" spans="1:5" x14ac:dyDescent="0.25">
      <c r="A4" s="1" t="s">
        <v>19</v>
      </c>
      <c r="B4" s="1" t="s">
        <v>20</v>
      </c>
      <c r="C4" s="1" t="s">
        <v>21</v>
      </c>
      <c r="D4" s="1" t="s">
        <v>22</v>
      </c>
      <c r="E4" s="1"/>
    </row>
    <row r="5" spans="1:5" x14ac:dyDescent="0.25">
      <c r="A5" s="1" t="s">
        <v>23</v>
      </c>
      <c r="B5" s="18"/>
      <c r="C5" s="18">
        <f>0.65%*B5</f>
        <v>0</v>
      </c>
      <c r="D5" s="18">
        <f>3%*B5</f>
        <v>0</v>
      </c>
      <c r="E5" s="1"/>
    </row>
    <row r="6" spans="1:5" x14ac:dyDescent="0.25">
      <c r="A6" s="1" t="s">
        <v>24</v>
      </c>
      <c r="B6" s="18">
        <v>4462.5</v>
      </c>
      <c r="C6" s="18">
        <f>0.65%*B6</f>
        <v>29.006250000000001</v>
      </c>
      <c r="D6" s="18">
        <f t="shared" ref="D6:D16" si="0">3%*B6</f>
        <v>133.875</v>
      </c>
      <c r="E6" s="1"/>
    </row>
    <row r="7" spans="1:5" x14ac:dyDescent="0.25">
      <c r="A7" s="1" t="s">
        <v>25</v>
      </c>
      <c r="B7" s="18">
        <v>16447.5</v>
      </c>
      <c r="C7" s="18">
        <f t="shared" ref="C7:C15" si="1">0.65%*B7</f>
        <v>106.90875000000001</v>
      </c>
      <c r="D7" s="18">
        <f t="shared" si="0"/>
        <v>493.42499999999995</v>
      </c>
      <c r="E7" s="1"/>
    </row>
    <row r="8" spans="1:5" x14ac:dyDescent="0.25">
      <c r="A8" s="1" t="s">
        <v>26</v>
      </c>
      <c r="B8" s="18">
        <v>12487.5</v>
      </c>
      <c r="C8" s="18">
        <f t="shared" si="1"/>
        <v>81.168750000000003</v>
      </c>
      <c r="D8" s="18">
        <f t="shared" si="0"/>
        <v>374.625</v>
      </c>
      <c r="E8" s="1"/>
    </row>
    <row r="9" spans="1:5" x14ac:dyDescent="0.25">
      <c r="A9" s="1" t="s">
        <v>27</v>
      </c>
      <c r="B9" s="18">
        <v>15675</v>
      </c>
      <c r="C9" s="18">
        <f t="shared" si="1"/>
        <v>101.8875</v>
      </c>
      <c r="D9" s="18">
        <f t="shared" si="0"/>
        <v>470.25</v>
      </c>
      <c r="E9" s="1"/>
    </row>
    <row r="10" spans="1:5" x14ac:dyDescent="0.25">
      <c r="A10" s="1" t="s">
        <v>28</v>
      </c>
      <c r="B10" s="18">
        <v>15675</v>
      </c>
      <c r="C10" s="18">
        <f t="shared" si="1"/>
        <v>101.8875</v>
      </c>
      <c r="D10" s="18">
        <f t="shared" si="0"/>
        <v>470.25</v>
      </c>
      <c r="E10" s="1"/>
    </row>
    <row r="11" spans="1:5" x14ac:dyDescent="0.25">
      <c r="A11" s="1" t="s">
        <v>29</v>
      </c>
      <c r="B11" s="18">
        <v>15127.5</v>
      </c>
      <c r="C11" s="18">
        <f t="shared" si="1"/>
        <v>98.328750000000014</v>
      </c>
      <c r="D11" s="18">
        <f t="shared" si="0"/>
        <v>453.82499999999999</v>
      </c>
      <c r="E11" s="1"/>
    </row>
    <row r="12" spans="1:5" x14ac:dyDescent="0.25">
      <c r="A12" s="1" t="s">
        <v>30</v>
      </c>
      <c r="B12" s="18">
        <v>17460</v>
      </c>
      <c r="C12" s="18">
        <f t="shared" si="1"/>
        <v>113.49000000000001</v>
      </c>
      <c r="D12" s="18">
        <f t="shared" si="0"/>
        <v>523.79999999999995</v>
      </c>
      <c r="E12" s="1"/>
    </row>
    <row r="13" spans="1:5" x14ac:dyDescent="0.25">
      <c r="A13" s="1" t="s">
        <v>31</v>
      </c>
      <c r="B13" s="18">
        <v>14512.5</v>
      </c>
      <c r="C13" s="18">
        <f t="shared" si="1"/>
        <v>94.331250000000011</v>
      </c>
      <c r="D13" s="18">
        <f t="shared" si="0"/>
        <v>435.375</v>
      </c>
      <c r="E13" s="1"/>
    </row>
    <row r="14" spans="1:5" x14ac:dyDescent="0.25">
      <c r="A14" s="1" t="s">
        <v>32</v>
      </c>
      <c r="B14" s="18">
        <v>6502.5</v>
      </c>
      <c r="C14" s="18">
        <f t="shared" si="1"/>
        <v>42.266250000000007</v>
      </c>
      <c r="D14" s="18">
        <f t="shared" si="0"/>
        <v>195.07499999999999</v>
      </c>
      <c r="E14" s="1"/>
    </row>
    <row r="15" spans="1:5" x14ac:dyDescent="0.25">
      <c r="A15" s="1" t="s">
        <v>33</v>
      </c>
      <c r="B15" s="18"/>
      <c r="C15" s="18">
        <f t="shared" si="1"/>
        <v>0</v>
      </c>
      <c r="D15" s="18">
        <f t="shared" si="0"/>
        <v>0</v>
      </c>
      <c r="E15" s="1"/>
    </row>
    <row r="16" spans="1:5" x14ac:dyDescent="0.25">
      <c r="A16" s="1" t="s">
        <v>34</v>
      </c>
      <c r="B16" s="18"/>
      <c r="C16" s="18">
        <f t="shared" ref="C16" si="2">0.65*B16</f>
        <v>0</v>
      </c>
      <c r="D16" s="18">
        <f t="shared" si="0"/>
        <v>0</v>
      </c>
      <c r="E16" s="1"/>
    </row>
    <row r="17" spans="1:5" x14ac:dyDescent="0.25">
      <c r="A17" s="1"/>
      <c r="B17" s="19">
        <f>SUM(B5:B16)</f>
        <v>118350</v>
      </c>
      <c r="C17" s="19">
        <f t="shared" ref="C17:D17" si="3">SUM(C5:C16)</f>
        <v>769.27499999999998</v>
      </c>
      <c r="D17" s="19">
        <f t="shared" si="3"/>
        <v>3550.5</v>
      </c>
      <c r="E17" s="1"/>
    </row>
  </sheetData>
  <mergeCells count="3">
    <mergeCell ref="A1:E1"/>
    <mergeCell ref="A2:E2"/>
    <mergeCell ref="A3:E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IRPJ e CSLL 1TRIM</vt:lpstr>
      <vt:lpstr>IRPJ e CSLL 2TRIM</vt:lpstr>
      <vt:lpstr>IRPJ e CSLL 3TRIM</vt:lpstr>
      <vt:lpstr>IRPJ e CSLL 4TRIM</vt:lpstr>
      <vt:lpstr>PIS E COFINS</vt:lpstr>
      <vt:lpstr>'IRPJ e CSLL 1TRIM'!Area_de_impressao</vt:lpstr>
      <vt:lpstr>'IRPJ e CSLL 2TRIM'!Area_de_impressao</vt:lpstr>
      <vt:lpstr>'IRPJ e CSLL 3TRIM'!Area_de_impressao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2021-12-07T13:08:59Z</dcterms:modified>
</cp:coreProperties>
</file>