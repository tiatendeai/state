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7C36CBC7-EA50-4C99-BE64-E2A27A29C139}" xr6:coauthVersionLast="45" xr6:coauthVersionMax="45" xr10:uidLastSave="{00000000-0000-0000-0000-000000000000}"/>
  <bookViews>
    <workbookView xWindow="-108" yWindow="-108" windowWidth="23256" windowHeight="12576" xr2:uid="{4B6F05E9-10EA-417B-9962-DDB8FD0D5E91}"/>
  </bookViews>
  <sheets>
    <sheet name="Ctas-Receber-Mes" sheetId="1" r:id="rId1"/>
  </sheets>
  <externalReferences>
    <externalReference r:id="rId2"/>
  </externalReferences>
  <definedNames>
    <definedName name="_xlnm.Print_Area" localSheetId="0">'Ctas-Receber-Mes'!$A$2:$M$35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2" i="1" l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G69" i="1"/>
  <c r="F69" i="1"/>
  <c r="J68" i="1"/>
  <c r="I68" i="1"/>
  <c r="H68" i="1"/>
  <c r="G68" i="1"/>
  <c r="F68" i="1"/>
  <c r="J67" i="1"/>
  <c r="I67" i="1"/>
  <c r="H67" i="1"/>
  <c r="G67" i="1"/>
  <c r="F67" i="1"/>
  <c r="J66" i="1"/>
  <c r="I66" i="1"/>
  <c r="H66" i="1"/>
  <c r="G66" i="1"/>
  <c r="F66" i="1"/>
  <c r="J65" i="1"/>
  <c r="I65" i="1"/>
  <c r="H65" i="1"/>
  <c r="G65" i="1"/>
  <c r="F65" i="1"/>
  <c r="J64" i="1"/>
  <c r="I64" i="1"/>
  <c r="H64" i="1"/>
  <c r="G64" i="1"/>
  <c r="F64" i="1"/>
  <c r="J63" i="1"/>
  <c r="I63" i="1"/>
  <c r="H63" i="1"/>
  <c r="G63" i="1"/>
  <c r="F63" i="1"/>
  <c r="J62" i="1"/>
  <c r="I62" i="1"/>
  <c r="H62" i="1"/>
  <c r="G62" i="1"/>
  <c r="F62" i="1"/>
  <c r="J61" i="1"/>
  <c r="I61" i="1"/>
  <c r="H61" i="1"/>
  <c r="G61" i="1"/>
  <c r="F61" i="1"/>
  <c r="J60" i="1"/>
  <c r="I60" i="1"/>
  <c r="H60" i="1"/>
  <c r="G60" i="1"/>
  <c r="F60" i="1"/>
  <c r="J59" i="1"/>
  <c r="I59" i="1"/>
  <c r="H59" i="1"/>
  <c r="G59" i="1"/>
  <c r="F59" i="1"/>
  <c r="J58" i="1"/>
  <c r="I58" i="1"/>
  <c r="H58" i="1"/>
  <c r="G58" i="1"/>
  <c r="F58" i="1"/>
  <c r="J57" i="1"/>
  <c r="I57" i="1"/>
  <c r="H57" i="1"/>
  <c r="G57" i="1"/>
  <c r="F57" i="1"/>
  <c r="J56" i="1"/>
  <c r="I56" i="1"/>
  <c r="H56" i="1"/>
  <c r="G56" i="1"/>
  <c r="F56" i="1"/>
  <c r="J55" i="1"/>
  <c r="I55" i="1"/>
  <c r="H55" i="1"/>
  <c r="G55" i="1"/>
  <c r="F55" i="1"/>
  <c r="J54" i="1"/>
  <c r="I54" i="1"/>
  <c r="H54" i="1"/>
  <c r="G54" i="1"/>
  <c r="F54" i="1"/>
  <c r="J53" i="1"/>
  <c r="I53" i="1"/>
  <c r="H53" i="1"/>
  <c r="G53" i="1"/>
  <c r="F53" i="1"/>
  <c r="J52" i="1"/>
  <c r="I52" i="1"/>
  <c r="H52" i="1"/>
  <c r="G52" i="1"/>
  <c r="F52" i="1"/>
  <c r="J51" i="1"/>
  <c r="I51" i="1"/>
  <c r="H51" i="1"/>
  <c r="G51" i="1"/>
  <c r="F51" i="1"/>
  <c r="J50" i="1"/>
  <c r="I50" i="1"/>
  <c r="H50" i="1"/>
  <c r="G50" i="1"/>
  <c r="F50" i="1"/>
  <c r="J49" i="1"/>
  <c r="I49" i="1"/>
  <c r="H49" i="1"/>
  <c r="G49" i="1"/>
  <c r="F49" i="1"/>
  <c r="J48" i="1"/>
  <c r="I48" i="1"/>
  <c r="H48" i="1"/>
  <c r="G48" i="1"/>
  <c r="F48" i="1"/>
  <c r="J47" i="1"/>
  <c r="I47" i="1"/>
  <c r="H47" i="1"/>
  <c r="G47" i="1"/>
  <c r="F47" i="1"/>
  <c r="J46" i="1"/>
  <c r="I46" i="1"/>
  <c r="H46" i="1"/>
  <c r="G46" i="1"/>
  <c r="F46" i="1"/>
  <c r="J45" i="1"/>
  <c r="I45" i="1"/>
  <c r="H45" i="1"/>
  <c r="G45" i="1"/>
  <c r="F45" i="1"/>
  <c r="J44" i="1"/>
  <c r="I44" i="1"/>
  <c r="H44" i="1"/>
  <c r="G44" i="1"/>
  <c r="F44" i="1"/>
  <c r="J43" i="1"/>
  <c r="J73" i="1" s="1"/>
  <c r="I43" i="1"/>
  <c r="I73" i="1" s="1"/>
  <c r="H43" i="1"/>
  <c r="H73" i="1" s="1"/>
  <c r="G43" i="1"/>
  <c r="G73" i="1" s="1"/>
  <c r="F43" i="1"/>
  <c r="F73" i="1" s="1"/>
  <c r="M34" i="1"/>
  <c r="L34" i="1"/>
  <c r="K34" i="1"/>
  <c r="H34" i="1"/>
  <c r="M33" i="1"/>
  <c r="L33" i="1"/>
  <c r="K33" i="1"/>
  <c r="H33" i="1"/>
  <c r="M32" i="1"/>
  <c r="L32" i="1"/>
  <c r="K32" i="1"/>
  <c r="H32" i="1"/>
  <c r="M31" i="1"/>
  <c r="L31" i="1"/>
  <c r="K31" i="1"/>
  <c r="H31" i="1"/>
  <c r="M30" i="1"/>
  <c r="L30" i="1"/>
  <c r="K30" i="1"/>
  <c r="H30" i="1"/>
  <c r="M29" i="1"/>
  <c r="L29" i="1"/>
  <c r="K29" i="1"/>
  <c r="H29" i="1"/>
  <c r="M28" i="1"/>
  <c r="L28" i="1"/>
  <c r="K28" i="1"/>
  <c r="H28" i="1"/>
  <c r="M27" i="1"/>
  <c r="L27" i="1"/>
  <c r="K27" i="1"/>
  <c r="H27" i="1"/>
  <c r="M26" i="1"/>
  <c r="L26" i="1"/>
  <c r="K26" i="1"/>
  <c r="H26" i="1"/>
  <c r="M25" i="1"/>
  <c r="L25" i="1"/>
  <c r="K25" i="1"/>
  <c r="H25" i="1"/>
  <c r="M24" i="1"/>
  <c r="L24" i="1"/>
  <c r="K24" i="1"/>
  <c r="H24" i="1"/>
  <c r="M23" i="1"/>
  <c r="L23" i="1"/>
  <c r="K23" i="1"/>
  <c r="H23" i="1"/>
  <c r="M22" i="1"/>
  <c r="L22" i="1"/>
  <c r="K22" i="1"/>
  <c r="H22" i="1"/>
  <c r="M21" i="1"/>
  <c r="L21" i="1"/>
  <c r="K21" i="1"/>
  <c r="H21" i="1"/>
  <c r="M20" i="1"/>
  <c r="L20" i="1"/>
  <c r="K20" i="1"/>
  <c r="H20" i="1"/>
  <c r="M19" i="1"/>
  <c r="L19" i="1"/>
  <c r="K19" i="1"/>
  <c r="H19" i="1"/>
  <c r="M18" i="1"/>
  <c r="L18" i="1"/>
  <c r="K18" i="1"/>
  <c r="H18" i="1"/>
  <c r="M17" i="1"/>
  <c r="L17" i="1"/>
  <c r="K17" i="1"/>
  <c r="H17" i="1"/>
  <c r="M16" i="1"/>
  <c r="L16" i="1"/>
  <c r="K16" i="1"/>
  <c r="H16" i="1"/>
  <c r="M15" i="1"/>
  <c r="L15" i="1"/>
  <c r="K15" i="1"/>
  <c r="H15" i="1"/>
  <c r="M14" i="1"/>
  <c r="L14" i="1"/>
  <c r="K14" i="1"/>
  <c r="H14" i="1"/>
  <c r="M13" i="1"/>
  <c r="L13" i="1"/>
  <c r="K13" i="1"/>
  <c r="H13" i="1"/>
  <c r="M12" i="1"/>
  <c r="L12" i="1"/>
  <c r="K12" i="1"/>
  <c r="H12" i="1"/>
  <c r="M11" i="1"/>
  <c r="L11" i="1"/>
  <c r="K11" i="1"/>
  <c r="H11" i="1"/>
  <c r="M10" i="1"/>
  <c r="L10" i="1"/>
  <c r="K10" i="1"/>
  <c r="H10" i="1"/>
  <c r="M9" i="1"/>
  <c r="L9" i="1"/>
  <c r="K9" i="1"/>
  <c r="H9" i="1"/>
  <c r="M8" i="1"/>
  <c r="L8" i="1"/>
  <c r="K8" i="1"/>
  <c r="H8" i="1"/>
  <c r="M7" i="1"/>
  <c r="L7" i="1"/>
  <c r="K7" i="1"/>
  <c r="H7" i="1"/>
  <c r="M6" i="1"/>
  <c r="L6" i="1"/>
  <c r="K6" i="1"/>
  <c r="H6" i="1"/>
  <c r="M5" i="1"/>
  <c r="L5" i="1"/>
  <c r="K5" i="1"/>
  <c r="K35" i="1" s="1"/>
  <c r="H5" i="1"/>
  <c r="F4" i="1"/>
</calcChain>
</file>

<file path=xl/sharedStrings.xml><?xml version="1.0" encoding="utf-8"?>
<sst xmlns="http://schemas.openxmlformats.org/spreadsheetml/2006/main" count="24" uniqueCount="23">
  <si>
    <t>CONTROLE DE CONTAS A RECEBER</t>
  </si>
  <si>
    <t>FOLHA:</t>
  </si>
  <si>
    <t>01/01</t>
  </si>
  <si>
    <t>MÊS/ANO:</t>
  </si>
  <si>
    <t>Cliente</t>
  </si>
  <si>
    <t>Nº Conta:</t>
  </si>
  <si>
    <t>Doc. Nº</t>
  </si>
  <si>
    <t>Data da Emissão</t>
  </si>
  <si>
    <t>Portador</t>
  </si>
  <si>
    <t>Venctº</t>
  </si>
  <si>
    <t>Valor</t>
  </si>
  <si>
    <t>Liquidação</t>
  </si>
  <si>
    <t>Saldo a Receber</t>
  </si>
  <si>
    <t>Desconto ou Juros</t>
  </si>
  <si>
    <t>Valor            (D / J)</t>
  </si>
  <si>
    <t>Nominal</t>
  </si>
  <si>
    <t>Acumulado</t>
  </si>
  <si>
    <t>Data</t>
  </si>
  <si>
    <t>Fulano de Tal</t>
  </si>
  <si>
    <t>BB</t>
  </si>
  <si>
    <t>Reposição de fundo</t>
  </si>
  <si>
    <t>Obs.: Na liquidação deverá ser inserido o valor recebido já contemplando o juro ou desconto, todavia</t>
  </si>
  <si>
    <t>o saldo a receber é calculado pelo valor nominal.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</si>
</sst>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0" x14ac:knownFonts="1"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Book Antiqua"/>
      <family val="1"/>
    </font>
    <font>
      <sz val="10"/>
      <color indexed="8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b/>
      <sz val="10"/>
      <color indexed="9"/>
      <name val="Book Antiqua"/>
      <family val="1"/>
    </font>
    <font>
      <b/>
      <sz val="11"/>
      <color indexed="10"/>
      <name val="Book Antiqua"/>
      <family val="1"/>
    </font>
    <font>
      <b/>
      <sz val="10"/>
      <color indexed="9"/>
      <name val="Arial"/>
      <family val="2"/>
    </font>
    <font>
      <sz val="10"/>
      <color indexed="4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2" borderId="2" xfId="0" applyFont="1" applyFill="1" applyBorder="1" applyAlignment="1" applyProtection="1">
      <alignment horizontal="centerContinuous" vertical="center"/>
    </xf>
    <xf numFmtId="0" fontId="2" fillId="2" borderId="3" xfId="0" applyFont="1" applyFill="1" applyBorder="1" applyAlignment="1" applyProtection="1">
      <alignment horizontal="centerContinuous" vertical="center"/>
    </xf>
    <xf numFmtId="17" fontId="3" fillId="2" borderId="3" xfId="0" applyNumberFormat="1" applyFont="1" applyFill="1" applyBorder="1" applyAlignment="1" applyProtection="1">
      <alignment horizontal="centerContinuous"/>
    </xf>
    <xf numFmtId="0" fontId="4" fillId="2" borderId="3" xfId="0" applyFont="1" applyFill="1" applyBorder="1" applyAlignment="1" applyProtection="1">
      <alignment horizontal="centerContinuous"/>
    </xf>
    <xf numFmtId="0" fontId="2" fillId="2" borderId="2" xfId="0" applyFont="1" applyFill="1" applyBorder="1" applyAlignment="1" applyProtection="1">
      <alignment horizontal="center" vertical="center"/>
    </xf>
    <xf numFmtId="16" fontId="2" fillId="0" borderId="4" xfId="0" quotePrefix="1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left" vertical="center"/>
    </xf>
    <xf numFmtId="17" fontId="2" fillId="3" borderId="4" xfId="0" applyNumberFormat="1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Continuous" vertical="center" wrapText="1"/>
    </xf>
    <xf numFmtId="17" fontId="5" fillId="2" borderId="2" xfId="0" applyNumberFormat="1" applyFont="1" applyFill="1" applyBorder="1" applyAlignment="1" applyProtection="1">
      <alignment horizontal="centerContinuous" vertical="center" wrapText="1"/>
    </xf>
    <xf numFmtId="17" fontId="5" fillId="2" borderId="4" xfId="0" applyNumberFormat="1" applyFont="1" applyFill="1" applyBorder="1" applyAlignment="1" applyProtection="1">
      <alignment horizontal="centerContinuous" vertical="center" wrapText="1"/>
    </xf>
    <xf numFmtId="17" fontId="5" fillId="2" borderId="3" xfId="0" applyNumberFormat="1" applyFont="1" applyFill="1" applyBorder="1" applyAlignment="1" applyProtection="1">
      <alignment horizontal="centerContinuous" vertical="center" wrapText="1"/>
    </xf>
    <xf numFmtId="17" fontId="5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left"/>
    </xf>
    <xf numFmtId="4" fontId="4" fillId="2" borderId="7" xfId="0" applyNumberFormat="1" applyFont="1" applyFill="1" applyBorder="1" applyAlignment="1" applyProtection="1">
      <alignment horizontal="right"/>
    </xf>
    <xf numFmtId="17" fontId="2" fillId="2" borderId="8" xfId="0" applyNumberFormat="1" applyFont="1" applyFill="1" applyBorder="1" applyAlignment="1" applyProtection="1">
      <alignment horizontal="centerContinuous" vertical="center" wrapText="1"/>
      <protection hidden="1"/>
    </xf>
    <xf numFmtId="0" fontId="2" fillId="2" borderId="9" xfId="0" applyFont="1" applyFill="1" applyBorder="1" applyAlignment="1" applyProtection="1">
      <alignment horizontal="center"/>
    </xf>
    <xf numFmtId="4" fontId="4" fillId="2" borderId="8" xfId="0" applyNumberFormat="1" applyFont="1" applyFill="1" applyBorder="1" applyAlignment="1" applyProtection="1">
      <alignment horizontal="centerContinuous" vertical="center" wrapText="1"/>
    </xf>
    <xf numFmtId="0" fontId="4" fillId="2" borderId="8" xfId="0" applyFont="1" applyFill="1" applyBorder="1" applyProtection="1"/>
    <xf numFmtId="0" fontId="4" fillId="0" borderId="7" xfId="0" applyFont="1" applyFill="1" applyBorder="1" applyAlignment="1" applyProtection="1">
      <alignment horizontal="left"/>
      <protection locked="0"/>
    </xf>
    <xf numFmtId="0" fontId="4" fillId="0" borderId="7" xfId="0" applyFont="1" applyFill="1" applyBorder="1" applyAlignment="1" applyProtection="1">
      <alignment horizontal="center"/>
      <protection locked="0"/>
    </xf>
    <xf numFmtId="164" fontId="4" fillId="0" borderId="8" xfId="0" applyNumberFormat="1" applyFont="1" applyFill="1" applyBorder="1" applyAlignment="1" applyProtection="1">
      <alignment horizontal="center"/>
      <protection locked="0"/>
    </xf>
    <xf numFmtId="4" fontId="4" fillId="0" borderId="4" xfId="0" applyNumberFormat="1" applyFont="1" applyFill="1" applyBorder="1" applyAlignment="1" applyProtection="1">
      <alignment horizontal="center"/>
      <protection locked="0"/>
    </xf>
    <xf numFmtId="1" fontId="4" fillId="0" borderId="8" xfId="0" applyNumberFormat="1" applyFont="1" applyFill="1" applyBorder="1" applyAlignment="1" applyProtection="1">
      <alignment horizontal="center"/>
      <protection locked="0"/>
    </xf>
    <xf numFmtId="4" fontId="4" fillId="0" borderId="9" xfId="0" applyNumberFormat="1" applyFont="1" applyBorder="1" applyAlignment="1" applyProtection="1">
      <alignment horizontal="right"/>
      <protection locked="0"/>
    </xf>
    <xf numFmtId="4" fontId="4" fillId="4" borderId="9" xfId="0" applyNumberFormat="1" applyFont="1" applyFill="1" applyBorder="1" applyAlignment="1" applyProtection="1">
      <alignment horizontal="right"/>
      <protection hidden="1"/>
    </xf>
    <xf numFmtId="4" fontId="4" fillId="4" borderId="9" xfId="0" applyNumberFormat="1" applyFont="1" applyFill="1" applyBorder="1" applyAlignment="1" applyProtection="1">
      <alignment horizontal="center"/>
      <protection hidden="1"/>
    </xf>
    <xf numFmtId="164" fontId="0" fillId="0" borderId="0" xfId="0" applyNumberFormat="1" applyAlignment="1">
      <alignment horizontal="center"/>
    </xf>
    <xf numFmtId="17" fontId="0" fillId="0" borderId="0" xfId="0" applyNumberFormat="1"/>
    <xf numFmtId="0" fontId="4" fillId="0" borderId="7" xfId="0" quotePrefix="1" applyFont="1" applyFill="1" applyBorder="1" applyAlignment="1" applyProtection="1">
      <alignment horizontal="center"/>
      <protection locked="0"/>
    </xf>
    <xf numFmtId="4" fontId="0" fillId="0" borderId="0" xfId="0" applyNumberFormat="1"/>
    <xf numFmtId="0" fontId="4" fillId="0" borderId="0" xfId="0" applyFont="1"/>
    <xf numFmtId="4" fontId="7" fillId="2" borderId="0" xfId="0" applyNumberFormat="1" applyFont="1" applyFill="1" applyAlignment="1" applyProtection="1">
      <alignment horizontal="centerContinuous" vertical="center" wrapText="1"/>
      <protection hidden="1"/>
    </xf>
    <xf numFmtId="0" fontId="7" fillId="2" borderId="0" xfId="0" applyFont="1" applyFill="1" applyAlignment="1" applyProtection="1">
      <alignment horizontal="centerContinuous" vertical="center" wrapText="1"/>
      <protection hidden="1"/>
    </xf>
    <xf numFmtId="0" fontId="8" fillId="5" borderId="0" xfId="0" applyFont="1" applyFill="1"/>
    <xf numFmtId="0" fontId="9" fillId="2" borderId="0" xfId="0" applyFont="1" applyFill="1" applyProtection="1">
      <protection hidden="1"/>
    </xf>
    <xf numFmtId="0" fontId="1" fillId="0" borderId="1" xfId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o/Documents/Modelos%20GCON/Controles%20Financeir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 de Caixa"/>
      <sheetName val="Controle de Banco"/>
      <sheetName val="Recebimentos_Mes1"/>
      <sheetName val="Pagamentos_Mes1"/>
      <sheetName val="Fluxo_Mes1"/>
      <sheetName val="Fluxo_01"/>
      <sheetName val="Fluxo_02"/>
      <sheetName val="Fluxo_03"/>
      <sheetName val="Fluxo_04"/>
      <sheetName val="Plan12"/>
      <sheetName val="Plan13"/>
      <sheetName val="Plan14"/>
      <sheetName val="Plan15"/>
      <sheetName val="Plan16"/>
      <sheetName val="Módulo1"/>
    </sheetNames>
    <sheetDataSet>
      <sheetData sheetId="0"/>
      <sheetData sheetId="1"/>
      <sheetData sheetId="2"/>
      <sheetData sheetId="3"/>
      <sheetData sheetId="4">
        <row r="3">
          <cell r="B3">
            <v>1</v>
          </cell>
          <cell r="D3">
            <v>7</v>
          </cell>
          <cell r="E3">
            <v>8</v>
          </cell>
          <cell r="G3">
            <v>12</v>
          </cell>
          <cell r="H3">
            <v>13</v>
          </cell>
          <cell r="J3">
            <v>19</v>
          </cell>
          <cell r="K3">
            <v>20</v>
          </cell>
          <cell r="M3">
            <v>26</v>
          </cell>
          <cell r="N3">
            <v>27</v>
          </cell>
          <cell r="P3">
            <v>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3B01-23AF-4F1E-885B-B2E1E513E438}">
  <sheetPr codeName="Plan6"/>
  <dimension ref="A1:N73"/>
  <sheetViews>
    <sheetView showZeros="0" tabSelected="1" workbookViewId="0"/>
  </sheetViews>
  <sheetFormatPr defaultColWidth="11.44140625" defaultRowHeight="13.2" x14ac:dyDescent="0.25"/>
  <cols>
    <col min="1" max="1" width="39.44140625" customWidth="1"/>
    <col min="2" max="2" width="29.44140625" hidden="1" customWidth="1"/>
    <col min="3" max="3" width="14.33203125" customWidth="1"/>
    <col min="4" max="4" width="10.109375" customWidth="1"/>
    <col min="5" max="5" width="15.109375" customWidth="1"/>
    <col min="6" max="6" width="10" customWidth="1"/>
    <col min="7" max="8" width="14.5546875" customWidth="1"/>
    <col min="9" max="9" width="11.109375" customWidth="1"/>
    <col min="10" max="10" width="13" customWidth="1"/>
    <col min="11" max="11" width="14.5546875" customWidth="1"/>
    <col min="12" max="12" width="10.6640625" customWidth="1"/>
    <col min="257" max="257" width="39.44140625" customWidth="1"/>
    <col min="258" max="258" width="0" hidden="1" customWidth="1"/>
    <col min="259" max="259" width="14.33203125" customWidth="1"/>
    <col min="260" max="260" width="10.109375" customWidth="1"/>
    <col min="261" max="261" width="15.109375" customWidth="1"/>
    <col min="262" max="262" width="10" customWidth="1"/>
    <col min="263" max="264" width="14.5546875" customWidth="1"/>
    <col min="265" max="265" width="11.109375" customWidth="1"/>
    <col min="266" max="266" width="13" customWidth="1"/>
    <col min="267" max="267" width="14.5546875" customWidth="1"/>
    <col min="268" max="268" width="10.6640625" customWidth="1"/>
    <col min="513" max="513" width="39.44140625" customWidth="1"/>
    <col min="514" max="514" width="0" hidden="1" customWidth="1"/>
    <col min="515" max="515" width="14.33203125" customWidth="1"/>
    <col min="516" max="516" width="10.109375" customWidth="1"/>
    <col min="517" max="517" width="15.109375" customWidth="1"/>
    <col min="518" max="518" width="10" customWidth="1"/>
    <col min="519" max="520" width="14.5546875" customWidth="1"/>
    <col min="521" max="521" width="11.109375" customWidth="1"/>
    <col min="522" max="522" width="13" customWidth="1"/>
    <col min="523" max="523" width="14.5546875" customWidth="1"/>
    <col min="524" max="524" width="10.6640625" customWidth="1"/>
    <col min="769" max="769" width="39.44140625" customWidth="1"/>
    <col min="770" max="770" width="0" hidden="1" customWidth="1"/>
    <col min="771" max="771" width="14.33203125" customWidth="1"/>
    <col min="772" max="772" width="10.109375" customWidth="1"/>
    <col min="773" max="773" width="15.109375" customWidth="1"/>
    <col min="774" max="774" width="10" customWidth="1"/>
    <col min="775" max="776" width="14.5546875" customWidth="1"/>
    <col min="777" max="777" width="11.109375" customWidth="1"/>
    <col min="778" max="778" width="13" customWidth="1"/>
    <col min="779" max="779" width="14.5546875" customWidth="1"/>
    <col min="780" max="780" width="10.6640625" customWidth="1"/>
    <col min="1025" max="1025" width="39.44140625" customWidth="1"/>
    <col min="1026" max="1026" width="0" hidden="1" customWidth="1"/>
    <col min="1027" max="1027" width="14.33203125" customWidth="1"/>
    <col min="1028" max="1028" width="10.109375" customWidth="1"/>
    <col min="1029" max="1029" width="15.109375" customWidth="1"/>
    <col min="1030" max="1030" width="10" customWidth="1"/>
    <col min="1031" max="1032" width="14.5546875" customWidth="1"/>
    <col min="1033" max="1033" width="11.109375" customWidth="1"/>
    <col min="1034" max="1034" width="13" customWidth="1"/>
    <col min="1035" max="1035" width="14.5546875" customWidth="1"/>
    <col min="1036" max="1036" width="10.6640625" customWidth="1"/>
    <col min="1281" max="1281" width="39.44140625" customWidth="1"/>
    <col min="1282" max="1282" width="0" hidden="1" customWidth="1"/>
    <col min="1283" max="1283" width="14.33203125" customWidth="1"/>
    <col min="1284" max="1284" width="10.109375" customWidth="1"/>
    <col min="1285" max="1285" width="15.109375" customWidth="1"/>
    <col min="1286" max="1286" width="10" customWidth="1"/>
    <col min="1287" max="1288" width="14.5546875" customWidth="1"/>
    <col min="1289" max="1289" width="11.109375" customWidth="1"/>
    <col min="1290" max="1290" width="13" customWidth="1"/>
    <col min="1291" max="1291" width="14.5546875" customWidth="1"/>
    <col min="1292" max="1292" width="10.6640625" customWidth="1"/>
    <col min="1537" max="1537" width="39.44140625" customWidth="1"/>
    <col min="1538" max="1538" width="0" hidden="1" customWidth="1"/>
    <col min="1539" max="1539" width="14.33203125" customWidth="1"/>
    <col min="1540" max="1540" width="10.109375" customWidth="1"/>
    <col min="1541" max="1541" width="15.109375" customWidth="1"/>
    <col min="1542" max="1542" width="10" customWidth="1"/>
    <col min="1543" max="1544" width="14.5546875" customWidth="1"/>
    <col min="1545" max="1545" width="11.109375" customWidth="1"/>
    <col min="1546" max="1546" width="13" customWidth="1"/>
    <col min="1547" max="1547" width="14.5546875" customWidth="1"/>
    <col min="1548" max="1548" width="10.6640625" customWidth="1"/>
    <col min="1793" max="1793" width="39.44140625" customWidth="1"/>
    <col min="1794" max="1794" width="0" hidden="1" customWidth="1"/>
    <col min="1795" max="1795" width="14.33203125" customWidth="1"/>
    <col min="1796" max="1796" width="10.109375" customWidth="1"/>
    <col min="1797" max="1797" width="15.109375" customWidth="1"/>
    <col min="1798" max="1798" width="10" customWidth="1"/>
    <col min="1799" max="1800" width="14.5546875" customWidth="1"/>
    <col min="1801" max="1801" width="11.109375" customWidth="1"/>
    <col min="1802" max="1802" width="13" customWidth="1"/>
    <col min="1803" max="1803" width="14.5546875" customWidth="1"/>
    <col min="1804" max="1804" width="10.6640625" customWidth="1"/>
    <col min="2049" max="2049" width="39.44140625" customWidth="1"/>
    <col min="2050" max="2050" width="0" hidden="1" customWidth="1"/>
    <col min="2051" max="2051" width="14.33203125" customWidth="1"/>
    <col min="2052" max="2052" width="10.109375" customWidth="1"/>
    <col min="2053" max="2053" width="15.109375" customWidth="1"/>
    <col min="2054" max="2054" width="10" customWidth="1"/>
    <col min="2055" max="2056" width="14.5546875" customWidth="1"/>
    <col min="2057" max="2057" width="11.109375" customWidth="1"/>
    <col min="2058" max="2058" width="13" customWidth="1"/>
    <col min="2059" max="2059" width="14.5546875" customWidth="1"/>
    <col min="2060" max="2060" width="10.6640625" customWidth="1"/>
    <col min="2305" max="2305" width="39.44140625" customWidth="1"/>
    <col min="2306" max="2306" width="0" hidden="1" customWidth="1"/>
    <col min="2307" max="2307" width="14.33203125" customWidth="1"/>
    <col min="2308" max="2308" width="10.109375" customWidth="1"/>
    <col min="2309" max="2309" width="15.109375" customWidth="1"/>
    <col min="2310" max="2310" width="10" customWidth="1"/>
    <col min="2311" max="2312" width="14.5546875" customWidth="1"/>
    <col min="2313" max="2313" width="11.109375" customWidth="1"/>
    <col min="2314" max="2314" width="13" customWidth="1"/>
    <col min="2315" max="2315" width="14.5546875" customWidth="1"/>
    <col min="2316" max="2316" width="10.6640625" customWidth="1"/>
    <col min="2561" max="2561" width="39.44140625" customWidth="1"/>
    <col min="2562" max="2562" width="0" hidden="1" customWidth="1"/>
    <col min="2563" max="2563" width="14.33203125" customWidth="1"/>
    <col min="2564" max="2564" width="10.109375" customWidth="1"/>
    <col min="2565" max="2565" width="15.109375" customWidth="1"/>
    <col min="2566" max="2566" width="10" customWidth="1"/>
    <col min="2567" max="2568" width="14.5546875" customWidth="1"/>
    <col min="2569" max="2569" width="11.109375" customWidth="1"/>
    <col min="2570" max="2570" width="13" customWidth="1"/>
    <col min="2571" max="2571" width="14.5546875" customWidth="1"/>
    <col min="2572" max="2572" width="10.6640625" customWidth="1"/>
    <col min="2817" max="2817" width="39.44140625" customWidth="1"/>
    <col min="2818" max="2818" width="0" hidden="1" customWidth="1"/>
    <col min="2819" max="2819" width="14.33203125" customWidth="1"/>
    <col min="2820" max="2820" width="10.109375" customWidth="1"/>
    <col min="2821" max="2821" width="15.109375" customWidth="1"/>
    <col min="2822" max="2822" width="10" customWidth="1"/>
    <col min="2823" max="2824" width="14.5546875" customWidth="1"/>
    <col min="2825" max="2825" width="11.109375" customWidth="1"/>
    <col min="2826" max="2826" width="13" customWidth="1"/>
    <col min="2827" max="2827" width="14.5546875" customWidth="1"/>
    <col min="2828" max="2828" width="10.6640625" customWidth="1"/>
    <col min="3073" max="3073" width="39.44140625" customWidth="1"/>
    <col min="3074" max="3074" width="0" hidden="1" customWidth="1"/>
    <col min="3075" max="3075" width="14.33203125" customWidth="1"/>
    <col min="3076" max="3076" width="10.109375" customWidth="1"/>
    <col min="3077" max="3077" width="15.109375" customWidth="1"/>
    <col min="3078" max="3078" width="10" customWidth="1"/>
    <col min="3079" max="3080" width="14.5546875" customWidth="1"/>
    <col min="3081" max="3081" width="11.109375" customWidth="1"/>
    <col min="3082" max="3082" width="13" customWidth="1"/>
    <col min="3083" max="3083" width="14.5546875" customWidth="1"/>
    <col min="3084" max="3084" width="10.6640625" customWidth="1"/>
    <col min="3329" max="3329" width="39.44140625" customWidth="1"/>
    <col min="3330" max="3330" width="0" hidden="1" customWidth="1"/>
    <col min="3331" max="3331" width="14.33203125" customWidth="1"/>
    <col min="3332" max="3332" width="10.109375" customWidth="1"/>
    <col min="3333" max="3333" width="15.109375" customWidth="1"/>
    <col min="3334" max="3334" width="10" customWidth="1"/>
    <col min="3335" max="3336" width="14.5546875" customWidth="1"/>
    <col min="3337" max="3337" width="11.109375" customWidth="1"/>
    <col min="3338" max="3338" width="13" customWidth="1"/>
    <col min="3339" max="3339" width="14.5546875" customWidth="1"/>
    <col min="3340" max="3340" width="10.6640625" customWidth="1"/>
    <col min="3585" max="3585" width="39.44140625" customWidth="1"/>
    <col min="3586" max="3586" width="0" hidden="1" customWidth="1"/>
    <col min="3587" max="3587" width="14.33203125" customWidth="1"/>
    <col min="3588" max="3588" width="10.109375" customWidth="1"/>
    <col min="3589" max="3589" width="15.109375" customWidth="1"/>
    <col min="3590" max="3590" width="10" customWidth="1"/>
    <col min="3591" max="3592" width="14.5546875" customWidth="1"/>
    <col min="3593" max="3593" width="11.109375" customWidth="1"/>
    <col min="3594" max="3594" width="13" customWidth="1"/>
    <col min="3595" max="3595" width="14.5546875" customWidth="1"/>
    <col min="3596" max="3596" width="10.6640625" customWidth="1"/>
    <col min="3841" max="3841" width="39.44140625" customWidth="1"/>
    <col min="3842" max="3842" width="0" hidden="1" customWidth="1"/>
    <col min="3843" max="3843" width="14.33203125" customWidth="1"/>
    <col min="3844" max="3844" width="10.109375" customWidth="1"/>
    <col min="3845" max="3845" width="15.109375" customWidth="1"/>
    <col min="3846" max="3846" width="10" customWidth="1"/>
    <col min="3847" max="3848" width="14.5546875" customWidth="1"/>
    <col min="3849" max="3849" width="11.109375" customWidth="1"/>
    <col min="3850" max="3850" width="13" customWidth="1"/>
    <col min="3851" max="3851" width="14.5546875" customWidth="1"/>
    <col min="3852" max="3852" width="10.6640625" customWidth="1"/>
    <col min="4097" max="4097" width="39.44140625" customWidth="1"/>
    <col min="4098" max="4098" width="0" hidden="1" customWidth="1"/>
    <col min="4099" max="4099" width="14.33203125" customWidth="1"/>
    <col min="4100" max="4100" width="10.109375" customWidth="1"/>
    <col min="4101" max="4101" width="15.109375" customWidth="1"/>
    <col min="4102" max="4102" width="10" customWidth="1"/>
    <col min="4103" max="4104" width="14.5546875" customWidth="1"/>
    <col min="4105" max="4105" width="11.109375" customWidth="1"/>
    <col min="4106" max="4106" width="13" customWidth="1"/>
    <col min="4107" max="4107" width="14.5546875" customWidth="1"/>
    <col min="4108" max="4108" width="10.6640625" customWidth="1"/>
    <col min="4353" max="4353" width="39.44140625" customWidth="1"/>
    <col min="4354" max="4354" width="0" hidden="1" customWidth="1"/>
    <col min="4355" max="4355" width="14.33203125" customWidth="1"/>
    <col min="4356" max="4356" width="10.109375" customWidth="1"/>
    <col min="4357" max="4357" width="15.109375" customWidth="1"/>
    <col min="4358" max="4358" width="10" customWidth="1"/>
    <col min="4359" max="4360" width="14.5546875" customWidth="1"/>
    <col min="4361" max="4361" width="11.109375" customWidth="1"/>
    <col min="4362" max="4362" width="13" customWidth="1"/>
    <col min="4363" max="4363" width="14.5546875" customWidth="1"/>
    <col min="4364" max="4364" width="10.6640625" customWidth="1"/>
    <col min="4609" max="4609" width="39.44140625" customWidth="1"/>
    <col min="4610" max="4610" width="0" hidden="1" customWidth="1"/>
    <col min="4611" max="4611" width="14.33203125" customWidth="1"/>
    <col min="4612" max="4612" width="10.109375" customWidth="1"/>
    <col min="4613" max="4613" width="15.109375" customWidth="1"/>
    <col min="4614" max="4614" width="10" customWidth="1"/>
    <col min="4615" max="4616" width="14.5546875" customWidth="1"/>
    <col min="4617" max="4617" width="11.109375" customWidth="1"/>
    <col min="4618" max="4618" width="13" customWidth="1"/>
    <col min="4619" max="4619" width="14.5546875" customWidth="1"/>
    <col min="4620" max="4620" width="10.6640625" customWidth="1"/>
    <col min="4865" max="4865" width="39.44140625" customWidth="1"/>
    <col min="4866" max="4866" width="0" hidden="1" customWidth="1"/>
    <col min="4867" max="4867" width="14.33203125" customWidth="1"/>
    <col min="4868" max="4868" width="10.109375" customWidth="1"/>
    <col min="4869" max="4869" width="15.109375" customWidth="1"/>
    <col min="4870" max="4870" width="10" customWidth="1"/>
    <col min="4871" max="4872" width="14.5546875" customWidth="1"/>
    <col min="4873" max="4873" width="11.109375" customWidth="1"/>
    <col min="4874" max="4874" width="13" customWidth="1"/>
    <col min="4875" max="4875" width="14.5546875" customWidth="1"/>
    <col min="4876" max="4876" width="10.6640625" customWidth="1"/>
    <col min="5121" max="5121" width="39.44140625" customWidth="1"/>
    <col min="5122" max="5122" width="0" hidden="1" customWidth="1"/>
    <col min="5123" max="5123" width="14.33203125" customWidth="1"/>
    <col min="5124" max="5124" width="10.109375" customWidth="1"/>
    <col min="5125" max="5125" width="15.109375" customWidth="1"/>
    <col min="5126" max="5126" width="10" customWidth="1"/>
    <col min="5127" max="5128" width="14.5546875" customWidth="1"/>
    <col min="5129" max="5129" width="11.109375" customWidth="1"/>
    <col min="5130" max="5130" width="13" customWidth="1"/>
    <col min="5131" max="5131" width="14.5546875" customWidth="1"/>
    <col min="5132" max="5132" width="10.6640625" customWidth="1"/>
    <col min="5377" max="5377" width="39.44140625" customWidth="1"/>
    <col min="5378" max="5378" width="0" hidden="1" customWidth="1"/>
    <col min="5379" max="5379" width="14.33203125" customWidth="1"/>
    <col min="5380" max="5380" width="10.109375" customWidth="1"/>
    <col min="5381" max="5381" width="15.109375" customWidth="1"/>
    <col min="5382" max="5382" width="10" customWidth="1"/>
    <col min="5383" max="5384" width="14.5546875" customWidth="1"/>
    <col min="5385" max="5385" width="11.109375" customWidth="1"/>
    <col min="5386" max="5386" width="13" customWidth="1"/>
    <col min="5387" max="5387" width="14.5546875" customWidth="1"/>
    <col min="5388" max="5388" width="10.6640625" customWidth="1"/>
    <col min="5633" max="5633" width="39.44140625" customWidth="1"/>
    <col min="5634" max="5634" width="0" hidden="1" customWidth="1"/>
    <col min="5635" max="5635" width="14.33203125" customWidth="1"/>
    <col min="5636" max="5636" width="10.109375" customWidth="1"/>
    <col min="5637" max="5637" width="15.109375" customWidth="1"/>
    <col min="5638" max="5638" width="10" customWidth="1"/>
    <col min="5639" max="5640" width="14.5546875" customWidth="1"/>
    <col min="5641" max="5641" width="11.109375" customWidth="1"/>
    <col min="5642" max="5642" width="13" customWidth="1"/>
    <col min="5643" max="5643" width="14.5546875" customWidth="1"/>
    <col min="5644" max="5644" width="10.6640625" customWidth="1"/>
    <col min="5889" max="5889" width="39.44140625" customWidth="1"/>
    <col min="5890" max="5890" width="0" hidden="1" customWidth="1"/>
    <col min="5891" max="5891" width="14.33203125" customWidth="1"/>
    <col min="5892" max="5892" width="10.109375" customWidth="1"/>
    <col min="5893" max="5893" width="15.109375" customWidth="1"/>
    <col min="5894" max="5894" width="10" customWidth="1"/>
    <col min="5895" max="5896" width="14.5546875" customWidth="1"/>
    <col min="5897" max="5897" width="11.109375" customWidth="1"/>
    <col min="5898" max="5898" width="13" customWidth="1"/>
    <col min="5899" max="5899" width="14.5546875" customWidth="1"/>
    <col min="5900" max="5900" width="10.6640625" customWidth="1"/>
    <col min="6145" max="6145" width="39.44140625" customWidth="1"/>
    <col min="6146" max="6146" width="0" hidden="1" customWidth="1"/>
    <col min="6147" max="6147" width="14.33203125" customWidth="1"/>
    <col min="6148" max="6148" width="10.109375" customWidth="1"/>
    <col min="6149" max="6149" width="15.109375" customWidth="1"/>
    <col min="6150" max="6150" width="10" customWidth="1"/>
    <col min="6151" max="6152" width="14.5546875" customWidth="1"/>
    <col min="6153" max="6153" width="11.109375" customWidth="1"/>
    <col min="6154" max="6154" width="13" customWidth="1"/>
    <col min="6155" max="6155" width="14.5546875" customWidth="1"/>
    <col min="6156" max="6156" width="10.6640625" customWidth="1"/>
    <col min="6401" max="6401" width="39.44140625" customWidth="1"/>
    <col min="6402" max="6402" width="0" hidden="1" customWidth="1"/>
    <col min="6403" max="6403" width="14.33203125" customWidth="1"/>
    <col min="6404" max="6404" width="10.109375" customWidth="1"/>
    <col min="6405" max="6405" width="15.109375" customWidth="1"/>
    <col min="6406" max="6406" width="10" customWidth="1"/>
    <col min="6407" max="6408" width="14.5546875" customWidth="1"/>
    <col min="6409" max="6409" width="11.109375" customWidth="1"/>
    <col min="6410" max="6410" width="13" customWidth="1"/>
    <col min="6411" max="6411" width="14.5546875" customWidth="1"/>
    <col min="6412" max="6412" width="10.6640625" customWidth="1"/>
    <col min="6657" max="6657" width="39.44140625" customWidth="1"/>
    <col min="6658" max="6658" width="0" hidden="1" customWidth="1"/>
    <col min="6659" max="6659" width="14.33203125" customWidth="1"/>
    <col min="6660" max="6660" width="10.109375" customWidth="1"/>
    <col min="6661" max="6661" width="15.109375" customWidth="1"/>
    <col min="6662" max="6662" width="10" customWidth="1"/>
    <col min="6663" max="6664" width="14.5546875" customWidth="1"/>
    <col min="6665" max="6665" width="11.109375" customWidth="1"/>
    <col min="6666" max="6666" width="13" customWidth="1"/>
    <col min="6667" max="6667" width="14.5546875" customWidth="1"/>
    <col min="6668" max="6668" width="10.6640625" customWidth="1"/>
    <col min="6913" max="6913" width="39.44140625" customWidth="1"/>
    <col min="6914" max="6914" width="0" hidden="1" customWidth="1"/>
    <col min="6915" max="6915" width="14.33203125" customWidth="1"/>
    <col min="6916" max="6916" width="10.109375" customWidth="1"/>
    <col min="6917" max="6917" width="15.109375" customWidth="1"/>
    <col min="6918" max="6918" width="10" customWidth="1"/>
    <col min="6919" max="6920" width="14.5546875" customWidth="1"/>
    <col min="6921" max="6921" width="11.109375" customWidth="1"/>
    <col min="6922" max="6922" width="13" customWidth="1"/>
    <col min="6923" max="6923" width="14.5546875" customWidth="1"/>
    <col min="6924" max="6924" width="10.6640625" customWidth="1"/>
    <col min="7169" max="7169" width="39.44140625" customWidth="1"/>
    <col min="7170" max="7170" width="0" hidden="1" customWidth="1"/>
    <col min="7171" max="7171" width="14.33203125" customWidth="1"/>
    <col min="7172" max="7172" width="10.109375" customWidth="1"/>
    <col min="7173" max="7173" width="15.109375" customWidth="1"/>
    <col min="7174" max="7174" width="10" customWidth="1"/>
    <col min="7175" max="7176" width="14.5546875" customWidth="1"/>
    <col min="7177" max="7177" width="11.109375" customWidth="1"/>
    <col min="7178" max="7178" width="13" customWidth="1"/>
    <col min="7179" max="7179" width="14.5546875" customWidth="1"/>
    <col min="7180" max="7180" width="10.6640625" customWidth="1"/>
    <col min="7425" max="7425" width="39.44140625" customWidth="1"/>
    <col min="7426" max="7426" width="0" hidden="1" customWidth="1"/>
    <col min="7427" max="7427" width="14.33203125" customWidth="1"/>
    <col min="7428" max="7428" width="10.109375" customWidth="1"/>
    <col min="7429" max="7429" width="15.109375" customWidth="1"/>
    <col min="7430" max="7430" width="10" customWidth="1"/>
    <col min="7431" max="7432" width="14.5546875" customWidth="1"/>
    <col min="7433" max="7433" width="11.109375" customWidth="1"/>
    <col min="7434" max="7434" width="13" customWidth="1"/>
    <col min="7435" max="7435" width="14.5546875" customWidth="1"/>
    <col min="7436" max="7436" width="10.6640625" customWidth="1"/>
    <col min="7681" max="7681" width="39.44140625" customWidth="1"/>
    <col min="7682" max="7682" width="0" hidden="1" customWidth="1"/>
    <col min="7683" max="7683" width="14.33203125" customWidth="1"/>
    <col min="7684" max="7684" width="10.109375" customWidth="1"/>
    <col min="7685" max="7685" width="15.109375" customWidth="1"/>
    <col min="7686" max="7686" width="10" customWidth="1"/>
    <col min="7687" max="7688" width="14.5546875" customWidth="1"/>
    <col min="7689" max="7689" width="11.109375" customWidth="1"/>
    <col min="7690" max="7690" width="13" customWidth="1"/>
    <col min="7691" max="7691" width="14.5546875" customWidth="1"/>
    <col min="7692" max="7692" width="10.6640625" customWidth="1"/>
    <col min="7937" max="7937" width="39.44140625" customWidth="1"/>
    <col min="7938" max="7938" width="0" hidden="1" customWidth="1"/>
    <col min="7939" max="7939" width="14.33203125" customWidth="1"/>
    <col min="7940" max="7940" width="10.109375" customWidth="1"/>
    <col min="7941" max="7941" width="15.109375" customWidth="1"/>
    <col min="7942" max="7942" width="10" customWidth="1"/>
    <col min="7943" max="7944" width="14.5546875" customWidth="1"/>
    <col min="7945" max="7945" width="11.109375" customWidth="1"/>
    <col min="7946" max="7946" width="13" customWidth="1"/>
    <col min="7947" max="7947" width="14.5546875" customWidth="1"/>
    <col min="7948" max="7948" width="10.6640625" customWidth="1"/>
    <col min="8193" max="8193" width="39.44140625" customWidth="1"/>
    <col min="8194" max="8194" width="0" hidden="1" customWidth="1"/>
    <col min="8195" max="8195" width="14.33203125" customWidth="1"/>
    <col min="8196" max="8196" width="10.109375" customWidth="1"/>
    <col min="8197" max="8197" width="15.109375" customWidth="1"/>
    <col min="8198" max="8198" width="10" customWidth="1"/>
    <col min="8199" max="8200" width="14.5546875" customWidth="1"/>
    <col min="8201" max="8201" width="11.109375" customWidth="1"/>
    <col min="8202" max="8202" width="13" customWidth="1"/>
    <col min="8203" max="8203" width="14.5546875" customWidth="1"/>
    <col min="8204" max="8204" width="10.6640625" customWidth="1"/>
    <col min="8449" max="8449" width="39.44140625" customWidth="1"/>
    <col min="8450" max="8450" width="0" hidden="1" customWidth="1"/>
    <col min="8451" max="8451" width="14.33203125" customWidth="1"/>
    <col min="8452" max="8452" width="10.109375" customWidth="1"/>
    <col min="8453" max="8453" width="15.109375" customWidth="1"/>
    <col min="8454" max="8454" width="10" customWidth="1"/>
    <col min="8455" max="8456" width="14.5546875" customWidth="1"/>
    <col min="8457" max="8457" width="11.109375" customWidth="1"/>
    <col min="8458" max="8458" width="13" customWidth="1"/>
    <col min="8459" max="8459" width="14.5546875" customWidth="1"/>
    <col min="8460" max="8460" width="10.6640625" customWidth="1"/>
    <col min="8705" max="8705" width="39.44140625" customWidth="1"/>
    <col min="8706" max="8706" width="0" hidden="1" customWidth="1"/>
    <col min="8707" max="8707" width="14.33203125" customWidth="1"/>
    <col min="8708" max="8708" width="10.109375" customWidth="1"/>
    <col min="8709" max="8709" width="15.109375" customWidth="1"/>
    <col min="8710" max="8710" width="10" customWidth="1"/>
    <col min="8711" max="8712" width="14.5546875" customWidth="1"/>
    <col min="8713" max="8713" width="11.109375" customWidth="1"/>
    <col min="8714" max="8714" width="13" customWidth="1"/>
    <col min="8715" max="8715" width="14.5546875" customWidth="1"/>
    <col min="8716" max="8716" width="10.6640625" customWidth="1"/>
    <col min="8961" max="8961" width="39.44140625" customWidth="1"/>
    <col min="8962" max="8962" width="0" hidden="1" customWidth="1"/>
    <col min="8963" max="8963" width="14.33203125" customWidth="1"/>
    <col min="8964" max="8964" width="10.109375" customWidth="1"/>
    <col min="8965" max="8965" width="15.109375" customWidth="1"/>
    <col min="8966" max="8966" width="10" customWidth="1"/>
    <col min="8967" max="8968" width="14.5546875" customWidth="1"/>
    <col min="8969" max="8969" width="11.109375" customWidth="1"/>
    <col min="8970" max="8970" width="13" customWidth="1"/>
    <col min="8971" max="8971" width="14.5546875" customWidth="1"/>
    <col min="8972" max="8972" width="10.6640625" customWidth="1"/>
    <col min="9217" max="9217" width="39.44140625" customWidth="1"/>
    <col min="9218" max="9218" width="0" hidden="1" customWidth="1"/>
    <col min="9219" max="9219" width="14.33203125" customWidth="1"/>
    <col min="9220" max="9220" width="10.109375" customWidth="1"/>
    <col min="9221" max="9221" width="15.109375" customWidth="1"/>
    <col min="9222" max="9222" width="10" customWidth="1"/>
    <col min="9223" max="9224" width="14.5546875" customWidth="1"/>
    <col min="9225" max="9225" width="11.109375" customWidth="1"/>
    <col min="9226" max="9226" width="13" customWidth="1"/>
    <col min="9227" max="9227" width="14.5546875" customWidth="1"/>
    <col min="9228" max="9228" width="10.6640625" customWidth="1"/>
    <col min="9473" max="9473" width="39.44140625" customWidth="1"/>
    <col min="9474" max="9474" width="0" hidden="1" customWidth="1"/>
    <col min="9475" max="9475" width="14.33203125" customWidth="1"/>
    <col min="9476" max="9476" width="10.109375" customWidth="1"/>
    <col min="9477" max="9477" width="15.109375" customWidth="1"/>
    <col min="9478" max="9478" width="10" customWidth="1"/>
    <col min="9479" max="9480" width="14.5546875" customWidth="1"/>
    <col min="9481" max="9481" width="11.109375" customWidth="1"/>
    <col min="9482" max="9482" width="13" customWidth="1"/>
    <col min="9483" max="9483" width="14.5546875" customWidth="1"/>
    <col min="9484" max="9484" width="10.6640625" customWidth="1"/>
    <col min="9729" max="9729" width="39.44140625" customWidth="1"/>
    <col min="9730" max="9730" width="0" hidden="1" customWidth="1"/>
    <col min="9731" max="9731" width="14.33203125" customWidth="1"/>
    <col min="9732" max="9732" width="10.109375" customWidth="1"/>
    <col min="9733" max="9733" width="15.109375" customWidth="1"/>
    <col min="9734" max="9734" width="10" customWidth="1"/>
    <col min="9735" max="9736" width="14.5546875" customWidth="1"/>
    <col min="9737" max="9737" width="11.109375" customWidth="1"/>
    <col min="9738" max="9738" width="13" customWidth="1"/>
    <col min="9739" max="9739" width="14.5546875" customWidth="1"/>
    <col min="9740" max="9740" width="10.6640625" customWidth="1"/>
    <col min="9985" max="9985" width="39.44140625" customWidth="1"/>
    <col min="9986" max="9986" width="0" hidden="1" customWidth="1"/>
    <col min="9987" max="9987" width="14.33203125" customWidth="1"/>
    <col min="9988" max="9988" width="10.109375" customWidth="1"/>
    <col min="9989" max="9989" width="15.109375" customWidth="1"/>
    <col min="9990" max="9990" width="10" customWidth="1"/>
    <col min="9991" max="9992" width="14.5546875" customWidth="1"/>
    <col min="9993" max="9993" width="11.109375" customWidth="1"/>
    <col min="9994" max="9994" width="13" customWidth="1"/>
    <col min="9995" max="9995" width="14.5546875" customWidth="1"/>
    <col min="9996" max="9996" width="10.6640625" customWidth="1"/>
    <col min="10241" max="10241" width="39.44140625" customWidth="1"/>
    <col min="10242" max="10242" width="0" hidden="1" customWidth="1"/>
    <col min="10243" max="10243" width="14.33203125" customWidth="1"/>
    <col min="10244" max="10244" width="10.109375" customWidth="1"/>
    <col min="10245" max="10245" width="15.109375" customWidth="1"/>
    <col min="10246" max="10246" width="10" customWidth="1"/>
    <col min="10247" max="10248" width="14.5546875" customWidth="1"/>
    <col min="10249" max="10249" width="11.109375" customWidth="1"/>
    <col min="10250" max="10250" width="13" customWidth="1"/>
    <col min="10251" max="10251" width="14.5546875" customWidth="1"/>
    <col min="10252" max="10252" width="10.6640625" customWidth="1"/>
    <col min="10497" max="10497" width="39.44140625" customWidth="1"/>
    <col min="10498" max="10498" width="0" hidden="1" customWidth="1"/>
    <col min="10499" max="10499" width="14.33203125" customWidth="1"/>
    <col min="10500" max="10500" width="10.109375" customWidth="1"/>
    <col min="10501" max="10501" width="15.109375" customWidth="1"/>
    <col min="10502" max="10502" width="10" customWidth="1"/>
    <col min="10503" max="10504" width="14.5546875" customWidth="1"/>
    <col min="10505" max="10505" width="11.109375" customWidth="1"/>
    <col min="10506" max="10506" width="13" customWidth="1"/>
    <col min="10507" max="10507" width="14.5546875" customWidth="1"/>
    <col min="10508" max="10508" width="10.6640625" customWidth="1"/>
    <col min="10753" max="10753" width="39.44140625" customWidth="1"/>
    <col min="10754" max="10754" width="0" hidden="1" customWidth="1"/>
    <col min="10755" max="10755" width="14.33203125" customWidth="1"/>
    <col min="10756" max="10756" width="10.109375" customWidth="1"/>
    <col min="10757" max="10757" width="15.109375" customWidth="1"/>
    <col min="10758" max="10758" width="10" customWidth="1"/>
    <col min="10759" max="10760" width="14.5546875" customWidth="1"/>
    <col min="10761" max="10761" width="11.109375" customWidth="1"/>
    <col min="10762" max="10762" width="13" customWidth="1"/>
    <col min="10763" max="10763" width="14.5546875" customWidth="1"/>
    <col min="10764" max="10764" width="10.6640625" customWidth="1"/>
    <col min="11009" max="11009" width="39.44140625" customWidth="1"/>
    <col min="11010" max="11010" width="0" hidden="1" customWidth="1"/>
    <col min="11011" max="11011" width="14.33203125" customWidth="1"/>
    <col min="11012" max="11012" width="10.109375" customWidth="1"/>
    <col min="11013" max="11013" width="15.109375" customWidth="1"/>
    <col min="11014" max="11014" width="10" customWidth="1"/>
    <col min="11015" max="11016" width="14.5546875" customWidth="1"/>
    <col min="11017" max="11017" width="11.109375" customWidth="1"/>
    <col min="11018" max="11018" width="13" customWidth="1"/>
    <col min="11019" max="11019" width="14.5546875" customWidth="1"/>
    <col min="11020" max="11020" width="10.6640625" customWidth="1"/>
    <col min="11265" max="11265" width="39.44140625" customWidth="1"/>
    <col min="11266" max="11266" width="0" hidden="1" customWidth="1"/>
    <col min="11267" max="11267" width="14.33203125" customWidth="1"/>
    <col min="11268" max="11268" width="10.109375" customWidth="1"/>
    <col min="11269" max="11269" width="15.109375" customWidth="1"/>
    <col min="11270" max="11270" width="10" customWidth="1"/>
    <col min="11271" max="11272" width="14.5546875" customWidth="1"/>
    <col min="11273" max="11273" width="11.109375" customWidth="1"/>
    <col min="11274" max="11274" width="13" customWidth="1"/>
    <col min="11275" max="11275" width="14.5546875" customWidth="1"/>
    <col min="11276" max="11276" width="10.6640625" customWidth="1"/>
    <col min="11521" max="11521" width="39.44140625" customWidth="1"/>
    <col min="11522" max="11522" width="0" hidden="1" customWidth="1"/>
    <col min="11523" max="11523" width="14.33203125" customWidth="1"/>
    <col min="11524" max="11524" width="10.109375" customWidth="1"/>
    <col min="11525" max="11525" width="15.109375" customWidth="1"/>
    <col min="11526" max="11526" width="10" customWidth="1"/>
    <col min="11527" max="11528" width="14.5546875" customWidth="1"/>
    <col min="11529" max="11529" width="11.109375" customWidth="1"/>
    <col min="11530" max="11530" width="13" customWidth="1"/>
    <col min="11531" max="11531" width="14.5546875" customWidth="1"/>
    <col min="11532" max="11532" width="10.6640625" customWidth="1"/>
    <col min="11777" max="11777" width="39.44140625" customWidth="1"/>
    <col min="11778" max="11778" width="0" hidden="1" customWidth="1"/>
    <col min="11779" max="11779" width="14.33203125" customWidth="1"/>
    <col min="11780" max="11780" width="10.109375" customWidth="1"/>
    <col min="11781" max="11781" width="15.109375" customWidth="1"/>
    <col min="11782" max="11782" width="10" customWidth="1"/>
    <col min="11783" max="11784" width="14.5546875" customWidth="1"/>
    <col min="11785" max="11785" width="11.109375" customWidth="1"/>
    <col min="11786" max="11786" width="13" customWidth="1"/>
    <col min="11787" max="11787" width="14.5546875" customWidth="1"/>
    <col min="11788" max="11788" width="10.6640625" customWidth="1"/>
    <col min="12033" max="12033" width="39.44140625" customWidth="1"/>
    <col min="12034" max="12034" width="0" hidden="1" customWidth="1"/>
    <col min="12035" max="12035" width="14.33203125" customWidth="1"/>
    <col min="12036" max="12036" width="10.109375" customWidth="1"/>
    <col min="12037" max="12037" width="15.109375" customWidth="1"/>
    <col min="12038" max="12038" width="10" customWidth="1"/>
    <col min="12039" max="12040" width="14.5546875" customWidth="1"/>
    <col min="12041" max="12041" width="11.109375" customWidth="1"/>
    <col min="12042" max="12042" width="13" customWidth="1"/>
    <col min="12043" max="12043" width="14.5546875" customWidth="1"/>
    <col min="12044" max="12044" width="10.6640625" customWidth="1"/>
    <col min="12289" max="12289" width="39.44140625" customWidth="1"/>
    <col min="12290" max="12290" width="0" hidden="1" customWidth="1"/>
    <col min="12291" max="12291" width="14.33203125" customWidth="1"/>
    <col min="12292" max="12292" width="10.109375" customWidth="1"/>
    <col min="12293" max="12293" width="15.109375" customWidth="1"/>
    <col min="12294" max="12294" width="10" customWidth="1"/>
    <col min="12295" max="12296" width="14.5546875" customWidth="1"/>
    <col min="12297" max="12297" width="11.109375" customWidth="1"/>
    <col min="12298" max="12298" width="13" customWidth="1"/>
    <col min="12299" max="12299" width="14.5546875" customWidth="1"/>
    <col min="12300" max="12300" width="10.6640625" customWidth="1"/>
    <col min="12545" max="12545" width="39.44140625" customWidth="1"/>
    <col min="12546" max="12546" width="0" hidden="1" customWidth="1"/>
    <col min="12547" max="12547" width="14.33203125" customWidth="1"/>
    <col min="12548" max="12548" width="10.109375" customWidth="1"/>
    <col min="12549" max="12549" width="15.109375" customWidth="1"/>
    <col min="12550" max="12550" width="10" customWidth="1"/>
    <col min="12551" max="12552" width="14.5546875" customWidth="1"/>
    <col min="12553" max="12553" width="11.109375" customWidth="1"/>
    <col min="12554" max="12554" width="13" customWidth="1"/>
    <col min="12555" max="12555" width="14.5546875" customWidth="1"/>
    <col min="12556" max="12556" width="10.6640625" customWidth="1"/>
    <col min="12801" max="12801" width="39.44140625" customWidth="1"/>
    <col min="12802" max="12802" width="0" hidden="1" customWidth="1"/>
    <col min="12803" max="12803" width="14.33203125" customWidth="1"/>
    <col min="12804" max="12804" width="10.109375" customWidth="1"/>
    <col min="12805" max="12805" width="15.109375" customWidth="1"/>
    <col min="12806" max="12806" width="10" customWidth="1"/>
    <col min="12807" max="12808" width="14.5546875" customWidth="1"/>
    <col min="12809" max="12809" width="11.109375" customWidth="1"/>
    <col min="12810" max="12810" width="13" customWidth="1"/>
    <col min="12811" max="12811" width="14.5546875" customWidth="1"/>
    <col min="12812" max="12812" width="10.6640625" customWidth="1"/>
    <col min="13057" max="13057" width="39.44140625" customWidth="1"/>
    <col min="13058" max="13058" width="0" hidden="1" customWidth="1"/>
    <col min="13059" max="13059" width="14.33203125" customWidth="1"/>
    <col min="13060" max="13060" width="10.109375" customWidth="1"/>
    <col min="13061" max="13061" width="15.109375" customWidth="1"/>
    <col min="13062" max="13062" width="10" customWidth="1"/>
    <col min="13063" max="13064" width="14.5546875" customWidth="1"/>
    <col min="13065" max="13065" width="11.109375" customWidth="1"/>
    <col min="13066" max="13066" width="13" customWidth="1"/>
    <col min="13067" max="13067" width="14.5546875" customWidth="1"/>
    <col min="13068" max="13068" width="10.6640625" customWidth="1"/>
    <col min="13313" max="13313" width="39.44140625" customWidth="1"/>
    <col min="13314" max="13314" width="0" hidden="1" customWidth="1"/>
    <col min="13315" max="13315" width="14.33203125" customWidth="1"/>
    <col min="13316" max="13316" width="10.109375" customWidth="1"/>
    <col min="13317" max="13317" width="15.109375" customWidth="1"/>
    <col min="13318" max="13318" width="10" customWidth="1"/>
    <col min="13319" max="13320" width="14.5546875" customWidth="1"/>
    <col min="13321" max="13321" width="11.109375" customWidth="1"/>
    <col min="13322" max="13322" width="13" customWidth="1"/>
    <col min="13323" max="13323" width="14.5546875" customWidth="1"/>
    <col min="13324" max="13324" width="10.6640625" customWidth="1"/>
    <col min="13569" max="13569" width="39.44140625" customWidth="1"/>
    <col min="13570" max="13570" width="0" hidden="1" customWidth="1"/>
    <col min="13571" max="13571" width="14.33203125" customWidth="1"/>
    <col min="13572" max="13572" width="10.109375" customWidth="1"/>
    <col min="13573" max="13573" width="15.109375" customWidth="1"/>
    <col min="13574" max="13574" width="10" customWidth="1"/>
    <col min="13575" max="13576" width="14.5546875" customWidth="1"/>
    <col min="13577" max="13577" width="11.109375" customWidth="1"/>
    <col min="13578" max="13578" width="13" customWidth="1"/>
    <col min="13579" max="13579" width="14.5546875" customWidth="1"/>
    <col min="13580" max="13580" width="10.6640625" customWidth="1"/>
    <col min="13825" max="13825" width="39.44140625" customWidth="1"/>
    <col min="13826" max="13826" width="0" hidden="1" customWidth="1"/>
    <col min="13827" max="13827" width="14.33203125" customWidth="1"/>
    <col min="13828" max="13828" width="10.109375" customWidth="1"/>
    <col min="13829" max="13829" width="15.109375" customWidth="1"/>
    <col min="13830" max="13830" width="10" customWidth="1"/>
    <col min="13831" max="13832" width="14.5546875" customWidth="1"/>
    <col min="13833" max="13833" width="11.109375" customWidth="1"/>
    <col min="13834" max="13834" width="13" customWidth="1"/>
    <col min="13835" max="13835" width="14.5546875" customWidth="1"/>
    <col min="13836" max="13836" width="10.6640625" customWidth="1"/>
    <col min="14081" max="14081" width="39.44140625" customWidth="1"/>
    <col min="14082" max="14082" width="0" hidden="1" customWidth="1"/>
    <col min="14083" max="14083" width="14.33203125" customWidth="1"/>
    <col min="14084" max="14084" width="10.109375" customWidth="1"/>
    <col min="14085" max="14085" width="15.109375" customWidth="1"/>
    <col min="14086" max="14086" width="10" customWidth="1"/>
    <col min="14087" max="14088" width="14.5546875" customWidth="1"/>
    <col min="14089" max="14089" width="11.109375" customWidth="1"/>
    <col min="14090" max="14090" width="13" customWidth="1"/>
    <col min="14091" max="14091" width="14.5546875" customWidth="1"/>
    <col min="14092" max="14092" width="10.6640625" customWidth="1"/>
    <col min="14337" max="14337" width="39.44140625" customWidth="1"/>
    <col min="14338" max="14338" width="0" hidden="1" customWidth="1"/>
    <col min="14339" max="14339" width="14.33203125" customWidth="1"/>
    <col min="14340" max="14340" width="10.109375" customWidth="1"/>
    <col min="14341" max="14341" width="15.109375" customWidth="1"/>
    <col min="14342" max="14342" width="10" customWidth="1"/>
    <col min="14343" max="14344" width="14.5546875" customWidth="1"/>
    <col min="14345" max="14345" width="11.109375" customWidth="1"/>
    <col min="14346" max="14346" width="13" customWidth="1"/>
    <col min="14347" max="14347" width="14.5546875" customWidth="1"/>
    <col min="14348" max="14348" width="10.6640625" customWidth="1"/>
    <col min="14593" max="14593" width="39.44140625" customWidth="1"/>
    <col min="14594" max="14594" width="0" hidden="1" customWidth="1"/>
    <col min="14595" max="14595" width="14.33203125" customWidth="1"/>
    <col min="14596" max="14596" width="10.109375" customWidth="1"/>
    <col min="14597" max="14597" width="15.109375" customWidth="1"/>
    <col min="14598" max="14598" width="10" customWidth="1"/>
    <col min="14599" max="14600" width="14.5546875" customWidth="1"/>
    <col min="14601" max="14601" width="11.109375" customWidth="1"/>
    <col min="14602" max="14602" width="13" customWidth="1"/>
    <col min="14603" max="14603" width="14.5546875" customWidth="1"/>
    <col min="14604" max="14604" width="10.6640625" customWidth="1"/>
    <col min="14849" max="14849" width="39.44140625" customWidth="1"/>
    <col min="14850" max="14850" width="0" hidden="1" customWidth="1"/>
    <col min="14851" max="14851" width="14.33203125" customWidth="1"/>
    <col min="14852" max="14852" width="10.109375" customWidth="1"/>
    <col min="14853" max="14853" width="15.109375" customWidth="1"/>
    <col min="14854" max="14854" width="10" customWidth="1"/>
    <col min="14855" max="14856" width="14.5546875" customWidth="1"/>
    <col min="14857" max="14857" width="11.109375" customWidth="1"/>
    <col min="14858" max="14858" width="13" customWidth="1"/>
    <col min="14859" max="14859" width="14.5546875" customWidth="1"/>
    <col min="14860" max="14860" width="10.6640625" customWidth="1"/>
    <col min="15105" max="15105" width="39.44140625" customWidth="1"/>
    <col min="15106" max="15106" width="0" hidden="1" customWidth="1"/>
    <col min="15107" max="15107" width="14.33203125" customWidth="1"/>
    <col min="15108" max="15108" width="10.109375" customWidth="1"/>
    <col min="15109" max="15109" width="15.109375" customWidth="1"/>
    <col min="15110" max="15110" width="10" customWidth="1"/>
    <col min="15111" max="15112" width="14.5546875" customWidth="1"/>
    <col min="15113" max="15113" width="11.109375" customWidth="1"/>
    <col min="15114" max="15114" width="13" customWidth="1"/>
    <col min="15115" max="15115" width="14.5546875" customWidth="1"/>
    <col min="15116" max="15116" width="10.6640625" customWidth="1"/>
    <col min="15361" max="15361" width="39.44140625" customWidth="1"/>
    <col min="15362" max="15362" width="0" hidden="1" customWidth="1"/>
    <col min="15363" max="15363" width="14.33203125" customWidth="1"/>
    <col min="15364" max="15364" width="10.109375" customWidth="1"/>
    <col min="15365" max="15365" width="15.109375" customWidth="1"/>
    <col min="15366" max="15366" width="10" customWidth="1"/>
    <col min="15367" max="15368" width="14.5546875" customWidth="1"/>
    <col min="15369" max="15369" width="11.109375" customWidth="1"/>
    <col min="15370" max="15370" width="13" customWidth="1"/>
    <col min="15371" max="15371" width="14.5546875" customWidth="1"/>
    <col min="15372" max="15372" width="10.6640625" customWidth="1"/>
    <col min="15617" max="15617" width="39.44140625" customWidth="1"/>
    <col min="15618" max="15618" width="0" hidden="1" customWidth="1"/>
    <col min="15619" max="15619" width="14.33203125" customWidth="1"/>
    <col min="15620" max="15620" width="10.109375" customWidth="1"/>
    <col min="15621" max="15621" width="15.109375" customWidth="1"/>
    <col min="15622" max="15622" width="10" customWidth="1"/>
    <col min="15623" max="15624" width="14.5546875" customWidth="1"/>
    <col min="15625" max="15625" width="11.109375" customWidth="1"/>
    <col min="15626" max="15626" width="13" customWidth="1"/>
    <col min="15627" max="15627" width="14.5546875" customWidth="1"/>
    <col min="15628" max="15628" width="10.6640625" customWidth="1"/>
    <col min="15873" max="15873" width="39.44140625" customWidth="1"/>
    <col min="15874" max="15874" width="0" hidden="1" customWidth="1"/>
    <col min="15875" max="15875" width="14.33203125" customWidth="1"/>
    <col min="15876" max="15876" width="10.109375" customWidth="1"/>
    <col min="15877" max="15877" width="15.109375" customWidth="1"/>
    <col min="15878" max="15878" width="10" customWidth="1"/>
    <col min="15879" max="15880" width="14.5546875" customWidth="1"/>
    <col min="15881" max="15881" width="11.109375" customWidth="1"/>
    <col min="15882" max="15882" width="13" customWidth="1"/>
    <col min="15883" max="15883" width="14.5546875" customWidth="1"/>
    <col min="15884" max="15884" width="10.6640625" customWidth="1"/>
    <col min="16129" max="16129" width="39.44140625" customWidth="1"/>
    <col min="16130" max="16130" width="0" hidden="1" customWidth="1"/>
    <col min="16131" max="16131" width="14.33203125" customWidth="1"/>
    <col min="16132" max="16132" width="10.109375" customWidth="1"/>
    <col min="16133" max="16133" width="15.109375" customWidth="1"/>
    <col min="16134" max="16134" width="10" customWidth="1"/>
    <col min="16135" max="16136" width="14.5546875" customWidth="1"/>
    <col min="16137" max="16137" width="11.109375" customWidth="1"/>
    <col min="16138" max="16138" width="13" customWidth="1"/>
    <col min="16139" max="16139" width="14.5546875" customWidth="1"/>
    <col min="16140" max="16140" width="10.6640625" customWidth="1"/>
  </cols>
  <sheetData>
    <row r="1" spans="1:14" ht="13.8" thickBot="1" x14ac:dyDescent="0.3">
      <c r="L1" s="40"/>
      <c r="M1" s="40"/>
    </row>
    <row r="2" spans="1:14" ht="19.5" customHeight="1" thickBot="1" x14ac:dyDescent="0.35">
      <c r="A2" s="1" t="s">
        <v>0</v>
      </c>
      <c r="B2" s="1"/>
      <c r="C2" s="2"/>
      <c r="D2" s="2"/>
      <c r="E2" s="2"/>
      <c r="F2" s="2"/>
      <c r="G2" s="3"/>
      <c r="H2" s="3"/>
      <c r="I2" s="4"/>
      <c r="J2" s="5" t="s">
        <v>1</v>
      </c>
      <c r="K2" s="6" t="s">
        <v>2</v>
      </c>
      <c r="L2" s="7" t="s">
        <v>3</v>
      </c>
      <c r="M2" s="8"/>
    </row>
    <row r="3" spans="1:14" ht="30" customHeight="1" thickBot="1" x14ac:dyDescent="0.3">
      <c r="A3" s="9" t="s">
        <v>4</v>
      </c>
      <c r="B3" s="10" t="s">
        <v>5</v>
      </c>
      <c r="C3" s="9" t="s">
        <v>6</v>
      </c>
      <c r="D3" s="9" t="s">
        <v>7</v>
      </c>
      <c r="E3" s="9" t="s">
        <v>8</v>
      </c>
      <c r="F3" s="11" t="s">
        <v>9</v>
      </c>
      <c r="G3" s="12" t="s">
        <v>10</v>
      </c>
      <c r="H3" s="13"/>
      <c r="I3" s="12" t="s">
        <v>11</v>
      </c>
      <c r="J3" s="14"/>
      <c r="K3" s="11" t="s">
        <v>12</v>
      </c>
      <c r="L3" s="15" t="s">
        <v>13</v>
      </c>
      <c r="M3" s="15" t="s">
        <v>14</v>
      </c>
    </row>
    <row r="4" spans="1:14" ht="14.4" thickBot="1" x14ac:dyDescent="0.35">
      <c r="A4" s="16"/>
      <c r="B4" s="17"/>
      <c r="C4" s="17"/>
      <c r="D4" s="16"/>
      <c r="E4" s="18"/>
      <c r="F4" s="19">
        <f>'Ctas-Receber-Mes'!M2</f>
        <v>0</v>
      </c>
      <c r="G4" s="20" t="s">
        <v>15</v>
      </c>
      <c r="H4" s="20" t="s">
        <v>16</v>
      </c>
      <c r="I4" s="20" t="s">
        <v>17</v>
      </c>
      <c r="J4" s="20" t="s">
        <v>10</v>
      </c>
      <c r="K4" s="21"/>
      <c r="L4" s="22"/>
      <c r="M4" s="22"/>
    </row>
    <row r="5" spans="1:14" ht="14.4" thickBot="1" x14ac:dyDescent="0.35">
      <c r="A5" s="23" t="s">
        <v>18</v>
      </c>
      <c r="B5" s="23"/>
      <c r="C5" s="24">
        <v>123456</v>
      </c>
      <c r="D5" s="25">
        <v>43462</v>
      </c>
      <c r="E5" s="26" t="s">
        <v>19</v>
      </c>
      <c r="F5" s="25">
        <v>43480</v>
      </c>
      <c r="G5" s="28">
        <v>5300</v>
      </c>
      <c r="H5" s="29">
        <f>IF(G5="","",G5)</f>
        <v>5300</v>
      </c>
      <c r="I5" s="25">
        <v>43481</v>
      </c>
      <c r="J5" s="28">
        <v>5300</v>
      </c>
      <c r="K5" s="29">
        <f>IF((J5=""),"",IF((J5=0),MAX(H5:H34),IF((J5=G5),MAX(H5:H34)-J5,IF((L5="J"),MAX(H5:H34)-J5+(J5-G5),IF((L5="D"),MAX(H5:H34)-G5-(G5-J5),"")))))</f>
        <v>0</v>
      </c>
      <c r="L5" s="30" t="str">
        <f>IF((J5=""),"",IF((J5=0),"",IF(AND(J5&lt;G5,J5&gt;0),"D",IF((J5&gt;G5),"J",""))))</f>
        <v/>
      </c>
      <c r="M5" s="29" t="str">
        <f t="shared" ref="M5:M34" si="0">IF((L5="J"),(J5-G5),IF((L5="D"),(G5-J5),""))</f>
        <v/>
      </c>
      <c r="N5" s="31"/>
    </row>
    <row r="6" spans="1:14" ht="14.4" thickBot="1" x14ac:dyDescent="0.35">
      <c r="A6" s="23"/>
      <c r="B6" s="23"/>
      <c r="C6" s="24"/>
      <c r="D6" s="25"/>
      <c r="E6" s="26"/>
      <c r="F6" s="27"/>
      <c r="G6" s="28"/>
      <c r="H6" s="29" t="str">
        <f t="shared" ref="H6:H34" si="1">IF(G6="","",H5+G6)</f>
        <v/>
      </c>
      <c r="I6" s="25"/>
      <c r="J6" s="28"/>
      <c r="K6" s="29" t="str">
        <f t="shared" ref="K6:K34" si="2">IF((J6=""),"",IF((J6=G6),(K5-J6),IF((L6="J"),(K5-J6)+(J6-G6),IF((L6="D"),K5-G6-(G6-J6),IF((J6=0),(K5-J6),"")))))</f>
        <v/>
      </c>
      <c r="L6" s="30" t="str">
        <f t="shared" ref="L6:L34" si="3">IF((J6=""),"",IF(AND(J6&lt;G6,J6&gt;0),"D",IF((J6&gt;G6),"J","")))</f>
        <v/>
      </c>
      <c r="M6" s="29" t="str">
        <f t="shared" si="0"/>
        <v/>
      </c>
      <c r="N6" s="32"/>
    </row>
    <row r="7" spans="1:14" ht="14.4" thickBot="1" x14ac:dyDescent="0.35">
      <c r="A7" s="23"/>
      <c r="B7" s="23"/>
      <c r="C7" s="33"/>
      <c r="D7" s="25"/>
      <c r="E7" s="26"/>
      <c r="F7" s="27"/>
      <c r="G7" s="28"/>
      <c r="H7" s="29" t="str">
        <f t="shared" si="1"/>
        <v/>
      </c>
      <c r="I7" s="25"/>
      <c r="J7" s="28"/>
      <c r="K7" s="29" t="str">
        <f t="shared" si="2"/>
        <v/>
      </c>
      <c r="L7" s="30" t="str">
        <f t="shared" si="3"/>
        <v/>
      </c>
      <c r="M7" s="29" t="str">
        <f t="shared" si="0"/>
        <v/>
      </c>
    </row>
    <row r="8" spans="1:14" ht="14.4" thickBot="1" x14ac:dyDescent="0.35">
      <c r="A8" s="23"/>
      <c r="B8" s="23"/>
      <c r="C8" s="24"/>
      <c r="D8" s="25"/>
      <c r="E8" s="26"/>
      <c r="F8" s="27"/>
      <c r="G8" s="28"/>
      <c r="H8" s="29" t="str">
        <f t="shared" si="1"/>
        <v/>
      </c>
      <c r="I8" s="25"/>
      <c r="J8" s="28"/>
      <c r="K8" s="29" t="str">
        <f t="shared" si="2"/>
        <v/>
      </c>
      <c r="L8" s="30" t="str">
        <f t="shared" si="3"/>
        <v/>
      </c>
      <c r="M8" s="29" t="str">
        <f t="shared" si="0"/>
        <v/>
      </c>
    </row>
    <row r="9" spans="1:14" ht="14.4" thickBot="1" x14ac:dyDescent="0.35">
      <c r="A9" s="23"/>
      <c r="B9" s="23" t="s">
        <v>20</v>
      </c>
      <c r="C9" s="24"/>
      <c r="D9" s="25"/>
      <c r="E9" s="26"/>
      <c r="F9" s="27"/>
      <c r="G9" s="28"/>
      <c r="H9" s="29" t="str">
        <f t="shared" si="1"/>
        <v/>
      </c>
      <c r="I9" s="25"/>
      <c r="J9" s="28"/>
      <c r="K9" s="29" t="str">
        <f t="shared" si="2"/>
        <v/>
      </c>
      <c r="L9" s="30" t="str">
        <f t="shared" si="3"/>
        <v/>
      </c>
      <c r="M9" s="29" t="str">
        <f t="shared" si="0"/>
        <v/>
      </c>
    </row>
    <row r="10" spans="1:14" ht="14.4" thickBot="1" x14ac:dyDescent="0.35">
      <c r="A10" s="23"/>
      <c r="B10" s="23"/>
      <c r="C10" s="24"/>
      <c r="D10" s="25"/>
      <c r="E10" s="26"/>
      <c r="F10" s="27"/>
      <c r="G10" s="28"/>
      <c r="H10" s="29" t="str">
        <f t="shared" si="1"/>
        <v/>
      </c>
      <c r="I10" s="25"/>
      <c r="J10" s="28"/>
      <c r="K10" s="29" t="str">
        <f t="shared" si="2"/>
        <v/>
      </c>
      <c r="L10" s="30" t="str">
        <f t="shared" si="3"/>
        <v/>
      </c>
      <c r="M10" s="29" t="str">
        <f t="shared" si="0"/>
        <v/>
      </c>
      <c r="N10" s="34"/>
    </row>
    <row r="11" spans="1:14" ht="14.4" thickBot="1" x14ac:dyDescent="0.35">
      <c r="A11" s="23"/>
      <c r="B11" s="23"/>
      <c r="C11" s="24"/>
      <c r="D11" s="25"/>
      <c r="E11" s="26"/>
      <c r="F11" s="27"/>
      <c r="G11" s="28"/>
      <c r="H11" s="29" t="str">
        <f t="shared" si="1"/>
        <v/>
      </c>
      <c r="I11" s="25"/>
      <c r="J11" s="28"/>
      <c r="K11" s="29" t="str">
        <f t="shared" si="2"/>
        <v/>
      </c>
      <c r="L11" s="30" t="str">
        <f t="shared" si="3"/>
        <v/>
      </c>
      <c r="M11" s="29" t="str">
        <f t="shared" si="0"/>
        <v/>
      </c>
    </row>
    <row r="12" spans="1:14" ht="14.4" thickBot="1" x14ac:dyDescent="0.35">
      <c r="A12" s="23"/>
      <c r="B12" s="23"/>
      <c r="C12" s="24"/>
      <c r="D12" s="25"/>
      <c r="E12" s="26"/>
      <c r="F12" s="27"/>
      <c r="G12" s="28"/>
      <c r="H12" s="29" t="str">
        <f t="shared" si="1"/>
        <v/>
      </c>
      <c r="I12" s="25"/>
      <c r="J12" s="28"/>
      <c r="K12" s="29" t="str">
        <f t="shared" si="2"/>
        <v/>
      </c>
      <c r="L12" s="30" t="str">
        <f t="shared" si="3"/>
        <v/>
      </c>
      <c r="M12" s="29" t="str">
        <f t="shared" si="0"/>
        <v/>
      </c>
    </row>
    <row r="13" spans="1:14" ht="14.4" thickBot="1" x14ac:dyDescent="0.35">
      <c r="A13" s="23"/>
      <c r="B13" s="23"/>
      <c r="C13" s="24"/>
      <c r="D13" s="25"/>
      <c r="E13" s="26"/>
      <c r="F13" s="27"/>
      <c r="G13" s="28"/>
      <c r="H13" s="29" t="str">
        <f t="shared" si="1"/>
        <v/>
      </c>
      <c r="I13" s="25"/>
      <c r="J13" s="28"/>
      <c r="K13" s="29" t="str">
        <f t="shared" si="2"/>
        <v/>
      </c>
      <c r="L13" s="30" t="str">
        <f t="shared" si="3"/>
        <v/>
      </c>
      <c r="M13" s="29" t="str">
        <f t="shared" si="0"/>
        <v/>
      </c>
    </row>
    <row r="14" spans="1:14" ht="14.4" thickBot="1" x14ac:dyDescent="0.35">
      <c r="A14" s="23"/>
      <c r="B14" s="23"/>
      <c r="C14" s="24"/>
      <c r="D14" s="25"/>
      <c r="E14" s="26"/>
      <c r="F14" s="27"/>
      <c r="G14" s="28"/>
      <c r="H14" s="29" t="str">
        <f t="shared" si="1"/>
        <v/>
      </c>
      <c r="I14" s="25"/>
      <c r="J14" s="28"/>
      <c r="K14" s="29" t="str">
        <f t="shared" si="2"/>
        <v/>
      </c>
      <c r="L14" s="30" t="str">
        <f t="shared" si="3"/>
        <v/>
      </c>
      <c r="M14" s="29" t="str">
        <f t="shared" si="0"/>
        <v/>
      </c>
    </row>
    <row r="15" spans="1:14" ht="14.4" thickBot="1" x14ac:dyDescent="0.35">
      <c r="A15" s="23"/>
      <c r="B15" s="23"/>
      <c r="C15" s="24"/>
      <c r="D15" s="25"/>
      <c r="E15" s="26"/>
      <c r="F15" s="27"/>
      <c r="G15" s="28"/>
      <c r="H15" s="29" t="str">
        <f t="shared" si="1"/>
        <v/>
      </c>
      <c r="I15" s="25"/>
      <c r="J15" s="28"/>
      <c r="K15" s="29" t="str">
        <f t="shared" si="2"/>
        <v/>
      </c>
      <c r="L15" s="30" t="str">
        <f t="shared" si="3"/>
        <v/>
      </c>
      <c r="M15" s="29" t="str">
        <f t="shared" si="0"/>
        <v/>
      </c>
    </row>
    <row r="16" spans="1:14" ht="14.4" thickBot="1" x14ac:dyDescent="0.35">
      <c r="A16" s="23"/>
      <c r="B16" s="23"/>
      <c r="C16" s="24"/>
      <c r="D16" s="25"/>
      <c r="E16" s="26"/>
      <c r="F16" s="27"/>
      <c r="G16" s="28"/>
      <c r="H16" s="29" t="str">
        <f t="shared" si="1"/>
        <v/>
      </c>
      <c r="I16" s="25"/>
      <c r="J16" s="28"/>
      <c r="K16" s="29" t="str">
        <f t="shared" si="2"/>
        <v/>
      </c>
      <c r="L16" s="30" t="str">
        <f t="shared" si="3"/>
        <v/>
      </c>
      <c r="M16" s="29" t="str">
        <f t="shared" si="0"/>
        <v/>
      </c>
    </row>
    <row r="17" spans="1:13" ht="14.4" thickBot="1" x14ac:dyDescent="0.35">
      <c r="A17" s="23"/>
      <c r="B17" s="23"/>
      <c r="C17" s="24"/>
      <c r="D17" s="25"/>
      <c r="E17" s="26"/>
      <c r="F17" s="27"/>
      <c r="G17" s="28"/>
      <c r="H17" s="29" t="str">
        <f t="shared" si="1"/>
        <v/>
      </c>
      <c r="I17" s="25"/>
      <c r="J17" s="28"/>
      <c r="K17" s="29" t="str">
        <f t="shared" si="2"/>
        <v/>
      </c>
      <c r="L17" s="30" t="str">
        <f t="shared" si="3"/>
        <v/>
      </c>
      <c r="M17" s="29" t="str">
        <f t="shared" si="0"/>
        <v/>
      </c>
    </row>
    <row r="18" spans="1:13" ht="14.4" thickBot="1" x14ac:dyDescent="0.35">
      <c r="A18" s="23"/>
      <c r="B18" s="23"/>
      <c r="C18" s="24"/>
      <c r="D18" s="25"/>
      <c r="E18" s="26"/>
      <c r="F18" s="27"/>
      <c r="G18" s="28"/>
      <c r="H18" s="29" t="str">
        <f t="shared" si="1"/>
        <v/>
      </c>
      <c r="I18" s="25"/>
      <c r="J18" s="28"/>
      <c r="K18" s="29" t="str">
        <f t="shared" si="2"/>
        <v/>
      </c>
      <c r="L18" s="30" t="str">
        <f t="shared" si="3"/>
        <v/>
      </c>
      <c r="M18" s="29" t="str">
        <f t="shared" si="0"/>
        <v/>
      </c>
    </row>
    <row r="19" spans="1:13" ht="14.4" thickBot="1" x14ac:dyDescent="0.35">
      <c r="A19" s="23"/>
      <c r="B19" s="23"/>
      <c r="C19" s="24"/>
      <c r="D19" s="25"/>
      <c r="E19" s="26"/>
      <c r="F19" s="27"/>
      <c r="G19" s="28"/>
      <c r="H19" s="29" t="str">
        <f t="shared" si="1"/>
        <v/>
      </c>
      <c r="I19" s="25"/>
      <c r="J19" s="28"/>
      <c r="K19" s="29" t="str">
        <f t="shared" si="2"/>
        <v/>
      </c>
      <c r="L19" s="30" t="str">
        <f t="shared" si="3"/>
        <v/>
      </c>
      <c r="M19" s="29" t="str">
        <f t="shared" si="0"/>
        <v/>
      </c>
    </row>
    <row r="20" spans="1:13" ht="14.4" thickBot="1" x14ac:dyDescent="0.35">
      <c r="A20" s="23"/>
      <c r="B20" s="23"/>
      <c r="C20" s="24"/>
      <c r="D20" s="25"/>
      <c r="E20" s="26"/>
      <c r="F20" s="27"/>
      <c r="G20" s="28"/>
      <c r="H20" s="29" t="str">
        <f t="shared" si="1"/>
        <v/>
      </c>
      <c r="I20" s="25"/>
      <c r="J20" s="28"/>
      <c r="K20" s="29" t="str">
        <f t="shared" si="2"/>
        <v/>
      </c>
      <c r="L20" s="30" t="str">
        <f t="shared" si="3"/>
        <v/>
      </c>
      <c r="M20" s="29" t="str">
        <f t="shared" si="0"/>
        <v/>
      </c>
    </row>
    <row r="21" spans="1:13" ht="14.4" thickBot="1" x14ac:dyDescent="0.35">
      <c r="A21" s="23"/>
      <c r="B21" s="23"/>
      <c r="C21" s="24"/>
      <c r="D21" s="25"/>
      <c r="E21" s="26"/>
      <c r="F21" s="27"/>
      <c r="G21" s="28"/>
      <c r="H21" s="29" t="str">
        <f t="shared" si="1"/>
        <v/>
      </c>
      <c r="I21" s="25"/>
      <c r="J21" s="28"/>
      <c r="K21" s="29" t="str">
        <f t="shared" si="2"/>
        <v/>
      </c>
      <c r="L21" s="30" t="str">
        <f t="shared" si="3"/>
        <v/>
      </c>
      <c r="M21" s="29" t="str">
        <f t="shared" si="0"/>
        <v/>
      </c>
    </row>
    <row r="22" spans="1:13" ht="14.4" thickBot="1" x14ac:dyDescent="0.35">
      <c r="A22" s="23"/>
      <c r="B22" s="23"/>
      <c r="C22" s="24"/>
      <c r="D22" s="25"/>
      <c r="E22" s="26"/>
      <c r="F22" s="27"/>
      <c r="G22" s="28"/>
      <c r="H22" s="29" t="str">
        <f t="shared" si="1"/>
        <v/>
      </c>
      <c r="I22" s="25"/>
      <c r="J22" s="28"/>
      <c r="K22" s="29" t="str">
        <f t="shared" si="2"/>
        <v/>
      </c>
      <c r="L22" s="30" t="str">
        <f t="shared" si="3"/>
        <v/>
      </c>
      <c r="M22" s="29" t="str">
        <f t="shared" si="0"/>
        <v/>
      </c>
    </row>
    <row r="23" spans="1:13" ht="14.4" thickBot="1" x14ac:dyDescent="0.35">
      <c r="A23" s="23"/>
      <c r="B23" s="23"/>
      <c r="C23" s="24"/>
      <c r="D23" s="25"/>
      <c r="E23" s="26"/>
      <c r="F23" s="27"/>
      <c r="G23" s="28"/>
      <c r="H23" s="29" t="str">
        <f t="shared" si="1"/>
        <v/>
      </c>
      <c r="I23" s="25"/>
      <c r="J23" s="28"/>
      <c r="K23" s="29" t="str">
        <f t="shared" si="2"/>
        <v/>
      </c>
      <c r="L23" s="30" t="str">
        <f t="shared" si="3"/>
        <v/>
      </c>
      <c r="M23" s="29" t="str">
        <f t="shared" si="0"/>
        <v/>
      </c>
    </row>
    <row r="24" spans="1:13" ht="14.4" thickBot="1" x14ac:dyDescent="0.35">
      <c r="A24" s="23"/>
      <c r="B24" s="23"/>
      <c r="C24" s="24"/>
      <c r="D24" s="25"/>
      <c r="E24" s="26"/>
      <c r="F24" s="27"/>
      <c r="G24" s="28"/>
      <c r="H24" s="29" t="str">
        <f t="shared" si="1"/>
        <v/>
      </c>
      <c r="I24" s="25"/>
      <c r="J24" s="28"/>
      <c r="K24" s="29" t="str">
        <f t="shared" si="2"/>
        <v/>
      </c>
      <c r="L24" s="30" t="str">
        <f t="shared" si="3"/>
        <v/>
      </c>
      <c r="M24" s="29" t="str">
        <f t="shared" si="0"/>
        <v/>
      </c>
    </row>
    <row r="25" spans="1:13" ht="14.4" thickBot="1" x14ac:dyDescent="0.35">
      <c r="A25" s="23"/>
      <c r="B25" s="23"/>
      <c r="C25" s="24"/>
      <c r="D25" s="25"/>
      <c r="E25" s="26"/>
      <c r="F25" s="27"/>
      <c r="G25" s="28"/>
      <c r="H25" s="29" t="str">
        <f t="shared" si="1"/>
        <v/>
      </c>
      <c r="I25" s="25"/>
      <c r="J25" s="28"/>
      <c r="K25" s="29" t="str">
        <f t="shared" si="2"/>
        <v/>
      </c>
      <c r="L25" s="30" t="str">
        <f t="shared" si="3"/>
        <v/>
      </c>
      <c r="M25" s="29" t="str">
        <f t="shared" si="0"/>
        <v/>
      </c>
    </row>
    <row r="26" spans="1:13" ht="14.4" thickBot="1" x14ac:dyDescent="0.35">
      <c r="A26" s="23"/>
      <c r="B26" s="23"/>
      <c r="C26" s="24"/>
      <c r="D26" s="25"/>
      <c r="E26" s="26"/>
      <c r="F26" s="27"/>
      <c r="G26" s="28"/>
      <c r="H26" s="29" t="str">
        <f t="shared" si="1"/>
        <v/>
      </c>
      <c r="I26" s="25"/>
      <c r="J26" s="28"/>
      <c r="K26" s="29" t="str">
        <f t="shared" si="2"/>
        <v/>
      </c>
      <c r="L26" s="30" t="str">
        <f t="shared" si="3"/>
        <v/>
      </c>
      <c r="M26" s="29" t="str">
        <f t="shared" si="0"/>
        <v/>
      </c>
    </row>
    <row r="27" spans="1:13" ht="14.4" thickBot="1" x14ac:dyDescent="0.35">
      <c r="A27" s="23"/>
      <c r="B27" s="23"/>
      <c r="C27" s="24"/>
      <c r="D27" s="25"/>
      <c r="E27" s="26"/>
      <c r="F27" s="27"/>
      <c r="G27" s="28"/>
      <c r="H27" s="29" t="str">
        <f t="shared" si="1"/>
        <v/>
      </c>
      <c r="I27" s="25"/>
      <c r="J27" s="28"/>
      <c r="K27" s="29" t="str">
        <f t="shared" si="2"/>
        <v/>
      </c>
      <c r="L27" s="30" t="str">
        <f t="shared" si="3"/>
        <v/>
      </c>
      <c r="M27" s="29" t="str">
        <f t="shared" si="0"/>
        <v/>
      </c>
    </row>
    <row r="28" spans="1:13" ht="14.4" thickBot="1" x14ac:dyDescent="0.35">
      <c r="A28" s="23"/>
      <c r="B28" s="23"/>
      <c r="C28" s="24"/>
      <c r="D28" s="25"/>
      <c r="E28" s="26"/>
      <c r="F28" s="27"/>
      <c r="G28" s="28"/>
      <c r="H28" s="29" t="str">
        <f t="shared" si="1"/>
        <v/>
      </c>
      <c r="I28" s="25"/>
      <c r="J28" s="28"/>
      <c r="K28" s="29" t="str">
        <f t="shared" si="2"/>
        <v/>
      </c>
      <c r="L28" s="30" t="str">
        <f t="shared" si="3"/>
        <v/>
      </c>
      <c r="M28" s="29" t="str">
        <f t="shared" si="0"/>
        <v/>
      </c>
    </row>
    <row r="29" spans="1:13" ht="14.4" thickBot="1" x14ac:dyDescent="0.35">
      <c r="A29" s="23"/>
      <c r="B29" s="23"/>
      <c r="C29" s="24"/>
      <c r="D29" s="25"/>
      <c r="E29" s="26"/>
      <c r="F29" s="27"/>
      <c r="G29" s="28"/>
      <c r="H29" s="29" t="str">
        <f t="shared" si="1"/>
        <v/>
      </c>
      <c r="I29" s="25"/>
      <c r="J29" s="28"/>
      <c r="K29" s="29" t="str">
        <f t="shared" si="2"/>
        <v/>
      </c>
      <c r="L29" s="30" t="str">
        <f t="shared" si="3"/>
        <v/>
      </c>
      <c r="M29" s="29" t="str">
        <f t="shared" si="0"/>
        <v/>
      </c>
    </row>
    <row r="30" spans="1:13" ht="14.4" thickBot="1" x14ac:dyDescent="0.35">
      <c r="A30" s="23"/>
      <c r="B30" s="23"/>
      <c r="C30" s="24"/>
      <c r="D30" s="25"/>
      <c r="E30" s="26"/>
      <c r="F30" s="27"/>
      <c r="G30" s="28"/>
      <c r="H30" s="29" t="str">
        <f t="shared" si="1"/>
        <v/>
      </c>
      <c r="I30" s="25"/>
      <c r="J30" s="28"/>
      <c r="K30" s="29" t="str">
        <f t="shared" si="2"/>
        <v/>
      </c>
      <c r="L30" s="30" t="str">
        <f t="shared" si="3"/>
        <v/>
      </c>
      <c r="M30" s="29" t="str">
        <f t="shared" si="0"/>
        <v/>
      </c>
    </row>
    <row r="31" spans="1:13" ht="14.4" thickBot="1" x14ac:dyDescent="0.35">
      <c r="A31" s="23"/>
      <c r="B31" s="23"/>
      <c r="C31" s="24"/>
      <c r="D31" s="25"/>
      <c r="E31" s="26"/>
      <c r="F31" s="27"/>
      <c r="G31" s="28"/>
      <c r="H31" s="29" t="str">
        <f t="shared" si="1"/>
        <v/>
      </c>
      <c r="I31" s="25"/>
      <c r="J31" s="28"/>
      <c r="K31" s="29" t="str">
        <f t="shared" si="2"/>
        <v/>
      </c>
      <c r="L31" s="30" t="str">
        <f t="shared" si="3"/>
        <v/>
      </c>
      <c r="M31" s="29" t="str">
        <f t="shared" si="0"/>
        <v/>
      </c>
    </row>
    <row r="32" spans="1:13" ht="14.4" thickBot="1" x14ac:dyDescent="0.35">
      <c r="A32" s="23"/>
      <c r="B32" s="23"/>
      <c r="C32" s="24"/>
      <c r="D32" s="25"/>
      <c r="E32" s="26"/>
      <c r="F32" s="27"/>
      <c r="G32" s="28"/>
      <c r="H32" s="29" t="str">
        <f t="shared" si="1"/>
        <v/>
      </c>
      <c r="I32" s="25"/>
      <c r="J32" s="28"/>
      <c r="K32" s="29" t="str">
        <f t="shared" si="2"/>
        <v/>
      </c>
      <c r="L32" s="30" t="str">
        <f t="shared" si="3"/>
        <v/>
      </c>
      <c r="M32" s="29" t="str">
        <f t="shared" si="0"/>
        <v/>
      </c>
    </row>
    <row r="33" spans="1:13" ht="14.4" thickBot="1" x14ac:dyDescent="0.35">
      <c r="A33" s="23"/>
      <c r="B33" s="23"/>
      <c r="C33" s="24"/>
      <c r="D33" s="25"/>
      <c r="E33" s="26"/>
      <c r="F33" s="27"/>
      <c r="G33" s="28"/>
      <c r="H33" s="29" t="str">
        <f t="shared" si="1"/>
        <v/>
      </c>
      <c r="I33" s="25"/>
      <c r="J33" s="28"/>
      <c r="K33" s="29" t="str">
        <f t="shared" si="2"/>
        <v/>
      </c>
      <c r="L33" s="30" t="str">
        <f t="shared" si="3"/>
        <v/>
      </c>
      <c r="M33" s="29" t="str">
        <f t="shared" si="0"/>
        <v/>
      </c>
    </row>
    <row r="34" spans="1:13" ht="14.4" thickBot="1" x14ac:dyDescent="0.35">
      <c r="A34" s="23"/>
      <c r="B34" s="23"/>
      <c r="C34" s="24"/>
      <c r="D34" s="25"/>
      <c r="E34" s="26"/>
      <c r="F34" s="27"/>
      <c r="G34" s="28"/>
      <c r="H34" s="29" t="str">
        <f t="shared" si="1"/>
        <v/>
      </c>
      <c r="I34" s="25"/>
      <c r="J34" s="28"/>
      <c r="K34" s="29" t="str">
        <f t="shared" si="2"/>
        <v/>
      </c>
      <c r="L34" s="30" t="str">
        <f t="shared" si="3"/>
        <v/>
      </c>
      <c r="M34" s="29" t="str">
        <f t="shared" si="0"/>
        <v/>
      </c>
    </row>
    <row r="35" spans="1:13" ht="57.75" customHeight="1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6" t="str">
        <f>IF(OR(K5&lt;0,K6&lt;0,K7&lt;0,K8&lt;0,K9&lt;0,K10&lt;0,K11&lt;0,K12&lt;0,K13&lt;0,K14&lt;0,K15&lt;0,K16&lt;0,K17&lt;0,K18&lt;0,K19&lt;0,K20&lt;0,K21&lt;0,K22&lt;0,K23&lt;0,K24&lt;0,K25&lt;0,K26&lt;0,K27&lt;0,K28&lt;0,K29&lt;0,K30&lt;0,K31&lt;0,K32&lt;0,K33&lt;0,K34&lt;0),"O saldo a receber NEGATIVO refere-se aos descontos concedidos, portanto não existe mais nada a receber.",IF(OR(K5=0,K6=0,K7=0,K8=0,K9=0,K10=0,K11=0,K12=0,K13=0,K14=0,K15=0,K16=0,K17=0,K18=0,K19=0,K20=0,K21=0,K22=0,K23=0,K24=0,K25=0,K26=0,K27=0,K28=0,K29=0,K30=0,K31=0,K32=0,K33=0,K34=0),"SALDO ZERADO",""))</f>
        <v>SALDO ZERADO</v>
      </c>
      <c r="L35" s="37"/>
      <c r="M35" s="37"/>
    </row>
    <row r="36" spans="1:13" x14ac:dyDescent="0.25">
      <c r="A36" s="38" t="s">
        <v>21</v>
      </c>
      <c r="B36" s="38"/>
      <c r="C36" s="38"/>
      <c r="D36" s="38"/>
      <c r="E36" s="38"/>
      <c r="F36" s="38"/>
      <c r="G36" s="38"/>
      <c r="H36" s="38"/>
      <c r="I36" s="38"/>
      <c r="J36" s="38"/>
    </row>
    <row r="37" spans="1:13" x14ac:dyDescent="0.25">
      <c r="A37" s="38" t="s">
        <v>22</v>
      </c>
      <c r="B37" s="38"/>
      <c r="C37" s="38"/>
      <c r="D37" s="38"/>
      <c r="E37" s="38"/>
      <c r="F37" s="38"/>
      <c r="G37" s="38"/>
      <c r="H37" s="38"/>
      <c r="I37" s="38"/>
      <c r="J37" s="38"/>
    </row>
    <row r="38" spans="1:13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43" spans="1:13" x14ac:dyDescent="0.25">
      <c r="F43" s="39" t="str">
        <f>IF(OR('Ctas-Receber-Mes'!F5=[1]Fluxo_Mes1!$B$3,'Ctas-Receber-Mes'!F5=[1]Fluxo_Mes1!$D$3,(AND('Ctas-Receber-Mes'!F5&gt;[1]Fluxo_Mes1!$B$3,'Ctas-Receber-Mes'!F5&lt;[1]Fluxo_Mes1!$D$3))),G5,"")</f>
        <v/>
      </c>
      <c r="G43" s="39" t="str">
        <f>IF(OR('Ctas-Receber-Mes'!F5=[1]Fluxo_Mes1!$E$3,'Ctas-Receber-Mes'!F5=[1]Fluxo_Mes1!$G$3,(AND('Ctas-Receber-Mes'!F5&gt;[1]Fluxo_Mes1!$E$3,'Ctas-Receber-Mes'!F5&lt;[1]Fluxo_Mes1!$G$3))),G5,"")</f>
        <v/>
      </c>
      <c r="H43" s="39" t="str">
        <f>IF(OR('Ctas-Receber-Mes'!F5=[1]Fluxo_Mes1!$H$3,'Ctas-Receber-Mes'!F5=[1]Fluxo_Mes1!$J$3,(AND('Ctas-Receber-Mes'!F5&gt;[1]Fluxo_Mes1!$H$3,'Ctas-Receber-Mes'!F5&lt;[1]Fluxo_Mes1!$J$3))),G5,"")</f>
        <v/>
      </c>
      <c r="I43" s="39" t="str">
        <f>IF(OR('Ctas-Receber-Mes'!F5=[1]Fluxo_Mes1!$K$3,'Ctas-Receber-Mes'!F5=[1]Fluxo_Mes1!$M$3,(AND('Ctas-Receber-Mes'!F5&gt;[1]Fluxo_Mes1!$K$3,'Ctas-Receber-Mes'!F5&lt;[1]Fluxo_Mes1!$M$3))),G5,"")</f>
        <v/>
      </c>
      <c r="J43" s="39" t="str">
        <f>IF(OR('Ctas-Receber-Mes'!F5=[1]Fluxo_Mes1!$N$3,'Ctas-Receber-Mes'!F5=[1]Fluxo_Mes1!$P$3,(AND('Ctas-Receber-Mes'!F5&gt;[1]Fluxo_Mes1!$N$3,'Ctas-Receber-Mes'!F5&lt;[1]Fluxo_Mes1!$P$3))),G5,"")</f>
        <v/>
      </c>
    </row>
    <row r="44" spans="1:13" x14ac:dyDescent="0.25">
      <c r="F44" s="39" t="str">
        <f>IF(OR('Ctas-Receber-Mes'!F6=[1]Fluxo_Mes1!$B$3,'Ctas-Receber-Mes'!F6=[1]Fluxo_Mes1!$D$3,(AND('Ctas-Receber-Mes'!F6&gt;[1]Fluxo_Mes1!$B$3,'Ctas-Receber-Mes'!F6&lt;[1]Fluxo_Mes1!$D$3))),G6,"")</f>
        <v/>
      </c>
      <c r="G44" s="39" t="str">
        <f>IF(OR('Ctas-Receber-Mes'!F6=[1]Fluxo_Mes1!$E$3,'Ctas-Receber-Mes'!F6=[1]Fluxo_Mes1!$G$3,(AND('Ctas-Receber-Mes'!F6&gt;[1]Fluxo_Mes1!$E$3,'Ctas-Receber-Mes'!F6&lt;[1]Fluxo_Mes1!$G$3))),G6,"")</f>
        <v/>
      </c>
      <c r="H44" s="39" t="str">
        <f>IF(OR('Ctas-Receber-Mes'!F6=[1]Fluxo_Mes1!$H$3,'Ctas-Receber-Mes'!F6=[1]Fluxo_Mes1!$J$3,(AND('Ctas-Receber-Mes'!F6&gt;[1]Fluxo_Mes1!$H$3,'Ctas-Receber-Mes'!F6&lt;[1]Fluxo_Mes1!$J$3))),G6,"")</f>
        <v/>
      </c>
      <c r="I44" s="39" t="str">
        <f>IF(OR('Ctas-Receber-Mes'!F6=[1]Fluxo_Mes1!$K$3,'Ctas-Receber-Mes'!F6=[1]Fluxo_Mes1!$M$3,(AND('Ctas-Receber-Mes'!F6&gt;[1]Fluxo_Mes1!$K$3,'Ctas-Receber-Mes'!F6&lt;[1]Fluxo_Mes1!$M$3))),G6,"")</f>
        <v/>
      </c>
      <c r="J44" s="39" t="str">
        <f>IF(OR('Ctas-Receber-Mes'!F6=[1]Fluxo_Mes1!$N$3,'Ctas-Receber-Mes'!F6=[1]Fluxo_Mes1!$P$3,(AND('Ctas-Receber-Mes'!F6&gt;[1]Fluxo_Mes1!$N$3,'Ctas-Receber-Mes'!F6&lt;[1]Fluxo_Mes1!$P$3))),G6,"")</f>
        <v/>
      </c>
    </row>
    <row r="45" spans="1:13" x14ac:dyDescent="0.25">
      <c r="F45" s="39" t="str">
        <f>IF(OR('Ctas-Receber-Mes'!F7=[1]Fluxo_Mes1!$B$3,'Ctas-Receber-Mes'!F7=[1]Fluxo_Mes1!$D$3,(AND('Ctas-Receber-Mes'!F7&gt;[1]Fluxo_Mes1!$B$3,'Ctas-Receber-Mes'!F7&lt;[1]Fluxo_Mes1!$D$3))),G7,"")</f>
        <v/>
      </c>
      <c r="G45" s="39" t="str">
        <f>IF(OR('Ctas-Receber-Mes'!F7=[1]Fluxo_Mes1!$E$3,'Ctas-Receber-Mes'!F7=[1]Fluxo_Mes1!$G$3,(AND('Ctas-Receber-Mes'!F7&gt;[1]Fluxo_Mes1!$E$3,'Ctas-Receber-Mes'!F7&lt;[1]Fluxo_Mes1!$G$3))),G7,"")</f>
        <v/>
      </c>
      <c r="H45" s="39" t="str">
        <f>IF(OR('Ctas-Receber-Mes'!F7=[1]Fluxo_Mes1!$H$3,'Ctas-Receber-Mes'!F7=[1]Fluxo_Mes1!$J$3,(AND('Ctas-Receber-Mes'!F7&gt;[1]Fluxo_Mes1!$H$3,'Ctas-Receber-Mes'!F7&lt;[1]Fluxo_Mes1!$J$3))),G7,"")</f>
        <v/>
      </c>
      <c r="I45" s="39" t="str">
        <f>IF(OR('Ctas-Receber-Mes'!F7=[1]Fluxo_Mes1!$K$3,'Ctas-Receber-Mes'!F7=[1]Fluxo_Mes1!$M$3,(AND('Ctas-Receber-Mes'!F7&gt;[1]Fluxo_Mes1!$K$3,'Ctas-Receber-Mes'!F7&lt;[1]Fluxo_Mes1!$M$3))),G7,"")</f>
        <v/>
      </c>
      <c r="J45" s="39" t="str">
        <f>IF(OR('Ctas-Receber-Mes'!F7=[1]Fluxo_Mes1!$N$3,'Ctas-Receber-Mes'!F7=[1]Fluxo_Mes1!$P$3,(AND('Ctas-Receber-Mes'!F7&gt;[1]Fluxo_Mes1!$N$3,'Ctas-Receber-Mes'!F7&lt;[1]Fluxo_Mes1!$P$3))),G7,"")</f>
        <v/>
      </c>
    </row>
    <row r="46" spans="1:13" x14ac:dyDescent="0.25">
      <c r="F46" s="39" t="str">
        <f>IF(OR('Ctas-Receber-Mes'!F8=[1]Fluxo_Mes1!$B$3,'Ctas-Receber-Mes'!F8=[1]Fluxo_Mes1!$D$3,(AND('Ctas-Receber-Mes'!F8&gt;[1]Fluxo_Mes1!$B$3,'Ctas-Receber-Mes'!F8&lt;[1]Fluxo_Mes1!$D$3))),G8,"")</f>
        <v/>
      </c>
      <c r="G46" s="39" t="str">
        <f>IF(OR('Ctas-Receber-Mes'!F8=[1]Fluxo_Mes1!$E$3,'Ctas-Receber-Mes'!F8=[1]Fluxo_Mes1!$G$3,(AND('Ctas-Receber-Mes'!F8&gt;[1]Fluxo_Mes1!$E$3,'Ctas-Receber-Mes'!F8&lt;[1]Fluxo_Mes1!$G$3))),G8,"")</f>
        <v/>
      </c>
      <c r="H46" s="39" t="str">
        <f>IF(OR('Ctas-Receber-Mes'!F8=[1]Fluxo_Mes1!$H$3,'Ctas-Receber-Mes'!F8=[1]Fluxo_Mes1!$J$3,(AND('Ctas-Receber-Mes'!F8&gt;[1]Fluxo_Mes1!$H$3,'Ctas-Receber-Mes'!F8&lt;[1]Fluxo_Mes1!$J$3))),G8,"")</f>
        <v/>
      </c>
      <c r="I46" s="39" t="str">
        <f>IF(OR('Ctas-Receber-Mes'!F8=[1]Fluxo_Mes1!$K$3,'Ctas-Receber-Mes'!F8=[1]Fluxo_Mes1!$M$3,(AND('Ctas-Receber-Mes'!F8&gt;[1]Fluxo_Mes1!$K$3,'Ctas-Receber-Mes'!F8&lt;[1]Fluxo_Mes1!$M$3))),G8,"")</f>
        <v/>
      </c>
      <c r="J46" s="39" t="str">
        <f>IF(OR('Ctas-Receber-Mes'!F8=[1]Fluxo_Mes1!$N$3,'Ctas-Receber-Mes'!F8=[1]Fluxo_Mes1!$P$3,(AND('Ctas-Receber-Mes'!F8&gt;[1]Fluxo_Mes1!$N$3,'Ctas-Receber-Mes'!F8&lt;[1]Fluxo_Mes1!$P$3))),G8,"")</f>
        <v/>
      </c>
    </row>
    <row r="47" spans="1:13" x14ac:dyDescent="0.25">
      <c r="F47" s="39" t="str">
        <f>IF(OR('Ctas-Receber-Mes'!F9=[1]Fluxo_Mes1!$B$3,'Ctas-Receber-Mes'!F9=[1]Fluxo_Mes1!$D$3,(AND('Ctas-Receber-Mes'!F9&gt;[1]Fluxo_Mes1!$B$3,'Ctas-Receber-Mes'!F9&lt;[1]Fluxo_Mes1!$D$3))),G9,"")</f>
        <v/>
      </c>
      <c r="G47" s="39" t="str">
        <f>IF(OR('Ctas-Receber-Mes'!F9=[1]Fluxo_Mes1!$E$3,'Ctas-Receber-Mes'!F9=[1]Fluxo_Mes1!$G$3,(AND('Ctas-Receber-Mes'!F9&gt;[1]Fluxo_Mes1!$E$3,'Ctas-Receber-Mes'!F9&lt;[1]Fluxo_Mes1!$G$3))),G9,"")</f>
        <v/>
      </c>
      <c r="H47" s="39" t="str">
        <f>IF(OR('Ctas-Receber-Mes'!F9=[1]Fluxo_Mes1!$H$3,'Ctas-Receber-Mes'!F9=[1]Fluxo_Mes1!$J$3,(AND('Ctas-Receber-Mes'!F9&gt;[1]Fluxo_Mes1!$H$3,'Ctas-Receber-Mes'!F9&lt;[1]Fluxo_Mes1!$J$3))),G9,"")</f>
        <v/>
      </c>
      <c r="I47" s="39" t="str">
        <f>IF(OR('Ctas-Receber-Mes'!F9=[1]Fluxo_Mes1!$K$3,'Ctas-Receber-Mes'!F9=[1]Fluxo_Mes1!$M$3,(AND('Ctas-Receber-Mes'!F9&gt;[1]Fluxo_Mes1!$K$3,'Ctas-Receber-Mes'!F9&lt;[1]Fluxo_Mes1!$M$3))),G9,"")</f>
        <v/>
      </c>
      <c r="J47" s="39" t="str">
        <f>IF(OR('Ctas-Receber-Mes'!F9=[1]Fluxo_Mes1!$N$3,'Ctas-Receber-Mes'!F9=[1]Fluxo_Mes1!$P$3,(AND('Ctas-Receber-Mes'!F9&gt;[1]Fluxo_Mes1!$N$3,'Ctas-Receber-Mes'!F9&lt;[1]Fluxo_Mes1!$P$3))),G9,"")</f>
        <v/>
      </c>
    </row>
    <row r="48" spans="1:13" x14ac:dyDescent="0.25">
      <c r="F48" s="39" t="str">
        <f>IF(OR('Ctas-Receber-Mes'!F10=[1]Fluxo_Mes1!$B$3,'Ctas-Receber-Mes'!F10=[1]Fluxo_Mes1!$D$3,(AND('Ctas-Receber-Mes'!F10&gt;[1]Fluxo_Mes1!$B$3,'Ctas-Receber-Mes'!F10&lt;[1]Fluxo_Mes1!$D$3))),G10,"")</f>
        <v/>
      </c>
      <c r="G48" s="39" t="str">
        <f>IF(OR('Ctas-Receber-Mes'!F10=[1]Fluxo_Mes1!$E$3,'Ctas-Receber-Mes'!F10=[1]Fluxo_Mes1!$G$3,(AND('Ctas-Receber-Mes'!F10&gt;[1]Fluxo_Mes1!$E$3,'Ctas-Receber-Mes'!F10&lt;[1]Fluxo_Mes1!$G$3))),G10,"")</f>
        <v/>
      </c>
      <c r="H48" s="39" t="str">
        <f>IF(OR('Ctas-Receber-Mes'!F10=[1]Fluxo_Mes1!$H$3,'Ctas-Receber-Mes'!F10=[1]Fluxo_Mes1!$J$3,(AND('Ctas-Receber-Mes'!F10&gt;[1]Fluxo_Mes1!$H$3,'Ctas-Receber-Mes'!F10&lt;[1]Fluxo_Mes1!$J$3))),G10,"")</f>
        <v/>
      </c>
      <c r="I48" s="39" t="str">
        <f>IF(OR('Ctas-Receber-Mes'!F10=[1]Fluxo_Mes1!$K$3,'Ctas-Receber-Mes'!F10=[1]Fluxo_Mes1!$M$3,(AND('Ctas-Receber-Mes'!F10&gt;[1]Fluxo_Mes1!$K$3,'Ctas-Receber-Mes'!F10&lt;[1]Fluxo_Mes1!$M$3))),G10,"")</f>
        <v/>
      </c>
      <c r="J48" s="39" t="str">
        <f>IF(OR('Ctas-Receber-Mes'!F10=[1]Fluxo_Mes1!$N$3,'Ctas-Receber-Mes'!F10=[1]Fluxo_Mes1!$P$3,(AND('Ctas-Receber-Mes'!F10&gt;[1]Fluxo_Mes1!$N$3,'Ctas-Receber-Mes'!F10&lt;[1]Fluxo_Mes1!$P$3))),G10,"")</f>
        <v/>
      </c>
    </row>
    <row r="49" spans="6:10" x14ac:dyDescent="0.25">
      <c r="F49" s="39" t="str">
        <f>IF(OR('Ctas-Receber-Mes'!F11=[1]Fluxo_Mes1!$B$3,'Ctas-Receber-Mes'!F11=[1]Fluxo_Mes1!$D$3,(AND('Ctas-Receber-Mes'!F11&gt;[1]Fluxo_Mes1!$B$3,'Ctas-Receber-Mes'!F11&lt;[1]Fluxo_Mes1!$D$3))),G11,"")</f>
        <v/>
      </c>
      <c r="G49" s="39" t="str">
        <f>IF(OR('Ctas-Receber-Mes'!F11=[1]Fluxo_Mes1!$E$3,'Ctas-Receber-Mes'!F11=[1]Fluxo_Mes1!$G$3,(AND('Ctas-Receber-Mes'!F11&gt;[1]Fluxo_Mes1!$E$3,'Ctas-Receber-Mes'!F11&lt;[1]Fluxo_Mes1!$G$3))),G11,"")</f>
        <v/>
      </c>
      <c r="H49" s="39" t="str">
        <f>IF(OR('Ctas-Receber-Mes'!F11=[1]Fluxo_Mes1!$H$3,'Ctas-Receber-Mes'!F11=[1]Fluxo_Mes1!$J$3,(AND('Ctas-Receber-Mes'!F11&gt;[1]Fluxo_Mes1!$H$3,'Ctas-Receber-Mes'!F11&lt;[1]Fluxo_Mes1!$J$3))),G11,"")</f>
        <v/>
      </c>
      <c r="I49" s="39" t="str">
        <f>IF(OR('Ctas-Receber-Mes'!F11=[1]Fluxo_Mes1!$K$3,'Ctas-Receber-Mes'!F11=[1]Fluxo_Mes1!$M$3,(AND('Ctas-Receber-Mes'!F11&gt;[1]Fluxo_Mes1!$K$3,'Ctas-Receber-Mes'!F11&lt;[1]Fluxo_Mes1!$M$3))),G11,"")</f>
        <v/>
      </c>
      <c r="J49" s="39" t="str">
        <f>IF(OR('Ctas-Receber-Mes'!F11=[1]Fluxo_Mes1!$N$3,'Ctas-Receber-Mes'!F11=[1]Fluxo_Mes1!$P$3,(AND('Ctas-Receber-Mes'!F11&gt;[1]Fluxo_Mes1!$N$3,'Ctas-Receber-Mes'!F11&lt;[1]Fluxo_Mes1!$P$3))),G11,"")</f>
        <v/>
      </c>
    </row>
    <row r="50" spans="6:10" x14ac:dyDescent="0.25">
      <c r="F50" s="39" t="str">
        <f>IF(OR('Ctas-Receber-Mes'!F12=[1]Fluxo_Mes1!$B$3,'Ctas-Receber-Mes'!F12=[1]Fluxo_Mes1!$D$3,(AND('Ctas-Receber-Mes'!F12&gt;[1]Fluxo_Mes1!$B$3,'Ctas-Receber-Mes'!F12&lt;[1]Fluxo_Mes1!$D$3))),G12,"")</f>
        <v/>
      </c>
      <c r="G50" s="39" t="str">
        <f>IF(OR('Ctas-Receber-Mes'!F12=[1]Fluxo_Mes1!$E$3,'Ctas-Receber-Mes'!F12=[1]Fluxo_Mes1!$G$3,(AND('Ctas-Receber-Mes'!F12&gt;[1]Fluxo_Mes1!$E$3,'Ctas-Receber-Mes'!F12&lt;[1]Fluxo_Mes1!$G$3))),G12,"")</f>
        <v/>
      </c>
      <c r="H50" s="39" t="str">
        <f>IF(OR('Ctas-Receber-Mes'!F12=[1]Fluxo_Mes1!$H$3,'Ctas-Receber-Mes'!F12=[1]Fluxo_Mes1!$J$3,(AND('Ctas-Receber-Mes'!F12&gt;[1]Fluxo_Mes1!$H$3,'Ctas-Receber-Mes'!F12&lt;[1]Fluxo_Mes1!$J$3))),G12,"")</f>
        <v/>
      </c>
      <c r="I50" s="39" t="str">
        <f>IF(OR('Ctas-Receber-Mes'!F12=[1]Fluxo_Mes1!$K$3,'Ctas-Receber-Mes'!F12=[1]Fluxo_Mes1!$M$3,(AND('Ctas-Receber-Mes'!F12&gt;[1]Fluxo_Mes1!$K$3,'Ctas-Receber-Mes'!F12&lt;[1]Fluxo_Mes1!$M$3))),G12,"")</f>
        <v/>
      </c>
      <c r="J50" s="39" t="str">
        <f>IF(OR('Ctas-Receber-Mes'!F12=[1]Fluxo_Mes1!$N$3,'Ctas-Receber-Mes'!F12=[1]Fluxo_Mes1!$P$3,(AND('Ctas-Receber-Mes'!F12&gt;[1]Fluxo_Mes1!$N$3,'Ctas-Receber-Mes'!F12&lt;[1]Fluxo_Mes1!$P$3))),G12,"")</f>
        <v/>
      </c>
    </row>
    <row r="51" spans="6:10" x14ac:dyDescent="0.25">
      <c r="F51" s="39" t="str">
        <f>IF(OR('Ctas-Receber-Mes'!F13=[1]Fluxo_Mes1!$B$3,'Ctas-Receber-Mes'!F13=[1]Fluxo_Mes1!$D$3,(AND('Ctas-Receber-Mes'!F13&gt;[1]Fluxo_Mes1!$B$3,'Ctas-Receber-Mes'!F13&lt;[1]Fluxo_Mes1!$D$3))),G13,"")</f>
        <v/>
      </c>
      <c r="G51" s="39" t="str">
        <f>IF(OR('Ctas-Receber-Mes'!F13=[1]Fluxo_Mes1!$E$3,'Ctas-Receber-Mes'!F13=[1]Fluxo_Mes1!$G$3,(AND('Ctas-Receber-Mes'!F13&gt;[1]Fluxo_Mes1!$E$3,'Ctas-Receber-Mes'!F13&lt;[1]Fluxo_Mes1!$G$3))),G13,"")</f>
        <v/>
      </c>
      <c r="H51" s="39" t="str">
        <f>IF(OR('Ctas-Receber-Mes'!F13=[1]Fluxo_Mes1!$H$3,'Ctas-Receber-Mes'!F13=[1]Fluxo_Mes1!$J$3,(AND('Ctas-Receber-Mes'!F13&gt;[1]Fluxo_Mes1!$H$3,'Ctas-Receber-Mes'!F13&lt;[1]Fluxo_Mes1!$J$3))),G13,"")</f>
        <v/>
      </c>
      <c r="I51" s="39" t="str">
        <f>IF(OR('Ctas-Receber-Mes'!F13=[1]Fluxo_Mes1!$K$3,'Ctas-Receber-Mes'!F13=[1]Fluxo_Mes1!$M$3,(AND('Ctas-Receber-Mes'!F13&gt;[1]Fluxo_Mes1!$K$3,'Ctas-Receber-Mes'!F13&lt;[1]Fluxo_Mes1!$M$3))),G13,"")</f>
        <v/>
      </c>
      <c r="J51" s="39" t="str">
        <f>IF(OR('Ctas-Receber-Mes'!F13=[1]Fluxo_Mes1!$N$3,'Ctas-Receber-Mes'!F13=[1]Fluxo_Mes1!$P$3,(AND('Ctas-Receber-Mes'!F13&gt;[1]Fluxo_Mes1!$N$3,'Ctas-Receber-Mes'!F13&lt;[1]Fluxo_Mes1!$P$3))),G13,"")</f>
        <v/>
      </c>
    </row>
    <row r="52" spans="6:10" x14ac:dyDescent="0.25">
      <c r="F52" s="39" t="str">
        <f>IF(OR('Ctas-Receber-Mes'!F14=[1]Fluxo_Mes1!$B$3,'Ctas-Receber-Mes'!F14=[1]Fluxo_Mes1!$D$3,(AND('Ctas-Receber-Mes'!F14&gt;[1]Fluxo_Mes1!$B$3,'Ctas-Receber-Mes'!F14&lt;[1]Fluxo_Mes1!$D$3))),G14,"")</f>
        <v/>
      </c>
      <c r="G52" s="39" t="str">
        <f>IF(OR('Ctas-Receber-Mes'!F14=[1]Fluxo_Mes1!$E$3,'Ctas-Receber-Mes'!F14=[1]Fluxo_Mes1!$G$3,(AND('Ctas-Receber-Mes'!F14&gt;[1]Fluxo_Mes1!$E$3,'Ctas-Receber-Mes'!F14&lt;[1]Fluxo_Mes1!$G$3))),G14,"")</f>
        <v/>
      </c>
      <c r="H52" s="39" t="str">
        <f>IF(OR('Ctas-Receber-Mes'!F14=[1]Fluxo_Mes1!$H$3,'Ctas-Receber-Mes'!F14=[1]Fluxo_Mes1!$J$3,(AND('Ctas-Receber-Mes'!F14&gt;[1]Fluxo_Mes1!$H$3,'Ctas-Receber-Mes'!F14&lt;[1]Fluxo_Mes1!$J$3))),G14,"")</f>
        <v/>
      </c>
      <c r="I52" s="39" t="str">
        <f>IF(OR('Ctas-Receber-Mes'!F14=[1]Fluxo_Mes1!$K$3,'Ctas-Receber-Mes'!F14=[1]Fluxo_Mes1!$M$3,(AND('Ctas-Receber-Mes'!F14&gt;[1]Fluxo_Mes1!$K$3,'Ctas-Receber-Mes'!F14&lt;[1]Fluxo_Mes1!$M$3))),G14,"")</f>
        <v/>
      </c>
      <c r="J52" s="39" t="str">
        <f>IF(OR('Ctas-Receber-Mes'!F14=[1]Fluxo_Mes1!$N$3,'Ctas-Receber-Mes'!F14=[1]Fluxo_Mes1!$P$3,(AND('Ctas-Receber-Mes'!F14&gt;[1]Fluxo_Mes1!$N$3,'Ctas-Receber-Mes'!F14&lt;[1]Fluxo_Mes1!$P$3))),G14,"")</f>
        <v/>
      </c>
    </row>
    <row r="53" spans="6:10" x14ac:dyDescent="0.25">
      <c r="F53" s="39" t="str">
        <f>IF(OR('Ctas-Receber-Mes'!F15=[1]Fluxo_Mes1!$B$3,'Ctas-Receber-Mes'!F15=[1]Fluxo_Mes1!$D$3,(AND('Ctas-Receber-Mes'!F15&gt;[1]Fluxo_Mes1!$B$3,'Ctas-Receber-Mes'!F15&lt;[1]Fluxo_Mes1!$D$3))),G15,"")</f>
        <v/>
      </c>
      <c r="G53" s="39" t="str">
        <f>IF(OR('Ctas-Receber-Mes'!F15=[1]Fluxo_Mes1!$E$3,'Ctas-Receber-Mes'!F15=[1]Fluxo_Mes1!$G$3,(AND('Ctas-Receber-Mes'!F15&gt;[1]Fluxo_Mes1!$E$3,'Ctas-Receber-Mes'!F15&lt;[1]Fluxo_Mes1!$G$3))),G15,"")</f>
        <v/>
      </c>
      <c r="H53" s="39" t="str">
        <f>IF(OR('Ctas-Receber-Mes'!F15=[1]Fluxo_Mes1!$H$3,'Ctas-Receber-Mes'!F15=[1]Fluxo_Mes1!$J$3,(AND('Ctas-Receber-Mes'!F15&gt;[1]Fluxo_Mes1!$H$3,'Ctas-Receber-Mes'!F15&lt;[1]Fluxo_Mes1!$J$3))),G15,"")</f>
        <v/>
      </c>
      <c r="I53" s="39" t="str">
        <f>IF(OR('Ctas-Receber-Mes'!F15=[1]Fluxo_Mes1!$K$3,'Ctas-Receber-Mes'!F15=[1]Fluxo_Mes1!$M$3,(AND('Ctas-Receber-Mes'!F15&gt;[1]Fluxo_Mes1!$K$3,'Ctas-Receber-Mes'!F15&lt;[1]Fluxo_Mes1!$M$3))),G15,"")</f>
        <v/>
      </c>
      <c r="J53" s="39" t="str">
        <f>IF(OR('Ctas-Receber-Mes'!F15=[1]Fluxo_Mes1!$N$3,'Ctas-Receber-Mes'!F15=[1]Fluxo_Mes1!$P$3,(AND('Ctas-Receber-Mes'!F15&gt;[1]Fluxo_Mes1!$N$3,'Ctas-Receber-Mes'!F15&lt;[1]Fluxo_Mes1!$P$3))),G15,"")</f>
        <v/>
      </c>
    </row>
    <row r="54" spans="6:10" x14ac:dyDescent="0.25">
      <c r="F54" s="39" t="str">
        <f>IF(OR('Ctas-Receber-Mes'!F16=[1]Fluxo_Mes1!$B$3,'Ctas-Receber-Mes'!F16=[1]Fluxo_Mes1!$D$3,(AND('Ctas-Receber-Mes'!F16&gt;[1]Fluxo_Mes1!$B$3,'Ctas-Receber-Mes'!F16&lt;[1]Fluxo_Mes1!$D$3))),G16,"")</f>
        <v/>
      </c>
      <c r="G54" s="39" t="str">
        <f>IF(OR('Ctas-Receber-Mes'!F16=[1]Fluxo_Mes1!$E$3,'Ctas-Receber-Mes'!F16=[1]Fluxo_Mes1!$G$3,(AND('Ctas-Receber-Mes'!F16&gt;[1]Fluxo_Mes1!$E$3,'Ctas-Receber-Mes'!F16&lt;[1]Fluxo_Mes1!$G$3))),G16,"")</f>
        <v/>
      </c>
      <c r="H54" s="39" t="str">
        <f>IF(OR('Ctas-Receber-Mes'!F16=[1]Fluxo_Mes1!$H$3,'Ctas-Receber-Mes'!F16=[1]Fluxo_Mes1!$J$3,(AND('Ctas-Receber-Mes'!F16&gt;[1]Fluxo_Mes1!$H$3,'Ctas-Receber-Mes'!F16&lt;[1]Fluxo_Mes1!$J$3))),G16,"")</f>
        <v/>
      </c>
      <c r="I54" s="39" t="str">
        <f>IF(OR('Ctas-Receber-Mes'!F16=[1]Fluxo_Mes1!$K$3,'Ctas-Receber-Mes'!F16=[1]Fluxo_Mes1!$M$3,(AND('Ctas-Receber-Mes'!F16&gt;[1]Fluxo_Mes1!$K$3,'Ctas-Receber-Mes'!F16&lt;[1]Fluxo_Mes1!$M$3))),G16,"")</f>
        <v/>
      </c>
      <c r="J54" s="39" t="str">
        <f>IF(OR('Ctas-Receber-Mes'!F16=[1]Fluxo_Mes1!$N$3,'Ctas-Receber-Mes'!F16=[1]Fluxo_Mes1!$P$3,(AND('Ctas-Receber-Mes'!F16&gt;[1]Fluxo_Mes1!$N$3,'Ctas-Receber-Mes'!F16&lt;[1]Fluxo_Mes1!$P$3))),G16,"")</f>
        <v/>
      </c>
    </row>
    <row r="55" spans="6:10" x14ac:dyDescent="0.25">
      <c r="F55" s="39" t="str">
        <f>IF(OR('Ctas-Receber-Mes'!F17=[1]Fluxo_Mes1!$B$3,'Ctas-Receber-Mes'!F17=[1]Fluxo_Mes1!$D$3,(AND('Ctas-Receber-Mes'!F17&gt;[1]Fluxo_Mes1!$B$3,'Ctas-Receber-Mes'!F17&lt;[1]Fluxo_Mes1!$D$3))),G17,"")</f>
        <v/>
      </c>
      <c r="G55" s="39" t="str">
        <f>IF(OR('Ctas-Receber-Mes'!F17=[1]Fluxo_Mes1!$E$3,'Ctas-Receber-Mes'!F17=[1]Fluxo_Mes1!$G$3,(AND('Ctas-Receber-Mes'!F17&gt;[1]Fluxo_Mes1!$E$3,'Ctas-Receber-Mes'!F17&lt;[1]Fluxo_Mes1!$G$3))),G17,"")</f>
        <v/>
      </c>
      <c r="H55" s="39" t="str">
        <f>IF(OR('Ctas-Receber-Mes'!F17=[1]Fluxo_Mes1!$H$3,'Ctas-Receber-Mes'!F17=[1]Fluxo_Mes1!$J$3,(AND('Ctas-Receber-Mes'!F17&gt;[1]Fluxo_Mes1!$H$3,'Ctas-Receber-Mes'!F17&lt;[1]Fluxo_Mes1!$J$3))),G17,"")</f>
        <v/>
      </c>
      <c r="I55" s="39" t="str">
        <f>IF(OR('Ctas-Receber-Mes'!F17=[1]Fluxo_Mes1!$K$3,'Ctas-Receber-Mes'!F17=[1]Fluxo_Mes1!$M$3,(AND('Ctas-Receber-Mes'!F17&gt;[1]Fluxo_Mes1!$K$3,'Ctas-Receber-Mes'!F17&lt;[1]Fluxo_Mes1!$M$3))),G17,"")</f>
        <v/>
      </c>
      <c r="J55" s="39" t="str">
        <f>IF(OR('Ctas-Receber-Mes'!F17=[1]Fluxo_Mes1!$N$3,'Ctas-Receber-Mes'!F17=[1]Fluxo_Mes1!$P$3,(AND('Ctas-Receber-Mes'!F17&gt;[1]Fluxo_Mes1!$N$3,'Ctas-Receber-Mes'!F17&lt;[1]Fluxo_Mes1!$P$3))),G17,"")</f>
        <v/>
      </c>
    </row>
    <row r="56" spans="6:10" x14ac:dyDescent="0.25">
      <c r="F56" s="39" t="str">
        <f>IF(OR('Ctas-Receber-Mes'!F18=[1]Fluxo_Mes1!$B$3,'Ctas-Receber-Mes'!F18=[1]Fluxo_Mes1!$D$3,(AND('Ctas-Receber-Mes'!F18&gt;[1]Fluxo_Mes1!$B$3,'Ctas-Receber-Mes'!F18&lt;[1]Fluxo_Mes1!$D$3))),G18,"")</f>
        <v/>
      </c>
      <c r="G56" s="39" t="str">
        <f>IF(OR('Ctas-Receber-Mes'!F18=[1]Fluxo_Mes1!$E$3,'Ctas-Receber-Mes'!F18=[1]Fluxo_Mes1!$G$3,(AND('Ctas-Receber-Mes'!F18&gt;[1]Fluxo_Mes1!$E$3,'Ctas-Receber-Mes'!F18&lt;[1]Fluxo_Mes1!$G$3))),G18,"")</f>
        <v/>
      </c>
      <c r="H56" s="39" t="str">
        <f>IF(OR('Ctas-Receber-Mes'!F18=[1]Fluxo_Mes1!$H$3,'Ctas-Receber-Mes'!F18=[1]Fluxo_Mes1!$J$3,(AND('Ctas-Receber-Mes'!F18&gt;[1]Fluxo_Mes1!$H$3,'Ctas-Receber-Mes'!F18&lt;[1]Fluxo_Mes1!$J$3))),G18,"")</f>
        <v/>
      </c>
      <c r="I56" s="39" t="str">
        <f>IF(OR('Ctas-Receber-Mes'!F18=[1]Fluxo_Mes1!$K$3,'Ctas-Receber-Mes'!F18=[1]Fluxo_Mes1!$M$3,(AND('Ctas-Receber-Mes'!F18&gt;[1]Fluxo_Mes1!$K$3,'Ctas-Receber-Mes'!F18&lt;[1]Fluxo_Mes1!$M$3))),G18,"")</f>
        <v/>
      </c>
      <c r="J56" s="39" t="str">
        <f>IF(OR('Ctas-Receber-Mes'!F18=[1]Fluxo_Mes1!$N$3,'Ctas-Receber-Mes'!F18=[1]Fluxo_Mes1!$P$3,(AND('Ctas-Receber-Mes'!F18&gt;[1]Fluxo_Mes1!$N$3,'Ctas-Receber-Mes'!F18&lt;[1]Fluxo_Mes1!$P$3))),G18,"")</f>
        <v/>
      </c>
    </row>
    <row r="57" spans="6:10" x14ac:dyDescent="0.25">
      <c r="F57" s="39" t="str">
        <f>IF(OR('Ctas-Receber-Mes'!F19=[1]Fluxo_Mes1!$B$3,'Ctas-Receber-Mes'!F19=[1]Fluxo_Mes1!$D$3,(AND('Ctas-Receber-Mes'!F19&gt;[1]Fluxo_Mes1!$B$3,'Ctas-Receber-Mes'!F19&lt;[1]Fluxo_Mes1!$D$3))),G19,"")</f>
        <v/>
      </c>
      <c r="G57" s="39" t="str">
        <f>IF(OR('Ctas-Receber-Mes'!F19=[1]Fluxo_Mes1!$E$3,'Ctas-Receber-Mes'!F19=[1]Fluxo_Mes1!$G$3,(AND('Ctas-Receber-Mes'!F19&gt;[1]Fluxo_Mes1!$E$3,'Ctas-Receber-Mes'!F19&lt;[1]Fluxo_Mes1!$G$3))),G19,"")</f>
        <v/>
      </c>
      <c r="H57" s="39" t="str">
        <f>IF(OR('Ctas-Receber-Mes'!F19=[1]Fluxo_Mes1!$H$3,'Ctas-Receber-Mes'!F19=[1]Fluxo_Mes1!$J$3,(AND('Ctas-Receber-Mes'!F19&gt;[1]Fluxo_Mes1!$H$3,'Ctas-Receber-Mes'!F19&lt;[1]Fluxo_Mes1!$J$3))),G19,"")</f>
        <v/>
      </c>
      <c r="I57" s="39" t="str">
        <f>IF(OR('Ctas-Receber-Mes'!F19=[1]Fluxo_Mes1!$K$3,'Ctas-Receber-Mes'!F19=[1]Fluxo_Mes1!$M$3,(AND('Ctas-Receber-Mes'!F19&gt;[1]Fluxo_Mes1!$K$3,'Ctas-Receber-Mes'!F19&lt;[1]Fluxo_Mes1!$M$3))),G19,"")</f>
        <v/>
      </c>
      <c r="J57" s="39" t="str">
        <f>IF(OR('Ctas-Receber-Mes'!F19=[1]Fluxo_Mes1!$N$3,'Ctas-Receber-Mes'!F19=[1]Fluxo_Mes1!$P$3,(AND('Ctas-Receber-Mes'!F19&gt;[1]Fluxo_Mes1!$N$3,'Ctas-Receber-Mes'!F19&lt;[1]Fluxo_Mes1!$P$3))),G19,"")</f>
        <v/>
      </c>
    </row>
    <row r="58" spans="6:10" x14ac:dyDescent="0.25">
      <c r="F58" s="39" t="str">
        <f>IF(OR('Ctas-Receber-Mes'!F20=[1]Fluxo_Mes1!$B$3,'Ctas-Receber-Mes'!F20=[1]Fluxo_Mes1!$D$3,(AND('Ctas-Receber-Mes'!F20&gt;[1]Fluxo_Mes1!$B$3,'Ctas-Receber-Mes'!F20&lt;[1]Fluxo_Mes1!$D$3))),G20,"")</f>
        <v/>
      </c>
      <c r="G58" s="39" t="str">
        <f>IF(OR('Ctas-Receber-Mes'!F20=[1]Fluxo_Mes1!$E$3,'Ctas-Receber-Mes'!F20=[1]Fluxo_Mes1!$G$3,(AND('Ctas-Receber-Mes'!F20&gt;[1]Fluxo_Mes1!$E$3,'Ctas-Receber-Mes'!F20&lt;[1]Fluxo_Mes1!$G$3))),G20,"")</f>
        <v/>
      </c>
      <c r="H58" s="39" t="str">
        <f>IF(OR('Ctas-Receber-Mes'!F20=[1]Fluxo_Mes1!$H$3,'Ctas-Receber-Mes'!F20=[1]Fluxo_Mes1!$J$3,(AND('Ctas-Receber-Mes'!F20&gt;[1]Fluxo_Mes1!$H$3,'Ctas-Receber-Mes'!F20&lt;[1]Fluxo_Mes1!$J$3))),G20,"")</f>
        <v/>
      </c>
      <c r="I58" s="39" t="str">
        <f>IF(OR('Ctas-Receber-Mes'!F20=[1]Fluxo_Mes1!$K$3,'Ctas-Receber-Mes'!F20=[1]Fluxo_Mes1!$M$3,(AND('Ctas-Receber-Mes'!F20&gt;[1]Fluxo_Mes1!$K$3,'Ctas-Receber-Mes'!F20&lt;[1]Fluxo_Mes1!$M$3))),G20,"")</f>
        <v/>
      </c>
      <c r="J58" s="39" t="str">
        <f>IF(OR('Ctas-Receber-Mes'!F20=[1]Fluxo_Mes1!$N$3,'Ctas-Receber-Mes'!F20=[1]Fluxo_Mes1!$P$3,(AND('Ctas-Receber-Mes'!F20&gt;[1]Fluxo_Mes1!$N$3,'Ctas-Receber-Mes'!F20&lt;[1]Fluxo_Mes1!$P$3))),G20,"")</f>
        <v/>
      </c>
    </row>
    <row r="59" spans="6:10" x14ac:dyDescent="0.25">
      <c r="F59" s="39" t="str">
        <f>IF(OR('Ctas-Receber-Mes'!F21=[1]Fluxo_Mes1!$B$3,'Ctas-Receber-Mes'!F21=[1]Fluxo_Mes1!$D$3,(AND('Ctas-Receber-Mes'!F21&gt;[1]Fluxo_Mes1!$B$3,'Ctas-Receber-Mes'!F21&lt;[1]Fluxo_Mes1!$D$3))),G21,"")</f>
        <v/>
      </c>
      <c r="G59" s="39" t="str">
        <f>IF(OR('Ctas-Receber-Mes'!F21=[1]Fluxo_Mes1!$E$3,'Ctas-Receber-Mes'!F21=[1]Fluxo_Mes1!$G$3,(AND('Ctas-Receber-Mes'!F21&gt;[1]Fluxo_Mes1!$E$3,'Ctas-Receber-Mes'!F21&lt;[1]Fluxo_Mes1!$G$3))),G21,"")</f>
        <v/>
      </c>
      <c r="H59" s="39" t="str">
        <f>IF(OR('Ctas-Receber-Mes'!F21=[1]Fluxo_Mes1!$H$3,'Ctas-Receber-Mes'!F21=[1]Fluxo_Mes1!$J$3,(AND('Ctas-Receber-Mes'!F21&gt;[1]Fluxo_Mes1!$H$3,'Ctas-Receber-Mes'!F21&lt;[1]Fluxo_Mes1!$J$3))),G21,"")</f>
        <v/>
      </c>
      <c r="I59" s="39" t="str">
        <f>IF(OR('Ctas-Receber-Mes'!F21=[1]Fluxo_Mes1!$K$3,'Ctas-Receber-Mes'!F21=[1]Fluxo_Mes1!$M$3,(AND('Ctas-Receber-Mes'!F21&gt;[1]Fluxo_Mes1!$K$3,'Ctas-Receber-Mes'!F21&lt;[1]Fluxo_Mes1!$M$3))),G21,"")</f>
        <v/>
      </c>
      <c r="J59" s="39" t="str">
        <f>IF(OR('Ctas-Receber-Mes'!F21=[1]Fluxo_Mes1!$N$3,'Ctas-Receber-Mes'!F21=[1]Fluxo_Mes1!$P$3,(AND('Ctas-Receber-Mes'!F21&gt;[1]Fluxo_Mes1!$N$3,'Ctas-Receber-Mes'!F21&lt;[1]Fluxo_Mes1!$P$3))),G21,"")</f>
        <v/>
      </c>
    </row>
    <row r="60" spans="6:10" x14ac:dyDescent="0.25">
      <c r="F60" s="39" t="str">
        <f>IF(OR('Ctas-Receber-Mes'!F22=[1]Fluxo_Mes1!$B$3,'Ctas-Receber-Mes'!F22=[1]Fluxo_Mes1!$D$3,(AND('Ctas-Receber-Mes'!F22&gt;[1]Fluxo_Mes1!$B$3,'Ctas-Receber-Mes'!F22&lt;[1]Fluxo_Mes1!$D$3))),G22,"")</f>
        <v/>
      </c>
      <c r="G60" s="39" t="str">
        <f>IF(OR('Ctas-Receber-Mes'!F22=[1]Fluxo_Mes1!$E$3,'Ctas-Receber-Mes'!F22=[1]Fluxo_Mes1!$G$3,(AND('Ctas-Receber-Mes'!F22&gt;[1]Fluxo_Mes1!$E$3,'Ctas-Receber-Mes'!F22&lt;[1]Fluxo_Mes1!$G$3))),G22,"")</f>
        <v/>
      </c>
      <c r="H60" s="39" t="str">
        <f>IF(OR('Ctas-Receber-Mes'!F22=[1]Fluxo_Mes1!$H$3,'Ctas-Receber-Mes'!F22=[1]Fluxo_Mes1!$J$3,(AND('Ctas-Receber-Mes'!F22&gt;[1]Fluxo_Mes1!$H$3,'Ctas-Receber-Mes'!F22&lt;[1]Fluxo_Mes1!$J$3))),G22,"")</f>
        <v/>
      </c>
      <c r="I60" s="39" t="str">
        <f>IF(OR('Ctas-Receber-Mes'!F22=[1]Fluxo_Mes1!$K$3,'Ctas-Receber-Mes'!F22=[1]Fluxo_Mes1!$M$3,(AND('Ctas-Receber-Mes'!F22&gt;[1]Fluxo_Mes1!$K$3,'Ctas-Receber-Mes'!F22&lt;[1]Fluxo_Mes1!$M$3))),G22,"")</f>
        <v/>
      </c>
      <c r="J60" s="39" t="str">
        <f>IF(OR('Ctas-Receber-Mes'!F22=[1]Fluxo_Mes1!$N$3,'Ctas-Receber-Mes'!F22=[1]Fluxo_Mes1!$P$3,(AND('Ctas-Receber-Mes'!F22&gt;[1]Fluxo_Mes1!$N$3,'Ctas-Receber-Mes'!F22&lt;[1]Fluxo_Mes1!$P$3))),G22,"")</f>
        <v/>
      </c>
    </row>
    <row r="61" spans="6:10" x14ac:dyDescent="0.25">
      <c r="F61" s="39" t="str">
        <f>IF(OR('Ctas-Receber-Mes'!F23=[1]Fluxo_Mes1!$B$3,'Ctas-Receber-Mes'!F23=[1]Fluxo_Mes1!$D$3,(AND('Ctas-Receber-Mes'!F23&gt;[1]Fluxo_Mes1!$B$3,'Ctas-Receber-Mes'!F23&lt;[1]Fluxo_Mes1!$D$3))),G23,"")</f>
        <v/>
      </c>
      <c r="G61" s="39" t="str">
        <f>IF(OR('Ctas-Receber-Mes'!F23=[1]Fluxo_Mes1!$E$3,'Ctas-Receber-Mes'!F23=[1]Fluxo_Mes1!$G$3,(AND('Ctas-Receber-Mes'!F23&gt;[1]Fluxo_Mes1!$E$3,'Ctas-Receber-Mes'!F23&lt;[1]Fluxo_Mes1!$G$3))),G23,"")</f>
        <v/>
      </c>
      <c r="H61" s="39" t="str">
        <f>IF(OR('Ctas-Receber-Mes'!F23=[1]Fluxo_Mes1!$H$3,'Ctas-Receber-Mes'!F23=[1]Fluxo_Mes1!$J$3,(AND('Ctas-Receber-Mes'!F23&gt;[1]Fluxo_Mes1!$H$3,'Ctas-Receber-Mes'!F23&lt;[1]Fluxo_Mes1!$J$3))),G23,"")</f>
        <v/>
      </c>
      <c r="I61" s="39" t="str">
        <f>IF(OR('Ctas-Receber-Mes'!F23=[1]Fluxo_Mes1!$K$3,'Ctas-Receber-Mes'!F23=[1]Fluxo_Mes1!$M$3,(AND('Ctas-Receber-Mes'!F23&gt;[1]Fluxo_Mes1!$K$3,'Ctas-Receber-Mes'!F23&lt;[1]Fluxo_Mes1!$M$3))),G23,"")</f>
        <v/>
      </c>
      <c r="J61" s="39" t="str">
        <f>IF(OR('Ctas-Receber-Mes'!F23=[1]Fluxo_Mes1!$N$3,'Ctas-Receber-Mes'!F23=[1]Fluxo_Mes1!$P$3,(AND('Ctas-Receber-Mes'!F23&gt;[1]Fluxo_Mes1!$N$3,'Ctas-Receber-Mes'!F23&lt;[1]Fluxo_Mes1!$P$3))),G23,"")</f>
        <v/>
      </c>
    </row>
    <row r="62" spans="6:10" x14ac:dyDescent="0.25">
      <c r="F62" s="39" t="str">
        <f>IF(OR('Ctas-Receber-Mes'!F24=[1]Fluxo_Mes1!$B$3,'Ctas-Receber-Mes'!F24=[1]Fluxo_Mes1!$D$3,(AND('Ctas-Receber-Mes'!F24&gt;[1]Fluxo_Mes1!$B$3,'Ctas-Receber-Mes'!F24&lt;[1]Fluxo_Mes1!$D$3))),G24,"")</f>
        <v/>
      </c>
      <c r="G62" s="39" t="str">
        <f>IF(OR('Ctas-Receber-Mes'!F24=[1]Fluxo_Mes1!$E$3,'Ctas-Receber-Mes'!F24=[1]Fluxo_Mes1!$G$3,(AND('Ctas-Receber-Mes'!F24&gt;[1]Fluxo_Mes1!$E$3,'Ctas-Receber-Mes'!F24&lt;[1]Fluxo_Mes1!$G$3))),G24,"")</f>
        <v/>
      </c>
      <c r="H62" s="39" t="str">
        <f>IF(OR('Ctas-Receber-Mes'!F24=[1]Fluxo_Mes1!$H$3,'Ctas-Receber-Mes'!F24=[1]Fluxo_Mes1!$J$3,(AND('Ctas-Receber-Mes'!F24&gt;[1]Fluxo_Mes1!$H$3,'Ctas-Receber-Mes'!F24&lt;[1]Fluxo_Mes1!$J$3))),G24,"")</f>
        <v/>
      </c>
      <c r="I62" s="39" t="str">
        <f>IF(OR('Ctas-Receber-Mes'!F24=[1]Fluxo_Mes1!$K$3,'Ctas-Receber-Mes'!F24=[1]Fluxo_Mes1!$M$3,(AND('Ctas-Receber-Mes'!F24&gt;[1]Fluxo_Mes1!$K$3,'Ctas-Receber-Mes'!F24&lt;[1]Fluxo_Mes1!$M$3))),G24,"")</f>
        <v/>
      </c>
      <c r="J62" s="39" t="str">
        <f>IF(OR('Ctas-Receber-Mes'!F24=[1]Fluxo_Mes1!$N$3,'Ctas-Receber-Mes'!F24=[1]Fluxo_Mes1!$P$3,(AND('Ctas-Receber-Mes'!F24&gt;[1]Fluxo_Mes1!$N$3,'Ctas-Receber-Mes'!F24&lt;[1]Fluxo_Mes1!$P$3))),G24,"")</f>
        <v/>
      </c>
    </row>
    <row r="63" spans="6:10" x14ac:dyDescent="0.25">
      <c r="F63" s="39" t="str">
        <f>IF(OR('Ctas-Receber-Mes'!F25=[1]Fluxo_Mes1!$B$3,'Ctas-Receber-Mes'!F25=[1]Fluxo_Mes1!$D$3,(AND('Ctas-Receber-Mes'!F25&gt;[1]Fluxo_Mes1!$B$3,'Ctas-Receber-Mes'!F25&lt;[1]Fluxo_Mes1!$D$3))),G25,"")</f>
        <v/>
      </c>
      <c r="G63" s="39" t="str">
        <f>IF(OR('Ctas-Receber-Mes'!F25=[1]Fluxo_Mes1!$E$3,'Ctas-Receber-Mes'!F25=[1]Fluxo_Mes1!$G$3,(AND('Ctas-Receber-Mes'!F25&gt;[1]Fluxo_Mes1!$E$3,'Ctas-Receber-Mes'!F25&lt;[1]Fluxo_Mes1!$G$3))),G25,"")</f>
        <v/>
      </c>
      <c r="H63" s="39" t="str">
        <f>IF(OR('Ctas-Receber-Mes'!F25=[1]Fluxo_Mes1!$H$3,'Ctas-Receber-Mes'!F25=[1]Fluxo_Mes1!$J$3,(AND('Ctas-Receber-Mes'!F25&gt;[1]Fluxo_Mes1!$H$3,'Ctas-Receber-Mes'!F25&lt;[1]Fluxo_Mes1!$J$3))),G25,"")</f>
        <v/>
      </c>
      <c r="I63" s="39" t="str">
        <f>IF(OR('Ctas-Receber-Mes'!F25=[1]Fluxo_Mes1!$K$3,'Ctas-Receber-Mes'!F25=[1]Fluxo_Mes1!$M$3,(AND('Ctas-Receber-Mes'!F25&gt;[1]Fluxo_Mes1!$K$3,'Ctas-Receber-Mes'!F25&lt;[1]Fluxo_Mes1!$M$3))),G25,"")</f>
        <v/>
      </c>
      <c r="J63" s="39" t="str">
        <f>IF(OR('Ctas-Receber-Mes'!F25=[1]Fluxo_Mes1!$N$3,'Ctas-Receber-Mes'!F25=[1]Fluxo_Mes1!$P$3,(AND('Ctas-Receber-Mes'!F25&gt;[1]Fluxo_Mes1!$N$3,'Ctas-Receber-Mes'!F25&lt;[1]Fluxo_Mes1!$P$3))),G25,"")</f>
        <v/>
      </c>
    </row>
    <row r="64" spans="6:10" x14ac:dyDescent="0.25">
      <c r="F64" s="39" t="str">
        <f>IF(OR('Ctas-Receber-Mes'!F26=[1]Fluxo_Mes1!$B$3,'Ctas-Receber-Mes'!F26=[1]Fluxo_Mes1!$D$3,(AND('Ctas-Receber-Mes'!F26&gt;[1]Fluxo_Mes1!$B$3,'Ctas-Receber-Mes'!F26&lt;[1]Fluxo_Mes1!$D$3))),G26,"")</f>
        <v/>
      </c>
      <c r="G64" s="39" t="str">
        <f>IF(OR('Ctas-Receber-Mes'!F26=[1]Fluxo_Mes1!$E$3,'Ctas-Receber-Mes'!F26=[1]Fluxo_Mes1!$G$3,(AND('Ctas-Receber-Mes'!F26&gt;[1]Fluxo_Mes1!$E$3,'Ctas-Receber-Mes'!F26&lt;[1]Fluxo_Mes1!$G$3))),G26,"")</f>
        <v/>
      </c>
      <c r="H64" s="39" t="str">
        <f>IF(OR('Ctas-Receber-Mes'!F26=[1]Fluxo_Mes1!$H$3,'Ctas-Receber-Mes'!F26=[1]Fluxo_Mes1!$J$3,(AND('Ctas-Receber-Mes'!F26&gt;[1]Fluxo_Mes1!$H$3,'Ctas-Receber-Mes'!F26&lt;[1]Fluxo_Mes1!$J$3))),G26,"")</f>
        <v/>
      </c>
      <c r="I64" s="39" t="str">
        <f>IF(OR('Ctas-Receber-Mes'!F26=[1]Fluxo_Mes1!$K$3,'Ctas-Receber-Mes'!F26=[1]Fluxo_Mes1!$M$3,(AND('Ctas-Receber-Mes'!F26&gt;[1]Fluxo_Mes1!$K$3,'Ctas-Receber-Mes'!F26&lt;[1]Fluxo_Mes1!$M$3))),G26,"")</f>
        <v/>
      </c>
      <c r="J64" s="39" t="str">
        <f>IF(OR('Ctas-Receber-Mes'!F26=[1]Fluxo_Mes1!$N$3,'Ctas-Receber-Mes'!F26=[1]Fluxo_Mes1!$P$3,(AND('Ctas-Receber-Mes'!F26&gt;[1]Fluxo_Mes1!$N$3,'Ctas-Receber-Mes'!F26&lt;[1]Fluxo_Mes1!$P$3))),G26,"")</f>
        <v/>
      </c>
    </row>
    <row r="65" spans="6:10" x14ac:dyDescent="0.25">
      <c r="F65" s="39" t="str">
        <f>IF(OR('Ctas-Receber-Mes'!F27=[1]Fluxo_Mes1!$B$3,'Ctas-Receber-Mes'!F27=[1]Fluxo_Mes1!$D$3,(AND('Ctas-Receber-Mes'!F27&gt;[1]Fluxo_Mes1!$B$3,'Ctas-Receber-Mes'!F27&lt;[1]Fluxo_Mes1!$D$3))),G27,"")</f>
        <v/>
      </c>
      <c r="G65" s="39" t="str">
        <f>IF(OR('Ctas-Receber-Mes'!F27=[1]Fluxo_Mes1!$E$3,'Ctas-Receber-Mes'!F27=[1]Fluxo_Mes1!$G$3,(AND('Ctas-Receber-Mes'!F27&gt;[1]Fluxo_Mes1!$E$3,'Ctas-Receber-Mes'!F27&lt;[1]Fluxo_Mes1!$G$3))),G27,"")</f>
        <v/>
      </c>
      <c r="H65" s="39" t="str">
        <f>IF(OR('Ctas-Receber-Mes'!F27=[1]Fluxo_Mes1!$H$3,'Ctas-Receber-Mes'!F27=[1]Fluxo_Mes1!$J$3,(AND('Ctas-Receber-Mes'!F27&gt;[1]Fluxo_Mes1!$H$3,'Ctas-Receber-Mes'!F27&lt;[1]Fluxo_Mes1!$J$3))),G27,"")</f>
        <v/>
      </c>
      <c r="I65" s="39" t="str">
        <f>IF(OR('Ctas-Receber-Mes'!F27=[1]Fluxo_Mes1!$K$3,'Ctas-Receber-Mes'!F27=[1]Fluxo_Mes1!$M$3,(AND('Ctas-Receber-Mes'!F27&gt;[1]Fluxo_Mes1!$K$3,'Ctas-Receber-Mes'!F27&lt;[1]Fluxo_Mes1!$M$3))),G27,"")</f>
        <v/>
      </c>
      <c r="J65" s="39" t="str">
        <f>IF(OR('Ctas-Receber-Mes'!F27=[1]Fluxo_Mes1!$N$3,'Ctas-Receber-Mes'!F27=[1]Fluxo_Mes1!$P$3,(AND('Ctas-Receber-Mes'!F27&gt;[1]Fluxo_Mes1!$N$3,'Ctas-Receber-Mes'!F27&lt;[1]Fluxo_Mes1!$P$3))),G27,"")</f>
        <v/>
      </c>
    </row>
    <row r="66" spans="6:10" x14ac:dyDescent="0.25">
      <c r="F66" s="39" t="str">
        <f>IF(OR('Ctas-Receber-Mes'!F28=[1]Fluxo_Mes1!$B$3,'Ctas-Receber-Mes'!F28=[1]Fluxo_Mes1!$D$3,(AND('Ctas-Receber-Mes'!F28&gt;[1]Fluxo_Mes1!$B$3,'Ctas-Receber-Mes'!F28&lt;[1]Fluxo_Mes1!$D$3))),G28,"")</f>
        <v/>
      </c>
      <c r="G66" s="39" t="str">
        <f>IF(OR('Ctas-Receber-Mes'!F28=[1]Fluxo_Mes1!$E$3,'Ctas-Receber-Mes'!F28=[1]Fluxo_Mes1!$G$3,(AND('Ctas-Receber-Mes'!F28&gt;[1]Fluxo_Mes1!$E$3,'Ctas-Receber-Mes'!F28&lt;[1]Fluxo_Mes1!$G$3))),G28,"")</f>
        <v/>
      </c>
      <c r="H66" s="39" t="str">
        <f>IF(OR('Ctas-Receber-Mes'!F28=[1]Fluxo_Mes1!$H$3,'Ctas-Receber-Mes'!F28=[1]Fluxo_Mes1!$J$3,(AND('Ctas-Receber-Mes'!F28&gt;[1]Fluxo_Mes1!$H$3,'Ctas-Receber-Mes'!F28&lt;[1]Fluxo_Mes1!$J$3))),G28,"")</f>
        <v/>
      </c>
      <c r="I66" s="39" t="str">
        <f>IF(OR('Ctas-Receber-Mes'!F28=[1]Fluxo_Mes1!$K$3,'Ctas-Receber-Mes'!F28=[1]Fluxo_Mes1!$M$3,(AND('Ctas-Receber-Mes'!F28&gt;[1]Fluxo_Mes1!$K$3,'Ctas-Receber-Mes'!F28&lt;[1]Fluxo_Mes1!$M$3))),G28,"")</f>
        <v/>
      </c>
      <c r="J66" s="39" t="str">
        <f>IF(OR('Ctas-Receber-Mes'!F28=[1]Fluxo_Mes1!$N$3,'Ctas-Receber-Mes'!F28=[1]Fluxo_Mes1!$P$3,(AND('Ctas-Receber-Mes'!F28&gt;[1]Fluxo_Mes1!$N$3,'Ctas-Receber-Mes'!F28&lt;[1]Fluxo_Mes1!$P$3))),G28,"")</f>
        <v/>
      </c>
    </row>
    <row r="67" spans="6:10" x14ac:dyDescent="0.25">
      <c r="F67" s="39" t="str">
        <f>IF(OR('Ctas-Receber-Mes'!F29=[1]Fluxo_Mes1!$B$3,'Ctas-Receber-Mes'!F29=[1]Fluxo_Mes1!$D$3,(AND('Ctas-Receber-Mes'!F29&gt;[1]Fluxo_Mes1!$B$3,'Ctas-Receber-Mes'!F29&lt;[1]Fluxo_Mes1!$D$3))),G29,"")</f>
        <v/>
      </c>
      <c r="G67" s="39" t="str">
        <f>IF(OR('Ctas-Receber-Mes'!F29=[1]Fluxo_Mes1!$E$3,'Ctas-Receber-Mes'!F29=[1]Fluxo_Mes1!$G$3,(AND('Ctas-Receber-Mes'!F29&gt;[1]Fluxo_Mes1!$E$3,'Ctas-Receber-Mes'!F29&lt;[1]Fluxo_Mes1!$G$3))),G29,"")</f>
        <v/>
      </c>
      <c r="H67" s="39" t="str">
        <f>IF(OR('Ctas-Receber-Mes'!F29=[1]Fluxo_Mes1!$H$3,'Ctas-Receber-Mes'!F29=[1]Fluxo_Mes1!$J$3,(AND('Ctas-Receber-Mes'!F29&gt;[1]Fluxo_Mes1!$H$3,'Ctas-Receber-Mes'!F29&lt;[1]Fluxo_Mes1!$J$3))),G29,"")</f>
        <v/>
      </c>
      <c r="I67" s="39" t="str">
        <f>IF(OR('Ctas-Receber-Mes'!F29=[1]Fluxo_Mes1!$K$3,'Ctas-Receber-Mes'!F29=[1]Fluxo_Mes1!$M$3,(AND('Ctas-Receber-Mes'!F29&gt;[1]Fluxo_Mes1!$K$3,'Ctas-Receber-Mes'!F29&lt;[1]Fluxo_Mes1!$M$3))),G29,"")</f>
        <v/>
      </c>
      <c r="J67" s="39" t="str">
        <f>IF(OR('Ctas-Receber-Mes'!F29=[1]Fluxo_Mes1!$N$3,'Ctas-Receber-Mes'!F29=[1]Fluxo_Mes1!$P$3,(AND('Ctas-Receber-Mes'!F29&gt;[1]Fluxo_Mes1!$N$3,'Ctas-Receber-Mes'!F29&lt;[1]Fluxo_Mes1!$P$3))),G29,"")</f>
        <v/>
      </c>
    </row>
    <row r="68" spans="6:10" x14ac:dyDescent="0.25">
      <c r="F68" s="39" t="str">
        <f>IF(OR('Ctas-Receber-Mes'!F30=[1]Fluxo_Mes1!$B$3,'Ctas-Receber-Mes'!F30=[1]Fluxo_Mes1!$D$3,(AND('Ctas-Receber-Mes'!F30&gt;[1]Fluxo_Mes1!$B$3,'Ctas-Receber-Mes'!F30&lt;[1]Fluxo_Mes1!$D$3))),G30,"")</f>
        <v/>
      </c>
      <c r="G68" s="39" t="str">
        <f>IF(OR('Ctas-Receber-Mes'!F30=[1]Fluxo_Mes1!$E$3,'Ctas-Receber-Mes'!F30=[1]Fluxo_Mes1!$G$3,(AND('Ctas-Receber-Mes'!F30&gt;[1]Fluxo_Mes1!$E$3,'Ctas-Receber-Mes'!F30&lt;[1]Fluxo_Mes1!$G$3))),G30,"")</f>
        <v/>
      </c>
      <c r="H68" s="39" t="str">
        <f>IF(OR('Ctas-Receber-Mes'!F30=[1]Fluxo_Mes1!$H$3,'Ctas-Receber-Mes'!F30=[1]Fluxo_Mes1!$J$3,(AND('Ctas-Receber-Mes'!F30&gt;[1]Fluxo_Mes1!$H$3,'Ctas-Receber-Mes'!F30&lt;[1]Fluxo_Mes1!$J$3))),G30,"")</f>
        <v/>
      </c>
      <c r="I68" s="39" t="str">
        <f>IF(OR('Ctas-Receber-Mes'!F30=[1]Fluxo_Mes1!$K$3,'Ctas-Receber-Mes'!F30=[1]Fluxo_Mes1!$M$3,(AND('Ctas-Receber-Mes'!F30&gt;[1]Fluxo_Mes1!$K$3,'Ctas-Receber-Mes'!F30&lt;[1]Fluxo_Mes1!$M$3))),G30,"")</f>
        <v/>
      </c>
      <c r="J68" s="39" t="str">
        <f>IF(OR('Ctas-Receber-Mes'!F30=[1]Fluxo_Mes1!$N$3,'Ctas-Receber-Mes'!F30=[1]Fluxo_Mes1!$P$3,(AND('Ctas-Receber-Mes'!F30&gt;[1]Fluxo_Mes1!$N$3,'Ctas-Receber-Mes'!F30&lt;[1]Fluxo_Mes1!$P$3))),G30,"")</f>
        <v/>
      </c>
    </row>
    <row r="69" spans="6:10" x14ac:dyDescent="0.25">
      <c r="F69" s="39" t="str">
        <f>IF(OR('Ctas-Receber-Mes'!F31=[1]Fluxo_Mes1!$B$3,'Ctas-Receber-Mes'!F31=[1]Fluxo_Mes1!$D$3,(AND('Ctas-Receber-Mes'!F31&gt;[1]Fluxo_Mes1!$B$3,'Ctas-Receber-Mes'!F31&lt;[1]Fluxo_Mes1!$D$3))),G31,"")</f>
        <v/>
      </c>
      <c r="G69" s="39" t="str">
        <f>IF(OR('Ctas-Receber-Mes'!F31=[1]Fluxo_Mes1!$E$3,'Ctas-Receber-Mes'!F31=[1]Fluxo_Mes1!$G$3,(AND('Ctas-Receber-Mes'!F31&gt;[1]Fluxo_Mes1!$E$3,'Ctas-Receber-Mes'!F31&lt;[1]Fluxo_Mes1!$G$3))),G31,"")</f>
        <v/>
      </c>
      <c r="H69" s="39" t="str">
        <f>IF(OR('Ctas-Receber-Mes'!F31=[1]Fluxo_Mes1!$H$3,'Ctas-Receber-Mes'!F31=[1]Fluxo_Mes1!$J$3,(AND('Ctas-Receber-Mes'!F31&gt;[1]Fluxo_Mes1!$H$3,'Ctas-Receber-Mes'!F31&lt;[1]Fluxo_Mes1!$J$3))),G31,"")</f>
        <v/>
      </c>
      <c r="I69" s="39" t="str">
        <f>IF(OR('Ctas-Receber-Mes'!F31=[1]Fluxo_Mes1!$K$3,'Ctas-Receber-Mes'!F31=[1]Fluxo_Mes1!$M$3,(AND('Ctas-Receber-Mes'!F31&gt;[1]Fluxo_Mes1!$K$3,'Ctas-Receber-Mes'!F31&lt;[1]Fluxo_Mes1!$M$3))),G31,"")</f>
        <v/>
      </c>
      <c r="J69" s="39" t="str">
        <f>IF(OR('Ctas-Receber-Mes'!F31=[1]Fluxo_Mes1!$N$3,'Ctas-Receber-Mes'!F31=[1]Fluxo_Mes1!$P$3,(AND('Ctas-Receber-Mes'!F31&gt;[1]Fluxo_Mes1!$N$3,'Ctas-Receber-Mes'!F31&lt;[1]Fluxo_Mes1!$P$3))),G31,"")</f>
        <v/>
      </c>
    </row>
    <row r="70" spans="6:10" x14ac:dyDescent="0.25">
      <c r="F70" s="39" t="str">
        <f>IF(OR('Ctas-Receber-Mes'!F32=[1]Fluxo_Mes1!$B$3,'Ctas-Receber-Mes'!F32=[1]Fluxo_Mes1!$D$3,(AND('Ctas-Receber-Mes'!F32&gt;[1]Fluxo_Mes1!$B$3,'Ctas-Receber-Mes'!F32&lt;[1]Fluxo_Mes1!$D$3))),G32,"")</f>
        <v/>
      </c>
      <c r="G70" s="39" t="str">
        <f>IF(OR('Ctas-Receber-Mes'!F32=[1]Fluxo_Mes1!$E$3,'Ctas-Receber-Mes'!F32=[1]Fluxo_Mes1!$G$3,(AND('Ctas-Receber-Mes'!F32&gt;[1]Fluxo_Mes1!$E$3,'Ctas-Receber-Mes'!F32&lt;[1]Fluxo_Mes1!$G$3))),G32,"")</f>
        <v/>
      </c>
      <c r="H70" s="39" t="str">
        <f>IF(OR('Ctas-Receber-Mes'!F32=[1]Fluxo_Mes1!$H$3,'Ctas-Receber-Mes'!F32=[1]Fluxo_Mes1!$J$3,(AND('Ctas-Receber-Mes'!F32&gt;[1]Fluxo_Mes1!$H$3,'Ctas-Receber-Mes'!F32&lt;[1]Fluxo_Mes1!$J$3))),G32,"")</f>
        <v/>
      </c>
      <c r="I70" s="39" t="str">
        <f>IF(OR('Ctas-Receber-Mes'!F32=[1]Fluxo_Mes1!$K$3,'Ctas-Receber-Mes'!F32=[1]Fluxo_Mes1!$M$3,(AND('Ctas-Receber-Mes'!F32&gt;[1]Fluxo_Mes1!$K$3,'Ctas-Receber-Mes'!F32&lt;[1]Fluxo_Mes1!$M$3))),G32,"")</f>
        <v/>
      </c>
      <c r="J70" s="39" t="str">
        <f>IF(OR('Ctas-Receber-Mes'!F32=[1]Fluxo_Mes1!$N$3,'Ctas-Receber-Mes'!F32=[1]Fluxo_Mes1!$P$3,(AND('Ctas-Receber-Mes'!F32&gt;[1]Fluxo_Mes1!$N$3,'Ctas-Receber-Mes'!F32&lt;[1]Fluxo_Mes1!$P$3))),G32,"")</f>
        <v/>
      </c>
    </row>
    <row r="71" spans="6:10" x14ac:dyDescent="0.25">
      <c r="F71" s="39" t="str">
        <f>IF(OR('Ctas-Receber-Mes'!F33=[1]Fluxo_Mes1!$B$3,'Ctas-Receber-Mes'!F33=[1]Fluxo_Mes1!$D$3,(AND('Ctas-Receber-Mes'!F33&gt;[1]Fluxo_Mes1!$B$3,'Ctas-Receber-Mes'!F33&lt;[1]Fluxo_Mes1!$D$3))),G33,"")</f>
        <v/>
      </c>
      <c r="G71" s="39" t="str">
        <f>IF(OR('Ctas-Receber-Mes'!F33=[1]Fluxo_Mes1!$E$3,'Ctas-Receber-Mes'!F33=[1]Fluxo_Mes1!$G$3,(AND('Ctas-Receber-Mes'!F33&gt;[1]Fluxo_Mes1!$E$3,'Ctas-Receber-Mes'!F33&lt;[1]Fluxo_Mes1!$G$3))),G33,"")</f>
        <v/>
      </c>
      <c r="H71" s="39" t="str">
        <f>IF(OR('Ctas-Receber-Mes'!F33=[1]Fluxo_Mes1!$H$3,'Ctas-Receber-Mes'!F33=[1]Fluxo_Mes1!$J$3,(AND('Ctas-Receber-Mes'!F33&gt;[1]Fluxo_Mes1!$H$3,'Ctas-Receber-Mes'!F33&lt;[1]Fluxo_Mes1!$J$3))),G33,"")</f>
        <v/>
      </c>
      <c r="I71" s="39" t="str">
        <f>IF(OR('Ctas-Receber-Mes'!F33=[1]Fluxo_Mes1!$K$3,'Ctas-Receber-Mes'!F33=[1]Fluxo_Mes1!$M$3,(AND('Ctas-Receber-Mes'!F33&gt;[1]Fluxo_Mes1!$K$3,'Ctas-Receber-Mes'!F33&lt;[1]Fluxo_Mes1!$M$3))),G33,"")</f>
        <v/>
      </c>
      <c r="J71" s="39" t="str">
        <f>IF(OR('Ctas-Receber-Mes'!F33=[1]Fluxo_Mes1!$N$3,'Ctas-Receber-Mes'!F33=[1]Fluxo_Mes1!$P$3,(AND('Ctas-Receber-Mes'!F33&gt;[1]Fluxo_Mes1!$N$3,'Ctas-Receber-Mes'!F33&lt;[1]Fluxo_Mes1!$P$3))),G33,"")</f>
        <v/>
      </c>
    </row>
    <row r="72" spans="6:10" x14ac:dyDescent="0.25">
      <c r="F72" s="39" t="str">
        <f>IF(OR('Ctas-Receber-Mes'!F34=[1]Fluxo_Mes1!$B$3,'Ctas-Receber-Mes'!F34=[1]Fluxo_Mes1!$D$3,(AND('Ctas-Receber-Mes'!F34&gt;[1]Fluxo_Mes1!$B$3,'Ctas-Receber-Mes'!F34&lt;[1]Fluxo_Mes1!$D$3))),G34,"")</f>
        <v/>
      </c>
      <c r="G72" s="39" t="str">
        <f>IF(OR('Ctas-Receber-Mes'!F34=[1]Fluxo_Mes1!$E$3,'Ctas-Receber-Mes'!F34=[1]Fluxo_Mes1!$G$3,(AND('Ctas-Receber-Mes'!F34&gt;[1]Fluxo_Mes1!$E$3,'Ctas-Receber-Mes'!F34&lt;[1]Fluxo_Mes1!$G$3))),G34,"")</f>
        <v/>
      </c>
      <c r="H72" s="39" t="str">
        <f>IF(OR('Ctas-Receber-Mes'!F34=[1]Fluxo_Mes1!$H$3,'Ctas-Receber-Mes'!F34=[1]Fluxo_Mes1!$J$3,(AND('Ctas-Receber-Mes'!F34&gt;[1]Fluxo_Mes1!$H$3,'Ctas-Receber-Mes'!F34&lt;[1]Fluxo_Mes1!$J$3))),G34,"")</f>
        <v/>
      </c>
      <c r="I72" s="39" t="str">
        <f>IF(OR('Ctas-Receber-Mes'!F34=[1]Fluxo_Mes1!$K$3,'Ctas-Receber-Mes'!F34=[1]Fluxo_Mes1!$M$3,(AND('Ctas-Receber-Mes'!F34&gt;[1]Fluxo_Mes1!$K$3,'Ctas-Receber-Mes'!F34&lt;[1]Fluxo_Mes1!$M$3))),G34,"")</f>
        <v/>
      </c>
      <c r="J72" s="39" t="str">
        <f>IF(OR('Ctas-Receber-Mes'!F34=[1]Fluxo_Mes1!$N$3,'Ctas-Receber-Mes'!F34=[1]Fluxo_Mes1!$P$3,(AND('Ctas-Receber-Mes'!F34&gt;[1]Fluxo_Mes1!$N$3,'Ctas-Receber-Mes'!F34&lt;[1]Fluxo_Mes1!$P$3))),G34,"")</f>
        <v/>
      </c>
    </row>
    <row r="73" spans="6:10" x14ac:dyDescent="0.25">
      <c r="F73" s="39">
        <f>SUM(F43:F72)</f>
        <v>0</v>
      </c>
      <c r="G73" s="39">
        <f>SUM(G43:G72)</f>
        <v>0</v>
      </c>
      <c r="H73" s="39">
        <f>SUM(H43:H72)</f>
        <v>0</v>
      </c>
      <c r="I73" s="39">
        <f>SUM(I43:I72)</f>
        <v>0</v>
      </c>
      <c r="J73" s="39">
        <f>SUM(J43:J72)</f>
        <v>0</v>
      </c>
    </row>
  </sheetData>
  <mergeCells count="1">
    <mergeCell ref="L1:M1"/>
  </mergeCells>
  <printOptions horizontalCentered="1"/>
  <pageMargins left="0.39370078740157483" right="0.19685039370078741" top="0.78740157480314965" bottom="0.19685039370078741" header="0.51181102362204722" footer="0.51181102362204722"/>
  <pageSetup paperSize="9" scale="8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Ctas-Receber-Mes</vt:lpstr>
      <vt:lpstr>'Ctas-Receber-Mes'!Area_de_impressao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2018-12-06T18:13:50Z</dcterms:created>
  <dcterms:modified xsi:type="dcterms:W3CDTF">2020-10-12T12:14:59Z</dcterms:modified>
</cp:coreProperties>
</file>