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4CE879A1-C705-4DF3-B84A-06F17DB4580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FC-Direto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1" l="1"/>
  <c r="E41" i="1"/>
  <c r="E42" i="1"/>
  <c r="E27" i="1"/>
  <c r="E19" i="1"/>
  <c r="E13" i="1"/>
  <c r="E9" i="1" s="1"/>
  <c r="E36" i="1" s="1"/>
  <c r="G40" i="1" s="1"/>
  <c r="C4" i="1"/>
  <c r="C3" i="1"/>
  <c r="C2" i="1"/>
  <c r="A1" i="1"/>
  <c r="H38" i="1" l="1"/>
  <c r="E40" i="1"/>
  <c r="H40" i="1" s="1"/>
</calcChain>
</file>

<file path=xl/sharedStrings.xml><?xml version="1.0" encoding="utf-8"?>
<sst xmlns="http://schemas.openxmlformats.org/spreadsheetml/2006/main" count="38" uniqueCount="38">
  <si>
    <t xml:space="preserve">CNPJ.: </t>
  </si>
  <si>
    <t>Período</t>
  </si>
  <si>
    <t>31.12.20X2</t>
  </si>
  <si>
    <t>FLUXO DE CAIXA DA ATIVIDADE OPERACIONAL</t>
  </si>
  <si>
    <t>FLUXO DE CAIXA DA ATIVIDADE DE INVESTIMENTOS</t>
  </si>
  <si>
    <t xml:space="preserve"> </t>
  </si>
  <si>
    <t>FLUXO DE CAIXA DAS ATIVIDADES DE FINANCIAMENTO</t>
  </si>
  <si>
    <t xml:space="preserve">   Recursos Recebidos por Conta de novos Empréstimos/Financiamentos</t>
  </si>
  <si>
    <t xml:space="preserve">   Amortização do Principal de Empréstimos</t>
  </si>
  <si>
    <t xml:space="preserve">   Pagamento de Juros de Operações de Mútuo</t>
  </si>
  <si>
    <t xml:space="preserve">   Adiantamentos Recebidos para Futuro Aumento de Capital</t>
  </si>
  <si>
    <t xml:space="preserve">   Dividendos/Lucros pagos no Período</t>
  </si>
  <si>
    <t xml:space="preserve">   Juros sobre Capital Próprio pagos no Período</t>
  </si>
  <si>
    <t xml:space="preserve">   Aumento (integralização) do Capital em Dinheiro</t>
  </si>
  <si>
    <t>AUMENTO LÍQUIDO DO CAIXA NO PERÍODO</t>
  </si>
  <si>
    <t xml:space="preserve">   Caixa e Equivalentes de Caixa em 31.12.20X1</t>
  </si>
  <si>
    <t xml:space="preserve">   Caixa e Equivalentes de Caixa em 31.12.20X2</t>
  </si>
  <si>
    <t>Planilha Auxiliar Preparação DFC - versão 1.0</t>
  </si>
  <si>
    <t>Fornecedores</t>
  </si>
  <si>
    <t>Impostos</t>
  </si>
  <si>
    <t>Obrigações Trabalhistas</t>
  </si>
  <si>
    <t>Outros Pagamentos Operacionais</t>
  </si>
  <si>
    <t>(+) Dividendos Recebidos</t>
  </si>
  <si>
    <t>(+) Recebimentos da Venda do Imobilizado</t>
  </si>
  <si>
    <t>(-) Aquisições do Imobilizado</t>
  </si>
  <si>
    <t>(-) Aquisições de Investimentos</t>
  </si>
  <si>
    <t>(-) Aquisições de Intangíveis</t>
  </si>
  <si>
    <t>(-) Pagamentos:</t>
  </si>
  <si>
    <t>(+) Recebimento de Clientes</t>
  </si>
  <si>
    <t>CONCILIAÇÃO DO LUCRO LÍQUIDO AO CAIXA OPERACIONAL:</t>
  </si>
  <si>
    <t>Lucro Líquido do Período</t>
  </si>
  <si>
    <t>(+) Depreciação do Período</t>
  </si>
  <si>
    <t>(-) Variação da Conta Clientes</t>
  </si>
  <si>
    <t>(+) Variação de Fornecedores</t>
  </si>
  <si>
    <t>(-) Resultado da Equivalência Patrimonial</t>
  </si>
  <si>
    <t>(+/-) Outras Variações Ativas/Passivas</t>
  </si>
  <si>
    <t>CONCILIAÇÃO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</si>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</sst>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theme="6" tint="-0.49998474074526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Border="1" applyAlignment="1">
      <alignment horizontal="right" vertical="top" wrapText="1"/>
    </xf>
    <xf numFmtId="0" fontId="1" fillId="0" borderId="0" xfId="0" applyFont="1" applyBorder="1" applyAlignment="1">
      <alignment horizontal="left" vertical="top" wrapText="1"/>
    </xf>
    <xf numFmtId="164" fontId="2" fillId="0" borderId="0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left"/>
    </xf>
    <xf numFmtId="164" fontId="0" fillId="0" borderId="0" xfId="0" applyNumberFormat="1"/>
    <xf numFmtId="0" fontId="2" fillId="0" borderId="0" xfId="0" applyFont="1" applyBorder="1" applyAlignment="1">
      <alignment horizontal="right" vertical="top" wrapText="1"/>
    </xf>
    <xf numFmtId="0" fontId="2" fillId="3" borderId="0" xfId="0" applyFont="1" applyFill="1"/>
    <xf numFmtId="164" fontId="1" fillId="0" borderId="7" xfId="0" applyNumberFormat="1" applyFont="1" applyBorder="1" applyAlignment="1">
      <alignment horizontal="right" vertical="top" wrapText="1"/>
    </xf>
    <xf numFmtId="164" fontId="2" fillId="0" borderId="0" xfId="0" applyNumberFormat="1" applyFont="1" applyAlignment="1">
      <alignment horizontal="right"/>
    </xf>
    <xf numFmtId="0" fontId="2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lio/Documents/Modelos%20GCON/Planilha%20Auxiliar%20DF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ções_Gerais"/>
      <sheetName val="FolhaDados_Ativo"/>
      <sheetName val="FolhaDados_Passivo"/>
      <sheetName val="DFC"/>
    </sheetNames>
    <sheetDataSet>
      <sheetData sheetId="0"/>
      <sheetData sheetId="1">
        <row r="2">
          <cell r="C2" t="str">
            <v>00.000.000/0001-00</v>
          </cell>
        </row>
        <row r="3">
          <cell r="C3" t="str">
            <v>Inicial: 31.12.20X1</v>
          </cell>
        </row>
        <row r="4">
          <cell r="C4" t="str">
            <v>Final: 31.12.20X2</v>
          </cell>
        </row>
      </sheetData>
      <sheetData sheetId="2">
        <row r="1">
          <cell r="A1" t="str">
            <v>COMPANHIA EXEMPLO S/A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showGridLines="0" tabSelected="1" zoomScaleNormal="100" workbookViewId="0"/>
  </sheetViews>
  <sheetFormatPr defaultRowHeight="15.6" x14ac:dyDescent="0.3"/>
  <cols>
    <col min="1" max="3" width="9.109375" style="13"/>
    <col min="4" max="4" width="53.44140625" style="13" customWidth="1"/>
    <col min="5" max="5" width="17.6640625" style="14" customWidth="1"/>
    <col min="7" max="7" width="13.44140625" bestFit="1" customWidth="1"/>
    <col min="8" max="8" width="9.5546875" bestFit="1" customWidth="1"/>
  </cols>
  <sheetData>
    <row r="1" spans="1:8" x14ac:dyDescent="0.3">
      <c r="A1" s="1" t="str">
        <f>[1]FolhaDados_Passivo!A1</f>
        <v>COMPANHIA EXEMPLO S/A</v>
      </c>
      <c r="B1" s="2"/>
      <c r="C1" s="2"/>
      <c r="D1" s="2"/>
      <c r="E1" s="3"/>
    </row>
    <row r="2" spans="1:8" x14ac:dyDescent="0.3">
      <c r="A2" s="4" t="s">
        <v>0</v>
      </c>
      <c r="B2" s="2"/>
      <c r="C2" s="2" t="str">
        <f>[1]FolhaDados_Ativo!C2</f>
        <v>00.000.000/0001-00</v>
      </c>
      <c r="D2" s="2"/>
      <c r="E2" s="3"/>
    </row>
    <row r="3" spans="1:8" x14ac:dyDescent="0.3">
      <c r="A3" s="5" t="s">
        <v>1</v>
      </c>
      <c r="B3" s="6"/>
      <c r="C3" s="6" t="str">
        <f>[1]FolhaDados_Ativo!C3</f>
        <v>Inicial: 31.12.20X1</v>
      </c>
      <c r="D3" s="6"/>
      <c r="E3" s="7"/>
    </row>
    <row r="4" spans="1:8" x14ac:dyDescent="0.3">
      <c r="A4" s="8"/>
      <c r="B4" s="9"/>
      <c r="C4" s="9" t="str">
        <f>[1]FolhaDados_Ativo!C4</f>
        <v>Final: 31.12.20X2</v>
      </c>
      <c r="D4" s="9"/>
      <c r="E4" s="10"/>
      <c r="G4" t="s">
        <v>36</v>
      </c>
      <c r="H4" t="s">
        <v>37</v>
      </c>
    </row>
    <row r="5" spans="1:8" x14ac:dyDescent="0.3">
      <c r="A5" s="11"/>
      <c r="B5" s="11"/>
      <c r="C5" s="11"/>
      <c r="D5" s="11"/>
      <c r="E5" s="12"/>
    </row>
    <row r="7" spans="1:8" x14ac:dyDescent="0.3">
      <c r="E7" s="14" t="s">
        <v>2</v>
      </c>
    </row>
    <row r="9" spans="1:8" x14ac:dyDescent="0.3">
      <c r="A9" s="30" t="s">
        <v>3</v>
      </c>
      <c r="B9" s="30"/>
      <c r="C9" s="30"/>
      <c r="D9" s="30"/>
      <c r="E9" s="26">
        <f>E11-E13</f>
        <v>900</v>
      </c>
    </row>
    <row r="10" spans="1:8" x14ac:dyDescent="0.3">
      <c r="A10" s="16"/>
      <c r="B10" s="16"/>
      <c r="C10" s="16"/>
      <c r="D10" s="16"/>
      <c r="E10" s="15"/>
    </row>
    <row r="11" spans="1:8" x14ac:dyDescent="0.3">
      <c r="A11" s="31" t="s">
        <v>28</v>
      </c>
      <c r="B11" s="31"/>
      <c r="C11" s="31"/>
      <c r="D11" s="31"/>
      <c r="E11" s="17">
        <v>3000</v>
      </c>
    </row>
    <row r="12" spans="1:8" x14ac:dyDescent="0.3">
      <c r="A12" s="19"/>
      <c r="B12" s="19"/>
      <c r="C12" s="19"/>
      <c r="D12" s="19"/>
      <c r="E12" s="20"/>
    </row>
    <row r="13" spans="1:8" x14ac:dyDescent="0.3">
      <c r="A13" s="32" t="s">
        <v>27</v>
      </c>
      <c r="B13" s="32"/>
      <c r="C13" s="32"/>
      <c r="D13" s="32"/>
      <c r="E13" s="21">
        <f>SUM(E14:E17)</f>
        <v>2100</v>
      </c>
    </row>
    <row r="14" spans="1:8" x14ac:dyDescent="0.3">
      <c r="A14" s="32" t="s">
        <v>18</v>
      </c>
      <c r="B14" s="32"/>
      <c r="C14" s="32"/>
      <c r="D14" s="32"/>
      <c r="E14" s="21">
        <v>800</v>
      </c>
    </row>
    <row r="15" spans="1:8" x14ac:dyDescent="0.3">
      <c r="A15" s="32" t="s">
        <v>19</v>
      </c>
      <c r="B15" s="32"/>
      <c r="C15" s="32"/>
      <c r="D15" s="32"/>
      <c r="E15" s="21">
        <v>300</v>
      </c>
    </row>
    <row r="16" spans="1:8" x14ac:dyDescent="0.3">
      <c r="A16" s="32" t="s">
        <v>20</v>
      </c>
      <c r="B16" s="32"/>
      <c r="C16" s="32"/>
      <c r="D16" s="32"/>
      <c r="E16" s="21">
        <v>600</v>
      </c>
    </row>
    <row r="17" spans="1:5" x14ac:dyDescent="0.3">
      <c r="A17" s="32" t="s">
        <v>21</v>
      </c>
      <c r="B17" s="32"/>
      <c r="C17" s="32"/>
      <c r="D17" s="32"/>
      <c r="E17" s="21">
        <v>400</v>
      </c>
    </row>
    <row r="18" spans="1:5" x14ac:dyDescent="0.3">
      <c r="A18" s="19"/>
      <c r="B18" s="22"/>
      <c r="C18" s="22"/>
      <c r="D18" s="22"/>
    </row>
    <row r="19" spans="1:5" x14ac:dyDescent="0.3">
      <c r="A19" s="30" t="s">
        <v>4</v>
      </c>
      <c r="B19" s="30"/>
      <c r="C19" s="30"/>
      <c r="D19" s="30"/>
      <c r="E19" s="26">
        <f>SUM(E21:E25)</f>
        <v>-450</v>
      </c>
    </row>
    <row r="20" spans="1:5" x14ac:dyDescent="0.3">
      <c r="A20" s="16"/>
      <c r="B20" s="16"/>
      <c r="C20" s="16"/>
      <c r="D20" s="16"/>
      <c r="E20" s="15"/>
    </row>
    <row r="21" spans="1:5" x14ac:dyDescent="0.3">
      <c r="A21" s="32" t="s">
        <v>22</v>
      </c>
      <c r="B21" s="32"/>
      <c r="C21" s="32"/>
      <c r="D21" s="32"/>
      <c r="E21" s="21">
        <v>100</v>
      </c>
    </row>
    <row r="22" spans="1:5" x14ac:dyDescent="0.3">
      <c r="A22" s="32" t="s">
        <v>23</v>
      </c>
      <c r="B22" s="32"/>
      <c r="C22" s="32"/>
      <c r="D22" s="32"/>
      <c r="E22" s="21">
        <v>200</v>
      </c>
    </row>
    <row r="23" spans="1:5" x14ac:dyDescent="0.3">
      <c r="A23" s="32" t="s">
        <v>24</v>
      </c>
      <c r="B23" s="32"/>
      <c r="C23" s="32"/>
      <c r="D23" s="32"/>
      <c r="E23" s="21">
        <v>-500</v>
      </c>
    </row>
    <row r="24" spans="1:5" x14ac:dyDescent="0.3">
      <c r="A24" s="32" t="s">
        <v>25</v>
      </c>
      <c r="B24" s="32"/>
      <c r="C24" s="32"/>
      <c r="D24" s="32"/>
      <c r="E24" s="21">
        <v>-200</v>
      </c>
    </row>
    <row r="25" spans="1:5" x14ac:dyDescent="0.3">
      <c r="A25" s="32" t="s">
        <v>26</v>
      </c>
      <c r="B25" s="32"/>
      <c r="C25" s="32"/>
      <c r="D25" s="32"/>
      <c r="E25" s="21">
        <v>-50</v>
      </c>
    </row>
    <row r="26" spans="1:5" x14ac:dyDescent="0.3">
      <c r="A26" s="19" t="s">
        <v>5</v>
      </c>
      <c r="B26" s="19"/>
      <c r="C26" s="19"/>
      <c r="D26" s="19"/>
      <c r="E26" s="20"/>
    </row>
    <row r="27" spans="1:5" x14ac:dyDescent="0.3">
      <c r="A27" s="30" t="s">
        <v>6</v>
      </c>
      <c r="B27" s="30"/>
      <c r="C27" s="30"/>
      <c r="D27" s="30"/>
      <c r="E27" s="26">
        <f>SUM(E28:E34)</f>
        <v>400</v>
      </c>
    </row>
    <row r="28" spans="1:5" x14ac:dyDescent="0.3">
      <c r="A28" s="31" t="s">
        <v>7</v>
      </c>
      <c r="B28" s="31"/>
      <c r="C28" s="31"/>
      <c r="D28" s="31"/>
      <c r="E28" s="21">
        <v>1000</v>
      </c>
    </row>
    <row r="29" spans="1:5" x14ac:dyDescent="0.3">
      <c r="A29" s="31" t="s">
        <v>8</v>
      </c>
      <c r="B29" s="31"/>
      <c r="C29" s="31"/>
      <c r="D29" s="31"/>
      <c r="E29" s="21">
        <v>-450</v>
      </c>
    </row>
    <row r="30" spans="1:5" x14ac:dyDescent="0.3">
      <c r="A30" s="31" t="s">
        <v>9</v>
      </c>
      <c r="B30" s="31"/>
      <c r="C30" s="31"/>
      <c r="D30" s="31"/>
      <c r="E30" s="21">
        <v>-50</v>
      </c>
    </row>
    <row r="31" spans="1:5" x14ac:dyDescent="0.3">
      <c r="A31" s="31" t="s">
        <v>10</v>
      </c>
      <c r="B31" s="31"/>
      <c r="C31" s="31"/>
      <c r="D31" s="31"/>
      <c r="E31" s="21">
        <v>100</v>
      </c>
    </row>
    <row r="32" spans="1:5" x14ac:dyDescent="0.3">
      <c r="A32" s="31" t="s">
        <v>11</v>
      </c>
      <c r="B32" s="31"/>
      <c r="C32" s="31"/>
      <c r="D32" s="31"/>
      <c r="E32" s="21">
        <v>-250</v>
      </c>
    </row>
    <row r="33" spans="1:8" x14ac:dyDescent="0.3">
      <c r="A33" s="31" t="s">
        <v>12</v>
      </c>
      <c r="B33" s="31"/>
      <c r="C33" s="31"/>
      <c r="D33" s="31"/>
      <c r="E33" s="21">
        <v>-150</v>
      </c>
    </row>
    <row r="34" spans="1:8" x14ac:dyDescent="0.3">
      <c r="A34" s="31" t="s">
        <v>13</v>
      </c>
      <c r="B34" s="31"/>
      <c r="C34" s="31"/>
      <c r="D34" s="31"/>
      <c r="E34" s="21">
        <v>200</v>
      </c>
    </row>
    <row r="35" spans="1:8" x14ac:dyDescent="0.3">
      <c r="A35" s="18"/>
      <c r="B35" s="18"/>
      <c r="C35" s="18"/>
      <c r="D35" s="18"/>
      <c r="E35" s="24"/>
    </row>
    <row r="36" spans="1:8" ht="16.2" thickBot="1" x14ac:dyDescent="0.35">
      <c r="A36" s="33" t="s">
        <v>14</v>
      </c>
      <c r="B36" s="33"/>
      <c r="C36" s="33"/>
      <c r="D36" s="33"/>
      <c r="E36" s="29">
        <f>E9+E19+E27</f>
        <v>850</v>
      </c>
    </row>
    <row r="37" spans="1:8" ht="16.2" thickTop="1" x14ac:dyDescent="0.3">
      <c r="A37" s="32" t="s">
        <v>15</v>
      </c>
      <c r="B37" s="32"/>
      <c r="C37" s="32"/>
      <c r="D37" s="32"/>
      <c r="E37" s="21">
        <v>2000</v>
      </c>
    </row>
    <row r="38" spans="1:8" x14ac:dyDescent="0.3">
      <c r="A38" s="32" t="s">
        <v>16</v>
      </c>
      <c r="B38" s="32"/>
      <c r="C38" s="32"/>
      <c r="D38" s="32"/>
      <c r="E38" s="21">
        <v>2850</v>
      </c>
      <c r="G38" s="23">
        <f>E38-E37</f>
        <v>850</v>
      </c>
      <c r="H38">
        <f>IF(G38=E36,0,G38-E36)</f>
        <v>0</v>
      </c>
    </row>
    <row r="40" spans="1:8" x14ac:dyDescent="0.3">
      <c r="A40" s="13" t="s">
        <v>29</v>
      </c>
      <c r="E40" s="28">
        <f>SUM(E41:E46)</f>
        <v>850</v>
      </c>
      <c r="G40" s="23">
        <f>E36</f>
        <v>850</v>
      </c>
      <c r="H40" s="23">
        <f>E40-G40</f>
        <v>0</v>
      </c>
    </row>
    <row r="41" spans="1:8" x14ac:dyDescent="0.3">
      <c r="A41" s="13" t="s">
        <v>30</v>
      </c>
      <c r="E41" s="14">
        <f>850+70</f>
        <v>920</v>
      </c>
    </row>
    <row r="42" spans="1:8" x14ac:dyDescent="0.3">
      <c r="A42" s="13" t="s">
        <v>31</v>
      </c>
      <c r="E42" s="14">
        <f>300</f>
        <v>300</v>
      </c>
    </row>
    <row r="43" spans="1:8" x14ac:dyDescent="0.3">
      <c r="A43" s="13" t="s">
        <v>32</v>
      </c>
      <c r="E43" s="27">
        <v>-500</v>
      </c>
    </row>
    <row r="44" spans="1:8" x14ac:dyDescent="0.3">
      <c r="A44" s="13" t="s">
        <v>34</v>
      </c>
      <c r="E44" s="27">
        <v>-250</v>
      </c>
    </row>
    <row r="45" spans="1:8" x14ac:dyDescent="0.3">
      <c r="A45" s="13" t="s">
        <v>33</v>
      </c>
      <c r="E45" s="14">
        <v>200</v>
      </c>
    </row>
    <row r="46" spans="1:8" x14ac:dyDescent="0.3">
      <c r="A46" s="13" t="s">
        <v>35</v>
      </c>
      <c r="E46" s="27">
        <v>180</v>
      </c>
    </row>
    <row r="48" spans="1:8" x14ac:dyDescent="0.3">
      <c r="A48" s="25" t="s">
        <v>17</v>
      </c>
    </row>
  </sheetData>
  <mergeCells count="24">
    <mergeCell ref="A36:D36"/>
    <mergeCell ref="A37:D37"/>
    <mergeCell ref="A38:D38"/>
    <mergeCell ref="A30:D30"/>
    <mergeCell ref="A31:D31"/>
    <mergeCell ref="A32:D32"/>
    <mergeCell ref="A33:D33"/>
    <mergeCell ref="A34:D34"/>
    <mergeCell ref="A28:D28"/>
    <mergeCell ref="A29:D29"/>
    <mergeCell ref="A22:D22"/>
    <mergeCell ref="A23:D23"/>
    <mergeCell ref="A24:D24"/>
    <mergeCell ref="A25:D25"/>
    <mergeCell ref="A21:D21"/>
    <mergeCell ref="A15:D15"/>
    <mergeCell ref="A16:D16"/>
    <mergeCell ref="A17:D17"/>
    <mergeCell ref="A27:D27"/>
    <mergeCell ref="A9:D9"/>
    <mergeCell ref="A11:D11"/>
    <mergeCell ref="A13:D13"/>
    <mergeCell ref="A14:D14"/>
    <mergeCell ref="A19:D1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DFC-Direto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2015-03-25T18:17:30Z</dcterms:created>
  <dcterms:modified xsi:type="dcterms:W3CDTF">2020-10-12T12:12:22Z</dcterms:modified>
</cp:coreProperties>
</file>