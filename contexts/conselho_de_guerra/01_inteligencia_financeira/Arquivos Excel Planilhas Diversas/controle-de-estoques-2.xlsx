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úcia\Documents\2020 Matérias\"/>
    </mc:Choice>
  </mc:AlternateContent>
  <xr:revisionPtr revIDLastSave="0" documentId="8_{7F5EB788-7197-4FDC-851B-946C2021AD9C}" xr6:coauthVersionLast="45" xr6:coauthVersionMax="45" xr10:uidLastSave="{00000000-0000-0000-0000-000000000000}"/>
  <bookViews>
    <workbookView xWindow="-108" yWindow="-108" windowWidth="23256" windowHeight="12576" xr2:uid="{72625173-1B4D-4B17-98E6-A9AD4B2DBFB3}"/>
  </bookViews>
  <sheets>
    <sheet name="Controle-Estoqu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G11" i="1"/>
  <c r="D11" i="1"/>
  <c r="D10" i="1"/>
  <c r="G9" i="1"/>
  <c r="D8" i="1"/>
  <c r="H7" i="1"/>
  <c r="H8" i="1" s="1"/>
  <c r="G7" i="1"/>
  <c r="J6" i="1"/>
  <c r="H6" i="1"/>
  <c r="D6" i="1"/>
  <c r="H9" i="1" l="1"/>
  <c r="J8" i="1"/>
  <c r="J7" i="1"/>
  <c r="H10" i="1" l="1"/>
  <c r="J9" i="1"/>
  <c r="H11" i="1" l="1"/>
  <c r="J10" i="1"/>
  <c r="H12" i="1" l="1"/>
  <c r="J11" i="1"/>
  <c r="J12" i="1" l="1"/>
  <c r="H13" i="1"/>
  <c r="J13" i="1" l="1"/>
  <c r="H14" i="1"/>
  <c r="J14" i="1" l="1"/>
  <c r="H15" i="1"/>
  <c r="J15" i="1" l="1"/>
  <c r="H16" i="1"/>
  <c r="J16" i="1" l="1"/>
  <c r="H17" i="1"/>
  <c r="J17" i="1" l="1"/>
  <c r="H18" i="1"/>
  <c r="J18" i="1" l="1"/>
  <c r="H19" i="1"/>
  <c r="J19" i="1" l="1"/>
  <c r="H20" i="1"/>
  <c r="J20" i="1" l="1"/>
  <c r="H21" i="1"/>
  <c r="J21" i="1" l="1"/>
  <c r="H22" i="1"/>
  <c r="J22" i="1" l="1"/>
  <c r="H23" i="1"/>
  <c r="J23" i="1" l="1"/>
  <c r="H24" i="1"/>
  <c r="J24" i="1" l="1"/>
  <c r="H25" i="1"/>
  <c r="J25" i="1" l="1"/>
  <c r="H26" i="1"/>
  <c r="J26" i="1" l="1"/>
  <c r="H27" i="1"/>
  <c r="J27" i="1" l="1"/>
  <c r="H28" i="1"/>
  <c r="J28" i="1" l="1"/>
  <c r="H29" i="1"/>
  <c r="J29" i="1" l="1"/>
  <c r="H30" i="1"/>
  <c r="J30" i="1" l="1"/>
  <c r="H31" i="1"/>
  <c r="J31" i="1" l="1"/>
  <c r="H32" i="1"/>
  <c r="J32" i="1" l="1"/>
  <c r="H33" i="1"/>
  <c r="J33" i="1" l="1"/>
  <c r="H34" i="1"/>
  <c r="J34" i="1" l="1"/>
  <c r="H35" i="1"/>
  <c r="J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I5" authorId="0" shapeId="0" xr:uid="{17D6F9AD-C99D-43EA-A8EE-BFA2166A68BD}">
      <text>
        <r>
          <rPr>
            <sz val="8"/>
            <color indexed="81"/>
            <rFont val="Tahoma"/>
            <family val="2"/>
          </rPr>
          <t xml:space="preserve">Calcular no Controle de Estoque o saldo em quantidades, custo unitário e custo total das mercadorias / produtos que ficaram em estoque
OBS:  O custo unitário é calculado pelo custo médio ponderado, da seguinte forma: 
</t>
        </r>
        <r>
          <rPr>
            <u/>
            <sz val="8"/>
            <color indexed="81"/>
            <rFont val="Tahoma"/>
            <family val="2"/>
          </rPr>
          <t>Custos Totais</t>
        </r>
        <r>
          <rPr>
            <sz val="8"/>
            <color indexed="81"/>
            <rFont val="Tahoma"/>
            <family val="2"/>
          </rPr>
          <t xml:space="preserve">
 Quantidade 
</t>
        </r>
      </text>
    </comment>
  </commentList>
</comments>
</file>

<file path=xl/sharedStrings.xml><?xml version="1.0" encoding="utf-8"?>
<sst xmlns="http://schemas.openxmlformats.org/spreadsheetml/2006/main" count="17" uniqueCount="11">
  <si>
    <t>Planilha Controle de Estoques</t>
  </si>
  <si>
    <t>Descrição do produto:</t>
  </si>
  <si>
    <t>Mês/ano:</t>
  </si>
  <si>
    <t>Entradas (Compras)</t>
  </si>
  <si>
    <t>Saídas (Vendas)</t>
  </si>
  <si>
    <t>Saldo</t>
  </si>
  <si>
    <t>Dia</t>
  </si>
  <si>
    <t>Quantidade</t>
  </si>
  <si>
    <t>Custo Unit.</t>
  </si>
  <si>
    <t>Custo Total</t>
  </si>
  <si>
    <t>EMPRESA: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</si>
</sst>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9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u/>
      <sz val="12"/>
      <color theme="10"/>
      <name val="Times New Roman"/>
      <family val="2"/>
    </font>
    <font>
      <b/>
      <sz val="9"/>
      <color indexed="9"/>
      <name val="Verdana"/>
      <family val="2"/>
    </font>
    <font>
      <sz val="9"/>
      <color indexed="9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sz val="8"/>
      <color indexed="81"/>
      <name val="Tahoma"/>
      <family val="2"/>
    </font>
    <font>
      <u/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164" fontId="0" fillId="0" borderId="0" xfId="0" applyNumberFormat="1"/>
    <xf numFmtId="0" fontId="0" fillId="0" borderId="0" xfId="0" applyNumberFormat="1"/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5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 applyProtection="1">
      <alignment horizontal="center" vertical="center"/>
      <protection locked="0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164" fontId="5" fillId="3" borderId="8" xfId="0" applyNumberFormat="1" applyFont="1" applyFill="1" applyBorder="1" applyAlignment="1">
      <alignment horizontal="center"/>
    </xf>
    <xf numFmtId="0" fontId="5" fillId="3" borderId="8" xfId="0" applyNumberFormat="1" applyFont="1" applyFill="1" applyBorder="1" applyAlignment="1">
      <alignment horizontal="center"/>
    </xf>
    <xf numFmtId="0" fontId="5" fillId="3" borderId="9" xfId="0" applyNumberFormat="1" applyFont="1" applyFill="1" applyBorder="1" applyAlignment="1">
      <alignment horizontal="center"/>
    </xf>
    <xf numFmtId="164" fontId="5" fillId="3" borderId="9" xfId="0" applyNumberFormat="1" applyFont="1" applyFill="1" applyBorder="1" applyAlignment="1">
      <alignment horizontal="center"/>
    </xf>
    <xf numFmtId="164" fontId="5" fillId="3" borderId="10" xfId="0" applyNumberFormat="1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Protection="1">
      <protection locked="0"/>
    </xf>
    <xf numFmtId="164" fontId="6" fillId="0" borderId="12" xfId="0" applyNumberFormat="1" applyFont="1" applyBorder="1" applyProtection="1">
      <protection locked="0"/>
    </xf>
    <xf numFmtId="43" fontId="6" fillId="0" borderId="12" xfId="1" applyFont="1" applyBorder="1"/>
    <xf numFmtId="0" fontId="6" fillId="0" borderId="12" xfId="1" applyNumberFormat="1" applyFont="1" applyBorder="1"/>
    <xf numFmtId="164" fontId="6" fillId="0" borderId="13" xfId="0" applyNumberFormat="1" applyFont="1" applyBorder="1" applyProtection="1"/>
    <xf numFmtId="0" fontId="6" fillId="0" borderId="13" xfId="0" applyNumberFormat="1" applyFont="1" applyBorder="1" applyProtection="1"/>
    <xf numFmtId="2" fontId="6" fillId="0" borderId="13" xfId="0" applyNumberFormat="1" applyFont="1" applyBorder="1" applyProtection="1"/>
    <xf numFmtId="164" fontId="6" fillId="0" borderId="14" xfId="0" applyNumberFormat="1" applyFont="1" applyBorder="1" applyProtection="1"/>
    <xf numFmtId="0" fontId="6" fillId="0" borderId="15" xfId="0" applyFont="1" applyBorder="1" applyAlignment="1">
      <alignment horizontal="center"/>
    </xf>
    <xf numFmtId="0" fontId="6" fillId="0" borderId="16" xfId="0" applyFont="1" applyBorder="1" applyProtection="1">
      <protection locked="0"/>
    </xf>
    <xf numFmtId="164" fontId="6" fillId="0" borderId="16" xfId="0" applyNumberFormat="1" applyFont="1" applyBorder="1" applyProtection="1">
      <protection locked="0"/>
    </xf>
    <xf numFmtId="43" fontId="6" fillId="0" borderId="16" xfId="1" applyFont="1" applyBorder="1"/>
    <xf numFmtId="0" fontId="6" fillId="0" borderId="17" xfId="1" applyNumberFormat="1" applyFont="1" applyBorder="1"/>
    <xf numFmtId="164" fontId="6" fillId="0" borderId="17" xfId="0" applyNumberFormat="1" applyFont="1" applyBorder="1" applyProtection="1">
      <protection locked="0"/>
    </xf>
    <xf numFmtId="164" fontId="6" fillId="0" borderId="17" xfId="0" applyNumberFormat="1" applyFont="1" applyBorder="1" applyProtection="1"/>
    <xf numFmtId="0" fontId="6" fillId="0" borderId="16" xfId="0" applyNumberFormat="1" applyFont="1" applyBorder="1" applyProtection="1"/>
    <xf numFmtId="2" fontId="6" fillId="0" borderId="17" xfId="0" applyNumberFormat="1" applyFont="1" applyBorder="1" applyProtection="1"/>
    <xf numFmtId="164" fontId="6" fillId="0" borderId="18" xfId="0" applyNumberFormat="1" applyFont="1" applyBorder="1" applyProtection="1"/>
    <xf numFmtId="164" fontId="2" fillId="0" borderId="1" xfId="2" applyNumberFormat="1" applyBorder="1" applyAlignment="1" applyProtection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D018-FA0B-4D45-8C71-4E1F55067861}">
  <dimension ref="A1:J35"/>
  <sheetViews>
    <sheetView tabSelected="1" workbookViewId="0"/>
  </sheetViews>
  <sheetFormatPr defaultRowHeight="15.6" x14ac:dyDescent="0.3"/>
  <sheetData>
    <row r="1" spans="1:10" ht="16.2" thickBot="1" x14ac:dyDescent="0.35">
      <c r="A1" t="s">
        <v>10</v>
      </c>
      <c r="C1" s="1"/>
      <c r="E1" s="2"/>
      <c r="F1" s="1"/>
      <c r="G1" s="1"/>
      <c r="H1" s="2"/>
      <c r="I1" s="37"/>
      <c r="J1" s="37"/>
    </row>
    <row r="2" spans="1:10" ht="16.2" thickBot="1" x14ac:dyDescent="0.35">
      <c r="A2" s="38" t="s">
        <v>0</v>
      </c>
      <c r="B2" s="39"/>
      <c r="C2" s="39"/>
      <c r="D2" s="39"/>
      <c r="E2" s="39"/>
      <c r="F2" s="39"/>
      <c r="G2" s="39"/>
      <c r="H2" s="39"/>
      <c r="I2" s="39"/>
      <c r="J2" s="40"/>
    </row>
    <row r="3" spans="1:10" ht="16.2" thickBot="1" x14ac:dyDescent="0.35">
      <c r="A3" s="3" t="s">
        <v>1</v>
      </c>
      <c r="B3" s="4"/>
      <c r="C3" s="5"/>
      <c r="D3" s="6"/>
      <c r="E3" s="7"/>
      <c r="F3" s="5" t="s">
        <v>2</v>
      </c>
      <c r="G3" s="5"/>
      <c r="H3" s="8"/>
      <c r="I3" s="9"/>
      <c r="J3" s="10"/>
    </row>
    <row r="4" spans="1:10" ht="16.2" thickBot="1" x14ac:dyDescent="0.35">
      <c r="A4" s="41" t="s">
        <v>3</v>
      </c>
      <c r="B4" s="42"/>
      <c r="C4" s="42"/>
      <c r="D4" s="43"/>
      <c r="E4" s="44" t="s">
        <v>4</v>
      </c>
      <c r="F4" s="45"/>
      <c r="G4" s="45"/>
      <c r="H4" s="44" t="s">
        <v>5</v>
      </c>
      <c r="I4" s="45"/>
      <c r="J4" s="46"/>
    </row>
    <row r="5" spans="1:10" ht="16.2" thickBot="1" x14ac:dyDescent="0.35">
      <c r="A5" s="11" t="s">
        <v>6</v>
      </c>
      <c r="B5" s="12" t="s">
        <v>7</v>
      </c>
      <c r="C5" s="13" t="s">
        <v>8</v>
      </c>
      <c r="D5" s="12" t="s">
        <v>9</v>
      </c>
      <c r="E5" s="14" t="s">
        <v>7</v>
      </c>
      <c r="F5" s="13" t="s">
        <v>8</v>
      </c>
      <c r="G5" s="13" t="s">
        <v>9</v>
      </c>
      <c r="H5" s="15" t="s">
        <v>7</v>
      </c>
      <c r="I5" s="16" t="s">
        <v>8</v>
      </c>
      <c r="J5" s="17" t="s">
        <v>9</v>
      </c>
    </row>
    <row r="6" spans="1:10" x14ac:dyDescent="0.3">
      <c r="A6" s="18">
        <v>1</v>
      </c>
      <c r="B6" s="19">
        <v>1000</v>
      </c>
      <c r="C6" s="20">
        <v>1</v>
      </c>
      <c r="D6" s="21">
        <f>B6*C6</f>
        <v>1000</v>
      </c>
      <c r="E6" s="22"/>
      <c r="F6" s="20"/>
      <c r="G6" s="23"/>
      <c r="H6" s="24">
        <f>B6</f>
        <v>1000</v>
      </c>
      <c r="I6" s="25">
        <v>1</v>
      </c>
      <c r="J6" s="26">
        <f>H6*I6</f>
        <v>1000</v>
      </c>
    </row>
    <row r="7" spans="1:10" x14ac:dyDescent="0.3">
      <c r="A7" s="18">
        <v>5</v>
      </c>
      <c r="B7" s="19"/>
      <c r="C7" s="20"/>
      <c r="D7" s="21"/>
      <c r="E7" s="22">
        <v>600</v>
      </c>
      <c r="F7" s="20">
        <v>1</v>
      </c>
      <c r="G7" s="23">
        <f>E7*F7</f>
        <v>600</v>
      </c>
      <c r="H7" s="24">
        <f>H6+B7-E7</f>
        <v>400</v>
      </c>
      <c r="I7" s="25">
        <v>1</v>
      </c>
      <c r="J7" s="26">
        <f t="shared" ref="J7:J35" si="0">H7*I7</f>
        <v>400</v>
      </c>
    </row>
    <row r="8" spans="1:10" x14ac:dyDescent="0.3">
      <c r="A8" s="18">
        <v>10</v>
      </c>
      <c r="B8" s="19">
        <v>2000</v>
      </c>
      <c r="C8" s="20">
        <v>0.9</v>
      </c>
      <c r="D8" s="21">
        <f>B8*C8</f>
        <v>1800</v>
      </c>
      <c r="E8" s="22"/>
      <c r="F8" s="20"/>
      <c r="G8" s="23"/>
      <c r="H8" s="24">
        <f>H7+B8-E8</f>
        <v>2400</v>
      </c>
      <c r="I8" s="25">
        <v>0.91666599999999998</v>
      </c>
      <c r="J8" s="26">
        <f t="shared" si="0"/>
        <v>2199.9983999999999</v>
      </c>
    </row>
    <row r="9" spans="1:10" x14ac:dyDescent="0.3">
      <c r="A9" s="18">
        <v>15</v>
      </c>
      <c r="B9" s="19"/>
      <c r="C9" s="20"/>
      <c r="D9" s="21"/>
      <c r="E9" s="22">
        <v>800</v>
      </c>
      <c r="F9" s="20">
        <v>0.91666000000000003</v>
      </c>
      <c r="G9" s="23">
        <f>E9*F9</f>
        <v>733.32799999999997</v>
      </c>
      <c r="H9" s="24">
        <f t="shared" ref="H9:H35" si="1">H8+B9-E9</f>
        <v>1600</v>
      </c>
      <c r="I9" s="25">
        <v>0.91666599999999998</v>
      </c>
      <c r="J9" s="26">
        <f t="shared" si="0"/>
        <v>1466.6656</v>
      </c>
    </row>
    <row r="10" spans="1:10" x14ac:dyDescent="0.3">
      <c r="A10" s="18">
        <v>20</v>
      </c>
      <c r="B10" s="19">
        <v>3000</v>
      </c>
      <c r="C10" s="20">
        <v>0.8</v>
      </c>
      <c r="D10" s="21">
        <f>B10*C10</f>
        <v>2400</v>
      </c>
      <c r="E10" s="22"/>
      <c r="F10" s="20"/>
      <c r="G10" s="23"/>
      <c r="H10" s="24">
        <f t="shared" si="1"/>
        <v>4600</v>
      </c>
      <c r="I10" s="25">
        <v>0.84</v>
      </c>
      <c r="J10" s="26">
        <f t="shared" si="0"/>
        <v>3864</v>
      </c>
    </row>
    <row r="11" spans="1:10" x14ac:dyDescent="0.3">
      <c r="A11" s="18">
        <v>25</v>
      </c>
      <c r="B11" s="19"/>
      <c r="C11" s="20"/>
      <c r="D11" s="21">
        <f>B11*C11</f>
        <v>0</v>
      </c>
      <c r="E11" s="22">
        <v>3600</v>
      </c>
      <c r="F11" s="20">
        <v>0.8</v>
      </c>
      <c r="G11" s="23">
        <f>E11*F11</f>
        <v>2880</v>
      </c>
      <c r="H11" s="24">
        <f t="shared" si="1"/>
        <v>1000</v>
      </c>
      <c r="I11" s="25">
        <v>0.84</v>
      </c>
      <c r="J11" s="26">
        <f t="shared" si="0"/>
        <v>840</v>
      </c>
    </row>
    <row r="12" spans="1:10" x14ac:dyDescent="0.3">
      <c r="A12" s="18">
        <v>30</v>
      </c>
      <c r="B12" s="19">
        <v>2500</v>
      </c>
      <c r="C12" s="20">
        <v>1</v>
      </c>
      <c r="D12" s="21">
        <f>B12*C12</f>
        <v>2500</v>
      </c>
      <c r="E12" s="22"/>
      <c r="F12" s="20"/>
      <c r="G12" s="23"/>
      <c r="H12" s="24">
        <f t="shared" si="1"/>
        <v>3500</v>
      </c>
      <c r="I12" s="25">
        <v>0.95428570000000001</v>
      </c>
      <c r="J12" s="26">
        <f t="shared" si="0"/>
        <v>3339.9999499999999</v>
      </c>
    </row>
    <row r="13" spans="1:10" x14ac:dyDescent="0.3">
      <c r="A13" s="18"/>
      <c r="B13" s="19"/>
      <c r="C13" s="20"/>
      <c r="D13" s="21"/>
      <c r="E13" s="22"/>
      <c r="F13" s="20"/>
      <c r="G13" s="23"/>
      <c r="H13" s="24">
        <f t="shared" si="1"/>
        <v>3500</v>
      </c>
      <c r="I13" s="25">
        <v>0.95428570000000001</v>
      </c>
      <c r="J13" s="26">
        <f t="shared" si="0"/>
        <v>3339.9999499999999</v>
      </c>
    </row>
    <row r="14" spans="1:10" x14ac:dyDescent="0.3">
      <c r="A14" s="18"/>
      <c r="B14" s="19"/>
      <c r="C14" s="20"/>
      <c r="D14" s="21"/>
      <c r="E14" s="22"/>
      <c r="F14" s="20"/>
      <c r="G14" s="23"/>
      <c r="H14" s="24">
        <f t="shared" si="1"/>
        <v>3500</v>
      </c>
      <c r="I14" s="25">
        <v>0.95428570000000001</v>
      </c>
      <c r="J14" s="26">
        <f t="shared" si="0"/>
        <v>3339.9999499999999</v>
      </c>
    </row>
    <row r="15" spans="1:10" x14ac:dyDescent="0.3">
      <c r="A15" s="18"/>
      <c r="B15" s="19"/>
      <c r="C15" s="20"/>
      <c r="D15" s="21"/>
      <c r="E15" s="22"/>
      <c r="F15" s="20"/>
      <c r="G15" s="23"/>
      <c r="H15" s="24">
        <f t="shared" si="1"/>
        <v>3500</v>
      </c>
      <c r="I15" s="25">
        <v>0.95428570000000001</v>
      </c>
      <c r="J15" s="26">
        <f t="shared" si="0"/>
        <v>3339.9999499999999</v>
      </c>
    </row>
    <row r="16" spans="1:10" x14ac:dyDescent="0.3">
      <c r="A16" s="18"/>
      <c r="B16" s="19"/>
      <c r="C16" s="20"/>
      <c r="D16" s="21"/>
      <c r="E16" s="22"/>
      <c r="F16" s="20"/>
      <c r="G16" s="23"/>
      <c r="H16" s="24">
        <f t="shared" si="1"/>
        <v>3500</v>
      </c>
      <c r="I16" s="25">
        <v>0.95428570000000001</v>
      </c>
      <c r="J16" s="26">
        <f t="shared" si="0"/>
        <v>3339.9999499999999</v>
      </c>
    </row>
    <row r="17" spans="1:10" x14ac:dyDescent="0.3">
      <c r="A17" s="18"/>
      <c r="B17" s="19"/>
      <c r="C17" s="20"/>
      <c r="D17" s="21"/>
      <c r="E17" s="22"/>
      <c r="F17" s="20"/>
      <c r="G17" s="23"/>
      <c r="H17" s="24">
        <f t="shared" si="1"/>
        <v>3500</v>
      </c>
      <c r="I17" s="25">
        <v>0.95428570000000001</v>
      </c>
      <c r="J17" s="26">
        <f t="shared" si="0"/>
        <v>3339.9999499999999</v>
      </c>
    </row>
    <row r="18" spans="1:10" x14ac:dyDescent="0.3">
      <c r="A18" s="18"/>
      <c r="B18" s="19"/>
      <c r="C18" s="20"/>
      <c r="D18" s="21"/>
      <c r="E18" s="22"/>
      <c r="F18" s="20"/>
      <c r="G18" s="23"/>
      <c r="H18" s="24">
        <f t="shared" si="1"/>
        <v>3500</v>
      </c>
      <c r="I18" s="25">
        <v>0.95428570000000001</v>
      </c>
      <c r="J18" s="26">
        <f t="shared" si="0"/>
        <v>3339.9999499999999</v>
      </c>
    </row>
    <row r="19" spans="1:10" x14ac:dyDescent="0.3">
      <c r="A19" s="18"/>
      <c r="B19" s="19"/>
      <c r="C19" s="20"/>
      <c r="D19" s="21"/>
      <c r="E19" s="22"/>
      <c r="F19" s="20"/>
      <c r="G19" s="23"/>
      <c r="H19" s="24">
        <f t="shared" si="1"/>
        <v>3500</v>
      </c>
      <c r="I19" s="25">
        <v>0.95428570000000001</v>
      </c>
      <c r="J19" s="26">
        <f t="shared" si="0"/>
        <v>3339.9999499999999</v>
      </c>
    </row>
    <row r="20" spans="1:10" x14ac:dyDescent="0.3">
      <c r="A20" s="18"/>
      <c r="B20" s="19"/>
      <c r="C20" s="20"/>
      <c r="D20" s="21"/>
      <c r="E20" s="22"/>
      <c r="F20" s="20"/>
      <c r="G20" s="23"/>
      <c r="H20" s="24">
        <f t="shared" si="1"/>
        <v>3500</v>
      </c>
      <c r="I20" s="25">
        <v>0.95428570000000001</v>
      </c>
      <c r="J20" s="26">
        <f t="shared" si="0"/>
        <v>3339.9999499999999</v>
      </c>
    </row>
    <row r="21" spans="1:10" x14ac:dyDescent="0.3">
      <c r="A21" s="18"/>
      <c r="B21" s="19"/>
      <c r="C21" s="20"/>
      <c r="D21" s="21"/>
      <c r="E21" s="22"/>
      <c r="F21" s="20"/>
      <c r="G21" s="23"/>
      <c r="H21" s="24">
        <f t="shared" si="1"/>
        <v>3500</v>
      </c>
      <c r="I21" s="25">
        <v>0.95428570000000001</v>
      </c>
      <c r="J21" s="26">
        <f t="shared" si="0"/>
        <v>3339.9999499999999</v>
      </c>
    </row>
    <row r="22" spans="1:10" x14ac:dyDescent="0.3">
      <c r="A22" s="18"/>
      <c r="B22" s="19"/>
      <c r="C22" s="20"/>
      <c r="D22" s="21"/>
      <c r="E22" s="22"/>
      <c r="F22" s="20"/>
      <c r="G22" s="23"/>
      <c r="H22" s="24">
        <f t="shared" si="1"/>
        <v>3500</v>
      </c>
      <c r="I22" s="25">
        <v>0.95428570000000001</v>
      </c>
      <c r="J22" s="26">
        <f t="shared" si="0"/>
        <v>3339.9999499999999</v>
      </c>
    </row>
    <row r="23" spans="1:10" x14ac:dyDescent="0.3">
      <c r="A23" s="18"/>
      <c r="B23" s="19"/>
      <c r="C23" s="20"/>
      <c r="D23" s="21"/>
      <c r="E23" s="22"/>
      <c r="F23" s="20"/>
      <c r="G23" s="23"/>
      <c r="H23" s="24">
        <f t="shared" si="1"/>
        <v>3500</v>
      </c>
      <c r="I23" s="25">
        <v>0.95428570000000001</v>
      </c>
      <c r="J23" s="26">
        <f t="shared" si="0"/>
        <v>3339.9999499999999</v>
      </c>
    </row>
    <row r="24" spans="1:10" x14ac:dyDescent="0.3">
      <c r="A24" s="18"/>
      <c r="B24" s="19"/>
      <c r="C24" s="20"/>
      <c r="D24" s="21"/>
      <c r="E24" s="22"/>
      <c r="F24" s="20"/>
      <c r="G24" s="23"/>
      <c r="H24" s="24">
        <f t="shared" si="1"/>
        <v>3500</v>
      </c>
      <c r="I24" s="25">
        <v>0.95428570000000001</v>
      </c>
      <c r="J24" s="26">
        <f t="shared" si="0"/>
        <v>3339.9999499999999</v>
      </c>
    </row>
    <row r="25" spans="1:10" x14ac:dyDescent="0.3">
      <c r="A25" s="18"/>
      <c r="B25" s="19"/>
      <c r="C25" s="20"/>
      <c r="D25" s="21"/>
      <c r="E25" s="22"/>
      <c r="F25" s="20"/>
      <c r="G25" s="23"/>
      <c r="H25" s="24">
        <f t="shared" si="1"/>
        <v>3500</v>
      </c>
      <c r="I25" s="25">
        <v>0.95428570000000001</v>
      </c>
      <c r="J25" s="26">
        <f t="shared" si="0"/>
        <v>3339.9999499999999</v>
      </c>
    </row>
    <row r="26" spans="1:10" x14ac:dyDescent="0.3">
      <c r="A26" s="18"/>
      <c r="B26" s="19"/>
      <c r="C26" s="20"/>
      <c r="D26" s="21"/>
      <c r="E26" s="22"/>
      <c r="F26" s="20"/>
      <c r="G26" s="23"/>
      <c r="H26" s="24">
        <f t="shared" si="1"/>
        <v>3500</v>
      </c>
      <c r="I26" s="25">
        <v>0.95428570000000001</v>
      </c>
      <c r="J26" s="26">
        <f t="shared" si="0"/>
        <v>3339.9999499999999</v>
      </c>
    </row>
    <row r="27" spans="1:10" x14ac:dyDescent="0.3">
      <c r="A27" s="18"/>
      <c r="B27" s="19"/>
      <c r="C27" s="20"/>
      <c r="D27" s="21"/>
      <c r="E27" s="22"/>
      <c r="F27" s="20"/>
      <c r="G27" s="23"/>
      <c r="H27" s="24">
        <f t="shared" si="1"/>
        <v>3500</v>
      </c>
      <c r="I27" s="25">
        <v>0.95428570000000001</v>
      </c>
      <c r="J27" s="26">
        <f t="shared" si="0"/>
        <v>3339.9999499999999</v>
      </c>
    </row>
    <row r="28" spans="1:10" x14ac:dyDescent="0.3">
      <c r="A28" s="18"/>
      <c r="B28" s="19"/>
      <c r="C28" s="20"/>
      <c r="D28" s="21"/>
      <c r="E28" s="22"/>
      <c r="F28" s="20"/>
      <c r="G28" s="23"/>
      <c r="H28" s="24">
        <f t="shared" si="1"/>
        <v>3500</v>
      </c>
      <c r="I28" s="25">
        <v>0.95428570000000001</v>
      </c>
      <c r="J28" s="26">
        <f t="shared" si="0"/>
        <v>3339.9999499999999</v>
      </c>
    </row>
    <row r="29" spans="1:10" x14ac:dyDescent="0.3">
      <c r="A29" s="18"/>
      <c r="B29" s="19"/>
      <c r="C29" s="20"/>
      <c r="D29" s="21"/>
      <c r="E29" s="22"/>
      <c r="F29" s="20"/>
      <c r="G29" s="23"/>
      <c r="H29" s="24">
        <f t="shared" si="1"/>
        <v>3500</v>
      </c>
      <c r="I29" s="25">
        <v>0.95428570000000001</v>
      </c>
      <c r="J29" s="26">
        <f t="shared" si="0"/>
        <v>3339.9999499999999</v>
      </c>
    </row>
    <row r="30" spans="1:10" x14ac:dyDescent="0.3">
      <c r="A30" s="18"/>
      <c r="B30" s="19"/>
      <c r="C30" s="20"/>
      <c r="D30" s="21"/>
      <c r="E30" s="22"/>
      <c r="F30" s="20"/>
      <c r="G30" s="23"/>
      <c r="H30" s="24">
        <f t="shared" si="1"/>
        <v>3500</v>
      </c>
      <c r="I30" s="25">
        <v>0.95428570000000001</v>
      </c>
      <c r="J30" s="26">
        <f t="shared" si="0"/>
        <v>3339.9999499999999</v>
      </c>
    </row>
    <row r="31" spans="1:10" x14ac:dyDescent="0.3">
      <c r="A31" s="18"/>
      <c r="B31" s="19"/>
      <c r="C31" s="20"/>
      <c r="D31" s="21"/>
      <c r="E31" s="22"/>
      <c r="F31" s="20"/>
      <c r="G31" s="23"/>
      <c r="H31" s="24">
        <f t="shared" si="1"/>
        <v>3500</v>
      </c>
      <c r="I31" s="25">
        <v>0.95428570000000001</v>
      </c>
      <c r="J31" s="26">
        <f t="shared" si="0"/>
        <v>3339.9999499999999</v>
      </c>
    </row>
    <row r="32" spans="1:10" x14ac:dyDescent="0.3">
      <c r="A32" s="18"/>
      <c r="B32" s="19"/>
      <c r="C32" s="20"/>
      <c r="D32" s="21"/>
      <c r="E32" s="22"/>
      <c r="F32" s="20"/>
      <c r="G32" s="23"/>
      <c r="H32" s="24">
        <f t="shared" si="1"/>
        <v>3500</v>
      </c>
      <c r="I32" s="25">
        <v>0.95428570000000001</v>
      </c>
      <c r="J32" s="26">
        <f t="shared" si="0"/>
        <v>3339.9999499999999</v>
      </c>
    </row>
    <row r="33" spans="1:10" x14ac:dyDescent="0.3">
      <c r="A33" s="18"/>
      <c r="B33" s="19"/>
      <c r="C33" s="20"/>
      <c r="D33" s="21"/>
      <c r="E33" s="22"/>
      <c r="F33" s="20"/>
      <c r="G33" s="23"/>
      <c r="H33" s="24">
        <f t="shared" si="1"/>
        <v>3500</v>
      </c>
      <c r="I33" s="25">
        <v>0.95428570000000001</v>
      </c>
      <c r="J33" s="26">
        <f t="shared" si="0"/>
        <v>3339.9999499999999</v>
      </c>
    </row>
    <row r="34" spans="1:10" x14ac:dyDescent="0.3">
      <c r="A34" s="18"/>
      <c r="B34" s="19"/>
      <c r="C34" s="20"/>
      <c r="D34" s="21"/>
      <c r="E34" s="22"/>
      <c r="F34" s="20"/>
      <c r="G34" s="23"/>
      <c r="H34" s="24">
        <f t="shared" si="1"/>
        <v>3500</v>
      </c>
      <c r="I34" s="25">
        <v>0.95428570000000001</v>
      </c>
      <c r="J34" s="26">
        <f t="shared" si="0"/>
        <v>3339.9999499999999</v>
      </c>
    </row>
    <row r="35" spans="1:10" ht="16.2" thickBot="1" x14ac:dyDescent="0.35">
      <c r="A35" s="27"/>
      <c r="B35" s="28"/>
      <c r="C35" s="29"/>
      <c r="D35" s="30"/>
      <c r="E35" s="31"/>
      <c r="F35" s="32"/>
      <c r="G35" s="33"/>
      <c r="H35" s="34">
        <f t="shared" si="1"/>
        <v>3500</v>
      </c>
      <c r="I35" s="35">
        <v>0.95428570000000001</v>
      </c>
      <c r="J35" s="36">
        <f t="shared" si="0"/>
        <v>3339.9999499999999</v>
      </c>
    </row>
  </sheetData>
  <mergeCells count="5">
    <mergeCell ref="I1:J1"/>
    <mergeCell ref="A2:J2"/>
    <mergeCell ref="A4:D4"/>
    <mergeCell ref="E4:G4"/>
    <mergeCell ref="H4:J4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Controle-Estoques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Lúcia</cp:lastModifiedBy>
  <dcterms:created xsi:type="dcterms:W3CDTF">2018-11-30T18:02:28Z</dcterms:created>
  <dcterms:modified xsi:type="dcterms:W3CDTF">2020-10-12T12:14:21Z</dcterms:modified>
</cp:coreProperties>
</file>