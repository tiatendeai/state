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ron\Desktop\DP\LUCRO PRESUMIDO\2020\"/>
    </mc:Choice>
  </mc:AlternateContent>
  <bookViews>
    <workbookView xWindow="0" yWindow="0" windowWidth="20490" windowHeight="7755" activeTab="2"/>
  </bookViews>
  <sheets>
    <sheet name="COMBUSTIVEL 1,6%" sheetId="1" r:id="rId1"/>
    <sheet name="COMERCIO 8%" sheetId="4" r:id="rId2"/>
    <sheet name="SERVIÇOS 16%" sheetId="5" r:id="rId3"/>
    <sheet name="SERVIÇOS 32% " sheetId="6" r:id="rId4"/>
  </sheets>
  <calcPr calcId="152511"/>
</workbook>
</file>

<file path=xl/calcChain.xml><?xml version="1.0" encoding="utf-8"?>
<calcChain xmlns="http://schemas.openxmlformats.org/spreadsheetml/2006/main">
  <c r="J25" i="6" l="1"/>
  <c r="J24" i="6"/>
  <c r="J23" i="6"/>
  <c r="J19" i="6"/>
  <c r="J18" i="6"/>
  <c r="J17" i="6"/>
  <c r="J13" i="6"/>
  <c r="J12" i="6"/>
  <c r="J11" i="6"/>
  <c r="J7" i="6"/>
  <c r="J6" i="6"/>
  <c r="J5" i="6"/>
  <c r="B26" i="6"/>
  <c r="H25" i="6"/>
  <c r="E25" i="6"/>
  <c r="C25" i="6"/>
  <c r="H24" i="6"/>
  <c r="E24" i="6"/>
  <c r="C24" i="6"/>
  <c r="H23" i="6"/>
  <c r="E23" i="6"/>
  <c r="C23" i="6"/>
  <c r="B20" i="6"/>
  <c r="J20" i="6" s="1"/>
  <c r="H19" i="6"/>
  <c r="E19" i="6"/>
  <c r="C19" i="6"/>
  <c r="H18" i="6"/>
  <c r="E18" i="6"/>
  <c r="C18" i="6"/>
  <c r="H17" i="6"/>
  <c r="E17" i="6"/>
  <c r="C17" i="6"/>
  <c r="B14" i="6"/>
  <c r="J14" i="6" s="1"/>
  <c r="H13" i="6"/>
  <c r="E13" i="6"/>
  <c r="C13" i="6"/>
  <c r="H12" i="6"/>
  <c r="E12" i="6"/>
  <c r="C12" i="6"/>
  <c r="H11" i="6"/>
  <c r="E11" i="6"/>
  <c r="C11" i="6"/>
  <c r="B8" i="6"/>
  <c r="J8" i="6" s="1"/>
  <c r="H7" i="6"/>
  <c r="E7" i="6"/>
  <c r="C7" i="6"/>
  <c r="H6" i="6"/>
  <c r="E6" i="6"/>
  <c r="C6" i="6"/>
  <c r="H5" i="6"/>
  <c r="E5" i="6"/>
  <c r="C5" i="6"/>
  <c r="J25" i="5"/>
  <c r="J24" i="5"/>
  <c r="J23" i="5"/>
  <c r="J19" i="5"/>
  <c r="J18" i="5"/>
  <c r="J17" i="5"/>
  <c r="J13" i="5"/>
  <c r="J12" i="5"/>
  <c r="J11" i="5"/>
  <c r="J7" i="5"/>
  <c r="J6" i="5"/>
  <c r="J5" i="5"/>
  <c r="B26" i="5"/>
  <c r="H25" i="5"/>
  <c r="E25" i="5"/>
  <c r="C25" i="5"/>
  <c r="H24" i="5"/>
  <c r="E24" i="5"/>
  <c r="C24" i="5"/>
  <c r="H23" i="5"/>
  <c r="E23" i="5"/>
  <c r="C23" i="5"/>
  <c r="B20" i="5"/>
  <c r="J20" i="5" s="1"/>
  <c r="H19" i="5"/>
  <c r="E19" i="5"/>
  <c r="C19" i="5"/>
  <c r="H18" i="5"/>
  <c r="E18" i="5"/>
  <c r="C18" i="5"/>
  <c r="H17" i="5"/>
  <c r="E17" i="5"/>
  <c r="C17" i="5"/>
  <c r="B14" i="5"/>
  <c r="J14" i="5" s="1"/>
  <c r="H13" i="5"/>
  <c r="E13" i="5"/>
  <c r="C13" i="5"/>
  <c r="H12" i="5"/>
  <c r="E12" i="5"/>
  <c r="C12" i="5"/>
  <c r="H11" i="5"/>
  <c r="E11" i="5"/>
  <c r="C11" i="5"/>
  <c r="B8" i="5"/>
  <c r="J8" i="5" s="1"/>
  <c r="H7" i="5"/>
  <c r="E7" i="5"/>
  <c r="C7" i="5"/>
  <c r="H6" i="5"/>
  <c r="E6" i="5"/>
  <c r="C6" i="5"/>
  <c r="H5" i="5"/>
  <c r="E5" i="5"/>
  <c r="C5" i="5"/>
  <c r="C8" i="5" s="1"/>
  <c r="C36" i="5" s="1"/>
  <c r="J25" i="1"/>
  <c r="J24" i="1"/>
  <c r="J23" i="1"/>
  <c r="J19" i="1"/>
  <c r="J18" i="1"/>
  <c r="J17" i="1"/>
  <c r="J13" i="1"/>
  <c r="J12" i="1"/>
  <c r="J11" i="1"/>
  <c r="J7" i="1"/>
  <c r="J6" i="1"/>
  <c r="J5" i="1"/>
  <c r="B26" i="4"/>
  <c r="J25" i="4"/>
  <c r="H25" i="4"/>
  <c r="E25" i="4"/>
  <c r="C25" i="4"/>
  <c r="J24" i="4"/>
  <c r="H24" i="4"/>
  <c r="E24" i="4"/>
  <c r="C24" i="4"/>
  <c r="J23" i="4"/>
  <c r="J27" i="4" s="1"/>
  <c r="F39" i="4" s="1"/>
  <c r="H23" i="4"/>
  <c r="H26" i="4" s="1"/>
  <c r="F38" i="4" s="1"/>
  <c r="E23" i="4"/>
  <c r="E26" i="4" s="1"/>
  <c r="F37" i="4" s="1"/>
  <c r="C23" i="4"/>
  <c r="C26" i="4" s="1"/>
  <c r="F36" i="4" s="1"/>
  <c r="B20" i="4"/>
  <c r="J20" i="4" s="1"/>
  <c r="J19" i="4"/>
  <c r="H19" i="4"/>
  <c r="E19" i="4"/>
  <c r="C19" i="4"/>
  <c r="J18" i="4"/>
  <c r="H18" i="4"/>
  <c r="E18" i="4"/>
  <c r="C18" i="4"/>
  <c r="J17" i="4"/>
  <c r="J21" i="4" s="1"/>
  <c r="E39" i="4" s="1"/>
  <c r="H17" i="4"/>
  <c r="H20" i="4" s="1"/>
  <c r="E38" i="4" s="1"/>
  <c r="E17" i="4"/>
  <c r="E20" i="4" s="1"/>
  <c r="E37" i="4" s="1"/>
  <c r="C17" i="4"/>
  <c r="C20" i="4" s="1"/>
  <c r="E36" i="4" s="1"/>
  <c r="B14" i="4"/>
  <c r="J14" i="4" s="1"/>
  <c r="J13" i="4"/>
  <c r="H13" i="4"/>
  <c r="E13" i="4"/>
  <c r="C13" i="4"/>
  <c r="J12" i="4"/>
  <c r="H12" i="4"/>
  <c r="E12" i="4"/>
  <c r="C12" i="4"/>
  <c r="J11" i="4"/>
  <c r="J15" i="4" s="1"/>
  <c r="D39" i="4" s="1"/>
  <c r="H11" i="4"/>
  <c r="H14" i="4" s="1"/>
  <c r="D38" i="4" s="1"/>
  <c r="E11" i="4"/>
  <c r="E14" i="4" s="1"/>
  <c r="D37" i="4" s="1"/>
  <c r="C11" i="4"/>
  <c r="C14" i="4" s="1"/>
  <c r="D36" i="4" s="1"/>
  <c r="B8" i="4"/>
  <c r="J8" i="4" s="1"/>
  <c r="J7" i="4"/>
  <c r="H7" i="4"/>
  <c r="E7" i="4"/>
  <c r="C7" i="4"/>
  <c r="J6" i="4"/>
  <c r="H6" i="4"/>
  <c r="E6" i="4"/>
  <c r="C6" i="4"/>
  <c r="J5" i="4"/>
  <c r="H5" i="4"/>
  <c r="H8" i="4" s="1"/>
  <c r="C38" i="4" s="1"/>
  <c r="E5" i="4"/>
  <c r="E8" i="4" s="1"/>
  <c r="C37" i="4" s="1"/>
  <c r="C5" i="4"/>
  <c r="E25" i="1"/>
  <c r="E24" i="1"/>
  <c r="E23" i="1"/>
  <c r="E19" i="1"/>
  <c r="E18" i="1"/>
  <c r="E17" i="1"/>
  <c r="E13" i="1"/>
  <c r="E12" i="1"/>
  <c r="E11" i="1"/>
  <c r="E7" i="1"/>
  <c r="E6" i="1"/>
  <c r="E5" i="1"/>
  <c r="B14" i="1"/>
  <c r="H25" i="1"/>
  <c r="H24" i="1"/>
  <c r="H23" i="1"/>
  <c r="H26" i="1" s="1"/>
  <c r="F38" i="1" s="1"/>
  <c r="H19" i="1"/>
  <c r="H18" i="1"/>
  <c r="H17" i="1"/>
  <c r="H13" i="1"/>
  <c r="H12" i="1"/>
  <c r="H11" i="1"/>
  <c r="H7" i="1"/>
  <c r="H6" i="1"/>
  <c r="H5" i="1"/>
  <c r="H8" i="1" s="1"/>
  <c r="C38" i="1" s="1"/>
  <c r="B26" i="1"/>
  <c r="J26" i="1" s="1"/>
  <c r="B20" i="1"/>
  <c r="J20" i="1" s="1"/>
  <c r="J14" i="1"/>
  <c r="B8" i="1"/>
  <c r="J8" i="1" s="1"/>
  <c r="C25" i="1"/>
  <c r="C24" i="1"/>
  <c r="C23" i="1"/>
  <c r="C19" i="1"/>
  <c r="C18" i="1"/>
  <c r="C17" i="1"/>
  <c r="C13" i="1"/>
  <c r="C12" i="1"/>
  <c r="C11" i="1"/>
  <c r="C6" i="1"/>
  <c r="C7" i="1"/>
  <c r="C5" i="1"/>
  <c r="C8" i="4" l="1"/>
  <c r="C36" i="4" s="1"/>
  <c r="C20" i="1"/>
  <c r="E36" i="1" s="1"/>
  <c r="C8" i="1"/>
  <c r="C36" i="1" s="1"/>
  <c r="H14" i="1"/>
  <c r="D38" i="1" s="1"/>
  <c r="H8" i="5"/>
  <c r="C38" i="5" s="1"/>
  <c r="J9" i="4"/>
  <c r="C39" i="4" s="1"/>
  <c r="C41" i="4" s="1"/>
  <c r="C14" i="5"/>
  <c r="D36" i="5" s="1"/>
  <c r="H14" i="5"/>
  <c r="D38" i="5" s="1"/>
  <c r="C20" i="5"/>
  <c r="E36" i="5" s="1"/>
  <c r="H20" i="5"/>
  <c r="E38" i="5" s="1"/>
  <c r="C26" i="5"/>
  <c r="F36" i="5" s="1"/>
  <c r="H26" i="5"/>
  <c r="F38" i="5" s="1"/>
  <c r="C8" i="6"/>
  <c r="C36" i="6" s="1"/>
  <c r="H8" i="6"/>
  <c r="C38" i="6" s="1"/>
  <c r="C14" i="6"/>
  <c r="D36" i="6" s="1"/>
  <c r="H14" i="6"/>
  <c r="D38" i="6" s="1"/>
  <c r="C20" i="6"/>
  <c r="E36" i="6" s="1"/>
  <c r="H20" i="6"/>
  <c r="E38" i="6" s="1"/>
  <c r="C26" i="6"/>
  <c r="F36" i="6" s="1"/>
  <c r="H26" i="6"/>
  <c r="F38" i="6" s="1"/>
  <c r="E8" i="1"/>
  <c r="C37" i="1" s="1"/>
  <c r="E14" i="1"/>
  <c r="D37" i="1" s="1"/>
  <c r="G37" i="4"/>
  <c r="G39" i="4"/>
  <c r="D41" i="4"/>
  <c r="D43" i="4" s="1"/>
  <c r="F41" i="4"/>
  <c r="F43" i="4" s="1"/>
  <c r="B28" i="4"/>
  <c r="E8" i="5"/>
  <c r="C37" i="5" s="1"/>
  <c r="E14" i="5"/>
  <c r="D37" i="5" s="1"/>
  <c r="E20" i="5"/>
  <c r="E37" i="5" s="1"/>
  <c r="E26" i="5"/>
  <c r="F37" i="5" s="1"/>
  <c r="B28" i="5"/>
  <c r="E8" i="6"/>
  <c r="C37" i="6" s="1"/>
  <c r="E14" i="6"/>
  <c r="D37" i="6" s="1"/>
  <c r="E20" i="6"/>
  <c r="E37" i="6" s="1"/>
  <c r="E26" i="6"/>
  <c r="F37" i="6" s="1"/>
  <c r="B28" i="6"/>
  <c r="J27" i="6"/>
  <c r="F39" i="6" s="1"/>
  <c r="J21" i="6"/>
  <c r="E39" i="6" s="1"/>
  <c r="J15" i="6"/>
  <c r="D39" i="6" s="1"/>
  <c r="D41" i="6" s="1"/>
  <c r="D43" i="6" s="1"/>
  <c r="J9" i="6"/>
  <c r="C39" i="6" s="1"/>
  <c r="G38" i="6"/>
  <c r="J26" i="6"/>
  <c r="J27" i="5"/>
  <c r="F39" i="5" s="1"/>
  <c r="F41" i="5" s="1"/>
  <c r="F43" i="5" s="1"/>
  <c r="J21" i="5"/>
  <c r="E39" i="5" s="1"/>
  <c r="E41" i="5" s="1"/>
  <c r="E43" i="5" s="1"/>
  <c r="J15" i="5"/>
  <c r="D39" i="5" s="1"/>
  <c r="J9" i="5"/>
  <c r="C39" i="5" s="1"/>
  <c r="G36" i="5"/>
  <c r="G38" i="5"/>
  <c r="J26" i="5"/>
  <c r="J27" i="1"/>
  <c r="F39" i="1" s="1"/>
  <c r="J15" i="1"/>
  <c r="D39" i="1" s="1"/>
  <c r="G36" i="4"/>
  <c r="G38" i="4"/>
  <c r="E41" i="4"/>
  <c r="E43" i="4" s="1"/>
  <c r="J26" i="4"/>
  <c r="C14" i="1"/>
  <c r="D36" i="1" s="1"/>
  <c r="C26" i="1"/>
  <c r="F36" i="1" s="1"/>
  <c r="J9" i="1"/>
  <c r="C39" i="1" s="1"/>
  <c r="B28" i="1"/>
  <c r="D41" i="1"/>
  <c r="D43" i="1" s="1"/>
  <c r="E26" i="1"/>
  <c r="F37" i="1" s="1"/>
  <c r="E20" i="1"/>
  <c r="E37" i="1" s="1"/>
  <c r="H20" i="1"/>
  <c r="E38" i="1" s="1"/>
  <c r="G38" i="1" s="1"/>
  <c r="J21" i="1"/>
  <c r="E39" i="1" s="1"/>
  <c r="I38" i="5" l="1"/>
  <c r="G36" i="6"/>
  <c r="I38" i="1"/>
  <c r="I36" i="5"/>
  <c r="E41" i="6"/>
  <c r="E43" i="6" s="1"/>
  <c r="D41" i="5"/>
  <c r="D43" i="5" s="1"/>
  <c r="F41" i="6"/>
  <c r="F43" i="6" s="1"/>
  <c r="I36" i="4"/>
  <c r="I38" i="6"/>
  <c r="G36" i="1"/>
  <c r="I36" i="1" s="1"/>
  <c r="C41" i="1"/>
  <c r="C43" i="1" s="1"/>
  <c r="G37" i="6"/>
  <c r="I37" i="6" s="1"/>
  <c r="I37" i="4"/>
  <c r="I38" i="4"/>
  <c r="I36" i="6"/>
  <c r="G37" i="5"/>
  <c r="I37" i="5" s="1"/>
  <c r="I39" i="4"/>
  <c r="G39" i="6"/>
  <c r="I39" i="6" s="1"/>
  <c r="C41" i="6"/>
  <c r="C43" i="6" s="1"/>
  <c r="G39" i="5"/>
  <c r="I39" i="5" s="1"/>
  <c r="C41" i="5"/>
  <c r="C43" i="5" s="1"/>
  <c r="F41" i="1"/>
  <c r="F43" i="1" s="1"/>
  <c r="G39" i="1"/>
  <c r="I39" i="1" s="1"/>
  <c r="C43" i="4"/>
  <c r="G41" i="4"/>
  <c r="G43" i="4" s="1"/>
  <c r="E41" i="1"/>
  <c r="E43" i="1" s="1"/>
  <c r="G37" i="1"/>
  <c r="I37" i="1" s="1"/>
  <c r="G41" i="6" l="1"/>
  <c r="G43" i="6" s="1"/>
  <c r="G41" i="5"/>
  <c r="G43" i="5" s="1"/>
  <c r="G41" i="1"/>
  <c r="G43" i="1" s="1"/>
</calcChain>
</file>

<file path=xl/sharedStrings.xml><?xml version="1.0" encoding="utf-8"?>
<sst xmlns="http://schemas.openxmlformats.org/spreadsheetml/2006/main" count="252" uniqueCount="55">
  <si>
    <t>Mês</t>
  </si>
  <si>
    <t>Faturamento</t>
  </si>
  <si>
    <t>PIS</t>
  </si>
  <si>
    <t>Ret. PIS</t>
  </si>
  <si>
    <t>COFINS</t>
  </si>
  <si>
    <t>Ret. COFINS</t>
  </si>
  <si>
    <t>Vencimentos</t>
  </si>
  <si>
    <t>CSLL</t>
  </si>
  <si>
    <t>Ret. CSLL</t>
  </si>
  <si>
    <t>IRPJ</t>
  </si>
  <si>
    <t>Ret. IRPJ</t>
  </si>
  <si>
    <t>jan</t>
  </si>
  <si>
    <t>fev</t>
  </si>
  <si>
    <t>mar</t>
  </si>
  <si>
    <t>VALOR ADICIONAL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</si>
  <si>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</si>
  <si>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</si>
  <si>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</si>
  <si>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</si>
  <si>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</si>
  <si>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</si>
  <si>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</si>
  <si>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</si>
  <si>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</si>
  <si>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Procedimento de uso:</t>
  </si>
  <si>
    <t>Informar o faturamento no campo acima, conforme o mês;</t>
  </si>
  <si>
    <t>Informar o valor das retenções nos campos específicos.</t>
  </si>
  <si>
    <t>1 TRI</t>
  </si>
  <si>
    <t>2 TRI</t>
  </si>
  <si>
    <t>3 TRI</t>
  </si>
  <si>
    <t>4 TRI</t>
  </si>
  <si>
    <t>ANO</t>
  </si>
  <si>
    <t>TOTAL IMPOSTOS</t>
  </si>
  <si>
    <t xml:space="preserve"> LUCRO PRESUMIDO - COMERCIO</t>
  </si>
  <si>
    <t>ALÍQUOTA EFETIVA POR IMPOSTO</t>
  </si>
  <si>
    <t>ALIQUOTA EFETIVA TOTAL</t>
  </si>
  <si>
    <t>Espécies de atividades</t>
  </si>
  <si>
    <t>Percentuais sobre a receita</t>
  </si>
  <si>
    <t>Revenda a varejo de combustíveis e gás natural</t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</si>
  <si>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Venda de mercadorias ou produtos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</si>
  <si>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Transporte de cargas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</si>
  <si>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Atividades imobiliárias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</si>
  <si>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Serviços hospitalares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</si>
  <si>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Atividade Rural</t>
    </r>
  </si>
  <si>
    <r>
      <t>·</t>
    </r>
    <r>
      <rPr>
        <sz val="7"/>
        <color rgb="FF000000"/>
        <rFont val="Times New Roman"/>
        <family val="1"/>
      </rPr>
      <t>    </t>
    </r>
    <r>
      <rPr>
        <sz val="12"/>
        <color rgb="FF000000"/>
        <rFont val="Times New Roman"/>
        <family val="1"/>
      </rPr>
      <t>Industrialização com materiais fornecidos pelo encomendante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</si>
  <si>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Outras atividades não especificadas (exceto prestação de serviços)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</si>
  <si>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Serviços de transporte (exceto o de cargas)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</si>
  <si>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Serviços gerais com receita bruta até R$ 120.000/ano</t>
    </r>
  </si>
  <si>
    <r>
      <t>·</t>
    </r>
    <r>
      <rPr>
        <sz val="7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Serviços profissionais (médicos, dentistas, advogados, contadores, auditores, engenheiros, consultores, economistas, etc.)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</si>
  <si>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Intermediação de negócios</t>
    </r>
  </si>
  <si>
    <r>
      <t>·</t>
    </r>
    <r>
      <rPr>
        <sz val="7"/>
        <color rgb="FF000000"/>
        <rFont val="Times New Roman"/>
        <family val="1"/>
      </rPr>
      <t>   </t>
    </r>
    <r>
      <rPr>
        <sz val="12"/>
        <color rgb="FF000000"/>
        <rFont val="Times New Roman"/>
        <family val="1"/>
      </rPr>
      <t>Administração, locação ou cessão de bens móveis/imóveis ou direitos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</si>
  <si>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Serviços de construção civil, quando a prestadora não empregar materiais de sua propriedade nem se responsabilizar pela execução da obra (ADN Cosit 6/97).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</si>
  <si>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2"/>
        <color rgb="FF000000"/>
        <rFont val="Times New Roman"/>
        <family val="1"/>
      </rPr>
      <t>Serviços em geral, para os quais não haja previsão de percentual específico</t>
    </r>
  </si>
  <si>
    <t>No caso de exploração de atividades diversificadas, será aplicado sobre a receita bruta de cada atividade o respectivo percentual</t>
  </si>
  <si>
    <t>1,6 a 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</si>
</sst>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R$ &quot;* #,##0.00_);_(&quot;R$ &quot;* \(#,##0.00\);_(&quot;R$ 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Symbol"/>
      <family val="1"/>
      <charset val="2"/>
    </font>
    <font>
      <sz val="7"/>
      <color rgb="FF00000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2" applyFont="1"/>
    <xf numFmtId="164" fontId="4" fillId="0" borderId="6" xfId="3" applyFont="1" applyBorder="1" applyAlignment="1">
      <alignment horizontal="center"/>
    </xf>
    <xf numFmtId="164" fontId="4" fillId="0" borderId="8" xfId="3" applyFont="1" applyBorder="1" applyAlignment="1">
      <alignment horizontal="center"/>
    </xf>
    <xf numFmtId="164" fontId="3" fillId="0" borderId="1" xfId="3" applyFont="1" applyBorder="1" applyAlignment="1">
      <alignment horizontal="center"/>
    </xf>
    <xf numFmtId="164" fontId="4" fillId="0" borderId="9" xfId="3" applyFont="1" applyBorder="1" applyAlignment="1">
      <alignment horizontal="center"/>
    </xf>
    <xf numFmtId="164" fontId="4" fillId="0" borderId="10" xfId="3" applyFont="1" applyBorder="1" applyAlignment="1">
      <alignment horizontal="center"/>
    </xf>
    <xf numFmtId="164" fontId="3" fillId="0" borderId="2" xfId="3" applyFont="1" applyBorder="1" applyAlignment="1">
      <alignment horizontal="center"/>
    </xf>
    <xf numFmtId="164" fontId="4" fillId="0" borderId="11" xfId="3" applyFont="1" applyBorder="1" applyAlignment="1">
      <alignment horizontal="center"/>
    </xf>
    <xf numFmtId="164" fontId="4" fillId="0" borderId="12" xfId="3" applyFont="1" applyBorder="1" applyAlignment="1">
      <alignment horizontal="center"/>
    </xf>
    <xf numFmtId="164" fontId="3" fillId="0" borderId="3" xfId="3" applyFont="1" applyBorder="1" applyAlignment="1">
      <alignment horizontal="center"/>
    </xf>
    <xf numFmtId="164" fontId="4" fillId="0" borderId="7" xfId="3" applyFont="1" applyBorder="1" applyAlignment="1">
      <alignment horizontal="center"/>
    </xf>
    <xf numFmtId="164" fontId="4" fillId="0" borderId="5" xfId="3" applyFont="1" applyBorder="1"/>
    <xf numFmtId="164" fontId="4" fillId="0" borderId="7" xfId="3" applyFont="1" applyBorder="1"/>
    <xf numFmtId="164" fontId="3" fillId="0" borderId="4" xfId="3" applyFont="1" applyBorder="1" applyAlignment="1">
      <alignment horizontal="center"/>
    </xf>
    <xf numFmtId="164" fontId="4" fillId="0" borderId="13" xfId="3" applyFont="1" applyBorder="1"/>
    <xf numFmtId="164" fontId="4" fillId="0" borderId="6" xfId="3" applyFont="1" applyBorder="1"/>
    <xf numFmtId="0" fontId="4" fillId="0" borderId="0" xfId="2" applyFont="1" applyAlignment="1">
      <alignment horizontal="center"/>
    </xf>
    <xf numFmtId="0" fontId="5" fillId="0" borderId="0" xfId="0" applyFont="1"/>
    <xf numFmtId="0" fontId="3" fillId="0" borderId="0" xfId="2" applyFont="1" applyBorder="1" applyAlignment="1">
      <alignment horizontal="center"/>
    </xf>
    <xf numFmtId="164" fontId="3" fillId="0" borderId="0" xfId="3" applyFont="1" applyBorder="1" applyAlignment="1">
      <alignment horizontal="center"/>
    </xf>
    <xf numFmtId="17" fontId="4" fillId="0" borderId="0" xfId="2" applyNumberFormat="1" applyFont="1" applyBorder="1" applyAlignment="1">
      <alignment horizontal="center"/>
    </xf>
    <xf numFmtId="164" fontId="3" fillId="0" borderId="0" xfId="3" applyFont="1" applyFill="1" applyBorder="1"/>
    <xf numFmtId="14" fontId="3" fillId="0" borderId="0" xfId="3" applyNumberFormat="1" applyFont="1" applyBorder="1" applyAlignment="1">
      <alignment horizontal="center"/>
    </xf>
    <xf numFmtId="164" fontId="4" fillId="0" borderId="0" xfId="3" applyFont="1" applyBorder="1"/>
    <xf numFmtId="164" fontId="4" fillId="0" borderId="0" xfId="2" applyNumberFormat="1" applyFont="1"/>
    <xf numFmtId="164" fontId="3" fillId="3" borderId="0" xfId="3" applyFont="1" applyFill="1" applyBorder="1"/>
    <xf numFmtId="164" fontId="3" fillId="0" borderId="0" xfId="3" applyFont="1" applyBorder="1"/>
    <xf numFmtId="0" fontId="3" fillId="0" borderId="0" xfId="2" applyFont="1" applyBorder="1" applyAlignment="1">
      <alignment horizontal="center" vertical="center"/>
    </xf>
    <xf numFmtId="164" fontId="4" fillId="0" borderId="0" xfId="3" applyFont="1" applyFill="1" applyBorder="1"/>
    <xf numFmtId="0" fontId="4" fillId="0" borderId="0" xfId="2" applyFont="1" applyBorder="1"/>
    <xf numFmtId="164" fontId="5" fillId="0" borderId="0" xfId="0" applyNumberFormat="1" applyFont="1"/>
    <xf numFmtId="10" fontId="4" fillId="0" borderId="0" xfId="1" applyNumberFormat="1" applyFont="1"/>
    <xf numFmtId="0" fontId="5" fillId="0" borderId="0" xfId="0" applyFont="1" applyAlignment="1">
      <alignment horizontal="right"/>
    </xf>
    <xf numFmtId="10" fontId="5" fillId="0" borderId="0" xfId="1" applyNumberFormat="1" applyFont="1"/>
    <xf numFmtId="164" fontId="4" fillId="2" borderId="14" xfId="3" applyFont="1" applyFill="1" applyBorder="1"/>
    <xf numFmtId="164" fontId="4" fillId="2" borderId="15" xfId="3" applyFont="1" applyFill="1" applyBorder="1"/>
    <xf numFmtId="164" fontId="4" fillId="2" borderId="16" xfId="3" applyFont="1" applyFill="1" applyBorder="1"/>
    <xf numFmtId="0" fontId="3" fillId="0" borderId="0" xfId="2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3" fillId="0" borderId="0" xfId="2" applyFont="1" applyBorder="1" applyAlignment="1">
      <alignment horizontal="center"/>
    </xf>
    <xf numFmtId="14" fontId="3" fillId="0" borderId="0" xfId="2" applyNumberFormat="1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0" fontId="6" fillId="0" borderId="13" xfId="0" applyNumberFormat="1" applyFont="1" applyBorder="1" applyAlignment="1">
      <alignment horizontal="center" vertical="center" wrapText="1"/>
    </xf>
    <xf numFmtId="10" fontId="6" fillId="0" borderId="8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9" fontId="6" fillId="0" borderId="17" xfId="0" applyNumberFormat="1" applyFont="1" applyBorder="1" applyAlignment="1">
      <alignment horizontal="center" vertical="center" wrapText="1"/>
    </xf>
    <xf numFmtId="9" fontId="6" fillId="0" borderId="18" xfId="0" applyNumberFormat="1" applyFont="1" applyBorder="1" applyAlignment="1">
      <alignment horizontal="center" vertical="center" wrapText="1"/>
    </xf>
    <xf numFmtId="9" fontId="6" fillId="0" borderId="19" xfId="0" applyNumberFormat="1" applyFon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9" fontId="6" fillId="0" borderId="0" xfId="0" applyNumberFormat="1" applyFont="1" applyBorder="1" applyAlignment="1">
      <alignment horizontal="center" vertical="center" wrapText="1"/>
    </xf>
    <xf numFmtId="9" fontId="6" fillId="0" borderId="21" xfId="0" applyNumberFormat="1" applyFont="1" applyBorder="1" applyAlignment="1">
      <alignment horizontal="center" vertical="center" wrapText="1"/>
    </xf>
    <xf numFmtId="9" fontId="6" fillId="0" borderId="22" xfId="0" applyNumberFormat="1" applyFont="1" applyBorder="1" applyAlignment="1">
      <alignment horizontal="center" vertical="center" wrapText="1"/>
    </xf>
    <xf numFmtId="9" fontId="6" fillId="0" borderId="23" xfId="0" applyNumberFormat="1" applyFont="1" applyBorder="1" applyAlignment="1">
      <alignment horizontal="center" vertical="center" wrapText="1"/>
    </xf>
    <xf numFmtId="9" fontId="6" fillId="0" borderId="24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</cellXfs>
  <cellStyles count="4">
    <cellStyle name="Moeda 2" xfId="3"/>
    <cellStyle name="Normal" xfId="0" builtinId="0"/>
    <cellStyle name="Normal 2" xfId="2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>
      <selection activeCell="N17" sqref="N17"/>
    </sheetView>
  </sheetViews>
  <sheetFormatPr defaultColWidth="9.140625" defaultRowHeight="12.75" x14ac:dyDescent="0.2"/>
  <cols>
    <col min="1" max="1" width="9.140625" style="18"/>
    <col min="2" max="2" width="15.140625" style="18" bestFit="1" customWidth="1"/>
    <col min="3" max="7" width="13.28515625" style="18" bestFit="1" customWidth="1"/>
    <col min="8" max="8" width="11.42578125" style="18" bestFit="1" customWidth="1"/>
    <col min="9" max="9" width="16.5703125" style="18" bestFit="1" customWidth="1"/>
    <col min="10" max="10" width="12.7109375" style="18" bestFit="1" customWidth="1"/>
    <col min="11" max="11" width="13.85546875" style="18" customWidth="1"/>
    <col min="12" max="12" width="10.140625" style="18" bestFit="1" customWidth="1"/>
    <col min="13" max="16384" width="9.140625" style="18"/>
  </cols>
  <sheetData>
    <row r="1" spans="1:12" x14ac:dyDescent="0.2">
      <c r="A1" s="49" t="s">
        <v>33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40" customFormat="1" x14ac:dyDescent="0.2">
      <c r="C3" s="40">
        <v>8109</v>
      </c>
      <c r="E3" s="40">
        <v>2172</v>
      </c>
      <c r="H3" s="40">
        <v>2372</v>
      </c>
      <c r="J3" s="40">
        <v>2089</v>
      </c>
    </row>
    <row r="4" spans="1:12" ht="13.5" thickBot="1" x14ac:dyDescent="0.25">
      <c r="A4" s="19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19" t="s">
        <v>6</v>
      </c>
    </row>
    <row r="5" spans="1:12" x14ac:dyDescent="0.2">
      <c r="A5" s="21" t="s">
        <v>11</v>
      </c>
      <c r="B5" s="35"/>
      <c r="C5" s="22">
        <f>(B5*0.65%)-D5</f>
        <v>0</v>
      </c>
      <c r="D5" s="35"/>
      <c r="E5" s="22">
        <f>(B5*3%)-F5</f>
        <v>0</v>
      </c>
      <c r="F5" s="35"/>
      <c r="G5" s="23">
        <v>43885</v>
      </c>
      <c r="H5" s="24">
        <f>(B5*12%*9%)-I5</f>
        <v>0</v>
      </c>
      <c r="I5" s="35"/>
      <c r="J5" s="24">
        <f>(B5*1.6%*15%)-K5</f>
        <v>0</v>
      </c>
      <c r="K5" s="35"/>
      <c r="L5" s="50">
        <v>43951</v>
      </c>
    </row>
    <row r="6" spans="1:12" x14ac:dyDescent="0.2">
      <c r="A6" s="21" t="s">
        <v>12</v>
      </c>
      <c r="B6" s="36"/>
      <c r="C6" s="22">
        <f t="shared" ref="C6:C7" si="0">(B6*0.65%)-D6</f>
        <v>0</v>
      </c>
      <c r="D6" s="36"/>
      <c r="E6" s="22">
        <f t="shared" ref="E6:E7" si="1">(B6*3%)-F6</f>
        <v>0</v>
      </c>
      <c r="F6" s="36"/>
      <c r="G6" s="23">
        <v>43915</v>
      </c>
      <c r="H6" s="24">
        <f t="shared" ref="H6:H7" si="2">(B6*12%*9%)-I6</f>
        <v>0</v>
      </c>
      <c r="I6" s="36"/>
      <c r="J6" s="24">
        <f>(B6*1.6%*15%)-K6</f>
        <v>0</v>
      </c>
      <c r="K6" s="36"/>
      <c r="L6" s="51"/>
    </row>
    <row r="7" spans="1:12" ht="13.5" customHeight="1" thickBot="1" x14ac:dyDescent="0.25">
      <c r="A7" s="21" t="s">
        <v>13</v>
      </c>
      <c r="B7" s="37"/>
      <c r="C7" s="22">
        <f t="shared" si="0"/>
        <v>0</v>
      </c>
      <c r="D7" s="37"/>
      <c r="E7" s="22">
        <f t="shared" si="1"/>
        <v>0</v>
      </c>
      <c r="F7" s="37"/>
      <c r="G7" s="23">
        <v>43945</v>
      </c>
      <c r="H7" s="24">
        <f t="shared" si="2"/>
        <v>0</v>
      </c>
      <c r="I7" s="37"/>
      <c r="J7" s="24">
        <f>(B7*1.6%*15%)-K7</f>
        <v>0</v>
      </c>
      <c r="K7" s="37"/>
      <c r="L7" s="51"/>
    </row>
    <row r="8" spans="1:12" x14ac:dyDescent="0.2">
      <c r="A8" s="21"/>
      <c r="B8" s="25">
        <f>SUM(B5:B7)</f>
        <v>0</v>
      </c>
      <c r="C8" s="25">
        <f>SUM(C5:C7)</f>
        <v>0</v>
      </c>
      <c r="D8" s="1"/>
      <c r="E8" s="25">
        <f>SUM(E5:E7)</f>
        <v>0</v>
      </c>
      <c r="F8" s="1"/>
      <c r="G8" s="23"/>
      <c r="H8" s="26">
        <f>SUM(H5:H7)</f>
        <v>0</v>
      </c>
      <c r="I8" s="27" t="s">
        <v>14</v>
      </c>
      <c r="J8" s="24">
        <f>((B8*8%)-60000)*10%</f>
        <v>-6000</v>
      </c>
      <c r="K8" s="1"/>
      <c r="L8" s="41"/>
    </row>
    <row r="9" spans="1:12" x14ac:dyDescent="0.2">
      <c r="A9" s="21"/>
      <c r="B9" s="1"/>
      <c r="C9" s="29"/>
      <c r="D9" s="1"/>
      <c r="E9" s="29"/>
      <c r="F9" s="1"/>
      <c r="G9" s="23"/>
      <c r="H9" s="30"/>
      <c r="I9" s="27"/>
      <c r="J9" s="26">
        <f>SUM(J5:J7)</f>
        <v>0</v>
      </c>
      <c r="K9" s="27"/>
      <c r="L9" s="41"/>
    </row>
    <row r="10" spans="1:12" ht="13.5" thickBot="1" x14ac:dyDescent="0.25">
      <c r="A10" s="21"/>
      <c r="B10" s="1"/>
      <c r="C10" s="29"/>
      <c r="D10" s="1"/>
      <c r="E10" s="29"/>
      <c r="F10" s="1"/>
      <c r="G10" s="23"/>
      <c r="H10" s="1"/>
      <c r="I10" s="1"/>
      <c r="J10" s="1"/>
      <c r="K10" s="1"/>
      <c r="L10" s="41"/>
    </row>
    <row r="11" spans="1:12" x14ac:dyDescent="0.2">
      <c r="A11" s="21" t="s">
        <v>15</v>
      </c>
      <c r="B11" s="35"/>
      <c r="C11" s="22">
        <f t="shared" ref="C11:C13" si="3">(B11*0.65%)-D11</f>
        <v>0</v>
      </c>
      <c r="D11" s="35"/>
      <c r="E11" s="22">
        <f>(B11*3%)-F11</f>
        <v>0</v>
      </c>
      <c r="F11" s="35"/>
      <c r="G11" s="23">
        <v>43976</v>
      </c>
      <c r="H11" s="24">
        <f t="shared" ref="H11:H13" si="4">(B11*12%*9%)-I11</f>
        <v>0</v>
      </c>
      <c r="I11" s="35"/>
      <c r="J11" s="24">
        <f>(B11*1.6%*15%)-K11</f>
        <v>0</v>
      </c>
      <c r="K11" s="35"/>
      <c r="L11" s="50">
        <v>44043</v>
      </c>
    </row>
    <row r="12" spans="1:12" x14ac:dyDescent="0.2">
      <c r="A12" s="21" t="s">
        <v>16</v>
      </c>
      <c r="B12" s="36"/>
      <c r="C12" s="22">
        <f t="shared" si="3"/>
        <v>0</v>
      </c>
      <c r="D12" s="36"/>
      <c r="E12" s="22">
        <f>(B12*3%)-F12</f>
        <v>0</v>
      </c>
      <c r="F12" s="36"/>
      <c r="G12" s="23">
        <v>44007</v>
      </c>
      <c r="H12" s="24">
        <f t="shared" si="4"/>
        <v>0</v>
      </c>
      <c r="I12" s="36"/>
      <c r="J12" s="24">
        <f>(B12*1.6%*15%)-K12</f>
        <v>0</v>
      </c>
      <c r="K12" s="36"/>
      <c r="L12" s="51"/>
    </row>
    <row r="13" spans="1:12" ht="13.5" thickBot="1" x14ac:dyDescent="0.25">
      <c r="A13" s="21" t="s">
        <v>17</v>
      </c>
      <c r="B13" s="37"/>
      <c r="C13" s="22">
        <f t="shared" si="3"/>
        <v>0</v>
      </c>
      <c r="D13" s="37"/>
      <c r="E13" s="22">
        <f>(B13*3%)-F13</f>
        <v>0</v>
      </c>
      <c r="F13" s="37"/>
      <c r="G13" s="23">
        <v>44036</v>
      </c>
      <c r="H13" s="24">
        <f t="shared" si="4"/>
        <v>0</v>
      </c>
      <c r="I13" s="37"/>
      <c r="J13" s="24">
        <f>(B13*1.6%*15%)-K13</f>
        <v>0</v>
      </c>
      <c r="K13" s="37"/>
      <c r="L13" s="51"/>
    </row>
    <row r="14" spans="1:12" x14ac:dyDescent="0.2">
      <c r="A14" s="21"/>
      <c r="B14" s="25">
        <f>SUM(B11:B13)</f>
        <v>0</v>
      </c>
      <c r="C14" s="22">
        <f>SUM(C11:C13)</f>
        <v>0</v>
      </c>
      <c r="D14" s="1"/>
      <c r="E14" s="25">
        <f>SUM(E11:E13)</f>
        <v>0</v>
      </c>
      <c r="F14" s="30"/>
      <c r="G14" s="23"/>
      <c r="H14" s="26">
        <f>SUM(H11:H13)</f>
        <v>0</v>
      </c>
      <c r="I14" s="27" t="s">
        <v>14</v>
      </c>
      <c r="J14" s="24">
        <f>((B14*8%)-60000)*10%</f>
        <v>-6000</v>
      </c>
      <c r="K14" s="1"/>
      <c r="L14" s="41"/>
    </row>
    <row r="15" spans="1:12" x14ac:dyDescent="0.2">
      <c r="A15" s="21"/>
      <c r="B15" s="1"/>
      <c r="C15" s="29"/>
      <c r="D15" s="1"/>
      <c r="E15" s="29"/>
      <c r="F15" s="1"/>
      <c r="G15" s="23"/>
      <c r="H15" s="30"/>
      <c r="I15" s="27"/>
      <c r="J15" s="26">
        <f>SUM(J11:J13)</f>
        <v>0</v>
      </c>
      <c r="K15" s="27"/>
      <c r="L15" s="1"/>
    </row>
    <row r="16" spans="1:12" ht="13.5" thickBot="1" x14ac:dyDescent="0.25">
      <c r="A16" s="21"/>
      <c r="B16" s="1"/>
      <c r="C16" s="29"/>
      <c r="D16" s="1"/>
      <c r="E16" s="29"/>
      <c r="F16" s="1"/>
      <c r="G16" s="23"/>
      <c r="H16" s="1"/>
      <c r="I16" s="1"/>
      <c r="J16" s="1"/>
      <c r="K16" s="1"/>
      <c r="L16" s="1"/>
    </row>
    <row r="17" spans="1:12" x14ac:dyDescent="0.2">
      <c r="A17" s="21" t="s">
        <v>18</v>
      </c>
      <c r="B17" s="35"/>
      <c r="C17" s="22">
        <f t="shared" ref="C17:C19" si="5">(B17*0.65%)-D17</f>
        <v>0</v>
      </c>
      <c r="D17" s="35"/>
      <c r="E17" s="22">
        <f t="shared" ref="E17:E19" si="6">(B17*3%)-F17</f>
        <v>0</v>
      </c>
      <c r="F17" s="35"/>
      <c r="G17" s="23">
        <v>44068</v>
      </c>
      <c r="H17" s="24">
        <f t="shared" ref="H17:H19" si="7">(B17*12%*9%)-I17</f>
        <v>0</v>
      </c>
      <c r="I17" s="35"/>
      <c r="J17" s="24">
        <f>(B17*1.6%*15%)-K17</f>
        <v>0</v>
      </c>
      <c r="K17" s="35"/>
      <c r="L17" s="50">
        <v>44134</v>
      </c>
    </row>
    <row r="18" spans="1:12" x14ac:dyDescent="0.2">
      <c r="A18" s="21" t="s">
        <v>19</v>
      </c>
      <c r="B18" s="36"/>
      <c r="C18" s="22">
        <f t="shared" si="5"/>
        <v>0</v>
      </c>
      <c r="D18" s="36"/>
      <c r="E18" s="22">
        <f t="shared" si="6"/>
        <v>0</v>
      </c>
      <c r="F18" s="36"/>
      <c r="G18" s="23">
        <v>44099</v>
      </c>
      <c r="H18" s="24">
        <f t="shared" si="7"/>
        <v>0</v>
      </c>
      <c r="I18" s="36"/>
      <c r="J18" s="24">
        <f>(B18*1.6%*15%)-K18</f>
        <v>0</v>
      </c>
      <c r="K18" s="36"/>
      <c r="L18" s="51"/>
    </row>
    <row r="19" spans="1:12" ht="13.5" thickBot="1" x14ac:dyDescent="0.25">
      <c r="A19" s="21" t="s">
        <v>20</v>
      </c>
      <c r="B19" s="37"/>
      <c r="C19" s="22">
        <f t="shared" si="5"/>
        <v>0</v>
      </c>
      <c r="D19" s="37"/>
      <c r="E19" s="22">
        <f t="shared" si="6"/>
        <v>0</v>
      </c>
      <c r="F19" s="37"/>
      <c r="G19" s="23">
        <v>44127</v>
      </c>
      <c r="H19" s="24">
        <f t="shared" si="7"/>
        <v>0</v>
      </c>
      <c r="I19" s="37"/>
      <c r="J19" s="24">
        <f>(B19*1.6%*15%)-K19</f>
        <v>0</v>
      </c>
      <c r="K19" s="37"/>
      <c r="L19" s="51"/>
    </row>
    <row r="20" spans="1:12" x14ac:dyDescent="0.2">
      <c r="A20" s="21"/>
      <c r="B20" s="25">
        <f>SUM(B17:B19)</f>
        <v>0</v>
      </c>
      <c r="C20" s="22">
        <f>SUM(C17:C19)</f>
        <v>0</v>
      </c>
      <c r="D20" s="1"/>
      <c r="E20" s="25">
        <f>SUM(E17:E19)</f>
        <v>0</v>
      </c>
      <c r="F20" s="1"/>
      <c r="G20" s="23"/>
      <c r="H20" s="26">
        <f>SUM(H17:H19)</f>
        <v>0</v>
      </c>
      <c r="I20" s="27" t="s">
        <v>14</v>
      </c>
      <c r="J20" s="24">
        <f>((B20*8%)-60000)*10%</f>
        <v>-6000</v>
      </c>
      <c r="K20" s="1"/>
      <c r="L20" s="41"/>
    </row>
    <row r="21" spans="1:12" x14ac:dyDescent="0.2">
      <c r="A21" s="21"/>
      <c r="B21" s="1"/>
      <c r="C21" s="29"/>
      <c r="D21" s="1"/>
      <c r="E21" s="29"/>
      <c r="F21" s="1"/>
      <c r="G21" s="23"/>
      <c r="H21" s="30"/>
      <c r="I21" s="27"/>
      <c r="J21" s="26">
        <f>SUM(J17:J19)</f>
        <v>0</v>
      </c>
      <c r="K21" s="27"/>
      <c r="L21" s="1"/>
    </row>
    <row r="22" spans="1:12" ht="13.5" thickBot="1" x14ac:dyDescent="0.25">
      <c r="A22" s="21"/>
      <c r="B22" s="1"/>
      <c r="C22" s="29"/>
      <c r="D22" s="1"/>
      <c r="E22" s="29"/>
      <c r="F22" s="1"/>
      <c r="G22" s="23"/>
      <c r="H22" s="1"/>
      <c r="I22" s="1"/>
      <c r="J22" s="1"/>
      <c r="K22" s="1"/>
      <c r="L22" s="1"/>
    </row>
    <row r="23" spans="1:12" x14ac:dyDescent="0.2">
      <c r="A23" s="21" t="s">
        <v>21</v>
      </c>
      <c r="B23" s="35"/>
      <c r="C23" s="22">
        <f t="shared" ref="C23:C25" si="8">(B23*0.65%)-D23</f>
        <v>0</v>
      </c>
      <c r="D23" s="35"/>
      <c r="E23" s="22">
        <f t="shared" ref="E23:E25" si="9">(B23*3%)-F23</f>
        <v>0</v>
      </c>
      <c r="F23" s="35"/>
      <c r="G23" s="23">
        <v>44160</v>
      </c>
      <c r="H23" s="24">
        <f t="shared" ref="H23:H25" si="10">(B23*12%*9%)-I23</f>
        <v>0</v>
      </c>
      <c r="I23" s="35"/>
      <c r="J23" s="24">
        <f>(B23*1.6%*15%)-K23</f>
        <v>0</v>
      </c>
      <c r="K23" s="35"/>
      <c r="L23" s="50">
        <v>44225</v>
      </c>
    </row>
    <row r="24" spans="1:12" ht="12.75" customHeight="1" x14ac:dyDescent="0.2">
      <c r="A24" s="21" t="s">
        <v>22</v>
      </c>
      <c r="B24" s="36"/>
      <c r="C24" s="22">
        <f t="shared" si="8"/>
        <v>0</v>
      </c>
      <c r="D24" s="36"/>
      <c r="E24" s="22">
        <f t="shared" si="9"/>
        <v>0</v>
      </c>
      <c r="F24" s="36"/>
      <c r="G24" s="23">
        <v>44189</v>
      </c>
      <c r="H24" s="24">
        <f t="shared" si="10"/>
        <v>0</v>
      </c>
      <c r="I24" s="36"/>
      <c r="J24" s="24">
        <f>(B24*1.6%*15%)-K24</f>
        <v>0</v>
      </c>
      <c r="K24" s="36"/>
      <c r="L24" s="51"/>
    </row>
    <row r="25" spans="1:12" ht="13.5" customHeight="1" thickBot="1" x14ac:dyDescent="0.25">
      <c r="A25" s="21" t="s">
        <v>23</v>
      </c>
      <c r="B25" s="37"/>
      <c r="C25" s="22">
        <f t="shared" si="8"/>
        <v>0</v>
      </c>
      <c r="D25" s="37"/>
      <c r="E25" s="22">
        <f t="shared" si="9"/>
        <v>0</v>
      </c>
      <c r="F25" s="37"/>
      <c r="G25" s="23">
        <v>44221</v>
      </c>
      <c r="H25" s="24">
        <f t="shared" si="10"/>
        <v>0</v>
      </c>
      <c r="I25" s="37"/>
      <c r="J25" s="24">
        <f>(B25*1.6%*15%)-K25</f>
        <v>0</v>
      </c>
      <c r="K25" s="37"/>
      <c r="L25" s="51"/>
    </row>
    <row r="26" spans="1:12" x14ac:dyDescent="0.2">
      <c r="A26" s="21"/>
      <c r="B26" s="25">
        <f>SUM(B23:B25)</f>
        <v>0</v>
      </c>
      <c r="C26" s="25">
        <f>SUM(C23:C25)</f>
        <v>0</v>
      </c>
      <c r="D26" s="1"/>
      <c r="E26" s="25">
        <f>SUM(E23:E25)</f>
        <v>0</v>
      </c>
      <c r="F26" s="1"/>
      <c r="G26" s="23"/>
      <c r="H26" s="26">
        <f>SUM(H23:H25)</f>
        <v>0</v>
      </c>
      <c r="I26" s="27" t="s">
        <v>14</v>
      </c>
      <c r="J26" s="24">
        <f>((B26*8%)-60000)*10%</f>
        <v>-6000</v>
      </c>
      <c r="K26" s="1"/>
      <c r="L26" s="28"/>
    </row>
    <row r="27" spans="1:12" x14ac:dyDescent="0.2">
      <c r="A27" s="1"/>
      <c r="B27" s="24"/>
      <c r="C27" s="1"/>
      <c r="D27" s="1"/>
      <c r="E27" s="1"/>
      <c r="F27" s="1"/>
      <c r="G27" s="1"/>
      <c r="H27" s="30"/>
      <c r="I27" s="27"/>
      <c r="J27" s="26">
        <f>SUM(J23:J25)</f>
        <v>0</v>
      </c>
      <c r="K27" s="27"/>
      <c r="L27" s="1"/>
    </row>
    <row r="28" spans="1:12" x14ac:dyDescent="0.2">
      <c r="B28" s="31">
        <f>SUM(B26,B20,B14,B8)</f>
        <v>0</v>
      </c>
    </row>
    <row r="31" spans="1:12" x14ac:dyDescent="0.2">
      <c r="A31" s="30" t="s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30" t="s">
        <v>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30" t="s">
        <v>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3.5" thickBot="1" x14ac:dyDescent="0.25"/>
    <row r="35" spans="1:12" ht="13.5" thickBot="1" x14ac:dyDescent="0.25">
      <c r="A35" s="1"/>
      <c r="B35" s="2"/>
      <c r="C35" s="3" t="s">
        <v>27</v>
      </c>
      <c r="D35" s="2" t="s">
        <v>28</v>
      </c>
      <c r="E35" s="3" t="s">
        <v>29</v>
      </c>
      <c r="F35" s="2" t="s">
        <v>30</v>
      </c>
      <c r="G35" s="4" t="s">
        <v>31</v>
      </c>
      <c r="H35" s="1"/>
      <c r="I35" s="17" t="s">
        <v>34</v>
      </c>
      <c r="J35" s="1"/>
      <c r="K35" s="1"/>
      <c r="L35" s="1"/>
    </row>
    <row r="36" spans="1:12" x14ac:dyDescent="0.2">
      <c r="A36" s="1"/>
      <c r="B36" s="5" t="s">
        <v>2</v>
      </c>
      <c r="C36" s="6">
        <f>C8</f>
        <v>0</v>
      </c>
      <c r="D36" s="5">
        <f>C14</f>
        <v>0</v>
      </c>
      <c r="E36" s="6">
        <f>C20</f>
        <v>0</v>
      </c>
      <c r="F36" s="5">
        <f>C26</f>
        <v>0</v>
      </c>
      <c r="G36" s="7">
        <f>SUM(C36:F36)</f>
        <v>0</v>
      </c>
      <c r="H36" s="1"/>
      <c r="I36" s="32" t="e">
        <f>G36/$B$28</f>
        <v>#DIV/0!</v>
      </c>
      <c r="J36" s="1"/>
      <c r="K36" s="1"/>
      <c r="L36" s="1"/>
    </row>
    <row r="37" spans="1:12" x14ac:dyDescent="0.2">
      <c r="A37" s="1"/>
      <c r="B37" s="8" t="s">
        <v>4</v>
      </c>
      <c r="C37" s="9">
        <f>E8</f>
        <v>0</v>
      </c>
      <c r="D37" s="8">
        <f>E14</f>
        <v>0</v>
      </c>
      <c r="E37" s="9">
        <f>E20</f>
        <v>0</v>
      </c>
      <c r="F37" s="8">
        <f>E26</f>
        <v>0</v>
      </c>
      <c r="G37" s="10">
        <f>SUM(C37:F37)</f>
        <v>0</v>
      </c>
      <c r="H37" s="1"/>
      <c r="I37" s="32" t="e">
        <f t="shared" ref="I37:I39" si="11">G37/$B$28</f>
        <v>#DIV/0!</v>
      </c>
      <c r="J37" s="1"/>
      <c r="K37" s="1"/>
      <c r="L37" s="1"/>
    </row>
    <row r="38" spans="1:12" x14ac:dyDescent="0.2">
      <c r="A38" s="1"/>
      <c r="B38" s="8" t="s">
        <v>7</v>
      </c>
      <c r="C38" s="9">
        <f>H8</f>
        <v>0</v>
      </c>
      <c r="D38" s="8">
        <f>H14</f>
        <v>0</v>
      </c>
      <c r="E38" s="9">
        <f>H20</f>
        <v>0</v>
      </c>
      <c r="F38" s="8">
        <f>H26</f>
        <v>0</v>
      </c>
      <c r="G38" s="10">
        <f>SUM(C38:F38)</f>
        <v>0</v>
      </c>
      <c r="H38" s="1"/>
      <c r="I38" s="32" t="e">
        <f t="shared" si="11"/>
        <v>#DIV/0!</v>
      </c>
      <c r="J38" s="1"/>
      <c r="K38" s="1"/>
      <c r="L38" s="1"/>
    </row>
    <row r="39" spans="1:12" ht="13.5" thickBot="1" x14ac:dyDescent="0.25">
      <c r="A39" s="1"/>
      <c r="B39" s="11" t="s">
        <v>9</v>
      </c>
      <c r="C39" s="12">
        <f>J9</f>
        <v>0</v>
      </c>
      <c r="D39" s="13">
        <f>J15</f>
        <v>0</v>
      </c>
      <c r="E39" s="12">
        <f>J21</f>
        <v>0</v>
      </c>
      <c r="F39" s="13">
        <f>J27</f>
        <v>0</v>
      </c>
      <c r="G39" s="14">
        <f>SUM(C39:F39)</f>
        <v>0</v>
      </c>
      <c r="H39" s="1"/>
      <c r="I39" s="32" t="e">
        <f t="shared" si="11"/>
        <v>#DIV/0!</v>
      </c>
      <c r="J39" s="1"/>
      <c r="K39" s="1"/>
      <c r="L39" s="1"/>
    </row>
    <row r="40" spans="1:12" ht="13.5" thickBot="1" x14ac:dyDescent="0.25">
      <c r="B40" s="1"/>
      <c r="C40" s="1"/>
      <c r="D40" s="1"/>
      <c r="E40" s="1"/>
      <c r="F40" s="1"/>
      <c r="G40" s="1"/>
    </row>
    <row r="41" spans="1:12" ht="13.5" thickBot="1" x14ac:dyDescent="0.25">
      <c r="B41" s="15" t="s">
        <v>32</v>
      </c>
      <c r="C41" s="16">
        <f>SUM(C36:C39)</f>
        <v>0</v>
      </c>
      <c r="D41" s="16">
        <f t="shared" ref="D41:F41" si="12">SUM(D36:D39)</f>
        <v>0</v>
      </c>
      <c r="E41" s="16">
        <f t="shared" si="12"/>
        <v>0</v>
      </c>
      <c r="F41" s="16">
        <f t="shared" si="12"/>
        <v>0</v>
      </c>
      <c r="G41" s="16">
        <f>SUM(C41:F41)</f>
        <v>0</v>
      </c>
    </row>
    <row r="43" spans="1:12" x14ac:dyDescent="0.2">
      <c r="B43" s="33" t="s">
        <v>35</v>
      </c>
      <c r="C43" s="34" t="e">
        <f>C41/$B$8</f>
        <v>#DIV/0!</v>
      </c>
      <c r="D43" s="34" t="e">
        <f>D41/$B$14</f>
        <v>#DIV/0!</v>
      </c>
      <c r="E43" s="34" t="e">
        <f>E41/$B$20</f>
        <v>#DIV/0!</v>
      </c>
      <c r="F43" s="34" t="e">
        <f>F41/$B$26</f>
        <v>#DIV/0!</v>
      </c>
      <c r="G43" s="34" t="e">
        <f>G41/$B$28</f>
        <v>#DIV/0!</v>
      </c>
    </row>
    <row r="45" spans="1:12" ht="12.75" customHeight="1" thickBot="1" x14ac:dyDescent="0.25"/>
    <row r="46" spans="1:12" ht="16.5" thickBot="1" x14ac:dyDescent="0.25">
      <c r="B46" s="52" t="s">
        <v>36</v>
      </c>
      <c r="C46" s="53"/>
      <c r="D46" s="53"/>
      <c r="E46" s="53"/>
      <c r="F46" s="53"/>
      <c r="G46" s="54"/>
      <c r="H46" s="52" t="s">
        <v>37</v>
      </c>
      <c r="I46" s="53"/>
      <c r="J46" s="54"/>
    </row>
    <row r="47" spans="1:12" ht="16.5" thickBot="1" x14ac:dyDescent="0.25">
      <c r="B47" s="55" t="s">
        <v>38</v>
      </c>
      <c r="C47" s="56"/>
      <c r="D47" s="56"/>
      <c r="E47" s="56"/>
      <c r="F47" s="56"/>
      <c r="G47" s="57"/>
      <c r="H47" s="58">
        <v>1.6E-2</v>
      </c>
      <c r="I47" s="59"/>
      <c r="J47" s="60"/>
    </row>
    <row r="48" spans="1:12" ht="15.75" x14ac:dyDescent="0.2">
      <c r="B48" s="46" t="s">
        <v>39</v>
      </c>
      <c r="C48" s="47"/>
      <c r="D48" s="47"/>
      <c r="E48" s="47"/>
      <c r="F48" s="47"/>
      <c r="G48" s="48"/>
      <c r="H48" s="70">
        <v>0.08</v>
      </c>
      <c r="I48" s="71"/>
      <c r="J48" s="72"/>
    </row>
    <row r="49" spans="2:10" ht="15.75" x14ac:dyDescent="0.2">
      <c r="B49" s="79" t="s">
        <v>40</v>
      </c>
      <c r="C49" s="80"/>
      <c r="D49" s="80"/>
      <c r="E49" s="80"/>
      <c r="F49" s="80"/>
      <c r="G49" s="81"/>
      <c r="H49" s="73"/>
      <c r="I49" s="74"/>
      <c r="J49" s="75"/>
    </row>
    <row r="50" spans="2:10" ht="15.75" x14ac:dyDescent="0.2">
      <c r="B50" s="79" t="s">
        <v>41</v>
      </c>
      <c r="C50" s="80"/>
      <c r="D50" s="80"/>
      <c r="E50" s="80"/>
      <c r="F50" s="80"/>
      <c r="G50" s="81"/>
      <c r="H50" s="73"/>
      <c r="I50" s="74"/>
      <c r="J50" s="75"/>
    </row>
    <row r="51" spans="2:10" ht="15.75" x14ac:dyDescent="0.2">
      <c r="B51" s="79" t="s">
        <v>42</v>
      </c>
      <c r="C51" s="80"/>
      <c r="D51" s="80"/>
      <c r="E51" s="80"/>
      <c r="F51" s="80"/>
      <c r="G51" s="81"/>
      <c r="H51" s="73"/>
      <c r="I51" s="74"/>
      <c r="J51" s="75"/>
    </row>
    <row r="52" spans="2:10" ht="15.75" x14ac:dyDescent="0.2">
      <c r="B52" s="79" t="s">
        <v>43</v>
      </c>
      <c r="C52" s="80"/>
      <c r="D52" s="80"/>
      <c r="E52" s="80"/>
      <c r="F52" s="80"/>
      <c r="G52" s="81"/>
      <c r="H52" s="73"/>
      <c r="I52" s="74"/>
      <c r="J52" s="75"/>
    </row>
    <row r="53" spans="2:10" ht="15.75" x14ac:dyDescent="0.2">
      <c r="B53" s="79" t="s">
        <v>44</v>
      </c>
      <c r="C53" s="80"/>
      <c r="D53" s="80"/>
      <c r="E53" s="80"/>
      <c r="F53" s="80"/>
      <c r="G53" s="81"/>
      <c r="H53" s="73"/>
      <c r="I53" s="74"/>
      <c r="J53" s="75"/>
    </row>
    <row r="54" spans="2:10" ht="16.5" thickBot="1" x14ac:dyDescent="0.25">
      <c r="B54" s="43" t="s">
        <v>45</v>
      </c>
      <c r="C54" s="44"/>
      <c r="D54" s="44"/>
      <c r="E54" s="44"/>
      <c r="F54" s="44"/>
      <c r="G54" s="45"/>
      <c r="H54" s="76"/>
      <c r="I54" s="77"/>
      <c r="J54" s="78"/>
    </row>
    <row r="55" spans="2:10" ht="15.75" x14ac:dyDescent="0.2">
      <c r="B55" s="46" t="s">
        <v>46</v>
      </c>
      <c r="C55" s="47"/>
      <c r="D55" s="47"/>
      <c r="E55" s="47"/>
      <c r="F55" s="47"/>
      <c r="G55" s="48"/>
      <c r="H55" s="70">
        <v>0.16</v>
      </c>
      <c r="I55" s="71"/>
      <c r="J55" s="72"/>
    </row>
    <row r="56" spans="2:10" ht="16.5" thickBot="1" x14ac:dyDescent="0.25">
      <c r="B56" s="43" t="s">
        <v>47</v>
      </c>
      <c r="C56" s="44"/>
      <c r="D56" s="44"/>
      <c r="E56" s="44"/>
      <c r="F56" s="44"/>
      <c r="G56" s="45"/>
      <c r="H56" s="76"/>
      <c r="I56" s="77"/>
      <c r="J56" s="78"/>
    </row>
    <row r="57" spans="2:10" ht="15.75" x14ac:dyDescent="0.2">
      <c r="B57" s="46" t="s">
        <v>48</v>
      </c>
      <c r="C57" s="47"/>
      <c r="D57" s="47"/>
      <c r="E57" s="47"/>
      <c r="F57" s="47"/>
      <c r="G57" s="48"/>
      <c r="H57" s="70">
        <v>0.32</v>
      </c>
      <c r="I57" s="71"/>
      <c r="J57" s="72"/>
    </row>
    <row r="58" spans="2:10" ht="15.75" x14ac:dyDescent="0.2">
      <c r="B58" s="79" t="s">
        <v>49</v>
      </c>
      <c r="C58" s="80"/>
      <c r="D58" s="80"/>
      <c r="E58" s="80"/>
      <c r="F58" s="80"/>
      <c r="G58" s="81"/>
      <c r="H58" s="73"/>
      <c r="I58" s="74"/>
      <c r="J58" s="75"/>
    </row>
    <row r="59" spans="2:10" ht="15.75" x14ac:dyDescent="0.2">
      <c r="B59" s="79" t="s">
        <v>50</v>
      </c>
      <c r="C59" s="80"/>
      <c r="D59" s="80"/>
      <c r="E59" s="80"/>
      <c r="F59" s="80"/>
      <c r="G59" s="81"/>
      <c r="H59" s="73"/>
      <c r="I59" s="74"/>
      <c r="J59" s="75"/>
    </row>
    <row r="60" spans="2:10" ht="15.75" x14ac:dyDescent="0.2">
      <c r="B60" s="79" t="s">
        <v>51</v>
      </c>
      <c r="C60" s="80"/>
      <c r="D60" s="80"/>
      <c r="E60" s="80"/>
      <c r="F60" s="80"/>
      <c r="G60" s="81"/>
      <c r="H60" s="73"/>
      <c r="I60" s="74"/>
      <c r="J60" s="75"/>
    </row>
    <row r="61" spans="2:10" ht="16.5" thickBot="1" x14ac:dyDescent="0.25">
      <c r="B61" s="43" t="s">
        <v>52</v>
      </c>
      <c r="C61" s="44"/>
      <c r="D61" s="44"/>
      <c r="E61" s="44"/>
      <c r="F61" s="44"/>
      <c r="G61" s="45"/>
      <c r="H61" s="76"/>
      <c r="I61" s="77"/>
      <c r="J61" s="78"/>
    </row>
    <row r="62" spans="2:10" ht="12.75" customHeight="1" x14ac:dyDescent="0.2">
      <c r="B62" s="61" t="s">
        <v>53</v>
      </c>
      <c r="C62" s="62"/>
      <c r="D62" s="62"/>
      <c r="E62" s="62"/>
      <c r="F62" s="62"/>
      <c r="G62" s="63"/>
      <c r="H62" s="61" t="s">
        <v>54</v>
      </c>
      <c r="I62" s="62"/>
      <c r="J62" s="63"/>
    </row>
    <row r="63" spans="2:10" ht="12.75" customHeight="1" x14ac:dyDescent="0.2">
      <c r="B63" s="64"/>
      <c r="C63" s="65"/>
      <c r="D63" s="65"/>
      <c r="E63" s="65"/>
      <c r="F63" s="65"/>
      <c r="G63" s="66"/>
      <c r="H63" s="64"/>
      <c r="I63" s="65"/>
      <c r="J63" s="66"/>
    </row>
    <row r="64" spans="2:10" ht="13.5" customHeight="1" thickBot="1" x14ac:dyDescent="0.25">
      <c r="B64" s="67"/>
      <c r="C64" s="68"/>
      <c r="D64" s="68"/>
      <c r="E64" s="68"/>
      <c r="F64" s="68"/>
      <c r="G64" s="69"/>
      <c r="H64" s="67"/>
      <c r="I64" s="68"/>
      <c r="J64" s="69"/>
    </row>
  </sheetData>
  <mergeCells count="28">
    <mergeCell ref="B61:G61"/>
    <mergeCell ref="B62:G64"/>
    <mergeCell ref="H48:J54"/>
    <mergeCell ref="H55:J56"/>
    <mergeCell ref="H57:J61"/>
    <mergeCell ref="H62:J64"/>
    <mergeCell ref="B56:G56"/>
    <mergeCell ref="B57:G57"/>
    <mergeCell ref="B58:G58"/>
    <mergeCell ref="B59:G59"/>
    <mergeCell ref="B60:G60"/>
    <mergeCell ref="B49:G49"/>
    <mergeCell ref="B50:G50"/>
    <mergeCell ref="B51:G51"/>
    <mergeCell ref="B52:G52"/>
    <mergeCell ref="B53:G53"/>
    <mergeCell ref="B54:G54"/>
    <mergeCell ref="B55:G55"/>
    <mergeCell ref="A1:L1"/>
    <mergeCell ref="L5:L7"/>
    <mergeCell ref="L11:L13"/>
    <mergeCell ref="L17:L19"/>
    <mergeCell ref="L23:L25"/>
    <mergeCell ref="B46:G46"/>
    <mergeCell ref="B47:G47"/>
    <mergeCell ref="H46:J46"/>
    <mergeCell ref="H47:J47"/>
    <mergeCell ref="B48:G4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>
      <selection activeCell="L5" sqref="L5:L25"/>
    </sheetView>
  </sheetViews>
  <sheetFormatPr defaultColWidth="9.140625" defaultRowHeight="12.75" x14ac:dyDescent="0.2"/>
  <cols>
    <col min="1" max="1" width="9.140625" style="18"/>
    <col min="2" max="2" width="15.140625" style="18" bestFit="1" customWidth="1"/>
    <col min="3" max="7" width="13.28515625" style="18" bestFit="1" customWidth="1"/>
    <col min="8" max="8" width="11.42578125" style="18" bestFit="1" customWidth="1"/>
    <col min="9" max="9" width="16.5703125" style="18" bestFit="1" customWidth="1"/>
    <col min="10" max="10" width="12.7109375" style="18" bestFit="1" customWidth="1"/>
    <col min="11" max="11" width="13.85546875" style="18" customWidth="1"/>
    <col min="12" max="12" width="10.140625" style="18" bestFit="1" customWidth="1"/>
    <col min="13" max="16384" width="9.140625" style="18"/>
  </cols>
  <sheetData>
    <row r="1" spans="1:12" x14ac:dyDescent="0.2">
      <c r="A1" s="49" t="s">
        <v>33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39" customFormat="1" x14ac:dyDescent="0.2">
      <c r="C3" s="39">
        <v>8109</v>
      </c>
      <c r="E3" s="39">
        <v>2172</v>
      </c>
      <c r="H3" s="39">
        <v>2372</v>
      </c>
      <c r="J3" s="39">
        <v>2089</v>
      </c>
    </row>
    <row r="4" spans="1:12" ht="13.5" thickBot="1" x14ac:dyDescent="0.25">
      <c r="A4" s="19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19" t="s">
        <v>6</v>
      </c>
    </row>
    <row r="5" spans="1:12" x14ac:dyDescent="0.2">
      <c r="A5" s="21" t="s">
        <v>11</v>
      </c>
      <c r="B5" s="35"/>
      <c r="C5" s="22">
        <f>(B5*0.65%)-D5</f>
        <v>0</v>
      </c>
      <c r="D5" s="35"/>
      <c r="E5" s="22">
        <f>(B5*3%)-F5</f>
        <v>0</v>
      </c>
      <c r="F5" s="35"/>
      <c r="G5" s="23">
        <v>43521</v>
      </c>
      <c r="H5" s="24">
        <f>(B5*12%*9%)-I5</f>
        <v>0</v>
      </c>
      <c r="I5" s="35"/>
      <c r="J5" s="24">
        <f>(B5*8%*15%)-K5</f>
        <v>0</v>
      </c>
      <c r="K5" s="35"/>
      <c r="L5" s="50">
        <v>43585</v>
      </c>
    </row>
    <row r="6" spans="1:12" x14ac:dyDescent="0.2">
      <c r="A6" s="21" t="s">
        <v>12</v>
      </c>
      <c r="B6" s="36"/>
      <c r="C6" s="22">
        <f t="shared" ref="C6:C7" si="0">(B6*0.65%)-D6</f>
        <v>0</v>
      </c>
      <c r="D6" s="36"/>
      <c r="E6" s="22">
        <f t="shared" ref="E6:E7" si="1">(B6*3%)-F6</f>
        <v>0</v>
      </c>
      <c r="F6" s="36"/>
      <c r="G6" s="23">
        <v>43549</v>
      </c>
      <c r="H6" s="24">
        <f t="shared" ref="H6:H7" si="2">(B6*12%*9%)-I6</f>
        <v>0</v>
      </c>
      <c r="I6" s="36"/>
      <c r="J6" s="24">
        <f t="shared" ref="J6:J7" si="3">(B6*8%*15%)-K6</f>
        <v>0</v>
      </c>
      <c r="K6" s="36"/>
      <c r="L6" s="51"/>
    </row>
    <row r="7" spans="1:12" ht="13.5" customHeight="1" thickBot="1" x14ac:dyDescent="0.25">
      <c r="A7" s="21" t="s">
        <v>13</v>
      </c>
      <c r="B7" s="37"/>
      <c r="C7" s="22">
        <f t="shared" si="0"/>
        <v>0</v>
      </c>
      <c r="D7" s="37"/>
      <c r="E7" s="22">
        <f t="shared" si="1"/>
        <v>0</v>
      </c>
      <c r="F7" s="37"/>
      <c r="G7" s="23">
        <v>43580</v>
      </c>
      <c r="H7" s="24">
        <f t="shared" si="2"/>
        <v>0</v>
      </c>
      <c r="I7" s="37"/>
      <c r="J7" s="24">
        <f t="shared" si="3"/>
        <v>0</v>
      </c>
      <c r="K7" s="37"/>
      <c r="L7" s="51"/>
    </row>
    <row r="8" spans="1:12" x14ac:dyDescent="0.2">
      <c r="A8" s="21"/>
      <c r="B8" s="25">
        <f>SUM(B5:B7)</f>
        <v>0</v>
      </c>
      <c r="C8" s="25">
        <f>SUM(C5:C7)</f>
        <v>0</v>
      </c>
      <c r="D8" s="1"/>
      <c r="E8" s="25">
        <f>SUM(E5:E7)</f>
        <v>0</v>
      </c>
      <c r="F8" s="1"/>
      <c r="G8" s="23"/>
      <c r="H8" s="26">
        <f>SUM(H5:H7)</f>
        <v>0</v>
      </c>
      <c r="I8" s="27" t="s">
        <v>14</v>
      </c>
      <c r="J8" s="24">
        <f>((B8*8%)-60000)*10%</f>
        <v>-6000</v>
      </c>
      <c r="K8" s="1"/>
      <c r="L8" s="41"/>
    </row>
    <row r="9" spans="1:12" x14ac:dyDescent="0.2">
      <c r="A9" s="21"/>
      <c r="B9" s="1"/>
      <c r="C9" s="29"/>
      <c r="D9" s="1"/>
      <c r="E9" s="29"/>
      <c r="F9" s="1"/>
      <c r="G9" s="23"/>
      <c r="H9" s="30"/>
      <c r="I9" s="27"/>
      <c r="J9" s="26">
        <f>SUM(J5:J7)</f>
        <v>0</v>
      </c>
      <c r="K9" s="27"/>
      <c r="L9" s="41"/>
    </row>
    <row r="10" spans="1:12" ht="13.5" thickBot="1" x14ac:dyDescent="0.25">
      <c r="A10" s="21"/>
      <c r="B10" s="1"/>
      <c r="C10" s="29"/>
      <c r="D10" s="1"/>
      <c r="E10" s="29"/>
      <c r="F10" s="1"/>
      <c r="G10" s="23"/>
      <c r="H10" s="1"/>
      <c r="I10" s="1"/>
      <c r="J10" s="1"/>
      <c r="K10" s="1"/>
      <c r="L10" s="41"/>
    </row>
    <row r="11" spans="1:12" x14ac:dyDescent="0.2">
      <c r="A11" s="21" t="s">
        <v>15</v>
      </c>
      <c r="B11" s="35"/>
      <c r="C11" s="22">
        <f t="shared" ref="C11:C13" si="4">(B11*0.65%)-D11</f>
        <v>0</v>
      </c>
      <c r="D11" s="35"/>
      <c r="E11" s="22">
        <f>(B11*3%)-F11</f>
        <v>0</v>
      </c>
      <c r="F11" s="35"/>
      <c r="G11" s="23">
        <v>43609</v>
      </c>
      <c r="H11" s="24">
        <f t="shared" ref="H11:H13" si="5">(B11*12%*9%)-I11</f>
        <v>0</v>
      </c>
      <c r="I11" s="35"/>
      <c r="J11" s="24">
        <f t="shared" ref="J11:J13" si="6">(B11*8%*15%)-K11</f>
        <v>0</v>
      </c>
      <c r="K11" s="35"/>
      <c r="L11" s="50">
        <v>43677</v>
      </c>
    </row>
    <row r="12" spans="1:12" x14ac:dyDescent="0.2">
      <c r="A12" s="21" t="s">
        <v>16</v>
      </c>
      <c r="B12" s="36"/>
      <c r="C12" s="22">
        <f t="shared" si="4"/>
        <v>0</v>
      </c>
      <c r="D12" s="36"/>
      <c r="E12" s="22">
        <f>(B12*3%)-F12</f>
        <v>0</v>
      </c>
      <c r="F12" s="36"/>
      <c r="G12" s="23">
        <v>43641</v>
      </c>
      <c r="H12" s="24">
        <f t="shared" si="5"/>
        <v>0</v>
      </c>
      <c r="I12" s="36"/>
      <c r="J12" s="24">
        <f t="shared" si="6"/>
        <v>0</v>
      </c>
      <c r="K12" s="36"/>
      <c r="L12" s="51"/>
    </row>
    <row r="13" spans="1:12" ht="13.5" thickBot="1" x14ac:dyDescent="0.25">
      <c r="A13" s="21" t="s">
        <v>17</v>
      </c>
      <c r="B13" s="37"/>
      <c r="C13" s="22">
        <f t="shared" si="4"/>
        <v>0</v>
      </c>
      <c r="D13" s="37"/>
      <c r="E13" s="22">
        <f>(B13*3%)-F13</f>
        <v>0</v>
      </c>
      <c r="F13" s="37"/>
      <c r="G13" s="23">
        <v>43671</v>
      </c>
      <c r="H13" s="24">
        <f t="shared" si="5"/>
        <v>0</v>
      </c>
      <c r="I13" s="37"/>
      <c r="J13" s="24">
        <f t="shared" si="6"/>
        <v>0</v>
      </c>
      <c r="K13" s="37"/>
      <c r="L13" s="51"/>
    </row>
    <row r="14" spans="1:12" x14ac:dyDescent="0.2">
      <c r="A14" s="21"/>
      <c r="B14" s="25">
        <f>SUM(B11:B13)</f>
        <v>0</v>
      </c>
      <c r="C14" s="22">
        <f>SUM(C11:C13)</f>
        <v>0</v>
      </c>
      <c r="D14" s="1"/>
      <c r="E14" s="25">
        <f>SUM(E11:E13)</f>
        <v>0</v>
      </c>
      <c r="F14" s="30"/>
      <c r="G14" s="23"/>
      <c r="H14" s="26">
        <f>SUM(H11:H13)</f>
        <v>0</v>
      </c>
      <c r="I14" s="27" t="s">
        <v>14</v>
      </c>
      <c r="J14" s="24">
        <f>((B14*8%)-60000)*10%</f>
        <v>-6000</v>
      </c>
      <c r="K14" s="1"/>
      <c r="L14" s="41"/>
    </row>
    <row r="15" spans="1:12" x14ac:dyDescent="0.2">
      <c r="A15" s="21"/>
      <c r="B15" s="1"/>
      <c r="C15" s="29"/>
      <c r="D15" s="1"/>
      <c r="E15" s="29"/>
      <c r="F15" s="1"/>
      <c r="G15" s="23"/>
      <c r="H15" s="30"/>
      <c r="I15" s="27"/>
      <c r="J15" s="26">
        <f>SUM(J11:J13)</f>
        <v>0</v>
      </c>
      <c r="K15" s="27"/>
      <c r="L15" s="1"/>
    </row>
    <row r="16" spans="1:12" ht="13.5" thickBot="1" x14ac:dyDescent="0.25">
      <c r="A16" s="21"/>
      <c r="B16" s="1"/>
      <c r="C16" s="29"/>
      <c r="D16" s="1"/>
      <c r="E16" s="29"/>
      <c r="F16" s="1"/>
      <c r="G16" s="23"/>
      <c r="H16" s="1"/>
      <c r="I16" s="1"/>
      <c r="J16" s="1"/>
      <c r="K16" s="1"/>
      <c r="L16" s="1"/>
    </row>
    <row r="17" spans="1:12" x14ac:dyDescent="0.2">
      <c r="A17" s="21" t="s">
        <v>18</v>
      </c>
      <c r="B17" s="35"/>
      <c r="C17" s="22">
        <f t="shared" ref="C17:C19" si="7">(B17*0.65%)-D17</f>
        <v>0</v>
      </c>
      <c r="D17" s="35"/>
      <c r="E17" s="22">
        <f t="shared" ref="E17:E19" si="8">(B17*3%)-F17</f>
        <v>0</v>
      </c>
      <c r="F17" s="35"/>
      <c r="G17" s="23">
        <v>43700</v>
      </c>
      <c r="H17" s="24">
        <f t="shared" ref="H17:H19" si="9">(B17*12%*9%)-I17</f>
        <v>0</v>
      </c>
      <c r="I17" s="35"/>
      <c r="J17" s="24">
        <f t="shared" ref="J17:J19" si="10">(B17*8%*15%)-K17</f>
        <v>0</v>
      </c>
      <c r="K17" s="35"/>
      <c r="L17" s="50">
        <v>43769</v>
      </c>
    </row>
    <row r="18" spans="1:12" x14ac:dyDescent="0.2">
      <c r="A18" s="21" t="s">
        <v>19</v>
      </c>
      <c r="B18" s="36"/>
      <c r="C18" s="22">
        <f t="shared" si="7"/>
        <v>0</v>
      </c>
      <c r="D18" s="36"/>
      <c r="E18" s="22">
        <f t="shared" si="8"/>
        <v>0</v>
      </c>
      <c r="F18" s="36"/>
      <c r="G18" s="23">
        <v>43733</v>
      </c>
      <c r="H18" s="24">
        <f t="shared" si="9"/>
        <v>0</v>
      </c>
      <c r="I18" s="36"/>
      <c r="J18" s="24">
        <f t="shared" si="10"/>
        <v>0</v>
      </c>
      <c r="K18" s="36"/>
      <c r="L18" s="51"/>
    </row>
    <row r="19" spans="1:12" ht="13.5" thickBot="1" x14ac:dyDescent="0.25">
      <c r="A19" s="21" t="s">
        <v>20</v>
      </c>
      <c r="B19" s="37"/>
      <c r="C19" s="22">
        <f t="shared" si="7"/>
        <v>0</v>
      </c>
      <c r="D19" s="37"/>
      <c r="E19" s="22">
        <f t="shared" si="8"/>
        <v>0</v>
      </c>
      <c r="F19" s="37"/>
      <c r="G19" s="23">
        <v>43763</v>
      </c>
      <c r="H19" s="24">
        <f t="shared" si="9"/>
        <v>0</v>
      </c>
      <c r="I19" s="37"/>
      <c r="J19" s="24">
        <f t="shared" si="10"/>
        <v>0</v>
      </c>
      <c r="K19" s="37"/>
      <c r="L19" s="51"/>
    </row>
    <row r="20" spans="1:12" x14ac:dyDescent="0.2">
      <c r="A20" s="21"/>
      <c r="B20" s="25">
        <f>SUM(B17:B19)</f>
        <v>0</v>
      </c>
      <c r="C20" s="22">
        <f>SUM(C17:C19)</f>
        <v>0</v>
      </c>
      <c r="D20" s="1"/>
      <c r="E20" s="25">
        <f>SUM(E17:E19)</f>
        <v>0</v>
      </c>
      <c r="F20" s="1"/>
      <c r="G20" s="23"/>
      <c r="H20" s="26">
        <f>SUM(H17:H19)</f>
        <v>0</v>
      </c>
      <c r="I20" s="27" t="s">
        <v>14</v>
      </c>
      <c r="J20" s="24">
        <f>((B20*8%)-60000)*10%</f>
        <v>-6000</v>
      </c>
      <c r="K20" s="1"/>
      <c r="L20" s="41"/>
    </row>
    <row r="21" spans="1:12" x14ac:dyDescent="0.2">
      <c r="A21" s="21"/>
      <c r="B21" s="1"/>
      <c r="C21" s="29"/>
      <c r="D21" s="1"/>
      <c r="E21" s="29"/>
      <c r="F21" s="1"/>
      <c r="G21" s="23"/>
      <c r="H21" s="30"/>
      <c r="I21" s="27"/>
      <c r="J21" s="26">
        <f>SUM(J17:J19)</f>
        <v>0</v>
      </c>
      <c r="K21" s="27"/>
      <c r="L21" s="1"/>
    </row>
    <row r="22" spans="1:12" ht="13.5" thickBot="1" x14ac:dyDescent="0.25">
      <c r="A22" s="21"/>
      <c r="B22" s="1"/>
      <c r="C22" s="29"/>
      <c r="D22" s="1"/>
      <c r="E22" s="29"/>
      <c r="F22" s="1"/>
      <c r="G22" s="23"/>
      <c r="H22" s="1"/>
      <c r="I22" s="1"/>
      <c r="J22" s="1"/>
      <c r="K22" s="1"/>
      <c r="L22" s="1"/>
    </row>
    <row r="23" spans="1:12" x14ac:dyDescent="0.2">
      <c r="A23" s="21" t="s">
        <v>21</v>
      </c>
      <c r="B23" s="35"/>
      <c r="C23" s="22">
        <f t="shared" ref="C23:C25" si="11">(B23*0.65%)-D23</f>
        <v>0</v>
      </c>
      <c r="D23" s="35"/>
      <c r="E23" s="22">
        <f t="shared" ref="E23:E25" si="12">(B23*3%)-F23</f>
        <v>0</v>
      </c>
      <c r="F23" s="35"/>
      <c r="G23" s="23">
        <v>43794</v>
      </c>
      <c r="H23" s="24">
        <f t="shared" ref="H23:H25" si="13">(B23*12%*9%)-I23</f>
        <v>0</v>
      </c>
      <c r="I23" s="35"/>
      <c r="J23" s="24">
        <f t="shared" ref="J23:J25" si="14">(B23*8%*15%)-K23</f>
        <v>0</v>
      </c>
      <c r="K23" s="35"/>
      <c r="L23" s="50">
        <v>43861</v>
      </c>
    </row>
    <row r="24" spans="1:12" ht="12.75" customHeight="1" x14ac:dyDescent="0.2">
      <c r="A24" s="21" t="s">
        <v>22</v>
      </c>
      <c r="B24" s="36"/>
      <c r="C24" s="22">
        <f t="shared" si="11"/>
        <v>0</v>
      </c>
      <c r="D24" s="36"/>
      <c r="E24" s="22">
        <f t="shared" si="12"/>
        <v>0</v>
      </c>
      <c r="F24" s="36"/>
      <c r="G24" s="23">
        <v>43823</v>
      </c>
      <c r="H24" s="24">
        <f t="shared" si="13"/>
        <v>0</v>
      </c>
      <c r="I24" s="36"/>
      <c r="J24" s="24">
        <f t="shared" si="14"/>
        <v>0</v>
      </c>
      <c r="K24" s="36"/>
      <c r="L24" s="51"/>
    </row>
    <row r="25" spans="1:12" ht="13.5" customHeight="1" thickBot="1" x14ac:dyDescent="0.25">
      <c r="A25" s="21" t="s">
        <v>23</v>
      </c>
      <c r="B25" s="37"/>
      <c r="C25" s="22">
        <f t="shared" si="11"/>
        <v>0</v>
      </c>
      <c r="D25" s="37"/>
      <c r="E25" s="22">
        <f t="shared" si="12"/>
        <v>0</v>
      </c>
      <c r="F25" s="37"/>
      <c r="G25" s="23">
        <v>43854</v>
      </c>
      <c r="H25" s="24">
        <f t="shared" si="13"/>
        <v>0</v>
      </c>
      <c r="I25" s="37"/>
      <c r="J25" s="24">
        <f t="shared" si="14"/>
        <v>0</v>
      </c>
      <c r="K25" s="37"/>
      <c r="L25" s="51"/>
    </row>
    <row r="26" spans="1:12" x14ac:dyDescent="0.2">
      <c r="A26" s="21"/>
      <c r="B26" s="25">
        <f>SUM(B23:B25)</f>
        <v>0</v>
      </c>
      <c r="C26" s="25">
        <f>SUM(C23:C25)</f>
        <v>0</v>
      </c>
      <c r="D26" s="1"/>
      <c r="E26" s="25">
        <f>SUM(E23:E25)</f>
        <v>0</v>
      </c>
      <c r="F26" s="1"/>
      <c r="G26" s="23"/>
      <c r="H26" s="26">
        <f>SUM(H23:H25)</f>
        <v>0</v>
      </c>
      <c r="I26" s="27" t="s">
        <v>14</v>
      </c>
      <c r="J26" s="24">
        <f>((B26*8%)-60000)*10%</f>
        <v>-6000</v>
      </c>
      <c r="K26" s="1"/>
      <c r="L26" s="28"/>
    </row>
    <row r="27" spans="1:12" x14ac:dyDescent="0.2">
      <c r="A27" s="1"/>
      <c r="B27" s="24"/>
      <c r="C27" s="1"/>
      <c r="D27" s="1"/>
      <c r="E27" s="1"/>
      <c r="F27" s="1"/>
      <c r="G27" s="1"/>
      <c r="H27" s="30"/>
      <c r="I27" s="27"/>
      <c r="J27" s="26">
        <f>SUM(J23:J25)</f>
        <v>0</v>
      </c>
      <c r="K27" s="27"/>
      <c r="L27" s="1"/>
    </row>
    <row r="28" spans="1:12" x14ac:dyDescent="0.2">
      <c r="B28" s="31">
        <f>SUM(B26,B20,B14,B8)</f>
        <v>0</v>
      </c>
    </row>
    <row r="31" spans="1:12" x14ac:dyDescent="0.2">
      <c r="A31" s="30" t="s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30" t="s">
        <v>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30" t="s">
        <v>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3.5" thickBot="1" x14ac:dyDescent="0.25"/>
    <row r="35" spans="1:12" ht="13.5" thickBot="1" x14ac:dyDescent="0.25">
      <c r="A35" s="1"/>
      <c r="B35" s="2"/>
      <c r="C35" s="3" t="s">
        <v>27</v>
      </c>
      <c r="D35" s="2" t="s">
        <v>28</v>
      </c>
      <c r="E35" s="3" t="s">
        <v>29</v>
      </c>
      <c r="F35" s="2" t="s">
        <v>30</v>
      </c>
      <c r="G35" s="4" t="s">
        <v>31</v>
      </c>
      <c r="H35" s="1"/>
      <c r="I35" s="17" t="s">
        <v>34</v>
      </c>
      <c r="J35" s="1"/>
      <c r="K35" s="1"/>
      <c r="L35" s="1"/>
    </row>
    <row r="36" spans="1:12" x14ac:dyDescent="0.2">
      <c r="A36" s="1"/>
      <c r="B36" s="5" t="s">
        <v>2</v>
      </c>
      <c r="C36" s="6">
        <f>C8</f>
        <v>0</v>
      </c>
      <c r="D36" s="5">
        <f>C14</f>
        <v>0</v>
      </c>
      <c r="E36" s="6">
        <f>C20</f>
        <v>0</v>
      </c>
      <c r="F36" s="5">
        <f>C26</f>
        <v>0</v>
      </c>
      <c r="G36" s="7">
        <f>SUM(C36:F36)</f>
        <v>0</v>
      </c>
      <c r="H36" s="1"/>
      <c r="I36" s="32" t="e">
        <f>G36/$B$28</f>
        <v>#DIV/0!</v>
      </c>
      <c r="J36" s="1"/>
      <c r="K36" s="1"/>
      <c r="L36" s="1"/>
    </row>
    <row r="37" spans="1:12" x14ac:dyDescent="0.2">
      <c r="A37" s="1"/>
      <c r="B37" s="8" t="s">
        <v>4</v>
      </c>
      <c r="C37" s="9">
        <f>E8</f>
        <v>0</v>
      </c>
      <c r="D37" s="8">
        <f>E14</f>
        <v>0</v>
      </c>
      <c r="E37" s="9">
        <f>E20</f>
        <v>0</v>
      </c>
      <c r="F37" s="8">
        <f>E26</f>
        <v>0</v>
      </c>
      <c r="G37" s="10">
        <f>SUM(C37:F37)</f>
        <v>0</v>
      </c>
      <c r="H37" s="1"/>
      <c r="I37" s="32" t="e">
        <f t="shared" ref="I37:I39" si="15">G37/$B$28</f>
        <v>#DIV/0!</v>
      </c>
      <c r="J37" s="1"/>
      <c r="K37" s="1"/>
      <c r="L37" s="1"/>
    </row>
    <row r="38" spans="1:12" x14ac:dyDescent="0.2">
      <c r="A38" s="1"/>
      <c r="B38" s="8" t="s">
        <v>7</v>
      </c>
      <c r="C38" s="9">
        <f>H8</f>
        <v>0</v>
      </c>
      <c r="D38" s="8">
        <f>H14</f>
        <v>0</v>
      </c>
      <c r="E38" s="9">
        <f>H20</f>
        <v>0</v>
      </c>
      <c r="F38" s="8">
        <f>H26</f>
        <v>0</v>
      </c>
      <c r="G38" s="10">
        <f>SUM(C38:F38)</f>
        <v>0</v>
      </c>
      <c r="H38" s="1"/>
      <c r="I38" s="32" t="e">
        <f t="shared" si="15"/>
        <v>#DIV/0!</v>
      </c>
      <c r="J38" s="1"/>
      <c r="K38" s="1"/>
      <c r="L38" s="1"/>
    </row>
    <row r="39" spans="1:12" ht="13.5" thickBot="1" x14ac:dyDescent="0.25">
      <c r="A39" s="1"/>
      <c r="B39" s="11" t="s">
        <v>9</v>
      </c>
      <c r="C39" s="12">
        <f>J9</f>
        <v>0</v>
      </c>
      <c r="D39" s="13">
        <f>J15</f>
        <v>0</v>
      </c>
      <c r="E39" s="12">
        <f>J21</f>
        <v>0</v>
      </c>
      <c r="F39" s="13">
        <f>J27</f>
        <v>0</v>
      </c>
      <c r="G39" s="14">
        <f>SUM(C39:F39)</f>
        <v>0</v>
      </c>
      <c r="H39" s="1"/>
      <c r="I39" s="32" t="e">
        <f t="shared" si="15"/>
        <v>#DIV/0!</v>
      </c>
      <c r="J39" s="1"/>
      <c r="K39" s="1"/>
      <c r="L39" s="1"/>
    </row>
    <row r="40" spans="1:12" ht="13.5" thickBot="1" x14ac:dyDescent="0.25">
      <c r="B40" s="1"/>
      <c r="C40" s="1"/>
      <c r="D40" s="1"/>
      <c r="E40" s="1"/>
      <c r="F40" s="1"/>
      <c r="G40" s="1"/>
    </row>
    <row r="41" spans="1:12" ht="13.5" thickBot="1" x14ac:dyDescent="0.25">
      <c r="B41" s="15" t="s">
        <v>32</v>
      </c>
      <c r="C41" s="16">
        <f>SUM(C36:C39)</f>
        <v>0</v>
      </c>
      <c r="D41" s="16">
        <f t="shared" ref="D41:F41" si="16">SUM(D36:D39)</f>
        <v>0</v>
      </c>
      <c r="E41" s="16">
        <f t="shared" si="16"/>
        <v>0</v>
      </c>
      <c r="F41" s="16">
        <f t="shared" si="16"/>
        <v>0</v>
      </c>
      <c r="G41" s="16">
        <f>SUM(C41:F41)</f>
        <v>0</v>
      </c>
    </row>
    <row r="43" spans="1:12" x14ac:dyDescent="0.2">
      <c r="B43" s="33" t="s">
        <v>35</v>
      </c>
      <c r="C43" s="34" t="e">
        <f>C41/$B$8</f>
        <v>#DIV/0!</v>
      </c>
      <c r="D43" s="34" t="e">
        <f>D41/$B$14</f>
        <v>#DIV/0!</v>
      </c>
      <c r="E43" s="34" t="e">
        <f>E41/$B$20</f>
        <v>#DIV/0!</v>
      </c>
      <c r="F43" s="34" t="e">
        <f>F41/$B$26</f>
        <v>#DIV/0!</v>
      </c>
      <c r="G43" s="34" t="e">
        <f>G41/$B$28</f>
        <v>#DIV/0!</v>
      </c>
    </row>
    <row r="45" spans="1:12" ht="12.75" customHeight="1" thickBot="1" x14ac:dyDescent="0.25"/>
    <row r="46" spans="1:12" ht="16.5" thickBot="1" x14ac:dyDescent="0.25">
      <c r="B46" s="52" t="s">
        <v>36</v>
      </c>
      <c r="C46" s="53"/>
      <c r="D46" s="53"/>
      <c r="E46" s="53"/>
      <c r="F46" s="53"/>
      <c r="G46" s="54"/>
      <c r="H46" s="52" t="s">
        <v>37</v>
      </c>
      <c r="I46" s="53"/>
      <c r="J46" s="54"/>
    </row>
    <row r="47" spans="1:12" ht="16.5" thickBot="1" x14ac:dyDescent="0.25">
      <c r="B47" s="55" t="s">
        <v>38</v>
      </c>
      <c r="C47" s="56"/>
      <c r="D47" s="56"/>
      <c r="E47" s="56"/>
      <c r="F47" s="56"/>
      <c r="G47" s="57"/>
      <c r="H47" s="58">
        <v>1.6E-2</v>
      </c>
      <c r="I47" s="59"/>
      <c r="J47" s="60"/>
    </row>
    <row r="48" spans="1:12" ht="15.75" x14ac:dyDescent="0.2">
      <c r="B48" s="46" t="s">
        <v>39</v>
      </c>
      <c r="C48" s="47"/>
      <c r="D48" s="47"/>
      <c r="E48" s="47"/>
      <c r="F48" s="47"/>
      <c r="G48" s="48"/>
      <c r="H48" s="70">
        <v>0.08</v>
      </c>
      <c r="I48" s="71"/>
      <c r="J48" s="72"/>
    </row>
    <row r="49" spans="2:10" ht="15.75" x14ac:dyDescent="0.2">
      <c r="B49" s="79" t="s">
        <v>40</v>
      </c>
      <c r="C49" s="80"/>
      <c r="D49" s="80"/>
      <c r="E49" s="80"/>
      <c r="F49" s="80"/>
      <c r="G49" s="81"/>
      <c r="H49" s="73"/>
      <c r="I49" s="74"/>
      <c r="J49" s="75"/>
    </row>
    <row r="50" spans="2:10" ht="15.75" x14ac:dyDescent="0.2">
      <c r="B50" s="79" t="s">
        <v>41</v>
      </c>
      <c r="C50" s="80"/>
      <c r="D50" s="80"/>
      <c r="E50" s="80"/>
      <c r="F50" s="80"/>
      <c r="G50" s="81"/>
      <c r="H50" s="73"/>
      <c r="I50" s="74"/>
      <c r="J50" s="75"/>
    </row>
    <row r="51" spans="2:10" ht="15.75" x14ac:dyDescent="0.2">
      <c r="B51" s="79" t="s">
        <v>42</v>
      </c>
      <c r="C51" s="80"/>
      <c r="D51" s="80"/>
      <c r="E51" s="80"/>
      <c r="F51" s="80"/>
      <c r="G51" s="81"/>
      <c r="H51" s="73"/>
      <c r="I51" s="74"/>
      <c r="J51" s="75"/>
    </row>
    <row r="52" spans="2:10" ht="15.75" x14ac:dyDescent="0.2">
      <c r="B52" s="79" t="s">
        <v>43</v>
      </c>
      <c r="C52" s="80"/>
      <c r="D52" s="80"/>
      <c r="E52" s="80"/>
      <c r="F52" s="80"/>
      <c r="G52" s="81"/>
      <c r="H52" s="73"/>
      <c r="I52" s="74"/>
      <c r="J52" s="75"/>
    </row>
    <row r="53" spans="2:10" ht="15.75" x14ac:dyDescent="0.2">
      <c r="B53" s="79" t="s">
        <v>44</v>
      </c>
      <c r="C53" s="80"/>
      <c r="D53" s="80"/>
      <c r="E53" s="80"/>
      <c r="F53" s="80"/>
      <c r="G53" s="81"/>
      <c r="H53" s="73"/>
      <c r="I53" s="74"/>
      <c r="J53" s="75"/>
    </row>
    <row r="54" spans="2:10" ht="16.5" thickBot="1" x14ac:dyDescent="0.25">
      <c r="B54" s="43" t="s">
        <v>45</v>
      </c>
      <c r="C54" s="44"/>
      <c r="D54" s="44"/>
      <c r="E54" s="44"/>
      <c r="F54" s="44"/>
      <c r="G54" s="45"/>
      <c r="H54" s="76"/>
      <c r="I54" s="77"/>
      <c r="J54" s="78"/>
    </row>
    <row r="55" spans="2:10" ht="15.75" x14ac:dyDescent="0.2">
      <c r="B55" s="46" t="s">
        <v>46</v>
      </c>
      <c r="C55" s="47"/>
      <c r="D55" s="47"/>
      <c r="E55" s="47"/>
      <c r="F55" s="47"/>
      <c r="G55" s="48"/>
      <c r="H55" s="70">
        <v>0.16</v>
      </c>
      <c r="I55" s="71"/>
      <c r="J55" s="72"/>
    </row>
    <row r="56" spans="2:10" ht="16.5" thickBot="1" x14ac:dyDescent="0.25">
      <c r="B56" s="43" t="s">
        <v>47</v>
      </c>
      <c r="C56" s="44"/>
      <c r="D56" s="44"/>
      <c r="E56" s="44"/>
      <c r="F56" s="44"/>
      <c r="G56" s="45"/>
      <c r="H56" s="76"/>
      <c r="I56" s="77"/>
      <c r="J56" s="78"/>
    </row>
    <row r="57" spans="2:10" ht="15.75" x14ac:dyDescent="0.2">
      <c r="B57" s="46" t="s">
        <v>48</v>
      </c>
      <c r="C57" s="47"/>
      <c r="D57" s="47"/>
      <c r="E57" s="47"/>
      <c r="F57" s="47"/>
      <c r="G57" s="48"/>
      <c r="H57" s="70">
        <v>0.32</v>
      </c>
      <c r="I57" s="71"/>
      <c r="J57" s="72"/>
    </row>
    <row r="58" spans="2:10" ht="15.75" x14ac:dyDescent="0.2">
      <c r="B58" s="79" t="s">
        <v>49</v>
      </c>
      <c r="C58" s="80"/>
      <c r="D58" s="80"/>
      <c r="E58" s="80"/>
      <c r="F58" s="80"/>
      <c r="G58" s="81"/>
      <c r="H58" s="73"/>
      <c r="I58" s="74"/>
      <c r="J58" s="75"/>
    </row>
    <row r="59" spans="2:10" ht="15.75" x14ac:dyDescent="0.2">
      <c r="B59" s="79" t="s">
        <v>50</v>
      </c>
      <c r="C59" s="80"/>
      <c r="D59" s="80"/>
      <c r="E59" s="80"/>
      <c r="F59" s="80"/>
      <c r="G59" s="81"/>
      <c r="H59" s="73"/>
      <c r="I59" s="74"/>
      <c r="J59" s="75"/>
    </row>
    <row r="60" spans="2:10" ht="15.75" x14ac:dyDescent="0.2">
      <c r="B60" s="79" t="s">
        <v>51</v>
      </c>
      <c r="C60" s="80"/>
      <c r="D60" s="80"/>
      <c r="E60" s="80"/>
      <c r="F60" s="80"/>
      <c r="G60" s="81"/>
      <c r="H60" s="73"/>
      <c r="I60" s="74"/>
      <c r="J60" s="75"/>
    </row>
    <row r="61" spans="2:10" ht="16.5" thickBot="1" x14ac:dyDescent="0.25">
      <c r="B61" s="43" t="s">
        <v>52</v>
      </c>
      <c r="C61" s="44"/>
      <c r="D61" s="44"/>
      <c r="E61" s="44"/>
      <c r="F61" s="44"/>
      <c r="G61" s="45"/>
      <c r="H61" s="76"/>
      <c r="I61" s="77"/>
      <c r="J61" s="78"/>
    </row>
    <row r="62" spans="2:10" ht="12.75" customHeight="1" x14ac:dyDescent="0.2">
      <c r="B62" s="61" t="s">
        <v>53</v>
      </c>
      <c r="C62" s="62"/>
      <c r="D62" s="62"/>
      <c r="E62" s="62"/>
      <c r="F62" s="62"/>
      <c r="G62" s="63"/>
      <c r="H62" s="61" t="s">
        <v>54</v>
      </c>
      <c r="I62" s="62"/>
      <c r="J62" s="63"/>
    </row>
    <row r="63" spans="2:10" ht="12.75" customHeight="1" x14ac:dyDescent="0.2">
      <c r="B63" s="64"/>
      <c r="C63" s="65"/>
      <c r="D63" s="65"/>
      <c r="E63" s="65"/>
      <c r="F63" s="65"/>
      <c r="G63" s="66"/>
      <c r="H63" s="64"/>
      <c r="I63" s="65"/>
      <c r="J63" s="66"/>
    </row>
    <row r="64" spans="2:10" ht="13.5" customHeight="1" thickBot="1" x14ac:dyDescent="0.25">
      <c r="B64" s="67"/>
      <c r="C64" s="68"/>
      <c r="D64" s="68"/>
      <c r="E64" s="68"/>
      <c r="F64" s="68"/>
      <c r="G64" s="69"/>
      <c r="H64" s="67"/>
      <c r="I64" s="68"/>
      <c r="J64" s="69"/>
    </row>
  </sheetData>
  <mergeCells count="28">
    <mergeCell ref="B60:G60"/>
    <mergeCell ref="B61:G61"/>
    <mergeCell ref="B62:G64"/>
    <mergeCell ref="H48:J54"/>
    <mergeCell ref="H55:J56"/>
    <mergeCell ref="H57:J61"/>
    <mergeCell ref="H62:J64"/>
    <mergeCell ref="B53:G53"/>
    <mergeCell ref="B54:G54"/>
    <mergeCell ref="B55:G55"/>
    <mergeCell ref="B56:G56"/>
    <mergeCell ref="B57:G57"/>
    <mergeCell ref="B58:G58"/>
    <mergeCell ref="B52:G52"/>
    <mergeCell ref="B48:G48"/>
    <mergeCell ref="B49:G49"/>
    <mergeCell ref="B50:G50"/>
    <mergeCell ref="B51:G51"/>
    <mergeCell ref="B59:G59"/>
    <mergeCell ref="B46:G46"/>
    <mergeCell ref="B47:G47"/>
    <mergeCell ref="H47:J47"/>
    <mergeCell ref="H46:J46"/>
    <mergeCell ref="A1:L1"/>
    <mergeCell ref="L5:L7"/>
    <mergeCell ref="L11:L13"/>
    <mergeCell ref="L17:L19"/>
    <mergeCell ref="L23:L2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workbookViewId="0">
      <selection activeCell="G6" sqref="G6"/>
    </sheetView>
  </sheetViews>
  <sheetFormatPr defaultColWidth="9.140625" defaultRowHeight="12.75" x14ac:dyDescent="0.2"/>
  <cols>
    <col min="1" max="1" width="9.140625" style="18"/>
    <col min="2" max="2" width="15.140625" style="18" bestFit="1" customWidth="1"/>
    <col min="3" max="7" width="13.28515625" style="18" bestFit="1" customWidth="1"/>
    <col min="8" max="8" width="11.42578125" style="18" bestFit="1" customWidth="1"/>
    <col min="9" max="9" width="16.5703125" style="18" bestFit="1" customWidth="1"/>
    <col min="10" max="10" width="12.7109375" style="18" bestFit="1" customWidth="1"/>
    <col min="11" max="11" width="13.85546875" style="18" customWidth="1"/>
    <col min="12" max="12" width="10.140625" style="18" bestFit="1" customWidth="1"/>
    <col min="13" max="16384" width="9.140625" style="18"/>
  </cols>
  <sheetData>
    <row r="1" spans="1:12" x14ac:dyDescent="0.2">
      <c r="A1" s="49" t="s">
        <v>33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40" customFormat="1" x14ac:dyDescent="0.2">
      <c r="C3" s="40">
        <v>8109</v>
      </c>
      <c r="E3" s="40">
        <v>2172</v>
      </c>
      <c r="H3" s="40">
        <v>2372</v>
      </c>
      <c r="J3" s="40">
        <v>2089</v>
      </c>
    </row>
    <row r="4" spans="1:12" ht="13.5" thickBot="1" x14ac:dyDescent="0.25">
      <c r="A4" s="19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19" t="s">
        <v>6</v>
      </c>
    </row>
    <row r="5" spans="1:12" x14ac:dyDescent="0.2">
      <c r="A5" s="21" t="s">
        <v>11</v>
      </c>
      <c r="B5" s="35">
        <v>0</v>
      </c>
      <c r="C5" s="22">
        <f>(B5*0.65%)-D5</f>
        <v>0</v>
      </c>
      <c r="D5" s="35"/>
      <c r="E5" s="22">
        <f>(B5*3%)-F5</f>
        <v>0</v>
      </c>
      <c r="F5" s="35"/>
      <c r="G5" s="23">
        <v>43885</v>
      </c>
      <c r="H5" s="24">
        <f>(B5*12%*9%)-I5</f>
        <v>0</v>
      </c>
      <c r="I5" s="35"/>
      <c r="J5" s="24">
        <f>(B5*16%*15%)-K5</f>
        <v>0</v>
      </c>
      <c r="K5" s="35"/>
      <c r="L5" s="50">
        <v>43951</v>
      </c>
    </row>
    <row r="6" spans="1:12" x14ac:dyDescent="0.2">
      <c r="A6" s="21" t="s">
        <v>12</v>
      </c>
      <c r="B6" s="36">
        <v>1643</v>
      </c>
      <c r="C6" s="22">
        <f t="shared" ref="C6:C7" si="0">(B6*0.65%)-D6</f>
        <v>10.679500000000001</v>
      </c>
      <c r="D6" s="36"/>
      <c r="E6" s="22">
        <f t="shared" ref="E6:E7" si="1">(B6*3%)-F6</f>
        <v>49.29</v>
      </c>
      <c r="F6" s="36"/>
      <c r="G6" s="23">
        <v>43915</v>
      </c>
      <c r="H6" s="24">
        <f t="shared" ref="H6:H7" si="2">(B6*12%*9%)-I6</f>
        <v>17.744399999999999</v>
      </c>
      <c r="I6" s="36"/>
      <c r="J6" s="24">
        <f>(B6*16%*15%)-K6</f>
        <v>39.431999999999995</v>
      </c>
      <c r="K6" s="36"/>
      <c r="L6" s="51"/>
    </row>
    <row r="7" spans="1:12" ht="13.5" customHeight="1" thickBot="1" x14ac:dyDescent="0.25">
      <c r="A7" s="21" t="s">
        <v>13</v>
      </c>
      <c r="B7" s="37"/>
      <c r="C7" s="22">
        <f t="shared" si="0"/>
        <v>0</v>
      </c>
      <c r="D7" s="37"/>
      <c r="E7" s="22">
        <f t="shared" si="1"/>
        <v>0</v>
      </c>
      <c r="F7" s="37"/>
      <c r="G7" s="23">
        <v>43945</v>
      </c>
      <c r="H7" s="24">
        <f t="shared" si="2"/>
        <v>0</v>
      </c>
      <c r="I7" s="37"/>
      <c r="J7" s="24">
        <f>(B7*16%*15%)-K7</f>
        <v>0</v>
      </c>
      <c r="K7" s="37"/>
      <c r="L7" s="51"/>
    </row>
    <row r="8" spans="1:12" x14ac:dyDescent="0.2">
      <c r="A8" s="21"/>
      <c r="B8" s="25">
        <f>SUM(B5:B7)</f>
        <v>1643</v>
      </c>
      <c r="C8" s="25">
        <f>SUM(C5:C7)</f>
        <v>10.679500000000001</v>
      </c>
      <c r="D8" s="1"/>
      <c r="E8" s="25">
        <f>SUM(E5:E7)</f>
        <v>49.29</v>
      </c>
      <c r="F8" s="1"/>
      <c r="G8" s="23"/>
      <c r="H8" s="26">
        <f>SUM(H5:H7)</f>
        <v>17.744399999999999</v>
      </c>
      <c r="I8" s="27" t="s">
        <v>14</v>
      </c>
      <c r="J8" s="24">
        <f>((B8*8%)-60000)*10%</f>
        <v>-5986.8559999999998</v>
      </c>
      <c r="K8" s="1"/>
      <c r="L8" s="42"/>
    </row>
    <row r="9" spans="1:12" x14ac:dyDescent="0.2">
      <c r="A9" s="21"/>
      <c r="B9" s="1"/>
      <c r="C9" s="29"/>
      <c r="D9" s="1"/>
      <c r="E9" s="29"/>
      <c r="F9" s="1"/>
      <c r="G9" s="23"/>
      <c r="H9" s="30"/>
      <c r="I9" s="27"/>
      <c r="J9" s="26">
        <f>SUM(J5:J7)</f>
        <v>39.431999999999995</v>
      </c>
      <c r="K9" s="27"/>
      <c r="L9" s="42"/>
    </row>
    <row r="10" spans="1:12" ht="13.5" thickBot="1" x14ac:dyDescent="0.25">
      <c r="A10" s="21"/>
      <c r="B10" s="1"/>
      <c r="C10" s="29"/>
      <c r="D10" s="1"/>
      <c r="E10" s="29"/>
      <c r="F10" s="1"/>
      <c r="G10" s="23"/>
      <c r="H10" s="1"/>
      <c r="I10" s="1"/>
      <c r="J10" s="1"/>
      <c r="K10" s="1"/>
      <c r="L10" s="42"/>
    </row>
    <row r="11" spans="1:12" x14ac:dyDescent="0.2">
      <c r="A11" s="21" t="s">
        <v>15</v>
      </c>
      <c r="B11" s="35"/>
      <c r="C11" s="22">
        <f t="shared" ref="C11:C13" si="3">(B11*0.65%)-D11</f>
        <v>0</v>
      </c>
      <c r="D11" s="35"/>
      <c r="E11" s="22">
        <f>(B11*3%)-F11</f>
        <v>0</v>
      </c>
      <c r="F11" s="35"/>
      <c r="G11" s="23">
        <v>43976</v>
      </c>
      <c r="H11" s="24">
        <f t="shared" ref="H11:H13" si="4">(B11*12%*9%)-I11</f>
        <v>0</v>
      </c>
      <c r="I11" s="35"/>
      <c r="J11" s="24">
        <f>(B11*16%*15%)-K11</f>
        <v>0</v>
      </c>
      <c r="K11" s="35"/>
      <c r="L11" s="50">
        <v>44043</v>
      </c>
    </row>
    <row r="12" spans="1:12" x14ac:dyDescent="0.2">
      <c r="A12" s="21" t="s">
        <v>16</v>
      </c>
      <c r="B12" s="36"/>
      <c r="C12" s="22">
        <f t="shared" si="3"/>
        <v>0</v>
      </c>
      <c r="D12" s="36"/>
      <c r="E12" s="22">
        <f>(B12*3%)-F12</f>
        <v>0</v>
      </c>
      <c r="F12" s="36"/>
      <c r="G12" s="23">
        <v>44007</v>
      </c>
      <c r="H12" s="24">
        <f t="shared" si="4"/>
        <v>0</v>
      </c>
      <c r="I12" s="36"/>
      <c r="J12" s="24">
        <f>(B12*16%*15%)-K12</f>
        <v>0</v>
      </c>
      <c r="K12" s="36"/>
      <c r="L12" s="51"/>
    </row>
    <row r="13" spans="1:12" ht="13.5" thickBot="1" x14ac:dyDescent="0.25">
      <c r="A13" s="21" t="s">
        <v>17</v>
      </c>
      <c r="B13" s="37"/>
      <c r="C13" s="22">
        <f t="shared" si="3"/>
        <v>0</v>
      </c>
      <c r="D13" s="37"/>
      <c r="E13" s="22">
        <f>(B13*3%)-F13</f>
        <v>0</v>
      </c>
      <c r="F13" s="37"/>
      <c r="G13" s="23">
        <v>44036</v>
      </c>
      <c r="H13" s="24">
        <f t="shared" si="4"/>
        <v>0</v>
      </c>
      <c r="I13" s="37"/>
      <c r="J13" s="24">
        <f>(B13*16%*15%)-K13</f>
        <v>0</v>
      </c>
      <c r="K13" s="37"/>
      <c r="L13" s="51"/>
    </row>
    <row r="14" spans="1:12" x14ac:dyDescent="0.2">
      <c r="A14" s="21"/>
      <c r="B14" s="25">
        <f>SUM(B11:B13)</f>
        <v>0</v>
      </c>
      <c r="C14" s="22">
        <f>SUM(C11:C13)</f>
        <v>0</v>
      </c>
      <c r="D14" s="1"/>
      <c r="E14" s="25">
        <f>SUM(E11:E13)</f>
        <v>0</v>
      </c>
      <c r="F14" s="30"/>
      <c r="G14" s="23"/>
      <c r="H14" s="26">
        <f>SUM(H11:H13)</f>
        <v>0</v>
      </c>
      <c r="I14" s="27" t="s">
        <v>14</v>
      </c>
      <c r="J14" s="24">
        <f>((B14*8%)-60000)*10%</f>
        <v>-6000</v>
      </c>
      <c r="K14" s="1"/>
      <c r="L14" s="42"/>
    </row>
    <row r="15" spans="1:12" x14ac:dyDescent="0.2">
      <c r="A15" s="21"/>
      <c r="B15" s="1"/>
      <c r="C15" s="29"/>
      <c r="D15" s="1"/>
      <c r="E15" s="29"/>
      <c r="F15" s="1"/>
      <c r="G15" s="23"/>
      <c r="H15" s="30"/>
      <c r="I15" s="27"/>
      <c r="J15" s="26">
        <f>SUM(J11:J13)</f>
        <v>0</v>
      </c>
      <c r="K15" s="27"/>
      <c r="L15" s="1"/>
    </row>
    <row r="16" spans="1:12" ht="13.5" thickBot="1" x14ac:dyDescent="0.25">
      <c r="A16" s="21"/>
      <c r="B16" s="1"/>
      <c r="C16" s="29"/>
      <c r="D16" s="1"/>
      <c r="E16" s="29"/>
      <c r="F16" s="1"/>
      <c r="G16" s="23"/>
      <c r="H16" s="1"/>
      <c r="I16" s="1"/>
      <c r="J16" s="1"/>
      <c r="K16" s="1"/>
      <c r="L16" s="1"/>
    </row>
    <row r="17" spans="1:12" x14ac:dyDescent="0.2">
      <c r="A17" s="21" t="s">
        <v>18</v>
      </c>
      <c r="B17" s="35"/>
      <c r="C17" s="22">
        <f t="shared" ref="C17:C19" si="5">(B17*0.65%)-D17</f>
        <v>0</v>
      </c>
      <c r="D17" s="35"/>
      <c r="E17" s="22">
        <f t="shared" ref="E17:E19" si="6">(B17*3%)-F17</f>
        <v>0</v>
      </c>
      <c r="F17" s="35"/>
      <c r="G17" s="23">
        <v>44068</v>
      </c>
      <c r="H17" s="24">
        <f t="shared" ref="H17:H19" si="7">(B17*12%*9%)-I17</f>
        <v>0</v>
      </c>
      <c r="I17" s="35"/>
      <c r="J17" s="24">
        <f>(B17*16%*15%)-K17</f>
        <v>0</v>
      </c>
      <c r="K17" s="35"/>
      <c r="L17" s="50">
        <v>44134</v>
      </c>
    </row>
    <row r="18" spans="1:12" x14ac:dyDescent="0.2">
      <c r="A18" s="21" t="s">
        <v>19</v>
      </c>
      <c r="B18" s="36"/>
      <c r="C18" s="22">
        <f t="shared" si="5"/>
        <v>0</v>
      </c>
      <c r="D18" s="36"/>
      <c r="E18" s="22">
        <f t="shared" si="6"/>
        <v>0</v>
      </c>
      <c r="F18" s="36"/>
      <c r="G18" s="23">
        <v>44099</v>
      </c>
      <c r="H18" s="24">
        <f t="shared" si="7"/>
        <v>0</v>
      </c>
      <c r="I18" s="36"/>
      <c r="J18" s="24">
        <f>(B18*16%*15%)-K18</f>
        <v>0</v>
      </c>
      <c r="K18" s="36"/>
      <c r="L18" s="51"/>
    </row>
    <row r="19" spans="1:12" ht="13.5" thickBot="1" x14ac:dyDescent="0.25">
      <c r="A19" s="21" t="s">
        <v>20</v>
      </c>
      <c r="B19" s="37"/>
      <c r="C19" s="22">
        <f t="shared" si="5"/>
        <v>0</v>
      </c>
      <c r="D19" s="37"/>
      <c r="E19" s="22">
        <f t="shared" si="6"/>
        <v>0</v>
      </c>
      <c r="F19" s="37"/>
      <c r="G19" s="23">
        <v>44127</v>
      </c>
      <c r="H19" s="24">
        <f t="shared" si="7"/>
        <v>0</v>
      </c>
      <c r="I19" s="37"/>
      <c r="J19" s="24">
        <f>(B19*16%*15%)-K19</f>
        <v>0</v>
      </c>
      <c r="K19" s="37"/>
      <c r="L19" s="51"/>
    </row>
    <row r="20" spans="1:12" x14ac:dyDescent="0.2">
      <c r="A20" s="21"/>
      <c r="B20" s="25">
        <f>SUM(B17:B19)</f>
        <v>0</v>
      </c>
      <c r="C20" s="22">
        <f>SUM(C17:C19)</f>
        <v>0</v>
      </c>
      <c r="D20" s="1"/>
      <c r="E20" s="25">
        <f>SUM(E17:E19)</f>
        <v>0</v>
      </c>
      <c r="F20" s="1"/>
      <c r="G20" s="23"/>
      <c r="H20" s="26">
        <f>SUM(H17:H19)</f>
        <v>0</v>
      </c>
      <c r="I20" s="27" t="s">
        <v>14</v>
      </c>
      <c r="J20" s="24">
        <f>((B20*8%)-60000)*10%</f>
        <v>-6000</v>
      </c>
      <c r="K20" s="1"/>
      <c r="L20" s="42"/>
    </row>
    <row r="21" spans="1:12" x14ac:dyDescent="0.2">
      <c r="A21" s="21"/>
      <c r="B21" s="1"/>
      <c r="C21" s="29"/>
      <c r="D21" s="1"/>
      <c r="E21" s="29"/>
      <c r="F21" s="1"/>
      <c r="G21" s="23"/>
      <c r="H21" s="30"/>
      <c r="I21" s="27"/>
      <c r="J21" s="26">
        <f>SUM(J17:J19)</f>
        <v>0</v>
      </c>
      <c r="K21" s="27"/>
      <c r="L21" s="1"/>
    </row>
    <row r="22" spans="1:12" ht="13.5" thickBot="1" x14ac:dyDescent="0.25">
      <c r="A22" s="21"/>
      <c r="B22" s="1"/>
      <c r="C22" s="29"/>
      <c r="D22" s="1"/>
      <c r="E22" s="29"/>
      <c r="F22" s="1"/>
      <c r="G22" s="23"/>
      <c r="H22" s="1"/>
      <c r="I22" s="1"/>
      <c r="J22" s="1"/>
      <c r="K22" s="1"/>
      <c r="L22" s="1"/>
    </row>
    <row r="23" spans="1:12" x14ac:dyDescent="0.2">
      <c r="A23" s="21" t="s">
        <v>21</v>
      </c>
      <c r="B23" s="35"/>
      <c r="C23" s="22">
        <f t="shared" ref="C23:C25" si="8">(B23*0.65%)-D23</f>
        <v>0</v>
      </c>
      <c r="D23" s="35"/>
      <c r="E23" s="22">
        <f t="shared" ref="E23:E25" si="9">(B23*3%)-F23</f>
        <v>0</v>
      </c>
      <c r="F23" s="35"/>
      <c r="G23" s="23">
        <v>44160</v>
      </c>
      <c r="H23" s="24">
        <f t="shared" ref="H23:H25" si="10">(B23*12%*9%)-I23</f>
        <v>0</v>
      </c>
      <c r="I23" s="35"/>
      <c r="J23" s="24">
        <f>(B23*16%*15%)-K23</f>
        <v>0</v>
      </c>
      <c r="K23" s="35"/>
      <c r="L23" s="50">
        <v>44225</v>
      </c>
    </row>
    <row r="24" spans="1:12" ht="12.75" customHeight="1" x14ac:dyDescent="0.2">
      <c r="A24" s="21" t="s">
        <v>22</v>
      </c>
      <c r="B24" s="36"/>
      <c r="C24" s="22">
        <f t="shared" si="8"/>
        <v>0</v>
      </c>
      <c r="D24" s="36"/>
      <c r="E24" s="22">
        <f t="shared" si="9"/>
        <v>0</v>
      </c>
      <c r="F24" s="36"/>
      <c r="G24" s="23">
        <v>44189</v>
      </c>
      <c r="H24" s="24">
        <f t="shared" si="10"/>
        <v>0</v>
      </c>
      <c r="I24" s="36"/>
      <c r="J24" s="24">
        <f>(B24*16%*15%)-K24</f>
        <v>0</v>
      </c>
      <c r="K24" s="36"/>
      <c r="L24" s="51"/>
    </row>
    <row r="25" spans="1:12" ht="13.5" customHeight="1" thickBot="1" x14ac:dyDescent="0.25">
      <c r="A25" s="21" t="s">
        <v>23</v>
      </c>
      <c r="B25" s="37"/>
      <c r="C25" s="22">
        <f t="shared" si="8"/>
        <v>0</v>
      </c>
      <c r="D25" s="37"/>
      <c r="E25" s="22">
        <f t="shared" si="9"/>
        <v>0</v>
      </c>
      <c r="F25" s="37"/>
      <c r="G25" s="23">
        <v>44221</v>
      </c>
      <c r="H25" s="24">
        <f t="shared" si="10"/>
        <v>0</v>
      </c>
      <c r="I25" s="37"/>
      <c r="J25" s="24">
        <f>(B25*16%*15%)-K25</f>
        <v>0</v>
      </c>
      <c r="K25" s="37"/>
      <c r="L25" s="51"/>
    </row>
    <row r="26" spans="1:12" x14ac:dyDescent="0.2">
      <c r="A26" s="21"/>
      <c r="B26" s="25">
        <f>SUM(B23:B25)</f>
        <v>0</v>
      </c>
      <c r="C26" s="25">
        <f>SUM(C23:C25)</f>
        <v>0</v>
      </c>
      <c r="D26" s="1"/>
      <c r="E26" s="25">
        <f>SUM(E23:E25)</f>
        <v>0</v>
      </c>
      <c r="F26" s="1"/>
      <c r="G26" s="23"/>
      <c r="H26" s="26">
        <f>SUM(H23:H25)</f>
        <v>0</v>
      </c>
      <c r="I26" s="27" t="s">
        <v>14</v>
      </c>
      <c r="J26" s="24">
        <f>((B26*8%)-60000)*10%</f>
        <v>-6000</v>
      </c>
      <c r="K26" s="1"/>
      <c r="L26" s="28"/>
    </row>
    <row r="27" spans="1:12" x14ac:dyDescent="0.2">
      <c r="A27" s="1"/>
      <c r="B27" s="24"/>
      <c r="C27" s="1"/>
      <c r="D27" s="1"/>
      <c r="E27" s="1"/>
      <c r="F27" s="1"/>
      <c r="G27" s="1"/>
      <c r="H27" s="30"/>
      <c r="I27" s="27"/>
      <c r="J27" s="26">
        <f>SUM(J23:J25)</f>
        <v>0</v>
      </c>
      <c r="K27" s="27"/>
      <c r="L27" s="1"/>
    </row>
    <row r="28" spans="1:12" x14ac:dyDescent="0.2">
      <c r="B28" s="31">
        <f>SUM(B26,B20,B14,B8)</f>
        <v>1643</v>
      </c>
    </row>
    <row r="31" spans="1:12" x14ac:dyDescent="0.2">
      <c r="A31" s="30" t="s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30" t="s">
        <v>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30" t="s">
        <v>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3.5" thickBot="1" x14ac:dyDescent="0.25"/>
    <row r="35" spans="1:12" ht="13.5" thickBot="1" x14ac:dyDescent="0.25">
      <c r="A35" s="1"/>
      <c r="B35" s="2"/>
      <c r="C35" s="3" t="s">
        <v>27</v>
      </c>
      <c r="D35" s="2" t="s">
        <v>28</v>
      </c>
      <c r="E35" s="3" t="s">
        <v>29</v>
      </c>
      <c r="F35" s="2" t="s">
        <v>30</v>
      </c>
      <c r="G35" s="4" t="s">
        <v>31</v>
      </c>
      <c r="H35" s="1"/>
      <c r="I35" s="17" t="s">
        <v>34</v>
      </c>
      <c r="J35" s="1"/>
      <c r="K35" s="1"/>
      <c r="L35" s="1"/>
    </row>
    <row r="36" spans="1:12" x14ac:dyDescent="0.2">
      <c r="A36" s="1"/>
      <c r="B36" s="5" t="s">
        <v>2</v>
      </c>
      <c r="C36" s="6">
        <f>C8</f>
        <v>10.679500000000001</v>
      </c>
      <c r="D36" s="5">
        <f>C14</f>
        <v>0</v>
      </c>
      <c r="E36" s="6">
        <f>C20</f>
        <v>0</v>
      </c>
      <c r="F36" s="5">
        <f>C26</f>
        <v>0</v>
      </c>
      <c r="G36" s="7">
        <f>SUM(C36:F36)</f>
        <v>10.679500000000001</v>
      </c>
      <c r="H36" s="1"/>
      <c r="I36" s="32">
        <f>G36/$B$28</f>
        <v>6.5000000000000006E-3</v>
      </c>
      <c r="J36" s="1"/>
      <c r="K36" s="1"/>
      <c r="L36" s="1"/>
    </row>
    <row r="37" spans="1:12" x14ac:dyDescent="0.2">
      <c r="A37" s="1"/>
      <c r="B37" s="8" t="s">
        <v>4</v>
      </c>
      <c r="C37" s="9">
        <f>E8</f>
        <v>49.29</v>
      </c>
      <c r="D37" s="8">
        <f>E14</f>
        <v>0</v>
      </c>
      <c r="E37" s="9">
        <f>E20</f>
        <v>0</v>
      </c>
      <c r="F37" s="8">
        <f>E26</f>
        <v>0</v>
      </c>
      <c r="G37" s="10">
        <f>SUM(C37:F37)</f>
        <v>49.29</v>
      </c>
      <c r="H37" s="1"/>
      <c r="I37" s="32">
        <f t="shared" ref="I37:I39" si="11">G37/$B$28</f>
        <v>0.03</v>
      </c>
      <c r="J37" s="1"/>
      <c r="K37" s="1"/>
      <c r="L37" s="1"/>
    </row>
    <row r="38" spans="1:12" x14ac:dyDescent="0.2">
      <c r="A38" s="1"/>
      <c r="B38" s="8" t="s">
        <v>7</v>
      </c>
      <c r="C38" s="9">
        <f>H8</f>
        <v>17.744399999999999</v>
      </c>
      <c r="D38" s="8">
        <f>H14</f>
        <v>0</v>
      </c>
      <c r="E38" s="9">
        <f>H20</f>
        <v>0</v>
      </c>
      <c r="F38" s="8">
        <f>H26</f>
        <v>0</v>
      </c>
      <c r="G38" s="10">
        <f>SUM(C38:F38)</f>
        <v>17.744399999999999</v>
      </c>
      <c r="H38" s="1"/>
      <c r="I38" s="32">
        <f t="shared" si="11"/>
        <v>1.0799999999999999E-2</v>
      </c>
      <c r="J38" s="1"/>
      <c r="K38" s="1"/>
      <c r="L38" s="1"/>
    </row>
    <row r="39" spans="1:12" ht="13.5" thickBot="1" x14ac:dyDescent="0.25">
      <c r="A39" s="1"/>
      <c r="B39" s="11" t="s">
        <v>9</v>
      </c>
      <c r="C39" s="12">
        <f>J9</f>
        <v>39.431999999999995</v>
      </c>
      <c r="D39" s="13">
        <f>J15</f>
        <v>0</v>
      </c>
      <c r="E39" s="12">
        <f>J21</f>
        <v>0</v>
      </c>
      <c r="F39" s="13">
        <f>J27</f>
        <v>0</v>
      </c>
      <c r="G39" s="14">
        <f>SUM(C39:F39)</f>
        <v>39.431999999999995</v>
      </c>
      <c r="H39" s="1"/>
      <c r="I39" s="32">
        <f t="shared" si="11"/>
        <v>2.3999999999999997E-2</v>
      </c>
      <c r="J39" s="1"/>
      <c r="K39" s="1"/>
      <c r="L39" s="1"/>
    </row>
    <row r="40" spans="1:12" ht="13.5" thickBot="1" x14ac:dyDescent="0.25">
      <c r="B40" s="1"/>
      <c r="C40" s="1"/>
      <c r="D40" s="1"/>
      <c r="E40" s="1"/>
      <c r="F40" s="1"/>
      <c r="G40" s="1"/>
    </row>
    <row r="41" spans="1:12" ht="13.5" thickBot="1" x14ac:dyDescent="0.25">
      <c r="B41" s="15" t="s">
        <v>32</v>
      </c>
      <c r="C41" s="16">
        <f>SUM(C36:C39)</f>
        <v>117.14589999999998</v>
      </c>
      <c r="D41" s="16">
        <f t="shared" ref="D41:F41" si="12">SUM(D36:D39)</f>
        <v>0</v>
      </c>
      <c r="E41" s="16">
        <f t="shared" si="12"/>
        <v>0</v>
      </c>
      <c r="F41" s="16">
        <f t="shared" si="12"/>
        <v>0</v>
      </c>
      <c r="G41" s="16">
        <f>SUM(C41:F41)</f>
        <v>117.14589999999998</v>
      </c>
    </row>
    <row r="43" spans="1:12" x14ac:dyDescent="0.2">
      <c r="B43" s="33" t="s">
        <v>35</v>
      </c>
      <c r="C43" s="34">
        <f>C41/$B$8</f>
        <v>7.1299999999999988E-2</v>
      </c>
      <c r="D43" s="34" t="e">
        <f>D41/$B$14</f>
        <v>#DIV/0!</v>
      </c>
      <c r="E43" s="34" t="e">
        <f>E41/$B$20</f>
        <v>#DIV/0!</v>
      </c>
      <c r="F43" s="34" t="e">
        <f>F41/$B$26</f>
        <v>#DIV/0!</v>
      </c>
      <c r="G43" s="34">
        <f>G41/$B$28</f>
        <v>7.1299999999999988E-2</v>
      </c>
    </row>
    <row r="45" spans="1:12" ht="12.75" customHeight="1" thickBot="1" x14ac:dyDescent="0.25"/>
    <row r="46" spans="1:12" ht="16.5" thickBot="1" x14ac:dyDescent="0.25">
      <c r="B46" s="52" t="s">
        <v>36</v>
      </c>
      <c r="C46" s="53"/>
      <c r="D46" s="53"/>
      <c r="E46" s="53"/>
      <c r="F46" s="53"/>
      <c r="G46" s="54"/>
      <c r="H46" s="52" t="s">
        <v>37</v>
      </c>
      <c r="I46" s="53"/>
      <c r="J46" s="54"/>
    </row>
    <row r="47" spans="1:12" ht="16.5" thickBot="1" x14ac:dyDescent="0.25">
      <c r="B47" s="55" t="s">
        <v>38</v>
      </c>
      <c r="C47" s="56"/>
      <c r="D47" s="56"/>
      <c r="E47" s="56"/>
      <c r="F47" s="56"/>
      <c r="G47" s="57"/>
      <c r="H47" s="58">
        <v>1.6E-2</v>
      </c>
      <c r="I47" s="59"/>
      <c r="J47" s="60"/>
    </row>
    <row r="48" spans="1:12" ht="15.75" x14ac:dyDescent="0.2">
      <c r="B48" s="46" t="s">
        <v>39</v>
      </c>
      <c r="C48" s="47"/>
      <c r="D48" s="47"/>
      <c r="E48" s="47"/>
      <c r="F48" s="47"/>
      <c r="G48" s="48"/>
      <c r="H48" s="70">
        <v>0.08</v>
      </c>
      <c r="I48" s="71"/>
      <c r="J48" s="72"/>
    </row>
    <row r="49" spans="2:10" ht="15.75" x14ac:dyDescent="0.2">
      <c r="B49" s="79" t="s">
        <v>40</v>
      </c>
      <c r="C49" s="80"/>
      <c r="D49" s="80"/>
      <c r="E49" s="80"/>
      <c r="F49" s="80"/>
      <c r="G49" s="81"/>
      <c r="H49" s="73"/>
      <c r="I49" s="74"/>
      <c r="J49" s="75"/>
    </row>
    <row r="50" spans="2:10" ht="15.75" x14ac:dyDescent="0.2">
      <c r="B50" s="79" t="s">
        <v>41</v>
      </c>
      <c r="C50" s="80"/>
      <c r="D50" s="80"/>
      <c r="E50" s="80"/>
      <c r="F50" s="80"/>
      <c r="G50" s="81"/>
      <c r="H50" s="73"/>
      <c r="I50" s="74"/>
      <c r="J50" s="75"/>
    </row>
    <row r="51" spans="2:10" ht="15.75" x14ac:dyDescent="0.2">
      <c r="B51" s="79" t="s">
        <v>42</v>
      </c>
      <c r="C51" s="80"/>
      <c r="D51" s="80"/>
      <c r="E51" s="80"/>
      <c r="F51" s="80"/>
      <c r="G51" s="81"/>
      <c r="H51" s="73"/>
      <c r="I51" s="74"/>
      <c r="J51" s="75"/>
    </row>
    <row r="52" spans="2:10" ht="15.75" x14ac:dyDescent="0.2">
      <c r="B52" s="79" t="s">
        <v>43</v>
      </c>
      <c r="C52" s="80"/>
      <c r="D52" s="80"/>
      <c r="E52" s="80"/>
      <c r="F52" s="80"/>
      <c r="G52" s="81"/>
      <c r="H52" s="73"/>
      <c r="I52" s="74"/>
      <c r="J52" s="75"/>
    </row>
    <row r="53" spans="2:10" ht="15.75" x14ac:dyDescent="0.2">
      <c r="B53" s="79" t="s">
        <v>44</v>
      </c>
      <c r="C53" s="80"/>
      <c r="D53" s="80"/>
      <c r="E53" s="80"/>
      <c r="F53" s="80"/>
      <c r="G53" s="81"/>
      <c r="H53" s="73"/>
      <c r="I53" s="74"/>
      <c r="J53" s="75"/>
    </row>
    <row r="54" spans="2:10" ht="16.5" thickBot="1" x14ac:dyDescent="0.25">
      <c r="B54" s="43" t="s">
        <v>45</v>
      </c>
      <c r="C54" s="44"/>
      <c r="D54" s="44"/>
      <c r="E54" s="44"/>
      <c r="F54" s="44"/>
      <c r="G54" s="45"/>
      <c r="H54" s="76"/>
      <c r="I54" s="77"/>
      <c r="J54" s="78"/>
    </row>
    <row r="55" spans="2:10" ht="15.75" x14ac:dyDescent="0.2">
      <c r="B55" s="46" t="s">
        <v>46</v>
      </c>
      <c r="C55" s="47"/>
      <c r="D55" s="47"/>
      <c r="E55" s="47"/>
      <c r="F55" s="47"/>
      <c r="G55" s="48"/>
      <c r="H55" s="70">
        <v>0.16</v>
      </c>
      <c r="I55" s="71"/>
      <c r="J55" s="72"/>
    </row>
    <row r="56" spans="2:10" ht="16.5" thickBot="1" x14ac:dyDescent="0.25">
      <c r="B56" s="43" t="s">
        <v>47</v>
      </c>
      <c r="C56" s="44"/>
      <c r="D56" s="44"/>
      <c r="E56" s="44"/>
      <c r="F56" s="44"/>
      <c r="G56" s="45"/>
      <c r="H56" s="76"/>
      <c r="I56" s="77"/>
      <c r="J56" s="78"/>
    </row>
    <row r="57" spans="2:10" ht="15.75" x14ac:dyDescent="0.2">
      <c r="B57" s="46" t="s">
        <v>48</v>
      </c>
      <c r="C57" s="47"/>
      <c r="D57" s="47"/>
      <c r="E57" s="47"/>
      <c r="F57" s="47"/>
      <c r="G57" s="48"/>
      <c r="H57" s="70">
        <v>0.32</v>
      </c>
      <c r="I57" s="71"/>
      <c r="J57" s="72"/>
    </row>
    <row r="58" spans="2:10" ht="15.75" x14ac:dyDescent="0.2">
      <c r="B58" s="79" t="s">
        <v>49</v>
      </c>
      <c r="C58" s="80"/>
      <c r="D58" s="80"/>
      <c r="E58" s="80"/>
      <c r="F58" s="80"/>
      <c r="G58" s="81"/>
      <c r="H58" s="73"/>
      <c r="I58" s="74"/>
      <c r="J58" s="75"/>
    </row>
    <row r="59" spans="2:10" ht="15.75" x14ac:dyDescent="0.2">
      <c r="B59" s="79" t="s">
        <v>50</v>
      </c>
      <c r="C59" s="80"/>
      <c r="D59" s="80"/>
      <c r="E59" s="80"/>
      <c r="F59" s="80"/>
      <c r="G59" s="81"/>
      <c r="H59" s="73"/>
      <c r="I59" s="74"/>
      <c r="J59" s="75"/>
    </row>
    <row r="60" spans="2:10" ht="15.75" x14ac:dyDescent="0.2">
      <c r="B60" s="79" t="s">
        <v>51</v>
      </c>
      <c r="C60" s="80"/>
      <c r="D60" s="80"/>
      <c r="E60" s="80"/>
      <c r="F60" s="80"/>
      <c r="G60" s="81"/>
      <c r="H60" s="73"/>
      <c r="I60" s="74"/>
      <c r="J60" s="75"/>
    </row>
    <row r="61" spans="2:10" ht="16.5" thickBot="1" x14ac:dyDescent="0.25">
      <c r="B61" s="43" t="s">
        <v>52</v>
      </c>
      <c r="C61" s="44"/>
      <c r="D61" s="44"/>
      <c r="E61" s="44"/>
      <c r="F61" s="44"/>
      <c r="G61" s="45"/>
      <c r="H61" s="76"/>
      <c r="I61" s="77"/>
      <c r="J61" s="78"/>
    </row>
    <row r="62" spans="2:10" ht="12.75" customHeight="1" x14ac:dyDescent="0.2">
      <c r="B62" s="61" t="s">
        <v>53</v>
      </c>
      <c r="C62" s="62"/>
      <c r="D62" s="62"/>
      <c r="E62" s="62"/>
      <c r="F62" s="62"/>
      <c r="G62" s="63"/>
      <c r="H62" s="61" t="s">
        <v>54</v>
      </c>
      <c r="I62" s="62"/>
      <c r="J62" s="63"/>
    </row>
    <row r="63" spans="2:10" ht="12.75" customHeight="1" x14ac:dyDescent="0.2">
      <c r="B63" s="64"/>
      <c r="C63" s="65"/>
      <c r="D63" s="65"/>
      <c r="E63" s="65"/>
      <c r="F63" s="65"/>
      <c r="G63" s="66"/>
      <c r="H63" s="64"/>
      <c r="I63" s="65"/>
      <c r="J63" s="66"/>
    </row>
    <row r="64" spans="2:10" ht="13.5" customHeight="1" thickBot="1" x14ac:dyDescent="0.25">
      <c r="B64" s="67"/>
      <c r="C64" s="68"/>
      <c r="D64" s="68"/>
      <c r="E64" s="68"/>
      <c r="F64" s="68"/>
      <c r="G64" s="69"/>
      <c r="H64" s="67"/>
      <c r="I64" s="68"/>
      <c r="J64" s="69"/>
    </row>
  </sheetData>
  <mergeCells count="28">
    <mergeCell ref="B60:G60"/>
    <mergeCell ref="B61:G61"/>
    <mergeCell ref="B62:G64"/>
    <mergeCell ref="H48:J54"/>
    <mergeCell ref="H55:J56"/>
    <mergeCell ref="H57:J61"/>
    <mergeCell ref="H62:J64"/>
    <mergeCell ref="B53:G53"/>
    <mergeCell ref="B54:G54"/>
    <mergeCell ref="B55:G55"/>
    <mergeCell ref="B56:G56"/>
    <mergeCell ref="B57:G57"/>
    <mergeCell ref="B58:G58"/>
    <mergeCell ref="B52:G52"/>
    <mergeCell ref="B48:G48"/>
    <mergeCell ref="B49:G49"/>
    <mergeCell ref="B50:G50"/>
    <mergeCell ref="B51:G51"/>
    <mergeCell ref="B59:G59"/>
    <mergeCell ref="B46:G46"/>
    <mergeCell ref="B47:G47"/>
    <mergeCell ref="H47:J47"/>
    <mergeCell ref="H46:J46"/>
    <mergeCell ref="A1:L1"/>
    <mergeCell ref="L5:L7"/>
    <mergeCell ref="L11:L13"/>
    <mergeCell ref="L17:L19"/>
    <mergeCell ref="L23:L2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>
      <selection activeCell="L5" sqref="L5:L25"/>
    </sheetView>
  </sheetViews>
  <sheetFormatPr defaultColWidth="9.140625" defaultRowHeight="12.75" x14ac:dyDescent="0.2"/>
  <cols>
    <col min="1" max="1" width="9.140625" style="18"/>
    <col min="2" max="2" width="15.140625" style="18" bestFit="1" customWidth="1"/>
    <col min="3" max="7" width="13.28515625" style="18" bestFit="1" customWidth="1"/>
    <col min="8" max="8" width="11.42578125" style="18" bestFit="1" customWidth="1"/>
    <col min="9" max="9" width="16.5703125" style="18" bestFit="1" customWidth="1"/>
    <col min="10" max="10" width="12.7109375" style="18" bestFit="1" customWidth="1"/>
    <col min="11" max="11" width="13.85546875" style="18" customWidth="1"/>
    <col min="12" max="12" width="10.140625" style="18" bestFit="1" customWidth="1"/>
    <col min="13" max="16384" width="9.140625" style="18"/>
  </cols>
  <sheetData>
    <row r="1" spans="1:12" x14ac:dyDescent="0.2">
      <c r="A1" s="49" t="s">
        <v>33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40" customFormat="1" x14ac:dyDescent="0.2">
      <c r="C3" s="40">
        <v>8109</v>
      </c>
      <c r="E3" s="40">
        <v>2172</v>
      </c>
      <c r="H3" s="40">
        <v>2372</v>
      </c>
      <c r="J3" s="40">
        <v>2089</v>
      </c>
    </row>
    <row r="4" spans="1:12" ht="13.5" thickBot="1" x14ac:dyDescent="0.25">
      <c r="A4" s="19" t="s">
        <v>0</v>
      </c>
      <c r="B4" s="20" t="s">
        <v>1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19" t="s">
        <v>6</v>
      </c>
    </row>
    <row r="5" spans="1:12" x14ac:dyDescent="0.2">
      <c r="A5" s="21" t="s">
        <v>11</v>
      </c>
      <c r="B5" s="35"/>
      <c r="C5" s="22">
        <f>(B5*0.65%)-D5</f>
        <v>0</v>
      </c>
      <c r="D5" s="35"/>
      <c r="E5" s="22">
        <f>(B5*3%)-F5</f>
        <v>0</v>
      </c>
      <c r="F5" s="35"/>
      <c r="G5" s="23">
        <v>43521</v>
      </c>
      <c r="H5" s="24">
        <f>(B5*12%*9%)-I5</f>
        <v>0</v>
      </c>
      <c r="I5" s="35"/>
      <c r="J5" s="24">
        <f>(B5*32%*15%)-K5</f>
        <v>0</v>
      </c>
      <c r="K5" s="35"/>
      <c r="L5" s="50">
        <v>43585</v>
      </c>
    </row>
    <row r="6" spans="1:12" x14ac:dyDescent="0.2">
      <c r="A6" s="21" t="s">
        <v>12</v>
      </c>
      <c r="B6" s="36"/>
      <c r="C6" s="22">
        <f t="shared" ref="C6:C7" si="0">(B6*0.65%)-D6</f>
        <v>0</v>
      </c>
      <c r="D6" s="36"/>
      <c r="E6" s="22">
        <f t="shared" ref="E6:E7" si="1">(B6*3%)-F6</f>
        <v>0</v>
      </c>
      <c r="F6" s="36"/>
      <c r="G6" s="23">
        <v>43549</v>
      </c>
      <c r="H6" s="24">
        <f t="shared" ref="H6:H7" si="2">(B6*12%*9%)-I6</f>
        <v>0</v>
      </c>
      <c r="I6" s="36"/>
      <c r="J6" s="24">
        <f>(B6*32%*15%)-K6</f>
        <v>0</v>
      </c>
      <c r="K6" s="36"/>
      <c r="L6" s="51"/>
    </row>
    <row r="7" spans="1:12" ht="13.5" customHeight="1" thickBot="1" x14ac:dyDescent="0.25">
      <c r="A7" s="21" t="s">
        <v>13</v>
      </c>
      <c r="B7" s="37"/>
      <c r="C7" s="22">
        <f t="shared" si="0"/>
        <v>0</v>
      </c>
      <c r="D7" s="37"/>
      <c r="E7" s="22">
        <f t="shared" si="1"/>
        <v>0</v>
      </c>
      <c r="F7" s="37"/>
      <c r="G7" s="23">
        <v>43580</v>
      </c>
      <c r="H7" s="24">
        <f t="shared" si="2"/>
        <v>0</v>
      </c>
      <c r="I7" s="37"/>
      <c r="J7" s="24">
        <f>(B7*32%*15%)-K7</f>
        <v>0</v>
      </c>
      <c r="K7" s="37"/>
      <c r="L7" s="51"/>
    </row>
    <row r="8" spans="1:12" x14ac:dyDescent="0.2">
      <c r="A8" s="21"/>
      <c r="B8" s="25">
        <f>SUM(B5:B7)</f>
        <v>0</v>
      </c>
      <c r="C8" s="25">
        <f>SUM(C5:C7)</f>
        <v>0</v>
      </c>
      <c r="D8" s="1"/>
      <c r="E8" s="25">
        <f>SUM(E5:E7)</f>
        <v>0</v>
      </c>
      <c r="F8" s="1"/>
      <c r="G8" s="23"/>
      <c r="H8" s="26">
        <f>SUM(H5:H7)</f>
        <v>0</v>
      </c>
      <c r="I8" s="27" t="s">
        <v>14</v>
      </c>
      <c r="J8" s="24">
        <f>((B8*8%)-60000)*10%</f>
        <v>-6000</v>
      </c>
      <c r="K8" s="1"/>
      <c r="L8" s="28"/>
    </row>
    <row r="9" spans="1:12" x14ac:dyDescent="0.2">
      <c r="A9" s="21"/>
      <c r="B9" s="1"/>
      <c r="C9" s="29"/>
      <c r="D9" s="1"/>
      <c r="E9" s="29"/>
      <c r="F9" s="1"/>
      <c r="G9" s="23"/>
      <c r="H9" s="30"/>
      <c r="I9" s="27"/>
      <c r="J9" s="26">
        <f>SUM(J5:J7)</f>
        <v>0</v>
      </c>
      <c r="K9" s="27"/>
      <c r="L9" s="28"/>
    </row>
    <row r="10" spans="1:12" ht="13.5" thickBot="1" x14ac:dyDescent="0.25">
      <c r="A10" s="21"/>
      <c r="B10" s="1"/>
      <c r="C10" s="29"/>
      <c r="D10" s="1"/>
      <c r="E10" s="29"/>
      <c r="F10" s="1"/>
      <c r="G10" s="23"/>
      <c r="H10" s="1"/>
      <c r="I10" s="1"/>
      <c r="J10" s="1"/>
      <c r="K10" s="1"/>
      <c r="L10" s="28"/>
    </row>
    <row r="11" spans="1:12" x14ac:dyDescent="0.2">
      <c r="A11" s="21" t="s">
        <v>15</v>
      </c>
      <c r="B11" s="35"/>
      <c r="C11" s="22">
        <f t="shared" ref="C11:C13" si="3">(B11*0.65%)-D11</f>
        <v>0</v>
      </c>
      <c r="D11" s="35"/>
      <c r="E11" s="22">
        <f>(B11*3%)-F11</f>
        <v>0</v>
      </c>
      <c r="F11" s="35"/>
      <c r="G11" s="23">
        <v>43609</v>
      </c>
      <c r="H11" s="24">
        <f t="shared" ref="H11:H13" si="4">(B11*12%*9%)-I11</f>
        <v>0</v>
      </c>
      <c r="I11" s="35"/>
      <c r="J11" s="24">
        <f>(B11*32%*15%)-K11</f>
        <v>0</v>
      </c>
      <c r="K11" s="35"/>
      <c r="L11" s="50">
        <v>43677</v>
      </c>
    </row>
    <row r="12" spans="1:12" x14ac:dyDescent="0.2">
      <c r="A12" s="21" t="s">
        <v>16</v>
      </c>
      <c r="B12" s="36"/>
      <c r="C12" s="22">
        <f t="shared" si="3"/>
        <v>0</v>
      </c>
      <c r="D12" s="36"/>
      <c r="E12" s="22">
        <f>(B12*3%)-F12</f>
        <v>0</v>
      </c>
      <c r="F12" s="36"/>
      <c r="G12" s="23">
        <v>43641</v>
      </c>
      <c r="H12" s="24">
        <f t="shared" si="4"/>
        <v>0</v>
      </c>
      <c r="I12" s="36"/>
      <c r="J12" s="24">
        <f>(B12*32%*15%)-K12</f>
        <v>0</v>
      </c>
      <c r="K12" s="36"/>
      <c r="L12" s="51"/>
    </row>
    <row r="13" spans="1:12" ht="13.5" thickBot="1" x14ac:dyDescent="0.25">
      <c r="A13" s="21" t="s">
        <v>17</v>
      </c>
      <c r="B13" s="37"/>
      <c r="C13" s="22">
        <f t="shared" si="3"/>
        <v>0</v>
      </c>
      <c r="D13" s="37"/>
      <c r="E13" s="22">
        <f>(B13*3%)-F13</f>
        <v>0</v>
      </c>
      <c r="F13" s="37"/>
      <c r="G13" s="23">
        <v>43671</v>
      </c>
      <c r="H13" s="24">
        <f t="shared" si="4"/>
        <v>0</v>
      </c>
      <c r="I13" s="37"/>
      <c r="J13" s="24">
        <f>(B13*32%*15%)-K13</f>
        <v>0</v>
      </c>
      <c r="K13" s="37"/>
      <c r="L13" s="51"/>
    </row>
    <row r="14" spans="1:12" x14ac:dyDescent="0.2">
      <c r="A14" s="21"/>
      <c r="B14" s="25">
        <f>SUM(B11:B13)</f>
        <v>0</v>
      </c>
      <c r="C14" s="22">
        <f>SUM(C11:C13)</f>
        <v>0</v>
      </c>
      <c r="D14" s="1"/>
      <c r="E14" s="25">
        <f>SUM(E11:E13)</f>
        <v>0</v>
      </c>
      <c r="F14" s="30"/>
      <c r="G14" s="23"/>
      <c r="H14" s="26">
        <f>SUM(H11:H13)</f>
        <v>0</v>
      </c>
      <c r="I14" s="27" t="s">
        <v>14</v>
      </c>
      <c r="J14" s="24">
        <f>((B14*8%)-60000)*10%</f>
        <v>-6000</v>
      </c>
      <c r="K14" s="1"/>
      <c r="L14" s="28"/>
    </row>
    <row r="15" spans="1:12" x14ac:dyDescent="0.2">
      <c r="A15" s="21"/>
      <c r="B15" s="1"/>
      <c r="C15" s="29"/>
      <c r="D15" s="1"/>
      <c r="E15" s="29"/>
      <c r="F15" s="1"/>
      <c r="G15" s="23"/>
      <c r="H15" s="30"/>
      <c r="I15" s="27"/>
      <c r="J15" s="26">
        <f>SUM(J11:J13)</f>
        <v>0</v>
      </c>
      <c r="K15" s="27"/>
      <c r="L15" s="1"/>
    </row>
    <row r="16" spans="1:12" ht="13.5" thickBot="1" x14ac:dyDescent="0.25">
      <c r="A16" s="21"/>
      <c r="B16" s="1"/>
      <c r="C16" s="29"/>
      <c r="D16" s="1"/>
      <c r="E16" s="29"/>
      <c r="F16" s="1"/>
      <c r="G16" s="23"/>
      <c r="H16" s="1"/>
      <c r="I16" s="1"/>
      <c r="J16" s="1"/>
      <c r="K16" s="1"/>
      <c r="L16" s="1"/>
    </row>
    <row r="17" spans="1:12" x14ac:dyDescent="0.2">
      <c r="A17" s="21" t="s">
        <v>18</v>
      </c>
      <c r="B17" s="35"/>
      <c r="C17" s="22">
        <f t="shared" ref="C17:C19" si="5">(B17*0.65%)-D17</f>
        <v>0</v>
      </c>
      <c r="D17" s="35"/>
      <c r="E17" s="22">
        <f t="shared" ref="E17:E19" si="6">(B17*3%)-F17</f>
        <v>0</v>
      </c>
      <c r="F17" s="35"/>
      <c r="G17" s="23">
        <v>43700</v>
      </c>
      <c r="H17" s="24">
        <f t="shared" ref="H17:H19" si="7">(B17*12%*9%)-I17</f>
        <v>0</v>
      </c>
      <c r="I17" s="35"/>
      <c r="J17" s="24">
        <f>(B17*32%*15%)-K17</f>
        <v>0</v>
      </c>
      <c r="K17" s="35"/>
      <c r="L17" s="50">
        <v>43769</v>
      </c>
    </row>
    <row r="18" spans="1:12" x14ac:dyDescent="0.2">
      <c r="A18" s="21" t="s">
        <v>19</v>
      </c>
      <c r="B18" s="36"/>
      <c r="C18" s="22">
        <f t="shared" si="5"/>
        <v>0</v>
      </c>
      <c r="D18" s="36"/>
      <c r="E18" s="22">
        <f t="shared" si="6"/>
        <v>0</v>
      </c>
      <c r="F18" s="36"/>
      <c r="G18" s="23">
        <v>43733</v>
      </c>
      <c r="H18" s="24">
        <f t="shared" si="7"/>
        <v>0</v>
      </c>
      <c r="I18" s="36"/>
      <c r="J18" s="24">
        <f>(B18*32%*15%)-K18</f>
        <v>0</v>
      </c>
      <c r="K18" s="36"/>
      <c r="L18" s="51"/>
    </row>
    <row r="19" spans="1:12" ht="13.5" thickBot="1" x14ac:dyDescent="0.25">
      <c r="A19" s="21" t="s">
        <v>20</v>
      </c>
      <c r="B19" s="37"/>
      <c r="C19" s="22">
        <f t="shared" si="5"/>
        <v>0</v>
      </c>
      <c r="D19" s="37"/>
      <c r="E19" s="22">
        <f t="shared" si="6"/>
        <v>0</v>
      </c>
      <c r="F19" s="37"/>
      <c r="G19" s="23">
        <v>43763</v>
      </c>
      <c r="H19" s="24">
        <f t="shared" si="7"/>
        <v>0</v>
      </c>
      <c r="I19" s="37"/>
      <c r="J19" s="24">
        <f>(B19*32%*15%)-K19</f>
        <v>0</v>
      </c>
      <c r="K19" s="37"/>
      <c r="L19" s="51"/>
    </row>
    <row r="20" spans="1:12" x14ac:dyDescent="0.2">
      <c r="A20" s="21"/>
      <c r="B20" s="25">
        <f>SUM(B17:B19)</f>
        <v>0</v>
      </c>
      <c r="C20" s="22">
        <f>SUM(C17:C19)</f>
        <v>0</v>
      </c>
      <c r="D20" s="1"/>
      <c r="E20" s="25">
        <f>SUM(E17:E19)</f>
        <v>0</v>
      </c>
      <c r="F20" s="1"/>
      <c r="G20" s="23"/>
      <c r="H20" s="26">
        <f>SUM(H17:H19)</f>
        <v>0</v>
      </c>
      <c r="I20" s="27" t="s">
        <v>14</v>
      </c>
      <c r="J20" s="24">
        <f>((B20*8%)-60000)*10%</f>
        <v>-6000</v>
      </c>
      <c r="K20" s="1"/>
      <c r="L20" s="28"/>
    </row>
    <row r="21" spans="1:12" x14ac:dyDescent="0.2">
      <c r="A21" s="21"/>
      <c r="B21" s="1"/>
      <c r="C21" s="29"/>
      <c r="D21" s="1"/>
      <c r="E21" s="29"/>
      <c r="F21" s="1"/>
      <c r="G21" s="23"/>
      <c r="H21" s="30"/>
      <c r="I21" s="27"/>
      <c r="J21" s="26">
        <f>SUM(J17:J19)</f>
        <v>0</v>
      </c>
      <c r="K21" s="27"/>
      <c r="L21" s="1"/>
    </row>
    <row r="22" spans="1:12" ht="13.5" thickBot="1" x14ac:dyDescent="0.25">
      <c r="A22" s="21"/>
      <c r="B22" s="1"/>
      <c r="C22" s="29"/>
      <c r="D22" s="1"/>
      <c r="E22" s="29"/>
      <c r="F22" s="1"/>
      <c r="G22" s="23"/>
      <c r="H22" s="1"/>
      <c r="I22" s="1"/>
      <c r="J22" s="1"/>
      <c r="K22" s="1"/>
      <c r="L22" s="1"/>
    </row>
    <row r="23" spans="1:12" x14ac:dyDescent="0.2">
      <c r="A23" s="21" t="s">
        <v>21</v>
      </c>
      <c r="B23" s="35"/>
      <c r="C23" s="22">
        <f t="shared" ref="C23:C25" si="8">(B23*0.65%)-D23</f>
        <v>0</v>
      </c>
      <c r="D23" s="35"/>
      <c r="E23" s="22">
        <f t="shared" ref="E23:E25" si="9">(B23*3%)-F23</f>
        <v>0</v>
      </c>
      <c r="F23" s="35"/>
      <c r="G23" s="23">
        <v>43794</v>
      </c>
      <c r="H23" s="24">
        <f t="shared" ref="H23:H25" si="10">(B23*12%*9%)-I23</f>
        <v>0</v>
      </c>
      <c r="I23" s="35"/>
      <c r="J23" s="24">
        <f>(B23*32%*15%)-K23</f>
        <v>0</v>
      </c>
      <c r="K23" s="35"/>
      <c r="L23" s="50">
        <v>43861</v>
      </c>
    </row>
    <row r="24" spans="1:12" ht="12.75" customHeight="1" x14ac:dyDescent="0.2">
      <c r="A24" s="21" t="s">
        <v>22</v>
      </c>
      <c r="B24" s="36"/>
      <c r="C24" s="22">
        <f t="shared" si="8"/>
        <v>0</v>
      </c>
      <c r="D24" s="36"/>
      <c r="E24" s="22">
        <f t="shared" si="9"/>
        <v>0</v>
      </c>
      <c r="F24" s="36"/>
      <c r="G24" s="23">
        <v>43823</v>
      </c>
      <c r="H24" s="24">
        <f t="shared" si="10"/>
        <v>0</v>
      </c>
      <c r="I24" s="36"/>
      <c r="J24" s="24">
        <f>(B24*32%*15%)-K24</f>
        <v>0</v>
      </c>
      <c r="K24" s="36"/>
      <c r="L24" s="51"/>
    </row>
    <row r="25" spans="1:12" ht="13.5" customHeight="1" thickBot="1" x14ac:dyDescent="0.25">
      <c r="A25" s="21" t="s">
        <v>23</v>
      </c>
      <c r="B25" s="37"/>
      <c r="C25" s="22">
        <f t="shared" si="8"/>
        <v>0</v>
      </c>
      <c r="D25" s="37"/>
      <c r="E25" s="22">
        <f t="shared" si="9"/>
        <v>0</v>
      </c>
      <c r="F25" s="37"/>
      <c r="G25" s="23">
        <v>43854</v>
      </c>
      <c r="H25" s="24">
        <f t="shared" si="10"/>
        <v>0</v>
      </c>
      <c r="I25" s="37"/>
      <c r="J25" s="24">
        <f>(B25*32%*15%)-K25</f>
        <v>0</v>
      </c>
      <c r="K25" s="37"/>
      <c r="L25" s="51"/>
    </row>
    <row r="26" spans="1:12" x14ac:dyDescent="0.2">
      <c r="A26" s="21"/>
      <c r="B26" s="25">
        <f>SUM(B23:B25)</f>
        <v>0</v>
      </c>
      <c r="C26" s="25">
        <f>SUM(C23:C25)</f>
        <v>0</v>
      </c>
      <c r="D26" s="1"/>
      <c r="E26" s="25">
        <f>SUM(E23:E25)</f>
        <v>0</v>
      </c>
      <c r="F26" s="1"/>
      <c r="G26" s="23"/>
      <c r="H26" s="26">
        <f>SUM(H23:H25)</f>
        <v>0</v>
      </c>
      <c r="I26" s="27" t="s">
        <v>14</v>
      </c>
      <c r="J26" s="24">
        <f>((B26*8%)-60000)*10%</f>
        <v>-6000</v>
      </c>
      <c r="K26" s="1"/>
      <c r="L26" s="28"/>
    </row>
    <row r="27" spans="1:12" x14ac:dyDescent="0.2">
      <c r="A27" s="1"/>
      <c r="B27" s="24"/>
      <c r="C27" s="1"/>
      <c r="D27" s="1"/>
      <c r="E27" s="1"/>
      <c r="F27" s="1"/>
      <c r="G27" s="1"/>
      <c r="H27" s="30"/>
      <c r="I27" s="27"/>
      <c r="J27" s="26">
        <f>SUM(J23:J25)</f>
        <v>0</v>
      </c>
      <c r="K27" s="27"/>
      <c r="L27" s="1"/>
    </row>
    <row r="28" spans="1:12" x14ac:dyDescent="0.2">
      <c r="B28" s="31">
        <f>SUM(B26,B20,B14,B8)</f>
        <v>0</v>
      </c>
    </row>
    <row r="31" spans="1:12" x14ac:dyDescent="0.2">
      <c r="A31" s="30" t="s">
        <v>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30" t="s">
        <v>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30" t="s">
        <v>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3.5" thickBot="1" x14ac:dyDescent="0.25"/>
    <row r="35" spans="1:12" ht="13.5" thickBot="1" x14ac:dyDescent="0.25">
      <c r="A35" s="1"/>
      <c r="B35" s="2"/>
      <c r="C35" s="3" t="s">
        <v>27</v>
      </c>
      <c r="D35" s="2" t="s">
        <v>28</v>
      </c>
      <c r="E35" s="3" t="s">
        <v>29</v>
      </c>
      <c r="F35" s="2" t="s">
        <v>30</v>
      </c>
      <c r="G35" s="4" t="s">
        <v>31</v>
      </c>
      <c r="H35" s="1"/>
      <c r="I35" s="17" t="s">
        <v>34</v>
      </c>
      <c r="J35" s="1"/>
      <c r="K35" s="1"/>
      <c r="L35" s="1"/>
    </row>
    <row r="36" spans="1:12" x14ac:dyDescent="0.2">
      <c r="A36" s="1"/>
      <c r="B36" s="5" t="s">
        <v>2</v>
      </c>
      <c r="C36" s="6">
        <f>C8</f>
        <v>0</v>
      </c>
      <c r="D36" s="5">
        <f>C14</f>
        <v>0</v>
      </c>
      <c r="E36" s="6">
        <f>C20</f>
        <v>0</v>
      </c>
      <c r="F36" s="5">
        <f>C26</f>
        <v>0</v>
      </c>
      <c r="G36" s="7">
        <f>SUM(C36:F36)</f>
        <v>0</v>
      </c>
      <c r="H36" s="1"/>
      <c r="I36" s="32" t="e">
        <f>G36/$B$28</f>
        <v>#DIV/0!</v>
      </c>
      <c r="J36" s="1"/>
      <c r="K36" s="1"/>
      <c r="L36" s="1"/>
    </row>
    <row r="37" spans="1:12" x14ac:dyDescent="0.2">
      <c r="A37" s="1"/>
      <c r="B37" s="8" t="s">
        <v>4</v>
      </c>
      <c r="C37" s="9">
        <f>E8</f>
        <v>0</v>
      </c>
      <c r="D37" s="8">
        <f>E14</f>
        <v>0</v>
      </c>
      <c r="E37" s="9">
        <f>E20</f>
        <v>0</v>
      </c>
      <c r="F37" s="8">
        <f>E26</f>
        <v>0</v>
      </c>
      <c r="G37" s="10">
        <f>SUM(C37:F37)</f>
        <v>0</v>
      </c>
      <c r="H37" s="1"/>
      <c r="I37" s="32" t="e">
        <f t="shared" ref="I37:I39" si="11">G37/$B$28</f>
        <v>#DIV/0!</v>
      </c>
      <c r="J37" s="1"/>
      <c r="K37" s="1"/>
      <c r="L37" s="1"/>
    </row>
    <row r="38" spans="1:12" x14ac:dyDescent="0.2">
      <c r="A38" s="1"/>
      <c r="B38" s="8" t="s">
        <v>7</v>
      </c>
      <c r="C38" s="9">
        <f>H8</f>
        <v>0</v>
      </c>
      <c r="D38" s="8">
        <f>H14</f>
        <v>0</v>
      </c>
      <c r="E38" s="9">
        <f>H20</f>
        <v>0</v>
      </c>
      <c r="F38" s="8">
        <f>H26</f>
        <v>0</v>
      </c>
      <c r="G38" s="10">
        <f>SUM(C38:F38)</f>
        <v>0</v>
      </c>
      <c r="H38" s="1"/>
      <c r="I38" s="32" t="e">
        <f t="shared" si="11"/>
        <v>#DIV/0!</v>
      </c>
      <c r="J38" s="1"/>
      <c r="K38" s="1"/>
      <c r="L38" s="1"/>
    </row>
    <row r="39" spans="1:12" ht="13.5" thickBot="1" x14ac:dyDescent="0.25">
      <c r="A39" s="1"/>
      <c r="B39" s="11" t="s">
        <v>9</v>
      </c>
      <c r="C39" s="12">
        <f>J9</f>
        <v>0</v>
      </c>
      <c r="D39" s="13">
        <f>J15</f>
        <v>0</v>
      </c>
      <c r="E39" s="12">
        <f>J21</f>
        <v>0</v>
      </c>
      <c r="F39" s="13">
        <f>J27</f>
        <v>0</v>
      </c>
      <c r="G39" s="14">
        <f>SUM(C39:F39)</f>
        <v>0</v>
      </c>
      <c r="H39" s="1"/>
      <c r="I39" s="32" t="e">
        <f t="shared" si="11"/>
        <v>#DIV/0!</v>
      </c>
      <c r="J39" s="1"/>
      <c r="K39" s="1"/>
      <c r="L39" s="1"/>
    </row>
    <row r="40" spans="1:12" ht="13.5" thickBot="1" x14ac:dyDescent="0.25">
      <c r="B40" s="1"/>
      <c r="C40" s="1"/>
      <c r="D40" s="1"/>
      <c r="E40" s="1"/>
      <c r="F40" s="1"/>
      <c r="G40" s="1"/>
    </row>
    <row r="41" spans="1:12" ht="13.5" thickBot="1" x14ac:dyDescent="0.25">
      <c r="B41" s="15" t="s">
        <v>32</v>
      </c>
      <c r="C41" s="16">
        <f>SUM(C36:C39)</f>
        <v>0</v>
      </c>
      <c r="D41" s="16">
        <f t="shared" ref="D41:F41" si="12">SUM(D36:D39)</f>
        <v>0</v>
      </c>
      <c r="E41" s="16">
        <f t="shared" si="12"/>
        <v>0</v>
      </c>
      <c r="F41" s="16">
        <f t="shared" si="12"/>
        <v>0</v>
      </c>
      <c r="G41" s="16">
        <f>SUM(C41:F41)</f>
        <v>0</v>
      </c>
    </row>
    <row r="43" spans="1:12" x14ac:dyDescent="0.2">
      <c r="B43" s="33" t="s">
        <v>35</v>
      </c>
      <c r="C43" s="34" t="e">
        <f>C41/$B$8</f>
        <v>#DIV/0!</v>
      </c>
      <c r="D43" s="34" t="e">
        <f>D41/$B$14</f>
        <v>#DIV/0!</v>
      </c>
      <c r="E43" s="34" t="e">
        <f>E41/$B$20</f>
        <v>#DIV/0!</v>
      </c>
      <c r="F43" s="34" t="e">
        <f>F41/$B$26</f>
        <v>#DIV/0!</v>
      </c>
      <c r="G43" s="34" t="e">
        <f>G41/$B$28</f>
        <v>#DIV/0!</v>
      </c>
    </row>
    <row r="45" spans="1:12" ht="12.75" customHeight="1" thickBot="1" x14ac:dyDescent="0.25"/>
    <row r="46" spans="1:12" ht="16.5" thickBot="1" x14ac:dyDescent="0.25">
      <c r="B46" s="52" t="s">
        <v>36</v>
      </c>
      <c r="C46" s="53"/>
      <c r="D46" s="53"/>
      <c r="E46" s="53"/>
      <c r="F46" s="53"/>
      <c r="G46" s="54"/>
      <c r="H46" s="52" t="s">
        <v>37</v>
      </c>
      <c r="I46" s="53"/>
      <c r="J46" s="54"/>
    </row>
    <row r="47" spans="1:12" ht="16.5" thickBot="1" x14ac:dyDescent="0.25">
      <c r="B47" s="55" t="s">
        <v>38</v>
      </c>
      <c r="C47" s="56"/>
      <c r="D47" s="56"/>
      <c r="E47" s="56"/>
      <c r="F47" s="56"/>
      <c r="G47" s="57"/>
      <c r="H47" s="58">
        <v>1.6E-2</v>
      </c>
      <c r="I47" s="59"/>
      <c r="J47" s="60"/>
    </row>
    <row r="48" spans="1:12" ht="15.75" x14ac:dyDescent="0.2">
      <c r="B48" s="46" t="s">
        <v>39</v>
      </c>
      <c r="C48" s="47"/>
      <c r="D48" s="47"/>
      <c r="E48" s="47"/>
      <c r="F48" s="47"/>
      <c r="G48" s="48"/>
      <c r="H48" s="70">
        <v>0.08</v>
      </c>
      <c r="I48" s="71"/>
      <c r="J48" s="72"/>
    </row>
    <row r="49" spans="2:10" ht="15.75" x14ac:dyDescent="0.2">
      <c r="B49" s="79" t="s">
        <v>40</v>
      </c>
      <c r="C49" s="80"/>
      <c r="D49" s="80"/>
      <c r="E49" s="80"/>
      <c r="F49" s="80"/>
      <c r="G49" s="81"/>
      <c r="H49" s="73"/>
      <c r="I49" s="74"/>
      <c r="J49" s="75"/>
    </row>
    <row r="50" spans="2:10" ht="15.75" x14ac:dyDescent="0.2">
      <c r="B50" s="79" t="s">
        <v>41</v>
      </c>
      <c r="C50" s="80"/>
      <c r="D50" s="80"/>
      <c r="E50" s="80"/>
      <c r="F50" s="80"/>
      <c r="G50" s="81"/>
      <c r="H50" s="73"/>
      <c r="I50" s="74"/>
      <c r="J50" s="75"/>
    </row>
    <row r="51" spans="2:10" ht="15.75" x14ac:dyDescent="0.2">
      <c r="B51" s="79" t="s">
        <v>42</v>
      </c>
      <c r="C51" s="80"/>
      <c r="D51" s="80"/>
      <c r="E51" s="80"/>
      <c r="F51" s="80"/>
      <c r="G51" s="81"/>
      <c r="H51" s="73"/>
      <c r="I51" s="74"/>
      <c r="J51" s="75"/>
    </row>
    <row r="52" spans="2:10" ht="15.75" x14ac:dyDescent="0.2">
      <c r="B52" s="79" t="s">
        <v>43</v>
      </c>
      <c r="C52" s="80"/>
      <c r="D52" s="80"/>
      <c r="E52" s="80"/>
      <c r="F52" s="80"/>
      <c r="G52" s="81"/>
      <c r="H52" s="73"/>
      <c r="I52" s="74"/>
      <c r="J52" s="75"/>
    </row>
    <row r="53" spans="2:10" ht="15.75" x14ac:dyDescent="0.2">
      <c r="B53" s="79" t="s">
        <v>44</v>
      </c>
      <c r="C53" s="80"/>
      <c r="D53" s="80"/>
      <c r="E53" s="80"/>
      <c r="F53" s="80"/>
      <c r="G53" s="81"/>
      <c r="H53" s="73"/>
      <c r="I53" s="74"/>
      <c r="J53" s="75"/>
    </row>
    <row r="54" spans="2:10" ht="16.5" thickBot="1" x14ac:dyDescent="0.25">
      <c r="B54" s="43" t="s">
        <v>45</v>
      </c>
      <c r="C54" s="44"/>
      <c r="D54" s="44"/>
      <c r="E54" s="44"/>
      <c r="F54" s="44"/>
      <c r="G54" s="45"/>
      <c r="H54" s="76"/>
      <c r="I54" s="77"/>
      <c r="J54" s="78"/>
    </row>
    <row r="55" spans="2:10" ht="15.75" x14ac:dyDescent="0.2">
      <c r="B55" s="46" t="s">
        <v>46</v>
      </c>
      <c r="C55" s="47"/>
      <c r="D55" s="47"/>
      <c r="E55" s="47"/>
      <c r="F55" s="47"/>
      <c r="G55" s="48"/>
      <c r="H55" s="70">
        <v>0.16</v>
      </c>
      <c r="I55" s="71"/>
      <c r="J55" s="72"/>
    </row>
    <row r="56" spans="2:10" ht="16.5" thickBot="1" x14ac:dyDescent="0.25">
      <c r="B56" s="43" t="s">
        <v>47</v>
      </c>
      <c r="C56" s="44"/>
      <c r="D56" s="44"/>
      <c r="E56" s="44"/>
      <c r="F56" s="44"/>
      <c r="G56" s="45"/>
      <c r="H56" s="76"/>
      <c r="I56" s="77"/>
      <c r="J56" s="78"/>
    </row>
    <row r="57" spans="2:10" ht="15.75" x14ac:dyDescent="0.2">
      <c r="B57" s="46" t="s">
        <v>48</v>
      </c>
      <c r="C57" s="47"/>
      <c r="D57" s="47"/>
      <c r="E57" s="47"/>
      <c r="F57" s="47"/>
      <c r="G57" s="48"/>
      <c r="H57" s="70">
        <v>0.32</v>
      </c>
      <c r="I57" s="71"/>
      <c r="J57" s="72"/>
    </row>
    <row r="58" spans="2:10" ht="15.75" x14ac:dyDescent="0.2">
      <c r="B58" s="79" t="s">
        <v>49</v>
      </c>
      <c r="C58" s="80"/>
      <c r="D58" s="80"/>
      <c r="E58" s="80"/>
      <c r="F58" s="80"/>
      <c r="G58" s="81"/>
      <c r="H58" s="73"/>
      <c r="I58" s="74"/>
      <c r="J58" s="75"/>
    </row>
    <row r="59" spans="2:10" ht="15.75" x14ac:dyDescent="0.2">
      <c r="B59" s="79" t="s">
        <v>50</v>
      </c>
      <c r="C59" s="80"/>
      <c r="D59" s="80"/>
      <c r="E59" s="80"/>
      <c r="F59" s="80"/>
      <c r="G59" s="81"/>
      <c r="H59" s="73"/>
      <c r="I59" s="74"/>
      <c r="J59" s="75"/>
    </row>
    <row r="60" spans="2:10" ht="15.75" x14ac:dyDescent="0.2">
      <c r="B60" s="79" t="s">
        <v>51</v>
      </c>
      <c r="C60" s="80"/>
      <c r="D60" s="80"/>
      <c r="E60" s="80"/>
      <c r="F60" s="80"/>
      <c r="G60" s="81"/>
      <c r="H60" s="73"/>
      <c r="I60" s="74"/>
      <c r="J60" s="75"/>
    </row>
    <row r="61" spans="2:10" ht="16.5" thickBot="1" x14ac:dyDescent="0.25">
      <c r="B61" s="43" t="s">
        <v>52</v>
      </c>
      <c r="C61" s="44"/>
      <c r="D61" s="44"/>
      <c r="E61" s="44"/>
      <c r="F61" s="44"/>
      <c r="G61" s="45"/>
      <c r="H61" s="76"/>
      <c r="I61" s="77"/>
      <c r="J61" s="78"/>
    </row>
    <row r="62" spans="2:10" ht="12.75" customHeight="1" x14ac:dyDescent="0.2">
      <c r="B62" s="61" t="s">
        <v>53</v>
      </c>
      <c r="C62" s="62"/>
      <c r="D62" s="62"/>
      <c r="E62" s="62"/>
      <c r="F62" s="62"/>
      <c r="G62" s="63"/>
      <c r="H62" s="61" t="s">
        <v>54</v>
      </c>
      <c r="I62" s="62"/>
      <c r="J62" s="63"/>
    </row>
    <row r="63" spans="2:10" ht="12.75" customHeight="1" x14ac:dyDescent="0.2">
      <c r="B63" s="64"/>
      <c r="C63" s="65"/>
      <c r="D63" s="65"/>
      <c r="E63" s="65"/>
      <c r="F63" s="65"/>
      <c r="G63" s="66"/>
      <c r="H63" s="64"/>
      <c r="I63" s="65"/>
      <c r="J63" s="66"/>
    </row>
    <row r="64" spans="2:10" ht="13.5" customHeight="1" thickBot="1" x14ac:dyDescent="0.25">
      <c r="B64" s="67"/>
      <c r="C64" s="68"/>
      <c r="D64" s="68"/>
      <c r="E64" s="68"/>
      <c r="F64" s="68"/>
      <c r="G64" s="69"/>
      <c r="H64" s="67"/>
      <c r="I64" s="68"/>
      <c r="J64" s="69"/>
    </row>
  </sheetData>
  <mergeCells count="28">
    <mergeCell ref="B60:G60"/>
    <mergeCell ref="B61:G61"/>
    <mergeCell ref="B62:G64"/>
    <mergeCell ref="H48:J54"/>
    <mergeCell ref="H55:J56"/>
    <mergeCell ref="H57:J61"/>
    <mergeCell ref="H62:J64"/>
    <mergeCell ref="B53:G53"/>
    <mergeCell ref="B54:G54"/>
    <mergeCell ref="B55:G55"/>
    <mergeCell ref="B56:G56"/>
    <mergeCell ref="B57:G57"/>
    <mergeCell ref="B58:G58"/>
    <mergeCell ref="B52:G52"/>
    <mergeCell ref="B48:G48"/>
    <mergeCell ref="B49:G49"/>
    <mergeCell ref="B50:G50"/>
    <mergeCell ref="B51:G51"/>
    <mergeCell ref="B59:G59"/>
    <mergeCell ref="B46:G46"/>
    <mergeCell ref="B47:G47"/>
    <mergeCell ref="H47:J47"/>
    <mergeCell ref="H46:J46"/>
    <mergeCell ref="A1:L1"/>
    <mergeCell ref="L5:L7"/>
    <mergeCell ref="L11:L13"/>
    <mergeCell ref="L17:L19"/>
    <mergeCell ref="L23:L2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COMBUSTIVEL 1,6%</vt:lpstr>
      <vt:lpstr>COMERCIO 8%</vt:lpstr>
      <vt:lpstr>SERVIÇOS 16%</vt:lpstr>
      <vt:lpstr>SERVIÇOS 32%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Germano</dc:creator>
  <cp:lastModifiedBy>Rairon</cp:lastModifiedBy>
  <dcterms:created xsi:type="dcterms:W3CDTF">2018-02-27T15:00:49Z</dcterms:created>
  <dcterms:modified xsi:type="dcterms:W3CDTF">2020-03-13T12:53:05Z</dcterms:modified>
</cp:coreProperties>
</file>