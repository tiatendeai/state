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EstaPasta_de_trabalho" defaultThemeVersion="124226"/>
  <bookViews>
    <workbookView xWindow="0" yWindow="45" windowWidth="15315" windowHeight="7995" tabRatio="783" activeTab="1"/>
  </bookViews>
  <sheets>
    <sheet name="ROTINAS" sheetId="7" r:id="rId1"/>
    <sheet name="CALCULO S.T.(MVA)" sheetId="4" r:id="rId2"/>
    <sheet name="DIF DE ALQ" sheetId="5" r:id="rId3"/>
    <sheet name="ICMS INTER EST" sheetId="2" r:id="rId4"/>
    <sheet name="ALQ ICMS SP" sheetId="9" r:id="rId5"/>
  </sheets>
  <definedNames>
    <definedName name="_xlnm._FilterDatabase" localSheetId="0" hidden="1">ROTINAS!$B$1:$B$4</definedName>
    <definedName name="_xlnm.Print_Area" localSheetId="1">'CALCULO S.T.(MVA)'!$C$1:$E$44</definedName>
    <definedName name="_xlnm.Print_Area" localSheetId="2">'DIF DE ALQ'!$G$1:$I$27</definedName>
    <definedName name="_xlnm.Print_Area" localSheetId="3">'ICMS INTER EST'!$C$1:$AE$29</definedName>
  </definedNames>
  <calcPr calcId="145621"/>
</workbook>
</file>

<file path=xl/calcChain.xml><?xml version="1.0" encoding="utf-8"?>
<calcChain xmlns="http://schemas.openxmlformats.org/spreadsheetml/2006/main">
  <c r="E14" i="4" l="1"/>
  <c r="E27" i="4" l="1"/>
  <c r="E42" i="4" l="1"/>
  <c r="E16" i="4" l="1"/>
  <c r="A5" i="4" s="1"/>
  <c r="E33" i="4" l="1"/>
  <c r="A2" i="4" s="1"/>
  <c r="E28" i="4"/>
  <c r="E32" i="4" l="1"/>
  <c r="E34" i="4" s="1"/>
  <c r="A8" i="4" s="1"/>
  <c r="I22" i="5"/>
  <c r="I16" i="5"/>
  <c r="I15" i="5"/>
  <c r="I26" i="5" l="1"/>
  <c r="I17" i="5"/>
  <c r="I27" i="5" s="1"/>
  <c r="E41" i="4"/>
  <c r="E40" i="4"/>
  <c r="E39" i="4"/>
  <c r="E35" i="4" l="1"/>
  <c r="E36" i="4" s="1"/>
  <c r="A11" i="4" s="1"/>
  <c r="I25" i="5"/>
  <c r="E43" i="4" l="1"/>
  <c r="A14" i="4" s="1"/>
  <c r="E44" i="4" l="1"/>
</calcChain>
</file>

<file path=xl/comments1.xml><?xml version="1.0" encoding="utf-8"?>
<comments xmlns="http://schemas.openxmlformats.org/spreadsheetml/2006/main">
  <authors>
    <author>Contabilidade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Clique nos Link's abaixo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Contabilidade</author>
  </authors>
  <commentList>
    <comment ref="D19" authorId="0">
      <text>
        <r>
          <rPr>
            <b/>
            <sz val="9"/>
            <color indexed="81"/>
            <rFont val="Tahoma"/>
            <family val="2"/>
          </rPr>
          <t>Sem Ponto (.).
Ex.: XXXXYYAA
Ficará: XXXX.YY.AA</t>
        </r>
      </text>
    </comment>
    <comment ref="D31" authorId="0">
      <text>
        <r>
          <rPr>
            <b/>
            <sz val="9"/>
            <color indexed="81"/>
            <rFont val="Tahoma"/>
            <family val="2"/>
          </rPr>
          <t>Obs.: Em caso de isenção informar "100,00" no campo ao lado</t>
        </r>
      </text>
    </comment>
  </commentList>
</comments>
</file>

<file path=xl/sharedStrings.xml><?xml version="1.0" encoding="utf-8"?>
<sst xmlns="http://schemas.openxmlformats.org/spreadsheetml/2006/main" count="305" uniqueCount="273">
  <si>
    <t>Informe Valor do Seguro</t>
  </si>
  <si>
    <t>BASE DE CÁLCULO ICMS</t>
  </si>
  <si>
    <t>VALOR ICMS</t>
  </si>
  <si>
    <t>VALOR MVA-ST AJUSTADO</t>
  </si>
  <si>
    <t>Informe Valor do(os) Produto(os)</t>
  </si>
  <si>
    <t>VALOR DO(OS) PRODUTO(OS)</t>
  </si>
  <si>
    <t>FRETE</t>
  </si>
  <si>
    <t>SEGURO</t>
  </si>
  <si>
    <t>ICMS-ST</t>
  </si>
  <si>
    <t>TOTAL DA NF-e</t>
  </si>
  <si>
    <t>Base de Cálculo ICMS-ST</t>
  </si>
  <si>
    <t xml:space="preserve">DESTINO
</t>
  </si>
  <si>
    <t xml:space="preserve">O R I G E
M
</t>
  </si>
  <si>
    <t>CÁLCULO NF-e COM ICMS-ST / MVA AJUSTADO</t>
  </si>
  <si>
    <t xml:space="preserve">Informe Alq. ICMS Interestadual </t>
  </si>
  <si>
    <t>Informe Alq. ICMS Interna</t>
  </si>
  <si>
    <t>DIFERENCIAL DE ALÍQUOTA DE ICMS-SP</t>
  </si>
  <si>
    <t>Informe Alq. ICMS Interestadual</t>
  </si>
  <si>
    <t>Valor ICMS - Interestadual</t>
  </si>
  <si>
    <t>Valor ICMS - Interno</t>
  </si>
  <si>
    <t>Valor da Multa</t>
  </si>
  <si>
    <t>Multa - até 30 dias</t>
  </si>
  <si>
    <t>Multa - de 31 a 60 dias</t>
  </si>
  <si>
    <t>Multa - acima de 60 dias</t>
  </si>
  <si>
    <t>← ICMS-ST e MVA AJUSTADO</t>
  </si>
  <si>
    <t>INFORMAÇÕES</t>
  </si>
  <si>
    <t>DATA DE PAGAMENTO</t>
  </si>
  <si>
    <t>TOTAIS</t>
  </si>
  <si>
    <t>Informe Alq. Juros Diario</t>
  </si>
  <si>
    <t>CÁLCULO DIFERENCIAL DE ALÍQUOTA ORIGINAL</t>
  </si>
  <si>
    <t>← DIFERENCIAL DE ALÍQUOTA</t>
  </si>
  <si>
    <t>Vencimento</t>
  </si>
  <si>
    <t>Cálculo para pagamento em</t>
  </si>
  <si>
    <t>Nº N.F.</t>
  </si>
  <si>
    <t>DT N.F.</t>
  </si>
  <si>
    <t>Valor Diferencial de Alíquota de ICMS</t>
  </si>
  <si>
    <t>GARE DE ICMS - CÓD.  063.2</t>
  </si>
  <si>
    <t>Valor dos Juros</t>
  </si>
  <si>
    <t>Dias em atraso</t>
  </si>
  <si>
    <t>Informe MVA-ST Original do Produto</t>
  </si>
  <si>
    <t>Valor da Redução da Base de Claculo ST</t>
  </si>
  <si>
    <t>S/N</t>
  </si>
  <si>
    <t>DIFERENCIAL DE ALQ</t>
  </si>
  <si>
    <t>ROTINAS</t>
  </si>
  <si>
    <t>ICMS-ST - MVA AJUSTADO</t>
  </si>
  <si>
    <t>SÃO PAULO</t>
  </si>
  <si>
    <t>Alíq</t>
  </si>
  <si>
    <t>Operações/Prestações</t>
  </si>
  <si>
    <t>-Aplica-se a alíquota de 25% (vinte e cinco por cento) nas operações ou prestações internas com os produtos e serviços adiante indicados, ainda que se tiverem iniciado no exterior.</t>
  </si>
  <si>
    <t>I - nas prestações onerosas de serviço de comunicação;</t>
  </si>
  <si>
    <t>II - bebidas alcoólicas, classificadas nas posições 2204, 2205 e 2208, exceto os códigos 2208.40.0200 e 2208.40.0300;</t>
  </si>
  <si>
    <t>III - fumo e seus sucedâneos manufaturados, classificados no capítulo 24;</t>
  </si>
  <si>
    <t>IV - perfumes e cosméticos, classificados nas posições 3303, 3304, 3305 e 3307, exceto as posições 3305.10 e 3307.20, os códigos 3307.10.0100 e 3307.90.0500, as preparações anti-solares e os bronzeadores, ambos classificados na posição 3304;</t>
  </si>
  <si>
    <t>V -peleteria e suas obras e peleteria artificial, classificadas nos códigos 4303.10.9900 e 4303.90.9900;</t>
  </si>
  <si>
    <t>VI - motocicletas de cilindrada superior a 250 centímetros cúbicos, classificadas nos códigos 8711.30 a 8711.50;</t>
  </si>
  <si>
    <t>VII - asas-delta, balões e dirigíveis, classificados nos códigos 8801.10.0200 e 8801.90.0100;</t>
  </si>
  <si>
    <t>VIII - embarcações de esporte e de recreio, classificadas na posição 8903;</t>
  </si>
  <si>
    <t>IX - armas e munições, suas partes e acessórios, classificados no capítulo 93;</t>
  </si>
  <si>
    <t>X - fogos de artifício, classificados na posição 3604.10;</t>
  </si>
  <si>
    <t>XI - trituradores domésticos de lixo, classificados na posição 8509.30;</t>
  </si>
  <si>
    <t>XII - aparelhos de sauna elétricos, classificados no código 8516.79.0800;</t>
  </si>
  <si>
    <t>XIII - aparelhos transmissores e receptores (do tipo "walkie-talkie"), classificados no código 8525.20.0104;</t>
  </si>
  <si>
    <t>XIV - binóculos, classificados na posição 9005.10;</t>
  </si>
  <si>
    <t>XV - jogos eletrônicos de vídeo (video-jogo), classificados no código 9504.10.0100;</t>
  </si>
  <si>
    <t>XVI - bolas e tacos de bilhar, classificados no código 9504.20.0202;</t>
  </si>
  <si>
    <t>XVII - cartas para jogar, classificadas na posição 9504.40;</t>
  </si>
  <si>
    <t>XVIII - confetes e serpentinas, classificados no código 9505.90.0100;</t>
  </si>
  <si>
    <t>XIX - raquetes de tênis, classificadas na posição 9506.51;</t>
  </si>
  <si>
    <t>XX - bolas de tênis, classificadas na posição 9506.61;</t>
  </si>
  <si>
    <t>XXI - esquis aquáticos, classificados no código 9506.29.0200;</t>
  </si>
  <si>
    <t>XXII - tacos para golfe, classificados na posição 9506.31;</t>
  </si>
  <si>
    <t>XXIII - bolas para golfe, classificadas na posição 9506.32;</t>
  </si>
  <si>
    <t>XXIV - cachimbos, classificados na posição 9614.20;</t>
  </si>
  <si>
    <r>
      <t>XXV - piteiras, classificadas na subposição 9614.90;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§5º, item 24, com alteração da Lei </t>
    </r>
    <r>
      <rPr>
        <u/>
        <sz val="10"/>
        <color rgb="FF000000"/>
        <rFont val="Verdana"/>
        <family val="2"/>
      </rPr>
      <t>12.294/06</t>
    </r>
    <r>
      <rPr>
        <sz val="10"/>
        <color rgb="FF000000"/>
        <rFont val="Verdana"/>
        <family val="2"/>
      </rPr>
      <t>, art. 1º, V) ; (Redação dada ao inciso pelo Decreto </t>
    </r>
    <r>
      <rPr>
        <u/>
        <sz val="10"/>
        <color rgb="FF000000"/>
        <rFont val="Verdana"/>
        <family val="2"/>
      </rPr>
      <t>50.669 </t>
    </r>
    <r>
      <rPr>
        <sz val="10"/>
        <color rgb="FF000000"/>
        <rFont val="Verdana"/>
        <family val="2"/>
      </rPr>
      <t>, de 30-03-2006; DOE de 31-03-2006; Efeitos a partir de 31-03-2006)</t>
    </r>
  </si>
  <si>
    <r>
      <t>XXVI - álcool etílico anidro carburante, classificado no código 2207.10.0100, querosene de aviação classificado no código 2710.00.0401 e gasolina classificada nos códigos 2710.00.0301, 2710.00.0302, 2710.00.0303 e 2710.00.0399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5º, item 25, na redação da Lei </t>
    </r>
    <r>
      <rPr>
        <u/>
        <sz val="10"/>
        <color rgb="FF000000"/>
        <rFont val="Verdana"/>
        <family val="2"/>
      </rPr>
      <t>11.593/03</t>
    </r>
    <r>
      <rPr>
        <sz val="10"/>
        <color rgb="FF000000"/>
        <rFont val="Verdana"/>
        <family val="2"/>
      </rPr>
      <t>, artigo 1º, II). (Redação dada ao inciso pelo Decreto </t>
    </r>
    <r>
      <rPr>
        <u/>
        <sz val="10"/>
        <color rgb="FF000000"/>
        <rFont val="Verdana"/>
        <family val="2"/>
      </rPr>
      <t>48.379</t>
    </r>
    <r>
      <rPr>
        <sz val="10"/>
        <color rgb="FF000000"/>
        <rFont val="Verdana"/>
        <family val="2"/>
      </rPr>
      <t>, de 29-12-2003; DOE 30-12-2003; Efeitos a partir de 05-12-2003)</t>
    </r>
  </si>
  <si>
    <t>XXVII - solvente, assim considerado todo e qualquer hidrocarboneto líquido derivado de frações resultantes do processamento de petróleo, frações de refinarias e de indústrias petroquímicas, independente da designação que lhe seja dada, com exceção de qualquer tipo de gasolina, de gás liquefeito de petróleo - GLP, de óleo diesel, de nafta destinada à indústria petroquímica, ou de querosene de avião, especificados pelo órgão federal competente (Lei 6.374/89, art. 34, § 5º, item 26, acrescentado pela Lei 13.918/09, art.12, VIII); (Inciso acrescentado pelo Decreto 55.437, de 17-02-2010; DOE 18-02-2010; Efeitos a partir de 24-03-2010)</t>
  </si>
  <si>
    <t>XXVIII- nas operações com energia elétrica, em relação à conta residencial que apresentar consumo mensal acima de 200 (duzentos) KWh.</t>
  </si>
  <si>
    <t>Nas demais operações e prestações internas e de importação</t>
  </si>
  <si>
    <r>
      <t>- Aplicam-se as alíquotas internas às operações ou às prestações que destinarem mercadorias ou serviços a pessoa não-contribuinte localizada em outro Estado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3º, na redação do inciso XVIII do artigo 1º da Lei 10.619/00). (Redação dada ao "caput" do artigo pelo Decreto </t>
    </r>
    <r>
      <rPr>
        <u/>
        <sz val="10"/>
        <color rgb="FF000000"/>
        <rFont val="Verdana"/>
        <family val="2"/>
      </rPr>
      <t>46.295</t>
    </r>
    <r>
      <rPr>
        <sz val="10"/>
        <color rgb="FF000000"/>
        <rFont val="Verdana"/>
        <family val="2"/>
      </rPr>
      <t>, de 23-11-2001; DOE 24-11-2001; Efeitos a partir de 24-11-2001</t>
    </r>
    <r>
      <rPr>
        <sz val="12"/>
        <color rgb="FF000000"/>
        <rFont val="Times New Roman"/>
        <family val="1"/>
      </rPr>
      <t>)</t>
    </r>
  </si>
  <si>
    <r>
      <t>- Na operação que destine mercadorias a empresa de construção civil localizada em outra unidade da Federação, deverá ser aplicada a alíquota interna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3º, na redação do inciso XVIII do art. 1º da Lei 10.619/00). (Artigo acrescentado pelo Decreto</t>
    </r>
    <r>
      <rPr>
        <u/>
        <sz val="10"/>
        <color rgb="FF000000"/>
        <rFont val="Verdana"/>
        <family val="2"/>
      </rPr>
      <t>47.278</t>
    </r>
    <r>
      <rPr>
        <sz val="10"/>
        <color rgb="FF000000"/>
        <rFont val="Verdana"/>
        <family val="2"/>
      </rPr>
      <t>, de 29-10-2002; DOE 30-10-2002; Efeitos a partir de 30-10-2002)</t>
    </r>
  </si>
  <si>
    <t>Aplica-se a alíquota de 12% (doze por cento) nas operações ou prestações internas com os produtos e serviços adiante indicados, ainda que se tiverem iniciado no exterior.</t>
  </si>
  <si>
    <t>I - serviços de transporte;</t>
  </si>
  <si>
    <t>II - ave, coelho ou gado bovino, suíno, caprino ou ovino em pé e produto comestível resultante do seu abate, em estado natural, resfriado ou congelado;</t>
  </si>
  <si>
    <t>III - farinha de trigo, bem como mistura pré-preparada de farinha de trigo classificada no código 1901.20.9900 da Nomenclatura Brasileira de Mercadorias - Sistema Harmonizado - NBM/SH vigente em 31 de dezembro de 1996, e massas alimentícias não cozidas, nem recheadas ou preparadas de outro modo;</t>
  </si>
  <si>
    <t>IV - pedra e areia, no tocante às saídas;</t>
  </si>
  <si>
    <t>V - implementos e tratores agrícolas, máquinas, aparelhos e equipamentos industriais e produtos da indústria de processamento eletrônico de dados, neste último caso desde que não abrangidos pelo inciso III do artigo 53, observadas a relação dos produtos alcançados e a disciplina de controle estabelecidas pelo Poder Executivo;</t>
  </si>
  <si>
    <r>
      <t>VI - óleo diesel e álcool etílico hidratado carburante (Lei n°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item 10, na redação da Lei 11.593/03, artigo 1º, I); (Redação dada ao inciso pelo Decreto </t>
    </r>
    <r>
      <rPr>
        <u/>
        <sz val="10"/>
        <color rgb="FF000000"/>
        <rFont val="Verdana"/>
        <family val="2"/>
      </rPr>
      <t>48.379</t>
    </r>
    <r>
      <rPr>
        <sz val="10"/>
        <color rgb="FF000000"/>
        <rFont val="Verdana"/>
        <family val="2"/>
      </rPr>
      <t>, de 29-12-2003; DOE 30-12-2003; Efeitos a partir de 05-12-2003)</t>
    </r>
  </si>
  <si>
    <t>VI -óleo diesel;</t>
  </si>
  <si>
    <t>VII - ferros e aços não planos comuns, indicados no § 1º;</t>
  </si>
  <si>
    <t>VIII - produtos cerâmicos e de fibrocimento, indicados no § 2º;</t>
  </si>
  <si>
    <t>IX - painéis de madeira industrializada, classificados nos códigos 4410.19.00, 4411.11.00, 4411.19.00, 4411.21.00, 4411.29.00 da Nomenclatura Brasileira de Mercadorias - Sistema Harmonizado - NBM/SH;</t>
  </si>
  <si>
    <t>X - veículos automotores, quando tais operações sejam realizadas sob o regime jurídico-tributário da sujeição passiva por substituição com retenção do imposto relativo às operações subseqüentes, sem prejuízo do disposto no inciso seguinte;</t>
  </si>
  <si>
    <t>XI - independentemente de sujeição ao regime jurídico-tributário da sujeição passiva por substituição, os veículos classificados nos códigos 8701.20.0200, 8701.20.9900, 8702.10.0100, 8702.10.0200, 8702.10.9900, 8704.21.0100, 8704.22.0100, 8704.23.0100, 8704.31.0100, 8704.32.0100, 8704.32.9900, 8706.00.0100 e 8706.00.0200 da Nomenclatura Brasileira de Mercadorias - Sistema Harmonizado - NBM/SH vigente em 31 de dezembro de 1996;</t>
  </si>
  <si>
    <t>XII - no fornecimento de alimentação aludido no inciso II do artigo 2º, bem como nas saídas de refeições realizadas por empresas preparadoras de refeições coletivas, excetuado, em qualquer dessas hipóteses, o fornecimento ou a saída de bebidas;</t>
  </si>
  <si>
    <t>XIII - segundo a Nomenclatura Brasileira de Mercadorias - Sistema Harmonizado - NBM/SH, no tocante às saídas:</t>
  </si>
  <si>
    <r>
      <t>a) assentos - 9401, exceto os classificados no código 9401.20.00 (Lei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19, "a", na redação da Lei 10.708/00, art. 3º); (Redação dada à alinea pelo Decreto </t>
    </r>
    <r>
      <rPr>
        <u/>
        <sz val="10"/>
        <color rgb="FF000000"/>
        <rFont val="Verdana"/>
        <family val="2"/>
      </rPr>
      <t>45.644</t>
    </r>
    <r>
      <rPr>
        <sz val="10"/>
        <color rgb="FF000000"/>
        <rFont val="Verdana"/>
        <family val="2"/>
      </rPr>
      <t>, de 26-01-2001; DOE 27-01-2001; Efeitos a partir de 01-01-2001)</t>
    </r>
  </si>
  <si>
    <t>a) assentos - 9401;</t>
  </si>
  <si>
    <t>b) móveis - 9403;</t>
  </si>
  <si>
    <t>c) suportes elásticos para camas - 9404.10;</t>
  </si>
  <si>
    <t>d) colchões - 9404.2;</t>
  </si>
  <si>
    <t>XIV - segundo a Nomenclatura Brasileira de Mercadorias - Sistema Harmonizado - NBM/SH, no tocante às saídas:</t>
  </si>
  <si>
    <t>a) chapas, folhas, películas, tiras e lâminas de plásticos - 3921.90.1 e 3921.90.90;</t>
  </si>
  <si>
    <t>b) papel e cartão revestidos - Impregnados - 4811.31.20.</t>
  </si>
  <si>
    <r>
      <t>XV - segundo a Nomenclatura Brasileira de Mercadorias - Sistema Harmonizado - NBM/SH, as operações com os produtos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21, acrescentado pela Lei 10.708/00, art. 2º, II): (Inciso acrescentado pelo Decreto </t>
    </r>
    <r>
      <rPr>
        <u/>
        <sz val="10"/>
        <color rgb="FF000000"/>
        <rFont val="Verdana"/>
        <family val="2"/>
      </rPr>
      <t>45.644</t>
    </r>
    <r>
      <rPr>
        <sz val="10"/>
        <color rgb="FF000000"/>
        <rFont val="Verdana"/>
        <family val="2"/>
      </rPr>
      <t>, de 26-01-2001; DOE 27-01-2001; Efeitos a partir de 01-01-2001)</t>
    </r>
  </si>
  <si>
    <t>a) elevadores e monta cargas, 8428.10;</t>
  </si>
  <si>
    <t>b) escadas e tapetes rolantes, 84.28.40;</t>
  </si>
  <si>
    <t>c) partes de elevadores, 8431.31;</t>
  </si>
  <si>
    <t>d) seringas descartáveis, 9018.31.19;</t>
  </si>
  <si>
    <t>e) agulhas descartáveis, 9018.32.19;</t>
  </si>
  <si>
    <r>
      <t>XVI - pão não abrangido pelo inciso I do artigo 53 e desde que classificado nas subposições 1905.10, 1905.20 ou 1905.90 e pão torrado, torradas ou produtos semelhantes da subposição 1905.40, todas da Nomenclatura Brasileira de Mercadorias - Sistema Harmonizado - NBM/SH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6, "c", acrescentado pela Lei 10.708/00, art. 2º, I) (Redação dada ao inciso pelo Decreto </t>
    </r>
    <r>
      <rPr>
        <u/>
        <sz val="10"/>
        <color rgb="FF000000"/>
        <rFont val="Verdana"/>
        <family val="2"/>
      </rPr>
      <t>49.709</t>
    </r>
    <r>
      <rPr>
        <sz val="10"/>
        <color rgb="FF000000"/>
        <rFont val="Verdana"/>
        <family val="2"/>
      </rPr>
      <t>, de 23-06-2005; DOE 24-06-2005; Efeitos a partir de 01-05-2005)</t>
    </r>
  </si>
  <si>
    <r>
      <t>XVI - pão não abrangido pelo inciso I do artigo 53 e desde que classificado nas subposições 1905.10 ou 1905.20, ou no código 1905.90.90 e pão torrado, torradas ou produtos semelhantes da subposição 1905.40, todos da Nomenclatura Brasileira de Mercadorias - Sistema Harmonizado - NBM/SH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6, "c", acrescentado pela Lei 10.708/00, art. 2º, I; (Inciso acrescentado pelo Decreto </t>
    </r>
    <r>
      <rPr>
        <u/>
        <sz val="10"/>
        <color rgb="FF000000"/>
        <rFont val="Verdana"/>
        <family val="2"/>
      </rPr>
      <t>45.644</t>
    </r>
    <r>
      <rPr>
        <sz val="10"/>
        <color rgb="FF000000"/>
        <rFont val="Verdana"/>
        <family val="2"/>
      </rPr>
      <t>, de 26-01-2001; DOE 27-01-2001; Efeitos a partir de 01-01-2001)</t>
    </r>
  </si>
  <si>
    <r>
      <t>XVII - nas operações com as soluções parenterais abaixo indicadas, todas classificadas no código 3004.90.99 da Nomenclatura Brasileira de Mercadorias - Sistema Harmonizado - NBM/SH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6, "c", acrescentado pela Lei 10.708/00, art. 2º, I): (Redação dada ao "caput" do inciso, mantidas as suas alíneas, pelo Decreto </t>
    </r>
    <r>
      <rPr>
        <u/>
        <sz val="10"/>
        <color rgb="FF000000"/>
        <rFont val="Verdana"/>
        <family val="2"/>
      </rPr>
      <t>48.739</t>
    </r>
    <r>
      <rPr>
        <sz val="10"/>
        <color rgb="FF000000"/>
        <rFont val="Verdana"/>
        <family val="2"/>
      </rPr>
      <t>, de 21-06-2004; DOE 22-06-2004; Efeitos a partir de 22-06-2004)</t>
    </r>
  </si>
  <si>
    <r>
      <t>XVII - 12% (doze por cento), nas operações com as soluções parenterais abaixo indicadas, todas classificadas no código 3004.90.99 da Nomenclatura Brasileira de Mercadorias - Sistema Harmonizado - NBM/SH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22, acrescentado pela Lei 11.266/02, art. 1º): (Inciso acrescentado pelo Decreto </t>
    </r>
    <r>
      <rPr>
        <u/>
        <sz val="10"/>
        <color rgb="FF000000"/>
        <rFont val="Verdana"/>
        <family val="2"/>
      </rPr>
      <t>47.452</t>
    </r>
    <r>
      <rPr>
        <sz val="10"/>
        <color rgb="FF000000"/>
        <rFont val="Verdana"/>
        <family val="2"/>
      </rPr>
      <t>, de 16-12-2002; DOE 17-12-2002; Efeitos a partir de 20-11-2002)</t>
    </r>
  </si>
  <si>
    <t>a) solução de glicose a 1,5%, 5%, 10%, 25%, 50% ou a 70%;</t>
  </si>
  <si>
    <t>b) solução de cloreto de sódio a 0,9%, 10%, 17,7% ou a 20%;</t>
  </si>
  <si>
    <t>c) solução glicofisiológica;</t>
  </si>
  <si>
    <t>d) solução de ringer, inclusive com lactato de sódio;</t>
  </si>
  <si>
    <t>e) manitol a 20%;</t>
  </si>
  <si>
    <t>f) diálise peritoneal a 1,5% ou a 7%;</t>
  </si>
  <si>
    <t>g) água para injeção;</t>
  </si>
  <si>
    <t>h) bicarbonato de sódio a 8,4% ou a 10%;</t>
  </si>
  <si>
    <t>i) dextran 40, com glicose ou com fisiológico;</t>
  </si>
  <si>
    <t>j) cloreto de potássio a 10%, 15% ou a 19,1%;</t>
  </si>
  <si>
    <t>l) fosfato de potássio 2mEq/ml;</t>
  </si>
  <si>
    <t>m) sulfato de magnésio 1mEq/ml, a 10% ou a 50%;</t>
  </si>
  <si>
    <t>n) fosfato monossódico + dissódico;</t>
  </si>
  <si>
    <t>o) glicerina;</t>
  </si>
  <si>
    <t>p) sorbitol a 3%;</t>
  </si>
  <si>
    <t>q) aminoácido;</t>
  </si>
  <si>
    <t>r) dipeptiven;</t>
  </si>
  <si>
    <t>s) frutose;</t>
  </si>
  <si>
    <t>t) haes-steril;</t>
  </si>
  <si>
    <t>u) hisocel;</t>
  </si>
  <si>
    <t>v) hisoplex;</t>
  </si>
  <si>
    <t>x) lipídeos.;</t>
  </si>
  <si>
    <r>
      <t>XVIII - dentifrício, classificado no código 3306.10.00, escovas de dentes e para dentadura, exceto elétricas, classificadas no código 9603.21.00, todos da Nomenclatura Brasileira de Mercadorias - Sistema Harmonizado - NBM/SH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item 6, alínea "d", acrescentada pela Lei 12.221/06, artigo 1º, I) (Inciso acrescentado pelo Decreto </t>
    </r>
    <r>
      <rPr>
        <u/>
        <sz val="10"/>
        <color rgb="FF000000"/>
        <rFont val="Verdana"/>
        <family val="2"/>
      </rPr>
      <t>50.473</t>
    </r>
    <r>
      <rPr>
        <sz val="10"/>
        <color rgb="FF000000"/>
        <rFont val="Verdana"/>
        <family val="2"/>
      </rPr>
      <t>, de 20-01-2006; DOE 21-01-2006; Efeitos para os fatos geradores ocorridos a partir de 10 de janeiro de 2006)</t>
    </r>
  </si>
  <si>
    <t>§ 1º - Os produtos a que se refere o inciso VII são os adiante indicados, observada a classificação segundo a Nomenclatura Brasileira de Mercadorias - NBM/SH:</t>
  </si>
  <si>
    <t>1 - fio-máquina de ferro ou aços não ligados:</t>
  </si>
  <si>
    <t>a) dentados, com nervuras, sulcos ou relevos, obtidos durante a laminagem, 7213.10.00;</t>
  </si>
  <si>
    <t>b) outros, de aços para tornear, 7213.20.00;</t>
  </si>
  <si>
    <t>2 - barras de ferro ou aços não ligados, simplesmente forjadas, laminadas, estiradas ou extrudadas, a quente, incluídas as que tenham sido submetidas a torção após laminagem:</t>
  </si>
  <si>
    <t>a) dentadas, com nervuras, sulcos ou relevos, obtidos durante a laminagem, ou torcidas após a laminagem, 7214.20.00;</t>
  </si>
  <si>
    <t>b) outras: de seção transversal retangular, 7214.91.00; de seção circular, 7214.99.10; outras, 7214.99.90;</t>
  </si>
  <si>
    <t>3 - perfis de ferro ou aços não ligados:</t>
  </si>
  <si>
    <t>a) perfis em "U", "I" ou "H", simplesmente laminados, estirados ou extrudados, a quente, de altura inferior a 80 mm, 7216.10.00;</t>
  </si>
  <si>
    <t>b) perfis em "L" simplesmente laminados, estirados ou extrudados, a quente, de altura inferior a 80 mm, 7216.21.00;</t>
  </si>
  <si>
    <t>c) perfis em "T" simplesmente laminados, estirados ou extrudados, a quente, de altura inferior a 80 mm, 7216.22.00;</t>
  </si>
  <si>
    <t>d) perfis em "U" simplesmente laminados, estirados ou extrudados, a quente, de altura igual ou superior a 80 mm, 7216.31.00;</t>
  </si>
  <si>
    <t>e) perfis em "I" simplesmente laminados, estirados ou extrudados, a quente, de altura igual ou superior a 80 mm, 7216.32.00;</t>
  </si>
  <si>
    <t>f) fios de ferro ou aços não ligados: outros, não revestidos, mesmo polidos, 7217.10.90;</t>
  </si>
  <si>
    <t>4 - armações de ferro prontas, para estrutura de concreto armado ou argamassa armada, 7308.40.00;</t>
  </si>
  <si>
    <t>5 - grades e redes, soldadas nos pontos de interseção, de fios com, pelo menos, 3 mm na maior dimensão do corte transversal e com malhas de 100 cm² ou mais, de superfície de aço, não revestidas, para estruturas ou obras de concreto armado ou argamassa armada, 7314.20.00;</t>
  </si>
  <si>
    <t>6 - outras grades e redes, soldadas nos pontos de interseção:</t>
  </si>
  <si>
    <t>a) galvanizadas, 7314.31.00;</t>
  </si>
  <si>
    <t>b) de aço, não revestidas, para estruturas ou obras de concreto armado ou argamassa armada, 7314.39.00;</t>
  </si>
  <si>
    <t>7 - outras telas metálicas, grades e redes:</t>
  </si>
  <si>
    <t>a) galvanizadas, 7314.41.00;</t>
  </si>
  <si>
    <t>b) recobertas de plásticos, 7314.42.00;</t>
  </si>
  <si>
    <t>8 - arames:</t>
  </si>
  <si>
    <t>a) galvanizados, 7217.20.90;</t>
  </si>
  <si>
    <t>b) plastificados, 7217.90.00;</t>
  </si>
  <si>
    <t>c) farpados, 7313.00.00;</t>
  </si>
  <si>
    <t>9 - gabião, 7326.20.00.</t>
  </si>
  <si>
    <r>
      <t>10 - grampos de fio curvado, 7317.00.20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7º, 10, acrescentado pela Lei 10.708/00, art. 2º, III); (Item acrescentado pelo Decreto </t>
    </r>
    <r>
      <rPr>
        <u/>
        <sz val="10"/>
        <color rgb="FF000000"/>
        <rFont val="Verdana"/>
        <family val="2"/>
      </rPr>
      <t>45.644</t>
    </r>
    <r>
      <rPr>
        <sz val="10"/>
        <color rgb="FF000000"/>
        <rFont val="Verdana"/>
        <family val="2"/>
      </rPr>
      <t>, de 26-01-2001; DOE 27-01-2001; Efeitos a partir de 01-01-2001)</t>
    </r>
  </si>
  <si>
    <r>
      <t>11 - pregos, 7317.00.90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7º, 11, acrescentado pela Lei 10.708/00, art. 2º, III); (Item acrescentado pelo Decreto</t>
    </r>
    <r>
      <rPr>
        <u/>
        <sz val="10"/>
        <color rgb="FF000000"/>
        <rFont val="Verdana"/>
        <family val="2"/>
      </rPr>
      <t>45.644</t>
    </r>
    <r>
      <rPr>
        <sz val="10"/>
        <color rgb="FF000000"/>
        <rFont val="Verdana"/>
        <family val="2"/>
      </rPr>
      <t>, de 26-01-2001; DOE 27-01-2001; Efeitos a partir de 01-01-2001);</t>
    </r>
  </si>
  <si>
    <t>§ 2º - Os produtos a que se refere o inciso VIII são os adiante indicados, observada a classificação segundo a Nomenclatura Brasileira de Mercadorias - Sistema Harmonizado - NBM/SH:</t>
  </si>
  <si>
    <t>1 - argamassa, 3214.90.00;</t>
  </si>
  <si>
    <t>2 - tijolos cerâmicos, não esmaltados nem vitrificados, 6904.10.00;</t>
  </si>
  <si>
    <t>3 - tijoleiras (peças ocas para tetos e pavimentos) e tapa-vigas (complementos da tijoleira) de cerâmica não esmaltada nem vitrificada, 6904.90.00;</t>
  </si>
  <si>
    <t>4 - telhas cerâmicas, não esmaltadas nem vitrificadas, 6905.10.00;</t>
  </si>
  <si>
    <t>5 - telhas e lajes planas pré-fabricadas, 6810.19.00;</t>
  </si>
  <si>
    <t>6 - painéis de lajes, 6810.91.00;</t>
  </si>
  <si>
    <t>7 - pré-lajes e pré-moldados, 6810.99.00;</t>
  </si>
  <si>
    <t>8 - blocos de concreto, 6810.11.00;</t>
  </si>
  <si>
    <t>9 - postes, 6810.99.00;</t>
  </si>
  <si>
    <t>10 - chapas onduladas de fibrocimento, 6811.10.00;</t>
  </si>
  <si>
    <t>11 - outras chapas de fibrocimento, 6811.20.00;</t>
  </si>
  <si>
    <t>12 - painéis e pranchas de fibrocimento, 6811.20.00;</t>
  </si>
  <si>
    <t>13 - calhas e cumeeiras de fibrocimento, 6811.20.00;</t>
  </si>
  <si>
    <t>14 - rufos, espigões e outros de fibrocimento, 6811.20.00;</t>
  </si>
  <si>
    <t>15 - abas, cantoneiras e outros de fibrocimento, 6811.20.00;</t>
  </si>
  <si>
    <t>16 - tanques e reservatórios de fibrocimento, 6811.90.00;</t>
  </si>
  <si>
    <t>17 - tampas de reservatórios de fibrocimento, 6811.90.00;</t>
  </si>
  <si>
    <t>18 - armações treliçadas para lajes, 7308.40.00.</t>
  </si>
  <si>
    <r>
      <t>19 - pias, lavatórios, colunas para lavatórios, banheiras, bidês, sanitários e caixas de descarga, mictórios e aparelhos fixos semelhantes para uso sanitário, de porcelana ou cerâmica, 6910.10.00 e 6910.90.00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item 15, alínea "t", acrescentada pela Lei 12.220/06); (Item acrescentado pelo Decreto </t>
    </r>
    <r>
      <rPr>
        <u/>
        <sz val="10"/>
        <color rgb="FF000000"/>
        <rFont val="Verdana"/>
        <family val="2"/>
      </rPr>
      <t>50.473</t>
    </r>
    <r>
      <rPr>
        <sz val="10"/>
        <color rgb="FF000000"/>
        <rFont val="Verdana"/>
        <family val="2"/>
      </rPr>
      <t>, de 20-01-2006; DOE 21-01-2006; Efeitos para os fatos geradores ocorridos a partir de 10 de janeiro de 2006)</t>
    </r>
  </si>
  <si>
    <r>
      <t>20 - ladrilhos e placas de cerâmica, exclusivamente para pavimentação ou revestimento, 6907 e 6908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1º, item 15, alínea "u", acrescentada pela Lei 12.220/06); (Item acrescentado pelo Decreto </t>
    </r>
    <r>
      <rPr>
        <u/>
        <sz val="10"/>
        <color rgb="FF000000"/>
        <rFont val="Verdana"/>
        <family val="2"/>
      </rPr>
      <t>50.473</t>
    </r>
    <r>
      <rPr>
        <sz val="10"/>
        <color rgb="FF000000"/>
        <rFont val="Verdana"/>
        <family val="2"/>
      </rPr>
      <t>, de 20-01-2006; DOE 21-01-2006; Efeitos para os fatos geradores ocorridos a partir de 10 de janeiro de 2006)</t>
    </r>
  </si>
  <si>
    <r>
      <t>21 - tubo, calha ou algeroz e acessório para canalização, de cerâmica, 6906.00.00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 º, item 1 5, alínea "v", acrescentada pela Lei 12.221/06, artigo 1º, II); (Item acrescentado pelo Decreto </t>
    </r>
    <r>
      <rPr>
        <u/>
        <sz val="10"/>
        <color rgb="FF000000"/>
        <rFont val="Verdana"/>
        <family val="2"/>
      </rPr>
      <t>50.473</t>
    </r>
    <r>
      <rPr>
        <sz val="10"/>
        <color rgb="FF000000"/>
        <rFont val="Verdana"/>
        <family val="2"/>
      </rPr>
      <t>, de 20-01-2006; DOE 21-01-2006; Efeitos para os fatos geradores ocorridos a partir de 10 de janeiro de 2006)</t>
    </r>
  </si>
  <si>
    <r>
      <t>22 - revestimento de pavimento de polímeros de cloreto de vinila, 3918.10.00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1 º, item 1 5, alínea "x", acrescentada pela Lei 12.221/06, artigo 1º, II) (Item acrescentado pelo Decreto </t>
    </r>
    <r>
      <rPr>
        <u/>
        <sz val="10"/>
        <color rgb="FF000000"/>
        <rFont val="Verdana"/>
        <family val="2"/>
      </rPr>
      <t>50.473</t>
    </r>
    <r>
      <rPr>
        <sz val="10"/>
        <color rgb="FF000000"/>
        <rFont val="Verdana"/>
        <family val="2"/>
      </rPr>
      <t>, de 20-01-2006; DOE 21-01-2006; Efeitos para os fatos geradores ocorridos a partir de 10 de janeiro de 2006)</t>
    </r>
  </si>
  <si>
    <r>
      <t>§ 3º - Aplica-se, ainda, a alíquota prevista neste artigo em relação ao inciso X (Lei </t>
    </r>
    <r>
      <rPr>
        <u/>
        <sz val="10"/>
        <color rgb="FF000000"/>
        <rFont val="Verdana"/>
        <family val="2"/>
      </rPr>
      <t>6.374/89</t>
    </r>
    <r>
      <rPr>
        <sz val="10"/>
        <color rgb="FF000000"/>
        <rFont val="Verdana"/>
        <family val="2"/>
      </rPr>
      <t>, art. 34, § 6º, com alteração da Lei 11.001/01, art.2º, I): (Redação dada ao parágrafo pelo Decreto </t>
    </r>
    <r>
      <rPr>
        <u/>
        <sz val="10"/>
        <color rgb="FF000000"/>
        <rFont val="Verdana"/>
        <family val="2"/>
      </rPr>
      <t>46.529</t>
    </r>
    <r>
      <rPr>
        <sz val="10"/>
        <color rgb="FF000000"/>
        <rFont val="Verdana"/>
        <family val="2"/>
      </rPr>
      <t>, de 04-02-2002; DOE 05-02-2002; Efeitos a partir de 22-12-2001)</t>
    </r>
  </si>
  <si>
    <t>1 - no recebimento do veículo importado do exterior por sujeito passivo por substituição, para o fim de comercialização ou integração no seu ativo imobilizado;</t>
  </si>
  <si>
    <t>2 - na saída realizada pelo fabricante ou importador, sujeito passivo por substituição, que destine o veículo diretamente a consumidor ou usuário final, inclusive quando destinado ao ativo imobilizado;</t>
  </si>
  <si>
    <t>3 - em operação posterior àquela abrangida pela retenção do imposto ocorrida no ciclo de comercialização do veículo novo.</t>
  </si>
  <si>
    <t>Nas operações com energia elétrica</t>
  </si>
  <si>
    <t>a) Em relação à conta residencial que apresentar consumo mensal de até 200 (duzentos) kWh;</t>
  </si>
  <si>
    <t>b) Quando utilizada no transporte público eletrificado de passageiros;</t>
  </si>
  <si>
    <t>c) Nas operações com energia elétrica utilizada em propriedade rural, assim considerada a que efetivamente mantiver exploração agrícola ou pastoril e estiver inscrita no Cadastro de Contribuintes do ICMS.</t>
  </si>
  <si>
    <t>Aplicam-se à alíquota de 7% (sete por cento) as operações (internas e de importação) com:</t>
  </si>
  <si>
    <t>I - preservativos classificados no código 4014.10.0000 da Nomenclatura Brasileira de Mercadorias do Sistema Harmonizado - NBM/SH vigente em 31 de dezembro de 1996;</t>
  </si>
  <si>
    <t>II - ovo integral pasteurizado, ovo integral pasteurizado desidratado, clara pasteurizada desidratada ou resfriada e gema pasteurizada desidratada ou resfriada;</t>
  </si>
  <si>
    <t>III - embalagens para ovo "in natura", do tipo bandeja ou estojo, com capacidade para acondicionamento de até 30 (trinta) unidades.</t>
  </si>
  <si>
    <r>
      <t>-</t>
    </r>
    <r>
      <rPr>
        <sz val="10"/>
        <color rgb="FF000000"/>
        <rFont val="Verdana"/>
        <family val="2"/>
      </rPr>
      <t>Nas prestações interestaduais de transporte aéreo de passageiro, carga e mala postal, em que o destinatário do serviço seja contribuinte do imposto, 4% (quatro por cento);</t>
    </r>
  </si>
  <si>
    <t>Base Legal:</t>
  </si>
  <si>
    <t>Livro I, art. 52 á 56B do Decr. 45.490/00 RICMS/SP.</t>
  </si>
  <si>
    <t>ALÍQUOTAS ICMS SP</t>
  </si>
  <si>
    <t>ALÍQUOTAS INTERESTADUAIS</t>
  </si>
  <si>
    <t>RESPONDA AS QUESTÕES 1 E 2 ANTES DE COMEÇAR</t>
  </si>
  <si>
    <t>ERROS/ALERTAS</t>
  </si>
  <si>
    <t>CÁLCULO DO ICMS - OPERAÇÃO PRÓPRIA</t>
  </si>
  <si>
    <t>CÁLCULO IVA AJUSTADO E ORIGINAL</t>
  </si>
  <si>
    <t>VALOR TOTAL DA NF-e</t>
  </si>
  <si>
    <t>Insira o Código da NCM</t>
  </si>
  <si>
    <t>UF de Destino</t>
  </si>
  <si>
    <t>SP</t>
  </si>
  <si>
    <t>SC</t>
  </si>
  <si>
    <t>=E20</t>
  </si>
  <si>
    <t>=E21</t>
  </si>
  <si>
    <t>=E22</t>
  </si>
  <si>
    <t>CÁLCULO ICMS-ST - OPERAÇÃO SUBSEQUENTE</t>
  </si>
  <si>
    <t>Informe Percentual da Redução da BC de ICMS</t>
  </si>
  <si>
    <t>Informe Percentual da Redução da B.C. de ST</t>
  </si>
  <si>
    <t>VALOR (ICMS-ST -ICMS PRÓPRIO)</t>
  </si>
  <si>
    <t>Valor do ICMS-ST Calculado</t>
  </si>
  <si>
    <t>Informe Valor do IPI</t>
  </si>
  <si>
    <t>INFORMAÇÕES DO PRODUTO, FRETE, SEGURO E IPI</t>
  </si>
  <si>
    <t>'=SE(E26=0;0;E27-(E27*E26))</t>
  </si>
  <si>
    <t>=SE(E34="VL. INVALIDO";"VL. INVALIDO";SE((E34*E14&lt;E28);0;SE(E33*E14;E34*E14)))</t>
  </si>
  <si>
    <t xml:space="preserve">UF de Origem </t>
  </si>
  <si>
    <t>INFORMAÇÕES DE TRASNPORTE</t>
  </si>
  <si>
    <r>
      <rPr>
        <b/>
        <i/>
        <sz val="11"/>
        <color rgb="FFFF0000"/>
        <rFont val="Calibri"/>
        <family val="2"/>
        <scheme val="minor"/>
      </rPr>
      <t>1 -</t>
    </r>
    <r>
      <rPr>
        <i/>
        <sz val="11"/>
        <color theme="1"/>
        <rFont val="Calibri"/>
        <family val="2"/>
        <scheme val="minor"/>
      </rPr>
      <t xml:space="preserve"> Remetente Optante pelo Simples Nacional?</t>
    </r>
  </si>
  <si>
    <r>
      <rPr>
        <b/>
        <i/>
        <sz val="11"/>
        <color rgb="FFFF0000"/>
        <rFont val="Calibri"/>
        <family val="2"/>
        <scheme val="minor"/>
      </rPr>
      <t>2 -</t>
    </r>
    <r>
      <rPr>
        <i/>
        <sz val="11"/>
        <color theme="1"/>
        <rFont val="Calibri"/>
        <family val="2"/>
        <scheme val="minor"/>
      </rPr>
      <t xml:space="preserve"> Destinatário é consumidor final, contruibuinte do ICMS?</t>
    </r>
  </si>
  <si>
    <t>=SE(E(E8="N";E9="N");((1+E15)*(1-E12)/(1-E13))-1;SE(E(E8="S";E9="S");0;SE(E(E8="S";E9="N");0;SE(E(E8="N";E9="S");0;"VL. INVALIDO"))))</t>
  </si>
  <si>
    <t>=SE(E26=0;SOMA(E20:E23);SOMA(E20:E23)-SOMA(E20:E23)*E26)</t>
  </si>
  <si>
    <t>=E27*E12</t>
  </si>
  <si>
    <t>=SE(E33&gt;="Resposta(s) Inválida(s) - Responda S ou N";"VL. INVALIDO";E31*E33)</t>
  </si>
  <si>
    <t>=SE(E(E8="S";E9="S");E27;SE(E(E8="N";E9="N");E27+(E27*E16);SE(E(E8="S";E9="N");E27+(E27*E15);SE(E(E8="N";E9="S");</t>
  </si>
  <si>
    <t>=SE(E33="VL. INVALIDO";"VL. INVALIDO";SE(E(E31=0;E32=E33);0;(E33-E32)))</t>
  </si>
  <si>
    <t>=SE(OU(E33="VL. INVALIDO";E35="VL. INVALIDO");"VL. INVALIDO";SE(E(E35=0;E31&gt;0);E35*E13;SE(E(E35&gt;=E28;E34&gt;0);E35-E28;(E33*E14)-E28)))</t>
  </si>
  <si>
    <t>7.4</t>
  </si>
  <si>
    <t>7.5</t>
  </si>
  <si>
    <t>7.6</t>
  </si>
  <si>
    <t>IPI</t>
  </si>
  <si>
    <t>=E23</t>
  </si>
  <si>
    <t>=SE(E33="Corrija Campo 4.3";"Corrija Campo 3.3";E36)</t>
  </si>
  <si>
    <t>=SOMA(E39:E43)</t>
  </si>
  <si>
    <t>N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</si>
  <si>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</si>
  <si>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</si>
  <si>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</si>
  <si>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</si>
  <si>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</si>
  <si>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</si>
  <si>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</si>
  <si>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</si>
  <si>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</si>
  <si>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</si>
  <si>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</si>
  <si>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</si>
  <si>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</si>
  <si>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</si>
  <si>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</si>
  <si>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</si>
  <si>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</si>
  <si>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</si>
  <si>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RN</t>
  </si>
  <si>
    <t>RS</t>
  </si>
  <si>
    <t>RJ</t>
  </si>
  <si>
    <t>RO</t>
  </si>
  <si>
    <t>RR</t>
  </si>
  <si>
    <t>SE</t>
  </si>
  <si>
    <t>TO</t>
  </si>
  <si>
    <t>S</t>
  </si>
  <si>
    <t>Alq. ICMS ST</t>
  </si>
  <si>
    <t>Informe Valor do Frete - 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</si>
</sst>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R$&quot;\ * #,##0.00_-;\-&quot;R$&quot;\ * #,##0.00_-;_-&quot;R$&quot;\ * &quot;-&quot;??_-;_-@_-"/>
    <numFmt numFmtId="164" formatCode="#,##0_);\-#,##0"/>
    <numFmt numFmtId="165" formatCode="00\ &quot;Dias&quot;"/>
    <numFmt numFmtId="166" formatCode="0&quot;.&quot;0"/>
    <numFmt numFmtId="167" formatCode="000&quot;.&quot;000"/>
    <numFmt numFmtId="168" formatCode="00&quot;/&quot;00&quot;/&quot;0000"/>
    <numFmt numFmtId="169" formatCode="&quot;E&quot;0"/>
    <numFmt numFmtId="170" formatCode="0000&quot;.&quot;00&quot;.&quot;00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 alibri"/>
    </font>
    <font>
      <sz val="8"/>
      <color theme="1"/>
      <name val="C alibri"/>
    </font>
    <font>
      <sz val="8"/>
      <name val="C alibri"/>
    </font>
    <font>
      <b/>
      <sz val="8"/>
      <color indexed="8"/>
      <name val="C alibri"/>
    </font>
    <font>
      <b/>
      <sz val="16"/>
      <color indexed="8"/>
      <name val="C 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i/>
      <sz val="14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u/>
      <sz val="10"/>
      <color rgb="FF000000"/>
      <name val="Verdana"/>
      <family val="2"/>
    </font>
    <font>
      <sz val="12"/>
      <color rgb="FF000000"/>
      <name val="Times New Roman"/>
      <family val="1"/>
    </font>
    <font>
      <b/>
      <sz val="16"/>
      <color rgb="FF000000"/>
      <name val="Verdana"/>
      <family val="2"/>
    </font>
    <font>
      <sz val="11"/>
      <color rgb="FF0000FF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auto="1"/>
      </left>
      <right style="thin">
        <color auto="1"/>
      </right>
      <top style="thin">
        <color theme="3" tint="0.79998168889431442"/>
      </top>
      <bottom style="thin">
        <color auto="1"/>
      </bottom>
      <diagonal/>
    </border>
    <border>
      <left/>
      <right style="thin">
        <color auto="1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auto="1"/>
      </right>
      <top style="thin">
        <color theme="3" tint="0.79998168889431442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3" tint="0.79998168889431442"/>
      </bottom>
      <diagonal/>
    </border>
    <border>
      <left style="thin">
        <color auto="1"/>
      </left>
      <right style="thin">
        <color theme="0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auto="1"/>
      </left>
      <right style="thin">
        <color theme="0"/>
      </right>
      <top style="thin">
        <color theme="3" tint="0.79998168889431442"/>
      </top>
      <bottom style="thin">
        <color auto="1"/>
      </bottom>
      <diagonal/>
    </border>
    <border>
      <left style="thin">
        <color theme="0" tint="-0.1499984740745262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theme="3" tint="0.79998168889431442"/>
      </bottom>
      <diagonal/>
    </border>
    <border>
      <left style="thin">
        <color auto="1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theme="0" tint="-0.1499984740745262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3" tint="0.79998168889431442"/>
      </top>
      <bottom/>
      <diagonal/>
    </border>
    <border>
      <left/>
      <right style="thin">
        <color auto="1"/>
      </right>
      <top style="thin">
        <color theme="3" tint="0.79998168889431442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 diagonalDown="1">
      <left style="thin">
        <color indexed="64"/>
      </left>
      <right/>
      <top style="thin">
        <color indexed="64"/>
      </top>
      <bottom style="thin">
        <color theme="0"/>
      </bottom>
      <diagonal style="thin">
        <color auto="1"/>
      </diagonal>
    </border>
    <border>
      <left style="thin">
        <color auto="1"/>
      </left>
      <right style="thin">
        <color rgb="FFFFFF00"/>
      </right>
      <top style="thin">
        <color indexed="64"/>
      </top>
      <bottom style="thin">
        <color auto="1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3" tint="0.79998168889431442"/>
      </bottom>
      <diagonal/>
    </border>
    <border diagonalUp="1">
      <left style="thin">
        <color auto="1"/>
      </left>
      <right/>
      <top/>
      <bottom style="thin">
        <color indexed="64"/>
      </bottom>
      <diagonal style="thin">
        <color theme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FFFF0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3" tint="0.79998168889431442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3" tint="0.79998168889431442"/>
      </bottom>
      <diagonal/>
    </border>
    <border>
      <left/>
      <right style="thin">
        <color theme="0"/>
      </right>
      <top style="thin">
        <color auto="1"/>
      </top>
      <bottom style="thin">
        <color theme="3" tint="0.79998168889431442"/>
      </bottom>
      <diagonal/>
    </border>
    <border>
      <left style="thin">
        <color indexed="64"/>
      </left>
      <right/>
      <top style="thin">
        <color theme="3" tint="0.79998168889431442"/>
      </top>
      <bottom style="thin">
        <color auto="1"/>
      </bottom>
      <diagonal/>
    </border>
    <border>
      <left/>
      <right style="thin">
        <color theme="0"/>
      </right>
      <top style="thin">
        <color theme="3" tint="0.7999816888943144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3" tint="0.79998168889431442"/>
      </bottom>
      <diagonal/>
    </border>
    <border>
      <left/>
      <right/>
      <top/>
      <bottom style="thin">
        <color theme="3" tint="0.7999816888943144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 diagonalUp="1">
      <left/>
      <right/>
      <top/>
      <bottom/>
      <diagonal style="thin">
        <color theme="3" tint="0.79998168889431442"/>
      </diagonal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1" tint="0.499984740745262"/>
      </right>
      <top style="thin">
        <color auto="1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theme="1"/>
      </top>
      <bottom style="thin">
        <color theme="3" tint="0.79998168889431442"/>
      </bottom>
      <diagonal/>
    </border>
    <border>
      <left/>
      <right style="thin">
        <color theme="1" tint="0.499984740745262"/>
      </right>
      <top style="thin">
        <color theme="3" tint="0.7999816888943144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3" tint="0.79998168889431442"/>
      </bottom>
      <diagonal/>
    </border>
    <border>
      <left style="thin">
        <color theme="0"/>
      </left>
      <right style="thin">
        <color theme="1" tint="0.49998474074526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1" tint="0.499984740745262"/>
      </right>
      <top style="thin">
        <color theme="3" tint="0.79998168889431442"/>
      </top>
      <bottom/>
      <diagonal/>
    </border>
    <border>
      <left style="thin">
        <color rgb="FFFFFF00"/>
      </left>
      <right style="thin">
        <color theme="1" tint="0.499984740745262"/>
      </right>
      <top style="thin">
        <color auto="1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 style="thin">
        <color rgb="FFFFFF00"/>
      </left>
      <right style="thin">
        <color theme="1" tint="0.499984740745262"/>
      </right>
      <top/>
      <bottom style="thin">
        <color auto="1"/>
      </bottom>
      <diagonal/>
    </border>
    <border>
      <left style="thin">
        <color theme="5" tint="0.59999389629810485"/>
      </left>
      <right style="thin">
        <color theme="1" tint="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3" tint="0.79998168889431442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1" tint="0.499984740745262"/>
      </right>
      <top style="thin">
        <color indexed="64"/>
      </top>
      <bottom style="thin">
        <color theme="3" tint="0.79998168889431442"/>
      </bottom>
      <diagonal/>
    </border>
    <border>
      <left/>
      <right style="thin">
        <color theme="1" tint="0.499984740745262"/>
      </right>
      <top/>
      <bottom style="thin">
        <color theme="3" tint="0.79998168889431442"/>
      </bottom>
      <diagonal/>
    </border>
    <border>
      <left/>
      <right style="thin">
        <color theme="1" tint="0.499984740745262"/>
      </right>
      <top style="thin">
        <color theme="3" tint="0.79998168889431442"/>
      </top>
      <bottom style="thin">
        <color theme="1"/>
      </bottom>
      <diagonal/>
    </border>
    <border>
      <left/>
      <right style="thin">
        <color auto="1"/>
      </right>
      <top style="thin">
        <color theme="3" tint="0.79998168889431442"/>
      </top>
      <bottom style="thin">
        <color theme="1"/>
      </bottom>
      <diagonal/>
    </border>
    <border>
      <left style="thin">
        <color theme="0"/>
      </left>
      <right style="thin">
        <color theme="1" tint="0.499984740745262"/>
      </right>
      <top style="thin">
        <color theme="3" tint="0.79998168889431442"/>
      </top>
      <bottom style="thin">
        <color indexed="64"/>
      </bottom>
      <diagonal/>
    </border>
    <border>
      <left style="thin">
        <color theme="1" tint="0.499984740745262"/>
      </left>
      <right style="thin">
        <color auto="1"/>
      </right>
      <top style="thin">
        <color auto="1"/>
      </top>
      <bottom style="thin">
        <color theme="3" tint="0.79998168889431442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1"/>
      </top>
      <bottom style="thin">
        <color theme="3" tint="0.79998168889431442"/>
      </bottom>
      <diagonal/>
    </border>
    <border>
      <left style="thin">
        <color theme="0"/>
      </left>
      <right style="thin">
        <color theme="1" tint="0.499984740745262"/>
      </right>
      <top style="thin">
        <color theme="1"/>
      </top>
      <bottom style="thin">
        <color theme="3" tint="0.79998168889431442"/>
      </bottom>
      <diagonal/>
    </border>
    <border>
      <left/>
      <right style="thin">
        <color indexed="64"/>
      </right>
      <top style="thin">
        <color theme="1"/>
      </top>
      <bottom style="thin">
        <color theme="3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auto="1"/>
      </right>
      <top style="thin">
        <color theme="3" tint="0.79998168889431442"/>
      </top>
      <bottom style="thin">
        <color theme="3" tint="0.79998168889431442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4" fillId="3" borderId="27" xfId="0" applyFont="1" applyFill="1" applyBorder="1" applyAlignment="1" applyProtection="1">
      <alignment horizontal="center" vertical="center" wrapText="1"/>
    </xf>
    <xf numFmtId="0" fontId="8" fillId="5" borderId="28" xfId="0" applyFont="1" applyFill="1" applyBorder="1" applyAlignment="1" applyProtection="1">
      <alignment vertical="center"/>
    </xf>
    <xf numFmtId="44" fontId="2" fillId="2" borderId="14" xfId="0" applyNumberFormat="1" applyFont="1" applyFill="1" applyBorder="1" applyAlignment="1" applyProtection="1">
      <alignment horizontal="center" vertical="center"/>
    </xf>
    <xf numFmtId="44" fontId="2" fillId="2" borderId="18" xfId="0" applyNumberFormat="1" applyFont="1" applyFill="1" applyBorder="1" applyAlignment="1" applyProtection="1">
      <alignment horizontal="center" vertical="center"/>
    </xf>
    <xf numFmtId="0" fontId="0" fillId="6" borderId="0" xfId="0" applyFill="1" applyProtection="1"/>
    <xf numFmtId="0" fontId="0" fillId="6" borderId="0" xfId="0" applyFill="1" applyAlignment="1" applyProtection="1">
      <alignment horizontal="left" vertical="center"/>
    </xf>
    <xf numFmtId="0" fontId="7" fillId="5" borderId="30" xfId="0" applyFont="1" applyFill="1" applyBorder="1" applyAlignment="1" applyProtection="1">
      <alignment horizontal="center" vertical="center" wrapText="1"/>
    </xf>
    <xf numFmtId="164" fontId="7" fillId="5" borderId="30" xfId="0" applyNumberFormat="1" applyFont="1" applyFill="1" applyBorder="1" applyAlignment="1" applyProtection="1">
      <alignment horizontal="center" vertical="center" wrapText="1"/>
    </xf>
    <xf numFmtId="164" fontId="7" fillId="5" borderId="31" xfId="0" applyNumberFormat="1" applyFont="1" applyFill="1" applyBorder="1" applyAlignment="1" applyProtection="1">
      <alignment horizontal="center" vertical="center" wrapText="1"/>
    </xf>
    <xf numFmtId="0" fontId="7" fillId="5" borderId="32" xfId="0" applyFont="1" applyFill="1" applyBorder="1" applyAlignment="1" applyProtection="1">
      <alignment horizontal="center" vertical="center" wrapText="1"/>
    </xf>
    <xf numFmtId="0" fontId="7" fillId="5" borderId="33" xfId="0" applyFont="1" applyFill="1" applyBorder="1" applyAlignment="1" applyProtection="1">
      <alignment horizontal="center" vertical="center" wrapText="1"/>
    </xf>
    <xf numFmtId="0" fontId="5" fillId="3" borderId="34" xfId="0" applyFont="1" applyFill="1" applyBorder="1" applyAlignment="1" applyProtection="1">
      <alignment horizontal="center" vertical="center" wrapText="1"/>
    </xf>
    <xf numFmtId="164" fontId="6" fillId="5" borderId="34" xfId="0" applyNumberFormat="1" applyFont="1" applyFill="1" applyBorder="1" applyAlignment="1" applyProtection="1">
      <alignment horizontal="center" vertical="center" wrapText="1"/>
    </xf>
    <xf numFmtId="164" fontId="6" fillId="5" borderId="2" xfId="0" applyNumberFormat="1" applyFont="1" applyFill="1" applyBorder="1" applyAlignment="1" applyProtection="1">
      <alignment horizontal="center" vertical="center" wrapText="1"/>
    </xf>
    <xf numFmtId="164" fontId="6" fillId="3" borderId="2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center" wrapText="1"/>
    </xf>
    <xf numFmtId="164" fontId="6" fillId="5" borderId="3" xfId="0" applyNumberFormat="1" applyFont="1" applyFill="1" applyBorder="1" applyAlignment="1" applyProtection="1">
      <alignment horizontal="center" vertical="center" wrapText="1"/>
    </xf>
    <xf numFmtId="164" fontId="6" fillId="3" borderId="3" xfId="0" applyNumberFormat="1" applyFont="1" applyFill="1" applyBorder="1" applyAlignment="1" applyProtection="1">
      <alignment horizontal="center" vertical="center" wrapText="1"/>
    </xf>
    <xf numFmtId="0" fontId="4" fillId="6" borderId="0" xfId="0" applyFont="1" applyFill="1" applyAlignment="1" applyProtection="1">
      <alignment vertical="top" wrapText="1"/>
    </xf>
    <xf numFmtId="0" fontId="4" fillId="6" borderId="35" xfId="0" applyFont="1" applyFill="1" applyBorder="1" applyAlignment="1" applyProtection="1">
      <alignment vertical="top" wrapText="1"/>
    </xf>
    <xf numFmtId="166" fontId="1" fillId="3" borderId="12" xfId="0" applyNumberFormat="1" applyFont="1" applyFill="1" applyBorder="1" applyAlignment="1" applyProtection="1">
      <alignment horizontal="center" vertical="center"/>
    </xf>
    <xf numFmtId="166" fontId="1" fillId="3" borderId="15" xfId="0" applyNumberFormat="1" applyFont="1" applyFill="1" applyBorder="1" applyAlignment="1" applyProtection="1">
      <alignment horizontal="center" vertical="center"/>
    </xf>
    <xf numFmtId="166" fontId="0" fillId="0" borderId="11" xfId="0" applyNumberFormat="1" applyBorder="1" applyAlignment="1" applyProtection="1">
      <alignment horizontal="center" vertical="center"/>
    </xf>
    <xf numFmtId="166" fontId="0" fillId="0" borderId="7" xfId="0" applyNumberFormat="1" applyBorder="1" applyAlignment="1" applyProtection="1">
      <alignment horizontal="center" vertical="center"/>
    </xf>
    <xf numFmtId="166" fontId="0" fillId="0" borderId="8" xfId="0" applyNumberFormat="1" applyBorder="1" applyAlignment="1" applyProtection="1">
      <alignment horizontal="center" vertical="center"/>
    </xf>
    <xf numFmtId="166" fontId="0" fillId="6" borderId="0" xfId="0" applyNumberFormat="1" applyFill="1" applyAlignment="1" applyProtection="1">
      <alignment horizontal="center" vertical="center"/>
    </xf>
    <xf numFmtId="166" fontId="0" fillId="0" borderId="16" xfId="0" applyNumberFormat="1" applyFont="1" applyBorder="1" applyAlignment="1" applyProtection="1">
      <alignment horizontal="center" vertical="center"/>
    </xf>
    <xf numFmtId="166" fontId="1" fillId="2" borderId="12" xfId="0" applyNumberFormat="1" applyFont="1" applyFill="1" applyBorder="1" applyAlignment="1" applyProtection="1">
      <alignment horizontal="center" vertical="center"/>
    </xf>
    <xf numFmtId="166" fontId="1" fillId="2" borderId="37" xfId="0" applyNumberFormat="1" applyFont="1" applyFill="1" applyBorder="1" applyAlignment="1" applyProtection="1">
      <alignment horizontal="center" vertical="center"/>
    </xf>
    <xf numFmtId="167" fontId="1" fillId="0" borderId="38" xfId="0" applyNumberFormat="1" applyFont="1" applyBorder="1" applyAlignment="1" applyProtection="1">
      <alignment horizontal="center" vertical="center"/>
      <protection locked="0"/>
    </xf>
    <xf numFmtId="168" fontId="1" fillId="0" borderId="39" xfId="0" applyNumberFormat="1" applyFont="1" applyBorder="1" applyAlignment="1" applyProtection="1">
      <alignment horizontal="center" vertical="center"/>
      <protection locked="0"/>
    </xf>
    <xf numFmtId="0" fontId="13" fillId="6" borderId="0" xfId="0" applyFont="1" applyFill="1" applyProtection="1"/>
    <xf numFmtId="0" fontId="15" fillId="6" borderId="0" xfId="0" applyFont="1" applyFill="1" applyAlignment="1" applyProtection="1">
      <alignment horizontal="left" vertical="center"/>
    </xf>
    <xf numFmtId="0" fontId="15" fillId="6" borderId="0" xfId="0" quotePrefix="1" applyFont="1" applyFill="1" applyAlignment="1" applyProtection="1">
      <alignment horizontal="left" vertical="center"/>
    </xf>
    <xf numFmtId="44" fontId="0" fillId="0" borderId="5" xfId="0" applyNumberFormat="1" applyBorder="1" applyAlignment="1" applyProtection="1">
      <alignment horizontal="center" vertical="center"/>
    </xf>
    <xf numFmtId="44" fontId="0" fillId="0" borderId="4" xfId="0" applyNumberFormat="1" applyFill="1" applyBorder="1" applyAlignment="1" applyProtection="1">
      <alignment horizontal="center" vertical="center"/>
    </xf>
    <xf numFmtId="44" fontId="0" fillId="0" borderId="4" xfId="0" quotePrefix="1" applyNumberFormat="1" applyFill="1" applyBorder="1" applyAlignment="1" applyProtection="1">
      <alignment horizontal="center" vertical="center"/>
    </xf>
    <xf numFmtId="0" fontId="15" fillId="6" borderId="0" xfId="0" applyFont="1" applyFill="1" applyAlignment="1" applyProtection="1">
      <alignment horizontal="center" vertical="center"/>
    </xf>
    <xf numFmtId="44" fontId="0" fillId="0" borderId="4" xfId="0" applyNumberFormat="1" applyBorder="1" applyAlignment="1" applyProtection="1">
      <alignment horizontal="center" vertical="center"/>
    </xf>
    <xf numFmtId="0" fontId="0" fillId="6" borderId="20" xfId="0" applyFill="1" applyBorder="1" applyProtection="1"/>
    <xf numFmtId="44" fontId="0" fillId="0" borderId="4" xfId="0" applyNumberFormat="1" applyBorder="1" applyAlignment="1" applyProtection="1">
      <alignment horizontal="center" vertical="center"/>
      <protection locked="0"/>
    </xf>
    <xf numFmtId="0" fontId="10" fillId="0" borderId="51" xfId="2" applyBorder="1" applyAlignment="1" applyProtection="1">
      <alignment horizontal="left" vertical="center" wrapText="1"/>
    </xf>
    <xf numFmtId="0" fontId="19" fillId="0" borderId="47" xfId="0" applyFont="1" applyBorder="1" applyAlignment="1" applyProtection="1">
      <alignment horizontal="center" vertical="top" wrapText="1"/>
    </xf>
    <xf numFmtId="0" fontId="19" fillId="0" borderId="48" xfId="0" applyFont="1" applyBorder="1" applyAlignment="1" applyProtection="1">
      <alignment horizontal="center" vertical="center" wrapText="1"/>
    </xf>
    <xf numFmtId="0" fontId="20" fillId="0" borderId="48" xfId="0" applyFont="1" applyBorder="1" applyAlignment="1" applyProtection="1">
      <alignment horizontal="left" vertical="center" wrapText="1"/>
    </xf>
    <xf numFmtId="0" fontId="21" fillId="0" borderId="51" xfId="0" applyFont="1" applyBorder="1" applyAlignment="1" applyProtection="1">
      <alignment horizontal="left" vertical="center" wrapText="1"/>
    </xf>
    <xf numFmtId="0" fontId="0" fillId="0" borderId="51" xfId="0" applyBorder="1" applyAlignment="1" applyProtection="1">
      <alignment horizontal="left" vertical="center" wrapText="1"/>
    </xf>
    <xf numFmtId="0" fontId="21" fillId="0" borderId="48" xfId="0" applyFont="1" applyBorder="1" applyAlignment="1" applyProtection="1">
      <alignment horizontal="left" vertical="center" wrapText="1"/>
    </xf>
    <xf numFmtId="0" fontId="19" fillId="0" borderId="51" xfId="0" applyFont="1" applyBorder="1" applyAlignment="1" applyProtection="1">
      <alignment horizontal="left" vertical="center" wrapText="1"/>
    </xf>
    <xf numFmtId="0" fontId="23" fillId="0" borderId="48" xfId="0" applyFont="1" applyBorder="1" applyAlignment="1" applyProtection="1">
      <alignment horizontal="left" vertical="center" wrapText="1"/>
    </xf>
    <xf numFmtId="0" fontId="19" fillId="0" borderId="48" xfId="0" applyFont="1" applyBorder="1" applyAlignment="1" applyProtection="1">
      <alignment horizontal="left" vertical="center" wrapText="1"/>
    </xf>
    <xf numFmtId="0" fontId="23" fillId="0" borderId="51" xfId="0" applyFont="1" applyBorder="1" applyAlignment="1" applyProtection="1">
      <alignment horizontal="left" vertical="center" wrapText="1"/>
    </xf>
    <xf numFmtId="0" fontId="3" fillId="0" borderId="0" xfId="0" applyFont="1" applyAlignment="1">
      <alignment horizontal="center"/>
    </xf>
    <xf numFmtId="0" fontId="0" fillId="6" borderId="0" xfId="0" applyFill="1"/>
    <xf numFmtId="0" fontId="1" fillId="6" borderId="0" xfId="0" applyFont="1" applyFill="1" applyProtection="1"/>
    <xf numFmtId="0" fontId="0" fillId="6" borderId="52" xfId="0" applyNumberFormat="1" applyFill="1" applyBorder="1"/>
    <xf numFmtId="0" fontId="2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6" borderId="20" xfId="0" applyFont="1" applyFill="1" applyBorder="1" applyAlignment="1" applyProtection="1">
      <alignment vertical="center" wrapText="1"/>
    </xf>
    <xf numFmtId="166" fontId="0" fillId="0" borderId="16" xfId="0" applyNumberFormat="1" applyBorder="1" applyAlignment="1" applyProtection="1">
      <alignment horizontal="center" vertical="center"/>
    </xf>
    <xf numFmtId="166" fontId="0" fillId="2" borderId="12" xfId="0" applyNumberFormat="1" applyFill="1" applyBorder="1" applyAlignment="1" applyProtection="1">
      <alignment horizontal="center" vertical="center"/>
    </xf>
    <xf numFmtId="166" fontId="0" fillId="0" borderId="6" xfId="0" applyNumberFormat="1" applyFont="1" applyFill="1" applyBorder="1" applyAlignment="1" applyProtection="1">
      <alignment horizontal="center" vertical="center"/>
    </xf>
    <xf numFmtId="166" fontId="0" fillId="0" borderId="7" xfId="0" applyNumberFormat="1" applyFont="1" applyFill="1" applyBorder="1" applyAlignment="1" applyProtection="1">
      <alignment horizontal="center" vertical="center"/>
    </xf>
    <xf numFmtId="166" fontId="0" fillId="2" borderId="29" xfId="0" applyNumberFormat="1" applyFont="1" applyFill="1" applyBorder="1" applyAlignment="1" applyProtection="1">
      <alignment horizontal="center" vertical="center"/>
    </xf>
    <xf numFmtId="166" fontId="1" fillId="4" borderId="21" xfId="0" applyNumberFormat="1" applyFont="1" applyFill="1" applyBorder="1" applyAlignment="1" applyProtection="1">
      <alignment horizontal="center" vertical="center"/>
    </xf>
    <xf numFmtId="166" fontId="0" fillId="0" borderId="46" xfId="0" applyNumberFormat="1" applyFont="1" applyFill="1" applyBorder="1" applyAlignment="1" applyProtection="1">
      <alignment horizontal="center" vertical="center"/>
    </xf>
    <xf numFmtId="166" fontId="0" fillId="0" borderId="21" xfId="0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center" vertical="center"/>
    </xf>
    <xf numFmtId="169" fontId="14" fillId="6" borderId="0" xfId="0" applyNumberFormat="1" applyFont="1" applyFill="1" applyAlignment="1" applyProtection="1">
      <alignment horizontal="center" vertical="center"/>
    </xf>
    <xf numFmtId="169" fontId="14" fillId="6" borderId="0" xfId="0" quotePrefix="1" applyNumberFormat="1" applyFont="1" applyFill="1" applyAlignment="1" applyProtection="1">
      <alignment horizontal="center" vertical="center"/>
    </xf>
    <xf numFmtId="44" fontId="0" fillId="0" borderId="18" xfId="0" applyNumberFormat="1" applyBorder="1" applyAlignment="1" applyProtection="1">
      <alignment horizontal="center" vertical="center"/>
    </xf>
    <xf numFmtId="0" fontId="1" fillId="6" borderId="0" xfId="0" applyFont="1" applyFill="1" applyAlignment="1" applyProtection="1">
      <alignment horizontal="left" vertical="center"/>
    </xf>
    <xf numFmtId="0" fontId="0" fillId="6" borderId="0" xfId="0" applyFill="1" applyAlignment="1" applyProtection="1">
      <alignment horizontal="center" vertical="center"/>
    </xf>
    <xf numFmtId="166" fontId="0" fillId="0" borderId="53" xfId="0" applyNumberFormat="1" applyFont="1" applyBorder="1" applyAlignment="1" applyProtection="1">
      <alignment horizontal="center" vertical="center"/>
    </xf>
    <xf numFmtId="166" fontId="0" fillId="0" borderId="7" xfId="0" applyNumberFormat="1" applyFont="1" applyBorder="1" applyAlignment="1" applyProtection="1">
      <alignment horizontal="center" vertical="center"/>
    </xf>
    <xf numFmtId="0" fontId="1" fillId="3" borderId="54" xfId="0" applyFont="1" applyFill="1" applyBorder="1" applyAlignment="1" applyProtection="1">
      <alignment horizontal="center"/>
    </xf>
    <xf numFmtId="10" fontId="0" fillId="0" borderId="4" xfId="1" applyNumberFormat="1" applyFont="1" applyBorder="1" applyAlignment="1" applyProtection="1">
      <alignment horizontal="center" vertical="center"/>
      <protection locked="0"/>
    </xf>
    <xf numFmtId="10" fontId="2" fillId="2" borderId="14" xfId="1" applyNumberFormat="1" applyFont="1" applyFill="1" applyBorder="1" applyAlignment="1" applyProtection="1">
      <alignment horizontal="center" vertical="center"/>
    </xf>
    <xf numFmtId="0" fontId="0" fillId="0" borderId="61" xfId="0" applyBorder="1" applyAlignment="1" applyProtection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</xf>
    <xf numFmtId="0" fontId="0" fillId="0" borderId="59" xfId="0" applyBorder="1" applyAlignment="1" applyProtection="1">
      <alignment horizontal="left" vertical="center"/>
    </xf>
    <xf numFmtId="0" fontId="0" fillId="0" borderId="63" xfId="0" applyBorder="1" applyAlignment="1" applyProtection="1">
      <alignment horizontal="left" vertical="center"/>
    </xf>
    <xf numFmtId="0" fontId="0" fillId="0" borderId="63" xfId="0" applyFont="1" applyFill="1" applyBorder="1" applyAlignment="1" applyProtection="1">
      <alignment horizontal="left" vertical="center"/>
    </xf>
    <xf numFmtId="0" fontId="0" fillId="0" borderId="64" xfId="0" applyBorder="1" applyAlignment="1" applyProtection="1">
      <alignment horizontal="left" vertical="center"/>
    </xf>
    <xf numFmtId="0" fontId="2" fillId="2" borderId="65" xfId="0" applyFont="1" applyFill="1" applyBorder="1" applyAlignment="1" applyProtection="1">
      <alignment horizontal="left" vertical="center"/>
    </xf>
    <xf numFmtId="44" fontId="0" fillId="0" borderId="10" xfId="0" applyNumberFormat="1" applyBorder="1" applyAlignment="1" applyProtection="1">
      <alignment horizontal="center" vertical="center"/>
    </xf>
    <xf numFmtId="44" fontId="3" fillId="4" borderId="18" xfId="0" applyNumberFormat="1" applyFont="1" applyFill="1" applyBorder="1" applyAlignment="1" applyProtection="1">
      <alignment horizontal="center" vertical="center"/>
    </xf>
    <xf numFmtId="0" fontId="0" fillId="0" borderId="58" xfId="0" applyBorder="1" applyAlignment="1" applyProtection="1">
      <alignment horizontal="left" vertical="center"/>
    </xf>
    <xf numFmtId="0" fontId="3" fillId="4" borderId="66" xfId="0" applyFont="1" applyFill="1" applyBorder="1" applyAlignment="1" applyProtection="1">
      <alignment horizontal="left" vertical="center"/>
    </xf>
    <xf numFmtId="0" fontId="1" fillId="3" borderId="56" xfId="0" applyFont="1" applyFill="1" applyBorder="1" applyAlignment="1" applyProtection="1">
      <alignment vertical="center" wrapText="1"/>
    </xf>
    <xf numFmtId="0" fontId="0" fillId="0" borderId="70" xfId="0" applyBorder="1" applyAlignment="1" applyProtection="1">
      <alignment horizontal="left" vertical="center"/>
    </xf>
    <xf numFmtId="0" fontId="0" fillId="0" borderId="69" xfId="0" applyBorder="1" applyAlignment="1" applyProtection="1">
      <alignment horizontal="left" vertical="center"/>
    </xf>
    <xf numFmtId="166" fontId="0" fillId="0" borderId="67" xfId="0" applyNumberFormat="1" applyBorder="1" applyAlignment="1" applyProtection="1">
      <alignment horizontal="center" vertical="center"/>
    </xf>
    <xf numFmtId="0" fontId="0" fillId="0" borderId="71" xfId="0" applyBorder="1" applyAlignment="1" applyProtection="1">
      <alignment horizontal="left" vertical="center"/>
    </xf>
    <xf numFmtId="0" fontId="29" fillId="6" borderId="0" xfId="0" applyFont="1" applyFill="1" applyProtection="1"/>
    <xf numFmtId="0" fontId="17" fillId="6" borderId="57" xfId="0" applyFont="1" applyFill="1" applyBorder="1" applyAlignment="1" applyProtection="1">
      <alignment vertical="center"/>
    </xf>
    <xf numFmtId="0" fontId="17" fillId="6" borderId="58" xfId="0" applyFont="1" applyFill="1" applyBorder="1" applyAlignment="1" applyProtection="1">
      <alignment vertical="center"/>
    </xf>
    <xf numFmtId="0" fontId="17" fillId="0" borderId="55" xfId="0" applyNumberFormat="1" applyFont="1" applyFill="1" applyBorder="1" applyAlignment="1" applyProtection="1">
      <alignment horizontal="center" vertical="center"/>
      <protection locked="0"/>
    </xf>
    <xf numFmtId="0" fontId="17" fillId="0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60" xfId="0" applyBorder="1" applyProtection="1"/>
    <xf numFmtId="0" fontId="16" fillId="0" borderId="59" xfId="0" applyFont="1" applyBorder="1" applyAlignment="1" applyProtection="1">
      <alignment vertical="center"/>
    </xf>
    <xf numFmtId="10" fontId="0" fillId="0" borderId="17" xfId="1" applyNumberFormat="1" applyFont="1" applyBorder="1" applyAlignment="1" applyProtection="1">
      <alignment horizontal="center" vertical="center"/>
      <protection locked="0"/>
    </xf>
    <xf numFmtId="44" fontId="0" fillId="0" borderId="10" xfId="0" applyNumberFormat="1" applyBorder="1" applyAlignment="1" applyProtection="1">
      <alignment horizontal="center" vertical="center"/>
      <protection locked="0"/>
    </xf>
    <xf numFmtId="44" fontId="0" fillId="0" borderId="72" xfId="0" applyNumberFormat="1" applyBorder="1" applyAlignment="1" applyProtection="1">
      <alignment horizontal="center" vertical="center"/>
      <protection locked="0"/>
    </xf>
    <xf numFmtId="10" fontId="0" fillId="0" borderId="44" xfId="0" applyNumberFormat="1" applyFont="1" applyFill="1" applyBorder="1" applyAlignment="1" applyProtection="1">
      <alignment horizontal="center" vertical="center"/>
      <protection locked="0"/>
    </xf>
    <xf numFmtId="44" fontId="0" fillId="0" borderId="17" xfId="0" applyNumberFormat="1" applyBorder="1" applyAlignment="1" applyProtection="1">
      <alignment horizontal="center" vertical="center"/>
    </xf>
    <xf numFmtId="0" fontId="14" fillId="6" borderId="0" xfId="0" applyFont="1" applyFill="1" applyAlignment="1" applyProtection="1">
      <alignment horizontal="left" vertical="center"/>
    </xf>
    <xf numFmtId="44" fontId="15" fillId="6" borderId="0" xfId="0" quotePrefix="1" applyNumberFormat="1" applyFont="1" applyFill="1" applyAlignment="1" applyProtection="1">
      <alignment horizontal="left" vertical="center"/>
    </xf>
    <xf numFmtId="10" fontId="0" fillId="0" borderId="4" xfId="0" applyNumberFormat="1" applyBorder="1" applyAlignment="1" applyProtection="1">
      <alignment horizontal="center" vertical="center"/>
    </xf>
    <xf numFmtId="10" fontId="0" fillId="0" borderId="4" xfId="0" applyNumberFormat="1" applyBorder="1" applyAlignment="1" applyProtection="1">
      <alignment horizontal="center" vertical="center"/>
      <protection locked="0"/>
    </xf>
    <xf numFmtId="10" fontId="0" fillId="0" borderId="5" xfId="1" applyNumberFormat="1" applyFont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left" vertical="center"/>
    </xf>
    <xf numFmtId="0" fontId="11" fillId="0" borderId="60" xfId="2" applyFont="1" applyBorder="1" applyAlignment="1" applyProtection="1">
      <alignment horizontal="left" vertical="center"/>
    </xf>
    <xf numFmtId="0" fontId="0" fillId="0" borderId="73" xfId="0" applyBorder="1"/>
    <xf numFmtId="10" fontId="0" fillId="0" borderId="10" xfId="0" applyNumberFormat="1" applyBorder="1" applyAlignment="1" applyProtection="1">
      <alignment horizontal="center" vertical="center"/>
    </xf>
    <xf numFmtId="0" fontId="2" fillId="2" borderId="64" xfId="0" applyFont="1" applyFill="1" applyBorder="1" applyAlignment="1" applyProtection="1">
      <alignment horizontal="left" vertical="center"/>
    </xf>
    <xf numFmtId="0" fontId="0" fillId="0" borderId="45" xfId="0" applyBorder="1" applyAlignment="1" applyProtection="1">
      <alignment horizontal="left" vertical="center"/>
    </xf>
    <xf numFmtId="44" fontId="0" fillId="0" borderId="74" xfId="0" applyNumberFormat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165" fontId="0" fillId="0" borderId="5" xfId="0" applyNumberFormat="1" applyBorder="1" applyAlignment="1" applyProtection="1">
      <alignment horizontal="center" vertical="center"/>
    </xf>
    <xf numFmtId="0" fontId="0" fillId="0" borderId="73" xfId="0" applyBorder="1" applyAlignment="1" applyProtection="1">
      <alignment horizontal="left" vertical="center"/>
    </xf>
    <xf numFmtId="44" fontId="12" fillId="2" borderId="14" xfId="2" applyNumberFormat="1" applyFont="1" applyFill="1" applyBorder="1" applyAlignment="1" applyProtection="1">
      <alignment horizontal="center" vertical="center"/>
    </xf>
    <xf numFmtId="0" fontId="0" fillId="0" borderId="75" xfId="0" applyBorder="1" applyAlignment="1" applyProtection="1">
      <alignment horizontal="left" vertical="center"/>
    </xf>
    <xf numFmtId="0" fontId="12" fillId="2" borderId="62" xfId="2" applyFont="1" applyFill="1" applyBorder="1" applyAlignment="1" applyProtection="1">
      <alignment horizontal="left" vertical="center"/>
    </xf>
    <xf numFmtId="0" fontId="1" fillId="0" borderId="20" xfId="0" applyFont="1" applyFill="1" applyBorder="1" applyAlignment="1" applyProtection="1">
      <alignment vertical="center" wrapText="1"/>
    </xf>
    <xf numFmtId="166" fontId="0" fillId="0" borderId="76" xfId="0" applyNumberFormat="1" applyBorder="1" applyAlignment="1" applyProtection="1">
      <alignment horizontal="center" vertical="center"/>
    </xf>
    <xf numFmtId="0" fontId="0" fillId="0" borderId="77" xfId="0" applyBorder="1" applyAlignment="1" applyProtection="1">
      <alignment horizontal="right" vertical="center"/>
    </xf>
    <xf numFmtId="0" fontId="0" fillId="0" borderId="78" xfId="0" applyBorder="1" applyAlignment="1" applyProtection="1">
      <alignment horizontal="center" vertical="center"/>
      <protection locked="0"/>
    </xf>
    <xf numFmtId="166" fontId="1" fillId="3" borderId="79" xfId="0" applyNumberFormat="1" applyFont="1" applyFill="1" applyBorder="1" applyAlignment="1" applyProtection="1">
      <alignment horizontal="center" vertical="center"/>
    </xf>
    <xf numFmtId="166" fontId="0" fillId="0" borderId="53" xfId="0" applyNumberFormat="1" applyBorder="1" applyAlignment="1" applyProtection="1">
      <alignment horizontal="center" vertical="center"/>
    </xf>
    <xf numFmtId="0" fontId="0" fillId="0" borderId="80" xfId="0" applyBorder="1" applyAlignment="1" applyProtection="1">
      <alignment horizontal="right" vertical="center"/>
    </xf>
    <xf numFmtId="0" fontId="0" fillId="0" borderId="18" xfId="0" applyBorder="1" applyAlignment="1" applyProtection="1">
      <alignment horizontal="center" vertical="center"/>
      <protection locked="0"/>
    </xf>
    <xf numFmtId="170" fontId="0" fillId="0" borderId="44" xfId="0" applyNumberFormat="1" applyBorder="1" applyAlignment="1" applyProtection="1">
      <alignment horizontal="center" vertical="center"/>
      <protection locked="0"/>
    </xf>
    <xf numFmtId="0" fontId="18" fillId="6" borderId="13" xfId="2" applyFont="1" applyFill="1" applyBorder="1" applyAlignment="1" applyProtection="1">
      <alignment vertical="center" wrapText="1"/>
    </xf>
    <xf numFmtId="0" fontId="31" fillId="0" borderId="0" xfId="2" applyFont="1" applyAlignment="1" applyProtection="1"/>
    <xf numFmtId="0" fontId="11" fillId="0" borderId="0" xfId="2" applyFont="1" applyAlignment="1" applyProtection="1"/>
    <xf numFmtId="10" fontId="0" fillId="0" borderId="81" xfId="1" applyNumberFormat="1" applyFont="1" applyBorder="1" applyAlignment="1" applyProtection="1">
      <alignment horizontal="center" vertical="center"/>
      <protection locked="0"/>
    </xf>
    <xf numFmtId="10" fontId="0" fillId="0" borderId="74" xfId="1" applyNumberFormat="1" applyFont="1" applyBorder="1" applyAlignment="1" applyProtection="1">
      <alignment horizontal="center" vertical="center"/>
      <protection locked="0"/>
    </xf>
    <xf numFmtId="10" fontId="0" fillId="0" borderId="17" xfId="1" applyNumberFormat="1" applyFont="1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0" fillId="0" borderId="21" xfId="0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0" fillId="0" borderId="19" xfId="0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0" fontId="1" fillId="3" borderId="68" xfId="0" applyFont="1" applyFill="1" applyBorder="1" applyAlignment="1" applyProtection="1">
      <alignment horizontal="center" vertical="center"/>
    </xf>
    <xf numFmtId="0" fontId="1" fillId="3" borderId="54" xfId="0" applyFont="1" applyFill="1" applyBorder="1" applyAlignment="1" applyProtection="1">
      <alignment horizontal="center" vertical="center"/>
    </xf>
    <xf numFmtId="166" fontId="0" fillId="0" borderId="21" xfId="0" applyNumberFormat="1" applyBorder="1" applyAlignment="1" applyProtection="1">
      <alignment horizontal="center" vertical="center"/>
    </xf>
    <xf numFmtId="166" fontId="0" fillId="0" borderId="22" xfId="0" applyNumberFormat="1" applyBorder="1" applyAlignment="1" applyProtection="1">
      <alignment horizontal="center" vertical="center"/>
    </xf>
    <xf numFmtId="166" fontId="0" fillId="0" borderId="18" xfId="0" applyNumberFormat="1" applyBorder="1" applyAlignment="1" applyProtection="1">
      <alignment horizontal="center" vertical="center"/>
    </xf>
    <xf numFmtId="166" fontId="1" fillId="0" borderId="21" xfId="0" applyNumberFormat="1" applyFont="1" applyFill="1" applyBorder="1" applyAlignment="1" applyProtection="1">
      <alignment horizontal="center" vertical="center"/>
    </xf>
    <xf numFmtId="166" fontId="1" fillId="0" borderId="22" xfId="0" applyNumberFormat="1" applyFont="1" applyFill="1" applyBorder="1" applyAlignment="1" applyProtection="1">
      <alignment horizontal="center" vertical="center"/>
    </xf>
    <xf numFmtId="166" fontId="1" fillId="0" borderId="18" xfId="0" applyNumberFormat="1" applyFont="1" applyFill="1" applyBorder="1" applyAlignment="1" applyProtection="1">
      <alignment horizontal="center" vertical="center"/>
    </xf>
    <xf numFmtId="0" fontId="1" fillId="6" borderId="0" xfId="0" applyFont="1" applyFill="1" applyAlignment="1" applyProtection="1">
      <alignment horizontal="left" vertical="center"/>
    </xf>
    <xf numFmtId="0" fontId="1" fillId="6" borderId="0" xfId="0" applyFont="1" applyFill="1" applyAlignment="1" applyProtection="1">
      <alignment horizontal="left" vertical="center" wrapText="1"/>
    </xf>
    <xf numFmtId="0" fontId="26" fillId="6" borderId="0" xfId="0" applyFont="1" applyFill="1" applyAlignment="1" applyProtection="1">
      <alignment horizontal="left" vertical="center" wrapText="1"/>
    </xf>
    <xf numFmtId="0" fontId="2" fillId="6" borderId="0" xfId="0" applyFont="1" applyFill="1" applyAlignment="1" applyProtection="1">
      <alignment horizontal="left" vertical="center" wrapText="1"/>
    </xf>
    <xf numFmtId="166" fontId="1" fillId="3" borderId="9" xfId="0" applyNumberFormat="1" applyFont="1" applyFill="1" applyBorder="1" applyAlignment="1" applyProtection="1">
      <alignment horizontal="center" vertical="center"/>
    </xf>
    <xf numFmtId="166" fontId="1" fillId="3" borderId="1" xfId="0" applyNumberFormat="1" applyFont="1" applyFill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166" fontId="0" fillId="0" borderId="24" xfId="0" applyNumberFormat="1" applyBorder="1" applyAlignment="1" applyProtection="1">
      <alignment horizontal="center"/>
    </xf>
    <xf numFmtId="166" fontId="1" fillId="3" borderId="14" xfId="0" applyNumberFormat="1" applyFont="1" applyFill="1" applyBorder="1" applyAlignment="1" applyProtection="1">
      <alignment horizontal="center" vertical="center"/>
    </xf>
    <xf numFmtId="0" fontId="1" fillId="0" borderId="40" xfId="0" applyFont="1" applyBorder="1" applyAlignment="1" applyProtection="1">
      <alignment horizontal="right" vertical="center"/>
    </xf>
    <xf numFmtId="0" fontId="1" fillId="0" borderId="41" xfId="0" applyFont="1" applyBorder="1" applyAlignment="1" applyProtection="1">
      <alignment horizontal="right" vertical="center"/>
    </xf>
    <xf numFmtId="0" fontId="1" fillId="0" borderId="42" xfId="0" applyFont="1" applyBorder="1" applyAlignment="1">
      <alignment horizontal="right" vertical="center"/>
    </xf>
    <xf numFmtId="0" fontId="1" fillId="0" borderId="43" xfId="0" applyFont="1" applyBorder="1" applyAlignment="1">
      <alignment horizontal="right" vertical="center"/>
    </xf>
    <xf numFmtId="0" fontId="8" fillId="5" borderId="23" xfId="0" applyFont="1" applyFill="1" applyBorder="1" applyAlignment="1" applyProtection="1">
      <alignment horizontal="center" vertical="center" wrapText="1"/>
    </xf>
    <xf numFmtId="0" fontId="8" fillId="5" borderId="24" xfId="0" applyFont="1" applyFill="1" applyBorder="1" applyAlignment="1" applyProtection="1">
      <alignment horizontal="center" vertical="center" wrapText="1"/>
    </xf>
    <xf numFmtId="0" fontId="8" fillId="5" borderId="25" xfId="0" applyFont="1" applyFill="1" applyBorder="1" applyAlignment="1" applyProtection="1">
      <alignment horizontal="center" vertical="center"/>
    </xf>
    <xf numFmtId="0" fontId="8" fillId="5" borderId="26" xfId="0" applyFont="1" applyFill="1" applyBorder="1" applyAlignment="1" applyProtection="1">
      <alignment horizontal="center" vertical="center"/>
    </xf>
    <xf numFmtId="0" fontId="18" fillId="6" borderId="13" xfId="2" applyFont="1" applyFill="1" applyBorder="1" applyAlignment="1" applyProtection="1">
      <alignment horizontal="center" vertical="center" wrapText="1"/>
    </xf>
    <xf numFmtId="0" fontId="18" fillId="0" borderId="13" xfId="2" applyFont="1" applyBorder="1" applyAlignment="1" applyProtection="1">
      <alignment horizontal="left" vertical="center"/>
    </xf>
    <xf numFmtId="0" fontId="18" fillId="0" borderId="13" xfId="2" applyFont="1" applyBorder="1" applyAlignment="1" applyProtection="1">
      <alignment horizontal="center" vertical="center"/>
    </xf>
    <xf numFmtId="0" fontId="18" fillId="0" borderId="14" xfId="2" applyFont="1" applyBorder="1" applyAlignment="1" applyProtection="1">
      <alignment horizontal="center" vertical="center"/>
    </xf>
    <xf numFmtId="9" fontId="21" fillId="0" borderId="49" xfId="0" applyNumberFormat="1" applyFont="1" applyBorder="1" applyAlignment="1" applyProtection="1">
      <alignment horizontal="center" vertical="top" wrapText="1"/>
    </xf>
    <xf numFmtId="9" fontId="21" fillId="0" borderId="50" xfId="0" applyNumberFormat="1" applyFont="1" applyBorder="1" applyAlignment="1" applyProtection="1">
      <alignment horizontal="center" vertical="top" wrapText="1"/>
    </xf>
    <xf numFmtId="9" fontId="21" fillId="0" borderId="47" xfId="0" applyNumberFormat="1" applyFont="1" applyBorder="1" applyAlignment="1" applyProtection="1">
      <alignment horizontal="center" vertical="top" wrapText="1"/>
    </xf>
    <xf numFmtId="0" fontId="24" fillId="0" borderId="1" xfId="0" applyFont="1" applyBorder="1" applyAlignment="1" applyProtection="1">
      <alignment horizontal="center" vertical="center" wrapText="1"/>
    </xf>
    <xf numFmtId="9" fontId="19" fillId="0" borderId="49" xfId="0" applyNumberFormat="1" applyFont="1" applyBorder="1" applyAlignment="1" applyProtection="1">
      <alignment horizontal="center" vertical="top" wrapText="1"/>
    </xf>
    <xf numFmtId="9" fontId="19" fillId="0" borderId="50" xfId="0" applyNumberFormat="1" applyFont="1" applyBorder="1" applyAlignment="1" applyProtection="1">
      <alignment horizontal="center" vertical="top" wrapText="1"/>
    </xf>
    <xf numFmtId="9" fontId="19" fillId="0" borderId="47" xfId="0" applyNumberFormat="1" applyFont="1" applyBorder="1" applyAlignment="1" applyProtection="1">
      <alignment horizontal="center" vertical="top" wrapText="1"/>
    </xf>
    <xf numFmtId="0" fontId="23" fillId="0" borderId="49" xfId="0" applyFont="1" applyBorder="1" applyAlignment="1" applyProtection="1">
      <alignment vertical="top" wrapText="1"/>
    </xf>
    <xf numFmtId="0" fontId="23" fillId="0" borderId="50" xfId="0" applyFont="1" applyBorder="1" applyAlignment="1" applyProtection="1">
      <alignment vertical="top" wrapText="1"/>
    </xf>
    <xf numFmtId="0" fontId="23" fillId="0" borderId="47" xfId="0" applyFont="1" applyBorder="1" applyAlignment="1" applyProtection="1">
      <alignment vertical="top" wrapText="1"/>
    </xf>
  </cellXfs>
  <cellStyles count="3">
    <cellStyle name="Hiperlink" xfId="2" builtinId="8"/>
    <cellStyle name="Normal" xfId="0" builtinId="0"/>
    <cellStyle name="Porcentagem" xfId="1" builtinId="5"/>
  </cellStyles>
  <dxfs count="9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theme="3" tint="0.79998168889431442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theme="3" tint="0.79998168889431442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theme="3" tint="0.79998168889431442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theme="3" tint="0.79998168889431442"/>
        </top>
        <bottom style="thin">
          <color theme="3" tint="0.79998168889431442"/>
        </bottom>
        <vertical/>
        <horizontal/>
      </border>
    </dxf>
    <dxf>
      <font>
        <color rgb="FFFF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theme="3" tint="0.79998168889431442"/>
        </top>
        <bottom style="thin">
          <color theme="3" tint="0.79998168889431442"/>
        </bottom>
        <vertical/>
        <horizontal/>
      </border>
    </dxf>
    <dxf>
      <font>
        <color rgb="FFFF0000"/>
      </font>
      <fill>
        <patternFill>
          <bgColor rgb="FFFF0000"/>
        </patternFill>
      </fill>
      <border>
        <vertical/>
        <horizontal/>
      </border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OTINAS!A1"/><Relationship Id="rId2" Type="http://schemas.openxmlformats.org/officeDocument/2006/relationships/hyperlink" Target="http://info.fazenda.sp.gov.br/NXT/gateway.dll/legislacao_tributaria/Regulamento_icms/art052.htm" TargetMode="External"/><Relationship Id="rId1" Type="http://schemas.openxmlformats.org/officeDocument/2006/relationships/hyperlink" Target="http://www.lefisc.com.br/materias/2008/unidades.htm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OTINAS!A1"/><Relationship Id="rId2" Type="http://schemas.openxmlformats.org/officeDocument/2006/relationships/hyperlink" Target="http://info.fazenda.sp.gov.br/NXT/gateway.dll/legislacao_tributaria/Regulamento_icms/art052.htm" TargetMode="External"/><Relationship Id="rId1" Type="http://schemas.openxmlformats.org/officeDocument/2006/relationships/hyperlink" Target="http://www.lefisc.com.br/materias/2008/unidades.htm" TargetMode="Externa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ROTINAS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ROTIN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1806084</xdr:colOff>
      <xdr:row>11</xdr:row>
      <xdr:rowOff>170635</xdr:rowOff>
    </xdr:from>
    <xdr:to>
      <xdr:col>3</xdr:col>
      <xdr:colOff>2514600</xdr:colOff>
      <xdr:row>13</xdr:row>
      <xdr:rowOff>60347</xdr:rowOff>
    </xdr:to>
    <xdr:sp macro="" textlink="">
      <xdr:nvSpPr>
        <xdr:cNvPr id="2" name="CaixaDeTexto 1">
          <a:hlinkClick xmlns:r="http://schemas.openxmlformats.org/officeDocument/2006/relationships" r:id="rId1"/>
        </xdr:cNvPr>
        <xdr:cNvSpPr txBox="1"/>
      </xdr:nvSpPr>
      <xdr:spPr>
        <a:xfrm>
          <a:off x="5911359" y="2189935"/>
          <a:ext cx="708516" cy="270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/>
            <a:t>Outras UF</a:t>
          </a:r>
        </a:p>
      </xdr:txBody>
    </xdr:sp>
    <xdr:clientData/>
  </xdr:twoCellAnchor>
  <xdr:twoCellAnchor>
    <xdr:from>
      <xdr:col>3</xdr:col>
      <xdr:colOff>1484773</xdr:colOff>
      <xdr:row>11</xdr:row>
      <xdr:rowOff>170662</xdr:rowOff>
    </xdr:from>
    <xdr:to>
      <xdr:col>3</xdr:col>
      <xdr:colOff>1966037</xdr:colOff>
      <xdr:row>13</xdr:row>
      <xdr:rowOff>70399</xdr:rowOff>
    </xdr:to>
    <xdr:sp macro="" textlink="">
      <xdr:nvSpPr>
        <xdr:cNvPr id="3" name="CaixaDeTexto 2">
          <a:hlinkClick xmlns:r="http://schemas.openxmlformats.org/officeDocument/2006/relationships" r:id="rId2"/>
        </xdr:cNvPr>
        <xdr:cNvSpPr txBox="1"/>
      </xdr:nvSpPr>
      <xdr:spPr>
        <a:xfrm>
          <a:off x="5590048" y="2189962"/>
          <a:ext cx="481264" cy="280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/>
            <a:t>-</a:t>
          </a:r>
          <a:r>
            <a:rPr lang="pt-BR" sz="1100" baseline="0"/>
            <a:t> SP /</a:t>
          </a:r>
          <a:endParaRPr lang="pt-BR" sz="1100"/>
        </a:p>
      </xdr:txBody>
    </xdr:sp>
    <xdr:clientData/>
  </xdr:twoCellAnchor>
  <xdr:twoCellAnchor editAs="oneCell">
    <xdr:from>
      <xdr:col>4</xdr:col>
      <xdr:colOff>807508</xdr:colOff>
      <xdr:row>0</xdr:row>
      <xdr:rowOff>10583</xdr:rowOff>
    </xdr:from>
    <xdr:to>
      <xdr:col>4</xdr:col>
      <xdr:colOff>1098539</xdr:colOff>
      <xdr:row>0</xdr:row>
      <xdr:rowOff>303054</xdr:rowOff>
    </xdr:to>
    <xdr:pic>
      <xdr:nvPicPr>
        <xdr:cNvPr id="5" name="Imagem 4" descr="voltar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55883" y="10583"/>
          <a:ext cx="291031" cy="292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1821861</xdr:colOff>
      <xdr:row>9</xdr:row>
      <xdr:rowOff>160393</xdr:rowOff>
    </xdr:from>
    <xdr:to>
      <xdr:col>8</xdr:col>
      <xdr:colOff>177547</xdr:colOff>
      <xdr:row>11</xdr:row>
      <xdr:rowOff>50105</xdr:rowOff>
    </xdr:to>
    <xdr:sp macro="" textlink="">
      <xdr:nvSpPr>
        <xdr:cNvPr id="2" name="CaixaDeTexto 1">
          <a:hlinkClick xmlns:r="http://schemas.openxmlformats.org/officeDocument/2006/relationships" r:id="rId1"/>
        </xdr:cNvPr>
        <xdr:cNvSpPr txBox="1"/>
      </xdr:nvSpPr>
      <xdr:spPr>
        <a:xfrm>
          <a:off x="5612811" y="1932043"/>
          <a:ext cx="956011" cy="270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/>
            <a:t>Outras UF</a:t>
          </a:r>
        </a:p>
      </xdr:txBody>
    </xdr:sp>
    <xdr:clientData/>
  </xdr:twoCellAnchor>
  <xdr:twoCellAnchor>
    <xdr:from>
      <xdr:col>7</xdr:col>
      <xdr:colOff>1500938</xdr:colOff>
      <xdr:row>9</xdr:row>
      <xdr:rowOff>160420</xdr:rowOff>
    </xdr:from>
    <xdr:to>
      <xdr:col>7</xdr:col>
      <xdr:colOff>1982202</xdr:colOff>
      <xdr:row>11</xdr:row>
      <xdr:rowOff>60157</xdr:rowOff>
    </xdr:to>
    <xdr:sp macro="" textlink="">
      <xdr:nvSpPr>
        <xdr:cNvPr id="4" name="CaixaDeTexto 3">
          <a:hlinkClick xmlns:r="http://schemas.openxmlformats.org/officeDocument/2006/relationships" r:id="rId2"/>
        </xdr:cNvPr>
        <xdr:cNvSpPr txBox="1"/>
      </xdr:nvSpPr>
      <xdr:spPr>
        <a:xfrm>
          <a:off x="5291888" y="1932070"/>
          <a:ext cx="481264" cy="280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/>
            <a:t>-</a:t>
          </a:r>
          <a:r>
            <a:rPr lang="pt-BR" sz="1100" baseline="0"/>
            <a:t> SP /</a:t>
          </a:r>
          <a:endParaRPr lang="pt-BR" sz="1100"/>
        </a:p>
      </xdr:txBody>
    </xdr:sp>
    <xdr:clientData/>
  </xdr:twoCellAnchor>
  <xdr:twoCellAnchor editAs="oneCell">
    <xdr:from>
      <xdr:col>8</xdr:col>
      <xdr:colOff>728990</xdr:colOff>
      <xdr:row>0</xdr:row>
      <xdr:rowOff>61</xdr:rowOff>
    </xdr:from>
    <xdr:to>
      <xdr:col>8</xdr:col>
      <xdr:colOff>1017904</xdr:colOff>
      <xdr:row>0</xdr:row>
      <xdr:rowOff>292532</xdr:rowOff>
    </xdr:to>
    <xdr:pic>
      <xdr:nvPicPr>
        <xdr:cNvPr id="6" name="Imagem 5" descr="voltar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5674" y="61"/>
          <a:ext cx="288914" cy="292471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4</xdr:row>
      <xdr:rowOff>28576</xdr:rowOff>
    </xdr:from>
    <xdr:to>
      <xdr:col>4</xdr:col>
      <xdr:colOff>247650</xdr:colOff>
      <xdr:row>7</xdr:row>
      <xdr:rowOff>133350</xdr:rowOff>
    </xdr:to>
    <xdr:sp macro="" textlink="">
      <xdr:nvSpPr>
        <xdr:cNvPr id="13" name="Texto Explicativo 1 12"/>
        <xdr:cNvSpPr/>
      </xdr:nvSpPr>
      <xdr:spPr>
        <a:xfrm>
          <a:off x="219075" y="847726"/>
          <a:ext cx="2352675" cy="676274"/>
        </a:xfrm>
        <a:prstGeom prst="borderCallout1">
          <a:avLst>
            <a:gd name="adj1" fmla="val -1680"/>
            <a:gd name="adj2" fmla="val 100979"/>
            <a:gd name="adj3" fmla="val 90328"/>
            <a:gd name="adj4" fmla="val 13939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VL. "JURO DIARIO " DEVE SER ATUALIZADO</a:t>
          </a:r>
          <a:r>
            <a:rPr lang="pt-BR" sz="1100" baseline="0"/>
            <a:t> TODO MÊS DE ACORDO COM COMUNICADO CAT (SP)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142875</xdr:colOff>
      <xdr:row>0</xdr:row>
      <xdr:rowOff>0</xdr:rowOff>
    </xdr:from>
    <xdr:to>
      <xdr:col>30</xdr:col>
      <xdr:colOff>203189</xdr:colOff>
      <xdr:row>0</xdr:row>
      <xdr:rowOff>292471</xdr:rowOff>
    </xdr:to>
    <xdr:pic>
      <xdr:nvPicPr>
        <xdr:cNvPr id="3" name="Imagem 2" descr="voltar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67575" y="0"/>
          <a:ext cx="288914" cy="2924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7824789</xdr:colOff>
      <xdr:row>0</xdr:row>
      <xdr:rowOff>28576</xdr:rowOff>
    </xdr:from>
    <xdr:to>
      <xdr:col>1</xdr:col>
      <xdr:colOff>8343900</xdr:colOff>
      <xdr:row>2</xdr:row>
      <xdr:rowOff>173078</xdr:rowOff>
    </xdr:to>
    <xdr:pic>
      <xdr:nvPicPr>
        <xdr:cNvPr id="3" name="Imagem 2" descr="voltar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43889" y="28576"/>
          <a:ext cx="519111" cy="525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azenda.sp.gov.br/guiasinternet/Gare/Paginas/Gare.aspx" TargetMode="External"/><Relationship Id="rId1" Type="http://schemas.openxmlformats.org/officeDocument/2006/relationships/hyperlink" Target="http://info.fazenda.sp.gov.br/NXT/gateway.dll/legislacao_tributaria/comunicados_da/cda_2012.html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info.fazenda.sp.gov.br/NXT/gateway.dll/legislacao_tributaria/decretos/dec5543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B246"/>
  <sheetViews>
    <sheetView zoomScaleNormal="100" workbookViewId="0">
      <selection activeCell="B5" sqref="B5"/>
    </sheetView>
  </sheetViews>
  <sheetFormatPr defaultRowHeight="15"/>
  <cols>
    <col min="1" max="1" width="7.7109375" style="56" customWidth="1"/>
    <col min="2" max="2" width="38.5703125" style="58" bestFit="1" customWidth="1"/>
    <col min="3" max="16384" width="9.140625" style="54"/>
  </cols>
  <sheetData>
    <row r="1" spans="1:2" ht="18.75">
      <c r="A1" s="54"/>
      <c r="B1" s="53" t="s">
        <v>43</v>
      </c>
    </row>
    <row r="2" spans="1:2">
      <c r="B2" s="136" t="s">
        <v>203</v>
      </c>
    </row>
    <row r="3" spans="1:2">
      <c r="B3" s="136" t="s">
        <v>204</v>
      </c>
    </row>
    <row r="4" spans="1:2">
      <c r="B4" s="136" t="s">
        <v>42</v>
      </c>
    </row>
    <row r="5" spans="1:2">
      <c r="B5" s="136" t="s">
        <v>44</v>
      </c>
    </row>
    <row r="6" spans="1:2">
      <c r="B6" s="57"/>
    </row>
    <row r="7" spans="1:2">
      <c r="B7" s="57"/>
    </row>
    <row r="8" spans="1:2">
      <c r="B8" s="57"/>
    </row>
    <row r="9" spans="1:2">
      <c r="B9" s="57"/>
    </row>
    <row r="10" spans="1:2">
      <c r="B10" s="57"/>
    </row>
    <row r="11" spans="1:2">
      <c r="B11" s="57"/>
    </row>
    <row r="12" spans="1:2">
      <c r="B12" s="57"/>
    </row>
    <row r="13" spans="1:2">
      <c r="B13" s="57"/>
    </row>
    <row r="14" spans="1:2">
      <c r="B14" s="57"/>
    </row>
    <row r="15" spans="1:2">
      <c r="B15" s="57"/>
    </row>
    <row r="16" spans="1:2">
      <c r="B16" s="57"/>
    </row>
    <row r="17" spans="2:2">
      <c r="B17" s="57"/>
    </row>
    <row r="18" spans="2:2">
      <c r="B18" s="57"/>
    </row>
    <row r="19" spans="2:2">
      <c r="B19" s="57"/>
    </row>
    <row r="20" spans="2:2">
      <c r="B20" s="57"/>
    </row>
    <row r="21" spans="2:2">
      <c r="B21" s="57"/>
    </row>
    <row r="22" spans="2:2">
      <c r="B22" s="57"/>
    </row>
    <row r="23" spans="2:2">
      <c r="B23" s="57"/>
    </row>
    <row r="24" spans="2:2">
      <c r="B24" s="57"/>
    </row>
    <row r="25" spans="2:2">
      <c r="B25" s="57"/>
    </row>
    <row r="26" spans="2:2">
      <c r="B26" s="57"/>
    </row>
    <row r="27" spans="2:2">
      <c r="B27" s="57"/>
    </row>
    <row r="28" spans="2:2">
      <c r="B28" s="57"/>
    </row>
    <row r="29" spans="2:2">
      <c r="B29" s="57"/>
    </row>
    <row r="30" spans="2:2">
      <c r="B30" s="57"/>
    </row>
    <row r="31" spans="2:2">
      <c r="B31" s="57"/>
    </row>
    <row r="32" spans="2:2">
      <c r="B32" s="57"/>
    </row>
    <row r="33" spans="2:2">
      <c r="B33" s="57"/>
    </row>
    <row r="34" spans="2:2">
      <c r="B34" s="57"/>
    </row>
    <row r="35" spans="2:2">
      <c r="B35" s="57"/>
    </row>
    <row r="36" spans="2:2">
      <c r="B36" s="57"/>
    </row>
    <row r="37" spans="2:2">
      <c r="B37" s="57"/>
    </row>
    <row r="38" spans="2:2">
      <c r="B38" s="57"/>
    </row>
    <row r="39" spans="2:2">
      <c r="B39" s="57"/>
    </row>
    <row r="40" spans="2:2">
      <c r="B40" s="57"/>
    </row>
    <row r="41" spans="2:2">
      <c r="B41" s="57"/>
    </row>
    <row r="42" spans="2:2">
      <c r="B42" s="57"/>
    </row>
    <row r="43" spans="2:2">
      <c r="B43" s="57"/>
    </row>
    <row r="44" spans="2:2">
      <c r="B44" s="57"/>
    </row>
    <row r="45" spans="2:2">
      <c r="B45" s="57"/>
    </row>
    <row r="46" spans="2:2">
      <c r="B46" s="57"/>
    </row>
    <row r="47" spans="2:2">
      <c r="B47" s="57"/>
    </row>
    <row r="48" spans="2:2">
      <c r="B48" s="57"/>
    </row>
    <row r="49" spans="2:2">
      <c r="B49" s="57"/>
    </row>
    <row r="50" spans="2:2">
      <c r="B50" s="57"/>
    </row>
    <row r="51" spans="2:2">
      <c r="B51" s="57"/>
    </row>
    <row r="52" spans="2:2">
      <c r="B52" s="57"/>
    </row>
    <row r="53" spans="2:2">
      <c r="B53" s="57"/>
    </row>
    <row r="54" spans="2:2">
      <c r="B54" s="57"/>
    </row>
    <row r="55" spans="2:2">
      <c r="B55" s="57"/>
    </row>
    <row r="56" spans="2:2">
      <c r="B56" s="57"/>
    </row>
    <row r="57" spans="2:2">
      <c r="B57" s="57"/>
    </row>
    <row r="58" spans="2:2">
      <c r="B58" s="57"/>
    </row>
    <row r="59" spans="2:2">
      <c r="B59" s="57"/>
    </row>
    <row r="60" spans="2:2">
      <c r="B60" s="57"/>
    </row>
    <row r="61" spans="2:2">
      <c r="B61" s="57"/>
    </row>
    <row r="62" spans="2:2">
      <c r="B62" s="57"/>
    </row>
    <row r="63" spans="2:2">
      <c r="B63" s="57"/>
    </row>
    <row r="64" spans="2:2">
      <c r="B64" s="57"/>
    </row>
    <row r="65" spans="2:2">
      <c r="B65" s="57"/>
    </row>
    <row r="66" spans="2:2">
      <c r="B66" s="57"/>
    </row>
    <row r="67" spans="2:2">
      <c r="B67" s="57"/>
    </row>
    <row r="68" spans="2:2">
      <c r="B68" s="57"/>
    </row>
    <row r="69" spans="2:2">
      <c r="B69" s="57"/>
    </row>
    <row r="70" spans="2:2">
      <c r="B70" s="57"/>
    </row>
    <row r="71" spans="2:2">
      <c r="B71" s="57"/>
    </row>
    <row r="72" spans="2:2">
      <c r="B72" s="57"/>
    </row>
    <row r="73" spans="2:2">
      <c r="B73" s="57"/>
    </row>
    <row r="74" spans="2:2">
      <c r="B74" s="57"/>
    </row>
    <row r="75" spans="2:2">
      <c r="B75" s="57"/>
    </row>
    <row r="76" spans="2:2">
      <c r="B76" s="57"/>
    </row>
    <row r="77" spans="2:2">
      <c r="B77" s="57"/>
    </row>
    <row r="78" spans="2:2">
      <c r="B78" s="57"/>
    </row>
    <row r="79" spans="2:2">
      <c r="B79" s="57"/>
    </row>
    <row r="80" spans="2:2">
      <c r="B80" s="57"/>
    </row>
    <row r="81" spans="2:2">
      <c r="B81" s="57"/>
    </row>
    <row r="82" spans="2:2">
      <c r="B82" s="57"/>
    </row>
    <row r="83" spans="2:2">
      <c r="B83" s="57"/>
    </row>
    <row r="84" spans="2:2">
      <c r="B84" s="57"/>
    </row>
    <row r="85" spans="2:2">
      <c r="B85" s="57"/>
    </row>
    <row r="86" spans="2:2">
      <c r="B86" s="57"/>
    </row>
    <row r="87" spans="2:2">
      <c r="B87" s="57"/>
    </row>
    <row r="88" spans="2:2">
      <c r="B88" s="57"/>
    </row>
    <row r="89" spans="2:2">
      <c r="B89" s="57"/>
    </row>
    <row r="90" spans="2:2">
      <c r="B90" s="57"/>
    </row>
    <row r="91" spans="2:2">
      <c r="B91" s="57"/>
    </row>
    <row r="92" spans="2:2">
      <c r="B92" s="57"/>
    </row>
    <row r="93" spans="2:2">
      <c r="B93" s="57"/>
    </row>
    <row r="94" spans="2:2">
      <c r="B94" s="57"/>
    </row>
    <row r="95" spans="2:2">
      <c r="B95" s="57"/>
    </row>
    <row r="96" spans="2:2">
      <c r="B96" s="57"/>
    </row>
    <row r="97" spans="2:2">
      <c r="B97" s="57"/>
    </row>
    <row r="98" spans="2:2">
      <c r="B98" s="57"/>
    </row>
    <row r="99" spans="2:2">
      <c r="B99" s="57"/>
    </row>
    <row r="100" spans="2:2">
      <c r="B100" s="57"/>
    </row>
    <row r="101" spans="2:2">
      <c r="B101" s="57"/>
    </row>
    <row r="102" spans="2:2">
      <c r="B102" s="57"/>
    </row>
    <row r="103" spans="2:2">
      <c r="B103" s="57"/>
    </row>
    <row r="104" spans="2:2">
      <c r="B104" s="57"/>
    </row>
    <row r="105" spans="2:2">
      <c r="B105" s="57"/>
    </row>
    <row r="106" spans="2:2">
      <c r="B106" s="57"/>
    </row>
    <row r="107" spans="2:2">
      <c r="B107" s="57"/>
    </row>
    <row r="108" spans="2:2">
      <c r="B108" s="57"/>
    </row>
    <row r="109" spans="2:2">
      <c r="B109" s="57"/>
    </row>
    <row r="110" spans="2:2">
      <c r="B110" s="57"/>
    </row>
    <row r="111" spans="2:2">
      <c r="B111" s="57"/>
    </row>
    <row r="112" spans="2:2">
      <c r="B112" s="57"/>
    </row>
    <row r="113" spans="2:2">
      <c r="B113" s="57"/>
    </row>
    <row r="114" spans="2:2">
      <c r="B114" s="57"/>
    </row>
    <row r="115" spans="2:2">
      <c r="B115" s="57"/>
    </row>
    <row r="116" spans="2:2">
      <c r="B116" s="57"/>
    </row>
    <row r="117" spans="2:2">
      <c r="B117" s="57"/>
    </row>
    <row r="118" spans="2:2">
      <c r="B118" s="57"/>
    </row>
    <row r="119" spans="2:2">
      <c r="B119" s="57"/>
    </row>
    <row r="120" spans="2:2">
      <c r="B120" s="57"/>
    </row>
    <row r="121" spans="2:2">
      <c r="B121" s="57"/>
    </row>
    <row r="122" spans="2:2">
      <c r="B122" s="57"/>
    </row>
    <row r="123" spans="2:2">
      <c r="B123" s="57"/>
    </row>
    <row r="124" spans="2:2">
      <c r="B124" s="57"/>
    </row>
    <row r="125" spans="2:2">
      <c r="B125" s="57"/>
    </row>
    <row r="126" spans="2:2">
      <c r="B126" s="57"/>
    </row>
    <row r="127" spans="2:2">
      <c r="B127" s="57"/>
    </row>
    <row r="128" spans="2:2">
      <c r="B128" s="57"/>
    </row>
    <row r="129" spans="2:2">
      <c r="B129" s="57"/>
    </row>
    <row r="130" spans="2:2">
      <c r="B130" s="57"/>
    </row>
    <row r="131" spans="2:2">
      <c r="B131" s="57"/>
    </row>
    <row r="132" spans="2:2">
      <c r="B132" s="57"/>
    </row>
    <row r="133" spans="2:2">
      <c r="B133" s="57"/>
    </row>
    <row r="134" spans="2:2">
      <c r="B134" s="57"/>
    </row>
    <row r="135" spans="2:2">
      <c r="B135" s="57"/>
    </row>
    <row r="136" spans="2:2">
      <c r="B136" s="57"/>
    </row>
    <row r="137" spans="2:2">
      <c r="B137" s="57"/>
    </row>
    <row r="138" spans="2:2">
      <c r="B138" s="57"/>
    </row>
    <row r="139" spans="2:2">
      <c r="B139" s="57"/>
    </row>
    <row r="140" spans="2:2">
      <c r="B140" s="57"/>
    </row>
    <row r="141" spans="2:2">
      <c r="B141" s="57"/>
    </row>
    <row r="142" spans="2:2">
      <c r="B142" s="57"/>
    </row>
    <row r="143" spans="2:2">
      <c r="B143" s="57"/>
    </row>
    <row r="144" spans="2:2">
      <c r="B144" s="57"/>
    </row>
    <row r="145" spans="2:2">
      <c r="B145" s="57"/>
    </row>
    <row r="146" spans="2:2">
      <c r="B146" s="57"/>
    </row>
    <row r="147" spans="2:2">
      <c r="B147" s="57"/>
    </row>
    <row r="148" spans="2:2">
      <c r="B148" s="57"/>
    </row>
    <row r="149" spans="2:2">
      <c r="B149" s="57"/>
    </row>
    <row r="150" spans="2:2">
      <c r="B150" s="57"/>
    </row>
    <row r="151" spans="2:2">
      <c r="B151" s="57"/>
    </row>
    <row r="152" spans="2:2">
      <c r="B152" s="57"/>
    </row>
    <row r="153" spans="2:2">
      <c r="B153" s="57"/>
    </row>
    <row r="154" spans="2:2">
      <c r="B154" s="57"/>
    </row>
    <row r="155" spans="2:2">
      <c r="B155" s="57"/>
    </row>
    <row r="156" spans="2:2">
      <c r="B156" s="57"/>
    </row>
    <row r="157" spans="2:2">
      <c r="B157" s="57"/>
    </row>
    <row r="158" spans="2:2">
      <c r="B158" s="57"/>
    </row>
    <row r="159" spans="2:2">
      <c r="B159" s="57"/>
    </row>
    <row r="160" spans="2:2">
      <c r="B160" s="57"/>
    </row>
    <row r="161" spans="2:2">
      <c r="B161" s="57"/>
    </row>
    <row r="162" spans="2:2">
      <c r="B162" s="57"/>
    </row>
    <row r="163" spans="2:2">
      <c r="B163" s="57"/>
    </row>
    <row r="164" spans="2:2">
      <c r="B164" s="57"/>
    </row>
    <row r="165" spans="2:2">
      <c r="B165" s="57"/>
    </row>
    <row r="166" spans="2:2">
      <c r="B166" s="57"/>
    </row>
    <row r="167" spans="2:2">
      <c r="B167" s="57"/>
    </row>
    <row r="168" spans="2:2">
      <c r="B168" s="57"/>
    </row>
    <row r="169" spans="2:2">
      <c r="B169" s="57"/>
    </row>
    <row r="170" spans="2:2">
      <c r="B170" s="57"/>
    </row>
    <row r="171" spans="2:2">
      <c r="B171" s="57"/>
    </row>
    <row r="172" spans="2:2">
      <c r="B172" s="57"/>
    </row>
    <row r="173" spans="2:2">
      <c r="B173" s="57"/>
    </row>
    <row r="174" spans="2:2">
      <c r="B174" s="57"/>
    </row>
    <row r="175" spans="2:2">
      <c r="B175" s="57"/>
    </row>
    <row r="176" spans="2:2">
      <c r="B176" s="57"/>
    </row>
    <row r="177" spans="2:2">
      <c r="B177" s="57"/>
    </row>
    <row r="178" spans="2:2">
      <c r="B178" s="57"/>
    </row>
    <row r="179" spans="2:2">
      <c r="B179" s="57"/>
    </row>
    <row r="180" spans="2:2">
      <c r="B180" s="57"/>
    </row>
    <row r="181" spans="2:2">
      <c r="B181" s="57"/>
    </row>
    <row r="182" spans="2:2">
      <c r="B182" s="57"/>
    </row>
    <row r="183" spans="2:2">
      <c r="B183" s="57"/>
    </row>
    <row r="184" spans="2:2">
      <c r="B184" s="57"/>
    </row>
    <row r="185" spans="2:2">
      <c r="B185" s="57"/>
    </row>
    <row r="186" spans="2:2">
      <c r="B186" s="57"/>
    </row>
    <row r="187" spans="2:2">
      <c r="B187" s="57"/>
    </row>
    <row r="188" spans="2:2">
      <c r="B188" s="57"/>
    </row>
    <row r="189" spans="2:2">
      <c r="B189" s="57"/>
    </row>
    <row r="190" spans="2:2">
      <c r="B190" s="57"/>
    </row>
    <row r="191" spans="2:2">
      <c r="B191" s="57"/>
    </row>
    <row r="192" spans="2:2">
      <c r="B192" s="57"/>
    </row>
    <row r="193" spans="2:2">
      <c r="B193" s="57"/>
    </row>
    <row r="194" spans="2:2">
      <c r="B194" s="57"/>
    </row>
    <row r="195" spans="2:2">
      <c r="B195" s="57"/>
    </row>
    <row r="196" spans="2:2">
      <c r="B196" s="57"/>
    </row>
    <row r="197" spans="2:2">
      <c r="B197" s="57"/>
    </row>
    <row r="198" spans="2:2">
      <c r="B198" s="57"/>
    </row>
    <row r="199" spans="2:2">
      <c r="B199" s="57"/>
    </row>
    <row r="200" spans="2:2">
      <c r="B200" s="57"/>
    </row>
    <row r="201" spans="2:2">
      <c r="B201" s="57"/>
    </row>
    <row r="202" spans="2:2">
      <c r="B202" s="57"/>
    </row>
    <row r="203" spans="2:2">
      <c r="B203" s="57"/>
    </row>
    <row r="204" spans="2:2">
      <c r="B204" s="57"/>
    </row>
    <row r="205" spans="2:2">
      <c r="B205" s="57"/>
    </row>
    <row r="206" spans="2:2">
      <c r="B206" s="57"/>
    </row>
    <row r="207" spans="2:2">
      <c r="B207" s="57"/>
    </row>
    <row r="208" spans="2:2">
      <c r="B208" s="57"/>
    </row>
    <row r="209" spans="2:2">
      <c r="B209" s="57"/>
    </row>
    <row r="210" spans="2:2">
      <c r="B210" s="57"/>
    </row>
    <row r="211" spans="2:2">
      <c r="B211" s="57"/>
    </row>
    <row r="212" spans="2:2">
      <c r="B212" s="57"/>
    </row>
    <row r="213" spans="2:2">
      <c r="B213" s="57"/>
    </row>
    <row r="214" spans="2:2">
      <c r="B214" s="57"/>
    </row>
    <row r="215" spans="2:2">
      <c r="B215" s="57"/>
    </row>
    <row r="216" spans="2:2">
      <c r="B216" s="57"/>
    </row>
    <row r="217" spans="2:2">
      <c r="B217" s="57"/>
    </row>
    <row r="218" spans="2:2">
      <c r="B218" s="57"/>
    </row>
    <row r="219" spans="2:2">
      <c r="B219" s="57"/>
    </row>
    <row r="220" spans="2:2">
      <c r="B220" s="57"/>
    </row>
    <row r="221" spans="2:2">
      <c r="B221" s="57"/>
    </row>
    <row r="222" spans="2:2">
      <c r="B222" s="57"/>
    </row>
    <row r="223" spans="2:2">
      <c r="B223" s="57"/>
    </row>
    <row r="224" spans="2:2">
      <c r="B224" s="57"/>
    </row>
    <row r="225" spans="2:2">
      <c r="B225" s="57"/>
    </row>
    <row r="226" spans="2:2">
      <c r="B226" s="57"/>
    </row>
    <row r="227" spans="2:2">
      <c r="B227" s="57"/>
    </row>
    <row r="228" spans="2:2">
      <c r="B228" s="57"/>
    </row>
    <row r="229" spans="2:2">
      <c r="B229" s="57"/>
    </row>
    <row r="230" spans="2:2">
      <c r="B230" s="57"/>
    </row>
    <row r="231" spans="2:2">
      <c r="B231" s="57"/>
    </row>
    <row r="232" spans="2:2">
      <c r="B232" s="57"/>
    </row>
    <row r="233" spans="2:2">
      <c r="B233" s="57"/>
    </row>
    <row r="234" spans="2:2">
      <c r="B234" s="57"/>
    </row>
    <row r="235" spans="2:2">
      <c r="B235" s="57"/>
    </row>
    <row r="236" spans="2:2">
      <c r="B236" s="57"/>
    </row>
    <row r="237" spans="2:2">
      <c r="B237" s="57"/>
    </row>
    <row r="238" spans="2:2">
      <c r="B238" s="57"/>
    </row>
    <row r="239" spans="2:2">
      <c r="B239" s="57"/>
    </row>
    <row r="240" spans="2:2">
      <c r="B240" s="57"/>
    </row>
    <row r="241" spans="2:2">
      <c r="B241" s="57"/>
    </row>
    <row r="242" spans="2:2">
      <c r="B242" s="57"/>
    </row>
    <row r="243" spans="2:2">
      <c r="B243" s="57"/>
    </row>
    <row r="244" spans="2:2">
      <c r="B244" s="57"/>
    </row>
    <row r="245" spans="2:2">
      <c r="B245" s="57"/>
    </row>
    <row r="246" spans="2:2">
      <c r="B246" s="57"/>
    </row>
  </sheetData>
  <autoFilter ref="B1:B4">
    <sortState ref="B2:B10">
      <sortCondition ref="B1:B7"/>
    </sortState>
  </autoFilter>
  <hyperlinks>
    <hyperlink ref="B2" location="'ALQ ICMS SP'!A1" display="ALÍQUOTAS ICMS SP"/>
    <hyperlink ref="B3" location="'ICMS INTER EST'!A1" display="ALÍQUOTAS INTERESTADUAIS"/>
    <hyperlink ref="B4" location="'DIF DE ALQ'!A1" display="DIFERENCIAL DE ALQ"/>
    <hyperlink ref="B5" location="'CALCULO S.T.(MVA)'!A1" display="ICMS-ST - MVA AJUSTADO"/>
  </hyperlink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H44"/>
  <sheetViews>
    <sheetView tabSelected="1" zoomScaleNormal="100" workbookViewId="0">
      <pane ySplit="1" topLeftCell="A6" activePane="bottomLeft" state="frozen"/>
      <selection pane="bottomLeft" activeCell="D19" sqref="D19"/>
    </sheetView>
  </sheetViews>
  <sheetFormatPr defaultRowHeight="15"/>
  <cols>
    <col min="1" max="1" width="53.85546875" style="5" bestFit="1" customWidth="1"/>
    <col min="2" max="2" width="4.140625" style="5" customWidth="1"/>
    <col min="3" max="3" width="3.5703125" style="26" bestFit="1" customWidth="1"/>
    <col min="4" max="4" width="53.42578125" style="6" customWidth="1"/>
    <col min="5" max="5" width="18.28515625" style="73" bestFit="1" customWidth="1"/>
    <col min="6" max="6" width="4.140625" style="38" bestFit="1" customWidth="1"/>
    <col min="7" max="7" width="129.7109375" style="33" bestFit="1" customWidth="1"/>
    <col min="8" max="8" width="9.140625" style="32"/>
    <col min="9" max="16384" width="9.140625" style="5"/>
  </cols>
  <sheetData>
    <row r="1" spans="1:8" ht="24.95" customHeight="1">
      <c r="A1" s="68" t="s">
        <v>206</v>
      </c>
      <c r="B1" s="59"/>
      <c r="C1" s="146" t="s">
        <v>13</v>
      </c>
      <c r="D1" s="147"/>
      <c r="E1" s="148"/>
      <c r="F1" s="69">
        <v>1</v>
      </c>
    </row>
    <row r="2" spans="1:8" ht="9.9499999999999993" customHeight="1">
      <c r="A2" s="167" t="str">
        <f>IF(AND(E33="VL. INVALIDO",E16="VL. INVALIDO"),"ERRO: Campo '2.1' e '2.2' (em vermelho) - Resposta(s) Inválida(s) - Responda: S e S | N e N | S e N ou N e S",IF(ISBLANK($A$101),"",($A$101)))</f>
        <v/>
      </c>
      <c r="B2" s="59"/>
      <c r="C2" s="149"/>
      <c r="D2" s="150"/>
      <c r="E2" s="151"/>
      <c r="F2" s="69">
        <v>2</v>
      </c>
    </row>
    <row r="3" spans="1:8" s="55" customFormat="1" ht="15" customHeight="1">
      <c r="A3" s="167"/>
      <c r="B3" s="126"/>
      <c r="C3" s="130">
        <v>10</v>
      </c>
      <c r="D3" s="157" t="s">
        <v>227</v>
      </c>
      <c r="E3" s="158"/>
      <c r="F3" s="69"/>
      <c r="G3" s="107"/>
      <c r="H3" s="95"/>
    </row>
    <row r="4" spans="1:8" ht="15" customHeight="1">
      <c r="A4" s="167"/>
      <c r="B4" s="59"/>
      <c r="C4" s="127">
        <v>11</v>
      </c>
      <c r="D4" s="128" t="s">
        <v>226</v>
      </c>
      <c r="E4" s="129" t="s">
        <v>212</v>
      </c>
      <c r="F4" s="69"/>
    </row>
    <row r="5" spans="1:8" ht="15" customHeight="1">
      <c r="A5" s="168" t="str">
        <f>IF(E16="VL. INVALIDO","ALERTA: VL. Campo 3.5 INVALIDO - Corrija Campo 2.1 e 2.2",IF(ISBLANK($A$101),"",($A$101)))</f>
        <v/>
      </c>
      <c r="B5" s="59"/>
      <c r="C5" s="131">
        <v>12</v>
      </c>
      <c r="D5" s="132" t="s">
        <v>211</v>
      </c>
      <c r="E5" s="133" t="s">
        <v>264</v>
      </c>
      <c r="F5" s="69"/>
    </row>
    <row r="6" spans="1:8" ht="9.9499999999999993" customHeight="1">
      <c r="A6" s="168"/>
      <c r="B6" s="59"/>
      <c r="C6" s="141"/>
      <c r="D6" s="142"/>
      <c r="E6" s="143"/>
      <c r="F6" s="69"/>
    </row>
    <row r="7" spans="1:8" ht="15" customHeight="1">
      <c r="A7" s="168"/>
      <c r="B7" s="59"/>
      <c r="C7" s="21">
        <v>20</v>
      </c>
      <c r="D7" s="90" t="s">
        <v>205</v>
      </c>
      <c r="E7" s="76" t="s">
        <v>41</v>
      </c>
      <c r="F7" s="69">
        <v>3</v>
      </c>
    </row>
    <row r="8" spans="1:8" ht="15" customHeight="1">
      <c r="A8" s="168" t="str">
        <f>IF(E34="VL. INVALIDO","ALERTA: VL. Campo 6.2 INVALIDO - Corrija Campo 2.1 e 2.2",IF(ISBLANK($A$101),"",($A$101)))</f>
        <v/>
      </c>
      <c r="B8" s="59"/>
      <c r="C8" s="66">
        <v>21</v>
      </c>
      <c r="D8" s="96" t="s">
        <v>228</v>
      </c>
      <c r="E8" s="98" t="s">
        <v>270</v>
      </c>
      <c r="F8" s="69">
        <v>4</v>
      </c>
    </row>
    <row r="9" spans="1:8" ht="15" customHeight="1">
      <c r="A9" s="168"/>
      <c r="B9" s="59"/>
      <c r="C9" s="67">
        <v>22</v>
      </c>
      <c r="D9" s="97" t="s">
        <v>229</v>
      </c>
      <c r="E9" s="99" t="s">
        <v>244</v>
      </c>
      <c r="F9" s="69">
        <v>5</v>
      </c>
    </row>
    <row r="10" spans="1:8" ht="9.9499999999999993" customHeight="1">
      <c r="A10" s="168"/>
      <c r="B10" s="59"/>
      <c r="C10" s="162"/>
      <c r="D10" s="163"/>
      <c r="E10" s="164"/>
      <c r="F10" s="69">
        <v>6</v>
      </c>
    </row>
    <row r="11" spans="1:8" ht="15" customHeight="1">
      <c r="A11" s="168" t="str">
        <f>IF(E36="VL. INVALIDO","ALERTA: VL. Campo 6.3 INVALIDO - Corrija Campo 2.1 e 2.2",IF(ISBLANK($A$101),"",($A$101)))</f>
        <v/>
      </c>
      <c r="B11" s="59"/>
      <c r="C11" s="21">
        <v>30</v>
      </c>
      <c r="D11" s="152" t="s">
        <v>208</v>
      </c>
      <c r="E11" s="153"/>
      <c r="F11" s="69">
        <v>7</v>
      </c>
    </row>
    <row r="12" spans="1:8" ht="15" customHeight="1">
      <c r="A12" s="168"/>
      <c r="B12" s="59"/>
      <c r="C12" s="23">
        <v>31</v>
      </c>
      <c r="D12" s="137" t="s">
        <v>14</v>
      </c>
      <c r="E12" s="139">
        <v>0.12</v>
      </c>
      <c r="F12" s="69">
        <v>8</v>
      </c>
    </row>
    <row r="13" spans="1:8" ht="15" customHeight="1">
      <c r="A13" s="168"/>
      <c r="B13" s="40"/>
      <c r="C13" s="24">
        <v>32</v>
      </c>
      <c r="D13" s="100" t="s">
        <v>15</v>
      </c>
      <c r="E13" s="77">
        <v>0.17</v>
      </c>
      <c r="F13" s="69">
        <v>9</v>
      </c>
    </row>
    <row r="14" spans="1:8" ht="15" customHeight="1">
      <c r="A14" s="166" t="str">
        <f>IF(E43="VL. INVALIDO","ALERTA: VL. Campo 7.5 INVALIDO - Corrija Campo 2.1 e 2.2",IF(ISBLANK($A$101),"",($A$101)))</f>
        <v/>
      </c>
      <c r="C14" s="60">
        <v>33</v>
      </c>
      <c r="D14" s="79" t="s">
        <v>271</v>
      </c>
      <c r="E14" s="140">
        <f>E13</f>
        <v>0.17</v>
      </c>
      <c r="F14" s="69">
        <v>10</v>
      </c>
    </row>
    <row r="15" spans="1:8">
      <c r="A15" s="166"/>
      <c r="C15" s="60">
        <v>34</v>
      </c>
      <c r="D15" s="79" t="s">
        <v>39</v>
      </c>
      <c r="E15" s="102">
        <v>0.44450000000000001</v>
      </c>
      <c r="F15" s="69">
        <v>11</v>
      </c>
    </row>
    <row r="16" spans="1:8" ht="15" customHeight="1">
      <c r="A16" s="166"/>
      <c r="C16" s="61">
        <v>35</v>
      </c>
      <c r="D16" s="80" t="s">
        <v>3</v>
      </c>
      <c r="E16" s="78">
        <f>IF(AND(E8="N",E9="N"),((1+E15)*(1-E12)/(1-E13))-1,IF(AND(E8="S",E9="S"),0,IF(AND(E8="S",E9="N"),0,IF(AND(E8="N",E9="S"),0,"VL. INVALIDO"))))</f>
        <v>0</v>
      </c>
      <c r="F16" s="69">
        <v>12</v>
      </c>
      <c r="G16" s="34" t="s">
        <v>230</v>
      </c>
    </row>
    <row r="17" spans="1:7" ht="9.9499999999999993" customHeight="1">
      <c r="C17" s="141"/>
      <c r="D17" s="142"/>
      <c r="E17" s="143"/>
      <c r="F17" s="70">
        <v>13</v>
      </c>
    </row>
    <row r="18" spans="1:7">
      <c r="C18" s="22">
        <v>40</v>
      </c>
      <c r="D18" s="152" t="s">
        <v>223</v>
      </c>
      <c r="E18" s="153"/>
      <c r="F18" s="70">
        <v>14</v>
      </c>
    </row>
    <row r="19" spans="1:7">
      <c r="C19" s="66">
        <v>41</v>
      </c>
      <c r="D19" s="92" t="s">
        <v>210</v>
      </c>
      <c r="E19" s="134">
        <v>85163200</v>
      </c>
      <c r="F19" s="70"/>
    </row>
    <row r="20" spans="1:7">
      <c r="C20" s="24">
        <v>42</v>
      </c>
      <c r="D20" s="91" t="s">
        <v>4</v>
      </c>
      <c r="E20" s="103">
        <v>1920</v>
      </c>
      <c r="F20" s="70">
        <v>15</v>
      </c>
    </row>
    <row r="21" spans="1:7" ht="15" customHeight="1">
      <c r="C21" s="24">
        <v>43</v>
      </c>
      <c r="D21" s="82" t="s">
        <v>272</v>
      </c>
      <c r="E21" s="41">
        <v>55</v>
      </c>
      <c r="F21" s="69">
        <v>16</v>
      </c>
      <c r="G21" s="34" t="s">
        <v>224</v>
      </c>
    </row>
    <row r="22" spans="1:7">
      <c r="C22" s="24">
        <v>44</v>
      </c>
      <c r="D22" s="82" t="s">
        <v>0</v>
      </c>
      <c r="E22" s="41">
        <v>0</v>
      </c>
      <c r="F22" s="70">
        <v>17</v>
      </c>
    </row>
    <row r="23" spans="1:7">
      <c r="C23" s="93">
        <v>45</v>
      </c>
      <c r="D23" s="94" t="s">
        <v>222</v>
      </c>
      <c r="E23" s="104">
        <v>0</v>
      </c>
      <c r="F23" s="70"/>
    </row>
    <row r="24" spans="1:7" ht="9.9499999999999993" customHeight="1">
      <c r="C24" s="159"/>
      <c r="D24" s="160"/>
      <c r="E24" s="161"/>
      <c r="F24" s="70"/>
    </row>
    <row r="25" spans="1:7">
      <c r="C25" s="22">
        <v>50</v>
      </c>
      <c r="D25" s="152" t="s">
        <v>207</v>
      </c>
      <c r="E25" s="153"/>
      <c r="F25" s="70"/>
    </row>
    <row r="26" spans="1:7">
      <c r="C26" s="60">
        <v>51</v>
      </c>
      <c r="D26" s="79" t="s">
        <v>218</v>
      </c>
      <c r="E26" s="102">
        <v>0</v>
      </c>
      <c r="F26" s="70"/>
    </row>
    <row r="27" spans="1:7">
      <c r="C27" s="24">
        <v>52</v>
      </c>
      <c r="D27" s="82" t="s">
        <v>1</v>
      </c>
      <c r="E27" s="39">
        <f>IF(E26=0,SUM(E20:E22),SUM(E20:E22)-SUM(E20:E22)*E26)</f>
        <v>1975</v>
      </c>
      <c r="F27" s="70">
        <v>18</v>
      </c>
      <c r="G27" s="34" t="s">
        <v>231</v>
      </c>
    </row>
    <row r="28" spans="1:7">
      <c r="C28" s="61">
        <v>53</v>
      </c>
      <c r="D28" s="80" t="s">
        <v>2</v>
      </c>
      <c r="E28" s="3">
        <f>E27*E12</f>
        <v>237</v>
      </c>
      <c r="F28" s="70">
        <v>19</v>
      </c>
      <c r="G28" s="34" t="s">
        <v>232</v>
      </c>
    </row>
    <row r="29" spans="1:7" ht="9.9499999999999993" customHeight="1">
      <c r="C29" s="154"/>
      <c r="D29" s="155"/>
      <c r="E29" s="156"/>
      <c r="F29" s="70">
        <v>20</v>
      </c>
    </row>
    <row r="30" spans="1:7">
      <c r="C30" s="21">
        <v>60</v>
      </c>
      <c r="D30" s="144" t="s">
        <v>217</v>
      </c>
      <c r="E30" s="145"/>
      <c r="F30" s="70">
        <v>21</v>
      </c>
    </row>
    <row r="31" spans="1:7">
      <c r="C31" s="62">
        <v>61</v>
      </c>
      <c r="D31" s="101" t="s">
        <v>219</v>
      </c>
      <c r="E31" s="105">
        <v>0</v>
      </c>
      <c r="F31" s="70">
        <v>22</v>
      </c>
    </row>
    <row r="32" spans="1:7" hidden="1">
      <c r="A32" s="165"/>
      <c r="C32" s="63"/>
      <c r="D32" s="83" t="s">
        <v>40</v>
      </c>
      <c r="E32" s="36">
        <f>IF(E33&gt;="Resposta(s) Inválida(s) - Responda S ou N","VL. INVALIDO",E31*E33)</f>
        <v>0</v>
      </c>
      <c r="F32" s="70">
        <v>23</v>
      </c>
      <c r="G32" s="34" t="s">
        <v>233</v>
      </c>
    </row>
    <row r="33" spans="1:7" hidden="1">
      <c r="A33" s="165"/>
      <c r="C33" s="63"/>
      <c r="D33" s="82" t="s">
        <v>10</v>
      </c>
      <c r="E33" s="37">
        <f>IF(AND(E8="S",E9="S"),E27,IF(AND(E8="N",E9="N"),E27+(E27*E16),IF(AND(E8="S",E9="N"),E27+(E27*E15),IF(AND(E8="N",E9="S"),E27,"VL. INVALIDO"))))</f>
        <v>2852.8874999999998</v>
      </c>
      <c r="F33" s="70">
        <v>24</v>
      </c>
      <c r="G33" s="108" t="s">
        <v>234</v>
      </c>
    </row>
    <row r="34" spans="1:7">
      <c r="A34" s="72"/>
      <c r="C34" s="75">
        <v>62</v>
      </c>
      <c r="D34" s="122" t="s">
        <v>10</v>
      </c>
      <c r="E34" s="35">
        <f>IF(E33="VL. INVALIDO","VL. INVALIDO",IF(AND(E31=0,E32=E33),0,(E33-E32)))</f>
        <v>2852.8874999999998</v>
      </c>
      <c r="F34" s="70">
        <v>25</v>
      </c>
      <c r="G34" s="34" t="s">
        <v>235</v>
      </c>
    </row>
    <row r="35" spans="1:7" hidden="1">
      <c r="A35" s="165"/>
      <c r="C35" s="74"/>
      <c r="D35" s="84" t="s">
        <v>221</v>
      </c>
      <c r="E35" s="71">
        <f>IF(E34="VL. INVALIDO","VL. INVALIDO",IF((E34*E14&lt;E28),0,IF(E33*E14,E34*E14)))</f>
        <v>484.99087500000002</v>
      </c>
      <c r="F35" s="70"/>
      <c r="G35" s="34" t="s">
        <v>225</v>
      </c>
    </row>
    <row r="36" spans="1:7">
      <c r="A36" s="165"/>
      <c r="C36" s="64">
        <v>63</v>
      </c>
      <c r="D36" s="85" t="s">
        <v>220</v>
      </c>
      <c r="E36" s="4">
        <f>IF(OR(E33="VL. INVALIDO",E35="VL. INVALIDO"),"VL. INVALIDO",IF(AND(E35=0,E31&gt;0),E35*E13,IF(AND(E35&gt;=E28,E34&gt;0),E35-E28,(E33*E14)-E28)))</f>
        <v>247.99087500000002</v>
      </c>
      <c r="F36" s="70">
        <v>26</v>
      </c>
      <c r="G36" s="34" t="s">
        <v>236</v>
      </c>
    </row>
    <row r="37" spans="1:7" ht="9.9499999999999993" customHeight="1">
      <c r="C37" s="141"/>
      <c r="D37" s="142"/>
      <c r="E37" s="143"/>
      <c r="F37" s="70">
        <v>27</v>
      </c>
    </row>
    <row r="38" spans="1:7">
      <c r="C38" s="21">
        <v>70</v>
      </c>
      <c r="D38" s="144" t="s">
        <v>209</v>
      </c>
      <c r="E38" s="145"/>
      <c r="F38" s="70">
        <v>28</v>
      </c>
    </row>
    <row r="39" spans="1:7" ht="15" customHeight="1">
      <c r="C39" s="23">
        <v>71</v>
      </c>
      <c r="D39" s="81" t="s">
        <v>5</v>
      </c>
      <c r="E39" s="86">
        <f>E20</f>
        <v>1920</v>
      </c>
      <c r="F39" s="70">
        <v>29</v>
      </c>
      <c r="G39" s="34" t="s">
        <v>214</v>
      </c>
    </row>
    <row r="40" spans="1:7">
      <c r="C40" s="24">
        <v>72</v>
      </c>
      <c r="D40" s="82" t="s">
        <v>6</v>
      </c>
      <c r="E40" s="39">
        <f>E21</f>
        <v>55</v>
      </c>
      <c r="F40" s="69">
        <v>30</v>
      </c>
      <c r="G40" s="34" t="s">
        <v>215</v>
      </c>
    </row>
    <row r="41" spans="1:7">
      <c r="C41" s="24">
        <v>73</v>
      </c>
      <c r="D41" s="82" t="s">
        <v>7</v>
      </c>
      <c r="E41" s="39">
        <f>E22</f>
        <v>0</v>
      </c>
      <c r="F41" s="69">
        <v>31</v>
      </c>
      <c r="G41" s="34" t="s">
        <v>216</v>
      </c>
    </row>
    <row r="42" spans="1:7">
      <c r="C42" s="60" t="s">
        <v>237</v>
      </c>
      <c r="D42" s="79" t="s">
        <v>240</v>
      </c>
      <c r="E42" s="106">
        <f>E23</f>
        <v>0</v>
      </c>
      <c r="F42" s="69"/>
      <c r="G42" s="34" t="s">
        <v>241</v>
      </c>
    </row>
    <row r="43" spans="1:7">
      <c r="C43" s="25" t="s">
        <v>238</v>
      </c>
      <c r="D43" s="88" t="s">
        <v>8</v>
      </c>
      <c r="E43" s="35">
        <f>IF(E33="Corrija Campo 4.3","Corrija Campo 3.3",E36)</f>
        <v>247.99087500000002</v>
      </c>
      <c r="F43" s="69">
        <v>32</v>
      </c>
      <c r="G43" s="34" t="s">
        <v>242</v>
      </c>
    </row>
    <row r="44" spans="1:7" ht="18.75">
      <c r="C44" s="65" t="s">
        <v>239</v>
      </c>
      <c r="D44" s="89" t="s">
        <v>9</v>
      </c>
      <c r="E44" s="87">
        <f>SUM(E39:E43)</f>
        <v>2222.990875</v>
      </c>
      <c r="F44" s="69">
        <v>33</v>
      </c>
      <c r="G44" s="34" t="s">
        <v>243</v>
      </c>
    </row>
  </sheetData>
  <sheetProtection password="C71F" sheet="1" objects="1" scenarios="1"/>
  <mergeCells count="21">
    <mergeCell ref="A32:A33"/>
    <mergeCell ref="A35:A36"/>
    <mergeCell ref="A14:A16"/>
    <mergeCell ref="A2:A4"/>
    <mergeCell ref="A5:A7"/>
    <mergeCell ref="A8:A10"/>
    <mergeCell ref="A11:A13"/>
    <mergeCell ref="C37:E37"/>
    <mergeCell ref="D38:E38"/>
    <mergeCell ref="C1:E1"/>
    <mergeCell ref="C2:E2"/>
    <mergeCell ref="C17:E17"/>
    <mergeCell ref="D18:E18"/>
    <mergeCell ref="C29:E29"/>
    <mergeCell ref="C6:E6"/>
    <mergeCell ref="D3:E3"/>
    <mergeCell ref="D25:E25"/>
    <mergeCell ref="C24:E24"/>
    <mergeCell ref="C10:E10"/>
    <mergeCell ref="D30:E30"/>
    <mergeCell ref="D11:E11"/>
  </mergeCells>
  <conditionalFormatting sqref="E16">
    <cfRule type="cellIs" dxfId="8" priority="9" operator="equal">
      <formula>"Resposta 1 OBRIGATÓRIA"</formula>
    </cfRule>
    <cfRule type="cellIs" dxfId="7" priority="10" operator="equal">
      <formula>"Resposta 1 OBRIGATÓRIA"</formula>
    </cfRule>
  </conditionalFormatting>
  <conditionalFormatting sqref="E7 E4:E5 E1:E2 E11:E23 E25:E1048576">
    <cfRule type="cellIs" dxfId="6" priority="8" operator="equal">
      <formula>"Resposta(s) Inválida(s) - Responda S ou N"</formula>
    </cfRule>
  </conditionalFormatting>
  <conditionalFormatting sqref="E33">
    <cfRule type="cellIs" dxfId="5" priority="7" operator="equal">
      <formula>"Resposta(s) Inválida(s) - Responda S ou N"</formula>
    </cfRule>
  </conditionalFormatting>
  <conditionalFormatting sqref="E32 E34:E35">
    <cfRule type="cellIs" dxfId="4" priority="6" operator="equal">
      <formula>"Corrija Campo 3.3"</formula>
    </cfRule>
  </conditionalFormatting>
  <conditionalFormatting sqref="E36">
    <cfRule type="cellIs" dxfId="3" priority="4" operator="equal">
      <formula>"Corrija Campo 3.3"</formula>
    </cfRule>
  </conditionalFormatting>
  <conditionalFormatting sqref="E43">
    <cfRule type="cellIs" dxfId="2" priority="2" operator="equal">
      <formula>"Corrija Campo 3.3"</formula>
    </cfRule>
    <cfRule type="cellIs" dxfId="1" priority="3" operator="equal">
      <formula>"Corrija Campo 3.3"</formula>
    </cfRule>
  </conditionalFormatting>
  <conditionalFormatting sqref="E8:E9">
    <cfRule type="cellIs" dxfId="0" priority="1" operator="equal">
      <formula>0</formula>
    </cfRule>
  </conditionalFormatting>
  <hyperlinks>
    <hyperlink ref="D12" location="'ICMS INTER EST'!A1" display="Informe Alq. ICMS Interestadual "/>
  </hyperlinks>
  <printOptions horizontalCentered="1"/>
  <pageMargins left="0.51181102362204722" right="0.51181102362204722" top="0.78740157480314965" bottom="0.78740157480314965" header="0.31496062992125984" footer="0.31496062992125984"/>
  <pageSetup orientation="portrait" horizont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pageSetUpPr fitToPage="1"/>
  </sheetPr>
  <dimension ref="G1:M27"/>
  <sheetViews>
    <sheetView zoomScale="97" zoomScaleNormal="97" workbookViewId="0">
      <pane ySplit="1" topLeftCell="A2" activePane="bottomLeft" state="frozen"/>
      <selection activeCell="B1" sqref="B1"/>
      <selection pane="bottomLeft"/>
    </sheetView>
  </sheetViews>
  <sheetFormatPr defaultRowHeight="15"/>
  <cols>
    <col min="1" max="1" width="9.140625" style="5"/>
    <col min="2" max="2" width="7.42578125" style="5" customWidth="1"/>
    <col min="3" max="6" width="9.140625" style="5"/>
    <col min="7" max="7" width="3.7109375" style="26" bestFit="1" customWidth="1"/>
    <col min="8" max="8" width="39" style="5" customWidth="1"/>
    <col min="9" max="9" width="15.42578125" style="5" bestFit="1" customWidth="1"/>
    <col min="10" max="15" width="9.140625" style="5"/>
    <col min="16" max="16" width="9.140625" style="5" customWidth="1"/>
    <col min="17" max="16384" width="9.140625" style="5"/>
  </cols>
  <sheetData>
    <row r="1" spans="7:13" ht="24.95" customHeight="1">
      <c r="G1" s="171" t="s">
        <v>16</v>
      </c>
      <c r="H1" s="171"/>
      <c r="I1" s="171"/>
    </row>
    <row r="2" spans="7:13" ht="9.9499999999999993" customHeight="1">
      <c r="G2" s="146"/>
      <c r="H2" s="147"/>
      <c r="I2" s="148"/>
    </row>
    <row r="3" spans="7:13" ht="15" customHeight="1">
      <c r="G3" s="174" t="s">
        <v>33</v>
      </c>
      <c r="H3" s="175"/>
      <c r="I3" s="30">
        <v>48048</v>
      </c>
    </row>
    <row r="4" spans="7:13" ht="15" customHeight="1">
      <c r="G4" s="176" t="s">
        <v>34</v>
      </c>
      <c r="H4" s="177"/>
      <c r="I4" s="31">
        <v>17092012</v>
      </c>
    </row>
    <row r="5" spans="7:13" ht="15" customHeight="1">
      <c r="G5" s="21">
        <v>10</v>
      </c>
      <c r="H5" s="144" t="s">
        <v>25</v>
      </c>
      <c r="I5" s="145"/>
    </row>
    <row r="6" spans="7:13">
      <c r="G6" s="23">
        <v>12</v>
      </c>
      <c r="H6" s="92" t="s">
        <v>21</v>
      </c>
      <c r="I6" s="115">
        <v>0.02</v>
      </c>
    </row>
    <row r="7" spans="7:13">
      <c r="G7" s="24">
        <v>13</v>
      </c>
      <c r="H7" s="112" t="s">
        <v>22</v>
      </c>
      <c r="I7" s="109">
        <v>0.05</v>
      </c>
    </row>
    <row r="8" spans="7:13">
      <c r="G8" s="24">
        <v>14</v>
      </c>
      <c r="H8" s="112" t="s">
        <v>23</v>
      </c>
      <c r="I8" s="109">
        <v>0.1</v>
      </c>
      <c r="K8" s="32"/>
      <c r="L8" s="32"/>
      <c r="M8" s="32"/>
    </row>
    <row r="9" spans="7:13">
      <c r="G9" s="24">
        <v>15</v>
      </c>
      <c r="H9" s="113" t="s">
        <v>28</v>
      </c>
      <c r="I9" s="110">
        <v>4.7999999999999996E-3</v>
      </c>
      <c r="K9" s="32"/>
      <c r="L9" s="32"/>
      <c r="M9" s="32"/>
    </row>
    <row r="10" spans="7:13">
      <c r="G10" s="24">
        <v>16</v>
      </c>
      <c r="H10" s="137" t="s">
        <v>17</v>
      </c>
      <c r="I10" s="138">
        <v>7.0000000000000007E-2</v>
      </c>
      <c r="K10" s="32"/>
      <c r="L10" s="32"/>
      <c r="M10" s="32"/>
    </row>
    <row r="11" spans="7:13">
      <c r="G11" s="25">
        <v>17</v>
      </c>
      <c r="H11" s="114" t="s">
        <v>15</v>
      </c>
      <c r="I11" s="111">
        <v>0.17</v>
      </c>
      <c r="K11" s="32"/>
      <c r="L11" s="32"/>
      <c r="M11" s="32"/>
    </row>
    <row r="12" spans="7:13" ht="9.9499999999999993" customHeight="1">
      <c r="G12" s="172"/>
      <c r="H12" s="172"/>
      <c r="I12" s="172"/>
      <c r="K12" s="32"/>
      <c r="L12" s="32"/>
      <c r="M12" s="32"/>
    </row>
    <row r="13" spans="7:13">
      <c r="G13" s="22">
        <v>20</v>
      </c>
      <c r="H13" s="173" t="s">
        <v>29</v>
      </c>
      <c r="I13" s="170"/>
      <c r="K13" s="32"/>
      <c r="L13" s="32"/>
      <c r="M13" s="32"/>
    </row>
    <row r="14" spans="7:13">
      <c r="G14" s="23">
        <v>21</v>
      </c>
      <c r="H14" s="117" t="s">
        <v>4</v>
      </c>
      <c r="I14" s="118">
        <v>940</v>
      </c>
    </row>
    <row r="15" spans="7:13">
      <c r="G15" s="24">
        <v>22</v>
      </c>
      <c r="H15" s="82" t="s">
        <v>18</v>
      </c>
      <c r="I15" s="39">
        <f>I14*I10</f>
        <v>65.800000000000011</v>
      </c>
    </row>
    <row r="16" spans="7:13">
      <c r="G16" s="25">
        <v>23</v>
      </c>
      <c r="H16" s="88" t="s">
        <v>19</v>
      </c>
      <c r="I16" s="35">
        <f>I14*I11</f>
        <v>159.80000000000001</v>
      </c>
    </row>
    <row r="17" spans="7:9">
      <c r="G17" s="29">
        <v>24</v>
      </c>
      <c r="H17" s="116" t="s">
        <v>35</v>
      </c>
      <c r="I17" s="4">
        <f>I16-I15</f>
        <v>94</v>
      </c>
    </row>
    <row r="18" spans="7:9" ht="9.9499999999999993" customHeight="1">
      <c r="G18" s="172"/>
      <c r="H18" s="172"/>
      <c r="I18" s="172"/>
    </row>
    <row r="19" spans="7:9">
      <c r="G19" s="21">
        <v>30</v>
      </c>
      <c r="H19" s="169" t="s">
        <v>26</v>
      </c>
      <c r="I19" s="170"/>
    </row>
    <row r="20" spans="7:9">
      <c r="G20" s="23">
        <v>31</v>
      </c>
      <c r="H20" s="92" t="s">
        <v>31</v>
      </c>
      <c r="I20" s="119">
        <v>41229</v>
      </c>
    </row>
    <row r="21" spans="7:9">
      <c r="G21" s="24">
        <v>33</v>
      </c>
      <c r="H21" s="112" t="s">
        <v>32</v>
      </c>
      <c r="I21" s="120">
        <v>41229</v>
      </c>
    </row>
    <row r="22" spans="7:9">
      <c r="G22" s="25">
        <v>34</v>
      </c>
      <c r="H22" s="122" t="s">
        <v>38</v>
      </c>
      <c r="I22" s="121">
        <f>IF(I21="",0,I21-I20)</f>
        <v>0</v>
      </c>
    </row>
    <row r="23" spans="7:9" ht="9.9499999999999993" customHeight="1">
      <c r="G23" s="172"/>
      <c r="H23" s="172"/>
      <c r="I23" s="172"/>
    </row>
    <row r="24" spans="7:9">
      <c r="G24" s="21">
        <v>40</v>
      </c>
      <c r="H24" s="169" t="s">
        <v>27</v>
      </c>
      <c r="I24" s="170"/>
    </row>
    <row r="25" spans="7:9">
      <c r="G25" s="23">
        <v>41</v>
      </c>
      <c r="H25" s="124" t="s">
        <v>37</v>
      </c>
      <c r="I25" s="106">
        <f>IF(I21="",0,(I17*I9)*I22)</f>
        <v>0</v>
      </c>
    </row>
    <row r="26" spans="7:9">
      <c r="G26" s="27">
        <v>42</v>
      </c>
      <c r="H26" s="91" t="s">
        <v>20</v>
      </c>
      <c r="I26" s="86">
        <f>IF(I21="",0,IF(I21=I20,0,IF(I22&lt;=30,I17*I6,IF(I22&lt;=60,I17*I7,I17*I8))))</f>
        <v>0</v>
      </c>
    </row>
    <row r="27" spans="7:9" ht="18.75">
      <c r="G27" s="28">
        <v>43</v>
      </c>
      <c r="H27" s="125" t="s">
        <v>36</v>
      </c>
      <c r="I27" s="123">
        <f>IF(I21="",I17,IF(I21=I20,I17,IF(I22&lt;=30,((I17*I6)+((I17*I9)*I22)+I17),IF(I22&lt;=60,((I17*I7)+((I17*I9)*I22)+I17),((I17*I8)+((I17*I9)*I22)+I17)))))</f>
        <v>94</v>
      </c>
    </row>
  </sheetData>
  <sheetProtection password="C71F" sheet="1" objects="1" scenarios="1"/>
  <mergeCells count="11">
    <mergeCell ref="H19:I19"/>
    <mergeCell ref="G1:I1"/>
    <mergeCell ref="H24:I24"/>
    <mergeCell ref="G12:I12"/>
    <mergeCell ref="G18:I18"/>
    <mergeCell ref="G23:I23"/>
    <mergeCell ref="H5:I5"/>
    <mergeCell ref="H13:I13"/>
    <mergeCell ref="G3:H3"/>
    <mergeCell ref="G4:H4"/>
    <mergeCell ref="G2:I2"/>
  </mergeCells>
  <hyperlinks>
    <hyperlink ref="H9" r:id="rId1"/>
    <hyperlink ref="H27:I27" r:id="rId2" display="TOTAL DA GARE DE ICMS"/>
    <hyperlink ref="H10" location="'ICMS INTER EST'!A1" display="Informe Alq. ICMS Interestadual"/>
  </hyperlinks>
  <pageMargins left="0.51181102362204722" right="0.51181102362204722" top="0.78740157480314965" bottom="0.78740157480314965" header="0.31496062992125984" footer="0.31496062992125984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C1:AE30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X27" sqref="X27"/>
    </sheetView>
  </sheetViews>
  <sheetFormatPr defaultRowHeight="14.25"/>
  <cols>
    <col min="1" max="1" width="4.140625" style="19" customWidth="1"/>
    <col min="2" max="2" width="9.140625" style="19"/>
    <col min="3" max="3" width="3.85546875" style="19" bestFit="1" customWidth="1"/>
    <col min="4" max="4" width="3.5703125" style="19" bestFit="1" customWidth="1"/>
    <col min="5" max="6" width="3.42578125" style="19" bestFit="1" customWidth="1"/>
    <col min="7" max="7" width="3.5703125" style="19" bestFit="1" customWidth="1"/>
    <col min="8" max="13" width="3.42578125" style="19" bestFit="1" customWidth="1"/>
    <col min="14" max="15" width="3.5703125" style="19" bestFit="1" customWidth="1"/>
    <col min="16" max="31" width="3.42578125" style="19" bestFit="1" customWidth="1"/>
    <col min="32" max="16384" width="9.140625" style="19"/>
  </cols>
  <sheetData>
    <row r="1" spans="3:31" ht="24.95" customHeight="1">
      <c r="C1" s="2"/>
      <c r="D1" s="180" t="s">
        <v>11</v>
      </c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1"/>
    </row>
    <row r="2" spans="3:31" ht="11.1" customHeight="1">
      <c r="C2" s="178" t="s">
        <v>12</v>
      </c>
      <c r="D2" s="1"/>
      <c r="E2" s="10" t="s">
        <v>245</v>
      </c>
      <c r="F2" s="10" t="s">
        <v>246</v>
      </c>
      <c r="G2" s="10" t="s">
        <v>247</v>
      </c>
      <c r="H2" s="10" t="s">
        <v>248</v>
      </c>
      <c r="I2" s="10" t="s">
        <v>249</v>
      </c>
      <c r="J2" s="10" t="s">
        <v>250</v>
      </c>
      <c r="K2" s="10" t="s">
        <v>251</v>
      </c>
      <c r="L2" s="10" t="s">
        <v>252</v>
      </c>
      <c r="M2" s="10" t="s">
        <v>253</v>
      </c>
      <c r="N2" s="10" t="s">
        <v>254</v>
      </c>
      <c r="O2" s="10" t="s">
        <v>255</v>
      </c>
      <c r="P2" s="10" t="s">
        <v>256</v>
      </c>
      <c r="Q2" s="10" t="s">
        <v>257</v>
      </c>
      <c r="R2" s="10" t="s">
        <v>258</v>
      </c>
      <c r="S2" s="10" t="s">
        <v>259</v>
      </c>
      <c r="T2" s="10" t="s">
        <v>260</v>
      </c>
      <c r="U2" s="10" t="s">
        <v>261</v>
      </c>
      <c r="V2" s="10" t="s">
        <v>262</v>
      </c>
      <c r="W2" s="10" t="s">
        <v>263</v>
      </c>
      <c r="X2" s="10" t="s">
        <v>264</v>
      </c>
      <c r="Y2" s="10" t="s">
        <v>265</v>
      </c>
      <c r="Z2" s="10" t="s">
        <v>266</v>
      </c>
      <c r="AA2" s="10" t="s">
        <v>267</v>
      </c>
      <c r="AB2" s="10" t="s">
        <v>213</v>
      </c>
      <c r="AC2" s="10" t="s">
        <v>212</v>
      </c>
      <c r="AD2" s="10" t="s">
        <v>268</v>
      </c>
      <c r="AE2" s="11" t="s">
        <v>269</v>
      </c>
    </row>
    <row r="3" spans="3:31" ht="10.5" customHeight="1">
      <c r="C3" s="179"/>
      <c r="D3" s="7" t="s">
        <v>245</v>
      </c>
      <c r="E3" s="12"/>
      <c r="F3" s="13">
        <v>12</v>
      </c>
      <c r="G3" s="13">
        <v>12</v>
      </c>
      <c r="H3" s="13">
        <v>12</v>
      </c>
      <c r="I3" s="13">
        <v>12</v>
      </c>
      <c r="J3" s="13">
        <v>12</v>
      </c>
      <c r="K3" s="13">
        <v>12</v>
      </c>
      <c r="L3" s="13">
        <v>12</v>
      </c>
      <c r="M3" s="13">
        <v>12</v>
      </c>
      <c r="N3" s="13">
        <v>12</v>
      </c>
      <c r="O3" s="13">
        <v>12</v>
      </c>
      <c r="P3" s="13">
        <v>12</v>
      </c>
      <c r="Q3" s="13">
        <v>12</v>
      </c>
      <c r="R3" s="13">
        <v>12</v>
      </c>
      <c r="S3" s="13">
        <v>12</v>
      </c>
      <c r="T3" s="13">
        <v>12</v>
      </c>
      <c r="U3" s="13">
        <v>12</v>
      </c>
      <c r="V3" s="13">
        <v>12</v>
      </c>
      <c r="W3" s="13">
        <v>12</v>
      </c>
      <c r="X3" s="13">
        <v>12</v>
      </c>
      <c r="Y3" s="13">
        <v>12</v>
      </c>
      <c r="Z3" s="13">
        <v>12</v>
      </c>
      <c r="AA3" s="13">
        <v>12</v>
      </c>
      <c r="AB3" s="13">
        <v>12</v>
      </c>
      <c r="AC3" s="13">
        <v>12</v>
      </c>
      <c r="AD3" s="13">
        <v>12</v>
      </c>
      <c r="AE3" s="13">
        <v>12</v>
      </c>
    </row>
    <row r="4" spans="3:31" ht="11.1" customHeight="1">
      <c r="C4" s="179"/>
      <c r="D4" s="8" t="s">
        <v>246</v>
      </c>
      <c r="E4" s="14">
        <v>12</v>
      </c>
      <c r="F4" s="15"/>
      <c r="G4" s="14">
        <v>12</v>
      </c>
      <c r="H4" s="14">
        <v>12</v>
      </c>
      <c r="I4" s="14">
        <v>12</v>
      </c>
      <c r="J4" s="14">
        <v>12</v>
      </c>
      <c r="K4" s="14">
        <v>12</v>
      </c>
      <c r="L4" s="14">
        <v>12</v>
      </c>
      <c r="M4" s="14">
        <v>12</v>
      </c>
      <c r="N4" s="14">
        <v>12</v>
      </c>
      <c r="O4" s="14">
        <v>12</v>
      </c>
      <c r="P4" s="14">
        <v>12</v>
      </c>
      <c r="Q4" s="14">
        <v>12</v>
      </c>
      <c r="R4" s="14">
        <v>12</v>
      </c>
      <c r="S4" s="14">
        <v>12</v>
      </c>
      <c r="T4" s="14">
        <v>12</v>
      </c>
      <c r="U4" s="14">
        <v>12</v>
      </c>
      <c r="V4" s="14">
        <v>12</v>
      </c>
      <c r="W4" s="14">
        <v>12</v>
      </c>
      <c r="X4" s="14">
        <v>12</v>
      </c>
      <c r="Y4" s="14">
        <v>12</v>
      </c>
      <c r="Z4" s="14">
        <v>12</v>
      </c>
      <c r="AA4" s="14">
        <v>12</v>
      </c>
      <c r="AB4" s="14">
        <v>12</v>
      </c>
      <c r="AC4" s="14">
        <v>12</v>
      </c>
      <c r="AD4" s="14">
        <v>12</v>
      </c>
      <c r="AE4" s="14">
        <v>12</v>
      </c>
    </row>
    <row r="5" spans="3:31" ht="11.1" customHeight="1">
      <c r="C5" s="179"/>
      <c r="D5" s="8" t="s">
        <v>247</v>
      </c>
      <c r="E5" s="14">
        <v>12</v>
      </c>
      <c r="F5" s="14">
        <v>12</v>
      </c>
      <c r="G5" s="15"/>
      <c r="H5" s="14">
        <v>12</v>
      </c>
      <c r="I5" s="14">
        <v>12</v>
      </c>
      <c r="J5" s="14">
        <v>12</v>
      </c>
      <c r="K5" s="14">
        <v>12</v>
      </c>
      <c r="L5" s="14">
        <v>12</v>
      </c>
      <c r="M5" s="14">
        <v>12</v>
      </c>
      <c r="N5" s="14">
        <v>12</v>
      </c>
      <c r="O5" s="14">
        <v>12</v>
      </c>
      <c r="P5" s="14">
        <v>12</v>
      </c>
      <c r="Q5" s="14">
        <v>12</v>
      </c>
      <c r="R5" s="14">
        <v>12</v>
      </c>
      <c r="S5" s="14">
        <v>12</v>
      </c>
      <c r="T5" s="14">
        <v>12</v>
      </c>
      <c r="U5" s="14">
        <v>12</v>
      </c>
      <c r="V5" s="14">
        <v>12</v>
      </c>
      <c r="W5" s="14">
        <v>12</v>
      </c>
      <c r="X5" s="14">
        <v>12</v>
      </c>
      <c r="Y5" s="14">
        <v>12</v>
      </c>
      <c r="Z5" s="14">
        <v>12</v>
      </c>
      <c r="AA5" s="14">
        <v>12</v>
      </c>
      <c r="AB5" s="14">
        <v>12</v>
      </c>
      <c r="AC5" s="14">
        <v>12</v>
      </c>
      <c r="AD5" s="14">
        <v>12</v>
      </c>
      <c r="AE5" s="14">
        <v>12</v>
      </c>
    </row>
    <row r="6" spans="3:31" ht="11.1" customHeight="1">
      <c r="C6" s="179"/>
      <c r="D6" s="8" t="s">
        <v>248</v>
      </c>
      <c r="E6" s="14">
        <v>12</v>
      </c>
      <c r="F6" s="14">
        <v>12</v>
      </c>
      <c r="G6" s="14">
        <v>12</v>
      </c>
      <c r="H6" s="15"/>
      <c r="I6" s="14">
        <v>12</v>
      </c>
      <c r="J6" s="14">
        <v>12</v>
      </c>
      <c r="K6" s="14">
        <v>12</v>
      </c>
      <c r="L6" s="14">
        <v>12</v>
      </c>
      <c r="M6" s="14">
        <v>12</v>
      </c>
      <c r="N6" s="14">
        <v>12</v>
      </c>
      <c r="O6" s="14">
        <v>12</v>
      </c>
      <c r="P6" s="14">
        <v>12</v>
      </c>
      <c r="Q6" s="14">
        <v>12</v>
      </c>
      <c r="R6" s="14">
        <v>12</v>
      </c>
      <c r="S6" s="14">
        <v>12</v>
      </c>
      <c r="T6" s="14">
        <v>12</v>
      </c>
      <c r="U6" s="14">
        <v>12</v>
      </c>
      <c r="V6" s="14">
        <v>12</v>
      </c>
      <c r="W6" s="14">
        <v>12</v>
      </c>
      <c r="X6" s="14">
        <v>12</v>
      </c>
      <c r="Y6" s="14">
        <v>12</v>
      </c>
      <c r="Z6" s="14">
        <v>12</v>
      </c>
      <c r="AA6" s="14">
        <v>12</v>
      </c>
      <c r="AB6" s="14">
        <v>12</v>
      </c>
      <c r="AC6" s="14">
        <v>12</v>
      </c>
      <c r="AD6" s="14">
        <v>12</v>
      </c>
      <c r="AE6" s="14">
        <v>12</v>
      </c>
    </row>
    <row r="7" spans="3:31" ht="11.1" customHeight="1">
      <c r="C7" s="179"/>
      <c r="D7" s="8" t="s">
        <v>249</v>
      </c>
      <c r="E7" s="14">
        <v>12</v>
      </c>
      <c r="F7" s="14">
        <v>12</v>
      </c>
      <c r="G7" s="14">
        <v>12</v>
      </c>
      <c r="H7" s="14">
        <v>12</v>
      </c>
      <c r="I7" s="15"/>
      <c r="J7" s="14">
        <v>12</v>
      </c>
      <c r="K7" s="14">
        <v>12</v>
      </c>
      <c r="L7" s="14">
        <v>12</v>
      </c>
      <c r="M7" s="14">
        <v>12</v>
      </c>
      <c r="N7" s="14">
        <v>12</v>
      </c>
      <c r="O7" s="14">
        <v>12</v>
      </c>
      <c r="P7" s="14">
        <v>12</v>
      </c>
      <c r="Q7" s="14">
        <v>12</v>
      </c>
      <c r="R7" s="14">
        <v>12</v>
      </c>
      <c r="S7" s="14">
        <v>12</v>
      </c>
      <c r="T7" s="14">
        <v>12</v>
      </c>
      <c r="U7" s="14">
        <v>12</v>
      </c>
      <c r="V7" s="14">
        <v>12</v>
      </c>
      <c r="W7" s="14">
        <v>12</v>
      </c>
      <c r="X7" s="14">
        <v>12</v>
      </c>
      <c r="Y7" s="14">
        <v>12</v>
      </c>
      <c r="Z7" s="14">
        <v>12</v>
      </c>
      <c r="AA7" s="14">
        <v>12</v>
      </c>
      <c r="AB7" s="14">
        <v>12</v>
      </c>
      <c r="AC7" s="14">
        <v>12</v>
      </c>
      <c r="AD7" s="14">
        <v>12</v>
      </c>
      <c r="AE7" s="14">
        <v>12</v>
      </c>
    </row>
    <row r="8" spans="3:31" ht="11.1" customHeight="1">
      <c r="C8" s="179"/>
      <c r="D8" s="8" t="s">
        <v>250</v>
      </c>
      <c r="E8" s="14">
        <v>12</v>
      </c>
      <c r="F8" s="14">
        <v>12</v>
      </c>
      <c r="G8" s="14">
        <v>12</v>
      </c>
      <c r="H8" s="14">
        <v>12</v>
      </c>
      <c r="I8" s="14">
        <v>12</v>
      </c>
      <c r="J8" s="15"/>
      <c r="K8" s="14">
        <v>12</v>
      </c>
      <c r="L8" s="14">
        <v>12</v>
      </c>
      <c r="M8" s="14">
        <v>12</v>
      </c>
      <c r="N8" s="14">
        <v>12</v>
      </c>
      <c r="O8" s="14">
        <v>12</v>
      </c>
      <c r="P8" s="14">
        <v>12</v>
      </c>
      <c r="Q8" s="14">
        <v>12</v>
      </c>
      <c r="R8" s="14">
        <v>12</v>
      </c>
      <c r="S8" s="14">
        <v>12</v>
      </c>
      <c r="T8" s="14">
        <v>12</v>
      </c>
      <c r="U8" s="14">
        <v>12</v>
      </c>
      <c r="V8" s="14">
        <v>12</v>
      </c>
      <c r="W8" s="14">
        <v>12</v>
      </c>
      <c r="X8" s="14">
        <v>12</v>
      </c>
      <c r="Y8" s="14">
        <v>12</v>
      </c>
      <c r="Z8" s="14">
        <v>12</v>
      </c>
      <c r="AA8" s="14">
        <v>12</v>
      </c>
      <c r="AB8" s="14">
        <v>12</v>
      </c>
      <c r="AC8" s="14">
        <v>12</v>
      </c>
      <c r="AD8" s="14">
        <v>12</v>
      </c>
      <c r="AE8" s="14">
        <v>12</v>
      </c>
    </row>
    <row r="9" spans="3:31" ht="11.1" customHeight="1">
      <c r="C9" s="179"/>
      <c r="D9" s="8" t="s">
        <v>251</v>
      </c>
      <c r="E9" s="14">
        <v>12</v>
      </c>
      <c r="F9" s="14">
        <v>12</v>
      </c>
      <c r="G9" s="14">
        <v>12</v>
      </c>
      <c r="H9" s="14">
        <v>12</v>
      </c>
      <c r="I9" s="14">
        <v>12</v>
      </c>
      <c r="J9" s="14">
        <v>12</v>
      </c>
      <c r="K9" s="15"/>
      <c r="L9" s="14">
        <v>12</v>
      </c>
      <c r="M9" s="14">
        <v>12</v>
      </c>
      <c r="N9" s="14">
        <v>12</v>
      </c>
      <c r="O9" s="14">
        <v>12</v>
      </c>
      <c r="P9" s="14">
        <v>12</v>
      </c>
      <c r="Q9" s="14">
        <v>12</v>
      </c>
      <c r="R9" s="14">
        <v>12</v>
      </c>
      <c r="S9" s="14">
        <v>12</v>
      </c>
      <c r="T9" s="14">
        <v>12</v>
      </c>
      <c r="U9" s="14">
        <v>12</v>
      </c>
      <c r="V9" s="14">
        <v>12</v>
      </c>
      <c r="W9" s="14">
        <v>12</v>
      </c>
      <c r="X9" s="14">
        <v>12</v>
      </c>
      <c r="Y9" s="14">
        <v>12</v>
      </c>
      <c r="Z9" s="14">
        <v>12</v>
      </c>
      <c r="AA9" s="14">
        <v>12</v>
      </c>
      <c r="AB9" s="14">
        <v>12</v>
      </c>
      <c r="AC9" s="14">
        <v>12</v>
      </c>
      <c r="AD9" s="14">
        <v>12</v>
      </c>
      <c r="AE9" s="14">
        <v>12</v>
      </c>
    </row>
    <row r="10" spans="3:31" ht="11.1" customHeight="1">
      <c r="C10" s="179"/>
      <c r="D10" s="8" t="s">
        <v>252</v>
      </c>
      <c r="E10" s="14">
        <v>12</v>
      </c>
      <c r="F10" s="14">
        <v>12</v>
      </c>
      <c r="G10" s="14">
        <v>12</v>
      </c>
      <c r="H10" s="14">
        <v>12</v>
      </c>
      <c r="I10" s="14">
        <v>12</v>
      </c>
      <c r="J10" s="14">
        <v>12</v>
      </c>
      <c r="K10" s="14">
        <v>12</v>
      </c>
      <c r="L10" s="15"/>
      <c r="M10" s="14">
        <v>12</v>
      </c>
      <c r="N10" s="14">
        <v>12</v>
      </c>
      <c r="O10" s="14">
        <v>12</v>
      </c>
      <c r="P10" s="14">
        <v>12</v>
      </c>
      <c r="Q10" s="14">
        <v>12</v>
      </c>
      <c r="R10" s="14">
        <v>12</v>
      </c>
      <c r="S10" s="14">
        <v>12</v>
      </c>
      <c r="T10" s="14">
        <v>12</v>
      </c>
      <c r="U10" s="14">
        <v>12</v>
      </c>
      <c r="V10" s="14">
        <v>12</v>
      </c>
      <c r="W10" s="14">
        <v>12</v>
      </c>
      <c r="X10" s="14">
        <v>12</v>
      </c>
      <c r="Y10" s="14">
        <v>12</v>
      </c>
      <c r="Z10" s="14">
        <v>12</v>
      </c>
      <c r="AA10" s="14">
        <v>12</v>
      </c>
      <c r="AB10" s="14">
        <v>12</v>
      </c>
      <c r="AC10" s="14">
        <v>12</v>
      </c>
      <c r="AD10" s="14">
        <v>12</v>
      </c>
      <c r="AE10" s="14">
        <v>12</v>
      </c>
    </row>
    <row r="11" spans="3:31" ht="11.1" customHeight="1">
      <c r="C11" s="179"/>
      <c r="D11" s="8" t="s">
        <v>253</v>
      </c>
      <c r="E11" s="14">
        <v>12</v>
      </c>
      <c r="F11" s="14">
        <v>12</v>
      </c>
      <c r="G11" s="14">
        <v>12</v>
      </c>
      <c r="H11" s="16">
        <v>12</v>
      </c>
      <c r="I11" s="14">
        <v>12</v>
      </c>
      <c r="J11" s="14">
        <v>12</v>
      </c>
      <c r="K11" s="14">
        <v>12</v>
      </c>
      <c r="L11" s="14">
        <v>12</v>
      </c>
      <c r="M11" s="15"/>
      <c r="N11" s="14">
        <v>12</v>
      </c>
      <c r="O11" s="14">
        <v>12</v>
      </c>
      <c r="P11" s="14">
        <v>12</v>
      </c>
      <c r="Q11" s="14">
        <v>12</v>
      </c>
      <c r="R11" s="14">
        <v>12</v>
      </c>
      <c r="S11" s="14">
        <v>12</v>
      </c>
      <c r="T11" s="14">
        <v>12</v>
      </c>
      <c r="U11" s="14">
        <v>12</v>
      </c>
      <c r="V11" s="14">
        <v>12</v>
      </c>
      <c r="W11" s="14">
        <v>12</v>
      </c>
      <c r="X11" s="14">
        <v>12</v>
      </c>
      <c r="Y11" s="14">
        <v>12</v>
      </c>
      <c r="Z11" s="14">
        <v>12</v>
      </c>
      <c r="AA11" s="14">
        <v>12</v>
      </c>
      <c r="AB11" s="14">
        <v>12</v>
      </c>
      <c r="AC11" s="14">
        <v>12</v>
      </c>
      <c r="AD11" s="14">
        <v>12</v>
      </c>
      <c r="AE11" s="14">
        <v>12</v>
      </c>
    </row>
    <row r="12" spans="3:31" ht="11.1" customHeight="1">
      <c r="C12" s="179"/>
      <c r="D12" s="8" t="s">
        <v>254</v>
      </c>
      <c r="E12" s="14">
        <v>12</v>
      </c>
      <c r="F12" s="14">
        <v>12</v>
      </c>
      <c r="G12" s="14">
        <v>12</v>
      </c>
      <c r="H12" s="14">
        <v>12</v>
      </c>
      <c r="I12" s="14">
        <v>12</v>
      </c>
      <c r="J12" s="14">
        <v>12</v>
      </c>
      <c r="K12" s="14">
        <v>12</v>
      </c>
      <c r="L12" s="14">
        <v>12</v>
      </c>
      <c r="M12" s="14">
        <v>12</v>
      </c>
      <c r="N12" s="15"/>
      <c r="O12" s="14">
        <v>12</v>
      </c>
      <c r="P12" s="14">
        <v>12</v>
      </c>
      <c r="Q12" s="14">
        <v>12</v>
      </c>
      <c r="R12" s="14">
        <v>12</v>
      </c>
      <c r="S12" s="14">
        <v>12</v>
      </c>
      <c r="T12" s="14">
        <v>12</v>
      </c>
      <c r="U12" s="14">
        <v>12</v>
      </c>
      <c r="V12" s="14">
        <v>12</v>
      </c>
      <c r="W12" s="14">
        <v>12</v>
      </c>
      <c r="X12" s="14">
        <v>12</v>
      </c>
      <c r="Y12" s="14">
        <v>12</v>
      </c>
      <c r="Z12" s="14">
        <v>12</v>
      </c>
      <c r="AA12" s="14">
        <v>12</v>
      </c>
      <c r="AB12" s="14">
        <v>12</v>
      </c>
      <c r="AC12" s="14">
        <v>12</v>
      </c>
      <c r="AD12" s="14">
        <v>12</v>
      </c>
      <c r="AE12" s="14">
        <v>12</v>
      </c>
    </row>
    <row r="13" spans="3:31" ht="11.1" customHeight="1">
      <c r="C13" s="179"/>
      <c r="D13" s="8" t="s">
        <v>255</v>
      </c>
      <c r="E13" s="14">
        <v>12</v>
      </c>
      <c r="F13" s="14">
        <v>12</v>
      </c>
      <c r="G13" s="14">
        <v>12</v>
      </c>
      <c r="H13" s="14">
        <v>12</v>
      </c>
      <c r="I13" s="14">
        <v>12</v>
      </c>
      <c r="J13" s="14">
        <v>12</v>
      </c>
      <c r="K13" s="14">
        <v>12</v>
      </c>
      <c r="L13" s="14">
        <v>12</v>
      </c>
      <c r="M13" s="14">
        <v>12</v>
      </c>
      <c r="N13" s="14">
        <v>12</v>
      </c>
      <c r="O13" s="15"/>
      <c r="P13" s="14">
        <v>12</v>
      </c>
      <c r="Q13" s="14">
        <v>12</v>
      </c>
      <c r="R13" s="14">
        <v>12</v>
      </c>
      <c r="S13" s="14">
        <v>12</v>
      </c>
      <c r="T13" s="14">
        <v>12</v>
      </c>
      <c r="U13" s="14">
        <v>12</v>
      </c>
      <c r="V13" s="14">
        <v>12</v>
      </c>
      <c r="W13" s="14">
        <v>12</v>
      </c>
      <c r="X13" s="14">
        <v>12</v>
      </c>
      <c r="Y13" s="14">
        <v>12</v>
      </c>
      <c r="Z13" s="14">
        <v>12</v>
      </c>
      <c r="AA13" s="14">
        <v>12</v>
      </c>
      <c r="AB13" s="14">
        <v>12</v>
      </c>
      <c r="AC13" s="14">
        <v>12</v>
      </c>
      <c r="AD13" s="14">
        <v>12</v>
      </c>
      <c r="AE13" s="14">
        <v>12</v>
      </c>
    </row>
    <row r="14" spans="3:31" ht="11.1" customHeight="1">
      <c r="C14" s="179"/>
      <c r="D14" s="8" t="s">
        <v>256</v>
      </c>
      <c r="E14" s="14">
        <v>12</v>
      </c>
      <c r="F14" s="14">
        <v>12</v>
      </c>
      <c r="G14" s="14">
        <v>12</v>
      </c>
      <c r="H14" s="14">
        <v>12</v>
      </c>
      <c r="I14" s="14">
        <v>12</v>
      </c>
      <c r="J14" s="14">
        <v>12</v>
      </c>
      <c r="K14" s="14">
        <v>12</v>
      </c>
      <c r="L14" s="14">
        <v>12</v>
      </c>
      <c r="M14" s="14">
        <v>12</v>
      </c>
      <c r="N14" s="14">
        <v>12</v>
      </c>
      <c r="O14" s="14">
        <v>12</v>
      </c>
      <c r="P14" s="15"/>
      <c r="Q14" s="14">
        <v>12</v>
      </c>
      <c r="R14" s="14">
        <v>12</v>
      </c>
      <c r="S14" s="14">
        <v>12</v>
      </c>
      <c r="T14" s="14">
        <v>12</v>
      </c>
      <c r="U14" s="14">
        <v>12</v>
      </c>
      <c r="V14" s="14">
        <v>12</v>
      </c>
      <c r="W14" s="14">
        <v>12</v>
      </c>
      <c r="X14" s="14">
        <v>12</v>
      </c>
      <c r="Y14" s="14">
        <v>12</v>
      </c>
      <c r="Z14" s="14">
        <v>12</v>
      </c>
      <c r="AA14" s="14">
        <v>12</v>
      </c>
      <c r="AB14" s="14">
        <v>12</v>
      </c>
      <c r="AC14" s="14">
        <v>12</v>
      </c>
      <c r="AD14" s="14">
        <v>12</v>
      </c>
      <c r="AE14" s="14">
        <v>12</v>
      </c>
    </row>
    <row r="15" spans="3:31" ht="11.1" customHeight="1">
      <c r="C15" s="179"/>
      <c r="D15" s="8" t="s">
        <v>257</v>
      </c>
      <c r="E15" s="14">
        <v>7</v>
      </c>
      <c r="F15" s="14">
        <v>7</v>
      </c>
      <c r="G15" s="14">
        <v>7</v>
      </c>
      <c r="H15" s="14">
        <v>7</v>
      </c>
      <c r="I15" s="14">
        <v>7</v>
      </c>
      <c r="J15" s="14">
        <v>7</v>
      </c>
      <c r="K15" s="14">
        <v>7</v>
      </c>
      <c r="L15" s="14">
        <v>7</v>
      </c>
      <c r="M15" s="14">
        <v>7</v>
      </c>
      <c r="N15" s="14">
        <v>7</v>
      </c>
      <c r="O15" s="14">
        <v>7</v>
      </c>
      <c r="P15" s="14">
        <v>7</v>
      </c>
      <c r="Q15" s="15"/>
      <c r="R15" s="14">
        <v>7</v>
      </c>
      <c r="S15" s="14">
        <v>7</v>
      </c>
      <c r="T15" s="14">
        <v>12</v>
      </c>
      <c r="U15" s="14">
        <v>7</v>
      </c>
      <c r="V15" s="14">
        <v>7</v>
      </c>
      <c r="W15" s="14">
        <v>7</v>
      </c>
      <c r="X15" s="14">
        <v>12</v>
      </c>
      <c r="Y15" s="14">
        <v>12</v>
      </c>
      <c r="Z15" s="14">
        <v>7</v>
      </c>
      <c r="AA15" s="14">
        <v>7</v>
      </c>
      <c r="AB15" s="14">
        <v>12</v>
      </c>
      <c r="AC15" s="14">
        <v>12</v>
      </c>
      <c r="AD15" s="14">
        <v>7</v>
      </c>
      <c r="AE15" s="14">
        <v>7</v>
      </c>
    </row>
    <row r="16" spans="3:31" ht="11.1" customHeight="1">
      <c r="C16" s="179"/>
      <c r="D16" s="8" t="s">
        <v>258</v>
      </c>
      <c r="E16" s="14">
        <v>12</v>
      </c>
      <c r="F16" s="14">
        <v>12</v>
      </c>
      <c r="G16" s="14">
        <v>12</v>
      </c>
      <c r="H16" s="14">
        <v>12</v>
      </c>
      <c r="I16" s="14">
        <v>12</v>
      </c>
      <c r="J16" s="14">
        <v>12</v>
      </c>
      <c r="K16" s="14">
        <v>12</v>
      </c>
      <c r="L16" s="14">
        <v>12</v>
      </c>
      <c r="M16" s="14">
        <v>12</v>
      </c>
      <c r="N16" s="14">
        <v>12</v>
      </c>
      <c r="O16" s="14">
        <v>12</v>
      </c>
      <c r="P16" s="14">
        <v>12</v>
      </c>
      <c r="Q16" s="14">
        <v>12</v>
      </c>
      <c r="R16" s="15"/>
      <c r="S16" s="14">
        <v>12</v>
      </c>
      <c r="T16" s="14">
        <v>12</v>
      </c>
      <c r="U16" s="14">
        <v>12</v>
      </c>
      <c r="V16" s="14">
        <v>12</v>
      </c>
      <c r="W16" s="14">
        <v>12</v>
      </c>
      <c r="X16" s="14">
        <v>12</v>
      </c>
      <c r="Y16" s="14">
        <v>12</v>
      </c>
      <c r="Z16" s="14">
        <v>12</v>
      </c>
      <c r="AA16" s="14">
        <v>12</v>
      </c>
      <c r="AB16" s="14">
        <v>12</v>
      </c>
      <c r="AC16" s="14">
        <v>12</v>
      </c>
      <c r="AD16" s="14">
        <v>12</v>
      </c>
      <c r="AE16" s="14">
        <v>12</v>
      </c>
    </row>
    <row r="17" spans="3:31" ht="11.1" customHeight="1">
      <c r="C17" s="179"/>
      <c r="D17" s="8" t="s">
        <v>259</v>
      </c>
      <c r="E17" s="14">
        <v>12</v>
      </c>
      <c r="F17" s="14">
        <v>12</v>
      </c>
      <c r="G17" s="14">
        <v>12</v>
      </c>
      <c r="H17" s="14">
        <v>12</v>
      </c>
      <c r="I17" s="14">
        <v>12</v>
      </c>
      <c r="J17" s="14">
        <v>12</v>
      </c>
      <c r="K17" s="14">
        <v>12</v>
      </c>
      <c r="L17" s="14">
        <v>12</v>
      </c>
      <c r="M17" s="14">
        <v>12</v>
      </c>
      <c r="N17" s="14">
        <v>12</v>
      </c>
      <c r="O17" s="14">
        <v>12</v>
      </c>
      <c r="P17" s="14">
        <v>12</v>
      </c>
      <c r="Q17" s="14">
        <v>12</v>
      </c>
      <c r="R17" s="14">
        <v>12</v>
      </c>
      <c r="S17" s="15"/>
      <c r="T17" s="14">
        <v>12</v>
      </c>
      <c r="U17" s="14">
        <v>12</v>
      </c>
      <c r="V17" s="14">
        <v>12</v>
      </c>
      <c r="W17" s="14">
        <v>12</v>
      </c>
      <c r="X17" s="14">
        <v>12</v>
      </c>
      <c r="Y17" s="14">
        <v>12</v>
      </c>
      <c r="Z17" s="14">
        <v>12</v>
      </c>
      <c r="AA17" s="14">
        <v>12</v>
      </c>
      <c r="AB17" s="14">
        <v>12</v>
      </c>
      <c r="AC17" s="14">
        <v>12</v>
      </c>
      <c r="AD17" s="14">
        <v>12</v>
      </c>
      <c r="AE17" s="14">
        <v>12</v>
      </c>
    </row>
    <row r="18" spans="3:31" ht="11.1" customHeight="1">
      <c r="C18" s="179"/>
      <c r="D18" s="8" t="s">
        <v>260</v>
      </c>
      <c r="E18" s="14">
        <v>7</v>
      </c>
      <c r="F18" s="14">
        <v>7</v>
      </c>
      <c r="G18" s="14">
        <v>7</v>
      </c>
      <c r="H18" s="14">
        <v>7</v>
      </c>
      <c r="I18" s="14">
        <v>7</v>
      </c>
      <c r="J18" s="14">
        <v>7</v>
      </c>
      <c r="K18" s="14">
        <v>7</v>
      </c>
      <c r="L18" s="14">
        <v>7</v>
      </c>
      <c r="M18" s="14">
        <v>7</v>
      </c>
      <c r="N18" s="14">
        <v>7</v>
      </c>
      <c r="O18" s="14">
        <v>7</v>
      </c>
      <c r="P18" s="14">
        <v>7</v>
      </c>
      <c r="Q18" s="14">
        <v>12</v>
      </c>
      <c r="R18" s="14">
        <v>7</v>
      </c>
      <c r="S18" s="14">
        <v>7</v>
      </c>
      <c r="T18" s="15"/>
      <c r="U18" s="14">
        <v>7</v>
      </c>
      <c r="V18" s="14">
        <v>7</v>
      </c>
      <c r="W18" s="14">
        <v>7</v>
      </c>
      <c r="X18" s="14">
        <v>12</v>
      </c>
      <c r="Y18" s="14">
        <v>12</v>
      </c>
      <c r="Z18" s="14">
        <v>7</v>
      </c>
      <c r="AA18" s="14">
        <v>7</v>
      </c>
      <c r="AB18" s="14">
        <v>12</v>
      </c>
      <c r="AC18" s="14">
        <v>12</v>
      </c>
      <c r="AD18" s="14">
        <v>7</v>
      </c>
      <c r="AE18" s="14">
        <v>7</v>
      </c>
    </row>
    <row r="19" spans="3:31" ht="11.1" customHeight="1">
      <c r="C19" s="179"/>
      <c r="D19" s="8" t="s">
        <v>261</v>
      </c>
      <c r="E19" s="14">
        <v>12</v>
      </c>
      <c r="F19" s="14">
        <v>12</v>
      </c>
      <c r="G19" s="14">
        <v>12</v>
      </c>
      <c r="H19" s="14">
        <v>12</v>
      </c>
      <c r="I19" s="14">
        <v>12</v>
      </c>
      <c r="J19" s="14">
        <v>12</v>
      </c>
      <c r="K19" s="14">
        <v>12</v>
      </c>
      <c r="L19" s="14">
        <v>12</v>
      </c>
      <c r="M19" s="14">
        <v>12</v>
      </c>
      <c r="N19" s="14">
        <v>12</v>
      </c>
      <c r="O19" s="14">
        <v>12</v>
      </c>
      <c r="P19" s="14">
        <v>12</v>
      </c>
      <c r="Q19" s="14">
        <v>12</v>
      </c>
      <c r="R19" s="14">
        <v>12</v>
      </c>
      <c r="S19" s="14">
        <v>12</v>
      </c>
      <c r="T19" s="14">
        <v>12</v>
      </c>
      <c r="U19" s="15"/>
      <c r="V19" s="14">
        <v>12</v>
      </c>
      <c r="W19" s="14">
        <v>12</v>
      </c>
      <c r="X19" s="14">
        <v>12</v>
      </c>
      <c r="Y19" s="14">
        <v>12</v>
      </c>
      <c r="Z19" s="14">
        <v>12</v>
      </c>
      <c r="AA19" s="14">
        <v>12</v>
      </c>
      <c r="AB19" s="14">
        <v>12</v>
      </c>
      <c r="AC19" s="14">
        <v>12</v>
      </c>
      <c r="AD19" s="14">
        <v>12</v>
      </c>
      <c r="AE19" s="14">
        <v>12</v>
      </c>
    </row>
    <row r="20" spans="3:31" ht="11.1" customHeight="1">
      <c r="C20" s="179"/>
      <c r="D20" s="8" t="s">
        <v>262</v>
      </c>
      <c r="E20" s="14">
        <v>12</v>
      </c>
      <c r="F20" s="14">
        <v>12</v>
      </c>
      <c r="G20" s="14">
        <v>12</v>
      </c>
      <c r="H20" s="14">
        <v>12</v>
      </c>
      <c r="I20" s="14">
        <v>12</v>
      </c>
      <c r="J20" s="14">
        <v>12</v>
      </c>
      <c r="K20" s="14">
        <v>12</v>
      </c>
      <c r="L20" s="14">
        <v>12</v>
      </c>
      <c r="M20" s="14">
        <v>12</v>
      </c>
      <c r="N20" s="14">
        <v>12</v>
      </c>
      <c r="O20" s="14">
        <v>12</v>
      </c>
      <c r="P20" s="14">
        <v>12</v>
      </c>
      <c r="Q20" s="14">
        <v>12</v>
      </c>
      <c r="R20" s="14">
        <v>12</v>
      </c>
      <c r="S20" s="14">
        <v>12</v>
      </c>
      <c r="T20" s="14">
        <v>12</v>
      </c>
      <c r="U20" s="14">
        <v>12</v>
      </c>
      <c r="V20" s="15"/>
      <c r="W20" s="14">
        <v>12</v>
      </c>
      <c r="X20" s="14">
        <v>12</v>
      </c>
      <c r="Y20" s="14">
        <v>12</v>
      </c>
      <c r="Z20" s="14">
        <v>12</v>
      </c>
      <c r="AA20" s="14">
        <v>12</v>
      </c>
      <c r="AB20" s="14">
        <v>12</v>
      </c>
      <c r="AC20" s="14">
        <v>12</v>
      </c>
      <c r="AD20" s="14">
        <v>12</v>
      </c>
      <c r="AE20" s="14">
        <v>12</v>
      </c>
    </row>
    <row r="21" spans="3:31" ht="11.1" customHeight="1">
      <c r="C21" s="179"/>
      <c r="D21" s="8" t="s">
        <v>263</v>
      </c>
      <c r="E21" s="14">
        <v>12</v>
      </c>
      <c r="F21" s="14">
        <v>12</v>
      </c>
      <c r="G21" s="14">
        <v>12</v>
      </c>
      <c r="H21" s="14">
        <v>12</v>
      </c>
      <c r="I21" s="14">
        <v>12</v>
      </c>
      <c r="J21" s="14">
        <v>12</v>
      </c>
      <c r="K21" s="14">
        <v>12</v>
      </c>
      <c r="L21" s="14">
        <v>12</v>
      </c>
      <c r="M21" s="14">
        <v>12</v>
      </c>
      <c r="N21" s="14">
        <v>12</v>
      </c>
      <c r="O21" s="14">
        <v>12</v>
      </c>
      <c r="P21" s="14">
        <v>12</v>
      </c>
      <c r="Q21" s="14">
        <v>12</v>
      </c>
      <c r="R21" s="14">
        <v>12</v>
      </c>
      <c r="S21" s="14">
        <v>12</v>
      </c>
      <c r="T21" s="14">
        <v>12</v>
      </c>
      <c r="U21" s="14">
        <v>12</v>
      </c>
      <c r="V21" s="14">
        <v>12</v>
      </c>
      <c r="W21" s="15"/>
      <c r="X21" s="14">
        <v>12</v>
      </c>
      <c r="Y21" s="14">
        <v>12</v>
      </c>
      <c r="Z21" s="14">
        <v>12</v>
      </c>
      <c r="AA21" s="14">
        <v>12</v>
      </c>
      <c r="AB21" s="14">
        <v>12</v>
      </c>
      <c r="AC21" s="14">
        <v>12</v>
      </c>
      <c r="AD21" s="14">
        <v>12</v>
      </c>
      <c r="AE21" s="14">
        <v>12</v>
      </c>
    </row>
    <row r="22" spans="3:31" ht="11.1" customHeight="1">
      <c r="C22" s="179"/>
      <c r="D22" s="8" t="s">
        <v>264</v>
      </c>
      <c r="E22" s="14">
        <v>7</v>
      </c>
      <c r="F22" s="14">
        <v>7</v>
      </c>
      <c r="G22" s="14">
        <v>7</v>
      </c>
      <c r="H22" s="14">
        <v>7</v>
      </c>
      <c r="I22" s="14">
        <v>7</v>
      </c>
      <c r="J22" s="14">
        <v>7</v>
      </c>
      <c r="K22" s="14">
        <v>7</v>
      </c>
      <c r="L22" s="14">
        <v>7</v>
      </c>
      <c r="M22" s="14">
        <v>7</v>
      </c>
      <c r="N22" s="14">
        <v>7</v>
      </c>
      <c r="O22" s="14">
        <v>7</v>
      </c>
      <c r="P22" s="14">
        <v>7</v>
      </c>
      <c r="Q22" s="14">
        <v>12</v>
      </c>
      <c r="R22" s="14">
        <v>7</v>
      </c>
      <c r="S22" s="14">
        <v>7</v>
      </c>
      <c r="T22" s="14">
        <v>12</v>
      </c>
      <c r="U22" s="14">
        <v>7</v>
      </c>
      <c r="V22" s="14">
        <v>7</v>
      </c>
      <c r="W22" s="14">
        <v>7</v>
      </c>
      <c r="X22" s="15"/>
      <c r="Y22" s="14">
        <v>12</v>
      </c>
      <c r="Z22" s="14">
        <v>7</v>
      </c>
      <c r="AA22" s="14">
        <v>7</v>
      </c>
      <c r="AB22" s="14">
        <v>12</v>
      </c>
      <c r="AC22" s="14">
        <v>12</v>
      </c>
      <c r="AD22" s="14">
        <v>7</v>
      </c>
      <c r="AE22" s="14">
        <v>7</v>
      </c>
    </row>
    <row r="23" spans="3:31" ht="11.1" customHeight="1">
      <c r="C23" s="179"/>
      <c r="D23" s="8" t="s">
        <v>265</v>
      </c>
      <c r="E23" s="14">
        <v>7</v>
      </c>
      <c r="F23" s="14">
        <v>7</v>
      </c>
      <c r="G23" s="14">
        <v>7</v>
      </c>
      <c r="H23" s="14">
        <v>7</v>
      </c>
      <c r="I23" s="14">
        <v>7</v>
      </c>
      <c r="J23" s="14">
        <v>7</v>
      </c>
      <c r="K23" s="14">
        <v>7</v>
      </c>
      <c r="L23" s="14">
        <v>7</v>
      </c>
      <c r="M23" s="14">
        <v>7</v>
      </c>
      <c r="N23" s="14">
        <v>7</v>
      </c>
      <c r="O23" s="14">
        <v>7</v>
      </c>
      <c r="P23" s="14">
        <v>7</v>
      </c>
      <c r="Q23" s="14">
        <v>12</v>
      </c>
      <c r="R23" s="14">
        <v>7</v>
      </c>
      <c r="S23" s="14">
        <v>7</v>
      </c>
      <c r="T23" s="14">
        <v>12</v>
      </c>
      <c r="U23" s="14">
        <v>7</v>
      </c>
      <c r="V23" s="14">
        <v>7</v>
      </c>
      <c r="W23" s="14">
        <v>7</v>
      </c>
      <c r="X23" s="14">
        <v>12</v>
      </c>
      <c r="Y23" s="15"/>
      <c r="Z23" s="14">
        <v>7</v>
      </c>
      <c r="AA23" s="14">
        <v>7</v>
      </c>
      <c r="AB23" s="14">
        <v>12</v>
      </c>
      <c r="AC23" s="14">
        <v>12</v>
      </c>
      <c r="AD23" s="14">
        <v>7</v>
      </c>
      <c r="AE23" s="14">
        <v>7</v>
      </c>
    </row>
    <row r="24" spans="3:31" ht="11.1" customHeight="1">
      <c r="C24" s="179"/>
      <c r="D24" s="8" t="s">
        <v>266</v>
      </c>
      <c r="E24" s="14">
        <v>12</v>
      </c>
      <c r="F24" s="14">
        <v>12</v>
      </c>
      <c r="G24" s="14">
        <v>12</v>
      </c>
      <c r="H24" s="14">
        <v>12</v>
      </c>
      <c r="I24" s="14">
        <v>12</v>
      </c>
      <c r="J24" s="14">
        <v>12</v>
      </c>
      <c r="K24" s="14">
        <v>12</v>
      </c>
      <c r="L24" s="14">
        <v>12</v>
      </c>
      <c r="M24" s="14">
        <v>12</v>
      </c>
      <c r="N24" s="14">
        <v>12</v>
      </c>
      <c r="O24" s="14">
        <v>12</v>
      </c>
      <c r="P24" s="14">
        <v>12</v>
      </c>
      <c r="Q24" s="14">
        <v>12</v>
      </c>
      <c r="R24" s="14">
        <v>12</v>
      </c>
      <c r="S24" s="14">
        <v>12</v>
      </c>
      <c r="T24" s="14">
        <v>12</v>
      </c>
      <c r="U24" s="14">
        <v>12</v>
      </c>
      <c r="V24" s="14">
        <v>12</v>
      </c>
      <c r="W24" s="14">
        <v>12</v>
      </c>
      <c r="X24" s="14">
        <v>12</v>
      </c>
      <c r="Y24" s="14">
        <v>12</v>
      </c>
      <c r="Z24" s="15"/>
      <c r="AA24" s="14">
        <v>12</v>
      </c>
      <c r="AB24" s="14">
        <v>12</v>
      </c>
      <c r="AC24" s="14">
        <v>12</v>
      </c>
      <c r="AD24" s="14">
        <v>12</v>
      </c>
      <c r="AE24" s="14">
        <v>12</v>
      </c>
    </row>
    <row r="25" spans="3:31" ht="11.1" customHeight="1">
      <c r="C25" s="179"/>
      <c r="D25" s="8" t="s">
        <v>267</v>
      </c>
      <c r="E25" s="14">
        <v>12</v>
      </c>
      <c r="F25" s="14">
        <v>12</v>
      </c>
      <c r="G25" s="14">
        <v>12</v>
      </c>
      <c r="H25" s="14">
        <v>12</v>
      </c>
      <c r="I25" s="14">
        <v>12</v>
      </c>
      <c r="J25" s="14">
        <v>12</v>
      </c>
      <c r="K25" s="14">
        <v>12</v>
      </c>
      <c r="L25" s="14">
        <v>12</v>
      </c>
      <c r="M25" s="14">
        <v>12</v>
      </c>
      <c r="N25" s="14">
        <v>12</v>
      </c>
      <c r="O25" s="14">
        <v>12</v>
      </c>
      <c r="P25" s="14">
        <v>12</v>
      </c>
      <c r="Q25" s="14">
        <v>12</v>
      </c>
      <c r="R25" s="14">
        <v>12</v>
      </c>
      <c r="S25" s="14">
        <v>12</v>
      </c>
      <c r="T25" s="14">
        <v>12</v>
      </c>
      <c r="U25" s="14">
        <v>12</v>
      </c>
      <c r="V25" s="14">
        <v>12</v>
      </c>
      <c r="W25" s="14">
        <v>12</v>
      </c>
      <c r="X25" s="14">
        <v>12</v>
      </c>
      <c r="Y25" s="14">
        <v>12</v>
      </c>
      <c r="Z25" s="14">
        <v>12</v>
      </c>
      <c r="AA25" s="15"/>
      <c r="AB25" s="14">
        <v>12</v>
      </c>
      <c r="AC25" s="14">
        <v>12</v>
      </c>
      <c r="AD25" s="14">
        <v>12</v>
      </c>
      <c r="AE25" s="14">
        <v>12</v>
      </c>
    </row>
    <row r="26" spans="3:31" ht="11.1" customHeight="1">
      <c r="C26" s="179"/>
      <c r="D26" s="8" t="s">
        <v>213</v>
      </c>
      <c r="E26" s="14">
        <v>7</v>
      </c>
      <c r="F26" s="14">
        <v>7</v>
      </c>
      <c r="G26" s="14">
        <v>7</v>
      </c>
      <c r="H26" s="14">
        <v>7</v>
      </c>
      <c r="I26" s="14">
        <v>7</v>
      </c>
      <c r="J26" s="14">
        <v>7</v>
      </c>
      <c r="K26" s="14">
        <v>7</v>
      </c>
      <c r="L26" s="14">
        <v>7</v>
      </c>
      <c r="M26" s="14">
        <v>7</v>
      </c>
      <c r="N26" s="14">
        <v>7</v>
      </c>
      <c r="O26" s="14">
        <v>7</v>
      </c>
      <c r="P26" s="14">
        <v>7</v>
      </c>
      <c r="Q26" s="14">
        <v>12</v>
      </c>
      <c r="R26" s="14">
        <v>7</v>
      </c>
      <c r="S26" s="14">
        <v>7</v>
      </c>
      <c r="T26" s="14">
        <v>12</v>
      </c>
      <c r="U26" s="14">
        <v>7</v>
      </c>
      <c r="V26" s="14">
        <v>7</v>
      </c>
      <c r="W26" s="14">
        <v>7</v>
      </c>
      <c r="X26" s="14">
        <v>12</v>
      </c>
      <c r="Y26" s="14">
        <v>12</v>
      </c>
      <c r="Z26" s="14">
        <v>7</v>
      </c>
      <c r="AA26" s="14">
        <v>7</v>
      </c>
      <c r="AB26" s="15"/>
      <c r="AC26" s="14">
        <v>12</v>
      </c>
      <c r="AD26" s="14">
        <v>7</v>
      </c>
      <c r="AE26" s="14">
        <v>7</v>
      </c>
    </row>
    <row r="27" spans="3:31" ht="11.1" customHeight="1">
      <c r="C27" s="179"/>
      <c r="D27" s="8" t="s">
        <v>212</v>
      </c>
      <c r="E27" s="14">
        <v>7</v>
      </c>
      <c r="F27" s="14">
        <v>7</v>
      </c>
      <c r="G27" s="14">
        <v>7</v>
      </c>
      <c r="H27" s="14">
        <v>7</v>
      </c>
      <c r="I27" s="14">
        <v>7</v>
      </c>
      <c r="J27" s="14">
        <v>7</v>
      </c>
      <c r="K27" s="14">
        <v>7</v>
      </c>
      <c r="L27" s="14">
        <v>7</v>
      </c>
      <c r="M27" s="14">
        <v>7</v>
      </c>
      <c r="N27" s="14">
        <v>7</v>
      </c>
      <c r="O27" s="14">
        <v>7</v>
      </c>
      <c r="P27" s="14">
        <v>7</v>
      </c>
      <c r="Q27" s="14">
        <v>12</v>
      </c>
      <c r="R27" s="14">
        <v>7</v>
      </c>
      <c r="S27" s="14">
        <v>7</v>
      </c>
      <c r="T27" s="14">
        <v>12</v>
      </c>
      <c r="U27" s="14">
        <v>7</v>
      </c>
      <c r="V27" s="14">
        <v>7</v>
      </c>
      <c r="W27" s="14">
        <v>7</v>
      </c>
      <c r="X27" s="14">
        <v>12</v>
      </c>
      <c r="Y27" s="14">
        <v>12</v>
      </c>
      <c r="Z27" s="14">
        <v>7</v>
      </c>
      <c r="AA27" s="14">
        <v>7</v>
      </c>
      <c r="AB27" s="14">
        <v>12</v>
      </c>
      <c r="AC27" s="15"/>
      <c r="AD27" s="14">
        <v>7</v>
      </c>
      <c r="AE27" s="14">
        <v>7</v>
      </c>
    </row>
    <row r="28" spans="3:31" ht="11.1" customHeight="1">
      <c r="C28" s="179"/>
      <c r="D28" s="8" t="s">
        <v>268</v>
      </c>
      <c r="E28" s="14">
        <v>12</v>
      </c>
      <c r="F28" s="14">
        <v>12</v>
      </c>
      <c r="G28" s="14">
        <v>12</v>
      </c>
      <c r="H28" s="14">
        <v>12</v>
      </c>
      <c r="I28" s="14">
        <v>12</v>
      </c>
      <c r="J28" s="14">
        <v>12</v>
      </c>
      <c r="K28" s="14">
        <v>12</v>
      </c>
      <c r="L28" s="14">
        <v>12</v>
      </c>
      <c r="M28" s="14">
        <v>12</v>
      </c>
      <c r="N28" s="14">
        <v>12</v>
      </c>
      <c r="O28" s="14">
        <v>12</v>
      </c>
      <c r="P28" s="14">
        <v>12</v>
      </c>
      <c r="Q28" s="14">
        <v>12</v>
      </c>
      <c r="R28" s="14">
        <v>12</v>
      </c>
      <c r="S28" s="14">
        <v>12</v>
      </c>
      <c r="T28" s="14">
        <v>12</v>
      </c>
      <c r="U28" s="14">
        <v>12</v>
      </c>
      <c r="V28" s="14">
        <v>12</v>
      </c>
      <c r="W28" s="14">
        <v>12</v>
      </c>
      <c r="X28" s="14">
        <v>12</v>
      </c>
      <c r="Y28" s="14">
        <v>12</v>
      </c>
      <c r="Z28" s="14">
        <v>12</v>
      </c>
      <c r="AA28" s="14">
        <v>12</v>
      </c>
      <c r="AB28" s="14">
        <v>12</v>
      </c>
      <c r="AC28" s="14">
        <v>12</v>
      </c>
      <c r="AD28" s="15"/>
      <c r="AE28" s="14">
        <v>12</v>
      </c>
    </row>
    <row r="29" spans="3:31" ht="11.1" customHeight="1">
      <c r="C29" s="179"/>
      <c r="D29" s="9" t="s">
        <v>269</v>
      </c>
      <c r="E29" s="17">
        <v>12</v>
      </c>
      <c r="F29" s="17">
        <v>12</v>
      </c>
      <c r="G29" s="17">
        <v>12</v>
      </c>
      <c r="H29" s="17">
        <v>12</v>
      </c>
      <c r="I29" s="17">
        <v>12</v>
      </c>
      <c r="J29" s="17">
        <v>12</v>
      </c>
      <c r="K29" s="17">
        <v>12</v>
      </c>
      <c r="L29" s="17">
        <v>12</v>
      </c>
      <c r="M29" s="17">
        <v>12</v>
      </c>
      <c r="N29" s="17">
        <v>12</v>
      </c>
      <c r="O29" s="17">
        <v>12</v>
      </c>
      <c r="P29" s="17">
        <v>12</v>
      </c>
      <c r="Q29" s="17">
        <v>12</v>
      </c>
      <c r="R29" s="17">
        <v>12</v>
      </c>
      <c r="S29" s="17">
        <v>12</v>
      </c>
      <c r="T29" s="17">
        <v>12</v>
      </c>
      <c r="U29" s="17">
        <v>12</v>
      </c>
      <c r="V29" s="17">
        <v>12</v>
      </c>
      <c r="W29" s="17">
        <v>12</v>
      </c>
      <c r="X29" s="17">
        <v>12</v>
      </c>
      <c r="Y29" s="17">
        <v>12</v>
      </c>
      <c r="Z29" s="17">
        <v>12</v>
      </c>
      <c r="AA29" s="17">
        <v>12</v>
      </c>
      <c r="AB29" s="17">
        <v>12</v>
      </c>
      <c r="AC29" s="17">
        <v>12</v>
      </c>
      <c r="AD29" s="17">
        <v>12</v>
      </c>
      <c r="AE29" s="18"/>
    </row>
    <row r="30" spans="3:31" ht="24.95" customHeight="1">
      <c r="C30" s="20"/>
      <c r="D30" s="182"/>
      <c r="E30" s="182"/>
      <c r="F30" s="182"/>
      <c r="G30" s="183" t="s">
        <v>24</v>
      </c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35"/>
      <c r="T30" s="184" t="s">
        <v>30</v>
      </c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5"/>
    </row>
  </sheetData>
  <sheetProtection password="C71F" sheet="1" objects="1" scenarios="1"/>
  <mergeCells count="5">
    <mergeCell ref="C2:C29"/>
    <mergeCell ref="D1:AE1"/>
    <mergeCell ref="D30:F30"/>
    <mergeCell ref="G30:R30"/>
    <mergeCell ref="T30:AE30"/>
  </mergeCells>
  <hyperlinks>
    <hyperlink ref="G30:R30" location="'CALCULO S.T.(MVA)'!A1" display="← ICMS-ST e MVA AJUSTADO"/>
    <hyperlink ref="T30:AE30" location="'DIF DE ALQ'!A1" display="← DIFERENCIAL DE ALÍQUOTA"/>
  </hyperlinks>
  <pageMargins left="0.51181102362204722" right="0.51181102362204722" top="0.78740157480314965" bottom="0.78740157480314965" header="0.31496062992125984" footer="0.31496062992125984"/>
  <pageSetup orientation="landscape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B303"/>
  <sheetViews>
    <sheetView view="pageBreakPreview" zoomScaleNormal="100" zoomScaleSheetLayoutView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sqref="A1:B3"/>
    </sheetView>
  </sheetViews>
  <sheetFormatPr defaultColWidth="10.42578125" defaultRowHeight="15"/>
  <cols>
    <col min="1" max="1" width="6.28515625" style="5" bestFit="1" customWidth="1"/>
    <col min="2" max="2" width="125.28515625" style="6" customWidth="1"/>
    <col min="3" max="16384" width="10.42578125" style="5"/>
  </cols>
  <sheetData>
    <row r="1" spans="1:2">
      <c r="A1" s="189" t="s">
        <v>45</v>
      </c>
      <c r="B1" s="189"/>
    </row>
    <row r="2" spans="1:2">
      <c r="A2" s="189"/>
      <c r="B2" s="189"/>
    </row>
    <row r="3" spans="1:2" ht="15.75" customHeight="1">
      <c r="A3" s="189"/>
      <c r="B3" s="189"/>
    </row>
    <row r="4" spans="1:2" ht="15.75" thickBot="1">
      <c r="A4" s="43" t="s">
        <v>46</v>
      </c>
      <c r="B4" s="44" t="s">
        <v>47</v>
      </c>
    </row>
    <row r="5" spans="1:2" ht="26.25" thickBot="1">
      <c r="A5" s="190">
        <v>0.25</v>
      </c>
      <c r="B5" s="45" t="s">
        <v>48</v>
      </c>
    </row>
    <row r="6" spans="1:2">
      <c r="A6" s="191"/>
      <c r="B6" s="46" t="s">
        <v>49</v>
      </c>
    </row>
    <row r="7" spans="1:2">
      <c r="A7" s="191"/>
      <c r="B7" s="47"/>
    </row>
    <row r="8" spans="1:2">
      <c r="A8" s="191"/>
      <c r="B8" s="46" t="s">
        <v>50</v>
      </c>
    </row>
    <row r="9" spans="1:2">
      <c r="A9" s="191"/>
      <c r="B9" s="47"/>
    </row>
    <row r="10" spans="1:2">
      <c r="A10" s="191"/>
      <c r="B10" s="46" t="s">
        <v>51</v>
      </c>
    </row>
    <row r="11" spans="1:2">
      <c r="A11" s="191"/>
      <c r="B11" s="47"/>
    </row>
    <row r="12" spans="1:2" ht="25.5">
      <c r="A12" s="191"/>
      <c r="B12" s="46" t="s">
        <v>52</v>
      </c>
    </row>
    <row r="13" spans="1:2">
      <c r="A13" s="191"/>
      <c r="B13" s="47"/>
    </row>
    <row r="14" spans="1:2">
      <c r="A14" s="191"/>
      <c r="B14" s="46" t="s">
        <v>53</v>
      </c>
    </row>
    <row r="15" spans="1:2">
      <c r="A15" s="191"/>
      <c r="B15" s="47"/>
    </row>
    <row r="16" spans="1:2">
      <c r="A16" s="191"/>
      <c r="B16" s="46" t="s">
        <v>54</v>
      </c>
    </row>
    <row r="17" spans="1:2">
      <c r="A17" s="191"/>
      <c r="B17" s="47"/>
    </row>
    <row r="18" spans="1:2">
      <c r="A18" s="191"/>
      <c r="B18" s="46" t="s">
        <v>55</v>
      </c>
    </row>
    <row r="19" spans="1:2">
      <c r="A19" s="191"/>
      <c r="B19" s="47"/>
    </row>
    <row r="20" spans="1:2">
      <c r="A20" s="191"/>
      <c r="B20" s="46" t="s">
        <v>56</v>
      </c>
    </row>
    <row r="21" spans="1:2">
      <c r="A21" s="191"/>
      <c r="B21" s="47"/>
    </row>
    <row r="22" spans="1:2">
      <c r="A22" s="191"/>
      <c r="B22" s="46" t="s">
        <v>57</v>
      </c>
    </row>
    <row r="23" spans="1:2">
      <c r="A23" s="191"/>
      <c r="B23" s="47"/>
    </row>
    <row r="24" spans="1:2">
      <c r="A24" s="191"/>
      <c r="B24" s="46" t="s">
        <v>58</v>
      </c>
    </row>
    <row r="25" spans="1:2">
      <c r="A25" s="191"/>
      <c r="B25" s="47"/>
    </row>
    <row r="26" spans="1:2">
      <c r="A26" s="191"/>
      <c r="B26" s="46" t="s">
        <v>59</v>
      </c>
    </row>
    <row r="27" spans="1:2">
      <c r="A27" s="191"/>
      <c r="B27" s="47"/>
    </row>
    <row r="28" spans="1:2">
      <c r="A28" s="191"/>
      <c r="B28" s="46" t="s">
        <v>60</v>
      </c>
    </row>
    <row r="29" spans="1:2">
      <c r="A29" s="191"/>
      <c r="B29" s="47"/>
    </row>
    <row r="30" spans="1:2">
      <c r="A30" s="191"/>
      <c r="B30" s="46" t="s">
        <v>61</v>
      </c>
    </row>
    <row r="31" spans="1:2">
      <c r="A31" s="191"/>
      <c r="B31" s="47"/>
    </row>
    <row r="32" spans="1:2">
      <c r="A32" s="191"/>
      <c r="B32" s="46" t="s">
        <v>62</v>
      </c>
    </row>
    <row r="33" spans="1:2">
      <c r="A33" s="191"/>
      <c r="B33" s="47"/>
    </row>
    <row r="34" spans="1:2">
      <c r="A34" s="191"/>
      <c r="B34" s="46" t="s">
        <v>63</v>
      </c>
    </row>
    <row r="35" spans="1:2">
      <c r="A35" s="191"/>
      <c r="B35" s="47"/>
    </row>
    <row r="36" spans="1:2">
      <c r="A36" s="191"/>
      <c r="B36" s="46" t="s">
        <v>64</v>
      </c>
    </row>
    <row r="37" spans="1:2">
      <c r="A37" s="191"/>
      <c r="B37" s="47"/>
    </row>
    <row r="38" spans="1:2">
      <c r="A38" s="191"/>
      <c r="B38" s="46" t="s">
        <v>65</v>
      </c>
    </row>
    <row r="39" spans="1:2">
      <c r="A39" s="191"/>
      <c r="B39" s="47"/>
    </row>
    <row r="40" spans="1:2">
      <c r="A40" s="191"/>
      <c r="B40" s="46" t="s">
        <v>66</v>
      </c>
    </row>
    <row r="41" spans="1:2">
      <c r="A41" s="191"/>
      <c r="B41" s="47"/>
    </row>
    <row r="42" spans="1:2">
      <c r="A42" s="191"/>
      <c r="B42" s="46" t="s">
        <v>67</v>
      </c>
    </row>
    <row r="43" spans="1:2">
      <c r="A43" s="191"/>
      <c r="B43" s="47"/>
    </row>
    <row r="44" spans="1:2">
      <c r="A44" s="191"/>
      <c r="B44" s="46" t="s">
        <v>68</v>
      </c>
    </row>
    <row r="45" spans="1:2">
      <c r="A45" s="191"/>
      <c r="B45" s="47"/>
    </row>
    <row r="46" spans="1:2">
      <c r="A46" s="191"/>
      <c r="B46" s="46" t="s">
        <v>69</v>
      </c>
    </row>
    <row r="47" spans="1:2">
      <c r="A47" s="191"/>
      <c r="B47" s="47"/>
    </row>
    <row r="48" spans="1:2">
      <c r="A48" s="191"/>
      <c r="B48" s="46" t="s">
        <v>70</v>
      </c>
    </row>
    <row r="49" spans="1:2">
      <c r="A49" s="191"/>
      <c r="B49" s="47"/>
    </row>
    <row r="50" spans="1:2">
      <c r="A50" s="191"/>
      <c r="B50" s="46" t="s">
        <v>71</v>
      </c>
    </row>
    <row r="51" spans="1:2">
      <c r="A51" s="191"/>
      <c r="B51" s="47"/>
    </row>
    <row r="52" spans="1:2">
      <c r="A52" s="191"/>
      <c r="B52" s="46" t="s">
        <v>72</v>
      </c>
    </row>
    <row r="53" spans="1:2">
      <c r="A53" s="191"/>
      <c r="B53" s="47"/>
    </row>
    <row r="54" spans="1:2" ht="25.5">
      <c r="A54" s="191"/>
      <c r="B54" s="46" t="s">
        <v>73</v>
      </c>
    </row>
    <row r="55" spans="1:2">
      <c r="A55" s="191"/>
      <c r="B55" s="47"/>
    </row>
    <row r="56" spans="1:2" ht="51">
      <c r="A56" s="191"/>
      <c r="B56" s="46" t="s">
        <v>74</v>
      </c>
    </row>
    <row r="57" spans="1:2">
      <c r="A57" s="191"/>
      <c r="B57" s="47"/>
    </row>
    <row r="58" spans="1:2" ht="75">
      <c r="A58" s="191"/>
      <c r="B58" s="42" t="s">
        <v>75</v>
      </c>
    </row>
    <row r="59" spans="1:2">
      <c r="A59" s="191"/>
      <c r="B59" s="47"/>
    </row>
    <row r="60" spans="1:2" ht="26.25" thickBot="1">
      <c r="A60" s="192"/>
      <c r="B60" s="48" t="s">
        <v>76</v>
      </c>
    </row>
    <row r="61" spans="1:2">
      <c r="A61" s="186">
        <v>0.18</v>
      </c>
      <c r="B61" s="49" t="s">
        <v>77</v>
      </c>
    </row>
    <row r="62" spans="1:2" ht="54">
      <c r="A62" s="187"/>
      <c r="B62" s="46" t="s">
        <v>78</v>
      </c>
    </row>
    <row r="63" spans="1:2" ht="38.25">
      <c r="A63" s="187"/>
      <c r="B63" s="46" t="s">
        <v>79</v>
      </c>
    </row>
    <row r="64" spans="1:2" ht="16.5" thickBot="1">
      <c r="A64" s="188"/>
      <c r="B64" s="50"/>
    </row>
    <row r="65" spans="1:2" ht="26.25" thickBot="1">
      <c r="A65" s="193"/>
      <c r="B65" s="51" t="s">
        <v>80</v>
      </c>
    </row>
    <row r="66" spans="1:2">
      <c r="A66" s="194"/>
      <c r="B66" s="46" t="s">
        <v>81</v>
      </c>
    </row>
    <row r="67" spans="1:2">
      <c r="A67" s="194"/>
      <c r="B67" s="47"/>
    </row>
    <row r="68" spans="1:2" ht="25.5">
      <c r="A68" s="194"/>
      <c r="B68" s="46" t="s">
        <v>82</v>
      </c>
    </row>
    <row r="69" spans="1:2">
      <c r="A69" s="194"/>
      <c r="B69" s="47"/>
    </row>
    <row r="70" spans="1:2" ht="38.25">
      <c r="A70" s="194"/>
      <c r="B70" s="46" t="s">
        <v>83</v>
      </c>
    </row>
    <row r="71" spans="1:2">
      <c r="A71" s="194"/>
      <c r="B71" s="47"/>
    </row>
    <row r="72" spans="1:2">
      <c r="A72" s="194"/>
      <c r="B72" s="46" t="s">
        <v>84</v>
      </c>
    </row>
    <row r="73" spans="1:2">
      <c r="A73" s="194"/>
      <c r="B73" s="47"/>
    </row>
    <row r="74" spans="1:2" ht="38.25">
      <c r="A74" s="194"/>
      <c r="B74" s="46" t="s">
        <v>85</v>
      </c>
    </row>
    <row r="75" spans="1:2">
      <c r="A75" s="194"/>
      <c r="B75" s="47"/>
    </row>
    <row r="76" spans="1:2" ht="25.5">
      <c r="A76" s="194"/>
      <c r="B76" s="46" t="s">
        <v>86</v>
      </c>
    </row>
    <row r="77" spans="1:2">
      <c r="A77" s="194"/>
      <c r="B77" s="47"/>
    </row>
    <row r="78" spans="1:2">
      <c r="A78" s="194"/>
      <c r="B78" s="46" t="s">
        <v>87</v>
      </c>
    </row>
    <row r="79" spans="1:2">
      <c r="A79" s="194"/>
      <c r="B79" s="47"/>
    </row>
    <row r="80" spans="1:2">
      <c r="A80" s="194"/>
      <c r="B80" s="46" t="s">
        <v>88</v>
      </c>
    </row>
    <row r="81" spans="1:2">
      <c r="A81" s="194"/>
      <c r="B81" s="47"/>
    </row>
    <row r="82" spans="1:2">
      <c r="A82" s="194"/>
      <c r="B82" s="46" t="s">
        <v>89</v>
      </c>
    </row>
    <row r="83" spans="1:2">
      <c r="A83" s="194"/>
      <c r="B83" s="47"/>
    </row>
    <row r="84" spans="1:2" ht="25.5">
      <c r="A84" s="194"/>
      <c r="B84" s="46" t="s">
        <v>90</v>
      </c>
    </row>
    <row r="85" spans="1:2">
      <c r="A85" s="194"/>
      <c r="B85" s="47"/>
    </row>
    <row r="86" spans="1:2" ht="25.5">
      <c r="A86" s="194"/>
      <c r="B86" s="46" t="s">
        <v>91</v>
      </c>
    </row>
    <row r="87" spans="1:2">
      <c r="A87" s="194"/>
      <c r="B87" s="47"/>
    </row>
    <row r="88" spans="1:2" ht="51">
      <c r="A88" s="194"/>
      <c r="B88" s="46" t="s">
        <v>92</v>
      </c>
    </row>
    <row r="89" spans="1:2">
      <c r="A89" s="194"/>
      <c r="B89" s="47"/>
    </row>
    <row r="90" spans="1:2" ht="38.25">
      <c r="A90" s="194"/>
      <c r="B90" s="46" t="s">
        <v>93</v>
      </c>
    </row>
    <row r="91" spans="1:2">
      <c r="A91" s="194"/>
      <c r="B91" s="47"/>
    </row>
    <row r="92" spans="1:2">
      <c r="A92" s="194"/>
      <c r="B92" s="46" t="s">
        <v>94</v>
      </c>
    </row>
    <row r="93" spans="1:2">
      <c r="A93" s="194"/>
      <c r="B93" s="47"/>
    </row>
    <row r="94" spans="1:2" ht="38.25">
      <c r="A94" s="194"/>
      <c r="B94" s="46" t="s">
        <v>95</v>
      </c>
    </row>
    <row r="95" spans="1:2">
      <c r="A95" s="194"/>
      <c r="B95" s="47"/>
    </row>
    <row r="96" spans="1:2">
      <c r="A96" s="194"/>
      <c r="B96" s="46" t="s">
        <v>96</v>
      </c>
    </row>
    <row r="97" spans="1:2">
      <c r="A97" s="194"/>
      <c r="B97" s="47"/>
    </row>
    <row r="98" spans="1:2">
      <c r="A98" s="194"/>
      <c r="B98" s="46" t="s">
        <v>97</v>
      </c>
    </row>
    <row r="99" spans="1:2">
      <c r="A99" s="194"/>
      <c r="B99" s="47"/>
    </row>
    <row r="100" spans="1:2">
      <c r="A100" s="194"/>
      <c r="B100" s="46" t="s">
        <v>98</v>
      </c>
    </row>
    <row r="101" spans="1:2">
      <c r="A101" s="194"/>
      <c r="B101" s="47"/>
    </row>
    <row r="102" spans="1:2">
      <c r="A102" s="194"/>
      <c r="B102" s="46" t="s">
        <v>99</v>
      </c>
    </row>
    <row r="103" spans="1:2">
      <c r="A103" s="194"/>
      <c r="B103" s="47"/>
    </row>
    <row r="104" spans="1:2">
      <c r="A104" s="194"/>
      <c r="B104" s="46" t="s">
        <v>100</v>
      </c>
    </row>
    <row r="105" spans="1:2">
      <c r="A105" s="194"/>
      <c r="B105" s="47"/>
    </row>
    <row r="106" spans="1:2">
      <c r="A106" s="194"/>
      <c r="B106" s="46" t="s">
        <v>101</v>
      </c>
    </row>
    <row r="107" spans="1:2">
      <c r="A107" s="194"/>
      <c r="B107" s="47"/>
    </row>
    <row r="108" spans="1:2">
      <c r="A108" s="194"/>
      <c r="B108" s="46" t="s">
        <v>102</v>
      </c>
    </row>
    <row r="109" spans="1:2">
      <c r="A109" s="194"/>
      <c r="B109" s="47"/>
    </row>
    <row r="110" spans="1:2" ht="38.25">
      <c r="A110" s="194"/>
      <c r="B110" s="46" t="s">
        <v>103</v>
      </c>
    </row>
    <row r="111" spans="1:2">
      <c r="A111" s="194"/>
      <c r="B111" s="47"/>
    </row>
    <row r="112" spans="1:2">
      <c r="A112" s="194"/>
      <c r="B112" s="46" t="s">
        <v>104</v>
      </c>
    </row>
    <row r="113" spans="1:2">
      <c r="A113" s="194"/>
      <c r="B113" s="47"/>
    </row>
    <row r="114" spans="1:2">
      <c r="A114" s="194"/>
      <c r="B114" s="46" t="s">
        <v>105</v>
      </c>
    </row>
    <row r="115" spans="1:2">
      <c r="A115" s="194"/>
      <c r="B115" s="47"/>
    </row>
    <row r="116" spans="1:2">
      <c r="A116" s="194"/>
      <c r="B116" s="46" t="s">
        <v>106</v>
      </c>
    </row>
    <row r="117" spans="1:2">
      <c r="A117" s="194"/>
      <c r="B117" s="47"/>
    </row>
    <row r="118" spans="1:2">
      <c r="A118" s="194"/>
      <c r="B118" s="46" t="s">
        <v>107</v>
      </c>
    </row>
    <row r="119" spans="1:2">
      <c r="A119" s="194"/>
      <c r="B119" s="47"/>
    </row>
    <row r="120" spans="1:2">
      <c r="A120" s="194"/>
      <c r="B120" s="46" t="s">
        <v>108</v>
      </c>
    </row>
    <row r="121" spans="1:2">
      <c r="A121" s="194"/>
      <c r="B121" s="47"/>
    </row>
    <row r="122" spans="1:2" ht="51">
      <c r="A122" s="194"/>
      <c r="B122" s="46" t="s">
        <v>109</v>
      </c>
    </row>
    <row r="123" spans="1:2">
      <c r="A123" s="194"/>
      <c r="B123" s="47"/>
    </row>
    <row r="124" spans="1:2" ht="51">
      <c r="A124" s="194"/>
      <c r="B124" s="46" t="s">
        <v>110</v>
      </c>
    </row>
    <row r="125" spans="1:2">
      <c r="A125" s="194"/>
      <c r="B125" s="47"/>
    </row>
    <row r="126" spans="1:2" ht="51">
      <c r="A126" s="194"/>
      <c r="B126" s="46" t="s">
        <v>111</v>
      </c>
    </row>
    <row r="127" spans="1:2">
      <c r="A127" s="194"/>
      <c r="B127" s="47"/>
    </row>
    <row r="128" spans="1:2" ht="51">
      <c r="A128" s="194"/>
      <c r="B128" s="46" t="s">
        <v>112</v>
      </c>
    </row>
    <row r="129" spans="1:2">
      <c r="A129" s="194"/>
      <c r="B129" s="47"/>
    </row>
    <row r="130" spans="1:2">
      <c r="A130" s="194"/>
      <c r="B130" s="46" t="s">
        <v>113</v>
      </c>
    </row>
    <row r="131" spans="1:2">
      <c r="A131" s="194"/>
      <c r="B131" s="47"/>
    </row>
    <row r="132" spans="1:2">
      <c r="A132" s="194"/>
      <c r="B132" s="46" t="s">
        <v>114</v>
      </c>
    </row>
    <row r="133" spans="1:2">
      <c r="A133" s="194"/>
      <c r="B133" s="47"/>
    </row>
    <row r="134" spans="1:2">
      <c r="A134" s="194"/>
      <c r="B134" s="46" t="s">
        <v>115</v>
      </c>
    </row>
    <row r="135" spans="1:2">
      <c r="A135" s="194"/>
      <c r="B135" s="47"/>
    </row>
    <row r="136" spans="1:2">
      <c r="A136" s="194"/>
      <c r="B136" s="46" t="s">
        <v>116</v>
      </c>
    </row>
    <row r="137" spans="1:2">
      <c r="A137" s="194"/>
      <c r="B137" s="47"/>
    </row>
    <row r="138" spans="1:2">
      <c r="A138" s="194"/>
      <c r="B138" s="46" t="s">
        <v>117</v>
      </c>
    </row>
    <row r="139" spans="1:2">
      <c r="A139" s="194"/>
      <c r="B139" s="47"/>
    </row>
    <row r="140" spans="1:2">
      <c r="A140" s="194"/>
      <c r="B140" s="46" t="s">
        <v>118</v>
      </c>
    </row>
    <row r="141" spans="1:2">
      <c r="A141" s="194"/>
      <c r="B141" s="47"/>
    </row>
    <row r="142" spans="1:2">
      <c r="A142" s="194"/>
      <c r="B142" s="46" t="s">
        <v>119</v>
      </c>
    </row>
    <row r="143" spans="1:2">
      <c r="A143" s="194"/>
      <c r="B143" s="47"/>
    </row>
    <row r="144" spans="1:2">
      <c r="A144" s="194"/>
      <c r="B144" s="46" t="s">
        <v>120</v>
      </c>
    </row>
    <row r="145" spans="1:2">
      <c r="A145" s="194"/>
      <c r="B145" s="47"/>
    </row>
    <row r="146" spans="1:2">
      <c r="A146" s="194"/>
      <c r="B146" s="46" t="s">
        <v>121</v>
      </c>
    </row>
    <row r="147" spans="1:2">
      <c r="A147" s="194"/>
      <c r="B147" s="47"/>
    </row>
    <row r="148" spans="1:2">
      <c r="A148" s="194"/>
      <c r="B148" s="46" t="s">
        <v>122</v>
      </c>
    </row>
    <row r="149" spans="1:2">
      <c r="A149" s="194"/>
      <c r="B149" s="47"/>
    </row>
    <row r="150" spans="1:2">
      <c r="A150" s="194"/>
      <c r="B150" s="46" t="s">
        <v>123</v>
      </c>
    </row>
    <row r="151" spans="1:2">
      <c r="A151" s="194"/>
      <c r="B151" s="47"/>
    </row>
    <row r="152" spans="1:2">
      <c r="A152" s="194"/>
      <c r="B152" s="46" t="s">
        <v>124</v>
      </c>
    </row>
    <row r="153" spans="1:2">
      <c r="A153" s="194"/>
      <c r="B153" s="47"/>
    </row>
    <row r="154" spans="1:2">
      <c r="A154" s="194"/>
      <c r="B154" s="46" t="s">
        <v>125</v>
      </c>
    </row>
    <row r="155" spans="1:2">
      <c r="A155" s="194"/>
      <c r="B155" s="47"/>
    </row>
    <row r="156" spans="1:2">
      <c r="A156" s="194"/>
      <c r="B156" s="46" t="s">
        <v>126</v>
      </c>
    </row>
    <row r="157" spans="1:2">
      <c r="A157" s="194"/>
      <c r="B157" s="47"/>
    </row>
    <row r="158" spans="1:2">
      <c r="A158" s="194"/>
      <c r="B158" s="46" t="s">
        <v>127</v>
      </c>
    </row>
    <row r="159" spans="1:2">
      <c r="A159" s="194"/>
      <c r="B159" s="47"/>
    </row>
    <row r="160" spans="1:2">
      <c r="A160" s="194"/>
      <c r="B160" s="46" t="s">
        <v>128</v>
      </c>
    </row>
    <row r="161" spans="1:2">
      <c r="A161" s="194"/>
      <c r="B161" s="47"/>
    </row>
    <row r="162" spans="1:2">
      <c r="A162" s="194"/>
      <c r="B162" s="46" t="s">
        <v>129</v>
      </c>
    </row>
    <row r="163" spans="1:2">
      <c r="A163" s="194"/>
      <c r="B163" s="47"/>
    </row>
    <row r="164" spans="1:2">
      <c r="A164" s="194"/>
      <c r="B164" s="46" t="s">
        <v>130</v>
      </c>
    </row>
    <row r="165" spans="1:2">
      <c r="A165" s="194"/>
      <c r="B165" s="47"/>
    </row>
    <row r="166" spans="1:2">
      <c r="A166" s="194"/>
      <c r="B166" s="46" t="s">
        <v>131</v>
      </c>
    </row>
    <row r="167" spans="1:2">
      <c r="A167" s="194"/>
      <c r="B167" s="47"/>
    </row>
    <row r="168" spans="1:2">
      <c r="A168" s="194"/>
      <c r="B168" s="46" t="s">
        <v>132</v>
      </c>
    </row>
    <row r="169" spans="1:2">
      <c r="A169" s="194"/>
      <c r="B169" s="47"/>
    </row>
    <row r="170" spans="1:2">
      <c r="A170" s="194"/>
      <c r="B170" s="46" t="s">
        <v>133</v>
      </c>
    </row>
    <row r="171" spans="1:2">
      <c r="A171" s="194"/>
      <c r="B171" s="47"/>
    </row>
    <row r="172" spans="1:2">
      <c r="A172" s="194"/>
      <c r="B172" s="46" t="s">
        <v>134</v>
      </c>
    </row>
    <row r="173" spans="1:2">
      <c r="A173" s="194"/>
      <c r="B173" s="47"/>
    </row>
    <row r="174" spans="1:2" ht="51">
      <c r="A174" s="194"/>
      <c r="B174" s="46" t="s">
        <v>135</v>
      </c>
    </row>
    <row r="175" spans="1:2">
      <c r="A175" s="194"/>
      <c r="B175" s="47"/>
    </row>
    <row r="176" spans="1:2" ht="25.5">
      <c r="A176" s="194"/>
      <c r="B176" s="46" t="s">
        <v>136</v>
      </c>
    </row>
    <row r="177" spans="1:2">
      <c r="A177" s="194"/>
      <c r="B177" s="47"/>
    </row>
    <row r="178" spans="1:2">
      <c r="A178" s="194"/>
      <c r="B178" s="46" t="s">
        <v>137</v>
      </c>
    </row>
    <row r="179" spans="1:2">
      <c r="A179" s="194"/>
      <c r="B179" s="47"/>
    </row>
    <row r="180" spans="1:2">
      <c r="A180" s="194"/>
      <c r="B180" s="46" t="s">
        <v>138</v>
      </c>
    </row>
    <row r="181" spans="1:2">
      <c r="A181" s="194"/>
      <c r="B181" s="47"/>
    </row>
    <row r="182" spans="1:2">
      <c r="A182" s="194"/>
      <c r="B182" s="46" t="s">
        <v>139</v>
      </c>
    </row>
    <row r="183" spans="1:2">
      <c r="A183" s="194"/>
      <c r="B183" s="47"/>
    </row>
    <row r="184" spans="1:2" ht="25.5">
      <c r="A184" s="194"/>
      <c r="B184" s="46" t="s">
        <v>140</v>
      </c>
    </row>
    <row r="185" spans="1:2">
      <c r="A185" s="194"/>
      <c r="B185" s="47"/>
    </row>
    <row r="186" spans="1:2">
      <c r="A186" s="194"/>
      <c r="B186" s="46" t="s">
        <v>141</v>
      </c>
    </row>
    <row r="187" spans="1:2">
      <c r="A187" s="194"/>
      <c r="B187" s="47"/>
    </row>
    <row r="188" spans="1:2">
      <c r="A188" s="194"/>
      <c r="B188" s="46" t="s">
        <v>142</v>
      </c>
    </row>
    <row r="189" spans="1:2">
      <c r="A189" s="194"/>
      <c r="B189" s="47"/>
    </row>
    <row r="190" spans="1:2">
      <c r="A190" s="194"/>
      <c r="B190" s="46" t="s">
        <v>143</v>
      </c>
    </row>
    <row r="191" spans="1:2">
      <c r="A191" s="194"/>
      <c r="B191" s="47"/>
    </row>
    <row r="192" spans="1:2" ht="25.5">
      <c r="A192" s="194"/>
      <c r="B192" s="46" t="s">
        <v>144</v>
      </c>
    </row>
    <row r="193" spans="1:2">
      <c r="A193" s="194"/>
      <c r="B193" s="47"/>
    </row>
    <row r="194" spans="1:2">
      <c r="A194" s="194"/>
      <c r="B194" s="46" t="s">
        <v>145</v>
      </c>
    </row>
    <row r="195" spans="1:2">
      <c r="A195" s="194"/>
      <c r="B195" s="47"/>
    </row>
    <row r="196" spans="1:2">
      <c r="A196" s="194"/>
      <c r="B196" s="46" t="s">
        <v>146</v>
      </c>
    </row>
    <row r="197" spans="1:2">
      <c r="A197" s="194"/>
      <c r="B197" s="47"/>
    </row>
    <row r="198" spans="1:2">
      <c r="A198" s="194"/>
      <c r="B198" s="46" t="s">
        <v>147</v>
      </c>
    </row>
    <row r="199" spans="1:2">
      <c r="A199" s="194"/>
      <c r="B199" s="47"/>
    </row>
    <row r="200" spans="1:2">
      <c r="A200" s="194"/>
      <c r="B200" s="46" t="s">
        <v>148</v>
      </c>
    </row>
    <row r="201" spans="1:2">
      <c r="A201" s="194"/>
      <c r="B201" s="47"/>
    </row>
    <row r="202" spans="1:2">
      <c r="A202" s="194"/>
      <c r="B202" s="46" t="s">
        <v>149</v>
      </c>
    </row>
    <row r="203" spans="1:2">
      <c r="A203" s="194"/>
      <c r="B203" s="47"/>
    </row>
    <row r="204" spans="1:2">
      <c r="A204" s="194"/>
      <c r="B204" s="46" t="s">
        <v>150</v>
      </c>
    </row>
    <row r="205" spans="1:2">
      <c r="A205" s="194"/>
      <c r="B205" s="47"/>
    </row>
    <row r="206" spans="1:2" ht="38.25">
      <c r="A206" s="194"/>
      <c r="B206" s="46" t="s">
        <v>151</v>
      </c>
    </row>
    <row r="207" spans="1:2">
      <c r="A207" s="194"/>
      <c r="B207" s="47"/>
    </row>
    <row r="208" spans="1:2">
      <c r="A208" s="194"/>
      <c r="B208" s="46" t="s">
        <v>152</v>
      </c>
    </row>
    <row r="209" spans="1:2">
      <c r="A209" s="194"/>
      <c r="B209" s="47"/>
    </row>
    <row r="210" spans="1:2">
      <c r="A210" s="194"/>
      <c r="B210" s="46" t="s">
        <v>153</v>
      </c>
    </row>
    <row r="211" spans="1:2">
      <c r="A211" s="194"/>
      <c r="B211" s="47"/>
    </row>
    <row r="212" spans="1:2">
      <c r="A212" s="194"/>
      <c r="B212" s="46" t="s">
        <v>154</v>
      </c>
    </row>
    <row r="213" spans="1:2">
      <c r="A213" s="194"/>
      <c r="B213" s="47"/>
    </row>
    <row r="214" spans="1:2">
      <c r="A214" s="194"/>
      <c r="B214" s="46" t="s">
        <v>155</v>
      </c>
    </row>
    <row r="215" spans="1:2">
      <c r="A215" s="194"/>
      <c r="B215" s="47"/>
    </row>
    <row r="216" spans="1:2">
      <c r="A216" s="194"/>
      <c r="B216" s="46" t="s">
        <v>156</v>
      </c>
    </row>
    <row r="217" spans="1:2">
      <c r="A217" s="194"/>
      <c r="B217" s="47"/>
    </row>
    <row r="218" spans="1:2">
      <c r="A218" s="194"/>
      <c r="B218" s="46" t="s">
        <v>157</v>
      </c>
    </row>
    <row r="219" spans="1:2">
      <c r="A219" s="194"/>
      <c r="B219" s="47"/>
    </row>
    <row r="220" spans="1:2">
      <c r="A220" s="194"/>
      <c r="B220" s="46" t="s">
        <v>158</v>
      </c>
    </row>
    <row r="221" spans="1:2">
      <c r="A221" s="194"/>
      <c r="B221" s="47"/>
    </row>
    <row r="222" spans="1:2">
      <c r="A222" s="194"/>
      <c r="B222" s="46" t="s">
        <v>159</v>
      </c>
    </row>
    <row r="223" spans="1:2">
      <c r="A223" s="194"/>
      <c r="B223" s="47"/>
    </row>
    <row r="224" spans="1:2">
      <c r="A224" s="194"/>
      <c r="B224" s="46" t="s">
        <v>160</v>
      </c>
    </row>
    <row r="225" spans="1:2">
      <c r="A225" s="194"/>
      <c r="B225" s="47"/>
    </row>
    <row r="226" spans="1:2">
      <c r="A226" s="194"/>
      <c r="B226" s="46" t="s">
        <v>161</v>
      </c>
    </row>
    <row r="227" spans="1:2">
      <c r="A227" s="194"/>
      <c r="B227" s="47"/>
    </row>
    <row r="228" spans="1:2">
      <c r="A228" s="194"/>
      <c r="B228" s="46" t="s">
        <v>162</v>
      </c>
    </row>
    <row r="229" spans="1:2">
      <c r="A229" s="194"/>
      <c r="B229" s="47"/>
    </row>
    <row r="230" spans="1:2" ht="25.5">
      <c r="A230" s="194"/>
      <c r="B230" s="46" t="s">
        <v>163</v>
      </c>
    </row>
    <row r="231" spans="1:2">
      <c r="A231" s="194"/>
      <c r="B231" s="47"/>
    </row>
    <row r="232" spans="1:2" ht="25.5">
      <c r="A232" s="194"/>
      <c r="B232" s="46" t="s">
        <v>164</v>
      </c>
    </row>
    <row r="233" spans="1:2">
      <c r="A233" s="194"/>
      <c r="B233" s="47"/>
    </row>
    <row r="234" spans="1:2" ht="25.5">
      <c r="A234" s="194"/>
      <c r="B234" s="46" t="s">
        <v>165</v>
      </c>
    </row>
    <row r="235" spans="1:2">
      <c r="A235" s="194"/>
      <c r="B235" s="47"/>
    </row>
    <row r="236" spans="1:2">
      <c r="A236" s="194"/>
      <c r="B236" s="46" t="s">
        <v>166</v>
      </c>
    </row>
    <row r="237" spans="1:2">
      <c r="A237" s="194"/>
      <c r="B237" s="47"/>
    </row>
    <row r="238" spans="1:2">
      <c r="A238" s="194"/>
      <c r="B238" s="46" t="s">
        <v>167</v>
      </c>
    </row>
    <row r="239" spans="1:2">
      <c r="A239" s="194"/>
      <c r="B239" s="47"/>
    </row>
    <row r="240" spans="1:2" ht="25.5">
      <c r="A240" s="194"/>
      <c r="B240" s="46" t="s">
        <v>168</v>
      </c>
    </row>
    <row r="241" spans="1:2">
      <c r="A241" s="194"/>
      <c r="B241" s="47"/>
    </row>
    <row r="242" spans="1:2">
      <c r="A242" s="194"/>
      <c r="B242" s="46" t="s">
        <v>169</v>
      </c>
    </row>
    <row r="243" spans="1:2">
      <c r="A243" s="194"/>
      <c r="B243" s="47"/>
    </row>
    <row r="244" spans="1:2">
      <c r="A244" s="194"/>
      <c r="B244" s="46" t="s">
        <v>170</v>
      </c>
    </row>
    <row r="245" spans="1:2">
      <c r="A245" s="194"/>
      <c r="B245" s="47"/>
    </row>
    <row r="246" spans="1:2">
      <c r="A246" s="194"/>
      <c r="B246" s="46" t="s">
        <v>171</v>
      </c>
    </row>
    <row r="247" spans="1:2">
      <c r="A247" s="194"/>
      <c r="B247" s="47"/>
    </row>
    <row r="248" spans="1:2">
      <c r="A248" s="194"/>
      <c r="B248" s="46" t="s">
        <v>172</v>
      </c>
    </row>
    <row r="249" spans="1:2">
      <c r="A249" s="194"/>
      <c r="B249" s="47"/>
    </row>
    <row r="250" spans="1:2">
      <c r="A250" s="194"/>
      <c r="B250" s="46" t="s">
        <v>173</v>
      </c>
    </row>
    <row r="251" spans="1:2">
      <c r="A251" s="194"/>
      <c r="B251" s="47"/>
    </row>
    <row r="252" spans="1:2">
      <c r="A252" s="194"/>
      <c r="B252" s="46" t="s">
        <v>174</v>
      </c>
    </row>
    <row r="253" spans="1:2">
      <c r="A253" s="194"/>
      <c r="B253" s="47"/>
    </row>
    <row r="254" spans="1:2">
      <c r="A254" s="194"/>
      <c r="B254" s="46" t="s">
        <v>175</v>
      </c>
    </row>
    <row r="255" spans="1:2">
      <c r="A255" s="194"/>
      <c r="B255" s="47"/>
    </row>
    <row r="256" spans="1:2">
      <c r="A256" s="194"/>
      <c r="B256" s="46" t="s">
        <v>176</v>
      </c>
    </row>
    <row r="257" spans="1:2">
      <c r="A257" s="194"/>
      <c r="B257" s="47"/>
    </row>
    <row r="258" spans="1:2">
      <c r="A258" s="194"/>
      <c r="B258" s="46" t="s">
        <v>177</v>
      </c>
    </row>
    <row r="259" spans="1:2">
      <c r="A259" s="194"/>
      <c r="B259" s="47"/>
    </row>
    <row r="260" spans="1:2">
      <c r="A260" s="194"/>
      <c r="B260" s="46" t="s">
        <v>178</v>
      </c>
    </row>
    <row r="261" spans="1:2">
      <c r="A261" s="194"/>
      <c r="B261" s="47"/>
    </row>
    <row r="262" spans="1:2">
      <c r="A262" s="194"/>
      <c r="B262" s="46" t="s">
        <v>179</v>
      </c>
    </row>
    <row r="263" spans="1:2">
      <c r="A263" s="194"/>
      <c r="B263" s="47"/>
    </row>
    <row r="264" spans="1:2">
      <c r="A264" s="194"/>
      <c r="B264" s="46" t="s">
        <v>180</v>
      </c>
    </row>
    <row r="265" spans="1:2">
      <c r="A265" s="194"/>
      <c r="B265" s="47"/>
    </row>
    <row r="266" spans="1:2">
      <c r="A266" s="194"/>
      <c r="B266" s="46" t="s">
        <v>181</v>
      </c>
    </row>
    <row r="267" spans="1:2">
      <c r="A267" s="194"/>
      <c r="B267" s="47"/>
    </row>
    <row r="268" spans="1:2">
      <c r="A268" s="194"/>
      <c r="B268" s="46" t="s">
        <v>182</v>
      </c>
    </row>
    <row r="269" spans="1:2">
      <c r="A269" s="194"/>
      <c r="B269" s="47"/>
    </row>
    <row r="270" spans="1:2">
      <c r="A270" s="194"/>
      <c r="B270" s="46" t="s">
        <v>183</v>
      </c>
    </row>
    <row r="271" spans="1:2">
      <c r="A271" s="194"/>
      <c r="B271" s="47"/>
    </row>
    <row r="272" spans="1:2" ht="51">
      <c r="A272" s="194"/>
      <c r="B272" s="46" t="s">
        <v>184</v>
      </c>
    </row>
    <row r="273" spans="1:2">
      <c r="A273" s="194"/>
      <c r="B273" s="47"/>
    </row>
    <row r="274" spans="1:2" ht="38.25">
      <c r="A274" s="194"/>
      <c r="B274" s="46" t="s">
        <v>185</v>
      </c>
    </row>
    <row r="275" spans="1:2">
      <c r="A275" s="194"/>
      <c r="B275" s="47"/>
    </row>
    <row r="276" spans="1:2" ht="38.25">
      <c r="A276" s="194"/>
      <c r="B276" s="46" t="s">
        <v>186</v>
      </c>
    </row>
    <row r="277" spans="1:2">
      <c r="A277" s="194"/>
      <c r="B277" s="47"/>
    </row>
    <row r="278" spans="1:2" ht="38.25">
      <c r="A278" s="194"/>
      <c r="B278" s="46" t="s">
        <v>187</v>
      </c>
    </row>
    <row r="279" spans="1:2">
      <c r="A279" s="194"/>
      <c r="B279" s="47"/>
    </row>
    <row r="280" spans="1:2" ht="38.25">
      <c r="A280" s="194"/>
      <c r="B280" s="46" t="s">
        <v>188</v>
      </c>
    </row>
    <row r="281" spans="1:2">
      <c r="A281" s="194"/>
      <c r="B281" s="47"/>
    </row>
    <row r="282" spans="1:2" ht="25.5">
      <c r="A282" s="194"/>
      <c r="B282" s="46" t="s">
        <v>189</v>
      </c>
    </row>
    <row r="283" spans="1:2">
      <c r="A283" s="194"/>
      <c r="B283" s="47"/>
    </row>
    <row r="284" spans="1:2" ht="25.5">
      <c r="A284" s="194"/>
      <c r="B284" s="46" t="s">
        <v>190</v>
      </c>
    </row>
    <row r="285" spans="1:2">
      <c r="A285" s="194"/>
      <c r="B285" s="47"/>
    </row>
    <row r="286" spans="1:2">
      <c r="A286" s="194"/>
      <c r="B286" s="46" t="s">
        <v>191</v>
      </c>
    </row>
    <row r="287" spans="1:2">
      <c r="A287" s="194"/>
      <c r="B287" s="47"/>
    </row>
    <row r="288" spans="1:2">
      <c r="A288" s="194"/>
      <c r="B288" s="46" t="s">
        <v>192</v>
      </c>
    </row>
    <row r="289" spans="1:2">
      <c r="A289" s="194"/>
      <c r="B289" s="46" t="s">
        <v>193</v>
      </c>
    </row>
    <row r="290" spans="1:2">
      <c r="A290" s="194"/>
      <c r="B290" s="46" t="s">
        <v>194</v>
      </c>
    </row>
    <row r="291" spans="1:2" ht="26.25" thickBot="1">
      <c r="A291" s="194"/>
      <c r="B291" s="48" t="s">
        <v>195</v>
      </c>
    </row>
    <row r="292" spans="1:2" ht="16.5" thickBot="1">
      <c r="A292" s="195"/>
      <c r="B292" s="50"/>
    </row>
    <row r="293" spans="1:2" ht="15.75" thickBot="1">
      <c r="A293" s="186">
        <v>7.0000000000000007E-2</v>
      </c>
      <c r="B293" s="51" t="s">
        <v>196</v>
      </c>
    </row>
    <row r="294" spans="1:2" ht="25.5">
      <c r="A294" s="187"/>
      <c r="B294" s="46" t="s">
        <v>197</v>
      </c>
    </row>
    <row r="295" spans="1:2">
      <c r="A295" s="187"/>
      <c r="B295" s="47"/>
    </row>
    <row r="296" spans="1:2" ht="25.5">
      <c r="A296" s="187"/>
      <c r="B296" s="46" t="s">
        <v>198</v>
      </c>
    </row>
    <row r="297" spans="1:2">
      <c r="A297" s="187"/>
      <c r="B297" s="47"/>
    </row>
    <row r="298" spans="1:2" ht="25.5">
      <c r="A298" s="187"/>
      <c r="B298" s="46" t="s">
        <v>199</v>
      </c>
    </row>
    <row r="299" spans="1:2">
      <c r="A299" s="187"/>
      <c r="B299" s="47"/>
    </row>
    <row r="300" spans="1:2" ht="16.5" thickBot="1">
      <c r="A300" s="188"/>
      <c r="B300" s="50"/>
    </row>
    <row r="301" spans="1:2" ht="28.5">
      <c r="A301" s="186">
        <v>0.04</v>
      </c>
      <c r="B301" s="52" t="s">
        <v>200</v>
      </c>
    </row>
    <row r="302" spans="1:2">
      <c r="A302" s="187"/>
      <c r="B302" s="46" t="s">
        <v>201</v>
      </c>
    </row>
    <row r="303" spans="1:2" ht="15.75" thickBot="1">
      <c r="A303" s="188"/>
      <c r="B303" s="51" t="s">
        <v>202</v>
      </c>
    </row>
  </sheetData>
  <sheetProtection password="C71F" sheet="1" objects="1" scenarios="1"/>
  <mergeCells count="6">
    <mergeCell ref="A301:A303"/>
    <mergeCell ref="A1:B3"/>
    <mergeCell ref="A5:A60"/>
    <mergeCell ref="A61:A64"/>
    <mergeCell ref="A65:A292"/>
    <mergeCell ref="A293:A300"/>
  </mergeCells>
  <hyperlinks>
    <hyperlink ref="B58" r:id="rId1" display="http://info.fazenda.sp.gov.br/NXT/gateway.dll/legislacao_tributaria/decretos/dec55437.htm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ROTINAS</vt:lpstr>
      <vt:lpstr>CALCULO S.T.(MVA)</vt:lpstr>
      <vt:lpstr>DIF DE ALQ</vt:lpstr>
      <vt:lpstr>ICMS INTER EST</vt:lpstr>
      <vt:lpstr>ALQ ICMS SP</vt:lpstr>
      <vt:lpstr>'CALCULO S.T.(MVA)'!Area_de_impressao</vt:lpstr>
      <vt:lpstr>'DIF DE ALQ'!Area_de_impressao</vt:lpstr>
      <vt:lpstr>'ICMS INTER EST'!Area_de_impressao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Contabilidade</dc:creator>
  <cp:lastModifiedBy>Contabilidade</cp:lastModifiedBy>
  <cp:lastPrinted>2013-10-11T19:16:47Z</cp:lastPrinted>
  <dcterms:created xsi:type="dcterms:W3CDTF">2012-09-11T18:35:26Z</dcterms:created>
  <dcterms:modified xsi:type="dcterms:W3CDTF">2013-10-15T19:20:18Z</dcterms:modified>
</cp:coreProperties>
</file>