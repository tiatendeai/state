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8696DF1E-1C7B-488A-91CD-87541416B4A6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DRE TRIMESTRAL" sheetId="1" r:id="rId1"/>
    <sheet name="LALUR PARTE A" sheetId="3" r:id="rId2"/>
    <sheet name="LALUR PARTE B" sheetId="4" r:id="rId3"/>
    <sheet name="APURAÇÃO LUCRO REAL" sheetId="2" r:id="rId4"/>
    <sheet name="Apuração Lucro Real Anual" sheetId="5" r:id="rId5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5" l="1"/>
  <c r="F19" i="5"/>
  <c r="F20" i="5"/>
  <c r="F21" i="5"/>
  <c r="F22" i="5"/>
  <c r="F23" i="5"/>
  <c r="F24" i="5"/>
  <c r="F25" i="5"/>
  <c r="C38" i="5"/>
  <c r="D38" i="5"/>
  <c r="E38" i="5"/>
  <c r="F38" i="5"/>
  <c r="G38" i="5"/>
  <c r="C39" i="5"/>
  <c r="D39" i="5"/>
  <c r="E39" i="5"/>
  <c r="F39" i="5"/>
  <c r="G39" i="5"/>
  <c r="C40" i="5"/>
  <c r="D40" i="5"/>
  <c r="E40" i="5"/>
  <c r="F40" i="5"/>
  <c r="G40" i="5"/>
  <c r="C41" i="5"/>
  <c r="D41" i="5"/>
  <c r="E41" i="5"/>
  <c r="F41" i="5"/>
  <c r="G41" i="5"/>
  <c r="C42" i="5"/>
  <c r="D42" i="5"/>
  <c r="E42" i="5"/>
  <c r="F42" i="5"/>
  <c r="G42" i="5"/>
  <c r="C43" i="5"/>
  <c r="D43" i="5"/>
  <c r="E43" i="5"/>
  <c r="F43" i="5"/>
  <c r="G43" i="5"/>
  <c r="C44" i="5"/>
  <c r="D44" i="5"/>
  <c r="E44" i="5"/>
  <c r="F44" i="5"/>
  <c r="G44" i="5"/>
  <c r="C45" i="5"/>
  <c r="D45" i="5"/>
  <c r="E45" i="5"/>
  <c r="F45" i="5"/>
  <c r="G45" i="5"/>
  <c r="C46" i="5"/>
  <c r="D46" i="5"/>
  <c r="E46" i="5"/>
  <c r="F46" i="5"/>
  <c r="G46" i="5"/>
  <c r="C47" i="5"/>
  <c r="D47" i="5"/>
  <c r="E47" i="5"/>
  <c r="F47" i="5"/>
  <c r="G47" i="5"/>
  <c r="C48" i="5"/>
  <c r="D48" i="5"/>
  <c r="E48" i="5"/>
  <c r="F48" i="5"/>
  <c r="G48" i="5"/>
  <c r="C49" i="5"/>
  <c r="D49" i="5"/>
  <c r="E49" i="5"/>
  <c r="F49" i="5"/>
  <c r="G49" i="5"/>
  <c r="C56" i="5"/>
  <c r="D56" i="5"/>
  <c r="E56" i="5"/>
  <c r="F56" i="5"/>
  <c r="C57" i="5"/>
  <c r="D57" i="5"/>
  <c r="E57" i="5"/>
  <c r="F57" i="5"/>
  <c r="C58" i="5"/>
  <c r="D58" i="5"/>
  <c r="E58" i="5"/>
  <c r="F58" i="5"/>
  <c r="C59" i="5"/>
  <c r="D59" i="5"/>
  <c r="E59" i="5"/>
  <c r="F59" i="5"/>
  <c r="C60" i="5"/>
  <c r="D60" i="5"/>
  <c r="E60" i="5"/>
  <c r="F60" i="5"/>
  <c r="C61" i="5"/>
  <c r="D61" i="5"/>
  <c r="E61" i="5"/>
  <c r="F61" i="5"/>
  <c r="C62" i="5"/>
  <c r="D62" i="5"/>
  <c r="E62" i="5"/>
  <c r="F62" i="5"/>
  <c r="C63" i="5"/>
  <c r="D63" i="5"/>
  <c r="E63" i="5"/>
  <c r="F63" i="5"/>
  <c r="C64" i="5"/>
  <c r="D64" i="5"/>
  <c r="E64" i="5"/>
  <c r="F64" i="5"/>
  <c r="C65" i="5"/>
  <c r="D65" i="5"/>
  <c r="E65" i="5"/>
  <c r="F65" i="5"/>
  <c r="C66" i="5"/>
  <c r="D66" i="5"/>
  <c r="E66" i="5"/>
  <c r="F66" i="5"/>
  <c r="C67" i="5"/>
  <c r="D67" i="5"/>
  <c r="E67" i="5"/>
  <c r="F67" i="5"/>
  <c r="C76" i="5"/>
  <c r="D76" i="5"/>
  <c r="E76" i="5"/>
  <c r="F76" i="5"/>
  <c r="G76" i="5"/>
  <c r="H76" i="5"/>
  <c r="C80" i="5"/>
  <c r="D80" i="5"/>
  <c r="E80" i="5"/>
  <c r="F80" i="5"/>
  <c r="G80" i="5"/>
  <c r="H80" i="5"/>
  <c r="C81" i="5"/>
  <c r="D81" i="5"/>
  <c r="E81" i="5"/>
  <c r="F81" i="5"/>
  <c r="G81" i="5"/>
  <c r="H81" i="5"/>
  <c r="C82" i="5"/>
  <c r="D82" i="5"/>
  <c r="E82" i="5"/>
  <c r="F82" i="5"/>
  <c r="G82" i="5"/>
  <c r="H82" i="5"/>
  <c r="C83" i="5"/>
  <c r="D83" i="5"/>
  <c r="E83" i="5"/>
  <c r="F83" i="5"/>
  <c r="G83" i="5"/>
  <c r="H83" i="5"/>
  <c r="C86" i="5"/>
  <c r="D137" i="5"/>
  <c r="D84" i="5"/>
  <c r="D86" i="5"/>
  <c r="D138" i="5"/>
  <c r="E84" i="5"/>
  <c r="E86" i="5"/>
  <c r="D139" i="5"/>
  <c r="F84" i="5"/>
  <c r="F86" i="5"/>
  <c r="D140" i="5"/>
  <c r="G84" i="5"/>
  <c r="G86" i="5"/>
  <c r="D141" i="5"/>
  <c r="H84" i="5"/>
  <c r="H86" i="5"/>
  <c r="C91" i="5"/>
  <c r="D91" i="5"/>
  <c r="E91" i="5"/>
  <c r="F91" i="5"/>
  <c r="G91" i="5"/>
  <c r="H91" i="5"/>
  <c r="C95" i="5"/>
  <c r="D95" i="5"/>
  <c r="E95" i="5"/>
  <c r="F95" i="5"/>
  <c r="G95" i="5"/>
  <c r="H95" i="5"/>
  <c r="C96" i="5"/>
  <c r="D96" i="5"/>
  <c r="E96" i="5"/>
  <c r="F96" i="5"/>
  <c r="G96" i="5"/>
  <c r="H96" i="5"/>
  <c r="C97" i="5"/>
  <c r="D97" i="5"/>
  <c r="E97" i="5"/>
  <c r="F97" i="5"/>
  <c r="G97" i="5"/>
  <c r="H97" i="5"/>
  <c r="C98" i="5"/>
  <c r="D98" i="5"/>
  <c r="E98" i="5"/>
  <c r="F98" i="5"/>
  <c r="G98" i="5"/>
  <c r="H98" i="5"/>
  <c r="D142" i="5"/>
  <c r="C99" i="5"/>
  <c r="C101" i="5"/>
  <c r="D143" i="5"/>
  <c r="D99" i="5"/>
  <c r="D101" i="5"/>
  <c r="D144" i="5"/>
  <c r="E99" i="5"/>
  <c r="E101" i="5"/>
  <c r="D145" i="5"/>
  <c r="F99" i="5"/>
  <c r="F101" i="5"/>
  <c r="D146" i="5"/>
  <c r="G99" i="5"/>
  <c r="G101" i="5"/>
  <c r="D147" i="5"/>
  <c r="H99" i="5"/>
  <c r="H101" i="5"/>
  <c r="C110" i="5"/>
  <c r="D110" i="5"/>
  <c r="E110" i="5"/>
  <c r="F110" i="5"/>
  <c r="G110" i="5"/>
  <c r="H110" i="5"/>
  <c r="C114" i="5"/>
  <c r="D114" i="5"/>
  <c r="E114" i="5"/>
  <c r="F114" i="5"/>
  <c r="G114" i="5"/>
  <c r="H114" i="5"/>
  <c r="C115" i="5"/>
  <c r="D115" i="5"/>
  <c r="E115" i="5"/>
  <c r="F115" i="5"/>
  <c r="G115" i="5"/>
  <c r="H115" i="5"/>
  <c r="C118" i="5"/>
  <c r="F137" i="5"/>
  <c r="D116" i="5"/>
  <c r="D118" i="5"/>
  <c r="F138" i="5"/>
  <c r="E116" i="5"/>
  <c r="E118" i="5"/>
  <c r="F139" i="5"/>
  <c r="F116" i="5"/>
  <c r="F118" i="5"/>
  <c r="F140" i="5"/>
  <c r="G116" i="5"/>
  <c r="G118" i="5"/>
  <c r="F141" i="5"/>
  <c r="H116" i="5"/>
  <c r="H118" i="5"/>
  <c r="C123" i="5"/>
  <c r="D123" i="5"/>
  <c r="E123" i="5"/>
  <c r="F123" i="5"/>
  <c r="G123" i="5"/>
  <c r="H123" i="5"/>
  <c r="C127" i="5"/>
  <c r="D127" i="5"/>
  <c r="E127" i="5"/>
  <c r="F127" i="5"/>
  <c r="G127" i="5"/>
  <c r="H127" i="5"/>
  <c r="C128" i="5"/>
  <c r="D128" i="5"/>
  <c r="E128" i="5"/>
  <c r="F128" i="5"/>
  <c r="G128" i="5"/>
  <c r="H128" i="5"/>
  <c r="F142" i="5"/>
  <c r="C129" i="5"/>
  <c r="C131" i="5"/>
  <c r="F143" i="5"/>
  <c r="D129" i="5"/>
  <c r="D131" i="5"/>
  <c r="F144" i="5"/>
  <c r="E129" i="5"/>
  <c r="E131" i="5"/>
  <c r="F145" i="5"/>
  <c r="F129" i="5"/>
  <c r="F131" i="5"/>
  <c r="F146" i="5"/>
  <c r="G129" i="5"/>
  <c r="G131" i="5"/>
  <c r="F147" i="5"/>
  <c r="H129" i="5"/>
  <c r="H131" i="5"/>
  <c r="E137" i="5"/>
  <c r="G137" i="5"/>
  <c r="E138" i="5"/>
  <c r="G138" i="5"/>
  <c r="E139" i="5"/>
  <c r="G139" i="5"/>
  <c r="E140" i="5"/>
  <c r="G140" i="5"/>
  <c r="E141" i="5"/>
  <c r="G141" i="5"/>
  <c r="E142" i="5"/>
  <c r="G142" i="5"/>
  <c r="E143" i="5"/>
  <c r="G143" i="5"/>
  <c r="E144" i="5"/>
  <c r="G144" i="5"/>
  <c r="E145" i="5"/>
  <c r="G145" i="5"/>
  <c r="E146" i="5"/>
  <c r="G146" i="5"/>
  <c r="E147" i="5"/>
  <c r="G147" i="5"/>
  <c r="D148" i="5"/>
  <c r="E148" i="5"/>
  <c r="F148" i="5"/>
  <c r="G148" i="5"/>
  <c r="D150" i="5"/>
  <c r="F150" i="5"/>
  <c r="E153" i="5"/>
  <c r="C4" i="1"/>
  <c r="C10" i="1"/>
  <c r="C11" i="1"/>
  <c r="C12" i="1"/>
  <c r="C13" i="1"/>
  <c r="C9" i="1"/>
  <c r="C15" i="1"/>
  <c r="C19" i="1"/>
  <c r="C20" i="1"/>
  <c r="C21" i="1"/>
  <c r="C22" i="1"/>
  <c r="C23" i="1"/>
  <c r="C17" i="1"/>
  <c r="C25" i="1"/>
  <c r="C30" i="1"/>
  <c r="C31" i="1"/>
  <c r="C32" i="1"/>
  <c r="C33" i="1"/>
  <c r="C34" i="1"/>
  <c r="C35" i="1"/>
  <c r="C36" i="1"/>
  <c r="C27" i="1"/>
  <c r="C38" i="1"/>
  <c r="C46" i="1"/>
  <c r="C57" i="1"/>
  <c r="C61" i="1"/>
  <c r="D4" i="1"/>
  <c r="D10" i="1"/>
  <c r="D11" i="1"/>
  <c r="D12" i="1"/>
  <c r="D13" i="1"/>
  <c r="D9" i="1"/>
  <c r="D15" i="1"/>
  <c r="D19" i="1"/>
  <c r="D20" i="1"/>
  <c r="D21" i="1"/>
  <c r="D22" i="1"/>
  <c r="D23" i="1"/>
  <c r="D17" i="1"/>
  <c r="D25" i="1"/>
  <c r="D30" i="1"/>
  <c r="D31" i="1"/>
  <c r="D32" i="1"/>
  <c r="D33" i="1"/>
  <c r="D34" i="1"/>
  <c r="D35" i="1"/>
  <c r="D36" i="1"/>
  <c r="D27" i="1"/>
  <c r="D38" i="1"/>
  <c r="D46" i="1"/>
  <c r="D57" i="1"/>
  <c r="D61" i="1"/>
  <c r="E4" i="1"/>
  <c r="E10" i="1"/>
  <c r="E11" i="1"/>
  <c r="E12" i="1"/>
  <c r="E13" i="1"/>
  <c r="E9" i="1"/>
  <c r="E15" i="1"/>
  <c r="E19" i="1"/>
  <c r="E21" i="1"/>
  <c r="E22" i="1"/>
  <c r="E23" i="1"/>
  <c r="E17" i="1"/>
  <c r="E25" i="1"/>
  <c r="E30" i="1"/>
  <c r="E31" i="1"/>
  <c r="E32" i="1"/>
  <c r="E33" i="1"/>
  <c r="E34" i="1"/>
  <c r="E35" i="1"/>
  <c r="E36" i="1"/>
  <c r="E27" i="1"/>
  <c r="E38" i="1"/>
  <c r="E46" i="1"/>
  <c r="E57" i="1"/>
  <c r="E61" i="1"/>
  <c r="F28" i="3"/>
  <c r="E4" i="3"/>
  <c r="E5" i="3"/>
  <c r="E6" i="3"/>
  <c r="E7" i="3"/>
  <c r="E9" i="3"/>
  <c r="E30" i="3"/>
  <c r="E11" i="3"/>
  <c r="E12" i="3"/>
  <c r="E13" i="3"/>
  <c r="E14" i="3"/>
  <c r="E15" i="3"/>
  <c r="E31" i="3"/>
  <c r="E17" i="3"/>
  <c r="E18" i="3"/>
  <c r="E19" i="3"/>
  <c r="E20" i="3"/>
  <c r="E22" i="3"/>
  <c r="E32" i="3"/>
  <c r="F33" i="3"/>
  <c r="F38" i="3"/>
  <c r="F40" i="3"/>
  <c r="F43" i="3"/>
  <c r="H16" i="4"/>
  <c r="F41" i="2"/>
  <c r="E24" i="3"/>
  <c r="F40" i="2"/>
  <c r="F28" i="2"/>
  <c r="F27" i="2"/>
  <c r="D66" i="1"/>
  <c r="D20" i="2"/>
  <c r="H14" i="4"/>
  <c r="H18" i="4"/>
  <c r="C20" i="3"/>
  <c r="C19" i="3"/>
  <c r="C18" i="3"/>
  <c r="C17" i="3"/>
  <c r="C14" i="3"/>
  <c r="C13" i="3"/>
  <c r="C12" i="3"/>
  <c r="C11" i="3"/>
  <c r="C7" i="3"/>
  <c r="C6" i="3"/>
  <c r="C5" i="3"/>
  <c r="C4" i="3"/>
  <c r="F32" i="3"/>
  <c r="F31" i="3"/>
  <c r="F30" i="3"/>
  <c r="C39" i="2"/>
  <c r="C43" i="2"/>
  <c r="C44" i="2"/>
  <c r="C46" i="2"/>
  <c r="E52" i="2"/>
  <c r="C26" i="2"/>
  <c r="C28" i="2"/>
  <c r="C30" i="2"/>
  <c r="C31" i="2"/>
  <c r="F24" i="3"/>
  <c r="E26" i="2"/>
  <c r="F39" i="2"/>
  <c r="E39" i="2"/>
  <c r="D39" i="2"/>
  <c r="D12" i="2"/>
  <c r="E17" i="2"/>
  <c r="F26" i="2"/>
  <c r="F12" i="2"/>
  <c r="D26" i="2"/>
  <c r="E18" i="2"/>
  <c r="C32" i="2"/>
  <c r="C33" i="2"/>
  <c r="C35" i="2"/>
  <c r="D52" i="2"/>
  <c r="D43" i="2"/>
  <c r="D44" i="2"/>
  <c r="D46" i="2"/>
  <c r="E53" i="2"/>
  <c r="D30" i="2"/>
  <c r="G12" i="2"/>
  <c r="H12" i="2"/>
  <c r="E20" i="2"/>
  <c r="D32" i="2"/>
  <c r="D31" i="2"/>
  <c r="D33" i="2"/>
  <c r="D35" i="2"/>
  <c r="D53" i="2"/>
  <c r="F43" i="2"/>
  <c r="F44" i="2"/>
  <c r="F46" i="2"/>
  <c r="E55" i="2"/>
  <c r="F30" i="2"/>
  <c r="E43" i="2"/>
  <c r="E46" i="2"/>
  <c r="E54" i="2"/>
  <c r="E30" i="2"/>
  <c r="E57" i="2"/>
  <c r="F32" i="2"/>
  <c r="F31" i="2"/>
  <c r="E32" i="2"/>
  <c r="E33" i="2"/>
  <c r="E35" i="2"/>
  <c r="D54" i="2"/>
  <c r="F33" i="2"/>
  <c r="F35" i="2"/>
  <c r="D55" i="2"/>
  <c r="D57" i="2"/>
  <c r="F45" i="3"/>
</calcChain>
</file>

<file path=xl/sharedStrings.xml><?xml version="1.0" encoding="utf-8"?>
<sst xmlns="http://schemas.openxmlformats.org/spreadsheetml/2006/main" count="263" uniqueCount="161">
  <si>
    <t>Descrição</t>
  </si>
  <si>
    <t>RECEITA BRUTA</t>
  </si>
  <si>
    <t xml:space="preserve">     VENDA DE MERCADORIAS</t>
  </si>
  <si>
    <t xml:space="preserve">     SERVIÇOS PRESTADOS</t>
  </si>
  <si>
    <t xml:space="preserve">     DEVOLUÇÃO SOBRE VENDAS</t>
  </si>
  <si>
    <t>IMPOSTOS</t>
  </si>
  <si>
    <t xml:space="preserve">     PIS </t>
  </si>
  <si>
    <t xml:space="preserve">     COFINS </t>
  </si>
  <si>
    <t xml:space="preserve">     ICMS</t>
  </si>
  <si>
    <t xml:space="preserve">     ISS</t>
  </si>
  <si>
    <t>RECEITA LÍQUIDA</t>
  </si>
  <si>
    <t>CUSTO DAS VENDAS</t>
  </si>
  <si>
    <r>
      <t xml:space="preserve">     </t>
    </r>
    <r>
      <rPr>
        <sz val="10"/>
        <color rgb="FF404040"/>
        <rFont val="Calibri"/>
        <family val="2"/>
        <scheme val="minor"/>
      </rPr>
      <t>(+) COMPRAS MERCADORIAS</t>
    </r>
  </si>
  <si>
    <t xml:space="preserve">     (+) FRETES</t>
  </si>
  <si>
    <r>
      <t xml:space="preserve">     </t>
    </r>
    <r>
      <rPr>
        <sz val="10"/>
        <color rgb="FF404040"/>
        <rFont val="Calibri"/>
        <family val="2"/>
        <scheme val="minor"/>
      </rPr>
      <t>( - ) ICMS SOBRE COMPRAS E FRETES</t>
    </r>
  </si>
  <si>
    <r>
      <t xml:space="preserve">     </t>
    </r>
    <r>
      <rPr>
        <sz val="10"/>
        <color rgb="FF404040"/>
        <rFont val="Calibri"/>
        <family val="2"/>
        <scheme val="minor"/>
      </rPr>
      <t>( - ) PIS SOBRE COMPRAS</t>
    </r>
  </si>
  <si>
    <r>
      <t xml:space="preserve">     </t>
    </r>
    <r>
      <rPr>
        <sz val="10"/>
        <color rgb="FF404040"/>
        <rFont val="Calibri"/>
        <family val="2"/>
        <scheme val="minor"/>
      </rPr>
      <t>( - ) COFINS SOBRE COMPRAS</t>
    </r>
  </si>
  <si>
    <t xml:space="preserve">     CUSTO DOS PRODUTOS VENDIDOS</t>
  </si>
  <si>
    <t>LUCRO BRUTO</t>
  </si>
  <si>
    <t>DESPESAS FIXAS</t>
  </si>
  <si>
    <t xml:space="preserve">     PRÓ-LABORE (Sócios)</t>
  </si>
  <si>
    <t xml:space="preserve">     SALÁRIOS </t>
  </si>
  <si>
    <t xml:space="preserve">     FGTS</t>
  </si>
  <si>
    <t xml:space="preserve">     INSS SOBRE FOLHA DE PAGAMENTO</t>
  </si>
  <si>
    <t xml:space="preserve">     TERCEIROS FOLHA PAGAMENTO </t>
  </si>
  <si>
    <t xml:space="preserve">     PROVISÃO 13° SALÁRIO</t>
  </si>
  <si>
    <t xml:space="preserve">     ENCARGOS SOBRE 13° SALÁRIO</t>
  </si>
  <si>
    <t xml:space="preserve">     PROVISÃO FÉRIAS E 1/3 DE FÉRIAS</t>
  </si>
  <si>
    <t xml:space="preserve">     ENCARGOS SOBRE FÉRIAS E 1/3 FÉRIAS</t>
  </si>
  <si>
    <t>INFRA-ESTRUTURA</t>
  </si>
  <si>
    <t xml:space="preserve">     AGUA E ESGOTO</t>
  </si>
  <si>
    <t xml:space="preserve">     TELEFONE</t>
  </si>
  <si>
    <t xml:space="preserve">     INTERNET</t>
  </si>
  <si>
    <t xml:space="preserve">     ENERGIA </t>
  </si>
  <si>
    <t xml:space="preserve">     ALUGUEL A PAGAR </t>
  </si>
  <si>
    <t xml:space="preserve">     DEPRECIAÇÃO </t>
  </si>
  <si>
    <t>OUTRAS DESPESAS</t>
  </si>
  <si>
    <t xml:space="preserve">     COMBUSTÍVEIS</t>
  </si>
  <si>
    <t xml:space="preserve">     CONTABILIDADE</t>
  </si>
  <si>
    <t xml:space="preserve">     OUTRAS CONSULTORIAS</t>
  </si>
  <si>
    <t xml:space="preserve">     MATERIAL DE ESCRITÓRIO</t>
  </si>
  <si>
    <t xml:space="preserve">     CURSOS E TREINAMENTOS</t>
  </si>
  <si>
    <t xml:space="preserve">     PRODUTOS DE LIMPEZA (USO E CONSUMO)</t>
  </si>
  <si>
    <t xml:space="preserve"> OUTRAS RECEITAS</t>
  </si>
  <si>
    <t>LUCRO ANTES DO IR e CSLL</t>
  </si>
  <si>
    <t>PREJUÍZOS ACUMULADOS ANOS ANTERIORES</t>
  </si>
  <si>
    <t>Ano</t>
  </si>
  <si>
    <t xml:space="preserve">Prejuízo </t>
  </si>
  <si>
    <t>TOTAL</t>
  </si>
  <si>
    <t xml:space="preserve">LUCRO </t>
  </si>
  <si>
    <t>TRIMESTRE</t>
  </si>
  <si>
    <t>LUCRO</t>
  </si>
  <si>
    <t>1° TRI</t>
  </si>
  <si>
    <t>2° TRI</t>
  </si>
  <si>
    <t>3° TRI</t>
  </si>
  <si>
    <t>4° TRI</t>
  </si>
  <si>
    <t>LUCRO REAL TRIMESTRAL - IR</t>
  </si>
  <si>
    <t>Mês / Ano</t>
  </si>
  <si>
    <t>LUCRO / PREJUÍZO</t>
  </si>
  <si>
    <t xml:space="preserve">ADIÇÕES </t>
  </si>
  <si>
    <t>PREJ. ANTERIORES</t>
  </si>
  <si>
    <t>OUTRAS EXCLUSÕES</t>
  </si>
  <si>
    <t xml:space="preserve">LUCRO TRIBUTÁVEL </t>
  </si>
  <si>
    <t>IRPJ</t>
  </si>
  <si>
    <t>AD IRPJ</t>
  </si>
  <si>
    <t>TOTAL IRPJ</t>
  </si>
  <si>
    <t>IR RETIDO</t>
  </si>
  <si>
    <t>IRPJ A RECOLHER</t>
  </si>
  <si>
    <t>LUCRO REAL TRIMESTRAL - CSLL</t>
  </si>
  <si>
    <t>TOTAL CSLL</t>
  </si>
  <si>
    <t>CSLL RETIDO</t>
  </si>
  <si>
    <t>CSLL</t>
  </si>
  <si>
    <t xml:space="preserve">PARTE A  - REGISTRO DOS AJUSTES DO LUCRO LIQUIDO DO EXERCICIO                                           </t>
  </si>
  <si>
    <t xml:space="preserve">DATA     </t>
  </si>
  <si>
    <t xml:space="preserve">H  I  S  T  O  R  I  C  O  </t>
  </si>
  <si>
    <t>ADIÇÕES</t>
  </si>
  <si>
    <t>EXCLUSÕES</t>
  </si>
  <si>
    <t xml:space="preserve">         </t>
  </si>
  <si>
    <t xml:space="preserve">                              </t>
  </si>
  <si>
    <t xml:space="preserve">T O T A L     A D I Ç Õ E S    E    E X C L U S Õ E S </t>
  </si>
  <si>
    <t xml:space="preserve">DEMONSTRATIVO DO LUCRO REAL   </t>
  </si>
  <si>
    <t xml:space="preserve">R E S U L T A D O    D O     P E R Í O D O </t>
  </si>
  <si>
    <t>A D I Ç Õ E S :</t>
  </si>
  <si>
    <t xml:space="preserve">T O T A L     A D I Ç Õ E S   </t>
  </si>
  <si>
    <t>E X C L U S Õ E S :</t>
  </si>
  <si>
    <t xml:space="preserve">T O T A L     E X C L U S Õ E S   </t>
  </si>
  <si>
    <t>LUCRO REAL</t>
  </si>
  <si>
    <t>__________________________</t>
  </si>
  <si>
    <t>PARTE B   -  CONTROLE DE VALORES QUE CONSTITUIRÃO AJUSTE DO LUCRO LIQUIDO DE EXERCÍCIOS FUTUROS</t>
  </si>
  <si>
    <t>FOLHA 26</t>
  </si>
  <si>
    <t>CONTA :</t>
  </si>
  <si>
    <t>Para efeitos de Correção Monetária</t>
  </si>
  <si>
    <t xml:space="preserve">                   Controle de Valores</t>
  </si>
  <si>
    <t>DATA</t>
  </si>
  <si>
    <t xml:space="preserve">H  I  S   T  Ó  R  I  C  O  </t>
  </si>
  <si>
    <t>Mês de</t>
  </si>
  <si>
    <t>Valor a</t>
  </si>
  <si>
    <t>Coef.</t>
  </si>
  <si>
    <t>Débito</t>
  </si>
  <si>
    <t>Crédito</t>
  </si>
  <si>
    <t>Valor Corrigido</t>
  </si>
  <si>
    <t>D/C</t>
  </si>
  <si>
    <t>Ref.</t>
  </si>
  <si>
    <t>Corrigir</t>
  </si>
  <si>
    <t>Prej. Fiscal apurado n/exercício</t>
  </si>
  <si>
    <t xml:space="preserve">     BRINDES P/ CLIENTES</t>
  </si>
  <si>
    <t xml:space="preserve">     PLANO DE SAÚDE DIRETORIA</t>
  </si>
  <si>
    <t xml:space="preserve">      Contador </t>
  </si>
  <si>
    <t>CSLL A RECOLHER</t>
  </si>
  <si>
    <t xml:space="preserve">PREJUIZO FISCAL ANO CALENDÁRIO </t>
  </si>
  <si>
    <t>DARF</t>
  </si>
  <si>
    <r>
      <rPr>
        <b/>
        <sz val="11"/>
        <color theme="1"/>
        <rFont val="Open Sans"/>
        <family val="2"/>
      </rPr>
      <t>3373</t>
    </r>
    <r>
      <rPr>
        <sz val="11"/>
        <color theme="1"/>
        <rFont val="Open Sans"/>
        <family val="2"/>
      </rPr>
      <t xml:space="preserve"> - Pessoas jurídicas não obrigadas, mas optante</t>
    </r>
  </si>
  <si>
    <r>
      <rPr>
        <b/>
        <sz val="11"/>
        <color theme="1"/>
        <rFont val="Open Sans"/>
        <family val="2"/>
      </rPr>
      <t xml:space="preserve">6012 </t>
    </r>
    <r>
      <rPr>
        <sz val="11"/>
        <color theme="1"/>
        <rFont val="Open Sans"/>
        <family val="2"/>
      </rPr>
      <t>- Demais pessoas jurídicas</t>
    </r>
  </si>
  <si>
    <t>PREJUÍZOS PERÍODOS ANTERIORES (LIMITADO A 30% DO LUCRO)</t>
  </si>
  <si>
    <t xml:space="preserve">     DESPESAS SÓCIOS </t>
  </si>
  <si>
    <t>4º TRI 2020</t>
  </si>
  <si>
    <t>Outubro</t>
  </si>
  <si>
    <t xml:space="preserve">Novembro </t>
  </si>
  <si>
    <t>Dezembro</t>
  </si>
  <si>
    <t xml:space="preserve">     DOAÇÃO AMIGOS DA FLORESTA</t>
  </si>
  <si>
    <t>Despesas Indedutíveis 10/2021</t>
  </si>
  <si>
    <t>Despesas Indedutíveis 11/2021</t>
  </si>
  <si>
    <t>Despesas Indedutíveis 12/2021</t>
  </si>
  <si>
    <t>OUTRAS RECEITAS</t>
  </si>
  <si>
    <t>NATUREZA DOS AJUSTES - OUTUBRO/2021</t>
  </si>
  <si>
    <t>NATUREZA DOS AJUSTES - NOVEMBRO/2021</t>
  </si>
  <si>
    <t>NATUREZA DOS AJUSTES - DEZEMBRO/2021</t>
  </si>
  <si>
    <t xml:space="preserve">OBSERVAÇÕES </t>
  </si>
  <si>
    <t>4º TRI</t>
  </si>
  <si>
    <t>2020-4</t>
  </si>
  <si>
    <t>ESTIMATIVA / BALANÇO</t>
  </si>
  <si>
    <t>COMPENSAÇÃO CSLL ACUMULADO</t>
  </si>
  <si>
    <t>EBTIDA</t>
  </si>
  <si>
    <t>JAN à DEZ</t>
  </si>
  <si>
    <t>JAN à NOV</t>
  </si>
  <si>
    <t>JAN à OUT</t>
  </si>
  <si>
    <t>JAN à SET</t>
  </si>
  <si>
    <t>JAN à AGO</t>
  </si>
  <si>
    <t>JAN à JUL</t>
  </si>
  <si>
    <t>BALANCETE DE REDUÇÃO / SUSPENSÃO - CSLL  (2º SEMESTRE)</t>
  </si>
  <si>
    <t>JAN à JUN</t>
  </si>
  <si>
    <t xml:space="preserve">JAN à MAI </t>
  </si>
  <si>
    <t>JAN à ABR</t>
  </si>
  <si>
    <t>JAN à MAR</t>
  </si>
  <si>
    <t>JAN à FEV</t>
  </si>
  <si>
    <t xml:space="preserve">JAN </t>
  </si>
  <si>
    <t>BALANCETE DE REDUÇÃO / SUSPENSÃO - CSLL  (1º SEMESTRE)</t>
  </si>
  <si>
    <t>COMPENSAÇÃO IR ACUMULADO</t>
  </si>
  <si>
    <t>BALANCETE DE REDUÇÃO / SUSPENSÃO - IR  (2º SEMESTRE)</t>
  </si>
  <si>
    <t>BALANCETE DE REDUÇÃO / SUSPENSÃO - IR  (1º SEMESTRE)</t>
  </si>
  <si>
    <t xml:space="preserve">TOTAL A PAGAR </t>
  </si>
  <si>
    <t>Presunção</t>
  </si>
  <si>
    <t>Receita Matriz e Filial</t>
  </si>
  <si>
    <t>ESTIMATIVA CSLL</t>
  </si>
  <si>
    <t>Total a Pagar</t>
  </si>
  <si>
    <t>AD IR</t>
  </si>
  <si>
    <t xml:space="preserve">IRPJ </t>
  </si>
  <si>
    <t>ESTIMATIVA IRPJ</t>
  </si>
  <si>
    <t xml:space="preserve">LUCRO ANTES IR </t>
  </si>
  <si>
    <t xml:space="preserve">Receita Bruta </t>
  </si>
  <si>
    <t>RECEITA BRUTA E LUCRO ANTES DO 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</si>
</sst>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.00;[Red]\-&quot;R$&quot;#,##0.00"/>
    <numFmt numFmtId="165" formatCode="_-&quot;R$&quot;* #,##0.00_-;\-&quot;R$&quot;* #,##0.00_-;_-&quot;R$&quot;* &quot;-&quot;??_-;_-@_-"/>
    <numFmt numFmtId="166" formatCode="_(&quot;R$ &quot;* #,##0.00_);_(&quot;R$ &quot;* \(#,##0.00\);_(&quot;R$ &quot;* &quot;-&quot;??_);_(@_)"/>
    <numFmt numFmtId="167" formatCode="_(* #,##0.00_);_(* \(#,##0.00\);_(* &quot;-&quot;??_);_(@_)"/>
    <numFmt numFmtId="168" formatCode="&quot;R$&quot;#,##0.00;[Red]&quot;R$&quot;#,##0.00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2"/>
      <color rgb="FF404040"/>
      <name val="Calibri"/>
      <family val="2"/>
      <scheme val="minor"/>
    </font>
    <font>
      <b/>
      <i/>
      <sz val="10"/>
      <color rgb="FF006100"/>
      <name val="Comic Sans MS"/>
      <family val="4"/>
    </font>
    <font>
      <sz val="10"/>
      <color rgb="FF404040"/>
      <name val="Calibri"/>
      <family val="2"/>
      <scheme val="minor"/>
    </font>
    <font>
      <b/>
      <sz val="10"/>
      <color rgb="FF404040"/>
      <name val="Comic Sans MS"/>
      <family val="4"/>
    </font>
    <font>
      <b/>
      <sz val="10"/>
      <color rgb="FFFF0000"/>
      <name val="Comic Sans MS"/>
      <family val="4"/>
    </font>
    <font>
      <b/>
      <sz val="10"/>
      <color rgb="FF404040"/>
      <name val="Calibri"/>
      <family val="2"/>
      <scheme val="minor"/>
    </font>
    <font>
      <sz val="10"/>
      <color theme="1"/>
      <name val="Comic Sans MS"/>
      <family val="4"/>
    </font>
    <font>
      <sz val="10"/>
      <color theme="1"/>
      <name val="Calibri"/>
      <family val="2"/>
      <scheme val="minor"/>
    </font>
    <font>
      <b/>
      <sz val="10"/>
      <color rgb="FFBE0031"/>
      <name val="Comic Sans MS"/>
      <family val="4"/>
    </font>
    <font>
      <sz val="10"/>
      <color rgb="FF404040"/>
      <name val="Comic Sans MS"/>
      <family val="4"/>
    </font>
    <font>
      <b/>
      <sz val="10"/>
      <color indexed="12"/>
      <name val="Comic Sans MS"/>
      <family val="4"/>
    </font>
    <font>
      <b/>
      <sz val="10"/>
      <color rgb="FF9C6500"/>
      <name val="Comic Sans MS"/>
      <family val="4"/>
    </font>
    <font>
      <sz val="10"/>
      <name val="Arial"/>
      <family val="2"/>
    </font>
    <font>
      <b/>
      <sz val="10"/>
      <color rgb="FF006100"/>
      <name val="Comic Sans MS"/>
      <family val="4"/>
    </font>
    <font>
      <sz val="11"/>
      <color rgb="FF0000FF"/>
      <name val="Calibri"/>
      <family val="2"/>
      <scheme val="minor"/>
    </font>
    <font>
      <b/>
      <sz val="10"/>
      <color theme="1"/>
      <name val="Comic Sans MS"/>
      <family val="4"/>
    </font>
    <font>
      <sz val="10"/>
      <color theme="0"/>
      <name val="Comic Sans MS"/>
      <family val="4"/>
    </font>
    <font>
      <b/>
      <sz val="14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b/>
      <sz val="10"/>
      <color rgb="FF002060"/>
      <name val="Comic Sans MS"/>
      <family val="4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 val="singleAccounting"/>
      <sz val="11"/>
      <name val="Calibri"/>
      <family val="2"/>
      <scheme val="minor"/>
    </font>
    <font>
      <sz val="10"/>
      <name val="Comic Sans MS"/>
      <family val="4"/>
    </font>
    <font>
      <sz val="10"/>
      <color rgb="FFFF0000"/>
      <name val="Comic Sans MS"/>
      <family val="4"/>
    </font>
    <font>
      <b/>
      <sz val="20"/>
      <color theme="1"/>
      <name val="Calibri"/>
      <family val="2"/>
      <scheme val="minor"/>
    </font>
    <font>
      <b/>
      <sz val="14"/>
      <color theme="0"/>
      <name val="Open Sans"/>
      <family val="2"/>
    </font>
    <font>
      <sz val="11"/>
      <color theme="1"/>
      <name val="Open Sans"/>
      <family val="2"/>
    </font>
    <font>
      <b/>
      <sz val="11"/>
      <color theme="1"/>
      <name val="Open Sans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404040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1"/>
      <color indexed="12"/>
      <name val="Calibri"/>
      <family val="2"/>
    </font>
    <font>
      <sz val="10"/>
      <color indexed="63"/>
      <name val="Comic Sans MS"/>
      <family val="4"/>
    </font>
    <font>
      <sz val="11"/>
      <color indexed="12"/>
      <name val="Calibri"/>
      <family val="2"/>
    </font>
    <font>
      <b/>
      <sz val="11"/>
      <color indexed="9"/>
      <name val="Calibri"/>
      <family val="2"/>
    </font>
    <font>
      <b/>
      <sz val="10"/>
      <color indexed="63"/>
      <name val="Comic Sans MS"/>
      <family val="4"/>
    </font>
    <font>
      <b/>
      <sz val="14"/>
      <color indexed="8"/>
      <name val="Calibri"/>
      <family val="2"/>
    </font>
    <font>
      <b/>
      <sz val="18"/>
      <color indexed="8"/>
      <name val="Calibri"/>
      <family val="2"/>
    </font>
    <font>
      <b/>
      <sz val="10"/>
      <color indexed="8"/>
      <name val="Comic Sans MS"/>
      <family val="4"/>
    </font>
  </fonts>
  <fills count="2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rgb="FF3366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7" tint="0.79998168889431442"/>
        <bgColor indexed="64"/>
      </patternFill>
    </fill>
  </fills>
  <borders count="75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double">
        <color indexed="64"/>
      </top>
      <bottom style="double">
        <color theme="6"/>
      </bottom>
      <diagonal/>
    </border>
    <border>
      <left style="double">
        <color theme="6"/>
      </left>
      <right style="double">
        <color theme="6"/>
      </right>
      <top style="double">
        <color theme="6"/>
      </top>
      <bottom style="double">
        <color theme="6"/>
      </bottom>
      <diagonal/>
    </border>
    <border>
      <left style="double">
        <color theme="6"/>
      </left>
      <right/>
      <top style="double">
        <color theme="6"/>
      </top>
      <bottom style="double">
        <color theme="6"/>
      </bottom>
      <diagonal/>
    </border>
    <border>
      <left/>
      <right style="double">
        <color theme="6"/>
      </right>
      <top style="double">
        <color theme="6"/>
      </top>
      <bottom style="double">
        <color theme="6"/>
      </bottom>
      <diagonal/>
    </border>
    <border>
      <left style="double">
        <color theme="6"/>
      </left>
      <right style="double">
        <color theme="6"/>
      </right>
      <top style="double">
        <color theme="6"/>
      </top>
      <bottom style="double">
        <color indexed="64"/>
      </bottom>
      <diagonal/>
    </border>
    <border>
      <left style="double">
        <color theme="6"/>
      </left>
      <right/>
      <top style="double">
        <color theme="6"/>
      </top>
      <bottom/>
      <diagonal/>
    </border>
    <border>
      <left/>
      <right style="double">
        <color theme="6"/>
      </right>
      <top style="double">
        <color theme="6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theme="6"/>
      </right>
      <top style="double">
        <color indexed="64"/>
      </top>
      <bottom style="double">
        <color theme="6"/>
      </bottom>
      <diagonal/>
    </border>
    <border>
      <left style="double">
        <color theme="6"/>
      </left>
      <right style="double">
        <color indexed="64"/>
      </right>
      <top style="double">
        <color indexed="64"/>
      </top>
      <bottom style="double">
        <color theme="6"/>
      </bottom>
      <diagonal/>
    </border>
    <border>
      <left style="double">
        <color indexed="64"/>
      </left>
      <right style="double">
        <color theme="6"/>
      </right>
      <top style="double">
        <color theme="6"/>
      </top>
      <bottom style="double">
        <color theme="6"/>
      </bottom>
      <diagonal/>
    </border>
    <border>
      <left style="double">
        <color theme="6"/>
      </left>
      <right style="double">
        <color indexed="64"/>
      </right>
      <top style="double">
        <color theme="6"/>
      </top>
      <bottom style="double">
        <color theme="6"/>
      </bottom>
      <diagonal/>
    </border>
    <border>
      <left/>
      <right/>
      <top/>
      <bottom style="double">
        <color theme="6"/>
      </bottom>
      <diagonal/>
    </border>
    <border>
      <left style="double">
        <color theme="6"/>
      </left>
      <right style="double">
        <color theme="6"/>
      </right>
      <top style="double">
        <color indexed="64"/>
      </top>
      <bottom style="double">
        <color theme="6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theme="6"/>
      </top>
      <bottom style="double">
        <color theme="6"/>
      </bottom>
      <diagonal/>
    </border>
    <border>
      <left/>
      <right/>
      <top style="double">
        <color theme="6"/>
      </top>
      <bottom style="double">
        <color theme="6"/>
      </bottom>
      <diagonal/>
    </border>
    <border>
      <left/>
      <right style="double">
        <color indexed="64"/>
      </right>
      <top style="double">
        <color theme="6"/>
      </top>
      <bottom style="double">
        <color theme="6"/>
      </bottom>
      <diagonal/>
    </border>
    <border>
      <left style="double">
        <color indexed="64"/>
      </left>
      <right style="double">
        <color theme="6"/>
      </right>
      <top style="double">
        <color theme="6"/>
      </top>
      <bottom style="double">
        <color indexed="64"/>
      </bottom>
      <diagonal/>
    </border>
    <border>
      <left style="double">
        <color theme="6"/>
      </left>
      <right style="double">
        <color indexed="64"/>
      </right>
      <top style="double">
        <color theme="6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ck">
        <color theme="0"/>
      </top>
      <bottom style="thick">
        <color theme="0"/>
      </bottom>
      <diagonal/>
    </border>
    <border>
      <left style="double">
        <color auto="1"/>
      </left>
      <right/>
      <top style="double">
        <color rgb="FFA5A5A5"/>
      </top>
      <bottom style="double">
        <color auto="1"/>
      </bottom>
      <diagonal/>
    </border>
    <border>
      <left style="double">
        <color rgb="FFA5A5A5"/>
      </left>
      <right style="double">
        <color auto="1"/>
      </right>
      <top style="double">
        <color rgb="FFA5A5A5"/>
      </top>
      <bottom style="double">
        <color auto="1"/>
      </bottom>
      <diagonal/>
    </border>
    <border>
      <left style="double">
        <color rgb="FFA5A5A5"/>
      </left>
      <right style="double">
        <color rgb="FFA5A5A5"/>
      </right>
      <top style="double">
        <color rgb="FFA5A5A5"/>
      </top>
      <bottom style="double">
        <color rgb="FFA5A5A5"/>
      </bottom>
      <diagonal/>
    </border>
    <border>
      <left style="double">
        <color rgb="FFA5A5A5"/>
      </left>
      <right style="double">
        <color rgb="FFA6A6A6"/>
      </right>
      <top style="double">
        <color rgb="FFA5A5A5"/>
      </top>
      <bottom style="double">
        <color auto="1"/>
      </bottom>
      <diagonal/>
    </border>
    <border>
      <left style="double">
        <color rgb="FFA5A5A5"/>
      </left>
      <right style="double">
        <color auto="1"/>
      </right>
      <top style="double">
        <color rgb="FFA5A5A5"/>
      </top>
      <bottom style="double">
        <color rgb="FFA5A5A5"/>
      </bottom>
      <diagonal/>
    </border>
    <border>
      <left style="double">
        <color rgb="FFA5A5A5"/>
      </left>
      <right style="double">
        <color rgb="FFA6A6A6"/>
      </right>
      <top style="double">
        <color rgb="FFA5A5A5"/>
      </top>
      <bottom style="double">
        <color rgb="FFA5A5A5"/>
      </bottom>
      <diagonal/>
    </border>
    <border>
      <left style="double">
        <color rgb="FFA5A5A5"/>
      </left>
      <right style="double">
        <color auto="1"/>
      </right>
      <top style="double">
        <color auto="1"/>
      </top>
      <bottom style="double">
        <color rgb="FFA5A5A5"/>
      </bottom>
      <diagonal/>
    </border>
    <border>
      <left/>
      <right style="double">
        <color rgb="FFA6A6A6"/>
      </right>
      <top style="double">
        <color auto="1"/>
      </top>
      <bottom/>
      <diagonal/>
    </border>
    <border>
      <left style="double">
        <color rgb="FFA5A5A5"/>
      </left>
      <right style="double">
        <color rgb="FFA6A6A6"/>
      </right>
      <top style="double">
        <color auto="1"/>
      </top>
      <bottom style="double">
        <color rgb="FFA5A5A5"/>
      </bottom>
      <diagonal/>
    </border>
    <border>
      <left style="double">
        <color rgb="FFA5A5A5"/>
      </left>
      <right style="double">
        <color rgb="FFA5A5A5"/>
      </right>
      <top style="double">
        <color auto="1"/>
      </top>
      <bottom style="double">
        <color rgb="FFA5A5A5"/>
      </bottom>
      <diagonal/>
    </border>
    <border>
      <left style="double">
        <color auto="1"/>
      </left>
      <right style="double">
        <color rgb="FFA5A5A5"/>
      </right>
      <top style="double">
        <color auto="1"/>
      </top>
      <bottom style="double">
        <color rgb="FFA5A5A5"/>
      </bottom>
      <diagonal/>
    </border>
    <border>
      <left/>
      <right/>
      <top/>
      <bottom style="double">
        <color rgb="FFA5A5A5"/>
      </bottom>
      <diagonal/>
    </border>
    <border>
      <left/>
      <right/>
      <top style="double">
        <color rgb="FFA5A5A5"/>
      </top>
      <bottom style="double">
        <color rgb="FFA5A5A5"/>
      </bottom>
      <diagonal/>
    </border>
    <border>
      <left style="double">
        <color rgb="FFA5A5A5"/>
      </left>
      <right/>
      <top style="double">
        <color rgb="FFA5A5A5"/>
      </top>
      <bottom style="double">
        <color rgb="FFA5A5A5"/>
      </bottom>
      <diagonal/>
    </border>
    <border>
      <left/>
      <right/>
      <top style="double">
        <color auto="1"/>
      </top>
      <bottom style="double">
        <color rgb="FFA5A5A5"/>
      </bottom>
      <diagonal/>
    </border>
    <border>
      <left/>
      <right style="double">
        <color rgb="FFA5A5A5"/>
      </right>
      <top style="double">
        <color rgb="FFA5A5A5"/>
      </top>
      <bottom/>
      <diagonal/>
    </border>
    <border>
      <left style="double">
        <color rgb="FFA5A5A5"/>
      </left>
      <right/>
      <top style="double">
        <color rgb="FFA5A5A5"/>
      </top>
      <bottom/>
      <diagonal/>
    </border>
    <border>
      <left style="double">
        <color rgb="FFA5A5A5"/>
      </left>
      <right style="double">
        <color rgb="FFA5A5A5"/>
      </right>
      <top style="double">
        <color rgb="FFA5A5A5"/>
      </top>
      <bottom style="double">
        <color auto="1"/>
      </bottom>
      <diagonal/>
    </border>
    <border>
      <left/>
      <right style="double">
        <color rgb="FFA5A5A5"/>
      </right>
      <top style="double">
        <color rgb="FFA5A5A5"/>
      </top>
      <bottom style="double">
        <color rgb="FFA5A5A5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4" borderId="0" applyNumberFormat="0" applyBorder="0" applyAlignment="0" applyProtection="0"/>
    <xf numFmtId="0" fontId="4" fillId="5" borderId="0" applyNumberFormat="0" applyBorder="0" applyAlignment="0" applyProtection="0"/>
    <xf numFmtId="166" fontId="18" fillId="0" borderId="0" applyFont="0" applyFill="0" applyBorder="0" applyAlignment="0" applyProtection="0"/>
  </cellStyleXfs>
  <cellXfs count="264">
    <xf numFmtId="0" fontId="0" fillId="0" borderId="0" xfId="0"/>
    <xf numFmtId="0" fontId="5" fillId="6" borderId="1" xfId="0" applyFont="1" applyFill="1" applyBorder="1" applyAlignment="1" applyProtection="1">
      <alignment vertical="center"/>
      <protection hidden="1"/>
    </xf>
    <xf numFmtId="44" fontId="5" fillId="6" borderId="2" xfId="2" applyFont="1" applyFill="1" applyBorder="1" applyAlignment="1" applyProtection="1">
      <alignment horizontal="center" vertical="center"/>
      <protection hidden="1"/>
    </xf>
    <xf numFmtId="0" fontId="6" fillId="7" borderId="2" xfId="0" applyFont="1" applyFill="1" applyBorder="1" applyAlignment="1" applyProtection="1">
      <alignment vertical="center"/>
      <protection hidden="1"/>
    </xf>
    <xf numFmtId="44" fontId="7" fillId="8" borderId="2" xfId="0" applyNumberFormat="1" applyFont="1" applyFill="1" applyBorder="1" applyAlignment="1" applyProtection="1">
      <alignment horizontal="center" vertical="center"/>
      <protection hidden="1"/>
    </xf>
    <xf numFmtId="0" fontId="8" fillId="7" borderId="2" xfId="0" applyFont="1" applyFill="1" applyBorder="1" applyAlignment="1" applyProtection="1">
      <alignment vertical="center"/>
      <protection hidden="1"/>
    </xf>
    <xf numFmtId="44" fontId="9" fillId="7" borderId="2" xfId="2" applyFont="1" applyFill="1" applyBorder="1" applyAlignment="1" applyProtection="1">
      <alignment horizontal="center" vertical="center"/>
      <protection hidden="1"/>
    </xf>
    <xf numFmtId="44" fontId="10" fillId="7" borderId="2" xfId="2" applyFont="1" applyFill="1" applyBorder="1" applyAlignment="1" applyProtection="1">
      <alignment horizontal="center" vertical="center"/>
      <protection hidden="1"/>
    </xf>
    <xf numFmtId="0" fontId="11" fillId="9" borderId="2" xfId="0" applyFont="1" applyFill="1" applyBorder="1" applyAlignment="1" applyProtection="1">
      <alignment vertical="center"/>
      <protection hidden="1"/>
    </xf>
    <xf numFmtId="44" fontId="12" fillId="9" borderId="2" xfId="2" applyFont="1" applyFill="1" applyBorder="1" applyAlignment="1" applyProtection="1">
      <alignment horizontal="center" vertical="center"/>
      <protection hidden="1"/>
    </xf>
    <xf numFmtId="0" fontId="13" fillId="9" borderId="2" xfId="0" applyFont="1" applyFill="1" applyBorder="1" applyAlignment="1" applyProtection="1">
      <alignment vertical="center"/>
      <protection hidden="1"/>
    </xf>
    <xf numFmtId="44" fontId="14" fillId="10" borderId="2" xfId="2" applyFont="1" applyFill="1" applyBorder="1" applyAlignment="1" applyProtection="1">
      <alignment horizontal="center" vertical="center"/>
      <protection hidden="1"/>
    </xf>
    <xf numFmtId="0" fontId="8" fillId="7" borderId="2" xfId="0" applyFont="1" applyFill="1" applyBorder="1" applyAlignment="1" applyProtection="1">
      <alignment horizontal="left" vertical="center"/>
      <protection hidden="1"/>
    </xf>
    <xf numFmtId="0" fontId="8" fillId="9" borderId="2" xfId="0" applyFont="1" applyFill="1" applyBorder="1" applyAlignment="1" applyProtection="1">
      <alignment vertical="center"/>
      <protection hidden="1"/>
    </xf>
    <xf numFmtId="44" fontId="15" fillId="9" borderId="2" xfId="2" applyFont="1" applyFill="1" applyBorder="1" applyAlignment="1" applyProtection="1">
      <alignment horizontal="center" vertical="center"/>
      <protection hidden="1"/>
    </xf>
    <xf numFmtId="44" fontId="16" fillId="8" borderId="2" xfId="2" applyFont="1" applyFill="1" applyBorder="1" applyAlignment="1" applyProtection="1">
      <alignment horizontal="center" vertical="center"/>
      <protection hidden="1"/>
    </xf>
    <xf numFmtId="44" fontId="17" fillId="11" borderId="2" xfId="2" applyFont="1" applyFill="1" applyBorder="1" applyAlignment="1" applyProtection="1">
      <alignment horizontal="center" vertical="center"/>
      <protection hidden="1"/>
    </xf>
    <xf numFmtId="0" fontId="11" fillId="7" borderId="2" xfId="0" applyFont="1" applyFill="1" applyBorder="1" applyAlignment="1" applyProtection="1">
      <alignment vertical="center"/>
      <protection hidden="1"/>
    </xf>
    <xf numFmtId="0" fontId="6" fillId="7" borderId="2" xfId="0" applyFont="1" applyFill="1" applyBorder="1" applyAlignment="1" applyProtection="1">
      <alignment horizontal="left" vertical="center"/>
      <protection hidden="1"/>
    </xf>
    <xf numFmtId="44" fontId="15" fillId="7" borderId="2" xfId="2" applyFont="1" applyFill="1" applyBorder="1" applyAlignment="1" applyProtection="1">
      <alignment horizontal="center" vertical="center"/>
      <protection hidden="1"/>
    </xf>
    <xf numFmtId="166" fontId="15" fillId="7" borderId="2" xfId="7" applyFont="1" applyFill="1" applyBorder="1" applyAlignment="1" applyProtection="1">
      <alignment horizontal="center" vertical="center"/>
      <protection hidden="1"/>
    </xf>
    <xf numFmtId="0" fontId="8" fillId="9" borderId="2" xfId="0" applyFont="1" applyFill="1" applyBorder="1" applyAlignment="1" applyProtection="1">
      <alignment horizontal="left" vertical="center"/>
      <protection hidden="1"/>
    </xf>
    <xf numFmtId="44" fontId="19" fillId="8" borderId="2" xfId="2" applyFont="1" applyFill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20" fillId="8" borderId="4" xfId="5" applyFont="1" applyFill="1" applyBorder="1" applyAlignment="1">
      <alignment horizontal="center"/>
    </xf>
    <xf numFmtId="0" fontId="15" fillId="8" borderId="4" xfId="0" applyFont="1" applyFill="1" applyBorder="1" applyAlignment="1">
      <alignment horizontal="center"/>
    </xf>
    <xf numFmtId="0" fontId="15" fillId="8" borderId="7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21" fillId="8" borderId="11" xfId="0" applyFont="1" applyFill="1" applyBorder="1" applyAlignment="1">
      <alignment horizontal="center"/>
    </xf>
    <xf numFmtId="164" fontId="4" fillId="0" borderId="13" xfId="0" applyNumberFormat="1" applyFont="1" applyBorder="1" applyAlignment="1">
      <alignment horizontal="center"/>
    </xf>
    <xf numFmtId="164" fontId="4" fillId="0" borderId="0" xfId="0" applyNumberFormat="1" applyFont="1"/>
    <xf numFmtId="0" fontId="0" fillId="0" borderId="0" xfId="0" applyBorder="1" applyAlignment="1">
      <alignment horizontal="center"/>
    </xf>
    <xf numFmtId="44" fontId="0" fillId="0" borderId="0" xfId="2" applyFont="1" applyBorder="1" applyAlignment="1">
      <alignment horizontal="center"/>
    </xf>
    <xf numFmtId="0" fontId="3" fillId="9" borderId="13" xfId="4" applyFont="1" applyFill="1" applyBorder="1" applyAlignment="1">
      <alignment vertical="center"/>
    </xf>
    <xf numFmtId="0" fontId="20" fillId="8" borderId="15" xfId="5" applyFont="1" applyFill="1" applyBorder="1" applyAlignment="1">
      <alignment horizontal="center"/>
    </xf>
    <xf numFmtId="0" fontId="20" fillId="8" borderId="16" xfId="5" applyFont="1" applyFill="1" applyBorder="1" applyAlignment="1">
      <alignment horizontal="center"/>
    </xf>
    <xf numFmtId="0" fontId="20" fillId="9" borderId="0" xfId="5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7" fontId="20" fillId="8" borderId="17" xfId="5" applyNumberFormat="1" applyFont="1" applyFill="1" applyBorder="1" applyAlignment="1">
      <alignment horizontal="center" vertical="center"/>
    </xf>
    <xf numFmtId="164" fontId="15" fillId="7" borderId="18" xfId="2" applyNumberFormat="1" applyFont="1" applyFill="1" applyBorder="1" applyAlignment="1">
      <alignment horizontal="center" vertical="center"/>
    </xf>
    <xf numFmtId="164" fontId="22" fillId="0" borderId="0" xfId="2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64" fontId="15" fillId="7" borderId="5" xfId="2" applyNumberFormat="1" applyFont="1" applyFill="1" applyBorder="1" applyAlignment="1">
      <alignment horizontal="center" vertical="center"/>
    </xf>
    <xf numFmtId="164" fontId="22" fillId="0" borderId="13" xfId="2" applyNumberFormat="1" applyFont="1" applyBorder="1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20" fillId="8" borderId="4" xfId="3" applyFont="1" applyFill="1" applyBorder="1" applyAlignment="1">
      <alignment horizontal="center"/>
    </xf>
    <xf numFmtId="14" fontId="20" fillId="8" borderId="4" xfId="3" applyNumberFormat="1" applyFont="1" applyFill="1" applyBorder="1" applyAlignment="1">
      <alignment horizontal="center"/>
    </xf>
    <xf numFmtId="17" fontId="20" fillId="8" borderId="4" xfId="3" applyNumberFormat="1" applyFont="1" applyFill="1" applyBorder="1" applyAlignment="1">
      <alignment horizontal="center" vertical="center"/>
    </xf>
    <xf numFmtId="164" fontId="15" fillId="7" borderId="4" xfId="2" applyNumberFormat="1" applyFont="1" applyFill="1" applyBorder="1" applyAlignment="1">
      <alignment horizontal="center" vertical="center"/>
    </xf>
    <xf numFmtId="164" fontId="15" fillId="7" borderId="4" xfId="2" applyNumberFormat="1" applyFont="1" applyFill="1" applyBorder="1" applyAlignment="1" applyProtection="1">
      <alignment horizontal="center" vertical="center"/>
      <protection locked="0"/>
    </xf>
    <xf numFmtId="17" fontId="20" fillId="8" borderId="4" xfId="3" applyNumberFormat="1" applyFont="1" applyFill="1" applyBorder="1" applyAlignment="1">
      <alignment horizontal="center" vertical="center" wrapText="1"/>
    </xf>
    <xf numFmtId="165" fontId="15" fillId="7" borderId="4" xfId="2" applyNumberFormat="1" applyFont="1" applyFill="1" applyBorder="1" applyAlignment="1">
      <alignment horizontal="center" vertical="center"/>
    </xf>
    <xf numFmtId="164" fontId="9" fillId="7" borderId="4" xfId="2" applyNumberFormat="1" applyFont="1" applyFill="1" applyBorder="1" applyAlignment="1">
      <alignment horizontal="center" vertical="center"/>
    </xf>
    <xf numFmtId="0" fontId="3" fillId="12" borderId="15" xfId="6" applyFont="1" applyFill="1" applyBorder="1" applyAlignment="1">
      <alignment horizontal="center"/>
    </xf>
    <xf numFmtId="0" fontId="3" fillId="12" borderId="20" xfId="6" applyFont="1" applyFill="1" applyBorder="1" applyAlignment="1">
      <alignment horizontal="center"/>
    </xf>
    <xf numFmtId="0" fontId="3" fillId="12" borderId="21" xfId="6" applyFont="1" applyFill="1" applyBorder="1" applyAlignment="1">
      <alignment horizontal="center"/>
    </xf>
    <xf numFmtId="17" fontId="20" fillId="8" borderId="17" xfId="3" applyNumberFormat="1" applyFont="1" applyFill="1" applyBorder="1" applyAlignment="1">
      <alignment horizontal="center"/>
    </xf>
    <xf numFmtId="44" fontId="15" fillId="7" borderId="4" xfId="2" applyFont="1" applyFill="1" applyBorder="1" applyAlignment="1">
      <alignment horizontal="center"/>
    </xf>
    <xf numFmtId="44" fontId="15" fillId="7" borderId="18" xfId="2" applyFont="1" applyFill="1" applyBorder="1" applyAlignment="1">
      <alignment horizontal="center"/>
    </xf>
    <xf numFmtId="17" fontId="24" fillId="8" borderId="25" xfId="3" applyNumberFormat="1" applyFont="1" applyFill="1" applyBorder="1" applyAlignment="1">
      <alignment horizontal="center"/>
    </xf>
    <xf numFmtId="44" fontId="9" fillId="7" borderId="7" xfId="2" applyFont="1" applyFill="1" applyBorder="1" applyAlignment="1">
      <alignment horizontal="center"/>
    </xf>
    <xf numFmtId="44" fontId="9" fillId="7" borderId="26" xfId="2" applyFont="1" applyFill="1" applyBorder="1" applyAlignment="1">
      <alignment horizontal="center"/>
    </xf>
    <xf numFmtId="43" fontId="26" fillId="0" borderId="28" xfId="1" applyFont="1" applyBorder="1"/>
    <xf numFmtId="43" fontId="26" fillId="0" borderId="32" xfId="1" applyFont="1" applyBorder="1"/>
    <xf numFmtId="0" fontId="29" fillId="0" borderId="33" xfId="0" applyFont="1" applyBorder="1"/>
    <xf numFmtId="43" fontId="26" fillId="0" borderId="33" xfId="1" applyFont="1" applyBorder="1"/>
    <xf numFmtId="0" fontId="25" fillId="0" borderId="34" xfId="0" applyFont="1" applyBorder="1"/>
    <xf numFmtId="0" fontId="27" fillId="0" borderId="35" xfId="0" applyFont="1" applyBorder="1"/>
    <xf numFmtId="0" fontId="26" fillId="0" borderId="35" xfId="0" applyFont="1" applyBorder="1"/>
    <xf numFmtId="43" fontId="26" fillId="0" borderId="35" xfId="1" applyFont="1" applyBorder="1"/>
    <xf numFmtId="43" fontId="26" fillId="0" borderId="36" xfId="1" applyFont="1" applyBorder="1" applyAlignment="1">
      <alignment horizontal="right"/>
    </xf>
    <xf numFmtId="43" fontId="26" fillId="0" borderId="0" xfId="1" applyFont="1"/>
    <xf numFmtId="0" fontId="26" fillId="0" borderId="0" xfId="0" applyFont="1"/>
    <xf numFmtId="0" fontId="26" fillId="0" borderId="37" xfId="0" applyFont="1" applyBorder="1"/>
    <xf numFmtId="0" fontId="27" fillId="0" borderId="0" xfId="0" applyFont="1" applyBorder="1"/>
    <xf numFmtId="0" fontId="26" fillId="0" borderId="0" xfId="0" applyFont="1" applyBorder="1"/>
    <xf numFmtId="43" fontId="26" fillId="0" borderId="0" xfId="1" applyFont="1" applyBorder="1"/>
    <xf numFmtId="43" fontId="26" fillId="0" borderId="38" xfId="1" applyFont="1" applyBorder="1" applyAlignment="1">
      <alignment horizontal="center"/>
    </xf>
    <xf numFmtId="0" fontId="28" fillId="0" borderId="0" xfId="0" quotePrefix="1" applyFont="1" applyBorder="1" applyAlignment="1">
      <alignment horizontal="left"/>
    </xf>
    <xf numFmtId="0" fontId="26" fillId="0" borderId="27" xfId="0" applyFont="1" applyBorder="1"/>
    <xf numFmtId="0" fontId="27" fillId="0" borderId="28" xfId="0" applyFont="1" applyBorder="1"/>
    <xf numFmtId="0" fontId="26" fillId="0" borderId="28" xfId="0" applyFont="1" applyBorder="1"/>
    <xf numFmtId="43" fontId="26" fillId="0" borderId="29" xfId="1" applyFont="1" applyBorder="1" applyAlignment="1">
      <alignment horizontal="center"/>
    </xf>
    <xf numFmtId="0" fontId="26" fillId="0" borderId="39" xfId="0" applyFont="1" applyBorder="1"/>
    <xf numFmtId="0" fontId="26" fillId="0" borderId="34" xfId="0" applyFont="1" applyBorder="1"/>
    <xf numFmtId="43" fontId="26" fillId="0" borderId="36" xfId="1" applyFont="1" applyBorder="1"/>
    <xf numFmtId="0" fontId="0" fillId="0" borderId="35" xfId="0" applyBorder="1"/>
    <xf numFmtId="43" fontId="26" fillId="0" borderId="35" xfId="1" quotePrefix="1" applyFont="1" applyBorder="1" applyAlignment="1">
      <alignment horizontal="right"/>
    </xf>
    <xf numFmtId="43" fontId="26" fillId="0" borderId="36" xfId="1" applyFont="1" applyBorder="1" applyAlignment="1">
      <alignment horizontal="center"/>
    </xf>
    <xf numFmtId="0" fontId="26" fillId="0" borderId="32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0" fontId="26" fillId="0" borderId="39" xfId="0" applyFont="1" applyBorder="1" applyAlignment="1">
      <alignment horizontal="center"/>
    </xf>
    <xf numFmtId="43" fontId="26" fillId="0" borderId="39" xfId="1" quotePrefix="1" applyFont="1" applyBorder="1" applyAlignment="1">
      <alignment horizontal="center"/>
    </xf>
    <xf numFmtId="43" fontId="26" fillId="0" borderId="39" xfId="1" applyFont="1" applyBorder="1" applyAlignment="1">
      <alignment horizontal="center"/>
    </xf>
    <xf numFmtId="43" fontId="26" fillId="0" borderId="0" xfId="1" applyFont="1" applyAlignment="1">
      <alignment horizontal="center"/>
    </xf>
    <xf numFmtId="0" fontId="26" fillId="0" borderId="0" xfId="0" applyFont="1" applyAlignment="1">
      <alignment horizontal="center"/>
    </xf>
    <xf numFmtId="0" fontId="26" fillId="0" borderId="33" xfId="0" applyFont="1" applyBorder="1" applyAlignment="1">
      <alignment horizontal="center"/>
    </xf>
    <xf numFmtId="0" fontId="27" fillId="0" borderId="28" xfId="0" applyFont="1" applyBorder="1" applyAlignment="1">
      <alignment horizontal="center"/>
    </xf>
    <xf numFmtId="0" fontId="26" fillId="0" borderId="33" xfId="0" quotePrefix="1" applyFont="1" applyBorder="1" applyAlignment="1">
      <alignment horizontal="center"/>
    </xf>
    <xf numFmtId="43" fontId="26" fillId="0" borderId="33" xfId="1" applyFont="1" applyBorder="1" applyAlignment="1">
      <alignment horizontal="center"/>
    </xf>
    <xf numFmtId="14" fontId="26" fillId="0" borderId="39" xfId="0" applyNumberFormat="1" applyFont="1" applyBorder="1" applyAlignment="1">
      <alignment horizontal="center"/>
    </xf>
    <xf numFmtId="0" fontId="27" fillId="0" borderId="35" xfId="0" applyFont="1" applyBorder="1" applyAlignment="1">
      <alignment horizontal="left"/>
    </xf>
    <xf numFmtId="43" fontId="26" fillId="0" borderId="39" xfId="1" applyFont="1" applyBorder="1"/>
    <xf numFmtId="17" fontId="26" fillId="0" borderId="32" xfId="0" applyNumberFormat="1" applyFont="1" applyBorder="1" applyAlignment="1">
      <alignment horizontal="center"/>
    </xf>
    <xf numFmtId="43" fontId="26" fillId="0" borderId="38" xfId="1" applyFont="1" applyBorder="1"/>
    <xf numFmtId="43" fontId="26" fillId="0" borderId="32" xfId="1" applyFont="1" applyBorder="1" applyAlignment="1">
      <alignment horizontal="center"/>
    </xf>
    <xf numFmtId="14" fontId="26" fillId="0" borderId="32" xfId="0" applyNumberFormat="1" applyFont="1" applyBorder="1"/>
    <xf numFmtId="0" fontId="27" fillId="0" borderId="0" xfId="0" quotePrefix="1" applyFont="1" applyBorder="1" applyAlignment="1">
      <alignment horizontal="left"/>
    </xf>
    <xf numFmtId="0" fontId="26" fillId="0" borderId="32" xfId="0" applyFont="1" applyBorder="1"/>
    <xf numFmtId="43" fontId="26" fillId="0" borderId="29" xfId="1" applyFont="1" applyBorder="1"/>
    <xf numFmtId="0" fontId="27" fillId="0" borderId="0" xfId="0" applyFont="1"/>
    <xf numFmtId="44" fontId="30" fillId="8" borderId="2" xfId="2" applyFont="1" applyFill="1" applyBorder="1" applyAlignment="1" applyProtection="1">
      <alignment horizontal="center" vertical="center"/>
      <protection hidden="1"/>
    </xf>
    <xf numFmtId="43" fontId="0" fillId="0" borderId="32" xfId="1" applyFont="1" applyBorder="1"/>
    <xf numFmtId="43" fontId="0" fillId="0" borderId="33" xfId="1" applyFont="1" applyBorder="1"/>
    <xf numFmtId="167" fontId="0" fillId="0" borderId="0" xfId="0" applyNumberFormat="1" applyFont="1" applyBorder="1"/>
    <xf numFmtId="0" fontId="32" fillId="0" borderId="31" xfId="0" applyFont="1" applyBorder="1" applyAlignment="1">
      <alignment horizontal="center" wrapText="1"/>
    </xf>
    <xf numFmtId="43" fontId="32" fillId="0" borderId="30" xfId="1" applyFont="1" applyBorder="1" applyAlignment="1">
      <alignment horizontal="center"/>
    </xf>
    <xf numFmtId="0" fontId="32" fillId="0" borderId="32" xfId="0" applyFont="1" applyBorder="1" applyAlignment="1">
      <alignment horizontal="center" wrapText="1"/>
    </xf>
    <xf numFmtId="0" fontId="32" fillId="0" borderId="32" xfId="0" applyFont="1" applyBorder="1" applyAlignment="1">
      <alignment wrapText="1"/>
    </xf>
    <xf numFmtId="0" fontId="32" fillId="0" borderId="30" xfId="0" quotePrefix="1" applyFont="1" applyBorder="1" applyAlignment="1">
      <alignment horizontal="left" wrapText="1"/>
    </xf>
    <xf numFmtId="0" fontId="32" fillId="0" borderId="32" xfId="0" quotePrefix="1" applyFont="1" applyBorder="1" applyAlignment="1">
      <alignment horizontal="left" wrapText="1"/>
    </xf>
    <xf numFmtId="0" fontId="32" fillId="0" borderId="32" xfId="0" applyFont="1" applyBorder="1" applyAlignment="1">
      <alignment horizontal="left" wrapText="1"/>
    </xf>
    <xf numFmtId="0" fontId="31" fillId="0" borderId="41" xfId="0" applyFont="1" applyBorder="1"/>
    <xf numFmtId="0" fontId="32" fillId="0" borderId="42" xfId="0" applyFont="1" applyBorder="1" applyAlignment="1">
      <alignment wrapText="1"/>
    </xf>
    <xf numFmtId="43" fontId="0" fillId="0" borderId="42" xfId="1" applyFont="1" applyBorder="1"/>
    <xf numFmtId="43" fontId="32" fillId="0" borderId="43" xfId="1" applyFont="1" applyBorder="1" applyAlignment="1">
      <alignment horizontal="right"/>
    </xf>
    <xf numFmtId="0" fontId="32" fillId="0" borderId="44" xfId="0" applyFont="1" applyBorder="1" applyAlignment="1">
      <alignment horizontal="center"/>
    </xf>
    <xf numFmtId="43" fontId="32" fillId="0" borderId="45" xfId="1" applyFont="1" applyBorder="1" applyAlignment="1">
      <alignment horizontal="center"/>
    </xf>
    <xf numFmtId="0" fontId="0" fillId="0" borderId="46" xfId="0" applyFont="1" applyBorder="1"/>
    <xf numFmtId="43" fontId="0" fillId="0" borderId="47" xfId="1" applyFont="1" applyBorder="1"/>
    <xf numFmtId="14" fontId="0" fillId="0" borderId="46" xfId="0" applyNumberFormat="1" applyFont="1" applyBorder="1" applyAlignment="1">
      <alignment horizontal="center"/>
    </xf>
    <xf numFmtId="0" fontId="0" fillId="0" borderId="46" xfId="0" applyFont="1" applyBorder="1" applyAlignment="1">
      <alignment horizontal="center"/>
    </xf>
    <xf numFmtId="0" fontId="0" fillId="0" borderId="44" xfId="0" applyFont="1" applyBorder="1" applyAlignment="1">
      <alignment horizontal="center"/>
    </xf>
    <xf numFmtId="43" fontId="0" fillId="0" borderId="45" xfId="1" applyFont="1" applyBorder="1"/>
    <xf numFmtId="43" fontId="33" fillId="0" borderId="47" xfId="1" applyFont="1" applyBorder="1"/>
    <xf numFmtId="0" fontId="0" fillId="0" borderId="48" xfId="0" applyFont="1" applyBorder="1"/>
    <xf numFmtId="0" fontId="0" fillId="0" borderId="49" xfId="0" applyFont="1" applyBorder="1"/>
    <xf numFmtId="0" fontId="32" fillId="0" borderId="50" xfId="0" applyFont="1" applyBorder="1" applyAlignment="1">
      <alignment wrapText="1"/>
    </xf>
    <xf numFmtId="43" fontId="0" fillId="0" borderId="50" xfId="1" applyFont="1" applyBorder="1"/>
    <xf numFmtId="43" fontId="0" fillId="0" borderId="51" xfId="1" applyFont="1" applyBorder="1"/>
    <xf numFmtId="165" fontId="34" fillId="7" borderId="4" xfId="2" applyNumberFormat="1" applyFont="1" applyFill="1" applyBorder="1" applyAlignment="1">
      <alignment horizontal="center" vertical="center"/>
    </xf>
    <xf numFmtId="0" fontId="36" fillId="0" borderId="40" xfId="0" applyFont="1" applyBorder="1" applyAlignment="1">
      <alignment horizontal="center" vertical="center"/>
    </xf>
    <xf numFmtId="0" fontId="37" fillId="13" borderId="52" xfId="0" applyFont="1" applyFill="1" applyBorder="1" applyAlignment="1">
      <alignment horizontal="center" vertical="center" wrapText="1"/>
    </xf>
    <xf numFmtId="0" fontId="38" fillId="0" borderId="54" xfId="0" applyFont="1" applyBorder="1" applyAlignment="1">
      <alignment horizontal="center" vertical="center" wrapText="1"/>
    </xf>
    <xf numFmtId="0" fontId="38" fillId="0" borderId="53" xfId="0" applyFont="1" applyBorder="1" applyAlignment="1">
      <alignment horizontal="center" vertical="center" wrapText="1"/>
    </xf>
    <xf numFmtId="43" fontId="40" fillId="0" borderId="30" xfId="1" applyFont="1" applyBorder="1"/>
    <xf numFmtId="17" fontId="26" fillId="0" borderId="39" xfId="0" applyNumberFormat="1" applyFont="1" applyBorder="1" applyAlignment="1">
      <alignment horizontal="center"/>
    </xf>
    <xf numFmtId="43" fontId="0" fillId="0" borderId="0" xfId="0" applyNumberFormat="1"/>
    <xf numFmtId="0" fontId="23" fillId="0" borderId="0" xfId="0" applyFont="1" applyAlignment="1">
      <alignment horizontal="center"/>
    </xf>
    <xf numFmtId="43" fontId="23" fillId="0" borderId="0" xfId="0" applyNumberFormat="1" applyFont="1" applyAlignment="1">
      <alignment horizontal="center"/>
    </xf>
    <xf numFmtId="44" fontId="23" fillId="0" borderId="0" xfId="2" applyFont="1"/>
    <xf numFmtId="0" fontId="31" fillId="0" borderId="32" xfId="0" applyFont="1" applyBorder="1" applyAlignment="1">
      <alignment horizontal="left" wrapText="1"/>
    </xf>
    <xf numFmtId="14" fontId="0" fillId="0" borderId="48" xfId="0" applyNumberFormat="1" applyFont="1" applyBorder="1"/>
    <xf numFmtId="14" fontId="0" fillId="0" borderId="48" xfId="0" applyNumberFormat="1" applyFont="1" applyBorder="1" applyAlignment="1">
      <alignment horizontal="center"/>
    </xf>
    <xf numFmtId="0" fontId="42" fillId="7" borderId="55" xfId="0" applyFont="1" applyFill="1" applyBorder="1" applyAlignment="1" applyProtection="1">
      <alignment horizontal="left" vertical="center"/>
      <protection hidden="1"/>
    </xf>
    <xf numFmtId="0" fontId="42" fillId="7" borderId="55" xfId="0" applyFont="1" applyFill="1" applyBorder="1" applyAlignment="1" applyProtection="1">
      <alignment vertical="center"/>
      <protection hidden="1"/>
    </xf>
    <xf numFmtId="0" fontId="43" fillId="0" borderId="33" xfId="0" applyFont="1" applyBorder="1"/>
    <xf numFmtId="0" fontId="0" fillId="0" borderId="48" xfId="0" applyFont="1" applyBorder="1" applyAlignment="1">
      <alignment horizontal="center"/>
    </xf>
    <xf numFmtId="0" fontId="32" fillId="0" borderId="33" xfId="0" applyFont="1" applyBorder="1" applyAlignment="1">
      <alignment wrapText="1"/>
    </xf>
    <xf numFmtId="0" fontId="31" fillId="0" borderId="39" xfId="0" applyFont="1" applyBorder="1" applyAlignment="1">
      <alignment horizontal="center" wrapText="1"/>
    </xf>
    <xf numFmtId="43" fontId="0" fillId="0" borderId="48" xfId="1" applyFont="1" applyBorder="1"/>
    <xf numFmtId="43" fontId="32" fillId="0" borderId="42" xfId="1" applyFont="1" applyBorder="1" applyAlignment="1">
      <alignment horizontal="center"/>
    </xf>
    <xf numFmtId="43" fontId="32" fillId="0" borderId="38" xfId="1" applyFont="1" applyBorder="1" applyAlignment="1">
      <alignment horizontal="center"/>
    </xf>
    <xf numFmtId="43" fontId="0" fillId="0" borderId="38" xfId="1" applyFont="1" applyBorder="1" applyAlignment="1">
      <alignment horizontal="center"/>
    </xf>
    <xf numFmtId="43" fontId="0" fillId="0" borderId="29" xfId="1" applyFont="1" applyBorder="1" applyAlignment="1">
      <alignment horizontal="center"/>
    </xf>
    <xf numFmtId="43" fontId="32" fillId="0" borderId="32" xfId="1" applyFont="1" applyBorder="1" applyAlignment="1">
      <alignment horizontal="center"/>
    </xf>
    <xf numFmtId="43" fontId="32" fillId="0" borderId="50" xfId="1" applyFont="1" applyBorder="1" applyAlignment="1">
      <alignment horizontal="center"/>
    </xf>
    <xf numFmtId="43" fontId="0" fillId="0" borderId="30" xfId="1" applyFont="1" applyBorder="1"/>
    <xf numFmtId="44" fontId="0" fillId="0" borderId="30" xfId="2" applyFont="1" applyBorder="1"/>
    <xf numFmtId="0" fontId="0" fillId="0" borderId="30" xfId="0" applyFont="1" applyBorder="1"/>
    <xf numFmtId="44" fontId="40" fillId="14" borderId="30" xfId="2" applyFont="1" applyFill="1" applyBorder="1"/>
    <xf numFmtId="43" fontId="0" fillId="0" borderId="39" xfId="1" applyFont="1" applyBorder="1"/>
    <xf numFmtId="0" fontId="32" fillId="0" borderId="30" xfId="0" applyFont="1" applyBorder="1" applyAlignment="1">
      <alignment horizontal="left" wrapText="1"/>
    </xf>
    <xf numFmtId="164" fontId="15" fillId="15" borderId="18" xfId="2" applyNumberFormat="1" applyFont="1" applyFill="1" applyBorder="1" applyAlignment="1">
      <alignment horizontal="center" vertical="center"/>
    </xf>
    <xf numFmtId="165" fontId="44" fillId="0" borderId="0" xfId="0" applyNumberFormat="1" applyFont="1"/>
    <xf numFmtId="0" fontId="8" fillId="16" borderId="2" xfId="0" applyFont="1" applyFill="1" applyBorder="1" applyAlignment="1" applyProtection="1">
      <alignment vertical="center"/>
      <protection hidden="1"/>
    </xf>
    <xf numFmtId="44" fontId="15" fillId="16" borderId="2" xfId="2" applyFont="1" applyFill="1" applyBorder="1" applyAlignment="1" applyProtection="1">
      <alignment horizontal="center" vertical="center"/>
      <protection hidden="1"/>
    </xf>
    <xf numFmtId="0" fontId="8" fillId="16" borderId="2" xfId="0" applyFont="1" applyFill="1" applyBorder="1" applyAlignment="1" applyProtection="1">
      <alignment horizontal="left" vertical="center"/>
      <protection hidden="1"/>
    </xf>
    <xf numFmtId="166" fontId="15" fillId="16" borderId="2" xfId="7" applyFont="1" applyFill="1" applyBorder="1" applyAlignment="1" applyProtection="1">
      <alignment horizontal="center" vertical="center"/>
      <protection hidden="1"/>
    </xf>
    <xf numFmtId="44" fontId="42" fillId="7" borderId="55" xfId="0" applyNumberFormat="1" applyFont="1" applyFill="1" applyBorder="1" applyAlignment="1" applyProtection="1">
      <alignment horizontal="left" vertical="center"/>
      <protection hidden="1"/>
    </xf>
    <xf numFmtId="43" fontId="40" fillId="0" borderId="47" xfId="1" applyFont="1" applyBorder="1"/>
    <xf numFmtId="43" fontId="25" fillId="0" borderId="38" xfId="1" applyFont="1" applyBorder="1"/>
    <xf numFmtId="43" fontId="44" fillId="0" borderId="47" xfId="1" applyFont="1" applyBorder="1"/>
    <xf numFmtId="165" fontId="15" fillId="17" borderId="4" xfId="2" applyNumberFormat="1" applyFont="1" applyFill="1" applyBorder="1" applyAlignment="1">
      <alignment horizontal="center" vertical="center"/>
    </xf>
    <xf numFmtId="164" fontId="9" fillId="18" borderId="4" xfId="2" applyNumberFormat="1" applyFont="1" applyFill="1" applyBorder="1" applyAlignment="1">
      <alignment horizontal="center" vertical="center"/>
    </xf>
    <xf numFmtId="0" fontId="3" fillId="3" borderId="3" xfId="4" applyFont="1" applyBorder="1" applyAlignment="1">
      <alignment horizontal="center" vertical="center"/>
    </xf>
    <xf numFmtId="0" fontId="20" fillId="8" borderId="5" xfId="5" applyFont="1" applyFill="1" applyBorder="1" applyAlignment="1">
      <alignment horizontal="center"/>
    </xf>
    <xf numFmtId="0" fontId="20" fillId="8" borderId="6" xfId="5" applyFont="1" applyFill="1" applyBorder="1" applyAlignment="1">
      <alignment horizontal="center"/>
    </xf>
    <xf numFmtId="164" fontId="35" fillId="7" borderId="5" xfId="2" applyNumberFormat="1" applyFont="1" applyFill="1" applyBorder="1" applyAlignment="1" applyProtection="1">
      <alignment horizontal="center"/>
      <protection locked="0"/>
    </xf>
    <xf numFmtId="164" fontId="35" fillId="7" borderId="6" xfId="2" applyNumberFormat="1" applyFont="1" applyFill="1" applyBorder="1" applyAlignment="1" applyProtection="1">
      <alignment horizontal="center"/>
      <protection locked="0"/>
    </xf>
    <xf numFmtId="0" fontId="3" fillId="12" borderId="19" xfId="6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164" fontId="15" fillId="7" borderId="8" xfId="2" applyNumberFormat="1" applyFont="1" applyFill="1" applyBorder="1" applyAlignment="1" applyProtection="1">
      <alignment horizontal="center"/>
      <protection locked="0"/>
    </xf>
    <xf numFmtId="164" fontId="15" fillId="7" borderId="9" xfId="2" applyNumberFormat="1" applyFont="1" applyFill="1" applyBorder="1" applyAlignment="1" applyProtection="1">
      <alignment horizontal="center"/>
      <protection locked="0"/>
    </xf>
    <xf numFmtId="164" fontId="10" fillId="7" borderId="11" xfId="2" applyNumberFormat="1" applyFont="1" applyFill="1" applyBorder="1" applyAlignment="1">
      <alignment horizontal="center"/>
    </xf>
    <xf numFmtId="164" fontId="10" fillId="7" borderId="12" xfId="2" applyNumberFormat="1" applyFont="1" applyFill="1" applyBorder="1" applyAlignment="1">
      <alignment horizontal="center"/>
    </xf>
    <xf numFmtId="0" fontId="3" fillId="3" borderId="11" xfId="4" applyFont="1" applyBorder="1" applyAlignment="1">
      <alignment horizontal="center" vertical="center"/>
    </xf>
    <xf numFmtId="0" fontId="3" fillId="3" borderId="14" xfId="4" applyFont="1" applyBorder="1" applyAlignment="1">
      <alignment horizontal="center" vertical="center"/>
    </xf>
    <xf numFmtId="0" fontId="45" fillId="0" borderId="0" xfId="0" applyFont="1" applyProtection="1">
      <protection hidden="1"/>
    </xf>
    <xf numFmtId="0" fontId="45" fillId="0" borderId="0" xfId="0" applyFont="1" applyAlignment="1" applyProtection="1">
      <alignment horizontal="center"/>
      <protection hidden="1"/>
    </xf>
    <xf numFmtId="44" fontId="46" fillId="0" borderId="0" xfId="0" applyNumberFormat="1" applyFont="1" applyAlignment="1" applyProtection="1">
      <alignment horizontal="center"/>
      <protection hidden="1"/>
    </xf>
    <xf numFmtId="44" fontId="47" fillId="7" borderId="12" xfId="0" applyNumberFormat="1" applyFont="1" applyFill="1" applyBorder="1" applyAlignment="1" applyProtection="1">
      <alignment horizontal="center"/>
      <protection hidden="1"/>
    </xf>
    <xf numFmtId="44" fontId="47" fillId="7" borderId="11" xfId="0" applyNumberFormat="1" applyFont="1" applyFill="1" applyBorder="1" applyAlignment="1" applyProtection="1">
      <alignment horizontal="center"/>
      <protection hidden="1"/>
    </xf>
    <xf numFmtId="44" fontId="47" fillId="7" borderId="14" xfId="0" applyNumberFormat="1" applyFont="1" applyFill="1" applyBorder="1" applyAlignment="1" applyProtection="1">
      <alignment horizontal="center"/>
      <protection hidden="1"/>
    </xf>
    <xf numFmtId="17" fontId="48" fillId="8" borderId="56" xfId="0" applyNumberFormat="1" applyFont="1" applyFill="1" applyBorder="1" applyAlignment="1" applyProtection="1">
      <alignment horizontal="center"/>
      <protection hidden="1"/>
    </xf>
    <xf numFmtId="0" fontId="45" fillId="0" borderId="10" xfId="0" applyFont="1" applyBorder="1" applyAlignment="1" applyProtection="1">
      <alignment horizontal="center"/>
      <protection hidden="1"/>
    </xf>
    <xf numFmtId="0" fontId="45" fillId="0" borderId="0" xfId="0" applyFont="1" applyAlignment="1" applyProtection="1">
      <alignment horizontal="center"/>
      <protection hidden="1"/>
    </xf>
    <xf numFmtId="0" fontId="45" fillId="0" borderId="13" xfId="0" applyFont="1" applyBorder="1" applyAlignment="1" applyProtection="1">
      <alignment horizontal="center"/>
      <protection hidden="1"/>
    </xf>
    <xf numFmtId="9" fontId="49" fillId="7" borderId="57" xfId="0" applyNumberFormat="1" applyFont="1" applyFill="1" applyBorder="1" applyAlignment="1" applyProtection="1">
      <alignment horizontal="center"/>
      <protection hidden="1"/>
    </xf>
    <xf numFmtId="164" fontId="49" fillId="7" borderId="58" xfId="0" applyNumberFormat="1" applyFont="1" applyFill="1" applyBorder="1" applyAlignment="1" applyProtection="1">
      <alignment horizontal="center" vertical="center"/>
      <protection hidden="1"/>
    </xf>
    <xf numFmtId="9" fontId="49" fillId="7" borderId="59" xfId="0" applyNumberFormat="1" applyFont="1" applyFill="1" applyBorder="1" applyAlignment="1" applyProtection="1">
      <alignment horizontal="center"/>
      <protection hidden="1"/>
    </xf>
    <xf numFmtId="17" fontId="50" fillId="8" borderId="58" xfId="0" applyNumberFormat="1" applyFont="1" applyFill="1" applyBorder="1" applyAlignment="1" applyProtection="1">
      <alignment horizontal="center"/>
      <protection hidden="1"/>
    </xf>
    <xf numFmtId="9" fontId="49" fillId="7" borderId="60" xfId="0" applyNumberFormat="1" applyFont="1" applyFill="1" applyBorder="1" applyAlignment="1" applyProtection="1">
      <alignment horizontal="center"/>
      <protection hidden="1"/>
    </xf>
    <xf numFmtId="44" fontId="49" fillId="7" borderId="58" xfId="0" applyNumberFormat="1" applyFont="1" applyFill="1" applyBorder="1" applyAlignment="1" applyProtection="1">
      <alignment horizontal="center"/>
      <protection hidden="1"/>
    </xf>
    <xf numFmtId="9" fontId="49" fillId="7" borderId="61" xfId="0" applyNumberFormat="1" applyFont="1" applyFill="1" applyBorder="1" applyAlignment="1" applyProtection="1">
      <alignment horizontal="center"/>
      <protection hidden="1"/>
    </xf>
    <xf numFmtId="0" fontId="51" fillId="19" borderId="62" xfId="0" applyFont="1" applyFill="1" applyBorder="1" applyAlignment="1" applyProtection="1">
      <alignment horizontal="center"/>
      <protection hidden="1"/>
    </xf>
    <xf numFmtId="0" fontId="51" fillId="19" borderId="63" xfId="0" applyFont="1" applyFill="1" applyBorder="1" applyAlignment="1" applyProtection="1">
      <alignment horizontal="center"/>
      <protection hidden="1"/>
    </xf>
    <xf numFmtId="0" fontId="51" fillId="19" borderId="64" xfId="0" applyFont="1" applyFill="1" applyBorder="1" applyAlignment="1" applyProtection="1">
      <alignment horizontal="center"/>
      <protection hidden="1"/>
    </xf>
    <xf numFmtId="0" fontId="51" fillId="19" borderId="65" xfId="0" applyFont="1" applyFill="1" applyBorder="1" applyAlignment="1" applyProtection="1">
      <alignment horizontal="center"/>
      <protection hidden="1"/>
    </xf>
    <xf numFmtId="0" fontId="51" fillId="19" borderId="66" xfId="0" applyFont="1" applyFill="1" applyBorder="1" applyAlignment="1" applyProtection="1">
      <alignment horizontal="center"/>
      <protection hidden="1"/>
    </xf>
    <xf numFmtId="17" fontId="50" fillId="8" borderId="58" xfId="0" applyNumberFormat="1" applyFont="1" applyFill="1" applyBorder="1" applyAlignment="1" applyProtection="1">
      <alignment horizontal="center" vertical="center"/>
      <protection hidden="1"/>
    </xf>
    <xf numFmtId="44" fontId="49" fillId="20" borderId="58" xfId="0" applyNumberFormat="1" applyFont="1" applyFill="1" applyBorder="1" applyAlignment="1" applyProtection="1">
      <alignment horizontal="center" vertical="center"/>
      <protection locked="0" hidden="1"/>
    </xf>
    <xf numFmtId="44" fontId="49" fillId="7" borderId="58" xfId="0" applyNumberFormat="1" applyFont="1" applyFill="1" applyBorder="1" applyAlignment="1" applyProtection="1">
      <alignment horizontal="center" vertical="center"/>
      <protection hidden="1"/>
    </xf>
    <xf numFmtId="17" fontId="50" fillId="8" borderId="58" xfId="0" applyNumberFormat="1" applyFont="1" applyFill="1" applyBorder="1" applyAlignment="1" applyProtection="1">
      <alignment horizontal="center" vertical="center" wrapText="1"/>
      <protection hidden="1"/>
    </xf>
    <xf numFmtId="44" fontId="52" fillId="7" borderId="58" xfId="0" applyNumberFormat="1" applyFont="1" applyFill="1" applyBorder="1" applyAlignment="1" applyProtection="1">
      <alignment horizontal="center" vertical="center"/>
      <protection hidden="1"/>
    </xf>
    <xf numFmtId="0" fontId="50" fillId="8" borderId="58" xfId="0" applyFont="1" applyFill="1" applyBorder="1" applyAlignment="1" applyProtection="1">
      <alignment horizontal="center"/>
      <protection hidden="1"/>
    </xf>
    <xf numFmtId="14" fontId="50" fillId="8" borderId="58" xfId="0" applyNumberFormat="1" applyFont="1" applyFill="1" applyBorder="1" applyAlignment="1" applyProtection="1">
      <alignment horizontal="center"/>
      <protection hidden="1"/>
    </xf>
    <xf numFmtId="0" fontId="51" fillId="19" borderId="67" xfId="0" applyFont="1" applyFill="1" applyBorder="1" applyAlignment="1" applyProtection="1">
      <alignment horizontal="center" vertical="center"/>
      <protection hidden="1"/>
    </xf>
    <xf numFmtId="164" fontId="49" fillId="20" borderId="58" xfId="0" applyNumberFormat="1" applyFont="1" applyFill="1" applyBorder="1" applyAlignment="1" applyProtection="1">
      <alignment horizontal="center" vertical="center"/>
      <protection locked="0" hidden="1"/>
    </xf>
    <xf numFmtId="165" fontId="49" fillId="7" borderId="58" xfId="0" applyNumberFormat="1" applyFont="1" applyFill="1" applyBorder="1" applyAlignment="1" applyProtection="1">
      <alignment horizontal="center" vertical="center"/>
      <protection hidden="1"/>
    </xf>
    <xf numFmtId="164" fontId="52" fillId="7" borderId="58" xfId="0" applyNumberFormat="1" applyFont="1" applyFill="1" applyBorder="1" applyAlignment="1" applyProtection="1">
      <alignment horizontal="center" vertical="center"/>
      <protection hidden="1"/>
    </xf>
    <xf numFmtId="168" fontId="49" fillId="7" borderId="58" xfId="0" applyNumberFormat="1" applyFont="1" applyFill="1" applyBorder="1" applyAlignment="1" applyProtection="1">
      <alignment horizontal="center" vertical="center"/>
      <protection hidden="1"/>
    </xf>
    <xf numFmtId="0" fontId="53" fillId="0" borderId="0" xfId="0" applyFont="1" applyAlignment="1" applyProtection="1">
      <alignment vertical="center"/>
      <protection hidden="1"/>
    </xf>
    <xf numFmtId="165" fontId="49" fillId="7" borderId="68" xfId="0" applyNumberFormat="1" applyFont="1" applyFill="1" applyBorder="1" applyAlignment="1" applyProtection="1">
      <alignment horizontal="center"/>
      <protection hidden="1"/>
    </xf>
    <xf numFmtId="165" fontId="49" fillId="7" borderId="69" xfId="0" applyNumberFormat="1" applyFont="1" applyFill="1" applyBorder="1" applyAlignment="1" applyProtection="1">
      <alignment horizontal="center"/>
      <protection hidden="1"/>
    </xf>
    <xf numFmtId="44" fontId="45" fillId="0" borderId="0" xfId="0" applyNumberFormat="1" applyFont="1" applyAlignment="1" applyProtection="1">
      <alignment horizontal="center"/>
      <protection hidden="1"/>
    </xf>
    <xf numFmtId="9" fontId="49" fillId="7" borderId="68" xfId="0" applyNumberFormat="1" applyFont="1" applyFill="1" applyBorder="1" applyAlignment="1" applyProtection="1">
      <alignment horizontal="center"/>
      <protection hidden="1"/>
    </xf>
    <xf numFmtId="9" fontId="49" fillId="7" borderId="69" xfId="0" applyNumberFormat="1" applyFont="1" applyFill="1" applyBorder="1" applyAlignment="1" applyProtection="1">
      <alignment horizontal="center"/>
      <protection hidden="1"/>
    </xf>
    <xf numFmtId="9" fontId="49" fillId="7" borderId="58" xfId="0" applyNumberFormat="1" applyFont="1" applyFill="1" applyBorder="1" applyAlignment="1" applyProtection="1">
      <alignment horizontal="center"/>
      <protection hidden="1"/>
    </xf>
    <xf numFmtId="0" fontId="49" fillId="7" borderId="58" xfId="0" applyFont="1" applyFill="1" applyBorder="1" applyAlignment="1" applyProtection="1">
      <alignment horizontal="center"/>
      <protection hidden="1"/>
    </xf>
    <xf numFmtId="0" fontId="50" fillId="8" borderId="68" xfId="0" applyFont="1" applyFill="1" applyBorder="1" applyAlignment="1" applyProtection="1">
      <alignment horizontal="center"/>
      <protection hidden="1"/>
    </xf>
    <xf numFmtId="0" fontId="50" fillId="8" borderId="69" xfId="0" applyFont="1" applyFill="1" applyBorder="1" applyAlignment="1" applyProtection="1">
      <alignment horizontal="center"/>
      <protection hidden="1"/>
    </xf>
    <xf numFmtId="0" fontId="51" fillId="19" borderId="70" xfId="0" applyFont="1" applyFill="1" applyBorder="1" applyAlignment="1" applyProtection="1">
      <alignment horizontal="center" vertical="center"/>
      <protection hidden="1"/>
    </xf>
    <xf numFmtId="0" fontId="54" fillId="0" borderId="0" xfId="0" applyFont="1" applyAlignment="1" applyProtection="1">
      <alignment horizontal="center" vertical="center"/>
      <protection hidden="1"/>
    </xf>
    <xf numFmtId="165" fontId="45" fillId="0" borderId="0" xfId="0" applyNumberFormat="1" applyFont="1" applyAlignment="1" applyProtection="1">
      <alignment horizontal="center"/>
      <protection hidden="1"/>
    </xf>
    <xf numFmtId="0" fontId="45" fillId="8" borderId="58" xfId="0" applyFont="1" applyFill="1" applyBorder="1" applyAlignment="1" applyProtection="1">
      <alignment horizontal="center"/>
      <protection hidden="1"/>
    </xf>
    <xf numFmtId="164" fontId="49" fillId="20" borderId="58" xfId="0" applyNumberFormat="1" applyFont="1" applyFill="1" applyBorder="1" applyAlignment="1" applyProtection="1">
      <alignment horizontal="center"/>
      <protection hidden="1"/>
    </xf>
    <xf numFmtId="44" fontId="49" fillId="20" borderId="58" xfId="0" applyNumberFormat="1" applyFont="1" applyFill="1" applyBorder="1" applyAlignment="1" applyProtection="1">
      <alignment horizontal="center"/>
      <protection hidden="1"/>
    </xf>
    <xf numFmtId="164" fontId="45" fillId="0" borderId="0" xfId="0" applyNumberFormat="1" applyFont="1" applyAlignment="1" applyProtection="1">
      <alignment horizontal="center"/>
      <protection hidden="1"/>
    </xf>
    <xf numFmtId="8" fontId="47" fillId="0" borderId="0" xfId="0" applyNumberFormat="1" applyFont="1" applyAlignment="1" applyProtection="1">
      <alignment horizontal="center"/>
      <protection hidden="1"/>
    </xf>
    <xf numFmtId="0" fontId="45" fillId="0" borderId="13" xfId="0" applyFont="1" applyBorder="1" applyAlignment="1" applyProtection="1">
      <alignment horizontal="center"/>
      <protection hidden="1"/>
    </xf>
    <xf numFmtId="164" fontId="55" fillId="7" borderId="12" xfId="0" applyNumberFormat="1" applyFont="1" applyFill="1" applyBorder="1" applyAlignment="1" applyProtection="1">
      <alignment horizontal="center"/>
      <protection hidden="1"/>
    </xf>
    <xf numFmtId="164" fontId="55" fillId="7" borderId="11" xfId="0" applyNumberFormat="1" applyFont="1" applyFill="1" applyBorder="1" applyAlignment="1" applyProtection="1">
      <alignment horizontal="center"/>
      <protection hidden="1"/>
    </xf>
    <xf numFmtId="0" fontId="55" fillId="8" borderId="11" xfId="0" applyFont="1" applyFill="1" applyBorder="1" applyAlignment="1" applyProtection="1">
      <alignment horizontal="center"/>
      <protection hidden="1"/>
    </xf>
    <xf numFmtId="0" fontId="45" fillId="0" borderId="10" xfId="0" applyFont="1" applyBorder="1" applyAlignment="1" applyProtection="1">
      <alignment horizontal="center"/>
      <protection hidden="1"/>
    </xf>
    <xf numFmtId="164" fontId="49" fillId="20" borderId="71" xfId="0" applyNumberFormat="1" applyFont="1" applyFill="1" applyBorder="1" applyAlignment="1" applyProtection="1">
      <alignment horizontal="center"/>
      <protection locked="0" hidden="1"/>
    </xf>
    <xf numFmtId="164" fontId="49" fillId="20" borderId="72" xfId="0" applyNumberFormat="1" applyFont="1" applyFill="1" applyBorder="1" applyAlignment="1" applyProtection="1">
      <alignment horizontal="center"/>
      <protection locked="0" hidden="1"/>
    </xf>
    <xf numFmtId="0" fontId="49" fillId="8" borderId="73" xfId="0" applyFont="1" applyFill="1" applyBorder="1" applyAlignment="1" applyProtection="1">
      <alignment horizontal="center"/>
      <protection hidden="1"/>
    </xf>
    <xf numFmtId="164" fontId="49" fillId="20" borderId="74" xfId="0" applyNumberFormat="1" applyFont="1" applyFill="1" applyBorder="1" applyAlignment="1" applyProtection="1">
      <alignment horizontal="center"/>
      <protection locked="0" hidden="1"/>
    </xf>
    <xf numFmtId="164" fontId="49" fillId="20" borderId="69" xfId="0" applyNumberFormat="1" applyFont="1" applyFill="1" applyBorder="1" applyAlignment="1" applyProtection="1">
      <alignment horizontal="center"/>
      <protection locked="0" hidden="1"/>
    </xf>
    <xf numFmtId="0" fontId="49" fillId="8" borderId="58" xfId="0" applyFont="1" applyFill="1" applyBorder="1" applyAlignment="1" applyProtection="1">
      <alignment horizontal="center"/>
      <protection hidden="1"/>
    </xf>
    <xf numFmtId="0" fontId="50" fillId="8" borderId="74" xfId="0" applyFont="1" applyFill="1" applyBorder="1" applyAlignment="1" applyProtection="1">
      <alignment horizontal="center"/>
      <protection hidden="1"/>
    </xf>
  </cellXfs>
  <cellStyles count="8">
    <cellStyle name="40% - Ênfase5" xfId="5" builtinId="47"/>
    <cellStyle name="Bom" xfId="3" builtinId="26"/>
    <cellStyle name="Ênfase1" xfId="4" builtinId="29"/>
    <cellStyle name="Ênfase6" xfId="6" builtinId="49"/>
    <cellStyle name="Moeda" xfId="2" builtinId="4"/>
    <cellStyle name="Moeda 2" xfId="7" xr:uid="{00000000-0005-0000-0000-000005000000}"/>
    <cellStyle name="Normal" xfId="0" builtinId="0"/>
    <cellStyle name="Vírgula" xfId="1" builtinId="3"/>
  </cellStyles>
  <dxfs count="9">
    <dxf>
      <font>
        <color theme="3" tint="0.39994506668294322"/>
      </font>
    </dxf>
    <dxf>
      <font>
        <color rgb="FFFF0000"/>
      </font>
    </dxf>
    <dxf>
      <font>
        <color theme="4"/>
      </font>
    </dxf>
    <dxf>
      <font>
        <color theme="3" tint="0.39994506668294322"/>
      </font>
    </dxf>
    <dxf>
      <font>
        <color rgb="FFFF0000"/>
      </font>
    </dxf>
    <dxf>
      <font>
        <color theme="4"/>
      </font>
    </dxf>
    <dxf>
      <font>
        <color theme="3" tint="0.39994506668294322"/>
      </font>
    </dxf>
    <dxf>
      <font>
        <color rgb="FFFF0000"/>
      </font>
    </dxf>
    <dxf>
      <font>
        <color theme="4"/>
      </font>
    </dxf>
  </dxfs>
  <tableStyles count="0" defaultTableStyle="TableStyleMedium2" defaultPivotStyle="PivotStyleLight16"/>
  <colors>
    <mruColors>
      <color rgb="FF0B7E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2077453</xdr:colOff>
      <xdr:row>0</xdr:row>
      <xdr:rowOff>113799</xdr:rowOff>
    </xdr:from>
    <xdr:to>
      <xdr:col>3</xdr:col>
      <xdr:colOff>425754</xdr:colOff>
      <xdr:row>1</xdr:row>
      <xdr:rowOff>125328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2624" y="113799"/>
          <a:ext cx="2228485" cy="3825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1019175</xdr:colOff>
      <xdr:row>0</xdr:row>
      <xdr:rowOff>123825</xdr:rowOff>
    </xdr:from>
    <xdr:to>
      <xdr:col>4</xdr:col>
      <xdr:colOff>711868</xdr:colOff>
      <xdr:row>2</xdr:row>
      <xdr:rowOff>159948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3149" y="123825"/>
          <a:ext cx="2429877" cy="4171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685800</xdr:colOff>
      <xdr:row>0</xdr:row>
      <xdr:rowOff>186314</xdr:rowOff>
    </xdr:from>
    <xdr:ext cx="2968943" cy="495676"/>
    <xdr:pic>
      <xdr:nvPicPr>
        <xdr:cNvPr id="2" name="Imagem 1">
          <a:extLst>
            <a:ext uri="{FF2B5EF4-FFF2-40B4-BE49-F238E27FC236}">
              <a16:creationId xmlns:a16="http://schemas.microsoft.com/office/drawing/2014/main" id="{45D03B99-A5C2-49C9-8CD7-059FE4156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4520" y="186314"/>
          <a:ext cx="2968943" cy="4956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66"/>
  <sheetViews>
    <sheetView showGridLines="0" zoomScaleNormal="100" workbookViewId="0">
      <selection activeCell="E70" sqref="E70"/>
    </sheetView>
  </sheetViews>
  <sheetFormatPr defaultRowHeight="14.4" x14ac:dyDescent="0.3"/>
  <cols>
    <col min="1" max="1" width="1" customWidth="1"/>
    <col min="2" max="2" width="37.44140625" bestFit="1" customWidth="1"/>
    <col min="3" max="5" width="20.6640625" customWidth="1"/>
  </cols>
  <sheetData>
    <row r="1" spans="2:5" ht="29.25" customHeight="1" x14ac:dyDescent="0.3"/>
    <row r="2" spans="2:5" ht="29.25" customHeight="1" thickBot="1" x14ac:dyDescent="0.35"/>
    <row r="3" spans="2:5" ht="18.600000000000001" thickTop="1" thickBot="1" x14ac:dyDescent="0.35">
      <c r="B3" s="1" t="s">
        <v>0</v>
      </c>
      <c r="C3" s="2" t="s">
        <v>116</v>
      </c>
      <c r="D3" s="2" t="s">
        <v>117</v>
      </c>
      <c r="E3" s="2" t="s">
        <v>118</v>
      </c>
    </row>
    <row r="4" spans="2:5" ht="17.399999999999999" thickTop="1" thickBot="1" x14ac:dyDescent="0.35">
      <c r="B4" s="3" t="s">
        <v>1</v>
      </c>
      <c r="C4" s="4">
        <f>C5+C6-C7</f>
        <v>921649.53999999992</v>
      </c>
      <c r="D4" s="4">
        <f>D5+D6-D7</f>
        <v>1283250.7200000002</v>
      </c>
      <c r="E4" s="4">
        <f>E5+E6-E7</f>
        <v>1001947.88</v>
      </c>
    </row>
    <row r="5" spans="2:5" ht="18" thickTop="1" thickBot="1" x14ac:dyDescent="0.35">
      <c r="B5" s="5" t="s">
        <v>2</v>
      </c>
      <c r="C5" s="6">
        <v>811710.14</v>
      </c>
      <c r="D5" s="6">
        <v>1148954.1200000001</v>
      </c>
      <c r="E5" s="6">
        <v>838395</v>
      </c>
    </row>
    <row r="6" spans="2:5" ht="18" thickTop="1" thickBot="1" x14ac:dyDescent="0.35">
      <c r="B6" s="5" t="s">
        <v>3</v>
      </c>
      <c r="C6" s="6">
        <v>127040.2</v>
      </c>
      <c r="D6" s="6">
        <v>166741.6</v>
      </c>
      <c r="E6" s="6">
        <v>190322.88</v>
      </c>
    </row>
    <row r="7" spans="2:5" ht="18" thickTop="1" thickBot="1" x14ac:dyDescent="0.35">
      <c r="B7" s="5" t="s">
        <v>4</v>
      </c>
      <c r="C7" s="7">
        <v>17100.8</v>
      </c>
      <c r="D7" s="7">
        <v>32445</v>
      </c>
      <c r="E7" s="7">
        <v>26770</v>
      </c>
    </row>
    <row r="8" spans="2:5" ht="17.399999999999999" thickTop="1" thickBot="1" x14ac:dyDescent="0.35">
      <c r="B8" s="8"/>
      <c r="C8" s="9"/>
      <c r="D8" s="10"/>
      <c r="E8" s="10"/>
    </row>
    <row r="9" spans="2:5" ht="18" thickTop="1" thickBot="1" x14ac:dyDescent="0.35">
      <c r="B9" s="3" t="s">
        <v>5</v>
      </c>
      <c r="C9" s="11">
        <f>SUM(C10:C13)</f>
        <v>239294.24165000001</v>
      </c>
      <c r="D9" s="11">
        <f t="shared" ref="D9:E9" si="0">SUM(D10:D13)</f>
        <v>336850.67570000002</v>
      </c>
      <c r="E9" s="11">
        <f t="shared" si="0"/>
        <v>255583.64790000001</v>
      </c>
    </row>
    <row r="10" spans="2:5" ht="18" thickTop="1" thickBot="1" x14ac:dyDescent="0.35">
      <c r="B10" s="5" t="s">
        <v>6</v>
      </c>
      <c r="C10" s="6">
        <f>(C5+C6)*1.65%</f>
        <v>15489.38061</v>
      </c>
      <c r="D10" s="6">
        <f t="shared" ref="D10:E10" si="1">(D5+D6)*1.65%</f>
        <v>21708.979380000004</v>
      </c>
      <c r="E10" s="6">
        <f t="shared" si="1"/>
        <v>16973.845020000001</v>
      </c>
    </row>
    <row r="11" spans="2:5" ht="18" thickTop="1" thickBot="1" x14ac:dyDescent="0.35">
      <c r="B11" s="5" t="s">
        <v>7</v>
      </c>
      <c r="C11" s="6">
        <f>(C5+C6)*7.6%</f>
        <v>71345.025840000002</v>
      </c>
      <c r="D11" s="6">
        <f t="shared" ref="D11:E11" si="2">(D5+D6)*7.6%</f>
        <v>99992.874720000007</v>
      </c>
      <c r="E11" s="6">
        <f t="shared" si="2"/>
        <v>78182.558879999997</v>
      </c>
    </row>
    <row r="12" spans="2:5" ht="18" thickTop="1" thickBot="1" x14ac:dyDescent="0.35">
      <c r="B12" s="5" t="s">
        <v>8</v>
      </c>
      <c r="C12" s="6">
        <f>C5*18%</f>
        <v>146107.82519999999</v>
      </c>
      <c r="D12" s="6">
        <f t="shared" ref="D12:E12" si="3">D5*18%</f>
        <v>206811.74160000001</v>
      </c>
      <c r="E12" s="6">
        <f t="shared" si="3"/>
        <v>150911.1</v>
      </c>
    </row>
    <row r="13" spans="2:5" ht="18" thickTop="1" thickBot="1" x14ac:dyDescent="0.35">
      <c r="B13" s="5" t="s">
        <v>9</v>
      </c>
      <c r="C13" s="6">
        <f>C6*5%</f>
        <v>6352.01</v>
      </c>
      <c r="D13" s="6">
        <f t="shared" ref="D13:E13" si="4">D6*5%</f>
        <v>8337.08</v>
      </c>
      <c r="E13" s="6">
        <f t="shared" si="4"/>
        <v>9516.1440000000002</v>
      </c>
    </row>
    <row r="14" spans="2:5" ht="17.399999999999999" thickTop="1" thickBot="1" x14ac:dyDescent="0.35">
      <c r="B14" s="13"/>
      <c r="C14" s="14"/>
      <c r="D14" s="13"/>
      <c r="E14" s="13"/>
    </row>
    <row r="15" spans="2:5" ht="18" thickTop="1" thickBot="1" x14ac:dyDescent="0.35">
      <c r="B15" s="3" t="s">
        <v>10</v>
      </c>
      <c r="C15" s="111">
        <f>C4-C9</f>
        <v>682355.29834999994</v>
      </c>
      <c r="D15" s="111">
        <f t="shared" ref="D15:E15" si="5">D4-D9</f>
        <v>946400.04430000018</v>
      </c>
      <c r="E15" s="111">
        <f t="shared" si="5"/>
        <v>746364.23210000002</v>
      </c>
    </row>
    <row r="16" spans="2:5" ht="17.399999999999999" thickTop="1" thickBot="1" x14ac:dyDescent="0.35">
      <c r="B16" s="13"/>
      <c r="C16" s="9"/>
      <c r="D16" s="10"/>
      <c r="E16" s="10"/>
    </row>
    <row r="17" spans="2:5" ht="18" thickTop="1" thickBot="1" x14ac:dyDescent="0.35">
      <c r="B17" s="3" t="s">
        <v>11</v>
      </c>
      <c r="C17" s="16">
        <f>C23</f>
        <v>468762.07345000008</v>
      </c>
      <c r="D17" s="16">
        <f t="shared" ref="D17:E17" si="6">D23</f>
        <v>562413.01709999994</v>
      </c>
      <c r="E17" s="16">
        <f t="shared" si="6"/>
        <v>560624.41249999998</v>
      </c>
    </row>
    <row r="18" spans="2:5" ht="18" thickTop="1" thickBot="1" x14ac:dyDescent="0.35">
      <c r="B18" s="17" t="s">
        <v>12</v>
      </c>
      <c r="C18" s="6">
        <v>608782</v>
      </c>
      <c r="D18" s="6">
        <v>746820.15</v>
      </c>
      <c r="E18" s="6">
        <v>650618</v>
      </c>
    </row>
    <row r="19" spans="2:5" ht="18" thickTop="1" thickBot="1" x14ac:dyDescent="0.35">
      <c r="B19" s="5" t="s">
        <v>13</v>
      </c>
      <c r="C19" s="6">
        <f>C5*1%</f>
        <v>8117.1014000000005</v>
      </c>
      <c r="D19" s="6">
        <f t="shared" ref="D19:E19" si="7">D5*1%</f>
        <v>11489.541200000001</v>
      </c>
      <c r="E19" s="6">
        <f t="shared" si="7"/>
        <v>8383.9500000000007</v>
      </c>
    </row>
    <row r="20" spans="2:5" ht="18" thickTop="1" thickBot="1" x14ac:dyDescent="0.35">
      <c r="B20" s="17" t="s">
        <v>14</v>
      </c>
      <c r="C20" s="7">
        <f>C18*12%</f>
        <v>73053.84</v>
      </c>
      <c r="D20" s="7">
        <f>D18*12%</f>
        <v>89618.418000000005</v>
      </c>
      <c r="E20" s="7">
        <v>20826</v>
      </c>
    </row>
    <row r="21" spans="2:5" ht="18" thickTop="1" thickBot="1" x14ac:dyDescent="0.35">
      <c r="B21" s="17" t="s">
        <v>15</v>
      </c>
      <c r="C21" s="7">
        <f>C5*1.65%</f>
        <v>13393.21731</v>
      </c>
      <c r="D21" s="7">
        <f t="shared" ref="D21:E21" si="8">D5*1.65%</f>
        <v>18957.742980000003</v>
      </c>
      <c r="E21" s="7">
        <f t="shared" si="8"/>
        <v>13833.5175</v>
      </c>
    </row>
    <row r="22" spans="2:5" ht="18" thickTop="1" thickBot="1" x14ac:dyDescent="0.35">
      <c r="B22" s="17" t="s">
        <v>16</v>
      </c>
      <c r="C22" s="7">
        <f>C5*7.6%</f>
        <v>61689.97064</v>
      </c>
      <c r="D22" s="7">
        <f t="shared" ref="D22:E22" si="9">D5*7.6%</f>
        <v>87320.513120000003</v>
      </c>
      <c r="E22" s="7">
        <f t="shared" si="9"/>
        <v>63718.02</v>
      </c>
    </row>
    <row r="23" spans="2:5" ht="18" thickTop="1" thickBot="1" x14ac:dyDescent="0.35">
      <c r="B23" s="12" t="s">
        <v>17</v>
      </c>
      <c r="C23" s="6">
        <f>C18+C19-C20-C21-C22</f>
        <v>468762.07345000008</v>
      </c>
      <c r="D23" s="6">
        <f t="shared" ref="D23:E23" si="10">D18+D19-D20-D21-D22</f>
        <v>562413.01709999994</v>
      </c>
      <c r="E23" s="6">
        <f t="shared" si="10"/>
        <v>560624.41249999998</v>
      </c>
    </row>
    <row r="24" spans="2:5" ht="17.399999999999999" thickTop="1" thickBot="1" x14ac:dyDescent="0.35">
      <c r="B24" s="13"/>
      <c r="C24" s="9"/>
      <c r="D24" s="9"/>
      <c r="E24" s="9"/>
    </row>
    <row r="25" spans="2:5" ht="18" thickTop="1" thickBot="1" x14ac:dyDescent="0.35">
      <c r="B25" s="3" t="s">
        <v>18</v>
      </c>
      <c r="C25" s="15">
        <f>C15-C17</f>
        <v>213593.22489999986</v>
      </c>
      <c r="D25" s="15">
        <f t="shared" ref="D25:E25" si="11">D15-D17</f>
        <v>383987.02720000024</v>
      </c>
      <c r="E25" s="15">
        <f t="shared" si="11"/>
        <v>185739.81960000005</v>
      </c>
    </row>
    <row r="26" spans="2:5" ht="17.399999999999999" thickTop="1" thickBot="1" x14ac:dyDescent="0.35">
      <c r="B26" s="13"/>
      <c r="C26" s="9"/>
      <c r="D26" s="10"/>
      <c r="E26" s="10"/>
    </row>
    <row r="27" spans="2:5" ht="18" thickTop="1" thickBot="1" x14ac:dyDescent="0.35">
      <c r="B27" s="3" t="s">
        <v>19</v>
      </c>
      <c r="C27" s="11">
        <f>SUM(C28:C36)</f>
        <v>143218.03509992221</v>
      </c>
      <c r="D27" s="11">
        <f>SUM(D28:D36)</f>
        <v>145043.12029166665</v>
      </c>
      <c r="E27" s="11">
        <f>SUM(E28:E36)</f>
        <v>137941.7077511111</v>
      </c>
    </row>
    <row r="28" spans="2:5" ht="17.399999999999999" thickTop="1" thickBot="1" x14ac:dyDescent="0.35">
      <c r="B28" s="12" t="s">
        <v>20</v>
      </c>
      <c r="C28" s="19">
        <v>1500</v>
      </c>
      <c r="D28" s="19">
        <v>1500</v>
      </c>
      <c r="E28" s="19">
        <v>1500</v>
      </c>
    </row>
    <row r="29" spans="2:5" ht="17.399999999999999" thickTop="1" thickBot="1" x14ac:dyDescent="0.35">
      <c r="B29" s="12" t="s">
        <v>21</v>
      </c>
      <c r="C29" s="19">
        <v>95890.1</v>
      </c>
      <c r="D29" s="19">
        <v>97125</v>
      </c>
      <c r="E29" s="19">
        <v>92320</v>
      </c>
    </row>
    <row r="30" spans="2:5" ht="17.399999999999999" thickTop="1" thickBot="1" x14ac:dyDescent="0.35">
      <c r="B30" s="12" t="s">
        <v>22</v>
      </c>
      <c r="C30" s="19">
        <f>C29*8%</f>
        <v>7671.2080000000005</v>
      </c>
      <c r="D30" s="19">
        <f t="shared" ref="D30:E30" si="12">D29*8%</f>
        <v>7770</v>
      </c>
      <c r="E30" s="19">
        <f t="shared" si="12"/>
        <v>7385.6</v>
      </c>
    </row>
    <row r="31" spans="2:5" ht="17.399999999999999" thickTop="1" thickBot="1" x14ac:dyDescent="0.35">
      <c r="B31" s="12" t="s">
        <v>23</v>
      </c>
      <c r="C31" s="20">
        <f>C29*20%</f>
        <v>19178.02</v>
      </c>
      <c r="D31" s="20">
        <f t="shared" ref="D31:E31" si="13">D29*20%</f>
        <v>19425</v>
      </c>
      <c r="E31" s="20">
        <f t="shared" si="13"/>
        <v>18464</v>
      </c>
    </row>
    <row r="32" spans="2:5" ht="17.399999999999999" thickTop="1" thickBot="1" x14ac:dyDescent="0.35">
      <c r="B32" s="12" t="s">
        <v>24</v>
      </c>
      <c r="C32" s="20">
        <f>C29*6.8%</f>
        <v>6520.5268000000005</v>
      </c>
      <c r="D32" s="20">
        <f t="shared" ref="D32:E32" si="14">D29*6.8%</f>
        <v>6604.5000000000009</v>
      </c>
      <c r="E32" s="20">
        <f t="shared" si="14"/>
        <v>6277.76</v>
      </c>
    </row>
    <row r="33" spans="2:5" ht="17.399999999999999" thickTop="1" thickBot="1" x14ac:dyDescent="0.35">
      <c r="B33" s="12" t="s">
        <v>25</v>
      </c>
      <c r="C33" s="20">
        <f>C29/12</f>
        <v>7990.8416666666672</v>
      </c>
      <c r="D33" s="20">
        <f t="shared" ref="D33:E33" si="15">D29/12</f>
        <v>8093.75</v>
      </c>
      <c r="E33" s="20">
        <f t="shared" si="15"/>
        <v>7693.333333333333</v>
      </c>
    </row>
    <row r="34" spans="2:5" ht="17.399999999999999" thickTop="1" thickBot="1" x14ac:dyDescent="0.35">
      <c r="B34" s="12" t="s">
        <v>26</v>
      </c>
      <c r="C34" s="20">
        <f>C33*34.8%</f>
        <v>2780.8128999999999</v>
      </c>
      <c r="D34" s="20">
        <f t="shared" ref="D34:E34" si="16">D33*34.8%</f>
        <v>2816.625</v>
      </c>
      <c r="E34" s="20">
        <f t="shared" si="16"/>
        <v>2677.2799999999997</v>
      </c>
    </row>
    <row r="35" spans="2:5" ht="17.399999999999999" thickTop="1" thickBot="1" x14ac:dyDescent="0.35">
      <c r="B35" s="12" t="s">
        <v>27</v>
      </c>
      <c r="C35" s="20">
        <f>((C29/12)*1.33)/12</f>
        <v>885.65161805555556</v>
      </c>
      <c r="D35" s="20">
        <f t="shared" ref="D35:E35" si="17">((D29/12)*1.33)/12</f>
        <v>897.05729166666663</v>
      </c>
      <c r="E35" s="20">
        <f t="shared" si="17"/>
        <v>852.67777777777781</v>
      </c>
    </row>
    <row r="36" spans="2:5" ht="17.399999999999999" thickTop="1" thickBot="1" x14ac:dyDescent="0.35">
      <c r="B36" s="12" t="s">
        <v>28</v>
      </c>
      <c r="C36" s="20">
        <f>C34*28.8%</f>
        <v>800.87411520000012</v>
      </c>
      <c r="D36" s="20">
        <f t="shared" ref="D36" si="18">D34*28.8%</f>
        <v>811.1880000000001</v>
      </c>
      <c r="E36" s="20">
        <f t="shared" ref="E36" si="19">E34*28.8%</f>
        <v>771.05664000000002</v>
      </c>
    </row>
    <row r="37" spans="2:5" ht="17.399999999999999" thickTop="1" thickBot="1" x14ac:dyDescent="0.35">
      <c r="B37" s="21"/>
      <c r="C37" s="14"/>
      <c r="D37" s="13"/>
      <c r="E37" s="13"/>
    </row>
    <row r="38" spans="2:5" ht="18" thickTop="1" thickBot="1" x14ac:dyDescent="0.35">
      <c r="B38" s="18" t="s">
        <v>29</v>
      </c>
      <c r="C38" s="11">
        <f>SUM(C39:C44)</f>
        <v>22100</v>
      </c>
      <c r="D38" s="11">
        <f t="shared" ref="D38:E38" si="20">SUM(D39:D44)</f>
        <v>22323</v>
      </c>
      <c r="E38" s="11">
        <f t="shared" si="20"/>
        <v>22155</v>
      </c>
    </row>
    <row r="39" spans="2:5" ht="17.399999999999999" thickTop="1" thickBot="1" x14ac:dyDescent="0.35">
      <c r="B39" s="12" t="s">
        <v>30</v>
      </c>
      <c r="C39" s="20">
        <v>900</v>
      </c>
      <c r="D39" s="20">
        <v>1058</v>
      </c>
      <c r="E39" s="20">
        <v>1258</v>
      </c>
    </row>
    <row r="40" spans="2:5" ht="17.399999999999999" thickTop="1" thickBot="1" x14ac:dyDescent="0.35">
      <c r="B40" s="5" t="s">
        <v>31</v>
      </c>
      <c r="C40" s="20">
        <v>470</v>
      </c>
      <c r="D40" s="20">
        <v>460</v>
      </c>
      <c r="E40" s="20">
        <v>425</v>
      </c>
    </row>
    <row r="41" spans="2:5" ht="17.399999999999999" thickTop="1" thickBot="1" x14ac:dyDescent="0.35">
      <c r="B41" s="5" t="s">
        <v>32</v>
      </c>
      <c r="C41" s="20">
        <v>800</v>
      </c>
      <c r="D41" s="20">
        <v>800</v>
      </c>
      <c r="E41" s="20">
        <v>800</v>
      </c>
    </row>
    <row r="42" spans="2:5" ht="17.399999999999999" thickTop="1" thickBot="1" x14ac:dyDescent="0.35">
      <c r="B42" s="5" t="s">
        <v>33</v>
      </c>
      <c r="C42" s="20">
        <v>3180</v>
      </c>
      <c r="D42" s="20">
        <v>3255</v>
      </c>
      <c r="E42" s="20">
        <v>2922</v>
      </c>
    </row>
    <row r="43" spans="2:5" ht="17.399999999999999" thickTop="1" thickBot="1" x14ac:dyDescent="0.35">
      <c r="B43" s="5" t="s">
        <v>34</v>
      </c>
      <c r="C43" s="20">
        <v>5500</v>
      </c>
      <c r="D43" s="20">
        <v>5500</v>
      </c>
      <c r="E43" s="20">
        <v>5500</v>
      </c>
    </row>
    <row r="44" spans="2:5" ht="17.399999999999999" thickTop="1" thickBot="1" x14ac:dyDescent="0.35">
      <c r="B44" s="5" t="s">
        <v>35</v>
      </c>
      <c r="C44" s="20">
        <v>11250</v>
      </c>
      <c r="D44" s="20">
        <v>11250</v>
      </c>
      <c r="E44" s="20">
        <v>11250</v>
      </c>
    </row>
    <row r="45" spans="2:5" ht="17.399999999999999" thickTop="1" thickBot="1" x14ac:dyDescent="0.35">
      <c r="B45" s="13"/>
      <c r="C45" s="14"/>
      <c r="D45" s="14"/>
      <c r="E45" s="14"/>
    </row>
    <row r="46" spans="2:5" ht="18" thickTop="1" thickBot="1" x14ac:dyDescent="0.35">
      <c r="B46" s="18" t="s">
        <v>36</v>
      </c>
      <c r="C46" s="11">
        <f>SUM(C47:C56)</f>
        <v>73129</v>
      </c>
      <c r="D46" s="11">
        <f>SUM(D47:D56)</f>
        <v>109176</v>
      </c>
      <c r="E46" s="11">
        <f>SUM(E47:E56)</f>
        <v>94885</v>
      </c>
    </row>
    <row r="47" spans="2:5" ht="17.399999999999999" thickTop="1" thickBot="1" x14ac:dyDescent="0.35">
      <c r="B47" s="5" t="s">
        <v>37</v>
      </c>
      <c r="C47" s="19">
        <v>8125</v>
      </c>
      <c r="D47" s="19">
        <v>9958</v>
      </c>
      <c r="E47" s="19">
        <v>9045</v>
      </c>
    </row>
    <row r="48" spans="2:5" ht="17.399999999999999" thickTop="1" thickBot="1" x14ac:dyDescent="0.35">
      <c r="B48" s="5" t="s">
        <v>38</v>
      </c>
      <c r="C48" s="19">
        <v>4400</v>
      </c>
      <c r="D48" s="19">
        <v>4400</v>
      </c>
      <c r="E48" s="19">
        <v>4400</v>
      </c>
    </row>
    <row r="49" spans="2:5" ht="17.399999999999999" thickTop="1" thickBot="1" x14ac:dyDescent="0.35">
      <c r="B49" s="175" t="s">
        <v>119</v>
      </c>
      <c r="C49" s="176">
        <v>15000</v>
      </c>
      <c r="D49" s="176">
        <v>15000</v>
      </c>
      <c r="E49" s="176">
        <v>15000</v>
      </c>
    </row>
    <row r="50" spans="2:5" ht="17.399999999999999" thickTop="1" thickBot="1" x14ac:dyDescent="0.35">
      <c r="B50" s="5" t="s">
        <v>39</v>
      </c>
      <c r="C50" s="19">
        <v>1500</v>
      </c>
      <c r="D50" s="19">
        <v>1500</v>
      </c>
      <c r="E50" s="19">
        <v>1500</v>
      </c>
    </row>
    <row r="51" spans="2:5" ht="17.399999999999999" thickTop="1" thickBot="1" x14ac:dyDescent="0.35">
      <c r="B51" s="5" t="s">
        <v>40</v>
      </c>
      <c r="C51" s="19">
        <v>2385</v>
      </c>
      <c r="D51" s="19">
        <v>2958</v>
      </c>
      <c r="E51" s="19">
        <v>3125</v>
      </c>
    </row>
    <row r="52" spans="2:5" ht="17.399999999999999" thickTop="1" thickBot="1" x14ac:dyDescent="0.35">
      <c r="B52" s="5" t="s">
        <v>41</v>
      </c>
      <c r="C52" s="19">
        <v>1200</v>
      </c>
      <c r="D52" s="19">
        <v>1200</v>
      </c>
      <c r="E52" s="19">
        <v>1200</v>
      </c>
    </row>
    <row r="53" spans="2:5" ht="17.399999999999999" thickTop="1" thickBot="1" x14ac:dyDescent="0.35">
      <c r="B53" s="175" t="s">
        <v>105</v>
      </c>
      <c r="C53" s="176">
        <v>0</v>
      </c>
      <c r="D53" s="176">
        <v>27850</v>
      </c>
      <c r="E53" s="176">
        <v>18500</v>
      </c>
    </row>
    <row r="54" spans="2:5" ht="17.399999999999999" thickTop="1" thickBot="1" x14ac:dyDescent="0.35">
      <c r="B54" s="5" t="s">
        <v>42</v>
      </c>
      <c r="C54" s="19">
        <v>2455</v>
      </c>
      <c r="D54" s="19">
        <v>2110</v>
      </c>
      <c r="E54" s="19">
        <v>2585</v>
      </c>
    </row>
    <row r="55" spans="2:5" ht="17.399999999999999" thickTop="1" thickBot="1" x14ac:dyDescent="0.35">
      <c r="B55" s="175" t="s">
        <v>106</v>
      </c>
      <c r="C55" s="176">
        <v>19950</v>
      </c>
      <c r="D55" s="176">
        <v>19950</v>
      </c>
      <c r="E55" s="176">
        <v>19950</v>
      </c>
    </row>
    <row r="56" spans="2:5" ht="17.399999999999999" thickTop="1" thickBot="1" x14ac:dyDescent="0.35">
      <c r="B56" s="177" t="s">
        <v>114</v>
      </c>
      <c r="C56" s="178">
        <v>18114</v>
      </c>
      <c r="D56" s="178">
        <v>24250</v>
      </c>
      <c r="E56" s="178">
        <v>19580</v>
      </c>
    </row>
    <row r="57" spans="2:5" ht="18" thickTop="1" thickBot="1" x14ac:dyDescent="0.35">
      <c r="B57" s="18" t="s">
        <v>43</v>
      </c>
      <c r="C57" s="22">
        <f>C58</f>
        <v>0</v>
      </c>
      <c r="D57" s="22">
        <f t="shared" ref="D57:E57" si="21">D58</f>
        <v>0</v>
      </c>
      <c r="E57" s="22">
        <f t="shared" si="21"/>
        <v>0</v>
      </c>
    </row>
    <row r="58" spans="2:5" ht="18" thickTop="1" thickBot="1" x14ac:dyDescent="0.35">
      <c r="B58" s="12" t="s">
        <v>123</v>
      </c>
      <c r="C58" s="6">
        <v>0</v>
      </c>
      <c r="D58" s="6">
        <v>0</v>
      </c>
      <c r="E58" s="6">
        <v>0</v>
      </c>
    </row>
    <row r="59" spans="2:5" ht="17.399999999999999" thickTop="1" thickBot="1" x14ac:dyDescent="0.35">
      <c r="B59" s="21"/>
      <c r="C59" s="14"/>
      <c r="D59" s="14"/>
      <c r="E59" s="14"/>
    </row>
    <row r="60" spans="2:5" ht="17.399999999999999" thickTop="1" thickBot="1" x14ac:dyDescent="0.35">
      <c r="B60" s="13"/>
      <c r="C60" s="14"/>
      <c r="D60" s="14"/>
      <c r="E60" s="14"/>
    </row>
    <row r="61" spans="2:5" ht="18" thickTop="1" thickBot="1" x14ac:dyDescent="0.35">
      <c r="B61" s="3" t="s">
        <v>44</v>
      </c>
      <c r="C61" s="15">
        <f>(C25-C27-C38-C46+C57)</f>
        <v>-24853.810199922358</v>
      </c>
      <c r="D61" s="15">
        <f>(D25-D27-D38-D46+D57)</f>
        <v>107444.90690833359</v>
      </c>
      <c r="E61" s="15">
        <f>(E25-E27-E38-E46+E57)</f>
        <v>-69241.888151111052</v>
      </c>
    </row>
    <row r="62" spans="2:5" ht="17.399999999999999" thickTop="1" thickBot="1" x14ac:dyDescent="0.35">
      <c r="B62" s="13"/>
      <c r="C62" s="14"/>
      <c r="D62" s="14"/>
      <c r="E62" s="14"/>
    </row>
    <row r="63" spans="2:5" ht="15" thickTop="1" x14ac:dyDescent="0.3"/>
    <row r="66" spans="4:4" ht="23.4" x14ac:dyDescent="0.45">
      <c r="D66" s="174">
        <f>C61+D61+E61</f>
        <v>13349.208557300182</v>
      </c>
    </row>
  </sheetData>
  <conditionalFormatting sqref="C61:E61">
    <cfRule type="cellIs" dxfId="8" priority="10" stopIfTrue="1" operator="greaterThan">
      <formula>0</formula>
    </cfRule>
    <cfRule type="cellIs" dxfId="7" priority="11" stopIfTrue="1" operator="lessThan">
      <formula>0</formula>
    </cfRule>
    <cfRule type="cellIs" dxfId="6" priority="12" stopIfTrue="1" operator="greaterThan">
      <formula>0</formula>
    </cfRule>
  </conditionalFormatting>
  <conditionalFormatting sqref="C25:E25">
    <cfRule type="cellIs" dxfId="5" priority="7" stopIfTrue="1" operator="greaterThan">
      <formula>0</formula>
    </cfRule>
    <cfRule type="cellIs" dxfId="4" priority="8" stopIfTrue="1" operator="lessThan">
      <formula>0</formula>
    </cfRule>
    <cfRule type="cellIs" dxfId="3" priority="9" stopIfTrue="1" operator="greaterThan">
      <formula>0</formula>
    </cfRule>
  </conditionalFormatting>
  <conditionalFormatting sqref="C15:E15">
    <cfRule type="cellIs" dxfId="2" priority="4" stopIfTrue="1" operator="greaterThan">
      <formula>0</formula>
    </cfRule>
    <cfRule type="cellIs" dxfId="1" priority="5" stopIfTrue="1" operator="lessThan">
      <formula>0</formula>
    </cfRule>
    <cfRule type="cellIs" dxfId="0" priority="6" stopIfTrue="1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53"/>
  <sheetViews>
    <sheetView showGridLines="0" zoomScaleNormal="100" workbookViewId="0">
      <selection activeCell="F45" sqref="F45"/>
    </sheetView>
  </sheetViews>
  <sheetFormatPr defaultRowHeight="14.4" x14ac:dyDescent="0.3"/>
  <cols>
    <col min="1" max="1" width="1.33203125" customWidth="1"/>
    <col min="2" max="2" width="11.5546875" customWidth="1"/>
    <col min="3" max="3" width="51.6640625" customWidth="1"/>
    <col min="4" max="4" width="16.6640625" style="23" customWidth="1"/>
    <col min="5" max="5" width="26.33203125" customWidth="1"/>
    <col min="6" max="6" width="19.109375" bestFit="1" customWidth="1"/>
  </cols>
  <sheetData>
    <row r="1" spans="2:6" x14ac:dyDescent="0.3">
      <c r="B1" s="122" t="s">
        <v>72</v>
      </c>
      <c r="C1" s="123"/>
      <c r="D1" s="161"/>
      <c r="E1" s="124"/>
      <c r="F1" s="125"/>
    </row>
    <row r="2" spans="2:6" x14ac:dyDescent="0.3">
      <c r="B2" s="126" t="s">
        <v>73</v>
      </c>
      <c r="C2" s="115" t="s">
        <v>74</v>
      </c>
      <c r="D2" s="116" t="s">
        <v>127</v>
      </c>
      <c r="E2" s="116" t="s">
        <v>75</v>
      </c>
      <c r="F2" s="127" t="s">
        <v>76</v>
      </c>
    </row>
    <row r="3" spans="2:6" ht="15" thickBot="1" x14ac:dyDescent="0.35">
      <c r="B3" s="135" t="s">
        <v>77</v>
      </c>
      <c r="C3" s="159" t="s">
        <v>124</v>
      </c>
      <c r="D3" s="162"/>
      <c r="E3" s="112"/>
      <c r="F3" s="171"/>
    </row>
    <row r="4" spans="2:6" ht="16.8" thickTop="1" thickBot="1" x14ac:dyDescent="0.35">
      <c r="B4" s="152">
        <v>44476</v>
      </c>
      <c r="C4" s="154" t="str">
        <f>'DRE TRIMESTRAL'!B49</f>
        <v xml:space="preserve">     DOAÇÃO AMIGOS DA FLORESTA</v>
      </c>
      <c r="D4" s="162"/>
      <c r="E4" s="167">
        <f>'DRE TRIMESTRAL'!C49</f>
        <v>15000</v>
      </c>
      <c r="F4" s="112"/>
    </row>
    <row r="5" spans="2:6" ht="16.8" thickTop="1" thickBot="1" x14ac:dyDescent="0.35">
      <c r="B5" s="152"/>
      <c r="C5" s="155" t="str">
        <f>'DRE TRIMESTRAL'!B53</f>
        <v xml:space="preserve">     BRINDES P/ CLIENTES</v>
      </c>
      <c r="D5" s="162"/>
      <c r="E5" s="167">
        <f>'DRE TRIMESTRAL'!C53</f>
        <v>0</v>
      </c>
      <c r="F5" s="112"/>
    </row>
    <row r="6" spans="2:6" ht="16.8" thickTop="1" thickBot="1" x14ac:dyDescent="0.35">
      <c r="B6" s="153">
        <v>44479</v>
      </c>
      <c r="C6" s="155" t="str">
        <f>'DRE TRIMESTRAL'!B55</f>
        <v xml:space="preserve">     PLANO DE SAÚDE DIRETORIA</v>
      </c>
      <c r="D6" s="163"/>
      <c r="E6" s="167">
        <f>'DRE TRIMESTRAL'!C55</f>
        <v>19950</v>
      </c>
      <c r="F6" s="112"/>
    </row>
    <row r="7" spans="2:6" ht="16.8" thickTop="1" thickBot="1" x14ac:dyDescent="0.35">
      <c r="B7" s="153">
        <v>44500</v>
      </c>
      <c r="C7" s="154" t="str">
        <f>'DRE TRIMESTRAL'!B56</f>
        <v xml:space="preserve">     DESPESAS SÓCIOS </v>
      </c>
      <c r="D7" s="163"/>
      <c r="E7" s="167">
        <f>'DRE TRIMESTRAL'!C56</f>
        <v>18114</v>
      </c>
      <c r="F7" s="112"/>
    </row>
    <row r="8" spans="2:6" ht="15" thickTop="1" x14ac:dyDescent="0.3">
      <c r="B8" s="160"/>
      <c r="C8" s="112"/>
      <c r="D8" s="163"/>
      <c r="E8" s="112"/>
      <c r="F8" s="112"/>
    </row>
    <row r="9" spans="2:6" x14ac:dyDescent="0.3">
      <c r="B9" s="153"/>
      <c r="C9" s="113"/>
      <c r="D9" s="164"/>
      <c r="E9" s="170">
        <f>SUM(E3:E8)</f>
        <v>53064</v>
      </c>
      <c r="F9" s="113"/>
    </row>
    <row r="10" spans="2:6" ht="15" thickBot="1" x14ac:dyDescent="0.35">
      <c r="B10" s="153"/>
      <c r="C10" s="159" t="s">
        <v>125</v>
      </c>
      <c r="D10" s="163"/>
      <c r="E10" s="169"/>
      <c r="F10" s="171"/>
    </row>
    <row r="11" spans="2:6" ht="16.8" thickTop="1" thickBot="1" x14ac:dyDescent="0.35">
      <c r="B11" s="153">
        <v>44505</v>
      </c>
      <c r="C11" s="179" t="str">
        <f>'DRE TRIMESTRAL'!B49</f>
        <v xml:space="preserve">     DOAÇÃO AMIGOS DA FLORESTA</v>
      </c>
      <c r="D11" s="163"/>
      <c r="E11" s="167">
        <f>'DRE TRIMESTRAL'!D49</f>
        <v>15000</v>
      </c>
      <c r="F11" s="112"/>
    </row>
    <row r="12" spans="2:6" ht="16.8" thickTop="1" thickBot="1" x14ac:dyDescent="0.35">
      <c r="B12" s="153">
        <v>44510</v>
      </c>
      <c r="C12" s="155" t="str">
        <f>'DRE TRIMESTRAL'!B53</f>
        <v xml:space="preserve">     BRINDES P/ CLIENTES</v>
      </c>
      <c r="D12" s="163"/>
      <c r="E12" s="167">
        <f>'DRE TRIMESTRAL'!D53</f>
        <v>27850</v>
      </c>
      <c r="F12" s="112"/>
    </row>
    <row r="13" spans="2:6" ht="16.8" thickTop="1" thickBot="1" x14ac:dyDescent="0.35">
      <c r="B13" s="153">
        <v>44515</v>
      </c>
      <c r="C13" s="155" t="str">
        <f>'DRE TRIMESTRAL'!B55</f>
        <v xml:space="preserve">     PLANO DE SAÚDE DIRETORIA</v>
      </c>
      <c r="D13" s="163"/>
      <c r="E13" s="167">
        <f>'DRE TRIMESTRAL'!D55</f>
        <v>19950</v>
      </c>
      <c r="F13" s="112"/>
    </row>
    <row r="14" spans="2:6" ht="16.8" thickTop="1" thickBot="1" x14ac:dyDescent="0.35">
      <c r="B14" s="153">
        <v>44528</v>
      </c>
      <c r="C14" s="155" t="str">
        <f>'DRE TRIMESTRAL'!B56</f>
        <v xml:space="preserve">     DESPESAS SÓCIOS </v>
      </c>
      <c r="D14" s="163"/>
      <c r="E14" s="167">
        <f>'DRE TRIMESTRAL'!D56</f>
        <v>24250</v>
      </c>
      <c r="F14" s="112"/>
    </row>
    <row r="15" spans="2:6" ht="16.2" thickTop="1" x14ac:dyDescent="0.3">
      <c r="B15" s="153"/>
      <c r="C15" s="156"/>
      <c r="D15" s="164"/>
      <c r="E15" s="170">
        <f>SUM(E10:E14)</f>
        <v>87050</v>
      </c>
      <c r="F15" s="113"/>
    </row>
    <row r="16" spans="2:6" ht="15" thickBot="1" x14ac:dyDescent="0.35">
      <c r="B16" s="153"/>
      <c r="C16" s="159" t="s">
        <v>126</v>
      </c>
      <c r="D16" s="163"/>
      <c r="E16" s="167"/>
      <c r="F16" s="129"/>
    </row>
    <row r="17" spans="2:6" ht="16.8" thickTop="1" thickBot="1" x14ac:dyDescent="0.35">
      <c r="B17" s="153">
        <v>44531</v>
      </c>
      <c r="C17" s="154" t="str">
        <f>'DRE TRIMESTRAL'!B49</f>
        <v xml:space="preserve">     DOAÇÃO AMIGOS DA FLORESTA</v>
      </c>
      <c r="D17" s="163"/>
      <c r="E17" s="167">
        <f>'DRE TRIMESTRAL'!E49</f>
        <v>15000</v>
      </c>
      <c r="F17" s="129"/>
    </row>
    <row r="18" spans="2:6" ht="16.8" thickTop="1" thickBot="1" x14ac:dyDescent="0.35">
      <c r="B18" s="153">
        <v>44540</v>
      </c>
      <c r="C18" s="155" t="str">
        <f>'DRE TRIMESTRAL'!B53</f>
        <v xml:space="preserve">     BRINDES P/ CLIENTES</v>
      </c>
      <c r="D18" s="163"/>
      <c r="E18" s="167">
        <f>'DRE TRIMESTRAL'!E53</f>
        <v>18500</v>
      </c>
      <c r="F18" s="129"/>
    </row>
    <row r="19" spans="2:6" ht="16.8" thickTop="1" thickBot="1" x14ac:dyDescent="0.35">
      <c r="B19" s="153">
        <v>44545</v>
      </c>
      <c r="C19" s="155" t="str">
        <f>'DRE TRIMESTRAL'!B55</f>
        <v xml:space="preserve">     PLANO DE SAÚDE DIRETORIA</v>
      </c>
      <c r="D19" s="163"/>
      <c r="E19" s="167">
        <f>'DRE TRIMESTRAL'!E55</f>
        <v>19950</v>
      </c>
      <c r="F19" s="129"/>
    </row>
    <row r="20" spans="2:6" ht="16.8" thickTop="1" thickBot="1" x14ac:dyDescent="0.35">
      <c r="B20" s="153">
        <v>44550</v>
      </c>
      <c r="C20" s="154" t="str">
        <f>'DRE TRIMESTRAL'!B56</f>
        <v xml:space="preserve">     DESPESAS SÓCIOS </v>
      </c>
      <c r="D20" s="163"/>
      <c r="E20" s="167">
        <f>'DRE TRIMESTRAL'!E56</f>
        <v>19580</v>
      </c>
      <c r="F20" s="129"/>
    </row>
    <row r="21" spans="2:6" ht="16.8" thickTop="1" thickBot="1" x14ac:dyDescent="0.35">
      <c r="B21" s="153"/>
      <c r="C21" s="155"/>
      <c r="D21" s="163"/>
      <c r="E21" s="167"/>
      <c r="F21" s="129"/>
    </row>
    <row r="22" spans="2:6" ht="15" thickTop="1" x14ac:dyDescent="0.3">
      <c r="B22" s="157" t="s">
        <v>77</v>
      </c>
      <c r="C22" s="158" t="s">
        <v>78</v>
      </c>
      <c r="D22" s="162"/>
      <c r="E22" s="170">
        <f>SUM(E16:E21)</f>
        <v>73030</v>
      </c>
      <c r="F22" s="129"/>
    </row>
    <row r="23" spans="2:6" x14ac:dyDescent="0.3">
      <c r="B23" s="157"/>
      <c r="C23" s="157"/>
      <c r="D23" s="157"/>
      <c r="E23" s="157"/>
      <c r="F23" s="157"/>
    </row>
    <row r="24" spans="2:6" x14ac:dyDescent="0.3">
      <c r="B24" s="132" t="s">
        <v>77</v>
      </c>
      <c r="C24" s="119" t="s">
        <v>79</v>
      </c>
      <c r="D24" s="116"/>
      <c r="E24" s="145">
        <f>SUM(E9,E15,E22)</f>
        <v>213144</v>
      </c>
      <c r="F24" s="133">
        <f>SUM(F6:F22)</f>
        <v>0</v>
      </c>
    </row>
    <row r="25" spans="2:6" x14ac:dyDescent="0.3">
      <c r="B25" s="131" t="s">
        <v>77</v>
      </c>
      <c r="C25" s="118" t="s">
        <v>78</v>
      </c>
      <c r="D25" s="165"/>
      <c r="E25" s="112"/>
      <c r="F25" s="129"/>
    </row>
    <row r="26" spans="2:6" x14ac:dyDescent="0.3">
      <c r="B26" s="130">
        <v>44561</v>
      </c>
      <c r="C26" s="117" t="s">
        <v>80</v>
      </c>
      <c r="D26" s="165"/>
      <c r="E26" s="112"/>
      <c r="F26" s="129"/>
    </row>
    <row r="27" spans="2:6" x14ac:dyDescent="0.3">
      <c r="B27" s="131"/>
      <c r="C27" s="118"/>
      <c r="D27" s="165"/>
      <c r="E27" s="112"/>
      <c r="F27" s="129"/>
    </row>
    <row r="28" spans="2:6" x14ac:dyDescent="0.3">
      <c r="B28" s="131"/>
      <c r="C28" s="120" t="s">
        <v>81</v>
      </c>
      <c r="D28" s="165"/>
      <c r="E28" s="112"/>
      <c r="F28" s="180">
        <f>'DRE TRIMESTRAL'!C61+'DRE TRIMESTRAL'!D61+'DRE TRIMESTRAL'!E61</f>
        <v>13349.208557300182</v>
      </c>
    </row>
    <row r="29" spans="2:6" x14ac:dyDescent="0.3">
      <c r="B29" s="131" t="s">
        <v>77</v>
      </c>
      <c r="C29" s="118" t="s">
        <v>82</v>
      </c>
      <c r="D29" s="165"/>
      <c r="E29" s="112"/>
      <c r="F29" s="129"/>
    </row>
    <row r="30" spans="2:6" x14ac:dyDescent="0.3">
      <c r="B30" s="131" t="s">
        <v>77</v>
      </c>
      <c r="C30" s="151" t="s">
        <v>120</v>
      </c>
      <c r="D30" s="165"/>
      <c r="E30" s="112">
        <f>E9</f>
        <v>53064</v>
      </c>
      <c r="F30" s="129">
        <f>E9</f>
        <v>53064</v>
      </c>
    </row>
    <row r="31" spans="2:6" x14ac:dyDescent="0.3">
      <c r="B31" s="131"/>
      <c r="C31" s="151" t="s">
        <v>121</v>
      </c>
      <c r="D31" s="165"/>
      <c r="E31" s="114">
        <f>E15</f>
        <v>87050</v>
      </c>
      <c r="F31" s="129">
        <f>E15</f>
        <v>87050</v>
      </c>
    </row>
    <row r="32" spans="2:6" x14ac:dyDescent="0.3">
      <c r="B32" s="131"/>
      <c r="C32" s="151" t="s">
        <v>122</v>
      </c>
      <c r="D32" s="165"/>
      <c r="E32" s="112">
        <f>E22</f>
        <v>73030</v>
      </c>
      <c r="F32" s="129">
        <f>E22</f>
        <v>73030</v>
      </c>
    </row>
    <row r="33" spans="2:6" ht="16.2" x14ac:dyDescent="0.45">
      <c r="B33" s="131" t="s">
        <v>77</v>
      </c>
      <c r="C33" s="120" t="s">
        <v>83</v>
      </c>
      <c r="D33" s="165"/>
      <c r="E33" s="112"/>
      <c r="F33" s="134">
        <f>SUM(E30:E32)</f>
        <v>213144</v>
      </c>
    </row>
    <row r="34" spans="2:6" x14ac:dyDescent="0.3">
      <c r="B34" s="131" t="s">
        <v>77</v>
      </c>
      <c r="C34" s="118" t="s">
        <v>78</v>
      </c>
      <c r="D34" s="165"/>
      <c r="E34" s="112"/>
      <c r="F34" s="129"/>
    </row>
    <row r="35" spans="2:6" x14ac:dyDescent="0.3">
      <c r="B35" s="131" t="s">
        <v>77</v>
      </c>
      <c r="C35" s="121" t="s">
        <v>84</v>
      </c>
      <c r="D35" s="165"/>
      <c r="E35" s="112"/>
      <c r="F35" s="129"/>
    </row>
    <row r="36" spans="2:6" x14ac:dyDescent="0.3">
      <c r="B36" s="131"/>
      <c r="C36" s="121"/>
      <c r="D36" s="165"/>
      <c r="E36" s="112"/>
      <c r="F36" s="129"/>
    </row>
    <row r="37" spans="2:6" x14ac:dyDescent="0.3">
      <c r="B37" s="131"/>
      <c r="C37" s="121"/>
      <c r="D37" s="165"/>
      <c r="E37" s="112"/>
      <c r="F37" s="129"/>
    </row>
    <row r="38" spans="2:6" ht="16.2" x14ac:dyDescent="0.45">
      <c r="B38" s="131"/>
      <c r="C38" s="120" t="s">
        <v>85</v>
      </c>
      <c r="D38" s="165"/>
      <c r="E38" s="112"/>
      <c r="F38" s="134">
        <f>SUM(F36:F37)</f>
        <v>0</v>
      </c>
    </row>
    <row r="39" spans="2:6" x14ac:dyDescent="0.3">
      <c r="B39" s="131"/>
      <c r="C39" s="121"/>
      <c r="D39" s="165"/>
      <c r="E39" s="112"/>
      <c r="F39" s="129"/>
    </row>
    <row r="40" spans="2:6" x14ac:dyDescent="0.3">
      <c r="B40" s="131" t="s">
        <v>77</v>
      </c>
      <c r="C40" s="121" t="s">
        <v>86</v>
      </c>
      <c r="D40" s="165"/>
      <c r="E40" s="112"/>
      <c r="F40" s="180">
        <f>F28+F33-F38</f>
        <v>226493.20855730018</v>
      </c>
    </row>
    <row r="41" spans="2:6" x14ac:dyDescent="0.3">
      <c r="B41" s="131"/>
      <c r="C41" s="118"/>
      <c r="D41" s="165"/>
      <c r="E41" s="112"/>
      <c r="F41" s="129"/>
    </row>
    <row r="42" spans="2:6" x14ac:dyDescent="0.3">
      <c r="B42" s="131"/>
      <c r="C42" s="121"/>
      <c r="D42" s="165"/>
      <c r="E42" s="112"/>
      <c r="F42" s="129"/>
    </row>
    <row r="43" spans="2:6" ht="28.8" x14ac:dyDescent="0.3">
      <c r="B43" s="128"/>
      <c r="C43" s="172" t="s">
        <v>113</v>
      </c>
      <c r="D43" s="116"/>
      <c r="E43" s="167"/>
      <c r="F43" s="168">
        <f>F40*30%</f>
        <v>67947.962567190058</v>
      </c>
    </row>
    <row r="44" spans="2:6" x14ac:dyDescent="0.3">
      <c r="B44" s="128"/>
      <c r="C44" s="118"/>
      <c r="D44" s="165"/>
      <c r="E44" s="112"/>
      <c r="F44" s="129"/>
    </row>
    <row r="45" spans="2:6" ht="33.75" customHeight="1" x14ac:dyDescent="0.45">
      <c r="B45" s="128"/>
      <c r="C45" s="118"/>
      <c r="D45" s="165" t="s">
        <v>87</v>
      </c>
      <c r="E45" s="112"/>
      <c r="F45" s="182">
        <f>F40-F43</f>
        <v>158545.24599011012</v>
      </c>
    </row>
    <row r="46" spans="2:6" x14ac:dyDescent="0.3">
      <c r="B46" s="128"/>
      <c r="C46" s="118"/>
      <c r="D46" s="165"/>
      <c r="E46" s="112"/>
      <c r="F46" s="129"/>
    </row>
    <row r="47" spans="2:6" x14ac:dyDescent="0.3">
      <c r="B47" s="135"/>
      <c r="C47" s="118"/>
      <c r="D47" s="165" t="s">
        <v>107</v>
      </c>
      <c r="E47" s="112"/>
      <c r="F47" s="129"/>
    </row>
    <row r="48" spans="2:6" ht="15" thickBot="1" x14ac:dyDescent="0.35">
      <c r="B48" s="136"/>
      <c r="C48" s="137"/>
      <c r="D48" s="166"/>
      <c r="E48" s="138"/>
      <c r="F48" s="139"/>
    </row>
    <row r="50" spans="5:6" ht="18" x14ac:dyDescent="0.35">
      <c r="E50" s="148"/>
      <c r="F50" s="148"/>
    </row>
    <row r="51" spans="5:6" ht="18" x14ac:dyDescent="0.35">
      <c r="E51" s="149"/>
      <c r="F51" s="149"/>
    </row>
    <row r="52" spans="5:6" x14ac:dyDescent="0.3">
      <c r="E52" s="147"/>
    </row>
    <row r="53" spans="5:6" ht="18" x14ac:dyDescent="0.35">
      <c r="E53" s="150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"/>
  <sheetViews>
    <sheetView showGridLines="0" topLeftCell="A28" zoomScaleNormal="100" workbookViewId="0">
      <selection activeCell="C9" sqref="C9"/>
    </sheetView>
  </sheetViews>
  <sheetFormatPr defaultColWidth="11.44140625" defaultRowHeight="14.4" x14ac:dyDescent="0.3"/>
  <cols>
    <col min="1" max="1" width="10.109375" style="72" customWidth="1"/>
    <col min="2" max="2" width="33.44140625" style="110" customWidth="1"/>
    <col min="3" max="3" width="29.33203125" style="72" bestFit="1" customWidth="1"/>
    <col min="4" max="4" width="15.5546875" style="71" customWidth="1"/>
    <col min="5" max="5" width="6.109375" style="71" customWidth="1"/>
    <col min="6" max="6" width="14.88671875" style="71" customWidth="1"/>
    <col min="7" max="7" width="15.44140625" style="71" customWidth="1"/>
    <col min="8" max="8" width="14.6640625" style="71" customWidth="1"/>
    <col min="9" max="9" width="4.5546875" style="94" customWidth="1"/>
    <col min="10" max="10" width="11.44140625" customWidth="1"/>
    <col min="11" max="11" width="14.6640625" style="71" customWidth="1"/>
    <col min="12" max="12" width="11.44140625" customWidth="1"/>
    <col min="13" max="256" width="11.44140625" style="72"/>
    <col min="257" max="257" width="10.109375" style="72" customWidth="1"/>
    <col min="258" max="258" width="33.44140625" style="72" customWidth="1"/>
    <col min="259" max="259" width="7.5546875" style="72" customWidth="1"/>
    <col min="260" max="260" width="15.5546875" style="72" customWidth="1"/>
    <col min="261" max="261" width="6.109375" style="72" customWidth="1"/>
    <col min="262" max="262" width="14.88671875" style="72" customWidth="1"/>
    <col min="263" max="263" width="15.44140625" style="72" customWidth="1"/>
    <col min="264" max="264" width="14.6640625" style="72" customWidth="1"/>
    <col min="265" max="265" width="4.5546875" style="72" customWidth="1"/>
    <col min="266" max="266" width="11.44140625" style="72" customWidth="1"/>
    <col min="267" max="267" width="14.6640625" style="72" customWidth="1"/>
    <col min="268" max="268" width="11.44140625" style="72" customWidth="1"/>
    <col min="269" max="512" width="11.44140625" style="72"/>
    <col min="513" max="513" width="10.109375" style="72" customWidth="1"/>
    <col min="514" max="514" width="33.44140625" style="72" customWidth="1"/>
    <col min="515" max="515" width="7.5546875" style="72" customWidth="1"/>
    <col min="516" max="516" width="15.5546875" style="72" customWidth="1"/>
    <col min="517" max="517" width="6.109375" style="72" customWidth="1"/>
    <col min="518" max="518" width="14.88671875" style="72" customWidth="1"/>
    <col min="519" max="519" width="15.44140625" style="72" customWidth="1"/>
    <col min="520" max="520" width="14.6640625" style="72" customWidth="1"/>
    <col min="521" max="521" width="4.5546875" style="72" customWidth="1"/>
    <col min="522" max="522" width="11.44140625" style="72" customWidth="1"/>
    <col min="523" max="523" width="14.6640625" style="72" customWidth="1"/>
    <col min="524" max="524" width="11.44140625" style="72" customWidth="1"/>
    <col min="525" max="768" width="11.44140625" style="72"/>
    <col min="769" max="769" width="10.109375" style="72" customWidth="1"/>
    <col min="770" max="770" width="33.44140625" style="72" customWidth="1"/>
    <col min="771" max="771" width="7.5546875" style="72" customWidth="1"/>
    <col min="772" max="772" width="15.5546875" style="72" customWidth="1"/>
    <col min="773" max="773" width="6.109375" style="72" customWidth="1"/>
    <col min="774" max="774" width="14.88671875" style="72" customWidth="1"/>
    <col min="775" max="775" width="15.44140625" style="72" customWidth="1"/>
    <col min="776" max="776" width="14.6640625" style="72" customWidth="1"/>
    <col min="777" max="777" width="4.5546875" style="72" customWidth="1"/>
    <col min="778" max="778" width="11.44140625" style="72" customWidth="1"/>
    <col min="779" max="779" width="14.6640625" style="72" customWidth="1"/>
    <col min="780" max="780" width="11.44140625" style="72" customWidth="1"/>
    <col min="781" max="1024" width="11.44140625" style="72"/>
    <col min="1025" max="1025" width="10.109375" style="72" customWidth="1"/>
    <col min="1026" max="1026" width="33.44140625" style="72" customWidth="1"/>
    <col min="1027" max="1027" width="7.5546875" style="72" customWidth="1"/>
    <col min="1028" max="1028" width="15.5546875" style="72" customWidth="1"/>
    <col min="1029" max="1029" width="6.109375" style="72" customWidth="1"/>
    <col min="1030" max="1030" width="14.88671875" style="72" customWidth="1"/>
    <col min="1031" max="1031" width="15.44140625" style="72" customWidth="1"/>
    <col min="1032" max="1032" width="14.6640625" style="72" customWidth="1"/>
    <col min="1033" max="1033" width="4.5546875" style="72" customWidth="1"/>
    <col min="1034" max="1034" width="11.44140625" style="72" customWidth="1"/>
    <col min="1035" max="1035" width="14.6640625" style="72" customWidth="1"/>
    <col min="1036" max="1036" width="11.44140625" style="72" customWidth="1"/>
    <col min="1037" max="1280" width="11.44140625" style="72"/>
    <col min="1281" max="1281" width="10.109375" style="72" customWidth="1"/>
    <col min="1282" max="1282" width="33.44140625" style="72" customWidth="1"/>
    <col min="1283" max="1283" width="7.5546875" style="72" customWidth="1"/>
    <col min="1284" max="1284" width="15.5546875" style="72" customWidth="1"/>
    <col min="1285" max="1285" width="6.109375" style="72" customWidth="1"/>
    <col min="1286" max="1286" width="14.88671875" style="72" customWidth="1"/>
    <col min="1287" max="1287" width="15.44140625" style="72" customWidth="1"/>
    <col min="1288" max="1288" width="14.6640625" style="72" customWidth="1"/>
    <col min="1289" max="1289" width="4.5546875" style="72" customWidth="1"/>
    <col min="1290" max="1290" width="11.44140625" style="72" customWidth="1"/>
    <col min="1291" max="1291" width="14.6640625" style="72" customWidth="1"/>
    <col min="1292" max="1292" width="11.44140625" style="72" customWidth="1"/>
    <col min="1293" max="1536" width="11.44140625" style="72"/>
    <col min="1537" max="1537" width="10.109375" style="72" customWidth="1"/>
    <col min="1538" max="1538" width="33.44140625" style="72" customWidth="1"/>
    <col min="1539" max="1539" width="7.5546875" style="72" customWidth="1"/>
    <col min="1540" max="1540" width="15.5546875" style="72" customWidth="1"/>
    <col min="1541" max="1541" width="6.109375" style="72" customWidth="1"/>
    <col min="1542" max="1542" width="14.88671875" style="72" customWidth="1"/>
    <col min="1543" max="1543" width="15.44140625" style="72" customWidth="1"/>
    <col min="1544" max="1544" width="14.6640625" style="72" customWidth="1"/>
    <col min="1545" max="1545" width="4.5546875" style="72" customWidth="1"/>
    <col min="1546" max="1546" width="11.44140625" style="72" customWidth="1"/>
    <col min="1547" max="1547" width="14.6640625" style="72" customWidth="1"/>
    <col min="1548" max="1548" width="11.44140625" style="72" customWidth="1"/>
    <col min="1549" max="1792" width="11.44140625" style="72"/>
    <col min="1793" max="1793" width="10.109375" style="72" customWidth="1"/>
    <col min="1794" max="1794" width="33.44140625" style="72" customWidth="1"/>
    <col min="1795" max="1795" width="7.5546875" style="72" customWidth="1"/>
    <col min="1796" max="1796" width="15.5546875" style="72" customWidth="1"/>
    <col min="1797" max="1797" width="6.109375" style="72" customWidth="1"/>
    <col min="1798" max="1798" width="14.88671875" style="72" customWidth="1"/>
    <col min="1799" max="1799" width="15.44140625" style="72" customWidth="1"/>
    <col min="1800" max="1800" width="14.6640625" style="72" customWidth="1"/>
    <col min="1801" max="1801" width="4.5546875" style="72" customWidth="1"/>
    <col min="1802" max="1802" width="11.44140625" style="72" customWidth="1"/>
    <col min="1803" max="1803" width="14.6640625" style="72" customWidth="1"/>
    <col min="1804" max="1804" width="11.44140625" style="72" customWidth="1"/>
    <col min="1805" max="2048" width="11.44140625" style="72"/>
    <col min="2049" max="2049" width="10.109375" style="72" customWidth="1"/>
    <col min="2050" max="2050" width="33.44140625" style="72" customWidth="1"/>
    <col min="2051" max="2051" width="7.5546875" style="72" customWidth="1"/>
    <col min="2052" max="2052" width="15.5546875" style="72" customWidth="1"/>
    <col min="2053" max="2053" width="6.109375" style="72" customWidth="1"/>
    <col min="2054" max="2054" width="14.88671875" style="72" customWidth="1"/>
    <col min="2055" max="2055" width="15.44140625" style="72" customWidth="1"/>
    <col min="2056" max="2056" width="14.6640625" style="72" customWidth="1"/>
    <col min="2057" max="2057" width="4.5546875" style="72" customWidth="1"/>
    <col min="2058" max="2058" width="11.44140625" style="72" customWidth="1"/>
    <col min="2059" max="2059" width="14.6640625" style="72" customWidth="1"/>
    <col min="2060" max="2060" width="11.44140625" style="72" customWidth="1"/>
    <col min="2061" max="2304" width="11.44140625" style="72"/>
    <col min="2305" max="2305" width="10.109375" style="72" customWidth="1"/>
    <col min="2306" max="2306" width="33.44140625" style="72" customWidth="1"/>
    <col min="2307" max="2307" width="7.5546875" style="72" customWidth="1"/>
    <col min="2308" max="2308" width="15.5546875" style="72" customWidth="1"/>
    <col min="2309" max="2309" width="6.109375" style="72" customWidth="1"/>
    <col min="2310" max="2310" width="14.88671875" style="72" customWidth="1"/>
    <col min="2311" max="2311" width="15.44140625" style="72" customWidth="1"/>
    <col min="2312" max="2312" width="14.6640625" style="72" customWidth="1"/>
    <col min="2313" max="2313" width="4.5546875" style="72" customWidth="1"/>
    <col min="2314" max="2314" width="11.44140625" style="72" customWidth="1"/>
    <col min="2315" max="2315" width="14.6640625" style="72" customWidth="1"/>
    <col min="2316" max="2316" width="11.44140625" style="72" customWidth="1"/>
    <col min="2317" max="2560" width="11.44140625" style="72"/>
    <col min="2561" max="2561" width="10.109375" style="72" customWidth="1"/>
    <col min="2562" max="2562" width="33.44140625" style="72" customWidth="1"/>
    <col min="2563" max="2563" width="7.5546875" style="72" customWidth="1"/>
    <col min="2564" max="2564" width="15.5546875" style="72" customWidth="1"/>
    <col min="2565" max="2565" width="6.109375" style="72" customWidth="1"/>
    <col min="2566" max="2566" width="14.88671875" style="72" customWidth="1"/>
    <col min="2567" max="2567" width="15.44140625" style="72" customWidth="1"/>
    <col min="2568" max="2568" width="14.6640625" style="72" customWidth="1"/>
    <col min="2569" max="2569" width="4.5546875" style="72" customWidth="1"/>
    <col min="2570" max="2570" width="11.44140625" style="72" customWidth="1"/>
    <col min="2571" max="2571" width="14.6640625" style="72" customWidth="1"/>
    <col min="2572" max="2572" width="11.44140625" style="72" customWidth="1"/>
    <col min="2573" max="2816" width="11.44140625" style="72"/>
    <col min="2817" max="2817" width="10.109375" style="72" customWidth="1"/>
    <col min="2818" max="2818" width="33.44140625" style="72" customWidth="1"/>
    <col min="2819" max="2819" width="7.5546875" style="72" customWidth="1"/>
    <col min="2820" max="2820" width="15.5546875" style="72" customWidth="1"/>
    <col min="2821" max="2821" width="6.109375" style="72" customWidth="1"/>
    <col min="2822" max="2822" width="14.88671875" style="72" customWidth="1"/>
    <col min="2823" max="2823" width="15.44140625" style="72" customWidth="1"/>
    <col min="2824" max="2824" width="14.6640625" style="72" customWidth="1"/>
    <col min="2825" max="2825" width="4.5546875" style="72" customWidth="1"/>
    <col min="2826" max="2826" width="11.44140625" style="72" customWidth="1"/>
    <col min="2827" max="2827" width="14.6640625" style="72" customWidth="1"/>
    <col min="2828" max="2828" width="11.44140625" style="72" customWidth="1"/>
    <col min="2829" max="3072" width="11.44140625" style="72"/>
    <col min="3073" max="3073" width="10.109375" style="72" customWidth="1"/>
    <col min="3074" max="3074" width="33.44140625" style="72" customWidth="1"/>
    <col min="3075" max="3075" width="7.5546875" style="72" customWidth="1"/>
    <col min="3076" max="3076" width="15.5546875" style="72" customWidth="1"/>
    <col min="3077" max="3077" width="6.109375" style="72" customWidth="1"/>
    <col min="3078" max="3078" width="14.88671875" style="72" customWidth="1"/>
    <col min="3079" max="3079" width="15.44140625" style="72" customWidth="1"/>
    <col min="3080" max="3080" width="14.6640625" style="72" customWidth="1"/>
    <col min="3081" max="3081" width="4.5546875" style="72" customWidth="1"/>
    <col min="3082" max="3082" width="11.44140625" style="72" customWidth="1"/>
    <col min="3083" max="3083" width="14.6640625" style="72" customWidth="1"/>
    <col min="3084" max="3084" width="11.44140625" style="72" customWidth="1"/>
    <col min="3085" max="3328" width="11.44140625" style="72"/>
    <col min="3329" max="3329" width="10.109375" style="72" customWidth="1"/>
    <col min="3330" max="3330" width="33.44140625" style="72" customWidth="1"/>
    <col min="3331" max="3331" width="7.5546875" style="72" customWidth="1"/>
    <col min="3332" max="3332" width="15.5546875" style="72" customWidth="1"/>
    <col min="3333" max="3333" width="6.109375" style="72" customWidth="1"/>
    <col min="3334" max="3334" width="14.88671875" style="72" customWidth="1"/>
    <col min="3335" max="3335" width="15.44140625" style="72" customWidth="1"/>
    <col min="3336" max="3336" width="14.6640625" style="72" customWidth="1"/>
    <col min="3337" max="3337" width="4.5546875" style="72" customWidth="1"/>
    <col min="3338" max="3338" width="11.44140625" style="72" customWidth="1"/>
    <col min="3339" max="3339" width="14.6640625" style="72" customWidth="1"/>
    <col min="3340" max="3340" width="11.44140625" style="72" customWidth="1"/>
    <col min="3341" max="3584" width="11.44140625" style="72"/>
    <col min="3585" max="3585" width="10.109375" style="72" customWidth="1"/>
    <col min="3586" max="3586" width="33.44140625" style="72" customWidth="1"/>
    <col min="3587" max="3587" width="7.5546875" style="72" customWidth="1"/>
    <col min="3588" max="3588" width="15.5546875" style="72" customWidth="1"/>
    <col min="3589" max="3589" width="6.109375" style="72" customWidth="1"/>
    <col min="3590" max="3590" width="14.88671875" style="72" customWidth="1"/>
    <col min="3591" max="3591" width="15.44140625" style="72" customWidth="1"/>
    <col min="3592" max="3592" width="14.6640625" style="72" customWidth="1"/>
    <col min="3593" max="3593" width="4.5546875" style="72" customWidth="1"/>
    <col min="3594" max="3594" width="11.44140625" style="72" customWidth="1"/>
    <col min="3595" max="3595" width="14.6640625" style="72" customWidth="1"/>
    <col min="3596" max="3596" width="11.44140625" style="72" customWidth="1"/>
    <col min="3597" max="3840" width="11.44140625" style="72"/>
    <col min="3841" max="3841" width="10.109375" style="72" customWidth="1"/>
    <col min="3842" max="3842" width="33.44140625" style="72" customWidth="1"/>
    <col min="3843" max="3843" width="7.5546875" style="72" customWidth="1"/>
    <col min="3844" max="3844" width="15.5546875" style="72" customWidth="1"/>
    <col min="3845" max="3845" width="6.109375" style="72" customWidth="1"/>
    <col min="3846" max="3846" width="14.88671875" style="72" customWidth="1"/>
    <col min="3847" max="3847" width="15.44140625" style="72" customWidth="1"/>
    <col min="3848" max="3848" width="14.6640625" style="72" customWidth="1"/>
    <col min="3849" max="3849" width="4.5546875" style="72" customWidth="1"/>
    <col min="3850" max="3850" width="11.44140625" style="72" customWidth="1"/>
    <col min="3851" max="3851" width="14.6640625" style="72" customWidth="1"/>
    <col min="3852" max="3852" width="11.44140625" style="72" customWidth="1"/>
    <col min="3853" max="4096" width="11.44140625" style="72"/>
    <col min="4097" max="4097" width="10.109375" style="72" customWidth="1"/>
    <col min="4098" max="4098" width="33.44140625" style="72" customWidth="1"/>
    <col min="4099" max="4099" width="7.5546875" style="72" customWidth="1"/>
    <col min="4100" max="4100" width="15.5546875" style="72" customWidth="1"/>
    <col min="4101" max="4101" width="6.109375" style="72" customWidth="1"/>
    <col min="4102" max="4102" width="14.88671875" style="72" customWidth="1"/>
    <col min="4103" max="4103" width="15.44140625" style="72" customWidth="1"/>
    <col min="4104" max="4104" width="14.6640625" style="72" customWidth="1"/>
    <col min="4105" max="4105" width="4.5546875" style="72" customWidth="1"/>
    <col min="4106" max="4106" width="11.44140625" style="72" customWidth="1"/>
    <col min="4107" max="4107" width="14.6640625" style="72" customWidth="1"/>
    <col min="4108" max="4108" width="11.44140625" style="72" customWidth="1"/>
    <col min="4109" max="4352" width="11.44140625" style="72"/>
    <col min="4353" max="4353" width="10.109375" style="72" customWidth="1"/>
    <col min="4354" max="4354" width="33.44140625" style="72" customWidth="1"/>
    <col min="4355" max="4355" width="7.5546875" style="72" customWidth="1"/>
    <col min="4356" max="4356" width="15.5546875" style="72" customWidth="1"/>
    <col min="4357" max="4357" width="6.109375" style="72" customWidth="1"/>
    <col min="4358" max="4358" width="14.88671875" style="72" customWidth="1"/>
    <col min="4359" max="4359" width="15.44140625" style="72" customWidth="1"/>
    <col min="4360" max="4360" width="14.6640625" style="72" customWidth="1"/>
    <col min="4361" max="4361" width="4.5546875" style="72" customWidth="1"/>
    <col min="4362" max="4362" width="11.44140625" style="72" customWidth="1"/>
    <col min="4363" max="4363" width="14.6640625" style="72" customWidth="1"/>
    <col min="4364" max="4364" width="11.44140625" style="72" customWidth="1"/>
    <col min="4365" max="4608" width="11.44140625" style="72"/>
    <col min="4609" max="4609" width="10.109375" style="72" customWidth="1"/>
    <col min="4610" max="4610" width="33.44140625" style="72" customWidth="1"/>
    <col min="4611" max="4611" width="7.5546875" style="72" customWidth="1"/>
    <col min="4612" max="4612" width="15.5546875" style="72" customWidth="1"/>
    <col min="4613" max="4613" width="6.109375" style="72" customWidth="1"/>
    <col min="4614" max="4614" width="14.88671875" style="72" customWidth="1"/>
    <col min="4615" max="4615" width="15.44140625" style="72" customWidth="1"/>
    <col min="4616" max="4616" width="14.6640625" style="72" customWidth="1"/>
    <col min="4617" max="4617" width="4.5546875" style="72" customWidth="1"/>
    <col min="4618" max="4618" width="11.44140625" style="72" customWidth="1"/>
    <col min="4619" max="4619" width="14.6640625" style="72" customWidth="1"/>
    <col min="4620" max="4620" width="11.44140625" style="72" customWidth="1"/>
    <col min="4621" max="4864" width="11.44140625" style="72"/>
    <col min="4865" max="4865" width="10.109375" style="72" customWidth="1"/>
    <col min="4866" max="4866" width="33.44140625" style="72" customWidth="1"/>
    <col min="4867" max="4867" width="7.5546875" style="72" customWidth="1"/>
    <col min="4868" max="4868" width="15.5546875" style="72" customWidth="1"/>
    <col min="4869" max="4869" width="6.109375" style="72" customWidth="1"/>
    <col min="4870" max="4870" width="14.88671875" style="72" customWidth="1"/>
    <col min="4871" max="4871" width="15.44140625" style="72" customWidth="1"/>
    <col min="4872" max="4872" width="14.6640625" style="72" customWidth="1"/>
    <col min="4873" max="4873" width="4.5546875" style="72" customWidth="1"/>
    <col min="4874" max="4874" width="11.44140625" style="72" customWidth="1"/>
    <col min="4875" max="4875" width="14.6640625" style="72" customWidth="1"/>
    <col min="4876" max="4876" width="11.44140625" style="72" customWidth="1"/>
    <col min="4877" max="5120" width="11.44140625" style="72"/>
    <col min="5121" max="5121" width="10.109375" style="72" customWidth="1"/>
    <col min="5122" max="5122" width="33.44140625" style="72" customWidth="1"/>
    <col min="5123" max="5123" width="7.5546875" style="72" customWidth="1"/>
    <col min="5124" max="5124" width="15.5546875" style="72" customWidth="1"/>
    <col min="5125" max="5125" width="6.109375" style="72" customWidth="1"/>
    <col min="5126" max="5126" width="14.88671875" style="72" customWidth="1"/>
    <col min="5127" max="5127" width="15.44140625" style="72" customWidth="1"/>
    <col min="5128" max="5128" width="14.6640625" style="72" customWidth="1"/>
    <col min="5129" max="5129" width="4.5546875" style="72" customWidth="1"/>
    <col min="5130" max="5130" width="11.44140625" style="72" customWidth="1"/>
    <col min="5131" max="5131" width="14.6640625" style="72" customWidth="1"/>
    <col min="5132" max="5132" width="11.44140625" style="72" customWidth="1"/>
    <col min="5133" max="5376" width="11.44140625" style="72"/>
    <col min="5377" max="5377" width="10.109375" style="72" customWidth="1"/>
    <col min="5378" max="5378" width="33.44140625" style="72" customWidth="1"/>
    <col min="5379" max="5379" width="7.5546875" style="72" customWidth="1"/>
    <col min="5380" max="5380" width="15.5546875" style="72" customWidth="1"/>
    <col min="5381" max="5381" width="6.109375" style="72" customWidth="1"/>
    <col min="5382" max="5382" width="14.88671875" style="72" customWidth="1"/>
    <col min="5383" max="5383" width="15.44140625" style="72" customWidth="1"/>
    <col min="5384" max="5384" width="14.6640625" style="72" customWidth="1"/>
    <col min="5385" max="5385" width="4.5546875" style="72" customWidth="1"/>
    <col min="5386" max="5386" width="11.44140625" style="72" customWidth="1"/>
    <col min="5387" max="5387" width="14.6640625" style="72" customWidth="1"/>
    <col min="5388" max="5388" width="11.44140625" style="72" customWidth="1"/>
    <col min="5389" max="5632" width="11.44140625" style="72"/>
    <col min="5633" max="5633" width="10.109375" style="72" customWidth="1"/>
    <col min="5634" max="5634" width="33.44140625" style="72" customWidth="1"/>
    <col min="5635" max="5635" width="7.5546875" style="72" customWidth="1"/>
    <col min="5636" max="5636" width="15.5546875" style="72" customWidth="1"/>
    <col min="5637" max="5637" width="6.109375" style="72" customWidth="1"/>
    <col min="5638" max="5638" width="14.88671875" style="72" customWidth="1"/>
    <col min="5639" max="5639" width="15.44140625" style="72" customWidth="1"/>
    <col min="5640" max="5640" width="14.6640625" style="72" customWidth="1"/>
    <col min="5641" max="5641" width="4.5546875" style="72" customWidth="1"/>
    <col min="5642" max="5642" width="11.44140625" style="72" customWidth="1"/>
    <col min="5643" max="5643" width="14.6640625" style="72" customWidth="1"/>
    <col min="5644" max="5644" width="11.44140625" style="72" customWidth="1"/>
    <col min="5645" max="5888" width="11.44140625" style="72"/>
    <col min="5889" max="5889" width="10.109375" style="72" customWidth="1"/>
    <col min="5890" max="5890" width="33.44140625" style="72" customWidth="1"/>
    <col min="5891" max="5891" width="7.5546875" style="72" customWidth="1"/>
    <col min="5892" max="5892" width="15.5546875" style="72" customWidth="1"/>
    <col min="5893" max="5893" width="6.109375" style="72" customWidth="1"/>
    <col min="5894" max="5894" width="14.88671875" style="72" customWidth="1"/>
    <col min="5895" max="5895" width="15.44140625" style="72" customWidth="1"/>
    <col min="5896" max="5896" width="14.6640625" style="72" customWidth="1"/>
    <col min="5897" max="5897" width="4.5546875" style="72" customWidth="1"/>
    <col min="5898" max="5898" width="11.44140625" style="72" customWidth="1"/>
    <col min="5899" max="5899" width="14.6640625" style="72" customWidth="1"/>
    <col min="5900" max="5900" width="11.44140625" style="72" customWidth="1"/>
    <col min="5901" max="6144" width="11.44140625" style="72"/>
    <col min="6145" max="6145" width="10.109375" style="72" customWidth="1"/>
    <col min="6146" max="6146" width="33.44140625" style="72" customWidth="1"/>
    <col min="6147" max="6147" width="7.5546875" style="72" customWidth="1"/>
    <col min="6148" max="6148" width="15.5546875" style="72" customWidth="1"/>
    <col min="6149" max="6149" width="6.109375" style="72" customWidth="1"/>
    <col min="6150" max="6150" width="14.88671875" style="72" customWidth="1"/>
    <col min="6151" max="6151" width="15.44140625" style="72" customWidth="1"/>
    <col min="6152" max="6152" width="14.6640625" style="72" customWidth="1"/>
    <col min="6153" max="6153" width="4.5546875" style="72" customWidth="1"/>
    <col min="6154" max="6154" width="11.44140625" style="72" customWidth="1"/>
    <col min="6155" max="6155" width="14.6640625" style="72" customWidth="1"/>
    <col min="6156" max="6156" width="11.44140625" style="72" customWidth="1"/>
    <col min="6157" max="6400" width="11.44140625" style="72"/>
    <col min="6401" max="6401" width="10.109375" style="72" customWidth="1"/>
    <col min="6402" max="6402" width="33.44140625" style="72" customWidth="1"/>
    <col min="6403" max="6403" width="7.5546875" style="72" customWidth="1"/>
    <col min="6404" max="6404" width="15.5546875" style="72" customWidth="1"/>
    <col min="6405" max="6405" width="6.109375" style="72" customWidth="1"/>
    <col min="6406" max="6406" width="14.88671875" style="72" customWidth="1"/>
    <col min="6407" max="6407" width="15.44140625" style="72" customWidth="1"/>
    <col min="6408" max="6408" width="14.6640625" style="72" customWidth="1"/>
    <col min="6409" max="6409" width="4.5546875" style="72" customWidth="1"/>
    <col min="6410" max="6410" width="11.44140625" style="72" customWidth="1"/>
    <col min="6411" max="6411" width="14.6640625" style="72" customWidth="1"/>
    <col min="6412" max="6412" width="11.44140625" style="72" customWidth="1"/>
    <col min="6413" max="6656" width="11.44140625" style="72"/>
    <col min="6657" max="6657" width="10.109375" style="72" customWidth="1"/>
    <col min="6658" max="6658" width="33.44140625" style="72" customWidth="1"/>
    <col min="6659" max="6659" width="7.5546875" style="72" customWidth="1"/>
    <col min="6660" max="6660" width="15.5546875" style="72" customWidth="1"/>
    <col min="6661" max="6661" width="6.109375" style="72" customWidth="1"/>
    <col min="6662" max="6662" width="14.88671875" style="72" customWidth="1"/>
    <col min="6663" max="6663" width="15.44140625" style="72" customWidth="1"/>
    <col min="6664" max="6664" width="14.6640625" style="72" customWidth="1"/>
    <col min="6665" max="6665" width="4.5546875" style="72" customWidth="1"/>
    <col min="6666" max="6666" width="11.44140625" style="72" customWidth="1"/>
    <col min="6667" max="6667" width="14.6640625" style="72" customWidth="1"/>
    <col min="6668" max="6668" width="11.44140625" style="72" customWidth="1"/>
    <col min="6669" max="6912" width="11.44140625" style="72"/>
    <col min="6913" max="6913" width="10.109375" style="72" customWidth="1"/>
    <col min="6914" max="6914" width="33.44140625" style="72" customWidth="1"/>
    <col min="6915" max="6915" width="7.5546875" style="72" customWidth="1"/>
    <col min="6916" max="6916" width="15.5546875" style="72" customWidth="1"/>
    <col min="6917" max="6917" width="6.109375" style="72" customWidth="1"/>
    <col min="6918" max="6918" width="14.88671875" style="72" customWidth="1"/>
    <col min="6919" max="6919" width="15.44140625" style="72" customWidth="1"/>
    <col min="6920" max="6920" width="14.6640625" style="72" customWidth="1"/>
    <col min="6921" max="6921" width="4.5546875" style="72" customWidth="1"/>
    <col min="6922" max="6922" width="11.44140625" style="72" customWidth="1"/>
    <col min="6923" max="6923" width="14.6640625" style="72" customWidth="1"/>
    <col min="6924" max="6924" width="11.44140625" style="72" customWidth="1"/>
    <col min="6925" max="7168" width="11.44140625" style="72"/>
    <col min="7169" max="7169" width="10.109375" style="72" customWidth="1"/>
    <col min="7170" max="7170" width="33.44140625" style="72" customWidth="1"/>
    <col min="7171" max="7171" width="7.5546875" style="72" customWidth="1"/>
    <col min="7172" max="7172" width="15.5546875" style="72" customWidth="1"/>
    <col min="7173" max="7173" width="6.109375" style="72" customWidth="1"/>
    <col min="7174" max="7174" width="14.88671875" style="72" customWidth="1"/>
    <col min="7175" max="7175" width="15.44140625" style="72" customWidth="1"/>
    <col min="7176" max="7176" width="14.6640625" style="72" customWidth="1"/>
    <col min="7177" max="7177" width="4.5546875" style="72" customWidth="1"/>
    <col min="7178" max="7178" width="11.44140625" style="72" customWidth="1"/>
    <col min="7179" max="7179" width="14.6640625" style="72" customWidth="1"/>
    <col min="7180" max="7180" width="11.44140625" style="72" customWidth="1"/>
    <col min="7181" max="7424" width="11.44140625" style="72"/>
    <col min="7425" max="7425" width="10.109375" style="72" customWidth="1"/>
    <col min="7426" max="7426" width="33.44140625" style="72" customWidth="1"/>
    <col min="7427" max="7427" width="7.5546875" style="72" customWidth="1"/>
    <col min="7428" max="7428" width="15.5546875" style="72" customWidth="1"/>
    <col min="7429" max="7429" width="6.109375" style="72" customWidth="1"/>
    <col min="7430" max="7430" width="14.88671875" style="72" customWidth="1"/>
    <col min="7431" max="7431" width="15.44140625" style="72" customWidth="1"/>
    <col min="7432" max="7432" width="14.6640625" style="72" customWidth="1"/>
    <col min="7433" max="7433" width="4.5546875" style="72" customWidth="1"/>
    <col min="7434" max="7434" width="11.44140625" style="72" customWidth="1"/>
    <col min="7435" max="7435" width="14.6640625" style="72" customWidth="1"/>
    <col min="7436" max="7436" width="11.44140625" style="72" customWidth="1"/>
    <col min="7437" max="7680" width="11.44140625" style="72"/>
    <col min="7681" max="7681" width="10.109375" style="72" customWidth="1"/>
    <col min="7682" max="7682" width="33.44140625" style="72" customWidth="1"/>
    <col min="7683" max="7683" width="7.5546875" style="72" customWidth="1"/>
    <col min="7684" max="7684" width="15.5546875" style="72" customWidth="1"/>
    <col min="7685" max="7685" width="6.109375" style="72" customWidth="1"/>
    <col min="7686" max="7686" width="14.88671875" style="72" customWidth="1"/>
    <col min="7687" max="7687" width="15.44140625" style="72" customWidth="1"/>
    <col min="7688" max="7688" width="14.6640625" style="72" customWidth="1"/>
    <col min="7689" max="7689" width="4.5546875" style="72" customWidth="1"/>
    <col min="7690" max="7690" width="11.44140625" style="72" customWidth="1"/>
    <col min="7691" max="7691" width="14.6640625" style="72" customWidth="1"/>
    <col min="7692" max="7692" width="11.44140625" style="72" customWidth="1"/>
    <col min="7693" max="7936" width="11.44140625" style="72"/>
    <col min="7937" max="7937" width="10.109375" style="72" customWidth="1"/>
    <col min="7938" max="7938" width="33.44140625" style="72" customWidth="1"/>
    <col min="7939" max="7939" width="7.5546875" style="72" customWidth="1"/>
    <col min="7940" max="7940" width="15.5546875" style="72" customWidth="1"/>
    <col min="7941" max="7941" width="6.109375" style="72" customWidth="1"/>
    <col min="7942" max="7942" width="14.88671875" style="72" customWidth="1"/>
    <col min="7943" max="7943" width="15.44140625" style="72" customWidth="1"/>
    <col min="7944" max="7944" width="14.6640625" style="72" customWidth="1"/>
    <col min="7945" max="7945" width="4.5546875" style="72" customWidth="1"/>
    <col min="7946" max="7946" width="11.44140625" style="72" customWidth="1"/>
    <col min="7947" max="7947" width="14.6640625" style="72" customWidth="1"/>
    <col min="7948" max="7948" width="11.44140625" style="72" customWidth="1"/>
    <col min="7949" max="8192" width="11.44140625" style="72"/>
    <col min="8193" max="8193" width="10.109375" style="72" customWidth="1"/>
    <col min="8194" max="8194" width="33.44140625" style="72" customWidth="1"/>
    <col min="8195" max="8195" width="7.5546875" style="72" customWidth="1"/>
    <col min="8196" max="8196" width="15.5546875" style="72" customWidth="1"/>
    <col min="8197" max="8197" width="6.109375" style="72" customWidth="1"/>
    <col min="8198" max="8198" width="14.88671875" style="72" customWidth="1"/>
    <col min="8199" max="8199" width="15.44140625" style="72" customWidth="1"/>
    <col min="8200" max="8200" width="14.6640625" style="72" customWidth="1"/>
    <col min="8201" max="8201" width="4.5546875" style="72" customWidth="1"/>
    <col min="8202" max="8202" width="11.44140625" style="72" customWidth="1"/>
    <col min="8203" max="8203" width="14.6640625" style="72" customWidth="1"/>
    <col min="8204" max="8204" width="11.44140625" style="72" customWidth="1"/>
    <col min="8205" max="8448" width="11.44140625" style="72"/>
    <col min="8449" max="8449" width="10.109375" style="72" customWidth="1"/>
    <col min="8450" max="8450" width="33.44140625" style="72" customWidth="1"/>
    <col min="8451" max="8451" width="7.5546875" style="72" customWidth="1"/>
    <col min="8452" max="8452" width="15.5546875" style="72" customWidth="1"/>
    <col min="8453" max="8453" width="6.109375" style="72" customWidth="1"/>
    <col min="8454" max="8454" width="14.88671875" style="72" customWidth="1"/>
    <col min="8455" max="8455" width="15.44140625" style="72" customWidth="1"/>
    <col min="8456" max="8456" width="14.6640625" style="72" customWidth="1"/>
    <col min="8457" max="8457" width="4.5546875" style="72" customWidth="1"/>
    <col min="8458" max="8458" width="11.44140625" style="72" customWidth="1"/>
    <col min="8459" max="8459" width="14.6640625" style="72" customWidth="1"/>
    <col min="8460" max="8460" width="11.44140625" style="72" customWidth="1"/>
    <col min="8461" max="8704" width="11.44140625" style="72"/>
    <col min="8705" max="8705" width="10.109375" style="72" customWidth="1"/>
    <col min="8706" max="8706" width="33.44140625" style="72" customWidth="1"/>
    <col min="8707" max="8707" width="7.5546875" style="72" customWidth="1"/>
    <col min="8708" max="8708" width="15.5546875" style="72" customWidth="1"/>
    <col min="8709" max="8709" width="6.109375" style="72" customWidth="1"/>
    <col min="8710" max="8710" width="14.88671875" style="72" customWidth="1"/>
    <col min="8711" max="8711" width="15.44140625" style="72" customWidth="1"/>
    <col min="8712" max="8712" width="14.6640625" style="72" customWidth="1"/>
    <col min="8713" max="8713" width="4.5546875" style="72" customWidth="1"/>
    <col min="8714" max="8714" width="11.44140625" style="72" customWidth="1"/>
    <col min="8715" max="8715" width="14.6640625" style="72" customWidth="1"/>
    <col min="8716" max="8716" width="11.44140625" style="72" customWidth="1"/>
    <col min="8717" max="8960" width="11.44140625" style="72"/>
    <col min="8961" max="8961" width="10.109375" style="72" customWidth="1"/>
    <col min="8962" max="8962" width="33.44140625" style="72" customWidth="1"/>
    <col min="8963" max="8963" width="7.5546875" style="72" customWidth="1"/>
    <col min="8964" max="8964" width="15.5546875" style="72" customWidth="1"/>
    <col min="8965" max="8965" width="6.109375" style="72" customWidth="1"/>
    <col min="8966" max="8966" width="14.88671875" style="72" customWidth="1"/>
    <col min="8967" max="8967" width="15.44140625" style="72" customWidth="1"/>
    <col min="8968" max="8968" width="14.6640625" style="72" customWidth="1"/>
    <col min="8969" max="8969" width="4.5546875" style="72" customWidth="1"/>
    <col min="8970" max="8970" width="11.44140625" style="72" customWidth="1"/>
    <col min="8971" max="8971" width="14.6640625" style="72" customWidth="1"/>
    <col min="8972" max="8972" width="11.44140625" style="72" customWidth="1"/>
    <col min="8973" max="9216" width="11.44140625" style="72"/>
    <col min="9217" max="9217" width="10.109375" style="72" customWidth="1"/>
    <col min="9218" max="9218" width="33.44140625" style="72" customWidth="1"/>
    <col min="9219" max="9219" width="7.5546875" style="72" customWidth="1"/>
    <col min="9220" max="9220" width="15.5546875" style="72" customWidth="1"/>
    <col min="9221" max="9221" width="6.109375" style="72" customWidth="1"/>
    <col min="9222" max="9222" width="14.88671875" style="72" customWidth="1"/>
    <col min="9223" max="9223" width="15.44140625" style="72" customWidth="1"/>
    <col min="9224" max="9224" width="14.6640625" style="72" customWidth="1"/>
    <col min="9225" max="9225" width="4.5546875" style="72" customWidth="1"/>
    <col min="9226" max="9226" width="11.44140625" style="72" customWidth="1"/>
    <col min="9227" max="9227" width="14.6640625" style="72" customWidth="1"/>
    <col min="9228" max="9228" width="11.44140625" style="72" customWidth="1"/>
    <col min="9229" max="9472" width="11.44140625" style="72"/>
    <col min="9473" max="9473" width="10.109375" style="72" customWidth="1"/>
    <col min="9474" max="9474" width="33.44140625" style="72" customWidth="1"/>
    <col min="9475" max="9475" width="7.5546875" style="72" customWidth="1"/>
    <col min="9476" max="9476" width="15.5546875" style="72" customWidth="1"/>
    <col min="9477" max="9477" width="6.109375" style="72" customWidth="1"/>
    <col min="9478" max="9478" width="14.88671875" style="72" customWidth="1"/>
    <col min="9479" max="9479" width="15.44140625" style="72" customWidth="1"/>
    <col min="9480" max="9480" width="14.6640625" style="72" customWidth="1"/>
    <col min="9481" max="9481" width="4.5546875" style="72" customWidth="1"/>
    <col min="9482" max="9482" width="11.44140625" style="72" customWidth="1"/>
    <col min="9483" max="9483" width="14.6640625" style="72" customWidth="1"/>
    <col min="9484" max="9484" width="11.44140625" style="72" customWidth="1"/>
    <col min="9485" max="9728" width="11.44140625" style="72"/>
    <col min="9729" max="9729" width="10.109375" style="72" customWidth="1"/>
    <col min="9730" max="9730" width="33.44140625" style="72" customWidth="1"/>
    <col min="9731" max="9731" width="7.5546875" style="72" customWidth="1"/>
    <col min="9732" max="9732" width="15.5546875" style="72" customWidth="1"/>
    <col min="9733" max="9733" width="6.109375" style="72" customWidth="1"/>
    <col min="9734" max="9734" width="14.88671875" style="72" customWidth="1"/>
    <col min="9735" max="9735" width="15.44140625" style="72" customWidth="1"/>
    <col min="9736" max="9736" width="14.6640625" style="72" customWidth="1"/>
    <col min="9737" max="9737" width="4.5546875" style="72" customWidth="1"/>
    <col min="9738" max="9738" width="11.44140625" style="72" customWidth="1"/>
    <col min="9739" max="9739" width="14.6640625" style="72" customWidth="1"/>
    <col min="9740" max="9740" width="11.44140625" style="72" customWidth="1"/>
    <col min="9741" max="9984" width="11.44140625" style="72"/>
    <col min="9985" max="9985" width="10.109375" style="72" customWidth="1"/>
    <col min="9986" max="9986" width="33.44140625" style="72" customWidth="1"/>
    <col min="9987" max="9987" width="7.5546875" style="72" customWidth="1"/>
    <col min="9988" max="9988" width="15.5546875" style="72" customWidth="1"/>
    <col min="9989" max="9989" width="6.109375" style="72" customWidth="1"/>
    <col min="9990" max="9990" width="14.88671875" style="72" customWidth="1"/>
    <col min="9991" max="9991" width="15.44140625" style="72" customWidth="1"/>
    <col min="9992" max="9992" width="14.6640625" style="72" customWidth="1"/>
    <col min="9993" max="9993" width="4.5546875" style="72" customWidth="1"/>
    <col min="9994" max="9994" width="11.44140625" style="72" customWidth="1"/>
    <col min="9995" max="9995" width="14.6640625" style="72" customWidth="1"/>
    <col min="9996" max="9996" width="11.44140625" style="72" customWidth="1"/>
    <col min="9997" max="10240" width="11.44140625" style="72"/>
    <col min="10241" max="10241" width="10.109375" style="72" customWidth="1"/>
    <col min="10242" max="10242" width="33.44140625" style="72" customWidth="1"/>
    <col min="10243" max="10243" width="7.5546875" style="72" customWidth="1"/>
    <col min="10244" max="10244" width="15.5546875" style="72" customWidth="1"/>
    <col min="10245" max="10245" width="6.109375" style="72" customWidth="1"/>
    <col min="10246" max="10246" width="14.88671875" style="72" customWidth="1"/>
    <col min="10247" max="10247" width="15.44140625" style="72" customWidth="1"/>
    <col min="10248" max="10248" width="14.6640625" style="72" customWidth="1"/>
    <col min="10249" max="10249" width="4.5546875" style="72" customWidth="1"/>
    <col min="10250" max="10250" width="11.44140625" style="72" customWidth="1"/>
    <col min="10251" max="10251" width="14.6640625" style="72" customWidth="1"/>
    <col min="10252" max="10252" width="11.44140625" style="72" customWidth="1"/>
    <col min="10253" max="10496" width="11.44140625" style="72"/>
    <col min="10497" max="10497" width="10.109375" style="72" customWidth="1"/>
    <col min="10498" max="10498" width="33.44140625" style="72" customWidth="1"/>
    <col min="10499" max="10499" width="7.5546875" style="72" customWidth="1"/>
    <col min="10500" max="10500" width="15.5546875" style="72" customWidth="1"/>
    <col min="10501" max="10501" width="6.109375" style="72" customWidth="1"/>
    <col min="10502" max="10502" width="14.88671875" style="72" customWidth="1"/>
    <col min="10503" max="10503" width="15.44140625" style="72" customWidth="1"/>
    <col min="10504" max="10504" width="14.6640625" style="72" customWidth="1"/>
    <col min="10505" max="10505" width="4.5546875" style="72" customWidth="1"/>
    <col min="10506" max="10506" width="11.44140625" style="72" customWidth="1"/>
    <col min="10507" max="10507" width="14.6640625" style="72" customWidth="1"/>
    <col min="10508" max="10508" width="11.44140625" style="72" customWidth="1"/>
    <col min="10509" max="10752" width="11.44140625" style="72"/>
    <col min="10753" max="10753" width="10.109375" style="72" customWidth="1"/>
    <col min="10754" max="10754" width="33.44140625" style="72" customWidth="1"/>
    <col min="10755" max="10755" width="7.5546875" style="72" customWidth="1"/>
    <col min="10756" max="10756" width="15.5546875" style="72" customWidth="1"/>
    <col min="10757" max="10757" width="6.109375" style="72" customWidth="1"/>
    <col min="10758" max="10758" width="14.88671875" style="72" customWidth="1"/>
    <col min="10759" max="10759" width="15.44140625" style="72" customWidth="1"/>
    <col min="10760" max="10760" width="14.6640625" style="72" customWidth="1"/>
    <col min="10761" max="10761" width="4.5546875" style="72" customWidth="1"/>
    <col min="10762" max="10762" width="11.44140625" style="72" customWidth="1"/>
    <col min="10763" max="10763" width="14.6640625" style="72" customWidth="1"/>
    <col min="10764" max="10764" width="11.44140625" style="72" customWidth="1"/>
    <col min="10765" max="11008" width="11.44140625" style="72"/>
    <col min="11009" max="11009" width="10.109375" style="72" customWidth="1"/>
    <col min="11010" max="11010" width="33.44140625" style="72" customWidth="1"/>
    <col min="11011" max="11011" width="7.5546875" style="72" customWidth="1"/>
    <col min="11012" max="11012" width="15.5546875" style="72" customWidth="1"/>
    <col min="11013" max="11013" width="6.109375" style="72" customWidth="1"/>
    <col min="11014" max="11014" width="14.88671875" style="72" customWidth="1"/>
    <col min="11015" max="11015" width="15.44140625" style="72" customWidth="1"/>
    <col min="11016" max="11016" width="14.6640625" style="72" customWidth="1"/>
    <col min="11017" max="11017" width="4.5546875" style="72" customWidth="1"/>
    <col min="11018" max="11018" width="11.44140625" style="72" customWidth="1"/>
    <col min="11019" max="11019" width="14.6640625" style="72" customWidth="1"/>
    <col min="11020" max="11020" width="11.44140625" style="72" customWidth="1"/>
    <col min="11021" max="11264" width="11.44140625" style="72"/>
    <col min="11265" max="11265" width="10.109375" style="72" customWidth="1"/>
    <col min="11266" max="11266" width="33.44140625" style="72" customWidth="1"/>
    <col min="11267" max="11267" width="7.5546875" style="72" customWidth="1"/>
    <col min="11268" max="11268" width="15.5546875" style="72" customWidth="1"/>
    <col min="11269" max="11269" width="6.109375" style="72" customWidth="1"/>
    <col min="11270" max="11270" width="14.88671875" style="72" customWidth="1"/>
    <col min="11271" max="11271" width="15.44140625" style="72" customWidth="1"/>
    <col min="11272" max="11272" width="14.6640625" style="72" customWidth="1"/>
    <col min="11273" max="11273" width="4.5546875" style="72" customWidth="1"/>
    <col min="11274" max="11274" width="11.44140625" style="72" customWidth="1"/>
    <col min="11275" max="11275" width="14.6640625" style="72" customWidth="1"/>
    <col min="11276" max="11276" width="11.44140625" style="72" customWidth="1"/>
    <col min="11277" max="11520" width="11.44140625" style="72"/>
    <col min="11521" max="11521" width="10.109375" style="72" customWidth="1"/>
    <col min="11522" max="11522" width="33.44140625" style="72" customWidth="1"/>
    <col min="11523" max="11523" width="7.5546875" style="72" customWidth="1"/>
    <col min="11524" max="11524" width="15.5546875" style="72" customWidth="1"/>
    <col min="11525" max="11525" width="6.109375" style="72" customWidth="1"/>
    <col min="11526" max="11526" width="14.88671875" style="72" customWidth="1"/>
    <col min="11527" max="11527" width="15.44140625" style="72" customWidth="1"/>
    <col min="11528" max="11528" width="14.6640625" style="72" customWidth="1"/>
    <col min="11529" max="11529" width="4.5546875" style="72" customWidth="1"/>
    <col min="11530" max="11530" width="11.44140625" style="72" customWidth="1"/>
    <col min="11531" max="11531" width="14.6640625" style="72" customWidth="1"/>
    <col min="11532" max="11532" width="11.44140625" style="72" customWidth="1"/>
    <col min="11533" max="11776" width="11.44140625" style="72"/>
    <col min="11777" max="11777" width="10.109375" style="72" customWidth="1"/>
    <col min="11778" max="11778" width="33.44140625" style="72" customWidth="1"/>
    <col min="11779" max="11779" width="7.5546875" style="72" customWidth="1"/>
    <col min="11780" max="11780" width="15.5546875" style="72" customWidth="1"/>
    <col min="11781" max="11781" width="6.109375" style="72" customWidth="1"/>
    <col min="11782" max="11782" width="14.88671875" style="72" customWidth="1"/>
    <col min="11783" max="11783" width="15.44140625" style="72" customWidth="1"/>
    <col min="11784" max="11784" width="14.6640625" style="72" customWidth="1"/>
    <col min="11785" max="11785" width="4.5546875" style="72" customWidth="1"/>
    <col min="11786" max="11786" width="11.44140625" style="72" customWidth="1"/>
    <col min="11787" max="11787" width="14.6640625" style="72" customWidth="1"/>
    <col min="11788" max="11788" width="11.44140625" style="72" customWidth="1"/>
    <col min="11789" max="12032" width="11.44140625" style="72"/>
    <col min="12033" max="12033" width="10.109375" style="72" customWidth="1"/>
    <col min="12034" max="12034" width="33.44140625" style="72" customWidth="1"/>
    <col min="12035" max="12035" width="7.5546875" style="72" customWidth="1"/>
    <col min="12036" max="12036" width="15.5546875" style="72" customWidth="1"/>
    <col min="12037" max="12037" width="6.109375" style="72" customWidth="1"/>
    <col min="12038" max="12038" width="14.88671875" style="72" customWidth="1"/>
    <col min="12039" max="12039" width="15.44140625" style="72" customWidth="1"/>
    <col min="12040" max="12040" width="14.6640625" style="72" customWidth="1"/>
    <col min="12041" max="12041" width="4.5546875" style="72" customWidth="1"/>
    <col min="12042" max="12042" width="11.44140625" style="72" customWidth="1"/>
    <col min="12043" max="12043" width="14.6640625" style="72" customWidth="1"/>
    <col min="12044" max="12044" width="11.44140625" style="72" customWidth="1"/>
    <col min="12045" max="12288" width="11.44140625" style="72"/>
    <col min="12289" max="12289" width="10.109375" style="72" customWidth="1"/>
    <col min="12290" max="12290" width="33.44140625" style="72" customWidth="1"/>
    <col min="12291" max="12291" width="7.5546875" style="72" customWidth="1"/>
    <col min="12292" max="12292" width="15.5546875" style="72" customWidth="1"/>
    <col min="12293" max="12293" width="6.109375" style="72" customWidth="1"/>
    <col min="12294" max="12294" width="14.88671875" style="72" customWidth="1"/>
    <col min="12295" max="12295" width="15.44140625" style="72" customWidth="1"/>
    <col min="12296" max="12296" width="14.6640625" style="72" customWidth="1"/>
    <col min="12297" max="12297" width="4.5546875" style="72" customWidth="1"/>
    <col min="12298" max="12298" width="11.44140625" style="72" customWidth="1"/>
    <col min="12299" max="12299" width="14.6640625" style="72" customWidth="1"/>
    <col min="12300" max="12300" width="11.44140625" style="72" customWidth="1"/>
    <col min="12301" max="12544" width="11.44140625" style="72"/>
    <col min="12545" max="12545" width="10.109375" style="72" customWidth="1"/>
    <col min="12546" max="12546" width="33.44140625" style="72" customWidth="1"/>
    <col min="12547" max="12547" width="7.5546875" style="72" customWidth="1"/>
    <col min="12548" max="12548" width="15.5546875" style="72" customWidth="1"/>
    <col min="12549" max="12549" width="6.109375" style="72" customWidth="1"/>
    <col min="12550" max="12550" width="14.88671875" style="72" customWidth="1"/>
    <col min="12551" max="12551" width="15.44140625" style="72" customWidth="1"/>
    <col min="12552" max="12552" width="14.6640625" style="72" customWidth="1"/>
    <col min="12553" max="12553" width="4.5546875" style="72" customWidth="1"/>
    <col min="12554" max="12554" width="11.44140625" style="72" customWidth="1"/>
    <col min="12555" max="12555" width="14.6640625" style="72" customWidth="1"/>
    <col min="12556" max="12556" width="11.44140625" style="72" customWidth="1"/>
    <col min="12557" max="12800" width="11.44140625" style="72"/>
    <col min="12801" max="12801" width="10.109375" style="72" customWidth="1"/>
    <col min="12802" max="12802" width="33.44140625" style="72" customWidth="1"/>
    <col min="12803" max="12803" width="7.5546875" style="72" customWidth="1"/>
    <col min="12804" max="12804" width="15.5546875" style="72" customWidth="1"/>
    <col min="12805" max="12805" width="6.109375" style="72" customWidth="1"/>
    <col min="12806" max="12806" width="14.88671875" style="72" customWidth="1"/>
    <col min="12807" max="12807" width="15.44140625" style="72" customWidth="1"/>
    <col min="12808" max="12808" width="14.6640625" style="72" customWidth="1"/>
    <col min="12809" max="12809" width="4.5546875" style="72" customWidth="1"/>
    <col min="12810" max="12810" width="11.44140625" style="72" customWidth="1"/>
    <col min="12811" max="12811" width="14.6640625" style="72" customWidth="1"/>
    <col min="12812" max="12812" width="11.44140625" style="72" customWidth="1"/>
    <col min="12813" max="13056" width="11.44140625" style="72"/>
    <col min="13057" max="13057" width="10.109375" style="72" customWidth="1"/>
    <col min="13058" max="13058" width="33.44140625" style="72" customWidth="1"/>
    <col min="13059" max="13059" width="7.5546875" style="72" customWidth="1"/>
    <col min="13060" max="13060" width="15.5546875" style="72" customWidth="1"/>
    <col min="13061" max="13061" width="6.109375" style="72" customWidth="1"/>
    <col min="13062" max="13062" width="14.88671875" style="72" customWidth="1"/>
    <col min="13063" max="13063" width="15.44140625" style="72" customWidth="1"/>
    <col min="13064" max="13064" width="14.6640625" style="72" customWidth="1"/>
    <col min="13065" max="13065" width="4.5546875" style="72" customWidth="1"/>
    <col min="13066" max="13066" width="11.44140625" style="72" customWidth="1"/>
    <col min="13067" max="13067" width="14.6640625" style="72" customWidth="1"/>
    <col min="13068" max="13068" width="11.44140625" style="72" customWidth="1"/>
    <col min="13069" max="13312" width="11.44140625" style="72"/>
    <col min="13313" max="13313" width="10.109375" style="72" customWidth="1"/>
    <col min="13314" max="13314" width="33.44140625" style="72" customWidth="1"/>
    <col min="13315" max="13315" width="7.5546875" style="72" customWidth="1"/>
    <col min="13316" max="13316" width="15.5546875" style="72" customWidth="1"/>
    <col min="13317" max="13317" width="6.109375" style="72" customWidth="1"/>
    <col min="13318" max="13318" width="14.88671875" style="72" customWidth="1"/>
    <col min="13319" max="13319" width="15.44140625" style="72" customWidth="1"/>
    <col min="13320" max="13320" width="14.6640625" style="72" customWidth="1"/>
    <col min="13321" max="13321" width="4.5546875" style="72" customWidth="1"/>
    <col min="13322" max="13322" width="11.44140625" style="72" customWidth="1"/>
    <col min="13323" max="13323" width="14.6640625" style="72" customWidth="1"/>
    <col min="13324" max="13324" width="11.44140625" style="72" customWidth="1"/>
    <col min="13325" max="13568" width="11.44140625" style="72"/>
    <col min="13569" max="13569" width="10.109375" style="72" customWidth="1"/>
    <col min="13570" max="13570" width="33.44140625" style="72" customWidth="1"/>
    <col min="13571" max="13571" width="7.5546875" style="72" customWidth="1"/>
    <col min="13572" max="13572" width="15.5546875" style="72" customWidth="1"/>
    <col min="13573" max="13573" width="6.109375" style="72" customWidth="1"/>
    <col min="13574" max="13574" width="14.88671875" style="72" customWidth="1"/>
    <col min="13575" max="13575" width="15.44140625" style="72" customWidth="1"/>
    <col min="13576" max="13576" width="14.6640625" style="72" customWidth="1"/>
    <col min="13577" max="13577" width="4.5546875" style="72" customWidth="1"/>
    <col min="13578" max="13578" width="11.44140625" style="72" customWidth="1"/>
    <col min="13579" max="13579" width="14.6640625" style="72" customWidth="1"/>
    <col min="13580" max="13580" width="11.44140625" style="72" customWidth="1"/>
    <col min="13581" max="13824" width="11.44140625" style="72"/>
    <col min="13825" max="13825" width="10.109375" style="72" customWidth="1"/>
    <col min="13826" max="13826" width="33.44140625" style="72" customWidth="1"/>
    <col min="13827" max="13827" width="7.5546875" style="72" customWidth="1"/>
    <col min="13828" max="13828" width="15.5546875" style="72" customWidth="1"/>
    <col min="13829" max="13829" width="6.109375" style="72" customWidth="1"/>
    <col min="13830" max="13830" width="14.88671875" style="72" customWidth="1"/>
    <col min="13831" max="13831" width="15.44140625" style="72" customWidth="1"/>
    <col min="13832" max="13832" width="14.6640625" style="72" customWidth="1"/>
    <col min="13833" max="13833" width="4.5546875" style="72" customWidth="1"/>
    <col min="13834" max="13834" width="11.44140625" style="72" customWidth="1"/>
    <col min="13835" max="13835" width="14.6640625" style="72" customWidth="1"/>
    <col min="13836" max="13836" width="11.44140625" style="72" customWidth="1"/>
    <col min="13837" max="14080" width="11.44140625" style="72"/>
    <col min="14081" max="14081" width="10.109375" style="72" customWidth="1"/>
    <col min="14082" max="14082" width="33.44140625" style="72" customWidth="1"/>
    <col min="14083" max="14083" width="7.5546875" style="72" customWidth="1"/>
    <col min="14084" max="14084" width="15.5546875" style="72" customWidth="1"/>
    <col min="14085" max="14085" width="6.109375" style="72" customWidth="1"/>
    <col min="14086" max="14086" width="14.88671875" style="72" customWidth="1"/>
    <col min="14087" max="14087" width="15.44140625" style="72" customWidth="1"/>
    <col min="14088" max="14088" width="14.6640625" style="72" customWidth="1"/>
    <col min="14089" max="14089" width="4.5546875" style="72" customWidth="1"/>
    <col min="14090" max="14090" width="11.44140625" style="72" customWidth="1"/>
    <col min="14091" max="14091" width="14.6640625" style="72" customWidth="1"/>
    <col min="14092" max="14092" width="11.44140625" style="72" customWidth="1"/>
    <col min="14093" max="14336" width="11.44140625" style="72"/>
    <col min="14337" max="14337" width="10.109375" style="72" customWidth="1"/>
    <col min="14338" max="14338" width="33.44140625" style="72" customWidth="1"/>
    <col min="14339" max="14339" width="7.5546875" style="72" customWidth="1"/>
    <col min="14340" max="14340" width="15.5546875" style="72" customWidth="1"/>
    <col min="14341" max="14341" width="6.109375" style="72" customWidth="1"/>
    <col min="14342" max="14342" width="14.88671875" style="72" customWidth="1"/>
    <col min="14343" max="14343" width="15.44140625" style="72" customWidth="1"/>
    <col min="14344" max="14344" width="14.6640625" style="72" customWidth="1"/>
    <col min="14345" max="14345" width="4.5546875" style="72" customWidth="1"/>
    <col min="14346" max="14346" width="11.44140625" style="72" customWidth="1"/>
    <col min="14347" max="14347" width="14.6640625" style="72" customWidth="1"/>
    <col min="14348" max="14348" width="11.44140625" style="72" customWidth="1"/>
    <col min="14349" max="14592" width="11.44140625" style="72"/>
    <col min="14593" max="14593" width="10.109375" style="72" customWidth="1"/>
    <col min="14594" max="14594" width="33.44140625" style="72" customWidth="1"/>
    <col min="14595" max="14595" width="7.5546875" style="72" customWidth="1"/>
    <col min="14596" max="14596" width="15.5546875" style="72" customWidth="1"/>
    <col min="14597" max="14597" width="6.109375" style="72" customWidth="1"/>
    <col min="14598" max="14598" width="14.88671875" style="72" customWidth="1"/>
    <col min="14599" max="14599" width="15.44140625" style="72" customWidth="1"/>
    <col min="14600" max="14600" width="14.6640625" style="72" customWidth="1"/>
    <col min="14601" max="14601" width="4.5546875" style="72" customWidth="1"/>
    <col min="14602" max="14602" width="11.44140625" style="72" customWidth="1"/>
    <col min="14603" max="14603" width="14.6640625" style="72" customWidth="1"/>
    <col min="14604" max="14604" width="11.44140625" style="72" customWidth="1"/>
    <col min="14605" max="14848" width="11.44140625" style="72"/>
    <col min="14849" max="14849" width="10.109375" style="72" customWidth="1"/>
    <col min="14850" max="14850" width="33.44140625" style="72" customWidth="1"/>
    <col min="14851" max="14851" width="7.5546875" style="72" customWidth="1"/>
    <col min="14852" max="14852" width="15.5546875" style="72" customWidth="1"/>
    <col min="14853" max="14853" width="6.109375" style="72" customWidth="1"/>
    <col min="14854" max="14854" width="14.88671875" style="72" customWidth="1"/>
    <col min="14855" max="14855" width="15.44140625" style="72" customWidth="1"/>
    <col min="14856" max="14856" width="14.6640625" style="72" customWidth="1"/>
    <col min="14857" max="14857" width="4.5546875" style="72" customWidth="1"/>
    <col min="14858" max="14858" width="11.44140625" style="72" customWidth="1"/>
    <col min="14859" max="14859" width="14.6640625" style="72" customWidth="1"/>
    <col min="14860" max="14860" width="11.44140625" style="72" customWidth="1"/>
    <col min="14861" max="15104" width="11.44140625" style="72"/>
    <col min="15105" max="15105" width="10.109375" style="72" customWidth="1"/>
    <col min="15106" max="15106" width="33.44140625" style="72" customWidth="1"/>
    <col min="15107" max="15107" width="7.5546875" style="72" customWidth="1"/>
    <col min="15108" max="15108" width="15.5546875" style="72" customWidth="1"/>
    <col min="15109" max="15109" width="6.109375" style="72" customWidth="1"/>
    <col min="15110" max="15110" width="14.88671875" style="72" customWidth="1"/>
    <col min="15111" max="15111" width="15.44140625" style="72" customWidth="1"/>
    <col min="15112" max="15112" width="14.6640625" style="72" customWidth="1"/>
    <col min="15113" max="15113" width="4.5546875" style="72" customWidth="1"/>
    <col min="15114" max="15114" width="11.44140625" style="72" customWidth="1"/>
    <col min="15115" max="15115" width="14.6640625" style="72" customWidth="1"/>
    <col min="15116" max="15116" width="11.44140625" style="72" customWidth="1"/>
    <col min="15117" max="15360" width="11.44140625" style="72"/>
    <col min="15361" max="15361" width="10.109375" style="72" customWidth="1"/>
    <col min="15362" max="15362" width="33.44140625" style="72" customWidth="1"/>
    <col min="15363" max="15363" width="7.5546875" style="72" customWidth="1"/>
    <col min="15364" max="15364" width="15.5546875" style="72" customWidth="1"/>
    <col min="15365" max="15365" width="6.109375" style="72" customWidth="1"/>
    <col min="15366" max="15366" width="14.88671875" style="72" customWidth="1"/>
    <col min="15367" max="15367" width="15.44140625" style="72" customWidth="1"/>
    <col min="15368" max="15368" width="14.6640625" style="72" customWidth="1"/>
    <col min="15369" max="15369" width="4.5546875" style="72" customWidth="1"/>
    <col min="15370" max="15370" width="11.44140625" style="72" customWidth="1"/>
    <col min="15371" max="15371" width="14.6640625" style="72" customWidth="1"/>
    <col min="15372" max="15372" width="11.44140625" style="72" customWidth="1"/>
    <col min="15373" max="15616" width="11.44140625" style="72"/>
    <col min="15617" max="15617" width="10.109375" style="72" customWidth="1"/>
    <col min="15618" max="15618" width="33.44140625" style="72" customWidth="1"/>
    <col min="15619" max="15619" width="7.5546875" style="72" customWidth="1"/>
    <col min="15620" max="15620" width="15.5546875" style="72" customWidth="1"/>
    <col min="15621" max="15621" width="6.109375" style="72" customWidth="1"/>
    <col min="15622" max="15622" width="14.88671875" style="72" customWidth="1"/>
    <col min="15623" max="15623" width="15.44140625" style="72" customWidth="1"/>
    <col min="15624" max="15624" width="14.6640625" style="72" customWidth="1"/>
    <col min="15625" max="15625" width="4.5546875" style="72" customWidth="1"/>
    <col min="15626" max="15626" width="11.44140625" style="72" customWidth="1"/>
    <col min="15627" max="15627" width="14.6640625" style="72" customWidth="1"/>
    <col min="15628" max="15628" width="11.44140625" style="72" customWidth="1"/>
    <col min="15629" max="15872" width="11.44140625" style="72"/>
    <col min="15873" max="15873" width="10.109375" style="72" customWidth="1"/>
    <col min="15874" max="15874" width="33.44140625" style="72" customWidth="1"/>
    <col min="15875" max="15875" width="7.5546875" style="72" customWidth="1"/>
    <col min="15876" max="15876" width="15.5546875" style="72" customWidth="1"/>
    <col min="15877" max="15877" width="6.109375" style="72" customWidth="1"/>
    <col min="15878" max="15878" width="14.88671875" style="72" customWidth="1"/>
    <col min="15879" max="15879" width="15.44140625" style="72" customWidth="1"/>
    <col min="15880" max="15880" width="14.6640625" style="72" customWidth="1"/>
    <col min="15881" max="15881" width="4.5546875" style="72" customWidth="1"/>
    <col min="15882" max="15882" width="11.44140625" style="72" customWidth="1"/>
    <col min="15883" max="15883" width="14.6640625" style="72" customWidth="1"/>
    <col min="15884" max="15884" width="11.44140625" style="72" customWidth="1"/>
    <col min="15885" max="16128" width="11.44140625" style="72"/>
    <col min="16129" max="16129" width="10.109375" style="72" customWidth="1"/>
    <col min="16130" max="16130" width="33.44140625" style="72" customWidth="1"/>
    <col min="16131" max="16131" width="7.5546875" style="72" customWidth="1"/>
    <col min="16132" max="16132" width="15.5546875" style="72" customWidth="1"/>
    <col min="16133" max="16133" width="6.109375" style="72" customWidth="1"/>
    <col min="16134" max="16134" width="14.88671875" style="72" customWidth="1"/>
    <col min="16135" max="16135" width="15.44140625" style="72" customWidth="1"/>
    <col min="16136" max="16136" width="14.6640625" style="72" customWidth="1"/>
    <col min="16137" max="16137" width="4.5546875" style="72" customWidth="1"/>
    <col min="16138" max="16138" width="11.44140625" style="72" customWidth="1"/>
    <col min="16139" max="16139" width="14.6640625" style="72" customWidth="1"/>
    <col min="16140" max="16140" width="11.44140625" style="72" customWidth="1"/>
    <col min="16141" max="16384" width="11.44140625" style="72"/>
  </cols>
  <sheetData>
    <row r="1" spans="1:12" x14ac:dyDescent="0.3">
      <c r="A1" s="66" t="s">
        <v>88</v>
      </c>
      <c r="B1" s="67"/>
      <c r="C1" s="68"/>
      <c r="D1" s="69"/>
      <c r="E1" s="69"/>
      <c r="F1" s="69"/>
      <c r="G1" s="69"/>
      <c r="H1" s="69"/>
      <c r="I1" s="70" t="s">
        <v>89</v>
      </c>
    </row>
    <row r="2" spans="1:12" x14ac:dyDescent="0.3">
      <c r="A2" s="73"/>
      <c r="B2" s="74"/>
      <c r="C2" s="75"/>
      <c r="D2" s="76"/>
      <c r="E2" s="76"/>
      <c r="F2" s="76"/>
      <c r="G2" s="76"/>
      <c r="H2" s="76"/>
      <c r="I2" s="77"/>
    </row>
    <row r="3" spans="1:12" ht="15.6" x14ac:dyDescent="0.3">
      <c r="A3" s="73" t="s">
        <v>90</v>
      </c>
      <c r="B3" s="78" t="s">
        <v>109</v>
      </c>
      <c r="C3" s="75"/>
      <c r="D3" s="76"/>
      <c r="E3" s="76"/>
      <c r="F3" s="76"/>
      <c r="G3" s="76"/>
      <c r="H3" s="76"/>
      <c r="I3" s="77"/>
    </row>
    <row r="4" spans="1:12" x14ac:dyDescent="0.3">
      <c r="A4" s="79"/>
      <c r="B4" s="80"/>
      <c r="C4" s="81"/>
      <c r="D4" s="62"/>
      <c r="E4" s="62"/>
      <c r="F4" s="62"/>
      <c r="G4" s="62"/>
      <c r="H4" s="62"/>
      <c r="I4" s="82"/>
    </row>
    <row r="5" spans="1:12" x14ac:dyDescent="0.3">
      <c r="A5" s="83"/>
      <c r="B5" s="67"/>
      <c r="C5" s="84" t="s">
        <v>91</v>
      </c>
      <c r="D5" s="69"/>
      <c r="E5" s="85"/>
      <c r="F5" s="86"/>
      <c r="G5" s="87" t="s">
        <v>92</v>
      </c>
      <c r="H5" s="69"/>
      <c r="I5" s="88"/>
    </row>
    <row r="6" spans="1:12" s="95" customFormat="1" x14ac:dyDescent="0.3">
      <c r="A6" s="89" t="s">
        <v>93</v>
      </c>
      <c r="B6" s="90" t="s">
        <v>94</v>
      </c>
      <c r="C6" s="91" t="s">
        <v>95</v>
      </c>
      <c r="D6" s="92" t="s">
        <v>96</v>
      </c>
      <c r="E6" s="93" t="s">
        <v>97</v>
      </c>
      <c r="F6" s="92" t="s">
        <v>98</v>
      </c>
      <c r="G6" s="92" t="s">
        <v>99</v>
      </c>
      <c r="H6" s="93" t="s">
        <v>100</v>
      </c>
      <c r="I6" s="93" t="s">
        <v>101</v>
      </c>
      <c r="J6" s="23"/>
      <c r="K6" s="94"/>
      <c r="L6" s="23"/>
    </row>
    <row r="7" spans="1:12" s="95" customFormat="1" x14ac:dyDescent="0.3">
      <c r="A7" s="96"/>
      <c r="B7" s="97"/>
      <c r="C7" s="98" t="s">
        <v>102</v>
      </c>
      <c r="D7" s="99" t="s">
        <v>103</v>
      </c>
      <c r="E7" s="99"/>
      <c r="F7" s="99"/>
      <c r="G7" s="99"/>
      <c r="H7" s="99"/>
      <c r="I7" s="99"/>
      <c r="J7" s="23"/>
      <c r="K7" s="94"/>
      <c r="L7" s="23"/>
    </row>
    <row r="8" spans="1:12" x14ac:dyDescent="0.3">
      <c r="A8" s="100" t="s">
        <v>128</v>
      </c>
      <c r="B8" s="101" t="s">
        <v>104</v>
      </c>
      <c r="C8" s="146" t="s">
        <v>115</v>
      </c>
      <c r="D8" s="102"/>
      <c r="E8" s="102"/>
      <c r="F8" s="102"/>
      <c r="G8" s="102">
        <v>0</v>
      </c>
      <c r="H8" s="85">
        <v>457090</v>
      </c>
      <c r="I8" s="93"/>
      <c r="K8" s="76"/>
    </row>
    <row r="9" spans="1:12" x14ac:dyDescent="0.3">
      <c r="A9" s="106"/>
      <c r="B9" s="74"/>
      <c r="C9" s="103"/>
      <c r="D9" s="63"/>
      <c r="E9" s="63"/>
      <c r="F9" s="63"/>
      <c r="G9" s="63"/>
      <c r="H9" s="104"/>
      <c r="I9" s="105"/>
      <c r="K9" s="76"/>
    </row>
    <row r="10" spans="1:12" x14ac:dyDescent="0.3">
      <c r="A10" s="106"/>
      <c r="B10" s="107"/>
      <c r="C10" s="103"/>
      <c r="D10" s="63"/>
      <c r="E10" s="63"/>
      <c r="F10" s="108"/>
      <c r="G10" s="63"/>
      <c r="H10" s="104"/>
      <c r="I10" s="105"/>
      <c r="K10" s="76"/>
    </row>
    <row r="11" spans="1:12" x14ac:dyDescent="0.3">
      <c r="A11" s="106"/>
      <c r="B11" s="107"/>
      <c r="C11" s="103"/>
      <c r="D11" s="63"/>
      <c r="E11" s="63"/>
      <c r="F11" s="63"/>
      <c r="G11" s="63"/>
      <c r="H11" s="104"/>
      <c r="I11" s="105"/>
      <c r="K11" s="76"/>
    </row>
    <row r="12" spans="1:12" x14ac:dyDescent="0.3">
      <c r="A12" s="106"/>
      <c r="B12" s="107"/>
      <c r="C12" s="103"/>
      <c r="D12" s="63"/>
      <c r="E12" s="63"/>
      <c r="F12" s="108"/>
      <c r="G12" s="63"/>
      <c r="H12" s="104"/>
      <c r="I12" s="105"/>
      <c r="K12" s="76"/>
    </row>
    <row r="13" spans="1:12" x14ac:dyDescent="0.3">
      <c r="A13" s="106"/>
      <c r="B13" s="74"/>
      <c r="C13" s="103"/>
      <c r="D13" s="63"/>
      <c r="E13" s="63"/>
      <c r="F13" s="63"/>
      <c r="G13" s="63"/>
      <c r="H13" s="104"/>
      <c r="I13" s="105"/>
      <c r="K13" s="76"/>
    </row>
    <row r="14" spans="1:12" x14ac:dyDescent="0.3">
      <c r="A14" s="106"/>
      <c r="B14" s="107"/>
      <c r="C14" s="103"/>
      <c r="D14" s="63"/>
      <c r="E14" s="63"/>
      <c r="F14" s="108"/>
      <c r="G14" s="63"/>
      <c r="H14" s="181">
        <f>SUM(H8:H8)</f>
        <v>457090</v>
      </c>
      <c r="I14" s="105"/>
      <c r="K14" s="76"/>
    </row>
    <row r="15" spans="1:12" x14ac:dyDescent="0.3">
      <c r="A15" s="106"/>
      <c r="B15" s="107"/>
      <c r="C15" s="103"/>
      <c r="D15" s="63"/>
      <c r="E15" s="63"/>
      <c r="F15" s="108"/>
      <c r="G15" s="63"/>
      <c r="H15" s="104"/>
      <c r="I15" s="105"/>
      <c r="K15" s="76"/>
    </row>
    <row r="16" spans="1:12" x14ac:dyDescent="0.3">
      <c r="A16" s="106"/>
      <c r="B16" s="107"/>
      <c r="C16" s="103"/>
      <c r="D16" s="63"/>
      <c r="E16" s="63"/>
      <c r="F16" s="108"/>
      <c r="G16" s="63"/>
      <c r="H16" s="104">
        <f>'LALUR PARTE A'!F43</f>
        <v>67947.962567190058</v>
      </c>
      <c r="I16" s="105"/>
      <c r="K16" s="76"/>
    </row>
    <row r="17" spans="1:11" x14ac:dyDescent="0.3">
      <c r="A17" s="106"/>
      <c r="B17" s="74"/>
      <c r="C17" s="103"/>
      <c r="D17" s="63"/>
      <c r="E17" s="63"/>
      <c r="F17" s="63"/>
      <c r="G17" s="63"/>
      <c r="H17" s="104"/>
      <c r="I17" s="105"/>
      <c r="K17" s="76"/>
    </row>
    <row r="18" spans="1:11" x14ac:dyDescent="0.3">
      <c r="A18" s="106"/>
      <c r="B18" s="107"/>
      <c r="C18" s="103"/>
      <c r="D18" s="63"/>
      <c r="E18" s="63"/>
      <c r="F18" s="63"/>
      <c r="G18" s="63"/>
      <c r="H18" s="181">
        <f>H14-H16</f>
        <v>389142.03743280994</v>
      </c>
      <c r="I18" s="105"/>
      <c r="K18" s="76"/>
    </row>
    <row r="19" spans="1:11" x14ac:dyDescent="0.3">
      <c r="A19" s="106"/>
      <c r="B19" s="107"/>
      <c r="C19" s="103"/>
      <c r="D19" s="63"/>
      <c r="E19" s="63"/>
      <c r="F19" s="63"/>
      <c r="G19" s="63"/>
      <c r="H19" s="104"/>
      <c r="I19" s="105"/>
      <c r="K19" s="76"/>
    </row>
    <row r="20" spans="1:11" x14ac:dyDescent="0.3">
      <c r="A20" s="106"/>
      <c r="B20" s="74"/>
      <c r="C20" s="103"/>
      <c r="D20" s="63"/>
      <c r="E20" s="63"/>
      <c r="F20" s="63"/>
      <c r="G20" s="63"/>
      <c r="H20" s="104"/>
      <c r="I20" s="105"/>
      <c r="K20" s="76"/>
    </row>
    <row r="21" spans="1:11" x14ac:dyDescent="0.3">
      <c r="A21" s="106"/>
      <c r="B21" s="107"/>
      <c r="C21" s="103"/>
      <c r="D21" s="63"/>
      <c r="E21" s="63"/>
      <c r="F21" s="108"/>
      <c r="G21" s="63"/>
      <c r="H21" s="104"/>
      <c r="I21" s="105"/>
      <c r="K21" s="76"/>
    </row>
    <row r="22" spans="1:11" x14ac:dyDescent="0.3">
      <c r="A22" s="106"/>
      <c r="B22" s="74"/>
      <c r="C22" s="103"/>
      <c r="D22" s="63"/>
      <c r="E22" s="63"/>
      <c r="F22" s="63"/>
      <c r="G22" s="63"/>
      <c r="H22" s="104"/>
      <c r="I22" s="105"/>
      <c r="K22" s="76"/>
    </row>
    <row r="23" spans="1:11" x14ac:dyDescent="0.3">
      <c r="A23" s="106"/>
      <c r="B23" s="107"/>
      <c r="C23" s="103"/>
      <c r="D23" s="63"/>
      <c r="E23" s="63"/>
      <c r="F23" s="63"/>
      <c r="G23" s="63"/>
      <c r="H23" s="104"/>
      <c r="I23" s="105"/>
      <c r="K23" s="76"/>
    </row>
    <row r="24" spans="1:11" x14ac:dyDescent="0.3">
      <c r="A24" s="106"/>
      <c r="B24" s="74"/>
      <c r="C24" s="103"/>
      <c r="D24" s="63"/>
      <c r="E24" s="63"/>
      <c r="F24" s="63"/>
      <c r="G24" s="63"/>
      <c r="H24" s="104"/>
      <c r="I24" s="105"/>
      <c r="K24" s="76"/>
    </row>
    <row r="25" spans="1:11" x14ac:dyDescent="0.3">
      <c r="A25" s="106"/>
      <c r="B25" s="107"/>
      <c r="C25" s="103"/>
      <c r="D25" s="63"/>
      <c r="E25" s="63"/>
      <c r="F25" s="63"/>
      <c r="G25" s="63"/>
      <c r="H25" s="104"/>
      <c r="I25" s="105"/>
      <c r="K25" s="76"/>
    </row>
    <row r="26" spans="1:11" x14ac:dyDescent="0.3">
      <c r="A26" s="106"/>
      <c r="B26" s="107"/>
      <c r="C26" s="103"/>
      <c r="D26" s="63"/>
      <c r="E26" s="63"/>
      <c r="F26" s="63"/>
      <c r="G26" s="63"/>
      <c r="H26" s="104"/>
      <c r="I26" s="105"/>
      <c r="K26" s="76"/>
    </row>
    <row r="27" spans="1:11" x14ac:dyDescent="0.3">
      <c r="A27" s="106"/>
      <c r="B27" s="74"/>
      <c r="C27" s="103"/>
      <c r="D27" s="63"/>
      <c r="E27" s="63"/>
      <c r="F27" s="63"/>
      <c r="G27" s="63"/>
      <c r="H27" s="104"/>
      <c r="I27" s="105"/>
      <c r="K27" s="76"/>
    </row>
    <row r="28" spans="1:11" x14ac:dyDescent="0.3">
      <c r="A28" s="106"/>
      <c r="B28" s="107"/>
      <c r="C28" s="103"/>
      <c r="D28" s="63"/>
      <c r="E28" s="63"/>
      <c r="F28" s="63"/>
      <c r="G28" s="63"/>
      <c r="H28" s="104"/>
      <c r="I28" s="105"/>
      <c r="K28" s="76"/>
    </row>
    <row r="29" spans="1:11" x14ac:dyDescent="0.3">
      <c r="A29" s="106"/>
      <c r="B29" s="74"/>
      <c r="C29" s="103"/>
      <c r="D29" s="63"/>
      <c r="E29" s="63"/>
      <c r="F29" s="63"/>
      <c r="G29" s="63"/>
      <c r="H29" s="104"/>
      <c r="I29" s="105"/>
      <c r="K29" s="76"/>
    </row>
    <row r="30" spans="1:11" x14ac:dyDescent="0.3">
      <c r="A30" s="106"/>
      <c r="B30" s="74"/>
      <c r="C30" s="103"/>
      <c r="D30" s="63"/>
      <c r="E30" s="63"/>
      <c r="F30" s="63"/>
      <c r="G30" s="63"/>
      <c r="H30" s="104"/>
      <c r="I30" s="105"/>
      <c r="K30" s="76"/>
    </row>
    <row r="31" spans="1:11" x14ac:dyDescent="0.3">
      <c r="A31" s="106"/>
      <c r="B31" s="107"/>
      <c r="C31" s="103"/>
      <c r="D31" s="63"/>
      <c r="E31" s="63"/>
      <c r="F31" s="63"/>
      <c r="G31" s="63"/>
      <c r="H31" s="104"/>
      <c r="I31" s="105"/>
      <c r="K31" s="76"/>
    </row>
    <row r="32" spans="1:11" x14ac:dyDescent="0.3">
      <c r="A32" s="106"/>
      <c r="B32" s="107"/>
      <c r="C32" s="103"/>
      <c r="D32" s="63"/>
      <c r="E32" s="63"/>
      <c r="F32" s="63"/>
      <c r="G32" s="63"/>
      <c r="H32" s="104"/>
      <c r="I32" s="105"/>
      <c r="K32" s="76"/>
    </row>
    <row r="33" spans="1:11" x14ac:dyDescent="0.3">
      <c r="A33" s="64"/>
      <c r="B33" s="80"/>
      <c r="C33" s="96"/>
      <c r="D33" s="65"/>
      <c r="E33" s="65"/>
      <c r="F33" s="65"/>
      <c r="G33" s="65"/>
      <c r="H33" s="109"/>
      <c r="I33" s="99"/>
      <c r="K33" s="76"/>
    </row>
  </sheetData>
  <phoneticPr fontId="41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J66"/>
  <sheetViews>
    <sheetView showGridLines="0" showRowColHeaders="0" zoomScaleNormal="100" workbookViewId="0">
      <selection activeCell="F55" sqref="F55"/>
    </sheetView>
  </sheetViews>
  <sheetFormatPr defaultRowHeight="14.4" x14ac:dyDescent="0.3"/>
  <cols>
    <col min="1" max="1" width="3.6640625" customWidth="1"/>
    <col min="2" max="2" width="19" style="23" bestFit="1" customWidth="1"/>
    <col min="3" max="3" width="20.6640625" style="23" bestFit="1" customWidth="1"/>
    <col min="4" max="4" width="20.33203125" style="23" bestFit="1" customWidth="1"/>
    <col min="5" max="5" width="23.109375" style="23" bestFit="1" customWidth="1"/>
    <col min="6" max="6" width="20.33203125" style="23" bestFit="1" customWidth="1"/>
    <col min="7" max="10" width="12" bestFit="1" customWidth="1"/>
  </cols>
  <sheetData>
    <row r="4" spans="2:8" ht="15" thickBot="1" x14ac:dyDescent="0.35"/>
    <row r="5" spans="2:8" ht="15.6" thickTop="1" thickBot="1" x14ac:dyDescent="0.35">
      <c r="C5" s="185" t="s">
        <v>45</v>
      </c>
      <c r="D5" s="185"/>
      <c r="E5" s="185"/>
    </row>
    <row r="6" spans="2:8" ht="15.6" thickTop="1" thickBot="1" x14ac:dyDescent="0.35">
      <c r="C6" s="24" t="s">
        <v>46</v>
      </c>
      <c r="D6" s="186" t="s">
        <v>47</v>
      </c>
      <c r="E6" s="187"/>
    </row>
    <row r="7" spans="2:8" ht="17.399999999999999" thickTop="1" thickBot="1" x14ac:dyDescent="0.45">
      <c r="C7" s="25" t="s">
        <v>129</v>
      </c>
      <c r="D7" s="188">
        <v>457090</v>
      </c>
      <c r="E7" s="189"/>
    </row>
    <row r="8" spans="2:8" ht="17.399999999999999" thickTop="1" thickBot="1" x14ac:dyDescent="0.45">
      <c r="C8" s="25"/>
      <c r="D8" s="188"/>
      <c r="E8" s="189"/>
    </row>
    <row r="9" spans="2:8" ht="17.399999999999999" thickTop="1" thickBot="1" x14ac:dyDescent="0.45">
      <c r="C9" s="25"/>
      <c r="D9" s="188"/>
      <c r="E9" s="189"/>
    </row>
    <row r="10" spans="2:8" ht="17.399999999999999" thickTop="1" thickBot="1" x14ac:dyDescent="0.45">
      <c r="C10" s="25"/>
      <c r="D10" s="188"/>
      <c r="E10" s="189"/>
    </row>
    <row r="11" spans="2:8" ht="17.399999999999999" thickTop="1" thickBot="1" x14ac:dyDescent="0.45">
      <c r="C11" s="26"/>
      <c r="D11" s="194"/>
      <c r="E11" s="195"/>
    </row>
    <row r="12" spans="2:8" ht="18" thickTop="1" thickBot="1" x14ac:dyDescent="0.5">
      <c r="B12" s="27"/>
      <c r="C12" s="28" t="s">
        <v>48</v>
      </c>
      <c r="D12" s="196">
        <f>SUM(D7:E11)</f>
        <v>457090</v>
      </c>
      <c r="E12" s="197"/>
      <c r="F12" s="29">
        <f>D12-E17</f>
        <v>457090</v>
      </c>
      <c r="G12" s="30">
        <f>F12-E18</f>
        <v>457090</v>
      </c>
      <c r="H12" s="30">
        <f>G12-E19</f>
        <v>457090</v>
      </c>
    </row>
    <row r="13" spans="2:8" ht="15" thickTop="1" x14ac:dyDescent="0.3">
      <c r="C13" s="31"/>
      <c r="D13" s="32"/>
      <c r="E13" s="32"/>
    </row>
    <row r="14" spans="2:8" ht="15" thickBot="1" x14ac:dyDescent="0.35"/>
    <row r="15" spans="2:8" ht="15.6" thickTop="1" thickBot="1" x14ac:dyDescent="0.35">
      <c r="C15" s="198" t="s">
        <v>49</v>
      </c>
      <c r="D15" s="199"/>
      <c r="E15" s="33"/>
    </row>
    <row r="16" spans="2:8" ht="15.6" thickTop="1" thickBot="1" x14ac:dyDescent="0.35">
      <c r="C16" s="34" t="s">
        <v>50</v>
      </c>
      <c r="D16" s="35" t="s">
        <v>51</v>
      </c>
      <c r="E16" s="36"/>
    </row>
    <row r="17" spans="2:10" s="41" customFormat="1" ht="41.25" customHeight="1" thickTop="1" thickBot="1" x14ac:dyDescent="0.35">
      <c r="B17" s="37"/>
      <c r="C17" s="38" t="s">
        <v>52</v>
      </c>
      <c r="D17" s="39">
        <v>0</v>
      </c>
      <c r="E17" s="40">
        <f>IF($D$12&gt;0,IF($D$12&gt;(D17*30%),D17*30%,IF($D$12&lt;(D17*30%),$D$12)))</f>
        <v>0</v>
      </c>
      <c r="F17" s="37"/>
    </row>
    <row r="18" spans="2:10" s="41" customFormat="1" ht="41.25" customHeight="1" thickTop="1" thickBot="1" x14ac:dyDescent="0.35">
      <c r="B18" s="37"/>
      <c r="C18" s="38" t="s">
        <v>53</v>
      </c>
      <c r="D18" s="42">
        <v>0</v>
      </c>
      <c r="E18" s="43">
        <f>IF($F$12&gt;0,IF($F$12&gt;(D18*30%),D18*30%,IF($F$12&lt;(D18*30%),$F$12)))</f>
        <v>0</v>
      </c>
      <c r="F18" s="37"/>
    </row>
    <row r="19" spans="2:10" s="41" customFormat="1" ht="41.25" customHeight="1" thickTop="1" thickBot="1" x14ac:dyDescent="0.35">
      <c r="B19" s="37"/>
      <c r="C19" s="38" t="s">
        <v>54</v>
      </c>
      <c r="D19" s="42">
        <v>0</v>
      </c>
      <c r="E19" s="43"/>
      <c r="F19" s="37"/>
    </row>
    <row r="20" spans="2:10" s="41" customFormat="1" ht="41.25" customHeight="1" thickTop="1" thickBot="1" x14ac:dyDescent="0.35">
      <c r="B20" s="37"/>
      <c r="C20" s="38" t="s">
        <v>55</v>
      </c>
      <c r="D20" s="173">
        <f>'DRE TRIMESTRAL'!D66</f>
        <v>13349.208557300182</v>
      </c>
      <c r="E20" s="40">
        <f>IF($H$12&gt;0,IF($H$12&gt;(D20*30%),D20*30%,IF($H$12&lt;(D20*30%),$H$12)))</f>
        <v>4004.7625671900546</v>
      </c>
      <c r="F20" s="37"/>
    </row>
    <row r="21" spans="2:10" ht="15" thickTop="1" x14ac:dyDescent="0.3"/>
    <row r="24" spans="2:10" ht="18.600000000000001" thickBot="1" x14ac:dyDescent="0.35">
      <c r="B24" s="190" t="s">
        <v>56</v>
      </c>
      <c r="C24" s="190"/>
      <c r="D24" s="190"/>
      <c r="E24" s="190"/>
      <c r="F24" s="190"/>
      <c r="G24" s="44"/>
      <c r="H24" s="44"/>
      <c r="I24" s="44"/>
      <c r="J24" s="44"/>
    </row>
    <row r="25" spans="2:10" ht="15.6" thickTop="1" thickBot="1" x14ac:dyDescent="0.35">
      <c r="B25" s="45" t="s">
        <v>57</v>
      </c>
      <c r="C25" s="45" t="s">
        <v>52</v>
      </c>
      <c r="D25" s="46" t="s">
        <v>53</v>
      </c>
      <c r="E25" s="45" t="s">
        <v>54</v>
      </c>
      <c r="F25" s="45" t="s">
        <v>55</v>
      </c>
    </row>
    <row r="26" spans="2:10" ht="17.399999999999999" thickTop="1" thickBot="1" x14ac:dyDescent="0.35">
      <c r="B26" s="47" t="s">
        <v>58</v>
      </c>
      <c r="C26" s="48">
        <f>$D$17</f>
        <v>0</v>
      </c>
      <c r="D26" s="48">
        <f>D18</f>
        <v>0</v>
      </c>
      <c r="E26" s="48">
        <f>D19</f>
        <v>0</v>
      </c>
      <c r="F26" s="48">
        <f>D20</f>
        <v>13349.208557300182</v>
      </c>
    </row>
    <row r="27" spans="2:10" ht="17.399999999999999" thickTop="1" thickBot="1" x14ac:dyDescent="0.35">
      <c r="B27" s="47" t="s">
        <v>59</v>
      </c>
      <c r="C27" s="49">
        <v>0</v>
      </c>
      <c r="D27" s="49"/>
      <c r="E27" s="49"/>
      <c r="F27" s="49">
        <f>'LALUR PARTE A'!E24</f>
        <v>213144</v>
      </c>
    </row>
    <row r="28" spans="2:10" ht="17.399999999999999" thickTop="1" thickBot="1" x14ac:dyDescent="0.35">
      <c r="B28" s="47" t="s">
        <v>60</v>
      </c>
      <c r="C28" s="48">
        <f>(C26+C27)*30%</f>
        <v>0</v>
      </c>
      <c r="D28" s="48">
        <v>0</v>
      </c>
      <c r="E28" s="48">
        <v>0</v>
      </c>
      <c r="F28" s="48">
        <f>'LALUR PARTE B'!H16</f>
        <v>67947.962567190058</v>
      </c>
    </row>
    <row r="29" spans="2:10" ht="17.399999999999999" thickTop="1" thickBot="1" x14ac:dyDescent="0.35">
      <c r="B29" s="47" t="s">
        <v>61</v>
      </c>
      <c r="C29" s="49">
        <v>0</v>
      </c>
      <c r="D29" s="49"/>
      <c r="E29" s="49"/>
      <c r="F29" s="49"/>
    </row>
    <row r="30" spans="2:10" ht="17.399999999999999" thickTop="1" thickBot="1" x14ac:dyDescent="0.35">
      <c r="B30" s="50" t="s">
        <v>62</v>
      </c>
      <c r="C30" s="48">
        <f>C26+C27-C28-C29</f>
        <v>0</v>
      </c>
      <c r="D30" s="51">
        <f>D26+D27-D28-D29</f>
        <v>0</v>
      </c>
      <c r="E30" s="140">
        <f>E26+E27-E28-E29</f>
        <v>0</v>
      </c>
      <c r="F30" s="183">
        <f>F26+F27-F28-F29</f>
        <v>158545.24599011012</v>
      </c>
    </row>
    <row r="31" spans="2:10" ht="17.399999999999999" thickTop="1" thickBot="1" x14ac:dyDescent="0.35">
      <c r="B31" s="47" t="s">
        <v>63</v>
      </c>
      <c r="C31" s="48">
        <f>C30*15%</f>
        <v>0</v>
      </c>
      <c r="D31" s="48">
        <f t="shared" ref="D31:F31" si="0">D30*15%</f>
        <v>0</v>
      </c>
      <c r="E31" s="48">
        <v>0</v>
      </c>
      <c r="F31" s="48">
        <f t="shared" si="0"/>
        <v>23781.786898516519</v>
      </c>
    </row>
    <row r="32" spans="2:10" ht="17.399999999999999" thickTop="1" thickBot="1" x14ac:dyDescent="0.35">
      <c r="B32" s="47" t="s">
        <v>64</v>
      </c>
      <c r="C32" s="48" t="str">
        <f>IF(C30&gt;20000,((C30-60000)*10%),"0,00")</f>
        <v>0,00</v>
      </c>
      <c r="D32" s="48" t="str">
        <f>IF(D30&gt;40000,((D30-60000)*10%),"0,00")</f>
        <v>0,00</v>
      </c>
      <c r="E32" s="48" t="str">
        <f>IF(E30&gt;60000,((E30-60000)*10%),"0,00")</f>
        <v>0,00</v>
      </c>
      <c r="F32" s="48">
        <f>IF(F30&gt;80000,((F30-60000)*10%),"0,00")</f>
        <v>9854.5245990110125</v>
      </c>
    </row>
    <row r="33" spans="2:6" ht="18" thickTop="1" thickBot="1" x14ac:dyDescent="0.35">
      <c r="B33" s="47" t="s">
        <v>65</v>
      </c>
      <c r="C33" s="52">
        <f>C31+C32</f>
        <v>0</v>
      </c>
      <c r="D33" s="52">
        <f t="shared" ref="D33:F33" si="1">D31+D32</f>
        <v>0</v>
      </c>
      <c r="E33" s="52">
        <f t="shared" si="1"/>
        <v>0</v>
      </c>
      <c r="F33" s="52">
        <f t="shared" si="1"/>
        <v>33636.311497527531</v>
      </c>
    </row>
    <row r="34" spans="2:6" ht="17.399999999999999" thickTop="1" thickBot="1" x14ac:dyDescent="0.35">
      <c r="B34" s="47" t="s">
        <v>66</v>
      </c>
      <c r="C34" s="49">
        <v>0</v>
      </c>
      <c r="D34" s="49"/>
      <c r="E34" s="49"/>
      <c r="F34" s="49"/>
    </row>
    <row r="35" spans="2:6" ht="18" thickTop="1" thickBot="1" x14ac:dyDescent="0.35">
      <c r="B35" s="47" t="s">
        <v>67</v>
      </c>
      <c r="C35" s="48">
        <f>C33-C34</f>
        <v>0</v>
      </c>
      <c r="D35" s="48">
        <f t="shared" ref="D35:F35" si="2">D33-D34</f>
        <v>0</v>
      </c>
      <c r="E35" s="48">
        <f t="shared" si="2"/>
        <v>0</v>
      </c>
      <c r="F35" s="184">
        <f t="shared" si="2"/>
        <v>33636.311497527531</v>
      </c>
    </row>
    <row r="36" spans="2:6" ht="15" thickTop="1" x14ac:dyDescent="0.3"/>
    <row r="37" spans="2:6" ht="15" thickBot="1" x14ac:dyDescent="0.35">
      <c r="B37" s="190" t="s">
        <v>68</v>
      </c>
      <c r="C37" s="190"/>
      <c r="D37" s="190"/>
      <c r="E37" s="190"/>
      <c r="F37" s="190"/>
    </row>
    <row r="38" spans="2:6" ht="15.6" thickTop="1" thickBot="1" x14ac:dyDescent="0.35">
      <c r="B38" s="45" t="s">
        <v>57</v>
      </c>
      <c r="C38" s="45" t="s">
        <v>52</v>
      </c>
      <c r="D38" s="46" t="s">
        <v>53</v>
      </c>
      <c r="E38" s="45" t="s">
        <v>54</v>
      </c>
      <c r="F38" s="45" t="s">
        <v>55</v>
      </c>
    </row>
    <row r="39" spans="2:6" ht="17.399999999999999" thickTop="1" thickBot="1" x14ac:dyDescent="0.35">
      <c r="B39" s="47" t="s">
        <v>58</v>
      </c>
      <c r="C39" s="48">
        <f>$D$17</f>
        <v>0</v>
      </c>
      <c r="D39" s="48">
        <f>D18</f>
        <v>0</v>
      </c>
      <c r="E39" s="48">
        <f>D19</f>
        <v>0</v>
      </c>
      <c r="F39" s="48">
        <f>D20</f>
        <v>13349.208557300182</v>
      </c>
    </row>
    <row r="40" spans="2:6" ht="17.399999999999999" thickTop="1" thickBot="1" x14ac:dyDescent="0.35">
      <c r="B40" s="47" t="s">
        <v>59</v>
      </c>
      <c r="C40" s="49">
        <v>0</v>
      </c>
      <c r="D40" s="49"/>
      <c r="E40" s="49"/>
      <c r="F40" s="49">
        <f>'LALUR PARTE A'!E24</f>
        <v>213144</v>
      </c>
    </row>
    <row r="41" spans="2:6" ht="17.399999999999999" thickTop="1" thickBot="1" x14ac:dyDescent="0.35">
      <c r="B41" s="47" t="s">
        <v>60</v>
      </c>
      <c r="C41" s="48">
        <v>0</v>
      </c>
      <c r="D41" s="48">
        <v>0</v>
      </c>
      <c r="E41" s="48">
        <v>0</v>
      </c>
      <c r="F41" s="48">
        <f>'LALUR PARTE B'!H16</f>
        <v>67947.962567190058</v>
      </c>
    </row>
    <row r="42" spans="2:6" ht="17.399999999999999" thickTop="1" thickBot="1" x14ac:dyDescent="0.35">
      <c r="B42" s="47" t="s">
        <v>61</v>
      </c>
      <c r="C42" s="49">
        <v>0</v>
      </c>
      <c r="D42" s="49"/>
      <c r="E42" s="49"/>
      <c r="F42" s="49"/>
    </row>
    <row r="43" spans="2:6" ht="17.399999999999999" thickTop="1" thickBot="1" x14ac:dyDescent="0.35">
      <c r="B43" s="50" t="s">
        <v>62</v>
      </c>
      <c r="C43" s="51">
        <f>C39+C40-C41-C42</f>
        <v>0</v>
      </c>
      <c r="D43" s="51">
        <f>D39+D40-D41-D42</f>
        <v>0</v>
      </c>
      <c r="E43" s="140">
        <f>E39+E40-E41-E42</f>
        <v>0</v>
      </c>
      <c r="F43" s="51">
        <f>F39+F40-F41-F42</f>
        <v>158545.24599011012</v>
      </c>
    </row>
    <row r="44" spans="2:6" ht="17.399999999999999" thickTop="1" thickBot="1" x14ac:dyDescent="0.35">
      <c r="B44" s="47" t="s">
        <v>69</v>
      </c>
      <c r="C44" s="48">
        <f>C43*9%</f>
        <v>0</v>
      </c>
      <c r="D44" s="48">
        <f>D43*9%</f>
        <v>0</v>
      </c>
      <c r="E44" s="48">
        <v>0</v>
      </c>
      <c r="F44" s="48">
        <f>F43*9%</f>
        <v>14269.07213910991</v>
      </c>
    </row>
    <row r="45" spans="2:6" ht="17.399999999999999" thickTop="1" thickBot="1" x14ac:dyDescent="0.35">
      <c r="B45" s="47" t="s">
        <v>70</v>
      </c>
      <c r="C45" s="49"/>
      <c r="D45" s="49"/>
      <c r="E45" s="49"/>
      <c r="F45" s="49"/>
    </row>
    <row r="46" spans="2:6" ht="18" thickTop="1" thickBot="1" x14ac:dyDescent="0.35">
      <c r="B46" s="47" t="s">
        <v>108</v>
      </c>
      <c r="C46" s="48">
        <f>C44-C45</f>
        <v>0</v>
      </c>
      <c r="D46" s="48">
        <f t="shared" ref="D46:F46" si="3">D44-D45</f>
        <v>0</v>
      </c>
      <c r="E46" s="48">
        <f t="shared" si="3"/>
        <v>0</v>
      </c>
      <c r="F46" s="184">
        <f t="shared" si="3"/>
        <v>14269.07213910991</v>
      </c>
    </row>
    <row r="47" spans="2:6" ht="15" thickTop="1" x14ac:dyDescent="0.3"/>
    <row r="50" spans="2:6" ht="15" thickBot="1" x14ac:dyDescent="0.35">
      <c r="E50" s="31"/>
      <c r="F50" s="31"/>
    </row>
    <row r="51" spans="2:6" ht="15.6" thickTop="1" thickBot="1" x14ac:dyDescent="0.35">
      <c r="C51" s="53" t="s">
        <v>57</v>
      </c>
      <c r="D51" s="54" t="s">
        <v>63</v>
      </c>
      <c r="E51" s="55" t="s">
        <v>71</v>
      </c>
      <c r="F51" s="31"/>
    </row>
    <row r="52" spans="2:6" ht="17.399999999999999" thickTop="1" thickBot="1" x14ac:dyDescent="0.45">
      <c r="C52" s="56" t="s">
        <v>52</v>
      </c>
      <c r="D52" s="57">
        <f>C35</f>
        <v>0</v>
      </c>
      <c r="E52" s="58">
        <f>C46</f>
        <v>0</v>
      </c>
    </row>
    <row r="53" spans="2:6" ht="17.399999999999999" thickTop="1" thickBot="1" x14ac:dyDescent="0.45">
      <c r="C53" s="56" t="s">
        <v>53</v>
      </c>
      <c r="D53" s="57">
        <f>D35</f>
        <v>0</v>
      </c>
      <c r="E53" s="58">
        <f>D46</f>
        <v>0</v>
      </c>
    </row>
    <row r="54" spans="2:6" ht="17.399999999999999" thickTop="1" thickBot="1" x14ac:dyDescent="0.45">
      <c r="B54" s="31"/>
      <c r="C54" s="56" t="s">
        <v>54</v>
      </c>
      <c r="D54" s="57">
        <f>E35</f>
        <v>0</v>
      </c>
      <c r="E54" s="58">
        <f>E46</f>
        <v>0</v>
      </c>
    </row>
    <row r="55" spans="2:6" ht="17.399999999999999" thickTop="1" thickBot="1" x14ac:dyDescent="0.45">
      <c r="B55" s="31"/>
      <c r="C55" s="56" t="s">
        <v>55</v>
      </c>
      <c r="D55" s="57">
        <f>F35</f>
        <v>33636.311497527531</v>
      </c>
      <c r="E55" s="58">
        <f>F46</f>
        <v>14269.07213910991</v>
      </c>
    </row>
    <row r="56" spans="2:6" ht="15.6" thickTop="1" thickBot="1" x14ac:dyDescent="0.35">
      <c r="B56" s="31"/>
      <c r="C56" s="191"/>
      <c r="D56" s="192"/>
      <c r="E56" s="193"/>
    </row>
    <row r="57" spans="2:6" ht="18" thickTop="1" thickBot="1" x14ac:dyDescent="0.5">
      <c r="C57" s="59" t="s">
        <v>48</v>
      </c>
      <c r="D57" s="60">
        <f>SUM(D52:D55)</f>
        <v>33636.311497527531</v>
      </c>
      <c r="E57" s="61">
        <f>SUM(E52:E55)</f>
        <v>14269.07213910991</v>
      </c>
    </row>
    <row r="58" spans="2:6" ht="15" thickTop="1" x14ac:dyDescent="0.3"/>
    <row r="59" spans="2:6" ht="15" thickBot="1" x14ac:dyDescent="0.35"/>
    <row r="60" spans="2:6" ht="21.6" thickBot="1" x14ac:dyDescent="0.35">
      <c r="C60" s="142" t="s">
        <v>63</v>
      </c>
      <c r="D60" s="142" t="s">
        <v>71</v>
      </c>
    </row>
    <row r="61" spans="2:6" ht="63" thickBot="1" x14ac:dyDescent="0.35">
      <c r="B61" s="141" t="s">
        <v>110</v>
      </c>
      <c r="C61" s="143" t="s">
        <v>111</v>
      </c>
      <c r="D61" s="144" t="s">
        <v>112</v>
      </c>
    </row>
    <row r="66" spans="4:4" x14ac:dyDescent="0.3">
      <c r="D66" s="23">
        <v>1</v>
      </c>
    </row>
  </sheetData>
  <mergeCells count="12">
    <mergeCell ref="C56:E56"/>
    <mergeCell ref="D9:E9"/>
    <mergeCell ref="D10:E10"/>
    <mergeCell ref="D11:E11"/>
    <mergeCell ref="D12:E12"/>
    <mergeCell ref="C15:D15"/>
    <mergeCell ref="B24:F24"/>
    <mergeCell ref="C5:E5"/>
    <mergeCell ref="D6:E6"/>
    <mergeCell ref="D7:E7"/>
    <mergeCell ref="D8:E8"/>
    <mergeCell ref="B37:F37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F6CC-BFFD-48CB-989F-E1F60A927F50}">
  <dimension ref="B5:N156"/>
  <sheetViews>
    <sheetView showGridLines="0" showRowColHeaders="0" tabSelected="1" zoomScaleNormal="100" workbookViewId="0">
      <selection activeCell="G12" sqref="G12"/>
    </sheetView>
  </sheetViews>
  <sheetFormatPr defaultColWidth="9.109375" defaultRowHeight="14.4" x14ac:dyDescent="0.3"/>
  <cols>
    <col min="1" max="1" width="3.109375" style="200" customWidth="1"/>
    <col min="2" max="2" width="18.6640625" style="201" bestFit="1" customWidth="1"/>
    <col min="3" max="3" width="20.109375" style="201" bestFit="1" customWidth="1"/>
    <col min="4" max="4" width="22.5546875" style="201" customWidth="1"/>
    <col min="5" max="5" width="22.5546875" style="201" bestFit="1" customWidth="1"/>
    <col min="6" max="6" width="19.44140625" style="201" customWidth="1"/>
    <col min="7" max="7" width="22.5546875" style="201" bestFit="1" customWidth="1"/>
    <col min="8" max="8" width="22.6640625" style="201" customWidth="1"/>
    <col min="9" max="16384" width="9.109375" style="200"/>
  </cols>
  <sheetData>
    <row r="5" spans="2:8" ht="15" thickBot="1" x14ac:dyDescent="0.35"/>
    <row r="6" spans="2:8" ht="15.6" thickTop="1" thickBot="1" x14ac:dyDescent="0.35">
      <c r="C6" s="244" t="s">
        <v>45</v>
      </c>
      <c r="D6" s="244"/>
      <c r="E6" s="244"/>
    </row>
    <row r="7" spans="2:8" ht="15.6" thickTop="1" thickBot="1" x14ac:dyDescent="0.35">
      <c r="C7" s="227" t="s">
        <v>46</v>
      </c>
      <c r="D7" s="243" t="s">
        <v>47</v>
      </c>
      <c r="E7" s="263"/>
    </row>
    <row r="8" spans="2:8" ht="17.399999999999999" thickTop="1" thickBot="1" x14ac:dyDescent="0.45">
      <c r="C8" s="262"/>
      <c r="D8" s="261">
        <v>0</v>
      </c>
      <c r="E8" s="260"/>
    </row>
    <row r="9" spans="2:8" ht="17.399999999999999" thickTop="1" thickBot="1" x14ac:dyDescent="0.45">
      <c r="C9" s="262"/>
      <c r="D9" s="261">
        <v>0</v>
      </c>
      <c r="E9" s="260"/>
    </row>
    <row r="10" spans="2:8" ht="17.399999999999999" thickTop="1" thickBot="1" x14ac:dyDescent="0.45">
      <c r="C10" s="262"/>
      <c r="D10" s="261">
        <v>0</v>
      </c>
      <c r="E10" s="260"/>
    </row>
    <row r="11" spans="2:8" ht="17.399999999999999" thickTop="1" thickBot="1" x14ac:dyDescent="0.45">
      <c r="C11" s="262"/>
      <c r="D11" s="261">
        <v>0</v>
      </c>
      <c r="E11" s="260"/>
    </row>
    <row r="12" spans="2:8" ht="17.399999999999999" thickTop="1" thickBot="1" x14ac:dyDescent="0.45">
      <c r="C12" s="259"/>
      <c r="D12" s="258">
        <v>0</v>
      </c>
      <c r="E12" s="257"/>
    </row>
    <row r="13" spans="2:8" ht="18" thickTop="1" thickBot="1" x14ac:dyDescent="0.5">
      <c r="B13" s="256"/>
      <c r="C13" s="255" t="s">
        <v>48</v>
      </c>
      <c r="D13" s="254">
        <f>SUM(D8:E12)</f>
        <v>0</v>
      </c>
      <c r="E13" s="253"/>
      <c r="F13" s="252"/>
    </row>
    <row r="14" spans="2:8" ht="15" thickTop="1" x14ac:dyDescent="0.3">
      <c r="D14" s="237"/>
      <c r="E14" s="237"/>
    </row>
    <row r="15" spans="2:8" ht="15" thickBot="1" x14ac:dyDescent="0.35"/>
    <row r="16" spans="2:8" ht="19.2" thickTop="1" thickBot="1" x14ac:dyDescent="0.35">
      <c r="C16" s="244" t="s">
        <v>160</v>
      </c>
      <c r="D16" s="244"/>
      <c r="E16" s="244"/>
      <c r="G16" s="234"/>
      <c r="H16" s="234"/>
    </row>
    <row r="17" spans="3:6" ht="15.6" thickTop="1" thickBot="1" x14ac:dyDescent="0.35">
      <c r="C17" s="227" t="s">
        <v>57</v>
      </c>
      <c r="D17" s="227" t="s">
        <v>159</v>
      </c>
      <c r="E17" s="227" t="s">
        <v>158</v>
      </c>
    </row>
    <row r="18" spans="3:6" ht="17.399999999999999" thickTop="1" thickBot="1" x14ac:dyDescent="0.45">
      <c r="C18" s="213">
        <v>43831</v>
      </c>
      <c r="D18" s="249">
        <v>3400258</v>
      </c>
      <c r="E18" s="248">
        <v>-143185</v>
      </c>
      <c r="F18" s="250"/>
    </row>
    <row r="19" spans="3:6" ht="17.399999999999999" thickTop="1" thickBot="1" x14ac:dyDescent="0.45">
      <c r="C19" s="213">
        <v>43862</v>
      </c>
      <c r="D19" s="249">
        <v>4250158</v>
      </c>
      <c r="E19" s="248">
        <v>310150</v>
      </c>
      <c r="F19" s="251">
        <f>E18+E19</f>
        <v>166965</v>
      </c>
    </row>
    <row r="20" spans="3:6" ht="17.399999999999999" thickTop="1" thickBot="1" x14ac:dyDescent="0.45">
      <c r="C20" s="213">
        <v>43891</v>
      </c>
      <c r="D20" s="249">
        <v>3125000</v>
      </c>
      <c r="E20" s="248">
        <v>145000</v>
      </c>
      <c r="F20" s="251">
        <f>E18+E19+E20</f>
        <v>311965</v>
      </c>
    </row>
    <row r="21" spans="3:6" ht="17.399999999999999" thickTop="1" thickBot="1" x14ac:dyDescent="0.45">
      <c r="C21" s="213">
        <v>43922</v>
      </c>
      <c r="D21" s="249">
        <v>4188050</v>
      </c>
      <c r="E21" s="248">
        <v>-325000</v>
      </c>
      <c r="F21" s="250">
        <f>SUM(E18:E21)</f>
        <v>-13035</v>
      </c>
    </row>
    <row r="22" spans="3:6" ht="17.399999999999999" thickTop="1" thickBot="1" x14ac:dyDescent="0.45">
      <c r="C22" s="213">
        <v>43952</v>
      </c>
      <c r="D22" s="249">
        <v>5485000</v>
      </c>
      <c r="E22" s="248">
        <v>378000</v>
      </c>
      <c r="F22" s="250">
        <f>SUM(E18:E22)</f>
        <v>364965</v>
      </c>
    </row>
    <row r="23" spans="3:6" ht="17.399999999999999" thickTop="1" thickBot="1" x14ac:dyDescent="0.45">
      <c r="C23" s="213">
        <v>43983</v>
      </c>
      <c r="D23" s="249">
        <v>3200000</v>
      </c>
      <c r="E23" s="248">
        <v>-460000</v>
      </c>
      <c r="F23" s="250">
        <f>SUM(E18:E23)</f>
        <v>-95035</v>
      </c>
    </row>
    <row r="24" spans="3:6" ht="17.399999999999999" thickTop="1" thickBot="1" x14ac:dyDescent="0.45">
      <c r="C24" s="213">
        <v>44013</v>
      </c>
      <c r="D24" s="249">
        <v>4185000</v>
      </c>
      <c r="E24" s="248">
        <v>650000</v>
      </c>
      <c r="F24" s="250">
        <f>SUM(E18:E24)</f>
        <v>554965</v>
      </c>
    </row>
    <row r="25" spans="3:6" ht="17.399999999999999" thickTop="1" thickBot="1" x14ac:dyDescent="0.45">
      <c r="C25" s="213">
        <v>44044</v>
      </c>
      <c r="D25" s="249">
        <v>2895150</v>
      </c>
      <c r="E25" s="248">
        <v>395000</v>
      </c>
      <c r="F25" s="250">
        <f>SUM(E18:E25)</f>
        <v>949965</v>
      </c>
    </row>
    <row r="26" spans="3:6" ht="17.399999999999999" thickTop="1" thickBot="1" x14ac:dyDescent="0.45">
      <c r="C26" s="213">
        <v>44075</v>
      </c>
      <c r="D26" s="249">
        <v>3777145</v>
      </c>
      <c r="E26" s="248">
        <v>-725000</v>
      </c>
    </row>
    <row r="27" spans="3:6" ht="17.399999999999999" thickTop="1" thickBot="1" x14ac:dyDescent="0.45">
      <c r="C27" s="213">
        <v>44105</v>
      </c>
      <c r="D27" s="249">
        <v>5975160</v>
      </c>
      <c r="E27" s="248">
        <v>925000</v>
      </c>
    </row>
    <row r="28" spans="3:6" ht="17.399999999999999" thickTop="1" thickBot="1" x14ac:dyDescent="0.45">
      <c r="C28" s="213">
        <v>44136</v>
      </c>
      <c r="D28" s="249">
        <v>2855985</v>
      </c>
      <c r="E28" s="248">
        <v>-845000</v>
      </c>
    </row>
    <row r="29" spans="3:6" ht="17.399999999999999" thickTop="1" thickBot="1" x14ac:dyDescent="0.45">
      <c r="C29" s="213">
        <v>44166</v>
      </c>
      <c r="D29" s="249">
        <v>2458000</v>
      </c>
      <c r="E29" s="248">
        <v>980000</v>
      </c>
    </row>
    <row r="30" spans="3:6" ht="15" thickTop="1" x14ac:dyDescent="0.3"/>
    <row r="33" spans="2:8" x14ac:dyDescent="0.3">
      <c r="B33" s="245"/>
      <c r="C33" s="245"/>
      <c r="D33" s="245"/>
      <c r="E33" s="245"/>
      <c r="F33" s="245"/>
      <c r="G33" s="245"/>
      <c r="H33" s="245"/>
    </row>
    <row r="34" spans="2:8" ht="15" thickBot="1" x14ac:dyDescent="0.35">
      <c r="B34" s="245"/>
      <c r="C34" s="245"/>
      <c r="D34" s="245"/>
      <c r="E34" s="245"/>
      <c r="F34" s="245"/>
      <c r="G34" s="245"/>
      <c r="H34" s="245"/>
    </row>
    <row r="35" spans="2:8" ht="19.2" thickTop="1" thickBot="1" x14ac:dyDescent="0.35">
      <c r="B35" s="244" t="s">
        <v>157</v>
      </c>
      <c r="C35" s="244"/>
      <c r="D35" s="244"/>
      <c r="E35" s="244"/>
      <c r="F35" s="244"/>
      <c r="G35" s="244"/>
      <c r="H35" s="234"/>
    </row>
    <row r="36" spans="2:8" ht="15.6" thickTop="1" thickBot="1" x14ac:dyDescent="0.35">
      <c r="B36" s="227" t="s">
        <v>57</v>
      </c>
      <c r="C36" s="227" t="s">
        <v>152</v>
      </c>
      <c r="D36" s="227" t="s">
        <v>151</v>
      </c>
      <c r="E36" s="227" t="s">
        <v>156</v>
      </c>
      <c r="F36" s="227" t="s">
        <v>155</v>
      </c>
      <c r="G36" s="227" t="s">
        <v>154</v>
      </c>
    </row>
    <row r="37" spans="2:8" ht="17.399999999999999" thickTop="1" thickBot="1" x14ac:dyDescent="0.45">
      <c r="B37" s="247"/>
      <c r="C37" s="241"/>
      <c r="D37" s="240">
        <v>0.08</v>
      </c>
      <c r="E37" s="240">
        <v>0.15</v>
      </c>
      <c r="F37" s="240">
        <v>0.1</v>
      </c>
      <c r="G37" s="241"/>
    </row>
    <row r="38" spans="2:8" ht="17.399999999999999" thickTop="1" thickBot="1" x14ac:dyDescent="0.45">
      <c r="B38" s="213">
        <v>43831</v>
      </c>
      <c r="C38" s="215">
        <f>D18</f>
        <v>3400258</v>
      </c>
      <c r="D38" s="215">
        <f>C38*D37</f>
        <v>272020.64</v>
      </c>
      <c r="E38" s="215">
        <f>D38*E37</f>
        <v>40803.095999999998</v>
      </c>
      <c r="F38" s="215">
        <f>(D38-20000)*10%</f>
        <v>25202.064000000002</v>
      </c>
      <c r="G38" s="215">
        <f>E38+F38</f>
        <v>66005.16</v>
      </c>
      <c r="H38" s="246"/>
    </row>
    <row r="39" spans="2:8" ht="17.399999999999999" thickTop="1" thickBot="1" x14ac:dyDescent="0.45">
      <c r="B39" s="213">
        <v>43862</v>
      </c>
      <c r="C39" s="215">
        <f>D19</f>
        <v>4250158</v>
      </c>
      <c r="D39" s="215">
        <f>C39*$D$37</f>
        <v>340012.64</v>
      </c>
      <c r="E39" s="215">
        <f>D39*$E$37</f>
        <v>51001.896000000001</v>
      </c>
      <c r="F39" s="215">
        <f>(D39-20000)*10%</f>
        <v>32001.264000000003</v>
      </c>
      <c r="G39" s="215">
        <f>E39+F39</f>
        <v>83003.16</v>
      </c>
    </row>
    <row r="40" spans="2:8" ht="17.399999999999999" thickTop="1" thickBot="1" x14ac:dyDescent="0.45">
      <c r="B40" s="213">
        <v>43891</v>
      </c>
      <c r="C40" s="215">
        <f>D20</f>
        <v>3125000</v>
      </c>
      <c r="D40" s="215">
        <f>C40*$D$37</f>
        <v>250000</v>
      </c>
      <c r="E40" s="215">
        <f>D40*$E$37</f>
        <v>37500</v>
      </c>
      <c r="F40" s="215">
        <f>(D40-20000)*10%</f>
        <v>23000</v>
      </c>
      <c r="G40" s="215">
        <f>E40+F40</f>
        <v>60500</v>
      </c>
    </row>
    <row r="41" spans="2:8" ht="17.399999999999999" thickTop="1" thickBot="1" x14ac:dyDescent="0.45">
      <c r="B41" s="213">
        <v>43922</v>
      </c>
      <c r="C41" s="215">
        <f>D21</f>
        <v>4188050</v>
      </c>
      <c r="D41" s="215">
        <f>C41*$D$37</f>
        <v>335044</v>
      </c>
      <c r="E41" s="215">
        <f>D41*$E$37</f>
        <v>50256.6</v>
      </c>
      <c r="F41" s="215">
        <f>(D41-20000)*10%</f>
        <v>31504.400000000001</v>
      </c>
      <c r="G41" s="215">
        <f>E41+F41</f>
        <v>81761</v>
      </c>
    </row>
    <row r="42" spans="2:8" ht="17.399999999999999" thickTop="1" thickBot="1" x14ac:dyDescent="0.45">
      <c r="B42" s="213">
        <v>43952</v>
      </c>
      <c r="C42" s="215">
        <f>D22</f>
        <v>5485000</v>
      </c>
      <c r="D42" s="215">
        <f>C42*$D$37</f>
        <v>438800</v>
      </c>
      <c r="E42" s="215">
        <f>D42*$E$37</f>
        <v>65820</v>
      </c>
      <c r="F42" s="215">
        <f>(D42-20000)*10%</f>
        <v>41880</v>
      </c>
      <c r="G42" s="215">
        <f>E42+F42</f>
        <v>107700</v>
      </c>
    </row>
    <row r="43" spans="2:8" ht="17.399999999999999" thickTop="1" thickBot="1" x14ac:dyDescent="0.45">
      <c r="B43" s="213">
        <v>43983</v>
      </c>
      <c r="C43" s="215">
        <f>D23</f>
        <v>3200000</v>
      </c>
      <c r="D43" s="215">
        <f>C43*$D$37</f>
        <v>256000</v>
      </c>
      <c r="E43" s="215">
        <f>D43*$E$37</f>
        <v>38400</v>
      </c>
      <c r="F43" s="215">
        <f>(D43-20000)*10%</f>
        <v>23600</v>
      </c>
      <c r="G43" s="215">
        <f>E43+F43</f>
        <v>62000</v>
      </c>
    </row>
    <row r="44" spans="2:8" ht="17.399999999999999" thickTop="1" thickBot="1" x14ac:dyDescent="0.45">
      <c r="B44" s="213">
        <v>44013</v>
      </c>
      <c r="C44" s="215">
        <f>D24</f>
        <v>4185000</v>
      </c>
      <c r="D44" s="215">
        <f>C44*$D$37</f>
        <v>334800</v>
      </c>
      <c r="E44" s="215">
        <f>D44*$E$37</f>
        <v>50220</v>
      </c>
      <c r="F44" s="215">
        <f>(D44-20000)*10%</f>
        <v>31480</v>
      </c>
      <c r="G44" s="215">
        <f>E44+F44</f>
        <v>81700</v>
      </c>
    </row>
    <row r="45" spans="2:8" ht="17.399999999999999" thickTop="1" thickBot="1" x14ac:dyDescent="0.45">
      <c r="B45" s="213">
        <v>44044</v>
      </c>
      <c r="C45" s="215">
        <f>D25</f>
        <v>2895150</v>
      </c>
      <c r="D45" s="215">
        <f>C45*$D$37</f>
        <v>231612</v>
      </c>
      <c r="E45" s="215">
        <f>D45*$E$37</f>
        <v>34741.799999999996</v>
      </c>
      <c r="F45" s="215">
        <f>(D45-20000)*10%</f>
        <v>21161.200000000001</v>
      </c>
      <c r="G45" s="215">
        <f>E45+F45</f>
        <v>55903</v>
      </c>
    </row>
    <row r="46" spans="2:8" ht="17.399999999999999" thickTop="1" thickBot="1" x14ac:dyDescent="0.45">
      <c r="B46" s="213">
        <v>44075</v>
      </c>
      <c r="C46" s="215">
        <f>D26</f>
        <v>3777145</v>
      </c>
      <c r="D46" s="215">
        <f>C46*$D$37</f>
        <v>302171.60000000003</v>
      </c>
      <c r="E46" s="215">
        <f>D46*$E$37</f>
        <v>45325.740000000005</v>
      </c>
      <c r="F46" s="215">
        <f>(D46-20000)*10%</f>
        <v>28217.160000000003</v>
      </c>
      <c r="G46" s="215">
        <f>E46+F46</f>
        <v>73542.900000000009</v>
      </c>
    </row>
    <row r="47" spans="2:8" ht="17.399999999999999" thickTop="1" thickBot="1" x14ac:dyDescent="0.45">
      <c r="B47" s="213">
        <v>44105</v>
      </c>
      <c r="C47" s="215">
        <f>D27</f>
        <v>5975160</v>
      </c>
      <c r="D47" s="215">
        <f>C47*$D$37</f>
        <v>478012.8</v>
      </c>
      <c r="E47" s="215">
        <f>D47*$E$37</f>
        <v>71701.919999999998</v>
      </c>
      <c r="F47" s="215">
        <f>(D47-20000)*10%</f>
        <v>45801.279999999999</v>
      </c>
      <c r="G47" s="215">
        <f>E47+F47</f>
        <v>117503.2</v>
      </c>
    </row>
    <row r="48" spans="2:8" ht="17.399999999999999" thickTop="1" thickBot="1" x14ac:dyDescent="0.45">
      <c r="B48" s="213">
        <v>44136</v>
      </c>
      <c r="C48" s="215">
        <f>D28</f>
        <v>2855985</v>
      </c>
      <c r="D48" s="215">
        <f>C48*$D$37</f>
        <v>228478.80000000002</v>
      </c>
      <c r="E48" s="215">
        <f>D48*$E$37</f>
        <v>34271.82</v>
      </c>
      <c r="F48" s="215">
        <f>(D48-20000)*10%</f>
        <v>20847.880000000005</v>
      </c>
      <c r="G48" s="215">
        <f>E48+F48</f>
        <v>55119.700000000004</v>
      </c>
    </row>
    <row r="49" spans="2:8" ht="17.399999999999999" thickTop="1" thickBot="1" x14ac:dyDescent="0.45">
      <c r="B49" s="213">
        <v>44166</v>
      </c>
      <c r="C49" s="215">
        <f>D29</f>
        <v>2458000</v>
      </c>
      <c r="D49" s="215">
        <f>C49*$D$37</f>
        <v>196640</v>
      </c>
      <c r="E49" s="215">
        <f>D49*$E$37</f>
        <v>29496</v>
      </c>
      <c r="F49" s="215">
        <f>(D49-20000)*10%</f>
        <v>17664</v>
      </c>
      <c r="G49" s="215">
        <f>E49+F49</f>
        <v>47160</v>
      </c>
    </row>
    <row r="50" spans="2:8" ht="15" thickTop="1" x14ac:dyDescent="0.3"/>
    <row r="51" spans="2:8" x14ac:dyDescent="0.3">
      <c r="B51" s="245"/>
      <c r="C51" s="245"/>
      <c r="D51" s="245"/>
      <c r="E51" s="245"/>
      <c r="F51" s="245"/>
      <c r="G51" s="245"/>
      <c r="H51" s="245"/>
    </row>
    <row r="52" spans="2:8" ht="15" thickBot="1" x14ac:dyDescent="0.35">
      <c r="B52" s="245"/>
      <c r="C52" s="245"/>
      <c r="D52" s="245"/>
      <c r="E52" s="245"/>
      <c r="F52" s="245"/>
      <c r="G52" s="245"/>
      <c r="H52" s="245"/>
    </row>
    <row r="53" spans="2:8" ht="19.2" thickTop="1" thickBot="1" x14ac:dyDescent="0.35">
      <c r="B53" s="244" t="s">
        <v>153</v>
      </c>
      <c r="C53" s="244"/>
      <c r="D53" s="244"/>
      <c r="E53" s="244"/>
      <c r="F53" s="244"/>
      <c r="G53" s="244"/>
      <c r="H53" s="234"/>
    </row>
    <row r="54" spans="2:8" ht="15.6" thickTop="1" thickBot="1" x14ac:dyDescent="0.35">
      <c r="B54" s="227" t="s">
        <v>57</v>
      </c>
      <c r="C54" s="227" t="s">
        <v>152</v>
      </c>
      <c r="D54" s="227" t="s">
        <v>151</v>
      </c>
      <c r="E54" s="227" t="s">
        <v>71</v>
      </c>
      <c r="F54" s="243" t="s">
        <v>150</v>
      </c>
      <c r="G54" s="242"/>
    </row>
    <row r="55" spans="2:8" ht="17.399999999999999" thickTop="1" thickBot="1" x14ac:dyDescent="0.45">
      <c r="B55" s="227"/>
      <c r="C55" s="241"/>
      <c r="D55" s="240">
        <v>0.12</v>
      </c>
      <c r="E55" s="240">
        <v>0.09</v>
      </c>
      <c r="F55" s="239"/>
      <c r="G55" s="238"/>
      <c r="H55" s="237"/>
    </row>
    <row r="56" spans="2:8" ht="17.399999999999999" thickTop="1" thickBot="1" x14ac:dyDescent="0.45">
      <c r="B56" s="213">
        <v>43831</v>
      </c>
      <c r="C56" s="215">
        <f>D18</f>
        <v>3400258</v>
      </c>
      <c r="D56" s="215">
        <f>C56*$D$55</f>
        <v>408030.95999999996</v>
      </c>
      <c r="E56" s="215">
        <f>D56*$E$55</f>
        <v>36722.786399999997</v>
      </c>
      <c r="F56" s="236">
        <f>E56</f>
        <v>36722.786399999997</v>
      </c>
      <c r="G56" s="235"/>
      <c r="H56" s="237"/>
    </row>
    <row r="57" spans="2:8" ht="17.399999999999999" thickTop="1" thickBot="1" x14ac:dyDescent="0.45">
      <c r="B57" s="213">
        <v>43862</v>
      </c>
      <c r="C57" s="215">
        <f>D19</f>
        <v>4250158</v>
      </c>
      <c r="D57" s="215">
        <f>C57*$D$55</f>
        <v>510018.95999999996</v>
      </c>
      <c r="E57" s="215">
        <f>D57*$E$55</f>
        <v>45901.706399999995</v>
      </c>
      <c r="F57" s="236">
        <f>E57</f>
        <v>45901.706399999995</v>
      </c>
      <c r="G57" s="235"/>
      <c r="H57" s="237"/>
    </row>
    <row r="58" spans="2:8" ht="17.399999999999999" thickTop="1" thickBot="1" x14ac:dyDescent="0.45">
      <c r="B58" s="213">
        <v>43891</v>
      </c>
      <c r="C58" s="215">
        <f>D20</f>
        <v>3125000</v>
      </c>
      <c r="D58" s="215">
        <f>C58*$D$55</f>
        <v>375000</v>
      </c>
      <c r="E58" s="215">
        <f>D58*$E$55</f>
        <v>33750</v>
      </c>
      <c r="F58" s="236">
        <f>E58</f>
        <v>33750</v>
      </c>
      <c r="G58" s="235"/>
      <c r="H58" s="237"/>
    </row>
    <row r="59" spans="2:8" ht="17.399999999999999" thickTop="1" thickBot="1" x14ac:dyDescent="0.45">
      <c r="B59" s="213">
        <v>43922</v>
      </c>
      <c r="C59" s="215">
        <f>D21</f>
        <v>4188050</v>
      </c>
      <c r="D59" s="215">
        <f>C59*$D$55</f>
        <v>502566</v>
      </c>
      <c r="E59" s="215">
        <f>D59*$E$55</f>
        <v>45230.939999999995</v>
      </c>
      <c r="F59" s="236">
        <f>E59</f>
        <v>45230.939999999995</v>
      </c>
      <c r="G59" s="235"/>
      <c r="H59" s="237"/>
    </row>
    <row r="60" spans="2:8" ht="17.399999999999999" thickTop="1" thickBot="1" x14ac:dyDescent="0.45">
      <c r="B60" s="213">
        <v>43952</v>
      </c>
      <c r="C60" s="215">
        <f>D22</f>
        <v>5485000</v>
      </c>
      <c r="D60" s="215">
        <f>C60*$D$55</f>
        <v>658200</v>
      </c>
      <c r="E60" s="215">
        <f>D60*$E$55</f>
        <v>59238</v>
      </c>
      <c r="F60" s="236">
        <f>E60</f>
        <v>59238</v>
      </c>
      <c r="G60" s="235"/>
      <c r="H60" s="237"/>
    </row>
    <row r="61" spans="2:8" ht="17.399999999999999" thickTop="1" thickBot="1" x14ac:dyDescent="0.45">
      <c r="B61" s="213">
        <v>43983</v>
      </c>
      <c r="C61" s="215">
        <f>D23</f>
        <v>3200000</v>
      </c>
      <c r="D61" s="215">
        <f>C61*$D$55</f>
        <v>384000</v>
      </c>
      <c r="E61" s="215">
        <f>D61*$E$55</f>
        <v>34560</v>
      </c>
      <c r="F61" s="236">
        <f>E61</f>
        <v>34560</v>
      </c>
      <c r="G61" s="235"/>
      <c r="H61" s="237"/>
    </row>
    <row r="62" spans="2:8" ht="17.399999999999999" thickTop="1" thickBot="1" x14ac:dyDescent="0.45">
      <c r="B62" s="213">
        <v>44013</v>
      </c>
      <c r="C62" s="215">
        <f>D24</f>
        <v>4185000</v>
      </c>
      <c r="D62" s="215">
        <f>C62*$D$55</f>
        <v>502200</v>
      </c>
      <c r="E62" s="215">
        <f>D62*$E$55</f>
        <v>45198</v>
      </c>
      <c r="F62" s="236">
        <f>E62</f>
        <v>45198</v>
      </c>
      <c r="G62" s="235"/>
      <c r="H62" s="237"/>
    </row>
    <row r="63" spans="2:8" ht="17.399999999999999" thickTop="1" thickBot="1" x14ac:dyDescent="0.45">
      <c r="B63" s="213">
        <v>44044</v>
      </c>
      <c r="C63" s="215">
        <f>D25</f>
        <v>2895150</v>
      </c>
      <c r="D63" s="215">
        <f>C63*$D$55</f>
        <v>347418</v>
      </c>
      <c r="E63" s="215">
        <f>D63*$E$55</f>
        <v>31267.62</v>
      </c>
      <c r="F63" s="236">
        <f>E63</f>
        <v>31267.62</v>
      </c>
      <c r="G63" s="235"/>
      <c r="H63" s="237"/>
    </row>
    <row r="64" spans="2:8" ht="17.399999999999999" thickTop="1" thickBot="1" x14ac:dyDescent="0.45">
      <c r="B64" s="213">
        <v>44075</v>
      </c>
      <c r="C64" s="215">
        <f>D26</f>
        <v>3777145</v>
      </c>
      <c r="D64" s="215">
        <f>C64*$D$55</f>
        <v>453257.39999999997</v>
      </c>
      <c r="E64" s="215">
        <f>D64*$E$55</f>
        <v>40793.165999999997</v>
      </c>
      <c r="F64" s="236">
        <f>E64</f>
        <v>40793.165999999997</v>
      </c>
      <c r="G64" s="235"/>
      <c r="H64" s="237"/>
    </row>
    <row r="65" spans="2:14" ht="17.399999999999999" thickTop="1" thickBot="1" x14ac:dyDescent="0.45">
      <c r="B65" s="213">
        <v>44105</v>
      </c>
      <c r="C65" s="215">
        <f>D27</f>
        <v>5975160</v>
      </c>
      <c r="D65" s="215">
        <f>C65*$D$55</f>
        <v>717019.2</v>
      </c>
      <c r="E65" s="215">
        <f>D65*$E$55</f>
        <v>64531.727999999996</v>
      </c>
      <c r="F65" s="236">
        <f>E65</f>
        <v>64531.727999999996</v>
      </c>
      <c r="G65" s="235"/>
      <c r="H65" s="237"/>
    </row>
    <row r="66" spans="2:14" ht="17.399999999999999" thickTop="1" thickBot="1" x14ac:dyDescent="0.45">
      <c r="B66" s="213">
        <v>44136</v>
      </c>
      <c r="C66" s="215">
        <f>D28</f>
        <v>2855985</v>
      </c>
      <c r="D66" s="215">
        <f>C66*$D$55</f>
        <v>342718.2</v>
      </c>
      <c r="E66" s="215">
        <f>D66*$E$55</f>
        <v>30844.637999999999</v>
      </c>
      <c r="F66" s="236">
        <f>E66</f>
        <v>30844.637999999999</v>
      </c>
      <c r="G66" s="235"/>
      <c r="H66" s="237"/>
    </row>
    <row r="67" spans="2:14" ht="17.399999999999999" thickTop="1" thickBot="1" x14ac:dyDescent="0.45">
      <c r="B67" s="213">
        <v>44166</v>
      </c>
      <c r="C67" s="215">
        <f>D29</f>
        <v>2458000</v>
      </c>
      <c r="D67" s="215">
        <f>C67*$D$55</f>
        <v>294960</v>
      </c>
      <c r="E67" s="215">
        <f>D67*$E$55</f>
        <v>26546.399999999998</v>
      </c>
      <c r="F67" s="236">
        <f>E67</f>
        <v>26546.399999999998</v>
      </c>
      <c r="G67" s="235"/>
    </row>
    <row r="68" spans="2:14" ht="15" thickTop="1" x14ac:dyDescent="0.3"/>
    <row r="74" spans="2:14" ht="18.600000000000001" thickBot="1" x14ac:dyDescent="0.35">
      <c r="B74" s="229" t="s">
        <v>149</v>
      </c>
      <c r="C74" s="229"/>
      <c r="D74" s="229"/>
      <c r="E74" s="229"/>
      <c r="F74" s="229"/>
      <c r="G74" s="229"/>
      <c r="H74" s="229"/>
      <c r="I74" s="234"/>
      <c r="J74" s="234"/>
      <c r="K74" s="234"/>
      <c r="L74" s="234"/>
      <c r="M74" s="234"/>
      <c r="N74" s="234"/>
    </row>
    <row r="75" spans="2:14" ht="15.6" thickTop="1" thickBot="1" x14ac:dyDescent="0.35">
      <c r="B75" s="227" t="s">
        <v>57</v>
      </c>
      <c r="C75" s="227" t="s">
        <v>145</v>
      </c>
      <c r="D75" s="228" t="s">
        <v>144</v>
      </c>
      <c r="E75" s="227" t="s">
        <v>143</v>
      </c>
      <c r="F75" s="227" t="s">
        <v>142</v>
      </c>
      <c r="G75" s="227" t="s">
        <v>141</v>
      </c>
      <c r="H75" s="227" t="s">
        <v>140</v>
      </c>
    </row>
    <row r="76" spans="2:14" ht="17.399999999999999" thickTop="1" thickBot="1" x14ac:dyDescent="0.35">
      <c r="B76" s="222" t="s">
        <v>132</v>
      </c>
      <c r="C76" s="211">
        <f>$E$18</f>
        <v>-143185</v>
      </c>
      <c r="D76" s="211">
        <f>SUM($E$18:$E$19)</f>
        <v>166965</v>
      </c>
      <c r="E76" s="211">
        <f>SUM($E$18:$E$20)</f>
        <v>311965</v>
      </c>
      <c r="F76" s="211">
        <f>SUM($E$18:$E$21)</f>
        <v>-13035</v>
      </c>
      <c r="G76" s="211">
        <f>SUM($E$18:$E$22)</f>
        <v>364965</v>
      </c>
      <c r="H76" s="211">
        <f>SUM($E$18:$E$23)</f>
        <v>-95035</v>
      </c>
    </row>
    <row r="77" spans="2:14" ht="17.399999999999999" thickTop="1" thickBot="1" x14ac:dyDescent="0.35">
      <c r="B77" s="222" t="s">
        <v>59</v>
      </c>
      <c r="C77" s="230">
        <v>0</v>
      </c>
      <c r="D77" s="230">
        <v>0</v>
      </c>
      <c r="E77" s="230">
        <v>0</v>
      </c>
      <c r="F77" s="230">
        <v>0</v>
      </c>
      <c r="G77" s="230">
        <v>0</v>
      </c>
      <c r="H77" s="230">
        <v>0</v>
      </c>
    </row>
    <row r="78" spans="2:14" ht="17.399999999999999" thickTop="1" thickBot="1" x14ac:dyDescent="0.35">
      <c r="B78" s="222" t="s">
        <v>60</v>
      </c>
      <c r="C78" s="211">
        <v>0</v>
      </c>
      <c r="D78" s="211">
        <v>0</v>
      </c>
      <c r="E78" s="211">
        <v>0</v>
      </c>
      <c r="F78" s="211">
        <v>0</v>
      </c>
      <c r="G78" s="211">
        <v>0</v>
      </c>
      <c r="H78" s="211">
        <v>0</v>
      </c>
    </row>
    <row r="79" spans="2:14" ht="17.399999999999999" thickTop="1" thickBot="1" x14ac:dyDescent="0.35">
      <c r="B79" s="222" t="s">
        <v>61</v>
      </c>
      <c r="C79" s="230">
        <v>0</v>
      </c>
      <c r="D79" s="230">
        <v>0</v>
      </c>
      <c r="E79" s="230"/>
      <c r="F79" s="230">
        <v>0</v>
      </c>
      <c r="G79" s="230">
        <v>0</v>
      </c>
      <c r="H79" s="230">
        <v>0</v>
      </c>
    </row>
    <row r="80" spans="2:14" ht="17.399999999999999" thickTop="1" thickBot="1" x14ac:dyDescent="0.35">
      <c r="B80" s="225" t="s">
        <v>62</v>
      </c>
      <c r="C80" s="231">
        <f>C76+C77-C78-C79</f>
        <v>-143185</v>
      </c>
      <c r="D80" s="231">
        <f>D76+D77-D78-D79</f>
        <v>166965</v>
      </c>
      <c r="E80" s="231">
        <f>E76+E77-E78-E79</f>
        <v>311965</v>
      </c>
      <c r="F80" s="231">
        <f>F76+F77-F78-F79</f>
        <v>-13035</v>
      </c>
      <c r="G80" s="231">
        <f>G76+G77-G78-G79</f>
        <v>364965</v>
      </c>
      <c r="H80" s="231">
        <f>H76+H77-H78-H79</f>
        <v>-95035</v>
      </c>
    </row>
    <row r="81" spans="2:8" ht="17.399999999999999" thickTop="1" thickBot="1" x14ac:dyDescent="0.35">
      <c r="B81" s="222" t="s">
        <v>63</v>
      </c>
      <c r="C81" s="211">
        <f>C80*15%</f>
        <v>-21477.75</v>
      </c>
      <c r="D81" s="211">
        <f>D80*15%</f>
        <v>25044.75</v>
      </c>
      <c r="E81" s="211">
        <f>E80*15%</f>
        <v>46794.75</v>
      </c>
      <c r="F81" s="211">
        <f>F80*15%</f>
        <v>-1955.25</v>
      </c>
      <c r="G81" s="211">
        <f>G80*15%</f>
        <v>54744.75</v>
      </c>
      <c r="H81" s="211">
        <f>H80*15%</f>
        <v>-14255.25</v>
      </c>
    </row>
    <row r="82" spans="2:8" ht="17.399999999999999" thickTop="1" thickBot="1" x14ac:dyDescent="0.35">
      <c r="B82" s="222" t="s">
        <v>64</v>
      </c>
      <c r="C82" s="211" t="str">
        <f>IF(C80&gt;20000,((C80-20000)*10%),"0,00")</f>
        <v>0,00</v>
      </c>
      <c r="D82" s="211">
        <f>IF(D80&gt;40000,((D80-40000)*10%),"0,00")</f>
        <v>12696.5</v>
      </c>
      <c r="E82" s="211">
        <f>IF(E80&gt;60000,((E80-60000)*10%),"0,00")</f>
        <v>25196.5</v>
      </c>
      <c r="F82" s="211" t="str">
        <f>IF(F80&gt;80000,((F80-80000)*10%),"0,00")</f>
        <v>0,00</v>
      </c>
      <c r="G82" s="211">
        <f>IF(G80&gt;100000,((G80-100000)*10%),"0,00")</f>
        <v>26496.5</v>
      </c>
      <c r="H82" s="211" t="str">
        <f>IF(H80&gt;120000,((H80-120000)*10%),"0,00")</f>
        <v>0,00</v>
      </c>
    </row>
    <row r="83" spans="2:8" ht="18" thickTop="1" thickBot="1" x14ac:dyDescent="0.35">
      <c r="B83" s="222" t="s">
        <v>65</v>
      </c>
      <c r="C83" s="232">
        <f>C81+C82</f>
        <v>-21477.75</v>
      </c>
      <c r="D83" s="232">
        <f>D81+D82</f>
        <v>37741.25</v>
      </c>
      <c r="E83" s="232">
        <f>E81+E82</f>
        <v>71991.25</v>
      </c>
      <c r="F83" s="232">
        <f>F81+F82</f>
        <v>-1955.25</v>
      </c>
      <c r="G83" s="232">
        <f>G81+G82</f>
        <v>81241.25</v>
      </c>
      <c r="H83" s="232">
        <f>H81+H82</f>
        <v>-14255.25</v>
      </c>
    </row>
    <row r="84" spans="2:8" ht="30" thickTop="1" thickBot="1" x14ac:dyDescent="0.35">
      <c r="B84" s="225" t="s">
        <v>147</v>
      </c>
      <c r="C84" s="211"/>
      <c r="D84" s="231">
        <f>D137</f>
        <v>0</v>
      </c>
      <c r="E84" s="231">
        <f>SUM($D$137:$D$138)</f>
        <v>37741.25</v>
      </c>
      <c r="F84" s="231">
        <f>SUM($D$137:$D$139)</f>
        <v>71991.25</v>
      </c>
      <c r="G84" s="231">
        <f>SUM($D$137:$D$140)</f>
        <v>71991.25</v>
      </c>
      <c r="H84" s="231">
        <f>SUM($D$137:$D$141)</f>
        <v>81241.25</v>
      </c>
    </row>
    <row r="85" spans="2:8" ht="17.399999999999999" thickTop="1" thickBot="1" x14ac:dyDescent="0.35">
      <c r="B85" s="222" t="s">
        <v>66</v>
      </c>
      <c r="C85" s="230"/>
      <c r="D85" s="230"/>
      <c r="E85" s="230"/>
      <c r="F85" s="230"/>
      <c r="G85" s="230"/>
      <c r="H85" s="230"/>
    </row>
    <row r="86" spans="2:8" ht="17.399999999999999" thickTop="1" thickBot="1" x14ac:dyDescent="0.35">
      <c r="B86" s="222" t="s">
        <v>67</v>
      </c>
      <c r="C86" s="211">
        <f>C83-C84-C85</f>
        <v>-21477.75</v>
      </c>
      <c r="D86" s="211">
        <f>D83-D84-D85</f>
        <v>37741.25</v>
      </c>
      <c r="E86" s="211">
        <f>E83-E84-E85</f>
        <v>34250</v>
      </c>
      <c r="F86" s="211">
        <f>F83-F84-F85</f>
        <v>-73946.5</v>
      </c>
      <c r="G86" s="211">
        <f>G83-G84-G85</f>
        <v>9250</v>
      </c>
      <c r="H86" s="211">
        <f>H83-H84-H85</f>
        <v>-95496.5</v>
      </c>
    </row>
    <row r="87" spans="2:8" ht="15" thickTop="1" x14ac:dyDescent="0.3"/>
    <row r="89" spans="2:8" ht="15" thickBot="1" x14ac:dyDescent="0.35">
      <c r="B89" s="229" t="s">
        <v>148</v>
      </c>
      <c r="C89" s="229"/>
      <c r="D89" s="229"/>
      <c r="E89" s="229"/>
      <c r="F89" s="229"/>
      <c r="G89" s="229"/>
      <c r="H89" s="229"/>
    </row>
    <row r="90" spans="2:8" ht="15.6" thickTop="1" thickBot="1" x14ac:dyDescent="0.35">
      <c r="B90" s="227" t="s">
        <v>57</v>
      </c>
      <c r="C90" s="227" t="s">
        <v>138</v>
      </c>
      <c r="D90" s="228" t="s">
        <v>137</v>
      </c>
      <c r="E90" s="227" t="s">
        <v>136</v>
      </c>
      <c r="F90" s="227" t="s">
        <v>135</v>
      </c>
      <c r="G90" s="227" t="s">
        <v>134</v>
      </c>
      <c r="H90" s="227" t="s">
        <v>133</v>
      </c>
    </row>
    <row r="91" spans="2:8" ht="17.399999999999999" thickTop="1" thickBot="1" x14ac:dyDescent="0.35">
      <c r="B91" s="222" t="s">
        <v>132</v>
      </c>
      <c r="C91" s="233">
        <f>SUM($E$18:$E$24)</f>
        <v>554965</v>
      </c>
      <c r="D91" s="233">
        <f>SUM($E$18:$E$25)</f>
        <v>949965</v>
      </c>
      <c r="E91" s="233">
        <f>SUM($E$18:$E$26)</f>
        <v>224965</v>
      </c>
      <c r="F91" s="233">
        <f>SUM($E$18:$E$27)</f>
        <v>1149965</v>
      </c>
      <c r="G91" s="233">
        <f>SUM($E$18:$E$28)</f>
        <v>304965</v>
      </c>
      <c r="H91" s="233">
        <f>SUM($E$18:$E$29)</f>
        <v>1284965</v>
      </c>
    </row>
    <row r="92" spans="2:8" ht="17.399999999999999" thickTop="1" thickBot="1" x14ac:dyDescent="0.35">
      <c r="B92" s="222" t="s">
        <v>59</v>
      </c>
      <c r="C92" s="230">
        <v>0</v>
      </c>
      <c r="D92" s="230"/>
      <c r="E92" s="230"/>
      <c r="F92" s="230"/>
      <c r="G92" s="230"/>
      <c r="H92" s="230"/>
    </row>
    <row r="93" spans="2:8" ht="17.399999999999999" thickTop="1" thickBot="1" x14ac:dyDescent="0.35">
      <c r="B93" s="222" t="s">
        <v>60</v>
      </c>
      <c r="C93" s="211">
        <v>0</v>
      </c>
      <c r="D93" s="211">
        <v>0</v>
      </c>
      <c r="E93" s="211">
        <v>0</v>
      </c>
      <c r="F93" s="211">
        <v>0</v>
      </c>
      <c r="G93" s="211">
        <v>0</v>
      </c>
      <c r="H93" s="211">
        <v>0</v>
      </c>
    </row>
    <row r="94" spans="2:8" ht="17.399999999999999" thickTop="1" thickBot="1" x14ac:dyDescent="0.35">
      <c r="B94" s="222" t="s">
        <v>61</v>
      </c>
      <c r="C94" s="230">
        <v>0</v>
      </c>
      <c r="D94" s="230"/>
      <c r="E94" s="230"/>
      <c r="F94" s="230"/>
      <c r="G94" s="230"/>
      <c r="H94" s="230"/>
    </row>
    <row r="95" spans="2:8" ht="17.399999999999999" thickTop="1" thickBot="1" x14ac:dyDescent="0.35">
      <c r="B95" s="225" t="s">
        <v>62</v>
      </c>
      <c r="C95" s="231">
        <f>C91+C92-C93-C94</f>
        <v>554965</v>
      </c>
      <c r="D95" s="231">
        <f>D91+D92-D93-D94</f>
        <v>949965</v>
      </c>
      <c r="E95" s="231">
        <f>E91+E92-E93-E94</f>
        <v>224965</v>
      </c>
      <c r="F95" s="231">
        <f>F91+F92-F93-F94</f>
        <v>1149965</v>
      </c>
      <c r="G95" s="231">
        <f>G91+G92-G93-G94</f>
        <v>304965</v>
      </c>
      <c r="H95" s="231">
        <f>H91+H92-H93-H94</f>
        <v>1284965</v>
      </c>
    </row>
    <row r="96" spans="2:8" ht="17.399999999999999" thickTop="1" thickBot="1" x14ac:dyDescent="0.35">
      <c r="B96" s="222" t="s">
        <v>63</v>
      </c>
      <c r="C96" s="211">
        <f>C95*15%</f>
        <v>83244.75</v>
      </c>
      <c r="D96" s="211">
        <f>D95*15%</f>
        <v>142494.75</v>
      </c>
      <c r="E96" s="211">
        <f>E95*15%</f>
        <v>33744.75</v>
      </c>
      <c r="F96" s="211">
        <f>F95*15%</f>
        <v>172494.75</v>
      </c>
      <c r="G96" s="211">
        <f>G95*15%</f>
        <v>45744.75</v>
      </c>
      <c r="H96" s="211">
        <f>H95*15%</f>
        <v>192744.75</v>
      </c>
    </row>
    <row r="97" spans="2:8" ht="17.399999999999999" thickTop="1" thickBot="1" x14ac:dyDescent="0.35">
      <c r="B97" s="222" t="s">
        <v>64</v>
      </c>
      <c r="C97" s="211">
        <f>IF(C95&gt;140000,((C95-140000)*10%),"0,00")</f>
        <v>41496.5</v>
      </c>
      <c r="D97" s="211">
        <f>IF(D95&gt;160000,((D95-160000)*10%),"0,00")</f>
        <v>78996.5</v>
      </c>
      <c r="E97" s="211">
        <f>IF(E95&gt;180000,((E95-180000)*10%),"0,00")</f>
        <v>4496.5</v>
      </c>
      <c r="F97" s="211">
        <f>IF(F95&gt;200000,((F95-200000)*10%),"0,00")</f>
        <v>94996.5</v>
      </c>
      <c r="G97" s="211">
        <f>IF(G95&gt;220000,((G95-220000)*10%),"0,00")</f>
        <v>8496.5</v>
      </c>
      <c r="H97" s="211">
        <f>IF(H95&gt;240000,((H95-240000)*10%),"0,00")</f>
        <v>104496.5</v>
      </c>
    </row>
    <row r="98" spans="2:8" ht="18" thickTop="1" thickBot="1" x14ac:dyDescent="0.35">
      <c r="B98" s="222" t="s">
        <v>65</v>
      </c>
      <c r="C98" s="232">
        <f>C96+C97</f>
        <v>124741.25</v>
      </c>
      <c r="D98" s="232">
        <f>D96+D97</f>
        <v>221491.25</v>
      </c>
      <c r="E98" s="232">
        <f>E96+E97</f>
        <v>38241.25</v>
      </c>
      <c r="F98" s="232">
        <f>F96+F97</f>
        <v>267491.25</v>
      </c>
      <c r="G98" s="232">
        <f>G96+G97</f>
        <v>54241.25</v>
      </c>
      <c r="H98" s="232">
        <f>H96+H97</f>
        <v>297241.25</v>
      </c>
    </row>
    <row r="99" spans="2:8" ht="30" thickTop="1" thickBot="1" x14ac:dyDescent="0.35">
      <c r="B99" s="225" t="s">
        <v>147</v>
      </c>
      <c r="C99" s="231">
        <f>SUM($D$137:$D$142)</f>
        <v>81241.25</v>
      </c>
      <c r="D99" s="231">
        <f>SUM($D$137:$D$143)</f>
        <v>124741.25</v>
      </c>
      <c r="E99" s="231">
        <f>SUM($D$137:$D$144)</f>
        <v>180644.25</v>
      </c>
      <c r="F99" s="231">
        <f>SUM($D$137:$D$145)</f>
        <v>180644.25</v>
      </c>
      <c r="G99" s="231">
        <f>SUM($D$137:$D$146)</f>
        <v>267491.25</v>
      </c>
      <c r="H99" s="231">
        <f>SUM($D$137:$D$147)</f>
        <v>267491.25</v>
      </c>
    </row>
    <row r="100" spans="2:8" ht="17.399999999999999" thickTop="1" thickBot="1" x14ac:dyDescent="0.35">
      <c r="B100" s="222" t="s">
        <v>66</v>
      </c>
      <c r="C100" s="230"/>
      <c r="D100" s="230"/>
      <c r="E100" s="230"/>
      <c r="F100" s="230"/>
      <c r="G100" s="230"/>
      <c r="H100" s="230"/>
    </row>
    <row r="101" spans="2:8" ht="17.399999999999999" thickTop="1" thickBot="1" x14ac:dyDescent="0.35">
      <c r="B101" s="222" t="s">
        <v>67</v>
      </c>
      <c r="C101" s="211">
        <f>C98-C99-C100</f>
        <v>43500</v>
      </c>
      <c r="D101" s="211">
        <f>D98-D99-D100</f>
        <v>96750</v>
      </c>
      <c r="E101" s="211">
        <f>E98-E99-E100</f>
        <v>-142403</v>
      </c>
      <c r="F101" s="211">
        <f>F98-F99-F100</f>
        <v>86847</v>
      </c>
      <c r="G101" s="211">
        <f>G98-G99-G100</f>
        <v>-213250</v>
      </c>
      <c r="H101" s="211">
        <f>H98-H99-H100</f>
        <v>29750</v>
      </c>
    </row>
    <row r="102" spans="2:8" ht="15" thickTop="1" x14ac:dyDescent="0.3"/>
    <row r="108" spans="2:8" ht="15" thickBot="1" x14ac:dyDescent="0.35">
      <c r="B108" s="229" t="s">
        <v>146</v>
      </c>
      <c r="C108" s="229"/>
      <c r="D108" s="229"/>
      <c r="E108" s="229"/>
      <c r="F108" s="229"/>
      <c r="G108" s="229"/>
      <c r="H108" s="229"/>
    </row>
    <row r="109" spans="2:8" ht="15.6" thickTop="1" thickBot="1" x14ac:dyDescent="0.35">
      <c r="B109" s="227" t="s">
        <v>57</v>
      </c>
      <c r="C109" s="227" t="s">
        <v>145</v>
      </c>
      <c r="D109" s="228" t="s">
        <v>144</v>
      </c>
      <c r="E109" s="227" t="s">
        <v>143</v>
      </c>
      <c r="F109" s="227" t="s">
        <v>142</v>
      </c>
      <c r="G109" s="227" t="s">
        <v>141</v>
      </c>
      <c r="H109" s="227" t="s">
        <v>140</v>
      </c>
    </row>
    <row r="110" spans="2:8" ht="17.399999999999999" thickTop="1" thickBot="1" x14ac:dyDescent="0.35">
      <c r="B110" s="222" t="s">
        <v>132</v>
      </c>
      <c r="C110" s="211">
        <f>$E$18</f>
        <v>-143185</v>
      </c>
      <c r="D110" s="211">
        <f>SUM($E$18:$E$19)</f>
        <v>166965</v>
      </c>
      <c r="E110" s="211">
        <f>SUM($E$18:$E$20)</f>
        <v>311965</v>
      </c>
      <c r="F110" s="211">
        <f>SUM($E$18:$E$21)</f>
        <v>-13035</v>
      </c>
      <c r="G110" s="211">
        <f>SUM($E$18:$E$22)</f>
        <v>364965</v>
      </c>
      <c r="H110" s="211">
        <f>SUM($E$18:$E$23)</f>
        <v>-95035</v>
      </c>
    </row>
    <row r="111" spans="2:8" ht="17.399999999999999" thickTop="1" thickBot="1" x14ac:dyDescent="0.35">
      <c r="B111" s="222" t="s">
        <v>59</v>
      </c>
      <c r="C111" s="223">
        <v>0</v>
      </c>
      <c r="D111" s="223"/>
      <c r="E111" s="223"/>
      <c r="F111" s="223"/>
      <c r="G111" s="223"/>
      <c r="H111" s="223"/>
    </row>
    <row r="112" spans="2:8" ht="17.399999999999999" thickTop="1" thickBot="1" x14ac:dyDescent="0.35">
      <c r="B112" s="222" t="s">
        <v>60</v>
      </c>
      <c r="C112" s="224">
        <v>0</v>
      </c>
      <c r="D112" s="224">
        <v>0</v>
      </c>
      <c r="E112" s="224">
        <v>0</v>
      </c>
      <c r="F112" s="224">
        <v>0</v>
      </c>
      <c r="G112" s="224">
        <v>0</v>
      </c>
      <c r="H112" s="224">
        <v>0</v>
      </c>
    </row>
    <row r="113" spans="2:8" ht="17.399999999999999" thickTop="1" thickBot="1" x14ac:dyDescent="0.35">
      <c r="B113" s="222" t="s">
        <v>61</v>
      </c>
      <c r="C113" s="223">
        <v>0</v>
      </c>
      <c r="D113" s="223">
        <v>0</v>
      </c>
      <c r="E113" s="223">
        <v>0</v>
      </c>
      <c r="F113" s="223">
        <v>0</v>
      </c>
      <c r="G113" s="223">
        <v>0</v>
      </c>
      <c r="H113" s="223">
        <v>0</v>
      </c>
    </row>
    <row r="114" spans="2:8" ht="17.399999999999999" thickTop="1" thickBot="1" x14ac:dyDescent="0.35">
      <c r="B114" s="225" t="s">
        <v>62</v>
      </c>
      <c r="C114" s="224">
        <f>C110+C111-C112-C113</f>
        <v>-143185</v>
      </c>
      <c r="D114" s="224">
        <f>D110+D111-D112-D113</f>
        <v>166965</v>
      </c>
      <c r="E114" s="224">
        <f>E110+E111-E112-E113</f>
        <v>311965</v>
      </c>
      <c r="F114" s="224">
        <f>F110+F111-F112-F113</f>
        <v>-13035</v>
      </c>
      <c r="G114" s="224">
        <f>G110+G111-G112-G113</f>
        <v>364965</v>
      </c>
      <c r="H114" s="224">
        <f>H110+H111-H112-H113</f>
        <v>-95035</v>
      </c>
    </row>
    <row r="115" spans="2:8" ht="18" thickTop="1" thickBot="1" x14ac:dyDescent="0.35">
      <c r="B115" s="222" t="s">
        <v>69</v>
      </c>
      <c r="C115" s="226">
        <f>C114*9%</f>
        <v>-12886.65</v>
      </c>
      <c r="D115" s="226">
        <f>D114*9%</f>
        <v>15026.849999999999</v>
      </c>
      <c r="E115" s="226">
        <f>E114*9%</f>
        <v>28076.85</v>
      </c>
      <c r="F115" s="226">
        <f>F114*9%</f>
        <v>-1173.1499999999999</v>
      </c>
      <c r="G115" s="226">
        <f>G114*9%</f>
        <v>32846.85</v>
      </c>
      <c r="H115" s="226">
        <f>H114*9%</f>
        <v>-8553.15</v>
      </c>
    </row>
    <row r="116" spans="2:8" ht="30" thickTop="1" thickBot="1" x14ac:dyDescent="0.35">
      <c r="B116" s="225" t="s">
        <v>131</v>
      </c>
      <c r="C116" s="224"/>
      <c r="D116" s="224">
        <f>F137</f>
        <v>0</v>
      </c>
      <c r="E116" s="224">
        <f>SUM($F$137:$F$138)</f>
        <v>15026.849999999999</v>
      </c>
      <c r="F116" s="224">
        <f>SUM($F$137:$F$139)</f>
        <v>28076.85</v>
      </c>
      <c r="G116" s="224">
        <f>SUM($F$137:$F$140)</f>
        <v>28076.85</v>
      </c>
      <c r="H116" s="224">
        <f>SUM($F$137:$F$141)</f>
        <v>32846.85</v>
      </c>
    </row>
    <row r="117" spans="2:8" ht="17.399999999999999" thickTop="1" thickBot="1" x14ac:dyDescent="0.35">
      <c r="B117" s="222" t="s">
        <v>70</v>
      </c>
      <c r="C117" s="223"/>
      <c r="D117" s="223"/>
      <c r="E117" s="223"/>
      <c r="F117" s="223"/>
      <c r="G117" s="223"/>
      <c r="H117" s="223"/>
    </row>
    <row r="118" spans="2:8" ht="17.399999999999999" thickTop="1" thickBot="1" x14ac:dyDescent="0.35">
      <c r="B118" s="222" t="s">
        <v>108</v>
      </c>
      <c r="C118" s="211">
        <f>C115-C116-C117</f>
        <v>-12886.65</v>
      </c>
      <c r="D118" s="211">
        <f>D115-D116-D117</f>
        <v>15026.849999999999</v>
      </c>
      <c r="E118" s="211">
        <f>E115-E116-E117</f>
        <v>13050</v>
      </c>
      <c r="F118" s="211">
        <f>F115-F116-F117</f>
        <v>-29250</v>
      </c>
      <c r="G118" s="211">
        <f>G115-G116-G117</f>
        <v>4770</v>
      </c>
      <c r="H118" s="211">
        <f>H115-H116-H117</f>
        <v>-41400</v>
      </c>
    </row>
    <row r="119" spans="2:8" ht="15" thickTop="1" x14ac:dyDescent="0.3"/>
    <row r="121" spans="2:8" ht="15" thickBot="1" x14ac:dyDescent="0.35">
      <c r="B121" s="229" t="s">
        <v>139</v>
      </c>
      <c r="C121" s="229"/>
      <c r="D121" s="229"/>
      <c r="E121" s="229"/>
      <c r="F121" s="229"/>
      <c r="G121" s="229"/>
      <c r="H121" s="229"/>
    </row>
    <row r="122" spans="2:8" ht="15.6" thickTop="1" thickBot="1" x14ac:dyDescent="0.35">
      <c r="B122" s="227" t="s">
        <v>57</v>
      </c>
      <c r="C122" s="227" t="s">
        <v>138</v>
      </c>
      <c r="D122" s="228" t="s">
        <v>137</v>
      </c>
      <c r="E122" s="227" t="s">
        <v>136</v>
      </c>
      <c r="F122" s="227" t="s">
        <v>135</v>
      </c>
      <c r="G122" s="227" t="s">
        <v>134</v>
      </c>
      <c r="H122" s="227" t="s">
        <v>133</v>
      </c>
    </row>
    <row r="123" spans="2:8" ht="17.399999999999999" thickTop="1" thickBot="1" x14ac:dyDescent="0.35">
      <c r="B123" s="222" t="s">
        <v>132</v>
      </c>
      <c r="C123" s="211">
        <f>SUM($E$18:$E$24)</f>
        <v>554965</v>
      </c>
      <c r="D123" s="211">
        <f>SUM($E$18:$E$25)</f>
        <v>949965</v>
      </c>
      <c r="E123" s="211">
        <f>SUM($E$18:$E$26)</f>
        <v>224965</v>
      </c>
      <c r="F123" s="211">
        <f>SUM($E$18:$E$27)</f>
        <v>1149965</v>
      </c>
      <c r="G123" s="211">
        <f>SUM($E$18:$E$28)</f>
        <v>304965</v>
      </c>
      <c r="H123" s="211">
        <f>SUM($E$18:$E$29)</f>
        <v>1284965</v>
      </c>
    </row>
    <row r="124" spans="2:8" ht="17.399999999999999" thickTop="1" thickBot="1" x14ac:dyDescent="0.35">
      <c r="B124" s="222" t="s">
        <v>59</v>
      </c>
      <c r="C124" s="223">
        <v>0</v>
      </c>
      <c r="D124" s="223">
        <v>0</v>
      </c>
      <c r="E124" s="223">
        <v>0</v>
      </c>
      <c r="F124" s="223">
        <v>0</v>
      </c>
      <c r="G124" s="223">
        <v>0</v>
      </c>
      <c r="H124" s="223">
        <v>0</v>
      </c>
    </row>
    <row r="125" spans="2:8" ht="17.399999999999999" thickTop="1" thickBot="1" x14ac:dyDescent="0.35">
      <c r="B125" s="222" t="s">
        <v>60</v>
      </c>
      <c r="C125" s="224">
        <v>0</v>
      </c>
      <c r="D125" s="224">
        <v>0</v>
      </c>
      <c r="E125" s="224">
        <v>0</v>
      </c>
      <c r="F125" s="224">
        <v>0</v>
      </c>
      <c r="G125" s="224">
        <v>0</v>
      </c>
      <c r="H125" s="224">
        <v>0</v>
      </c>
    </row>
    <row r="126" spans="2:8" ht="17.399999999999999" thickTop="1" thickBot="1" x14ac:dyDescent="0.35">
      <c r="B126" s="222" t="s">
        <v>61</v>
      </c>
      <c r="C126" s="223">
        <v>0</v>
      </c>
      <c r="D126" s="223">
        <v>0</v>
      </c>
      <c r="E126" s="223">
        <v>0</v>
      </c>
      <c r="F126" s="223">
        <v>0</v>
      </c>
      <c r="G126" s="223">
        <v>0</v>
      </c>
      <c r="H126" s="223">
        <v>0</v>
      </c>
    </row>
    <row r="127" spans="2:8" ht="17.399999999999999" thickTop="1" thickBot="1" x14ac:dyDescent="0.35">
      <c r="B127" s="225" t="s">
        <v>62</v>
      </c>
      <c r="C127" s="224">
        <f>C123+C124-C125-C126</f>
        <v>554965</v>
      </c>
      <c r="D127" s="224">
        <f>D123+D124-D125-D126</f>
        <v>949965</v>
      </c>
      <c r="E127" s="224">
        <f>E123+E124-E125-E126</f>
        <v>224965</v>
      </c>
      <c r="F127" s="224">
        <f>F123+F124-F125-F126</f>
        <v>1149965</v>
      </c>
      <c r="G127" s="224">
        <f>G123+G124-G125-G126</f>
        <v>304965</v>
      </c>
      <c r="H127" s="224">
        <f>H123+H124-H125-H126</f>
        <v>1284965</v>
      </c>
    </row>
    <row r="128" spans="2:8" ht="18" thickTop="1" thickBot="1" x14ac:dyDescent="0.35">
      <c r="B128" s="222" t="s">
        <v>69</v>
      </c>
      <c r="C128" s="226">
        <f>C127*9%</f>
        <v>49946.85</v>
      </c>
      <c r="D128" s="226">
        <f>D127*9%</f>
        <v>85496.849999999991</v>
      </c>
      <c r="E128" s="226">
        <f>E127*9%</f>
        <v>20246.849999999999</v>
      </c>
      <c r="F128" s="226">
        <f>F127*9%</f>
        <v>103496.84999999999</v>
      </c>
      <c r="G128" s="226">
        <f>G127*9%</f>
        <v>27446.85</v>
      </c>
      <c r="H128" s="226">
        <f>H127*9%</f>
        <v>115646.84999999999</v>
      </c>
    </row>
    <row r="129" spans="2:8" ht="30" thickTop="1" thickBot="1" x14ac:dyDescent="0.35">
      <c r="B129" s="225" t="s">
        <v>131</v>
      </c>
      <c r="C129" s="224">
        <f>SUM($F$137:$F$142)</f>
        <v>32846.85</v>
      </c>
      <c r="D129" s="224">
        <f>SUM($F$137:$F$143)</f>
        <v>49946.85</v>
      </c>
      <c r="E129" s="224">
        <f>SUM($F$137:$F$144)</f>
        <v>81214.47</v>
      </c>
      <c r="F129" s="224">
        <f>SUM($F$137:$F$145)</f>
        <v>81214.47</v>
      </c>
      <c r="G129" s="224">
        <f>SUM($F$137:$F$146)</f>
        <v>103496.84999999999</v>
      </c>
      <c r="H129" s="224">
        <f>SUM($F$137:$F$147)</f>
        <v>103496.84999999999</v>
      </c>
    </row>
    <row r="130" spans="2:8" ht="17.399999999999999" thickTop="1" thickBot="1" x14ac:dyDescent="0.35">
      <c r="B130" s="222" t="s">
        <v>70</v>
      </c>
      <c r="C130" s="223"/>
      <c r="D130" s="223"/>
      <c r="E130" s="223"/>
      <c r="F130" s="223"/>
      <c r="G130" s="223"/>
      <c r="H130" s="223"/>
    </row>
    <row r="131" spans="2:8" ht="17.399999999999999" thickTop="1" thickBot="1" x14ac:dyDescent="0.35">
      <c r="B131" s="222" t="s">
        <v>108</v>
      </c>
      <c r="C131" s="211">
        <f>C128-C129-C130</f>
        <v>17100</v>
      </c>
      <c r="D131" s="211">
        <f>D128-D129-D130</f>
        <v>35549.999999999993</v>
      </c>
      <c r="E131" s="211">
        <f>E128-E129-E130</f>
        <v>-60967.62</v>
      </c>
      <c r="F131" s="211">
        <f>F128-F129-F130</f>
        <v>22282.37999999999</v>
      </c>
      <c r="G131" s="211">
        <f>G128-G129-G130</f>
        <v>-76050</v>
      </c>
      <c r="H131" s="211">
        <f>H128-H129-H130</f>
        <v>12150</v>
      </c>
    </row>
    <row r="132" spans="2:8" ht="15" thickTop="1" x14ac:dyDescent="0.3"/>
    <row r="135" spans="2:8" ht="15" thickBot="1" x14ac:dyDescent="0.35"/>
    <row r="136" spans="2:8" ht="15.6" thickTop="1" thickBot="1" x14ac:dyDescent="0.35">
      <c r="C136" s="221" t="s">
        <v>57</v>
      </c>
      <c r="D136" s="220" t="s">
        <v>63</v>
      </c>
      <c r="E136" s="219" t="s">
        <v>130</v>
      </c>
      <c r="F136" s="218" t="s">
        <v>71</v>
      </c>
      <c r="G136" s="217" t="s">
        <v>130</v>
      </c>
    </row>
    <row r="137" spans="2:8" ht="17.399999999999999" thickTop="1" thickBot="1" x14ac:dyDescent="0.45">
      <c r="C137" s="213">
        <v>43831</v>
      </c>
      <c r="D137" s="215">
        <f>IF(C86&lt;0,0,IF(C86&lt;G38,C86,IF(C86&gt;G38,G38)))</f>
        <v>0</v>
      </c>
      <c r="E137" s="216" t="str">
        <f>IF(D137=G38,"ESTIMATIVA","BALANÇO")</f>
        <v>BALANÇO</v>
      </c>
      <c r="F137" s="215">
        <f>IF(C118&lt;0,0,IF(C118&lt;F56,C118,IF(C118&gt;F56,F56)))</f>
        <v>0</v>
      </c>
      <c r="G137" s="214" t="str">
        <f>E137</f>
        <v>BALANÇO</v>
      </c>
    </row>
    <row r="138" spans="2:8" ht="17.399999999999999" thickTop="1" thickBot="1" x14ac:dyDescent="0.45">
      <c r="C138" s="213">
        <v>43862</v>
      </c>
      <c r="D138" s="215">
        <f>IF(D86&lt;0,0,IF(D86&lt;G39,D86,IF(D86&gt;G39,G39)))</f>
        <v>37741.25</v>
      </c>
      <c r="E138" s="216" t="str">
        <f>IF(D138=G39,"ESTIMATIVA","BALANÇO")</f>
        <v>BALANÇO</v>
      </c>
      <c r="F138" s="215">
        <f>IF(D118&lt;0,0,IF(D118&lt;F57,D118,IF(D118&gt;F57,F57)))</f>
        <v>15026.849999999999</v>
      </c>
      <c r="G138" s="214" t="str">
        <f>E138</f>
        <v>BALANÇO</v>
      </c>
    </row>
    <row r="139" spans="2:8" ht="17.399999999999999" thickTop="1" thickBot="1" x14ac:dyDescent="0.45">
      <c r="C139" s="213">
        <v>43891</v>
      </c>
      <c r="D139" s="215">
        <f>IF(E86&lt;0,0,IF(E86&lt;G40,E86,IF(E86&gt;G40,G40)))</f>
        <v>34250</v>
      </c>
      <c r="E139" s="216" t="str">
        <f>IF(D139=G40,"ESTIMATIVA","BALANÇO")</f>
        <v>BALANÇO</v>
      </c>
      <c r="F139" s="215">
        <f>IF(E118&lt;0,0,IF(E118&lt;F58,E118,IF(E118&gt;F58,F58)))</f>
        <v>13050</v>
      </c>
      <c r="G139" s="214" t="str">
        <f>E139</f>
        <v>BALANÇO</v>
      </c>
    </row>
    <row r="140" spans="2:8" ht="17.399999999999999" thickTop="1" thickBot="1" x14ac:dyDescent="0.45">
      <c r="C140" s="213">
        <v>43922</v>
      </c>
      <c r="D140" s="215">
        <f>IF(F86&lt;0,0,IF(F86&lt;G41,F86,IF(F86&gt;G41,G41)))</f>
        <v>0</v>
      </c>
      <c r="E140" s="216" t="str">
        <f>IF(D140=G41,"ESTIMATIVA","BALANÇO")</f>
        <v>BALANÇO</v>
      </c>
      <c r="F140" s="215">
        <f>IF(F118&lt;0,0,IF(F118&lt;F59,F118,IF(F118&gt;F59,F59)))</f>
        <v>0</v>
      </c>
      <c r="G140" s="214" t="str">
        <f>E140</f>
        <v>BALANÇO</v>
      </c>
    </row>
    <row r="141" spans="2:8" ht="17.399999999999999" thickTop="1" thickBot="1" x14ac:dyDescent="0.45">
      <c r="C141" s="213">
        <v>43952</v>
      </c>
      <c r="D141" s="215">
        <f>IF(G86&lt;0,0,IF(G86&lt;G42,G86,IF(G86&gt;G42,G42)))</f>
        <v>9250</v>
      </c>
      <c r="E141" s="216" t="str">
        <f>IF(D141=G42,"ESTIMATIVA","BALANÇO")</f>
        <v>BALANÇO</v>
      </c>
      <c r="F141" s="215">
        <f>IF(G118&lt;0,0,IF(G118&lt;F60,G118,IF(G118&gt;F60,F60)))</f>
        <v>4770</v>
      </c>
      <c r="G141" s="214" t="str">
        <f>E141</f>
        <v>BALANÇO</v>
      </c>
    </row>
    <row r="142" spans="2:8" ht="17.399999999999999" thickTop="1" thickBot="1" x14ac:dyDescent="0.45">
      <c r="C142" s="213">
        <v>43983</v>
      </c>
      <c r="D142" s="215">
        <f>IF(H86&lt;0,0,IF(H86&lt;G43,H86,IF(H86&gt;G43,G43)))</f>
        <v>0</v>
      </c>
      <c r="E142" s="216" t="str">
        <f>IF(D142=G43,"ESTIMATIVA","BALANÇO")</f>
        <v>BALANÇO</v>
      </c>
      <c r="F142" s="215">
        <f>IF(H118&lt;0,0,IF(H118&lt;F61,H118,IF(H118&gt;F61,F61)))</f>
        <v>0</v>
      </c>
      <c r="G142" s="214" t="str">
        <f>E142</f>
        <v>BALANÇO</v>
      </c>
    </row>
    <row r="143" spans="2:8" ht="17.399999999999999" thickTop="1" thickBot="1" x14ac:dyDescent="0.45">
      <c r="C143" s="213">
        <v>44013</v>
      </c>
      <c r="D143" s="215">
        <f>IF(C101&lt;0,0,IF(C101&lt;G44,C101,IF(C101&gt;G44,G44)))</f>
        <v>43500</v>
      </c>
      <c r="E143" s="216" t="str">
        <f>IF(D143=G44,"ESTIMATIVA","BALANÇO")</f>
        <v>BALANÇO</v>
      </c>
      <c r="F143" s="215">
        <f>IF(C131&lt;0,0,IF(C131&lt;F62,C131,IF(C131&gt;F62,F62)))</f>
        <v>17100</v>
      </c>
      <c r="G143" s="214" t="str">
        <f>E143</f>
        <v>BALANÇO</v>
      </c>
    </row>
    <row r="144" spans="2:8" ht="17.399999999999999" thickTop="1" thickBot="1" x14ac:dyDescent="0.45">
      <c r="C144" s="213">
        <v>44044</v>
      </c>
      <c r="D144" s="215">
        <f>IF(D101&lt;0,0,IF(D101&lt;G45,D101,IF(D101&gt;G45,G45)))</f>
        <v>55903</v>
      </c>
      <c r="E144" s="216" t="str">
        <f>IF(D144=G45,"ESTIMATIVA","BALANÇO")</f>
        <v>ESTIMATIVA</v>
      </c>
      <c r="F144" s="215">
        <f>IF(D131&lt;0,0,IF(D131&lt;F63,D131,IF(D131&gt;F63,F63)))</f>
        <v>31267.62</v>
      </c>
      <c r="G144" s="214" t="str">
        <f>E144</f>
        <v>ESTIMATIVA</v>
      </c>
    </row>
    <row r="145" spans="3:7" ht="17.399999999999999" thickTop="1" thickBot="1" x14ac:dyDescent="0.45">
      <c r="C145" s="213">
        <v>44075</v>
      </c>
      <c r="D145" s="215">
        <f>IF(E101&lt;0,0,IF(E101&lt;G46,E101,IF(E101&gt;G46,G46)))</f>
        <v>0</v>
      </c>
      <c r="E145" s="216" t="str">
        <f>IF(D145=G46,"ESTIMATIVA","BALANÇO")</f>
        <v>BALANÇO</v>
      </c>
      <c r="F145" s="215">
        <f>IF(E131&lt;0,0,IF(E131&lt;F64,E131,IF(E131&gt;F64,F64)))</f>
        <v>0</v>
      </c>
      <c r="G145" s="214" t="str">
        <f>E145</f>
        <v>BALANÇO</v>
      </c>
    </row>
    <row r="146" spans="3:7" ht="17.399999999999999" thickTop="1" thickBot="1" x14ac:dyDescent="0.45">
      <c r="C146" s="213">
        <v>44105</v>
      </c>
      <c r="D146" s="215">
        <f>IF(F101&lt;0,0,IF(F101&lt;G47,F101,IF(F101&gt;G47,G47)))</f>
        <v>86847</v>
      </c>
      <c r="E146" s="216" t="str">
        <f>IF(D146=G47,"ESTIMATIVA","BALANÇO")</f>
        <v>BALANÇO</v>
      </c>
      <c r="F146" s="215">
        <f>IF(F131&lt;0,0,IF(F131&lt;F65,F131,IF(F131&gt;F65,F65)))</f>
        <v>22282.37999999999</v>
      </c>
      <c r="G146" s="214" t="str">
        <f>E146</f>
        <v>BALANÇO</v>
      </c>
    </row>
    <row r="147" spans="3:7" ht="17.399999999999999" thickTop="1" thickBot="1" x14ac:dyDescent="0.45">
      <c r="C147" s="213">
        <v>44136</v>
      </c>
      <c r="D147" s="215">
        <f>IF(G101&lt;0,0,IF(G101&lt;G48,G101,IF(G101&gt;G48,G48)))</f>
        <v>0</v>
      </c>
      <c r="E147" s="216" t="str">
        <f>IF(D147=G48,"ESTIMATIVA","BALANÇO")</f>
        <v>BALANÇO</v>
      </c>
      <c r="F147" s="215">
        <f>IF(G131&lt;0,0,IF(G131&lt;F66,G131,IF(G131&gt;F66,F66)))</f>
        <v>0</v>
      </c>
      <c r="G147" s="214" t="str">
        <f>E147</f>
        <v>BALANÇO</v>
      </c>
    </row>
    <row r="148" spans="3:7" ht="17.399999999999999" thickTop="1" thickBot="1" x14ac:dyDescent="0.45">
      <c r="C148" s="213">
        <v>44166</v>
      </c>
      <c r="D148" s="211">
        <f>H101</f>
        <v>29750</v>
      </c>
      <c r="E148" s="212" t="str">
        <f>IF(D148=G49,"ESTIMATIVA","BALANÇO")</f>
        <v>BALANÇO</v>
      </c>
      <c r="F148" s="211">
        <f>H131</f>
        <v>12150</v>
      </c>
      <c r="G148" s="210" t="str">
        <f>E148</f>
        <v>BALANÇO</v>
      </c>
    </row>
    <row r="149" spans="3:7" ht="15.6" thickTop="1" thickBot="1" x14ac:dyDescent="0.35">
      <c r="C149" s="209"/>
      <c r="D149" s="208"/>
      <c r="E149" s="208"/>
      <c r="F149" s="208"/>
      <c r="G149" s="207"/>
    </row>
    <row r="150" spans="3:7" ht="15.6" thickTop="1" thickBot="1" x14ac:dyDescent="0.35">
      <c r="C150" s="206" t="s">
        <v>48</v>
      </c>
      <c r="D150" s="204">
        <f>SUM(D137:D149)</f>
        <v>297241.25</v>
      </c>
      <c r="E150" s="205"/>
      <c r="F150" s="204">
        <f>SUM(F137:F149)</f>
        <v>115646.84999999999</v>
      </c>
      <c r="G150" s="203"/>
    </row>
    <row r="151" spans="3:7" ht="15" thickTop="1" x14ac:dyDescent="0.3"/>
    <row r="153" spans="3:7" x14ac:dyDescent="0.3">
      <c r="E153" s="202">
        <f>D150</f>
        <v>297241.25</v>
      </c>
    </row>
    <row r="156" spans="3:7" x14ac:dyDescent="0.3">
      <c r="E156" s="201">
        <v>1</v>
      </c>
    </row>
  </sheetData>
  <mergeCells count="34">
    <mergeCell ref="F54:G54"/>
    <mergeCell ref="F55:G55"/>
    <mergeCell ref="D13:E13"/>
    <mergeCell ref="C16:E16"/>
    <mergeCell ref="B33:H34"/>
    <mergeCell ref="B35:G35"/>
    <mergeCell ref="B51:H52"/>
    <mergeCell ref="B53:G53"/>
    <mergeCell ref="F66:G66"/>
    <mergeCell ref="F67:G67"/>
    <mergeCell ref="C6:E6"/>
    <mergeCell ref="D7:E7"/>
    <mergeCell ref="D8:E8"/>
    <mergeCell ref="D9:E9"/>
    <mergeCell ref="F56:G56"/>
    <mergeCell ref="D10:E10"/>
    <mergeCell ref="D11:E11"/>
    <mergeCell ref="D12:E12"/>
    <mergeCell ref="B74:H74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B89:H89"/>
    <mergeCell ref="B108:H108"/>
    <mergeCell ref="B121:H121"/>
    <mergeCell ref="C149:G149"/>
    <mergeCell ref="D150:E150"/>
    <mergeCell ref="F150:G150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DRE TRIMESTRAL</vt:lpstr>
      <vt:lpstr>LALUR PARTE A</vt:lpstr>
      <vt:lpstr>LALUR PARTE B</vt:lpstr>
      <vt:lpstr>APURAÇÃO LUCRO REAL</vt:lpstr>
      <vt:lpstr>Apuração Lucro Real 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Gonçalves</dc:creator>
  <cp:lastModifiedBy>Jhonata</cp:lastModifiedBy>
  <dcterms:created xsi:type="dcterms:W3CDTF">2020-06-24T18:23:52Z</dcterms:created>
  <dcterms:modified xsi:type="dcterms:W3CDTF">2022-01-20T14:42:50Z</dcterms:modified>
</cp:coreProperties>
</file>