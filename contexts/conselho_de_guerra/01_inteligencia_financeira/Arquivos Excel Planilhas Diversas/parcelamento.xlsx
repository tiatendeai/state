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ctor\Desktop\EXCEL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" i="1"/>
  <c r="G6" i="1"/>
  <c r="G7" i="1"/>
  <c r="G8" i="1"/>
  <c r="G9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6" i="1"/>
  <c r="F7" i="1"/>
  <c r="F8" i="1"/>
  <c r="F9" i="1"/>
  <c r="F10" i="1"/>
  <c r="F11" i="1"/>
  <c r="F12" i="1"/>
  <c r="F13" i="1"/>
  <c r="F14" i="1"/>
  <c r="F15" i="1"/>
  <c r="F16" i="1"/>
  <c r="F17" i="1"/>
  <c r="F5" i="1"/>
  <c r="K6" i="1" l="1"/>
  <c r="K8" i="1" s="1"/>
  <c r="K4" i="1"/>
</calcChain>
</file>

<file path=xl/sharedStrings.xml><?xml version="1.0" encoding="utf-8"?>
<sst xmlns="http://schemas.openxmlformats.org/spreadsheetml/2006/main" count="11" uniqueCount="9">
  <si>
    <t>VALOR AVISTA</t>
  </si>
  <si>
    <t>DATA</t>
  </si>
  <si>
    <t>ENTRADA</t>
  </si>
  <si>
    <t>PARCELAS</t>
  </si>
  <si>
    <t>JUROS</t>
  </si>
  <si>
    <t>VENCIMENTO</t>
  </si>
  <si>
    <t>VALOR PRESENTE</t>
  </si>
  <si>
    <t>VALOR TOTAL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</si>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</sst>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1" xfId="0" applyBorder="1"/>
    <xf numFmtId="14" fontId="0" fillId="0" borderId="1" xfId="0" applyNumberFormat="1" applyBorder="1"/>
    <xf numFmtId="8" fontId="0" fillId="0" borderId="1" xfId="1" applyNumberFormat="1" applyFont="1" applyBorder="1"/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/>
    <xf numFmtId="0" fontId="2" fillId="3" borderId="1" xfId="0" applyFont="1" applyFill="1" applyBorder="1"/>
    <xf numFmtId="0" fontId="2" fillId="2" borderId="0" xfId="0" applyFont="1" applyFill="1"/>
    <xf numFmtId="9" fontId="2" fillId="2" borderId="0" xfId="0" applyNumberFormat="1" applyFont="1" applyFill="1"/>
    <xf numFmtId="14" fontId="2" fillId="2" borderId="0" xfId="0" applyNumberFormat="1" applyFont="1" applyFill="1"/>
    <xf numFmtId="44" fontId="2" fillId="2" borderId="0" xfId="1" applyFont="1" applyFill="1"/>
    <xf numFmtId="0" fontId="2" fillId="2" borderId="0" xfId="0" applyFont="1" applyFill="1" applyAlignment="1">
      <alignment vertical="center"/>
    </xf>
    <xf numFmtId="44" fontId="2" fillId="2" borderId="0" xfId="1" applyFont="1" applyFill="1" applyAlignment="1">
      <alignment vertical="center"/>
    </xf>
    <xf numFmtId="0" fontId="0" fillId="0" borderId="0" xfId="0" applyProtection="1"/>
  </cellXfs>
  <cellStyles count="2">
    <cellStyle name="Moeda" xfId="1" builtinId="4"/>
    <cellStyle name="Normal" xfId="0" builtinId="0"/>
  </cellStyles>
  <dxfs count="2">
    <dxf>
      <border>
        <top style="thin">
          <color auto="1"/>
        </top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14</xdr:col>
      <xdr:colOff>561975</xdr:colOff>
      <xdr:row>1</xdr:row>
      <xdr:rowOff>180975</xdr:rowOff>
    </xdr:to>
    <xdr:sp macro="" textlink="">
      <xdr:nvSpPr>
        <xdr:cNvPr id="3" name="Retângulo 2"/>
        <xdr:cNvSpPr/>
      </xdr:nvSpPr>
      <xdr:spPr>
        <a:xfrm>
          <a:off x="19050" y="28575"/>
          <a:ext cx="11182350" cy="7905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1"/>
            <a:t>TABELA</a:t>
          </a:r>
          <a:r>
            <a:rPr lang="pt-BR" sz="4000" b="1" baseline="0"/>
            <a:t> PRICE</a:t>
          </a:r>
          <a:endParaRPr lang="pt-BR" sz="4000" b="1"/>
        </a:p>
      </xdr:txBody>
    </xdr:sp>
    <xdr:clientData/>
  </xdr:twoCellAnchor>
  <xdr:twoCellAnchor>
    <xdr:from>
      <xdr:col>0</xdr:col>
      <xdr:colOff>438151</xdr:colOff>
      <xdr:row>0</xdr:row>
      <xdr:rowOff>28575</xdr:rowOff>
    </xdr:from>
    <xdr:to>
      <xdr:col>1</xdr:col>
      <xdr:colOff>809625</xdr:colOff>
      <xdr:row>1</xdr:row>
      <xdr:rowOff>180975</xdr:rowOff>
    </xdr:to>
    <xdr:sp macro="" textlink="">
      <xdr:nvSpPr>
        <xdr:cNvPr id="6" name="Paralelogramo 5"/>
        <xdr:cNvSpPr/>
      </xdr:nvSpPr>
      <xdr:spPr>
        <a:xfrm>
          <a:off x="438151" y="28575"/>
          <a:ext cx="981074" cy="790575"/>
        </a:xfrm>
        <a:prstGeom prst="parallelogram">
          <a:avLst>
            <a:gd name="adj" fmla="val 6218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590551</xdr:colOff>
      <xdr:row>0</xdr:row>
      <xdr:rowOff>38100</xdr:rowOff>
    </xdr:from>
    <xdr:to>
      <xdr:col>2</xdr:col>
      <xdr:colOff>581025</xdr:colOff>
      <xdr:row>1</xdr:row>
      <xdr:rowOff>180975</xdr:rowOff>
    </xdr:to>
    <xdr:sp macro="" textlink="">
      <xdr:nvSpPr>
        <xdr:cNvPr id="8" name="Paralelogramo 7"/>
        <xdr:cNvSpPr/>
      </xdr:nvSpPr>
      <xdr:spPr>
        <a:xfrm>
          <a:off x="1200151" y="38100"/>
          <a:ext cx="923924" cy="781050"/>
        </a:xfrm>
        <a:prstGeom prst="parallelogram">
          <a:avLst>
            <a:gd name="adj" fmla="val 6218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10</xdr:col>
      <xdr:colOff>180975</xdr:colOff>
      <xdr:row>0</xdr:row>
      <xdr:rowOff>142874</xdr:rowOff>
    </xdr:from>
    <xdr:to>
      <xdr:col>10</xdr:col>
      <xdr:colOff>723900</xdr:colOff>
      <xdr:row>1</xdr:row>
      <xdr:rowOff>47624</xdr:rowOff>
    </xdr:to>
    <xdr:pic>
      <xdr:nvPicPr>
        <xdr:cNvPr id="9" name="Imagem 8" descr="Receita Federal regulamenta o parcelamento (31.07) de débitos dos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142874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</xdr:row>
      <xdr:rowOff>142875</xdr:rowOff>
    </xdr:from>
    <xdr:to>
      <xdr:col>1</xdr:col>
      <xdr:colOff>495300</xdr:colOff>
      <xdr:row>20</xdr:row>
      <xdr:rowOff>28575</xdr:rowOff>
    </xdr:to>
    <xdr:pic>
      <xdr:nvPicPr>
        <xdr:cNvPr id="11" name="Imagem 1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876675"/>
          <a:ext cx="10668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showGridLines="0" tabSelected="1" workbookViewId="0">
      <selection activeCell="M14" sqref="M14"/>
    </sheetView>
  </sheetViews>
  <sheetFormatPr defaultColWidth="0" defaultRowHeight="15" x14ac:dyDescent="0.25"/>
  <cols>
    <col min="1" max="1" width="9.140625" customWidth="1"/>
    <col min="2" max="2" width="14" bestFit="1" customWidth="1"/>
    <col min="3" max="3" width="12.140625" bestFit="1" customWidth="1"/>
    <col min="4" max="4" width="10.7109375" customWidth="1"/>
    <col min="5" max="5" width="9.140625" customWidth="1"/>
    <col min="6" max="6" width="13.7109375" style="1" customWidth="1"/>
    <col min="7" max="7" width="16.5703125" customWidth="1"/>
    <col min="8" max="9" width="9.140625" customWidth="1"/>
    <col min="10" max="10" width="16.28515625" bestFit="1" customWidth="1"/>
    <col min="11" max="11" width="12.140625" bestFit="1" customWidth="1"/>
    <col min="12" max="13" width="4" customWidth="1"/>
    <col min="14" max="14" width="3" customWidth="1"/>
    <col min="15" max="15" width="3.42578125" customWidth="1"/>
    <col min="16" max="16384" width="9.140625" hidden="1"/>
  </cols>
  <sheetData>
    <row r="1" spans="2:11" ht="50.25" customHeight="1" x14ac:dyDescent="0.25"/>
    <row r="4" spans="2:11" ht="18.75" customHeight="1" x14ac:dyDescent="0.25">
      <c r="B4" s="13" t="s">
        <v>0</v>
      </c>
      <c r="C4" s="14">
        <v>2000</v>
      </c>
      <c r="E4" s="6" t="s">
        <v>8</v>
      </c>
      <c r="F4" s="7" t="s">
        <v>5</v>
      </c>
      <c r="G4" s="8" t="s">
        <v>3</v>
      </c>
      <c r="J4" s="13" t="s">
        <v>6</v>
      </c>
      <c r="K4" s="14">
        <f>NPV(C12,G6:G119)+G5</f>
        <v>1999.9999999999995</v>
      </c>
    </row>
    <row r="5" spans="2:11" x14ac:dyDescent="0.25">
      <c r="E5" s="3">
        <v>0</v>
      </c>
      <c r="F5" s="4">
        <f>EDATE($C$6,E5)</f>
        <v>43921</v>
      </c>
      <c r="G5" s="5">
        <f>IF(AND($C$8&gt;0,E5=0),$C$8,IF(AND($C$8&gt;0,E5&lt;=$C$10),PMT($C$12,$C$10,-$C$4+$C$8,0,0),IF(E5&lt;$C$10,PMT($C$12,$C$10,-$C$4,0,1),0)))</f>
        <v>500</v>
      </c>
    </row>
    <row r="6" spans="2:11" x14ac:dyDescent="0.25">
      <c r="B6" s="9" t="s">
        <v>1</v>
      </c>
      <c r="C6" s="11">
        <v>43921</v>
      </c>
      <c r="D6" s="1"/>
      <c r="E6" s="3">
        <v>1</v>
      </c>
      <c r="F6" s="4">
        <f t="shared" ref="F6:F53" si="0">EDATE($C$6,E6)</f>
        <v>43951</v>
      </c>
      <c r="G6" s="5">
        <f t="shared" ref="G6:G53" si="1">IF(AND($C$8&gt;0,E6=0),$C$8,IF(AND($C$8&gt;0,E6&lt;=$C$10),PMT($C$12,$C$10,-$C$4+$C$8,0,0),IF(E6&lt;$C$10,PMT($C$12,$C$10,-$C$4,0,1),0)))</f>
        <v>175.84575990773936</v>
      </c>
      <c r="J6" s="13" t="s">
        <v>7</v>
      </c>
      <c r="K6" s="14">
        <f>SUM(G:G)</f>
        <v>2258.4575990773938</v>
      </c>
    </row>
    <row r="7" spans="2:11" x14ac:dyDescent="0.25">
      <c r="E7" s="3">
        <v>2</v>
      </c>
      <c r="F7" s="4">
        <f t="shared" si="0"/>
        <v>43982</v>
      </c>
      <c r="G7" s="5">
        <f t="shared" si="1"/>
        <v>175.84575990773936</v>
      </c>
    </row>
    <row r="8" spans="2:11" x14ac:dyDescent="0.25">
      <c r="B8" s="9" t="s">
        <v>2</v>
      </c>
      <c r="C8" s="12">
        <v>500</v>
      </c>
      <c r="E8" s="3">
        <v>3</v>
      </c>
      <c r="F8" s="4">
        <f t="shared" si="0"/>
        <v>44012</v>
      </c>
      <c r="G8" s="5">
        <f t="shared" si="1"/>
        <v>175.84575990773936</v>
      </c>
      <c r="J8" s="13" t="s">
        <v>4</v>
      </c>
      <c r="K8" s="14">
        <f>K6-C4</f>
        <v>258.45759907739375</v>
      </c>
    </row>
    <row r="9" spans="2:11" x14ac:dyDescent="0.25">
      <c r="E9" s="3">
        <v>4</v>
      </c>
      <c r="F9" s="4">
        <f t="shared" si="0"/>
        <v>44043</v>
      </c>
      <c r="G9" s="5">
        <f t="shared" si="1"/>
        <v>175.84575990773936</v>
      </c>
    </row>
    <row r="10" spans="2:11" x14ac:dyDescent="0.25">
      <c r="B10" s="9" t="s">
        <v>3</v>
      </c>
      <c r="C10" s="9">
        <v>10</v>
      </c>
      <c r="E10" s="3">
        <v>5</v>
      </c>
      <c r="F10" s="4">
        <f t="shared" si="0"/>
        <v>44074</v>
      </c>
      <c r="G10" s="5">
        <f t="shared" si="1"/>
        <v>175.84575990773936</v>
      </c>
    </row>
    <row r="11" spans="2:11" x14ac:dyDescent="0.25">
      <c r="E11" s="3">
        <v>6</v>
      </c>
      <c r="F11" s="4">
        <f t="shared" si="0"/>
        <v>44104</v>
      </c>
      <c r="G11" s="5">
        <f t="shared" si="1"/>
        <v>175.84575990773936</v>
      </c>
    </row>
    <row r="12" spans="2:11" x14ac:dyDescent="0.25">
      <c r="B12" s="9" t="s">
        <v>4</v>
      </c>
      <c r="C12" s="10">
        <v>0.03</v>
      </c>
      <c r="D12" s="2"/>
      <c r="E12" s="3">
        <v>7</v>
      </c>
      <c r="F12" s="4">
        <f t="shared" si="0"/>
        <v>44135</v>
      </c>
      <c r="G12" s="5">
        <f t="shared" si="1"/>
        <v>175.84575990773936</v>
      </c>
    </row>
    <row r="13" spans="2:11" x14ac:dyDescent="0.25">
      <c r="E13" s="3">
        <v>8</v>
      </c>
      <c r="F13" s="4">
        <f t="shared" si="0"/>
        <v>44165</v>
      </c>
      <c r="G13" s="5">
        <f t="shared" si="1"/>
        <v>175.84575990773936</v>
      </c>
    </row>
    <row r="14" spans="2:11" x14ac:dyDescent="0.25">
      <c r="E14" s="3">
        <v>9</v>
      </c>
      <c r="F14" s="4">
        <f t="shared" si="0"/>
        <v>44196</v>
      </c>
      <c r="G14" s="5">
        <f t="shared" si="1"/>
        <v>175.84575990773936</v>
      </c>
    </row>
    <row r="15" spans="2:11" x14ac:dyDescent="0.25">
      <c r="E15" s="3">
        <v>10</v>
      </c>
      <c r="F15" s="4">
        <f t="shared" si="0"/>
        <v>44227</v>
      </c>
      <c r="G15" s="5">
        <f t="shared" si="1"/>
        <v>175.84575990773936</v>
      </c>
    </row>
    <row r="16" spans="2:11" x14ac:dyDescent="0.25">
      <c r="E16" s="3">
        <v>11</v>
      </c>
      <c r="F16" s="4">
        <f t="shared" si="0"/>
        <v>44255</v>
      </c>
      <c r="G16" s="5">
        <f t="shared" si="1"/>
        <v>0</v>
      </c>
    </row>
    <row r="17" spans="1:7" x14ac:dyDescent="0.25">
      <c r="E17" s="3">
        <v>12</v>
      </c>
      <c r="F17" s="4">
        <f t="shared" si="0"/>
        <v>44286</v>
      </c>
      <c r="G17" s="5">
        <f t="shared" si="1"/>
        <v>0</v>
      </c>
    </row>
    <row r="18" spans="1:7" x14ac:dyDescent="0.25">
      <c r="E18" s="3">
        <v>13</v>
      </c>
      <c r="F18" s="4">
        <f t="shared" si="0"/>
        <v>44316</v>
      </c>
      <c r="G18" s="5">
        <f t="shared" si="1"/>
        <v>0</v>
      </c>
    </row>
    <row r="19" spans="1:7" x14ac:dyDescent="0.25">
      <c r="E19" s="3">
        <v>14</v>
      </c>
      <c r="F19" s="4">
        <f t="shared" si="0"/>
        <v>44347</v>
      </c>
      <c r="G19" s="5">
        <f t="shared" si="1"/>
        <v>0</v>
      </c>
    </row>
    <row r="20" spans="1:7" x14ac:dyDescent="0.25">
      <c r="E20" s="3">
        <v>15</v>
      </c>
      <c r="F20" s="4">
        <f t="shared" si="0"/>
        <v>44377</v>
      </c>
      <c r="G20" s="5">
        <f t="shared" si="1"/>
        <v>0</v>
      </c>
    </row>
    <row r="21" spans="1:7" x14ac:dyDescent="0.25">
      <c r="E21" s="3">
        <v>16</v>
      </c>
      <c r="F21" s="4">
        <f t="shared" si="0"/>
        <v>44408</v>
      </c>
      <c r="G21" s="5">
        <f t="shared" si="1"/>
        <v>0</v>
      </c>
    </row>
    <row r="22" spans="1:7" x14ac:dyDescent="0.25">
      <c r="E22" s="3">
        <v>17</v>
      </c>
      <c r="F22" s="4">
        <f t="shared" si="0"/>
        <v>44439</v>
      </c>
      <c r="G22" s="5">
        <f t="shared" si="1"/>
        <v>0</v>
      </c>
    </row>
    <row r="23" spans="1:7" x14ac:dyDescent="0.25">
      <c r="E23" s="3">
        <v>18</v>
      </c>
      <c r="F23" s="4">
        <f t="shared" si="0"/>
        <v>44469</v>
      </c>
      <c r="G23" s="5">
        <f t="shared" si="1"/>
        <v>0</v>
      </c>
    </row>
    <row r="24" spans="1:7" x14ac:dyDescent="0.25">
      <c r="E24" s="3">
        <v>19</v>
      </c>
      <c r="F24" s="4">
        <f t="shared" si="0"/>
        <v>44500</v>
      </c>
      <c r="G24" s="5">
        <f t="shared" si="1"/>
        <v>0</v>
      </c>
    </row>
    <row r="25" spans="1:7" x14ac:dyDescent="0.25">
      <c r="E25" s="3">
        <v>20</v>
      </c>
      <c r="F25" s="4">
        <f t="shared" si="0"/>
        <v>44530</v>
      </c>
      <c r="G25" s="5">
        <f t="shared" si="1"/>
        <v>0</v>
      </c>
    </row>
    <row r="26" spans="1:7" x14ac:dyDescent="0.25">
      <c r="E26" s="3">
        <v>21</v>
      </c>
      <c r="F26" s="4">
        <f t="shared" si="0"/>
        <v>44561</v>
      </c>
      <c r="G26" s="5">
        <f t="shared" si="1"/>
        <v>0</v>
      </c>
    </row>
    <row r="27" spans="1:7" x14ac:dyDescent="0.25">
      <c r="E27" s="3">
        <v>22</v>
      </c>
      <c r="F27" s="4">
        <f t="shared" si="0"/>
        <v>44592</v>
      </c>
      <c r="G27" s="5">
        <f t="shared" si="1"/>
        <v>0</v>
      </c>
    </row>
    <row r="28" spans="1:7" x14ac:dyDescent="0.25">
      <c r="E28" s="3">
        <v>23</v>
      </c>
      <c r="F28" s="4">
        <f t="shared" si="0"/>
        <v>44620</v>
      </c>
      <c r="G28" s="5">
        <f t="shared" si="1"/>
        <v>0</v>
      </c>
    </row>
    <row r="29" spans="1:7" x14ac:dyDescent="0.25">
      <c r="E29" s="3">
        <v>24</v>
      </c>
      <c r="F29" s="4">
        <f t="shared" si="0"/>
        <v>44651</v>
      </c>
      <c r="G29" s="5">
        <f t="shared" si="1"/>
        <v>0</v>
      </c>
    </row>
    <row r="30" spans="1:7" x14ac:dyDescent="0.25">
      <c r="A30" s="15"/>
      <c r="B30" s="15"/>
      <c r="E30" s="3">
        <v>25</v>
      </c>
      <c r="F30" s="4">
        <f t="shared" si="0"/>
        <v>44681</v>
      </c>
      <c r="G30" s="5">
        <f t="shared" si="1"/>
        <v>0</v>
      </c>
    </row>
    <row r="31" spans="1:7" x14ac:dyDescent="0.25">
      <c r="E31" s="3">
        <v>26</v>
      </c>
      <c r="F31" s="4">
        <f t="shared" si="0"/>
        <v>44712</v>
      </c>
      <c r="G31" s="5">
        <f t="shared" si="1"/>
        <v>0</v>
      </c>
    </row>
    <row r="32" spans="1:7" x14ac:dyDescent="0.25">
      <c r="E32" s="3">
        <v>27</v>
      </c>
      <c r="F32" s="4">
        <f t="shared" si="0"/>
        <v>44742</v>
      </c>
      <c r="G32" s="5">
        <f t="shared" si="1"/>
        <v>0</v>
      </c>
    </row>
    <row r="33" spans="5:7" x14ac:dyDescent="0.25">
      <c r="E33" s="3">
        <v>28</v>
      </c>
      <c r="F33" s="4">
        <f t="shared" si="0"/>
        <v>44773</v>
      </c>
      <c r="G33" s="5">
        <f t="shared" si="1"/>
        <v>0</v>
      </c>
    </row>
    <row r="34" spans="5:7" x14ac:dyDescent="0.25">
      <c r="E34" s="3">
        <v>29</v>
      </c>
      <c r="F34" s="4">
        <f t="shared" si="0"/>
        <v>44804</v>
      </c>
      <c r="G34" s="5">
        <f t="shared" si="1"/>
        <v>0</v>
      </c>
    </row>
    <row r="35" spans="5:7" x14ac:dyDescent="0.25">
      <c r="E35" s="3">
        <v>30</v>
      </c>
      <c r="F35" s="4">
        <f t="shared" si="0"/>
        <v>44834</v>
      </c>
      <c r="G35" s="5">
        <f t="shared" si="1"/>
        <v>0</v>
      </c>
    </row>
    <row r="36" spans="5:7" x14ac:dyDescent="0.25">
      <c r="E36" s="3">
        <v>31</v>
      </c>
      <c r="F36" s="4">
        <f t="shared" si="0"/>
        <v>44865</v>
      </c>
      <c r="G36" s="5">
        <f t="shared" si="1"/>
        <v>0</v>
      </c>
    </row>
    <row r="37" spans="5:7" x14ac:dyDescent="0.25">
      <c r="E37" s="3">
        <v>32</v>
      </c>
      <c r="F37" s="4">
        <f t="shared" si="0"/>
        <v>44895</v>
      </c>
      <c r="G37" s="5">
        <f t="shared" si="1"/>
        <v>0</v>
      </c>
    </row>
    <row r="38" spans="5:7" x14ac:dyDescent="0.25">
      <c r="E38" s="3">
        <v>33</v>
      </c>
      <c r="F38" s="4">
        <f t="shared" si="0"/>
        <v>44926</v>
      </c>
      <c r="G38" s="5">
        <f t="shared" si="1"/>
        <v>0</v>
      </c>
    </row>
    <row r="39" spans="5:7" x14ac:dyDescent="0.25">
      <c r="E39" s="3">
        <v>34</v>
      </c>
      <c r="F39" s="4">
        <f t="shared" si="0"/>
        <v>44957</v>
      </c>
      <c r="G39" s="5">
        <f t="shared" si="1"/>
        <v>0</v>
      </c>
    </row>
    <row r="40" spans="5:7" x14ac:dyDescent="0.25">
      <c r="E40" s="3">
        <v>35</v>
      </c>
      <c r="F40" s="4">
        <f t="shared" si="0"/>
        <v>44985</v>
      </c>
      <c r="G40" s="5">
        <f t="shared" si="1"/>
        <v>0</v>
      </c>
    </row>
    <row r="41" spans="5:7" x14ac:dyDescent="0.25">
      <c r="E41" s="3">
        <v>36</v>
      </c>
      <c r="F41" s="4">
        <f t="shared" si="0"/>
        <v>45016</v>
      </c>
      <c r="G41" s="5">
        <f t="shared" si="1"/>
        <v>0</v>
      </c>
    </row>
    <row r="42" spans="5:7" x14ac:dyDescent="0.25">
      <c r="E42" s="3">
        <v>37</v>
      </c>
      <c r="F42" s="4">
        <f t="shared" si="0"/>
        <v>45046</v>
      </c>
      <c r="G42" s="5">
        <f t="shared" si="1"/>
        <v>0</v>
      </c>
    </row>
    <row r="43" spans="5:7" x14ac:dyDescent="0.25">
      <c r="E43" s="3">
        <v>38</v>
      </c>
      <c r="F43" s="4">
        <f t="shared" si="0"/>
        <v>45077</v>
      </c>
      <c r="G43" s="5">
        <f t="shared" si="1"/>
        <v>0</v>
      </c>
    </row>
    <row r="44" spans="5:7" x14ac:dyDescent="0.25">
      <c r="E44" s="3">
        <v>39</v>
      </c>
      <c r="F44" s="4">
        <f t="shared" si="0"/>
        <v>45107</v>
      </c>
      <c r="G44" s="5">
        <f t="shared" si="1"/>
        <v>0</v>
      </c>
    </row>
    <row r="45" spans="5:7" x14ac:dyDescent="0.25">
      <c r="E45" s="3">
        <v>40</v>
      </c>
      <c r="F45" s="4">
        <f t="shared" si="0"/>
        <v>45138</v>
      </c>
      <c r="G45" s="5">
        <f t="shared" si="1"/>
        <v>0</v>
      </c>
    </row>
    <row r="46" spans="5:7" x14ac:dyDescent="0.25">
      <c r="E46" s="3">
        <v>41</v>
      </c>
      <c r="F46" s="4">
        <f t="shared" si="0"/>
        <v>45169</v>
      </c>
      <c r="G46" s="5">
        <f t="shared" si="1"/>
        <v>0</v>
      </c>
    </row>
    <row r="47" spans="5:7" x14ac:dyDescent="0.25">
      <c r="E47" s="3">
        <v>42</v>
      </c>
      <c r="F47" s="4">
        <f t="shared" si="0"/>
        <v>45199</v>
      </c>
      <c r="G47" s="5">
        <f t="shared" si="1"/>
        <v>0</v>
      </c>
    </row>
    <row r="48" spans="5:7" x14ac:dyDescent="0.25">
      <c r="E48" s="3">
        <v>43</v>
      </c>
      <c r="F48" s="4">
        <f t="shared" si="0"/>
        <v>45230</v>
      </c>
      <c r="G48" s="5">
        <f t="shared" si="1"/>
        <v>0</v>
      </c>
    </row>
    <row r="49" spans="5:7" x14ac:dyDescent="0.25">
      <c r="E49" s="3">
        <v>44</v>
      </c>
      <c r="F49" s="4">
        <f t="shared" si="0"/>
        <v>45260</v>
      </c>
      <c r="G49" s="5">
        <f t="shared" si="1"/>
        <v>0</v>
      </c>
    </row>
    <row r="50" spans="5:7" x14ac:dyDescent="0.25">
      <c r="E50" s="3">
        <v>45</v>
      </c>
      <c r="F50" s="4">
        <f t="shared" si="0"/>
        <v>45291</v>
      </c>
      <c r="G50" s="5">
        <f t="shared" si="1"/>
        <v>0</v>
      </c>
    </row>
    <row r="51" spans="5:7" x14ac:dyDescent="0.25">
      <c r="E51" s="3">
        <v>46</v>
      </c>
      <c r="F51" s="4">
        <f t="shared" si="0"/>
        <v>45322</v>
      </c>
      <c r="G51" s="5">
        <f t="shared" si="1"/>
        <v>0</v>
      </c>
    </row>
    <row r="52" spans="5:7" x14ac:dyDescent="0.25">
      <c r="E52" s="3">
        <v>47</v>
      </c>
      <c r="F52" s="4">
        <f t="shared" si="0"/>
        <v>45351</v>
      </c>
      <c r="G52" s="5">
        <f t="shared" si="1"/>
        <v>0</v>
      </c>
    </row>
    <row r="53" spans="5:7" x14ac:dyDescent="0.25">
      <c r="E53" s="3">
        <v>48</v>
      </c>
      <c r="F53" s="4">
        <f t="shared" si="0"/>
        <v>45382</v>
      </c>
      <c r="G53" s="5">
        <f t="shared" si="1"/>
        <v>0</v>
      </c>
    </row>
  </sheetData>
  <conditionalFormatting sqref="E5:G53">
    <cfRule type="expression" dxfId="1" priority="2">
      <formula>$G5=0</formula>
    </cfRule>
  </conditionalFormatting>
  <conditionalFormatting sqref="E5:G54">
    <cfRule type="expression" dxfId="0" priority="1">
      <formula>AND($G4&gt;0,$G5=0)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</cp:lastModifiedBy>
  <dcterms:created xsi:type="dcterms:W3CDTF">2020-05-24T03:01:10Z</dcterms:created>
  <dcterms:modified xsi:type="dcterms:W3CDTF">2020-05-24T05:06:31Z</dcterms:modified>
</cp:coreProperties>
</file>