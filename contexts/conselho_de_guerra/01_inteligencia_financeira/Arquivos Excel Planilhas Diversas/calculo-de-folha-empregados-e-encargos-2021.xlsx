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RNANDO\Desktop\Documentos Rkita\Diversos\"/>
    </mc:Choice>
  </mc:AlternateContent>
  <workbookProtection workbookAlgorithmName="SHA-512" workbookHashValue="zWlhHKVPBDrNamTvcfc2DlCSJbmdjCamXRr+qZA8aZco1PFwWb+CZyjMKLVqBXmHv1P2ZNk1Z5wVFarQEXDJ+g==" workbookSaltValue="QU6SfeWaCsO0N8VkrG8QYQ==" workbookSpinCount="100000" lockStructure="1"/>
  <bookViews>
    <workbookView xWindow="0" yWindow="0" windowWidth="28800" windowHeight="12435" activeTab="1"/>
  </bookViews>
  <sheets>
    <sheet name="Fórmula" sheetId="1" r:id="rId1"/>
    <sheet name="Relatório da Folha" sheetId="2" r:id="rId2"/>
    <sheet name="Custo ao Empregado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2" l="1"/>
  <c r="E42" i="2" l="1"/>
  <c r="E43" i="2"/>
  <c r="E41" i="2"/>
  <c r="D27" i="2" l="1"/>
  <c r="E27" i="2" s="1"/>
  <c r="E29" i="2" l="1"/>
  <c r="C14" i="1" l="1"/>
  <c r="E13" i="2" l="1"/>
  <c r="C17" i="2" l="1"/>
  <c r="D17" i="2" s="1"/>
  <c r="E17" i="2" s="1"/>
  <c r="E19" i="2" s="1"/>
  <c r="C22" i="2"/>
  <c r="D22" i="2" s="1"/>
  <c r="E22" i="2" s="1"/>
  <c r="E24" i="2" s="1"/>
  <c r="E31" i="2" l="1"/>
  <c r="E36" i="2" s="1"/>
  <c r="D3" i="1" l="1"/>
  <c r="C11" i="1" s="1"/>
  <c r="D11" i="1" s="1"/>
  <c r="D30" i="2" s="1"/>
  <c r="D62" i="2"/>
  <c r="C17" i="3" s="1"/>
  <c r="D63" i="2"/>
  <c r="C18" i="3" s="1"/>
  <c r="D58" i="2"/>
  <c r="C13" i="3" s="1"/>
  <c r="C50" i="2"/>
  <c r="C6" i="3" s="1"/>
  <c r="C5" i="1" l="1"/>
  <c r="C6" i="1" s="1"/>
  <c r="D6" i="1" s="1"/>
  <c r="C52" i="2"/>
  <c r="C8" i="3" s="1"/>
  <c r="D5" i="1" l="1"/>
  <c r="E32" i="2"/>
  <c r="D60" i="2"/>
  <c r="C15" i="3" s="1"/>
  <c r="C7" i="1"/>
  <c r="D7" i="1" l="1"/>
  <c r="C8" i="1"/>
  <c r="D8" i="1" s="1"/>
  <c r="C9" i="1" l="1"/>
  <c r="D9" i="1"/>
  <c r="E35" i="2" l="1"/>
  <c r="C15" i="1"/>
  <c r="C27" i="1" l="1"/>
  <c r="C28" i="1" s="1"/>
  <c r="D28" i="1" s="1"/>
  <c r="E28" i="1" s="1"/>
  <c r="F28" i="1" s="1"/>
  <c r="G27" i="1" s="1"/>
  <c r="G28" i="1" s="1"/>
  <c r="H28" i="1" s="1"/>
  <c r="I28" i="1" s="1"/>
  <c r="J28" i="1" s="1"/>
  <c r="E40" i="2" s="1"/>
  <c r="C24" i="1"/>
  <c r="C25" i="1" s="1"/>
  <c r="D25" i="1" s="1"/>
  <c r="E25" i="1" s="1"/>
  <c r="F25" i="1" s="1"/>
  <c r="G24" i="1" s="1"/>
  <c r="G25" i="1" s="1"/>
  <c r="H25" i="1" s="1"/>
  <c r="I25" i="1" s="1"/>
  <c r="J25" i="1" s="1"/>
  <c r="E39" i="2" s="1"/>
  <c r="C18" i="1"/>
  <c r="C19" i="1" s="1"/>
  <c r="D19" i="1" s="1"/>
  <c r="E19" i="1" s="1"/>
  <c r="F19" i="1" s="1"/>
  <c r="G18" i="1" s="1"/>
  <c r="G19" i="1" s="1"/>
  <c r="H19" i="1" s="1"/>
  <c r="I19" i="1" s="1"/>
  <c r="J19" i="1" s="1"/>
  <c r="C21" i="1"/>
  <c r="C22" i="1" s="1"/>
  <c r="D22" i="1" s="1"/>
  <c r="E22" i="1" s="1"/>
  <c r="F22" i="1" s="1"/>
  <c r="G21" i="1" s="1"/>
  <c r="G22" i="1" s="1"/>
  <c r="H22" i="1" s="1"/>
  <c r="I22" i="1" s="1"/>
  <c r="J22" i="1" s="1"/>
  <c r="E38" i="2" s="1"/>
  <c r="C49" i="2"/>
  <c r="C5" i="3" s="1"/>
  <c r="D61" i="2"/>
  <c r="C16" i="3" s="1"/>
  <c r="C20" i="3" s="1"/>
  <c r="E37" i="2" l="1"/>
  <c r="E44" i="2" s="1"/>
  <c r="J29" i="1"/>
  <c r="D59" i="2" l="1"/>
  <c r="C14" i="3" s="1"/>
  <c r="C22" i="3" s="1"/>
  <c r="E46" i="2"/>
  <c r="C24" i="3" s="1"/>
  <c r="C51" i="2"/>
  <c r="C7" i="3" s="1"/>
  <c r="C9" i="3" s="1"/>
</calcChain>
</file>

<file path=xl/sharedStrings.xml><?xml version="1.0" encoding="utf-8"?>
<sst xmlns="http://schemas.openxmlformats.org/spreadsheetml/2006/main" count="109" uniqueCount="69">
  <si>
    <t>Base INSS</t>
  </si>
  <si>
    <t>*** Neste campo informar o base de INSS da folha.</t>
  </si>
  <si>
    <t>Tipo</t>
  </si>
  <si>
    <t>Calculo</t>
  </si>
  <si>
    <t>Valor descontado</t>
  </si>
  <si>
    <t>Total</t>
  </si>
  <si>
    <t>Base de Cálculo de IR</t>
  </si>
  <si>
    <t>Dependentes</t>
  </si>
  <si>
    <t>*** Neste campo informar a quantidade de Dependentes</t>
  </si>
  <si>
    <t>Valor de INSS Base de Cálculo</t>
  </si>
  <si>
    <t>Faixas</t>
  </si>
  <si>
    <t>Base de Cálculo</t>
  </si>
  <si>
    <t>Alíquota DARF</t>
  </si>
  <si>
    <t>Valor de IR</t>
  </si>
  <si>
    <t>Empregado 01</t>
  </si>
  <si>
    <t>Salário Bruto:</t>
  </si>
  <si>
    <t>Valor de INSS</t>
  </si>
  <si>
    <t>Valor de IR Faixa 02</t>
  </si>
  <si>
    <t>Valor de IR Faixa 03</t>
  </si>
  <si>
    <t>Valor de IR Faixa 04</t>
  </si>
  <si>
    <t>Dependentes Menores de Idade e Conjuge</t>
  </si>
  <si>
    <t>Guia de INSS Empresa Simples Código 2003</t>
  </si>
  <si>
    <t>Guia de FGTS de 08% Sobre Rendimentos</t>
  </si>
  <si>
    <t>Guia de IRRF Sobre Folha de Pag Empregado</t>
  </si>
  <si>
    <t>Valor de Comissão</t>
  </si>
  <si>
    <t>DSR Sobre Comissão</t>
  </si>
  <si>
    <t>Dias Úteis</t>
  </si>
  <si>
    <t>Domingos e Feriados</t>
  </si>
  <si>
    <t>Proventos</t>
  </si>
  <si>
    <t>Valor Total</t>
  </si>
  <si>
    <t>Campos digitáveis</t>
  </si>
  <si>
    <t>Descontos</t>
  </si>
  <si>
    <t>*O Desconto de Vale Transporte somente é Devido quando a Empresa Fornece Vale Trasnporte em Dinheiro e Crédito em Cartão para Deslocamento.</t>
  </si>
  <si>
    <t>Valor de FGTS (Não é descontado do Empregado Em Folha)</t>
  </si>
  <si>
    <t>Valor de IR Faixa 01 (Valores &gt; R$ 10,00 não são considerados)</t>
  </si>
  <si>
    <r>
      <rPr>
        <b/>
        <i/>
        <sz val="11"/>
        <color theme="1"/>
        <rFont val="Calibri"/>
        <family val="2"/>
        <scheme val="minor"/>
      </rPr>
      <t>Observação 02!</t>
    </r>
    <r>
      <rPr>
        <i/>
        <sz val="11"/>
        <color theme="1"/>
        <rFont val="Calibri"/>
        <family val="2"/>
        <scheme val="minor"/>
      </rPr>
      <t xml:space="preserve"> Informar o Salário Sobre os Dias Trabalhados</t>
    </r>
  </si>
  <si>
    <t>Empresa Optante Pelo Simples</t>
  </si>
  <si>
    <t>Somente os Campos em Amarelo estão liberados para Edição</t>
  </si>
  <si>
    <t>Teto Máximo de Contribuição R$ 6.433,57 = INSS de R$ 751,99</t>
  </si>
  <si>
    <t>Fernando S. Ribeiro</t>
  </si>
  <si>
    <t>Tel. 11 947796708</t>
  </si>
  <si>
    <t>fsrfernando1985@gmail.com</t>
  </si>
  <si>
    <t>Dados de Contato</t>
  </si>
  <si>
    <t>Desconto de Vale Transporte Até 06%  Vide Observação*</t>
  </si>
  <si>
    <t>Faixa 1 - R$ 1.100,00</t>
  </si>
  <si>
    <t>Faixa 2 - R$ 2.203,48</t>
  </si>
  <si>
    <t>Faixa 3 - R$ 3.305,22</t>
  </si>
  <si>
    <t>Faixa 4 - R$ 6.433,57</t>
  </si>
  <si>
    <t>Valor Líquido de Salário</t>
  </si>
  <si>
    <t>Horas Extras</t>
  </si>
  <si>
    <t>Salário Família</t>
  </si>
  <si>
    <t>DSR Sobre Horas Extras</t>
  </si>
  <si>
    <t>Empresa Não Optante Pelo Simples</t>
  </si>
  <si>
    <t>Guia de INSS Empresa Segurados</t>
  </si>
  <si>
    <t>Guia de INSS Empresa Empresa</t>
  </si>
  <si>
    <t>Guia de INSS Empresa Terceiros</t>
  </si>
  <si>
    <t>Percentual</t>
  </si>
  <si>
    <t>Quantidade de Horas</t>
  </si>
  <si>
    <t>Valor Bruto Total</t>
  </si>
  <si>
    <t>Valor Líquido Total</t>
  </si>
  <si>
    <t>Adicional Noturno</t>
  </si>
  <si>
    <t>Desconto de INSS Sobre Salário Família</t>
  </si>
  <si>
    <t>Valor Total das Guias Trabalhistas</t>
  </si>
  <si>
    <t>Valor Total da Guia GPS Código 2100</t>
  </si>
  <si>
    <t>Valor Líquido do Salário do Empregado</t>
  </si>
  <si>
    <r>
      <rPr>
        <i/>
        <u/>
        <sz val="11"/>
        <color theme="1"/>
        <rFont val="Calibri"/>
        <family val="2"/>
        <scheme val="minor"/>
      </rPr>
      <t>*Observação Importante!</t>
    </r>
    <r>
      <rPr>
        <i/>
        <sz val="11"/>
        <color theme="1"/>
        <rFont val="Calibri"/>
        <family val="2"/>
        <scheme val="minor"/>
      </rPr>
      <t xml:space="preserve"> A Guia de IR Sobre a Folha e o INSS Descontado do Empregado não são considerados como Custo ao Empregador, uma vez que é descontado do Empregado e repassado ao governo</t>
    </r>
  </si>
  <si>
    <t>Desconto de Adiantamento de 40%</t>
  </si>
  <si>
    <t>Demais Descontos Sem Incidência nos Tributos</t>
  </si>
  <si>
    <t>Bonus e Gratificações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</si>
</sst>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[$R$-416]* #,##0.00_-;\-[$R$-416]* #,##0.00_-;_-[$R$-416]* &quot;-&quot;??_-;_-@_-"/>
    <numFmt numFmtId="165" formatCode="_-[$R$-416]\ * #,##0.00_-;\-[$R$-416]\ * #,##0.00_-;_-[$R$-41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0"/>
      <name val="Arial"/>
      <family val="2"/>
    </font>
    <font>
      <i/>
      <sz val="11"/>
      <color theme="0"/>
      <name val="Calibri"/>
      <family val="2"/>
      <scheme val="minor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11"/>
      <color theme="0"/>
      <name val="Calibri"/>
      <family val="2"/>
      <scheme val="minor"/>
    </font>
    <font>
      <i/>
      <sz val="10"/>
      <color theme="0"/>
      <name val="Arial"/>
      <family val="2"/>
    </font>
    <font>
      <i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5" fillId="0" borderId="1" xfId="0" applyFont="1" applyBorder="1" applyProtection="1">
      <protection hidden="1"/>
    </xf>
    <xf numFmtId="0" fontId="2" fillId="0" borderId="1" xfId="0" applyFont="1" applyBorder="1" applyProtection="1">
      <protection hidden="1"/>
    </xf>
    <xf numFmtId="44" fontId="2" fillId="0" borderId="1" xfId="1" applyFont="1" applyBorder="1" applyAlignment="1" applyProtection="1">
      <alignment horizontal="left"/>
      <protection hidden="1"/>
    </xf>
    <xf numFmtId="44" fontId="2" fillId="0" borderId="1" xfId="1" applyFont="1" applyBorder="1" applyProtection="1">
      <protection hidden="1"/>
    </xf>
    <xf numFmtId="164" fontId="5" fillId="0" borderId="1" xfId="0" applyNumberFormat="1" applyFont="1" applyBorder="1" applyProtection="1">
      <protection hidden="1"/>
    </xf>
    <xf numFmtId="0" fontId="5" fillId="0" borderId="4" xfId="0" applyFont="1" applyBorder="1" applyProtection="1">
      <protection hidden="1"/>
    </xf>
    <xf numFmtId="0" fontId="5" fillId="0" borderId="6" xfId="0" applyFont="1" applyBorder="1" applyProtection="1">
      <protection hidden="1"/>
    </xf>
    <xf numFmtId="43" fontId="5" fillId="0" borderId="7" xfId="0" applyNumberFormat="1" applyFont="1" applyBorder="1" applyProtection="1">
      <protection hidden="1"/>
    </xf>
    <xf numFmtId="0" fontId="7" fillId="0" borderId="8" xfId="0" applyNumberFormat="1" applyFont="1" applyFill="1" applyBorder="1" applyAlignment="1" applyProtection="1">
      <alignment vertical="top"/>
      <protection hidden="1"/>
    </xf>
    <xf numFmtId="0" fontId="8" fillId="0" borderId="9" xfId="0" applyFont="1" applyBorder="1" applyProtection="1">
      <protection hidden="1"/>
    </xf>
    <xf numFmtId="0" fontId="2" fillId="0" borderId="9" xfId="0" applyFont="1" applyBorder="1" applyProtection="1">
      <protection hidden="1"/>
    </xf>
    <xf numFmtId="0" fontId="7" fillId="0" borderId="9" xfId="0" applyNumberFormat="1" applyFont="1" applyFill="1" applyBorder="1" applyAlignment="1" applyProtection="1">
      <alignment vertical="top"/>
      <protection hidden="1"/>
    </xf>
    <xf numFmtId="0" fontId="7" fillId="0" borderId="10" xfId="0" applyNumberFormat="1" applyFont="1" applyFill="1" applyBorder="1" applyAlignment="1" applyProtection="1">
      <alignment vertical="top"/>
      <protection hidden="1"/>
    </xf>
    <xf numFmtId="0" fontId="9" fillId="0" borderId="4" xfId="0" applyNumberFormat="1" applyFont="1" applyFill="1" applyBorder="1" applyAlignment="1" applyProtection="1">
      <alignment vertical="top"/>
      <protection hidden="1"/>
    </xf>
    <xf numFmtId="0" fontId="8" fillId="2" borderId="1" xfId="0" applyFont="1" applyFill="1" applyBorder="1" applyProtection="1">
      <protection hidden="1"/>
    </xf>
    <xf numFmtId="165" fontId="9" fillId="0" borderId="1" xfId="0" applyNumberFormat="1" applyFont="1" applyFill="1" applyBorder="1" applyAlignment="1" applyProtection="1">
      <alignment vertical="top"/>
      <protection hidden="1"/>
    </xf>
    <xf numFmtId="0" fontId="9" fillId="0" borderId="1" xfId="0" applyNumberFormat="1" applyFont="1" applyFill="1" applyBorder="1" applyAlignment="1" applyProtection="1">
      <alignment vertical="top"/>
      <protection hidden="1"/>
    </xf>
    <xf numFmtId="0" fontId="9" fillId="0" borderId="5" xfId="0" applyNumberFormat="1" applyFont="1" applyFill="1" applyBorder="1" applyAlignment="1" applyProtection="1">
      <alignment vertical="top"/>
      <protection hidden="1"/>
    </xf>
    <xf numFmtId="0" fontId="10" fillId="0" borderId="4" xfId="0" applyNumberFormat="1" applyFont="1" applyFill="1" applyBorder="1" applyAlignment="1" applyProtection="1">
      <alignment vertical="top"/>
      <protection hidden="1"/>
    </xf>
    <xf numFmtId="165" fontId="11" fillId="0" borderId="1" xfId="0" applyNumberFormat="1" applyFont="1" applyBorder="1" applyProtection="1">
      <protection hidden="1"/>
    </xf>
    <xf numFmtId="165" fontId="5" fillId="0" borderId="1" xfId="0" applyNumberFormat="1" applyFont="1" applyBorder="1" applyProtection="1">
      <protection hidden="1"/>
    </xf>
    <xf numFmtId="165" fontId="10" fillId="0" borderId="1" xfId="0" applyNumberFormat="1" applyFont="1" applyFill="1" applyBorder="1" applyAlignment="1" applyProtection="1">
      <alignment vertical="top"/>
      <protection hidden="1"/>
    </xf>
    <xf numFmtId="165" fontId="10" fillId="0" borderId="5" xfId="0" applyNumberFormat="1" applyFont="1" applyFill="1" applyBorder="1" applyAlignment="1" applyProtection="1">
      <alignment vertical="top"/>
      <protection hidden="1"/>
    </xf>
    <xf numFmtId="0" fontId="8" fillId="0" borderId="1" xfId="0" applyFont="1" applyBorder="1" applyProtection="1">
      <protection hidden="1"/>
    </xf>
    <xf numFmtId="165" fontId="9" fillId="0" borderId="5" xfId="0" applyNumberFormat="1" applyFont="1" applyFill="1" applyBorder="1" applyAlignment="1" applyProtection="1">
      <alignment vertical="top"/>
      <protection hidden="1"/>
    </xf>
    <xf numFmtId="0" fontId="12" fillId="2" borderId="4" xfId="0" applyNumberFormat="1" applyFont="1" applyFill="1" applyBorder="1" applyAlignment="1" applyProtection="1">
      <alignment vertical="top"/>
      <protection hidden="1"/>
    </xf>
    <xf numFmtId="0" fontId="10" fillId="0" borderId="6" xfId="0" applyNumberFormat="1" applyFont="1" applyFill="1" applyBorder="1" applyAlignment="1" applyProtection="1">
      <alignment vertical="top"/>
      <protection hidden="1"/>
    </xf>
    <xf numFmtId="165" fontId="11" fillId="0" borderId="11" xfId="0" applyNumberFormat="1" applyFont="1" applyBorder="1" applyProtection="1">
      <protection hidden="1"/>
    </xf>
    <xf numFmtId="165" fontId="5" fillId="0" borderId="11" xfId="0" applyNumberFormat="1" applyFont="1" applyBorder="1" applyProtection="1">
      <protection hidden="1"/>
    </xf>
    <xf numFmtId="165" fontId="10" fillId="0" borderId="11" xfId="0" applyNumberFormat="1" applyFont="1" applyFill="1" applyBorder="1" applyAlignment="1" applyProtection="1">
      <alignment vertical="top"/>
      <protection hidden="1"/>
    </xf>
    <xf numFmtId="165" fontId="10" fillId="0" borderId="7" xfId="0" applyNumberFormat="1" applyFont="1" applyFill="1" applyBorder="1" applyAlignment="1" applyProtection="1">
      <alignment vertical="top"/>
      <protection hidden="1"/>
    </xf>
    <xf numFmtId="0" fontId="13" fillId="0" borderId="0" xfId="0" applyFont="1" applyProtection="1">
      <protection hidden="1"/>
    </xf>
    <xf numFmtId="0" fontId="5" fillId="0" borderId="12" xfId="0" applyFont="1" applyBorder="1" applyProtection="1">
      <protection hidden="1"/>
    </xf>
    <xf numFmtId="165" fontId="5" fillId="0" borderId="13" xfId="0" applyNumberFormat="1" applyFont="1" applyBorder="1" applyProtection="1">
      <protection hidden="1"/>
    </xf>
    <xf numFmtId="0" fontId="8" fillId="2" borderId="0" xfId="0" applyFont="1" applyFill="1" applyProtection="1">
      <protection hidden="1"/>
    </xf>
    <xf numFmtId="0" fontId="2" fillId="3" borderId="14" xfId="0" applyFont="1" applyFill="1" applyBorder="1" applyProtection="1">
      <protection hidden="1"/>
    </xf>
    <xf numFmtId="0" fontId="2" fillId="3" borderId="0" xfId="0" applyFont="1" applyFill="1" applyProtection="1">
      <protection hidden="1"/>
    </xf>
    <xf numFmtId="0" fontId="2" fillId="0" borderId="8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6" xfId="0" applyFont="1" applyBorder="1" applyProtection="1">
      <protection hidden="1"/>
    </xf>
    <xf numFmtId="44" fontId="2" fillId="0" borderId="7" xfId="0" applyNumberFormat="1" applyFont="1" applyBorder="1" applyProtection="1">
      <protection hidden="1"/>
    </xf>
    <xf numFmtId="44" fontId="2" fillId="0" borderId="10" xfId="1" applyFont="1" applyBorder="1" applyProtection="1">
      <protection hidden="1"/>
    </xf>
    <xf numFmtId="44" fontId="2" fillId="0" borderId="5" xfId="1" applyFont="1" applyBorder="1" applyProtection="1">
      <protection hidden="1"/>
    </xf>
    <xf numFmtId="44" fontId="2" fillId="0" borderId="0" xfId="1" applyFont="1" applyProtection="1">
      <protection hidden="1"/>
    </xf>
    <xf numFmtId="44" fontId="15" fillId="3" borderId="10" xfId="1" applyFont="1" applyFill="1" applyBorder="1" applyProtection="1">
      <protection locked="0" hidden="1"/>
    </xf>
    <xf numFmtId="0" fontId="15" fillId="3" borderId="1" xfId="0" applyFont="1" applyFill="1" applyBorder="1" applyProtection="1">
      <protection locked="0" hidden="1"/>
    </xf>
    <xf numFmtId="44" fontId="6" fillId="0" borderId="1" xfId="1" applyFont="1" applyBorder="1" applyProtection="1">
      <protection hidden="1"/>
    </xf>
    <xf numFmtId="0" fontId="5" fillId="0" borderId="5" xfId="0" applyFont="1" applyBorder="1" applyProtection="1">
      <protection hidden="1"/>
    </xf>
    <xf numFmtId="44" fontId="15" fillId="3" borderId="11" xfId="0" applyNumberFormat="1" applyFont="1" applyFill="1" applyBorder="1" applyProtection="1">
      <protection locked="0" hidden="1"/>
    </xf>
    <xf numFmtId="0" fontId="15" fillId="3" borderId="0" xfId="0" applyFont="1" applyFill="1" applyProtection="1">
      <protection locked="0" hidden="1"/>
    </xf>
    <xf numFmtId="0" fontId="2" fillId="0" borderId="0" xfId="0" applyFont="1" applyAlignment="1" applyProtection="1">
      <alignment horizontal="left" wrapText="1"/>
      <protection hidden="1"/>
    </xf>
    <xf numFmtId="0" fontId="2" fillId="0" borderId="10" xfId="0" applyFont="1" applyBorder="1" applyProtection="1">
      <protection hidden="1"/>
    </xf>
    <xf numFmtId="44" fontId="2" fillId="0" borderId="5" xfId="0" applyNumberFormat="1" applyFont="1" applyBorder="1" applyProtection="1">
      <protection hidden="1"/>
    </xf>
    <xf numFmtId="0" fontId="2" fillId="0" borderId="6" xfId="0" applyFont="1" applyBorder="1" applyAlignment="1" applyProtection="1">
      <alignment horizontal="left" wrapText="1"/>
      <protection hidden="1"/>
    </xf>
    <xf numFmtId="0" fontId="2" fillId="0" borderId="7" xfId="0" applyFont="1" applyBorder="1" applyProtection="1">
      <protection hidden="1"/>
    </xf>
    <xf numFmtId="0" fontId="14" fillId="0" borderId="8" xfId="0" applyFont="1" applyBorder="1" applyProtection="1">
      <protection hidden="1"/>
    </xf>
    <xf numFmtId="0" fontId="14" fillId="3" borderId="0" xfId="0" applyFont="1" applyFill="1" applyProtection="1">
      <protection hidden="1"/>
    </xf>
    <xf numFmtId="0" fontId="16" fillId="3" borderId="0" xfId="2" applyFont="1" applyFill="1" applyProtection="1">
      <protection hidden="1"/>
    </xf>
    <xf numFmtId="0" fontId="2" fillId="0" borderId="0" xfId="0" applyFont="1" applyBorder="1" applyProtection="1">
      <protection hidden="1"/>
    </xf>
    <xf numFmtId="44" fontId="2" fillId="0" borderId="0" xfId="0" applyNumberFormat="1" applyFont="1" applyBorder="1" applyProtection="1">
      <protection hidden="1"/>
    </xf>
    <xf numFmtId="44" fontId="15" fillId="2" borderId="0" xfId="0" applyNumberFormat="1" applyFont="1" applyFill="1" applyBorder="1" applyProtection="1">
      <protection locked="0" hidden="1"/>
    </xf>
    <xf numFmtId="44" fontId="2" fillId="0" borderId="16" xfId="0" applyNumberFormat="1" applyFont="1" applyBorder="1" applyProtection="1">
      <protection hidden="1"/>
    </xf>
    <xf numFmtId="0" fontId="2" fillId="0" borderId="17" xfId="0" applyFont="1" applyBorder="1" applyProtection="1">
      <protection hidden="1"/>
    </xf>
    <xf numFmtId="44" fontId="15" fillId="2" borderId="18" xfId="0" applyNumberFormat="1" applyFont="1" applyFill="1" applyBorder="1" applyProtection="1">
      <protection locked="0" hidden="1"/>
    </xf>
    <xf numFmtId="44" fontId="2" fillId="0" borderId="18" xfId="0" applyNumberFormat="1" applyFont="1" applyBorder="1" applyProtection="1">
      <protection hidden="1"/>
    </xf>
    <xf numFmtId="44" fontId="2" fillId="0" borderId="19" xfId="0" applyNumberFormat="1" applyFont="1" applyBorder="1" applyProtection="1">
      <protection hidden="1"/>
    </xf>
    <xf numFmtId="44" fontId="2" fillId="0" borderId="15" xfId="0" applyNumberFormat="1" applyFont="1" applyBorder="1" applyProtection="1">
      <protection hidden="1"/>
    </xf>
    <xf numFmtId="44" fontId="15" fillId="2" borderId="1" xfId="0" applyNumberFormat="1" applyFont="1" applyFill="1" applyBorder="1" applyProtection="1">
      <protection hidden="1"/>
    </xf>
    <xf numFmtId="44" fontId="15" fillId="3" borderId="5" xfId="1" applyFont="1" applyFill="1" applyBorder="1" applyProtection="1">
      <protection hidden="1"/>
    </xf>
    <xf numFmtId="44" fontId="2" fillId="0" borderId="20" xfId="0" applyNumberFormat="1" applyFont="1" applyBorder="1" applyProtection="1">
      <protection hidden="1"/>
    </xf>
    <xf numFmtId="0" fontId="15" fillId="3" borderId="20" xfId="0" applyNumberFormat="1" applyFont="1" applyFill="1" applyBorder="1" applyProtection="1">
      <protection locked="0" hidden="1"/>
    </xf>
    <xf numFmtId="0" fontId="15" fillId="3" borderId="7" xfId="0" applyFont="1" applyFill="1" applyBorder="1" applyProtection="1">
      <protection locked="0" hidden="1"/>
    </xf>
    <xf numFmtId="0" fontId="2" fillId="0" borderId="19" xfId="0" applyFont="1" applyBorder="1" applyProtection="1">
      <protection hidden="1"/>
    </xf>
    <xf numFmtId="0" fontId="2" fillId="0" borderId="22" xfId="0" applyFont="1" applyBorder="1" applyProtection="1">
      <protection hidden="1"/>
    </xf>
    <xf numFmtId="0" fontId="2" fillId="4" borderId="17" xfId="0" applyFont="1" applyFill="1" applyBorder="1" applyProtection="1">
      <protection hidden="1"/>
    </xf>
    <xf numFmtId="44" fontId="2" fillId="4" borderId="19" xfId="0" applyNumberFormat="1" applyFont="1" applyFill="1" applyBorder="1" applyProtection="1">
      <protection hidden="1"/>
    </xf>
    <xf numFmtId="0" fontId="0" fillId="0" borderId="0" xfId="0" applyProtection="1">
      <protection hidden="1"/>
    </xf>
    <xf numFmtId="0" fontId="2" fillId="0" borderId="17" xfId="0" applyFont="1" applyFill="1" applyBorder="1" applyProtection="1">
      <protection hidden="1"/>
    </xf>
    <xf numFmtId="44" fontId="0" fillId="0" borderId="19" xfId="0" applyNumberFormat="1" applyBorder="1" applyProtection="1">
      <protection hidden="1"/>
    </xf>
    <xf numFmtId="0" fontId="15" fillId="3" borderId="21" xfId="0" applyFont="1" applyFill="1" applyBorder="1" applyProtection="1">
      <protection locked="0" hidden="1"/>
    </xf>
    <xf numFmtId="44" fontId="15" fillId="3" borderId="20" xfId="1" applyFont="1" applyFill="1" applyBorder="1" applyProtection="1">
      <protection hidden="1"/>
    </xf>
    <xf numFmtId="44" fontId="15" fillId="3" borderId="10" xfId="1" applyFont="1" applyFill="1" applyBorder="1" applyProtection="1">
      <protection hidden="1"/>
    </xf>
    <xf numFmtId="0" fontId="15" fillId="3" borderId="11" xfId="0" applyFont="1" applyFill="1" applyBorder="1" applyProtection="1">
      <protection locked="0" hidden="1"/>
    </xf>
    <xf numFmtId="44" fontId="15" fillId="3" borderId="7" xfId="1" applyFont="1" applyFill="1" applyBorder="1" applyProtection="1">
      <protection hidden="1"/>
    </xf>
    <xf numFmtId="0" fontId="2" fillId="0" borderId="23" xfId="0" applyFont="1" applyBorder="1" applyProtection="1">
      <protection hidden="1"/>
    </xf>
    <xf numFmtId="0" fontId="2" fillId="0" borderId="24" xfId="0" applyFont="1" applyBorder="1" applyProtection="1">
      <protection hidden="1"/>
    </xf>
    <xf numFmtId="44" fontId="15" fillId="3" borderId="25" xfId="1" applyFont="1" applyFill="1" applyBorder="1" applyProtection="1">
      <protection locked="0" hidden="1"/>
    </xf>
    <xf numFmtId="0" fontId="2" fillId="0" borderId="12" xfId="0" applyFont="1" applyBorder="1" applyProtection="1">
      <protection hidden="1"/>
    </xf>
    <xf numFmtId="0" fontId="2" fillId="0" borderId="26" xfId="0" applyFont="1" applyBorder="1" applyProtection="1">
      <protection hidden="1"/>
    </xf>
    <xf numFmtId="0" fontId="2" fillId="0" borderId="27" xfId="0" applyFont="1" applyBorder="1" applyProtection="1">
      <protection hidden="1"/>
    </xf>
    <xf numFmtId="44" fontId="2" fillId="0" borderId="28" xfId="0" applyNumberFormat="1" applyFont="1" applyBorder="1" applyProtection="1">
      <protection hidden="1"/>
    </xf>
    <xf numFmtId="0" fontId="13" fillId="2" borderId="9" xfId="0" applyFont="1" applyFill="1" applyBorder="1" applyProtection="1">
      <protection hidden="1"/>
    </xf>
    <xf numFmtId="0" fontId="2" fillId="0" borderId="0" xfId="0" applyFont="1" applyAlignment="1" applyProtection="1">
      <alignment wrapText="1"/>
      <protection hidden="1"/>
    </xf>
    <xf numFmtId="44" fontId="8" fillId="0" borderId="26" xfId="1" applyFont="1" applyBorder="1" applyProtection="1">
      <protection hidden="1"/>
    </xf>
    <xf numFmtId="0" fontId="15" fillId="2" borderId="13" xfId="0" applyFont="1" applyFill="1" applyBorder="1" applyProtection="1">
      <protection hidden="1"/>
    </xf>
    <xf numFmtId="44" fontId="2" fillId="0" borderId="20" xfId="1" applyFont="1" applyBorder="1" applyProtection="1">
      <protection hidden="1"/>
    </xf>
    <xf numFmtId="44" fontId="2" fillId="0" borderId="21" xfId="0" applyNumberFormat="1" applyFont="1" applyBorder="1" applyProtection="1">
      <protection hidden="1"/>
    </xf>
    <xf numFmtId="0" fontId="2" fillId="3" borderId="21" xfId="0" applyFont="1" applyFill="1" applyBorder="1" applyProtection="1">
      <protection locked="0" hidden="1"/>
    </xf>
    <xf numFmtId="0" fontId="2" fillId="3" borderId="11" xfId="0" applyNumberFormat="1" applyFont="1" applyFill="1" applyBorder="1" applyProtection="1">
      <protection locked="0" hidden="1"/>
    </xf>
    <xf numFmtId="44" fontId="2" fillId="3" borderId="21" xfId="1" applyFont="1" applyFill="1" applyBorder="1" applyProtection="1">
      <protection locked="0" hidden="1"/>
    </xf>
    <xf numFmtId="0" fontId="2" fillId="0" borderId="14" xfId="0" applyFont="1" applyBorder="1" applyProtection="1">
      <protection hidden="1"/>
    </xf>
    <xf numFmtId="44" fontId="15" fillId="3" borderId="19" xfId="1" applyFont="1" applyFill="1" applyBorder="1" applyProtection="1">
      <protection locked="0"/>
    </xf>
    <xf numFmtId="0" fontId="15" fillId="2" borderId="18" xfId="0" applyFont="1" applyFill="1" applyBorder="1" applyProtection="1">
      <protection hidden="1"/>
    </xf>
    <xf numFmtId="0" fontId="4" fillId="0" borderId="0" xfId="2" applyFont="1" applyAlignment="1" applyProtection="1">
      <alignment horizontal="left" vertical="top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/>
      <protection hidden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srfernando1985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srfernando1985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fsrfernando19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workbookViewId="0">
      <selection activeCell="C5" sqref="C5"/>
    </sheetView>
  </sheetViews>
  <sheetFormatPr defaultRowHeight="15" x14ac:dyDescent="0.25"/>
  <cols>
    <col min="1" max="1" width="9.140625" style="1"/>
    <col min="2" max="2" width="28.140625" style="1" bestFit="1" customWidth="1"/>
    <col min="3" max="3" width="17.42578125" style="1" bestFit="1" customWidth="1"/>
    <col min="4" max="4" width="17.28515625" style="1" bestFit="1" customWidth="1"/>
    <col min="5" max="5" width="46.85546875" style="1" bestFit="1" customWidth="1"/>
    <col min="6" max="7" width="13.85546875" style="1" bestFit="1" customWidth="1"/>
    <col min="8" max="8" width="11.140625" style="1" bestFit="1" customWidth="1"/>
    <col min="9" max="9" width="15" style="1" bestFit="1" customWidth="1"/>
    <col min="10" max="10" width="13.85546875" style="1" bestFit="1" customWidth="1"/>
    <col min="11" max="16384" width="9.140625" style="1"/>
  </cols>
  <sheetData>
    <row r="1" spans="2:5" x14ac:dyDescent="0.25">
      <c r="B1" s="60" t="s">
        <v>39</v>
      </c>
      <c r="C1" s="60" t="s">
        <v>42</v>
      </c>
      <c r="D1" s="60" t="s">
        <v>40</v>
      </c>
      <c r="E1" s="61" t="s">
        <v>41</v>
      </c>
    </row>
    <row r="2" spans="2:5" x14ac:dyDescent="0.25">
      <c r="D2" s="107"/>
      <c r="E2" s="107"/>
    </row>
    <row r="3" spans="2:5" s="3" customFormat="1" x14ac:dyDescent="0.25">
      <c r="B3" s="108" t="s">
        <v>0</v>
      </c>
      <c r="C3" s="108"/>
      <c r="D3" s="50">
        <f>'Relatório da Folha'!E31</f>
        <v>1652.969696969697</v>
      </c>
      <c r="E3" s="2" t="s">
        <v>1</v>
      </c>
    </row>
    <row r="4" spans="2:5" s="3" customFormat="1" x14ac:dyDescent="0.25">
      <c r="B4" s="4" t="s">
        <v>2</v>
      </c>
      <c r="C4" s="4" t="s">
        <v>3</v>
      </c>
      <c r="D4" s="4" t="s">
        <v>4</v>
      </c>
    </row>
    <row r="5" spans="2:5" x14ac:dyDescent="0.25">
      <c r="B5" s="5" t="s">
        <v>44</v>
      </c>
      <c r="C5" s="6" t="str">
        <f>IF(D3&gt;=1100,"R$ 1100,00",IF(D3&lt;=1100,D3,))</f>
        <v>R$ 1100,00</v>
      </c>
      <c r="D5" s="7">
        <f>SUM(C5*7.5%)</f>
        <v>82.5</v>
      </c>
    </row>
    <row r="6" spans="2:5" x14ac:dyDescent="0.25">
      <c r="B6" s="5" t="s">
        <v>45</v>
      </c>
      <c r="C6" s="6">
        <f>IF(D3&lt;=1100,"0",IF(D3&lt;=2203.48,D3-1100,IF(D3&gt;2203.48,2203.48-C5)))</f>
        <v>552.969696969697</v>
      </c>
      <c r="D6" s="7">
        <f>SUM(C6*9%)</f>
        <v>49.767272727272726</v>
      </c>
    </row>
    <row r="7" spans="2:5" x14ac:dyDescent="0.25">
      <c r="B7" s="5" t="s">
        <v>46</v>
      </c>
      <c r="C7" s="6" t="str">
        <f>IF(D3&lt;=2203.48,"0",IF(D3&lt;=3305.22,D3-C5-C6,IF(D3&gt;3305.22,3305.22-C6-C5)))</f>
        <v>0</v>
      </c>
      <c r="D7" s="7">
        <f>SUM(C7*12%)</f>
        <v>0</v>
      </c>
    </row>
    <row r="8" spans="2:5" x14ac:dyDescent="0.25">
      <c r="B8" s="5" t="s">
        <v>47</v>
      </c>
      <c r="C8" s="6" t="str">
        <f>IF(D3&lt;=3305.22,"0",IF(D3&lt;6433.57,D3-C7-C6-C5,IF(D3&gt;6433.57,6433.57-C7-C6-C5)))</f>
        <v>0</v>
      </c>
      <c r="D8" s="7">
        <f>SUM(C8*14%)</f>
        <v>0</v>
      </c>
    </row>
    <row r="9" spans="2:5" x14ac:dyDescent="0.25">
      <c r="B9" s="8" t="s">
        <v>5</v>
      </c>
      <c r="C9" s="8">
        <f>SUM(C5:C8)</f>
        <v>552.969696969697</v>
      </c>
      <c r="D9" s="8">
        <f>SUM(D5:D8)</f>
        <v>132.26727272727271</v>
      </c>
    </row>
    <row r="10" spans="2:5" ht="15.75" thickBot="1" x14ac:dyDescent="0.3"/>
    <row r="11" spans="2:5" ht="15.75" thickBot="1" x14ac:dyDescent="0.3">
      <c r="B11" s="66" t="s">
        <v>50</v>
      </c>
      <c r="C11" s="76">
        <f>IF(D3&lt;=1503.27,"R$ 51,27",IF(D3&gt;1503.27,D2,))</f>
        <v>0</v>
      </c>
      <c r="D11" s="104" t="str">
        <f>IF(C14=0,"R$ 0",IF(C14&gt;0,C11,))</f>
        <v>R$ 0</v>
      </c>
    </row>
    <row r="12" spans="2:5" ht="15.75" thickBot="1" x14ac:dyDescent="0.3"/>
    <row r="13" spans="2:5" x14ac:dyDescent="0.25">
      <c r="B13" s="109" t="s">
        <v>6</v>
      </c>
      <c r="C13" s="110"/>
    </row>
    <row r="14" spans="2:5" x14ac:dyDescent="0.25">
      <c r="B14" s="9" t="s">
        <v>7</v>
      </c>
      <c r="C14" s="51">
        <f>'Relatório da Folha'!E7</f>
        <v>0</v>
      </c>
      <c r="D14" s="2" t="s">
        <v>8</v>
      </c>
    </row>
    <row r="15" spans="2:5" ht="15.75" thickBot="1" x14ac:dyDescent="0.3">
      <c r="B15" s="10" t="s">
        <v>9</v>
      </c>
      <c r="C15" s="11">
        <f>$D$3-$D$9</f>
        <v>1520.7024242424243</v>
      </c>
    </row>
    <row r="16" spans="2:5" ht="15.75" thickBot="1" x14ac:dyDescent="0.3"/>
    <row r="17" spans="2:10" x14ac:dyDescent="0.25">
      <c r="B17" s="12" t="s">
        <v>10</v>
      </c>
      <c r="C17" s="13"/>
      <c r="D17" s="14"/>
      <c r="E17" s="15" t="s">
        <v>11</v>
      </c>
      <c r="F17" s="15"/>
      <c r="G17" s="15" t="s">
        <v>7</v>
      </c>
      <c r="H17" s="15"/>
      <c r="I17" s="15" t="s">
        <v>12</v>
      </c>
      <c r="J17" s="16" t="s">
        <v>13</v>
      </c>
    </row>
    <row r="18" spans="2:10" x14ac:dyDescent="0.25">
      <c r="B18" s="17"/>
      <c r="C18" s="18">
        <f>IF($C$15&lt;B19,0,IF(,$C$15&gt;=B19,$C$15))</f>
        <v>0</v>
      </c>
      <c r="D18" s="5"/>
      <c r="E18" s="19"/>
      <c r="F18" s="20"/>
      <c r="G18" s="20">
        <f>IF(F19=0,0,IF(,F19&lt;0,C14*189.59))</f>
        <v>0</v>
      </c>
      <c r="H18" s="20">
        <v>100</v>
      </c>
      <c r="I18" s="20">
        <v>7.5</v>
      </c>
      <c r="J18" s="21">
        <v>142.80000000000001</v>
      </c>
    </row>
    <row r="19" spans="2:10" x14ac:dyDescent="0.25">
      <c r="B19" s="22">
        <v>1903.99</v>
      </c>
      <c r="C19" s="23">
        <f>IF(,$C$18&lt;=B21,$C$18)</f>
        <v>0</v>
      </c>
      <c r="D19" s="24">
        <f>IF($C$19&gt;B22,0,IF(,$C$19&lt;=B21,$C$19))</f>
        <v>0</v>
      </c>
      <c r="E19" s="25">
        <f>D19</f>
        <v>0</v>
      </c>
      <c r="F19" s="25">
        <f>E19</f>
        <v>0</v>
      </c>
      <c r="G19" s="25">
        <f>F19-G18</f>
        <v>0</v>
      </c>
      <c r="H19" s="25">
        <f>G19/H18</f>
        <v>0</v>
      </c>
      <c r="I19" s="25">
        <f>H19*I18</f>
        <v>0</v>
      </c>
      <c r="J19" s="26">
        <f>IF(I19=0,0,IF(,I19&gt;0,I19-J18))</f>
        <v>0</v>
      </c>
    </row>
    <row r="20" spans="2:10" x14ac:dyDescent="0.25">
      <c r="B20" s="17"/>
      <c r="C20" s="27"/>
      <c r="D20" s="5"/>
      <c r="E20" s="19"/>
      <c r="F20" s="19"/>
      <c r="G20" s="19"/>
      <c r="H20" s="19"/>
      <c r="I20" s="19"/>
      <c r="J20" s="28"/>
    </row>
    <row r="21" spans="2:10" x14ac:dyDescent="0.25">
      <c r="B21" s="29">
        <v>2826.65</v>
      </c>
      <c r="C21" s="18">
        <f>IF($C$15&lt;B22,0,IF(,$C$15&gt;=B22,$C$15))</f>
        <v>0</v>
      </c>
      <c r="D21" s="5"/>
      <c r="E21" s="19"/>
      <c r="F21" s="20"/>
      <c r="G21" s="20">
        <f>IF(F22=0,0,IF(,F22&lt;0,C14*189.59))</f>
        <v>0</v>
      </c>
      <c r="H21" s="20">
        <v>100</v>
      </c>
      <c r="I21" s="20">
        <v>15</v>
      </c>
      <c r="J21" s="21">
        <v>354.8</v>
      </c>
    </row>
    <row r="22" spans="2:10" x14ac:dyDescent="0.25">
      <c r="B22" s="22">
        <v>2826.66</v>
      </c>
      <c r="C22" s="23">
        <f>IF(,$C$21&gt;=B22,$C$21)</f>
        <v>0</v>
      </c>
      <c r="D22" s="24">
        <f>IF($C$22&gt;B25,0,IF(,$C$22&lt;=B24,$C$22))</f>
        <v>0</v>
      </c>
      <c r="E22" s="25">
        <f>D22</f>
        <v>0</v>
      </c>
      <c r="F22" s="25">
        <f>E22</f>
        <v>0</v>
      </c>
      <c r="G22" s="25">
        <f>F22-G21</f>
        <v>0</v>
      </c>
      <c r="H22" s="25">
        <f>G22/H21</f>
        <v>0</v>
      </c>
      <c r="I22" s="25">
        <f>H22*I21</f>
        <v>0</v>
      </c>
      <c r="J22" s="26">
        <f>IF(I22=0,0,IF(,I22&gt;0,I22-J21))</f>
        <v>0</v>
      </c>
    </row>
    <row r="23" spans="2:10" x14ac:dyDescent="0.25">
      <c r="B23" s="17"/>
      <c r="C23" s="27"/>
      <c r="D23" s="5"/>
      <c r="E23" s="19"/>
      <c r="F23" s="19"/>
      <c r="G23" s="19"/>
      <c r="H23" s="19"/>
      <c r="I23" s="19"/>
      <c r="J23" s="28"/>
    </row>
    <row r="24" spans="2:10" x14ac:dyDescent="0.25">
      <c r="B24" s="29">
        <v>3751.05</v>
      </c>
      <c r="C24" s="18">
        <f>IF($C$15&lt;B25,0,IF(,$C$15&gt;=B25,$C$15))</f>
        <v>0</v>
      </c>
      <c r="D24" s="5"/>
      <c r="E24" s="19"/>
      <c r="F24" s="20"/>
      <c r="G24" s="20">
        <f>IF(F25=0,0,IF(,F25&lt;0,C14*189.59))</f>
        <v>0</v>
      </c>
      <c r="H24" s="20">
        <v>100</v>
      </c>
      <c r="I24" s="20">
        <v>22.5</v>
      </c>
      <c r="J24" s="21">
        <v>636.13</v>
      </c>
    </row>
    <row r="25" spans="2:10" x14ac:dyDescent="0.25">
      <c r="B25" s="22">
        <v>3751.06</v>
      </c>
      <c r="C25" s="23">
        <f>IF(,$C$24&gt;=B25,$C$24)</f>
        <v>0</v>
      </c>
      <c r="D25" s="24">
        <f>IF($C$25&gt;B28,0,IF(,$C$25&lt;=B27,$C$25))</f>
        <v>0</v>
      </c>
      <c r="E25" s="25">
        <f>D25</f>
        <v>0</v>
      </c>
      <c r="F25" s="25">
        <f>E25</f>
        <v>0</v>
      </c>
      <c r="G25" s="25">
        <f>F25-G24</f>
        <v>0</v>
      </c>
      <c r="H25" s="25">
        <f>G25/H24</f>
        <v>0</v>
      </c>
      <c r="I25" s="25">
        <f>H25*I24</f>
        <v>0</v>
      </c>
      <c r="J25" s="26">
        <f>IF(I25=0,0,IF(,I25&gt;0,I25-J24))</f>
        <v>0</v>
      </c>
    </row>
    <row r="26" spans="2:10" x14ac:dyDescent="0.25">
      <c r="B26" s="17"/>
      <c r="C26" s="27"/>
      <c r="D26" s="5"/>
      <c r="E26" s="20"/>
      <c r="F26" s="20"/>
      <c r="G26" s="20"/>
      <c r="H26" s="20"/>
      <c r="I26" s="20"/>
      <c r="J26" s="21"/>
    </row>
    <row r="27" spans="2:10" x14ac:dyDescent="0.25">
      <c r="B27" s="29">
        <v>4664.68</v>
      </c>
      <c r="C27" s="18">
        <f>IF($C$15&lt;B28,0,IF(,$C$15&gt;=B28,$C$15))</f>
        <v>0</v>
      </c>
      <c r="D27" s="5"/>
      <c r="E27" s="19"/>
      <c r="F27" s="20"/>
      <c r="G27" s="20">
        <f>IF(F28=0,0,IF(,F28&lt;0,C14*189.59))</f>
        <v>0</v>
      </c>
      <c r="H27" s="20">
        <v>100</v>
      </c>
      <c r="I27" s="20">
        <v>27.5</v>
      </c>
      <c r="J27" s="21">
        <v>869.36</v>
      </c>
    </row>
    <row r="28" spans="2:10" ht="15.75" thickBot="1" x14ac:dyDescent="0.3">
      <c r="B28" s="30">
        <v>4664.6899999999996</v>
      </c>
      <c r="C28" s="31">
        <f>IF(,$C$27&gt;=B28,$C$27)</f>
        <v>0</v>
      </c>
      <c r="D28" s="32">
        <f>IF($C$28&lt;B30,$C$28,IF(,$C$28&gt;=B31,0))</f>
        <v>0</v>
      </c>
      <c r="E28" s="33">
        <f>D28</f>
        <v>0</v>
      </c>
      <c r="F28" s="33">
        <f>E28</f>
        <v>0</v>
      </c>
      <c r="G28" s="33">
        <f>F28-G27</f>
        <v>0</v>
      </c>
      <c r="H28" s="33">
        <f>G28/H27</f>
        <v>0</v>
      </c>
      <c r="I28" s="33">
        <f>H28*I27</f>
        <v>0</v>
      </c>
      <c r="J28" s="34">
        <f>IF(I28=0,0,IF(,I28&gt;0,I28-J27))</f>
        <v>0</v>
      </c>
    </row>
    <row r="29" spans="2:10" ht="15.75" thickBot="1" x14ac:dyDescent="0.3">
      <c r="B29" s="35"/>
      <c r="I29" s="36" t="s">
        <v>13</v>
      </c>
      <c r="J29" s="37">
        <f>SUM(J19+J22+J25+J28)</f>
        <v>0</v>
      </c>
    </row>
    <row r="30" spans="2:10" x14ac:dyDescent="0.25">
      <c r="B30" s="38">
        <v>9999999999</v>
      </c>
    </row>
    <row r="31" spans="2:10" x14ac:dyDescent="0.25">
      <c r="B31" s="38">
        <v>9999999999</v>
      </c>
    </row>
  </sheetData>
  <sheetProtection algorithmName="SHA-512" hashValue="JRb2dpgG1CNSoF2+7ck6ku/skQQ5kys3StAJNvx6MIVgpx4yrP+Eikf91a/YATnP4TGm35MLY1mPtt9c0A+0Fg==" saltValue="8gEMZiCc9wDzSEX5O5qV5A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D2:E2"/>
    <mergeCell ref="B3:C3"/>
    <mergeCell ref="B13:C13"/>
  </mergeCells>
  <hyperlinks>
    <hyperlink ref="E1" r:id="rId1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3"/>
  <sheetViews>
    <sheetView tabSelected="1" topLeftCell="A5" workbookViewId="0">
      <selection activeCell="C25" sqref="C25"/>
    </sheetView>
  </sheetViews>
  <sheetFormatPr defaultRowHeight="15" x14ac:dyDescent="0.25"/>
  <cols>
    <col min="1" max="1" width="9.140625" style="1"/>
    <col min="2" max="2" width="54.85546875" style="1" customWidth="1"/>
    <col min="3" max="3" width="17.5703125" style="1" bestFit="1" customWidth="1"/>
    <col min="4" max="4" width="20.42578125" style="1" bestFit="1" customWidth="1"/>
    <col min="5" max="5" width="27.85546875" style="1" bestFit="1" customWidth="1"/>
    <col min="6" max="9" width="9.140625" style="1"/>
    <col min="10" max="10" width="12.7109375" style="1" bestFit="1" customWidth="1"/>
    <col min="11" max="16384" width="9.140625" style="1"/>
  </cols>
  <sheetData>
    <row r="1" spans="2:5" x14ac:dyDescent="0.25">
      <c r="B1" s="60" t="s">
        <v>39</v>
      </c>
      <c r="C1" s="60" t="s">
        <v>42</v>
      </c>
      <c r="D1" s="60" t="s">
        <v>40</v>
      </c>
      <c r="E1" s="61" t="s">
        <v>41</v>
      </c>
    </row>
    <row r="3" spans="2:5" x14ac:dyDescent="0.25">
      <c r="B3" s="40" t="s">
        <v>37</v>
      </c>
    </row>
    <row r="5" spans="2:5" x14ac:dyDescent="0.25">
      <c r="B5" s="1" t="s">
        <v>38</v>
      </c>
    </row>
    <row r="6" spans="2:5" x14ac:dyDescent="0.25">
      <c r="B6" s="1" t="s">
        <v>14</v>
      </c>
    </row>
    <row r="7" spans="2:5" x14ac:dyDescent="0.25">
      <c r="B7" s="1" t="s">
        <v>20</v>
      </c>
      <c r="E7" s="53">
        <v>0</v>
      </c>
    </row>
    <row r="8" spans="2:5" ht="15.75" thickBot="1" x14ac:dyDescent="0.3"/>
    <row r="9" spans="2:5" ht="15.75" thickBot="1" x14ac:dyDescent="0.3">
      <c r="B9" s="39" t="s">
        <v>28</v>
      </c>
      <c r="E9" s="40" t="s">
        <v>30</v>
      </c>
    </row>
    <row r="10" spans="2:5" ht="15.75" thickBot="1" x14ac:dyDescent="0.3">
      <c r="B10" s="88" t="s">
        <v>15</v>
      </c>
      <c r="C10" s="89"/>
      <c r="D10" s="89"/>
      <c r="E10" s="90">
        <v>1300</v>
      </c>
    </row>
    <row r="11" spans="2:5" x14ac:dyDescent="0.25">
      <c r="B11" s="41" t="s">
        <v>24</v>
      </c>
      <c r="C11" s="14"/>
      <c r="D11" s="14"/>
      <c r="E11" s="48">
        <v>0</v>
      </c>
    </row>
    <row r="12" spans="2:5" x14ac:dyDescent="0.25">
      <c r="B12" s="42"/>
      <c r="C12" s="5" t="s">
        <v>26</v>
      </c>
      <c r="D12" s="5" t="s">
        <v>27</v>
      </c>
      <c r="E12" s="72"/>
    </row>
    <row r="13" spans="2:5" ht="15.75" thickBot="1" x14ac:dyDescent="0.3">
      <c r="B13" s="77" t="s">
        <v>25</v>
      </c>
      <c r="C13" s="83">
        <v>22</v>
      </c>
      <c r="D13" s="83">
        <v>8</v>
      </c>
      <c r="E13" s="84">
        <f>(E11/C13)*D13</f>
        <v>0</v>
      </c>
    </row>
    <row r="14" spans="2:5" ht="15.75" thickBot="1" x14ac:dyDescent="0.3">
      <c r="B14" s="66" t="s">
        <v>68</v>
      </c>
      <c r="C14" s="106"/>
      <c r="D14" s="106"/>
      <c r="E14" s="105">
        <v>0</v>
      </c>
    </row>
    <row r="15" spans="2:5" x14ac:dyDescent="0.25">
      <c r="B15" s="41"/>
      <c r="C15" s="95" t="s">
        <v>56</v>
      </c>
      <c r="D15" s="95" t="s">
        <v>57</v>
      </c>
      <c r="E15" s="85"/>
    </row>
    <row r="16" spans="2:5" x14ac:dyDescent="0.25">
      <c r="B16" s="42"/>
      <c r="C16" s="49">
        <v>60</v>
      </c>
      <c r="D16" s="49">
        <v>0</v>
      </c>
      <c r="E16" s="72"/>
    </row>
    <row r="17" spans="2:5" x14ac:dyDescent="0.25">
      <c r="B17" s="42" t="s">
        <v>49</v>
      </c>
      <c r="C17" s="71">
        <f>((((E10+E11+E13)/220)/100)*C16)+((E10+E11+E13)/220)</f>
        <v>9.454545454545455</v>
      </c>
      <c r="D17" s="71">
        <f>C17*D16</f>
        <v>0</v>
      </c>
      <c r="E17" s="72">
        <f>D17</f>
        <v>0</v>
      </c>
    </row>
    <row r="18" spans="2:5" x14ac:dyDescent="0.25">
      <c r="B18" s="42"/>
      <c r="C18" s="5" t="s">
        <v>26</v>
      </c>
      <c r="D18" s="5" t="s">
        <v>27</v>
      </c>
      <c r="E18" s="72"/>
    </row>
    <row r="19" spans="2:5" ht="15.75" thickBot="1" x14ac:dyDescent="0.3">
      <c r="B19" s="77" t="s">
        <v>51</v>
      </c>
      <c r="C19" s="83">
        <v>22</v>
      </c>
      <c r="D19" s="83">
        <v>8</v>
      </c>
      <c r="E19" s="84">
        <f>(E17/C19)*D19</f>
        <v>0</v>
      </c>
    </row>
    <row r="20" spans="2:5" x14ac:dyDescent="0.25">
      <c r="B20" s="41"/>
      <c r="C20" s="95" t="s">
        <v>56</v>
      </c>
      <c r="D20" s="95" t="s">
        <v>57</v>
      </c>
      <c r="E20" s="85"/>
    </row>
    <row r="21" spans="2:5" x14ac:dyDescent="0.25">
      <c r="B21" s="42"/>
      <c r="C21" s="49">
        <v>100</v>
      </c>
      <c r="D21" s="49">
        <v>25.6</v>
      </c>
      <c r="E21" s="72"/>
    </row>
    <row r="22" spans="2:5" x14ac:dyDescent="0.25">
      <c r="B22" s="42" t="s">
        <v>49</v>
      </c>
      <c r="C22" s="71">
        <f>((((E10+E11+E13)/220)/100)*C21)+((E10+E11+E13)/220)</f>
        <v>11.818181818181818</v>
      </c>
      <c r="D22" s="71">
        <f>C22*D21</f>
        <v>302.54545454545456</v>
      </c>
      <c r="E22" s="72">
        <f>D22</f>
        <v>302.54545454545456</v>
      </c>
    </row>
    <row r="23" spans="2:5" x14ac:dyDescent="0.25">
      <c r="B23" s="42"/>
      <c r="C23" s="5" t="s">
        <v>26</v>
      </c>
      <c r="D23" s="5" t="s">
        <v>27</v>
      </c>
      <c r="E23" s="72"/>
    </row>
    <row r="24" spans="2:5" ht="15.75" thickBot="1" x14ac:dyDescent="0.3">
      <c r="B24" s="77" t="s">
        <v>51</v>
      </c>
      <c r="C24" s="83">
        <v>24</v>
      </c>
      <c r="D24" s="83">
        <v>4</v>
      </c>
      <c r="E24" s="84">
        <f>(E22/C24)*D24</f>
        <v>50.424242424242429</v>
      </c>
    </row>
    <row r="25" spans="2:5" x14ac:dyDescent="0.25">
      <c r="B25" s="41"/>
      <c r="C25" s="95" t="s">
        <v>56</v>
      </c>
      <c r="D25" s="95" t="s">
        <v>57</v>
      </c>
      <c r="E25" s="85"/>
    </row>
    <row r="26" spans="2:5" x14ac:dyDescent="0.25">
      <c r="B26" s="42"/>
      <c r="C26" s="49">
        <v>30</v>
      </c>
      <c r="D26" s="49">
        <v>0</v>
      </c>
      <c r="E26" s="72"/>
    </row>
    <row r="27" spans="2:5" x14ac:dyDescent="0.25">
      <c r="B27" s="42" t="s">
        <v>60</v>
      </c>
      <c r="C27" s="71">
        <f>((((E10+E11)/220)/100)*C26)</f>
        <v>1.7727272727272727</v>
      </c>
      <c r="D27" s="71">
        <f>C27*D26</f>
        <v>0</v>
      </c>
      <c r="E27" s="72">
        <f>D27</f>
        <v>0</v>
      </c>
    </row>
    <row r="28" spans="2:5" x14ac:dyDescent="0.25">
      <c r="B28" s="42"/>
      <c r="C28" s="5" t="s">
        <v>26</v>
      </c>
      <c r="D28" s="5" t="s">
        <v>27</v>
      </c>
      <c r="E28" s="72"/>
    </row>
    <row r="29" spans="2:5" ht="15.75" thickBot="1" x14ac:dyDescent="0.3">
      <c r="B29" s="43" t="s">
        <v>51</v>
      </c>
      <c r="C29" s="86">
        <v>22</v>
      </c>
      <c r="D29" s="86">
        <v>8</v>
      </c>
      <c r="E29" s="87">
        <f>(E27/C29)*D29</f>
        <v>0</v>
      </c>
    </row>
    <row r="30" spans="2:5" ht="15.75" thickBot="1" x14ac:dyDescent="0.3">
      <c r="B30" s="91" t="s">
        <v>50</v>
      </c>
      <c r="C30" s="97">
        <v>51.27</v>
      </c>
      <c r="D30" s="92" t="str">
        <f>Fórmula!D11</f>
        <v>R$ 0</v>
      </c>
      <c r="E30" s="98"/>
    </row>
    <row r="31" spans="2:5" ht="15.75" thickBot="1" x14ac:dyDescent="0.3">
      <c r="B31" s="91"/>
      <c r="C31" s="92"/>
      <c r="D31" s="93" t="s">
        <v>58</v>
      </c>
      <c r="E31" s="94">
        <f>SUM(E10:E30)</f>
        <v>1652.969696969697</v>
      </c>
    </row>
    <row r="32" spans="2:5" ht="15.75" thickBot="1" x14ac:dyDescent="0.3">
      <c r="B32" s="62"/>
      <c r="C32" s="62"/>
      <c r="D32" s="66" t="s">
        <v>59</v>
      </c>
      <c r="E32" s="69">
        <f>E31+D30</f>
        <v>1652.969696969697</v>
      </c>
    </row>
    <row r="33" spans="2:5" ht="15.75" thickBot="1" x14ac:dyDescent="0.3"/>
    <row r="34" spans="2:5" ht="15.75" thickBot="1" x14ac:dyDescent="0.3">
      <c r="B34" s="39" t="s">
        <v>31</v>
      </c>
    </row>
    <row r="35" spans="2:5" x14ac:dyDescent="0.25">
      <c r="B35" s="41" t="s">
        <v>16</v>
      </c>
      <c r="C35" s="14"/>
      <c r="D35" s="14"/>
      <c r="E35" s="45">
        <f>Fórmula!D9</f>
        <v>132.26727272727271</v>
      </c>
    </row>
    <row r="36" spans="2:5" x14ac:dyDescent="0.25">
      <c r="B36" s="42" t="s">
        <v>33</v>
      </c>
      <c r="C36" s="5"/>
      <c r="D36" s="5"/>
      <c r="E36" s="46">
        <f>(E31/100)*8</f>
        <v>132.23757575757577</v>
      </c>
    </row>
    <row r="37" spans="2:5" x14ac:dyDescent="0.25">
      <c r="B37" s="42" t="s">
        <v>34</v>
      </c>
      <c r="C37" s="5"/>
      <c r="D37" s="5"/>
      <c r="E37" s="46">
        <f>Fórmula!J19</f>
        <v>0</v>
      </c>
    </row>
    <row r="38" spans="2:5" x14ac:dyDescent="0.25">
      <c r="B38" s="42" t="s">
        <v>17</v>
      </c>
      <c r="C38" s="5"/>
      <c r="D38" s="5"/>
      <c r="E38" s="46">
        <f>Fórmula!J22</f>
        <v>0</v>
      </c>
    </row>
    <row r="39" spans="2:5" x14ac:dyDescent="0.25">
      <c r="B39" s="42" t="s">
        <v>18</v>
      </c>
      <c r="C39" s="5"/>
      <c r="D39" s="5"/>
      <c r="E39" s="46">
        <f>Fórmula!J25</f>
        <v>0</v>
      </c>
    </row>
    <row r="40" spans="2:5" x14ac:dyDescent="0.25">
      <c r="B40" s="42" t="s">
        <v>19</v>
      </c>
      <c r="C40" s="5"/>
      <c r="D40" s="5"/>
      <c r="E40" s="46">
        <f>Fórmula!J28</f>
        <v>0</v>
      </c>
    </row>
    <row r="41" spans="2:5" x14ac:dyDescent="0.25">
      <c r="B41" s="77" t="s">
        <v>66</v>
      </c>
      <c r="C41" s="101">
        <v>0</v>
      </c>
      <c r="D41" s="100"/>
      <c r="E41" s="99">
        <f>(E10/100)*C41</f>
        <v>0</v>
      </c>
    </row>
    <row r="42" spans="2:5" x14ac:dyDescent="0.25">
      <c r="B42" s="77" t="s">
        <v>67</v>
      </c>
      <c r="C42" s="103">
        <v>0</v>
      </c>
      <c r="D42" s="100"/>
      <c r="E42" s="99">
        <f>C42</f>
        <v>0</v>
      </c>
    </row>
    <row r="43" spans="2:5" ht="15.75" thickBot="1" x14ac:dyDescent="0.3">
      <c r="B43" s="43" t="s">
        <v>43</v>
      </c>
      <c r="C43" s="52">
        <v>3700</v>
      </c>
      <c r="D43" s="102">
        <v>0</v>
      </c>
      <c r="E43" s="44">
        <f>(C43/100)*D43</f>
        <v>0</v>
      </c>
    </row>
    <row r="44" spans="2:5" ht="15.75" thickBot="1" x14ac:dyDescent="0.3">
      <c r="B44" s="62"/>
      <c r="C44" s="64"/>
      <c r="D44" s="70" t="s">
        <v>29</v>
      </c>
      <c r="E44" s="65">
        <f>SUM(E37:E43)+E35</f>
        <v>132.26727272727271</v>
      </c>
    </row>
    <row r="45" spans="2:5" ht="15.75" thickBot="1" x14ac:dyDescent="0.3">
      <c r="B45" s="62"/>
      <c r="C45" s="64"/>
      <c r="D45" s="63"/>
      <c r="E45" s="63"/>
    </row>
    <row r="46" spans="2:5" ht="15.75" thickBot="1" x14ac:dyDescent="0.3">
      <c r="B46" s="66" t="s">
        <v>48</v>
      </c>
      <c r="C46" s="67"/>
      <c r="D46" s="68"/>
      <c r="E46" s="69">
        <f>SUM(E31-E44)</f>
        <v>1520.7024242424243</v>
      </c>
    </row>
    <row r="47" spans="2:5" ht="15.75" thickBot="1" x14ac:dyDescent="0.3"/>
    <row r="48" spans="2:5" x14ac:dyDescent="0.25">
      <c r="B48" s="59" t="s">
        <v>36</v>
      </c>
      <c r="C48" s="55"/>
    </row>
    <row r="49" spans="2:5" x14ac:dyDescent="0.25">
      <c r="B49" s="42" t="s">
        <v>21</v>
      </c>
      <c r="C49" s="56">
        <f>E35</f>
        <v>132.26727272727271</v>
      </c>
    </row>
    <row r="50" spans="2:5" x14ac:dyDescent="0.25">
      <c r="B50" s="42" t="s">
        <v>22</v>
      </c>
      <c r="C50" s="56">
        <f>E36</f>
        <v>132.23757575757577</v>
      </c>
    </row>
    <row r="51" spans="2:5" x14ac:dyDescent="0.25">
      <c r="B51" s="42" t="s">
        <v>23</v>
      </c>
      <c r="C51" s="56">
        <f>SUM(E37:E40)</f>
        <v>0</v>
      </c>
      <c r="E51" s="47"/>
    </row>
    <row r="52" spans="2:5" x14ac:dyDescent="0.25">
      <c r="B52" s="42" t="s">
        <v>61</v>
      </c>
      <c r="C52" s="73" t="str">
        <f>D30</f>
        <v>R$ 0</v>
      </c>
      <c r="E52" s="47"/>
    </row>
    <row r="53" spans="2:5" ht="45.75" thickBot="1" x14ac:dyDescent="0.3">
      <c r="B53" s="57" t="s">
        <v>32</v>
      </c>
      <c r="C53" s="58"/>
    </row>
    <row r="55" spans="2:5" ht="15" customHeight="1" x14ac:dyDescent="0.25">
      <c r="B55" s="1" t="s">
        <v>35</v>
      </c>
    </row>
    <row r="56" spans="2:5" ht="15.75" thickBot="1" x14ac:dyDescent="0.3">
      <c r="B56" s="54"/>
    </row>
    <row r="57" spans="2:5" x14ac:dyDescent="0.25">
      <c r="B57" s="59" t="s">
        <v>52</v>
      </c>
      <c r="C57" s="55"/>
      <c r="D57" s="55"/>
    </row>
    <row r="58" spans="2:5" x14ac:dyDescent="0.25">
      <c r="B58" s="42" t="s">
        <v>22</v>
      </c>
      <c r="C58" s="56"/>
      <c r="D58" s="56">
        <f>E36</f>
        <v>132.23757575757577</v>
      </c>
    </row>
    <row r="59" spans="2:5" x14ac:dyDescent="0.25">
      <c r="B59" s="42" t="s">
        <v>23</v>
      </c>
      <c r="C59" s="56"/>
      <c r="D59" s="56">
        <f>SUM(E37:E40)</f>
        <v>0</v>
      </c>
    </row>
    <row r="60" spans="2:5" x14ac:dyDescent="0.25">
      <c r="B60" s="42" t="s">
        <v>61</v>
      </c>
      <c r="C60" s="56"/>
      <c r="D60" s="56" t="str">
        <f>D30</f>
        <v>R$ 0</v>
      </c>
    </row>
    <row r="61" spans="2:5" x14ac:dyDescent="0.25">
      <c r="B61" s="42" t="s">
        <v>53</v>
      </c>
      <c r="C61" s="56"/>
      <c r="D61" s="56">
        <f>E35</f>
        <v>132.26727272727271</v>
      </c>
    </row>
    <row r="62" spans="2:5" x14ac:dyDescent="0.25">
      <c r="B62" s="42" t="s">
        <v>54</v>
      </c>
      <c r="C62" s="74">
        <v>21</v>
      </c>
      <c r="D62" s="73">
        <f>(E31/100)*C62</f>
        <v>347.12363636363636</v>
      </c>
    </row>
    <row r="63" spans="2:5" ht="15.75" thickBot="1" x14ac:dyDescent="0.3">
      <c r="B63" s="57" t="s">
        <v>55</v>
      </c>
      <c r="C63" s="75">
        <v>5.8</v>
      </c>
      <c r="D63" s="44">
        <f>(E31/100)*C63</f>
        <v>95.87224242424243</v>
      </c>
    </row>
  </sheetData>
  <sheetProtection algorithmName="SHA-512" hashValue="r1aJTY6YRI8gOIp4NMbexhD9elMVfK4QONpPUlKZVLz1anDUoDp7ZhoxmV7xCQBwlhT2lBF2OseX4LjpmSCHAA==" saltValue="nCboYCxO87/0lDeDfEk0dw==" spinCount="100000" sheet="1" objects="1" scenarios="1" formatCells="0" formatColumns="0" formatRows="0" insertColumns="0" insertRows="0" insertHyperlinks="0" deleteColumns="0" deleteRows="0" sort="0" autoFilter="0" pivotTables="0"/>
  <hyperlinks>
    <hyperlink ref="E1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>
      <selection activeCell="B15" sqref="B15"/>
    </sheetView>
  </sheetViews>
  <sheetFormatPr defaultColWidth="111.28515625" defaultRowHeight="15" x14ac:dyDescent="0.25"/>
  <cols>
    <col min="1" max="1" width="24.28515625" style="80" customWidth="1"/>
    <col min="2" max="2" width="109.28515625" style="80" bestFit="1" customWidth="1"/>
    <col min="3" max="3" width="12.28515625" style="80" bestFit="1" customWidth="1"/>
    <col min="4" max="4" width="16.7109375" style="80" bestFit="1" customWidth="1"/>
    <col min="5" max="16384" width="111.28515625" style="80"/>
  </cols>
  <sheetData>
    <row r="1" spans="2:5" x14ac:dyDescent="0.25">
      <c r="B1" s="60" t="s">
        <v>39</v>
      </c>
      <c r="C1" s="60" t="s">
        <v>42</v>
      </c>
      <c r="D1" s="60" t="s">
        <v>40</v>
      </c>
      <c r="E1" s="61" t="s">
        <v>41</v>
      </c>
    </row>
    <row r="3" spans="2:5" ht="15.75" thickBot="1" x14ac:dyDescent="0.3"/>
    <row r="4" spans="2:5" x14ac:dyDescent="0.25">
      <c r="B4" s="59" t="s">
        <v>36</v>
      </c>
      <c r="C4" s="55"/>
      <c r="D4" s="1"/>
    </row>
    <row r="5" spans="2:5" x14ac:dyDescent="0.25">
      <c r="B5" s="42" t="s">
        <v>21</v>
      </c>
      <c r="C5" s="56">
        <f>'Relatório da Folha'!C49</f>
        <v>132.26727272727271</v>
      </c>
      <c r="D5" s="1"/>
    </row>
    <row r="6" spans="2:5" x14ac:dyDescent="0.25">
      <c r="B6" s="42" t="s">
        <v>22</v>
      </c>
      <c r="C6" s="56">
        <f>'Relatório da Folha'!C50</f>
        <v>132.23757575757577</v>
      </c>
      <c r="D6" s="1"/>
    </row>
    <row r="7" spans="2:5" x14ac:dyDescent="0.25">
      <c r="B7" s="42" t="s">
        <v>23</v>
      </c>
      <c r="C7" s="56">
        <f>'Relatório da Folha'!C51</f>
        <v>0</v>
      </c>
      <c r="D7" s="1"/>
    </row>
    <row r="8" spans="2:5" ht="15.75" thickBot="1" x14ac:dyDescent="0.3">
      <c r="B8" s="42" t="s">
        <v>61</v>
      </c>
      <c r="C8" s="56" t="str">
        <f>'Relatório da Folha'!C52</f>
        <v>R$ 0</v>
      </c>
      <c r="D8" s="1"/>
    </row>
    <row r="9" spans="2:5" ht="15.75" thickBot="1" x14ac:dyDescent="0.3">
      <c r="B9" s="78" t="s">
        <v>62</v>
      </c>
      <c r="C9" s="79">
        <f>SUM(C5:C8)-C8</f>
        <v>264.50484848484848</v>
      </c>
      <c r="D9" s="1"/>
    </row>
    <row r="10" spans="2:5" x14ac:dyDescent="0.25">
      <c r="B10" s="1"/>
      <c r="C10" s="1"/>
      <c r="D10" s="1"/>
    </row>
    <row r="11" spans="2:5" ht="15.75" thickBot="1" x14ac:dyDescent="0.3">
      <c r="B11" s="54"/>
      <c r="C11" s="1"/>
      <c r="D11" s="1"/>
    </row>
    <row r="12" spans="2:5" x14ac:dyDescent="0.25">
      <c r="B12" s="59" t="s">
        <v>52</v>
      </c>
      <c r="C12" s="55"/>
    </row>
    <row r="13" spans="2:5" x14ac:dyDescent="0.25">
      <c r="B13" s="42" t="s">
        <v>22</v>
      </c>
      <c r="C13" s="56">
        <f>'Relatório da Folha'!D58</f>
        <v>132.23757575757577</v>
      </c>
    </row>
    <row r="14" spans="2:5" x14ac:dyDescent="0.25">
      <c r="B14" s="42" t="s">
        <v>23</v>
      </c>
      <c r="C14" s="56">
        <f>'Relatório da Folha'!D59</f>
        <v>0</v>
      </c>
    </row>
    <row r="15" spans="2:5" x14ac:dyDescent="0.25">
      <c r="B15" s="42" t="s">
        <v>61</v>
      </c>
      <c r="C15" s="56" t="str">
        <f>'Relatório da Folha'!D60</f>
        <v>R$ 0</v>
      </c>
    </row>
    <row r="16" spans="2:5" x14ac:dyDescent="0.25">
      <c r="B16" s="42" t="s">
        <v>53</v>
      </c>
      <c r="C16" s="56">
        <f>'Relatório da Folha'!D61</f>
        <v>132.26727272727271</v>
      </c>
    </row>
    <row r="17" spans="2:3" x14ac:dyDescent="0.25">
      <c r="B17" s="42" t="s">
        <v>54</v>
      </c>
      <c r="C17" s="56">
        <f>'Relatório da Folha'!D62</f>
        <v>347.12363636363636</v>
      </c>
    </row>
    <row r="18" spans="2:3" ht="15.75" thickBot="1" x14ac:dyDescent="0.3">
      <c r="B18" s="57" t="s">
        <v>55</v>
      </c>
      <c r="C18" s="44">
        <f>'Relatório da Folha'!D63</f>
        <v>95.87224242424243</v>
      </c>
    </row>
    <row r="19" spans="2:3" ht="15.75" thickBot="1" x14ac:dyDescent="0.3"/>
    <row r="20" spans="2:3" ht="15.75" thickBot="1" x14ac:dyDescent="0.3">
      <c r="B20" s="81" t="s">
        <v>63</v>
      </c>
      <c r="C20" s="82">
        <f>SUM(C16:C18)-C15</f>
        <v>575.26315151515155</v>
      </c>
    </row>
    <row r="21" spans="2:3" ht="15.75" thickBot="1" x14ac:dyDescent="0.3"/>
    <row r="22" spans="2:3" ht="15.75" thickBot="1" x14ac:dyDescent="0.3">
      <c r="B22" s="78" t="s">
        <v>62</v>
      </c>
      <c r="C22" s="79">
        <f>SUM(C13:C18)-C14</f>
        <v>707.50072727272732</v>
      </c>
    </row>
    <row r="23" spans="2:3" ht="15.75" thickBot="1" x14ac:dyDescent="0.3"/>
    <row r="24" spans="2:3" ht="15.75" thickBot="1" x14ac:dyDescent="0.3">
      <c r="B24" s="78" t="s">
        <v>64</v>
      </c>
      <c r="C24" s="79">
        <f>'Relatório da Folha'!E46</f>
        <v>1520.7024242424243</v>
      </c>
    </row>
    <row r="27" spans="2:3" ht="30" x14ac:dyDescent="0.25">
      <c r="B27" s="96" t="s">
        <v>65</v>
      </c>
    </row>
  </sheetData>
  <sheetProtection algorithmName="SHA-512" hashValue="RFphxeIXImPYy/1fEVSE0aQ7098DjIXohjr/Moas9GVNkf1tsQXrwHTLt2PnH4lD22tasIRPL7nZOFszR6Fufg==" saltValue="asg0Bh1dtTNTQbdkpZccKQ==" spinCount="100000" sheet="1" objects="1" scenarios="1" formatCells="0" formatColumns="0" formatRows="0" insertColumns="0" insertRows="0" insertHyperlinks="0" deleteColumns="0" deleteRows="0" sort="0" autoFilter="0" pivotTables="0"/>
  <hyperlinks>
    <hyperlink ref="E1" r:id="rId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Fórmula</vt:lpstr>
      <vt:lpstr>Relatório da Folha</vt:lpstr>
      <vt:lpstr>Custo ao Empregador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2020-12-02T22:26:02Z</dcterms:created>
  <dcterms:modified xsi:type="dcterms:W3CDTF">2021-04-09T20:13:35Z</dcterms:modified>
</cp:coreProperties>
</file>