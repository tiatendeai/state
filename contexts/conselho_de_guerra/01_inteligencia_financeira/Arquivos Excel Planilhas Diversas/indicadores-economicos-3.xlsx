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merson\Faculdade\CEUNSP\Administração\Demonstrações Contábeis I\Exercícios\"/>
    </mc:Choice>
  </mc:AlternateContent>
  <bookViews>
    <workbookView xWindow="0" yWindow="0" windowWidth="19200" windowHeight="7755"/>
  </bookViews>
  <sheets>
    <sheet name="Dados" sheetId="1" r:id="rId1"/>
    <sheet name="Estrutura de Capital" sheetId="2" state="hidden" r:id="rId2"/>
    <sheet name="Liquidez" sheetId="4" state="hidden" r:id="rId3"/>
    <sheet name="Rentabilidade" sheetId="5" state="hidden" r:id="rId4"/>
    <sheet name="Prazo" sheetId="9" state="hidden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" l="1"/>
  <c r="F24" i="1"/>
  <c r="F14" i="1"/>
  <c r="C14" i="1"/>
  <c r="C46" i="1" l="1"/>
  <c r="C38" i="1"/>
  <c r="E22" i="9" l="1"/>
  <c r="E21" i="9"/>
  <c r="E15" i="9"/>
  <c r="E14" i="9"/>
  <c r="E7" i="9"/>
  <c r="G5" i="9"/>
  <c r="E5" i="9"/>
  <c r="J5" i="9" l="1"/>
  <c r="E8" i="9" s="1"/>
  <c r="E10" i="9" s="1"/>
  <c r="J10" i="9" s="1"/>
  <c r="G32" i="9" s="1"/>
  <c r="E24" i="9"/>
  <c r="J24" i="9" s="1"/>
  <c r="G28" i="9" s="1"/>
  <c r="E17" i="9"/>
  <c r="J17" i="9" s="1"/>
  <c r="E28" i="9" s="1"/>
  <c r="J28" i="9" l="1"/>
  <c r="E32" i="9" s="1"/>
  <c r="J32" i="9" s="1"/>
  <c r="F15" i="4"/>
  <c r="D5" i="4"/>
  <c r="G25" i="2"/>
  <c r="E25" i="2"/>
  <c r="I25" i="2" l="1"/>
  <c r="C32" i="1"/>
  <c r="C36" i="1" s="1"/>
  <c r="E20" i="5" s="1"/>
  <c r="F15" i="1"/>
  <c r="G11" i="2" s="1"/>
  <c r="F5" i="1"/>
  <c r="C5" i="1"/>
  <c r="C15" i="1"/>
  <c r="F20" i="4" s="1"/>
  <c r="C44" i="1" l="1"/>
  <c r="E15" i="5"/>
  <c r="E26" i="5"/>
  <c r="E31" i="5"/>
  <c r="E21" i="5"/>
  <c r="G20" i="5" s="1"/>
  <c r="J20" i="5" s="1"/>
  <c r="F21" i="4"/>
  <c r="G21" i="2"/>
  <c r="G5" i="2"/>
  <c r="D21" i="4"/>
  <c r="D6" i="4"/>
  <c r="F5" i="4" s="1"/>
  <c r="D16" i="4"/>
  <c r="H16" i="4" s="1"/>
  <c r="D11" i="4"/>
  <c r="E10" i="2"/>
  <c r="I10" i="2" s="1"/>
  <c r="E5" i="2"/>
  <c r="E11" i="2"/>
  <c r="I11" i="2" s="1"/>
  <c r="E15" i="2"/>
  <c r="I15" i="2" s="1"/>
  <c r="E20" i="2"/>
  <c r="I20" i="2" s="1"/>
  <c r="D10" i="4"/>
  <c r="D15" i="4"/>
  <c r="H15" i="4" s="1"/>
  <c r="J15" i="4" s="1"/>
  <c r="D20" i="4"/>
  <c r="H20" i="4" s="1"/>
  <c r="I5" i="2" l="1"/>
  <c r="E25" i="5"/>
  <c r="G25" i="5" s="1"/>
  <c r="J25" i="5" s="1"/>
  <c r="C51" i="1"/>
  <c r="F10" i="4"/>
  <c r="K10" i="2"/>
  <c r="N10" i="2" s="1"/>
  <c r="H21" i="4"/>
  <c r="J20" i="4" s="1"/>
  <c r="E26" i="2"/>
  <c r="I26" i="2" s="1"/>
  <c r="K25" i="2" s="1"/>
  <c r="N25" i="2" s="1"/>
  <c r="E16" i="5"/>
  <c r="G15" i="5" s="1"/>
  <c r="E11" i="5"/>
  <c r="C55" i="1" l="1"/>
  <c r="F21" i="1" l="1"/>
  <c r="F19" i="1" s="1"/>
  <c r="E10" i="5"/>
  <c r="G10" i="5" s="1"/>
  <c r="J10" i="5" s="1"/>
  <c r="J11" i="5" s="1"/>
  <c r="E5" i="5"/>
  <c r="E30" i="5"/>
  <c r="G30" i="5" s="1"/>
  <c r="J30" i="5" s="1"/>
  <c r="E21" i="2" l="1"/>
  <c r="I21" i="2" s="1"/>
  <c r="K20" i="2" s="1"/>
  <c r="N20" i="2" s="1"/>
  <c r="E16" i="2"/>
  <c r="I16" i="2" s="1"/>
  <c r="K15" i="2" s="1"/>
  <c r="N15" i="2" s="1"/>
  <c r="E6" i="5"/>
  <c r="G5" i="5" s="1"/>
  <c r="J5" i="5" s="1"/>
  <c r="E6" i="2" l="1"/>
  <c r="I6" i="2" s="1"/>
  <c r="K5" i="2" s="1"/>
  <c r="N5" i="2" s="1"/>
  <c r="G24" i="1"/>
</calcChain>
</file>

<file path=xl/sharedStrings.xml><?xml version="1.0" encoding="utf-8"?>
<sst xmlns="http://schemas.openxmlformats.org/spreadsheetml/2006/main" count="205" uniqueCount="98">
  <si>
    <t>Ativo</t>
  </si>
  <si>
    <t>Ativo Circulante</t>
  </si>
  <si>
    <t>Disponível</t>
  </si>
  <si>
    <t>Clientes</t>
  </si>
  <si>
    <t>Estoques</t>
  </si>
  <si>
    <t>Clientes a longo prazo</t>
  </si>
  <si>
    <t>Investimentos</t>
  </si>
  <si>
    <t>Imobilizado</t>
  </si>
  <si>
    <t>Total</t>
  </si>
  <si>
    <t>Passivo</t>
  </si>
  <si>
    <t>Passivo Circulante</t>
  </si>
  <si>
    <t>Fornecedores</t>
  </si>
  <si>
    <t>Obrigações trabalhistas</t>
  </si>
  <si>
    <t>Impostos, taxas e contribuições</t>
  </si>
  <si>
    <t>Obrigações administrativas</t>
  </si>
  <si>
    <t>Provisões</t>
  </si>
  <si>
    <t>Empréstimos e financiamentos</t>
  </si>
  <si>
    <t>Impostos a recuperar</t>
  </si>
  <si>
    <t>Patrimônio Líquido</t>
  </si>
  <si>
    <t>Capital Social</t>
  </si>
  <si>
    <t>Lucros / Prejuizos</t>
  </si>
  <si>
    <t>Reservas</t>
  </si>
  <si>
    <t>BALANÇO PATRIMONIAL (R$ MIL)</t>
  </si>
  <si>
    <t>DEMONSTRAÇÃO DE RESULTADO DO EXERCÍCIO (R$ MIL)</t>
  </si>
  <si>
    <t>Receita Operacional Bruta</t>
  </si>
  <si>
    <t>(-) Deduções</t>
  </si>
  <si>
    <t>(=) Receita Operacional Liquida</t>
  </si>
  <si>
    <t>(-) Custo das mercadorias vendidas</t>
  </si>
  <si>
    <t>(=) Lucro Bruto</t>
  </si>
  <si>
    <t>(-) Despesas Operacionais</t>
  </si>
  <si>
    <t>(=) Lucro Operacional</t>
  </si>
  <si>
    <t>(+/-) Receitas/Despesas não operac</t>
  </si>
  <si>
    <t>(=) Lucro antes do IR e CSLL</t>
  </si>
  <si>
    <t>(-) Provisão para IR e CSLL</t>
  </si>
  <si>
    <t>(=) Lucro Liquido</t>
  </si>
  <si>
    <t>Endividamento Geral</t>
  </si>
  <si>
    <t>PC + PELP</t>
  </si>
  <si>
    <t>Passivo Total</t>
  </si>
  <si>
    <t>x 100</t>
  </si>
  <si>
    <t>+</t>
  </si>
  <si>
    <t>=</t>
  </si>
  <si>
    <t>Composição do Endividamento</t>
  </si>
  <si>
    <t>PC</t>
  </si>
  <si>
    <t>Imobilização do patrimônio líquido</t>
  </si>
  <si>
    <t>AP</t>
  </si>
  <si>
    <t>PL</t>
  </si>
  <si>
    <t>Imobilização de recursos não recorrentes</t>
  </si>
  <si>
    <t>PL + PELP</t>
  </si>
  <si>
    <t>Passivo oneroso sobre o ativo</t>
  </si>
  <si>
    <t>ATIVO</t>
  </si>
  <si>
    <t>Liquidez imediata</t>
  </si>
  <si>
    <t>Liquidez Corrente</t>
  </si>
  <si>
    <t>AC</t>
  </si>
  <si>
    <t>Liquidez Seca</t>
  </si>
  <si>
    <t>AC - Estoque</t>
  </si>
  <si>
    <t>-</t>
  </si>
  <si>
    <t>Liquidez Geral</t>
  </si>
  <si>
    <t>AC + ARLP</t>
  </si>
  <si>
    <t>Rentabilidade do Patrimonio</t>
  </si>
  <si>
    <t>Lucro Liquido</t>
  </si>
  <si>
    <t>Patrimônio Liquido</t>
  </si>
  <si>
    <t>Rentabilidade dos ativos</t>
  </si>
  <si>
    <t>Ativo Total</t>
  </si>
  <si>
    <t>Giro do ativo</t>
  </si>
  <si>
    <t>Vendas Líquidas</t>
  </si>
  <si>
    <t>Margem bruta</t>
  </si>
  <si>
    <t>Lucro Bruto</t>
  </si>
  <si>
    <t>Receita Operacional Liquida</t>
  </si>
  <si>
    <t>Margem Operacional</t>
  </si>
  <si>
    <t>Lucro Líquido</t>
  </si>
  <si>
    <t>Margem Líquida</t>
  </si>
  <si>
    <t>Lucro Operacional</t>
  </si>
  <si>
    <t>Prazo médio de compra</t>
  </si>
  <si>
    <t>MC = CMV + Estoque Inicial - Estoque Final</t>
  </si>
  <si>
    <t>x 360</t>
  </si>
  <si>
    <t>x</t>
  </si>
  <si>
    <t>Montante de compras</t>
  </si>
  <si>
    <t>Prazo médio de estoques</t>
  </si>
  <si>
    <t>Custo da mercadoria vendida</t>
  </si>
  <si>
    <t>Prazo médio de recebimentos</t>
  </si>
  <si>
    <t>Ciclo operacional</t>
  </si>
  <si>
    <t>CO = PME + PMR</t>
  </si>
  <si>
    <t>Ciclo Financeiro</t>
  </si>
  <si>
    <t>CF = CO - PMC</t>
  </si>
  <si>
    <t>Outros contas a receber</t>
  </si>
  <si>
    <t>Intangível</t>
  </si>
  <si>
    <t>Fornecedores LP</t>
  </si>
  <si>
    <t>Administrativas</t>
  </si>
  <si>
    <t>Comercial</t>
  </si>
  <si>
    <t>Logistica</t>
  </si>
  <si>
    <t>Marketing</t>
  </si>
  <si>
    <t>Receitas Financeiras</t>
  </si>
  <si>
    <t>Juros Ativos</t>
  </si>
  <si>
    <t>Juros Passivos</t>
  </si>
  <si>
    <t>Realizavel a Longo Prazo</t>
  </si>
  <si>
    <t>Exigivel a Longo Prazo</t>
  </si>
  <si>
    <t>Ativo Não Circulante</t>
  </si>
  <si>
    <t>Passivo Não Circulante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</si>
</sst>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0" fillId="0" borderId="7" xfId="0" applyBorder="1"/>
    <xf numFmtId="43" fontId="0" fillId="0" borderId="0" xfId="1" applyFont="1" applyBorder="1"/>
    <xf numFmtId="0" fontId="0" fillId="0" borderId="0" xfId="0" applyBorder="1"/>
    <xf numFmtId="43" fontId="0" fillId="0" borderId="8" xfId="1" applyFont="1" applyBorder="1"/>
    <xf numFmtId="0" fontId="2" fillId="0" borderId="7" xfId="0" applyFont="1" applyBorder="1"/>
    <xf numFmtId="43" fontId="2" fillId="0" borderId="0" xfId="1" applyFont="1" applyBorder="1"/>
    <xf numFmtId="0" fontId="2" fillId="0" borderId="0" xfId="0" applyFont="1" applyBorder="1"/>
    <xf numFmtId="43" fontId="2" fillId="0" borderId="8" xfId="1" applyFont="1" applyBorder="1"/>
    <xf numFmtId="0" fontId="2" fillId="0" borderId="9" xfId="0" applyFont="1" applyBorder="1"/>
    <xf numFmtId="0" fontId="0" fillId="0" borderId="10" xfId="0" applyBorder="1"/>
    <xf numFmtId="43" fontId="2" fillId="0" borderId="11" xfId="1" applyFont="1" applyBorder="1"/>
    <xf numFmtId="0" fontId="2" fillId="0" borderId="5" xfId="0" applyFont="1" applyBorder="1"/>
    <xf numFmtId="0" fontId="0" fillId="0" borderId="0" xfId="0" applyAlignment="1">
      <alignment horizontal="center" wrapText="1"/>
    </xf>
    <xf numFmtId="0" fontId="0" fillId="0" borderId="7" xfId="0" applyFont="1" applyBorder="1"/>
    <xf numFmtId="43" fontId="1" fillId="0" borderId="8" xfId="1" applyFont="1" applyBorder="1"/>
    <xf numFmtId="0" fontId="0" fillId="0" borderId="9" xfId="0" applyBorder="1"/>
    <xf numFmtId="43" fontId="0" fillId="0" borderId="11" xfId="1" applyFont="1" applyBorder="1"/>
    <xf numFmtId="43" fontId="0" fillId="0" borderId="0" xfId="0" applyNumberFormat="1"/>
    <xf numFmtId="43" fontId="0" fillId="0" borderId="10" xfId="0" applyNumberFormat="1" applyBorder="1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43" fontId="0" fillId="0" borderId="0" xfId="0" applyNumberFormat="1" applyAlignment="1"/>
    <xf numFmtId="0" fontId="0" fillId="0" borderId="0" xfId="0" applyAlignment="1"/>
    <xf numFmtId="0" fontId="0" fillId="0" borderId="0" xfId="0" applyNumberFormat="1"/>
    <xf numFmtId="43" fontId="0" fillId="0" borderId="0" xfId="0" applyNumberFormat="1" applyAlignment="1">
      <alignment vertical="center"/>
    </xf>
    <xf numFmtId="164" fontId="0" fillId="0" borderId="0" xfId="0" applyNumberFormat="1"/>
    <xf numFmtId="164" fontId="0" fillId="0" borderId="0" xfId="1" applyNumberFormat="1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5"/>
  <sheetViews>
    <sheetView showGridLines="0" tabSelected="1" topLeftCell="A4" workbookViewId="0">
      <selection activeCell="C24" sqref="C24"/>
    </sheetView>
  </sheetViews>
  <sheetFormatPr defaultRowHeight="15" x14ac:dyDescent="0.25"/>
  <cols>
    <col min="2" max="2" width="32.7109375" customWidth="1"/>
    <col min="3" max="3" width="11.5703125" style="1" bestFit="1" customWidth="1"/>
    <col min="4" max="4" width="1.7109375" customWidth="1"/>
    <col min="5" max="5" width="32.7109375" customWidth="1"/>
    <col min="6" max="6" width="10.5703125" style="1" bestFit="1" customWidth="1"/>
    <col min="7" max="7" width="12.42578125" bestFit="1" customWidth="1"/>
  </cols>
  <sheetData>
    <row r="2" spans="2:6" x14ac:dyDescent="0.25">
      <c r="B2" s="35" t="s">
        <v>22</v>
      </c>
      <c r="C2" s="36"/>
      <c r="D2" s="36"/>
      <c r="E2" s="36"/>
      <c r="F2" s="37"/>
    </row>
    <row r="3" spans="2:6" x14ac:dyDescent="0.25">
      <c r="B3" s="32" t="s">
        <v>0</v>
      </c>
      <c r="C3" s="33"/>
      <c r="D3" s="14"/>
      <c r="E3" s="33" t="s">
        <v>9</v>
      </c>
      <c r="F3" s="34"/>
    </row>
    <row r="4" spans="2:6" x14ac:dyDescent="0.25">
      <c r="B4" s="3"/>
      <c r="C4" s="4"/>
      <c r="D4" s="5"/>
      <c r="E4" s="5"/>
      <c r="F4" s="6"/>
    </row>
    <row r="5" spans="2:6" x14ac:dyDescent="0.25">
      <c r="B5" s="7" t="s">
        <v>1</v>
      </c>
      <c r="C5" s="8">
        <f>SUM(C6:C13)</f>
        <v>5800</v>
      </c>
      <c r="D5" s="5"/>
      <c r="E5" s="9" t="s">
        <v>10</v>
      </c>
      <c r="F5" s="10">
        <f>SUM(F6:F13)</f>
        <v>5100</v>
      </c>
    </row>
    <row r="6" spans="2:6" x14ac:dyDescent="0.25">
      <c r="B6" s="3"/>
      <c r="C6" s="4"/>
      <c r="D6" s="5"/>
      <c r="E6" s="5"/>
      <c r="F6" s="6"/>
    </row>
    <row r="7" spans="2:6" x14ac:dyDescent="0.25">
      <c r="B7" s="3" t="s">
        <v>2</v>
      </c>
      <c r="C7" s="4">
        <v>1800</v>
      </c>
      <c r="D7" s="5"/>
      <c r="E7" s="5" t="s">
        <v>11</v>
      </c>
      <c r="F7" s="6">
        <v>2000</v>
      </c>
    </row>
    <row r="8" spans="2:6" x14ac:dyDescent="0.25">
      <c r="B8" s="3" t="s">
        <v>3</v>
      </c>
      <c r="C8" s="4">
        <v>1000</v>
      </c>
      <c r="D8" s="5"/>
      <c r="E8" s="5" t="s">
        <v>13</v>
      </c>
      <c r="F8" s="6">
        <v>1600</v>
      </c>
    </row>
    <row r="9" spans="2:6" x14ac:dyDescent="0.25">
      <c r="B9" s="3" t="s">
        <v>4</v>
      </c>
      <c r="C9" s="4">
        <v>1000</v>
      </c>
      <c r="D9" s="5"/>
      <c r="E9" s="5" t="s">
        <v>12</v>
      </c>
      <c r="F9" s="6">
        <v>300</v>
      </c>
    </row>
    <row r="10" spans="2:6" x14ac:dyDescent="0.25">
      <c r="B10" s="3" t="s">
        <v>17</v>
      </c>
      <c r="C10" s="4">
        <v>1500</v>
      </c>
      <c r="D10" s="5"/>
      <c r="E10" s="5" t="s">
        <v>14</v>
      </c>
      <c r="F10" s="6">
        <v>400</v>
      </c>
    </row>
    <row r="11" spans="2:6" x14ac:dyDescent="0.25">
      <c r="B11" s="3" t="s">
        <v>84</v>
      </c>
      <c r="C11" s="4">
        <v>500</v>
      </c>
      <c r="D11" s="5"/>
      <c r="E11" s="5" t="s">
        <v>16</v>
      </c>
      <c r="F11" s="6">
        <v>600</v>
      </c>
    </row>
    <row r="12" spans="2:6" x14ac:dyDescent="0.25">
      <c r="B12" s="3"/>
      <c r="C12" s="4"/>
      <c r="D12" s="5"/>
      <c r="E12" s="5" t="s">
        <v>15</v>
      </c>
      <c r="F12" s="6">
        <v>200</v>
      </c>
    </row>
    <row r="13" spans="2:6" x14ac:dyDescent="0.25">
      <c r="B13" s="3"/>
      <c r="C13" s="4"/>
      <c r="D13" s="5"/>
      <c r="E13" s="5"/>
      <c r="F13" s="6"/>
    </row>
    <row r="14" spans="2:6" x14ac:dyDescent="0.25">
      <c r="B14" s="3" t="s">
        <v>96</v>
      </c>
      <c r="C14" s="4">
        <f>C15+SUM(C20:C22)</f>
        <v>4650</v>
      </c>
      <c r="D14" s="5"/>
      <c r="E14" s="43" t="s">
        <v>97</v>
      </c>
      <c r="F14" s="4">
        <f>F15+SUM(F20:F22)</f>
        <v>5350</v>
      </c>
    </row>
    <row r="15" spans="2:6" x14ac:dyDescent="0.25">
      <c r="B15" s="7" t="s">
        <v>94</v>
      </c>
      <c r="C15" s="8">
        <f>SUM(C16:C18)</f>
        <v>500</v>
      </c>
      <c r="D15" s="5"/>
      <c r="E15" s="9" t="s">
        <v>95</v>
      </c>
      <c r="F15" s="10">
        <f>SUM(F16:F18)</f>
        <v>400</v>
      </c>
    </row>
    <row r="16" spans="2:6" x14ac:dyDescent="0.25">
      <c r="B16" s="3" t="s">
        <v>5</v>
      </c>
      <c r="C16" s="4">
        <v>500</v>
      </c>
      <c r="D16" s="5"/>
      <c r="E16" s="5" t="s">
        <v>16</v>
      </c>
      <c r="F16" s="6">
        <v>200</v>
      </c>
    </row>
    <row r="17" spans="2:7" x14ac:dyDescent="0.25">
      <c r="B17" s="3"/>
      <c r="C17" s="4"/>
      <c r="D17" s="5"/>
      <c r="E17" s="5" t="s">
        <v>86</v>
      </c>
      <c r="F17" s="6">
        <v>200</v>
      </c>
    </row>
    <row r="18" spans="2:7" x14ac:dyDescent="0.25">
      <c r="B18" s="3"/>
      <c r="C18" s="4"/>
      <c r="D18" s="5"/>
      <c r="E18" s="5"/>
      <c r="F18" s="6"/>
    </row>
    <row r="19" spans="2:7" x14ac:dyDescent="0.25">
      <c r="B19" s="7"/>
      <c r="C19" s="8"/>
      <c r="D19" s="5"/>
      <c r="E19" s="9" t="s">
        <v>18</v>
      </c>
      <c r="F19" s="10">
        <f>SUM(F20:F23)</f>
        <v>4950</v>
      </c>
    </row>
    <row r="20" spans="2:7" x14ac:dyDescent="0.25">
      <c r="B20" s="3" t="s">
        <v>6</v>
      </c>
      <c r="C20" s="4">
        <v>850</v>
      </c>
      <c r="D20" s="5"/>
      <c r="E20" s="5" t="s">
        <v>19</v>
      </c>
      <c r="F20" s="6">
        <v>790</v>
      </c>
    </row>
    <row r="21" spans="2:7" x14ac:dyDescent="0.25">
      <c r="B21" s="3" t="s">
        <v>7</v>
      </c>
      <c r="C21" s="4">
        <v>3200</v>
      </c>
      <c r="D21" s="5"/>
      <c r="E21" s="5" t="s">
        <v>20</v>
      </c>
      <c r="F21" s="6">
        <f>C55</f>
        <v>3870</v>
      </c>
    </row>
    <row r="22" spans="2:7" x14ac:dyDescent="0.25">
      <c r="B22" s="3" t="s">
        <v>85</v>
      </c>
      <c r="C22" s="4">
        <v>100</v>
      </c>
      <c r="D22" s="5"/>
      <c r="E22" s="5" t="s">
        <v>21</v>
      </c>
      <c r="F22" s="6">
        <v>290</v>
      </c>
    </row>
    <row r="23" spans="2:7" x14ac:dyDescent="0.25">
      <c r="B23" s="3"/>
      <c r="C23" s="4"/>
      <c r="D23" s="5"/>
      <c r="E23" s="5"/>
      <c r="F23" s="6"/>
    </row>
    <row r="24" spans="2:7" x14ac:dyDescent="0.25">
      <c r="B24" s="11" t="s">
        <v>8</v>
      </c>
      <c r="C24" s="13">
        <f>C5+C14</f>
        <v>10450</v>
      </c>
      <c r="D24" s="12"/>
      <c r="E24" s="12"/>
      <c r="F24" s="13">
        <f>F5+F14</f>
        <v>10450</v>
      </c>
      <c r="G24" s="20">
        <f>C24-F24</f>
        <v>0</v>
      </c>
    </row>
    <row r="26" spans="2:7" x14ac:dyDescent="0.25">
      <c r="B26" s="38" t="s">
        <v>23</v>
      </c>
      <c r="C26" s="39"/>
    </row>
    <row r="27" spans="2:7" x14ac:dyDescent="0.25">
      <c r="B27" s="3"/>
      <c r="C27" s="6"/>
    </row>
    <row r="28" spans="2:7" x14ac:dyDescent="0.25">
      <c r="B28" s="3" t="s">
        <v>24</v>
      </c>
      <c r="C28" s="6">
        <v>12000</v>
      </c>
    </row>
    <row r="29" spans="2:7" x14ac:dyDescent="0.25">
      <c r="B29" s="3"/>
      <c r="C29" s="6"/>
    </row>
    <row r="30" spans="2:7" x14ac:dyDescent="0.25">
      <c r="B30" s="16" t="s">
        <v>25</v>
      </c>
      <c r="C30" s="17">
        <v>-2000</v>
      </c>
    </row>
    <row r="31" spans="2:7" x14ac:dyDescent="0.25">
      <c r="B31" s="3"/>
      <c r="C31" s="6"/>
    </row>
    <row r="32" spans="2:7" x14ac:dyDescent="0.25">
      <c r="B32" s="7" t="s">
        <v>26</v>
      </c>
      <c r="C32" s="10">
        <f>C28+C30</f>
        <v>10000</v>
      </c>
    </row>
    <row r="33" spans="2:3" x14ac:dyDescent="0.25">
      <c r="B33" s="3"/>
      <c r="C33" s="6"/>
    </row>
    <row r="34" spans="2:3" x14ac:dyDescent="0.25">
      <c r="B34" s="3" t="s">
        <v>27</v>
      </c>
      <c r="C34" s="6">
        <v>-3500</v>
      </c>
    </row>
    <row r="35" spans="2:3" x14ac:dyDescent="0.25">
      <c r="B35" s="3"/>
      <c r="C35" s="6"/>
    </row>
    <row r="36" spans="2:3" x14ac:dyDescent="0.25">
      <c r="B36" s="7" t="s">
        <v>28</v>
      </c>
      <c r="C36" s="10">
        <f>C32+C34</f>
        <v>6500</v>
      </c>
    </row>
    <row r="37" spans="2:3" x14ac:dyDescent="0.25">
      <c r="B37" s="3"/>
      <c r="C37" s="6"/>
    </row>
    <row r="38" spans="2:3" x14ac:dyDescent="0.25">
      <c r="B38" s="3" t="s">
        <v>29</v>
      </c>
      <c r="C38" s="6">
        <f>SUM(C39:C42)</f>
        <v>-2500</v>
      </c>
    </row>
    <row r="39" spans="2:3" x14ac:dyDescent="0.25">
      <c r="B39" s="3" t="s">
        <v>87</v>
      </c>
      <c r="C39" s="6">
        <v>-1000</v>
      </c>
    </row>
    <row r="40" spans="2:3" x14ac:dyDescent="0.25">
      <c r="B40" s="3" t="s">
        <v>88</v>
      </c>
      <c r="C40" s="6">
        <v>-1000</v>
      </c>
    </row>
    <row r="41" spans="2:3" x14ac:dyDescent="0.25">
      <c r="B41" s="3" t="s">
        <v>89</v>
      </c>
      <c r="C41" s="6">
        <v>-500</v>
      </c>
    </row>
    <row r="42" spans="2:3" x14ac:dyDescent="0.25">
      <c r="B42" s="3" t="s">
        <v>90</v>
      </c>
      <c r="C42" s="6">
        <v>0</v>
      </c>
    </row>
    <row r="43" spans="2:3" x14ac:dyDescent="0.25">
      <c r="B43" s="3"/>
      <c r="C43" s="6"/>
    </row>
    <row r="44" spans="2:3" x14ac:dyDescent="0.25">
      <c r="B44" s="7" t="s">
        <v>30</v>
      </c>
      <c r="C44" s="10">
        <f>C36+C38</f>
        <v>4000</v>
      </c>
    </row>
    <row r="45" spans="2:3" x14ac:dyDescent="0.25">
      <c r="B45" s="3"/>
      <c r="C45" s="6"/>
    </row>
    <row r="46" spans="2:3" x14ac:dyDescent="0.25">
      <c r="B46" s="3" t="s">
        <v>31</v>
      </c>
      <c r="C46" s="6">
        <f>SUM(C47:C49)</f>
        <v>100</v>
      </c>
    </row>
    <row r="47" spans="2:3" x14ac:dyDescent="0.25">
      <c r="B47" s="3" t="s">
        <v>91</v>
      </c>
      <c r="C47" s="6">
        <v>1700</v>
      </c>
    </row>
    <row r="48" spans="2:3" x14ac:dyDescent="0.25">
      <c r="B48" s="3" t="s">
        <v>92</v>
      </c>
      <c r="C48" s="6">
        <v>2000</v>
      </c>
    </row>
    <row r="49" spans="2:3" x14ac:dyDescent="0.25">
      <c r="B49" s="3" t="s">
        <v>93</v>
      </c>
      <c r="C49" s="6">
        <v>-3600</v>
      </c>
    </row>
    <row r="50" spans="2:3" x14ac:dyDescent="0.25">
      <c r="B50" s="3"/>
      <c r="C50" s="6"/>
    </row>
    <row r="51" spans="2:3" x14ac:dyDescent="0.25">
      <c r="B51" s="3" t="s">
        <v>32</v>
      </c>
      <c r="C51" s="6">
        <f>C44+C46</f>
        <v>4100</v>
      </c>
    </row>
    <row r="52" spans="2:3" x14ac:dyDescent="0.25">
      <c r="B52" s="3"/>
      <c r="C52" s="6"/>
    </row>
    <row r="53" spans="2:3" x14ac:dyDescent="0.25">
      <c r="B53" s="3" t="s">
        <v>33</v>
      </c>
      <c r="C53" s="6">
        <v>-230</v>
      </c>
    </row>
    <row r="54" spans="2:3" x14ac:dyDescent="0.25">
      <c r="B54" s="3"/>
      <c r="C54" s="6"/>
    </row>
    <row r="55" spans="2:3" x14ac:dyDescent="0.25">
      <c r="B55" s="18" t="s">
        <v>34</v>
      </c>
      <c r="C55" s="19">
        <f>C51+C53</f>
        <v>3870</v>
      </c>
    </row>
  </sheetData>
  <mergeCells count="4">
    <mergeCell ref="B3:C3"/>
    <mergeCell ref="E3:F3"/>
    <mergeCell ref="B2:F2"/>
    <mergeCell ref="B26:C2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26"/>
  <sheetViews>
    <sheetView showGridLines="0" workbookViewId="0">
      <selection activeCell="N10" sqref="N10"/>
    </sheetView>
  </sheetViews>
  <sheetFormatPr defaultRowHeight="15" x14ac:dyDescent="0.25"/>
  <cols>
    <col min="2" max="2" width="12.7109375" style="22" customWidth="1"/>
    <col min="3" max="3" width="12.7109375" customWidth="1"/>
    <col min="4" max="4" width="2" bestFit="1" customWidth="1"/>
    <col min="5" max="5" width="9.5703125" bestFit="1" customWidth="1"/>
    <col min="6" max="6" width="2.7109375" customWidth="1"/>
    <col min="7" max="7" width="8" bestFit="1" customWidth="1"/>
    <col min="8" max="8" width="2" bestFit="1" customWidth="1"/>
    <col min="9" max="9" width="9.5703125" bestFit="1" customWidth="1"/>
    <col min="10" max="10" width="2" bestFit="1" customWidth="1"/>
    <col min="12" max="12" width="5.42578125" bestFit="1" customWidth="1"/>
    <col min="13" max="13" width="2" bestFit="1" customWidth="1"/>
  </cols>
  <sheetData>
    <row r="3" spans="2:15" x14ac:dyDescent="0.25">
      <c r="B3" s="42" t="s">
        <v>35</v>
      </c>
      <c r="C3" s="42"/>
    </row>
    <row r="5" spans="2:15" x14ac:dyDescent="0.25">
      <c r="B5" s="23" t="s">
        <v>36</v>
      </c>
      <c r="C5" t="s">
        <v>38</v>
      </c>
      <c r="D5" t="s">
        <v>40</v>
      </c>
      <c r="E5" s="21">
        <f>Dados!F5</f>
        <v>5100</v>
      </c>
      <c r="F5" s="21" t="s">
        <v>39</v>
      </c>
      <c r="G5" s="21">
        <f>Dados!F15</f>
        <v>400</v>
      </c>
      <c r="H5" t="s">
        <v>40</v>
      </c>
      <c r="I5" s="21">
        <f>E5+G5</f>
        <v>5500</v>
      </c>
      <c r="J5" t="s">
        <v>40</v>
      </c>
      <c r="K5">
        <f>I5/I6</f>
        <v>0.52631578947368418</v>
      </c>
      <c r="L5" t="s">
        <v>38</v>
      </c>
      <c r="M5" t="s">
        <v>40</v>
      </c>
      <c r="N5" s="1">
        <f>K5*100</f>
        <v>52.631578947368418</v>
      </c>
      <c r="O5">
        <v>-100</v>
      </c>
    </row>
    <row r="6" spans="2:15" x14ac:dyDescent="0.25">
      <c r="B6" s="22" t="s">
        <v>37</v>
      </c>
      <c r="E6" s="41">
        <f>Dados!F24</f>
        <v>10450</v>
      </c>
      <c r="F6" s="42"/>
      <c r="G6" s="42"/>
      <c r="I6" s="20">
        <f>E6</f>
        <v>10450</v>
      </c>
    </row>
    <row r="8" spans="2:15" ht="38.25" customHeight="1" x14ac:dyDescent="0.25">
      <c r="B8" s="40" t="s">
        <v>41</v>
      </c>
      <c r="C8" s="40"/>
    </row>
    <row r="10" spans="2:15" x14ac:dyDescent="0.25">
      <c r="B10" s="23" t="s">
        <v>42</v>
      </c>
      <c r="C10" t="s">
        <v>38</v>
      </c>
      <c r="D10" t="s">
        <v>40</v>
      </c>
      <c r="E10" s="21">
        <f>Dados!F5</f>
        <v>5100</v>
      </c>
      <c r="F10" s="21"/>
      <c r="G10" s="21"/>
      <c r="H10" t="s">
        <v>40</v>
      </c>
      <c r="I10" s="21">
        <f>E10+G10</f>
        <v>5100</v>
      </c>
      <c r="J10" t="s">
        <v>40</v>
      </c>
      <c r="K10">
        <f>I10/I11</f>
        <v>0.92727272727272725</v>
      </c>
      <c r="L10" t="s">
        <v>38</v>
      </c>
      <c r="M10" t="s">
        <v>40</v>
      </c>
      <c r="N10" s="1">
        <f>K10*100</f>
        <v>92.72727272727272</v>
      </c>
      <c r="O10">
        <v>-100</v>
      </c>
    </row>
    <row r="11" spans="2:15" x14ac:dyDescent="0.25">
      <c r="B11" s="22" t="s">
        <v>36</v>
      </c>
      <c r="E11" s="24">
        <f>Dados!F5</f>
        <v>5100</v>
      </c>
      <c r="F11" s="25" t="s">
        <v>39</v>
      </c>
      <c r="G11" s="24">
        <f>Dados!F15</f>
        <v>400</v>
      </c>
      <c r="I11" s="20">
        <f>E11+G11</f>
        <v>5500</v>
      </c>
    </row>
    <row r="13" spans="2:15" ht="33" customHeight="1" x14ac:dyDescent="0.25">
      <c r="B13" s="40" t="s">
        <v>43</v>
      </c>
      <c r="C13" s="40"/>
    </row>
    <row r="15" spans="2:15" x14ac:dyDescent="0.25">
      <c r="B15" s="23" t="s">
        <v>44</v>
      </c>
      <c r="C15" t="s">
        <v>38</v>
      </c>
      <c r="D15" t="s">
        <v>40</v>
      </c>
      <c r="E15" s="21">
        <f>Dados!C19</f>
        <v>0</v>
      </c>
      <c r="F15" s="21"/>
      <c r="G15" s="21"/>
      <c r="H15" t="s">
        <v>40</v>
      </c>
      <c r="I15" s="21">
        <f>E15+G15</f>
        <v>0</v>
      </c>
      <c r="J15" t="s">
        <v>40</v>
      </c>
      <c r="K15">
        <f>I15/I16</f>
        <v>0</v>
      </c>
      <c r="L15" t="s">
        <v>38</v>
      </c>
      <c r="M15" t="s">
        <v>40</v>
      </c>
      <c r="N15" s="1">
        <f>K15*100</f>
        <v>0</v>
      </c>
      <c r="O15">
        <v>-100</v>
      </c>
    </row>
    <row r="16" spans="2:15" x14ac:dyDescent="0.25">
      <c r="B16" s="22" t="s">
        <v>45</v>
      </c>
      <c r="E16" s="24">
        <f>Dados!F19</f>
        <v>4950</v>
      </c>
      <c r="F16" s="25"/>
      <c r="G16" s="24"/>
      <c r="I16" s="20">
        <f>E16+G16</f>
        <v>4950</v>
      </c>
    </row>
    <row r="18" spans="2:15" ht="43.5" customHeight="1" x14ac:dyDescent="0.25">
      <c r="B18" s="40" t="s">
        <v>46</v>
      </c>
      <c r="C18" s="40"/>
    </row>
    <row r="20" spans="2:15" x14ac:dyDescent="0.25">
      <c r="B20" s="23" t="s">
        <v>44</v>
      </c>
      <c r="C20" t="s">
        <v>38</v>
      </c>
      <c r="D20" t="s">
        <v>40</v>
      </c>
      <c r="E20" s="21">
        <f>Dados!C19</f>
        <v>0</v>
      </c>
      <c r="F20" s="21"/>
      <c r="G20" s="21"/>
      <c r="H20" t="s">
        <v>40</v>
      </c>
      <c r="I20" s="21">
        <f>E20+G20</f>
        <v>0</v>
      </c>
      <c r="J20" t="s">
        <v>40</v>
      </c>
      <c r="K20">
        <f>I20/I21</f>
        <v>0</v>
      </c>
      <c r="L20" t="s">
        <v>38</v>
      </c>
      <c r="M20" t="s">
        <v>40</v>
      </c>
      <c r="N20" s="1">
        <f>K20*100</f>
        <v>0</v>
      </c>
      <c r="O20">
        <v>-100</v>
      </c>
    </row>
    <row r="21" spans="2:15" x14ac:dyDescent="0.25">
      <c r="B21" s="22" t="s">
        <v>47</v>
      </c>
      <c r="E21" s="24">
        <f>Dados!F19</f>
        <v>4950</v>
      </c>
      <c r="F21" s="25" t="s">
        <v>39</v>
      </c>
      <c r="G21" s="24">
        <f>Dados!F15</f>
        <v>400</v>
      </c>
      <c r="I21" s="20">
        <f>E21+G21</f>
        <v>5350</v>
      </c>
    </row>
    <row r="23" spans="2:15" ht="39" customHeight="1" x14ac:dyDescent="0.25">
      <c r="B23" s="40" t="s">
        <v>48</v>
      </c>
      <c r="C23" s="40"/>
    </row>
    <row r="25" spans="2:15" x14ac:dyDescent="0.25">
      <c r="B25" s="23" t="s">
        <v>36</v>
      </c>
      <c r="C25" t="s">
        <v>38</v>
      </c>
      <c r="D25" t="s">
        <v>40</v>
      </c>
      <c r="E25" s="21">
        <f>Dados!F11</f>
        <v>600</v>
      </c>
      <c r="F25" s="21" t="s">
        <v>39</v>
      </c>
      <c r="G25" s="21">
        <f>Dados!F16</f>
        <v>200</v>
      </c>
      <c r="H25" t="s">
        <v>40</v>
      </c>
      <c r="I25" s="21">
        <f>E25+G25</f>
        <v>800</v>
      </c>
      <c r="J25" t="s">
        <v>40</v>
      </c>
      <c r="K25">
        <f>I25/I26</f>
        <v>7.6555023923444973E-2</v>
      </c>
      <c r="L25" t="s">
        <v>38</v>
      </c>
      <c r="M25" t="s">
        <v>40</v>
      </c>
      <c r="N25" s="1">
        <f>K25*100</f>
        <v>7.6555023923444976</v>
      </c>
      <c r="O25">
        <v>-100</v>
      </c>
    </row>
    <row r="26" spans="2:15" x14ac:dyDescent="0.25">
      <c r="B26" s="22" t="s">
        <v>49</v>
      </c>
      <c r="E26" s="24">
        <f>Dados!C24</f>
        <v>10450</v>
      </c>
      <c r="F26" s="25"/>
      <c r="G26" s="24"/>
      <c r="I26" s="20">
        <f>E26+G26</f>
        <v>10450</v>
      </c>
    </row>
  </sheetData>
  <mergeCells count="6">
    <mergeCell ref="B23:C23"/>
    <mergeCell ref="E6:G6"/>
    <mergeCell ref="B3:C3"/>
    <mergeCell ref="B8:C8"/>
    <mergeCell ref="B13:C13"/>
    <mergeCell ref="B18:C1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1"/>
  <sheetViews>
    <sheetView showGridLines="0" workbookViewId="0">
      <selection activeCell="T16" sqref="T16"/>
    </sheetView>
  </sheetViews>
  <sheetFormatPr defaultRowHeight="15" x14ac:dyDescent="0.25"/>
  <cols>
    <col min="2" max="2" width="12.7109375" style="22" customWidth="1"/>
    <col min="3" max="3" width="2" bestFit="1" customWidth="1"/>
    <col min="4" max="4" width="9.5703125" bestFit="1" customWidth="1"/>
    <col min="5" max="5" width="2.7109375" customWidth="1"/>
    <col min="6" max="6" width="12" bestFit="1" customWidth="1"/>
    <col min="7" max="7" width="2" bestFit="1" customWidth="1"/>
    <col min="8" max="8" width="9.5703125" bestFit="1" customWidth="1"/>
    <col min="9" max="9" width="2" bestFit="1" customWidth="1"/>
    <col min="11" max="11" width="5.42578125" bestFit="1" customWidth="1"/>
    <col min="12" max="12" width="2" bestFit="1" customWidth="1"/>
  </cols>
  <sheetData>
    <row r="3" spans="2:13" x14ac:dyDescent="0.25">
      <c r="B3" s="2" t="s">
        <v>50</v>
      </c>
    </row>
    <row r="5" spans="2:13" x14ac:dyDescent="0.25">
      <c r="B5" s="23" t="s">
        <v>2</v>
      </c>
      <c r="C5" t="s">
        <v>40</v>
      </c>
      <c r="D5" s="21">
        <f>Dados!C7</f>
        <v>1800</v>
      </c>
      <c r="E5" t="s">
        <v>40</v>
      </c>
      <c r="F5">
        <f>D5/D6</f>
        <v>0.35294117647058826</v>
      </c>
      <c r="I5" s="1"/>
    </row>
    <row r="6" spans="2:13" x14ac:dyDescent="0.25">
      <c r="B6" s="22" t="s">
        <v>42</v>
      </c>
      <c r="D6" s="24">
        <f>Dados!F5</f>
        <v>5100</v>
      </c>
      <c r="E6" s="25"/>
      <c r="F6" s="24"/>
      <c r="H6" s="20"/>
    </row>
    <row r="8" spans="2:13" ht="38.25" customHeight="1" x14ac:dyDescent="0.25">
      <c r="B8" s="15" t="s">
        <v>51</v>
      </c>
    </row>
    <row r="10" spans="2:13" x14ac:dyDescent="0.25">
      <c r="B10" s="23" t="s">
        <v>52</v>
      </c>
      <c r="C10" t="s">
        <v>40</v>
      </c>
      <c r="D10" s="21">
        <f>Dados!C5</f>
        <v>5800</v>
      </c>
      <c r="E10" t="s">
        <v>40</v>
      </c>
      <c r="F10" s="26">
        <f>D10/D11</f>
        <v>1.1372549019607843</v>
      </c>
      <c r="H10" s="1"/>
      <c r="M10" s="1"/>
    </row>
    <row r="11" spans="2:13" x14ac:dyDescent="0.25">
      <c r="B11" s="22" t="s">
        <v>42</v>
      </c>
      <c r="D11" s="24">
        <f>Dados!F5</f>
        <v>5100</v>
      </c>
    </row>
    <row r="13" spans="2:13" ht="33" customHeight="1" x14ac:dyDescent="0.25">
      <c r="B13" s="15" t="s">
        <v>53</v>
      </c>
    </row>
    <row r="15" spans="2:13" x14ac:dyDescent="0.25">
      <c r="B15" s="23" t="s">
        <v>54</v>
      </c>
      <c r="C15" t="s">
        <v>40</v>
      </c>
      <c r="D15" s="21">
        <f>Dados!C5</f>
        <v>5800</v>
      </c>
      <c r="E15" s="21" t="s">
        <v>55</v>
      </c>
      <c r="F15" s="21">
        <f>Dados!C9</f>
        <v>1000</v>
      </c>
      <c r="G15" t="s">
        <v>40</v>
      </c>
      <c r="H15" s="21">
        <f>D15-F15</f>
        <v>4800</v>
      </c>
      <c r="I15" t="s">
        <v>40</v>
      </c>
      <c r="J15">
        <f>H15/H16</f>
        <v>0.94117647058823528</v>
      </c>
      <c r="M15" s="1"/>
    </row>
    <row r="16" spans="2:13" x14ac:dyDescent="0.25">
      <c r="B16" s="22" t="s">
        <v>42</v>
      </c>
      <c r="D16" s="24">
        <f>Dados!F5</f>
        <v>5100</v>
      </c>
      <c r="E16" s="25"/>
      <c r="F16" s="24"/>
      <c r="H16" s="20">
        <f>D16+F16</f>
        <v>5100</v>
      </c>
    </row>
    <row r="18" spans="2:13" ht="43.5" customHeight="1" x14ac:dyDescent="0.25">
      <c r="B18" s="15" t="s">
        <v>56</v>
      </c>
    </row>
    <row r="20" spans="2:13" x14ac:dyDescent="0.25">
      <c r="B20" s="23" t="s">
        <v>57</v>
      </c>
      <c r="C20" t="s">
        <v>40</v>
      </c>
      <c r="D20" s="21">
        <f>Dados!C5</f>
        <v>5800</v>
      </c>
      <c r="E20" s="21" t="s">
        <v>39</v>
      </c>
      <c r="F20" s="21">
        <f>Dados!C15</f>
        <v>500</v>
      </c>
      <c r="G20" t="s">
        <v>40</v>
      </c>
      <c r="H20" s="21">
        <f>D20+F20</f>
        <v>6300</v>
      </c>
      <c r="I20" t="s">
        <v>40</v>
      </c>
      <c r="J20">
        <f>H20/H21</f>
        <v>1.1454545454545455</v>
      </c>
      <c r="M20" s="1"/>
    </row>
    <row r="21" spans="2:13" x14ac:dyDescent="0.25">
      <c r="B21" s="22" t="s">
        <v>36</v>
      </c>
      <c r="D21" s="24">
        <f>Dados!F5</f>
        <v>5100</v>
      </c>
      <c r="E21" s="25" t="s">
        <v>39</v>
      </c>
      <c r="F21" s="24">
        <f>Dados!F15</f>
        <v>400</v>
      </c>
      <c r="H21" s="20">
        <f>D21+F21</f>
        <v>5500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31"/>
  <sheetViews>
    <sheetView showGridLines="0" topLeftCell="A14" workbookViewId="0">
      <selection activeCell="C36" sqref="C36"/>
    </sheetView>
  </sheetViews>
  <sheetFormatPr defaultRowHeight="15" x14ac:dyDescent="0.25"/>
  <cols>
    <col min="2" max="2" width="20.7109375" style="22" customWidth="1"/>
    <col min="3" max="3" width="12.7109375" customWidth="1"/>
    <col min="4" max="4" width="2" bestFit="1" customWidth="1"/>
    <col min="5" max="5" width="9.5703125" bestFit="1" customWidth="1"/>
    <col min="6" max="6" width="2" bestFit="1" customWidth="1"/>
    <col min="7" max="7" width="9.5703125" bestFit="1" customWidth="1"/>
    <col min="8" max="8" width="5.42578125" bestFit="1" customWidth="1"/>
    <col min="9" max="9" width="2" bestFit="1" customWidth="1"/>
    <col min="10" max="10" width="8" bestFit="1" customWidth="1"/>
    <col min="11" max="11" width="4.7109375" bestFit="1" customWidth="1"/>
  </cols>
  <sheetData>
    <row r="3" spans="2:10" x14ac:dyDescent="0.25">
      <c r="B3" s="42" t="s">
        <v>58</v>
      </c>
      <c r="C3" s="42"/>
    </row>
    <row r="5" spans="2:10" x14ac:dyDescent="0.25">
      <c r="B5" s="23" t="s">
        <v>59</v>
      </c>
      <c r="C5" t="s">
        <v>38</v>
      </c>
      <c r="D5" t="s">
        <v>40</v>
      </c>
      <c r="E5" s="21">
        <f>Dados!C55</f>
        <v>3870</v>
      </c>
      <c r="F5" t="s">
        <v>40</v>
      </c>
      <c r="G5">
        <f>E5/E6</f>
        <v>0.78181818181818186</v>
      </c>
      <c r="H5" t="s">
        <v>38</v>
      </c>
      <c r="I5" t="s">
        <v>40</v>
      </c>
      <c r="J5" s="1">
        <f>G5*100</f>
        <v>78.181818181818187</v>
      </c>
    </row>
    <row r="6" spans="2:10" x14ac:dyDescent="0.25">
      <c r="B6" s="22" t="s">
        <v>60</v>
      </c>
      <c r="E6" s="24">
        <f>Dados!F19</f>
        <v>4950</v>
      </c>
      <c r="G6" s="20"/>
    </row>
    <row r="8" spans="2:10" x14ac:dyDescent="0.25">
      <c r="B8" s="40" t="s">
        <v>61</v>
      </c>
      <c r="C8" s="40"/>
    </row>
    <row r="9" spans="2:10" x14ac:dyDescent="0.25">
      <c r="J9" s="1">
        <v>100</v>
      </c>
    </row>
    <row r="10" spans="2:10" x14ac:dyDescent="0.25">
      <c r="B10" s="23" t="s">
        <v>59</v>
      </c>
      <c r="C10" t="s">
        <v>38</v>
      </c>
      <c r="D10" t="s">
        <v>40</v>
      </c>
      <c r="E10" s="21">
        <f>Dados!C55</f>
        <v>3870</v>
      </c>
      <c r="F10" t="s">
        <v>40</v>
      </c>
      <c r="G10">
        <f>E10/E11</f>
        <v>0.37033492822966507</v>
      </c>
      <c r="H10" t="s">
        <v>38</v>
      </c>
      <c r="I10" t="s">
        <v>40</v>
      </c>
      <c r="J10" s="1">
        <f>G10*100</f>
        <v>37.033492822966508</v>
      </c>
    </row>
    <row r="11" spans="2:10" x14ac:dyDescent="0.25">
      <c r="B11" s="22" t="s">
        <v>62</v>
      </c>
      <c r="E11" s="24">
        <f>Dados!C24</f>
        <v>10450</v>
      </c>
      <c r="G11" s="20"/>
      <c r="J11" s="1">
        <f>J9/J10</f>
        <v>2.7002583979328163</v>
      </c>
    </row>
    <row r="12" spans="2:10" x14ac:dyDescent="0.25">
      <c r="B12"/>
    </row>
    <row r="13" spans="2:10" x14ac:dyDescent="0.25">
      <c r="B13" s="40" t="s">
        <v>63</v>
      </c>
      <c r="C13" s="40"/>
    </row>
    <row r="15" spans="2:10" x14ac:dyDescent="0.25">
      <c r="B15" s="23" t="s">
        <v>64</v>
      </c>
      <c r="D15" t="s">
        <v>40</v>
      </c>
      <c r="E15" s="21">
        <f>Dados!C32</f>
        <v>10000</v>
      </c>
      <c r="F15" t="s">
        <v>40</v>
      </c>
      <c r="G15">
        <f>E15/E16</f>
        <v>0.9569377990430622</v>
      </c>
    </row>
    <row r="16" spans="2:10" x14ac:dyDescent="0.25">
      <c r="B16" s="22" t="s">
        <v>62</v>
      </c>
      <c r="E16" s="24">
        <f>Dados!C24</f>
        <v>10450</v>
      </c>
      <c r="G16" s="20"/>
    </row>
    <row r="18" spans="2:10" x14ac:dyDescent="0.25">
      <c r="B18" s="40" t="s">
        <v>65</v>
      </c>
      <c r="C18" s="40"/>
    </row>
    <row r="20" spans="2:10" x14ac:dyDescent="0.25">
      <c r="B20" s="23" t="s">
        <v>66</v>
      </c>
      <c r="C20" t="s">
        <v>38</v>
      </c>
      <c r="D20" t="s">
        <v>40</v>
      </c>
      <c r="E20" s="21">
        <f>Dados!C36</f>
        <v>6500</v>
      </c>
      <c r="F20" t="s">
        <v>40</v>
      </c>
      <c r="G20">
        <f>E20/E21</f>
        <v>0.65</v>
      </c>
      <c r="H20" t="s">
        <v>38</v>
      </c>
      <c r="I20" t="s">
        <v>40</v>
      </c>
      <c r="J20" s="1">
        <f>G20*100</f>
        <v>65</v>
      </c>
    </row>
    <row r="21" spans="2:10" ht="30" x14ac:dyDescent="0.25">
      <c r="B21" s="22" t="s">
        <v>67</v>
      </c>
      <c r="E21" s="27">
        <f>Dados!C32</f>
        <v>10000</v>
      </c>
      <c r="G21" s="20"/>
      <c r="J21" s="20"/>
    </row>
    <row r="23" spans="2:10" x14ac:dyDescent="0.25">
      <c r="B23" s="40" t="s">
        <v>68</v>
      </c>
      <c r="C23" s="40"/>
    </row>
    <row r="25" spans="2:10" x14ac:dyDescent="0.25">
      <c r="B25" s="23" t="s">
        <v>71</v>
      </c>
      <c r="C25" t="s">
        <v>38</v>
      </c>
      <c r="D25" t="s">
        <v>40</v>
      </c>
      <c r="E25" s="21">
        <f>Dados!C44</f>
        <v>4000</v>
      </c>
      <c r="F25" t="s">
        <v>40</v>
      </c>
      <c r="G25">
        <f>E25/E26</f>
        <v>0.4</v>
      </c>
      <c r="H25" t="s">
        <v>38</v>
      </c>
      <c r="I25" t="s">
        <v>40</v>
      </c>
      <c r="J25" s="1">
        <f>G25*100</f>
        <v>40</v>
      </c>
    </row>
    <row r="26" spans="2:10" ht="30" x14ac:dyDescent="0.25">
      <c r="B26" s="22" t="s">
        <v>67</v>
      </c>
      <c r="E26" s="27">
        <f>Dados!C32</f>
        <v>10000</v>
      </c>
      <c r="G26" s="20"/>
      <c r="J26" s="20"/>
    </row>
    <row r="28" spans="2:10" x14ac:dyDescent="0.25">
      <c r="B28" s="40" t="s">
        <v>70</v>
      </c>
      <c r="C28" s="40"/>
    </row>
    <row r="30" spans="2:10" x14ac:dyDescent="0.25">
      <c r="B30" s="23" t="s">
        <v>69</v>
      </c>
      <c r="C30" t="s">
        <v>38</v>
      </c>
      <c r="D30" t="s">
        <v>40</v>
      </c>
      <c r="E30" s="21">
        <f>Dados!C55</f>
        <v>3870</v>
      </c>
      <c r="F30" t="s">
        <v>40</v>
      </c>
      <c r="G30">
        <f>E30/E31</f>
        <v>0.38700000000000001</v>
      </c>
      <c r="H30" t="s">
        <v>38</v>
      </c>
      <c r="I30" t="s">
        <v>40</v>
      </c>
      <c r="J30" s="1">
        <f>G30*100</f>
        <v>38.700000000000003</v>
      </c>
    </row>
    <row r="31" spans="2:10" ht="30" x14ac:dyDescent="0.25">
      <c r="B31" s="22" t="s">
        <v>67</v>
      </c>
      <c r="E31" s="27">
        <f>Dados!C32</f>
        <v>10000</v>
      </c>
      <c r="G31" s="20"/>
      <c r="J31" s="20"/>
    </row>
  </sheetData>
  <mergeCells count="6">
    <mergeCell ref="B28:C28"/>
    <mergeCell ref="B3:C3"/>
    <mergeCell ref="B8:C8"/>
    <mergeCell ref="B13:C13"/>
    <mergeCell ref="B18:C18"/>
    <mergeCell ref="B23:C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32"/>
  <sheetViews>
    <sheetView showGridLines="0" topLeftCell="A4" workbookViewId="0">
      <selection activeCell="H4" sqref="H4"/>
    </sheetView>
  </sheetViews>
  <sheetFormatPr defaultRowHeight="15" x14ac:dyDescent="0.25"/>
  <cols>
    <col min="2" max="2" width="23.42578125" style="22" customWidth="1"/>
    <col min="3" max="3" width="18.5703125" customWidth="1"/>
    <col min="4" max="4" width="2" bestFit="1" customWidth="1"/>
    <col min="5" max="5" width="12" bestFit="1" customWidth="1"/>
    <col min="6" max="6" width="2" bestFit="1" customWidth="1"/>
    <col min="7" max="7" width="9.7109375" bestFit="1" customWidth="1"/>
    <col min="8" max="8" width="9" bestFit="1" customWidth="1"/>
    <col min="9" max="9" width="3" bestFit="1" customWidth="1"/>
    <col min="10" max="10" width="10.5703125" bestFit="1" customWidth="1"/>
    <col min="11" max="11" width="1.7109375" customWidth="1"/>
  </cols>
  <sheetData>
    <row r="3" spans="2:10" x14ac:dyDescent="0.25">
      <c r="B3" s="42" t="s">
        <v>72</v>
      </c>
      <c r="C3" s="42"/>
    </row>
    <row r="5" spans="2:10" x14ac:dyDescent="0.25">
      <c r="B5" s="40" t="s">
        <v>73</v>
      </c>
      <c r="C5" s="40"/>
      <c r="E5" s="28">
        <f>-Dados!C34</f>
        <v>3500</v>
      </c>
      <c r="F5" s="28"/>
      <c r="G5" s="28">
        <f>Dados!C9</f>
        <v>1000</v>
      </c>
      <c r="H5" s="28">
        <v>-50</v>
      </c>
      <c r="I5" s="28" t="s">
        <v>40</v>
      </c>
      <c r="J5" s="29">
        <f>SUM(E5:H5)</f>
        <v>4450</v>
      </c>
    </row>
    <row r="7" spans="2:10" x14ac:dyDescent="0.25">
      <c r="B7" s="23" t="s">
        <v>11</v>
      </c>
      <c r="C7" t="s">
        <v>74</v>
      </c>
      <c r="D7" t="s">
        <v>40</v>
      </c>
      <c r="E7" s="21">
        <f>Dados!F7</f>
        <v>2000</v>
      </c>
      <c r="F7" t="s">
        <v>75</v>
      </c>
      <c r="G7">
        <v>360</v>
      </c>
      <c r="J7" s="1"/>
    </row>
    <row r="8" spans="2:10" x14ac:dyDescent="0.25">
      <c r="B8" s="22" t="s">
        <v>76</v>
      </c>
      <c r="E8" s="24">
        <f>J5</f>
        <v>4450</v>
      </c>
      <c r="G8" s="20"/>
    </row>
    <row r="10" spans="2:10" x14ac:dyDescent="0.25">
      <c r="E10">
        <f>E7/E8</f>
        <v>0.449438202247191</v>
      </c>
      <c r="F10" t="s">
        <v>75</v>
      </c>
      <c r="G10">
        <v>360</v>
      </c>
      <c r="I10" t="s">
        <v>40</v>
      </c>
      <c r="J10" s="29">
        <f>E10*G10</f>
        <v>161.79775280898875</v>
      </c>
    </row>
    <row r="12" spans="2:10" x14ac:dyDescent="0.25">
      <c r="B12" s="40" t="s">
        <v>77</v>
      </c>
      <c r="C12" s="40"/>
    </row>
    <row r="14" spans="2:10" x14ac:dyDescent="0.25">
      <c r="B14" s="23" t="s">
        <v>4</v>
      </c>
      <c r="C14" t="s">
        <v>74</v>
      </c>
      <c r="D14" t="s">
        <v>40</v>
      </c>
      <c r="E14" s="21">
        <f>Dados!C9</f>
        <v>1000</v>
      </c>
      <c r="F14" t="s">
        <v>75</v>
      </c>
      <c r="G14">
        <v>360</v>
      </c>
      <c r="I14" t="s">
        <v>40</v>
      </c>
      <c r="J14" s="1"/>
    </row>
    <row r="15" spans="2:10" s="31" customFormat="1" ht="30" x14ac:dyDescent="0.25">
      <c r="B15" s="30" t="s">
        <v>78</v>
      </c>
      <c r="E15" s="27">
        <f>-Dados!C34</f>
        <v>3500</v>
      </c>
      <c r="G15" s="27"/>
      <c r="J15" s="27"/>
    </row>
    <row r="16" spans="2:10" x14ac:dyDescent="0.25">
      <c r="B16"/>
    </row>
    <row r="17" spans="2:10" x14ac:dyDescent="0.25">
      <c r="B17"/>
      <c r="E17">
        <f>E14/E15</f>
        <v>0.2857142857142857</v>
      </c>
      <c r="F17" t="s">
        <v>75</v>
      </c>
      <c r="G17">
        <v>360</v>
      </c>
      <c r="I17" t="s">
        <v>40</v>
      </c>
      <c r="J17" s="29">
        <f>E17*G17</f>
        <v>102.85714285714285</v>
      </c>
    </row>
    <row r="18" spans="2:10" x14ac:dyDescent="0.25">
      <c r="B18"/>
    </row>
    <row r="19" spans="2:10" x14ac:dyDescent="0.25">
      <c r="B19" s="40" t="s">
        <v>79</v>
      </c>
      <c r="C19" s="40"/>
    </row>
    <row r="21" spans="2:10" x14ac:dyDescent="0.25">
      <c r="B21" s="23" t="s">
        <v>3</v>
      </c>
      <c r="C21" t="s">
        <v>74</v>
      </c>
      <c r="D21" t="s">
        <v>40</v>
      </c>
      <c r="E21" s="21">
        <f>Dados!C8+Dados!C16</f>
        <v>1500</v>
      </c>
      <c r="F21" t="s">
        <v>75</v>
      </c>
      <c r="G21">
        <v>360</v>
      </c>
      <c r="I21" t="s">
        <v>40</v>
      </c>
      <c r="J21" s="1"/>
    </row>
    <row r="22" spans="2:10" ht="30" x14ac:dyDescent="0.25">
      <c r="B22" s="30" t="s">
        <v>24</v>
      </c>
      <c r="C22" s="31"/>
      <c r="D22" s="31"/>
      <c r="E22" s="27">
        <f>Dados!C28</f>
        <v>12000</v>
      </c>
      <c r="F22" s="31"/>
      <c r="G22" s="27"/>
      <c r="H22" s="31"/>
      <c r="I22" s="31"/>
      <c r="J22" s="27"/>
    </row>
    <row r="23" spans="2:10" x14ac:dyDescent="0.25">
      <c r="B23"/>
    </row>
    <row r="24" spans="2:10" x14ac:dyDescent="0.25">
      <c r="B24"/>
      <c r="E24">
        <f>E21/E22</f>
        <v>0.125</v>
      </c>
      <c r="F24" t="s">
        <v>75</v>
      </c>
      <c r="G24">
        <v>360</v>
      </c>
      <c r="I24" t="s">
        <v>40</v>
      </c>
      <c r="J24" s="29">
        <f>E24*G24</f>
        <v>45</v>
      </c>
    </row>
    <row r="26" spans="2:10" x14ac:dyDescent="0.25">
      <c r="B26" s="40" t="s">
        <v>80</v>
      </c>
      <c r="C26" s="40"/>
    </row>
    <row r="28" spans="2:10" x14ac:dyDescent="0.25">
      <c r="B28" s="22" t="s">
        <v>81</v>
      </c>
      <c r="E28" s="28">
        <f>J17</f>
        <v>102.85714285714285</v>
      </c>
      <c r="F28" t="s">
        <v>39</v>
      </c>
      <c r="G28" s="28">
        <f>J24</f>
        <v>45</v>
      </c>
      <c r="I28" t="s">
        <v>40</v>
      </c>
      <c r="J28" s="28">
        <f>E28+G28</f>
        <v>147.85714285714283</v>
      </c>
    </row>
    <row r="30" spans="2:10" x14ac:dyDescent="0.25">
      <c r="B30" s="40" t="s">
        <v>82</v>
      </c>
      <c r="C30" s="40"/>
    </row>
    <row r="32" spans="2:10" x14ac:dyDescent="0.25">
      <c r="B32" s="22" t="s">
        <v>83</v>
      </c>
      <c r="E32" s="28">
        <f>J28</f>
        <v>147.85714285714283</v>
      </c>
      <c r="F32" t="s">
        <v>55</v>
      </c>
      <c r="G32" s="28">
        <f>J10</f>
        <v>161.79775280898875</v>
      </c>
      <c r="I32" t="s">
        <v>40</v>
      </c>
      <c r="J32" s="28">
        <f>E32-G32</f>
        <v>-13.940609951845914</v>
      </c>
    </row>
  </sheetData>
  <mergeCells count="6">
    <mergeCell ref="B30:C30"/>
    <mergeCell ref="B3:C3"/>
    <mergeCell ref="B5:C5"/>
    <mergeCell ref="B12:C12"/>
    <mergeCell ref="B19:C19"/>
    <mergeCell ref="B26:C2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</vt:lpstr>
      <vt:lpstr>Estrutura de Capital</vt:lpstr>
      <vt:lpstr>Liquidez</vt:lpstr>
      <vt:lpstr>Rentabilidade</vt:lpstr>
      <vt:lpstr>Prazo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</dc:creator>
  <cp:lastModifiedBy>Emerson</cp:lastModifiedBy>
  <dcterms:created xsi:type="dcterms:W3CDTF">2015-04-04T01:42:23Z</dcterms:created>
  <dcterms:modified xsi:type="dcterms:W3CDTF">2017-04-02T03:44:56Z</dcterms:modified>
</cp:coreProperties>
</file>