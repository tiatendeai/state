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0cb98153364d34/Finder/Planilhas/"/>
    </mc:Choice>
  </mc:AlternateContent>
  <xr:revisionPtr revIDLastSave="38" documentId="8_{470E0B0A-942B-4579-80D8-9447A27EAAFA}" xr6:coauthVersionLast="47" xr6:coauthVersionMax="47" xr10:uidLastSave="{C14D2D7F-A3EB-4A47-BDE1-4EDD36AC122E}"/>
  <bookViews>
    <workbookView xWindow="-120" yWindow="-120" windowWidth="19800" windowHeight="11760" tabRatio="806" xr2:uid="{00000000-000D-0000-FFFF-FFFF00000000}"/>
  </bookViews>
  <sheets>
    <sheet name="EDUARDO" sheetId="13" r:id="rId1"/>
    <sheet name="MODELO" sheetId="14" r:id="rId2"/>
    <sheet name="CADASTRO FUNCIONARIO" sheetId="22" r:id="rId3"/>
    <sheet name="ESCALA DE TRABALHO" sheetId="1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9" l="1"/>
  <c r="M10" i="19"/>
  <c r="M20" i="19" s="1"/>
  <c r="L10" i="19"/>
  <c r="L20" i="19" s="1"/>
  <c r="K10" i="19"/>
  <c r="K20" i="19" s="1"/>
  <c r="J10" i="19"/>
  <c r="J20" i="19" s="1"/>
  <c r="H40" i="13"/>
  <c r="H39" i="13"/>
  <c r="H38" i="13"/>
  <c r="H37" i="13"/>
  <c r="H36" i="13"/>
  <c r="H35" i="13"/>
  <c r="H34" i="13"/>
  <c r="H33" i="13"/>
  <c r="H32" i="13"/>
  <c r="H31" i="13"/>
  <c r="H30" i="13"/>
  <c r="H28" i="13"/>
  <c r="H27" i="13"/>
  <c r="H26" i="13"/>
  <c r="H23" i="13"/>
  <c r="H21" i="13"/>
  <c r="H18" i="13"/>
  <c r="H15" i="13"/>
  <c r="H14" i="13"/>
  <c r="H13" i="13"/>
  <c r="H12" i="13"/>
  <c r="H11" i="13"/>
  <c r="H10" i="13"/>
  <c r="C18" i="19"/>
  <c r="K8" i="13"/>
  <c r="K7" i="13" s="1"/>
  <c r="J8" i="13"/>
  <c r="I8" i="13"/>
  <c r="H8" i="13"/>
  <c r="G8" i="14"/>
  <c r="F8" i="14"/>
  <c r="E8" i="14"/>
  <c r="D8" i="14"/>
  <c r="H22" i="13" l="1"/>
  <c r="H25" i="13"/>
  <c r="H16" i="13"/>
  <c r="L7" i="13"/>
  <c r="H20" i="13"/>
  <c r="H17" i="13"/>
  <c r="H24" i="13"/>
  <c r="H19" i="13"/>
  <c r="H29" i="13"/>
  <c r="G1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13" i="22"/>
  <c r="G14" i="22"/>
  <c r="G15" i="22"/>
  <c r="G16" i="22"/>
  <c r="G17" i="22"/>
  <c r="G18" i="22"/>
  <c r="G19" i="22"/>
  <c r="G20" i="22"/>
  <c r="G21" i="22"/>
  <c r="G22" i="22"/>
  <c r="G11" i="22"/>
  <c r="J13" i="13"/>
  <c r="J15" i="13"/>
  <c r="J21" i="13"/>
  <c r="L24" i="13"/>
  <c r="L25" i="13"/>
  <c r="J26" i="13"/>
  <c r="L28" i="13"/>
  <c r="J40" i="13"/>
  <c r="L32" i="13"/>
  <c r="J11" i="13"/>
  <c r="J12" i="13"/>
  <c r="L38" i="13"/>
  <c r="I10" i="13"/>
  <c r="I11" i="13"/>
  <c r="I12" i="13"/>
  <c r="I13" i="13"/>
  <c r="I14" i="13"/>
  <c r="L14" i="13" s="1"/>
  <c r="I15" i="13"/>
  <c r="I18" i="13"/>
  <c r="I21" i="13"/>
  <c r="I23" i="13"/>
  <c r="I26" i="13"/>
  <c r="I27" i="13"/>
  <c r="L27" i="13" s="1"/>
  <c r="I33" i="13"/>
  <c r="I34" i="13"/>
  <c r="I40" i="13"/>
  <c r="L40" i="13" s="1"/>
  <c r="L8" i="13"/>
  <c r="I31" i="13" s="1"/>
  <c r="E8" i="19"/>
  <c r="E9" i="19" s="1"/>
  <c r="H43" i="13" l="1"/>
  <c r="I20" i="13"/>
  <c r="L20" i="13" s="1"/>
  <c r="I19" i="13"/>
  <c r="L19" i="13" s="1"/>
  <c r="I17" i="13"/>
  <c r="I16" i="13"/>
  <c r="I22" i="13"/>
  <c r="L22" i="13" s="1"/>
  <c r="L21" i="13"/>
  <c r="L13" i="13"/>
  <c r="L18" i="13"/>
  <c r="L10" i="13"/>
  <c r="L16" i="13"/>
  <c r="L34" i="13"/>
  <c r="L17" i="13"/>
  <c r="L23" i="13"/>
  <c r="I29" i="13"/>
  <c r="L29" i="13" s="1"/>
  <c r="L33" i="13"/>
  <c r="L11" i="13"/>
  <c r="L12" i="13"/>
  <c r="J23" i="13"/>
  <c r="L15" i="13"/>
  <c r="J33" i="13"/>
  <c r="J14" i="13"/>
  <c r="J39" i="13"/>
  <c r="J35" i="13"/>
  <c r="J34" i="13"/>
  <c r="J10" i="13"/>
  <c r="J18" i="13"/>
  <c r="L26" i="13"/>
  <c r="I38" i="13"/>
  <c r="I32" i="13"/>
  <c r="I37" i="13"/>
  <c r="I28" i="13"/>
  <c r="I36" i="13"/>
  <c r="I35" i="13"/>
  <c r="L35" i="13" s="1"/>
  <c r="I25" i="13"/>
  <c r="I30" i="13"/>
  <c r="I24" i="13"/>
  <c r="I39" i="13"/>
  <c r="L39" i="13" s="1"/>
  <c r="J27" i="13"/>
  <c r="F8" i="19"/>
  <c r="L30" i="13" l="1"/>
  <c r="J30" i="13"/>
  <c r="J31" i="13"/>
  <c r="L31" i="13"/>
  <c r="J37" i="13"/>
  <c r="L37" i="13"/>
  <c r="J36" i="13"/>
  <c r="L36" i="13"/>
  <c r="I43" i="13"/>
  <c r="F9" i="19"/>
  <c r="G8" i="19"/>
  <c r="G9" i="19" l="1"/>
  <c r="H8" i="19"/>
  <c r="H9" i="19" l="1"/>
  <c r="I8" i="19"/>
  <c r="A10" i="14"/>
  <c r="B10" i="14" s="1"/>
  <c r="J8" i="19" l="1"/>
  <c r="I9" i="19"/>
  <c r="A11" i="14"/>
  <c r="K8" i="19" l="1"/>
  <c r="J9" i="19"/>
  <c r="B11" i="14"/>
  <c r="A12" i="14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43" i="13" l="1"/>
  <c r="K9" i="19"/>
  <c r="L8" i="19"/>
  <c r="A13" i="14"/>
  <c r="B12" i="14"/>
  <c r="L9" i="19" l="1"/>
  <c r="M8" i="19"/>
  <c r="B13" i="14"/>
  <c r="A14" i="14"/>
  <c r="M40" i="13"/>
  <c r="M37" i="13"/>
  <c r="M36" i="13"/>
  <c r="M34" i="13"/>
  <c r="M33" i="13"/>
  <c r="M32" i="13"/>
  <c r="M31" i="13"/>
  <c r="M30" i="13"/>
  <c r="M28" i="13"/>
  <c r="M27" i="13"/>
  <c r="M26" i="13"/>
  <c r="M25" i="13"/>
  <c r="M24" i="13"/>
  <c r="M22" i="13"/>
  <c r="M20" i="13"/>
  <c r="M19" i="13"/>
  <c r="M18" i="13"/>
  <c r="M17" i="13"/>
  <c r="M14" i="13"/>
  <c r="M11" i="13"/>
  <c r="A10" i="13"/>
  <c r="B10" i="13" s="1"/>
  <c r="M15" i="13"/>
  <c r="M23" i="13"/>
  <c r="M12" i="13"/>
  <c r="M38" i="13" l="1"/>
  <c r="I42" i="13"/>
  <c r="M39" i="13"/>
  <c r="L43" i="13"/>
  <c r="N8" i="19"/>
  <c r="M9" i="19"/>
  <c r="B14" i="14"/>
  <c r="A15" i="14"/>
  <c r="M35" i="13"/>
  <c r="M21" i="13"/>
  <c r="M29" i="13"/>
  <c r="M16" i="13"/>
  <c r="M13" i="13"/>
  <c r="M10" i="13"/>
  <c r="H42" i="13"/>
  <c r="A11" i="13"/>
  <c r="B11" i="13" s="1"/>
  <c r="M43" i="13" l="1"/>
  <c r="O8" i="19"/>
  <c r="N9" i="19"/>
  <c r="A16" i="14"/>
  <c r="B15" i="14"/>
  <c r="M42" i="13"/>
  <c r="L42" i="13"/>
  <c r="A12" i="13"/>
  <c r="B12" i="13" s="1"/>
  <c r="O9" i="19" l="1"/>
  <c r="P8" i="19"/>
  <c r="A17" i="14"/>
  <c r="B16" i="14"/>
  <c r="A13" i="13"/>
  <c r="B13" i="13" s="1"/>
  <c r="P9" i="19" l="1"/>
  <c r="Q8" i="19"/>
  <c r="B17" i="14"/>
  <c r="A18" i="14"/>
  <c r="A14" i="13"/>
  <c r="B14" i="13" s="1"/>
  <c r="R8" i="19" l="1"/>
  <c r="Q9" i="19"/>
  <c r="B18" i="14"/>
  <c r="A19" i="14"/>
  <c r="A15" i="13"/>
  <c r="B15" i="13" s="1"/>
  <c r="S8" i="19" l="1"/>
  <c r="R9" i="19"/>
  <c r="A20" i="14"/>
  <c r="B19" i="14"/>
  <c r="A16" i="13"/>
  <c r="B16" i="13" s="1"/>
  <c r="J16" i="13" s="1"/>
  <c r="S9" i="19" l="1"/>
  <c r="E18" i="19"/>
  <c r="A21" i="14"/>
  <c r="B20" i="14"/>
  <c r="A17" i="13"/>
  <c r="B17" i="13" s="1"/>
  <c r="J17" i="13" s="1"/>
  <c r="E19" i="19" l="1"/>
  <c r="F18" i="19"/>
  <c r="B21" i="14"/>
  <c r="A22" i="14"/>
  <c r="A18" i="13"/>
  <c r="B18" i="13" s="1"/>
  <c r="G18" i="19" l="1"/>
  <c r="F19" i="19"/>
  <c r="B22" i="14"/>
  <c r="A23" i="14"/>
  <c r="A19" i="13"/>
  <c r="B19" i="13" s="1"/>
  <c r="J19" i="13" s="1"/>
  <c r="H18" i="19" l="1"/>
  <c r="G19" i="19"/>
  <c r="A24" i="14"/>
  <c r="B23" i="14"/>
  <c r="A20" i="13"/>
  <c r="B20" i="13" s="1"/>
  <c r="J20" i="13" s="1"/>
  <c r="H19" i="19" l="1"/>
  <c r="I18" i="19"/>
  <c r="A25" i="14"/>
  <c r="B24" i="14"/>
  <c r="A21" i="13"/>
  <c r="I19" i="19" l="1"/>
  <c r="J18" i="19"/>
  <c r="B25" i="14"/>
  <c r="A26" i="14"/>
  <c r="A22" i="13"/>
  <c r="B22" i="13" s="1"/>
  <c r="J22" i="13" s="1"/>
  <c r="B21" i="13"/>
  <c r="K18" i="19" l="1"/>
  <c r="J19" i="19"/>
  <c r="B26" i="14"/>
  <c r="A27" i="14"/>
  <c r="A23" i="13"/>
  <c r="B23" i="13" s="1"/>
  <c r="L18" i="19" l="1"/>
  <c r="K19" i="19"/>
  <c r="A28" i="14"/>
  <c r="B27" i="14"/>
  <c r="A24" i="13"/>
  <c r="B24" i="13" s="1"/>
  <c r="J24" i="13" s="1"/>
  <c r="L19" i="19" l="1"/>
  <c r="M18" i="19"/>
  <c r="A29" i="14"/>
  <c r="B28" i="14"/>
  <c r="A25" i="13"/>
  <c r="B25" i="13" s="1"/>
  <c r="J25" i="13" s="1"/>
  <c r="M19" i="19" l="1"/>
  <c r="N18" i="19"/>
  <c r="B29" i="14"/>
  <c r="A30" i="14"/>
  <c r="A26" i="13"/>
  <c r="B26" i="13" s="1"/>
  <c r="O18" i="19" l="1"/>
  <c r="N19" i="19"/>
  <c r="B30" i="14"/>
  <c r="A31" i="14"/>
  <c r="A27" i="13"/>
  <c r="B27" i="13" s="1"/>
  <c r="P18" i="19" l="1"/>
  <c r="O19" i="19"/>
  <c r="A32" i="14"/>
  <c r="B31" i="14"/>
  <c r="A28" i="13"/>
  <c r="B28" i="13" s="1"/>
  <c r="J28" i="13" s="1"/>
  <c r="P19" i="19" l="1"/>
  <c r="Q18" i="19"/>
  <c r="A33" i="14"/>
  <c r="B32" i="14"/>
  <c r="A29" i="13"/>
  <c r="B29" i="13" s="1"/>
  <c r="J29" i="13" s="1"/>
  <c r="Q19" i="19" l="1"/>
  <c r="R18" i="19"/>
  <c r="B33" i="14"/>
  <c r="A34" i="14"/>
  <c r="A30" i="13"/>
  <c r="B30" i="13" s="1"/>
  <c r="S18" i="19" l="1"/>
  <c r="R19" i="19"/>
  <c r="B34" i="14"/>
  <c r="A35" i="14"/>
  <c r="A31" i="13"/>
  <c r="B31" i="13" s="1"/>
  <c r="S19" i="19" l="1"/>
  <c r="T18" i="19"/>
  <c r="T19" i="19" s="1"/>
  <c r="A36" i="14"/>
  <c r="B35" i="14"/>
  <c r="A32" i="13"/>
  <c r="B32" i="13" s="1"/>
  <c r="J32" i="13" s="1"/>
  <c r="A37" i="14" l="1"/>
  <c r="B36" i="14"/>
  <c r="A33" i="13"/>
  <c r="B33" i="13" s="1"/>
  <c r="B37" i="14" l="1"/>
  <c r="A38" i="14"/>
  <c r="A34" i="13"/>
  <c r="B34" i="13" s="1"/>
  <c r="B38" i="14" l="1"/>
  <c r="A39" i="14"/>
  <c r="A35" i="13"/>
  <c r="B35" i="13" s="1"/>
  <c r="A40" i="14" l="1"/>
  <c r="B40" i="14" s="1"/>
  <c r="B39" i="14"/>
  <c r="A36" i="13"/>
  <c r="B36" i="13" s="1"/>
  <c r="A37" i="13" l="1"/>
  <c r="B37" i="13" s="1"/>
  <c r="A38" i="13" l="1"/>
  <c r="B38" i="13" s="1"/>
  <c r="J38" i="13" s="1"/>
  <c r="J43" i="13" s="1"/>
  <c r="A39" i="13" l="1"/>
  <c r="B39" i="13" s="1"/>
  <c r="A40" i="13" l="1"/>
  <c r="B40" i="13" s="1"/>
  <c r="J42" i="13" l="1"/>
  <c r="K42" i="13"/>
</calcChain>
</file>

<file path=xl/sharedStrings.xml><?xml version="1.0" encoding="utf-8"?>
<sst xmlns="http://schemas.openxmlformats.org/spreadsheetml/2006/main" count="106" uniqueCount="34">
  <si>
    <t>DIA</t>
  </si>
  <si>
    <t>Saída almoço</t>
  </si>
  <si>
    <t>Volta do almoço</t>
  </si>
  <si>
    <t>Saída</t>
  </si>
  <si>
    <t>Entrada</t>
  </si>
  <si>
    <t>Extras 100%</t>
  </si>
  <si>
    <t>Faltas Parciais</t>
  </si>
  <si>
    <t>Faltas Integrais</t>
  </si>
  <si>
    <t>FOLGA</t>
  </si>
  <si>
    <t>Carga diária TRABALHADA</t>
  </si>
  <si>
    <t>DIA SEMANA</t>
  </si>
  <si>
    <t>Carga diária CONTRATO</t>
  </si>
  <si>
    <t>Extras 50%</t>
  </si>
  <si>
    <t>Feriado</t>
  </si>
  <si>
    <r>
      <t xml:space="preserve">- Preencher na coluna </t>
    </r>
    <r>
      <rPr>
        <b/>
        <sz val="10"/>
        <rFont val="Arial"/>
        <family val="2"/>
      </rPr>
      <t>"C"</t>
    </r>
    <r>
      <rPr>
        <sz val="10"/>
        <rFont val="Arial"/>
        <family val="2"/>
      </rPr>
      <t xml:space="preserve"> a palavra </t>
    </r>
    <r>
      <rPr>
        <b/>
        <sz val="10"/>
        <rFont val="Arial"/>
        <family val="2"/>
      </rPr>
      <t>"FERIADO"</t>
    </r>
    <r>
      <rPr>
        <sz val="10"/>
        <rFont val="Arial"/>
        <family val="2"/>
      </rPr>
      <t>, quando houver.</t>
    </r>
  </si>
  <si>
    <r>
      <t xml:space="preserve">- Na coluna </t>
    </r>
    <r>
      <rPr>
        <b/>
        <sz val="10"/>
        <rFont val="Arial"/>
        <family val="2"/>
      </rPr>
      <t xml:space="preserve">"D" </t>
    </r>
    <r>
      <rPr>
        <sz val="10"/>
        <rFont val="Arial"/>
        <family val="2"/>
      </rPr>
      <t xml:space="preserve">a </t>
    </r>
    <r>
      <rPr>
        <b/>
        <sz val="10"/>
        <rFont val="Arial"/>
        <family val="2"/>
      </rPr>
      <t>"G"</t>
    </r>
    <r>
      <rPr>
        <sz val="10"/>
        <rFont val="Arial"/>
        <family val="2"/>
      </rPr>
      <t xml:space="preserve">, deve ser preenchido os horários de entrada e saída. Quando houver folga, deve ser escrito </t>
    </r>
    <r>
      <rPr>
        <b/>
        <sz val="10"/>
        <rFont val="Arial"/>
        <family val="2"/>
      </rPr>
      <t>"FOLGA"</t>
    </r>
  </si>
  <si>
    <t xml:space="preserve">- As colunas bloqueadas, são formulas de cálculo, no qual não deve ser alterado, </t>
  </si>
  <si>
    <t>TOTAL</t>
  </si>
  <si>
    <t>- Para ter o registro de todos os pontos, sugerido deixar o histórico por nome de funcionário e mês</t>
  </si>
  <si>
    <t>Nome:</t>
  </si>
  <si>
    <t>CONTROLE PONTO</t>
  </si>
  <si>
    <t>CONTROLE ESCALA DE TRABALHO</t>
  </si>
  <si>
    <t>EDUARDO LUIZ LIMA SANTOS</t>
  </si>
  <si>
    <t>FALTA</t>
  </si>
  <si>
    <t>DIAS</t>
  </si>
  <si>
    <r>
      <t xml:space="preserve">- Na coluna </t>
    </r>
    <r>
      <rPr>
        <b/>
        <sz val="10"/>
        <rFont val="Arial"/>
        <family val="2"/>
      </rPr>
      <t xml:space="preserve">"D" </t>
    </r>
    <r>
      <rPr>
        <sz val="10"/>
        <rFont val="Arial"/>
        <family val="2"/>
      </rPr>
      <t xml:space="preserve">a </t>
    </r>
    <r>
      <rPr>
        <b/>
        <sz val="10"/>
        <rFont val="Arial"/>
        <family val="2"/>
      </rPr>
      <t>"G"</t>
    </r>
    <r>
      <rPr>
        <sz val="10"/>
        <rFont val="Arial"/>
        <family val="2"/>
      </rPr>
      <t xml:space="preserve">, deve ser preenchido os horários de entrada e saída. Quando houver Falta, deve ser escrito </t>
    </r>
    <r>
      <rPr>
        <b/>
        <sz val="10"/>
        <rFont val="Arial"/>
        <family val="2"/>
      </rPr>
      <t>"FALTA"</t>
    </r>
  </si>
  <si>
    <t xml:space="preserve">THIAGO DE PAULA </t>
  </si>
  <si>
    <t>DENILSON LORENÇO RIBEIRO</t>
  </si>
  <si>
    <t>FUNCIONÁRIO</t>
  </si>
  <si>
    <t>CARGA HORÁRIA</t>
  </si>
  <si>
    <t>MODELO</t>
  </si>
  <si>
    <t>ATESTADO</t>
  </si>
  <si>
    <r>
      <t xml:space="preserve">- Na coluna </t>
    </r>
    <r>
      <rPr>
        <b/>
        <sz val="10"/>
        <rFont val="Arial"/>
        <family val="2"/>
      </rPr>
      <t xml:space="preserve">"D" </t>
    </r>
    <r>
      <rPr>
        <sz val="10"/>
        <rFont val="Arial"/>
        <family val="2"/>
      </rPr>
      <t xml:space="preserve">a </t>
    </r>
    <r>
      <rPr>
        <b/>
        <sz val="10"/>
        <rFont val="Arial"/>
        <family val="2"/>
      </rPr>
      <t>"G"</t>
    </r>
    <r>
      <rPr>
        <sz val="10"/>
        <rFont val="Arial"/>
        <family val="2"/>
      </rPr>
      <t xml:space="preserve">, deve ser preenchido os horários de entrada e saída. Quando houver atestado, deve ser escrito </t>
    </r>
    <r>
      <rPr>
        <b/>
        <sz val="10"/>
        <rFont val="Arial"/>
        <family val="2"/>
      </rPr>
      <t>"ATESTADO"</t>
    </r>
  </si>
  <si>
    <t>FERIADO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</si>
</sst>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mmm\-yy;@"/>
    <numFmt numFmtId="165" formatCode="[$-416]d;@"/>
    <numFmt numFmtId="166" formatCode="[$-416]mmmm\-yy;@"/>
  </numFmts>
  <fonts count="23" x14ac:knownFonts="1">
    <font>
      <sz val="10"/>
      <name val="Arial"/>
    </font>
    <font>
      <sz val="10"/>
      <name val="Arial"/>
      <family val="2"/>
    </font>
    <font>
      <b/>
      <sz val="9"/>
      <color indexed="63"/>
      <name val="Segoe UI"/>
      <family val="2"/>
    </font>
    <font>
      <sz val="9"/>
      <color indexed="63"/>
      <name val="Segoe UI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20"/>
      <name val="Arial"/>
      <family val="2"/>
    </font>
    <font>
      <sz val="10"/>
      <name val="Calibri Light"/>
      <family val="2"/>
      <scheme val="major"/>
    </font>
    <font>
      <sz val="10"/>
      <color indexed="63"/>
      <name val="Calibri Light"/>
      <family val="2"/>
      <scheme val="major"/>
    </font>
    <font>
      <b/>
      <sz val="10"/>
      <color indexed="63"/>
      <name val="Calibri Light"/>
      <family val="2"/>
      <scheme val="major"/>
    </font>
    <font>
      <b/>
      <sz val="10"/>
      <color theme="0"/>
      <name val="Segoe UI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b/>
      <sz val="12"/>
      <color indexed="63"/>
      <name val="Segoe UI"/>
      <family val="2"/>
    </font>
    <font>
      <b/>
      <sz val="14"/>
      <color theme="0"/>
      <name val="Arial"/>
      <family val="2"/>
    </font>
    <font>
      <b/>
      <sz val="28"/>
      <color theme="0"/>
      <name val="Arial"/>
      <family val="2"/>
    </font>
    <font>
      <sz val="10"/>
      <name val="Arial"/>
      <family val="2"/>
    </font>
    <font>
      <b/>
      <sz val="10"/>
      <color theme="0"/>
      <name val="Calibri Light"/>
      <family val="2"/>
      <scheme val="maj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20"/>
      <color theme="0"/>
      <name val="Arial"/>
      <family val="2"/>
    </font>
    <font>
      <b/>
      <sz val="14"/>
      <color theme="0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2"/>
      </left>
      <right/>
      <top style="thin">
        <color indexed="62"/>
      </top>
      <bottom/>
      <diagonal/>
    </border>
    <border>
      <left style="medium">
        <color indexed="64"/>
      </left>
      <right style="thin">
        <color indexed="62"/>
      </right>
      <top style="thin">
        <color indexed="62"/>
      </top>
      <bottom style="medium">
        <color indexed="64"/>
      </bottom>
      <diagonal/>
    </border>
    <border>
      <left/>
      <right/>
      <top style="thin">
        <color indexed="62"/>
      </top>
      <bottom style="medium">
        <color indexed="64"/>
      </bottom>
      <diagonal/>
    </border>
    <border>
      <left style="thin">
        <color indexed="62"/>
      </left>
      <right/>
      <top/>
      <bottom style="thin">
        <color indexed="62"/>
      </bottom>
      <diagonal/>
    </border>
    <border>
      <left style="medium">
        <color indexed="64"/>
      </left>
      <right style="thin">
        <color indexed="62"/>
      </right>
      <top style="medium">
        <color indexed="64"/>
      </top>
      <bottom style="thin">
        <color indexed="62"/>
      </bottom>
      <diagonal/>
    </border>
    <border>
      <left/>
      <right/>
      <top style="medium">
        <color indexed="64"/>
      </top>
      <bottom style="thin">
        <color indexed="62"/>
      </bottom>
      <diagonal/>
    </border>
    <border>
      <left style="medium">
        <color indexed="64"/>
      </left>
      <right style="thin">
        <color indexed="62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2"/>
      </top>
      <bottom style="medium">
        <color indexed="64"/>
      </bottom>
      <diagonal/>
    </border>
    <border>
      <left/>
      <right/>
      <top/>
      <bottom style="thin">
        <color indexed="62"/>
      </bottom>
      <diagonal/>
    </border>
    <border>
      <left/>
      <right style="medium">
        <color indexed="64"/>
      </right>
      <top/>
      <bottom style="thin">
        <color indexed="62"/>
      </bottom>
      <diagonal/>
    </border>
    <border>
      <left/>
      <right style="medium">
        <color indexed="64"/>
      </right>
      <top style="medium">
        <color indexed="64"/>
      </top>
      <bottom style="thin">
        <color indexed="62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2"/>
      </bottom>
      <diagonal/>
    </border>
    <border>
      <left style="dotted">
        <color indexed="64"/>
      </left>
      <right style="dotted">
        <color indexed="64"/>
      </right>
      <top/>
      <bottom style="thin">
        <color indexed="62"/>
      </bottom>
      <diagonal/>
    </border>
    <border>
      <left style="dotted">
        <color indexed="64"/>
      </left>
      <right style="dotted">
        <color indexed="64"/>
      </right>
      <top style="thin">
        <color indexed="62"/>
      </top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indexed="64"/>
      </top>
      <bottom style="thin">
        <color indexed="6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indexed="6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indexed="62"/>
      </top>
      <bottom style="medium">
        <color indexed="64"/>
      </bottom>
      <diagonal/>
    </border>
    <border>
      <left style="thin">
        <color theme="2" tint="-9.9948118533890809E-2"/>
      </left>
      <right style="dotted">
        <color indexed="64"/>
      </right>
      <top style="medium">
        <color indexed="64"/>
      </top>
      <bottom style="thin">
        <color indexed="62"/>
      </bottom>
      <diagonal/>
    </border>
    <border>
      <left style="thin">
        <color theme="2" tint="-9.9948118533890809E-2"/>
      </left>
      <right style="dotted">
        <color indexed="64"/>
      </right>
      <top/>
      <bottom style="thin">
        <color indexed="62"/>
      </bottom>
      <diagonal/>
    </border>
    <border>
      <left style="thin">
        <color theme="2" tint="-9.9948118533890809E-2"/>
      </left>
      <right style="dotted">
        <color indexed="64"/>
      </right>
      <top style="thin">
        <color indexed="62"/>
      </top>
      <bottom style="medium">
        <color indexed="64"/>
      </bottom>
      <diagonal/>
    </border>
    <border>
      <left/>
      <right/>
      <top style="thin">
        <color indexed="62"/>
      </top>
      <bottom/>
      <diagonal/>
    </border>
    <border>
      <left style="medium">
        <color indexed="64"/>
      </left>
      <right style="dotted">
        <color indexed="64"/>
      </right>
      <top/>
      <bottom style="thin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2" tint="-9.9948118533890809E-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7" fillId="0" borderId="0" applyFont="0" applyFill="0" applyBorder="0" applyAlignment="0" applyProtection="0"/>
    <xf numFmtId="44" fontId="17" fillId="0" borderId="0" applyFont="0" applyFill="0" applyBorder="0" applyAlignment="0" applyProtection="0"/>
  </cellStyleXfs>
  <cellXfs count="84">
    <xf numFmtId="0" fontId="0" fillId="0" borderId="0" xfId="0"/>
    <xf numFmtId="0" fontId="1" fillId="0" borderId="0" xfId="0" applyFont="1"/>
    <xf numFmtId="20" fontId="0" fillId="0" borderId="0" xfId="0" applyNumberFormat="1"/>
    <xf numFmtId="0" fontId="3" fillId="0" borderId="4" xfId="0" applyNumberFormat="1" applyFont="1" applyFill="1" applyBorder="1" applyAlignment="1" applyProtection="1">
      <alignment horizontal="center" vertical="top" wrapText="1"/>
    </xf>
    <xf numFmtId="20" fontId="3" fillId="0" borderId="5" xfId="0" applyNumberFormat="1" applyFont="1" applyFill="1" applyBorder="1" applyAlignment="1" applyProtection="1">
      <alignment horizontal="center" vertical="top" wrapText="1"/>
    </xf>
    <xf numFmtId="20" fontId="3" fillId="0" borderId="6" xfId="0" applyNumberFormat="1" applyFont="1" applyFill="1" applyBorder="1" applyAlignment="1" applyProtection="1">
      <alignment horizontal="center" vertical="top" wrapText="1"/>
    </xf>
    <xf numFmtId="165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20" fontId="10" fillId="0" borderId="16" xfId="0" applyNumberFormat="1" applyFont="1" applyFill="1" applyBorder="1" applyAlignment="1" applyProtection="1">
      <alignment horizontal="center" vertical="center" wrapText="1"/>
    </xf>
    <xf numFmtId="20" fontId="2" fillId="0" borderId="17" xfId="0" applyNumberFormat="1" applyFont="1" applyFill="1" applyBorder="1" applyAlignment="1" applyProtection="1">
      <alignment horizontal="center" vertical="top" wrapText="1"/>
    </xf>
    <xf numFmtId="20" fontId="3" fillId="0" borderId="23" xfId="0" applyNumberFormat="1" applyFont="1" applyFill="1" applyBorder="1" applyAlignment="1" applyProtection="1">
      <alignment horizontal="center" vertical="top" wrapText="1"/>
    </xf>
    <xf numFmtId="0" fontId="0" fillId="0" borderId="0" xfId="0" applyFill="1" applyBorder="1"/>
    <xf numFmtId="0" fontId="5" fillId="0" borderId="0" xfId="0" applyFont="1" applyFill="1" applyBorder="1"/>
    <xf numFmtId="0" fontId="6" fillId="0" borderId="0" xfId="0" applyFont="1"/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/>
    <xf numFmtId="0" fontId="3" fillId="0" borderId="24" xfId="0" applyNumberFormat="1" applyFont="1" applyFill="1" applyBorder="1" applyAlignment="1" applyProtection="1">
      <alignment horizontal="center" vertical="top" wrapText="1"/>
    </xf>
    <xf numFmtId="0" fontId="11" fillId="5" borderId="7" xfId="0" applyNumberFormat="1" applyFont="1" applyFill="1" applyBorder="1" applyAlignment="1" applyProtection="1">
      <alignment horizontal="center" vertical="center" wrapText="1"/>
    </xf>
    <xf numFmtId="0" fontId="11" fillId="5" borderId="12" xfId="0" applyNumberFormat="1" applyFont="1" applyFill="1" applyBorder="1" applyAlignment="1" applyProtection="1">
      <alignment horizontal="center" vertical="center" wrapText="1"/>
    </xf>
    <xf numFmtId="0" fontId="11" fillId="5" borderId="8" xfId="0" applyNumberFormat="1" applyFont="1" applyFill="1" applyBorder="1" applyAlignment="1" applyProtection="1">
      <alignment horizontal="center" vertical="center" wrapText="1"/>
    </xf>
    <xf numFmtId="0" fontId="11" fillId="5" borderId="9" xfId="0" applyNumberFormat="1" applyFont="1" applyFill="1" applyBorder="1" applyAlignment="1" applyProtection="1">
      <alignment horizontal="center" vertical="center" wrapText="1"/>
    </xf>
    <xf numFmtId="0" fontId="11" fillId="5" borderId="21" xfId="0" applyNumberFormat="1" applyFont="1" applyFill="1" applyBorder="1" applyAlignment="1" applyProtection="1">
      <alignment horizontal="center" vertical="center" wrapText="1"/>
    </xf>
    <xf numFmtId="20" fontId="11" fillId="5" borderId="15" xfId="0" applyNumberFormat="1" applyFont="1" applyFill="1" applyBorder="1" applyAlignment="1" applyProtection="1">
      <alignment horizontal="center" vertical="center" wrapText="1"/>
    </xf>
    <xf numFmtId="20" fontId="11" fillId="5" borderId="9" xfId="0" applyNumberFormat="1" applyFont="1" applyFill="1" applyBorder="1" applyAlignment="1" applyProtection="1">
      <alignment horizontal="center" vertical="center" wrapText="1"/>
    </xf>
    <xf numFmtId="0" fontId="11" fillId="5" borderId="18" xfId="0" applyNumberFormat="1" applyFont="1" applyFill="1" applyBorder="1" applyAlignment="1" applyProtection="1">
      <alignment horizontal="center" vertical="center" wrapText="1"/>
    </xf>
    <xf numFmtId="0" fontId="11" fillId="5" borderId="14" xfId="0" applyNumberFormat="1" applyFont="1" applyFill="1" applyBorder="1" applyAlignment="1" applyProtection="1">
      <alignment horizontal="center" vertical="center" wrapText="1"/>
    </xf>
    <xf numFmtId="0" fontId="9" fillId="0" borderId="12" xfId="0" applyNumberFormat="1" applyFont="1" applyFill="1" applyBorder="1" applyAlignment="1" applyProtection="1">
      <alignment horizontal="center" vertical="center" wrapText="1"/>
      <protection locked="0"/>
    </xf>
    <xf numFmtId="20" fontId="9" fillId="0" borderId="25" xfId="0" applyNumberFormat="1" applyFont="1" applyFill="1" applyBorder="1" applyAlignment="1" applyProtection="1">
      <alignment horizontal="center" vertical="center" wrapText="1"/>
      <protection locked="0"/>
    </xf>
    <xf numFmtId="20" fontId="9" fillId="0" borderId="22" xfId="0" applyNumberFormat="1" applyFont="1" applyFill="1" applyBorder="1" applyAlignment="1" applyProtection="1">
      <alignment horizontal="center" vertical="center" wrapText="1"/>
      <protection locked="0"/>
    </xf>
    <xf numFmtId="20" fontId="9" fillId="4" borderId="12" xfId="0" applyNumberFormat="1" applyFont="1" applyFill="1" applyBorder="1" applyAlignment="1" applyProtection="1">
      <alignment horizontal="center" vertical="center" wrapText="1"/>
    </xf>
    <xf numFmtId="20" fontId="9" fillId="4" borderId="19" xfId="0" applyNumberFormat="1" applyFont="1" applyFill="1" applyBorder="1" applyAlignment="1" applyProtection="1">
      <alignment horizontal="center" vertical="center" wrapText="1"/>
    </xf>
    <xf numFmtId="20" fontId="9" fillId="4" borderId="13" xfId="0" applyNumberFormat="1" applyFont="1" applyFill="1" applyBorder="1" applyAlignment="1" applyProtection="1">
      <alignment horizontal="center" vertical="center" wrapText="1"/>
    </xf>
    <xf numFmtId="20" fontId="3" fillId="4" borderId="6" xfId="0" applyNumberFormat="1" applyFont="1" applyFill="1" applyBorder="1" applyAlignment="1" applyProtection="1">
      <alignment horizontal="center" vertical="top" wrapText="1"/>
    </xf>
    <xf numFmtId="20" fontId="3" fillId="4" borderId="20" xfId="0" applyNumberFormat="1" applyFont="1" applyFill="1" applyBorder="1" applyAlignment="1" applyProtection="1">
      <alignment horizontal="center" vertical="top" wrapText="1"/>
    </xf>
    <xf numFmtId="20" fontId="3" fillId="4" borderId="11" xfId="0" applyNumberFormat="1" applyFont="1" applyFill="1" applyBorder="1" applyAlignment="1" applyProtection="1">
      <alignment horizontal="center" vertical="top" wrapText="1"/>
    </xf>
    <xf numFmtId="0" fontId="0" fillId="0" borderId="0" xfId="0" applyAlignment="1">
      <alignment horizontal="right"/>
    </xf>
    <xf numFmtId="46" fontId="14" fillId="3" borderId="10" xfId="0" applyNumberFormat="1" applyFont="1" applyFill="1" applyBorder="1" applyAlignment="1" applyProtection="1">
      <alignment horizontal="center" vertical="top" wrapText="1"/>
    </xf>
    <xf numFmtId="46" fontId="14" fillId="3" borderId="26" xfId="0" applyNumberFormat="1" applyFont="1" applyFill="1" applyBorder="1" applyAlignment="1" applyProtection="1">
      <alignment horizontal="center" vertical="top" wrapText="1"/>
    </xf>
    <xf numFmtId="0" fontId="0" fillId="0" borderId="27" xfId="0" applyBorder="1"/>
    <xf numFmtId="165" fontId="9" fillId="0" borderId="27" xfId="0" applyNumberFormat="1" applyFont="1" applyFill="1" applyBorder="1" applyAlignment="1" applyProtection="1">
      <alignment horizontal="center" vertical="center" wrapText="1"/>
    </xf>
    <xf numFmtId="0" fontId="9" fillId="0" borderId="27" xfId="0" applyNumberFormat="1" applyFont="1" applyFill="1" applyBorder="1" applyAlignment="1" applyProtection="1">
      <alignment horizontal="center" vertical="center" wrapText="1"/>
    </xf>
    <xf numFmtId="164" fontId="7" fillId="2" borderId="3" xfId="0" applyNumberFormat="1" applyFont="1" applyFill="1" applyBorder="1" applyAlignment="1">
      <alignment horizontal="left" vertical="center"/>
    </xf>
    <xf numFmtId="20" fontId="18" fillId="5" borderId="22" xfId="0" applyNumberFormat="1" applyFont="1" applyFill="1" applyBorder="1" applyAlignment="1" applyProtection="1">
      <alignment horizontal="center" vertical="center" wrapText="1"/>
      <protection locked="0"/>
    </xf>
    <xf numFmtId="1" fontId="14" fillId="3" borderId="10" xfId="1" applyNumberFormat="1" applyFont="1" applyFill="1" applyBorder="1" applyAlignment="1" applyProtection="1">
      <alignment horizontal="center" vertical="top" wrapText="1"/>
    </xf>
    <xf numFmtId="1" fontId="14" fillId="3" borderId="26" xfId="1" applyNumberFormat="1" applyFont="1" applyFill="1" applyBorder="1" applyAlignment="1" applyProtection="1">
      <alignment horizontal="center" vertical="top" wrapText="1"/>
    </xf>
    <xf numFmtId="0" fontId="11" fillId="5" borderId="29" xfId="0" applyNumberFormat="1" applyFont="1" applyFill="1" applyBorder="1" applyAlignment="1" applyProtection="1">
      <alignment horizontal="center" vertical="center" wrapText="1"/>
    </xf>
    <xf numFmtId="0" fontId="13" fillId="5" borderId="29" xfId="0" applyFont="1" applyFill="1" applyBorder="1" applyAlignment="1" applyProtection="1">
      <alignment vertical="center"/>
      <protection locked="0"/>
    </xf>
    <xf numFmtId="20" fontId="18" fillId="5" borderId="29" xfId="0" applyNumberFormat="1" applyFont="1" applyFill="1" applyBorder="1" applyAlignment="1" applyProtection="1">
      <alignment horizontal="center" vertical="center" wrapText="1"/>
      <protection locked="0"/>
    </xf>
    <xf numFmtId="0" fontId="0" fillId="5" borderId="0" xfId="0" applyFill="1"/>
    <xf numFmtId="0" fontId="1" fillId="0" borderId="0" xfId="0" quotePrefix="1" applyFont="1" applyAlignment="1"/>
    <xf numFmtId="0" fontId="1" fillId="0" borderId="0" xfId="0" quotePrefix="1" applyFont="1" applyAlignment="1">
      <alignment vertical="top"/>
    </xf>
    <xf numFmtId="0" fontId="0" fillId="0" borderId="0" xfId="0" applyAlignment="1"/>
    <xf numFmtId="20" fontId="0" fillId="0" borderId="0" xfId="0" applyNumberFormat="1" applyAlignment="1"/>
    <xf numFmtId="20" fontId="22" fillId="5" borderId="29" xfId="0" applyNumberFormat="1" applyFont="1" applyFill="1" applyBorder="1" applyAlignment="1" applyProtection="1">
      <alignment horizontal="center" vertical="center" wrapText="1"/>
      <protection locked="0"/>
    </xf>
    <xf numFmtId="0" fontId="12" fillId="5" borderId="29" xfId="0" applyFont="1" applyFill="1" applyBorder="1" applyAlignment="1" applyProtection="1">
      <alignment horizontal="center" vertical="center"/>
      <protection locked="0"/>
    </xf>
    <xf numFmtId="0" fontId="9" fillId="0" borderId="31" xfId="0" applyNumberFormat="1" applyFont="1" applyFill="1" applyBorder="1" applyAlignment="1" applyProtection="1">
      <alignment horizontal="center" vertical="center" wrapText="1"/>
    </xf>
    <xf numFmtId="0" fontId="0" fillId="0" borderId="28" xfId="0" applyBorder="1"/>
    <xf numFmtId="20" fontId="19" fillId="0" borderId="0" xfId="0" applyNumberFormat="1" applyFont="1"/>
    <xf numFmtId="0" fontId="9" fillId="5" borderId="0" xfId="0" applyNumberFormat="1" applyFont="1" applyFill="1" applyBorder="1" applyAlignment="1" applyProtection="1">
      <alignment horizontal="center" vertical="center" wrapText="1"/>
    </xf>
    <xf numFmtId="166" fontId="15" fillId="5" borderId="32" xfId="0" applyNumberFormat="1" applyFont="1" applyFill="1" applyBorder="1" applyAlignment="1">
      <alignment vertical="center"/>
    </xf>
    <xf numFmtId="44" fontId="13" fillId="5" borderId="3" xfId="2" applyFont="1" applyFill="1" applyBorder="1" applyAlignment="1" applyProtection="1">
      <alignment vertical="center"/>
      <protection locked="0"/>
    </xf>
    <xf numFmtId="0" fontId="14" fillId="3" borderId="1" xfId="0" applyNumberFormat="1" applyFont="1" applyFill="1" applyBorder="1" applyAlignment="1" applyProtection="1">
      <alignment horizontal="right" vertical="top" wrapText="1"/>
    </xf>
    <xf numFmtId="0" fontId="14" fillId="3" borderId="3" xfId="0" applyNumberFormat="1" applyFont="1" applyFill="1" applyBorder="1" applyAlignment="1" applyProtection="1">
      <alignment horizontal="right" vertical="top" wrapText="1"/>
    </xf>
    <xf numFmtId="0" fontId="14" fillId="3" borderId="2" xfId="0" applyNumberFormat="1" applyFont="1" applyFill="1" applyBorder="1" applyAlignment="1" applyProtection="1">
      <alignment horizontal="right" vertical="top" wrapText="1"/>
    </xf>
    <xf numFmtId="0" fontId="12" fillId="5" borderId="1" xfId="0" applyFont="1" applyFill="1" applyBorder="1" applyAlignment="1" applyProtection="1">
      <alignment horizontal="center" vertical="center"/>
      <protection locked="0"/>
    </xf>
    <xf numFmtId="0" fontId="12" fillId="5" borderId="3" xfId="0" applyFont="1" applyFill="1" applyBorder="1" applyAlignment="1" applyProtection="1">
      <alignment horizontal="center" vertical="center"/>
      <protection locked="0"/>
    </xf>
    <xf numFmtId="0" fontId="12" fillId="5" borderId="30" xfId="0" applyFont="1" applyFill="1" applyBorder="1" applyAlignment="1" applyProtection="1">
      <alignment horizontal="center" vertical="center"/>
      <protection locked="0"/>
    </xf>
    <xf numFmtId="164" fontId="7" fillId="2" borderId="1" xfId="0" applyNumberFormat="1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0" fontId="13" fillId="5" borderId="29" xfId="0" applyFont="1" applyFill="1" applyBorder="1" applyAlignment="1" applyProtection="1">
      <alignment horizontal="left" vertical="center"/>
      <protection locked="0"/>
    </xf>
    <xf numFmtId="0" fontId="1" fillId="0" borderId="0" xfId="0" quotePrefix="1" applyFont="1" applyAlignment="1">
      <alignment horizontal="left"/>
    </xf>
    <xf numFmtId="164" fontId="7" fillId="2" borderId="29" xfId="0" applyNumberFormat="1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6" fillId="5" borderId="0" xfId="0" applyFont="1" applyFill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0" fontId="21" fillId="5" borderId="29" xfId="0" applyFont="1" applyFill="1" applyBorder="1" applyAlignment="1">
      <alignment horizontal="center" vertical="center"/>
    </xf>
    <xf numFmtId="166" fontId="15" fillId="5" borderId="0" xfId="0" applyNumberFormat="1" applyFont="1" applyFill="1" applyAlignment="1">
      <alignment horizontal="center" vertical="center"/>
    </xf>
    <xf numFmtId="166" fontId="15" fillId="5" borderId="0" xfId="0" applyNumberFormat="1" applyFont="1" applyFill="1" applyBorder="1" applyAlignment="1">
      <alignment horizontal="center" vertical="center"/>
    </xf>
    <xf numFmtId="166" fontId="15" fillId="5" borderId="32" xfId="0" applyNumberFormat="1" applyFont="1" applyFill="1" applyBorder="1" applyAlignment="1">
      <alignment horizontal="left" vertical="center"/>
    </xf>
    <xf numFmtId="0" fontId="0" fillId="0" borderId="2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46"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DBDEE1"/>
      <rgbColor rgb="00FCFDFF"/>
      <rgbColor rgb="00F0F2F6"/>
      <rgbColor rgb="00EBEEF1"/>
      <rgbColor rgb="00A0A0A0"/>
      <rgbColor rgb="003B3B3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28574</xdr:rowOff>
    </xdr:from>
    <xdr:to>
      <xdr:col>2</xdr:col>
      <xdr:colOff>75485</xdr:colOff>
      <xdr:row>6</xdr:row>
      <xdr:rowOff>152399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089CA2A-2D67-46FD-91FB-3FBBB4931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8574"/>
          <a:ext cx="1199435" cy="1095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</xdr:col>
      <xdr:colOff>462644</xdr:colOff>
      <xdr:row>5</xdr:row>
      <xdr:rowOff>140422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38861D5-071A-455F-833C-6321209E7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47750" cy="956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0</xdr:row>
      <xdr:rowOff>0</xdr:rowOff>
    </xdr:from>
    <xdr:to>
      <xdr:col>1</xdr:col>
      <xdr:colOff>1037510</xdr:colOff>
      <xdr:row>6</xdr:row>
      <xdr:rowOff>123825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EB5A36-DF95-4779-8F0E-7DF6758FF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0"/>
          <a:ext cx="1199435" cy="10953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1</xdr:row>
      <xdr:rowOff>66675</xdr:rowOff>
    </xdr:from>
    <xdr:to>
      <xdr:col>3</xdr:col>
      <xdr:colOff>438150</xdr:colOff>
      <xdr:row>7</xdr:row>
      <xdr:rowOff>16354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5" y="228600"/>
          <a:ext cx="1019175" cy="9307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0"/>
  <sheetViews>
    <sheetView showGridLines="0" tabSelected="1" workbookViewId="0">
      <pane xSplit="2" ySplit="9" topLeftCell="C31" activePane="bottomRight" state="frozen"/>
      <selection pane="topRight" activeCell="C1" sqref="C1"/>
      <selection pane="bottomLeft" activeCell="A3" sqref="A3"/>
      <selection pane="bottomRight" activeCell="A49" sqref="A49:XFD49"/>
    </sheetView>
  </sheetViews>
  <sheetFormatPr defaultColWidth="0" defaultRowHeight="12.75" zeroHeight="1" x14ac:dyDescent="0.2"/>
  <cols>
    <col min="1" max="3" width="8.7109375" customWidth="1"/>
    <col min="4" max="4" width="12.5703125" customWidth="1"/>
    <col min="5" max="6" width="11" customWidth="1"/>
    <col min="7" max="7" width="12.5703125" customWidth="1"/>
    <col min="8" max="9" width="14.140625" style="2" customWidth="1"/>
    <col min="10" max="13" width="12.5703125" customWidth="1"/>
    <col min="14" max="14" width="27" style="11" customWidth="1"/>
    <col min="15" max="16384" width="9.140625" style="11" hidden="1"/>
  </cols>
  <sheetData>
    <row r="1" spans="1:13" x14ac:dyDescent="0.2">
      <c r="J1" s="2"/>
      <c r="K1" s="2"/>
      <c r="L1" s="2"/>
      <c r="M1" s="2"/>
    </row>
    <row r="2" spans="1:13" x14ac:dyDescent="0.2">
      <c r="C2" s="51" t="s">
        <v>14</v>
      </c>
      <c r="D2" s="51"/>
      <c r="E2" s="51"/>
      <c r="F2" s="51"/>
      <c r="G2" s="51"/>
      <c r="H2" s="51"/>
    </row>
    <row r="3" spans="1:13" ht="12.75" customHeight="1" x14ac:dyDescent="0.2">
      <c r="C3" s="52" t="s">
        <v>15</v>
      </c>
      <c r="D3" s="52"/>
      <c r="E3" s="52"/>
      <c r="F3" s="52"/>
      <c r="G3" s="52"/>
      <c r="H3" s="52"/>
    </row>
    <row r="4" spans="1:13" x14ac:dyDescent="0.2">
      <c r="C4" s="51" t="s">
        <v>16</v>
      </c>
      <c r="D4" s="51"/>
      <c r="E4" s="51"/>
      <c r="F4" s="51"/>
      <c r="G4" s="51"/>
      <c r="H4" s="51"/>
    </row>
    <row r="5" spans="1:13" ht="12.75" customHeight="1" x14ac:dyDescent="0.2">
      <c r="C5" s="51" t="s">
        <v>25</v>
      </c>
      <c r="D5" s="51"/>
      <c r="E5" s="51"/>
      <c r="F5" s="51"/>
      <c r="G5" s="51"/>
      <c r="H5" s="51"/>
    </row>
    <row r="6" spans="1:13" ht="12.75" customHeight="1" x14ac:dyDescent="0.2">
      <c r="C6" s="51" t="s">
        <v>32</v>
      </c>
      <c r="D6" s="51"/>
      <c r="E6" s="51"/>
      <c r="F6" s="51"/>
      <c r="G6" s="51"/>
      <c r="H6" s="51"/>
    </row>
    <row r="7" spans="1:13" ht="13.5" thickBot="1" x14ac:dyDescent="0.25">
      <c r="C7" s="51" t="s">
        <v>18</v>
      </c>
      <c r="D7" s="53"/>
      <c r="E7" s="54"/>
      <c r="F7" s="54"/>
      <c r="G7" s="53"/>
      <c r="H7" s="54"/>
      <c r="K7" s="59">
        <f>+K8-J8</f>
        <v>0.1875</v>
      </c>
      <c r="L7" s="59">
        <f>+I8-H8</f>
        <v>0.1791666666666667</v>
      </c>
    </row>
    <row r="8" spans="1:13" s="12" customFormat="1" ht="28.5" customHeight="1" thickBot="1" x14ac:dyDescent="0.25">
      <c r="A8" s="69">
        <v>44378</v>
      </c>
      <c r="B8" s="70"/>
      <c r="C8" s="43"/>
      <c r="D8" s="66" t="s">
        <v>22</v>
      </c>
      <c r="E8" s="67"/>
      <c r="F8" s="67"/>
      <c r="G8" s="68"/>
      <c r="H8" s="44">
        <f>VLOOKUP($D$8,'CADASTRO FUNCIONARIO'!$B:$G,2,0)</f>
        <v>0.3125</v>
      </c>
      <c r="I8" s="44">
        <f>VLOOKUP($D$8,'CADASTRO FUNCIONARIO'!$B:$G,3,0)</f>
        <v>0.4916666666666667</v>
      </c>
      <c r="J8" s="44">
        <f>VLOOKUP($D$8,'CADASTRO FUNCIONARIO'!$B:$G,4,0)</f>
        <v>0.54166666666666663</v>
      </c>
      <c r="K8" s="44">
        <f>VLOOKUP($D$8,'CADASTRO FUNCIONARIO'!$B:$G,5,0)</f>
        <v>0.72916666666666663</v>
      </c>
      <c r="L8" s="44">
        <f t="shared" ref="L8" si="0">IF(H8="FALTA",0,IF(H8="ATESTADO",0.30555555556,IF(H8="folga",0,(K8-J8)+(I8-H8))))</f>
        <v>0.3666666666666667</v>
      </c>
      <c r="M8" s="62"/>
    </row>
    <row r="9" spans="1:13" s="15" customFormat="1" ht="30" customHeight="1" x14ac:dyDescent="0.2">
      <c r="A9" s="19" t="s">
        <v>0</v>
      </c>
      <c r="B9" s="19" t="s">
        <v>10</v>
      </c>
      <c r="C9" s="20" t="s">
        <v>13</v>
      </c>
      <c r="D9" s="21" t="s">
        <v>4</v>
      </c>
      <c r="E9" s="22" t="s">
        <v>1</v>
      </c>
      <c r="F9" s="22" t="s">
        <v>2</v>
      </c>
      <c r="G9" s="23" t="s">
        <v>3</v>
      </c>
      <c r="H9" s="24" t="s">
        <v>9</v>
      </c>
      <c r="I9" s="25" t="s">
        <v>11</v>
      </c>
      <c r="J9" s="26" t="s">
        <v>12</v>
      </c>
      <c r="K9" s="26" t="s">
        <v>5</v>
      </c>
      <c r="L9" s="26" t="s">
        <v>7</v>
      </c>
      <c r="M9" s="27" t="s">
        <v>6</v>
      </c>
    </row>
    <row r="10" spans="1:13" s="16" customFormat="1" ht="15.95" customHeight="1" x14ac:dyDescent="0.2">
      <c r="A10" s="6">
        <f>A8</f>
        <v>44378</v>
      </c>
      <c r="B10" s="7" t="str">
        <f>TEXT(A10,"ddd")</f>
        <v>qui</v>
      </c>
      <c r="C10" s="28"/>
      <c r="D10" s="29"/>
      <c r="E10" s="30"/>
      <c r="F10" s="30"/>
      <c r="G10" s="30"/>
      <c r="H10" s="8" t="str">
        <f t="shared" ref="H10:H23" si="1">IF(F10="FALTA","",IF(D10="ATESTADO",$K$7,IF(G10="ATESTADO",$L$7,IF(D10="FALTA",$K$7,IF(G10="FALTA",$L$7,IF(D10="","",IF(D10="FOLGA","",IF(D10="FALTA","",IF(D10="ATESTADO",$L$8,IF(D10="folga",0,(G10-F10)+(E10-D10)))))))))))</f>
        <v/>
      </c>
      <c r="I10" s="31" t="str">
        <f t="shared" ref="I10:I25" si="2">IF(D10="","",IF(D10="FOLGA","",$L$8))</f>
        <v/>
      </c>
      <c r="J10" s="32" t="str">
        <f>IF(H10="","",IF($B10="FERIADO","",IF(H10&gt;I10,IF(H10-I10&gt;0.006944,H10-I10,""),"")))</f>
        <v/>
      </c>
      <c r="K10" s="32" t="str">
        <f>IF($C10="FERIADO",H10,"")</f>
        <v/>
      </c>
      <c r="L10" s="32" t="str">
        <f t="shared" ref="L10:L29" si="3">IF(H10="",I10,IF(D10="","",IF(H10=0,IF(D10="FOLGA","",I10),"")))</f>
        <v/>
      </c>
      <c r="M10" s="33" t="str">
        <f t="shared" ref="M10:M40" si="4">IF(H10=0,"",IF(H10&lt;I10,IF(I10-H10&gt;0.006944,I10-H10,""),""))</f>
        <v/>
      </c>
    </row>
    <row r="11" spans="1:13" s="16" customFormat="1" ht="15.95" customHeight="1" x14ac:dyDescent="0.2">
      <c r="A11" s="6">
        <f>A10+1</f>
        <v>44379</v>
      </c>
      <c r="B11" s="7" t="str">
        <f t="shared" ref="B11:B40" si="5">TEXT(A11,"ddd")</f>
        <v>sex</v>
      </c>
      <c r="C11" s="28" t="s">
        <v>33</v>
      </c>
      <c r="D11" s="29"/>
      <c r="E11" s="30"/>
      <c r="F11" s="30"/>
      <c r="G11" s="30"/>
      <c r="H11" s="8" t="str">
        <f t="shared" si="1"/>
        <v/>
      </c>
      <c r="I11" s="31" t="str">
        <f t="shared" si="2"/>
        <v/>
      </c>
      <c r="J11" s="32" t="str">
        <f t="shared" ref="J11:J40" si="6">IF(H11="","",IF($B11="FERIADO","",IF(H11&gt;I11,IF(H11-I11&gt;0.006944,H11-I11,""),"")))</f>
        <v/>
      </c>
      <c r="K11" s="32" t="str">
        <f t="shared" ref="K11:K40" si="7">IF($C11="FERIADO",H11,"")</f>
        <v/>
      </c>
      <c r="L11" s="32" t="str">
        <f t="shared" si="3"/>
        <v/>
      </c>
      <c r="M11" s="33" t="str">
        <f t="shared" si="4"/>
        <v/>
      </c>
    </row>
    <row r="12" spans="1:13" s="16" customFormat="1" ht="15.95" customHeight="1" x14ac:dyDescent="0.2">
      <c r="A12" s="6">
        <f t="shared" ref="A12:A40" si="8">A11+1</f>
        <v>44380</v>
      </c>
      <c r="B12" s="7" t="str">
        <f t="shared" si="5"/>
        <v>sáb</v>
      </c>
      <c r="C12" s="28"/>
      <c r="D12" s="29"/>
      <c r="E12" s="30"/>
      <c r="F12" s="30"/>
      <c r="G12" s="30"/>
      <c r="H12" s="8" t="str">
        <f t="shared" si="1"/>
        <v/>
      </c>
      <c r="I12" s="31" t="str">
        <f t="shared" si="2"/>
        <v/>
      </c>
      <c r="J12" s="32" t="str">
        <f t="shared" si="6"/>
        <v/>
      </c>
      <c r="K12" s="32" t="str">
        <f t="shared" si="7"/>
        <v/>
      </c>
      <c r="L12" s="32" t="str">
        <f t="shared" si="3"/>
        <v/>
      </c>
      <c r="M12" s="33" t="str">
        <f t="shared" si="4"/>
        <v/>
      </c>
    </row>
    <row r="13" spans="1:13" s="16" customFormat="1" ht="15.95" customHeight="1" x14ac:dyDescent="0.2">
      <c r="A13" s="6">
        <f t="shared" si="8"/>
        <v>44381</v>
      </c>
      <c r="B13" s="7" t="str">
        <f t="shared" si="5"/>
        <v>dom</v>
      </c>
      <c r="C13" s="28"/>
      <c r="D13" s="29"/>
      <c r="E13" s="30"/>
      <c r="F13" s="30"/>
      <c r="G13" s="30"/>
      <c r="H13" s="8" t="str">
        <f t="shared" si="1"/>
        <v/>
      </c>
      <c r="I13" s="31" t="str">
        <f t="shared" si="2"/>
        <v/>
      </c>
      <c r="J13" s="32" t="str">
        <f t="shared" si="6"/>
        <v/>
      </c>
      <c r="K13" s="32" t="str">
        <f t="shared" si="7"/>
        <v/>
      </c>
      <c r="L13" s="32" t="str">
        <f t="shared" si="3"/>
        <v/>
      </c>
      <c r="M13" s="33" t="str">
        <f t="shared" si="4"/>
        <v/>
      </c>
    </row>
    <row r="14" spans="1:13" s="17" customFormat="1" ht="15.95" customHeight="1" x14ac:dyDescent="0.2">
      <c r="A14" s="6">
        <f t="shared" si="8"/>
        <v>44382</v>
      </c>
      <c r="B14" s="7" t="str">
        <f t="shared" si="5"/>
        <v>seg</v>
      </c>
      <c r="C14" s="28"/>
      <c r="D14" s="29"/>
      <c r="E14" s="30"/>
      <c r="F14" s="30"/>
      <c r="G14" s="30"/>
      <c r="H14" s="8" t="str">
        <f t="shared" si="1"/>
        <v/>
      </c>
      <c r="I14" s="31" t="str">
        <f t="shared" si="2"/>
        <v/>
      </c>
      <c r="J14" s="32" t="str">
        <f t="shared" si="6"/>
        <v/>
      </c>
      <c r="K14" s="32" t="str">
        <f t="shared" si="7"/>
        <v/>
      </c>
      <c r="L14" s="32" t="str">
        <f t="shared" si="3"/>
        <v/>
      </c>
      <c r="M14" s="33" t="str">
        <f t="shared" si="4"/>
        <v/>
      </c>
    </row>
    <row r="15" spans="1:13" s="17" customFormat="1" ht="15.95" customHeight="1" x14ac:dyDescent="0.2">
      <c r="A15" s="6">
        <f t="shared" si="8"/>
        <v>44383</v>
      </c>
      <c r="B15" s="7" t="str">
        <f t="shared" si="5"/>
        <v>ter</v>
      </c>
      <c r="C15" s="28"/>
      <c r="D15" s="29"/>
      <c r="E15" s="30"/>
      <c r="F15" s="30"/>
      <c r="G15" s="30"/>
      <c r="H15" s="8" t="str">
        <f t="shared" si="1"/>
        <v/>
      </c>
      <c r="I15" s="31" t="str">
        <f t="shared" si="2"/>
        <v/>
      </c>
      <c r="J15" s="32" t="str">
        <f t="shared" si="6"/>
        <v/>
      </c>
      <c r="K15" s="32" t="str">
        <f t="shared" si="7"/>
        <v/>
      </c>
      <c r="L15" s="32" t="str">
        <f t="shared" si="3"/>
        <v/>
      </c>
      <c r="M15" s="33" t="str">
        <f t="shared" si="4"/>
        <v/>
      </c>
    </row>
    <row r="16" spans="1:13" s="17" customFormat="1" ht="15.95" customHeight="1" x14ac:dyDescent="0.2">
      <c r="A16" s="6">
        <f t="shared" si="8"/>
        <v>44384</v>
      </c>
      <c r="B16" s="7" t="str">
        <f t="shared" si="5"/>
        <v>qua</v>
      </c>
      <c r="C16" s="28"/>
      <c r="D16" s="29" t="s">
        <v>31</v>
      </c>
      <c r="E16" s="30"/>
      <c r="F16" s="30"/>
      <c r="G16" s="30"/>
      <c r="H16" s="8">
        <f t="shared" si="1"/>
        <v>0.1875</v>
      </c>
      <c r="I16" s="31">
        <f t="shared" si="2"/>
        <v>0.3666666666666667</v>
      </c>
      <c r="J16" s="32" t="str">
        <f t="shared" si="6"/>
        <v/>
      </c>
      <c r="K16" s="32" t="str">
        <f t="shared" si="7"/>
        <v/>
      </c>
      <c r="L16" s="32" t="str">
        <f t="shared" si="3"/>
        <v/>
      </c>
      <c r="M16" s="33">
        <f t="shared" si="4"/>
        <v>0.1791666666666667</v>
      </c>
    </row>
    <row r="17" spans="1:13" s="17" customFormat="1" ht="15.95" customHeight="1" x14ac:dyDescent="0.2">
      <c r="A17" s="6">
        <f t="shared" si="8"/>
        <v>44385</v>
      </c>
      <c r="B17" s="7" t="str">
        <f t="shared" si="5"/>
        <v>qui</v>
      </c>
      <c r="C17" s="28"/>
      <c r="D17" s="29">
        <v>0.3125</v>
      </c>
      <c r="E17" s="30">
        <v>0.4916666666666667</v>
      </c>
      <c r="F17" s="30"/>
      <c r="G17" s="30" t="s">
        <v>31</v>
      </c>
      <c r="H17" s="8">
        <f t="shared" si="1"/>
        <v>0.1791666666666667</v>
      </c>
      <c r="I17" s="31">
        <f t="shared" si="2"/>
        <v>0.3666666666666667</v>
      </c>
      <c r="J17" s="32" t="str">
        <f t="shared" si="6"/>
        <v/>
      </c>
      <c r="K17" s="32" t="str">
        <f t="shared" si="7"/>
        <v/>
      </c>
      <c r="L17" s="32" t="str">
        <f t="shared" si="3"/>
        <v/>
      </c>
      <c r="M17" s="33">
        <f t="shared" si="4"/>
        <v>0.1875</v>
      </c>
    </row>
    <row r="18" spans="1:13" s="17" customFormat="1" ht="15.95" customHeight="1" x14ac:dyDescent="0.2">
      <c r="A18" s="6">
        <f t="shared" si="8"/>
        <v>44386</v>
      </c>
      <c r="B18" s="7" t="str">
        <f t="shared" si="5"/>
        <v>sex</v>
      </c>
      <c r="C18" s="28"/>
      <c r="D18" s="29"/>
      <c r="E18" s="30"/>
      <c r="F18" s="30"/>
      <c r="G18" s="30"/>
      <c r="H18" s="8" t="str">
        <f t="shared" si="1"/>
        <v/>
      </c>
      <c r="I18" s="31" t="str">
        <f t="shared" si="2"/>
        <v/>
      </c>
      <c r="J18" s="32" t="str">
        <f t="shared" si="6"/>
        <v/>
      </c>
      <c r="K18" s="32" t="str">
        <f t="shared" si="7"/>
        <v/>
      </c>
      <c r="L18" s="32" t="str">
        <f t="shared" si="3"/>
        <v/>
      </c>
      <c r="M18" s="33" t="str">
        <f t="shared" si="4"/>
        <v/>
      </c>
    </row>
    <row r="19" spans="1:13" s="17" customFormat="1" ht="15.95" customHeight="1" x14ac:dyDescent="0.2">
      <c r="A19" s="6">
        <f t="shared" si="8"/>
        <v>44387</v>
      </c>
      <c r="B19" s="7" t="str">
        <f t="shared" si="5"/>
        <v>sáb</v>
      </c>
      <c r="C19" s="28"/>
      <c r="D19" s="29" t="s">
        <v>23</v>
      </c>
      <c r="E19" s="30"/>
      <c r="F19" s="30"/>
      <c r="G19" s="30"/>
      <c r="H19" s="8">
        <f t="shared" si="1"/>
        <v>0.1875</v>
      </c>
      <c r="I19" s="31">
        <f t="shared" si="2"/>
        <v>0.3666666666666667</v>
      </c>
      <c r="J19" s="32" t="str">
        <f t="shared" si="6"/>
        <v/>
      </c>
      <c r="K19" s="32" t="str">
        <f t="shared" si="7"/>
        <v/>
      </c>
      <c r="L19" s="32" t="str">
        <f t="shared" si="3"/>
        <v/>
      </c>
      <c r="M19" s="33">
        <f t="shared" si="4"/>
        <v>0.1791666666666667</v>
      </c>
    </row>
    <row r="20" spans="1:13" s="17" customFormat="1" ht="15.95" customHeight="1" x14ac:dyDescent="0.2">
      <c r="A20" s="6">
        <f t="shared" si="8"/>
        <v>44388</v>
      </c>
      <c r="B20" s="7" t="str">
        <f t="shared" si="5"/>
        <v>dom</v>
      </c>
      <c r="C20" s="28"/>
      <c r="D20" s="29">
        <v>0.3125</v>
      </c>
      <c r="E20" s="30">
        <v>0.4916666666666667</v>
      </c>
      <c r="F20" s="30"/>
      <c r="G20" s="30" t="s">
        <v>23</v>
      </c>
      <c r="H20" s="8">
        <f t="shared" si="1"/>
        <v>0.1791666666666667</v>
      </c>
      <c r="I20" s="31">
        <f t="shared" si="2"/>
        <v>0.3666666666666667</v>
      </c>
      <c r="J20" s="32" t="str">
        <f t="shared" si="6"/>
        <v/>
      </c>
      <c r="K20" s="32" t="str">
        <f t="shared" si="7"/>
        <v/>
      </c>
      <c r="L20" s="32" t="str">
        <f t="shared" si="3"/>
        <v/>
      </c>
      <c r="M20" s="33">
        <f t="shared" si="4"/>
        <v>0.1875</v>
      </c>
    </row>
    <row r="21" spans="1:13" s="17" customFormat="1" ht="15.95" customHeight="1" x14ac:dyDescent="0.2">
      <c r="A21" s="6">
        <f t="shared" si="8"/>
        <v>44389</v>
      </c>
      <c r="B21" s="7" t="str">
        <f t="shared" si="5"/>
        <v>seg</v>
      </c>
      <c r="C21" s="28"/>
      <c r="D21" s="29"/>
      <c r="E21" s="30"/>
      <c r="F21" s="30"/>
      <c r="G21" s="30"/>
      <c r="H21" s="8" t="str">
        <f t="shared" si="1"/>
        <v/>
      </c>
      <c r="I21" s="31" t="str">
        <f t="shared" si="2"/>
        <v/>
      </c>
      <c r="J21" s="32" t="str">
        <f t="shared" si="6"/>
        <v/>
      </c>
      <c r="K21" s="32" t="str">
        <f t="shared" si="7"/>
        <v/>
      </c>
      <c r="L21" s="32" t="str">
        <f t="shared" si="3"/>
        <v/>
      </c>
      <c r="M21" s="33" t="str">
        <f t="shared" si="4"/>
        <v/>
      </c>
    </row>
    <row r="22" spans="1:13" s="17" customFormat="1" ht="15.95" customHeight="1" x14ac:dyDescent="0.2">
      <c r="A22" s="6">
        <f t="shared" si="8"/>
        <v>44390</v>
      </c>
      <c r="B22" s="7" t="str">
        <f t="shared" si="5"/>
        <v>ter</v>
      </c>
      <c r="C22" s="28"/>
      <c r="D22" s="29" t="s">
        <v>31</v>
      </c>
      <c r="E22" s="30"/>
      <c r="F22" s="30"/>
      <c r="G22" s="30"/>
      <c r="H22" s="8">
        <f t="shared" si="1"/>
        <v>0.1875</v>
      </c>
      <c r="I22" s="31">
        <f t="shared" si="2"/>
        <v>0.3666666666666667</v>
      </c>
      <c r="J22" s="32" t="str">
        <f t="shared" si="6"/>
        <v/>
      </c>
      <c r="K22" s="32" t="str">
        <f t="shared" si="7"/>
        <v/>
      </c>
      <c r="L22" s="32" t="str">
        <f t="shared" si="3"/>
        <v/>
      </c>
      <c r="M22" s="33">
        <f t="shared" si="4"/>
        <v>0.1791666666666667</v>
      </c>
    </row>
    <row r="23" spans="1:13" s="17" customFormat="1" ht="15.95" customHeight="1" x14ac:dyDescent="0.2">
      <c r="A23" s="6">
        <f t="shared" si="8"/>
        <v>44391</v>
      </c>
      <c r="B23" s="7" t="str">
        <f t="shared" si="5"/>
        <v>qua</v>
      </c>
      <c r="C23" s="28"/>
      <c r="D23" s="29"/>
      <c r="E23" s="30"/>
      <c r="F23" s="30"/>
      <c r="G23" s="30"/>
      <c r="H23" s="8" t="str">
        <f t="shared" si="1"/>
        <v/>
      </c>
      <c r="I23" s="31" t="str">
        <f t="shared" si="2"/>
        <v/>
      </c>
      <c r="J23" s="32" t="str">
        <f t="shared" si="6"/>
        <v/>
      </c>
      <c r="K23" s="32" t="str">
        <f t="shared" si="7"/>
        <v/>
      </c>
      <c r="L23" s="32" t="str">
        <f t="shared" si="3"/>
        <v/>
      </c>
      <c r="M23" s="33" t="str">
        <f t="shared" si="4"/>
        <v/>
      </c>
    </row>
    <row r="24" spans="1:13" s="17" customFormat="1" ht="15.95" customHeight="1" x14ac:dyDescent="0.2">
      <c r="A24" s="6">
        <f t="shared" si="8"/>
        <v>44392</v>
      </c>
      <c r="B24" s="7" t="str">
        <f t="shared" si="5"/>
        <v>qui</v>
      </c>
      <c r="C24" s="28"/>
      <c r="D24" s="29">
        <v>0.31319444444444444</v>
      </c>
      <c r="E24" s="30">
        <v>0.4916666666666667</v>
      </c>
      <c r="F24" s="30">
        <v>0.54166666666666663</v>
      </c>
      <c r="G24" s="30" t="s">
        <v>23</v>
      </c>
      <c r="H24" s="8">
        <f>IF(F24="FALTA","",IF(D24="ATESTADO",$K$7,IF(G24="ATESTADO",$L$7,IF(D24="FALTA",$K$7,IF(G24="FALTA",$L$7,IF(D24="","",IF(D24="FOLGA","",IF(D24="FALTA","",IF(D24="ATESTADO",$L$8,IF(D24="folga",0,(G24-F24)+(E24-D24)))))))))))</f>
        <v>0.1791666666666667</v>
      </c>
      <c r="I24" s="31">
        <f t="shared" si="2"/>
        <v>0.3666666666666667</v>
      </c>
      <c r="J24" s="32" t="str">
        <f t="shared" si="6"/>
        <v/>
      </c>
      <c r="K24" s="32" t="str">
        <f t="shared" si="7"/>
        <v/>
      </c>
      <c r="L24" s="32" t="str">
        <f t="shared" si="3"/>
        <v/>
      </c>
      <c r="M24" s="33">
        <f t="shared" si="4"/>
        <v>0.1875</v>
      </c>
    </row>
    <row r="25" spans="1:13" s="17" customFormat="1" ht="15.95" customHeight="1" x14ac:dyDescent="0.2">
      <c r="A25" s="6">
        <f t="shared" si="8"/>
        <v>44393</v>
      </c>
      <c r="B25" s="7" t="str">
        <f t="shared" si="5"/>
        <v>sex</v>
      </c>
      <c r="C25" s="28"/>
      <c r="D25" s="29" t="s">
        <v>31</v>
      </c>
      <c r="E25" s="30" t="s">
        <v>31</v>
      </c>
      <c r="F25" s="30" t="s">
        <v>31</v>
      </c>
      <c r="G25" s="30" t="s">
        <v>31</v>
      </c>
      <c r="H25" s="8">
        <f t="shared" ref="H25:H40" si="9">IF(F25="FALTA","",IF(D25="ATESTADO",$K$7,IF(G25="ATESTADO",$L$7,IF(D25="FALTA",$K$7,IF(G25="FALTA",$L$7,IF(D25="","",IF(D25="FOLGA","",IF(D25="FALTA","",IF(D25="ATESTADO",$L$8,IF(D25="folga",0,(G25-F25)+(E25-D25)))))))))))</f>
        <v>0.1875</v>
      </c>
      <c r="I25" s="31">
        <f t="shared" si="2"/>
        <v>0.3666666666666667</v>
      </c>
      <c r="J25" s="32" t="str">
        <f t="shared" si="6"/>
        <v/>
      </c>
      <c r="K25" s="32" t="str">
        <f t="shared" si="7"/>
        <v/>
      </c>
      <c r="L25" s="32" t="str">
        <f t="shared" si="3"/>
        <v/>
      </c>
      <c r="M25" s="33">
        <f t="shared" si="4"/>
        <v>0.1791666666666667</v>
      </c>
    </row>
    <row r="26" spans="1:13" s="17" customFormat="1" ht="15.95" customHeight="1" x14ac:dyDescent="0.2">
      <c r="A26" s="6">
        <f t="shared" si="8"/>
        <v>44394</v>
      </c>
      <c r="B26" s="7" t="str">
        <f t="shared" si="5"/>
        <v>sáb</v>
      </c>
      <c r="C26" s="28"/>
      <c r="D26" s="29" t="s">
        <v>8</v>
      </c>
      <c r="E26" s="30" t="s">
        <v>8</v>
      </c>
      <c r="F26" s="30" t="s">
        <v>8</v>
      </c>
      <c r="G26" s="30" t="s">
        <v>8</v>
      </c>
      <c r="H26" s="8" t="str">
        <f t="shared" si="9"/>
        <v/>
      </c>
      <c r="I26" s="31" t="str">
        <f>IF(D26="","",IF(D26="FOLGA","",$L$8))</f>
        <v/>
      </c>
      <c r="J26" s="32" t="str">
        <f t="shared" si="6"/>
        <v/>
      </c>
      <c r="K26" s="32" t="str">
        <f t="shared" si="7"/>
        <v/>
      </c>
      <c r="L26" s="32" t="str">
        <f t="shared" si="3"/>
        <v/>
      </c>
      <c r="M26" s="33" t="str">
        <f t="shared" si="4"/>
        <v/>
      </c>
    </row>
    <row r="27" spans="1:13" s="17" customFormat="1" ht="15.95" customHeight="1" x14ac:dyDescent="0.2">
      <c r="A27" s="6">
        <f t="shared" si="8"/>
        <v>44395</v>
      </c>
      <c r="B27" s="7" t="str">
        <f t="shared" si="5"/>
        <v>dom</v>
      </c>
      <c r="C27" s="28"/>
      <c r="D27" s="29" t="s">
        <v>8</v>
      </c>
      <c r="E27" s="30" t="s">
        <v>8</v>
      </c>
      <c r="F27" s="30" t="s">
        <v>8</v>
      </c>
      <c r="G27" s="30" t="s">
        <v>8</v>
      </c>
      <c r="H27" s="8" t="str">
        <f t="shared" si="9"/>
        <v/>
      </c>
      <c r="I27" s="31" t="str">
        <f t="shared" ref="I27:I40" si="10">IF(D27="","",IF(D27="FOLGA","",$L$8))</f>
        <v/>
      </c>
      <c r="J27" s="32" t="str">
        <f t="shared" si="6"/>
        <v/>
      </c>
      <c r="K27" s="32" t="str">
        <f t="shared" si="7"/>
        <v/>
      </c>
      <c r="L27" s="32" t="str">
        <f t="shared" si="3"/>
        <v/>
      </c>
      <c r="M27" s="33" t="str">
        <f t="shared" si="4"/>
        <v/>
      </c>
    </row>
    <row r="28" spans="1:13" s="17" customFormat="1" ht="15.95" customHeight="1" x14ac:dyDescent="0.2">
      <c r="A28" s="6">
        <f t="shared" si="8"/>
        <v>44396</v>
      </c>
      <c r="B28" s="7" t="str">
        <f t="shared" si="5"/>
        <v>seg</v>
      </c>
      <c r="C28" s="28" t="s">
        <v>33</v>
      </c>
      <c r="D28" s="29">
        <v>0.31319444444444444</v>
      </c>
      <c r="E28" s="30">
        <v>0.49305555555555558</v>
      </c>
      <c r="F28" s="30">
        <v>0.5444444444444444</v>
      </c>
      <c r="G28" s="30">
        <v>0.72916666666666663</v>
      </c>
      <c r="H28" s="8">
        <f t="shared" si="9"/>
        <v>0.36458333333333337</v>
      </c>
      <c r="I28" s="31">
        <f t="shared" si="10"/>
        <v>0.3666666666666667</v>
      </c>
      <c r="J28" s="32" t="str">
        <f t="shared" si="6"/>
        <v/>
      </c>
      <c r="K28" s="32">
        <f t="shared" si="7"/>
        <v>0.36458333333333337</v>
      </c>
      <c r="L28" s="32" t="str">
        <f t="shared" si="3"/>
        <v/>
      </c>
      <c r="M28" s="33" t="str">
        <f t="shared" si="4"/>
        <v/>
      </c>
    </row>
    <row r="29" spans="1:13" s="17" customFormat="1" ht="15.95" customHeight="1" x14ac:dyDescent="0.2">
      <c r="A29" s="6">
        <f t="shared" si="8"/>
        <v>44397</v>
      </c>
      <c r="B29" s="7" t="str">
        <f t="shared" si="5"/>
        <v>ter</v>
      </c>
      <c r="C29" s="28"/>
      <c r="D29" s="29" t="s">
        <v>23</v>
      </c>
      <c r="E29" s="30">
        <v>0.4909722222222222</v>
      </c>
      <c r="F29" s="30">
        <v>0.54166666666666663</v>
      </c>
      <c r="G29" s="30">
        <v>0.72986111111111107</v>
      </c>
      <c r="H29" s="8">
        <f t="shared" si="9"/>
        <v>0.1875</v>
      </c>
      <c r="I29" s="31">
        <f t="shared" si="10"/>
        <v>0.3666666666666667</v>
      </c>
      <c r="J29" s="32" t="str">
        <f t="shared" si="6"/>
        <v/>
      </c>
      <c r="K29" s="32" t="str">
        <f t="shared" si="7"/>
        <v/>
      </c>
      <c r="L29" s="32" t="str">
        <f t="shared" si="3"/>
        <v/>
      </c>
      <c r="M29" s="33">
        <f t="shared" si="4"/>
        <v>0.1791666666666667</v>
      </c>
    </row>
    <row r="30" spans="1:13" s="17" customFormat="1" ht="15.95" customHeight="1" x14ac:dyDescent="0.2">
      <c r="A30" s="6">
        <f t="shared" si="8"/>
        <v>44398</v>
      </c>
      <c r="B30" s="7" t="str">
        <f t="shared" si="5"/>
        <v>qua</v>
      </c>
      <c r="C30" s="28"/>
      <c r="D30" s="29" t="s">
        <v>23</v>
      </c>
      <c r="E30" s="30" t="s">
        <v>23</v>
      </c>
      <c r="F30" s="30" t="s">
        <v>23</v>
      </c>
      <c r="G30" s="30" t="s">
        <v>23</v>
      </c>
      <c r="H30" s="8" t="str">
        <f t="shared" si="9"/>
        <v/>
      </c>
      <c r="I30" s="31">
        <f t="shared" si="10"/>
        <v>0.3666666666666667</v>
      </c>
      <c r="J30" s="32" t="str">
        <f t="shared" si="6"/>
        <v/>
      </c>
      <c r="K30" s="32" t="str">
        <f t="shared" si="7"/>
        <v/>
      </c>
      <c r="L30" s="32">
        <f>IF(H30="",I30,IF(D30="","",IF(H30=0,IF(D30="FOLGA","",I30),"")))</f>
        <v>0.3666666666666667</v>
      </c>
      <c r="M30" s="33" t="str">
        <f t="shared" si="4"/>
        <v/>
      </c>
    </row>
    <row r="31" spans="1:13" s="17" customFormat="1" ht="15.95" customHeight="1" x14ac:dyDescent="0.2">
      <c r="A31" s="6">
        <f t="shared" si="8"/>
        <v>44399</v>
      </c>
      <c r="B31" s="7" t="str">
        <f t="shared" si="5"/>
        <v>qui</v>
      </c>
      <c r="C31" s="28"/>
      <c r="D31" s="29" t="s">
        <v>23</v>
      </c>
      <c r="E31" s="30" t="s">
        <v>23</v>
      </c>
      <c r="F31" s="30" t="s">
        <v>23</v>
      </c>
      <c r="G31" s="30" t="s">
        <v>23</v>
      </c>
      <c r="H31" s="8" t="str">
        <f t="shared" si="9"/>
        <v/>
      </c>
      <c r="I31" s="31">
        <f t="shared" si="10"/>
        <v>0.3666666666666667</v>
      </c>
      <c r="J31" s="32" t="str">
        <f t="shared" si="6"/>
        <v/>
      </c>
      <c r="K31" s="32" t="str">
        <f t="shared" si="7"/>
        <v/>
      </c>
      <c r="L31" s="32">
        <f t="shared" ref="L31:L40" si="11">IF(H31="",I31,IF(D31="","",IF(H31=0,IF(D31="FOLGA","",I31),"")))</f>
        <v>0.3666666666666667</v>
      </c>
      <c r="M31" s="33" t="str">
        <f t="shared" si="4"/>
        <v/>
      </c>
    </row>
    <row r="32" spans="1:13" s="17" customFormat="1" ht="15.95" customHeight="1" x14ac:dyDescent="0.2">
      <c r="A32" s="6">
        <f t="shared" si="8"/>
        <v>44400</v>
      </c>
      <c r="B32" s="7" t="str">
        <f t="shared" si="5"/>
        <v>sex</v>
      </c>
      <c r="C32" s="28"/>
      <c r="D32" s="29">
        <v>0.31319444444444444</v>
      </c>
      <c r="E32" s="30">
        <v>0.4916666666666667</v>
      </c>
      <c r="F32" s="30">
        <v>0.54166666666666663</v>
      </c>
      <c r="G32" s="30">
        <v>0.68541666666666667</v>
      </c>
      <c r="H32" s="8">
        <f t="shared" si="9"/>
        <v>0.3222222222222223</v>
      </c>
      <c r="I32" s="31">
        <f t="shared" si="10"/>
        <v>0.3666666666666667</v>
      </c>
      <c r="J32" s="32" t="str">
        <f t="shared" si="6"/>
        <v/>
      </c>
      <c r="K32" s="32" t="str">
        <f t="shared" si="7"/>
        <v/>
      </c>
      <c r="L32" s="32" t="str">
        <f t="shared" si="11"/>
        <v/>
      </c>
      <c r="M32" s="33">
        <f t="shared" si="4"/>
        <v>4.4444444444444398E-2</v>
      </c>
    </row>
    <row r="33" spans="1:13" s="17" customFormat="1" ht="15.95" customHeight="1" x14ac:dyDescent="0.2">
      <c r="A33" s="6">
        <f t="shared" si="8"/>
        <v>44401</v>
      </c>
      <c r="B33" s="7" t="str">
        <f t="shared" si="5"/>
        <v>sáb</v>
      </c>
      <c r="C33" s="28"/>
      <c r="D33" s="29" t="s">
        <v>8</v>
      </c>
      <c r="E33" s="30" t="s">
        <v>8</v>
      </c>
      <c r="F33" s="30" t="s">
        <v>8</v>
      </c>
      <c r="G33" s="30" t="s">
        <v>8</v>
      </c>
      <c r="H33" s="8" t="str">
        <f t="shared" si="9"/>
        <v/>
      </c>
      <c r="I33" s="31" t="str">
        <f t="shared" si="10"/>
        <v/>
      </c>
      <c r="J33" s="32" t="str">
        <f t="shared" si="6"/>
        <v/>
      </c>
      <c r="K33" s="32" t="str">
        <f t="shared" si="7"/>
        <v/>
      </c>
      <c r="L33" s="32" t="str">
        <f t="shared" si="11"/>
        <v/>
      </c>
      <c r="M33" s="33" t="str">
        <f t="shared" si="4"/>
        <v/>
      </c>
    </row>
    <row r="34" spans="1:13" s="17" customFormat="1" ht="15.95" customHeight="1" x14ac:dyDescent="0.2">
      <c r="A34" s="6">
        <f t="shared" si="8"/>
        <v>44402</v>
      </c>
      <c r="B34" s="7" t="str">
        <f t="shared" si="5"/>
        <v>dom</v>
      </c>
      <c r="C34" s="28"/>
      <c r="D34" s="29" t="s">
        <v>8</v>
      </c>
      <c r="E34" s="30" t="s">
        <v>8</v>
      </c>
      <c r="F34" s="30" t="s">
        <v>8</v>
      </c>
      <c r="G34" s="30" t="s">
        <v>8</v>
      </c>
      <c r="H34" s="8" t="str">
        <f t="shared" si="9"/>
        <v/>
      </c>
      <c r="I34" s="31" t="str">
        <f t="shared" si="10"/>
        <v/>
      </c>
      <c r="J34" s="32" t="str">
        <f t="shared" si="6"/>
        <v/>
      </c>
      <c r="K34" s="32" t="str">
        <f t="shared" si="7"/>
        <v/>
      </c>
      <c r="L34" s="32" t="str">
        <f t="shared" si="11"/>
        <v/>
      </c>
      <c r="M34" s="33" t="str">
        <f t="shared" si="4"/>
        <v/>
      </c>
    </row>
    <row r="35" spans="1:13" s="17" customFormat="1" ht="15.95" customHeight="1" x14ac:dyDescent="0.2">
      <c r="A35" s="6">
        <f t="shared" si="8"/>
        <v>44403</v>
      </c>
      <c r="B35" s="7" t="str">
        <f t="shared" si="5"/>
        <v>seg</v>
      </c>
      <c r="C35" s="28"/>
      <c r="D35" s="29" t="s">
        <v>23</v>
      </c>
      <c r="E35" s="30" t="s">
        <v>23</v>
      </c>
      <c r="F35" s="30" t="s">
        <v>23</v>
      </c>
      <c r="G35" s="30" t="s">
        <v>23</v>
      </c>
      <c r="H35" s="8" t="str">
        <f t="shared" si="9"/>
        <v/>
      </c>
      <c r="I35" s="31">
        <f t="shared" si="10"/>
        <v>0.3666666666666667</v>
      </c>
      <c r="J35" s="32" t="str">
        <f t="shared" si="6"/>
        <v/>
      </c>
      <c r="K35" s="32" t="str">
        <f t="shared" si="7"/>
        <v/>
      </c>
      <c r="L35" s="32">
        <f t="shared" si="11"/>
        <v>0.3666666666666667</v>
      </c>
      <c r="M35" s="33" t="str">
        <f t="shared" si="4"/>
        <v/>
      </c>
    </row>
    <row r="36" spans="1:13" s="17" customFormat="1" ht="15.95" customHeight="1" x14ac:dyDescent="0.2">
      <c r="A36" s="6">
        <f t="shared" si="8"/>
        <v>44404</v>
      </c>
      <c r="B36" s="7" t="str">
        <f t="shared" si="5"/>
        <v>ter</v>
      </c>
      <c r="C36" s="28"/>
      <c r="D36" s="29" t="s">
        <v>23</v>
      </c>
      <c r="E36" s="30" t="s">
        <v>23</v>
      </c>
      <c r="F36" s="30" t="s">
        <v>23</v>
      </c>
      <c r="G36" s="30" t="s">
        <v>23</v>
      </c>
      <c r="H36" s="8" t="str">
        <f t="shared" si="9"/>
        <v/>
      </c>
      <c r="I36" s="31">
        <f t="shared" si="10"/>
        <v>0.3666666666666667</v>
      </c>
      <c r="J36" s="32" t="str">
        <f t="shared" si="6"/>
        <v/>
      </c>
      <c r="K36" s="32" t="str">
        <f t="shared" si="7"/>
        <v/>
      </c>
      <c r="L36" s="32">
        <f t="shared" si="11"/>
        <v>0.3666666666666667</v>
      </c>
      <c r="M36" s="33" t="str">
        <f t="shared" si="4"/>
        <v/>
      </c>
    </row>
    <row r="37" spans="1:13" s="17" customFormat="1" ht="15.95" customHeight="1" x14ac:dyDescent="0.2">
      <c r="A37" s="6">
        <f t="shared" si="8"/>
        <v>44405</v>
      </c>
      <c r="B37" s="7" t="str">
        <f t="shared" si="5"/>
        <v>qua</v>
      </c>
      <c r="C37" s="28"/>
      <c r="D37" s="29" t="s">
        <v>23</v>
      </c>
      <c r="E37" s="30" t="s">
        <v>23</v>
      </c>
      <c r="F37" s="30" t="s">
        <v>23</v>
      </c>
      <c r="G37" s="30" t="s">
        <v>23</v>
      </c>
      <c r="H37" s="8" t="str">
        <f t="shared" si="9"/>
        <v/>
      </c>
      <c r="I37" s="31">
        <f t="shared" si="10"/>
        <v>0.3666666666666667</v>
      </c>
      <c r="J37" s="32" t="str">
        <f t="shared" si="6"/>
        <v/>
      </c>
      <c r="K37" s="32" t="str">
        <f t="shared" si="7"/>
        <v/>
      </c>
      <c r="L37" s="32">
        <f t="shared" si="11"/>
        <v>0.3666666666666667</v>
      </c>
      <c r="M37" s="33" t="str">
        <f t="shared" si="4"/>
        <v/>
      </c>
    </row>
    <row r="38" spans="1:13" s="17" customFormat="1" ht="15.95" customHeight="1" x14ac:dyDescent="0.2">
      <c r="A38" s="6">
        <f t="shared" si="8"/>
        <v>44406</v>
      </c>
      <c r="B38" s="7" t="str">
        <f t="shared" si="5"/>
        <v>qui</v>
      </c>
      <c r="C38" s="28"/>
      <c r="D38" s="29">
        <v>0.31319444444444444</v>
      </c>
      <c r="E38" s="30">
        <v>0.48819444444444443</v>
      </c>
      <c r="F38" s="30">
        <v>0.54236111111111118</v>
      </c>
      <c r="G38" s="30">
        <v>0.7270833333333333</v>
      </c>
      <c r="H38" s="8">
        <f t="shared" si="9"/>
        <v>0.35972222222222211</v>
      </c>
      <c r="I38" s="31">
        <f t="shared" si="10"/>
        <v>0.3666666666666667</v>
      </c>
      <c r="J38" s="32" t="str">
        <f t="shared" si="6"/>
        <v/>
      </c>
      <c r="K38" s="32" t="str">
        <f t="shared" si="7"/>
        <v/>
      </c>
      <c r="L38" s="32" t="str">
        <f t="shared" si="11"/>
        <v/>
      </c>
      <c r="M38" s="33">
        <f t="shared" si="4"/>
        <v>6.9444444444445863E-3</v>
      </c>
    </row>
    <row r="39" spans="1:13" s="17" customFormat="1" ht="15.95" customHeight="1" x14ac:dyDescent="0.2">
      <c r="A39" s="6">
        <f t="shared" si="8"/>
        <v>44407</v>
      </c>
      <c r="B39" s="7" t="str">
        <f t="shared" si="5"/>
        <v>sex</v>
      </c>
      <c r="C39" s="28"/>
      <c r="D39" s="29" t="s">
        <v>23</v>
      </c>
      <c r="E39" s="30" t="s">
        <v>23</v>
      </c>
      <c r="F39" s="30" t="s">
        <v>23</v>
      </c>
      <c r="G39" s="30" t="s">
        <v>23</v>
      </c>
      <c r="H39" s="8" t="str">
        <f t="shared" si="9"/>
        <v/>
      </c>
      <c r="I39" s="31">
        <f t="shared" si="10"/>
        <v>0.3666666666666667</v>
      </c>
      <c r="J39" s="32" t="str">
        <f t="shared" si="6"/>
        <v/>
      </c>
      <c r="K39" s="32" t="str">
        <f t="shared" si="7"/>
        <v/>
      </c>
      <c r="L39" s="32">
        <f t="shared" si="11"/>
        <v>0.3666666666666667</v>
      </c>
      <c r="M39" s="33" t="str">
        <f t="shared" si="4"/>
        <v/>
      </c>
    </row>
    <row r="40" spans="1:13" s="17" customFormat="1" ht="15.95" customHeight="1" x14ac:dyDescent="0.2">
      <c r="A40" s="6">
        <f t="shared" si="8"/>
        <v>44408</v>
      </c>
      <c r="B40" s="7" t="str">
        <f t="shared" si="5"/>
        <v>sáb</v>
      </c>
      <c r="C40" s="28"/>
      <c r="D40" s="29" t="s">
        <v>8</v>
      </c>
      <c r="E40" s="30" t="s">
        <v>8</v>
      </c>
      <c r="F40" s="30" t="s">
        <v>8</v>
      </c>
      <c r="G40" s="30" t="s">
        <v>8</v>
      </c>
      <c r="H40" s="8" t="str">
        <f t="shared" si="9"/>
        <v/>
      </c>
      <c r="I40" s="31" t="str">
        <f t="shared" si="10"/>
        <v/>
      </c>
      <c r="J40" s="32" t="str">
        <f t="shared" si="6"/>
        <v/>
      </c>
      <c r="K40" s="32" t="str">
        <f t="shared" si="7"/>
        <v/>
      </c>
      <c r="L40" s="32" t="str">
        <f t="shared" si="11"/>
        <v/>
      </c>
      <c r="M40" s="33" t="str">
        <f t="shared" si="4"/>
        <v/>
      </c>
    </row>
    <row r="41" spans="1:13" ht="15.95" customHeight="1" thickBot="1" x14ac:dyDescent="0.25">
      <c r="A41" s="3"/>
      <c r="B41" s="3"/>
      <c r="C41" s="18"/>
      <c r="D41" s="4"/>
      <c r="E41" s="5"/>
      <c r="F41" s="5"/>
      <c r="G41" s="10"/>
      <c r="H41" s="9"/>
      <c r="I41" s="34"/>
      <c r="J41" s="35"/>
      <c r="K41" s="35"/>
      <c r="L41" s="32"/>
      <c r="M41" s="36"/>
    </row>
    <row r="42" spans="1:13" s="14" customFormat="1" ht="20.100000000000001" customHeight="1" thickBot="1" x14ac:dyDescent="0.25">
      <c r="A42" s="63" t="s">
        <v>17</v>
      </c>
      <c r="B42" s="64"/>
      <c r="C42" s="64"/>
      <c r="D42" s="64"/>
      <c r="E42" s="64"/>
      <c r="F42" s="64"/>
      <c r="G42" s="65"/>
      <c r="H42" s="38">
        <f t="shared" ref="H42:M42" si="12">SUM(H10:H41)</f>
        <v>2.521527777777778</v>
      </c>
      <c r="I42" s="38">
        <f t="shared" si="12"/>
        <v>6.2333333333333361</v>
      </c>
      <c r="J42" s="38">
        <f t="shared" si="12"/>
        <v>0</v>
      </c>
      <c r="K42" s="38">
        <f t="shared" si="12"/>
        <v>0.36458333333333337</v>
      </c>
      <c r="L42" s="38">
        <f t="shared" si="12"/>
        <v>2.2000000000000002</v>
      </c>
      <c r="M42" s="39">
        <f t="shared" si="12"/>
        <v>1.5097222222222224</v>
      </c>
    </row>
    <row r="43" spans="1:13" ht="18" thickBot="1" x14ac:dyDescent="0.25">
      <c r="A43" s="63" t="s">
        <v>24</v>
      </c>
      <c r="B43" s="64"/>
      <c r="C43" s="64"/>
      <c r="D43" s="64"/>
      <c r="E43" s="64"/>
      <c r="F43" s="64"/>
      <c r="G43" s="65"/>
      <c r="H43" s="45">
        <f>COUNT(H10:H41)</f>
        <v>11</v>
      </c>
      <c r="I43" s="45">
        <f>COUNT(I10:I41)</f>
        <v>17</v>
      </c>
      <c r="J43" s="45">
        <f t="shared" ref="J43:L43" si="13">COUNT(J10:J41)</f>
        <v>0</v>
      </c>
      <c r="K43" s="45">
        <f t="shared" si="13"/>
        <v>1</v>
      </c>
      <c r="L43" s="45">
        <f t="shared" si="13"/>
        <v>6</v>
      </c>
      <c r="M43" s="46">
        <f>COUNT(M10:M41)</f>
        <v>10</v>
      </c>
    </row>
    <row r="44" spans="1:13" hidden="1" x14ac:dyDescent="0.2">
      <c r="A44" s="13"/>
    </row>
    <row r="45" spans="1:13" hidden="1" x14ac:dyDescent="0.2">
      <c r="A45" s="1"/>
    </row>
    <row r="46" spans="1:13" hidden="1" x14ac:dyDescent="0.2">
      <c r="A46" s="1"/>
    </row>
    <row r="47" spans="1:13" hidden="1" x14ac:dyDescent="0.2">
      <c r="A47" s="14"/>
    </row>
    <row r="48" spans="1:13" hidden="1" x14ac:dyDescent="0.2">
      <c r="A48" s="14"/>
    </row>
    <row r="49" x14ac:dyDescent="0.2"/>
    <row r="50" x14ac:dyDescent="0.2"/>
  </sheetData>
  <mergeCells count="4">
    <mergeCell ref="A43:G43"/>
    <mergeCell ref="D8:G8"/>
    <mergeCell ref="A8:B8"/>
    <mergeCell ref="A42:G42"/>
  </mergeCells>
  <conditionalFormatting sqref="L10:L41 A10:M40">
    <cfRule type="containsText" dxfId="45" priority="27" stopIfTrue="1" operator="containsText" text="FOLGA">
      <formula>NOT(ISERROR(SEARCH("FOLGA",A10)))</formula>
    </cfRule>
    <cfRule type="containsText" dxfId="44" priority="28" stopIfTrue="1" operator="containsText" text="FALTA">
      <formula>NOT(ISERROR(SEARCH("FALTA",A10)))</formula>
    </cfRule>
    <cfRule type="containsText" dxfId="43" priority="29" stopIfTrue="1" operator="containsText" text="ATESTADO">
      <formula>NOT(ISERROR(SEARCH("ATESTADO",A10)))</formula>
    </cfRule>
  </conditionalFormatting>
  <conditionalFormatting sqref="B1:B41 B44:B1048576">
    <cfRule type="cellIs" dxfId="42" priority="22" operator="equal">
      <formula>"dom"</formula>
    </cfRule>
    <cfRule type="cellIs" dxfId="41" priority="23" operator="equal">
      <formula>"sáb"</formula>
    </cfRule>
  </conditionalFormatting>
  <conditionalFormatting sqref="H8:K8">
    <cfRule type="containsText" dxfId="40" priority="16" stopIfTrue="1" operator="containsText" text="FOLGA">
      <formula>NOT(ISERROR(SEARCH("FOLGA",H8)))</formula>
    </cfRule>
    <cfRule type="containsText" dxfId="39" priority="17" stopIfTrue="1" operator="containsText" text="FALTA">
      <formula>NOT(ISERROR(SEARCH("FALTA",H8)))</formula>
    </cfRule>
    <cfRule type="containsText" dxfId="38" priority="18" stopIfTrue="1" operator="containsText" text="ATESTADO">
      <formula>NOT(ISERROR(SEARCH("ATESTADO",H8)))</formula>
    </cfRule>
  </conditionalFormatting>
  <conditionalFormatting sqref="L8">
    <cfRule type="containsText" dxfId="37" priority="13" stopIfTrue="1" operator="containsText" text="FOLGA">
      <formula>NOT(ISERROR(SEARCH("FOLGA",L8)))</formula>
    </cfRule>
    <cfRule type="containsText" dxfId="36" priority="14" stopIfTrue="1" operator="containsText" text="FALTA">
      <formula>NOT(ISERROR(SEARCH("FALTA",L8)))</formula>
    </cfRule>
    <cfRule type="containsText" dxfId="35" priority="15" stopIfTrue="1" operator="containsText" text="ATESTADO">
      <formula>NOT(ISERROR(SEARCH("ATESTADO",L8)))</formula>
    </cfRule>
  </conditionalFormatting>
  <dataValidations count="1">
    <dataValidation type="list" allowBlank="1" showInputMessage="1" showErrorMessage="1" sqref="C10:C40" xr:uid="{00000000-0002-0000-0000-000000000000}">
      <formula1>"FERIADO"</formula1>
    </dataValidation>
  </dataValidations>
  <pageMargins left="0.25" right="0.25" top="0.75" bottom="0.75" header="0.3" footer="0.3"/>
  <pageSetup paperSize="9" scale="65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222ACC5-655C-401D-BAE1-BE2BD66608FD}">
          <x14:formula1>
            <xm:f>'CADASTRO FUNCIONARIO'!$B$12:$B$76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46"/>
  <sheetViews>
    <sheetView showGridLines="0" zoomScale="70" zoomScaleNormal="7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C6" sqref="C6"/>
    </sheetView>
  </sheetViews>
  <sheetFormatPr defaultColWidth="0" defaultRowHeight="0" customHeight="1" zeroHeight="1" x14ac:dyDescent="0.2"/>
  <cols>
    <col min="1" max="2" width="8.7109375" customWidth="1"/>
    <col min="3" max="3" width="37" customWidth="1"/>
    <col min="4" max="7" width="22.28515625" customWidth="1"/>
    <col min="8" max="8" width="2.7109375" style="11" customWidth="1"/>
    <col min="9" max="14" width="0" style="11" hidden="1" customWidth="1"/>
    <col min="15" max="16384" width="9.140625" style="11" hidden="1"/>
  </cols>
  <sheetData>
    <row r="1" spans="1:7" ht="12.75" x14ac:dyDescent="0.2"/>
    <row r="2" spans="1:7" ht="12.75" x14ac:dyDescent="0.2">
      <c r="F2" s="72"/>
      <c r="G2" s="72"/>
    </row>
    <row r="3" spans="1:7" ht="12.75" x14ac:dyDescent="0.2">
      <c r="D3" s="74" t="s">
        <v>20</v>
      </c>
      <c r="E3" s="74"/>
      <c r="F3" s="74"/>
      <c r="G3" s="74"/>
    </row>
    <row r="4" spans="1:7" ht="12.75" x14ac:dyDescent="0.2">
      <c r="D4" s="74"/>
      <c r="E4" s="74"/>
      <c r="F4" s="74"/>
      <c r="G4" s="74"/>
    </row>
    <row r="5" spans="1:7" ht="12.75" x14ac:dyDescent="0.2">
      <c r="D5" s="74"/>
      <c r="E5" s="74"/>
      <c r="F5" s="74"/>
      <c r="G5" s="74"/>
    </row>
    <row r="6" spans="1:7" ht="12.75" x14ac:dyDescent="0.2">
      <c r="D6" s="75"/>
      <c r="E6" s="75"/>
      <c r="F6" s="75"/>
      <c r="G6" s="75"/>
    </row>
    <row r="7" spans="1:7" s="12" customFormat="1" ht="28.5" customHeight="1" x14ac:dyDescent="0.2">
      <c r="A7" s="73">
        <v>44409</v>
      </c>
      <c r="B7" s="73"/>
      <c r="C7" s="56" t="s">
        <v>19</v>
      </c>
      <c r="D7" s="47" t="s">
        <v>4</v>
      </c>
      <c r="E7" s="47" t="s">
        <v>1</v>
      </c>
      <c r="F7" s="47" t="s">
        <v>2</v>
      </c>
      <c r="G7" s="47" t="s">
        <v>3</v>
      </c>
    </row>
    <row r="8" spans="1:7" s="12" customFormat="1" ht="28.5" customHeight="1" x14ac:dyDescent="0.2">
      <c r="A8" s="71" t="s">
        <v>27</v>
      </c>
      <c r="B8" s="71"/>
      <c r="C8" s="71"/>
      <c r="D8" s="55">
        <f>VLOOKUP($A$8,'CADASTRO FUNCIONARIO'!$B:$G,2,0)</f>
        <v>0.3125</v>
      </c>
      <c r="E8" s="55">
        <f>VLOOKUP($A$8,'CADASTRO FUNCIONARIO'!$B:$G,3,0)</f>
        <v>0.4916666666666667</v>
      </c>
      <c r="F8" s="55">
        <f>VLOOKUP($A$8,'CADASTRO FUNCIONARIO'!$B:$G,4,0)</f>
        <v>0.54166666666666663</v>
      </c>
      <c r="G8" s="55">
        <f>VLOOKUP($A$8,'CADASTRO FUNCIONARIO'!$B:$G,5,0)</f>
        <v>0.72916666666666663</v>
      </c>
    </row>
    <row r="9" spans="1:7" s="15" customFormat="1" ht="30" customHeight="1" x14ac:dyDescent="0.2">
      <c r="A9" s="47" t="s">
        <v>0</v>
      </c>
      <c r="B9" s="47" t="s">
        <v>10</v>
      </c>
      <c r="C9" s="47" t="s">
        <v>13</v>
      </c>
      <c r="D9" s="47" t="s">
        <v>4</v>
      </c>
      <c r="E9" s="47" t="s">
        <v>1</v>
      </c>
      <c r="F9" s="47" t="s">
        <v>2</v>
      </c>
      <c r="G9" s="47" t="s">
        <v>3</v>
      </c>
    </row>
    <row r="10" spans="1:7" s="16" customFormat="1" ht="24" customHeight="1" x14ac:dyDescent="0.2">
      <c r="A10" s="6">
        <f>A7</f>
        <v>44409</v>
      </c>
      <c r="B10" s="7" t="str">
        <f>TEXT(A10,"ddd")</f>
        <v>dom</v>
      </c>
      <c r="C10" s="28"/>
      <c r="D10" s="29"/>
      <c r="E10" s="30"/>
      <c r="F10" s="30"/>
      <c r="G10" s="30"/>
    </row>
    <row r="11" spans="1:7" s="16" customFormat="1" ht="24" customHeight="1" x14ac:dyDescent="0.2">
      <c r="A11" s="6">
        <f>A10+1</f>
        <v>44410</v>
      </c>
      <c r="B11" s="7" t="str">
        <f t="shared" ref="B11:B40" si="0">TEXT(A11,"ddd")</f>
        <v>seg</v>
      </c>
      <c r="C11" s="28"/>
      <c r="D11" s="29"/>
      <c r="E11" s="30"/>
      <c r="F11" s="30"/>
      <c r="G11" s="30"/>
    </row>
    <row r="12" spans="1:7" s="16" customFormat="1" ht="24" customHeight="1" x14ac:dyDescent="0.2">
      <c r="A12" s="6">
        <f t="shared" ref="A12:A40" si="1">A11+1</f>
        <v>44411</v>
      </c>
      <c r="B12" s="7" t="str">
        <f t="shared" si="0"/>
        <v>ter</v>
      </c>
      <c r="C12" s="28"/>
      <c r="D12" s="29"/>
      <c r="E12" s="30"/>
      <c r="F12" s="30"/>
      <c r="G12" s="30"/>
    </row>
    <row r="13" spans="1:7" s="16" customFormat="1" ht="24" customHeight="1" x14ac:dyDescent="0.2">
      <c r="A13" s="6">
        <f t="shared" si="1"/>
        <v>44412</v>
      </c>
      <c r="B13" s="7" t="str">
        <f t="shared" si="0"/>
        <v>qua</v>
      </c>
      <c r="C13" s="28"/>
      <c r="D13" s="29"/>
      <c r="E13" s="30"/>
      <c r="F13" s="30"/>
      <c r="G13" s="30"/>
    </row>
    <row r="14" spans="1:7" s="17" customFormat="1" ht="24" customHeight="1" x14ac:dyDescent="0.2">
      <c r="A14" s="6">
        <f t="shared" si="1"/>
        <v>44413</v>
      </c>
      <c r="B14" s="7" t="str">
        <f t="shared" si="0"/>
        <v>qui</v>
      </c>
      <c r="C14" s="28"/>
      <c r="D14" s="29"/>
      <c r="E14" s="30"/>
      <c r="F14" s="30"/>
      <c r="G14" s="30"/>
    </row>
    <row r="15" spans="1:7" s="17" customFormat="1" ht="24" customHeight="1" x14ac:dyDescent="0.2">
      <c r="A15" s="6">
        <f t="shared" si="1"/>
        <v>44414</v>
      </c>
      <c r="B15" s="7" t="str">
        <f t="shared" si="0"/>
        <v>sex</v>
      </c>
      <c r="C15" s="28"/>
      <c r="D15" s="29"/>
      <c r="E15" s="30"/>
      <c r="F15" s="30"/>
      <c r="G15" s="30"/>
    </row>
    <row r="16" spans="1:7" s="17" customFormat="1" ht="24" customHeight="1" x14ac:dyDescent="0.2">
      <c r="A16" s="6">
        <f t="shared" si="1"/>
        <v>44415</v>
      </c>
      <c r="B16" s="7" t="str">
        <f t="shared" si="0"/>
        <v>sáb</v>
      </c>
      <c r="C16" s="28"/>
      <c r="D16" s="29"/>
      <c r="E16" s="30"/>
      <c r="F16" s="30"/>
      <c r="G16" s="30"/>
    </row>
    <row r="17" spans="1:7" s="17" customFormat="1" ht="24" customHeight="1" x14ac:dyDescent="0.2">
      <c r="A17" s="6">
        <f t="shared" si="1"/>
        <v>44416</v>
      </c>
      <c r="B17" s="7" t="str">
        <f t="shared" si="0"/>
        <v>dom</v>
      </c>
      <c r="C17" s="28"/>
      <c r="D17" s="29"/>
      <c r="E17" s="30"/>
      <c r="F17" s="30"/>
      <c r="G17" s="30"/>
    </row>
    <row r="18" spans="1:7" s="17" customFormat="1" ht="24" customHeight="1" x14ac:dyDescent="0.2">
      <c r="A18" s="6">
        <f t="shared" si="1"/>
        <v>44417</v>
      </c>
      <c r="B18" s="7" t="str">
        <f t="shared" si="0"/>
        <v>seg</v>
      </c>
      <c r="C18" s="28"/>
      <c r="D18" s="29"/>
      <c r="E18" s="30"/>
      <c r="F18" s="30"/>
      <c r="G18" s="30"/>
    </row>
    <row r="19" spans="1:7" s="17" customFormat="1" ht="24" customHeight="1" x14ac:dyDescent="0.2">
      <c r="A19" s="6">
        <f t="shared" si="1"/>
        <v>44418</v>
      </c>
      <c r="B19" s="7" t="str">
        <f t="shared" si="0"/>
        <v>ter</v>
      </c>
      <c r="C19" s="28"/>
      <c r="D19" s="29"/>
      <c r="E19" s="30"/>
      <c r="F19" s="30"/>
      <c r="G19" s="30"/>
    </row>
    <row r="20" spans="1:7" s="17" customFormat="1" ht="24" customHeight="1" x14ac:dyDescent="0.2">
      <c r="A20" s="6">
        <f t="shared" si="1"/>
        <v>44419</v>
      </c>
      <c r="B20" s="7" t="str">
        <f t="shared" si="0"/>
        <v>qua</v>
      </c>
      <c r="C20" s="28"/>
      <c r="D20" s="29"/>
      <c r="E20" s="30"/>
      <c r="F20" s="30"/>
      <c r="G20" s="30"/>
    </row>
    <row r="21" spans="1:7" s="17" customFormat="1" ht="24" customHeight="1" x14ac:dyDescent="0.2">
      <c r="A21" s="6">
        <f t="shared" si="1"/>
        <v>44420</v>
      </c>
      <c r="B21" s="7" t="str">
        <f t="shared" si="0"/>
        <v>qui</v>
      </c>
      <c r="C21" s="28"/>
      <c r="D21" s="29"/>
      <c r="E21" s="30"/>
      <c r="F21" s="30"/>
      <c r="G21" s="30"/>
    </row>
    <row r="22" spans="1:7" s="17" customFormat="1" ht="24" customHeight="1" x14ac:dyDescent="0.2">
      <c r="A22" s="6">
        <f t="shared" si="1"/>
        <v>44421</v>
      </c>
      <c r="B22" s="7" t="str">
        <f t="shared" si="0"/>
        <v>sex</v>
      </c>
      <c r="C22" s="28"/>
      <c r="D22" s="29"/>
      <c r="E22" s="30"/>
      <c r="F22" s="30"/>
      <c r="G22" s="30"/>
    </row>
    <row r="23" spans="1:7" s="17" customFormat="1" ht="24" customHeight="1" x14ac:dyDescent="0.2">
      <c r="A23" s="6">
        <f t="shared" si="1"/>
        <v>44422</v>
      </c>
      <c r="B23" s="7" t="str">
        <f t="shared" si="0"/>
        <v>sáb</v>
      </c>
      <c r="C23" s="28"/>
      <c r="D23" s="29"/>
      <c r="E23" s="30"/>
      <c r="F23" s="30"/>
      <c r="G23" s="30"/>
    </row>
    <row r="24" spans="1:7" s="17" customFormat="1" ht="24" customHeight="1" x14ac:dyDescent="0.2">
      <c r="A24" s="6">
        <f t="shared" si="1"/>
        <v>44423</v>
      </c>
      <c r="B24" s="7" t="str">
        <f t="shared" si="0"/>
        <v>dom</v>
      </c>
      <c r="C24" s="28"/>
      <c r="D24" s="29"/>
      <c r="E24" s="30"/>
      <c r="F24" s="30"/>
      <c r="G24" s="30"/>
    </row>
    <row r="25" spans="1:7" s="17" customFormat="1" ht="24" customHeight="1" x14ac:dyDescent="0.2">
      <c r="A25" s="6">
        <f t="shared" si="1"/>
        <v>44424</v>
      </c>
      <c r="B25" s="7" t="str">
        <f t="shared" si="0"/>
        <v>seg</v>
      </c>
      <c r="C25" s="28"/>
      <c r="D25" s="29"/>
      <c r="E25" s="30"/>
      <c r="F25" s="30"/>
      <c r="G25" s="30"/>
    </row>
    <row r="26" spans="1:7" s="17" customFormat="1" ht="24" customHeight="1" x14ac:dyDescent="0.2">
      <c r="A26" s="6">
        <f t="shared" si="1"/>
        <v>44425</v>
      </c>
      <c r="B26" s="7" t="str">
        <f t="shared" si="0"/>
        <v>ter</v>
      </c>
      <c r="C26" s="28"/>
      <c r="D26" s="29"/>
      <c r="E26" s="30"/>
      <c r="F26" s="30"/>
      <c r="G26" s="30"/>
    </row>
    <row r="27" spans="1:7" s="17" customFormat="1" ht="24" customHeight="1" x14ac:dyDescent="0.2">
      <c r="A27" s="6">
        <f t="shared" si="1"/>
        <v>44426</v>
      </c>
      <c r="B27" s="7" t="str">
        <f t="shared" si="0"/>
        <v>qua</v>
      </c>
      <c r="C27" s="28"/>
      <c r="D27" s="29"/>
      <c r="E27" s="30"/>
      <c r="F27" s="30"/>
      <c r="G27" s="30"/>
    </row>
    <row r="28" spans="1:7" s="17" customFormat="1" ht="24" customHeight="1" x14ac:dyDescent="0.2">
      <c r="A28" s="6">
        <f t="shared" si="1"/>
        <v>44427</v>
      </c>
      <c r="B28" s="7" t="str">
        <f t="shared" si="0"/>
        <v>qui</v>
      </c>
      <c r="C28" s="28"/>
      <c r="D28" s="29"/>
      <c r="E28" s="30"/>
      <c r="F28" s="30"/>
      <c r="G28" s="30"/>
    </row>
    <row r="29" spans="1:7" s="17" customFormat="1" ht="24" customHeight="1" x14ac:dyDescent="0.2">
      <c r="A29" s="6">
        <f t="shared" si="1"/>
        <v>44428</v>
      </c>
      <c r="B29" s="7" t="str">
        <f t="shared" si="0"/>
        <v>sex</v>
      </c>
      <c r="C29" s="28"/>
      <c r="D29" s="29"/>
      <c r="E29" s="30"/>
      <c r="F29" s="30"/>
      <c r="G29" s="30"/>
    </row>
    <row r="30" spans="1:7" s="17" customFormat="1" ht="24" customHeight="1" x14ac:dyDescent="0.2">
      <c r="A30" s="6">
        <f t="shared" si="1"/>
        <v>44429</v>
      </c>
      <c r="B30" s="7" t="str">
        <f t="shared" si="0"/>
        <v>sáb</v>
      </c>
      <c r="C30" s="28"/>
      <c r="D30" s="29"/>
      <c r="E30" s="30"/>
      <c r="F30" s="30"/>
      <c r="G30" s="30"/>
    </row>
    <row r="31" spans="1:7" s="17" customFormat="1" ht="24" customHeight="1" x14ac:dyDescent="0.2">
      <c r="A31" s="6">
        <f t="shared" si="1"/>
        <v>44430</v>
      </c>
      <c r="B31" s="7" t="str">
        <f t="shared" si="0"/>
        <v>dom</v>
      </c>
      <c r="C31" s="28"/>
      <c r="D31" s="29"/>
      <c r="E31" s="30"/>
      <c r="F31" s="30"/>
      <c r="G31" s="30"/>
    </row>
    <row r="32" spans="1:7" s="17" customFormat="1" ht="24" customHeight="1" x14ac:dyDescent="0.2">
      <c r="A32" s="6">
        <f t="shared" si="1"/>
        <v>44431</v>
      </c>
      <c r="B32" s="7" t="str">
        <f t="shared" si="0"/>
        <v>seg</v>
      </c>
      <c r="C32" s="28"/>
      <c r="D32" s="29"/>
      <c r="E32" s="30"/>
      <c r="F32" s="30"/>
      <c r="G32" s="30"/>
    </row>
    <row r="33" spans="1:7" s="17" customFormat="1" ht="24" customHeight="1" x14ac:dyDescent="0.2">
      <c r="A33" s="6">
        <f t="shared" si="1"/>
        <v>44432</v>
      </c>
      <c r="B33" s="7" t="str">
        <f t="shared" si="0"/>
        <v>ter</v>
      </c>
      <c r="C33" s="28"/>
      <c r="D33" s="29"/>
      <c r="E33" s="30"/>
      <c r="F33" s="30"/>
      <c r="G33" s="30"/>
    </row>
    <row r="34" spans="1:7" s="17" customFormat="1" ht="24" customHeight="1" x14ac:dyDescent="0.2">
      <c r="A34" s="6">
        <f t="shared" si="1"/>
        <v>44433</v>
      </c>
      <c r="B34" s="7" t="str">
        <f t="shared" si="0"/>
        <v>qua</v>
      </c>
      <c r="C34" s="28"/>
      <c r="D34" s="29"/>
      <c r="E34" s="30"/>
      <c r="F34" s="30"/>
      <c r="G34" s="30"/>
    </row>
    <row r="35" spans="1:7" s="17" customFormat="1" ht="24" customHeight="1" x14ac:dyDescent="0.2">
      <c r="A35" s="6">
        <f t="shared" si="1"/>
        <v>44434</v>
      </c>
      <c r="B35" s="7" t="str">
        <f t="shared" si="0"/>
        <v>qui</v>
      </c>
      <c r="C35" s="28"/>
      <c r="D35" s="29"/>
      <c r="E35" s="30"/>
      <c r="F35" s="30"/>
      <c r="G35" s="30"/>
    </row>
    <row r="36" spans="1:7" s="17" customFormat="1" ht="24" customHeight="1" x14ac:dyDescent="0.2">
      <c r="A36" s="6">
        <f t="shared" si="1"/>
        <v>44435</v>
      </c>
      <c r="B36" s="7" t="str">
        <f t="shared" si="0"/>
        <v>sex</v>
      </c>
      <c r="C36" s="28"/>
      <c r="D36" s="29"/>
      <c r="E36" s="30"/>
      <c r="F36" s="30"/>
      <c r="G36" s="30"/>
    </row>
    <row r="37" spans="1:7" s="17" customFormat="1" ht="24" customHeight="1" x14ac:dyDescent="0.2">
      <c r="A37" s="6">
        <f t="shared" si="1"/>
        <v>44436</v>
      </c>
      <c r="B37" s="7" t="str">
        <f t="shared" si="0"/>
        <v>sáb</v>
      </c>
      <c r="C37" s="28"/>
      <c r="D37" s="29"/>
      <c r="E37" s="30"/>
      <c r="F37" s="30"/>
      <c r="G37" s="30"/>
    </row>
    <row r="38" spans="1:7" s="17" customFormat="1" ht="24" customHeight="1" x14ac:dyDescent="0.2">
      <c r="A38" s="6">
        <f t="shared" si="1"/>
        <v>44437</v>
      </c>
      <c r="B38" s="7" t="str">
        <f t="shared" si="0"/>
        <v>dom</v>
      </c>
      <c r="C38" s="28"/>
      <c r="D38" s="29"/>
      <c r="E38" s="30"/>
      <c r="F38" s="30"/>
      <c r="G38" s="30"/>
    </row>
    <row r="39" spans="1:7" s="17" customFormat="1" ht="24" customHeight="1" x14ac:dyDescent="0.2">
      <c r="A39" s="6">
        <f t="shared" si="1"/>
        <v>44438</v>
      </c>
      <c r="B39" s="7" t="str">
        <f t="shared" si="0"/>
        <v>seg</v>
      </c>
      <c r="C39" s="28"/>
      <c r="D39" s="29"/>
      <c r="E39" s="30"/>
      <c r="F39" s="30"/>
      <c r="G39" s="30"/>
    </row>
    <row r="40" spans="1:7" s="17" customFormat="1" ht="24" customHeight="1" x14ac:dyDescent="0.2">
      <c r="A40" s="6">
        <f t="shared" si="1"/>
        <v>44439</v>
      </c>
      <c r="B40" s="7" t="str">
        <f t="shared" si="0"/>
        <v>ter</v>
      </c>
      <c r="C40" s="28"/>
      <c r="D40" s="29"/>
      <c r="E40" s="30"/>
      <c r="F40" s="30"/>
      <c r="G40" s="30"/>
    </row>
    <row r="41" spans="1:7" ht="12.75" x14ac:dyDescent="0.2">
      <c r="A41" s="37"/>
    </row>
    <row r="42" spans="1:7" ht="12.75" hidden="1" x14ac:dyDescent="0.2">
      <c r="A42" s="13"/>
    </row>
    <row r="43" spans="1:7" ht="12.75" hidden="1" x14ac:dyDescent="0.2">
      <c r="A43" s="1"/>
    </row>
    <row r="44" spans="1:7" ht="12.75" hidden="1" x14ac:dyDescent="0.2">
      <c r="A44" s="1"/>
    </row>
    <row r="45" spans="1:7" ht="12.75" hidden="1" x14ac:dyDescent="0.2">
      <c r="A45" s="14"/>
    </row>
    <row r="46" spans="1:7" ht="12.75" hidden="1" x14ac:dyDescent="0.2">
      <c r="A46" s="14"/>
    </row>
  </sheetData>
  <mergeCells count="4">
    <mergeCell ref="A8:C8"/>
    <mergeCell ref="F2:G2"/>
    <mergeCell ref="A7:B7"/>
    <mergeCell ref="D3:G6"/>
  </mergeCells>
  <conditionalFormatting sqref="A10:G40">
    <cfRule type="containsText" dxfId="34" priority="6" stopIfTrue="1" operator="containsText" text="FOLGA">
      <formula>NOT(ISERROR(SEARCH("FOLGA",A10)))</formula>
    </cfRule>
    <cfRule type="containsText" dxfId="33" priority="7" stopIfTrue="1" operator="containsText" text="FALTA">
      <formula>NOT(ISERROR(SEARCH("FALTA",A10)))</formula>
    </cfRule>
    <cfRule type="containsText" dxfId="32" priority="8" stopIfTrue="1" operator="containsText" text="ATESTADO">
      <formula>NOT(ISERROR(SEARCH("ATESTADO",A10)))</formula>
    </cfRule>
  </conditionalFormatting>
  <conditionalFormatting sqref="B1:B7 B9:B1048576">
    <cfRule type="cellIs" dxfId="31" priority="4" operator="equal">
      <formula>"dom"</formula>
    </cfRule>
    <cfRule type="cellIs" dxfId="30" priority="5" operator="equal">
      <formula>"sáb"</formula>
    </cfRule>
  </conditionalFormatting>
  <conditionalFormatting sqref="D8:G8">
    <cfRule type="containsText" dxfId="29" priority="1" stopIfTrue="1" operator="containsText" text="FOLGA">
      <formula>NOT(ISERROR(SEARCH("FOLGA",D8)))</formula>
    </cfRule>
    <cfRule type="containsText" dxfId="28" priority="2" stopIfTrue="1" operator="containsText" text="FALTA">
      <formula>NOT(ISERROR(SEARCH("FALTA",D8)))</formula>
    </cfRule>
    <cfRule type="containsText" dxfId="27" priority="3" stopIfTrue="1" operator="containsText" text="ATESTADO">
      <formula>NOT(ISERROR(SEARCH("ATESTADO",D8)))</formula>
    </cfRule>
  </conditionalFormatting>
  <dataValidations count="1">
    <dataValidation type="list" allowBlank="1" showInputMessage="1" showErrorMessage="1" sqref="C10:C40" xr:uid="{00000000-0002-0000-0100-000000000000}">
      <formula1>"FERIADO"</formula1>
    </dataValidation>
  </dataValidations>
  <pageMargins left="0.12" right="0.22" top="0.47" bottom="0.34" header="0.4921259845" footer="0.4921259845"/>
  <pageSetup paperSize="9" scale="72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6532F2-979B-4A19-84F6-496C75F0E2DE}">
          <x14:formula1>
            <xm:f>'CADASTRO FUNCIONARIO'!$B$12:$B$76</xm:f>
          </x14:formula1>
          <xm:sqref>A8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27EA4-CB0F-495D-8F8D-51097F5B232A}">
  <sheetPr>
    <pageSetUpPr fitToPage="1"/>
  </sheetPr>
  <dimension ref="B9:G76"/>
  <sheetViews>
    <sheetView showGridLines="0" workbookViewId="0">
      <pane xSplit="1" ySplit="11" topLeftCell="B12" activePane="bottomRight" state="frozen"/>
      <selection pane="topRight" activeCell="D1" sqref="D1"/>
      <selection pane="bottomLeft" activeCell="A9" sqref="A9"/>
      <selection pane="bottomRight" activeCell="H1" sqref="H1:J1048576"/>
    </sheetView>
  </sheetViews>
  <sheetFormatPr defaultRowHeight="12.75" x14ac:dyDescent="0.2"/>
  <cols>
    <col min="2" max="2" width="59" customWidth="1"/>
  </cols>
  <sheetData>
    <row r="9" spans="2:7" x14ac:dyDescent="0.2">
      <c r="B9" s="77" t="s">
        <v>28</v>
      </c>
      <c r="C9" s="76" t="s">
        <v>29</v>
      </c>
      <c r="D9" s="76"/>
      <c r="E9" s="76"/>
      <c r="F9" s="76"/>
      <c r="G9" s="76"/>
    </row>
    <row r="10" spans="2:7" ht="28.5" x14ac:dyDescent="0.2">
      <c r="B10" s="77"/>
      <c r="C10" s="47" t="s">
        <v>4</v>
      </c>
      <c r="D10" s="47" t="s">
        <v>1</v>
      </c>
      <c r="E10" s="47" t="s">
        <v>2</v>
      </c>
      <c r="F10" s="47" t="s">
        <v>3</v>
      </c>
      <c r="G10" s="47" t="s">
        <v>17</v>
      </c>
    </row>
    <row r="11" spans="2:7" ht="15" x14ac:dyDescent="0.2">
      <c r="B11" s="48" t="s">
        <v>30</v>
      </c>
      <c r="C11" s="49">
        <v>0.3125</v>
      </c>
      <c r="D11" s="49">
        <v>0.4916666666666667</v>
      </c>
      <c r="E11" s="49">
        <v>0.54166666666666663</v>
      </c>
      <c r="F11" s="49">
        <v>0.72916666666666663</v>
      </c>
      <c r="G11" s="49">
        <f t="shared" ref="G11" si="0">IF(C11="FALTA",0,IF(C11="ATESTADO",0.30555555556,IF(C11="folga",0,(F11-E11)+(D11-C11))))</f>
        <v>0.3666666666666667</v>
      </c>
    </row>
    <row r="12" spans="2:7" ht="15" x14ac:dyDescent="0.2">
      <c r="B12" s="48" t="s">
        <v>22</v>
      </c>
      <c r="C12" s="49">
        <v>0.3125</v>
      </c>
      <c r="D12" s="49">
        <v>0.4916666666666667</v>
      </c>
      <c r="E12" s="49">
        <v>0.54166666666666663</v>
      </c>
      <c r="F12" s="49">
        <v>0.72916666666666663</v>
      </c>
      <c r="G12" s="49">
        <f t="shared" ref="G12:G22" si="1">IF(C12="FALTA",0,IF(C12="ATESTADO",0.30555555556,IF(C12="folga",0,(F12-E12)+(D12-C12))))</f>
        <v>0.3666666666666667</v>
      </c>
    </row>
    <row r="13" spans="2:7" ht="15" x14ac:dyDescent="0.2">
      <c r="B13" s="48" t="s">
        <v>26</v>
      </c>
      <c r="C13" s="49">
        <v>0.3125</v>
      </c>
      <c r="D13" s="49">
        <v>0.4916666666666667</v>
      </c>
      <c r="E13" s="49">
        <v>0.54166666666666663</v>
      </c>
      <c r="F13" s="49">
        <v>0.72916666666666663</v>
      </c>
      <c r="G13" s="49">
        <f t="shared" si="1"/>
        <v>0.3666666666666667</v>
      </c>
    </row>
    <row r="14" spans="2:7" ht="15" x14ac:dyDescent="0.2">
      <c r="B14" s="48" t="s">
        <v>27</v>
      </c>
      <c r="C14" s="49">
        <v>0.3125</v>
      </c>
      <c r="D14" s="49">
        <v>0.4916666666666667</v>
      </c>
      <c r="E14" s="49">
        <v>0.54166666666666663</v>
      </c>
      <c r="F14" s="49">
        <v>0.72916666666666663</v>
      </c>
      <c r="G14" s="49">
        <f t="shared" si="1"/>
        <v>0.3666666666666667</v>
      </c>
    </row>
    <row r="15" spans="2:7" ht="15" x14ac:dyDescent="0.2">
      <c r="B15" s="48"/>
      <c r="C15" s="49"/>
      <c r="D15" s="49"/>
      <c r="E15" s="49"/>
      <c r="F15" s="49"/>
      <c r="G15" s="49">
        <f t="shared" si="1"/>
        <v>0</v>
      </c>
    </row>
    <row r="16" spans="2:7" ht="15" x14ac:dyDescent="0.2">
      <c r="B16" s="48"/>
      <c r="C16" s="49"/>
      <c r="D16" s="49"/>
      <c r="E16" s="49"/>
      <c r="F16" s="49"/>
      <c r="G16" s="49">
        <f t="shared" si="1"/>
        <v>0</v>
      </c>
    </row>
    <row r="17" spans="2:7" ht="15" x14ac:dyDescent="0.2">
      <c r="B17" s="48"/>
      <c r="C17" s="49"/>
      <c r="D17" s="49"/>
      <c r="E17" s="49"/>
      <c r="F17" s="49"/>
      <c r="G17" s="49">
        <f t="shared" si="1"/>
        <v>0</v>
      </c>
    </row>
    <row r="18" spans="2:7" ht="15" x14ac:dyDescent="0.2">
      <c r="B18" s="48"/>
      <c r="C18" s="49"/>
      <c r="D18" s="49"/>
      <c r="E18" s="49"/>
      <c r="F18" s="49"/>
      <c r="G18" s="49">
        <f t="shared" si="1"/>
        <v>0</v>
      </c>
    </row>
    <row r="19" spans="2:7" ht="15" x14ac:dyDescent="0.2">
      <c r="B19" s="48"/>
      <c r="C19" s="49"/>
      <c r="D19" s="49"/>
      <c r="E19" s="49"/>
      <c r="F19" s="49"/>
      <c r="G19" s="49">
        <f t="shared" si="1"/>
        <v>0</v>
      </c>
    </row>
    <row r="20" spans="2:7" ht="15" x14ac:dyDescent="0.2">
      <c r="B20" s="48"/>
      <c r="C20" s="49"/>
      <c r="D20" s="49"/>
      <c r="E20" s="49"/>
      <c r="F20" s="49"/>
      <c r="G20" s="49">
        <f t="shared" si="1"/>
        <v>0</v>
      </c>
    </row>
    <row r="21" spans="2:7" ht="15" x14ac:dyDescent="0.2">
      <c r="B21" s="48"/>
      <c r="C21" s="49"/>
      <c r="D21" s="49"/>
      <c r="E21" s="49"/>
      <c r="F21" s="49"/>
      <c r="G21" s="49">
        <f t="shared" si="1"/>
        <v>0</v>
      </c>
    </row>
    <row r="22" spans="2:7" ht="15" x14ac:dyDescent="0.2">
      <c r="B22" s="48"/>
      <c r="C22" s="49"/>
      <c r="D22" s="49"/>
      <c r="E22" s="49"/>
      <c r="F22" s="49"/>
      <c r="G22" s="49">
        <f t="shared" si="1"/>
        <v>0</v>
      </c>
    </row>
    <row r="23" spans="2:7" ht="15" x14ac:dyDescent="0.2">
      <c r="B23" s="48"/>
      <c r="C23" s="49"/>
      <c r="D23" s="49"/>
      <c r="E23" s="49"/>
      <c r="F23" s="49"/>
      <c r="G23" s="49">
        <f t="shared" ref="G23:G76" si="2">IF(C23="FALTA",0,IF(C23="ATESTADO",0.30555555556,IF(C23="folga",0,(F23-E23)+(D23-C23))))</f>
        <v>0</v>
      </c>
    </row>
    <row r="24" spans="2:7" ht="15" x14ac:dyDescent="0.2">
      <c r="B24" s="48"/>
      <c r="C24" s="49"/>
      <c r="D24" s="49"/>
      <c r="E24" s="49"/>
      <c r="F24" s="49"/>
      <c r="G24" s="49">
        <f t="shared" si="2"/>
        <v>0</v>
      </c>
    </row>
    <row r="25" spans="2:7" ht="15" x14ac:dyDescent="0.2">
      <c r="B25" s="48"/>
      <c r="C25" s="49"/>
      <c r="D25" s="49"/>
      <c r="E25" s="49"/>
      <c r="F25" s="49"/>
      <c r="G25" s="49">
        <f t="shared" si="2"/>
        <v>0</v>
      </c>
    </row>
    <row r="26" spans="2:7" ht="15" x14ac:dyDescent="0.2">
      <c r="B26" s="48"/>
      <c r="C26" s="49"/>
      <c r="D26" s="49"/>
      <c r="E26" s="49"/>
      <c r="F26" s="49"/>
      <c r="G26" s="49">
        <f t="shared" si="2"/>
        <v>0</v>
      </c>
    </row>
    <row r="27" spans="2:7" ht="15" x14ac:dyDescent="0.2">
      <c r="B27" s="48"/>
      <c r="C27" s="49"/>
      <c r="D27" s="49"/>
      <c r="E27" s="49"/>
      <c r="F27" s="49"/>
      <c r="G27" s="49">
        <f t="shared" si="2"/>
        <v>0</v>
      </c>
    </row>
    <row r="28" spans="2:7" ht="15" x14ac:dyDescent="0.2">
      <c r="B28" s="48"/>
      <c r="C28" s="49"/>
      <c r="D28" s="49"/>
      <c r="E28" s="49"/>
      <c r="F28" s="49"/>
      <c r="G28" s="49">
        <f t="shared" si="2"/>
        <v>0</v>
      </c>
    </row>
    <row r="29" spans="2:7" ht="15" x14ac:dyDescent="0.2">
      <c r="B29" s="48"/>
      <c r="C29" s="49"/>
      <c r="D29" s="49"/>
      <c r="E29" s="49"/>
      <c r="F29" s="49"/>
      <c r="G29" s="49">
        <f t="shared" si="2"/>
        <v>0</v>
      </c>
    </row>
    <row r="30" spans="2:7" ht="15" x14ac:dyDescent="0.2">
      <c r="B30" s="48"/>
      <c r="C30" s="49"/>
      <c r="D30" s="49"/>
      <c r="E30" s="49"/>
      <c r="F30" s="49"/>
      <c r="G30" s="49">
        <f t="shared" si="2"/>
        <v>0</v>
      </c>
    </row>
    <row r="31" spans="2:7" ht="15" x14ac:dyDescent="0.2">
      <c r="B31" s="48"/>
      <c r="C31" s="49"/>
      <c r="D31" s="49"/>
      <c r="E31" s="49"/>
      <c r="F31" s="49"/>
      <c r="G31" s="49">
        <f t="shared" si="2"/>
        <v>0</v>
      </c>
    </row>
    <row r="32" spans="2:7" ht="15" x14ac:dyDescent="0.2">
      <c r="B32" s="48"/>
      <c r="C32" s="49"/>
      <c r="D32" s="49"/>
      <c r="E32" s="49"/>
      <c r="F32" s="49"/>
      <c r="G32" s="49">
        <f t="shared" si="2"/>
        <v>0</v>
      </c>
    </row>
    <row r="33" spans="2:7" ht="15" x14ac:dyDescent="0.2">
      <c r="B33" s="48"/>
      <c r="C33" s="49"/>
      <c r="D33" s="49"/>
      <c r="E33" s="49"/>
      <c r="F33" s="49"/>
      <c r="G33" s="49">
        <f t="shared" si="2"/>
        <v>0</v>
      </c>
    </row>
    <row r="34" spans="2:7" ht="15" x14ac:dyDescent="0.2">
      <c r="B34" s="48"/>
      <c r="C34" s="49"/>
      <c r="D34" s="49"/>
      <c r="E34" s="49"/>
      <c r="F34" s="49"/>
      <c r="G34" s="49">
        <f t="shared" si="2"/>
        <v>0</v>
      </c>
    </row>
    <row r="35" spans="2:7" ht="15" x14ac:dyDescent="0.2">
      <c r="B35" s="48"/>
      <c r="C35" s="49"/>
      <c r="D35" s="49"/>
      <c r="E35" s="49"/>
      <c r="F35" s="49"/>
      <c r="G35" s="49">
        <f t="shared" si="2"/>
        <v>0</v>
      </c>
    </row>
    <row r="36" spans="2:7" ht="15" x14ac:dyDescent="0.2">
      <c r="B36" s="48"/>
      <c r="C36" s="49"/>
      <c r="D36" s="49"/>
      <c r="E36" s="49"/>
      <c r="F36" s="49"/>
      <c r="G36" s="49">
        <f t="shared" si="2"/>
        <v>0</v>
      </c>
    </row>
    <row r="37" spans="2:7" ht="15" x14ac:dyDescent="0.2">
      <c r="B37" s="48"/>
      <c r="C37" s="49"/>
      <c r="D37" s="49"/>
      <c r="E37" s="49"/>
      <c r="F37" s="49"/>
      <c r="G37" s="49">
        <f t="shared" si="2"/>
        <v>0</v>
      </c>
    </row>
    <row r="38" spans="2:7" ht="15" x14ac:dyDescent="0.2">
      <c r="B38" s="48"/>
      <c r="C38" s="49"/>
      <c r="D38" s="49"/>
      <c r="E38" s="49"/>
      <c r="F38" s="49"/>
      <c r="G38" s="49">
        <f t="shared" si="2"/>
        <v>0</v>
      </c>
    </row>
    <row r="39" spans="2:7" ht="15" x14ac:dyDescent="0.2">
      <c r="B39" s="48"/>
      <c r="C39" s="49"/>
      <c r="D39" s="49"/>
      <c r="E39" s="49"/>
      <c r="F39" s="49"/>
      <c r="G39" s="49">
        <f t="shared" si="2"/>
        <v>0</v>
      </c>
    </row>
    <row r="40" spans="2:7" ht="15" x14ac:dyDescent="0.2">
      <c r="B40" s="48"/>
      <c r="C40" s="49"/>
      <c r="D40" s="49"/>
      <c r="E40" s="49"/>
      <c r="F40" s="49"/>
      <c r="G40" s="49">
        <f t="shared" si="2"/>
        <v>0</v>
      </c>
    </row>
    <row r="41" spans="2:7" ht="15" x14ac:dyDescent="0.2">
      <c r="B41" s="48"/>
      <c r="C41" s="49"/>
      <c r="D41" s="49"/>
      <c r="E41" s="49"/>
      <c r="F41" s="49"/>
      <c r="G41" s="49">
        <f t="shared" si="2"/>
        <v>0</v>
      </c>
    </row>
    <row r="42" spans="2:7" ht="15" x14ac:dyDescent="0.2">
      <c r="B42" s="48"/>
      <c r="C42" s="49"/>
      <c r="D42" s="49"/>
      <c r="E42" s="49"/>
      <c r="F42" s="49"/>
      <c r="G42" s="49">
        <f t="shared" si="2"/>
        <v>0</v>
      </c>
    </row>
    <row r="43" spans="2:7" ht="15" x14ac:dyDescent="0.2">
      <c r="B43" s="48"/>
      <c r="C43" s="49"/>
      <c r="D43" s="49"/>
      <c r="E43" s="49"/>
      <c r="F43" s="49"/>
      <c r="G43" s="49">
        <f t="shared" si="2"/>
        <v>0</v>
      </c>
    </row>
    <row r="44" spans="2:7" ht="15" x14ac:dyDescent="0.2">
      <c r="B44" s="48"/>
      <c r="C44" s="49"/>
      <c r="D44" s="49"/>
      <c r="E44" s="49"/>
      <c r="F44" s="49"/>
      <c r="G44" s="49">
        <f t="shared" si="2"/>
        <v>0</v>
      </c>
    </row>
    <row r="45" spans="2:7" ht="15" x14ac:dyDescent="0.2">
      <c r="B45" s="48"/>
      <c r="C45" s="49"/>
      <c r="D45" s="49"/>
      <c r="E45" s="49"/>
      <c r="F45" s="49"/>
      <c r="G45" s="49">
        <f t="shared" si="2"/>
        <v>0</v>
      </c>
    </row>
    <row r="46" spans="2:7" ht="15" x14ac:dyDescent="0.2">
      <c r="B46" s="48"/>
      <c r="C46" s="49"/>
      <c r="D46" s="49"/>
      <c r="E46" s="49"/>
      <c r="F46" s="49"/>
      <c r="G46" s="49">
        <f t="shared" si="2"/>
        <v>0</v>
      </c>
    </row>
    <row r="47" spans="2:7" ht="15" x14ac:dyDescent="0.2">
      <c r="B47" s="48"/>
      <c r="C47" s="49"/>
      <c r="D47" s="49"/>
      <c r="E47" s="49"/>
      <c r="F47" s="49"/>
      <c r="G47" s="49">
        <f t="shared" si="2"/>
        <v>0</v>
      </c>
    </row>
    <row r="48" spans="2:7" ht="15" x14ac:dyDescent="0.2">
      <c r="B48" s="48"/>
      <c r="C48" s="49"/>
      <c r="D48" s="49"/>
      <c r="E48" s="49"/>
      <c r="F48" s="49"/>
      <c r="G48" s="49">
        <f t="shared" si="2"/>
        <v>0</v>
      </c>
    </row>
    <row r="49" spans="2:7" ht="15" x14ac:dyDescent="0.2">
      <c r="B49" s="48"/>
      <c r="C49" s="49"/>
      <c r="D49" s="49"/>
      <c r="E49" s="49"/>
      <c r="F49" s="49"/>
      <c r="G49" s="49">
        <f t="shared" si="2"/>
        <v>0</v>
      </c>
    </row>
    <row r="50" spans="2:7" ht="15" x14ac:dyDescent="0.2">
      <c r="B50" s="48"/>
      <c r="C50" s="49"/>
      <c r="D50" s="49"/>
      <c r="E50" s="49"/>
      <c r="F50" s="49"/>
      <c r="G50" s="49">
        <f t="shared" si="2"/>
        <v>0</v>
      </c>
    </row>
    <row r="51" spans="2:7" ht="15" x14ac:dyDescent="0.2">
      <c r="B51" s="48"/>
      <c r="C51" s="49"/>
      <c r="D51" s="49"/>
      <c r="E51" s="49"/>
      <c r="F51" s="49"/>
      <c r="G51" s="49">
        <f t="shared" si="2"/>
        <v>0</v>
      </c>
    </row>
    <row r="52" spans="2:7" ht="15" x14ac:dyDescent="0.2">
      <c r="B52" s="48"/>
      <c r="C52" s="49"/>
      <c r="D52" s="49"/>
      <c r="E52" s="49"/>
      <c r="F52" s="49"/>
      <c r="G52" s="49">
        <f t="shared" si="2"/>
        <v>0</v>
      </c>
    </row>
    <row r="53" spans="2:7" ht="15" x14ac:dyDescent="0.2">
      <c r="B53" s="48"/>
      <c r="C53" s="49"/>
      <c r="D53" s="49"/>
      <c r="E53" s="49"/>
      <c r="F53" s="49"/>
      <c r="G53" s="49">
        <f t="shared" si="2"/>
        <v>0</v>
      </c>
    </row>
    <row r="54" spans="2:7" ht="15" x14ac:dyDescent="0.2">
      <c r="B54" s="48"/>
      <c r="C54" s="49"/>
      <c r="D54" s="49"/>
      <c r="E54" s="49"/>
      <c r="F54" s="49"/>
      <c r="G54" s="49">
        <f t="shared" si="2"/>
        <v>0</v>
      </c>
    </row>
    <row r="55" spans="2:7" ht="15" x14ac:dyDescent="0.2">
      <c r="B55" s="48"/>
      <c r="C55" s="49"/>
      <c r="D55" s="49"/>
      <c r="E55" s="49"/>
      <c r="F55" s="49"/>
      <c r="G55" s="49">
        <f t="shared" si="2"/>
        <v>0</v>
      </c>
    </row>
    <row r="56" spans="2:7" ht="15" x14ac:dyDescent="0.2">
      <c r="B56" s="48"/>
      <c r="C56" s="49"/>
      <c r="D56" s="49"/>
      <c r="E56" s="49"/>
      <c r="F56" s="49"/>
      <c r="G56" s="49">
        <f t="shared" si="2"/>
        <v>0</v>
      </c>
    </row>
    <row r="57" spans="2:7" ht="15" x14ac:dyDescent="0.2">
      <c r="B57" s="48"/>
      <c r="C57" s="49"/>
      <c r="D57" s="49"/>
      <c r="E57" s="49"/>
      <c r="F57" s="49"/>
      <c r="G57" s="49">
        <f t="shared" si="2"/>
        <v>0</v>
      </c>
    </row>
    <row r="58" spans="2:7" ht="15" x14ac:dyDescent="0.2">
      <c r="B58" s="48"/>
      <c r="C58" s="49"/>
      <c r="D58" s="49"/>
      <c r="E58" s="49"/>
      <c r="F58" s="49"/>
      <c r="G58" s="49">
        <f t="shared" si="2"/>
        <v>0</v>
      </c>
    </row>
    <row r="59" spans="2:7" ht="15" x14ac:dyDescent="0.2">
      <c r="B59" s="48"/>
      <c r="C59" s="49"/>
      <c r="D59" s="49"/>
      <c r="E59" s="49"/>
      <c r="F59" s="49"/>
      <c r="G59" s="49">
        <f t="shared" si="2"/>
        <v>0</v>
      </c>
    </row>
    <row r="60" spans="2:7" ht="15" x14ac:dyDescent="0.2">
      <c r="B60" s="48"/>
      <c r="C60" s="49"/>
      <c r="D60" s="49"/>
      <c r="E60" s="49"/>
      <c r="F60" s="49"/>
      <c r="G60" s="49">
        <f t="shared" si="2"/>
        <v>0</v>
      </c>
    </row>
    <row r="61" spans="2:7" ht="15" x14ac:dyDescent="0.2">
      <c r="B61" s="48"/>
      <c r="C61" s="49"/>
      <c r="D61" s="49"/>
      <c r="E61" s="49"/>
      <c r="F61" s="49"/>
      <c r="G61" s="49">
        <f t="shared" si="2"/>
        <v>0</v>
      </c>
    </row>
    <row r="62" spans="2:7" ht="15" x14ac:dyDescent="0.2">
      <c r="B62" s="48"/>
      <c r="C62" s="49"/>
      <c r="D62" s="49"/>
      <c r="E62" s="49"/>
      <c r="F62" s="49"/>
      <c r="G62" s="49">
        <f t="shared" si="2"/>
        <v>0</v>
      </c>
    </row>
    <row r="63" spans="2:7" ht="15" x14ac:dyDescent="0.2">
      <c r="B63" s="48"/>
      <c r="C63" s="49"/>
      <c r="D63" s="49"/>
      <c r="E63" s="49"/>
      <c r="F63" s="49"/>
      <c r="G63" s="49">
        <f t="shared" si="2"/>
        <v>0</v>
      </c>
    </row>
    <row r="64" spans="2:7" ht="15" x14ac:dyDescent="0.2">
      <c r="B64" s="48"/>
      <c r="C64" s="49"/>
      <c r="D64" s="49"/>
      <c r="E64" s="49"/>
      <c r="F64" s="49"/>
      <c r="G64" s="49">
        <f t="shared" si="2"/>
        <v>0</v>
      </c>
    </row>
    <row r="65" spans="2:7" ht="15" x14ac:dyDescent="0.2">
      <c r="B65" s="48"/>
      <c r="C65" s="49"/>
      <c r="D65" s="49"/>
      <c r="E65" s="49"/>
      <c r="F65" s="49"/>
      <c r="G65" s="49">
        <f t="shared" si="2"/>
        <v>0</v>
      </c>
    </row>
    <row r="66" spans="2:7" ht="15" x14ac:dyDescent="0.2">
      <c r="B66" s="48"/>
      <c r="C66" s="49"/>
      <c r="D66" s="49"/>
      <c r="E66" s="49"/>
      <c r="F66" s="49"/>
      <c r="G66" s="49">
        <f t="shared" si="2"/>
        <v>0</v>
      </c>
    </row>
    <row r="67" spans="2:7" ht="15" x14ac:dyDescent="0.2">
      <c r="B67" s="48"/>
      <c r="C67" s="49"/>
      <c r="D67" s="49"/>
      <c r="E67" s="49"/>
      <c r="F67" s="49"/>
      <c r="G67" s="49">
        <f t="shared" si="2"/>
        <v>0</v>
      </c>
    </row>
    <row r="68" spans="2:7" ht="15" x14ac:dyDescent="0.2">
      <c r="B68" s="48"/>
      <c r="C68" s="49"/>
      <c r="D68" s="49"/>
      <c r="E68" s="49"/>
      <c r="F68" s="49"/>
      <c r="G68" s="49">
        <f t="shared" si="2"/>
        <v>0</v>
      </c>
    </row>
    <row r="69" spans="2:7" ht="15" x14ac:dyDescent="0.2">
      <c r="B69" s="48"/>
      <c r="C69" s="49"/>
      <c r="D69" s="49"/>
      <c r="E69" s="49"/>
      <c r="F69" s="49"/>
      <c r="G69" s="49">
        <f t="shared" si="2"/>
        <v>0</v>
      </c>
    </row>
    <row r="70" spans="2:7" ht="15" x14ac:dyDescent="0.2">
      <c r="B70" s="48"/>
      <c r="C70" s="49"/>
      <c r="D70" s="49"/>
      <c r="E70" s="49"/>
      <c r="F70" s="49"/>
      <c r="G70" s="49">
        <f t="shared" si="2"/>
        <v>0</v>
      </c>
    </row>
    <row r="71" spans="2:7" ht="15" x14ac:dyDescent="0.2">
      <c r="B71" s="48"/>
      <c r="C71" s="49"/>
      <c r="D71" s="49"/>
      <c r="E71" s="49"/>
      <c r="F71" s="49"/>
      <c r="G71" s="49">
        <f t="shared" si="2"/>
        <v>0</v>
      </c>
    </row>
    <row r="72" spans="2:7" ht="15" x14ac:dyDescent="0.2">
      <c r="B72" s="48"/>
      <c r="C72" s="49"/>
      <c r="D72" s="49"/>
      <c r="E72" s="49"/>
      <c r="F72" s="49"/>
      <c r="G72" s="49">
        <f t="shared" si="2"/>
        <v>0</v>
      </c>
    </row>
    <row r="73" spans="2:7" ht="15" x14ac:dyDescent="0.2">
      <c r="B73" s="48"/>
      <c r="C73" s="49"/>
      <c r="D73" s="49"/>
      <c r="E73" s="49"/>
      <c r="F73" s="49"/>
      <c r="G73" s="49">
        <f t="shared" si="2"/>
        <v>0</v>
      </c>
    </row>
    <row r="74" spans="2:7" ht="15" x14ac:dyDescent="0.2">
      <c r="B74" s="48"/>
      <c r="C74" s="49"/>
      <c r="D74" s="49"/>
      <c r="E74" s="49"/>
      <c r="F74" s="49"/>
      <c r="G74" s="49">
        <f t="shared" si="2"/>
        <v>0</v>
      </c>
    </row>
    <row r="75" spans="2:7" ht="15" x14ac:dyDescent="0.2">
      <c r="B75" s="48"/>
      <c r="C75" s="49"/>
      <c r="D75" s="49"/>
      <c r="E75" s="49"/>
      <c r="F75" s="49"/>
      <c r="G75" s="49">
        <f t="shared" si="2"/>
        <v>0</v>
      </c>
    </row>
    <row r="76" spans="2:7" ht="15" x14ac:dyDescent="0.2">
      <c r="B76" s="48"/>
      <c r="C76" s="49"/>
      <c r="D76" s="49"/>
      <c r="E76" s="49"/>
      <c r="F76" s="49"/>
      <c r="G76" s="49">
        <f t="shared" si="2"/>
        <v>0</v>
      </c>
    </row>
  </sheetData>
  <mergeCells count="2">
    <mergeCell ref="C9:G9"/>
    <mergeCell ref="B9:B10"/>
  </mergeCells>
  <conditionalFormatting sqref="C11:F76">
    <cfRule type="containsText" dxfId="26" priority="10" stopIfTrue="1" operator="containsText" text="FOLGA">
      <formula>NOT(ISERROR(SEARCH("FOLGA",C11)))</formula>
    </cfRule>
    <cfRule type="containsText" dxfId="25" priority="11" stopIfTrue="1" operator="containsText" text="FALTA">
      <formula>NOT(ISERROR(SEARCH("FALTA",C11)))</formula>
    </cfRule>
    <cfRule type="containsText" dxfId="24" priority="12" stopIfTrue="1" operator="containsText" text="ATESTADO">
      <formula>NOT(ISERROR(SEARCH("ATESTADO",C11)))</formula>
    </cfRule>
  </conditionalFormatting>
  <conditionalFormatting sqref="G11:G76">
    <cfRule type="containsText" dxfId="23" priority="7" stopIfTrue="1" operator="containsText" text="FOLGA">
      <formula>NOT(ISERROR(SEARCH("FOLGA",G11)))</formula>
    </cfRule>
    <cfRule type="containsText" dxfId="22" priority="8" stopIfTrue="1" operator="containsText" text="FALTA">
      <formula>NOT(ISERROR(SEARCH("FALTA",G11)))</formula>
    </cfRule>
    <cfRule type="containsText" dxfId="21" priority="9" stopIfTrue="1" operator="containsText" text="ATESTADO">
      <formula>NOT(ISERROR(SEARCH("ATESTADO",G11)))</formula>
    </cfRule>
  </conditionalFormatting>
  <pageMargins left="0.511811024" right="0.511811024" top="0.78740157499999996" bottom="0.78740157499999996" header="0.31496062000000002" footer="0.31496062000000002"/>
  <pageSetup paperSize="9" scale="6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7"/>
  <sheetViews>
    <sheetView showGridLines="0" topLeftCell="C4" workbookViewId="0">
      <selection activeCell="M16" sqref="L16:M16"/>
    </sheetView>
  </sheetViews>
  <sheetFormatPr defaultColWidth="0" defaultRowHeight="12.75" zeroHeight="1" x14ac:dyDescent="0.2"/>
  <cols>
    <col min="1" max="1" width="2" customWidth="1"/>
    <col min="2" max="21" width="9.140625" customWidth="1"/>
    <col min="22" max="16384" width="9.140625" hidden="1"/>
  </cols>
  <sheetData>
    <row r="1" spans="3:19" x14ac:dyDescent="0.2"/>
    <row r="2" spans="3:19" x14ac:dyDescent="0.2"/>
    <row r="3" spans="3:19" ht="12.75" customHeight="1" x14ac:dyDescent="0.2">
      <c r="E3" s="74" t="s">
        <v>21</v>
      </c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</row>
    <row r="4" spans="3:19" ht="12.75" customHeight="1" x14ac:dyDescent="0.2"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</row>
    <row r="5" spans="3:19" ht="12.75" customHeight="1" x14ac:dyDescent="0.2"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</row>
    <row r="6" spans="3:19" ht="13.5" customHeight="1" x14ac:dyDescent="0.2"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x14ac:dyDescent="0.2"/>
    <row r="8" spans="3:19" x14ac:dyDescent="0.2">
      <c r="C8" s="78">
        <v>44409</v>
      </c>
      <c r="D8" s="79"/>
      <c r="E8" s="41">
        <f>C8</f>
        <v>44409</v>
      </c>
      <c r="F8" s="41">
        <f t="shared" ref="F8:S8" si="0">E8+1</f>
        <v>44410</v>
      </c>
      <c r="G8" s="41">
        <f t="shared" si="0"/>
        <v>44411</v>
      </c>
      <c r="H8" s="41">
        <f t="shared" si="0"/>
        <v>44412</v>
      </c>
      <c r="I8" s="41">
        <f t="shared" si="0"/>
        <v>44413</v>
      </c>
      <c r="J8" s="41">
        <f t="shared" si="0"/>
        <v>44414</v>
      </c>
      <c r="K8" s="41">
        <f t="shared" si="0"/>
        <v>44415</v>
      </c>
      <c r="L8" s="41">
        <f t="shared" si="0"/>
        <v>44416</v>
      </c>
      <c r="M8" s="41">
        <f t="shared" si="0"/>
        <v>44417</v>
      </c>
      <c r="N8" s="41">
        <f t="shared" si="0"/>
        <v>44418</v>
      </c>
      <c r="O8" s="41">
        <f t="shared" si="0"/>
        <v>44419</v>
      </c>
      <c r="P8" s="41">
        <f t="shared" si="0"/>
        <v>44420</v>
      </c>
      <c r="Q8" s="41">
        <f t="shared" si="0"/>
        <v>44421</v>
      </c>
      <c r="R8" s="41">
        <f t="shared" si="0"/>
        <v>44422</v>
      </c>
      <c r="S8" s="41">
        <f t="shared" si="0"/>
        <v>44423</v>
      </c>
    </row>
    <row r="9" spans="3:19" x14ac:dyDescent="0.2">
      <c r="C9" s="78"/>
      <c r="D9" s="79"/>
      <c r="E9" s="57" t="str">
        <f t="shared" ref="E9:S9" si="1">TEXT(E8,"ddd")</f>
        <v>dom</v>
      </c>
      <c r="F9" s="57" t="str">
        <f t="shared" si="1"/>
        <v>seg</v>
      </c>
      <c r="G9" s="57" t="str">
        <f t="shared" si="1"/>
        <v>ter</v>
      </c>
      <c r="H9" s="57" t="str">
        <f t="shared" si="1"/>
        <v>qua</v>
      </c>
      <c r="I9" s="57" t="str">
        <f t="shared" si="1"/>
        <v>qui</v>
      </c>
      <c r="J9" s="57" t="str">
        <f t="shared" si="1"/>
        <v>sex</v>
      </c>
      <c r="K9" s="57" t="str">
        <f t="shared" si="1"/>
        <v>sáb</v>
      </c>
      <c r="L9" s="57" t="str">
        <f t="shared" si="1"/>
        <v>dom</v>
      </c>
      <c r="M9" s="57" t="str">
        <f t="shared" si="1"/>
        <v>seg</v>
      </c>
      <c r="N9" s="57" t="str">
        <f t="shared" si="1"/>
        <v>ter</v>
      </c>
      <c r="O9" s="57" t="str">
        <f t="shared" si="1"/>
        <v>qua</v>
      </c>
      <c r="P9" s="57" t="str">
        <f t="shared" si="1"/>
        <v>qui</v>
      </c>
      <c r="Q9" s="57" t="str">
        <f t="shared" si="1"/>
        <v>sex</v>
      </c>
      <c r="R9" s="57" t="str">
        <f t="shared" si="1"/>
        <v>sáb</v>
      </c>
      <c r="S9" s="57" t="str">
        <f t="shared" si="1"/>
        <v>dom</v>
      </c>
    </row>
    <row r="10" spans="3:19" ht="18" x14ac:dyDescent="0.2">
      <c r="C10" s="80" t="s">
        <v>27</v>
      </c>
      <c r="D10" s="80"/>
      <c r="E10" s="80"/>
      <c r="F10" s="80"/>
      <c r="G10" s="80"/>
      <c r="H10" s="80"/>
      <c r="I10" s="80"/>
      <c r="J10" s="49">
        <f>VLOOKUP($C$10,'CADASTRO FUNCIONARIO'!$B:$G,2,0)</f>
        <v>0.3125</v>
      </c>
      <c r="K10" s="49">
        <f>VLOOKUP($C$10,'CADASTRO FUNCIONARIO'!$B:$G,3,0)</f>
        <v>0.4916666666666667</v>
      </c>
      <c r="L10" s="49">
        <f>VLOOKUP($C$10,'CADASTRO FUNCIONARIO'!$B:$G,4,0)</f>
        <v>0.54166666666666663</v>
      </c>
      <c r="M10" s="49">
        <f>VLOOKUP($C$10,'CADASTRO FUNCIONARIO'!$B:$G,5,0)</f>
        <v>0.72916666666666663</v>
      </c>
      <c r="N10" s="60"/>
      <c r="O10" s="60"/>
      <c r="P10" s="60"/>
      <c r="Q10" s="60"/>
      <c r="R10" s="60"/>
      <c r="S10" s="60"/>
    </row>
    <row r="11" spans="3:19" ht="25.5" customHeight="1" x14ac:dyDescent="0.2">
      <c r="C11" s="83"/>
      <c r="D11" s="83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</row>
    <row r="12" spans="3:19" ht="25.5" customHeight="1" x14ac:dyDescent="0.2">
      <c r="C12" s="81"/>
      <c r="D12" s="81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</row>
    <row r="13" spans="3:19" ht="25.5" customHeight="1" x14ac:dyDescent="0.2">
      <c r="C13" s="81"/>
      <c r="D13" s="81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</row>
    <row r="14" spans="3:19" ht="25.5" customHeight="1" x14ac:dyDescent="0.2">
      <c r="C14" s="81"/>
      <c r="D14" s="81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</row>
    <row r="15" spans="3:19" ht="25.5" customHeight="1" x14ac:dyDescent="0.2">
      <c r="C15" s="81"/>
      <c r="D15" s="81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</row>
    <row r="16" spans="3:19" ht="26.25" customHeight="1" x14ac:dyDescent="0.2">
      <c r="C16" s="82"/>
      <c r="D16" s="82"/>
    </row>
    <row r="17" spans="3:20" x14ac:dyDescent="0.2"/>
    <row r="18" spans="3:20" x14ac:dyDescent="0.2">
      <c r="C18" s="78">
        <f>+C8</f>
        <v>44409</v>
      </c>
      <c r="D18" s="79"/>
      <c r="E18" s="41">
        <f>S8+1</f>
        <v>44424</v>
      </c>
      <c r="F18" s="41">
        <f t="shared" ref="F18:T18" si="2">E18+1</f>
        <v>44425</v>
      </c>
      <c r="G18" s="41">
        <f t="shared" si="2"/>
        <v>44426</v>
      </c>
      <c r="H18" s="41">
        <f t="shared" si="2"/>
        <v>44427</v>
      </c>
      <c r="I18" s="41">
        <f t="shared" si="2"/>
        <v>44428</v>
      </c>
      <c r="J18" s="41">
        <f t="shared" si="2"/>
        <v>44429</v>
      </c>
      <c r="K18" s="41">
        <f t="shared" si="2"/>
        <v>44430</v>
      </c>
      <c r="L18" s="41">
        <f t="shared" si="2"/>
        <v>44431</v>
      </c>
      <c r="M18" s="41">
        <f t="shared" si="2"/>
        <v>44432</v>
      </c>
      <c r="N18" s="41">
        <f t="shared" si="2"/>
        <v>44433</v>
      </c>
      <c r="O18" s="41">
        <f t="shared" si="2"/>
        <v>44434</v>
      </c>
      <c r="P18" s="41">
        <f t="shared" si="2"/>
        <v>44435</v>
      </c>
      <c r="Q18" s="41">
        <f t="shared" si="2"/>
        <v>44436</v>
      </c>
      <c r="R18" s="41">
        <f t="shared" si="2"/>
        <v>44437</v>
      </c>
      <c r="S18" s="41">
        <f t="shared" si="2"/>
        <v>44438</v>
      </c>
      <c r="T18" s="41">
        <f t="shared" si="2"/>
        <v>44439</v>
      </c>
    </row>
    <row r="19" spans="3:20" x14ac:dyDescent="0.2">
      <c r="C19" s="78"/>
      <c r="D19" s="79"/>
      <c r="E19" s="42" t="str">
        <f t="shared" ref="E19:T19" si="3">TEXT(E18,"ddd")</f>
        <v>seg</v>
      </c>
      <c r="F19" s="42" t="str">
        <f t="shared" si="3"/>
        <v>ter</v>
      </c>
      <c r="G19" s="42" t="str">
        <f t="shared" si="3"/>
        <v>qua</v>
      </c>
      <c r="H19" s="42" t="str">
        <f t="shared" si="3"/>
        <v>qui</v>
      </c>
      <c r="I19" s="42" t="str">
        <f t="shared" si="3"/>
        <v>sex</v>
      </c>
      <c r="J19" s="42" t="str">
        <f t="shared" si="3"/>
        <v>sáb</v>
      </c>
      <c r="K19" s="42" t="str">
        <f t="shared" si="3"/>
        <v>dom</v>
      </c>
      <c r="L19" s="42" t="str">
        <f t="shared" si="3"/>
        <v>seg</v>
      </c>
      <c r="M19" s="42" t="str">
        <f t="shared" si="3"/>
        <v>ter</v>
      </c>
      <c r="N19" s="42" t="str">
        <f t="shared" si="3"/>
        <v>qua</v>
      </c>
      <c r="O19" s="42" t="str">
        <f t="shared" si="3"/>
        <v>qui</v>
      </c>
      <c r="P19" s="42" t="str">
        <f t="shared" si="3"/>
        <v>sex</v>
      </c>
      <c r="Q19" s="42" t="str">
        <f t="shared" si="3"/>
        <v>sáb</v>
      </c>
      <c r="R19" s="42" t="str">
        <f t="shared" si="3"/>
        <v>dom</v>
      </c>
      <c r="S19" s="42" t="str">
        <f t="shared" si="3"/>
        <v>seg</v>
      </c>
      <c r="T19" s="42" t="str">
        <f t="shared" si="3"/>
        <v>ter</v>
      </c>
    </row>
    <row r="20" spans="3:20" ht="18" x14ac:dyDescent="0.2">
      <c r="C20" s="80" t="str">
        <f>+C10</f>
        <v>DENILSON LORENÇO RIBEIRO</v>
      </c>
      <c r="D20" s="80"/>
      <c r="E20" s="80"/>
      <c r="F20" s="80"/>
      <c r="G20" s="80"/>
      <c r="H20" s="80"/>
      <c r="I20" s="80"/>
      <c r="J20" s="49">
        <f>+J10</f>
        <v>0.3125</v>
      </c>
      <c r="K20" s="49">
        <f t="shared" ref="K20:M20" si="4">+K10</f>
        <v>0.4916666666666667</v>
      </c>
      <c r="L20" s="49">
        <f t="shared" si="4"/>
        <v>0.54166666666666663</v>
      </c>
      <c r="M20" s="49">
        <f t="shared" si="4"/>
        <v>0.72916666666666663</v>
      </c>
      <c r="N20" s="61"/>
      <c r="O20" s="61"/>
      <c r="P20" s="61"/>
      <c r="Q20" s="60"/>
      <c r="R20" s="60"/>
      <c r="S20" s="60"/>
      <c r="T20" s="50"/>
    </row>
    <row r="21" spans="3:20" ht="25.5" customHeight="1" x14ac:dyDescent="0.2">
      <c r="C21" s="81"/>
      <c r="D21" s="81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</row>
    <row r="22" spans="3:20" ht="25.5" customHeight="1" x14ac:dyDescent="0.2">
      <c r="C22" s="81"/>
      <c r="D22" s="81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</row>
    <row r="23" spans="3:20" ht="25.5" customHeight="1" x14ac:dyDescent="0.2">
      <c r="C23" s="81"/>
      <c r="D23" s="81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</row>
    <row r="24" spans="3:20" ht="25.5" customHeight="1" x14ac:dyDescent="0.2">
      <c r="C24" s="81"/>
      <c r="D24" s="81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</row>
    <row r="25" spans="3:20" ht="25.5" customHeight="1" x14ac:dyDescent="0.2">
      <c r="C25" s="81"/>
      <c r="D25" s="81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</row>
    <row r="26" spans="3:20" x14ac:dyDescent="0.2"/>
    <row r="27" spans="3:20" x14ac:dyDescent="0.2"/>
  </sheetData>
  <mergeCells count="16">
    <mergeCell ref="C23:D23"/>
    <mergeCell ref="C24:D24"/>
    <mergeCell ref="C25:D25"/>
    <mergeCell ref="E3:S6"/>
    <mergeCell ref="C16:D16"/>
    <mergeCell ref="C11:D11"/>
    <mergeCell ref="C12:D12"/>
    <mergeCell ref="C13:D13"/>
    <mergeCell ref="C14:D14"/>
    <mergeCell ref="C15:D15"/>
    <mergeCell ref="C8:D9"/>
    <mergeCell ref="C18:D19"/>
    <mergeCell ref="C10:I10"/>
    <mergeCell ref="C20:I20"/>
    <mergeCell ref="C21:D21"/>
    <mergeCell ref="C22:D22"/>
  </mergeCells>
  <conditionalFormatting sqref="E8:S9 E18:T19 J10:S10">
    <cfRule type="containsText" dxfId="20" priority="19" stopIfTrue="1" operator="containsText" text="FOLGA">
      <formula>NOT(ISERROR(SEARCH("FOLGA",E8)))</formula>
    </cfRule>
    <cfRule type="containsText" dxfId="19" priority="20" stopIfTrue="1" operator="containsText" text="FALTA">
      <formula>NOT(ISERROR(SEARCH("FALTA",E8)))</formula>
    </cfRule>
    <cfRule type="containsText" dxfId="18" priority="21" stopIfTrue="1" operator="containsText" text="ATESTADO">
      <formula>NOT(ISERROR(SEARCH("ATESTADO",E8)))</formula>
    </cfRule>
  </conditionalFormatting>
  <conditionalFormatting sqref="E9:S9 E19:T19 J10:S10">
    <cfRule type="cellIs" dxfId="17" priority="17" operator="equal">
      <formula>"dom"</formula>
    </cfRule>
    <cfRule type="cellIs" dxfId="16" priority="18" operator="equal">
      <formula>"sáb"</formula>
    </cfRule>
  </conditionalFormatting>
  <conditionalFormatting sqref="Q20:S20">
    <cfRule type="containsText" dxfId="15" priority="14" stopIfTrue="1" operator="containsText" text="FOLGA">
      <formula>NOT(ISERROR(SEARCH("FOLGA",Q20)))</formula>
    </cfRule>
    <cfRule type="containsText" dxfId="14" priority="15" stopIfTrue="1" operator="containsText" text="FALTA">
      <formula>NOT(ISERROR(SEARCH("FALTA",Q20)))</formula>
    </cfRule>
    <cfRule type="containsText" dxfId="13" priority="16" stopIfTrue="1" operator="containsText" text="ATESTADO">
      <formula>NOT(ISERROR(SEARCH("ATESTADO",Q20)))</formula>
    </cfRule>
  </conditionalFormatting>
  <conditionalFormatting sqref="Q20:S20">
    <cfRule type="cellIs" dxfId="12" priority="12" operator="equal">
      <formula>"dom"</formula>
    </cfRule>
    <cfRule type="cellIs" dxfId="11" priority="13" operator="equal">
      <formula>"sáb"</formula>
    </cfRule>
  </conditionalFormatting>
  <conditionalFormatting sqref="J10:M10">
    <cfRule type="containsText" dxfId="10" priority="9" stopIfTrue="1" operator="containsText" text="FOLGA">
      <formula>NOT(ISERROR(SEARCH("FOLGA",J10)))</formula>
    </cfRule>
    <cfRule type="containsText" dxfId="9" priority="10" stopIfTrue="1" operator="containsText" text="FALTA">
      <formula>NOT(ISERROR(SEARCH("FALTA",J10)))</formula>
    </cfRule>
    <cfRule type="containsText" dxfId="8" priority="11" stopIfTrue="1" operator="containsText" text="ATESTADO">
      <formula>NOT(ISERROR(SEARCH("ATESTADO",J10)))</formula>
    </cfRule>
  </conditionalFormatting>
  <conditionalFormatting sqref="J20:M20">
    <cfRule type="containsText" dxfId="7" priority="6" stopIfTrue="1" operator="containsText" text="FOLGA">
      <formula>NOT(ISERROR(SEARCH("FOLGA",J20)))</formula>
    </cfRule>
    <cfRule type="containsText" dxfId="6" priority="7" stopIfTrue="1" operator="containsText" text="FALTA">
      <formula>NOT(ISERROR(SEARCH("FALTA",J20)))</formula>
    </cfRule>
    <cfRule type="containsText" dxfId="5" priority="8" stopIfTrue="1" operator="containsText" text="ATESTADO">
      <formula>NOT(ISERROR(SEARCH("ATESTADO",J20)))</formula>
    </cfRule>
  </conditionalFormatting>
  <conditionalFormatting sqref="J20:M20">
    <cfRule type="cellIs" dxfId="4" priority="4" operator="equal">
      <formula>"dom"</formula>
    </cfRule>
    <cfRule type="cellIs" dxfId="3" priority="5" operator="equal">
      <formula>"sáb"</formula>
    </cfRule>
  </conditionalFormatting>
  <conditionalFormatting sqref="J20:M20">
    <cfRule type="containsText" dxfId="2" priority="1" stopIfTrue="1" operator="containsText" text="FOLGA">
      <formula>NOT(ISERROR(SEARCH("FOLGA",J20)))</formula>
    </cfRule>
    <cfRule type="containsText" dxfId="1" priority="2" stopIfTrue="1" operator="containsText" text="FALTA">
      <formula>NOT(ISERROR(SEARCH("FALTA",J20)))</formula>
    </cfRule>
    <cfRule type="containsText" dxfId="0" priority="3" stopIfTrue="1" operator="containsText" text="ATESTADO">
      <formula>NOT(ISERROR(SEARCH("ATESTADO",J20)))</formula>
    </cfRule>
  </conditionalFormatting>
  <pageMargins left="0.1" right="0.1" top="0.31" bottom="0.28000000000000003" header="0.31496062000000002" footer="0.31496062000000002"/>
  <pageSetup paperSize="9" scale="85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E5EA37C-7282-4BF7-B751-BC50DA50A732}">
          <x14:formula1>
            <xm:f>'CADASTRO FUNCIONARIO'!$B$12:$B$76</xm:f>
          </x14:formula1>
          <xm:sqref>C10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EDUARDO</vt:lpstr>
      <vt:lpstr>MODELO</vt:lpstr>
      <vt:lpstr>CADASTRO FUNCIONARIO</vt:lpstr>
      <vt:lpstr>ESCALA DE TRABALHO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DEJAIR BERNANDO DA SILVA</dc:creator>
  <cp:lastModifiedBy>DIONES FERREIRA</cp:lastModifiedBy>
  <cp:lastPrinted>2021-08-05T03:28:40Z</cp:lastPrinted>
  <dcterms:created xsi:type="dcterms:W3CDTF">2018-06-13T12:53:00Z</dcterms:created>
  <dcterms:modified xsi:type="dcterms:W3CDTF">2021-08-05T03:53:18Z</dcterms:modified>
</cp:coreProperties>
</file>