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 activeTab="2"/>
  </bookViews>
  <sheets>
    <sheet name="PATRIMÔNIO" sheetId="1" r:id="rId1"/>
    <sheet name="DESPESAS" sheetId="3" r:id="rId2"/>
    <sheet name="DETALHAMENTO" sheetId="2" r:id="rId3"/>
    <sheet name="BP" sheetId="4" r:id="rId4"/>
    <sheet name="DRE" sheetId="6" r:id="rId5"/>
  </sheets>
  <calcPr calcId="124519"/>
</workbook>
</file>

<file path=xl/calcChain.xml><?xml version="1.0" encoding="utf-8"?>
<calcChain xmlns="http://schemas.openxmlformats.org/spreadsheetml/2006/main">
  <c r="D19" i="4"/>
  <c r="D12" i="6"/>
  <c r="A101" i="1"/>
  <c r="A102" s="1"/>
  <c r="B101"/>
  <c r="A58" i="3"/>
  <c r="B58"/>
  <c r="N21" i="2"/>
  <c r="A74" i="1"/>
  <c r="B74"/>
  <c r="B75" s="1"/>
  <c r="A88"/>
  <c r="B88"/>
  <c r="B89" s="1"/>
  <c r="G73"/>
  <c r="H73"/>
  <c r="H74" s="1"/>
  <c r="D9" i="6"/>
  <c r="D29" i="4"/>
  <c r="B19"/>
  <c r="B29"/>
  <c r="D31" l="1"/>
  <c r="B31"/>
  <c r="D36" i="6"/>
  <c r="B59" i="3"/>
  <c r="E59" i="1"/>
  <c r="A34" i="3"/>
  <c r="E102" i="1"/>
  <c r="E73"/>
  <c r="E74" s="1"/>
  <c r="G59"/>
  <c r="H59"/>
  <c r="H60" s="1"/>
  <c r="D31"/>
  <c r="N18" i="2"/>
  <c r="N13"/>
  <c r="N20"/>
  <c r="N26" l="1"/>
  <c r="N12" s="1"/>
  <c r="M8"/>
  <c r="L8"/>
  <c r="K8"/>
  <c r="J8"/>
  <c r="I8"/>
  <c r="H8"/>
  <c r="G8"/>
  <c r="G24" s="1"/>
  <c r="H24"/>
  <c r="I24"/>
  <c r="J24"/>
  <c r="K24"/>
  <c r="L24"/>
  <c r="M24"/>
  <c r="F8"/>
  <c r="F24" s="1"/>
  <c r="E8"/>
  <c r="E24" s="1"/>
  <c r="D8"/>
  <c r="D24" s="1"/>
  <c r="C8"/>
  <c r="C24" s="1"/>
  <c r="N4"/>
  <c r="N5"/>
  <c r="N6"/>
  <c r="N7"/>
  <c r="N9"/>
  <c r="N10"/>
  <c r="N11"/>
  <c r="N17"/>
  <c r="N19"/>
  <c r="N3"/>
  <c r="B8" l="1"/>
  <c r="B24" l="1"/>
  <c r="N8"/>
  <c r="N24" s="1"/>
  <c r="N28" s="1"/>
  <c r="B31" i="1"/>
  <c r="B32" s="1"/>
  <c r="E31"/>
  <c r="D32" s="1"/>
</calcChain>
</file>

<file path=xl/sharedStrings.xml><?xml version="1.0" encoding="utf-8"?>
<sst xmlns="http://schemas.openxmlformats.org/spreadsheetml/2006/main" count="157" uniqueCount="124">
  <si>
    <t>Caixa</t>
  </si>
  <si>
    <t>Receitas</t>
  </si>
  <si>
    <t>Móveis e Utensílios</t>
  </si>
  <si>
    <t>Equipamentos de Computação</t>
  </si>
  <si>
    <t>Equipamentos de Escritório</t>
  </si>
  <si>
    <t>Ferramentas</t>
  </si>
  <si>
    <t>Máquinas e Equipamentos</t>
  </si>
  <si>
    <t>Depreciação Acumulada</t>
  </si>
  <si>
    <t>Salários à Pagar</t>
  </si>
  <si>
    <t>Encargos Sociais a Recolher</t>
  </si>
  <si>
    <t>Pro Labore à Pagar</t>
  </si>
  <si>
    <t>Provisão IRPJ</t>
  </si>
  <si>
    <t>Provisão CSLL</t>
  </si>
  <si>
    <t>Capital Social</t>
  </si>
  <si>
    <t>Reserva de Lucros</t>
  </si>
  <si>
    <t>Lucros / Prejuízos Acumulados</t>
  </si>
  <si>
    <t>SALÁRIOS</t>
  </si>
  <si>
    <t>FGTS</t>
  </si>
  <si>
    <t>INSS</t>
  </si>
  <si>
    <t>VT</t>
  </si>
  <si>
    <t>SEGUROS</t>
  </si>
  <si>
    <t>IRRF</t>
  </si>
  <si>
    <t>PRO-LABORE</t>
  </si>
  <si>
    <t>ENERGIA ELÉTRICA</t>
  </si>
  <si>
    <t>ÁGUA E ESGOTO</t>
  </si>
  <si>
    <t>TELEFONE E INTERNET</t>
  </si>
  <si>
    <t>LOCAÇÃO DE VEÍCULO</t>
  </si>
  <si>
    <t>COMBUSTÍVEIS</t>
  </si>
  <si>
    <t>DESPESAS DIVERSAS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</si>
  <si>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</si>
  <si>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</si>
  <si>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</si>
  <si>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</si>
  <si>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</si>
  <si>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</si>
  <si>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</si>
  <si>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</si>
  <si>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</si>
  <si>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</si>
  <si>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</si>
  <si>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</si>
  <si>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</si>
  <si>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RESCISÕES TRABALHISTAS</t>
  </si>
  <si>
    <t>ALUGUÉIS PAGOS</t>
  </si>
  <si>
    <t>FATURAMENTO</t>
  </si>
  <si>
    <t>IMPOSTOS E TRIBUTOS</t>
  </si>
  <si>
    <t xml:space="preserve">FÉRIAS + 1/3 </t>
  </si>
  <si>
    <t>DESPESAS DEPRECIAÇÃO</t>
  </si>
  <si>
    <t>CONTABILIDADE</t>
  </si>
  <si>
    <t>MATERIAL LIMPEZA/ESCRIT</t>
  </si>
  <si>
    <t>VALE TRANSPORTE</t>
  </si>
  <si>
    <t>RECISÕES</t>
  </si>
  <si>
    <t>FÉRIAS</t>
  </si>
  <si>
    <t>MATERIAIS DIVERSOS</t>
  </si>
  <si>
    <t>TELEFONE / INTERNET</t>
  </si>
  <si>
    <t>ALUGUÉIS PASSIVOS</t>
  </si>
  <si>
    <t>LOCAÇÃO VEÍCULOS</t>
  </si>
  <si>
    <t>DESPESAS COM DEPRECIAÇÃO</t>
  </si>
  <si>
    <t>Impostos Federais à Recolher</t>
  </si>
  <si>
    <t>ATIVO</t>
  </si>
  <si>
    <t>PASSIVO</t>
  </si>
  <si>
    <t>ATIVO CIRCULANTE</t>
  </si>
  <si>
    <t>Disponível</t>
  </si>
  <si>
    <t>Caixa / Bancos</t>
  </si>
  <si>
    <t>TOTAL CIRCULANTE</t>
  </si>
  <si>
    <t>ATIVO PERMANENTE</t>
  </si>
  <si>
    <t>(-) Depreciação Acumulada</t>
  </si>
  <si>
    <t xml:space="preserve">TOTAL PERMANENTE </t>
  </si>
  <si>
    <t>Balanço Patrimonial</t>
  </si>
  <si>
    <t>Encerrado em 31/12/2017</t>
  </si>
  <si>
    <t>MASSADA SEGURANÇA LTDA</t>
  </si>
  <si>
    <t>CNPJ: 09.286.219/0001-73</t>
  </si>
  <si>
    <t>PASSIVO CIRCULANTE</t>
  </si>
  <si>
    <t>Salários a pagar</t>
  </si>
  <si>
    <t>Encargos sociais a recolher</t>
  </si>
  <si>
    <t>Impostos a recolher</t>
  </si>
  <si>
    <t>Pró-Labore a pagar</t>
  </si>
  <si>
    <t>Provisão para IRPJ</t>
  </si>
  <si>
    <t>Provisão para CSLL</t>
  </si>
  <si>
    <t>TOTAL DO ATIVO</t>
  </si>
  <si>
    <t>TOTAL DO PASSIVO</t>
  </si>
  <si>
    <t>PATRIMÔNIO LÍQUIDO</t>
  </si>
  <si>
    <t>Bens / Numerários</t>
  </si>
  <si>
    <t>____________________________</t>
  </si>
  <si>
    <t>Marco Antonio Alves Pascuzze</t>
  </si>
  <si>
    <t>Técnico Contábil</t>
  </si>
  <si>
    <t>CRC 1SP 263601/O-5</t>
  </si>
  <si>
    <t>Marlene Milane Bento</t>
  </si>
  <si>
    <t>Sócia - Proprietária</t>
  </si>
  <si>
    <t>CPF: 018.282.108-03</t>
  </si>
  <si>
    <t>Demonstração do Resultado do Exercício</t>
  </si>
  <si>
    <t>Período: 01/01/2017 à 31/12/2017</t>
  </si>
  <si>
    <t>RECEITA BRUTA DE SERVIÇOS</t>
  </si>
  <si>
    <t>(=) TOTAL DE RECEITAS</t>
  </si>
  <si>
    <t>DESPESAS OPERACIONAIS</t>
  </si>
  <si>
    <t>(=) TOTAL DE DESPESAS</t>
  </si>
  <si>
    <t>Salários</t>
  </si>
  <si>
    <t>F.G.T.S</t>
  </si>
  <si>
    <t>I.N.S.S.</t>
  </si>
  <si>
    <t>Vale Transporte</t>
  </si>
  <si>
    <t>Rescisões Trabalhistas</t>
  </si>
  <si>
    <t>Férias + 1/3 Constitucional</t>
  </si>
  <si>
    <t>Impostos e Tributos</t>
  </si>
  <si>
    <t>Seguros</t>
  </si>
  <si>
    <t>I.R.R.F.</t>
  </si>
  <si>
    <t>Pró-Labore</t>
  </si>
  <si>
    <t>Materiais Diversos</t>
  </si>
  <si>
    <t>Energia Elétrica</t>
  </si>
  <si>
    <t>Água e Esgoto</t>
  </si>
  <si>
    <t>Telefone e Internet</t>
  </si>
  <si>
    <t>Locação de Veículo</t>
  </si>
  <si>
    <t>Aluguel Passivo</t>
  </si>
  <si>
    <t>Combustíveis</t>
  </si>
  <si>
    <t>Contabilidade</t>
  </si>
  <si>
    <t>Despesas com Depreciação</t>
  </si>
  <si>
    <t>Despesas Diversas</t>
  </si>
  <si>
    <t>_________________________</t>
  </si>
  <si>
    <t>HONORÁRIOS JURÍDICOS</t>
  </si>
  <si>
    <t>X</t>
  </si>
  <si>
    <t>A.R.E.</t>
  </si>
  <si>
    <t>RESULTADO LÍQUIDO DO EXERCÍCIO</t>
  </si>
  <si>
    <t>(=) Lucro do Exercício</t>
  </si>
  <si>
    <t>Honorários Jurídicos</t>
  </si>
  <si>
    <t>TOTAL PATRIMÔNIO LÍQUIDO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</si>
</sst>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8"/>
      <color rgb="FFFF0000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164" fontId="0" fillId="0" borderId="0" xfId="1" applyFont="1"/>
    <xf numFmtId="4" fontId="4" fillId="0" borderId="0" xfId="0" applyNumberFormat="1" applyFont="1"/>
    <xf numFmtId="164" fontId="5" fillId="0" borderId="0" xfId="1" applyFont="1"/>
    <xf numFmtId="164" fontId="5" fillId="0" borderId="2" xfId="1" applyFont="1" applyBorder="1"/>
    <xf numFmtId="164" fontId="5" fillId="0" borderId="3" xfId="1" applyFont="1" applyBorder="1"/>
    <xf numFmtId="164" fontId="5" fillId="0" borderId="0" xfId="1" applyFont="1" applyBorder="1"/>
    <xf numFmtId="164" fontId="6" fillId="0" borderId="2" xfId="1" applyFont="1" applyBorder="1"/>
    <xf numFmtId="164" fontId="6" fillId="0" borderId="0" xfId="1" applyFont="1"/>
    <xf numFmtId="164" fontId="0" fillId="0" borderId="4" xfId="1" applyFont="1" applyBorder="1"/>
    <xf numFmtId="164" fontId="7" fillId="0" borderId="4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164" fontId="8" fillId="0" borderId="4" xfId="1" applyFont="1" applyBorder="1"/>
    <xf numFmtId="164" fontId="8" fillId="0" borderId="0" xfId="1" applyFont="1"/>
    <xf numFmtId="164" fontId="9" fillId="0" borderId="0" xfId="1" applyFont="1"/>
    <xf numFmtId="164" fontId="10" fillId="0" borderId="0" xfId="1" applyFont="1"/>
    <xf numFmtId="164" fontId="9" fillId="0" borderId="2" xfId="1" applyFont="1" applyBorder="1"/>
    <xf numFmtId="4" fontId="9" fillId="0" borderId="0" xfId="0" applyNumberFormat="1" applyFont="1"/>
    <xf numFmtId="164" fontId="9" fillId="0" borderId="3" xfId="1" applyFont="1" applyBorder="1"/>
    <xf numFmtId="164" fontId="9" fillId="0" borderId="0" xfId="1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Border="1"/>
    <xf numFmtId="0" fontId="12" fillId="0" borderId="5" xfId="0" applyFont="1" applyBorder="1"/>
    <xf numFmtId="0" fontId="12" fillId="0" borderId="7" xfId="0" applyFont="1" applyBorder="1"/>
    <xf numFmtId="0" fontId="12" fillId="0" borderId="9" xfId="0" applyFont="1" applyBorder="1"/>
    <xf numFmtId="44" fontId="12" fillId="0" borderId="6" xfId="5" applyFont="1" applyBorder="1"/>
    <xf numFmtId="44" fontId="12" fillId="0" borderId="8" xfId="5" applyFont="1" applyBorder="1"/>
    <xf numFmtId="44" fontId="12" fillId="0" borderId="10" xfId="5" applyFont="1" applyBorder="1"/>
    <xf numFmtId="44" fontId="12" fillId="0" borderId="0" xfId="5" applyFont="1"/>
    <xf numFmtId="44" fontId="11" fillId="0" borderId="0" xfId="5" applyFont="1"/>
    <xf numFmtId="44" fontId="12" fillId="0" borderId="13" xfId="5" applyFont="1" applyBorder="1"/>
    <xf numFmtId="44" fontId="12" fillId="0" borderId="0" xfId="5" applyFont="1" applyBorder="1"/>
    <xf numFmtId="44" fontId="12" fillId="0" borderId="14" xfId="5" applyFont="1" applyBorder="1"/>
    <xf numFmtId="44" fontId="14" fillId="0" borderId="0" xfId="5" applyFont="1" applyBorder="1"/>
    <xf numFmtId="0" fontId="14" fillId="0" borderId="7" xfId="0" applyFont="1" applyBorder="1"/>
    <xf numFmtId="0" fontId="12" fillId="0" borderId="0" xfId="0" applyFont="1" applyAlignment="1">
      <alignment horizontal="center"/>
    </xf>
    <xf numFmtId="0" fontId="14" fillId="0" borderId="11" xfId="0" applyFont="1" applyBorder="1"/>
    <xf numFmtId="44" fontId="12" fillId="0" borderId="12" xfId="5" applyFont="1" applyBorder="1"/>
    <xf numFmtId="44" fontId="14" fillId="0" borderId="8" xfId="5" applyFont="1" applyBorder="1"/>
    <xf numFmtId="0" fontId="14" fillId="0" borderId="0" xfId="0" applyFont="1" applyBorder="1"/>
    <xf numFmtId="0" fontId="11" fillId="0" borderId="0" xfId="0" applyFont="1" applyAlignment="1">
      <alignment horizontal="right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1" fillId="0" borderId="13" xfId="0" applyFont="1" applyBorder="1" applyAlignment="1">
      <alignment horizontal="right"/>
    </xf>
    <xf numFmtId="44" fontId="12" fillId="0" borderId="7" xfId="5" applyFont="1" applyBorder="1"/>
    <xf numFmtId="44" fontId="13" fillId="0" borderId="7" xfId="5" applyFont="1" applyBorder="1"/>
    <xf numFmtId="44" fontId="12" fillId="0" borderId="9" xfId="5" applyFont="1" applyBorder="1"/>
    <xf numFmtId="0" fontId="12" fillId="0" borderId="14" xfId="0" applyFont="1" applyBorder="1" applyAlignment="1">
      <alignment horizontal="right"/>
    </xf>
    <xf numFmtId="44" fontId="11" fillId="0" borderId="5" xfId="5" applyFont="1" applyBorder="1"/>
    <xf numFmtId="0" fontId="11" fillId="0" borderId="0" xfId="0" applyFont="1" applyBorder="1" applyAlignment="1">
      <alignment horizontal="right"/>
    </xf>
    <xf numFmtId="164" fontId="17" fillId="0" borderId="0" xfId="1" applyFont="1"/>
    <xf numFmtId="164" fontId="17" fillId="0" borderId="0" xfId="1" applyFont="1" applyAlignment="1">
      <alignment horizontal="center"/>
    </xf>
    <xf numFmtId="164" fontId="18" fillId="0" borderId="0" xfId="1" applyFont="1"/>
    <xf numFmtId="164" fontId="18" fillId="0" borderId="0" xfId="1" applyFont="1" applyBorder="1"/>
    <xf numFmtId="164" fontId="17" fillId="0" borderId="0" xfId="1" applyFont="1" applyBorder="1"/>
    <xf numFmtId="164" fontId="5" fillId="0" borderId="1" xfId="1" applyFont="1" applyBorder="1" applyAlignment="1">
      <alignment horizontal="center"/>
    </xf>
    <xf numFmtId="164" fontId="9" fillId="0" borderId="1" xfId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8" fillId="0" borderId="2" xfId="1" applyFont="1" applyBorder="1"/>
  </cellXfs>
  <cellStyles count="6">
    <cellStyle name="Moeda" xfId="5" builtinId="4"/>
    <cellStyle name="Normal" xfId="0" builtinId="0"/>
    <cellStyle name="Normal 5" xfId="2"/>
    <cellStyle name="Separador de milhares" xfId="1" builtinId="3"/>
    <cellStyle name="Separador de milhares 2" xfId="3"/>
    <cellStyle name="Separador de milhares 6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90"/>
  <sheetViews>
    <sheetView topLeftCell="A76" workbookViewId="0">
      <selection activeCell="H74" sqref="H74"/>
    </sheetView>
  </sheetViews>
  <sheetFormatPr defaultRowHeight="15"/>
  <cols>
    <col min="1" max="2" width="17.7109375" style="1" customWidth="1"/>
    <col min="3" max="3" width="4" style="1" customWidth="1"/>
    <col min="4" max="5" width="17.7109375" style="1" customWidth="1"/>
    <col min="6" max="6" width="4.140625" style="1" customWidth="1"/>
    <col min="7" max="8" width="17.7109375" style="1" customWidth="1"/>
    <col min="9" max="16384" width="9.140625" style="1"/>
  </cols>
  <sheetData>
    <row r="2" spans="1:8" ht="15.75" thickBot="1">
      <c r="A2" s="57" t="s">
        <v>1</v>
      </c>
      <c r="B2" s="57"/>
      <c r="C2" s="3"/>
      <c r="D2" s="57" t="s">
        <v>0</v>
      </c>
      <c r="E2" s="57"/>
      <c r="F2" s="3"/>
      <c r="G2" s="57" t="s">
        <v>2</v>
      </c>
      <c r="H2" s="57"/>
    </row>
    <row r="3" spans="1:8">
      <c r="A3" s="4"/>
      <c r="B3" s="2">
        <v>59865.88</v>
      </c>
      <c r="C3" s="3"/>
      <c r="D3" s="7">
        <v>78123.320000000007</v>
      </c>
      <c r="E3" s="3">
        <v>346841</v>
      </c>
      <c r="F3" s="3"/>
      <c r="G3" s="7">
        <v>16508.96</v>
      </c>
      <c r="H3" s="3"/>
    </row>
    <row r="4" spans="1:8">
      <c r="A4" s="5"/>
      <c r="B4" s="2">
        <v>50853.64</v>
      </c>
      <c r="C4" s="3"/>
      <c r="D4" s="5">
        <v>687496.88</v>
      </c>
      <c r="E4" s="3">
        <v>36029</v>
      </c>
      <c r="F4" s="3"/>
      <c r="G4" s="5"/>
      <c r="H4" s="3"/>
    </row>
    <row r="5" spans="1:8">
      <c r="A5" s="5"/>
      <c r="B5" s="2">
        <v>41265.919999999998</v>
      </c>
      <c r="C5" s="3"/>
      <c r="D5" s="5">
        <v>26792</v>
      </c>
      <c r="E5" s="3">
        <v>21534.52</v>
      </c>
      <c r="F5" s="3"/>
      <c r="G5" s="5"/>
      <c r="H5" s="3"/>
    </row>
    <row r="6" spans="1:8">
      <c r="A6" s="5"/>
      <c r="B6" s="2">
        <v>44691.16</v>
      </c>
      <c r="C6" s="3"/>
      <c r="D6" s="5">
        <v>1542.8</v>
      </c>
      <c r="E6" s="3">
        <v>35293.85</v>
      </c>
      <c r="F6" s="3"/>
      <c r="G6" s="5"/>
      <c r="H6" s="3"/>
    </row>
    <row r="7" spans="1:8">
      <c r="A7" s="5"/>
      <c r="B7" s="2">
        <v>38805.800000000003</v>
      </c>
      <c r="C7" s="3"/>
      <c r="D7" s="5">
        <v>2590.91</v>
      </c>
      <c r="E7" s="3">
        <v>1862.03</v>
      </c>
      <c r="F7" s="3"/>
      <c r="G7" s="5"/>
      <c r="H7" s="3"/>
    </row>
    <row r="8" spans="1:8">
      <c r="A8" s="5"/>
      <c r="B8" s="2">
        <v>157841.4</v>
      </c>
      <c r="C8" s="3"/>
      <c r="D8" s="5">
        <v>2000</v>
      </c>
      <c r="E8" s="3">
        <v>37522.79</v>
      </c>
      <c r="F8" s="3"/>
      <c r="G8" s="5"/>
      <c r="H8" s="3"/>
    </row>
    <row r="9" spans="1:8">
      <c r="A9" s="5"/>
      <c r="B9" s="2">
        <v>31975.759999999998</v>
      </c>
      <c r="C9" s="3"/>
      <c r="D9" s="5">
        <v>8706.59</v>
      </c>
      <c r="E9" s="3">
        <v>24813.759999999998</v>
      </c>
      <c r="F9" s="3"/>
      <c r="G9" s="5"/>
      <c r="H9" s="3"/>
    </row>
    <row r="10" spans="1:8">
      <c r="A10" s="5"/>
      <c r="B10" s="2">
        <v>46133.88</v>
      </c>
      <c r="C10" s="3"/>
      <c r="D10" s="5">
        <v>5223.95</v>
      </c>
      <c r="E10" s="3">
        <v>43071.68</v>
      </c>
      <c r="F10" s="3"/>
      <c r="G10" s="5"/>
      <c r="H10" s="3"/>
    </row>
    <row r="11" spans="1:8">
      <c r="A11" s="5"/>
      <c r="B11" s="2">
        <v>34676.199999999997</v>
      </c>
      <c r="C11" s="3"/>
      <c r="D11" s="5"/>
      <c r="E11" s="3">
        <v>1964.16</v>
      </c>
      <c r="F11" s="3"/>
      <c r="G11" s="5"/>
      <c r="H11" s="3"/>
    </row>
    <row r="12" spans="1:8">
      <c r="A12" s="5"/>
      <c r="B12" s="2">
        <v>36875.64</v>
      </c>
      <c r="C12" s="3"/>
      <c r="D12" s="5"/>
      <c r="E12" s="3">
        <v>486.79</v>
      </c>
      <c r="F12" s="3"/>
      <c r="G12" s="5"/>
      <c r="H12" s="3"/>
    </row>
    <row r="13" spans="1:8">
      <c r="A13" s="5"/>
      <c r="B13" s="2">
        <v>36305.96</v>
      </c>
      <c r="C13" s="3"/>
      <c r="D13" s="5"/>
      <c r="E13" s="3">
        <v>24000</v>
      </c>
      <c r="F13" s="3"/>
      <c r="G13" s="5"/>
      <c r="H13" s="3"/>
    </row>
    <row r="14" spans="1:8">
      <c r="A14" s="5"/>
      <c r="B14" s="2">
        <v>108205.64</v>
      </c>
      <c r="C14" s="3"/>
      <c r="D14" s="5"/>
      <c r="E14" s="3">
        <v>4980.12</v>
      </c>
      <c r="F14" s="3"/>
      <c r="G14" s="5"/>
      <c r="H14" s="3"/>
    </row>
    <row r="15" spans="1:8">
      <c r="A15" s="5"/>
      <c r="B15" s="2"/>
      <c r="C15" s="3"/>
      <c r="D15" s="5"/>
      <c r="E15" s="3">
        <v>3471.12</v>
      </c>
      <c r="F15" s="3"/>
      <c r="G15" s="5"/>
      <c r="H15" s="3"/>
    </row>
    <row r="16" spans="1:8">
      <c r="A16" s="5"/>
      <c r="B16" s="2"/>
      <c r="C16" s="3"/>
      <c r="D16" s="5"/>
      <c r="E16" s="3">
        <v>1165.2</v>
      </c>
      <c r="F16" s="3"/>
      <c r="G16" s="5"/>
      <c r="H16" s="3"/>
    </row>
    <row r="17" spans="1:8">
      <c r="A17" s="5"/>
      <c r="B17" s="2"/>
      <c r="C17" s="3"/>
      <c r="D17" s="5"/>
      <c r="E17" s="3">
        <v>3090.24</v>
      </c>
      <c r="F17" s="3"/>
      <c r="G17" s="5"/>
      <c r="H17" s="3"/>
    </row>
    <row r="18" spans="1:8">
      <c r="A18" s="5"/>
      <c r="B18" s="2"/>
      <c r="C18" s="3"/>
      <c r="D18" s="5"/>
      <c r="E18" s="3">
        <v>41400</v>
      </c>
      <c r="F18" s="3"/>
      <c r="G18" s="5"/>
      <c r="H18" s="3"/>
    </row>
    <row r="19" spans="1:8">
      <c r="A19" s="5"/>
      <c r="B19" s="2"/>
      <c r="C19" s="3"/>
      <c r="D19" s="5"/>
      <c r="E19" s="3">
        <v>12000</v>
      </c>
      <c r="F19" s="3"/>
      <c r="G19" s="5"/>
      <c r="H19" s="3"/>
    </row>
    <row r="20" spans="1:8">
      <c r="A20" s="5"/>
      <c r="B20" s="2"/>
      <c r="C20" s="3"/>
      <c r="D20" s="5"/>
      <c r="E20" s="3">
        <v>18940.07</v>
      </c>
      <c r="F20" s="3"/>
      <c r="G20" s="5"/>
      <c r="H20" s="3"/>
    </row>
    <row r="21" spans="1:8">
      <c r="A21" s="5"/>
      <c r="B21" s="2"/>
      <c r="C21" s="3"/>
      <c r="D21" s="5"/>
      <c r="E21" s="3">
        <v>3600</v>
      </c>
      <c r="F21" s="3"/>
      <c r="G21" s="5"/>
      <c r="H21" s="3"/>
    </row>
    <row r="22" spans="1:8">
      <c r="A22" s="5"/>
      <c r="B22" s="2"/>
      <c r="C22" s="3"/>
      <c r="D22" s="5"/>
      <c r="E22" s="3">
        <v>6138.71</v>
      </c>
      <c r="F22" s="3"/>
      <c r="G22" s="5"/>
      <c r="H22" s="3"/>
    </row>
    <row r="23" spans="1:8">
      <c r="A23" s="5"/>
      <c r="B23" s="2"/>
      <c r="C23" s="3"/>
      <c r="D23" s="5"/>
      <c r="E23" s="3">
        <v>2000</v>
      </c>
      <c r="F23" s="3"/>
      <c r="G23" s="5"/>
      <c r="H23" s="3"/>
    </row>
    <row r="24" spans="1:8">
      <c r="A24" s="5"/>
      <c r="B24" s="2"/>
      <c r="C24" s="3"/>
      <c r="D24" s="5"/>
      <c r="E24" s="3">
        <v>30000</v>
      </c>
      <c r="F24" s="3"/>
      <c r="G24" s="5"/>
      <c r="H24" s="3"/>
    </row>
    <row r="25" spans="1:8">
      <c r="A25" s="5"/>
      <c r="B25" s="2"/>
      <c r="C25" s="3"/>
      <c r="D25" s="5"/>
      <c r="E25" s="3">
        <v>17074.04</v>
      </c>
      <c r="F25" s="3"/>
      <c r="G25" s="5"/>
      <c r="H25" s="3"/>
    </row>
    <row r="26" spans="1:8">
      <c r="A26" s="5"/>
      <c r="B26" s="2"/>
      <c r="C26" s="3"/>
      <c r="D26" s="5"/>
      <c r="E26" s="3"/>
      <c r="F26" s="3"/>
      <c r="G26" s="5"/>
      <c r="H26" s="3"/>
    </row>
    <row r="27" spans="1:8">
      <c r="A27" s="5"/>
      <c r="B27" s="2"/>
      <c r="C27" s="3"/>
      <c r="D27" s="5"/>
      <c r="E27" s="3"/>
      <c r="F27" s="3"/>
      <c r="G27" s="5"/>
      <c r="H27" s="3"/>
    </row>
    <row r="28" spans="1:8">
      <c r="A28" s="5"/>
      <c r="B28" s="2"/>
      <c r="C28" s="3"/>
      <c r="D28" s="5"/>
      <c r="E28" s="3"/>
      <c r="F28" s="3"/>
      <c r="G28" s="5"/>
      <c r="H28" s="3"/>
    </row>
    <row r="29" spans="1:8">
      <c r="A29" s="5"/>
      <c r="B29" s="2"/>
      <c r="C29" s="3"/>
      <c r="D29" s="5"/>
      <c r="E29" s="3"/>
      <c r="F29" s="3"/>
      <c r="G29" s="5"/>
      <c r="H29" s="3"/>
    </row>
    <row r="30" spans="1:8">
      <c r="A30" s="5"/>
      <c r="B30" s="3"/>
      <c r="C30" s="3"/>
      <c r="D30" s="5"/>
      <c r="E30" s="3"/>
      <c r="F30" s="3"/>
      <c r="G30" s="5"/>
      <c r="H30" s="3"/>
    </row>
    <row r="31" spans="1:8">
      <c r="A31" s="3">
        <v>687496.88</v>
      </c>
      <c r="B31" s="52">
        <f>SUM(B3:B30)</f>
        <v>687496.88</v>
      </c>
      <c r="C31" s="3"/>
      <c r="D31" s="3">
        <f>SUM(D3:D30)</f>
        <v>812476.45</v>
      </c>
      <c r="E31" s="3">
        <f>SUM(E3:E30)</f>
        <v>717279.08</v>
      </c>
      <c r="F31" s="3"/>
      <c r="G31" s="52">
        <v>16508.96</v>
      </c>
      <c r="H31" s="3"/>
    </row>
    <row r="32" spans="1:8">
      <c r="A32" s="3"/>
      <c r="B32" s="3">
        <f>B31-A31</f>
        <v>0</v>
      </c>
      <c r="C32" s="3"/>
      <c r="D32" s="52">
        <f>D31-E31</f>
        <v>95197.37</v>
      </c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 ht="15.75" thickBot="1">
      <c r="A34" s="57" t="s">
        <v>3</v>
      </c>
      <c r="B34" s="57"/>
      <c r="C34" s="3"/>
      <c r="D34" s="57" t="s">
        <v>4</v>
      </c>
      <c r="E34" s="57"/>
      <c r="F34" s="3"/>
      <c r="G34" s="57" t="s">
        <v>5</v>
      </c>
      <c r="H34" s="57"/>
    </row>
    <row r="35" spans="1:8">
      <c r="A35" s="7">
        <v>11601.63</v>
      </c>
      <c r="B35" s="3"/>
      <c r="C35" s="3"/>
      <c r="D35" s="7">
        <v>6461.2</v>
      </c>
      <c r="E35" s="3"/>
      <c r="F35" s="3"/>
      <c r="G35" s="7">
        <v>8762.0400000000009</v>
      </c>
      <c r="H35" s="3"/>
    </row>
    <row r="36" spans="1:8">
      <c r="A36" s="5"/>
      <c r="B36" s="3"/>
      <c r="C36" s="3"/>
      <c r="D36" s="5"/>
      <c r="E36" s="3"/>
      <c r="F36" s="3"/>
      <c r="G36" s="5"/>
      <c r="H36" s="3"/>
    </row>
    <row r="37" spans="1:8">
      <c r="A37" s="5"/>
      <c r="B37" s="3"/>
      <c r="C37" s="3"/>
      <c r="D37" s="5"/>
      <c r="E37" s="3"/>
      <c r="F37" s="3"/>
      <c r="G37" s="5"/>
      <c r="H37" s="3"/>
    </row>
    <row r="38" spans="1:8">
      <c r="A38" s="5"/>
      <c r="B38" s="3"/>
      <c r="C38" s="3"/>
      <c r="D38" s="5"/>
      <c r="E38" s="3"/>
      <c r="F38" s="3"/>
      <c r="G38" s="5"/>
      <c r="H38" s="3"/>
    </row>
    <row r="39" spans="1:8">
      <c r="A39" s="5"/>
      <c r="B39" s="3"/>
      <c r="C39" s="3"/>
      <c r="D39" s="5"/>
      <c r="E39" s="3"/>
      <c r="F39" s="3"/>
      <c r="G39" s="5"/>
      <c r="H39" s="3"/>
    </row>
    <row r="40" spans="1:8">
      <c r="A40" s="5"/>
      <c r="B40" s="3"/>
      <c r="C40" s="3"/>
      <c r="D40" s="5"/>
      <c r="E40" s="3"/>
      <c r="F40" s="3"/>
      <c r="G40" s="5"/>
      <c r="H40" s="3"/>
    </row>
    <row r="41" spans="1:8">
      <c r="A41" s="5"/>
      <c r="B41" s="3"/>
      <c r="C41" s="3"/>
      <c r="D41" s="5"/>
      <c r="E41" s="3"/>
      <c r="F41" s="3"/>
      <c r="G41" s="5"/>
      <c r="H41" s="3"/>
    </row>
    <row r="42" spans="1:8">
      <c r="A42" s="5"/>
      <c r="B42" s="3"/>
      <c r="C42" s="3"/>
      <c r="D42" s="5"/>
      <c r="E42" s="3"/>
      <c r="F42" s="3"/>
      <c r="G42" s="5"/>
      <c r="H42" s="3"/>
    </row>
    <row r="43" spans="1:8">
      <c r="A43" s="5"/>
      <c r="B43" s="3"/>
      <c r="C43" s="3"/>
      <c r="D43" s="5"/>
      <c r="E43" s="3"/>
      <c r="F43" s="3"/>
      <c r="G43" s="5"/>
      <c r="H43" s="3"/>
    </row>
    <row r="44" spans="1:8">
      <c r="A44" s="5"/>
      <c r="B44" s="3"/>
      <c r="C44" s="3"/>
      <c r="D44" s="5"/>
      <c r="E44" s="3"/>
      <c r="F44" s="3"/>
      <c r="G44" s="5"/>
      <c r="H44" s="3"/>
    </row>
    <row r="45" spans="1:8">
      <c r="A45" s="5"/>
      <c r="B45" s="3"/>
      <c r="C45" s="3"/>
      <c r="D45" s="5"/>
      <c r="E45" s="3"/>
      <c r="F45" s="3"/>
      <c r="G45" s="5"/>
      <c r="H45" s="3"/>
    </row>
    <row r="46" spans="1:8">
      <c r="A46" s="5"/>
      <c r="B46" s="3"/>
      <c r="C46" s="3"/>
      <c r="D46" s="5"/>
      <c r="E46" s="3"/>
      <c r="F46" s="3"/>
      <c r="G46" s="5"/>
      <c r="H46" s="3"/>
    </row>
    <row r="47" spans="1:8">
      <c r="A47" s="5"/>
      <c r="B47" s="3"/>
      <c r="C47" s="3"/>
      <c r="D47" s="5"/>
      <c r="E47" s="3"/>
      <c r="F47" s="3"/>
      <c r="G47" s="5"/>
      <c r="H47" s="3"/>
    </row>
    <row r="48" spans="1:8">
      <c r="A48" s="52">
        <v>11601.63</v>
      </c>
      <c r="B48" s="3"/>
      <c r="C48" s="3"/>
      <c r="D48" s="52">
        <v>6461.2</v>
      </c>
      <c r="E48" s="3"/>
      <c r="F48" s="3"/>
      <c r="G48" s="52">
        <v>8762.0400000000009</v>
      </c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 ht="15.75" thickBot="1">
      <c r="A50" s="57" t="s">
        <v>6</v>
      </c>
      <c r="B50" s="57"/>
      <c r="C50" s="3"/>
      <c r="D50" s="57" t="s">
        <v>7</v>
      </c>
      <c r="E50" s="57"/>
      <c r="F50" s="3"/>
      <c r="G50" s="57" t="s">
        <v>8</v>
      </c>
      <c r="H50" s="57"/>
    </row>
    <row r="51" spans="1:8">
      <c r="A51" s="7">
        <v>13155.15</v>
      </c>
      <c r="B51" s="3"/>
      <c r="C51" s="3"/>
      <c r="D51" s="4"/>
      <c r="E51" s="8">
        <v>15332.12</v>
      </c>
      <c r="F51" s="3"/>
      <c r="G51" s="4">
        <v>36029</v>
      </c>
      <c r="H51" s="8">
        <v>36029</v>
      </c>
    </row>
    <row r="52" spans="1:8">
      <c r="A52" s="5"/>
      <c r="B52" s="3"/>
      <c r="C52" s="3"/>
      <c r="D52" s="5"/>
      <c r="E52" s="3">
        <v>7243.88</v>
      </c>
      <c r="F52" s="3"/>
      <c r="G52" s="5"/>
      <c r="H52" s="3">
        <v>26792</v>
      </c>
    </row>
    <row r="53" spans="1:8">
      <c r="A53" s="5"/>
      <c r="B53" s="3"/>
      <c r="C53" s="3"/>
      <c r="D53" s="5"/>
      <c r="E53" s="3"/>
      <c r="F53" s="3"/>
      <c r="G53" s="5"/>
      <c r="H53" s="3"/>
    </row>
    <row r="54" spans="1:8">
      <c r="A54" s="5"/>
      <c r="B54" s="3"/>
      <c r="C54" s="3"/>
      <c r="D54" s="5"/>
      <c r="E54" s="3"/>
      <c r="F54" s="3"/>
      <c r="G54" s="5"/>
      <c r="H54" s="3"/>
    </row>
    <row r="55" spans="1:8">
      <c r="A55" s="5"/>
      <c r="B55" s="3"/>
      <c r="C55" s="3"/>
      <c r="D55" s="5"/>
      <c r="E55" s="3"/>
      <c r="F55" s="3"/>
      <c r="G55" s="5"/>
      <c r="H55" s="3"/>
    </row>
    <row r="56" spans="1:8">
      <c r="A56" s="5"/>
      <c r="B56" s="3"/>
      <c r="C56" s="3"/>
      <c r="D56" s="5"/>
      <c r="E56" s="3"/>
      <c r="F56" s="3"/>
      <c r="G56" s="5"/>
      <c r="H56" s="3"/>
    </row>
    <row r="57" spans="1:8">
      <c r="A57" s="5"/>
      <c r="B57" s="3"/>
      <c r="C57" s="3"/>
      <c r="D57" s="5"/>
      <c r="E57" s="3"/>
      <c r="F57" s="3"/>
      <c r="G57" s="5"/>
      <c r="H57" s="3"/>
    </row>
    <row r="58" spans="1:8">
      <c r="A58" s="5"/>
      <c r="B58" s="3"/>
      <c r="C58" s="3"/>
      <c r="D58" s="5"/>
      <c r="E58" s="3"/>
      <c r="F58" s="3"/>
      <c r="G58" s="5"/>
      <c r="H58" s="3"/>
    </row>
    <row r="59" spans="1:8">
      <c r="A59" s="56">
        <v>13155.15</v>
      </c>
      <c r="B59" s="3"/>
      <c r="C59" s="3"/>
      <c r="D59" s="6"/>
      <c r="E59" s="52">
        <f>SUM(E51:E58)</f>
        <v>22576</v>
      </c>
      <c r="F59" s="3"/>
      <c r="G59" s="3">
        <f>SUM(G51:G58)</f>
        <v>36029</v>
      </c>
      <c r="H59" s="3">
        <f>SUM(H51:H58)</f>
        <v>62821</v>
      </c>
    </row>
    <row r="60" spans="1:8">
      <c r="A60" s="6"/>
      <c r="B60" s="3"/>
      <c r="C60" s="3"/>
      <c r="D60" s="6"/>
      <c r="E60" s="3"/>
      <c r="F60" s="3"/>
      <c r="G60" s="6"/>
      <c r="H60" s="52">
        <f>H59-G59</f>
        <v>26792</v>
      </c>
    </row>
    <row r="61" spans="1:8" ht="15.75" thickBot="1">
      <c r="A61" s="57" t="s">
        <v>9</v>
      </c>
      <c r="B61" s="57"/>
      <c r="C61" s="3"/>
      <c r="D61" s="57" t="s">
        <v>10</v>
      </c>
      <c r="E61" s="57"/>
      <c r="F61" s="3"/>
      <c r="G61" s="57" t="s">
        <v>11</v>
      </c>
      <c r="H61" s="57"/>
    </row>
    <row r="62" spans="1:8">
      <c r="A62" s="4">
        <v>6138.71</v>
      </c>
      <c r="B62" s="8">
        <v>6138.71</v>
      </c>
      <c r="C62" s="3"/>
      <c r="D62" s="4">
        <v>2000</v>
      </c>
      <c r="E62" s="8">
        <v>2000</v>
      </c>
      <c r="F62" s="3"/>
      <c r="G62" s="4">
        <v>7347.24</v>
      </c>
      <c r="H62" s="8">
        <v>7347.24</v>
      </c>
    </row>
    <row r="63" spans="1:8">
      <c r="A63" s="5"/>
      <c r="B63" s="3">
        <v>1542.8</v>
      </c>
      <c r="C63" s="3"/>
      <c r="D63" s="5"/>
      <c r="E63" s="3">
        <v>2000</v>
      </c>
      <c r="F63" s="3"/>
      <c r="G63" s="5"/>
      <c r="H63" s="3">
        <v>8706.59</v>
      </c>
    </row>
    <row r="64" spans="1:8">
      <c r="A64" s="5"/>
      <c r="B64" s="3">
        <v>2590.91</v>
      </c>
      <c r="C64" s="3"/>
      <c r="D64" s="5"/>
      <c r="E64" s="3"/>
      <c r="F64" s="3"/>
      <c r="G64" s="5"/>
      <c r="H64" s="3"/>
    </row>
    <row r="65" spans="1:8">
      <c r="A65" s="5"/>
      <c r="B65" s="3"/>
      <c r="C65" s="3"/>
      <c r="D65" s="5"/>
      <c r="E65" s="3"/>
      <c r="F65" s="3"/>
      <c r="G65" s="5"/>
      <c r="H65" s="3"/>
    </row>
    <row r="66" spans="1:8">
      <c r="A66" s="5"/>
      <c r="B66" s="3"/>
      <c r="C66" s="3"/>
      <c r="D66" s="5"/>
      <c r="E66" s="3"/>
      <c r="F66" s="3"/>
      <c r="G66" s="5"/>
      <c r="H66" s="3"/>
    </row>
    <row r="67" spans="1:8">
      <c r="A67" s="5"/>
      <c r="B67" s="3"/>
      <c r="C67" s="3"/>
      <c r="D67" s="5"/>
      <c r="E67" s="3"/>
      <c r="F67" s="3"/>
      <c r="G67" s="5"/>
      <c r="H67" s="3"/>
    </row>
    <row r="68" spans="1:8">
      <c r="A68" s="5"/>
      <c r="B68" s="3"/>
      <c r="C68" s="3"/>
      <c r="D68" s="5"/>
      <c r="E68" s="3"/>
      <c r="F68" s="3"/>
      <c r="G68" s="5"/>
      <c r="H68" s="3"/>
    </row>
    <row r="69" spans="1:8">
      <c r="A69" s="5"/>
      <c r="B69" s="3"/>
      <c r="C69" s="3"/>
      <c r="D69" s="5"/>
      <c r="E69" s="3"/>
      <c r="F69" s="3"/>
      <c r="G69" s="5"/>
      <c r="H69" s="3"/>
    </row>
    <row r="70" spans="1:8">
      <c r="A70" s="5"/>
      <c r="B70" s="3"/>
      <c r="C70" s="3"/>
      <c r="D70" s="5"/>
      <c r="E70" s="3"/>
      <c r="F70" s="3"/>
      <c r="G70" s="5"/>
      <c r="H70" s="3"/>
    </row>
    <row r="71" spans="1:8">
      <c r="A71" s="5"/>
      <c r="B71" s="3"/>
      <c r="C71" s="3"/>
      <c r="D71" s="5"/>
      <c r="E71" s="3"/>
      <c r="F71" s="3"/>
      <c r="G71" s="5"/>
      <c r="H71" s="3"/>
    </row>
    <row r="72" spans="1:8">
      <c r="A72" s="5"/>
      <c r="B72" s="3"/>
      <c r="C72" s="3"/>
      <c r="D72" s="5"/>
      <c r="E72" s="3"/>
      <c r="F72" s="3"/>
      <c r="G72" s="5"/>
      <c r="H72" s="3"/>
    </row>
    <row r="73" spans="1:8">
      <c r="A73" s="5"/>
      <c r="B73" s="3"/>
      <c r="C73" s="3"/>
      <c r="D73" s="5">
        <v>2000</v>
      </c>
      <c r="E73" s="3">
        <f>SUM(E62:E72)</f>
        <v>4000</v>
      </c>
      <c r="F73" s="3"/>
      <c r="G73" s="5">
        <f>G62</f>
        <v>7347.24</v>
      </c>
      <c r="H73" s="3">
        <f>SUM(H62:H72)</f>
        <v>16053.83</v>
      </c>
    </row>
    <row r="74" spans="1:8">
      <c r="A74" s="3">
        <f>A62</f>
        <v>6138.71</v>
      </c>
      <c r="B74" s="3">
        <f>SUM(B62:B73)</f>
        <v>10272.42</v>
      </c>
      <c r="C74" s="3"/>
      <c r="D74" s="3"/>
      <c r="E74" s="52">
        <f>E73-D73</f>
        <v>2000</v>
      </c>
      <c r="F74" s="3"/>
      <c r="G74" s="3"/>
      <c r="H74" s="52">
        <f>H73-G73</f>
        <v>8706.59</v>
      </c>
    </row>
    <row r="75" spans="1:8">
      <c r="A75" s="3"/>
      <c r="B75" s="52">
        <f>B74-A74</f>
        <v>4133.71</v>
      </c>
      <c r="C75" s="3"/>
      <c r="D75" s="3"/>
      <c r="E75" s="3"/>
      <c r="F75" s="3"/>
      <c r="G75" s="3"/>
      <c r="H75" s="3"/>
    </row>
    <row r="76" spans="1:8" ht="15.75" thickBot="1">
      <c r="A76" s="57" t="s">
        <v>12</v>
      </c>
      <c r="B76" s="57"/>
      <c r="C76" s="3"/>
      <c r="D76" s="57" t="s">
        <v>13</v>
      </c>
      <c r="E76" s="57"/>
      <c r="F76" s="3"/>
      <c r="G76" s="57" t="s">
        <v>14</v>
      </c>
      <c r="H76" s="57"/>
    </row>
    <row r="77" spans="1:8">
      <c r="A77" s="4">
        <v>3286.53</v>
      </c>
      <c r="B77" s="8">
        <v>3286.53</v>
      </c>
      <c r="C77" s="3"/>
      <c r="D77" s="4"/>
      <c r="E77" s="8">
        <v>180000</v>
      </c>
      <c r="F77" s="3"/>
      <c r="G77" s="4">
        <v>109550.39999999999</v>
      </c>
      <c r="H77" s="8">
        <v>109550.39999999999</v>
      </c>
    </row>
    <row r="78" spans="1:8">
      <c r="A78" s="5"/>
      <c r="B78" s="3">
        <v>5223.95</v>
      </c>
      <c r="C78" s="3"/>
      <c r="D78" s="5"/>
      <c r="E78" s="3"/>
      <c r="F78" s="3"/>
      <c r="G78" s="5"/>
      <c r="H78" s="3"/>
    </row>
    <row r="79" spans="1:8">
      <c r="A79" s="5"/>
      <c r="B79" s="3"/>
      <c r="C79" s="3"/>
      <c r="D79" s="5"/>
      <c r="E79" s="3"/>
      <c r="F79" s="3"/>
      <c r="G79" s="5"/>
      <c r="H79" s="3"/>
    </row>
    <row r="80" spans="1:8">
      <c r="A80" s="5"/>
      <c r="B80" s="3"/>
      <c r="C80" s="3"/>
      <c r="D80" s="5"/>
      <c r="E80" s="3"/>
      <c r="F80" s="3"/>
      <c r="G80" s="5"/>
      <c r="H80" s="3"/>
    </row>
    <row r="81" spans="1:8">
      <c r="A81" s="5"/>
      <c r="B81" s="3"/>
      <c r="C81" s="3"/>
      <c r="D81" s="5"/>
      <c r="E81" s="3"/>
      <c r="F81" s="3"/>
      <c r="G81" s="5"/>
      <c r="H81" s="3"/>
    </row>
    <row r="82" spans="1:8">
      <c r="A82" s="5"/>
      <c r="B82" s="3"/>
      <c r="C82" s="3"/>
      <c r="D82" s="5"/>
      <c r="E82" s="3"/>
      <c r="F82" s="3"/>
      <c r="G82" s="5"/>
      <c r="H82" s="3"/>
    </row>
    <row r="83" spans="1:8">
      <c r="A83" s="5"/>
      <c r="B83" s="3"/>
      <c r="C83" s="3"/>
      <c r="D83" s="5"/>
      <c r="E83" s="3"/>
      <c r="F83" s="3"/>
      <c r="G83" s="5"/>
      <c r="H83" s="3"/>
    </row>
    <row r="84" spans="1:8">
      <c r="A84" s="5"/>
      <c r="B84" s="3"/>
      <c r="C84" s="3"/>
      <c r="D84" s="5"/>
      <c r="E84" s="3"/>
      <c r="F84" s="3"/>
      <c r="G84" s="5"/>
      <c r="H84" s="3"/>
    </row>
    <row r="85" spans="1:8">
      <c r="A85" s="5"/>
      <c r="B85" s="3"/>
      <c r="C85" s="3"/>
      <c r="D85" s="5"/>
      <c r="E85" s="3"/>
      <c r="F85" s="3"/>
      <c r="G85" s="5"/>
      <c r="H85" s="3"/>
    </row>
    <row r="86" spans="1:8">
      <c r="A86" s="5"/>
      <c r="B86" s="3"/>
      <c r="C86" s="3"/>
      <c r="D86" s="5"/>
      <c r="E86" s="3"/>
      <c r="F86" s="3"/>
      <c r="G86" s="5"/>
      <c r="H86" s="3"/>
    </row>
    <row r="87" spans="1:8">
      <c r="A87" s="5"/>
      <c r="B87" s="3"/>
      <c r="C87" s="3"/>
      <c r="D87" s="5"/>
      <c r="E87" s="3"/>
      <c r="F87" s="3"/>
      <c r="G87" s="5"/>
      <c r="H87" s="3"/>
    </row>
    <row r="88" spans="1:8">
      <c r="A88" s="3">
        <f>A77</f>
        <v>3286.53</v>
      </c>
      <c r="B88" s="3">
        <f>B77+B78</f>
        <v>8510.48</v>
      </c>
      <c r="C88" s="3"/>
      <c r="D88" s="3"/>
      <c r="E88" s="3"/>
      <c r="F88" s="3"/>
      <c r="G88" s="53" t="s">
        <v>118</v>
      </c>
      <c r="H88" s="53" t="s">
        <v>118</v>
      </c>
    </row>
    <row r="89" spans="1:8">
      <c r="A89" s="3"/>
      <c r="B89" s="52">
        <f>B88-A88</f>
        <v>5223.9499999999989</v>
      </c>
      <c r="C89" s="3"/>
      <c r="D89" s="3"/>
      <c r="E89" s="3"/>
      <c r="F89" s="3"/>
      <c r="G89" s="3"/>
      <c r="H89" s="3"/>
    </row>
    <row r="90" spans="1:8" ht="15.75" thickBot="1">
      <c r="A90" s="57" t="s">
        <v>15</v>
      </c>
      <c r="B90" s="57"/>
      <c r="C90" s="3"/>
      <c r="D90" s="57" t="s">
        <v>58</v>
      </c>
      <c r="E90" s="57"/>
      <c r="F90" s="3"/>
      <c r="G90" s="57"/>
      <c r="H90" s="57"/>
    </row>
    <row r="91" spans="1:8">
      <c r="A91" s="7">
        <v>225104.7</v>
      </c>
      <c r="B91" s="3">
        <v>109550.39999999999</v>
      </c>
      <c r="C91" s="3"/>
      <c r="D91" s="4"/>
      <c r="E91" s="3">
        <v>7347.24</v>
      </c>
      <c r="F91" s="3"/>
      <c r="G91" s="4"/>
      <c r="H91" s="3"/>
    </row>
    <row r="92" spans="1:8">
      <c r="A92" s="5"/>
      <c r="B92" s="3">
        <v>7141.63</v>
      </c>
      <c r="C92" s="3"/>
      <c r="D92" s="5"/>
      <c r="E92" s="3">
        <v>3286.53</v>
      </c>
      <c r="F92" s="3"/>
      <c r="G92" s="5"/>
      <c r="H92" s="3"/>
    </row>
    <row r="93" spans="1:8">
      <c r="A93" s="5"/>
      <c r="B93" s="3"/>
      <c r="C93" s="3"/>
      <c r="D93" s="5"/>
      <c r="E93" s="3"/>
      <c r="F93" s="3"/>
      <c r="G93" s="5"/>
      <c r="H93" s="3"/>
    </row>
    <row r="94" spans="1:8">
      <c r="A94" s="5"/>
      <c r="B94" s="3"/>
      <c r="C94" s="3"/>
      <c r="D94" s="5"/>
      <c r="E94" s="3"/>
      <c r="F94" s="3"/>
      <c r="G94" s="5"/>
      <c r="H94" s="3"/>
    </row>
    <row r="95" spans="1:8">
      <c r="A95" s="5"/>
      <c r="B95" s="3"/>
      <c r="C95" s="3"/>
      <c r="D95" s="5"/>
      <c r="E95" s="3"/>
      <c r="F95" s="3"/>
      <c r="G95" s="5"/>
      <c r="H95" s="3"/>
    </row>
    <row r="96" spans="1:8">
      <c r="A96" s="5"/>
      <c r="B96" s="3"/>
      <c r="C96" s="3"/>
      <c r="D96" s="5"/>
      <c r="E96" s="3"/>
      <c r="F96" s="3"/>
      <c r="G96" s="5"/>
      <c r="H96" s="3"/>
    </row>
    <row r="97" spans="1:8">
      <c r="A97" s="5"/>
      <c r="B97" s="3"/>
      <c r="C97" s="3"/>
      <c r="D97" s="5"/>
      <c r="E97" s="3"/>
      <c r="F97" s="3"/>
      <c r="G97" s="5"/>
      <c r="H97" s="3"/>
    </row>
    <row r="98" spans="1:8">
      <c r="A98" s="5"/>
      <c r="B98" s="3"/>
      <c r="C98" s="3"/>
      <c r="D98" s="5"/>
      <c r="E98" s="3"/>
      <c r="F98" s="3"/>
      <c r="G98" s="5"/>
      <c r="H98" s="3"/>
    </row>
    <row r="99" spans="1:8">
      <c r="A99" s="5"/>
      <c r="B99" s="3"/>
      <c r="C99" s="3"/>
      <c r="D99" s="5"/>
      <c r="E99" s="3"/>
      <c r="F99" s="3"/>
      <c r="G99" s="5"/>
      <c r="H99" s="3"/>
    </row>
    <row r="100" spans="1:8">
      <c r="A100" s="5"/>
      <c r="B100" s="3"/>
      <c r="C100" s="3"/>
      <c r="D100" s="5"/>
      <c r="E100" s="3"/>
      <c r="F100" s="3"/>
      <c r="G100" s="5"/>
      <c r="H100" s="3"/>
    </row>
    <row r="101" spans="1:8">
      <c r="A101" s="5">
        <f>A91</f>
        <v>225104.7</v>
      </c>
      <c r="B101" s="3">
        <f>SUM(B91:B100)</f>
        <v>116692.03</v>
      </c>
      <c r="C101" s="3"/>
      <c r="D101" s="5"/>
      <c r="E101" s="3"/>
      <c r="F101" s="3"/>
      <c r="G101" s="5"/>
      <c r="H101" s="3"/>
    </row>
    <row r="102" spans="1:8">
      <c r="A102" s="56">
        <f>A101-B101</f>
        <v>108412.67000000001</v>
      </c>
      <c r="B102" s="3"/>
      <c r="C102" s="3"/>
      <c r="D102" s="6"/>
      <c r="E102" s="52">
        <f>SUM(E91:E101)</f>
        <v>10633.77</v>
      </c>
      <c r="F102" s="3"/>
      <c r="G102" s="6"/>
      <c r="H102" s="3"/>
    </row>
    <row r="103" spans="1:8">
      <c r="A103" s="6"/>
      <c r="B103" s="3"/>
      <c r="C103" s="3"/>
      <c r="D103" s="6"/>
      <c r="E103" s="3"/>
      <c r="F103" s="3"/>
      <c r="G103" s="6"/>
      <c r="H103" s="3"/>
    </row>
    <row r="104" spans="1:8" ht="15.75" thickBot="1">
      <c r="A104" s="57"/>
      <c r="B104" s="57"/>
      <c r="C104" s="3"/>
      <c r="D104" s="57"/>
      <c r="E104" s="57"/>
      <c r="F104" s="3"/>
      <c r="G104" s="57"/>
      <c r="H104" s="57"/>
    </row>
    <row r="105" spans="1:8">
      <c r="A105" s="4"/>
      <c r="B105" s="3"/>
      <c r="C105" s="3"/>
      <c r="D105" s="4"/>
      <c r="E105" s="3"/>
      <c r="F105" s="3"/>
      <c r="G105" s="4"/>
      <c r="H105" s="3"/>
    </row>
    <row r="106" spans="1:8">
      <c r="A106" s="5"/>
      <c r="B106" s="3"/>
      <c r="C106" s="3"/>
      <c r="D106" s="5"/>
      <c r="E106" s="3"/>
      <c r="F106" s="3"/>
      <c r="G106" s="5"/>
      <c r="H106" s="3"/>
    </row>
    <row r="107" spans="1:8">
      <c r="A107" s="5"/>
      <c r="B107" s="3"/>
      <c r="C107" s="3"/>
      <c r="D107" s="5"/>
      <c r="E107" s="3"/>
      <c r="F107" s="3"/>
      <c r="G107" s="5"/>
      <c r="H107" s="3"/>
    </row>
    <row r="108" spans="1:8">
      <c r="A108" s="5"/>
      <c r="B108" s="3"/>
      <c r="C108" s="3"/>
      <c r="D108" s="5"/>
      <c r="E108" s="3"/>
      <c r="F108" s="3"/>
      <c r="G108" s="5"/>
      <c r="H108" s="3"/>
    </row>
    <row r="109" spans="1:8">
      <c r="A109" s="5"/>
      <c r="B109" s="3"/>
      <c r="C109" s="3"/>
      <c r="D109" s="5"/>
      <c r="E109" s="3"/>
      <c r="F109" s="3"/>
      <c r="G109" s="5"/>
      <c r="H109" s="3"/>
    </row>
    <row r="110" spans="1:8">
      <c r="A110" s="5"/>
      <c r="B110" s="3"/>
      <c r="C110" s="3"/>
      <c r="D110" s="5"/>
      <c r="E110" s="3"/>
      <c r="F110" s="3"/>
      <c r="G110" s="5"/>
      <c r="H110" s="3"/>
    </row>
    <row r="111" spans="1:8">
      <c r="A111" s="5"/>
      <c r="B111" s="3"/>
      <c r="C111" s="3"/>
      <c r="D111" s="5"/>
      <c r="E111" s="3"/>
      <c r="F111" s="3"/>
      <c r="G111" s="5"/>
      <c r="H111" s="3"/>
    </row>
    <row r="112" spans="1:8">
      <c r="A112" s="5"/>
      <c r="B112" s="3"/>
      <c r="C112" s="3"/>
      <c r="D112" s="5"/>
      <c r="E112" s="3"/>
      <c r="F112" s="3"/>
      <c r="G112" s="5"/>
      <c r="H112" s="3"/>
    </row>
    <row r="113" spans="1:8">
      <c r="A113" s="5"/>
      <c r="B113" s="3"/>
      <c r="C113" s="3"/>
      <c r="D113" s="5"/>
      <c r="E113" s="3"/>
      <c r="F113" s="3"/>
      <c r="G113" s="5"/>
      <c r="H113" s="3"/>
    </row>
    <row r="114" spans="1:8">
      <c r="A114" s="5"/>
      <c r="B114" s="3"/>
      <c r="C114" s="3"/>
      <c r="D114" s="5"/>
      <c r="E114" s="3"/>
      <c r="F114" s="3"/>
      <c r="G114" s="5"/>
      <c r="H114" s="3"/>
    </row>
    <row r="115" spans="1:8">
      <c r="A115" s="5"/>
      <c r="B115" s="3"/>
      <c r="C115" s="3"/>
      <c r="D115" s="5"/>
      <c r="E115" s="3"/>
      <c r="F115" s="3"/>
      <c r="G115" s="5"/>
      <c r="H115" s="3"/>
    </row>
    <row r="116" spans="1:8">
      <c r="A116" s="5"/>
      <c r="B116" s="3"/>
      <c r="C116" s="3"/>
      <c r="D116" s="5"/>
      <c r="E116" s="3"/>
      <c r="F116" s="3"/>
      <c r="G116" s="5"/>
      <c r="H116" s="3"/>
    </row>
    <row r="117" spans="1:8">
      <c r="A117" s="3"/>
      <c r="B117" s="3"/>
      <c r="C117" s="3"/>
      <c r="D117" s="3"/>
      <c r="E117" s="3"/>
      <c r="F117" s="3"/>
      <c r="G117" s="3"/>
      <c r="H117" s="3"/>
    </row>
    <row r="118" spans="1:8">
      <c r="A118" s="3"/>
      <c r="B118" s="3"/>
      <c r="C118" s="3"/>
      <c r="D118" s="3"/>
      <c r="E118" s="3"/>
      <c r="F118" s="3"/>
      <c r="G118" s="3"/>
      <c r="H118" s="3"/>
    </row>
    <row r="119" spans="1:8" ht="15.75" thickBot="1">
      <c r="A119" s="57"/>
      <c r="B119" s="57"/>
      <c r="C119" s="3"/>
      <c r="D119" s="57"/>
      <c r="E119" s="57"/>
      <c r="F119" s="3"/>
      <c r="G119" s="57"/>
      <c r="H119" s="57"/>
    </row>
    <row r="120" spans="1:8">
      <c r="A120" s="4"/>
      <c r="B120" s="3"/>
      <c r="C120" s="3"/>
      <c r="D120" s="4"/>
      <c r="E120" s="3"/>
      <c r="F120" s="3"/>
      <c r="G120" s="4"/>
      <c r="H120" s="3"/>
    </row>
    <row r="121" spans="1:8">
      <c r="A121" s="5"/>
      <c r="B121" s="3"/>
      <c r="C121" s="3"/>
      <c r="D121" s="5"/>
      <c r="E121" s="3"/>
      <c r="F121" s="3"/>
      <c r="G121" s="5"/>
      <c r="H121" s="3"/>
    </row>
    <row r="122" spans="1:8">
      <c r="A122" s="5"/>
      <c r="B122" s="3"/>
      <c r="C122" s="3"/>
      <c r="D122" s="5"/>
      <c r="E122" s="3"/>
      <c r="F122" s="3"/>
      <c r="G122" s="5"/>
      <c r="H122" s="3"/>
    </row>
    <row r="123" spans="1:8">
      <c r="A123" s="5"/>
      <c r="B123" s="3"/>
      <c r="C123" s="3"/>
      <c r="D123" s="5"/>
      <c r="E123" s="3"/>
      <c r="F123" s="3"/>
      <c r="G123" s="5"/>
      <c r="H123" s="3"/>
    </row>
    <row r="124" spans="1:8">
      <c r="A124" s="5"/>
      <c r="B124" s="3"/>
      <c r="C124" s="3"/>
      <c r="D124" s="5"/>
      <c r="E124" s="3"/>
      <c r="F124" s="3"/>
      <c r="G124" s="5"/>
      <c r="H124" s="3"/>
    </row>
    <row r="125" spans="1:8">
      <c r="A125" s="5"/>
      <c r="B125" s="3"/>
      <c r="C125" s="3"/>
      <c r="D125" s="5"/>
      <c r="E125" s="3"/>
      <c r="F125" s="3"/>
      <c r="G125" s="5"/>
      <c r="H125" s="3"/>
    </row>
    <row r="126" spans="1:8">
      <c r="A126" s="5"/>
      <c r="B126" s="3"/>
      <c r="C126" s="3"/>
      <c r="D126" s="5"/>
      <c r="E126" s="3"/>
      <c r="F126" s="3"/>
      <c r="G126" s="5"/>
      <c r="H126" s="3"/>
    </row>
    <row r="127" spans="1:8">
      <c r="A127" s="5"/>
      <c r="B127" s="3"/>
      <c r="C127" s="3"/>
      <c r="D127" s="5"/>
      <c r="E127" s="3"/>
      <c r="F127" s="3"/>
      <c r="G127" s="5"/>
      <c r="H127" s="3"/>
    </row>
    <row r="128" spans="1:8">
      <c r="A128" s="5"/>
      <c r="B128" s="3"/>
      <c r="C128" s="3"/>
      <c r="D128" s="5"/>
      <c r="E128" s="3"/>
      <c r="F128" s="3"/>
      <c r="G128" s="5"/>
      <c r="H128" s="3"/>
    </row>
    <row r="129" spans="1:8">
      <c r="A129" s="5"/>
      <c r="B129" s="3"/>
      <c r="C129" s="3"/>
      <c r="D129" s="5"/>
      <c r="E129" s="3"/>
      <c r="F129" s="3"/>
      <c r="G129" s="5"/>
      <c r="H129" s="3"/>
    </row>
    <row r="130" spans="1:8">
      <c r="A130" s="5"/>
      <c r="B130" s="3"/>
      <c r="C130" s="3"/>
      <c r="D130" s="5"/>
      <c r="E130" s="3"/>
      <c r="F130" s="3"/>
      <c r="G130" s="5"/>
      <c r="H130" s="3"/>
    </row>
    <row r="131" spans="1:8">
      <c r="A131" s="3"/>
      <c r="B131" s="3"/>
      <c r="C131" s="3"/>
      <c r="D131" s="3"/>
      <c r="E131" s="3"/>
      <c r="F131" s="3"/>
      <c r="G131" s="3"/>
      <c r="H131" s="3"/>
    </row>
    <row r="132" spans="1:8">
      <c r="A132" s="3"/>
      <c r="B132" s="3"/>
      <c r="C132" s="3"/>
      <c r="D132" s="3"/>
      <c r="E132" s="3"/>
      <c r="F132" s="3"/>
      <c r="G132" s="3"/>
      <c r="H132" s="3"/>
    </row>
    <row r="133" spans="1:8" ht="15.75" thickBot="1">
      <c r="A133" s="57"/>
      <c r="B133" s="57"/>
      <c r="C133" s="3"/>
      <c r="D133" s="57"/>
      <c r="E133" s="57"/>
      <c r="F133" s="3"/>
      <c r="G133" s="57"/>
      <c r="H133" s="57"/>
    </row>
    <row r="134" spans="1:8">
      <c r="A134" s="4"/>
      <c r="B134" s="3"/>
      <c r="C134" s="3"/>
      <c r="D134" s="4"/>
      <c r="E134" s="3"/>
      <c r="F134" s="3"/>
      <c r="G134" s="4"/>
      <c r="H134" s="3"/>
    </row>
    <row r="135" spans="1:8">
      <c r="A135" s="5"/>
      <c r="B135" s="3"/>
      <c r="C135" s="3"/>
      <c r="D135" s="5"/>
      <c r="E135" s="3"/>
      <c r="F135" s="3"/>
      <c r="G135" s="5"/>
      <c r="H135" s="3"/>
    </row>
    <row r="136" spans="1:8">
      <c r="A136" s="5"/>
      <c r="B136" s="3"/>
      <c r="C136" s="3"/>
      <c r="D136" s="5"/>
      <c r="E136" s="3"/>
      <c r="F136" s="3"/>
      <c r="G136" s="5"/>
      <c r="H136" s="3"/>
    </row>
    <row r="137" spans="1:8">
      <c r="A137" s="5"/>
      <c r="B137" s="3"/>
      <c r="C137" s="3"/>
      <c r="D137" s="5"/>
      <c r="E137" s="3"/>
      <c r="F137" s="3"/>
      <c r="G137" s="5"/>
      <c r="H137" s="3"/>
    </row>
    <row r="138" spans="1:8">
      <c r="A138" s="5"/>
      <c r="B138" s="3"/>
      <c r="C138" s="3"/>
      <c r="D138" s="5"/>
      <c r="E138" s="3"/>
      <c r="F138" s="3"/>
      <c r="G138" s="5"/>
      <c r="H138" s="3"/>
    </row>
    <row r="139" spans="1:8">
      <c r="A139" s="5"/>
      <c r="B139" s="3"/>
      <c r="C139" s="3"/>
      <c r="D139" s="5"/>
      <c r="E139" s="3"/>
      <c r="F139" s="3"/>
      <c r="G139" s="5"/>
      <c r="H139" s="3"/>
    </row>
    <row r="140" spans="1:8">
      <c r="A140" s="5"/>
      <c r="B140" s="3"/>
      <c r="C140" s="3"/>
      <c r="D140" s="5"/>
      <c r="E140" s="3"/>
      <c r="F140" s="3"/>
      <c r="G140" s="5"/>
      <c r="H140" s="3"/>
    </row>
    <row r="141" spans="1:8">
      <c r="A141" s="5"/>
      <c r="B141" s="3"/>
      <c r="C141" s="3"/>
      <c r="D141" s="5"/>
      <c r="E141" s="3"/>
      <c r="F141" s="3"/>
      <c r="G141" s="5"/>
      <c r="H141" s="3"/>
    </row>
    <row r="142" spans="1:8">
      <c r="A142" s="5"/>
      <c r="B142" s="3"/>
      <c r="C142" s="3"/>
      <c r="D142" s="5"/>
      <c r="E142" s="3"/>
      <c r="F142" s="3"/>
      <c r="G142" s="5"/>
      <c r="H142" s="3"/>
    </row>
    <row r="143" spans="1:8">
      <c r="A143" s="5"/>
      <c r="B143" s="3"/>
      <c r="C143" s="3"/>
      <c r="D143" s="5"/>
      <c r="E143" s="3"/>
      <c r="F143" s="3"/>
      <c r="G143" s="5"/>
      <c r="H143" s="3"/>
    </row>
    <row r="144" spans="1:8">
      <c r="A144" s="5"/>
      <c r="B144" s="3"/>
      <c r="C144" s="3"/>
      <c r="D144" s="5"/>
      <c r="E144" s="3"/>
      <c r="F144" s="3"/>
      <c r="G144" s="5"/>
      <c r="H144" s="3"/>
    </row>
    <row r="145" spans="1:8">
      <c r="A145" s="5"/>
      <c r="B145" s="3"/>
      <c r="C145" s="3"/>
      <c r="D145" s="5"/>
      <c r="E145" s="3"/>
      <c r="F145" s="3"/>
      <c r="G145" s="5"/>
      <c r="H145" s="3"/>
    </row>
    <row r="146" spans="1:8">
      <c r="A146" s="3"/>
      <c r="B146" s="3"/>
      <c r="C146" s="3"/>
      <c r="D146" s="3"/>
      <c r="E146" s="3"/>
      <c r="F146" s="3"/>
      <c r="G146" s="3"/>
      <c r="H146" s="3"/>
    </row>
    <row r="147" spans="1:8">
      <c r="A147" s="3"/>
      <c r="B147" s="3"/>
      <c r="C147" s="3"/>
      <c r="D147" s="3"/>
      <c r="E147" s="3"/>
      <c r="F147" s="3"/>
      <c r="G147" s="3"/>
      <c r="H147" s="3"/>
    </row>
    <row r="148" spans="1:8" ht="15.75" thickBot="1">
      <c r="A148" s="57"/>
      <c r="B148" s="57"/>
      <c r="C148" s="3"/>
      <c r="D148" s="57"/>
      <c r="E148" s="57"/>
      <c r="F148" s="3"/>
      <c r="G148" s="57"/>
      <c r="H148" s="57"/>
    </row>
    <row r="149" spans="1:8">
      <c r="A149" s="4"/>
      <c r="B149" s="3"/>
      <c r="C149" s="3"/>
      <c r="D149" s="4"/>
      <c r="E149" s="3"/>
      <c r="F149" s="3"/>
      <c r="G149" s="4"/>
      <c r="H149" s="3"/>
    </row>
    <row r="150" spans="1:8">
      <c r="A150" s="5"/>
      <c r="B150" s="3"/>
      <c r="C150" s="3"/>
      <c r="D150" s="5"/>
      <c r="E150" s="3"/>
      <c r="F150" s="3"/>
      <c r="G150" s="5"/>
      <c r="H150" s="3"/>
    </row>
    <row r="151" spans="1:8">
      <c r="A151" s="5"/>
      <c r="B151" s="3"/>
      <c r="C151" s="3"/>
      <c r="D151" s="5"/>
      <c r="E151" s="3"/>
      <c r="F151" s="3"/>
      <c r="G151" s="5"/>
      <c r="H151" s="3"/>
    </row>
    <row r="152" spans="1:8">
      <c r="A152" s="5"/>
      <c r="B152" s="3"/>
      <c r="C152" s="3"/>
      <c r="D152" s="5"/>
      <c r="E152" s="3"/>
      <c r="F152" s="3"/>
      <c r="G152" s="5"/>
      <c r="H152" s="3"/>
    </row>
    <row r="153" spans="1:8">
      <c r="A153" s="5"/>
      <c r="B153" s="3"/>
      <c r="C153" s="3"/>
      <c r="D153" s="5"/>
      <c r="E153" s="3"/>
      <c r="F153" s="3"/>
      <c r="G153" s="5"/>
      <c r="H153" s="3"/>
    </row>
    <row r="154" spans="1:8">
      <c r="A154" s="5"/>
      <c r="B154" s="3"/>
      <c r="C154" s="3"/>
      <c r="D154" s="5"/>
      <c r="E154" s="3"/>
      <c r="F154" s="3"/>
      <c r="G154" s="5"/>
      <c r="H154" s="3"/>
    </row>
    <row r="155" spans="1:8">
      <c r="A155" s="5"/>
      <c r="B155" s="3"/>
      <c r="C155" s="3"/>
      <c r="D155" s="5"/>
      <c r="E155" s="3"/>
      <c r="F155" s="3"/>
      <c r="G155" s="5"/>
      <c r="H155" s="3"/>
    </row>
    <row r="156" spans="1:8">
      <c r="A156" s="5"/>
      <c r="B156" s="3"/>
      <c r="C156" s="3"/>
      <c r="D156" s="5"/>
      <c r="E156" s="3"/>
      <c r="F156" s="3"/>
      <c r="G156" s="5"/>
      <c r="H156" s="3"/>
    </row>
    <row r="157" spans="1:8">
      <c r="A157" s="5"/>
      <c r="B157" s="3"/>
      <c r="C157" s="3"/>
      <c r="D157" s="5"/>
      <c r="E157" s="3"/>
      <c r="F157" s="3"/>
      <c r="G157" s="5"/>
      <c r="H157" s="3"/>
    </row>
    <row r="158" spans="1:8">
      <c r="A158" s="5"/>
      <c r="B158" s="3"/>
      <c r="C158" s="3"/>
      <c r="D158" s="5"/>
      <c r="E158" s="3"/>
      <c r="F158" s="3"/>
      <c r="G158" s="5"/>
      <c r="H158" s="3"/>
    </row>
    <row r="159" spans="1:8">
      <c r="A159" s="5"/>
      <c r="B159" s="3"/>
      <c r="C159" s="3"/>
      <c r="D159" s="5"/>
      <c r="E159" s="3"/>
      <c r="F159" s="3"/>
      <c r="G159" s="5"/>
      <c r="H159" s="3"/>
    </row>
    <row r="160" spans="1:8">
      <c r="A160" s="3"/>
      <c r="B160" s="3"/>
      <c r="C160" s="3"/>
      <c r="D160" s="3"/>
      <c r="E160" s="3"/>
      <c r="F160" s="3"/>
      <c r="G160" s="3"/>
      <c r="H160" s="3"/>
    </row>
    <row r="161" spans="1:8">
      <c r="A161" s="3"/>
      <c r="B161" s="3"/>
      <c r="C161" s="3"/>
      <c r="D161" s="3"/>
      <c r="E161" s="3"/>
      <c r="F161" s="3"/>
      <c r="G161" s="3"/>
      <c r="H161" s="3"/>
    </row>
    <row r="162" spans="1:8" ht="15.75" thickBot="1">
      <c r="A162" s="57"/>
      <c r="B162" s="57"/>
      <c r="C162" s="3"/>
      <c r="D162" s="57"/>
      <c r="E162" s="57"/>
      <c r="F162" s="3"/>
      <c r="G162" s="57"/>
      <c r="H162" s="57"/>
    </row>
    <row r="163" spans="1:8">
      <c r="A163" s="4"/>
      <c r="B163" s="3"/>
      <c r="C163" s="3"/>
      <c r="D163" s="4"/>
      <c r="E163" s="3"/>
      <c r="F163" s="3"/>
      <c r="G163" s="4"/>
      <c r="H163" s="3"/>
    </row>
    <row r="164" spans="1:8">
      <c r="A164" s="5"/>
      <c r="B164" s="3"/>
      <c r="C164" s="3"/>
      <c r="D164" s="5"/>
      <c r="E164" s="3"/>
      <c r="F164" s="3"/>
      <c r="G164" s="5"/>
      <c r="H164" s="3"/>
    </row>
    <row r="165" spans="1:8">
      <c r="A165" s="5"/>
      <c r="B165" s="3"/>
      <c r="C165" s="3"/>
      <c r="D165" s="5"/>
      <c r="E165" s="3"/>
      <c r="F165" s="3"/>
      <c r="G165" s="5"/>
      <c r="H165" s="3"/>
    </row>
    <row r="166" spans="1:8">
      <c r="A166" s="5"/>
      <c r="B166" s="3"/>
      <c r="C166" s="3"/>
      <c r="D166" s="5"/>
      <c r="E166" s="3"/>
      <c r="F166" s="3"/>
      <c r="G166" s="5"/>
      <c r="H166" s="3"/>
    </row>
    <row r="167" spans="1:8">
      <c r="A167" s="5"/>
      <c r="B167" s="3"/>
      <c r="C167" s="3"/>
      <c r="D167" s="5"/>
      <c r="E167" s="3"/>
      <c r="F167" s="3"/>
      <c r="G167" s="5"/>
      <c r="H167" s="3"/>
    </row>
    <row r="168" spans="1:8">
      <c r="A168" s="5"/>
      <c r="B168" s="3"/>
      <c r="C168" s="3"/>
      <c r="D168" s="5"/>
      <c r="E168" s="3"/>
      <c r="F168" s="3"/>
      <c r="G168" s="5"/>
      <c r="H168" s="3"/>
    </row>
    <row r="169" spans="1:8">
      <c r="A169" s="5"/>
      <c r="B169" s="3"/>
      <c r="C169" s="3"/>
      <c r="D169" s="5"/>
      <c r="E169" s="3"/>
      <c r="F169" s="3"/>
      <c r="G169" s="5"/>
      <c r="H169" s="3"/>
    </row>
    <row r="170" spans="1:8">
      <c r="A170" s="5"/>
      <c r="B170" s="3"/>
      <c r="C170" s="3"/>
      <c r="D170" s="5"/>
      <c r="E170" s="3"/>
      <c r="F170" s="3"/>
      <c r="G170" s="5"/>
      <c r="H170" s="3"/>
    </row>
    <row r="171" spans="1:8">
      <c r="A171" s="5"/>
      <c r="B171" s="3"/>
      <c r="C171" s="3"/>
      <c r="D171" s="5"/>
      <c r="E171" s="3"/>
      <c r="F171" s="3"/>
      <c r="G171" s="5"/>
      <c r="H171" s="3"/>
    </row>
    <row r="172" spans="1:8">
      <c r="A172" s="5"/>
      <c r="B172" s="3"/>
      <c r="C172" s="3"/>
      <c r="D172" s="5"/>
      <c r="E172" s="3"/>
      <c r="F172" s="3"/>
      <c r="G172" s="5"/>
      <c r="H172" s="3"/>
    </row>
    <row r="173" spans="1:8">
      <c r="A173" s="5"/>
      <c r="B173" s="3"/>
      <c r="C173" s="3"/>
      <c r="D173" s="5"/>
      <c r="E173" s="3"/>
      <c r="F173" s="3"/>
      <c r="G173" s="5"/>
      <c r="H173" s="3"/>
    </row>
    <row r="174" spans="1:8">
      <c r="A174" s="5"/>
      <c r="B174" s="3"/>
      <c r="C174" s="3"/>
      <c r="D174" s="5"/>
      <c r="E174" s="3"/>
      <c r="F174" s="3"/>
      <c r="G174" s="5"/>
      <c r="H174" s="3"/>
    </row>
    <row r="175" spans="1:8">
      <c r="A175" s="3"/>
      <c r="B175" s="3"/>
      <c r="C175" s="3"/>
      <c r="D175" s="3"/>
      <c r="E175" s="3"/>
      <c r="F175" s="3"/>
      <c r="G175" s="3"/>
      <c r="H175" s="3"/>
    </row>
    <row r="176" spans="1:8">
      <c r="A176" s="3"/>
      <c r="B176" s="3"/>
      <c r="C176" s="3"/>
      <c r="D176" s="3"/>
      <c r="E176" s="3"/>
      <c r="F176" s="3"/>
      <c r="G176" s="3"/>
      <c r="H176" s="3"/>
    </row>
    <row r="177" spans="1:8" ht="15.75" thickBot="1">
      <c r="A177" s="57"/>
      <c r="B177" s="57"/>
      <c r="C177" s="3"/>
      <c r="D177" s="57"/>
      <c r="E177" s="57"/>
      <c r="F177" s="3"/>
      <c r="G177" s="57"/>
      <c r="H177" s="57"/>
    </row>
    <row r="178" spans="1:8">
      <c r="A178" s="4"/>
      <c r="B178" s="3"/>
      <c r="C178" s="3"/>
      <c r="D178" s="4"/>
      <c r="E178" s="3"/>
      <c r="F178" s="3"/>
      <c r="G178" s="4"/>
      <c r="H178" s="3"/>
    </row>
    <row r="179" spans="1:8">
      <c r="A179" s="5"/>
      <c r="B179" s="3"/>
      <c r="C179" s="3"/>
      <c r="D179" s="5"/>
      <c r="E179" s="3"/>
      <c r="F179" s="3"/>
      <c r="G179" s="5"/>
      <c r="H179" s="3"/>
    </row>
    <row r="180" spans="1:8">
      <c r="A180" s="5"/>
      <c r="B180" s="3"/>
      <c r="C180" s="3"/>
      <c r="D180" s="5"/>
      <c r="E180" s="3"/>
      <c r="F180" s="3"/>
      <c r="G180" s="5"/>
      <c r="H180" s="3"/>
    </row>
    <row r="181" spans="1:8">
      <c r="A181" s="5"/>
      <c r="B181" s="3"/>
      <c r="C181" s="3"/>
      <c r="D181" s="5"/>
      <c r="E181" s="3"/>
      <c r="F181" s="3"/>
      <c r="G181" s="5"/>
      <c r="H181" s="3"/>
    </row>
    <row r="182" spans="1:8">
      <c r="A182" s="5"/>
      <c r="B182" s="3"/>
      <c r="C182" s="3"/>
      <c r="D182" s="5"/>
      <c r="E182" s="3"/>
      <c r="F182" s="3"/>
      <c r="G182" s="5"/>
      <c r="H182" s="3"/>
    </row>
    <row r="183" spans="1:8">
      <c r="A183" s="5"/>
      <c r="B183" s="3"/>
      <c r="C183" s="3"/>
      <c r="D183" s="5"/>
      <c r="E183" s="3"/>
      <c r="F183" s="3"/>
      <c r="G183" s="5"/>
      <c r="H183" s="3"/>
    </row>
    <row r="184" spans="1:8">
      <c r="A184" s="5"/>
      <c r="B184" s="3"/>
      <c r="C184" s="3"/>
      <c r="D184" s="5"/>
      <c r="E184" s="3"/>
      <c r="F184" s="3"/>
      <c r="G184" s="5"/>
      <c r="H184" s="3"/>
    </row>
    <row r="185" spans="1:8">
      <c r="A185" s="5"/>
      <c r="B185" s="3"/>
      <c r="C185" s="3"/>
      <c r="D185" s="5"/>
      <c r="E185" s="3"/>
      <c r="F185" s="3"/>
      <c r="G185" s="5"/>
      <c r="H185" s="3"/>
    </row>
    <row r="186" spans="1:8">
      <c r="A186" s="5"/>
      <c r="B186" s="3"/>
      <c r="C186" s="3"/>
      <c r="D186" s="5"/>
      <c r="E186" s="3"/>
      <c r="F186" s="3"/>
      <c r="G186" s="5"/>
      <c r="H186" s="3"/>
    </row>
    <row r="187" spans="1:8">
      <c r="A187" s="5"/>
      <c r="B187" s="3"/>
      <c r="C187" s="3"/>
      <c r="D187" s="5"/>
      <c r="E187" s="3"/>
      <c r="F187" s="3"/>
      <c r="G187" s="5"/>
      <c r="H187" s="3"/>
    </row>
    <row r="188" spans="1:8">
      <c r="A188" s="5"/>
      <c r="B188" s="3"/>
      <c r="C188" s="3"/>
      <c r="D188" s="5"/>
      <c r="E188" s="3"/>
      <c r="F188" s="3"/>
      <c r="G188" s="5"/>
      <c r="H188" s="3"/>
    </row>
    <row r="189" spans="1:8">
      <c r="A189" s="3"/>
      <c r="B189" s="3"/>
      <c r="C189" s="3"/>
      <c r="D189" s="3"/>
      <c r="E189" s="3"/>
      <c r="F189" s="3"/>
      <c r="G189" s="3"/>
      <c r="H189" s="3"/>
    </row>
    <row r="190" spans="1:8">
      <c r="A190" s="3"/>
      <c r="B190" s="3"/>
      <c r="C190" s="3"/>
      <c r="D190" s="3"/>
      <c r="E190" s="3"/>
      <c r="F190" s="3"/>
      <c r="G190" s="3"/>
      <c r="H190" s="3"/>
    </row>
  </sheetData>
  <mergeCells count="36">
    <mergeCell ref="A2:B2"/>
    <mergeCell ref="D2:E2"/>
    <mergeCell ref="G2:H2"/>
    <mergeCell ref="A34:B34"/>
    <mergeCell ref="D34:E34"/>
    <mergeCell ref="G34:H34"/>
    <mergeCell ref="A50:B50"/>
    <mergeCell ref="D50:E50"/>
    <mergeCell ref="G50:H50"/>
    <mergeCell ref="A61:B61"/>
    <mergeCell ref="D61:E61"/>
    <mergeCell ref="G61:H61"/>
    <mergeCell ref="A76:B76"/>
    <mergeCell ref="D76:E76"/>
    <mergeCell ref="G76:H76"/>
    <mergeCell ref="A90:B90"/>
    <mergeCell ref="D90:E90"/>
    <mergeCell ref="G90:H90"/>
    <mergeCell ref="A104:B104"/>
    <mergeCell ref="D104:E104"/>
    <mergeCell ref="G104:H104"/>
    <mergeCell ref="A119:B119"/>
    <mergeCell ref="D119:E119"/>
    <mergeCell ref="G119:H119"/>
    <mergeCell ref="A133:B133"/>
    <mergeCell ref="D133:E133"/>
    <mergeCell ref="G133:H133"/>
    <mergeCell ref="A148:B148"/>
    <mergeCell ref="D148:E148"/>
    <mergeCell ref="G148:H148"/>
    <mergeCell ref="A162:B162"/>
    <mergeCell ref="D162:E162"/>
    <mergeCell ref="G162:H162"/>
    <mergeCell ref="A177:B177"/>
    <mergeCell ref="D177:E177"/>
    <mergeCell ref="G177:H177"/>
  </mergeCells>
  <pageMargins left="7.874015748031496E-2" right="7.874015748031496E-2" top="0.6692913385826772" bottom="0.59055118110236227" header="0.27559055118110237" footer="0.31496062992125984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H118"/>
  <sheetViews>
    <sheetView topLeftCell="A28" workbookViewId="0">
      <selection activeCell="D29" sqref="D29"/>
    </sheetView>
  </sheetViews>
  <sheetFormatPr defaultRowHeight="15"/>
  <cols>
    <col min="1" max="2" width="17.7109375" style="15" customWidth="1"/>
    <col min="3" max="3" width="4" style="15" customWidth="1"/>
    <col min="4" max="5" width="17.7109375" style="15" customWidth="1"/>
    <col min="6" max="6" width="4.140625" style="15" customWidth="1"/>
    <col min="7" max="8" width="17.7109375" style="15" customWidth="1"/>
    <col min="9" max="16384" width="9.140625" style="15"/>
  </cols>
  <sheetData>
    <row r="2" spans="1:8" ht="15.75" thickBot="1">
      <c r="A2" s="58" t="s">
        <v>16</v>
      </c>
      <c r="B2" s="58"/>
      <c r="C2" s="14"/>
      <c r="D2" s="58" t="s">
        <v>17</v>
      </c>
      <c r="E2" s="58"/>
      <c r="F2" s="14"/>
      <c r="G2" s="58" t="s">
        <v>18</v>
      </c>
      <c r="H2" s="58"/>
    </row>
    <row r="3" spans="1:8">
      <c r="A3" s="66">
        <v>346841</v>
      </c>
      <c r="B3" s="17">
        <v>346841</v>
      </c>
      <c r="C3" s="14"/>
      <c r="D3" s="66">
        <v>21534.52</v>
      </c>
      <c r="E3" s="14">
        <v>21534.52</v>
      </c>
      <c r="F3" s="14"/>
      <c r="G3" s="66">
        <v>35293.85</v>
      </c>
      <c r="H3" s="14">
        <v>35293.85</v>
      </c>
    </row>
    <row r="4" spans="1:8">
      <c r="A4" s="14"/>
      <c r="B4" s="14"/>
      <c r="C4" s="14"/>
      <c r="D4" s="14"/>
      <c r="E4" s="14"/>
      <c r="F4" s="14"/>
      <c r="G4" s="14"/>
      <c r="H4" s="14"/>
    </row>
    <row r="5" spans="1:8">
      <c r="A5" s="14"/>
      <c r="B5" s="14"/>
      <c r="C5" s="14"/>
      <c r="D5" s="14"/>
      <c r="E5" s="14"/>
      <c r="F5" s="14"/>
      <c r="G5" s="14"/>
      <c r="H5" s="14"/>
    </row>
    <row r="6" spans="1:8" ht="15.75" thickBot="1">
      <c r="A6" s="58" t="s">
        <v>50</v>
      </c>
      <c r="B6" s="58"/>
      <c r="C6" s="14"/>
      <c r="D6" s="58" t="s">
        <v>51</v>
      </c>
      <c r="E6" s="58"/>
      <c r="F6" s="14"/>
      <c r="G6" s="58" t="s">
        <v>52</v>
      </c>
      <c r="H6" s="58"/>
    </row>
    <row r="7" spans="1:8">
      <c r="A7" s="66">
        <v>1862.03</v>
      </c>
      <c r="B7" s="14">
        <v>1862.03</v>
      </c>
      <c r="C7" s="14"/>
      <c r="D7" s="66">
        <v>37522.79</v>
      </c>
      <c r="E7" s="14">
        <v>37522.79</v>
      </c>
      <c r="F7" s="14"/>
      <c r="G7" s="66">
        <v>24813.759999999998</v>
      </c>
      <c r="H7" s="14">
        <v>24813.759999999998</v>
      </c>
    </row>
    <row r="8" spans="1:8">
      <c r="A8" s="14"/>
      <c r="B8" s="14"/>
      <c r="C8" s="14"/>
      <c r="D8" s="14"/>
      <c r="E8" s="14"/>
      <c r="F8" s="14"/>
      <c r="G8" s="14"/>
      <c r="H8" s="14"/>
    </row>
    <row r="9" spans="1:8">
      <c r="A9" s="14"/>
      <c r="B9" s="14"/>
      <c r="C9" s="14"/>
      <c r="D9" s="14"/>
      <c r="E9" s="14"/>
      <c r="F9" s="14"/>
      <c r="G9" s="14"/>
      <c r="H9" s="14"/>
    </row>
    <row r="10" spans="1:8" ht="15.75" thickBot="1">
      <c r="A10" s="58" t="s">
        <v>45</v>
      </c>
      <c r="B10" s="58"/>
      <c r="C10" s="14"/>
      <c r="D10" s="58" t="s">
        <v>20</v>
      </c>
      <c r="E10" s="58"/>
      <c r="F10" s="14"/>
      <c r="G10" s="58" t="s">
        <v>21</v>
      </c>
      <c r="H10" s="58"/>
    </row>
    <row r="11" spans="1:8">
      <c r="A11" s="66">
        <v>43071.68</v>
      </c>
      <c r="B11" s="14">
        <v>43071.68</v>
      </c>
      <c r="C11" s="14"/>
      <c r="D11" s="66">
        <v>1964.16</v>
      </c>
      <c r="E11" s="14">
        <v>1964.16</v>
      </c>
      <c r="F11" s="14"/>
      <c r="G11" s="66">
        <v>486.79</v>
      </c>
      <c r="H11" s="14">
        <v>486.79</v>
      </c>
    </row>
    <row r="12" spans="1:8">
      <c r="A12" s="19"/>
      <c r="B12" s="14"/>
      <c r="C12" s="14"/>
      <c r="D12" s="19"/>
      <c r="E12" s="14"/>
      <c r="F12" s="14"/>
      <c r="G12" s="19"/>
      <c r="H12" s="14"/>
    </row>
    <row r="13" spans="1:8">
      <c r="A13" s="19"/>
      <c r="B13" s="14"/>
      <c r="C13" s="14"/>
      <c r="D13" s="19"/>
      <c r="E13" s="14"/>
      <c r="F13" s="14"/>
      <c r="G13" s="19"/>
      <c r="H13" s="14"/>
    </row>
    <row r="14" spans="1:8" ht="15.75" thickBot="1">
      <c r="A14" s="58" t="s">
        <v>22</v>
      </c>
      <c r="B14" s="58"/>
      <c r="C14" s="14"/>
      <c r="D14" s="58" t="s">
        <v>53</v>
      </c>
      <c r="E14" s="58"/>
      <c r="F14" s="14"/>
      <c r="G14" s="58" t="s">
        <v>23</v>
      </c>
      <c r="H14" s="58"/>
    </row>
    <row r="15" spans="1:8">
      <c r="A15" s="66">
        <v>24000</v>
      </c>
      <c r="B15" s="14">
        <v>24000</v>
      </c>
      <c r="C15" s="14"/>
      <c r="D15" s="66">
        <v>4980.12</v>
      </c>
      <c r="E15" s="14">
        <v>4980.12</v>
      </c>
      <c r="F15" s="14"/>
      <c r="G15" s="66">
        <v>3471.12</v>
      </c>
      <c r="H15" s="14">
        <v>3471.12</v>
      </c>
    </row>
    <row r="16" spans="1:8">
      <c r="A16" s="18"/>
      <c r="B16" s="14"/>
      <c r="C16" s="14"/>
      <c r="D16" s="18"/>
      <c r="E16" s="14"/>
      <c r="F16" s="14"/>
      <c r="G16" s="18"/>
      <c r="H16" s="14"/>
    </row>
    <row r="17" spans="1:8">
      <c r="A17" s="14"/>
      <c r="B17" s="14"/>
      <c r="C17" s="14"/>
      <c r="D17" s="14"/>
      <c r="E17" s="14"/>
      <c r="F17" s="14"/>
      <c r="G17" s="14"/>
      <c r="H17" s="14"/>
    </row>
    <row r="18" spans="1:8" ht="15.75" thickBot="1">
      <c r="A18" s="58" t="s">
        <v>24</v>
      </c>
      <c r="B18" s="58"/>
      <c r="C18" s="14"/>
      <c r="D18" s="58" t="s">
        <v>54</v>
      </c>
      <c r="E18" s="58"/>
      <c r="F18" s="14"/>
      <c r="G18" s="58" t="s">
        <v>55</v>
      </c>
      <c r="H18" s="58"/>
    </row>
    <row r="19" spans="1:8">
      <c r="A19" s="66">
        <v>1165.2</v>
      </c>
      <c r="B19" s="14">
        <v>1165.2</v>
      </c>
      <c r="C19" s="14"/>
      <c r="D19" s="66">
        <v>3090.24</v>
      </c>
      <c r="E19" s="14">
        <v>3090.24</v>
      </c>
      <c r="F19" s="14"/>
      <c r="G19" s="66">
        <v>41400</v>
      </c>
      <c r="H19" s="14">
        <v>41400</v>
      </c>
    </row>
    <row r="20" spans="1:8">
      <c r="A20" s="18"/>
      <c r="B20" s="14"/>
      <c r="C20" s="14"/>
      <c r="D20" s="18"/>
      <c r="E20" s="14"/>
      <c r="F20" s="14"/>
      <c r="G20" s="18"/>
      <c r="H20" s="14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 ht="15.75" thickBot="1">
      <c r="A23" s="58" t="s">
        <v>56</v>
      </c>
      <c r="B23" s="58"/>
      <c r="C23" s="14"/>
      <c r="D23" s="58" t="s">
        <v>27</v>
      </c>
      <c r="E23" s="58"/>
      <c r="F23" s="14"/>
      <c r="G23" s="58" t="s">
        <v>48</v>
      </c>
      <c r="H23" s="58"/>
    </row>
    <row r="24" spans="1:8">
      <c r="A24" s="66">
        <v>12000</v>
      </c>
      <c r="B24" s="14">
        <v>12000</v>
      </c>
      <c r="C24" s="14"/>
      <c r="D24" s="66">
        <v>18940.07</v>
      </c>
      <c r="E24" s="14">
        <v>18940.07</v>
      </c>
      <c r="F24" s="14"/>
      <c r="G24" s="66">
        <v>3600</v>
      </c>
      <c r="H24" s="14">
        <v>3600</v>
      </c>
    </row>
    <row r="25" spans="1:8">
      <c r="A25" s="18"/>
      <c r="B25" s="14"/>
      <c r="C25" s="14"/>
      <c r="D25" s="18"/>
      <c r="E25" s="14"/>
      <c r="F25" s="14"/>
      <c r="G25" s="18"/>
      <c r="H25" s="14"/>
    </row>
    <row r="26" spans="1:8">
      <c r="A26" s="55"/>
      <c r="B26" s="14"/>
      <c r="C26" s="14"/>
      <c r="D26" s="19"/>
      <c r="E26" s="14"/>
      <c r="F26" s="14"/>
      <c r="G26" s="19"/>
      <c r="H26" s="14"/>
    </row>
    <row r="27" spans="1:8">
      <c r="A27" s="19"/>
      <c r="B27" s="14"/>
      <c r="C27" s="14"/>
      <c r="D27" s="19"/>
      <c r="E27" s="14"/>
      <c r="F27" s="14"/>
      <c r="G27" s="19"/>
      <c r="H27" s="14"/>
    </row>
    <row r="28" spans="1:8" ht="15.75" thickBot="1">
      <c r="A28" s="58" t="s">
        <v>57</v>
      </c>
      <c r="B28" s="58"/>
      <c r="C28" s="14"/>
      <c r="D28" s="58" t="s">
        <v>28</v>
      </c>
      <c r="E28" s="58"/>
      <c r="F28" s="14"/>
      <c r="G28" s="58" t="s">
        <v>117</v>
      </c>
      <c r="H28" s="58"/>
    </row>
    <row r="29" spans="1:8">
      <c r="A29" s="16">
        <v>1650.9</v>
      </c>
      <c r="B29" s="14"/>
      <c r="C29" s="14"/>
      <c r="D29" s="66">
        <v>17074.04</v>
      </c>
      <c r="E29" s="14">
        <v>17074.04</v>
      </c>
      <c r="F29" s="14"/>
      <c r="G29" s="66">
        <v>30000</v>
      </c>
      <c r="H29" s="14">
        <v>30000</v>
      </c>
    </row>
    <row r="30" spans="1:8">
      <c r="A30" s="18">
        <v>2320.33</v>
      </c>
      <c r="B30" s="14"/>
      <c r="C30" s="14"/>
      <c r="D30" s="18"/>
      <c r="E30" s="14"/>
      <c r="F30" s="14"/>
      <c r="G30" s="18"/>
      <c r="H30" s="14"/>
    </row>
    <row r="31" spans="1:8">
      <c r="A31" s="18">
        <v>646.12</v>
      </c>
      <c r="B31" s="14"/>
      <c r="C31" s="14"/>
      <c r="D31" s="18"/>
      <c r="E31" s="14"/>
      <c r="F31" s="14"/>
      <c r="G31" s="18"/>
      <c r="H31" s="14"/>
    </row>
    <row r="32" spans="1:8">
      <c r="A32" s="18">
        <v>1314.31</v>
      </c>
      <c r="B32" s="14"/>
      <c r="C32" s="14"/>
      <c r="D32" s="18"/>
      <c r="E32" s="14"/>
      <c r="F32" s="14"/>
      <c r="G32" s="18"/>
      <c r="H32" s="14"/>
    </row>
    <row r="33" spans="1:8">
      <c r="A33" s="18">
        <v>1312.22</v>
      </c>
      <c r="B33" s="14"/>
      <c r="C33" s="14"/>
      <c r="D33" s="18"/>
      <c r="E33" s="14"/>
      <c r="F33" s="14"/>
      <c r="G33" s="18"/>
      <c r="H33" s="14"/>
    </row>
    <row r="34" spans="1:8">
      <c r="A34" s="54">
        <f>SUM(A29:A33)</f>
        <v>7243.88</v>
      </c>
      <c r="B34" s="14">
        <v>7243.88</v>
      </c>
      <c r="C34" s="14"/>
      <c r="D34" s="14"/>
      <c r="E34" s="14"/>
      <c r="F34" s="14"/>
      <c r="G34" s="54"/>
      <c r="H34" s="14"/>
    </row>
    <row r="35" spans="1:8">
      <c r="A35" s="14"/>
      <c r="B35" s="14"/>
      <c r="C35" s="14"/>
      <c r="D35" s="14"/>
      <c r="E35" s="14"/>
      <c r="F35" s="14"/>
      <c r="G35" s="14"/>
      <c r="H35" s="14"/>
    </row>
    <row r="36" spans="1:8" ht="15.75" thickBot="1">
      <c r="A36" s="58" t="s">
        <v>119</v>
      </c>
      <c r="B36" s="58"/>
      <c r="C36" s="14"/>
      <c r="D36" s="58"/>
      <c r="E36" s="58"/>
      <c r="F36" s="14"/>
      <c r="G36" s="58"/>
      <c r="H36" s="58"/>
    </row>
    <row r="37" spans="1:8">
      <c r="A37" s="16">
        <v>346841</v>
      </c>
      <c r="B37" s="14">
        <v>687496.88</v>
      </c>
      <c r="C37" s="14"/>
      <c r="D37" s="16"/>
      <c r="E37" s="14"/>
      <c r="F37" s="14"/>
      <c r="G37" s="16"/>
      <c r="H37" s="14"/>
    </row>
    <row r="38" spans="1:8">
      <c r="A38" s="18">
        <v>21534.52</v>
      </c>
      <c r="B38" s="14"/>
      <c r="C38" s="14"/>
      <c r="D38" s="18"/>
      <c r="E38" s="14"/>
      <c r="F38" s="14"/>
      <c r="G38" s="18"/>
      <c r="H38" s="14"/>
    </row>
    <row r="39" spans="1:8">
      <c r="A39" s="18">
        <v>35293.85</v>
      </c>
      <c r="B39" s="14"/>
      <c r="C39" s="14"/>
      <c r="D39" s="18"/>
      <c r="E39" s="14"/>
      <c r="F39" s="14"/>
      <c r="G39" s="18"/>
      <c r="H39" s="14"/>
    </row>
    <row r="40" spans="1:8">
      <c r="A40" s="18">
        <v>1862.03</v>
      </c>
      <c r="B40" s="14"/>
      <c r="C40" s="14"/>
      <c r="D40" s="18"/>
      <c r="E40" s="14"/>
      <c r="F40" s="14"/>
      <c r="G40" s="18"/>
      <c r="H40" s="14"/>
    </row>
    <row r="41" spans="1:8">
      <c r="A41" s="18">
        <v>37522.79</v>
      </c>
      <c r="B41" s="14"/>
      <c r="C41" s="14"/>
      <c r="D41" s="18"/>
      <c r="E41" s="14"/>
      <c r="F41" s="14"/>
      <c r="G41" s="18"/>
      <c r="H41" s="14"/>
    </row>
    <row r="42" spans="1:8">
      <c r="A42" s="18">
        <v>24813.759999999998</v>
      </c>
      <c r="B42" s="14"/>
      <c r="C42" s="14"/>
      <c r="D42" s="18"/>
      <c r="E42" s="14"/>
      <c r="F42" s="14"/>
      <c r="G42" s="18"/>
      <c r="H42" s="14"/>
    </row>
    <row r="43" spans="1:8">
      <c r="A43" s="18">
        <v>43071.68</v>
      </c>
      <c r="B43" s="14"/>
      <c r="C43" s="14"/>
      <c r="D43" s="18"/>
      <c r="E43" s="14"/>
      <c r="F43" s="14"/>
      <c r="G43" s="18"/>
      <c r="H43" s="14"/>
    </row>
    <row r="44" spans="1:8">
      <c r="A44" s="18">
        <v>1964.16</v>
      </c>
      <c r="B44" s="14"/>
      <c r="C44" s="14"/>
      <c r="D44" s="18"/>
      <c r="E44" s="14"/>
      <c r="F44" s="14"/>
      <c r="G44" s="18"/>
      <c r="H44" s="14"/>
    </row>
    <row r="45" spans="1:8">
      <c r="A45" s="18">
        <v>486.79</v>
      </c>
      <c r="B45" s="14"/>
      <c r="C45" s="14"/>
      <c r="D45" s="18"/>
      <c r="E45" s="14"/>
      <c r="F45" s="14"/>
      <c r="G45" s="18"/>
      <c r="H45" s="14"/>
    </row>
    <row r="46" spans="1:8">
      <c r="A46" s="18">
        <v>24000</v>
      </c>
      <c r="B46" s="14"/>
      <c r="C46" s="14"/>
      <c r="D46" s="18"/>
      <c r="E46" s="14"/>
      <c r="F46" s="14"/>
      <c r="G46" s="18"/>
      <c r="H46" s="14"/>
    </row>
    <row r="47" spans="1:8">
      <c r="A47" s="18">
        <v>4980.12</v>
      </c>
      <c r="B47" s="14"/>
      <c r="C47" s="14"/>
      <c r="D47" s="18"/>
      <c r="E47" s="14"/>
      <c r="F47" s="14"/>
      <c r="G47" s="18"/>
      <c r="H47" s="14"/>
    </row>
    <row r="48" spans="1:8">
      <c r="A48" s="18">
        <v>3471.12</v>
      </c>
      <c r="B48" s="14"/>
      <c r="C48" s="14"/>
      <c r="D48" s="18"/>
      <c r="E48" s="14"/>
      <c r="F48" s="14"/>
      <c r="G48" s="18"/>
      <c r="H48" s="14"/>
    </row>
    <row r="49" spans="1:8">
      <c r="A49" s="18">
        <v>1165.2</v>
      </c>
      <c r="B49" s="14"/>
      <c r="C49" s="14"/>
      <c r="D49" s="18"/>
      <c r="E49" s="14"/>
      <c r="F49" s="14"/>
      <c r="G49" s="18"/>
      <c r="H49" s="14"/>
    </row>
    <row r="50" spans="1:8">
      <c r="A50" s="18">
        <v>3090.24</v>
      </c>
      <c r="B50" s="14"/>
      <c r="C50" s="14"/>
      <c r="D50" s="18"/>
      <c r="E50" s="14"/>
      <c r="F50" s="14"/>
      <c r="G50" s="18"/>
      <c r="H50" s="14"/>
    </row>
    <row r="51" spans="1:8">
      <c r="A51" s="18">
        <v>41400</v>
      </c>
      <c r="B51" s="14"/>
      <c r="C51" s="14"/>
      <c r="D51" s="18"/>
      <c r="E51" s="14"/>
      <c r="F51" s="14"/>
      <c r="G51" s="18"/>
      <c r="H51" s="14"/>
    </row>
    <row r="52" spans="1:8">
      <c r="A52" s="18">
        <v>12000</v>
      </c>
      <c r="B52" s="14"/>
      <c r="C52" s="14"/>
      <c r="D52" s="18"/>
      <c r="E52" s="14"/>
      <c r="F52" s="14"/>
      <c r="G52" s="18"/>
      <c r="H52" s="14"/>
    </row>
    <row r="53" spans="1:8">
      <c r="A53" s="18">
        <v>18940.07</v>
      </c>
      <c r="B53" s="14"/>
      <c r="C53" s="14"/>
      <c r="D53" s="18"/>
      <c r="E53" s="14"/>
      <c r="F53" s="14"/>
      <c r="G53" s="18"/>
      <c r="H53" s="14"/>
    </row>
    <row r="54" spans="1:8">
      <c r="A54" s="18">
        <v>3600</v>
      </c>
      <c r="B54" s="14"/>
      <c r="C54" s="14"/>
      <c r="D54" s="18"/>
      <c r="E54" s="14"/>
      <c r="F54" s="14"/>
      <c r="G54" s="18"/>
      <c r="H54" s="14"/>
    </row>
    <row r="55" spans="1:8">
      <c r="A55" s="18">
        <v>7243.88</v>
      </c>
      <c r="B55" s="14"/>
      <c r="C55" s="14"/>
      <c r="D55" s="18"/>
      <c r="E55" s="14"/>
      <c r="F55" s="14"/>
      <c r="G55" s="18"/>
      <c r="H55" s="14"/>
    </row>
    <row r="56" spans="1:8">
      <c r="A56" s="18">
        <v>17074.04</v>
      </c>
      <c r="B56" s="14"/>
      <c r="C56" s="14"/>
      <c r="D56" s="18"/>
      <c r="E56" s="14"/>
      <c r="F56" s="14"/>
      <c r="G56" s="18"/>
      <c r="H56" s="14"/>
    </row>
    <row r="57" spans="1:8">
      <c r="A57" s="18">
        <v>30000</v>
      </c>
      <c r="B57" s="14"/>
      <c r="C57" s="14"/>
      <c r="D57" s="18"/>
      <c r="E57" s="14"/>
      <c r="F57" s="14"/>
      <c r="G57" s="18"/>
      <c r="H57" s="14"/>
    </row>
    <row r="58" spans="1:8">
      <c r="A58" s="14">
        <f>SUM(A37:A57)</f>
        <v>680355.24999999988</v>
      </c>
      <c r="B58" s="14">
        <f>SUM(B37:B57)</f>
        <v>687496.88</v>
      </c>
      <c r="C58" s="14"/>
      <c r="D58" s="14"/>
      <c r="E58" s="14"/>
      <c r="F58" s="14"/>
      <c r="G58" s="14"/>
      <c r="H58" s="14"/>
    </row>
    <row r="59" spans="1:8">
      <c r="A59" s="14">
        <v>7141.63</v>
      </c>
      <c r="B59" s="54">
        <f>B58-A58</f>
        <v>7141.6300000001211</v>
      </c>
      <c r="C59" s="14"/>
      <c r="D59" s="14"/>
      <c r="E59" s="14"/>
      <c r="F59" s="14"/>
      <c r="G59" s="14"/>
      <c r="H59" s="14"/>
    </row>
    <row r="60" spans="1:8">
      <c r="A60" s="14"/>
      <c r="B60" s="54"/>
      <c r="C60" s="14"/>
      <c r="D60" s="14"/>
      <c r="E60" s="14"/>
      <c r="F60" s="14"/>
      <c r="G60" s="14"/>
      <c r="H60" s="14"/>
    </row>
    <row r="61" spans="1:8" ht="15.75" thickBot="1">
      <c r="A61" s="58"/>
      <c r="B61" s="58"/>
      <c r="C61" s="14"/>
      <c r="D61" s="58"/>
      <c r="E61" s="58"/>
      <c r="F61" s="14"/>
      <c r="G61" s="58"/>
      <c r="H61" s="58"/>
    </row>
    <row r="62" spans="1:8">
      <c r="A62" s="16"/>
      <c r="B62" s="14"/>
      <c r="C62" s="14"/>
      <c r="D62" s="16"/>
      <c r="E62" s="14"/>
      <c r="F62" s="14"/>
      <c r="G62" s="16"/>
      <c r="H62" s="14"/>
    </row>
    <row r="63" spans="1:8">
      <c r="A63" s="18"/>
      <c r="B63" s="14"/>
      <c r="C63" s="14"/>
      <c r="D63" s="18"/>
      <c r="E63" s="14"/>
      <c r="F63" s="14"/>
      <c r="G63" s="18"/>
      <c r="H63" s="14"/>
    </row>
    <row r="64" spans="1:8">
      <c r="A64" s="18"/>
      <c r="B64" s="14"/>
      <c r="C64" s="14"/>
      <c r="D64" s="18"/>
      <c r="E64" s="14"/>
      <c r="F64" s="14"/>
      <c r="G64" s="18"/>
      <c r="H64" s="14"/>
    </row>
    <row r="65" spans="1:8">
      <c r="A65" s="18"/>
      <c r="B65" s="14"/>
      <c r="C65" s="14"/>
      <c r="D65" s="18"/>
      <c r="E65" s="14"/>
      <c r="F65" s="14"/>
      <c r="G65" s="18"/>
      <c r="H65" s="14"/>
    </row>
    <row r="66" spans="1:8">
      <c r="A66" s="18"/>
      <c r="B66" s="14"/>
      <c r="C66" s="14"/>
      <c r="D66" s="18"/>
      <c r="E66" s="14"/>
      <c r="F66" s="14"/>
      <c r="G66" s="18"/>
      <c r="H66" s="14"/>
    </row>
    <row r="67" spans="1:8">
      <c r="A67" s="18"/>
      <c r="B67" s="14"/>
      <c r="C67" s="14"/>
      <c r="D67" s="18"/>
      <c r="E67" s="14"/>
      <c r="F67" s="14"/>
      <c r="G67" s="18"/>
      <c r="H67" s="14"/>
    </row>
    <row r="68" spans="1:8">
      <c r="A68" s="18"/>
      <c r="B68" s="14"/>
      <c r="C68" s="14"/>
      <c r="D68" s="18"/>
      <c r="E68" s="14"/>
      <c r="F68" s="14"/>
      <c r="G68" s="18"/>
      <c r="H68" s="14"/>
    </row>
    <row r="69" spans="1:8">
      <c r="A69" s="18"/>
      <c r="B69" s="14"/>
      <c r="C69" s="14"/>
      <c r="D69" s="18"/>
      <c r="E69" s="14"/>
      <c r="F69" s="14"/>
      <c r="G69" s="18"/>
      <c r="H69" s="14"/>
    </row>
    <row r="70" spans="1:8">
      <c r="A70" s="18"/>
      <c r="B70" s="14"/>
      <c r="C70" s="14"/>
      <c r="D70" s="18"/>
      <c r="E70" s="14"/>
      <c r="F70" s="14"/>
      <c r="G70" s="18"/>
      <c r="H70" s="14"/>
    </row>
    <row r="71" spans="1:8">
      <c r="A71" s="18"/>
      <c r="B71" s="14"/>
      <c r="C71" s="14"/>
      <c r="D71" s="18"/>
      <c r="E71" s="14"/>
      <c r="F71" s="14"/>
      <c r="G71" s="18"/>
      <c r="H71" s="14"/>
    </row>
    <row r="72" spans="1:8">
      <c r="A72" s="18"/>
      <c r="B72" s="14"/>
      <c r="C72" s="14"/>
      <c r="D72" s="18"/>
      <c r="E72" s="14"/>
      <c r="F72" s="14"/>
      <c r="G72" s="18"/>
      <c r="H72" s="14"/>
    </row>
    <row r="73" spans="1:8">
      <c r="A73" s="18"/>
      <c r="B73" s="14"/>
      <c r="C73" s="14"/>
      <c r="D73" s="18"/>
      <c r="E73" s="14"/>
      <c r="F73" s="14"/>
      <c r="G73" s="18"/>
      <c r="H73" s="14"/>
    </row>
    <row r="74" spans="1:8">
      <c r="A74" s="14"/>
      <c r="B74" s="14"/>
      <c r="C74" s="14"/>
      <c r="D74" s="14"/>
      <c r="E74" s="14"/>
      <c r="F74" s="14"/>
      <c r="G74" s="14"/>
      <c r="H74" s="14"/>
    </row>
    <row r="75" spans="1:8">
      <c r="A75" s="14"/>
      <c r="B75" s="14"/>
      <c r="C75" s="14"/>
      <c r="D75" s="14"/>
      <c r="E75" s="14"/>
      <c r="F75" s="14"/>
      <c r="G75" s="14"/>
      <c r="H75" s="14"/>
    </row>
    <row r="76" spans="1:8" ht="15.75" thickBot="1">
      <c r="A76" s="58"/>
      <c r="B76" s="58"/>
      <c r="C76" s="14"/>
      <c r="D76" s="58"/>
      <c r="E76" s="58"/>
      <c r="F76" s="14"/>
      <c r="G76" s="58"/>
      <c r="H76" s="58"/>
    </row>
    <row r="77" spans="1:8">
      <c r="A77" s="16"/>
      <c r="B77" s="14"/>
      <c r="C77" s="14"/>
      <c r="D77" s="16"/>
      <c r="E77" s="14"/>
      <c r="F77" s="14"/>
      <c r="G77" s="16"/>
      <c r="H77" s="14"/>
    </row>
    <row r="78" spans="1:8">
      <c r="A78" s="18"/>
      <c r="B78" s="14"/>
      <c r="C78" s="14"/>
      <c r="D78" s="18"/>
      <c r="E78" s="14"/>
      <c r="F78" s="14"/>
      <c r="G78" s="18"/>
      <c r="H78" s="14"/>
    </row>
    <row r="79" spans="1:8">
      <c r="A79" s="18"/>
      <c r="B79" s="14"/>
      <c r="C79" s="14"/>
      <c r="D79" s="18"/>
      <c r="E79" s="14"/>
      <c r="F79" s="14"/>
      <c r="G79" s="18"/>
      <c r="H79" s="14"/>
    </row>
    <row r="80" spans="1:8">
      <c r="A80" s="18"/>
      <c r="B80" s="14"/>
      <c r="C80" s="14"/>
      <c r="D80" s="18"/>
      <c r="E80" s="14"/>
      <c r="F80" s="14"/>
      <c r="G80" s="18"/>
      <c r="H80" s="14"/>
    </row>
    <row r="81" spans="1:8">
      <c r="A81" s="18"/>
      <c r="B81" s="14"/>
      <c r="C81" s="14"/>
      <c r="D81" s="18"/>
      <c r="E81" s="14"/>
      <c r="F81" s="14"/>
      <c r="G81" s="18"/>
      <c r="H81" s="14"/>
    </row>
    <row r="82" spans="1:8">
      <c r="A82" s="18"/>
      <c r="B82" s="14"/>
      <c r="C82" s="14"/>
      <c r="D82" s="18"/>
      <c r="E82" s="14"/>
      <c r="F82" s="14"/>
      <c r="G82" s="18"/>
      <c r="H82" s="14"/>
    </row>
    <row r="83" spans="1:8">
      <c r="A83" s="18"/>
      <c r="B83" s="14"/>
      <c r="C83" s="14"/>
      <c r="D83" s="18"/>
      <c r="E83" s="14"/>
      <c r="F83" s="14"/>
      <c r="G83" s="18"/>
      <c r="H83" s="14"/>
    </row>
    <row r="84" spans="1:8">
      <c r="A84" s="18"/>
      <c r="B84" s="14"/>
      <c r="C84" s="14"/>
      <c r="D84" s="18"/>
      <c r="E84" s="14"/>
      <c r="F84" s="14"/>
      <c r="G84" s="18"/>
      <c r="H84" s="14"/>
    </row>
    <row r="85" spans="1:8">
      <c r="A85" s="18"/>
      <c r="B85" s="14"/>
      <c r="C85" s="14"/>
      <c r="D85" s="18"/>
      <c r="E85" s="14"/>
      <c r="F85" s="14"/>
      <c r="G85" s="18"/>
      <c r="H85" s="14"/>
    </row>
    <row r="86" spans="1:8">
      <c r="A86" s="18"/>
      <c r="B86" s="14"/>
      <c r="C86" s="14"/>
      <c r="D86" s="18"/>
      <c r="E86" s="14"/>
      <c r="F86" s="14"/>
      <c r="G86" s="18"/>
      <c r="H86" s="14"/>
    </row>
    <row r="87" spans="1:8">
      <c r="A87" s="18"/>
      <c r="B87" s="14"/>
      <c r="C87" s="14"/>
      <c r="D87" s="18"/>
      <c r="E87" s="14"/>
      <c r="F87" s="14"/>
      <c r="G87" s="18"/>
      <c r="H87" s="14"/>
    </row>
    <row r="88" spans="1:8">
      <c r="A88" s="14"/>
      <c r="B88" s="14"/>
      <c r="C88" s="14"/>
      <c r="D88" s="14"/>
      <c r="E88" s="14"/>
      <c r="F88" s="14"/>
      <c r="G88" s="14"/>
      <c r="H88" s="14"/>
    </row>
    <row r="89" spans="1:8">
      <c r="A89" s="14"/>
      <c r="B89" s="14"/>
      <c r="C89" s="14"/>
      <c r="D89" s="14"/>
      <c r="E89" s="14"/>
      <c r="F89" s="14"/>
      <c r="G89" s="14"/>
      <c r="H89" s="14"/>
    </row>
    <row r="90" spans="1:8" ht="15.75" thickBot="1">
      <c r="A90" s="58"/>
      <c r="B90" s="58"/>
      <c r="C90" s="14"/>
      <c r="D90" s="58"/>
      <c r="E90" s="58"/>
      <c r="F90" s="14"/>
      <c r="G90" s="58"/>
      <c r="H90" s="58"/>
    </row>
    <row r="91" spans="1:8">
      <c r="A91" s="16"/>
      <c r="B91" s="14"/>
      <c r="C91" s="14"/>
      <c r="D91" s="16"/>
      <c r="E91" s="14"/>
      <c r="F91" s="14"/>
      <c r="G91" s="16"/>
      <c r="H91" s="14"/>
    </row>
    <row r="92" spans="1:8">
      <c r="A92" s="18"/>
      <c r="B92" s="14"/>
      <c r="C92" s="14"/>
      <c r="D92" s="18"/>
      <c r="E92" s="14"/>
      <c r="F92" s="14"/>
      <c r="G92" s="18"/>
      <c r="H92" s="14"/>
    </row>
    <row r="93" spans="1:8">
      <c r="A93" s="18"/>
      <c r="B93" s="14"/>
      <c r="C93" s="14"/>
      <c r="D93" s="18"/>
      <c r="E93" s="14"/>
      <c r="F93" s="14"/>
      <c r="G93" s="18"/>
      <c r="H93" s="14"/>
    </row>
    <row r="94" spans="1:8">
      <c r="A94" s="18"/>
      <c r="B94" s="14"/>
      <c r="C94" s="14"/>
      <c r="D94" s="18"/>
      <c r="E94" s="14"/>
      <c r="F94" s="14"/>
      <c r="G94" s="18"/>
      <c r="H94" s="14"/>
    </row>
    <row r="95" spans="1:8">
      <c r="A95" s="18"/>
      <c r="B95" s="14"/>
      <c r="C95" s="14"/>
      <c r="D95" s="18"/>
      <c r="E95" s="14"/>
      <c r="F95" s="14"/>
      <c r="G95" s="18"/>
      <c r="H95" s="14"/>
    </row>
    <row r="96" spans="1:8">
      <c r="A96" s="18"/>
      <c r="B96" s="14"/>
      <c r="C96" s="14"/>
      <c r="D96" s="18"/>
      <c r="E96" s="14"/>
      <c r="F96" s="14"/>
      <c r="G96" s="18"/>
      <c r="H96" s="14"/>
    </row>
    <row r="97" spans="1:8">
      <c r="A97" s="18"/>
      <c r="B97" s="14"/>
      <c r="C97" s="14"/>
      <c r="D97" s="18"/>
      <c r="E97" s="14"/>
      <c r="F97" s="14"/>
      <c r="G97" s="18"/>
      <c r="H97" s="14"/>
    </row>
    <row r="98" spans="1:8">
      <c r="A98" s="18"/>
      <c r="B98" s="14"/>
      <c r="C98" s="14"/>
      <c r="D98" s="18"/>
      <c r="E98" s="14"/>
      <c r="F98" s="14"/>
      <c r="G98" s="18"/>
      <c r="H98" s="14"/>
    </row>
    <row r="99" spans="1:8">
      <c r="A99" s="18"/>
      <c r="B99" s="14"/>
      <c r="C99" s="14"/>
      <c r="D99" s="18"/>
      <c r="E99" s="14"/>
      <c r="F99" s="14"/>
      <c r="G99" s="18"/>
      <c r="H99" s="14"/>
    </row>
    <row r="100" spans="1:8">
      <c r="A100" s="18"/>
      <c r="B100" s="14"/>
      <c r="C100" s="14"/>
      <c r="D100" s="18"/>
      <c r="E100" s="14"/>
      <c r="F100" s="14"/>
      <c r="G100" s="18"/>
      <c r="H100" s="14"/>
    </row>
    <row r="101" spans="1:8">
      <c r="A101" s="18"/>
      <c r="B101" s="14"/>
      <c r="C101" s="14"/>
      <c r="D101" s="18"/>
      <c r="E101" s="14"/>
      <c r="F101" s="14"/>
      <c r="G101" s="18"/>
      <c r="H101" s="14"/>
    </row>
    <row r="102" spans="1:8">
      <c r="A102" s="18"/>
      <c r="B102" s="14"/>
      <c r="C102" s="14"/>
      <c r="D102" s="18"/>
      <c r="E102" s="14"/>
      <c r="F102" s="14"/>
      <c r="G102" s="18"/>
      <c r="H102" s="14"/>
    </row>
    <row r="103" spans="1:8">
      <c r="A103" s="14"/>
      <c r="B103" s="14"/>
      <c r="C103" s="14"/>
      <c r="D103" s="14"/>
      <c r="E103" s="14"/>
      <c r="F103" s="14"/>
      <c r="G103" s="14"/>
      <c r="H103" s="14"/>
    </row>
    <row r="104" spans="1:8">
      <c r="A104" s="14"/>
      <c r="B104" s="14"/>
      <c r="C104" s="14"/>
      <c r="D104" s="14"/>
      <c r="E104" s="14"/>
      <c r="F104" s="14"/>
      <c r="G104" s="14"/>
      <c r="H104" s="14"/>
    </row>
    <row r="105" spans="1:8" ht="15.75" thickBot="1">
      <c r="A105" s="58"/>
      <c r="B105" s="58"/>
      <c r="C105" s="14"/>
      <c r="D105" s="58"/>
      <c r="E105" s="58"/>
      <c r="F105" s="14"/>
      <c r="G105" s="58"/>
      <c r="H105" s="58"/>
    </row>
    <row r="106" spans="1:8">
      <c r="A106" s="16"/>
      <c r="B106" s="14"/>
      <c r="C106" s="14"/>
      <c r="D106" s="16"/>
      <c r="E106" s="14"/>
      <c r="F106" s="14"/>
      <c r="G106" s="16"/>
      <c r="H106" s="14"/>
    </row>
    <row r="107" spans="1:8">
      <c r="A107" s="18"/>
      <c r="B107" s="14"/>
      <c r="C107" s="14"/>
      <c r="D107" s="18"/>
      <c r="E107" s="14"/>
      <c r="F107" s="14"/>
      <c r="G107" s="18"/>
      <c r="H107" s="14"/>
    </row>
    <row r="108" spans="1:8">
      <c r="A108" s="18"/>
      <c r="B108" s="14"/>
      <c r="C108" s="14"/>
      <c r="D108" s="18"/>
      <c r="E108" s="14"/>
      <c r="F108" s="14"/>
      <c r="G108" s="18"/>
      <c r="H108" s="14"/>
    </row>
    <row r="109" spans="1:8">
      <c r="A109" s="18"/>
      <c r="B109" s="14"/>
      <c r="C109" s="14"/>
      <c r="D109" s="18"/>
      <c r="E109" s="14"/>
      <c r="F109" s="14"/>
      <c r="G109" s="18"/>
      <c r="H109" s="14"/>
    </row>
    <row r="110" spans="1:8">
      <c r="A110" s="18"/>
      <c r="B110" s="14"/>
      <c r="C110" s="14"/>
      <c r="D110" s="18"/>
      <c r="E110" s="14"/>
      <c r="F110" s="14"/>
      <c r="G110" s="18"/>
      <c r="H110" s="14"/>
    </row>
    <row r="111" spans="1:8">
      <c r="A111" s="18"/>
      <c r="B111" s="14"/>
      <c r="C111" s="14"/>
      <c r="D111" s="18"/>
      <c r="E111" s="14"/>
      <c r="F111" s="14"/>
      <c r="G111" s="18"/>
      <c r="H111" s="14"/>
    </row>
    <row r="112" spans="1:8">
      <c r="A112" s="18"/>
      <c r="B112" s="14"/>
      <c r="C112" s="14"/>
      <c r="D112" s="18"/>
      <c r="E112" s="14"/>
      <c r="F112" s="14"/>
      <c r="G112" s="18"/>
      <c r="H112" s="14"/>
    </row>
    <row r="113" spans="1:8">
      <c r="A113" s="18"/>
      <c r="B113" s="14"/>
      <c r="C113" s="14"/>
      <c r="D113" s="18"/>
      <c r="E113" s="14"/>
      <c r="F113" s="14"/>
      <c r="G113" s="18"/>
      <c r="H113" s="14"/>
    </row>
    <row r="114" spans="1:8">
      <c r="A114" s="18"/>
      <c r="B114" s="14"/>
      <c r="C114" s="14"/>
      <c r="D114" s="18"/>
      <c r="E114" s="14"/>
      <c r="F114" s="14"/>
      <c r="G114" s="18"/>
      <c r="H114" s="14"/>
    </row>
    <row r="115" spans="1:8">
      <c r="A115" s="18"/>
      <c r="B115" s="14"/>
      <c r="C115" s="14"/>
      <c r="D115" s="18"/>
      <c r="E115" s="14"/>
      <c r="F115" s="14"/>
      <c r="G115" s="18"/>
      <c r="H115" s="14"/>
    </row>
    <row r="116" spans="1:8">
      <c r="A116" s="18"/>
      <c r="B116" s="14"/>
      <c r="C116" s="14"/>
      <c r="D116" s="18"/>
      <c r="E116" s="14"/>
      <c r="F116" s="14"/>
      <c r="G116" s="18"/>
      <c r="H116" s="14"/>
    </row>
    <row r="117" spans="1:8">
      <c r="A117" s="14"/>
      <c r="B117" s="14"/>
      <c r="C117" s="14"/>
      <c r="D117" s="14"/>
      <c r="E117" s="14"/>
      <c r="F117" s="14"/>
      <c r="G117" s="14"/>
      <c r="H117" s="14"/>
    </row>
    <row r="118" spans="1:8">
      <c r="A118" s="14"/>
      <c r="B118" s="14"/>
      <c r="C118" s="14"/>
      <c r="D118" s="14"/>
      <c r="E118" s="14"/>
      <c r="F118" s="14"/>
      <c r="G118" s="14"/>
      <c r="H118" s="14"/>
    </row>
  </sheetData>
  <mergeCells count="36">
    <mergeCell ref="A2:B2"/>
    <mergeCell ref="D2:E2"/>
    <mergeCell ref="G2:H2"/>
    <mergeCell ref="A6:B6"/>
    <mergeCell ref="D6:E6"/>
    <mergeCell ref="G6:H6"/>
    <mergeCell ref="A10:B10"/>
    <mergeCell ref="D10:E10"/>
    <mergeCell ref="G10:H10"/>
    <mergeCell ref="A14:B14"/>
    <mergeCell ref="D14:E14"/>
    <mergeCell ref="G14:H14"/>
    <mergeCell ref="A18:B18"/>
    <mergeCell ref="D18:E18"/>
    <mergeCell ref="G18:H18"/>
    <mergeCell ref="A23:B23"/>
    <mergeCell ref="D23:E23"/>
    <mergeCell ref="G23:H23"/>
    <mergeCell ref="A28:B28"/>
    <mergeCell ref="D28:E28"/>
    <mergeCell ref="G28:H28"/>
    <mergeCell ref="A36:B36"/>
    <mergeCell ref="D36:E36"/>
    <mergeCell ref="G36:H36"/>
    <mergeCell ref="A61:B61"/>
    <mergeCell ref="D61:E61"/>
    <mergeCell ref="G61:H61"/>
    <mergeCell ref="A76:B76"/>
    <mergeCell ref="D76:E76"/>
    <mergeCell ref="G76:H76"/>
    <mergeCell ref="A90:B90"/>
    <mergeCell ref="D90:E90"/>
    <mergeCell ref="G90:H90"/>
    <mergeCell ref="A105:B105"/>
    <mergeCell ref="D105:E105"/>
    <mergeCell ref="G105:H105"/>
  </mergeCells>
  <pageMargins left="7.874015748031496E-2" right="7.874015748031496E-2" top="0.6692913385826772" bottom="0.59055118110236227" header="0.27559055118110237" footer="0.31496062992125984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N28"/>
  <sheetViews>
    <sheetView tabSelected="1" workbookViewId="0">
      <selection activeCell="G23" sqref="G23"/>
    </sheetView>
  </sheetViews>
  <sheetFormatPr defaultRowHeight="15"/>
  <cols>
    <col min="1" max="1" width="22.28515625" style="13" bestFit="1" customWidth="1"/>
    <col min="2" max="14" width="11.28515625" style="1" customWidth="1"/>
    <col min="15" max="16384" width="9.140625" style="1"/>
  </cols>
  <sheetData>
    <row r="2" spans="1:14">
      <c r="A2" s="12"/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  <c r="G2" s="11" t="s">
        <v>34</v>
      </c>
      <c r="H2" s="11" t="s">
        <v>35</v>
      </c>
      <c r="I2" s="11" t="s">
        <v>36</v>
      </c>
      <c r="J2" s="11" t="s">
        <v>37</v>
      </c>
      <c r="K2" s="11" t="s">
        <v>38</v>
      </c>
      <c r="L2" s="11" t="s">
        <v>39</v>
      </c>
      <c r="M2" s="11" t="s">
        <v>40</v>
      </c>
      <c r="N2" s="10" t="s">
        <v>41</v>
      </c>
    </row>
    <row r="3" spans="1:14">
      <c r="A3" s="12" t="s">
        <v>16</v>
      </c>
      <c r="B3" s="11">
        <v>36226</v>
      </c>
      <c r="C3" s="11">
        <v>35118</v>
      </c>
      <c r="D3" s="11">
        <v>30020</v>
      </c>
      <c r="E3" s="11">
        <v>29363</v>
      </c>
      <c r="F3" s="11">
        <v>28656</v>
      </c>
      <c r="G3" s="11">
        <v>27612</v>
      </c>
      <c r="H3" s="11">
        <v>26011</v>
      </c>
      <c r="I3" s="11">
        <v>26266</v>
      </c>
      <c r="J3" s="11">
        <v>27102</v>
      </c>
      <c r="K3" s="11">
        <v>26737</v>
      </c>
      <c r="L3" s="11">
        <v>26938</v>
      </c>
      <c r="M3" s="11">
        <v>26792</v>
      </c>
      <c r="N3" s="11">
        <f>SUM(B3:M3)</f>
        <v>346841</v>
      </c>
    </row>
    <row r="4" spans="1:14">
      <c r="A4" s="12" t="s">
        <v>17</v>
      </c>
      <c r="B4" s="11">
        <v>2423.92</v>
      </c>
      <c r="C4" s="11">
        <v>2263.21</v>
      </c>
      <c r="D4" s="11">
        <v>1845.21</v>
      </c>
      <c r="E4" s="11">
        <v>1738.51</v>
      </c>
      <c r="F4" s="11">
        <v>1738.51</v>
      </c>
      <c r="G4" s="11">
        <v>1738.51</v>
      </c>
      <c r="H4" s="11">
        <v>1753.94</v>
      </c>
      <c r="I4" s="11">
        <v>1622.8</v>
      </c>
      <c r="J4" s="11">
        <v>1622.8</v>
      </c>
      <c r="K4" s="11">
        <v>1622.8</v>
      </c>
      <c r="L4" s="11">
        <v>1621.51</v>
      </c>
      <c r="M4" s="11">
        <v>1542.8</v>
      </c>
      <c r="N4" s="11">
        <f t="shared" ref="N4:N21" si="0">SUM(B4:M4)</f>
        <v>21534.519999999997</v>
      </c>
    </row>
    <row r="5" spans="1:14">
      <c r="A5" s="12" t="s">
        <v>18</v>
      </c>
      <c r="B5" s="11">
        <v>3736.86</v>
      </c>
      <c r="C5" s="11">
        <v>3635.75</v>
      </c>
      <c r="D5" s="11">
        <v>3202.12</v>
      </c>
      <c r="E5" s="11">
        <v>2869.79</v>
      </c>
      <c r="F5" s="11">
        <v>2863.81</v>
      </c>
      <c r="G5" s="11">
        <v>2815.31</v>
      </c>
      <c r="H5" s="11">
        <v>2795.31</v>
      </c>
      <c r="I5" s="11">
        <v>2667.8</v>
      </c>
      <c r="J5" s="11">
        <v>2825.91</v>
      </c>
      <c r="K5" s="11">
        <v>2652.58</v>
      </c>
      <c r="L5" s="11">
        <v>2637.7</v>
      </c>
      <c r="M5" s="11">
        <v>2590.91</v>
      </c>
      <c r="N5" s="11">
        <f t="shared" si="0"/>
        <v>35293.85</v>
      </c>
    </row>
    <row r="6" spans="1:14">
      <c r="A6" s="12" t="s">
        <v>19</v>
      </c>
      <c r="B6" s="11">
        <v>132.30000000000001</v>
      </c>
      <c r="C6" s="11">
        <v>185.21</v>
      </c>
      <c r="D6" s="11">
        <v>378.51</v>
      </c>
      <c r="E6" s="11">
        <v>216.06</v>
      </c>
      <c r="F6" s="11">
        <v>146.63999999999999</v>
      </c>
      <c r="G6" s="11">
        <v>146.63999999999999</v>
      </c>
      <c r="H6" s="11">
        <v>0</v>
      </c>
      <c r="I6" s="11">
        <v>128.19999999999999</v>
      </c>
      <c r="J6" s="11">
        <v>128.19999999999999</v>
      </c>
      <c r="K6" s="11">
        <v>128.19999999999999</v>
      </c>
      <c r="L6" s="11">
        <v>221.31</v>
      </c>
      <c r="M6" s="11">
        <v>50.76</v>
      </c>
      <c r="N6" s="11">
        <f t="shared" si="0"/>
        <v>1862.0299999999997</v>
      </c>
    </row>
    <row r="7" spans="1:14">
      <c r="A7" s="12" t="s">
        <v>42</v>
      </c>
      <c r="B7" s="11">
        <v>2588.58</v>
      </c>
      <c r="C7" s="11">
        <v>2372.11</v>
      </c>
      <c r="D7" s="11">
        <v>10752.66</v>
      </c>
      <c r="E7" s="11">
        <v>2432.42</v>
      </c>
      <c r="F7" s="11">
        <v>0</v>
      </c>
      <c r="G7" s="11">
        <v>0</v>
      </c>
      <c r="H7" s="11">
        <v>6618.12</v>
      </c>
      <c r="I7" s="11">
        <v>0</v>
      </c>
      <c r="J7" s="11">
        <v>0</v>
      </c>
      <c r="K7" s="11">
        <v>0</v>
      </c>
      <c r="L7" s="11">
        <v>0</v>
      </c>
      <c r="M7" s="11">
        <v>12758.9</v>
      </c>
      <c r="N7" s="11">
        <f t="shared" si="0"/>
        <v>37522.79</v>
      </c>
    </row>
    <row r="8" spans="1:14">
      <c r="A8" s="12" t="s">
        <v>46</v>
      </c>
      <c r="B8" s="11">
        <f>2892.8+964.26</f>
        <v>3857.0600000000004</v>
      </c>
      <c r="C8" s="11">
        <f>1349.97+449.99</f>
        <v>1799.96</v>
      </c>
      <c r="D8" s="11">
        <f>1398.19+466.06</f>
        <v>1864.25</v>
      </c>
      <c r="E8" s="11">
        <f t="shared" ref="E8:K8" si="1">1446.4+482.13</f>
        <v>1928.5300000000002</v>
      </c>
      <c r="F8" s="11">
        <f t="shared" si="1"/>
        <v>1928.5300000000002</v>
      </c>
      <c r="G8" s="11">
        <f t="shared" si="1"/>
        <v>1928.5300000000002</v>
      </c>
      <c r="H8" s="11">
        <f t="shared" si="1"/>
        <v>1928.5300000000002</v>
      </c>
      <c r="I8" s="11">
        <f t="shared" si="1"/>
        <v>1928.5300000000002</v>
      </c>
      <c r="J8" s="11">
        <f t="shared" si="1"/>
        <v>1928.5300000000002</v>
      </c>
      <c r="K8" s="11">
        <f t="shared" si="1"/>
        <v>1928.5300000000002</v>
      </c>
      <c r="L8" s="11">
        <f>1398.19+466.06</f>
        <v>1864.25</v>
      </c>
      <c r="M8" s="11">
        <f>1446.4+482.13</f>
        <v>1928.5300000000002</v>
      </c>
      <c r="N8" s="11">
        <f t="shared" si="0"/>
        <v>24813.759999999998</v>
      </c>
    </row>
    <row r="9" spans="1:14">
      <c r="A9" s="12" t="s">
        <v>20</v>
      </c>
      <c r="B9" s="11">
        <v>163.68</v>
      </c>
      <c r="C9" s="11">
        <v>163.68</v>
      </c>
      <c r="D9" s="11">
        <v>163.68</v>
      </c>
      <c r="E9" s="11">
        <v>163.68</v>
      </c>
      <c r="F9" s="11">
        <v>163.68</v>
      </c>
      <c r="G9" s="11">
        <v>163.68</v>
      </c>
      <c r="H9" s="11">
        <v>163.68</v>
      </c>
      <c r="I9" s="11">
        <v>163.68</v>
      </c>
      <c r="J9" s="11">
        <v>163.68</v>
      </c>
      <c r="K9" s="11">
        <v>163.68</v>
      </c>
      <c r="L9" s="11">
        <v>163.68</v>
      </c>
      <c r="M9" s="11">
        <v>163.68</v>
      </c>
      <c r="N9" s="11">
        <f t="shared" si="0"/>
        <v>1964.1600000000005</v>
      </c>
    </row>
    <row r="10" spans="1:14">
      <c r="A10" s="12" t="s">
        <v>21</v>
      </c>
      <c r="B10" s="11">
        <v>23.16</v>
      </c>
      <c r="C10" s="11">
        <v>89.07</v>
      </c>
      <c r="D10" s="11">
        <v>53.88</v>
      </c>
      <c r="E10" s="11">
        <v>24.48</v>
      </c>
      <c r="F10" s="11">
        <v>36.46</v>
      </c>
      <c r="G10" s="11">
        <v>11.18</v>
      </c>
      <c r="H10" s="11">
        <v>167.16</v>
      </c>
      <c r="I10" s="11">
        <v>36</v>
      </c>
      <c r="J10" s="11">
        <v>11.52</v>
      </c>
      <c r="K10" s="11">
        <v>11.52</v>
      </c>
      <c r="L10" s="11">
        <v>11.18</v>
      </c>
      <c r="M10" s="11">
        <v>11.18</v>
      </c>
      <c r="N10" s="11">
        <f t="shared" si="0"/>
        <v>486.78999999999996</v>
      </c>
    </row>
    <row r="11" spans="1:14">
      <c r="A11" s="12" t="s">
        <v>22</v>
      </c>
      <c r="B11" s="11">
        <v>2000</v>
      </c>
      <c r="C11" s="11">
        <v>2000</v>
      </c>
      <c r="D11" s="11">
        <v>2000</v>
      </c>
      <c r="E11" s="11">
        <v>2000</v>
      </c>
      <c r="F11" s="11">
        <v>2000</v>
      </c>
      <c r="G11" s="11">
        <v>2000</v>
      </c>
      <c r="H11" s="11">
        <v>2000</v>
      </c>
      <c r="I11" s="11">
        <v>2000</v>
      </c>
      <c r="J11" s="11">
        <v>2000</v>
      </c>
      <c r="K11" s="11">
        <v>2000</v>
      </c>
      <c r="L11" s="11">
        <v>2000</v>
      </c>
      <c r="M11" s="11">
        <v>2000</v>
      </c>
      <c r="N11" s="11">
        <f t="shared" si="0"/>
        <v>24000</v>
      </c>
    </row>
    <row r="12" spans="1:14">
      <c r="A12" s="12" t="s">
        <v>45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f>N26*6.265%</f>
        <v>43071.679532000002</v>
      </c>
    </row>
    <row r="13" spans="1:14">
      <c r="A13" s="12" t="s">
        <v>49</v>
      </c>
      <c r="B13" s="11">
        <v>1900</v>
      </c>
      <c r="C13" s="11">
        <v>991</v>
      </c>
      <c r="D13" s="11">
        <v>0</v>
      </c>
      <c r="E13" s="11">
        <v>0</v>
      </c>
      <c r="F13" s="11">
        <v>0</v>
      </c>
      <c r="G13" s="11">
        <v>0</v>
      </c>
      <c r="H13" s="11">
        <v>596.12</v>
      </c>
      <c r="I13" s="11">
        <v>114</v>
      </c>
      <c r="J13" s="11">
        <v>0</v>
      </c>
      <c r="K13" s="11">
        <v>575</v>
      </c>
      <c r="L13" s="11">
        <v>0</v>
      </c>
      <c r="M13" s="11">
        <v>804</v>
      </c>
      <c r="N13" s="11">
        <f>SUM(B13:M13)</f>
        <v>4980.12</v>
      </c>
    </row>
    <row r="14" spans="1:14">
      <c r="A14" s="12" t="s">
        <v>23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3471.12</v>
      </c>
    </row>
    <row r="15" spans="1:14">
      <c r="A15" s="12" t="s">
        <v>24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1165.2</v>
      </c>
    </row>
    <row r="16" spans="1:14">
      <c r="A16" s="12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3090.24</v>
      </c>
    </row>
    <row r="17" spans="1:14">
      <c r="A17" s="12" t="s">
        <v>43</v>
      </c>
      <c r="B17" s="11">
        <v>3450</v>
      </c>
      <c r="C17" s="11">
        <v>3450</v>
      </c>
      <c r="D17" s="11">
        <v>3450</v>
      </c>
      <c r="E17" s="11">
        <v>3450</v>
      </c>
      <c r="F17" s="11">
        <v>3450</v>
      </c>
      <c r="G17" s="11">
        <v>3450</v>
      </c>
      <c r="H17" s="11">
        <v>3450</v>
      </c>
      <c r="I17" s="11">
        <v>3450</v>
      </c>
      <c r="J17" s="11">
        <v>3450</v>
      </c>
      <c r="K17" s="11">
        <v>3450</v>
      </c>
      <c r="L17" s="11">
        <v>3450</v>
      </c>
      <c r="M17" s="11">
        <v>3450</v>
      </c>
      <c r="N17" s="11">
        <f t="shared" si="0"/>
        <v>41400</v>
      </c>
    </row>
    <row r="18" spans="1:14">
      <c r="A18" s="12" t="s">
        <v>26</v>
      </c>
      <c r="B18" s="11">
        <v>1000</v>
      </c>
      <c r="C18" s="11">
        <v>1000</v>
      </c>
      <c r="D18" s="11">
        <v>1000</v>
      </c>
      <c r="E18" s="11">
        <v>1000</v>
      </c>
      <c r="F18" s="11">
        <v>1000</v>
      </c>
      <c r="G18" s="11">
        <v>1000</v>
      </c>
      <c r="H18" s="11">
        <v>1000</v>
      </c>
      <c r="I18" s="11">
        <v>1000</v>
      </c>
      <c r="J18" s="11">
        <v>1000</v>
      </c>
      <c r="K18" s="11">
        <v>1000</v>
      </c>
      <c r="L18" s="11">
        <v>1000</v>
      </c>
      <c r="M18" s="11">
        <v>1000</v>
      </c>
      <c r="N18" s="11">
        <f t="shared" si="0"/>
        <v>12000</v>
      </c>
    </row>
    <row r="19" spans="1:14">
      <c r="A19" s="12" t="s">
        <v>27</v>
      </c>
      <c r="B19" s="11">
        <v>1665.2</v>
      </c>
      <c r="C19" s="11">
        <v>1382.48</v>
      </c>
      <c r="D19" s="11">
        <v>1573.66</v>
      </c>
      <c r="E19" s="11">
        <v>1606.12</v>
      </c>
      <c r="F19" s="11">
        <v>1650.85</v>
      </c>
      <c r="G19" s="11">
        <v>1515.17</v>
      </c>
      <c r="H19" s="11">
        <v>1479</v>
      </c>
      <c r="I19" s="11">
        <v>1603.74</v>
      </c>
      <c r="J19" s="11">
        <v>1610.24</v>
      </c>
      <c r="K19" s="11">
        <v>1587.85</v>
      </c>
      <c r="L19" s="11">
        <v>1612.66</v>
      </c>
      <c r="M19" s="11">
        <v>1653.1</v>
      </c>
      <c r="N19" s="11">
        <f t="shared" si="0"/>
        <v>18940.07</v>
      </c>
    </row>
    <row r="20" spans="1:14">
      <c r="A20" s="12" t="s">
        <v>48</v>
      </c>
      <c r="B20" s="11">
        <v>300</v>
      </c>
      <c r="C20" s="11">
        <v>300</v>
      </c>
      <c r="D20" s="11">
        <v>300</v>
      </c>
      <c r="E20" s="11">
        <v>300</v>
      </c>
      <c r="F20" s="11">
        <v>300</v>
      </c>
      <c r="G20" s="11">
        <v>300</v>
      </c>
      <c r="H20" s="11">
        <v>300</v>
      </c>
      <c r="I20" s="11">
        <v>300</v>
      </c>
      <c r="J20" s="11">
        <v>300</v>
      </c>
      <c r="K20" s="11">
        <v>300</v>
      </c>
      <c r="L20" s="11">
        <v>300</v>
      </c>
      <c r="M20" s="11">
        <v>300</v>
      </c>
      <c r="N20" s="11">
        <f t="shared" si="0"/>
        <v>3600</v>
      </c>
    </row>
    <row r="21" spans="1:14">
      <c r="A21" s="12" t="s">
        <v>117</v>
      </c>
      <c r="B21" s="11">
        <v>2500</v>
      </c>
      <c r="C21" s="11">
        <v>2500</v>
      </c>
      <c r="D21" s="11">
        <v>2500</v>
      </c>
      <c r="E21" s="11">
        <v>2500</v>
      </c>
      <c r="F21" s="11">
        <v>2500</v>
      </c>
      <c r="G21" s="11">
        <v>2500</v>
      </c>
      <c r="H21" s="11">
        <v>2500</v>
      </c>
      <c r="I21" s="11">
        <v>2500</v>
      </c>
      <c r="J21" s="11">
        <v>2500</v>
      </c>
      <c r="K21" s="11">
        <v>2500</v>
      </c>
      <c r="L21" s="11">
        <v>2500</v>
      </c>
      <c r="M21" s="11">
        <v>2500</v>
      </c>
      <c r="N21" s="11">
        <f t="shared" si="0"/>
        <v>30000</v>
      </c>
    </row>
    <row r="22" spans="1:14">
      <c r="A22" s="12" t="s">
        <v>47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>
        <v>7243.88</v>
      </c>
    </row>
    <row r="23" spans="1:14">
      <c r="A23" s="12" t="s">
        <v>28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>
        <v>17074.04</v>
      </c>
    </row>
    <row r="24" spans="1:14">
      <c r="B24" s="9">
        <f t="shared" ref="B24:M24" si="2">SUM(B3:B23)</f>
        <v>61966.76</v>
      </c>
      <c r="C24" s="9">
        <f t="shared" si="2"/>
        <v>57250.47</v>
      </c>
      <c r="D24" s="9">
        <f t="shared" si="2"/>
        <v>59103.97</v>
      </c>
      <c r="E24" s="9">
        <f t="shared" si="2"/>
        <v>49592.59</v>
      </c>
      <c r="F24" s="9">
        <f t="shared" si="2"/>
        <v>46434.479999999996</v>
      </c>
      <c r="G24" s="9">
        <f t="shared" si="2"/>
        <v>45181.02</v>
      </c>
      <c r="H24" s="9">
        <f t="shared" si="2"/>
        <v>50762.860000000008</v>
      </c>
      <c r="I24" s="9">
        <f t="shared" si="2"/>
        <v>43780.749999999993</v>
      </c>
      <c r="J24" s="9">
        <f t="shared" si="2"/>
        <v>44642.879999999997</v>
      </c>
      <c r="K24" s="9">
        <f t="shared" si="2"/>
        <v>44657.159999999996</v>
      </c>
      <c r="L24" s="9">
        <f t="shared" si="2"/>
        <v>44320.290000000008</v>
      </c>
      <c r="M24" s="9">
        <f t="shared" si="2"/>
        <v>57545.859999999993</v>
      </c>
      <c r="N24" s="9">
        <f>SUM(N3:N23)</f>
        <v>680355.24953199993</v>
      </c>
    </row>
    <row r="26" spans="1:14">
      <c r="A26" s="12" t="s">
        <v>44</v>
      </c>
      <c r="B26" s="9">
        <v>59865.88</v>
      </c>
      <c r="C26" s="9">
        <v>50853.64</v>
      </c>
      <c r="D26" s="9">
        <v>41265.919999999998</v>
      </c>
      <c r="E26" s="9">
        <v>44691.16</v>
      </c>
      <c r="F26" s="9">
        <v>38805.800000000003</v>
      </c>
      <c r="G26" s="9">
        <v>157841.4</v>
      </c>
      <c r="H26" s="9">
        <v>31975.759999999998</v>
      </c>
      <c r="I26" s="9">
        <v>46133.88</v>
      </c>
      <c r="J26" s="9">
        <v>34676.199999999997</v>
      </c>
      <c r="K26" s="9">
        <v>36875.64</v>
      </c>
      <c r="L26" s="9">
        <v>36305.96</v>
      </c>
      <c r="M26" s="9">
        <v>108205.64</v>
      </c>
      <c r="N26" s="9">
        <f>SUM(B26:M26)</f>
        <v>687496.88</v>
      </c>
    </row>
    <row r="28" spans="1:14">
      <c r="N28" s="9">
        <f>N26-N24</f>
        <v>7141.6304680000758</v>
      </c>
    </row>
  </sheetData>
  <pageMargins left="0.19685039370078741" right="0.19685039370078741" top="0.6692913385826772" bottom="0.59055118110236227" header="0.27559055118110237" footer="0.31496062992125984"/>
  <pageSetup paperSize="9" scale="85" orientation="landscape" r:id="rId1"/>
  <headerFooter alignWithMargins="0"/>
  <ignoredErrors>
    <ignoredError sqref="L8 N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3:D42"/>
  <sheetViews>
    <sheetView topLeftCell="A19" workbookViewId="0">
      <selection activeCell="D24" sqref="D24"/>
    </sheetView>
  </sheetViews>
  <sheetFormatPr defaultRowHeight="17.25"/>
  <cols>
    <col min="1" max="1" width="29.7109375" style="20" customWidth="1"/>
    <col min="2" max="2" width="15.7109375" style="30" customWidth="1"/>
    <col min="3" max="3" width="29.7109375" style="20" customWidth="1"/>
    <col min="4" max="4" width="15.7109375" style="29" customWidth="1"/>
    <col min="5" max="5" width="2.7109375" style="20" customWidth="1"/>
    <col min="6" max="16384" width="9.140625" style="20"/>
  </cols>
  <sheetData>
    <row r="3" spans="1:4" ht="18.75">
      <c r="A3" s="64" t="s">
        <v>68</v>
      </c>
      <c r="B3" s="64"/>
      <c r="C3" s="64"/>
      <c r="D3" s="64"/>
    </row>
    <row r="4" spans="1:4" ht="18.75">
      <c r="A4" s="64" t="s">
        <v>69</v>
      </c>
      <c r="B4" s="64"/>
      <c r="C4" s="64"/>
      <c r="D4" s="64"/>
    </row>
    <row r="5" spans="1:4" ht="18.75">
      <c r="A5" s="65" t="s">
        <v>70</v>
      </c>
      <c r="B5" s="65"/>
      <c r="C5" s="65"/>
      <c r="D5" s="65"/>
    </row>
    <row r="6" spans="1:4" ht="18.75">
      <c r="A6" s="65" t="s">
        <v>71</v>
      </c>
      <c r="B6" s="65"/>
      <c r="C6" s="65"/>
      <c r="D6" s="65"/>
    </row>
    <row r="9" spans="1:4">
      <c r="A9" s="60" t="s">
        <v>59</v>
      </c>
      <c r="B9" s="61"/>
      <c r="C9" s="62" t="s">
        <v>60</v>
      </c>
      <c r="D9" s="63"/>
    </row>
    <row r="10" spans="1:4">
      <c r="A10" s="23"/>
      <c r="B10" s="31"/>
      <c r="C10" s="23"/>
      <c r="D10" s="26"/>
    </row>
    <row r="11" spans="1:4">
      <c r="A11" s="35" t="s">
        <v>61</v>
      </c>
      <c r="B11" s="32"/>
      <c r="C11" s="35" t="s">
        <v>72</v>
      </c>
      <c r="D11" s="27"/>
    </row>
    <row r="12" spans="1:4">
      <c r="A12" s="24" t="s">
        <v>62</v>
      </c>
      <c r="B12" s="32"/>
      <c r="C12" s="24" t="s">
        <v>73</v>
      </c>
      <c r="D12" s="27">
        <v>26792</v>
      </c>
    </row>
    <row r="13" spans="1:4">
      <c r="A13" s="24" t="s">
        <v>82</v>
      </c>
      <c r="B13" s="32"/>
      <c r="C13" s="24" t="s">
        <v>74</v>
      </c>
      <c r="D13" s="27">
        <v>4133.71</v>
      </c>
    </row>
    <row r="14" spans="1:4">
      <c r="A14" s="24" t="s">
        <v>63</v>
      </c>
      <c r="B14" s="32">
        <v>95197.37</v>
      </c>
      <c r="C14" s="24" t="s">
        <v>75</v>
      </c>
      <c r="D14" s="27">
        <v>10633.77</v>
      </c>
    </row>
    <row r="15" spans="1:4">
      <c r="A15" s="24"/>
      <c r="B15" s="34"/>
      <c r="C15" s="24" t="s">
        <v>76</v>
      </c>
      <c r="D15" s="27">
        <v>2000</v>
      </c>
    </row>
    <row r="16" spans="1:4">
      <c r="A16" s="24"/>
      <c r="B16" s="32"/>
      <c r="C16" s="24" t="s">
        <v>77</v>
      </c>
      <c r="D16" s="27">
        <v>8706.59</v>
      </c>
    </row>
    <row r="17" spans="1:4">
      <c r="A17" s="35"/>
      <c r="B17" s="32"/>
      <c r="C17" s="24" t="s">
        <v>78</v>
      </c>
      <c r="D17" s="27">
        <v>5223.95</v>
      </c>
    </row>
    <row r="18" spans="1:4">
      <c r="A18" s="35"/>
      <c r="B18" s="32"/>
      <c r="C18" s="24"/>
      <c r="D18" s="27"/>
    </row>
    <row r="19" spans="1:4">
      <c r="A19" s="24" t="s">
        <v>64</v>
      </c>
      <c r="B19" s="34">
        <f>B14</f>
        <v>95197.37</v>
      </c>
      <c r="C19" s="24" t="s">
        <v>64</v>
      </c>
      <c r="D19" s="39">
        <f>SUM(D12:D18)</f>
        <v>57490.01999999999</v>
      </c>
    </row>
    <row r="20" spans="1:4">
      <c r="A20" s="35"/>
      <c r="B20" s="32"/>
      <c r="C20" s="24"/>
      <c r="D20" s="27"/>
    </row>
    <row r="21" spans="1:4">
      <c r="A21" s="35" t="s">
        <v>65</v>
      </c>
      <c r="B21" s="32"/>
      <c r="C21" s="35" t="s">
        <v>81</v>
      </c>
      <c r="D21" s="27"/>
    </row>
    <row r="22" spans="1:4">
      <c r="A22" s="24" t="s">
        <v>2</v>
      </c>
      <c r="B22" s="32">
        <v>16508.96</v>
      </c>
      <c r="C22" s="24" t="s">
        <v>13</v>
      </c>
      <c r="D22" s="27">
        <v>180000</v>
      </c>
    </row>
    <row r="23" spans="1:4">
      <c r="A23" s="24" t="s">
        <v>3</v>
      </c>
      <c r="B23" s="32">
        <v>11601.63</v>
      </c>
      <c r="C23" s="24" t="s">
        <v>15</v>
      </c>
      <c r="D23" s="27">
        <v>-108412.67</v>
      </c>
    </row>
    <row r="24" spans="1:4">
      <c r="A24" s="24" t="s">
        <v>4</v>
      </c>
      <c r="B24" s="32">
        <v>6461.2</v>
      </c>
      <c r="C24" s="24"/>
      <c r="D24" s="27"/>
    </row>
    <row r="25" spans="1:4">
      <c r="A25" s="24" t="s">
        <v>5</v>
      </c>
      <c r="B25" s="32">
        <v>8762.0400000000009</v>
      </c>
      <c r="C25" s="35"/>
      <c r="D25" s="27"/>
    </row>
    <row r="26" spans="1:4">
      <c r="A26" s="24" t="s">
        <v>6</v>
      </c>
      <c r="B26" s="32">
        <v>13122.15</v>
      </c>
      <c r="C26" s="24"/>
      <c r="D26" s="27"/>
    </row>
    <row r="27" spans="1:4">
      <c r="A27" s="24" t="s">
        <v>66</v>
      </c>
      <c r="B27" s="32">
        <v>-22576</v>
      </c>
      <c r="C27" s="24"/>
      <c r="D27" s="27"/>
    </row>
    <row r="28" spans="1:4">
      <c r="A28" s="24"/>
      <c r="B28" s="32"/>
      <c r="C28" s="24"/>
      <c r="D28" s="27"/>
    </row>
    <row r="29" spans="1:4">
      <c r="A29" s="24" t="s">
        <v>67</v>
      </c>
      <c r="B29" s="34">
        <f>SUM(B22:B28)</f>
        <v>33879.979999999996</v>
      </c>
      <c r="C29" s="24" t="s">
        <v>123</v>
      </c>
      <c r="D29" s="39">
        <f>D22+D23+D24</f>
        <v>71587.33</v>
      </c>
    </row>
    <row r="30" spans="1:4">
      <c r="A30" s="25"/>
      <c r="B30" s="33"/>
      <c r="C30" s="25"/>
      <c r="D30" s="28"/>
    </row>
    <row r="31" spans="1:4">
      <c r="A31" s="37" t="s">
        <v>79</v>
      </c>
      <c r="B31" s="38">
        <f>B19+B29</f>
        <v>129077.34999999999</v>
      </c>
      <c r="C31" s="37" t="s">
        <v>80</v>
      </c>
      <c r="D31" s="38">
        <f>D19+D29</f>
        <v>129077.34999999999</v>
      </c>
    </row>
    <row r="32" spans="1:4">
      <c r="A32" s="21"/>
      <c r="B32" s="29"/>
      <c r="C32" s="21"/>
    </row>
    <row r="33" spans="1:4">
      <c r="A33" s="21"/>
      <c r="B33" s="29"/>
      <c r="C33" s="21"/>
    </row>
    <row r="34" spans="1:4">
      <c r="A34" s="21"/>
      <c r="B34" s="29"/>
      <c r="C34" s="21"/>
    </row>
    <row r="35" spans="1:4">
      <c r="A35" s="59" t="s">
        <v>83</v>
      </c>
      <c r="B35" s="59"/>
      <c r="C35" s="59" t="s">
        <v>83</v>
      </c>
      <c r="D35" s="59"/>
    </row>
    <row r="36" spans="1:4">
      <c r="A36" s="59" t="s">
        <v>84</v>
      </c>
      <c r="B36" s="59"/>
      <c r="C36" s="59" t="s">
        <v>87</v>
      </c>
      <c r="D36" s="59"/>
    </row>
    <row r="37" spans="1:4">
      <c r="A37" s="59" t="s">
        <v>85</v>
      </c>
      <c r="B37" s="59"/>
      <c r="C37" s="59" t="s">
        <v>88</v>
      </c>
      <c r="D37" s="59"/>
    </row>
    <row r="38" spans="1:4">
      <c r="A38" s="59" t="s">
        <v>86</v>
      </c>
      <c r="B38" s="59"/>
      <c r="C38" s="59" t="s">
        <v>89</v>
      </c>
      <c r="D38" s="59"/>
    </row>
    <row r="39" spans="1:4">
      <c r="A39" s="21"/>
      <c r="B39" s="29"/>
      <c r="C39" s="21"/>
    </row>
    <row r="40" spans="1:4">
      <c r="A40" s="21"/>
      <c r="B40" s="29"/>
      <c r="C40" s="21"/>
    </row>
    <row r="41" spans="1:4">
      <c r="A41" s="21"/>
      <c r="B41" s="29"/>
      <c r="C41" s="21"/>
    </row>
    <row r="42" spans="1:4">
      <c r="A42" s="21"/>
      <c r="B42" s="29"/>
      <c r="C42" s="21"/>
    </row>
  </sheetData>
  <mergeCells count="14">
    <mergeCell ref="A9:B9"/>
    <mergeCell ref="C9:D9"/>
    <mergeCell ref="A3:D3"/>
    <mergeCell ref="A4:D4"/>
    <mergeCell ref="A5:D5"/>
    <mergeCell ref="A6:D6"/>
    <mergeCell ref="A37:B37"/>
    <mergeCell ref="C37:D37"/>
    <mergeCell ref="A38:B38"/>
    <mergeCell ref="C38:D38"/>
    <mergeCell ref="A35:B35"/>
    <mergeCell ref="C35:D35"/>
    <mergeCell ref="A36:B36"/>
    <mergeCell ref="C36:D36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8"/>
  <sheetViews>
    <sheetView workbookViewId="0">
      <selection activeCell="D23" sqref="D23"/>
    </sheetView>
  </sheetViews>
  <sheetFormatPr defaultRowHeight="17.25"/>
  <cols>
    <col min="1" max="1" width="3.7109375" style="20" customWidth="1"/>
    <col min="2" max="2" width="36.7109375" style="30" customWidth="1"/>
    <col min="3" max="3" width="21.7109375" style="41" customWidth="1"/>
    <col min="4" max="4" width="18.7109375" style="29" customWidth="1"/>
    <col min="5" max="5" width="5.7109375" style="20" customWidth="1"/>
    <col min="6" max="16384" width="9.140625" style="20"/>
  </cols>
  <sheetData>
    <row r="1" spans="1:4" ht="18.75">
      <c r="A1" s="64" t="s">
        <v>90</v>
      </c>
      <c r="B1" s="64"/>
      <c r="C1" s="64"/>
      <c r="D1" s="64"/>
    </row>
    <row r="2" spans="1:4" ht="18.75">
      <c r="A2" s="64" t="s">
        <v>69</v>
      </c>
      <c r="B2" s="64"/>
      <c r="C2" s="64"/>
      <c r="D2" s="64"/>
    </row>
    <row r="3" spans="1:4" ht="18.75">
      <c r="A3" s="65" t="s">
        <v>91</v>
      </c>
      <c r="B3" s="65"/>
      <c r="C3" s="65"/>
      <c r="D3" s="65"/>
    </row>
    <row r="4" spans="1:4" ht="18.75">
      <c r="A4" s="65" t="s">
        <v>70</v>
      </c>
      <c r="B4" s="65"/>
      <c r="C4" s="65"/>
      <c r="D4" s="65"/>
    </row>
    <row r="5" spans="1:4" ht="18.75">
      <c r="A5" s="65" t="s">
        <v>71</v>
      </c>
      <c r="B5" s="65"/>
      <c r="C5" s="65"/>
      <c r="D5" s="65"/>
    </row>
    <row r="7" spans="1:4" ht="7.5" customHeight="1">
      <c r="B7" s="50"/>
      <c r="C7" s="45"/>
      <c r="D7" s="26"/>
    </row>
    <row r="8" spans="1:4">
      <c r="B8" s="47" t="s">
        <v>92</v>
      </c>
      <c r="C8" s="51"/>
      <c r="D8" s="27"/>
    </row>
    <row r="9" spans="1:4">
      <c r="A9" s="22"/>
      <c r="B9" s="46" t="s">
        <v>93</v>
      </c>
      <c r="C9" s="42"/>
      <c r="D9" s="27">
        <f>DETALHAMENTO!N26</f>
        <v>687496.88</v>
      </c>
    </row>
    <row r="10" spans="1:4">
      <c r="A10" s="40"/>
      <c r="B10" s="46"/>
      <c r="C10" s="43"/>
      <c r="D10" s="27"/>
    </row>
    <row r="11" spans="1:4">
      <c r="A11" s="22"/>
      <c r="B11" s="47" t="s">
        <v>94</v>
      </c>
      <c r="C11" s="42"/>
      <c r="D11" s="27"/>
    </row>
    <row r="12" spans="1:4">
      <c r="A12" s="22"/>
      <c r="B12" s="46" t="s">
        <v>95</v>
      </c>
      <c r="C12" s="42"/>
      <c r="D12" s="27">
        <f>SUM(D13:D33)</f>
        <v>680355.24999999988</v>
      </c>
    </row>
    <row r="13" spans="1:4">
      <c r="A13" s="22"/>
      <c r="B13" s="46" t="s">
        <v>96</v>
      </c>
      <c r="C13" s="42"/>
      <c r="D13" s="27">
        <v>346841</v>
      </c>
    </row>
    <row r="14" spans="1:4">
      <c r="A14" s="22"/>
      <c r="B14" s="46" t="s">
        <v>97</v>
      </c>
      <c r="C14" s="42"/>
      <c r="D14" s="27">
        <v>21534.52</v>
      </c>
    </row>
    <row r="15" spans="1:4">
      <c r="A15" s="22"/>
      <c r="B15" s="46" t="s">
        <v>98</v>
      </c>
      <c r="C15" s="42"/>
      <c r="D15" s="27">
        <v>35293.85</v>
      </c>
    </row>
    <row r="16" spans="1:4">
      <c r="A16" s="22"/>
      <c r="B16" s="46" t="s">
        <v>104</v>
      </c>
      <c r="C16" s="42"/>
      <c r="D16" s="27">
        <v>486.79</v>
      </c>
    </row>
    <row r="17" spans="1:4">
      <c r="A17" s="22"/>
      <c r="B17" s="46" t="s">
        <v>99</v>
      </c>
      <c r="C17" s="42"/>
      <c r="D17" s="27">
        <v>1862.03</v>
      </c>
    </row>
    <row r="18" spans="1:4">
      <c r="A18" s="22"/>
      <c r="B18" s="46" t="s">
        <v>100</v>
      </c>
      <c r="C18" s="42"/>
      <c r="D18" s="27">
        <v>37522.79</v>
      </c>
    </row>
    <row r="19" spans="1:4">
      <c r="A19" s="22"/>
      <c r="B19" s="46" t="s">
        <v>101</v>
      </c>
      <c r="C19" s="42"/>
      <c r="D19" s="27">
        <v>24813.759999999998</v>
      </c>
    </row>
    <row r="20" spans="1:4">
      <c r="A20" s="22"/>
      <c r="B20" s="46" t="s">
        <v>102</v>
      </c>
      <c r="C20" s="42"/>
      <c r="D20" s="27">
        <v>43071.68</v>
      </c>
    </row>
    <row r="21" spans="1:4">
      <c r="A21" s="22"/>
      <c r="B21" s="46" t="s">
        <v>103</v>
      </c>
      <c r="C21" s="43"/>
      <c r="D21" s="27">
        <v>1964.16</v>
      </c>
    </row>
    <row r="22" spans="1:4">
      <c r="A22" s="22"/>
      <c r="B22" s="46" t="s">
        <v>105</v>
      </c>
      <c r="C22" s="42"/>
      <c r="D22" s="27">
        <v>24000</v>
      </c>
    </row>
    <row r="23" spans="1:4">
      <c r="A23" s="22"/>
      <c r="B23" s="46" t="s">
        <v>106</v>
      </c>
      <c r="C23" s="42"/>
      <c r="D23" s="27">
        <v>4980.12</v>
      </c>
    </row>
    <row r="24" spans="1:4">
      <c r="A24" s="22"/>
      <c r="B24" s="46" t="s">
        <v>107</v>
      </c>
      <c r="C24" s="42"/>
      <c r="D24" s="27">
        <v>3471.12</v>
      </c>
    </row>
    <row r="25" spans="1:4">
      <c r="A25" s="22"/>
      <c r="B25" s="46" t="s">
        <v>108</v>
      </c>
      <c r="C25" s="43"/>
      <c r="D25" s="27">
        <v>1165.2</v>
      </c>
    </row>
    <row r="26" spans="1:4">
      <c r="A26" s="22"/>
      <c r="B26" s="46" t="s">
        <v>109</v>
      </c>
      <c r="C26" s="42"/>
      <c r="D26" s="27">
        <v>3090.24</v>
      </c>
    </row>
    <row r="27" spans="1:4">
      <c r="A27" s="22"/>
      <c r="B27" s="46" t="s">
        <v>111</v>
      </c>
      <c r="C27" s="42"/>
      <c r="D27" s="27">
        <v>41400</v>
      </c>
    </row>
    <row r="28" spans="1:4">
      <c r="A28" s="22"/>
      <c r="B28" s="46" t="s">
        <v>110</v>
      </c>
      <c r="C28" s="42"/>
      <c r="D28" s="27">
        <v>12000</v>
      </c>
    </row>
    <row r="29" spans="1:4">
      <c r="A29" s="22"/>
      <c r="B29" s="46" t="s">
        <v>112</v>
      </c>
      <c r="C29" s="42"/>
      <c r="D29" s="27">
        <v>18940.07</v>
      </c>
    </row>
    <row r="30" spans="1:4">
      <c r="A30" s="22"/>
      <c r="B30" s="46" t="s">
        <v>113</v>
      </c>
      <c r="C30" s="42"/>
      <c r="D30" s="27">
        <v>3600</v>
      </c>
    </row>
    <row r="31" spans="1:4">
      <c r="A31" s="22"/>
      <c r="B31" s="46" t="s">
        <v>122</v>
      </c>
      <c r="C31" s="42"/>
      <c r="D31" s="27">
        <v>30000</v>
      </c>
    </row>
    <row r="32" spans="1:4">
      <c r="A32" s="22"/>
      <c r="B32" s="46" t="s">
        <v>114</v>
      </c>
      <c r="C32" s="42"/>
      <c r="D32" s="27">
        <v>7243.88</v>
      </c>
    </row>
    <row r="33" spans="1:4">
      <c r="A33" s="22"/>
      <c r="B33" s="46" t="s">
        <v>115</v>
      </c>
      <c r="C33" s="42"/>
      <c r="D33" s="27">
        <v>17074.04</v>
      </c>
    </row>
    <row r="34" spans="1:4">
      <c r="A34" s="22"/>
      <c r="B34" s="46"/>
      <c r="C34" s="42"/>
      <c r="D34" s="27"/>
    </row>
    <row r="35" spans="1:4">
      <c r="A35" s="22"/>
      <c r="B35" s="47" t="s">
        <v>120</v>
      </c>
      <c r="C35" s="51"/>
      <c r="D35" s="27"/>
    </row>
    <row r="36" spans="1:4">
      <c r="A36" s="22"/>
      <c r="B36" s="46" t="s">
        <v>121</v>
      </c>
      <c r="C36" s="42"/>
      <c r="D36" s="27">
        <f>D9-D12</f>
        <v>7141.6300000001211</v>
      </c>
    </row>
    <row r="37" spans="1:4" ht="7.5" customHeight="1">
      <c r="A37" s="22"/>
      <c r="B37" s="48"/>
      <c r="C37" s="49"/>
      <c r="D37" s="28"/>
    </row>
    <row r="38" spans="1:4">
      <c r="A38" s="22"/>
      <c r="B38" s="32"/>
      <c r="C38" s="42"/>
      <c r="D38" s="32"/>
    </row>
    <row r="39" spans="1:4">
      <c r="A39" s="22"/>
      <c r="B39" s="32"/>
      <c r="C39" s="42"/>
      <c r="D39" s="32"/>
    </row>
    <row r="40" spans="1:4">
      <c r="A40" s="22"/>
      <c r="B40" s="32"/>
      <c r="C40" s="43"/>
      <c r="D40" s="32"/>
    </row>
    <row r="41" spans="1:4">
      <c r="B41" s="36" t="s">
        <v>116</v>
      </c>
      <c r="C41" s="59" t="s">
        <v>116</v>
      </c>
      <c r="D41" s="59"/>
    </row>
    <row r="42" spans="1:4">
      <c r="B42" s="36" t="s">
        <v>84</v>
      </c>
      <c r="C42" s="59" t="s">
        <v>87</v>
      </c>
      <c r="D42" s="59"/>
    </row>
    <row r="43" spans="1:4">
      <c r="B43" s="36" t="s">
        <v>85</v>
      </c>
      <c r="C43" s="59" t="s">
        <v>88</v>
      </c>
      <c r="D43" s="59"/>
    </row>
    <row r="44" spans="1:4">
      <c r="B44" s="36" t="s">
        <v>86</v>
      </c>
      <c r="C44" s="59" t="s">
        <v>89</v>
      </c>
      <c r="D44" s="59"/>
    </row>
    <row r="45" spans="1:4">
      <c r="A45" s="21"/>
      <c r="B45" s="29"/>
      <c r="C45" s="44"/>
    </row>
    <row r="46" spans="1:4">
      <c r="A46" s="21"/>
      <c r="B46" s="29"/>
      <c r="C46" s="44"/>
    </row>
    <row r="47" spans="1:4">
      <c r="A47" s="21"/>
      <c r="B47" s="29"/>
      <c r="C47" s="44"/>
    </row>
    <row r="48" spans="1:4">
      <c r="A48" s="21"/>
      <c r="B48" s="29"/>
      <c r="C48" s="44"/>
    </row>
  </sheetData>
  <mergeCells count="9">
    <mergeCell ref="A1:D1"/>
    <mergeCell ref="A2:D2"/>
    <mergeCell ref="A4:D4"/>
    <mergeCell ref="A5:D5"/>
    <mergeCell ref="C44:D44"/>
    <mergeCell ref="A3:D3"/>
    <mergeCell ref="C41:D41"/>
    <mergeCell ref="C42:D42"/>
    <mergeCell ref="C43:D43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PATRIMÔNIO</vt:lpstr>
      <vt:lpstr>DESPESAS</vt:lpstr>
      <vt:lpstr>DETALHAMENTO</vt:lpstr>
      <vt:lpstr>BP</vt:lpstr>
      <vt:lpstr>DRE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Contabilidade</dc:creator>
  <cp:lastModifiedBy>Contabilidade</cp:lastModifiedBy>
  <cp:lastPrinted>2018-09-03T16:47:58Z</cp:lastPrinted>
  <dcterms:created xsi:type="dcterms:W3CDTF">2018-08-23T13:32:45Z</dcterms:created>
  <dcterms:modified xsi:type="dcterms:W3CDTF">2018-09-03T17:05:12Z</dcterms:modified>
</cp:coreProperties>
</file>