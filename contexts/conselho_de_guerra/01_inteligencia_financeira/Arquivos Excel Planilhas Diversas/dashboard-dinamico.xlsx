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ml.chartshapes+xml"/>
  <Override PartName="/xl/charts/chart9.xml" ContentType="application/vnd.openxmlformats-officedocument.drawingml.chart+xml"/>
  <Override PartName="/xl/drawings/drawing7.xml" ContentType="application/vnd.openxmlformats-officedocument.drawingml.chartshapes+xml"/>
  <Override PartName="/xl/charts/chart10.xml" ContentType="application/vnd.openxmlformats-officedocument.drawingml.chart+xml"/>
  <Override PartName="/xl/drawings/drawing8.xml" ContentType="application/vnd.openxmlformats-officedocument.drawingml.chartshape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0.xml" ContentType="application/vnd.openxmlformats-officedocument.drawingml.chartshapes+xml"/>
  <Override PartName="/xl/charts/chart15.xml" ContentType="application/vnd.openxmlformats-officedocument.drawingml.chart+xml"/>
  <Override PartName="/xl/drawings/drawing11.xml" ContentType="application/vnd.openxmlformats-officedocument.drawingml.chartshapes+xml"/>
  <Override PartName="/xl/charts/chart16.xml" ContentType="application/vnd.openxmlformats-officedocument.drawingml.chart+xml"/>
  <Override PartName="/xl/drawings/drawing12.xml" ContentType="application/vnd.openxmlformats-officedocument.drawingml.chartshape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3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4.xml" ContentType="application/vnd.openxmlformats-officedocument.drawingml.chartshapes+xml"/>
  <Override PartName="/xl/charts/chart21.xml" ContentType="application/vnd.openxmlformats-officedocument.drawingml.chart+xml"/>
  <Override PartName="/xl/drawings/drawing15.xml" ContentType="application/vnd.openxmlformats-officedocument.drawingml.chartshapes+xml"/>
  <Override PartName="/xl/charts/chart22.xml" ContentType="application/vnd.openxmlformats-officedocument.drawingml.chart+xml"/>
  <Override PartName="/xl/drawings/drawing16.xml" ContentType="application/vnd.openxmlformats-officedocument.drawingml.chartshape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7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8.xml" ContentType="application/vnd.openxmlformats-officedocument.drawingml.chartshapes+xml"/>
  <Override PartName="/xl/charts/chart27.xml" ContentType="application/vnd.openxmlformats-officedocument.drawingml.chart+xml"/>
  <Override PartName="/xl/drawings/drawing19.xml" ContentType="application/vnd.openxmlformats-officedocument.drawingml.chartshapes+xml"/>
  <Override PartName="/xl/charts/chart28.xml" ContentType="application/vnd.openxmlformats-officedocument.drawingml.chart+xml"/>
  <Override PartName="/xl/drawings/drawing20.xml" ContentType="application/vnd.openxmlformats-officedocument.drawingml.chartshape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21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22.xml" ContentType="application/vnd.openxmlformats-officedocument.drawingml.chartshapes+xml"/>
  <Override PartName="/xl/charts/chart33.xml" ContentType="application/vnd.openxmlformats-officedocument.drawingml.chart+xml"/>
  <Override PartName="/xl/drawings/drawing23.xml" ContentType="application/vnd.openxmlformats-officedocument.drawingml.chartshapes+xml"/>
  <Override PartName="/xl/charts/chart34.xml" ContentType="application/vnd.openxmlformats-officedocument.drawingml.chart+xml"/>
  <Override PartName="/xl/drawings/drawing24.xml" ContentType="application/vnd.openxmlformats-officedocument.drawingml.chartshape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defaultThemeVersion="124226"/>
  <xr:revisionPtr revIDLastSave="0" documentId="13_ncr:1000001_{41AA7046-842C-954B-AD3E-29636540554A}" xr6:coauthVersionLast="40" xr6:coauthVersionMax="40" xr10:uidLastSave="{00000000-0000-0000-0000-000000000000}"/>
  <bookViews>
    <workbookView xWindow="480" yWindow="75" windowWidth="14355" windowHeight="7995" activeTab="1" xr2:uid="{00000000-000D-0000-FFFF-FFFF00000000}"/>
  </bookViews>
  <sheets>
    <sheet name="Dados" sheetId="6" r:id="rId1"/>
    <sheet name="Torno 01" sheetId="1" r:id="rId2"/>
    <sheet name="Torno 02" sheetId="13" r:id="rId3"/>
    <sheet name="Fresa 01" sheetId="14" r:id="rId4"/>
    <sheet name="Fresa 02" sheetId="15" r:id="rId5"/>
    <sheet name="Retífica 01" sheetId="16" r:id="rId6"/>
    <sheet name="Retífica 02" sheetId="1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" i="17" l="1"/>
  <c r="B2" i="16"/>
  <c r="B2" i="15"/>
  <c r="B2" i="14"/>
  <c r="B2" i="13"/>
  <c r="H7" i="6"/>
  <c r="I7" i="6"/>
  <c r="N2" i="17"/>
  <c r="H6" i="6"/>
  <c r="I6" i="6"/>
  <c r="N2" i="16"/>
  <c r="H5" i="6"/>
  <c r="I5" i="6"/>
  <c r="N2" i="15"/>
  <c r="H4" i="6"/>
  <c r="I4" i="6"/>
  <c r="N2" i="14"/>
  <c r="H3" i="6"/>
  <c r="I3" i="6"/>
  <c r="N2" i="13"/>
  <c r="B2" i="1"/>
  <c r="G2" i="17"/>
  <c r="C7" i="6"/>
  <c r="H2" i="17"/>
  <c r="I2" i="17"/>
  <c r="E7" i="6"/>
  <c r="J2" i="17"/>
  <c r="K2" i="17"/>
  <c r="G7" i="6"/>
  <c r="L2" i="17"/>
  <c r="M2" i="17"/>
  <c r="G2" i="16"/>
  <c r="C6" i="6"/>
  <c r="H2" i="16"/>
  <c r="I2" i="16"/>
  <c r="E6" i="6"/>
  <c r="J2" i="16"/>
  <c r="K2" i="16"/>
  <c r="G6" i="6"/>
  <c r="L2" i="16"/>
  <c r="M2" i="16"/>
  <c r="G2" i="15"/>
  <c r="C5" i="6"/>
  <c r="H2" i="15"/>
  <c r="I2" i="15"/>
  <c r="E5" i="6"/>
  <c r="J2" i="15"/>
  <c r="K2" i="15"/>
  <c r="G5" i="6"/>
  <c r="L2" i="15"/>
  <c r="M2" i="15"/>
  <c r="G2" i="14"/>
  <c r="C4" i="6"/>
  <c r="H2" i="14"/>
  <c r="I2" i="14"/>
  <c r="E4" i="6"/>
  <c r="J2" i="14"/>
  <c r="K2" i="14"/>
  <c r="G4" i="6"/>
  <c r="L2" i="14"/>
  <c r="M2" i="14"/>
  <c r="G2" i="13"/>
  <c r="C3" i="6"/>
  <c r="H2" i="13"/>
  <c r="I2" i="13"/>
  <c r="E3" i="6"/>
  <c r="J2" i="13"/>
  <c r="K2" i="13"/>
  <c r="G3" i="6"/>
  <c r="L2" i="13"/>
  <c r="M2" i="13"/>
  <c r="G2" i="1"/>
  <c r="K2" i="1"/>
  <c r="I2" i="1"/>
  <c r="H2" i="6"/>
  <c r="G2" i="6"/>
  <c r="L2" i="1"/>
  <c r="E2" i="6"/>
  <c r="J2" i="1"/>
  <c r="C2" i="6"/>
  <c r="H2" i="1"/>
  <c r="I2" i="6"/>
  <c r="N2" i="1"/>
  <c r="M2" i="1"/>
</calcChain>
</file>

<file path=xl/sharedStrings.xml><?xml version="1.0" encoding="utf-8"?>
<sst xmlns="http://schemas.openxmlformats.org/spreadsheetml/2006/main" count="12" uniqueCount="12">
  <si>
    <t>Disponibilidade</t>
  </si>
  <si>
    <t>Performance</t>
  </si>
  <si>
    <t>Qualidade</t>
  </si>
  <si>
    <t>OEE</t>
  </si>
  <si>
    <t>Equipamento</t>
  </si>
  <si>
    <t>Refugo</t>
  </si>
  <si>
    <t>Torno 01</t>
  </si>
  <si>
    <t>Fresa 01</t>
  </si>
  <si>
    <t>Fresa 02</t>
  </si>
  <si>
    <t>Retífica 01</t>
  </si>
  <si>
    <t>Retífica 02</t>
  </si>
  <si>
    <t>Torno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</si>
</sst>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0"/>
      <name val="Verdana"/>
      <family val="2"/>
    </font>
    <font>
      <sz val="16"/>
      <color theme="6" tint="0.59999389629810485"/>
      <name val="Verdana"/>
      <family val="2"/>
    </font>
    <font>
      <sz val="16"/>
      <color theme="6" tint="0.5999938962981048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9" fontId="0" fillId="0" borderId="0" xfId="1" applyFont="1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164" fontId="5" fillId="2" borderId="0" xfId="1" applyNumberFormat="1" applyFont="1" applyFill="1" applyAlignment="1">
      <alignment horizontal="center" vertical="center"/>
    </xf>
    <xf numFmtId="164" fontId="6" fillId="2" borderId="0" xfId="1" applyNumberFormat="1" applyFont="1" applyFill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 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 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 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 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 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 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 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 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 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 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 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 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 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 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 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 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 /></Relationships>
</file>

<file path=xl/charts/_rels/chart3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solidFill>
              <a:srgbClr val="FF0000"/>
            </a:solidFill>
            <a:ln>
              <a:solidFill>
                <a:schemeClr val="bg1"/>
              </a:solidFill>
            </a:ln>
          </c:spPr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3EE3-3E44-8B1A-C0FDB77DA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1"/>
          <c:order val="1"/>
          <c:tx>
            <c:strRef>
              <c:f>'Torno 01'!$B$2:$F$2</c:f>
              <c:strCache>
                <c:ptCount val="5"/>
                <c:pt idx="0">
                  <c:v>Torno 01</c:v>
                </c:pt>
              </c:strCache>
            </c:strRef>
          </c:tx>
          <c:spPr>
            <a:solidFill>
              <a:srgbClr val="FF0000"/>
            </a:solidFill>
          </c:spPr>
          <c:dPt>
            <c:idx val="0"/>
            <c:bubble3D val="0"/>
            <c:spPr>
              <a:noFill/>
            </c:spPr>
          </c:dPt>
          <c:dPt>
            <c:idx val="1"/>
            <c:bubble3D val="0"/>
            <c:spPr>
              <a:solidFill>
                <a:schemeClr val="bg1">
                  <a:alpha val="80000"/>
                </a:schemeClr>
              </a:solidFill>
            </c:spPr>
          </c:dPt>
          <c:val>
            <c:numRef>
              <c:f>'Torno 01'!$G$2:$H$2</c:f>
              <c:numCache>
                <c:formatCode>0.0%</c:formatCode>
                <c:ptCount val="2"/>
                <c:pt idx="0">
                  <c:v>0.92</c:v>
                </c:pt>
                <c:pt idx="1">
                  <c:v>7.999999999999996E-2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E3-3E44-8B1A-C0FDB77DA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solidFill>
              <a:schemeClr val="tx2"/>
            </a:solidFill>
            <a:ln>
              <a:solidFill>
                <a:schemeClr val="bg1"/>
              </a:solidFill>
            </a:ln>
          </c:spPr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92A4-4E48-9CAC-173533130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1"/>
          <c:order val="1"/>
          <c:tx>
            <c:strRef>
              <c:f>'Torno 01'!$G$1</c:f>
              <c:strCache>
                <c:ptCount val="1"/>
              </c:strCache>
            </c:strRef>
          </c:tx>
          <c:spPr>
            <a:noFill/>
          </c:spPr>
          <c:dPt>
            <c:idx val="1"/>
            <c:bubble3D val="0"/>
            <c:spPr>
              <a:solidFill>
                <a:schemeClr val="bg1">
                  <a:alpha val="80000"/>
                </a:schemeClr>
              </a:solidFill>
            </c:spPr>
          </c:dPt>
          <c:val>
            <c:numRef>
              <c:f>'Torno 01'!$M$2:$N$2</c:f>
              <c:numCache>
                <c:formatCode>0.0%</c:formatCode>
                <c:ptCount val="2"/>
                <c:pt idx="0">
                  <c:v>0.67896000000000001</c:v>
                </c:pt>
                <c:pt idx="1">
                  <c:v>0.32103999999999999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A4-4E48-9CAC-173533130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'Torno 01'!$I$1</c:f>
              <c:strCache>
                <c:ptCount val="1"/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solidFill>
                <a:schemeClr val="bg1"/>
              </a:solidFill>
            </a:ln>
          </c:spPr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3FE9-8D44-BCA3-B271A68EF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1"/>
          <c:order val="1"/>
          <c:tx>
            <c:strRef>
              <c:f>'Torno 01'!$K$1</c:f>
              <c:strCache>
                <c:ptCount val="1"/>
              </c:strCache>
            </c:strRef>
          </c:tx>
          <c:spPr>
            <a:solidFill>
              <a:schemeClr val="accent3">
                <a:lumMod val="75000"/>
              </a:schemeClr>
            </a:solidFill>
          </c:spPr>
          <c:dPt>
            <c:idx val="0"/>
            <c:bubble3D val="0"/>
            <c:spPr>
              <a:noFill/>
            </c:spPr>
          </c:dPt>
          <c:dPt>
            <c:idx val="1"/>
            <c:bubble3D val="0"/>
            <c:spPr>
              <a:solidFill>
                <a:schemeClr val="bg1">
                  <a:alpha val="80000"/>
                </a:schemeClr>
              </a:solidFill>
            </c:spPr>
          </c:dPt>
          <c:val>
            <c:numRef>
              <c:f>'Torno 01'!$I$2:$J$2</c:f>
              <c:numCache>
                <c:formatCode>0.0%</c:formatCode>
                <c:ptCount val="2"/>
                <c:pt idx="0">
                  <c:v>0.82</c:v>
                </c:pt>
                <c:pt idx="1">
                  <c:v>0.18000000000000005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E9-8D44-BCA3-B271A68EF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FF0000"/>
                </a:solidFill>
              </a:defRPr>
            </a:pPr>
            <a:r>
              <a:rPr lang="pt-BR">
                <a:solidFill>
                  <a:srgbClr val="FF0000"/>
                </a:solidFill>
              </a:rPr>
              <a:t>Refugo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Dados!$A$2:$A$7</c:f>
              <c:strCache>
                <c:ptCount val="6"/>
                <c:pt idx="0">
                  <c:v>Torno 01</c:v>
                </c:pt>
                <c:pt idx="1">
                  <c:v>Torno 02</c:v>
                </c:pt>
                <c:pt idx="2">
                  <c:v>Fresa 01</c:v>
                </c:pt>
                <c:pt idx="3">
                  <c:v>Fresa 02</c:v>
                </c:pt>
                <c:pt idx="4">
                  <c:v>Retífica 01</c:v>
                </c:pt>
                <c:pt idx="5">
                  <c:v>Retífica 02</c:v>
                </c:pt>
              </c:strCache>
            </c:strRef>
          </c:cat>
          <c:val>
            <c:numRef>
              <c:f>Dados!$J$2:$J$7</c:f>
              <c:numCache>
                <c:formatCode>General</c:formatCode>
                <c:ptCount val="6"/>
                <c:pt idx="0">
                  <c:v>100</c:v>
                </c:pt>
                <c:pt idx="1">
                  <c:v>150</c:v>
                </c:pt>
                <c:pt idx="2">
                  <c:v>210</c:v>
                </c:pt>
                <c:pt idx="3">
                  <c:v>100</c:v>
                </c:pt>
                <c:pt idx="4">
                  <c:v>98</c:v>
                </c:pt>
                <c:pt idx="5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47-2F48-A790-142CEC732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767488"/>
        <c:axId val="84769024"/>
      </c:barChart>
      <c:catAx>
        <c:axId val="84767488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 b="1"/>
            </a:pPr>
            <a:endParaRPr lang="pt-BR"/>
          </a:p>
        </c:txPr>
        <c:crossAx val="84769024"/>
        <c:crosses val="autoZero"/>
        <c:auto val="1"/>
        <c:lblAlgn val="ctr"/>
        <c:lblOffset val="100"/>
        <c:noMultiLvlLbl val="0"/>
      </c:catAx>
      <c:valAx>
        <c:axId val="84769024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="1"/>
            </a:pPr>
            <a:endParaRPr lang="pt-BR"/>
          </a:p>
        </c:txPr>
        <c:crossAx val="84767488"/>
        <c:crosses val="autoZero"/>
        <c:crossBetween val="between"/>
      </c:valAx>
      <c:spPr>
        <a:solidFill>
          <a:schemeClr val="accent3">
            <a:lumMod val="40000"/>
            <a:lumOff val="60000"/>
          </a:schemeClr>
        </a:solidFill>
      </c:spPr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solidFill>
              <a:srgbClr val="7030A0"/>
            </a:solidFill>
            <a:ln>
              <a:solidFill>
                <a:schemeClr val="bg1"/>
              </a:solidFill>
            </a:ln>
          </c:spPr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8FDD-0045-91B1-633303A05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1"/>
          <c:order val="1"/>
          <c:tx>
            <c:strRef>
              <c:f>Dados!$F$1</c:f>
              <c:strCache>
                <c:ptCount val="1"/>
                <c:pt idx="0">
                  <c:v>Qualidade</c:v>
                </c:pt>
              </c:strCache>
            </c:strRef>
          </c:tx>
          <c:dPt>
            <c:idx val="0"/>
            <c:bubble3D val="0"/>
            <c:spPr>
              <a:noFill/>
            </c:spPr>
          </c:dPt>
          <c:dPt>
            <c:idx val="1"/>
            <c:bubble3D val="0"/>
            <c:spPr>
              <a:solidFill>
                <a:schemeClr val="bg1">
                  <a:alpha val="80000"/>
                </a:schemeClr>
              </a:solidFill>
            </c:spPr>
          </c:dPt>
          <c:val>
            <c:numRef>
              <c:f>'Torno 01'!$K$2:$L$2</c:f>
              <c:numCache>
                <c:formatCode>0.0%</c:formatCode>
                <c:ptCount val="2"/>
                <c:pt idx="0">
                  <c:v>0.9</c:v>
                </c:pt>
                <c:pt idx="1">
                  <c:v>9.9999999999999978E-2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DD-0045-91B1-633303A05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solidFill>
              <a:srgbClr val="FF0000"/>
            </a:solidFill>
            <a:ln>
              <a:solidFill>
                <a:schemeClr val="bg1"/>
              </a:solidFill>
            </a:ln>
          </c:spPr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39FE-6C4A-8921-C0B73EDCB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1"/>
          <c:order val="1"/>
          <c:tx>
            <c:strRef>
              <c:f>'Torno 02'!$B$2:$F$2</c:f>
              <c:strCache>
                <c:ptCount val="5"/>
                <c:pt idx="0">
                  <c:v>Torno 02</c:v>
                </c:pt>
              </c:strCache>
            </c:strRef>
          </c:tx>
          <c:spPr>
            <a:solidFill>
              <a:srgbClr val="FF0000"/>
            </a:solidFill>
          </c:spPr>
          <c:dPt>
            <c:idx val="0"/>
            <c:bubble3D val="0"/>
            <c:spPr>
              <a:noFill/>
            </c:spPr>
          </c:dPt>
          <c:dPt>
            <c:idx val="1"/>
            <c:bubble3D val="0"/>
            <c:spPr>
              <a:solidFill>
                <a:schemeClr val="bg1">
                  <a:alpha val="80000"/>
                </a:schemeClr>
              </a:solidFill>
            </c:spPr>
          </c:dPt>
          <c:val>
            <c:numRef>
              <c:f>'Torno 02'!$G$2:$H$2</c:f>
              <c:numCache>
                <c:formatCode>0.0%</c:formatCode>
                <c:ptCount val="2"/>
                <c:pt idx="0">
                  <c:v>0.98</c:v>
                </c:pt>
                <c:pt idx="1">
                  <c:v>2.0000000000000018E-2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FE-6C4A-8921-C0B73EDCB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solidFill>
              <a:schemeClr val="tx2"/>
            </a:solidFill>
            <a:ln>
              <a:solidFill>
                <a:schemeClr val="bg1"/>
              </a:solidFill>
            </a:ln>
          </c:spPr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0AD0-AE4E-BB42-AFE713A05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1"/>
          <c:order val="1"/>
          <c:tx>
            <c:strRef>
              <c:f>'Torno 02'!$G$1</c:f>
              <c:strCache>
                <c:ptCount val="1"/>
              </c:strCache>
            </c:strRef>
          </c:tx>
          <c:spPr>
            <a:noFill/>
          </c:spPr>
          <c:dPt>
            <c:idx val="1"/>
            <c:bubble3D val="0"/>
            <c:spPr>
              <a:solidFill>
                <a:schemeClr val="bg1">
                  <a:alpha val="80000"/>
                </a:schemeClr>
              </a:solidFill>
            </c:spPr>
          </c:dPt>
          <c:val>
            <c:numRef>
              <c:f>'Torno 02'!$M$2:$N$2</c:f>
              <c:numCache>
                <c:formatCode>0.0%</c:formatCode>
                <c:ptCount val="2"/>
                <c:pt idx="0">
                  <c:v>0.72470999999999997</c:v>
                </c:pt>
                <c:pt idx="1">
                  <c:v>0.27529000000000003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D0-AE4E-BB42-AFE713A05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'Torno 02'!$I$1</c:f>
              <c:strCache>
                <c:ptCount val="1"/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solidFill>
                <a:schemeClr val="bg1"/>
              </a:solidFill>
            </a:ln>
          </c:spPr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5D77-7B44-A7D9-A5234D5AF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1"/>
          <c:order val="1"/>
          <c:tx>
            <c:strRef>
              <c:f>'Torno 02'!$K$1</c:f>
              <c:strCache>
                <c:ptCount val="1"/>
              </c:strCache>
            </c:strRef>
          </c:tx>
          <c:spPr>
            <a:solidFill>
              <a:schemeClr val="accent3">
                <a:lumMod val="75000"/>
              </a:schemeClr>
            </a:solidFill>
          </c:spPr>
          <c:dPt>
            <c:idx val="0"/>
            <c:bubble3D val="0"/>
            <c:spPr>
              <a:noFill/>
            </c:spPr>
          </c:dPt>
          <c:dPt>
            <c:idx val="1"/>
            <c:bubble3D val="0"/>
            <c:spPr>
              <a:solidFill>
                <a:schemeClr val="bg1">
                  <a:alpha val="80000"/>
                </a:schemeClr>
              </a:solidFill>
            </c:spPr>
          </c:dPt>
          <c:val>
            <c:numRef>
              <c:f>'Torno 02'!$I$2:$J$2</c:f>
              <c:numCache>
                <c:formatCode>0.0%</c:formatCode>
                <c:ptCount val="2"/>
                <c:pt idx="0">
                  <c:v>0.85</c:v>
                </c:pt>
                <c:pt idx="1">
                  <c:v>0.15000000000000002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77-7B44-A7D9-A5234D5AF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FF0000"/>
                </a:solidFill>
              </a:defRPr>
            </a:pPr>
            <a:r>
              <a:rPr lang="pt-BR">
                <a:solidFill>
                  <a:srgbClr val="FF0000"/>
                </a:solidFill>
              </a:rPr>
              <a:t>Refugo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Dados!$A$2:$A$7</c:f>
              <c:strCache>
                <c:ptCount val="6"/>
                <c:pt idx="0">
                  <c:v>Torno 01</c:v>
                </c:pt>
                <c:pt idx="1">
                  <c:v>Torno 02</c:v>
                </c:pt>
                <c:pt idx="2">
                  <c:v>Fresa 01</c:v>
                </c:pt>
                <c:pt idx="3">
                  <c:v>Fresa 02</c:v>
                </c:pt>
                <c:pt idx="4">
                  <c:v>Retífica 01</c:v>
                </c:pt>
                <c:pt idx="5">
                  <c:v>Retífica 02</c:v>
                </c:pt>
              </c:strCache>
            </c:strRef>
          </c:cat>
          <c:val>
            <c:numRef>
              <c:f>Dados!$J$2:$J$7</c:f>
              <c:numCache>
                <c:formatCode>General</c:formatCode>
                <c:ptCount val="6"/>
                <c:pt idx="0">
                  <c:v>100</c:v>
                </c:pt>
                <c:pt idx="1">
                  <c:v>150</c:v>
                </c:pt>
                <c:pt idx="2">
                  <c:v>210</c:v>
                </c:pt>
                <c:pt idx="3">
                  <c:v>100</c:v>
                </c:pt>
                <c:pt idx="4">
                  <c:v>98</c:v>
                </c:pt>
                <c:pt idx="5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7-E746-AEB2-1ED2EFE84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956864"/>
        <c:axId val="103958400"/>
      </c:barChart>
      <c:catAx>
        <c:axId val="103956864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 b="1"/>
            </a:pPr>
            <a:endParaRPr lang="pt-BR"/>
          </a:p>
        </c:txPr>
        <c:crossAx val="103958400"/>
        <c:crosses val="autoZero"/>
        <c:auto val="1"/>
        <c:lblAlgn val="ctr"/>
        <c:lblOffset val="100"/>
        <c:noMultiLvlLbl val="0"/>
      </c:catAx>
      <c:valAx>
        <c:axId val="103958400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="1"/>
            </a:pPr>
            <a:endParaRPr lang="pt-BR"/>
          </a:p>
        </c:txPr>
        <c:crossAx val="103956864"/>
        <c:crosses val="autoZero"/>
        <c:crossBetween val="between"/>
      </c:valAx>
      <c:spPr>
        <a:solidFill>
          <a:schemeClr val="accent3">
            <a:lumMod val="40000"/>
            <a:lumOff val="60000"/>
          </a:schemeClr>
        </a:solidFill>
      </c:spPr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solidFill>
              <a:srgbClr val="7030A0"/>
            </a:solidFill>
            <a:ln>
              <a:solidFill>
                <a:schemeClr val="bg1"/>
              </a:solidFill>
            </a:ln>
          </c:spPr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B9AF-2540-96DF-62D8D384D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1"/>
          <c:order val="1"/>
          <c:tx>
            <c:strRef>
              <c:f>Dados!$F$1</c:f>
              <c:strCache>
                <c:ptCount val="1"/>
                <c:pt idx="0">
                  <c:v>Qualidade</c:v>
                </c:pt>
              </c:strCache>
            </c:strRef>
          </c:tx>
          <c:dPt>
            <c:idx val="0"/>
            <c:bubble3D val="0"/>
            <c:spPr>
              <a:noFill/>
            </c:spPr>
          </c:dPt>
          <c:dPt>
            <c:idx val="1"/>
            <c:bubble3D val="0"/>
            <c:spPr>
              <a:solidFill>
                <a:schemeClr val="bg1">
                  <a:alpha val="80000"/>
                </a:schemeClr>
              </a:solidFill>
            </c:spPr>
          </c:dPt>
          <c:val>
            <c:numRef>
              <c:f>'Torno 02'!$K$2:$L$2</c:f>
              <c:numCache>
                <c:formatCode>0.0%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AF-2540-96DF-62D8D384D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solidFill>
              <a:srgbClr val="FF0000"/>
            </a:solidFill>
            <a:ln>
              <a:solidFill>
                <a:schemeClr val="bg1"/>
              </a:solidFill>
            </a:ln>
          </c:spPr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A239-0E44-A441-8D967A038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1"/>
          <c:order val="1"/>
          <c:tx>
            <c:strRef>
              <c:f>'Fresa 01'!$B$2:$F$2</c:f>
              <c:strCache>
                <c:ptCount val="5"/>
                <c:pt idx="0">
                  <c:v>Fresa 01</c:v>
                </c:pt>
              </c:strCache>
            </c:strRef>
          </c:tx>
          <c:spPr>
            <a:solidFill>
              <a:srgbClr val="FF0000"/>
            </a:solidFill>
          </c:spPr>
          <c:dPt>
            <c:idx val="0"/>
            <c:bubble3D val="0"/>
            <c:spPr>
              <a:noFill/>
            </c:spPr>
          </c:dPt>
          <c:dPt>
            <c:idx val="1"/>
            <c:bubble3D val="0"/>
            <c:spPr>
              <a:solidFill>
                <a:schemeClr val="bg1">
                  <a:alpha val="80000"/>
                </a:schemeClr>
              </a:solidFill>
            </c:spPr>
          </c:dPt>
          <c:val>
            <c:numRef>
              <c:f>'Fresa 01'!$G$2:$H$2</c:f>
              <c:numCache>
                <c:formatCode>0.0%</c:formatCode>
                <c:ptCount val="2"/>
                <c:pt idx="0">
                  <c:v>0.95</c:v>
                </c:pt>
                <c:pt idx="1">
                  <c:v>5.0000000000000044E-2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39-0E44-A441-8D967A038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solidFill>
              <a:schemeClr val="tx2"/>
            </a:solidFill>
            <a:ln>
              <a:solidFill>
                <a:schemeClr val="bg1"/>
              </a:solidFill>
            </a:ln>
          </c:spPr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5204-E742-BBA2-A150BCDB1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1"/>
          <c:order val="1"/>
          <c:tx>
            <c:strRef>
              <c:f>'Fresa 01'!$G$1</c:f>
              <c:strCache>
                <c:ptCount val="1"/>
              </c:strCache>
            </c:strRef>
          </c:tx>
          <c:spPr>
            <a:noFill/>
          </c:spPr>
          <c:dPt>
            <c:idx val="1"/>
            <c:bubble3D val="0"/>
            <c:spPr>
              <a:solidFill>
                <a:schemeClr val="bg1">
                  <a:alpha val="80000"/>
                </a:schemeClr>
              </a:solidFill>
            </c:spPr>
          </c:dPt>
          <c:val>
            <c:numRef>
              <c:f>'Fresa 01'!$M$2:$N$2</c:f>
              <c:numCache>
                <c:formatCode>0.0%</c:formatCode>
                <c:ptCount val="2"/>
                <c:pt idx="0">
                  <c:v>0.72542000000000006</c:v>
                </c:pt>
                <c:pt idx="1">
                  <c:v>0.27457999999999994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04-E742-BBA2-A150BCDB1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'Fresa 01'!$I$1</c:f>
              <c:strCache>
                <c:ptCount val="1"/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solidFill>
                <a:schemeClr val="bg1"/>
              </a:solidFill>
            </a:ln>
          </c:spPr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64F8-1B4D-A0C3-9ADFD2697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1"/>
          <c:order val="1"/>
          <c:tx>
            <c:strRef>
              <c:f>'Fresa 01'!$K$1</c:f>
              <c:strCache>
                <c:ptCount val="1"/>
              </c:strCache>
            </c:strRef>
          </c:tx>
          <c:spPr>
            <a:solidFill>
              <a:schemeClr val="accent3">
                <a:lumMod val="75000"/>
              </a:schemeClr>
            </a:solidFill>
          </c:spPr>
          <c:dPt>
            <c:idx val="0"/>
            <c:bubble3D val="0"/>
            <c:spPr>
              <a:noFill/>
            </c:spPr>
          </c:dPt>
          <c:dPt>
            <c:idx val="1"/>
            <c:bubble3D val="0"/>
            <c:spPr>
              <a:solidFill>
                <a:schemeClr val="bg1">
                  <a:alpha val="80000"/>
                </a:schemeClr>
              </a:solidFill>
            </c:spPr>
          </c:dPt>
          <c:val>
            <c:numRef>
              <c:f>'Fresa 01'!$I$2:$J$2</c:f>
              <c:numCache>
                <c:formatCode>0.0%</c:formatCode>
                <c:ptCount val="2"/>
                <c:pt idx="0">
                  <c:v>0.83</c:v>
                </c:pt>
                <c:pt idx="1">
                  <c:v>0.17000000000000004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F8-1B4D-A0C3-9ADFD2697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FF0000"/>
                </a:solidFill>
              </a:defRPr>
            </a:pPr>
            <a:r>
              <a:rPr lang="pt-BR">
                <a:solidFill>
                  <a:srgbClr val="FF0000"/>
                </a:solidFill>
              </a:rPr>
              <a:t>Refugo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Dados!$A$2:$A$7</c:f>
              <c:strCache>
                <c:ptCount val="6"/>
                <c:pt idx="0">
                  <c:v>Torno 01</c:v>
                </c:pt>
                <c:pt idx="1">
                  <c:v>Torno 02</c:v>
                </c:pt>
                <c:pt idx="2">
                  <c:v>Fresa 01</c:v>
                </c:pt>
                <c:pt idx="3">
                  <c:v>Fresa 02</c:v>
                </c:pt>
                <c:pt idx="4">
                  <c:v>Retífica 01</c:v>
                </c:pt>
                <c:pt idx="5">
                  <c:v>Retífica 02</c:v>
                </c:pt>
              </c:strCache>
            </c:strRef>
          </c:cat>
          <c:val>
            <c:numRef>
              <c:f>Dados!$J$2:$J$7</c:f>
              <c:numCache>
                <c:formatCode>General</c:formatCode>
                <c:ptCount val="6"/>
                <c:pt idx="0">
                  <c:v>100</c:v>
                </c:pt>
                <c:pt idx="1">
                  <c:v>150</c:v>
                </c:pt>
                <c:pt idx="2">
                  <c:v>210</c:v>
                </c:pt>
                <c:pt idx="3">
                  <c:v>100</c:v>
                </c:pt>
                <c:pt idx="4">
                  <c:v>98</c:v>
                </c:pt>
                <c:pt idx="5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E-504F-9670-396576EBA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296640"/>
        <c:axId val="105298176"/>
      </c:barChart>
      <c:catAx>
        <c:axId val="105296640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 b="1"/>
            </a:pPr>
            <a:endParaRPr lang="pt-BR"/>
          </a:p>
        </c:txPr>
        <c:crossAx val="105298176"/>
        <c:crosses val="autoZero"/>
        <c:auto val="1"/>
        <c:lblAlgn val="ctr"/>
        <c:lblOffset val="100"/>
        <c:noMultiLvlLbl val="0"/>
      </c:catAx>
      <c:valAx>
        <c:axId val="105298176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="1"/>
            </a:pPr>
            <a:endParaRPr lang="pt-BR"/>
          </a:p>
        </c:txPr>
        <c:crossAx val="105296640"/>
        <c:crosses val="autoZero"/>
        <c:crossBetween val="between"/>
      </c:valAx>
      <c:spPr>
        <a:solidFill>
          <a:schemeClr val="accent3">
            <a:lumMod val="40000"/>
            <a:lumOff val="60000"/>
          </a:schemeClr>
        </a:solidFill>
      </c:spPr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solidFill>
              <a:srgbClr val="7030A0"/>
            </a:solidFill>
            <a:ln>
              <a:solidFill>
                <a:schemeClr val="bg1"/>
              </a:solidFill>
            </a:ln>
          </c:spPr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32E0-F240-ACAC-F8670753C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1"/>
          <c:order val="1"/>
          <c:tx>
            <c:strRef>
              <c:f>Dados!$F$1</c:f>
              <c:strCache>
                <c:ptCount val="1"/>
                <c:pt idx="0">
                  <c:v>Qualidade</c:v>
                </c:pt>
              </c:strCache>
            </c:strRef>
          </c:tx>
          <c:dPt>
            <c:idx val="0"/>
            <c:bubble3D val="0"/>
            <c:spPr>
              <a:noFill/>
            </c:spPr>
          </c:dPt>
          <c:dPt>
            <c:idx val="1"/>
            <c:bubble3D val="0"/>
            <c:spPr>
              <a:solidFill>
                <a:schemeClr val="bg1">
                  <a:alpha val="80000"/>
                </a:schemeClr>
              </a:solidFill>
            </c:spPr>
          </c:dPt>
          <c:val>
            <c:numRef>
              <c:f>'Fresa 01'!$K$2:$L$2</c:f>
              <c:numCache>
                <c:formatCode>0.0%</c:formatCode>
                <c:ptCount val="2"/>
                <c:pt idx="0">
                  <c:v>0.92</c:v>
                </c:pt>
                <c:pt idx="1">
                  <c:v>7.999999999999996E-2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E0-F240-ACAC-F8670753C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solidFill>
              <a:srgbClr val="FF0000"/>
            </a:solidFill>
            <a:ln>
              <a:solidFill>
                <a:schemeClr val="bg1"/>
              </a:solidFill>
            </a:ln>
          </c:spPr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B6AB-5A40-B082-8A1F21AF0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1"/>
          <c:order val="1"/>
          <c:tx>
            <c:strRef>
              <c:f>'Fresa 02'!$B$2:$F$2</c:f>
              <c:strCache>
                <c:ptCount val="5"/>
                <c:pt idx="0">
                  <c:v>Fresa 02</c:v>
                </c:pt>
              </c:strCache>
            </c:strRef>
          </c:tx>
          <c:spPr>
            <a:solidFill>
              <a:srgbClr val="FF0000"/>
            </a:solidFill>
          </c:spPr>
          <c:dPt>
            <c:idx val="0"/>
            <c:bubble3D val="0"/>
            <c:spPr>
              <a:noFill/>
            </c:spPr>
          </c:dPt>
          <c:dPt>
            <c:idx val="1"/>
            <c:bubble3D val="0"/>
            <c:spPr>
              <a:solidFill>
                <a:schemeClr val="bg1">
                  <a:alpha val="80000"/>
                </a:schemeClr>
              </a:solidFill>
            </c:spPr>
          </c:dPt>
          <c:val>
            <c:numRef>
              <c:f>'Fresa 02'!$G$2:$H$2</c:f>
              <c:numCache>
                <c:formatCode>0.0%</c:formatCode>
                <c:ptCount val="2"/>
                <c:pt idx="0">
                  <c:v>0.93</c:v>
                </c:pt>
                <c:pt idx="1">
                  <c:v>6.9999999999999951E-2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AB-5A40-B082-8A1F21AF0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solidFill>
              <a:schemeClr val="tx2"/>
            </a:solidFill>
            <a:ln>
              <a:solidFill>
                <a:schemeClr val="bg1"/>
              </a:solidFill>
            </a:ln>
          </c:spPr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9DE0-C448-8D1B-C026A1780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1"/>
          <c:order val="1"/>
          <c:tx>
            <c:strRef>
              <c:f>'Fresa 02'!$G$1</c:f>
              <c:strCache>
                <c:ptCount val="1"/>
              </c:strCache>
            </c:strRef>
          </c:tx>
          <c:spPr>
            <a:noFill/>
          </c:spPr>
          <c:dPt>
            <c:idx val="1"/>
            <c:bubble3D val="0"/>
            <c:spPr>
              <a:solidFill>
                <a:schemeClr val="bg1">
                  <a:alpha val="80000"/>
                </a:schemeClr>
              </a:solidFill>
            </c:spPr>
          </c:dPt>
          <c:val>
            <c:numRef>
              <c:f>'Fresa 02'!$M$2:$N$2</c:f>
              <c:numCache>
                <c:formatCode>0.0%</c:formatCode>
                <c:ptCount val="2"/>
                <c:pt idx="0">
                  <c:v>0.67704000000000009</c:v>
                </c:pt>
                <c:pt idx="1">
                  <c:v>0.32295999999999991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E0-C448-8D1B-C026A1780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'Fresa 02'!$I$1</c:f>
              <c:strCache>
                <c:ptCount val="1"/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solidFill>
                <a:schemeClr val="bg1"/>
              </a:solidFill>
            </a:ln>
          </c:spPr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40C2-3D49-85FB-C4462EEF9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1"/>
          <c:order val="1"/>
          <c:tx>
            <c:strRef>
              <c:f>'Fresa 02'!$K$1</c:f>
              <c:strCache>
                <c:ptCount val="1"/>
              </c:strCache>
            </c:strRef>
          </c:tx>
          <c:spPr>
            <a:solidFill>
              <a:schemeClr val="accent3">
                <a:lumMod val="75000"/>
              </a:schemeClr>
            </a:solidFill>
          </c:spPr>
          <c:dPt>
            <c:idx val="0"/>
            <c:bubble3D val="0"/>
            <c:spPr>
              <a:noFill/>
            </c:spPr>
          </c:dPt>
          <c:dPt>
            <c:idx val="1"/>
            <c:bubble3D val="0"/>
            <c:spPr>
              <a:solidFill>
                <a:schemeClr val="bg1">
                  <a:alpha val="80000"/>
                </a:schemeClr>
              </a:solidFill>
            </c:spPr>
          </c:dPt>
          <c:val>
            <c:numRef>
              <c:f>'Fresa 02'!$I$2:$J$2</c:f>
              <c:numCache>
                <c:formatCode>0.0%</c:formatCode>
                <c:ptCount val="2"/>
                <c:pt idx="0">
                  <c:v>0.8</c:v>
                </c:pt>
                <c:pt idx="1">
                  <c:v>0.19999999999999996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C2-3D49-85FB-C4462EEF9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FF0000"/>
                </a:solidFill>
              </a:defRPr>
            </a:pPr>
            <a:r>
              <a:rPr lang="pt-BR">
                <a:solidFill>
                  <a:srgbClr val="FF0000"/>
                </a:solidFill>
              </a:rPr>
              <a:t>Refugo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Dados!$A$2:$A$7</c:f>
              <c:strCache>
                <c:ptCount val="6"/>
                <c:pt idx="0">
                  <c:v>Torno 01</c:v>
                </c:pt>
                <c:pt idx="1">
                  <c:v>Torno 02</c:v>
                </c:pt>
                <c:pt idx="2">
                  <c:v>Fresa 01</c:v>
                </c:pt>
                <c:pt idx="3">
                  <c:v>Fresa 02</c:v>
                </c:pt>
                <c:pt idx="4">
                  <c:v>Retífica 01</c:v>
                </c:pt>
                <c:pt idx="5">
                  <c:v>Retífica 02</c:v>
                </c:pt>
              </c:strCache>
            </c:strRef>
          </c:cat>
          <c:val>
            <c:numRef>
              <c:f>Dados!$J$2:$J$7</c:f>
              <c:numCache>
                <c:formatCode>General</c:formatCode>
                <c:ptCount val="6"/>
                <c:pt idx="0">
                  <c:v>100</c:v>
                </c:pt>
                <c:pt idx="1">
                  <c:v>150</c:v>
                </c:pt>
                <c:pt idx="2">
                  <c:v>210</c:v>
                </c:pt>
                <c:pt idx="3">
                  <c:v>100</c:v>
                </c:pt>
                <c:pt idx="4">
                  <c:v>98</c:v>
                </c:pt>
                <c:pt idx="5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E1-5D43-BCC1-AE1D70BF8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157376"/>
        <c:axId val="125158912"/>
      </c:barChart>
      <c:catAx>
        <c:axId val="125157376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 b="1"/>
            </a:pPr>
            <a:endParaRPr lang="pt-BR"/>
          </a:p>
        </c:txPr>
        <c:crossAx val="125158912"/>
        <c:crosses val="autoZero"/>
        <c:auto val="1"/>
        <c:lblAlgn val="ctr"/>
        <c:lblOffset val="100"/>
        <c:noMultiLvlLbl val="0"/>
      </c:catAx>
      <c:valAx>
        <c:axId val="125158912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="1"/>
            </a:pPr>
            <a:endParaRPr lang="pt-BR"/>
          </a:p>
        </c:txPr>
        <c:crossAx val="125157376"/>
        <c:crosses val="autoZero"/>
        <c:crossBetween val="between"/>
      </c:valAx>
      <c:spPr>
        <a:solidFill>
          <a:schemeClr val="accent3">
            <a:lumMod val="40000"/>
            <a:lumOff val="60000"/>
          </a:schemeClr>
        </a:solidFill>
      </c:spPr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solidFill>
              <a:srgbClr val="7030A0"/>
            </a:solidFill>
            <a:ln>
              <a:solidFill>
                <a:schemeClr val="bg1"/>
              </a:solidFill>
            </a:ln>
          </c:spPr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445A-924F-9AFB-AAA90E596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1"/>
          <c:order val="1"/>
          <c:tx>
            <c:strRef>
              <c:f>Dados!$F$1</c:f>
              <c:strCache>
                <c:ptCount val="1"/>
                <c:pt idx="0">
                  <c:v>Qualidade</c:v>
                </c:pt>
              </c:strCache>
            </c:strRef>
          </c:tx>
          <c:dPt>
            <c:idx val="0"/>
            <c:bubble3D val="0"/>
            <c:spPr>
              <a:noFill/>
            </c:spPr>
          </c:dPt>
          <c:dPt>
            <c:idx val="1"/>
            <c:bubble3D val="0"/>
            <c:spPr>
              <a:solidFill>
                <a:schemeClr val="bg1">
                  <a:alpha val="80000"/>
                </a:schemeClr>
              </a:solidFill>
            </c:spPr>
          </c:dPt>
          <c:val>
            <c:numRef>
              <c:f>'Fresa 02'!$K$2:$L$2</c:f>
              <c:numCache>
                <c:formatCode>0.0%</c:formatCode>
                <c:ptCount val="2"/>
                <c:pt idx="0">
                  <c:v>0.91</c:v>
                </c:pt>
                <c:pt idx="1">
                  <c:v>8.9999999999999969E-2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5A-924F-9AFB-AAA90E596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solidFill>
              <a:srgbClr val="FF0000"/>
            </a:solidFill>
            <a:ln>
              <a:solidFill>
                <a:schemeClr val="bg1"/>
              </a:solidFill>
            </a:ln>
          </c:spPr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1580-CC44-B5AD-C432C7FD9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1"/>
          <c:order val="1"/>
          <c:tx>
            <c:strRef>
              <c:f>'Retífica 01'!$B$2:$F$2</c:f>
              <c:strCache>
                <c:ptCount val="5"/>
                <c:pt idx="0">
                  <c:v>Retífica 01</c:v>
                </c:pt>
              </c:strCache>
            </c:strRef>
          </c:tx>
          <c:spPr>
            <a:solidFill>
              <a:srgbClr val="FF0000"/>
            </a:solidFill>
          </c:spPr>
          <c:dPt>
            <c:idx val="0"/>
            <c:bubble3D val="0"/>
            <c:spPr>
              <a:noFill/>
            </c:spPr>
          </c:dPt>
          <c:dPt>
            <c:idx val="1"/>
            <c:bubble3D val="0"/>
            <c:spPr>
              <a:solidFill>
                <a:schemeClr val="bg1">
                  <a:alpha val="80000"/>
                </a:schemeClr>
              </a:solidFill>
            </c:spPr>
          </c:dPt>
          <c:val>
            <c:numRef>
              <c:f>'Retífica 01'!$G$2:$H$2</c:f>
              <c:numCache>
                <c:formatCode>0.0%</c:formatCode>
                <c:ptCount val="2"/>
                <c:pt idx="0">
                  <c:v>0.94</c:v>
                </c:pt>
                <c:pt idx="1">
                  <c:v>6.0000000000000053E-2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80-CC44-B5AD-C432C7FD9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solidFill>
              <a:schemeClr val="tx2"/>
            </a:solidFill>
            <a:ln>
              <a:solidFill>
                <a:schemeClr val="bg1"/>
              </a:solidFill>
            </a:ln>
          </c:spPr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BFBF-1F48-8FFD-3FB944A65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1"/>
          <c:order val="1"/>
          <c:tx>
            <c:strRef>
              <c:f>'Retífica 01'!$G$1</c:f>
              <c:strCache>
                <c:ptCount val="1"/>
              </c:strCache>
            </c:strRef>
          </c:tx>
          <c:spPr>
            <a:noFill/>
          </c:spPr>
          <c:dPt>
            <c:idx val="1"/>
            <c:bubble3D val="0"/>
            <c:spPr>
              <a:solidFill>
                <a:schemeClr val="bg1">
                  <a:alpha val="80000"/>
                </a:schemeClr>
              </a:solidFill>
            </c:spPr>
          </c:dPt>
          <c:val>
            <c:numRef>
              <c:f>'Retífica 01'!$M$2:$N$2</c:f>
              <c:numCache>
                <c:formatCode>0.0%</c:formatCode>
                <c:ptCount val="2"/>
                <c:pt idx="0">
                  <c:v>0.70217999999999992</c:v>
                </c:pt>
                <c:pt idx="1">
                  <c:v>0.29782000000000008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BF-1F48-8FFD-3FB944A65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'Retífica 01'!$I$1</c:f>
              <c:strCache>
                <c:ptCount val="1"/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solidFill>
                <a:schemeClr val="bg1"/>
              </a:solidFill>
            </a:ln>
          </c:spPr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9A85-5D47-9C76-F9AAF88BF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1"/>
          <c:order val="1"/>
          <c:tx>
            <c:strRef>
              <c:f>'Retífica 01'!$K$1</c:f>
              <c:strCache>
                <c:ptCount val="1"/>
              </c:strCache>
            </c:strRef>
          </c:tx>
          <c:spPr>
            <a:solidFill>
              <a:schemeClr val="accent3">
                <a:lumMod val="75000"/>
              </a:schemeClr>
            </a:solidFill>
          </c:spPr>
          <c:dPt>
            <c:idx val="0"/>
            <c:bubble3D val="0"/>
            <c:spPr>
              <a:noFill/>
            </c:spPr>
          </c:dPt>
          <c:dPt>
            <c:idx val="1"/>
            <c:bubble3D val="0"/>
            <c:spPr>
              <a:solidFill>
                <a:schemeClr val="bg1">
                  <a:alpha val="80000"/>
                </a:schemeClr>
              </a:solidFill>
            </c:spPr>
          </c:dPt>
          <c:val>
            <c:numRef>
              <c:f>'Retífica 01'!$I$2:$J$2</c:f>
              <c:numCache>
                <c:formatCode>0.0%</c:formatCode>
                <c:ptCount val="2"/>
                <c:pt idx="0">
                  <c:v>0.9</c:v>
                </c:pt>
                <c:pt idx="1">
                  <c:v>9.9999999999999978E-2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85-5D47-9C76-F9AAF88BF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FF0000"/>
                </a:solidFill>
              </a:defRPr>
            </a:pPr>
            <a:r>
              <a:rPr lang="pt-BR">
                <a:solidFill>
                  <a:srgbClr val="FF0000"/>
                </a:solidFill>
              </a:rPr>
              <a:t>Refugo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Dados!$A$2:$A$7</c:f>
              <c:strCache>
                <c:ptCount val="6"/>
                <c:pt idx="0">
                  <c:v>Torno 01</c:v>
                </c:pt>
                <c:pt idx="1">
                  <c:v>Torno 02</c:v>
                </c:pt>
                <c:pt idx="2">
                  <c:v>Fresa 01</c:v>
                </c:pt>
                <c:pt idx="3">
                  <c:v>Fresa 02</c:v>
                </c:pt>
                <c:pt idx="4">
                  <c:v>Retífica 01</c:v>
                </c:pt>
                <c:pt idx="5">
                  <c:v>Retífica 02</c:v>
                </c:pt>
              </c:strCache>
            </c:strRef>
          </c:cat>
          <c:val>
            <c:numRef>
              <c:f>Dados!$J$2:$J$7</c:f>
              <c:numCache>
                <c:formatCode>General</c:formatCode>
                <c:ptCount val="6"/>
                <c:pt idx="0">
                  <c:v>100</c:v>
                </c:pt>
                <c:pt idx="1">
                  <c:v>150</c:v>
                </c:pt>
                <c:pt idx="2">
                  <c:v>210</c:v>
                </c:pt>
                <c:pt idx="3">
                  <c:v>100</c:v>
                </c:pt>
                <c:pt idx="4">
                  <c:v>98</c:v>
                </c:pt>
                <c:pt idx="5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0-7941-8173-8D3641B43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815168"/>
        <c:axId val="161821056"/>
      </c:barChart>
      <c:catAx>
        <c:axId val="161815168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 b="1"/>
            </a:pPr>
            <a:endParaRPr lang="pt-BR"/>
          </a:p>
        </c:txPr>
        <c:crossAx val="161821056"/>
        <c:crosses val="autoZero"/>
        <c:auto val="1"/>
        <c:lblAlgn val="ctr"/>
        <c:lblOffset val="100"/>
        <c:noMultiLvlLbl val="0"/>
      </c:catAx>
      <c:valAx>
        <c:axId val="161821056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="1"/>
            </a:pPr>
            <a:endParaRPr lang="pt-BR"/>
          </a:p>
        </c:txPr>
        <c:crossAx val="161815168"/>
        <c:crosses val="autoZero"/>
        <c:crossBetween val="between"/>
      </c:valAx>
      <c:spPr>
        <a:solidFill>
          <a:schemeClr val="accent3">
            <a:lumMod val="40000"/>
            <a:lumOff val="60000"/>
          </a:schemeClr>
        </a:solidFill>
      </c:spPr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solidFill>
              <a:srgbClr val="7030A0"/>
            </a:solidFill>
            <a:ln>
              <a:solidFill>
                <a:schemeClr val="bg1"/>
              </a:solidFill>
            </a:ln>
          </c:spPr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C529-C648-BD33-DEE35F0E8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1"/>
          <c:order val="1"/>
          <c:tx>
            <c:strRef>
              <c:f>Dados!$F$1</c:f>
              <c:strCache>
                <c:ptCount val="1"/>
                <c:pt idx="0">
                  <c:v>Qualidade</c:v>
                </c:pt>
              </c:strCache>
            </c:strRef>
          </c:tx>
          <c:dPt>
            <c:idx val="0"/>
            <c:bubble3D val="0"/>
            <c:spPr>
              <a:noFill/>
            </c:spPr>
          </c:dPt>
          <c:dPt>
            <c:idx val="1"/>
            <c:bubble3D val="0"/>
            <c:spPr>
              <a:solidFill>
                <a:schemeClr val="bg1">
                  <a:alpha val="80000"/>
                </a:schemeClr>
              </a:solidFill>
            </c:spPr>
          </c:dPt>
          <c:val>
            <c:numRef>
              <c:f>'Retífica 01'!$K$2:$L$2</c:f>
              <c:numCache>
                <c:formatCode>0.0%</c:formatCode>
                <c:ptCount val="2"/>
                <c:pt idx="0">
                  <c:v>0.83</c:v>
                </c:pt>
                <c:pt idx="1">
                  <c:v>0.17000000000000004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29-C648-BD33-DEE35F0E8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solidFill>
              <a:srgbClr val="FF0000"/>
            </a:solidFill>
            <a:ln>
              <a:solidFill>
                <a:schemeClr val="bg1"/>
              </a:solidFill>
            </a:ln>
          </c:spPr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D8F7-6440-8961-95C2CE6B9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1"/>
          <c:order val="1"/>
          <c:tx>
            <c:strRef>
              <c:f>'Retífica 02'!$B$2:$F$2</c:f>
              <c:strCache>
                <c:ptCount val="5"/>
                <c:pt idx="0">
                  <c:v>Retífica 02</c:v>
                </c:pt>
              </c:strCache>
            </c:strRef>
          </c:tx>
          <c:spPr>
            <a:solidFill>
              <a:srgbClr val="FF0000"/>
            </a:solidFill>
          </c:spPr>
          <c:dPt>
            <c:idx val="0"/>
            <c:bubble3D val="0"/>
            <c:spPr>
              <a:noFill/>
            </c:spPr>
          </c:dPt>
          <c:dPt>
            <c:idx val="1"/>
            <c:bubble3D val="0"/>
            <c:spPr>
              <a:solidFill>
                <a:schemeClr val="bg1">
                  <a:alpha val="80000"/>
                </a:schemeClr>
              </a:solidFill>
            </c:spPr>
          </c:dPt>
          <c:val>
            <c:numRef>
              <c:f>'Retífica 02'!$G$2:$H$2</c:f>
              <c:numCache>
                <c:formatCode>0.0%</c:formatCode>
                <c:ptCount val="2"/>
                <c:pt idx="0">
                  <c:v>0.98</c:v>
                </c:pt>
                <c:pt idx="1">
                  <c:v>2.0000000000000018E-2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F7-6440-8961-95C2CE6B9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solidFill>
              <a:schemeClr val="tx2"/>
            </a:solidFill>
            <a:ln>
              <a:solidFill>
                <a:schemeClr val="bg1"/>
              </a:solidFill>
            </a:ln>
          </c:spPr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FC42-CD45-932E-02B9D1A0F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1"/>
          <c:order val="1"/>
          <c:tx>
            <c:strRef>
              <c:f>'Retífica 02'!$G$1</c:f>
              <c:strCache>
                <c:ptCount val="1"/>
              </c:strCache>
            </c:strRef>
          </c:tx>
          <c:spPr>
            <a:noFill/>
          </c:spPr>
          <c:dPt>
            <c:idx val="1"/>
            <c:bubble3D val="0"/>
            <c:spPr>
              <a:solidFill>
                <a:schemeClr val="bg1">
                  <a:alpha val="80000"/>
                </a:schemeClr>
              </a:solidFill>
            </c:spPr>
          </c:dPt>
          <c:val>
            <c:numRef>
              <c:f>'Retífica 02'!$M$2:$N$2</c:f>
              <c:numCache>
                <c:formatCode>0.0%</c:formatCode>
                <c:ptCount val="2"/>
                <c:pt idx="0">
                  <c:v>0.73127600000000004</c:v>
                </c:pt>
                <c:pt idx="1">
                  <c:v>0.26872399999999996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42-CD45-932E-02B9D1A0F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'Retífica 02'!$I$1</c:f>
              <c:strCache>
                <c:ptCount val="1"/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solidFill>
                <a:schemeClr val="bg1"/>
              </a:solidFill>
            </a:ln>
          </c:spPr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A250-C841-BDB6-BCE892F61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1"/>
          <c:order val="1"/>
          <c:tx>
            <c:strRef>
              <c:f>'Retífica 02'!$K$1</c:f>
              <c:strCache>
                <c:ptCount val="1"/>
              </c:strCache>
            </c:strRef>
          </c:tx>
          <c:spPr>
            <a:solidFill>
              <a:schemeClr val="accent3">
                <a:lumMod val="75000"/>
              </a:schemeClr>
            </a:solidFill>
          </c:spPr>
          <c:dPt>
            <c:idx val="0"/>
            <c:bubble3D val="0"/>
            <c:spPr>
              <a:noFill/>
            </c:spPr>
          </c:dPt>
          <c:dPt>
            <c:idx val="1"/>
            <c:bubble3D val="0"/>
            <c:spPr>
              <a:solidFill>
                <a:schemeClr val="bg1">
                  <a:alpha val="80000"/>
                </a:schemeClr>
              </a:solidFill>
            </c:spPr>
          </c:dPt>
          <c:val>
            <c:numRef>
              <c:f>'Retífica 02'!$I$2:$J$2</c:f>
              <c:numCache>
                <c:formatCode>0.0%</c:formatCode>
                <c:ptCount val="2"/>
                <c:pt idx="0">
                  <c:v>0.82</c:v>
                </c:pt>
                <c:pt idx="1">
                  <c:v>0.18000000000000005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50-C841-BDB6-BCE892F61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FF0000"/>
                </a:solidFill>
              </a:defRPr>
            </a:pPr>
            <a:r>
              <a:rPr lang="pt-BR">
                <a:solidFill>
                  <a:srgbClr val="FF0000"/>
                </a:solidFill>
              </a:rPr>
              <a:t>Refugo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Dados!$A$2:$A$7</c:f>
              <c:strCache>
                <c:ptCount val="6"/>
                <c:pt idx="0">
                  <c:v>Torno 01</c:v>
                </c:pt>
                <c:pt idx="1">
                  <c:v>Torno 02</c:v>
                </c:pt>
                <c:pt idx="2">
                  <c:v>Fresa 01</c:v>
                </c:pt>
                <c:pt idx="3">
                  <c:v>Fresa 02</c:v>
                </c:pt>
                <c:pt idx="4">
                  <c:v>Retífica 01</c:v>
                </c:pt>
                <c:pt idx="5">
                  <c:v>Retífica 02</c:v>
                </c:pt>
              </c:strCache>
            </c:strRef>
          </c:cat>
          <c:val>
            <c:numRef>
              <c:f>Dados!$J$2:$J$7</c:f>
              <c:numCache>
                <c:formatCode>General</c:formatCode>
                <c:ptCount val="6"/>
                <c:pt idx="0">
                  <c:v>100</c:v>
                </c:pt>
                <c:pt idx="1">
                  <c:v>150</c:v>
                </c:pt>
                <c:pt idx="2">
                  <c:v>210</c:v>
                </c:pt>
                <c:pt idx="3">
                  <c:v>100</c:v>
                </c:pt>
                <c:pt idx="4">
                  <c:v>98</c:v>
                </c:pt>
                <c:pt idx="5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92-8647-8407-2C1375B05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341248"/>
        <c:axId val="164342784"/>
      </c:barChart>
      <c:catAx>
        <c:axId val="164341248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 b="1"/>
            </a:pPr>
            <a:endParaRPr lang="pt-BR"/>
          </a:p>
        </c:txPr>
        <c:crossAx val="164342784"/>
        <c:crosses val="autoZero"/>
        <c:auto val="1"/>
        <c:lblAlgn val="ctr"/>
        <c:lblOffset val="100"/>
        <c:noMultiLvlLbl val="0"/>
      </c:catAx>
      <c:valAx>
        <c:axId val="164342784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="1"/>
            </a:pPr>
            <a:endParaRPr lang="pt-BR"/>
          </a:p>
        </c:txPr>
        <c:crossAx val="164341248"/>
        <c:crosses val="autoZero"/>
        <c:crossBetween val="between"/>
      </c:valAx>
      <c:spPr>
        <a:solidFill>
          <a:schemeClr val="accent3">
            <a:lumMod val="40000"/>
            <a:lumOff val="60000"/>
          </a:schemeClr>
        </a:solidFill>
      </c:spPr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solidFill>
              <a:srgbClr val="7030A0"/>
            </a:solidFill>
            <a:ln>
              <a:solidFill>
                <a:schemeClr val="bg1"/>
              </a:solidFill>
            </a:ln>
          </c:spPr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4CAC-074A-8352-D4023B565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1"/>
          <c:order val="1"/>
          <c:tx>
            <c:strRef>
              <c:f>Dados!$F$1</c:f>
              <c:strCache>
                <c:ptCount val="1"/>
                <c:pt idx="0">
                  <c:v>Qualidade</c:v>
                </c:pt>
              </c:strCache>
            </c:strRef>
          </c:tx>
          <c:dPt>
            <c:idx val="0"/>
            <c:bubble3D val="0"/>
            <c:spPr>
              <a:noFill/>
            </c:spPr>
          </c:dPt>
          <c:dPt>
            <c:idx val="1"/>
            <c:bubble3D val="0"/>
            <c:spPr>
              <a:solidFill>
                <a:schemeClr val="bg1">
                  <a:alpha val="80000"/>
                </a:schemeClr>
              </a:solidFill>
            </c:spPr>
          </c:dPt>
          <c:val>
            <c:numRef>
              <c:f>'Retífica 02'!$K$2:$L$2</c:f>
              <c:numCache>
                <c:formatCode>0.0%</c:formatCode>
                <c:ptCount val="2"/>
                <c:pt idx="0">
                  <c:v>0.91</c:v>
                </c:pt>
                <c:pt idx="1">
                  <c:v>8.9999999999999969E-2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AC-074A-8352-D4023B565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Ret&#237;fica 01'!A1" /><Relationship Id="rId13" Type="http://schemas.openxmlformats.org/officeDocument/2006/relationships/chart" Target="../charts/chart3.xml" /><Relationship Id="rId3" Type="http://schemas.openxmlformats.org/officeDocument/2006/relationships/hyperlink" Target="#'Torno 02'!A1" /><Relationship Id="rId7" Type="http://schemas.openxmlformats.org/officeDocument/2006/relationships/image" Target="../media/image3.jpeg" /><Relationship Id="rId12" Type="http://schemas.openxmlformats.org/officeDocument/2006/relationships/chart" Target="../charts/chart2.xml" /><Relationship Id="rId2" Type="http://schemas.openxmlformats.org/officeDocument/2006/relationships/image" Target="../media/image1.png" /><Relationship Id="rId16" Type="http://schemas.openxmlformats.org/officeDocument/2006/relationships/chart" Target="../charts/chart6.xml" /><Relationship Id="rId1" Type="http://schemas.openxmlformats.org/officeDocument/2006/relationships/hyperlink" Target="#'Torno 01'!A1" /><Relationship Id="rId6" Type="http://schemas.openxmlformats.org/officeDocument/2006/relationships/hyperlink" Target="#'Fresa 02'!A1" /><Relationship Id="rId11" Type="http://schemas.openxmlformats.org/officeDocument/2006/relationships/chart" Target="../charts/chart1.xml" /><Relationship Id="rId5" Type="http://schemas.openxmlformats.org/officeDocument/2006/relationships/image" Target="../media/image2.jpeg" /><Relationship Id="rId15" Type="http://schemas.openxmlformats.org/officeDocument/2006/relationships/chart" Target="../charts/chart5.xml" /><Relationship Id="rId10" Type="http://schemas.openxmlformats.org/officeDocument/2006/relationships/hyperlink" Target="#'Ret&#237;fica 02'!A1" /><Relationship Id="rId4" Type="http://schemas.openxmlformats.org/officeDocument/2006/relationships/hyperlink" Target="#'Fresa 01'!A1" /><Relationship Id="rId9" Type="http://schemas.openxmlformats.org/officeDocument/2006/relationships/image" Target="../media/image4.jpeg" /><Relationship Id="rId14" Type="http://schemas.openxmlformats.org/officeDocument/2006/relationships/chart" Target="../charts/chart4.xml" 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'Ret&#237;fica 01'!A1" /><Relationship Id="rId13" Type="http://schemas.openxmlformats.org/officeDocument/2006/relationships/chart" Target="../charts/chart9.xml" /><Relationship Id="rId3" Type="http://schemas.openxmlformats.org/officeDocument/2006/relationships/hyperlink" Target="#'Torno 02'!A1" /><Relationship Id="rId7" Type="http://schemas.openxmlformats.org/officeDocument/2006/relationships/image" Target="../media/image3.jpeg" /><Relationship Id="rId12" Type="http://schemas.openxmlformats.org/officeDocument/2006/relationships/chart" Target="../charts/chart8.xml" /><Relationship Id="rId2" Type="http://schemas.openxmlformats.org/officeDocument/2006/relationships/image" Target="../media/image5.png" /><Relationship Id="rId16" Type="http://schemas.openxmlformats.org/officeDocument/2006/relationships/chart" Target="../charts/chart12.xml" /><Relationship Id="rId1" Type="http://schemas.openxmlformats.org/officeDocument/2006/relationships/hyperlink" Target="#'Torno 01'!A1" /><Relationship Id="rId6" Type="http://schemas.openxmlformats.org/officeDocument/2006/relationships/hyperlink" Target="#'Fresa 02'!A1" /><Relationship Id="rId11" Type="http://schemas.openxmlformats.org/officeDocument/2006/relationships/chart" Target="../charts/chart7.xml" /><Relationship Id="rId5" Type="http://schemas.openxmlformats.org/officeDocument/2006/relationships/image" Target="../media/image2.jpeg" /><Relationship Id="rId15" Type="http://schemas.openxmlformats.org/officeDocument/2006/relationships/chart" Target="../charts/chart11.xml" /><Relationship Id="rId10" Type="http://schemas.openxmlformats.org/officeDocument/2006/relationships/hyperlink" Target="#'Ret&#237;fica 02'!A1" /><Relationship Id="rId4" Type="http://schemas.openxmlformats.org/officeDocument/2006/relationships/hyperlink" Target="#'Fresa 01'!A1" /><Relationship Id="rId9" Type="http://schemas.openxmlformats.org/officeDocument/2006/relationships/image" Target="../media/image4.jpeg" /><Relationship Id="rId14" Type="http://schemas.openxmlformats.org/officeDocument/2006/relationships/chart" Target="../charts/chart10.xml" 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'Ret&#237;fica 01'!A1" /><Relationship Id="rId13" Type="http://schemas.openxmlformats.org/officeDocument/2006/relationships/chart" Target="../charts/chart15.xml" /><Relationship Id="rId3" Type="http://schemas.openxmlformats.org/officeDocument/2006/relationships/hyperlink" Target="#'Torno 02'!A1" /><Relationship Id="rId7" Type="http://schemas.openxmlformats.org/officeDocument/2006/relationships/image" Target="../media/image3.jpeg" /><Relationship Id="rId12" Type="http://schemas.openxmlformats.org/officeDocument/2006/relationships/chart" Target="../charts/chart14.xml" /><Relationship Id="rId2" Type="http://schemas.openxmlformats.org/officeDocument/2006/relationships/image" Target="../media/image5.png" /><Relationship Id="rId16" Type="http://schemas.openxmlformats.org/officeDocument/2006/relationships/chart" Target="../charts/chart18.xml" /><Relationship Id="rId1" Type="http://schemas.openxmlformats.org/officeDocument/2006/relationships/hyperlink" Target="#'Torno 01'!A1" /><Relationship Id="rId6" Type="http://schemas.openxmlformats.org/officeDocument/2006/relationships/hyperlink" Target="#'Fresa 02'!A1" /><Relationship Id="rId11" Type="http://schemas.openxmlformats.org/officeDocument/2006/relationships/chart" Target="../charts/chart13.xml" /><Relationship Id="rId5" Type="http://schemas.openxmlformats.org/officeDocument/2006/relationships/image" Target="../media/image2.jpeg" /><Relationship Id="rId15" Type="http://schemas.openxmlformats.org/officeDocument/2006/relationships/chart" Target="../charts/chart17.xml" /><Relationship Id="rId10" Type="http://schemas.openxmlformats.org/officeDocument/2006/relationships/hyperlink" Target="#'Ret&#237;fica 02'!A1" /><Relationship Id="rId4" Type="http://schemas.openxmlformats.org/officeDocument/2006/relationships/hyperlink" Target="#'Fresa 01'!A1" /><Relationship Id="rId9" Type="http://schemas.openxmlformats.org/officeDocument/2006/relationships/image" Target="../media/image4.jpeg" /><Relationship Id="rId14" Type="http://schemas.openxmlformats.org/officeDocument/2006/relationships/chart" Target="../charts/chart16.xml" 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#'Ret&#237;fica 01'!A1" /><Relationship Id="rId13" Type="http://schemas.openxmlformats.org/officeDocument/2006/relationships/chart" Target="../charts/chart21.xml" /><Relationship Id="rId3" Type="http://schemas.openxmlformats.org/officeDocument/2006/relationships/hyperlink" Target="#'Torno 02'!A1" /><Relationship Id="rId7" Type="http://schemas.openxmlformats.org/officeDocument/2006/relationships/image" Target="../media/image3.jpeg" /><Relationship Id="rId12" Type="http://schemas.openxmlformats.org/officeDocument/2006/relationships/chart" Target="../charts/chart20.xml" /><Relationship Id="rId2" Type="http://schemas.openxmlformats.org/officeDocument/2006/relationships/image" Target="../media/image5.png" /><Relationship Id="rId16" Type="http://schemas.openxmlformats.org/officeDocument/2006/relationships/chart" Target="../charts/chart24.xml" /><Relationship Id="rId1" Type="http://schemas.openxmlformats.org/officeDocument/2006/relationships/hyperlink" Target="#'Torno 01'!A1" /><Relationship Id="rId6" Type="http://schemas.openxmlformats.org/officeDocument/2006/relationships/hyperlink" Target="#'Fresa 02'!A1" /><Relationship Id="rId11" Type="http://schemas.openxmlformats.org/officeDocument/2006/relationships/chart" Target="../charts/chart19.xml" /><Relationship Id="rId5" Type="http://schemas.openxmlformats.org/officeDocument/2006/relationships/image" Target="../media/image2.jpeg" /><Relationship Id="rId15" Type="http://schemas.openxmlformats.org/officeDocument/2006/relationships/chart" Target="../charts/chart23.xml" /><Relationship Id="rId10" Type="http://schemas.openxmlformats.org/officeDocument/2006/relationships/hyperlink" Target="#'Ret&#237;fica 02'!A1" /><Relationship Id="rId4" Type="http://schemas.openxmlformats.org/officeDocument/2006/relationships/hyperlink" Target="#'Fresa 01'!A1" /><Relationship Id="rId9" Type="http://schemas.openxmlformats.org/officeDocument/2006/relationships/image" Target="../media/image4.jpeg" /><Relationship Id="rId14" Type="http://schemas.openxmlformats.org/officeDocument/2006/relationships/chart" Target="../charts/chart22.xml" 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hyperlink" Target="#'Ret&#237;fica 01'!A1" /><Relationship Id="rId13" Type="http://schemas.openxmlformats.org/officeDocument/2006/relationships/chart" Target="../charts/chart27.xml" /><Relationship Id="rId3" Type="http://schemas.openxmlformats.org/officeDocument/2006/relationships/hyperlink" Target="#'Torno 02'!A1" /><Relationship Id="rId7" Type="http://schemas.openxmlformats.org/officeDocument/2006/relationships/image" Target="../media/image3.jpeg" /><Relationship Id="rId12" Type="http://schemas.openxmlformats.org/officeDocument/2006/relationships/chart" Target="../charts/chart26.xml" /><Relationship Id="rId2" Type="http://schemas.openxmlformats.org/officeDocument/2006/relationships/image" Target="../media/image5.png" /><Relationship Id="rId16" Type="http://schemas.openxmlformats.org/officeDocument/2006/relationships/chart" Target="../charts/chart30.xml" /><Relationship Id="rId1" Type="http://schemas.openxmlformats.org/officeDocument/2006/relationships/hyperlink" Target="#'Torno 01'!A1" /><Relationship Id="rId6" Type="http://schemas.openxmlformats.org/officeDocument/2006/relationships/hyperlink" Target="#'Fresa 02'!A1" /><Relationship Id="rId11" Type="http://schemas.openxmlformats.org/officeDocument/2006/relationships/chart" Target="../charts/chart25.xml" /><Relationship Id="rId5" Type="http://schemas.openxmlformats.org/officeDocument/2006/relationships/image" Target="../media/image2.jpeg" /><Relationship Id="rId15" Type="http://schemas.openxmlformats.org/officeDocument/2006/relationships/chart" Target="../charts/chart29.xml" /><Relationship Id="rId10" Type="http://schemas.openxmlformats.org/officeDocument/2006/relationships/hyperlink" Target="#'Ret&#237;fica 02'!A1" /><Relationship Id="rId4" Type="http://schemas.openxmlformats.org/officeDocument/2006/relationships/hyperlink" Target="#'Fresa 01'!A1" /><Relationship Id="rId9" Type="http://schemas.openxmlformats.org/officeDocument/2006/relationships/image" Target="../media/image4.jpeg" /><Relationship Id="rId14" Type="http://schemas.openxmlformats.org/officeDocument/2006/relationships/chart" Target="../charts/chart28.xml" 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hyperlink" Target="#'Ret&#237;fica 01'!A1" /><Relationship Id="rId13" Type="http://schemas.openxmlformats.org/officeDocument/2006/relationships/chart" Target="../charts/chart33.xml" /><Relationship Id="rId3" Type="http://schemas.openxmlformats.org/officeDocument/2006/relationships/hyperlink" Target="#'Torno 02'!A1" /><Relationship Id="rId7" Type="http://schemas.openxmlformats.org/officeDocument/2006/relationships/image" Target="../media/image3.jpeg" /><Relationship Id="rId12" Type="http://schemas.openxmlformats.org/officeDocument/2006/relationships/chart" Target="../charts/chart32.xml" /><Relationship Id="rId2" Type="http://schemas.openxmlformats.org/officeDocument/2006/relationships/image" Target="../media/image5.png" /><Relationship Id="rId16" Type="http://schemas.openxmlformats.org/officeDocument/2006/relationships/chart" Target="../charts/chart36.xml" /><Relationship Id="rId1" Type="http://schemas.openxmlformats.org/officeDocument/2006/relationships/hyperlink" Target="#'Torno 01'!A1" /><Relationship Id="rId6" Type="http://schemas.openxmlformats.org/officeDocument/2006/relationships/hyperlink" Target="#'Fresa 02'!A1" /><Relationship Id="rId11" Type="http://schemas.openxmlformats.org/officeDocument/2006/relationships/chart" Target="../charts/chart31.xml" /><Relationship Id="rId5" Type="http://schemas.openxmlformats.org/officeDocument/2006/relationships/image" Target="../media/image2.jpeg" /><Relationship Id="rId15" Type="http://schemas.openxmlformats.org/officeDocument/2006/relationships/chart" Target="../charts/chart35.xml" /><Relationship Id="rId10" Type="http://schemas.openxmlformats.org/officeDocument/2006/relationships/hyperlink" Target="#'Ret&#237;fica 02'!A1" /><Relationship Id="rId4" Type="http://schemas.openxmlformats.org/officeDocument/2006/relationships/hyperlink" Target="#'Fresa 01'!A1" /><Relationship Id="rId9" Type="http://schemas.openxmlformats.org/officeDocument/2006/relationships/image" Target="../media/image4.jpeg" /><Relationship Id="rId14" Type="http://schemas.openxmlformats.org/officeDocument/2006/relationships/chart" Target="../charts/chart3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3</xdr:row>
      <xdr:rowOff>0</xdr:rowOff>
    </xdr:from>
    <xdr:to>
      <xdr:col>4</xdr:col>
      <xdr:colOff>733426</xdr:colOff>
      <xdr:row>24</xdr:row>
      <xdr:rowOff>28575</xdr:rowOff>
    </xdr:to>
    <xdr:sp macro="" textlink="">
      <xdr:nvSpPr>
        <xdr:cNvPr id="18" name="Fluxograma: Processo alternativo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95251" y="676275"/>
          <a:ext cx="2952750" cy="4029075"/>
        </a:xfrm>
        <a:prstGeom prst="flowChartAlternateProcess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6</xdr:col>
      <xdr:colOff>542925</xdr:colOff>
      <xdr:row>10</xdr:row>
      <xdr:rowOff>0</xdr:rowOff>
    </xdr:from>
    <xdr:ext cx="289053" cy="655885"/>
    <xdr:sp macro="" textlink="$C$28">
      <xdr:nvSpPr>
        <xdr:cNvPr id="6" name="CaixaDeText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600575" y="952500"/>
          <a:ext cx="289053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54D4EAB5-5DF2-443B-823D-FA5B655FE8BA}" type="TxLink">
            <a:rPr lang="pt-BR" sz="3600" b="1">
              <a:solidFill>
                <a:schemeClr val="tx2">
                  <a:lumMod val="60000"/>
                  <a:lumOff val="40000"/>
                </a:schemeClr>
              </a:solidFill>
            </a:rPr>
            <a:pPr/>
            <a:t> </a:t>
          </a:fld>
          <a:endParaRPr lang="pt-BR" sz="3600" b="1">
            <a:solidFill>
              <a:schemeClr val="tx2">
                <a:lumMod val="60000"/>
                <a:lumOff val="40000"/>
              </a:schemeClr>
            </a:solidFill>
          </a:endParaRPr>
        </a:p>
      </xdr:txBody>
    </xdr:sp>
    <xdr:clientData/>
  </xdr:oneCellAnchor>
  <xdr:oneCellAnchor>
    <xdr:from>
      <xdr:col>6</xdr:col>
      <xdr:colOff>57150</xdr:colOff>
      <xdr:row>16</xdr:row>
      <xdr:rowOff>114300</xdr:rowOff>
    </xdr:from>
    <xdr:ext cx="242631" cy="405432"/>
    <xdr:sp macro="" textlink="$B$28">
      <xdr:nvSpPr>
        <xdr:cNvPr id="7" name="CaixaDeText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4114800" y="2209800"/>
          <a:ext cx="2426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36FF6A8-FDA4-4DD6-8659-F9D16B28CFAA}" type="TxLink">
            <a:rPr lang="pt-BR" sz="2000" b="1">
              <a:solidFill>
                <a:schemeClr val="tx2">
                  <a:lumMod val="60000"/>
                  <a:lumOff val="40000"/>
                </a:schemeClr>
              </a:solidFill>
            </a:rPr>
            <a:pPr/>
            <a:t> </a:t>
          </a:fld>
          <a:endParaRPr lang="pt-BR" sz="2000" b="1">
            <a:solidFill>
              <a:schemeClr val="tx2">
                <a:lumMod val="60000"/>
                <a:lumOff val="40000"/>
              </a:schemeClr>
            </a:solidFill>
          </a:endParaRPr>
        </a:p>
      </xdr:txBody>
    </xdr:sp>
    <xdr:clientData/>
  </xdr:oneCellAnchor>
  <xdr:oneCellAnchor>
    <xdr:from>
      <xdr:col>8</xdr:col>
      <xdr:colOff>295275</xdr:colOff>
      <xdr:row>26</xdr:row>
      <xdr:rowOff>19050</xdr:rowOff>
    </xdr:from>
    <xdr:ext cx="184731" cy="26456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5476875" y="40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11</xdr:col>
      <xdr:colOff>66675</xdr:colOff>
      <xdr:row>9</xdr:row>
      <xdr:rowOff>180975</xdr:rowOff>
    </xdr:from>
    <xdr:ext cx="289053" cy="655885"/>
    <xdr:sp macro="" textlink="$C$29">
      <xdr:nvSpPr>
        <xdr:cNvPr id="9" name="CaixaDeText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7172325" y="942975"/>
          <a:ext cx="289053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FCF3FF7-52EF-4A46-9C4E-FDDF8513E9F0}" type="TxLink">
            <a:rPr lang="pt-BR" sz="3600" b="1">
              <a:solidFill>
                <a:schemeClr val="accent3">
                  <a:lumMod val="75000"/>
                </a:schemeClr>
              </a:solidFill>
            </a:rPr>
            <a:pPr/>
            <a:t> </a:t>
          </a:fld>
          <a:endParaRPr lang="pt-BR" sz="3600" b="1">
            <a:solidFill>
              <a:schemeClr val="accent3">
                <a:lumMod val="75000"/>
              </a:schemeClr>
            </a:solidFill>
          </a:endParaRPr>
        </a:p>
      </xdr:txBody>
    </xdr:sp>
    <xdr:clientData/>
  </xdr:oneCellAnchor>
  <xdr:oneCellAnchor>
    <xdr:from>
      <xdr:col>7</xdr:col>
      <xdr:colOff>57150</xdr:colOff>
      <xdr:row>22</xdr:row>
      <xdr:rowOff>133350</xdr:rowOff>
    </xdr:from>
    <xdr:ext cx="289053" cy="655885"/>
    <xdr:sp macro="" textlink="$C$30">
      <xdr:nvSpPr>
        <xdr:cNvPr id="3" name="CaixaDeTex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724400" y="3371850"/>
          <a:ext cx="289053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008D394-C014-4900-AB36-25F9709E43F8}" type="TxLink">
            <a:rPr lang="pt-BR" sz="3600" b="1">
              <a:solidFill>
                <a:srgbClr val="FFC000"/>
              </a:solidFill>
            </a:rPr>
            <a:pPr/>
            <a:t> </a:t>
          </a:fld>
          <a:endParaRPr lang="pt-BR" sz="3600" b="1">
            <a:solidFill>
              <a:srgbClr val="FFC000"/>
            </a:solidFill>
          </a:endParaRPr>
        </a:p>
      </xdr:txBody>
    </xdr:sp>
    <xdr:clientData/>
  </xdr:oneCellAnchor>
  <xdr:oneCellAnchor>
    <xdr:from>
      <xdr:col>6</xdr:col>
      <xdr:colOff>542925</xdr:colOff>
      <xdr:row>29</xdr:row>
      <xdr:rowOff>47625</xdr:rowOff>
    </xdr:from>
    <xdr:ext cx="242631" cy="405432"/>
    <xdr:sp macro="" textlink="$B$30">
      <xdr:nvSpPr>
        <xdr:cNvPr id="11" name="CaixaDeText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4600575" y="4619625"/>
          <a:ext cx="2426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032C7AE-FE12-4436-9BBA-EC8B91D299CC}" type="TxLink">
            <a:rPr lang="pt-BR" sz="2000" b="1">
              <a:solidFill>
                <a:srgbClr val="FFC000"/>
              </a:solidFill>
            </a:rPr>
            <a:pPr/>
            <a:t> </a:t>
          </a:fld>
          <a:endParaRPr lang="pt-BR" sz="2000" b="1">
            <a:solidFill>
              <a:srgbClr val="FFC000"/>
            </a:solidFill>
          </a:endParaRPr>
        </a:p>
      </xdr:txBody>
    </xdr:sp>
    <xdr:clientData/>
  </xdr:oneCellAnchor>
  <xdr:twoCellAnchor editAs="oneCell">
    <xdr:from>
      <xdr:col>1</xdr:col>
      <xdr:colOff>152400</xdr:colOff>
      <xdr:row>5</xdr:row>
      <xdr:rowOff>123825</xdr:rowOff>
    </xdr:from>
    <xdr:to>
      <xdr:col>2</xdr:col>
      <xdr:colOff>571500</xdr:colOff>
      <xdr:row>10</xdr:row>
      <xdr:rowOff>122093</xdr:rowOff>
    </xdr:to>
    <xdr:pic>
      <xdr:nvPicPr>
        <xdr:cNvPr id="15" name="Imagem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123825"/>
          <a:ext cx="1428750" cy="950768"/>
        </a:xfrm>
        <a:prstGeom prst="rect">
          <a:avLst/>
        </a:prstGeom>
      </xdr:spPr>
    </xdr:pic>
    <xdr:clientData/>
  </xdr:twoCellAnchor>
  <xdr:twoCellAnchor editAs="oneCell">
    <xdr:from>
      <xdr:col>2</xdr:col>
      <xdr:colOff>504825</xdr:colOff>
      <xdr:row>5</xdr:row>
      <xdr:rowOff>142874</xdr:rowOff>
    </xdr:from>
    <xdr:to>
      <xdr:col>4</xdr:col>
      <xdr:colOff>714375</xdr:colOff>
      <xdr:row>10</xdr:row>
      <xdr:rowOff>141142</xdr:rowOff>
    </xdr:to>
    <xdr:pic>
      <xdr:nvPicPr>
        <xdr:cNvPr id="17" name="Imagem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4475" y="142874"/>
          <a:ext cx="1428750" cy="950768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11</xdr:row>
      <xdr:rowOff>57150</xdr:rowOff>
    </xdr:from>
    <xdr:to>
      <xdr:col>2</xdr:col>
      <xdr:colOff>413832</xdr:colOff>
      <xdr:row>16</xdr:row>
      <xdr:rowOff>76200</xdr:rowOff>
    </xdr:to>
    <xdr:pic>
      <xdr:nvPicPr>
        <xdr:cNvPr id="24" name="Imagem 23" descr="Resultado de imagem para foto FRESADORA cnc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2257425"/>
          <a:ext cx="1032957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95249</xdr:colOff>
      <xdr:row>11</xdr:row>
      <xdr:rowOff>76200</xdr:rowOff>
    </xdr:from>
    <xdr:to>
      <xdr:col>4</xdr:col>
      <xdr:colOff>547182</xdr:colOff>
      <xdr:row>16</xdr:row>
      <xdr:rowOff>95250</xdr:rowOff>
    </xdr:to>
    <xdr:pic>
      <xdr:nvPicPr>
        <xdr:cNvPr id="26" name="Imagem 25" descr="Resultado de imagem para foto FRESADORA cnc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4" y="2276475"/>
          <a:ext cx="1061533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400050</xdr:colOff>
      <xdr:row>17</xdr:row>
      <xdr:rowOff>76201</xdr:rowOff>
    </xdr:from>
    <xdr:to>
      <xdr:col>2</xdr:col>
      <xdr:colOff>420750</xdr:colOff>
      <xdr:row>21</xdr:row>
      <xdr:rowOff>123825</xdr:rowOff>
    </xdr:to>
    <xdr:pic>
      <xdr:nvPicPr>
        <xdr:cNvPr id="27" name="Imagem 26" descr="Resultado de imagem para foto RETIFICA cnc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419476"/>
          <a:ext cx="1030350" cy="809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152399</xdr:colOff>
      <xdr:row>17</xdr:row>
      <xdr:rowOff>133350</xdr:rowOff>
    </xdr:from>
    <xdr:to>
      <xdr:col>4</xdr:col>
      <xdr:colOff>601724</xdr:colOff>
      <xdr:row>21</xdr:row>
      <xdr:rowOff>180974</xdr:rowOff>
    </xdr:to>
    <xdr:pic>
      <xdr:nvPicPr>
        <xdr:cNvPr id="28" name="Imagem 27" descr="Resultado de imagem para foto RETIFICA cnc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4" y="3476625"/>
          <a:ext cx="1058925" cy="809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19050</xdr:colOff>
      <xdr:row>3</xdr:row>
      <xdr:rowOff>14287</xdr:rowOff>
    </xdr:from>
    <xdr:to>
      <xdr:col>8</xdr:col>
      <xdr:colOff>304800</xdr:colOff>
      <xdr:row>13</xdr:row>
      <xdr:rowOff>76200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304800</xdr:colOff>
      <xdr:row>13</xdr:row>
      <xdr:rowOff>71437</xdr:rowOff>
    </xdr:from>
    <xdr:to>
      <xdr:col>11</xdr:col>
      <xdr:colOff>561976</xdr:colOff>
      <xdr:row>24</xdr:row>
      <xdr:rowOff>9525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304800</xdr:colOff>
      <xdr:row>3</xdr:row>
      <xdr:rowOff>14286</xdr:rowOff>
    </xdr:from>
    <xdr:to>
      <xdr:col>11</xdr:col>
      <xdr:colOff>561975</xdr:colOff>
      <xdr:row>13</xdr:row>
      <xdr:rowOff>66675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19049</xdr:colOff>
      <xdr:row>13</xdr:row>
      <xdr:rowOff>71438</xdr:rowOff>
    </xdr:from>
    <xdr:to>
      <xdr:col>8</xdr:col>
      <xdr:colOff>314324</xdr:colOff>
      <xdr:row>24</xdr:row>
      <xdr:rowOff>9526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oneCellAnchor>
    <xdr:from>
      <xdr:col>6</xdr:col>
      <xdr:colOff>114300</xdr:colOff>
      <xdr:row>7</xdr:row>
      <xdr:rowOff>19050</xdr:rowOff>
    </xdr:from>
    <xdr:ext cx="827662" cy="405432"/>
    <xdr:sp macro="" textlink="$G$2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829050" y="1457325"/>
          <a:ext cx="827662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B1003B4-CEEF-4E95-A4B7-4A9698269671}" type="TxLink">
            <a:rPr lang="pt-BR" sz="2000" b="1">
              <a:solidFill>
                <a:srgbClr val="FF0000"/>
              </a:solidFill>
            </a:rPr>
            <a:pPr/>
            <a:t>92,0%</a:t>
          </a:fld>
          <a:endParaRPr lang="pt-BR" sz="20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342900</xdr:colOff>
      <xdr:row>7</xdr:row>
      <xdr:rowOff>19050</xdr:rowOff>
    </xdr:from>
    <xdr:ext cx="827662" cy="405432"/>
    <xdr:sp macro="" textlink="$I$2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5886450" y="1485900"/>
          <a:ext cx="827662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7A78595-C298-48BB-A4DE-C9D898AF9052}" type="TxLink">
            <a:rPr lang="pt-BR" sz="2000" b="1">
              <a:solidFill>
                <a:schemeClr val="accent3">
                  <a:lumMod val="75000"/>
                </a:schemeClr>
              </a:solidFill>
            </a:rPr>
            <a:pPr/>
            <a:t>82,0%</a:t>
          </a:fld>
          <a:endParaRPr lang="pt-BR" sz="2000" b="1">
            <a:solidFill>
              <a:schemeClr val="accent3">
                <a:lumMod val="75000"/>
              </a:schemeClr>
            </a:solidFill>
          </a:endParaRPr>
        </a:p>
      </xdr:txBody>
    </xdr:sp>
    <xdr:clientData/>
  </xdr:oneCellAnchor>
  <xdr:oneCellAnchor>
    <xdr:from>
      <xdr:col>9</xdr:col>
      <xdr:colOff>333375</xdr:colOff>
      <xdr:row>17</xdr:row>
      <xdr:rowOff>142875</xdr:rowOff>
    </xdr:from>
    <xdr:ext cx="827662" cy="405432"/>
    <xdr:sp macro="" textlink="$M$2">
      <xdr:nvSpPr>
        <xdr:cNvPr id="29" name="CaixaDeTexto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5876925" y="3514725"/>
          <a:ext cx="827662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1CE80407-BC3F-41DD-AB79-9D171A8567B3}" type="TxLink">
            <a:rPr lang="pt-BR" sz="2000" b="1">
              <a:solidFill>
                <a:schemeClr val="tx2"/>
              </a:solidFill>
            </a:rPr>
            <a:pPr/>
            <a:t>67,9%</a:t>
          </a:fld>
          <a:endParaRPr lang="pt-BR" sz="2000" b="1">
            <a:solidFill>
              <a:schemeClr val="tx2"/>
            </a:solidFill>
          </a:endParaRPr>
        </a:p>
      </xdr:txBody>
    </xdr:sp>
    <xdr:clientData/>
  </xdr:oneCellAnchor>
  <xdr:twoCellAnchor>
    <xdr:from>
      <xdr:col>11</xdr:col>
      <xdr:colOff>571500</xdr:colOff>
      <xdr:row>3</xdr:row>
      <xdr:rowOff>14287</xdr:rowOff>
    </xdr:from>
    <xdr:to>
      <xdr:col>14</xdr:col>
      <xdr:colOff>19050</xdr:colOff>
      <xdr:row>24</xdr:row>
      <xdr:rowOff>9525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oneCellAnchor>
    <xdr:from>
      <xdr:col>5</xdr:col>
      <xdr:colOff>428625</xdr:colOff>
      <xdr:row>11</xdr:row>
      <xdr:rowOff>180975</xdr:rowOff>
    </xdr:from>
    <xdr:ext cx="219484" cy="280205"/>
    <xdr:sp macro="" textlink="$G$1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3533775" y="2409825"/>
          <a:ext cx="21948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A61A9D9-2F17-48D9-81EC-C756931A9E72}" type="TxLink">
            <a:rPr lang="pt-BR" sz="1200" b="1">
              <a:solidFill>
                <a:srgbClr val="FF0000"/>
              </a:solidFill>
            </a:rPr>
            <a:pPr/>
            <a:t> </a:t>
          </a:fld>
          <a:endParaRPr lang="pt-BR" sz="1200" b="1">
            <a:solidFill>
              <a:srgbClr val="FF0000"/>
            </a:solidFill>
          </a:endParaRPr>
        </a:p>
      </xdr:txBody>
    </xdr:sp>
    <xdr:clientData/>
  </xdr:oneCellAnchor>
  <xdr:twoCellAnchor>
    <xdr:from>
      <xdr:col>0</xdr:col>
      <xdr:colOff>76199</xdr:colOff>
      <xdr:row>0</xdr:row>
      <xdr:rowOff>47625</xdr:rowOff>
    </xdr:from>
    <xdr:to>
      <xdr:col>5</xdr:col>
      <xdr:colOff>600074</xdr:colOff>
      <xdr:row>0</xdr:row>
      <xdr:rowOff>323850</xdr:rowOff>
    </xdr:to>
    <xdr:sp macro="" textlink="">
      <xdr:nvSpPr>
        <xdr:cNvPr id="2" name="Fluxograma: Processo alternativ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6199" y="47625"/>
          <a:ext cx="3629025" cy="276225"/>
        </a:xfrm>
        <a:prstGeom prst="flowChartAlternateProcess">
          <a:avLst/>
        </a:prstGeom>
        <a:solidFill>
          <a:schemeClr val="accent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142875</xdr:colOff>
      <xdr:row>0</xdr:row>
      <xdr:rowOff>38100</xdr:rowOff>
    </xdr:from>
    <xdr:ext cx="3335016" cy="294953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228600" y="38100"/>
          <a:ext cx="3335016" cy="2949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300" b="1">
              <a:solidFill>
                <a:schemeClr val="bg1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INDICADORES DO EQUIPAMENTO</a:t>
          </a:r>
        </a:p>
      </xdr:txBody>
    </xdr:sp>
    <xdr:clientData/>
  </xdr:oneCellAnchor>
  <xdr:twoCellAnchor>
    <xdr:from>
      <xdr:col>6</xdr:col>
      <xdr:colOff>19050</xdr:colOff>
      <xdr:row>0</xdr:row>
      <xdr:rowOff>28576</xdr:rowOff>
    </xdr:from>
    <xdr:to>
      <xdr:col>8</xdr:col>
      <xdr:colOff>0</xdr:colOff>
      <xdr:row>1</xdr:row>
      <xdr:rowOff>257175</xdr:rowOff>
    </xdr:to>
    <xdr:sp macro="" textlink="">
      <xdr:nvSpPr>
        <xdr:cNvPr id="5" name="Fluxograma: Processo alternativ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733800" y="28576"/>
          <a:ext cx="1362075" cy="561974"/>
        </a:xfrm>
        <a:prstGeom prst="flowChartAlternateProcess">
          <a:avLst/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19050</xdr:colOff>
      <xdr:row>0</xdr:row>
      <xdr:rowOff>28574</xdr:rowOff>
    </xdr:from>
    <xdr:to>
      <xdr:col>10</xdr:col>
      <xdr:colOff>0</xdr:colOff>
      <xdr:row>1</xdr:row>
      <xdr:rowOff>257174</xdr:rowOff>
    </xdr:to>
    <xdr:sp macro="" textlink="">
      <xdr:nvSpPr>
        <xdr:cNvPr id="30" name="Fluxograma: Processo alternativo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5114925" y="28574"/>
          <a:ext cx="1362075" cy="561975"/>
        </a:xfrm>
        <a:prstGeom prst="flowChartAlternateProcess">
          <a:avLst/>
        </a:prstGeom>
        <a:solidFill>
          <a:schemeClr val="accent3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19050</xdr:colOff>
      <xdr:row>0</xdr:row>
      <xdr:rowOff>19049</xdr:rowOff>
    </xdr:from>
    <xdr:to>
      <xdr:col>12</xdr:col>
      <xdr:colOff>0</xdr:colOff>
      <xdr:row>1</xdr:row>
      <xdr:rowOff>266699</xdr:rowOff>
    </xdr:to>
    <xdr:sp macro="" textlink="">
      <xdr:nvSpPr>
        <xdr:cNvPr id="31" name="Fluxograma: Processo alternativo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6496050" y="19049"/>
          <a:ext cx="1362075" cy="581025"/>
        </a:xfrm>
        <a:prstGeom prst="flowChartAlternateProcess">
          <a:avLst/>
        </a:prstGeom>
        <a:solidFill>
          <a:srgbClr val="7030A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19050</xdr:colOff>
      <xdr:row>0</xdr:row>
      <xdr:rowOff>9525</xdr:rowOff>
    </xdr:from>
    <xdr:to>
      <xdr:col>14</xdr:col>
      <xdr:colOff>0</xdr:colOff>
      <xdr:row>2</xdr:row>
      <xdr:rowOff>0</xdr:rowOff>
    </xdr:to>
    <xdr:sp macro="" textlink="">
      <xdr:nvSpPr>
        <xdr:cNvPr id="32" name="Fluxograma: Processo alternativo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7877175" y="9525"/>
          <a:ext cx="1362075" cy="590550"/>
        </a:xfrm>
        <a:prstGeom prst="flowChartAlternateProcess">
          <a:avLst/>
        </a:prstGeom>
        <a:solidFill>
          <a:schemeClr val="tx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5</xdr:col>
      <xdr:colOff>514350</xdr:colOff>
      <xdr:row>12</xdr:row>
      <xdr:rowOff>9525</xdr:rowOff>
    </xdr:from>
    <xdr:ext cx="1347420" cy="311496"/>
    <xdr:sp macro="" textlink="Dados!B1">
      <xdr:nvSpPr>
        <xdr:cNvPr id="35" name="CaixaDeTexto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3619500" y="2400300"/>
          <a:ext cx="134742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95B70FA1-28A8-46FC-9D05-695D29FC98C7}" type="TxLink">
            <a:rPr lang="pt-BR" sz="1400" b="1">
              <a:solidFill>
                <a:srgbClr val="FF0000"/>
              </a:solidFill>
            </a:rPr>
            <a:pPr/>
            <a:t>Disponibilidade</a:t>
          </a:fld>
          <a:endParaRPr lang="pt-BR" sz="14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190500</xdr:colOff>
      <xdr:row>12</xdr:row>
      <xdr:rowOff>9525</xdr:rowOff>
    </xdr:from>
    <xdr:ext cx="1148135" cy="311496"/>
    <xdr:sp macro="" textlink="Dados!D1">
      <xdr:nvSpPr>
        <xdr:cNvPr id="38" name="CaixaDeTexto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>
        <a:xfrm>
          <a:off x="6057900" y="2400300"/>
          <a:ext cx="11481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3996441F-9517-49EB-9FB7-4DD4023D55E6}" type="TxLink">
            <a:rPr lang="pt-BR" sz="1400" b="1">
              <a:solidFill>
                <a:schemeClr val="accent3">
                  <a:lumMod val="50000"/>
                </a:schemeClr>
              </a:solidFill>
            </a:rPr>
            <a:pPr/>
            <a:t>Performance</a:t>
          </a:fld>
          <a:endParaRPr lang="pt-BR" sz="1400" b="1">
            <a:solidFill>
              <a:schemeClr val="accent3">
                <a:lumMod val="50000"/>
              </a:schemeClr>
            </a:solidFill>
          </a:endParaRPr>
        </a:p>
      </xdr:txBody>
    </xdr:sp>
    <xdr:clientData/>
  </xdr:oneCellAnchor>
  <xdr:oneCellAnchor>
    <xdr:from>
      <xdr:col>6</xdr:col>
      <xdr:colOff>114300</xdr:colOff>
      <xdr:row>22</xdr:row>
      <xdr:rowOff>123825</xdr:rowOff>
    </xdr:from>
    <xdr:ext cx="952825" cy="311496"/>
    <xdr:sp macro="" textlink="Dados!F1">
      <xdr:nvSpPr>
        <xdr:cNvPr id="39" name="CaixaDeTexto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/>
      </xdr:nvSpPr>
      <xdr:spPr>
        <a:xfrm>
          <a:off x="3829050" y="4419600"/>
          <a:ext cx="9528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5F09CAE6-8F34-41D3-BD1F-C4F03F7A139B}" type="TxLink">
            <a:rPr lang="pt-BR" sz="1400" b="0">
              <a:solidFill>
                <a:srgbClr val="FFC000"/>
              </a:solidFill>
            </a:rPr>
            <a:pPr/>
            <a:t>Qualidade</a:t>
          </a:fld>
          <a:endParaRPr lang="pt-BR" sz="1400" b="0">
            <a:solidFill>
              <a:srgbClr val="FFC000"/>
            </a:solidFill>
          </a:endParaRPr>
        </a:p>
      </xdr:txBody>
    </xdr:sp>
    <xdr:clientData/>
  </xdr:oneCellAnchor>
  <xdr:oneCellAnchor>
    <xdr:from>
      <xdr:col>9</xdr:col>
      <xdr:colOff>495300</xdr:colOff>
      <xdr:row>22</xdr:row>
      <xdr:rowOff>104775</xdr:rowOff>
    </xdr:from>
    <xdr:ext cx="478849" cy="311496"/>
    <xdr:sp macro="" textlink="Dados!H1">
      <xdr:nvSpPr>
        <xdr:cNvPr id="40" name="CaixaDeTexto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/>
      </xdr:nvSpPr>
      <xdr:spPr>
        <a:xfrm>
          <a:off x="6362700" y="4400550"/>
          <a:ext cx="47884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9ED3176-8D44-4F8F-A737-5D0E59DFFC37}" type="TxLink">
            <a:rPr lang="pt-BR" sz="1400" b="1">
              <a:solidFill>
                <a:schemeClr val="tx2"/>
              </a:solidFill>
            </a:rPr>
            <a:pPr/>
            <a:t>OEE</a:t>
          </a:fld>
          <a:endParaRPr lang="pt-BR" sz="1400" b="1">
            <a:solidFill>
              <a:schemeClr val="tx2"/>
            </a:solidFill>
          </a:endParaRPr>
        </a:p>
      </xdr:txBody>
    </xdr:sp>
    <xdr:clientData/>
  </xdr:oneCellAnchor>
  <xdr:twoCellAnchor>
    <xdr:from>
      <xdr:col>5</xdr:col>
      <xdr:colOff>19051</xdr:colOff>
      <xdr:row>13</xdr:row>
      <xdr:rowOff>61912</xdr:rowOff>
    </xdr:from>
    <xdr:to>
      <xdr:col>8</xdr:col>
      <xdr:colOff>304800</xdr:colOff>
      <xdr:row>24</xdr:row>
      <xdr:rowOff>9525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oneCellAnchor>
    <xdr:from>
      <xdr:col>6</xdr:col>
      <xdr:colOff>142875</xdr:colOff>
      <xdr:row>17</xdr:row>
      <xdr:rowOff>104775</xdr:rowOff>
    </xdr:from>
    <xdr:ext cx="821892" cy="405432"/>
    <xdr:sp macro="" textlink="$K$2">
      <xdr:nvSpPr>
        <xdr:cNvPr id="42" name="CaixaDeTexto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/>
      </xdr:nvSpPr>
      <xdr:spPr>
        <a:xfrm>
          <a:off x="3857625" y="3448050"/>
          <a:ext cx="821892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ADAC5A51-8A0D-49EA-9731-C4FDD9A9B897}" type="TxLink">
            <a:rPr lang="pt-BR" sz="2000" b="1">
              <a:solidFill>
                <a:srgbClr val="7030A0"/>
              </a:solidFill>
            </a:rPr>
            <a:pPr/>
            <a:t>90,0%</a:t>
          </a:fld>
          <a:endParaRPr lang="pt-BR" sz="2000" b="1">
            <a:solidFill>
              <a:srgbClr val="7030A0"/>
            </a:solidFill>
          </a:endParaRPr>
        </a:p>
      </xdr:txBody>
    </xdr:sp>
    <xdr:clientData/>
  </xdr:oneCellAnchor>
  <xdr:oneCellAnchor>
    <xdr:from>
      <xdr:col>6</xdr:col>
      <xdr:colOff>85725</xdr:colOff>
      <xdr:row>22</xdr:row>
      <xdr:rowOff>114300</xdr:rowOff>
    </xdr:from>
    <xdr:ext cx="952825" cy="311496"/>
    <xdr:sp macro="" textlink="Dados!F1">
      <xdr:nvSpPr>
        <xdr:cNvPr id="43" name="CaixaDeTexto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/>
      </xdr:nvSpPr>
      <xdr:spPr>
        <a:xfrm>
          <a:off x="3800475" y="4410075"/>
          <a:ext cx="9528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446EA3F-E7F0-4A7E-873C-6578EAB0AF24}" type="TxLink">
            <a:rPr lang="pt-BR" sz="1400" b="1">
              <a:solidFill>
                <a:srgbClr val="7030A0"/>
              </a:solidFill>
            </a:rPr>
            <a:pPr/>
            <a:t>Qualidade</a:t>
          </a:fld>
          <a:endParaRPr lang="pt-BR" sz="1400" b="1">
            <a:solidFill>
              <a:srgbClr val="7030A0"/>
            </a:solidFill>
          </a:endParaRPr>
        </a:p>
      </xdr:txBody>
    </xdr:sp>
    <xdr:clientData/>
  </xdr:oneCellAnchor>
  <xdr:oneCellAnchor>
    <xdr:from>
      <xdr:col>5</xdr:col>
      <xdr:colOff>581025</xdr:colOff>
      <xdr:row>0</xdr:row>
      <xdr:rowOff>142875</xdr:rowOff>
    </xdr:from>
    <xdr:ext cx="1513235" cy="342786"/>
    <xdr:sp macro="" textlink="Dados!B1">
      <xdr:nvSpPr>
        <xdr:cNvPr id="44" name="CaixaDeTexto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/>
      </xdr:nvSpPr>
      <xdr:spPr>
        <a:xfrm>
          <a:off x="3686175" y="142875"/>
          <a:ext cx="151323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53A86099-576A-457F-9667-76A0E5E274B6}" type="TxLink">
            <a:rPr lang="pt-BR" sz="1600" b="1">
              <a:solidFill>
                <a:schemeClr val="bg1"/>
              </a:solidFill>
            </a:rPr>
            <a:pPr/>
            <a:t>Disponibilidade</a:t>
          </a:fld>
          <a:endParaRPr lang="pt-BR" sz="1600" b="1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590550</xdr:colOff>
      <xdr:row>0</xdr:row>
      <xdr:rowOff>123825</xdr:rowOff>
    </xdr:from>
    <xdr:ext cx="1423338" cy="374141"/>
    <xdr:sp macro="" textlink="Dados!D1">
      <xdr:nvSpPr>
        <xdr:cNvPr id="45" name="CaixaDeTexto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/>
      </xdr:nvSpPr>
      <xdr:spPr>
        <a:xfrm>
          <a:off x="5076825" y="123825"/>
          <a:ext cx="1423338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275AA76A-DB77-4E5E-AE72-EC23064E9200}" type="TxLink">
            <a:rPr lang="pt-BR" sz="1800" b="1">
              <a:solidFill>
                <a:schemeClr val="bg1"/>
              </a:solidFill>
            </a:rPr>
            <a:pPr/>
            <a:t>Performance</a:t>
          </a:fld>
          <a:endParaRPr lang="pt-BR" sz="1800" b="1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57150</xdr:colOff>
      <xdr:row>0</xdr:row>
      <xdr:rowOff>123825</xdr:rowOff>
    </xdr:from>
    <xdr:ext cx="1281761" cy="405432"/>
    <xdr:sp macro="" textlink="Dados!F1">
      <xdr:nvSpPr>
        <xdr:cNvPr id="46" name="CaixaDeTexto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/>
      </xdr:nvSpPr>
      <xdr:spPr>
        <a:xfrm>
          <a:off x="6534150" y="123825"/>
          <a:ext cx="128176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B2513438-FEA2-40AC-9F4C-359C089458D6}" type="TxLink">
            <a:rPr lang="pt-BR" sz="2000" b="1">
              <a:solidFill>
                <a:schemeClr val="bg1"/>
              </a:solidFill>
            </a:rPr>
            <a:pPr/>
            <a:t>Qualidade</a:t>
          </a:fld>
          <a:endParaRPr lang="pt-BR" sz="2000" b="1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276225</xdr:colOff>
      <xdr:row>0</xdr:row>
      <xdr:rowOff>0</xdr:rowOff>
    </xdr:from>
    <xdr:ext cx="862544" cy="593304"/>
    <xdr:sp macro="" textlink="Dados!H1">
      <xdr:nvSpPr>
        <xdr:cNvPr id="47" name="CaixaDeTexto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/>
      </xdr:nvSpPr>
      <xdr:spPr>
        <a:xfrm>
          <a:off x="8134350" y="0"/>
          <a:ext cx="862544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60F3507-B4C0-48BE-8637-406A1F0C5E35}" type="TxLink">
            <a:rPr lang="pt-BR" sz="3200" b="1">
              <a:solidFill>
                <a:schemeClr val="bg1"/>
              </a:solidFill>
            </a:rPr>
            <a:pPr/>
            <a:t>OEE</a:t>
          </a:fld>
          <a:endParaRPr lang="pt-BR" sz="3200" b="1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115370</xdr:colOff>
      <xdr:row>6</xdr:row>
      <xdr:rowOff>84655</xdr:rowOff>
    </xdr:from>
    <xdr:ext cx="264560" cy="704850"/>
    <xdr:sp macro="" textlink="Dados!A2">
      <xdr:nvSpPr>
        <xdr:cNvPr id="48" name="CaixaDeTexto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/>
      </xdr:nvSpPr>
      <xdr:spPr>
        <a:xfrm rot="16200000">
          <a:off x="-19050" y="1552575"/>
          <a:ext cx="7048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B06354A9-D663-4F49-94C6-DD661586AF9C}" type="TxLink">
            <a:rPr lang="pt-BR" sz="1100" b="1">
              <a:solidFill>
                <a:schemeClr val="tx1"/>
              </a:solidFill>
            </a:rPr>
            <a:pPr/>
            <a:t>Torno 01</a:t>
          </a:fld>
          <a:endParaRPr lang="pt-BR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2</xdr:col>
      <xdr:colOff>465530</xdr:colOff>
      <xdr:row>6</xdr:row>
      <xdr:rowOff>67870</xdr:rowOff>
    </xdr:from>
    <xdr:ext cx="264560" cy="700320"/>
    <xdr:sp macro="" textlink="Dados!A3">
      <xdr:nvSpPr>
        <xdr:cNvPr id="49" name="CaixaDeTexto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/>
      </xdr:nvSpPr>
      <xdr:spPr>
        <a:xfrm rot="16200000">
          <a:off x="1343025" y="1533525"/>
          <a:ext cx="7003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9970E78-CF73-4667-AD2C-F98195AA262F}" type="TxLink">
            <a:rPr lang="pt-BR" sz="1100" b="1"/>
            <a:pPr/>
            <a:t>Torno 02</a:t>
          </a:fld>
          <a:endParaRPr lang="pt-BR" sz="1100" b="1"/>
        </a:p>
      </xdr:txBody>
    </xdr:sp>
    <xdr:clientData/>
  </xdr:oneCellAnchor>
  <xdr:oneCellAnchor>
    <xdr:from>
      <xdr:col>1</xdr:col>
      <xdr:colOff>124752</xdr:colOff>
      <xdr:row>12</xdr:row>
      <xdr:rowOff>56223</xdr:rowOff>
    </xdr:from>
    <xdr:ext cx="264560" cy="666464"/>
    <xdr:sp macro="" textlink="Dados!A4">
      <xdr:nvSpPr>
        <xdr:cNvPr id="50" name="CaixaDeTexto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/>
      </xdr:nvSpPr>
      <xdr:spPr>
        <a:xfrm rot="16200000">
          <a:off x="9525" y="2647950"/>
          <a:ext cx="6664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0732C42D-E488-436E-9189-AFF2B57BB39E}" type="TxLink">
            <a:rPr lang="pt-BR" sz="1100" b="1"/>
            <a:pPr/>
            <a:t>Fresa 01</a:t>
          </a:fld>
          <a:endParaRPr lang="pt-BR" sz="1100" b="1"/>
        </a:p>
      </xdr:txBody>
    </xdr:sp>
    <xdr:clientData/>
  </xdr:oneCellAnchor>
  <xdr:oneCellAnchor>
    <xdr:from>
      <xdr:col>2</xdr:col>
      <xdr:colOff>467652</xdr:colOff>
      <xdr:row>12</xdr:row>
      <xdr:rowOff>65748</xdr:rowOff>
    </xdr:from>
    <xdr:ext cx="264560" cy="666464"/>
    <xdr:sp macro="" textlink="Dados!A5">
      <xdr:nvSpPr>
        <xdr:cNvPr id="51" name="CaixaDeTexto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/>
      </xdr:nvSpPr>
      <xdr:spPr>
        <a:xfrm rot="16200000">
          <a:off x="1362075" y="2657475"/>
          <a:ext cx="6664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A0AA346-7E0A-4061-B22F-5E0BFF6CFD61}" type="TxLink">
            <a:rPr lang="pt-BR" sz="1100" b="1"/>
            <a:pPr/>
            <a:t>Fresa 02</a:t>
          </a:fld>
          <a:endParaRPr lang="pt-BR" sz="1100" b="1"/>
        </a:p>
      </xdr:txBody>
    </xdr:sp>
    <xdr:clientData/>
  </xdr:oneCellAnchor>
  <xdr:oneCellAnchor>
    <xdr:from>
      <xdr:col>1</xdr:col>
      <xdr:colOff>128678</xdr:colOff>
      <xdr:row>16</xdr:row>
      <xdr:rowOff>179204</xdr:rowOff>
    </xdr:from>
    <xdr:ext cx="264560" cy="801501"/>
    <xdr:sp macro="" textlink="Dados!A6">
      <xdr:nvSpPr>
        <xdr:cNvPr id="52" name="CaixaDeTexto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/>
      </xdr:nvSpPr>
      <xdr:spPr>
        <a:xfrm rot="16200000">
          <a:off x="-54068" y="3600450"/>
          <a:ext cx="8015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76C38915-DBD9-4286-8C93-3825F1C56FA7}" type="TxLink">
            <a:rPr lang="pt-BR" sz="1100" b="1"/>
            <a:pPr/>
            <a:t>Retífica 01</a:t>
          </a:fld>
          <a:endParaRPr lang="pt-BR" sz="1100" b="1"/>
        </a:p>
      </xdr:txBody>
    </xdr:sp>
    <xdr:clientData/>
  </xdr:oneCellAnchor>
  <xdr:oneCellAnchor>
    <xdr:from>
      <xdr:col>2</xdr:col>
      <xdr:colOff>471579</xdr:colOff>
      <xdr:row>17</xdr:row>
      <xdr:rowOff>17279</xdr:rowOff>
    </xdr:from>
    <xdr:ext cx="264560" cy="801501"/>
    <xdr:sp macro="" textlink="Dados!A7">
      <xdr:nvSpPr>
        <xdr:cNvPr id="53" name="CaixaDeTexto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/>
      </xdr:nvSpPr>
      <xdr:spPr>
        <a:xfrm rot="16200000">
          <a:off x="1298483" y="3629025"/>
          <a:ext cx="8015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7A846780-BEAA-4B26-9243-ED3364231CF5}" type="TxLink">
            <a:rPr lang="pt-BR" sz="1100" b="1"/>
            <a:pPr/>
            <a:t>Retífica 02</a:t>
          </a:fld>
          <a:endParaRPr lang="pt-BR" sz="1100" b="1"/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0.39065</cdr:x>
      <cdr:y>0.86221</cdr:y>
    </cdr:from>
    <cdr:to>
      <cdr:x>0.48209</cdr:x>
      <cdr:y>1</cdr:y>
    </cdr:to>
    <cdr:sp macro="" textlink="'Torno 01'!$M$1">
      <cdr:nvSpPr>
        <cdr:cNvPr id="2" name="CaixaDeTexto 19"/>
        <cdr:cNvSpPr txBox="1"/>
      </cdr:nvSpPr>
      <cdr:spPr>
        <a:xfrm xmlns:a="http://schemas.openxmlformats.org/drawingml/2006/main">
          <a:off x="937677" y="1753380"/>
          <a:ext cx="219484" cy="28020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EF130C02-9DC0-4774-95CC-30109ADF961E}" type="TxLink">
            <a:rPr lang="pt-BR" sz="1200" b="1">
              <a:solidFill>
                <a:schemeClr val="tx2"/>
              </a:solidFill>
            </a:rPr>
            <a:pPr/>
            <a:t> </a:t>
          </a:fld>
          <a:endParaRPr lang="pt-BR" sz="1200" b="1">
            <a:solidFill>
              <a:schemeClr val="tx2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0.19242</cdr:x>
      <cdr:y>0.85823</cdr:y>
    </cdr:from>
    <cdr:to>
      <cdr:x>0.28314</cdr:x>
      <cdr:y>1</cdr:y>
    </cdr:to>
    <cdr:sp macro="" textlink="'Torno 01'!$I$1">
      <cdr:nvSpPr>
        <cdr:cNvPr id="2" name="CaixaDeTexto 19"/>
        <cdr:cNvSpPr txBox="1"/>
      </cdr:nvSpPr>
      <cdr:spPr>
        <a:xfrm xmlns:a="http://schemas.openxmlformats.org/drawingml/2006/main">
          <a:off x="465532" y="1696234"/>
          <a:ext cx="219484" cy="28020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EF0CA3B1-4B69-43D4-B430-DBFDF51F9170}" type="TxLink">
            <a:rPr lang="pt-BR" sz="1200" b="1">
              <a:solidFill>
                <a:schemeClr val="accent3">
                  <a:lumMod val="50000"/>
                </a:schemeClr>
              </a:solidFill>
            </a:rPr>
            <a:pPr/>
            <a:t> </a:t>
          </a:fld>
          <a:endParaRPr lang="pt-BR" sz="1200" b="1">
            <a:solidFill>
              <a:schemeClr val="accent3">
                <a:lumMod val="50000"/>
              </a:schemeClr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0.28849</cdr:x>
      <cdr:y>0.86221</cdr:y>
    </cdr:from>
    <cdr:to>
      <cdr:x>0.3845</cdr:x>
      <cdr:y>1</cdr:y>
    </cdr:to>
    <cdr:sp macro="" textlink="'Torno 01'!$K$1">
      <cdr:nvSpPr>
        <cdr:cNvPr id="2" name="CaixaDeTexto 19"/>
        <cdr:cNvSpPr txBox="1"/>
      </cdr:nvSpPr>
      <cdr:spPr>
        <a:xfrm xmlns:a="http://schemas.openxmlformats.org/drawingml/2006/main">
          <a:off x="659488" y="1753380"/>
          <a:ext cx="219484" cy="28020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866A083E-137A-4917-98FC-33B8A9AC7D8A}" type="TxLink">
            <a:rPr lang="pt-BR" sz="1200" b="1">
              <a:solidFill>
                <a:srgbClr val="FFC000"/>
              </a:solidFill>
            </a:rPr>
            <a:pPr/>
            <a:t> </a:t>
          </a:fld>
          <a:endParaRPr lang="pt-BR" sz="1200" b="1">
            <a:solidFill>
              <a:srgbClr val="FFC000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3</xdr:row>
      <xdr:rowOff>0</xdr:rowOff>
    </xdr:from>
    <xdr:to>
      <xdr:col>4</xdr:col>
      <xdr:colOff>733426</xdr:colOff>
      <xdr:row>24</xdr:row>
      <xdr:rowOff>28575</xdr:rowOff>
    </xdr:to>
    <xdr:sp macro="" textlink="">
      <xdr:nvSpPr>
        <xdr:cNvPr id="2" name="Fluxograma: Processo alternativ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95251" y="676275"/>
          <a:ext cx="2952750" cy="4029075"/>
        </a:xfrm>
        <a:prstGeom prst="flowChartAlternateProcess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6</xdr:col>
      <xdr:colOff>542925</xdr:colOff>
      <xdr:row>10</xdr:row>
      <xdr:rowOff>0</xdr:rowOff>
    </xdr:from>
    <xdr:ext cx="289053" cy="655885"/>
    <xdr:sp macro="" textlink="$C$28">
      <xdr:nvSpPr>
        <xdr:cNvPr id="3" name="CaixaDeText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4257675" y="2009775"/>
          <a:ext cx="289053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54D4EAB5-5DF2-443B-823D-FA5B655FE8BA}" type="TxLink">
            <a:rPr lang="pt-BR" sz="3600" b="1">
              <a:solidFill>
                <a:schemeClr val="tx2">
                  <a:lumMod val="60000"/>
                  <a:lumOff val="40000"/>
                </a:schemeClr>
              </a:solidFill>
            </a:rPr>
            <a:pPr/>
            <a:t> </a:t>
          </a:fld>
          <a:endParaRPr lang="pt-BR" sz="3600" b="1">
            <a:solidFill>
              <a:schemeClr val="tx2">
                <a:lumMod val="60000"/>
                <a:lumOff val="40000"/>
              </a:schemeClr>
            </a:solidFill>
          </a:endParaRPr>
        </a:p>
      </xdr:txBody>
    </xdr:sp>
    <xdr:clientData/>
  </xdr:oneCellAnchor>
  <xdr:oneCellAnchor>
    <xdr:from>
      <xdr:col>6</xdr:col>
      <xdr:colOff>57150</xdr:colOff>
      <xdr:row>16</xdr:row>
      <xdr:rowOff>114300</xdr:rowOff>
    </xdr:from>
    <xdr:ext cx="242631" cy="405432"/>
    <xdr:sp macro="" textlink="$B$28">
      <xdr:nvSpPr>
        <xdr:cNvPr id="4" name="CaixaDeText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3771900" y="3267075"/>
          <a:ext cx="2426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36FF6A8-FDA4-4DD6-8659-F9D16B28CFAA}" type="TxLink">
            <a:rPr lang="pt-BR" sz="2000" b="1">
              <a:solidFill>
                <a:schemeClr val="tx2">
                  <a:lumMod val="60000"/>
                  <a:lumOff val="40000"/>
                </a:schemeClr>
              </a:solidFill>
            </a:rPr>
            <a:pPr/>
            <a:t> </a:t>
          </a:fld>
          <a:endParaRPr lang="pt-BR" sz="2000" b="1">
            <a:solidFill>
              <a:schemeClr val="tx2">
                <a:lumMod val="60000"/>
                <a:lumOff val="40000"/>
              </a:schemeClr>
            </a:solidFill>
          </a:endParaRPr>
        </a:p>
      </xdr:txBody>
    </xdr:sp>
    <xdr:clientData/>
  </xdr:oneCellAnchor>
  <xdr:oneCellAnchor>
    <xdr:from>
      <xdr:col>8</xdr:col>
      <xdr:colOff>295275</xdr:colOff>
      <xdr:row>26</xdr:row>
      <xdr:rowOff>19050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539115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11</xdr:col>
      <xdr:colOff>66675</xdr:colOff>
      <xdr:row>9</xdr:row>
      <xdr:rowOff>180975</xdr:rowOff>
    </xdr:from>
    <xdr:ext cx="289053" cy="655885"/>
    <xdr:sp macro="" textlink="$C$29">
      <xdr:nvSpPr>
        <xdr:cNvPr id="6" name="CaixaDeText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7315200" y="2000250"/>
          <a:ext cx="289053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FCF3FF7-52EF-4A46-9C4E-FDDF8513E9F0}" type="TxLink">
            <a:rPr lang="pt-BR" sz="3600" b="1">
              <a:solidFill>
                <a:schemeClr val="accent3">
                  <a:lumMod val="75000"/>
                </a:schemeClr>
              </a:solidFill>
            </a:rPr>
            <a:pPr/>
            <a:t> </a:t>
          </a:fld>
          <a:endParaRPr lang="pt-BR" sz="3600" b="1">
            <a:solidFill>
              <a:schemeClr val="accent3">
                <a:lumMod val="75000"/>
              </a:schemeClr>
            </a:solidFill>
          </a:endParaRPr>
        </a:p>
      </xdr:txBody>
    </xdr:sp>
    <xdr:clientData/>
  </xdr:oneCellAnchor>
  <xdr:oneCellAnchor>
    <xdr:from>
      <xdr:col>7</xdr:col>
      <xdr:colOff>57150</xdr:colOff>
      <xdr:row>22</xdr:row>
      <xdr:rowOff>133350</xdr:rowOff>
    </xdr:from>
    <xdr:ext cx="289053" cy="655885"/>
    <xdr:sp macro="" textlink="$C$30">
      <xdr:nvSpPr>
        <xdr:cNvPr id="7" name="CaixaDeText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4543425" y="4429125"/>
          <a:ext cx="289053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008D394-C014-4900-AB36-25F9709E43F8}" type="TxLink">
            <a:rPr lang="pt-BR" sz="3600" b="1">
              <a:solidFill>
                <a:srgbClr val="FFC000"/>
              </a:solidFill>
            </a:rPr>
            <a:pPr/>
            <a:t> </a:t>
          </a:fld>
          <a:endParaRPr lang="pt-BR" sz="3600" b="1">
            <a:solidFill>
              <a:srgbClr val="FFC000"/>
            </a:solidFill>
          </a:endParaRPr>
        </a:p>
      </xdr:txBody>
    </xdr:sp>
    <xdr:clientData/>
  </xdr:oneCellAnchor>
  <xdr:oneCellAnchor>
    <xdr:from>
      <xdr:col>6</xdr:col>
      <xdr:colOff>542925</xdr:colOff>
      <xdr:row>29</xdr:row>
      <xdr:rowOff>47625</xdr:rowOff>
    </xdr:from>
    <xdr:ext cx="242631" cy="405432"/>
    <xdr:sp macro="" textlink="$B$30">
      <xdr:nvSpPr>
        <xdr:cNvPr id="8" name="CaixaDeText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4257675" y="5676900"/>
          <a:ext cx="2426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032C7AE-FE12-4436-9BBA-EC8B91D299CC}" type="TxLink">
            <a:rPr lang="pt-BR" sz="2000" b="1">
              <a:solidFill>
                <a:srgbClr val="FFC000"/>
              </a:solidFill>
            </a:rPr>
            <a:pPr/>
            <a:t> </a:t>
          </a:fld>
          <a:endParaRPr lang="pt-BR" sz="2000" b="1">
            <a:solidFill>
              <a:srgbClr val="FFC000"/>
            </a:solidFill>
          </a:endParaRPr>
        </a:p>
      </xdr:txBody>
    </xdr:sp>
    <xdr:clientData/>
  </xdr:oneCellAnchor>
  <xdr:twoCellAnchor editAs="oneCell">
    <xdr:from>
      <xdr:col>1</xdr:col>
      <xdr:colOff>152400</xdr:colOff>
      <xdr:row>5</xdr:row>
      <xdr:rowOff>123825</xdr:rowOff>
    </xdr:from>
    <xdr:to>
      <xdr:col>2</xdr:col>
      <xdr:colOff>571500</xdr:colOff>
      <xdr:row>10</xdr:row>
      <xdr:rowOff>122093</xdr:rowOff>
    </xdr:to>
    <xdr:pic>
      <xdr:nvPicPr>
        <xdr:cNvPr id="9" name="Imagem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1181100"/>
          <a:ext cx="1428750" cy="950768"/>
        </a:xfrm>
        <a:prstGeom prst="rect">
          <a:avLst/>
        </a:prstGeom>
      </xdr:spPr>
    </xdr:pic>
    <xdr:clientData/>
  </xdr:twoCellAnchor>
  <xdr:twoCellAnchor editAs="oneCell">
    <xdr:from>
      <xdr:col>2</xdr:col>
      <xdr:colOff>504825</xdr:colOff>
      <xdr:row>5</xdr:row>
      <xdr:rowOff>142874</xdr:rowOff>
    </xdr:from>
    <xdr:to>
      <xdr:col>4</xdr:col>
      <xdr:colOff>714375</xdr:colOff>
      <xdr:row>10</xdr:row>
      <xdr:rowOff>141142</xdr:rowOff>
    </xdr:to>
    <xdr:pic>
      <xdr:nvPicPr>
        <xdr:cNvPr id="10" name="Imagem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0200" y="1200149"/>
          <a:ext cx="1428750" cy="950768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11</xdr:row>
      <xdr:rowOff>57150</xdr:rowOff>
    </xdr:from>
    <xdr:to>
      <xdr:col>2</xdr:col>
      <xdr:colOff>413832</xdr:colOff>
      <xdr:row>16</xdr:row>
      <xdr:rowOff>76200</xdr:rowOff>
    </xdr:to>
    <xdr:pic>
      <xdr:nvPicPr>
        <xdr:cNvPr id="11" name="Imagem 10" descr="Resultado de imagem para foto FRESADORA cnc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2257425"/>
          <a:ext cx="1032957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95249</xdr:colOff>
      <xdr:row>11</xdr:row>
      <xdr:rowOff>76200</xdr:rowOff>
    </xdr:from>
    <xdr:to>
      <xdr:col>4</xdr:col>
      <xdr:colOff>547182</xdr:colOff>
      <xdr:row>16</xdr:row>
      <xdr:rowOff>95250</xdr:rowOff>
    </xdr:to>
    <xdr:pic>
      <xdr:nvPicPr>
        <xdr:cNvPr id="12" name="Imagem 11" descr="Resultado de imagem para foto FRESADORA cnc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4" y="2276475"/>
          <a:ext cx="1061533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400050</xdr:colOff>
      <xdr:row>17</xdr:row>
      <xdr:rowOff>76201</xdr:rowOff>
    </xdr:from>
    <xdr:to>
      <xdr:col>2</xdr:col>
      <xdr:colOff>420750</xdr:colOff>
      <xdr:row>21</xdr:row>
      <xdr:rowOff>123825</xdr:rowOff>
    </xdr:to>
    <xdr:pic>
      <xdr:nvPicPr>
        <xdr:cNvPr id="13" name="Imagem 12" descr="Resultado de imagem para foto RETIFICA cnc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419476"/>
          <a:ext cx="1030350" cy="809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152399</xdr:colOff>
      <xdr:row>17</xdr:row>
      <xdr:rowOff>133350</xdr:rowOff>
    </xdr:from>
    <xdr:to>
      <xdr:col>4</xdr:col>
      <xdr:colOff>601724</xdr:colOff>
      <xdr:row>21</xdr:row>
      <xdr:rowOff>180974</xdr:rowOff>
    </xdr:to>
    <xdr:pic>
      <xdr:nvPicPr>
        <xdr:cNvPr id="14" name="Imagem 13" descr="Resultado de imagem para foto RETIFICA cnc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4" y="3476625"/>
          <a:ext cx="1058925" cy="809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19050</xdr:colOff>
      <xdr:row>3</xdr:row>
      <xdr:rowOff>14287</xdr:rowOff>
    </xdr:from>
    <xdr:to>
      <xdr:col>8</xdr:col>
      <xdr:colOff>304800</xdr:colOff>
      <xdr:row>13</xdr:row>
      <xdr:rowOff>76200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304800</xdr:colOff>
      <xdr:row>13</xdr:row>
      <xdr:rowOff>71437</xdr:rowOff>
    </xdr:from>
    <xdr:to>
      <xdr:col>11</xdr:col>
      <xdr:colOff>561976</xdr:colOff>
      <xdr:row>24</xdr:row>
      <xdr:rowOff>9525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304800</xdr:colOff>
      <xdr:row>3</xdr:row>
      <xdr:rowOff>14286</xdr:rowOff>
    </xdr:from>
    <xdr:to>
      <xdr:col>11</xdr:col>
      <xdr:colOff>561975</xdr:colOff>
      <xdr:row>13</xdr:row>
      <xdr:rowOff>66675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19049</xdr:colOff>
      <xdr:row>13</xdr:row>
      <xdr:rowOff>71438</xdr:rowOff>
    </xdr:from>
    <xdr:to>
      <xdr:col>8</xdr:col>
      <xdr:colOff>314324</xdr:colOff>
      <xdr:row>24</xdr:row>
      <xdr:rowOff>9526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oneCellAnchor>
    <xdr:from>
      <xdr:col>6</xdr:col>
      <xdr:colOff>114300</xdr:colOff>
      <xdr:row>7</xdr:row>
      <xdr:rowOff>19050</xdr:rowOff>
    </xdr:from>
    <xdr:ext cx="827662" cy="405432"/>
    <xdr:sp macro="" textlink="$G$2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3829050" y="1457325"/>
          <a:ext cx="827662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B1003B4-CEEF-4E95-A4B7-4A9698269671}" type="TxLink">
            <a:rPr lang="pt-BR" sz="2000" b="1">
              <a:solidFill>
                <a:srgbClr val="FF0000"/>
              </a:solidFill>
            </a:rPr>
            <a:pPr/>
            <a:t>98,0%</a:t>
          </a:fld>
          <a:endParaRPr lang="pt-BR" sz="20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342900</xdr:colOff>
      <xdr:row>7</xdr:row>
      <xdr:rowOff>19050</xdr:rowOff>
    </xdr:from>
    <xdr:ext cx="827662" cy="405432"/>
    <xdr:sp macro="" textlink="$I$2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6210300" y="1457325"/>
          <a:ext cx="827662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7A78595-C298-48BB-A4DE-C9D898AF9052}" type="TxLink">
            <a:rPr lang="pt-BR" sz="2000" b="1">
              <a:solidFill>
                <a:schemeClr val="accent3">
                  <a:lumMod val="75000"/>
                </a:schemeClr>
              </a:solidFill>
            </a:rPr>
            <a:pPr/>
            <a:t>85,0%</a:t>
          </a:fld>
          <a:endParaRPr lang="pt-BR" sz="2000" b="1">
            <a:solidFill>
              <a:schemeClr val="accent3">
                <a:lumMod val="75000"/>
              </a:schemeClr>
            </a:solidFill>
          </a:endParaRPr>
        </a:p>
      </xdr:txBody>
    </xdr:sp>
    <xdr:clientData/>
  </xdr:oneCellAnchor>
  <xdr:oneCellAnchor>
    <xdr:from>
      <xdr:col>9</xdr:col>
      <xdr:colOff>333375</xdr:colOff>
      <xdr:row>17</xdr:row>
      <xdr:rowOff>142875</xdr:rowOff>
    </xdr:from>
    <xdr:ext cx="827662" cy="405432"/>
    <xdr:sp macro="" textlink="$M$2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6200775" y="3486150"/>
          <a:ext cx="827662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1CE80407-BC3F-41DD-AB79-9D171A8567B3}" type="TxLink">
            <a:rPr lang="pt-BR" sz="2000" b="1">
              <a:solidFill>
                <a:schemeClr val="tx2"/>
              </a:solidFill>
            </a:rPr>
            <a:pPr/>
            <a:t>72,5%</a:t>
          </a:fld>
          <a:endParaRPr lang="pt-BR" sz="2000" b="1">
            <a:solidFill>
              <a:schemeClr val="tx2"/>
            </a:solidFill>
          </a:endParaRPr>
        </a:p>
      </xdr:txBody>
    </xdr:sp>
    <xdr:clientData/>
  </xdr:oneCellAnchor>
  <xdr:twoCellAnchor>
    <xdr:from>
      <xdr:col>11</xdr:col>
      <xdr:colOff>571500</xdr:colOff>
      <xdr:row>3</xdr:row>
      <xdr:rowOff>14287</xdr:rowOff>
    </xdr:from>
    <xdr:to>
      <xdr:col>14</xdr:col>
      <xdr:colOff>19050</xdr:colOff>
      <xdr:row>24</xdr:row>
      <xdr:rowOff>9525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oneCellAnchor>
    <xdr:from>
      <xdr:col>5</xdr:col>
      <xdr:colOff>428625</xdr:colOff>
      <xdr:row>11</xdr:row>
      <xdr:rowOff>180975</xdr:rowOff>
    </xdr:from>
    <xdr:ext cx="219484" cy="280205"/>
    <xdr:sp macro="" textlink="$G$1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3533775" y="2381250"/>
          <a:ext cx="21948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A61A9D9-2F17-48D9-81EC-C756931A9E72}" type="TxLink">
            <a:rPr lang="pt-BR" sz="1200" b="1">
              <a:solidFill>
                <a:srgbClr val="FF0000"/>
              </a:solidFill>
            </a:rPr>
            <a:pPr/>
            <a:t> </a:t>
          </a:fld>
          <a:endParaRPr lang="pt-BR" sz="1200" b="1">
            <a:solidFill>
              <a:srgbClr val="FF0000"/>
            </a:solidFill>
          </a:endParaRPr>
        </a:p>
      </xdr:txBody>
    </xdr:sp>
    <xdr:clientData/>
  </xdr:oneCellAnchor>
  <xdr:twoCellAnchor>
    <xdr:from>
      <xdr:col>0</xdr:col>
      <xdr:colOff>76199</xdr:colOff>
      <xdr:row>0</xdr:row>
      <xdr:rowOff>47625</xdr:rowOff>
    </xdr:from>
    <xdr:to>
      <xdr:col>5</xdr:col>
      <xdr:colOff>600074</xdr:colOff>
      <xdr:row>0</xdr:row>
      <xdr:rowOff>323850</xdr:rowOff>
    </xdr:to>
    <xdr:sp macro="" textlink="">
      <xdr:nvSpPr>
        <xdr:cNvPr id="24" name="Fluxograma: Processo alternativ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6199" y="47625"/>
          <a:ext cx="3629025" cy="276225"/>
        </a:xfrm>
        <a:prstGeom prst="flowChartAlternateProcess">
          <a:avLst/>
        </a:prstGeom>
        <a:solidFill>
          <a:schemeClr val="accent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142875</xdr:colOff>
      <xdr:row>0</xdr:row>
      <xdr:rowOff>38100</xdr:rowOff>
    </xdr:from>
    <xdr:ext cx="3335016" cy="294953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228600" y="38100"/>
          <a:ext cx="3335016" cy="2949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300" b="1">
              <a:solidFill>
                <a:schemeClr val="bg1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INDICADORES DO EQUIPAMENTO</a:t>
          </a:r>
        </a:p>
      </xdr:txBody>
    </xdr:sp>
    <xdr:clientData/>
  </xdr:oneCellAnchor>
  <xdr:twoCellAnchor>
    <xdr:from>
      <xdr:col>6</xdr:col>
      <xdr:colOff>19050</xdr:colOff>
      <xdr:row>0</xdr:row>
      <xdr:rowOff>28576</xdr:rowOff>
    </xdr:from>
    <xdr:to>
      <xdr:col>8</xdr:col>
      <xdr:colOff>0</xdr:colOff>
      <xdr:row>1</xdr:row>
      <xdr:rowOff>257175</xdr:rowOff>
    </xdr:to>
    <xdr:sp macro="" textlink="">
      <xdr:nvSpPr>
        <xdr:cNvPr id="26" name="Fluxograma: Processo alternativ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3733800" y="28576"/>
          <a:ext cx="1362075" cy="561974"/>
        </a:xfrm>
        <a:prstGeom prst="flowChartAlternateProcess">
          <a:avLst/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19050</xdr:colOff>
      <xdr:row>0</xdr:row>
      <xdr:rowOff>28574</xdr:rowOff>
    </xdr:from>
    <xdr:to>
      <xdr:col>10</xdr:col>
      <xdr:colOff>0</xdr:colOff>
      <xdr:row>1</xdr:row>
      <xdr:rowOff>257174</xdr:rowOff>
    </xdr:to>
    <xdr:sp macro="" textlink="">
      <xdr:nvSpPr>
        <xdr:cNvPr id="27" name="Fluxograma: Processo alternativ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114925" y="28574"/>
          <a:ext cx="1362075" cy="561975"/>
        </a:xfrm>
        <a:prstGeom prst="flowChartAlternateProcess">
          <a:avLst/>
        </a:prstGeom>
        <a:solidFill>
          <a:schemeClr val="accent3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19050</xdr:colOff>
      <xdr:row>0</xdr:row>
      <xdr:rowOff>19049</xdr:rowOff>
    </xdr:from>
    <xdr:to>
      <xdr:col>12</xdr:col>
      <xdr:colOff>0</xdr:colOff>
      <xdr:row>1</xdr:row>
      <xdr:rowOff>266699</xdr:rowOff>
    </xdr:to>
    <xdr:sp macro="" textlink="">
      <xdr:nvSpPr>
        <xdr:cNvPr id="28" name="Fluxograma: Processo alternativ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496050" y="19049"/>
          <a:ext cx="1362075" cy="581025"/>
        </a:xfrm>
        <a:prstGeom prst="flowChartAlternateProcess">
          <a:avLst/>
        </a:prstGeom>
        <a:solidFill>
          <a:srgbClr val="7030A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19050</xdr:colOff>
      <xdr:row>0</xdr:row>
      <xdr:rowOff>9525</xdr:rowOff>
    </xdr:from>
    <xdr:to>
      <xdr:col>14</xdr:col>
      <xdr:colOff>0</xdr:colOff>
      <xdr:row>2</xdr:row>
      <xdr:rowOff>0</xdr:rowOff>
    </xdr:to>
    <xdr:sp macro="" textlink="">
      <xdr:nvSpPr>
        <xdr:cNvPr id="29" name="Fluxograma: Processo alternativ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877175" y="9525"/>
          <a:ext cx="1362075" cy="590550"/>
        </a:xfrm>
        <a:prstGeom prst="flowChartAlternateProcess">
          <a:avLst/>
        </a:prstGeom>
        <a:solidFill>
          <a:schemeClr val="tx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5</xdr:col>
      <xdr:colOff>514350</xdr:colOff>
      <xdr:row>12</xdr:row>
      <xdr:rowOff>9525</xdr:rowOff>
    </xdr:from>
    <xdr:ext cx="1347420" cy="311496"/>
    <xdr:sp macro="" textlink="Dados!B1">
      <xdr:nvSpPr>
        <xdr:cNvPr id="30" name="CaixaDeText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/>
      </xdr:nvSpPr>
      <xdr:spPr>
        <a:xfrm>
          <a:off x="3619500" y="2400300"/>
          <a:ext cx="134742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95B70FA1-28A8-46FC-9D05-695D29FC98C7}" type="TxLink">
            <a:rPr lang="pt-BR" sz="1400" b="1">
              <a:solidFill>
                <a:srgbClr val="FF0000"/>
              </a:solidFill>
            </a:rPr>
            <a:pPr/>
            <a:t>Disponibilidade</a:t>
          </a:fld>
          <a:endParaRPr lang="pt-BR" sz="14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190500</xdr:colOff>
      <xdr:row>12</xdr:row>
      <xdr:rowOff>9525</xdr:rowOff>
    </xdr:from>
    <xdr:ext cx="1148135" cy="311496"/>
    <xdr:sp macro="" textlink="Dados!D1">
      <xdr:nvSpPr>
        <xdr:cNvPr id="31" name="CaixaDeText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>
        <a:xfrm>
          <a:off x="6057900" y="2400300"/>
          <a:ext cx="11481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3996441F-9517-49EB-9FB7-4DD4023D55E6}" type="TxLink">
            <a:rPr lang="pt-BR" sz="1400" b="1">
              <a:solidFill>
                <a:schemeClr val="accent3">
                  <a:lumMod val="50000"/>
                </a:schemeClr>
              </a:solidFill>
            </a:rPr>
            <a:pPr/>
            <a:t>Performance</a:t>
          </a:fld>
          <a:endParaRPr lang="pt-BR" sz="1400" b="1">
            <a:solidFill>
              <a:schemeClr val="accent3">
                <a:lumMod val="50000"/>
              </a:schemeClr>
            </a:solidFill>
          </a:endParaRPr>
        </a:p>
      </xdr:txBody>
    </xdr:sp>
    <xdr:clientData/>
  </xdr:oneCellAnchor>
  <xdr:oneCellAnchor>
    <xdr:from>
      <xdr:col>6</xdr:col>
      <xdr:colOff>114300</xdr:colOff>
      <xdr:row>22</xdr:row>
      <xdr:rowOff>123825</xdr:rowOff>
    </xdr:from>
    <xdr:ext cx="952825" cy="311496"/>
    <xdr:sp macro="" textlink="Dados!F1">
      <xdr:nvSpPr>
        <xdr:cNvPr id="32" name="CaixaDeText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/>
      </xdr:nvSpPr>
      <xdr:spPr>
        <a:xfrm>
          <a:off x="3829050" y="4419600"/>
          <a:ext cx="9528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5F09CAE6-8F34-41D3-BD1F-C4F03F7A139B}" type="TxLink">
            <a:rPr lang="pt-BR" sz="1400" b="0">
              <a:solidFill>
                <a:srgbClr val="FFC000"/>
              </a:solidFill>
            </a:rPr>
            <a:pPr/>
            <a:t>Qualidade</a:t>
          </a:fld>
          <a:endParaRPr lang="pt-BR" sz="1400" b="0">
            <a:solidFill>
              <a:srgbClr val="FFC000"/>
            </a:solidFill>
          </a:endParaRPr>
        </a:p>
      </xdr:txBody>
    </xdr:sp>
    <xdr:clientData/>
  </xdr:oneCellAnchor>
  <xdr:oneCellAnchor>
    <xdr:from>
      <xdr:col>9</xdr:col>
      <xdr:colOff>495300</xdr:colOff>
      <xdr:row>22</xdr:row>
      <xdr:rowOff>104775</xdr:rowOff>
    </xdr:from>
    <xdr:ext cx="478849" cy="311496"/>
    <xdr:sp macro="" textlink="Dados!H1">
      <xdr:nvSpPr>
        <xdr:cNvPr id="33" name="CaixaDeTexto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/>
      </xdr:nvSpPr>
      <xdr:spPr>
        <a:xfrm>
          <a:off x="6362700" y="4400550"/>
          <a:ext cx="47884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9ED3176-8D44-4F8F-A737-5D0E59DFFC37}" type="TxLink">
            <a:rPr lang="pt-BR" sz="1400" b="1">
              <a:solidFill>
                <a:schemeClr val="tx2"/>
              </a:solidFill>
            </a:rPr>
            <a:pPr/>
            <a:t>OEE</a:t>
          </a:fld>
          <a:endParaRPr lang="pt-BR" sz="1400" b="1">
            <a:solidFill>
              <a:schemeClr val="tx2"/>
            </a:solidFill>
          </a:endParaRPr>
        </a:p>
      </xdr:txBody>
    </xdr:sp>
    <xdr:clientData/>
  </xdr:oneCellAnchor>
  <xdr:twoCellAnchor>
    <xdr:from>
      <xdr:col>5</xdr:col>
      <xdr:colOff>19051</xdr:colOff>
      <xdr:row>13</xdr:row>
      <xdr:rowOff>61912</xdr:rowOff>
    </xdr:from>
    <xdr:to>
      <xdr:col>8</xdr:col>
      <xdr:colOff>304800</xdr:colOff>
      <xdr:row>24</xdr:row>
      <xdr:rowOff>9525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oneCellAnchor>
    <xdr:from>
      <xdr:col>6</xdr:col>
      <xdr:colOff>142875</xdr:colOff>
      <xdr:row>17</xdr:row>
      <xdr:rowOff>104775</xdr:rowOff>
    </xdr:from>
    <xdr:ext cx="821892" cy="405432"/>
    <xdr:sp macro="" textlink="$K$2">
      <xdr:nvSpPr>
        <xdr:cNvPr id="35" name="CaixaDeTexto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/>
      </xdr:nvSpPr>
      <xdr:spPr>
        <a:xfrm>
          <a:off x="3857625" y="3448050"/>
          <a:ext cx="821892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ADAC5A51-8A0D-49EA-9731-C4FDD9A9B897}" type="TxLink">
            <a:rPr lang="pt-BR" sz="2000" b="1">
              <a:solidFill>
                <a:srgbClr val="7030A0"/>
              </a:solidFill>
            </a:rPr>
            <a:pPr/>
            <a:t>87,0%</a:t>
          </a:fld>
          <a:endParaRPr lang="pt-BR" sz="2000" b="1">
            <a:solidFill>
              <a:srgbClr val="7030A0"/>
            </a:solidFill>
          </a:endParaRPr>
        </a:p>
      </xdr:txBody>
    </xdr:sp>
    <xdr:clientData/>
  </xdr:oneCellAnchor>
  <xdr:oneCellAnchor>
    <xdr:from>
      <xdr:col>6</xdr:col>
      <xdr:colOff>85725</xdr:colOff>
      <xdr:row>22</xdr:row>
      <xdr:rowOff>114300</xdr:rowOff>
    </xdr:from>
    <xdr:ext cx="952825" cy="311496"/>
    <xdr:sp macro="" textlink="Dados!F1">
      <xdr:nvSpPr>
        <xdr:cNvPr id="36" name="CaixaDeTexto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/>
      </xdr:nvSpPr>
      <xdr:spPr>
        <a:xfrm>
          <a:off x="3800475" y="4410075"/>
          <a:ext cx="9528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446EA3F-E7F0-4A7E-873C-6578EAB0AF24}" type="TxLink">
            <a:rPr lang="pt-BR" sz="1400" b="1">
              <a:solidFill>
                <a:srgbClr val="7030A0"/>
              </a:solidFill>
            </a:rPr>
            <a:pPr/>
            <a:t>Qualidade</a:t>
          </a:fld>
          <a:endParaRPr lang="pt-BR" sz="1400" b="1">
            <a:solidFill>
              <a:srgbClr val="7030A0"/>
            </a:solidFill>
          </a:endParaRPr>
        </a:p>
      </xdr:txBody>
    </xdr:sp>
    <xdr:clientData/>
  </xdr:oneCellAnchor>
  <xdr:oneCellAnchor>
    <xdr:from>
      <xdr:col>5</xdr:col>
      <xdr:colOff>581025</xdr:colOff>
      <xdr:row>0</xdr:row>
      <xdr:rowOff>142875</xdr:rowOff>
    </xdr:from>
    <xdr:ext cx="1513235" cy="342786"/>
    <xdr:sp macro="" textlink="Dados!B1">
      <xdr:nvSpPr>
        <xdr:cNvPr id="37" name="CaixaDeTexto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/>
      </xdr:nvSpPr>
      <xdr:spPr>
        <a:xfrm>
          <a:off x="3686175" y="142875"/>
          <a:ext cx="151323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53A86099-576A-457F-9667-76A0E5E274B6}" type="TxLink">
            <a:rPr lang="pt-BR" sz="1600" b="1">
              <a:solidFill>
                <a:schemeClr val="bg1"/>
              </a:solidFill>
            </a:rPr>
            <a:pPr/>
            <a:t>Disponibilidade</a:t>
          </a:fld>
          <a:endParaRPr lang="pt-BR" sz="1600" b="1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590550</xdr:colOff>
      <xdr:row>0</xdr:row>
      <xdr:rowOff>123825</xdr:rowOff>
    </xdr:from>
    <xdr:ext cx="1423338" cy="374141"/>
    <xdr:sp macro="" textlink="Dados!D1">
      <xdr:nvSpPr>
        <xdr:cNvPr id="38" name="CaixaDeTexto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5076825" y="123825"/>
          <a:ext cx="1423338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275AA76A-DB77-4E5E-AE72-EC23064E9200}" type="TxLink">
            <a:rPr lang="pt-BR" sz="1800" b="1">
              <a:solidFill>
                <a:schemeClr val="bg1"/>
              </a:solidFill>
            </a:rPr>
            <a:pPr/>
            <a:t>Performance</a:t>
          </a:fld>
          <a:endParaRPr lang="pt-BR" sz="1800" b="1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57150</xdr:colOff>
      <xdr:row>0</xdr:row>
      <xdr:rowOff>123825</xdr:rowOff>
    </xdr:from>
    <xdr:ext cx="1281761" cy="405432"/>
    <xdr:sp macro="" textlink="Dados!F1">
      <xdr:nvSpPr>
        <xdr:cNvPr id="39" name="CaixaDeTexto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6534150" y="123825"/>
          <a:ext cx="128176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B2513438-FEA2-40AC-9F4C-359C089458D6}" type="TxLink">
            <a:rPr lang="pt-BR" sz="2000" b="1">
              <a:solidFill>
                <a:schemeClr val="bg1"/>
              </a:solidFill>
            </a:rPr>
            <a:pPr/>
            <a:t>Qualidade</a:t>
          </a:fld>
          <a:endParaRPr lang="pt-BR" sz="2000" b="1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276225</xdr:colOff>
      <xdr:row>0</xdr:row>
      <xdr:rowOff>0</xdr:rowOff>
    </xdr:from>
    <xdr:ext cx="862544" cy="593304"/>
    <xdr:sp macro="" textlink="Dados!H1">
      <xdr:nvSpPr>
        <xdr:cNvPr id="40" name="CaixaDeTexto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/>
      </xdr:nvSpPr>
      <xdr:spPr>
        <a:xfrm>
          <a:off x="8134350" y="0"/>
          <a:ext cx="862544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60F3507-B4C0-48BE-8637-406A1F0C5E35}" type="TxLink">
            <a:rPr lang="pt-BR" sz="3200" b="1">
              <a:solidFill>
                <a:schemeClr val="bg1"/>
              </a:solidFill>
            </a:rPr>
            <a:pPr/>
            <a:t>OEE</a:t>
          </a:fld>
          <a:endParaRPr lang="pt-BR" sz="3200" b="1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115370</xdr:colOff>
      <xdr:row>6</xdr:row>
      <xdr:rowOff>84655</xdr:rowOff>
    </xdr:from>
    <xdr:ext cx="264560" cy="704850"/>
    <xdr:sp macro="" textlink="Dados!A2">
      <xdr:nvSpPr>
        <xdr:cNvPr id="41" name="CaixaDeTexto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/>
      </xdr:nvSpPr>
      <xdr:spPr>
        <a:xfrm rot="16200000">
          <a:off x="-19050" y="1552575"/>
          <a:ext cx="7048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B06354A9-D663-4F49-94C6-DD661586AF9C}" type="TxLink">
            <a:rPr lang="pt-BR" sz="1100" b="1">
              <a:solidFill>
                <a:schemeClr val="tx1"/>
              </a:solidFill>
            </a:rPr>
            <a:pPr/>
            <a:t>Torno 01</a:t>
          </a:fld>
          <a:endParaRPr lang="pt-BR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2</xdr:col>
      <xdr:colOff>465530</xdr:colOff>
      <xdr:row>6</xdr:row>
      <xdr:rowOff>67870</xdr:rowOff>
    </xdr:from>
    <xdr:ext cx="264560" cy="700320"/>
    <xdr:sp macro="" textlink="Dados!A3">
      <xdr:nvSpPr>
        <xdr:cNvPr id="42" name="CaixaDeTexto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 rot="16200000">
          <a:off x="1343025" y="1533525"/>
          <a:ext cx="7003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9970E78-CF73-4667-AD2C-F98195AA262F}" type="TxLink">
            <a:rPr lang="pt-BR" sz="1100" b="1"/>
            <a:pPr/>
            <a:t>Torno 02</a:t>
          </a:fld>
          <a:endParaRPr lang="pt-BR" sz="1100" b="1"/>
        </a:p>
      </xdr:txBody>
    </xdr:sp>
    <xdr:clientData/>
  </xdr:oneCellAnchor>
  <xdr:oneCellAnchor>
    <xdr:from>
      <xdr:col>1</xdr:col>
      <xdr:colOff>124752</xdr:colOff>
      <xdr:row>12</xdr:row>
      <xdr:rowOff>56223</xdr:rowOff>
    </xdr:from>
    <xdr:ext cx="264560" cy="666464"/>
    <xdr:sp macro="" textlink="Dados!A4">
      <xdr:nvSpPr>
        <xdr:cNvPr id="43" name="CaixaDeTexto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/>
      </xdr:nvSpPr>
      <xdr:spPr>
        <a:xfrm rot="16200000">
          <a:off x="9525" y="2647950"/>
          <a:ext cx="6664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0732C42D-E488-436E-9189-AFF2B57BB39E}" type="TxLink">
            <a:rPr lang="pt-BR" sz="1100" b="1"/>
            <a:pPr/>
            <a:t>Fresa 01</a:t>
          </a:fld>
          <a:endParaRPr lang="pt-BR" sz="1100" b="1"/>
        </a:p>
      </xdr:txBody>
    </xdr:sp>
    <xdr:clientData/>
  </xdr:oneCellAnchor>
  <xdr:oneCellAnchor>
    <xdr:from>
      <xdr:col>2</xdr:col>
      <xdr:colOff>467652</xdr:colOff>
      <xdr:row>12</xdr:row>
      <xdr:rowOff>65748</xdr:rowOff>
    </xdr:from>
    <xdr:ext cx="264560" cy="666464"/>
    <xdr:sp macro="" textlink="Dados!A5">
      <xdr:nvSpPr>
        <xdr:cNvPr id="44" name="CaixaDeTexto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/>
      </xdr:nvSpPr>
      <xdr:spPr>
        <a:xfrm rot="16200000">
          <a:off x="1362075" y="2657475"/>
          <a:ext cx="6664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A0AA346-7E0A-4061-B22F-5E0BFF6CFD61}" type="TxLink">
            <a:rPr lang="pt-BR" sz="1100" b="1"/>
            <a:pPr/>
            <a:t>Fresa 02</a:t>
          </a:fld>
          <a:endParaRPr lang="pt-BR" sz="1100" b="1"/>
        </a:p>
      </xdr:txBody>
    </xdr:sp>
    <xdr:clientData/>
  </xdr:oneCellAnchor>
  <xdr:oneCellAnchor>
    <xdr:from>
      <xdr:col>1</xdr:col>
      <xdr:colOff>128678</xdr:colOff>
      <xdr:row>16</xdr:row>
      <xdr:rowOff>179204</xdr:rowOff>
    </xdr:from>
    <xdr:ext cx="264560" cy="801501"/>
    <xdr:sp macro="" textlink="Dados!A6">
      <xdr:nvSpPr>
        <xdr:cNvPr id="45" name="CaixaDeTexto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/>
      </xdr:nvSpPr>
      <xdr:spPr>
        <a:xfrm rot="16200000">
          <a:off x="-54068" y="3600450"/>
          <a:ext cx="8015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76C38915-DBD9-4286-8C93-3825F1C56FA7}" type="TxLink">
            <a:rPr lang="pt-BR" sz="1100" b="1"/>
            <a:pPr/>
            <a:t>Retífica 01</a:t>
          </a:fld>
          <a:endParaRPr lang="pt-BR" sz="1100" b="1"/>
        </a:p>
      </xdr:txBody>
    </xdr:sp>
    <xdr:clientData/>
  </xdr:oneCellAnchor>
  <xdr:oneCellAnchor>
    <xdr:from>
      <xdr:col>2</xdr:col>
      <xdr:colOff>471579</xdr:colOff>
      <xdr:row>17</xdr:row>
      <xdr:rowOff>17279</xdr:rowOff>
    </xdr:from>
    <xdr:ext cx="264560" cy="801501"/>
    <xdr:sp macro="" textlink="Dados!A7">
      <xdr:nvSpPr>
        <xdr:cNvPr id="46" name="CaixaDeTexto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/>
      </xdr:nvSpPr>
      <xdr:spPr>
        <a:xfrm rot="16200000">
          <a:off x="1298483" y="3629025"/>
          <a:ext cx="8015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7A846780-BEAA-4B26-9243-ED3364231CF5}" type="TxLink">
            <a:rPr lang="pt-BR" sz="1100" b="1"/>
            <a:pPr/>
            <a:t>Retífica 02</a:t>
          </a:fld>
          <a:endParaRPr lang="pt-BR" sz="1100" b="1"/>
        </a:p>
      </xdr:txBody>
    </xdr:sp>
    <xdr:clientData/>
  </xdr:one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0.39065</cdr:x>
      <cdr:y>0.86221</cdr:y>
    </cdr:from>
    <cdr:to>
      <cdr:x>0.48209</cdr:x>
      <cdr:y>1</cdr:y>
    </cdr:to>
    <cdr:sp macro="" textlink="'Torno 02'!$M$1">
      <cdr:nvSpPr>
        <cdr:cNvPr id="2" name="CaixaDeTexto 19"/>
        <cdr:cNvSpPr txBox="1"/>
      </cdr:nvSpPr>
      <cdr:spPr>
        <a:xfrm xmlns:a="http://schemas.openxmlformats.org/drawingml/2006/main">
          <a:off x="937677" y="1753380"/>
          <a:ext cx="219484" cy="28020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EF130C02-9DC0-4774-95CC-30109ADF961E}" type="TxLink">
            <a:rPr lang="pt-BR" sz="1200" b="1">
              <a:solidFill>
                <a:schemeClr val="tx2"/>
              </a:solidFill>
            </a:rPr>
            <a:pPr/>
            <a:t> </a:t>
          </a:fld>
          <a:endParaRPr lang="pt-BR" sz="1200" b="1">
            <a:solidFill>
              <a:schemeClr val="tx2"/>
            </a:solidFill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0.19242</cdr:x>
      <cdr:y>0.85823</cdr:y>
    </cdr:from>
    <cdr:to>
      <cdr:x>0.28314</cdr:x>
      <cdr:y>1</cdr:y>
    </cdr:to>
    <cdr:sp macro="" textlink="'Torno 02'!$I$1">
      <cdr:nvSpPr>
        <cdr:cNvPr id="2" name="CaixaDeTexto 19"/>
        <cdr:cNvSpPr txBox="1"/>
      </cdr:nvSpPr>
      <cdr:spPr>
        <a:xfrm xmlns:a="http://schemas.openxmlformats.org/drawingml/2006/main">
          <a:off x="465532" y="1696234"/>
          <a:ext cx="219484" cy="28020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EF0CA3B1-4B69-43D4-B430-DBFDF51F9170}" type="TxLink">
            <a:rPr lang="pt-BR" sz="1200" b="1">
              <a:solidFill>
                <a:schemeClr val="accent3">
                  <a:lumMod val="50000"/>
                </a:schemeClr>
              </a:solidFill>
            </a:rPr>
            <a:pPr/>
            <a:t> </a:t>
          </a:fld>
          <a:endParaRPr lang="pt-BR" sz="1200" b="1">
            <a:solidFill>
              <a:schemeClr val="accent3">
                <a:lumMod val="50000"/>
              </a:schemeClr>
            </a:solidFill>
          </a:endParaRP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0.28849</cdr:x>
      <cdr:y>0.86221</cdr:y>
    </cdr:from>
    <cdr:to>
      <cdr:x>0.3845</cdr:x>
      <cdr:y>1</cdr:y>
    </cdr:to>
    <cdr:sp macro="" textlink="'Torno 02'!$K$1">
      <cdr:nvSpPr>
        <cdr:cNvPr id="2" name="CaixaDeTexto 19"/>
        <cdr:cNvSpPr txBox="1"/>
      </cdr:nvSpPr>
      <cdr:spPr>
        <a:xfrm xmlns:a="http://schemas.openxmlformats.org/drawingml/2006/main">
          <a:off x="659488" y="1753380"/>
          <a:ext cx="219484" cy="28020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866A083E-137A-4917-98FC-33B8A9AC7D8A}" type="TxLink">
            <a:rPr lang="pt-BR" sz="1200" b="1">
              <a:solidFill>
                <a:srgbClr val="FFC000"/>
              </a:solidFill>
            </a:rPr>
            <a:pPr/>
            <a:t> </a:t>
          </a:fld>
          <a:endParaRPr lang="pt-BR" sz="1200" b="1">
            <a:solidFill>
              <a:srgbClr val="FFC000"/>
            </a:solidFill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3</xdr:row>
      <xdr:rowOff>0</xdr:rowOff>
    </xdr:from>
    <xdr:to>
      <xdr:col>4</xdr:col>
      <xdr:colOff>733426</xdr:colOff>
      <xdr:row>24</xdr:row>
      <xdr:rowOff>28575</xdr:rowOff>
    </xdr:to>
    <xdr:sp macro="" textlink="">
      <xdr:nvSpPr>
        <xdr:cNvPr id="2" name="Fluxograma: Processo alternativ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95251" y="676275"/>
          <a:ext cx="2952750" cy="4029075"/>
        </a:xfrm>
        <a:prstGeom prst="flowChartAlternateProcess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6</xdr:col>
      <xdr:colOff>542925</xdr:colOff>
      <xdr:row>10</xdr:row>
      <xdr:rowOff>0</xdr:rowOff>
    </xdr:from>
    <xdr:ext cx="289053" cy="655885"/>
    <xdr:sp macro="" textlink="$C$28">
      <xdr:nvSpPr>
        <xdr:cNvPr id="3" name="CaixaDeText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4257675" y="2009775"/>
          <a:ext cx="289053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54D4EAB5-5DF2-443B-823D-FA5B655FE8BA}" type="TxLink">
            <a:rPr lang="pt-BR" sz="3600" b="1">
              <a:solidFill>
                <a:schemeClr val="tx2">
                  <a:lumMod val="60000"/>
                  <a:lumOff val="40000"/>
                </a:schemeClr>
              </a:solidFill>
            </a:rPr>
            <a:pPr/>
            <a:t> </a:t>
          </a:fld>
          <a:endParaRPr lang="pt-BR" sz="3600" b="1">
            <a:solidFill>
              <a:schemeClr val="tx2">
                <a:lumMod val="60000"/>
                <a:lumOff val="40000"/>
              </a:schemeClr>
            </a:solidFill>
          </a:endParaRPr>
        </a:p>
      </xdr:txBody>
    </xdr:sp>
    <xdr:clientData/>
  </xdr:oneCellAnchor>
  <xdr:oneCellAnchor>
    <xdr:from>
      <xdr:col>6</xdr:col>
      <xdr:colOff>57150</xdr:colOff>
      <xdr:row>16</xdr:row>
      <xdr:rowOff>114300</xdr:rowOff>
    </xdr:from>
    <xdr:ext cx="242631" cy="405432"/>
    <xdr:sp macro="" textlink="$B$28">
      <xdr:nvSpPr>
        <xdr:cNvPr id="4" name="CaixaDeText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3771900" y="3267075"/>
          <a:ext cx="2426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36FF6A8-FDA4-4DD6-8659-F9D16B28CFAA}" type="TxLink">
            <a:rPr lang="pt-BR" sz="2000" b="1">
              <a:solidFill>
                <a:schemeClr val="tx2">
                  <a:lumMod val="60000"/>
                  <a:lumOff val="40000"/>
                </a:schemeClr>
              </a:solidFill>
            </a:rPr>
            <a:pPr/>
            <a:t> </a:t>
          </a:fld>
          <a:endParaRPr lang="pt-BR" sz="2000" b="1">
            <a:solidFill>
              <a:schemeClr val="tx2">
                <a:lumMod val="60000"/>
                <a:lumOff val="40000"/>
              </a:schemeClr>
            </a:solidFill>
          </a:endParaRPr>
        </a:p>
      </xdr:txBody>
    </xdr:sp>
    <xdr:clientData/>
  </xdr:oneCellAnchor>
  <xdr:oneCellAnchor>
    <xdr:from>
      <xdr:col>8</xdr:col>
      <xdr:colOff>295275</xdr:colOff>
      <xdr:row>26</xdr:row>
      <xdr:rowOff>19050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39115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11</xdr:col>
      <xdr:colOff>66675</xdr:colOff>
      <xdr:row>9</xdr:row>
      <xdr:rowOff>180975</xdr:rowOff>
    </xdr:from>
    <xdr:ext cx="289053" cy="655885"/>
    <xdr:sp macro="" textlink="$C$29">
      <xdr:nvSpPr>
        <xdr:cNvPr id="6" name="CaixaDeText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7315200" y="2000250"/>
          <a:ext cx="289053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FCF3FF7-52EF-4A46-9C4E-FDDF8513E9F0}" type="TxLink">
            <a:rPr lang="pt-BR" sz="3600" b="1">
              <a:solidFill>
                <a:schemeClr val="accent3">
                  <a:lumMod val="75000"/>
                </a:schemeClr>
              </a:solidFill>
            </a:rPr>
            <a:pPr/>
            <a:t> </a:t>
          </a:fld>
          <a:endParaRPr lang="pt-BR" sz="3600" b="1">
            <a:solidFill>
              <a:schemeClr val="accent3">
                <a:lumMod val="75000"/>
              </a:schemeClr>
            </a:solidFill>
          </a:endParaRPr>
        </a:p>
      </xdr:txBody>
    </xdr:sp>
    <xdr:clientData/>
  </xdr:oneCellAnchor>
  <xdr:oneCellAnchor>
    <xdr:from>
      <xdr:col>7</xdr:col>
      <xdr:colOff>57150</xdr:colOff>
      <xdr:row>22</xdr:row>
      <xdr:rowOff>133350</xdr:rowOff>
    </xdr:from>
    <xdr:ext cx="289053" cy="655885"/>
    <xdr:sp macro="" textlink="$C$30">
      <xdr:nvSpPr>
        <xdr:cNvPr id="7" name="CaixaDeText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4543425" y="4429125"/>
          <a:ext cx="289053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008D394-C014-4900-AB36-25F9709E43F8}" type="TxLink">
            <a:rPr lang="pt-BR" sz="3600" b="1">
              <a:solidFill>
                <a:srgbClr val="FFC000"/>
              </a:solidFill>
            </a:rPr>
            <a:pPr/>
            <a:t> </a:t>
          </a:fld>
          <a:endParaRPr lang="pt-BR" sz="3600" b="1">
            <a:solidFill>
              <a:srgbClr val="FFC000"/>
            </a:solidFill>
          </a:endParaRPr>
        </a:p>
      </xdr:txBody>
    </xdr:sp>
    <xdr:clientData/>
  </xdr:oneCellAnchor>
  <xdr:oneCellAnchor>
    <xdr:from>
      <xdr:col>6</xdr:col>
      <xdr:colOff>542925</xdr:colOff>
      <xdr:row>29</xdr:row>
      <xdr:rowOff>47625</xdr:rowOff>
    </xdr:from>
    <xdr:ext cx="242631" cy="405432"/>
    <xdr:sp macro="" textlink="$B$30">
      <xdr:nvSpPr>
        <xdr:cNvPr id="8" name="CaixaDeTexto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4257675" y="5676900"/>
          <a:ext cx="2426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032C7AE-FE12-4436-9BBA-EC8B91D299CC}" type="TxLink">
            <a:rPr lang="pt-BR" sz="2000" b="1">
              <a:solidFill>
                <a:srgbClr val="FFC000"/>
              </a:solidFill>
            </a:rPr>
            <a:pPr/>
            <a:t> </a:t>
          </a:fld>
          <a:endParaRPr lang="pt-BR" sz="2000" b="1">
            <a:solidFill>
              <a:srgbClr val="FFC000"/>
            </a:solidFill>
          </a:endParaRPr>
        </a:p>
      </xdr:txBody>
    </xdr:sp>
    <xdr:clientData/>
  </xdr:oneCellAnchor>
  <xdr:twoCellAnchor editAs="oneCell">
    <xdr:from>
      <xdr:col>1</xdr:col>
      <xdr:colOff>152400</xdr:colOff>
      <xdr:row>5</xdr:row>
      <xdr:rowOff>123825</xdr:rowOff>
    </xdr:from>
    <xdr:to>
      <xdr:col>2</xdr:col>
      <xdr:colOff>571500</xdr:colOff>
      <xdr:row>10</xdr:row>
      <xdr:rowOff>122093</xdr:rowOff>
    </xdr:to>
    <xdr:pic>
      <xdr:nvPicPr>
        <xdr:cNvPr id="9" name="Imagem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1181100"/>
          <a:ext cx="1428750" cy="950768"/>
        </a:xfrm>
        <a:prstGeom prst="rect">
          <a:avLst/>
        </a:prstGeom>
      </xdr:spPr>
    </xdr:pic>
    <xdr:clientData/>
  </xdr:twoCellAnchor>
  <xdr:twoCellAnchor editAs="oneCell">
    <xdr:from>
      <xdr:col>2</xdr:col>
      <xdr:colOff>504825</xdr:colOff>
      <xdr:row>5</xdr:row>
      <xdr:rowOff>142874</xdr:rowOff>
    </xdr:from>
    <xdr:to>
      <xdr:col>4</xdr:col>
      <xdr:colOff>714375</xdr:colOff>
      <xdr:row>10</xdr:row>
      <xdr:rowOff>141142</xdr:rowOff>
    </xdr:to>
    <xdr:pic>
      <xdr:nvPicPr>
        <xdr:cNvPr id="10" name="Imagem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0200" y="1200149"/>
          <a:ext cx="1428750" cy="950768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11</xdr:row>
      <xdr:rowOff>57150</xdr:rowOff>
    </xdr:from>
    <xdr:to>
      <xdr:col>2</xdr:col>
      <xdr:colOff>413832</xdr:colOff>
      <xdr:row>16</xdr:row>
      <xdr:rowOff>76200</xdr:rowOff>
    </xdr:to>
    <xdr:pic>
      <xdr:nvPicPr>
        <xdr:cNvPr id="11" name="Imagem 10" descr="Resultado de imagem para foto FRESADORA cnc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2257425"/>
          <a:ext cx="1032957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95249</xdr:colOff>
      <xdr:row>11</xdr:row>
      <xdr:rowOff>76200</xdr:rowOff>
    </xdr:from>
    <xdr:to>
      <xdr:col>4</xdr:col>
      <xdr:colOff>547182</xdr:colOff>
      <xdr:row>16</xdr:row>
      <xdr:rowOff>95250</xdr:rowOff>
    </xdr:to>
    <xdr:pic>
      <xdr:nvPicPr>
        <xdr:cNvPr id="12" name="Imagem 11" descr="Resultado de imagem para foto FRESADORA cnc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4" y="2276475"/>
          <a:ext cx="1061533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400050</xdr:colOff>
      <xdr:row>17</xdr:row>
      <xdr:rowOff>76201</xdr:rowOff>
    </xdr:from>
    <xdr:to>
      <xdr:col>2</xdr:col>
      <xdr:colOff>420750</xdr:colOff>
      <xdr:row>21</xdr:row>
      <xdr:rowOff>123825</xdr:rowOff>
    </xdr:to>
    <xdr:pic>
      <xdr:nvPicPr>
        <xdr:cNvPr id="13" name="Imagem 12" descr="Resultado de imagem para foto RETIFICA cnc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419476"/>
          <a:ext cx="1030350" cy="809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152399</xdr:colOff>
      <xdr:row>17</xdr:row>
      <xdr:rowOff>133350</xdr:rowOff>
    </xdr:from>
    <xdr:to>
      <xdr:col>4</xdr:col>
      <xdr:colOff>601724</xdr:colOff>
      <xdr:row>21</xdr:row>
      <xdr:rowOff>180974</xdr:rowOff>
    </xdr:to>
    <xdr:pic>
      <xdr:nvPicPr>
        <xdr:cNvPr id="14" name="Imagem 13" descr="Resultado de imagem para foto RETIFICA cnc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4" y="3476625"/>
          <a:ext cx="1058925" cy="809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19050</xdr:colOff>
      <xdr:row>3</xdr:row>
      <xdr:rowOff>14287</xdr:rowOff>
    </xdr:from>
    <xdr:to>
      <xdr:col>8</xdr:col>
      <xdr:colOff>304800</xdr:colOff>
      <xdr:row>13</xdr:row>
      <xdr:rowOff>76200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304800</xdr:colOff>
      <xdr:row>13</xdr:row>
      <xdr:rowOff>71437</xdr:rowOff>
    </xdr:from>
    <xdr:to>
      <xdr:col>11</xdr:col>
      <xdr:colOff>561976</xdr:colOff>
      <xdr:row>24</xdr:row>
      <xdr:rowOff>9525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304800</xdr:colOff>
      <xdr:row>3</xdr:row>
      <xdr:rowOff>14286</xdr:rowOff>
    </xdr:from>
    <xdr:to>
      <xdr:col>11</xdr:col>
      <xdr:colOff>561975</xdr:colOff>
      <xdr:row>13</xdr:row>
      <xdr:rowOff>66675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19049</xdr:colOff>
      <xdr:row>13</xdr:row>
      <xdr:rowOff>71438</xdr:rowOff>
    </xdr:from>
    <xdr:to>
      <xdr:col>8</xdr:col>
      <xdr:colOff>314324</xdr:colOff>
      <xdr:row>24</xdr:row>
      <xdr:rowOff>9526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oneCellAnchor>
    <xdr:from>
      <xdr:col>6</xdr:col>
      <xdr:colOff>114300</xdr:colOff>
      <xdr:row>7</xdr:row>
      <xdr:rowOff>19050</xdr:rowOff>
    </xdr:from>
    <xdr:ext cx="827662" cy="405432"/>
    <xdr:sp macro="" textlink="$G$2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3829050" y="1457325"/>
          <a:ext cx="827662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B1003B4-CEEF-4E95-A4B7-4A9698269671}" type="TxLink">
            <a:rPr lang="pt-BR" sz="2000" b="1">
              <a:solidFill>
                <a:srgbClr val="FF0000"/>
              </a:solidFill>
            </a:rPr>
            <a:pPr/>
            <a:t>95,0%</a:t>
          </a:fld>
          <a:endParaRPr lang="pt-BR" sz="20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342900</xdr:colOff>
      <xdr:row>7</xdr:row>
      <xdr:rowOff>19050</xdr:rowOff>
    </xdr:from>
    <xdr:ext cx="827662" cy="405432"/>
    <xdr:sp macro="" textlink="$I$2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/>
      </xdr:nvSpPr>
      <xdr:spPr>
        <a:xfrm>
          <a:off x="6210300" y="1457325"/>
          <a:ext cx="827662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7A78595-C298-48BB-A4DE-C9D898AF9052}" type="TxLink">
            <a:rPr lang="pt-BR" sz="2000" b="1">
              <a:solidFill>
                <a:schemeClr val="accent3">
                  <a:lumMod val="75000"/>
                </a:schemeClr>
              </a:solidFill>
            </a:rPr>
            <a:pPr/>
            <a:t>83,0%</a:t>
          </a:fld>
          <a:endParaRPr lang="pt-BR" sz="2000" b="1">
            <a:solidFill>
              <a:schemeClr val="accent3">
                <a:lumMod val="75000"/>
              </a:schemeClr>
            </a:solidFill>
          </a:endParaRPr>
        </a:p>
      </xdr:txBody>
    </xdr:sp>
    <xdr:clientData/>
  </xdr:oneCellAnchor>
  <xdr:oneCellAnchor>
    <xdr:from>
      <xdr:col>9</xdr:col>
      <xdr:colOff>333375</xdr:colOff>
      <xdr:row>17</xdr:row>
      <xdr:rowOff>142875</xdr:rowOff>
    </xdr:from>
    <xdr:ext cx="827662" cy="405432"/>
    <xdr:sp macro="" textlink="$M$2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/>
      </xdr:nvSpPr>
      <xdr:spPr>
        <a:xfrm>
          <a:off x="6200775" y="3486150"/>
          <a:ext cx="827662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1CE80407-BC3F-41DD-AB79-9D171A8567B3}" type="TxLink">
            <a:rPr lang="pt-BR" sz="2000" b="1">
              <a:solidFill>
                <a:schemeClr val="tx2"/>
              </a:solidFill>
            </a:rPr>
            <a:pPr/>
            <a:t>72,5%</a:t>
          </a:fld>
          <a:endParaRPr lang="pt-BR" sz="2000" b="1">
            <a:solidFill>
              <a:schemeClr val="tx2"/>
            </a:solidFill>
          </a:endParaRPr>
        </a:p>
      </xdr:txBody>
    </xdr:sp>
    <xdr:clientData/>
  </xdr:oneCellAnchor>
  <xdr:twoCellAnchor>
    <xdr:from>
      <xdr:col>11</xdr:col>
      <xdr:colOff>571500</xdr:colOff>
      <xdr:row>3</xdr:row>
      <xdr:rowOff>14287</xdr:rowOff>
    </xdr:from>
    <xdr:to>
      <xdr:col>14</xdr:col>
      <xdr:colOff>19050</xdr:colOff>
      <xdr:row>24</xdr:row>
      <xdr:rowOff>9525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oneCellAnchor>
    <xdr:from>
      <xdr:col>5</xdr:col>
      <xdr:colOff>428625</xdr:colOff>
      <xdr:row>11</xdr:row>
      <xdr:rowOff>180975</xdr:rowOff>
    </xdr:from>
    <xdr:ext cx="219484" cy="280205"/>
    <xdr:sp macro="" textlink="$G$1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3533775" y="2381250"/>
          <a:ext cx="21948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A61A9D9-2F17-48D9-81EC-C756931A9E72}" type="TxLink">
            <a:rPr lang="pt-BR" sz="1200" b="1">
              <a:solidFill>
                <a:srgbClr val="FF0000"/>
              </a:solidFill>
            </a:rPr>
            <a:pPr/>
            <a:t> </a:t>
          </a:fld>
          <a:endParaRPr lang="pt-BR" sz="1200" b="1">
            <a:solidFill>
              <a:srgbClr val="FF0000"/>
            </a:solidFill>
          </a:endParaRPr>
        </a:p>
      </xdr:txBody>
    </xdr:sp>
    <xdr:clientData/>
  </xdr:oneCellAnchor>
  <xdr:twoCellAnchor>
    <xdr:from>
      <xdr:col>0</xdr:col>
      <xdr:colOff>76199</xdr:colOff>
      <xdr:row>0</xdr:row>
      <xdr:rowOff>47625</xdr:rowOff>
    </xdr:from>
    <xdr:to>
      <xdr:col>5</xdr:col>
      <xdr:colOff>600074</xdr:colOff>
      <xdr:row>0</xdr:row>
      <xdr:rowOff>323850</xdr:rowOff>
    </xdr:to>
    <xdr:sp macro="" textlink="">
      <xdr:nvSpPr>
        <xdr:cNvPr id="24" name="Fluxograma: Processo alternativo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76199" y="47625"/>
          <a:ext cx="3629025" cy="276225"/>
        </a:xfrm>
        <a:prstGeom prst="flowChartAlternateProcess">
          <a:avLst/>
        </a:prstGeom>
        <a:solidFill>
          <a:schemeClr val="accent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142875</xdr:colOff>
      <xdr:row>0</xdr:row>
      <xdr:rowOff>38100</xdr:rowOff>
    </xdr:from>
    <xdr:ext cx="3335016" cy="294953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/>
      </xdr:nvSpPr>
      <xdr:spPr>
        <a:xfrm>
          <a:off x="228600" y="38100"/>
          <a:ext cx="3335016" cy="2949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300" b="1">
              <a:solidFill>
                <a:schemeClr val="bg1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INDICADORES DO EQUIPAMENTO</a:t>
          </a:r>
        </a:p>
      </xdr:txBody>
    </xdr:sp>
    <xdr:clientData/>
  </xdr:oneCellAnchor>
  <xdr:twoCellAnchor>
    <xdr:from>
      <xdr:col>6</xdr:col>
      <xdr:colOff>19050</xdr:colOff>
      <xdr:row>0</xdr:row>
      <xdr:rowOff>28576</xdr:rowOff>
    </xdr:from>
    <xdr:to>
      <xdr:col>8</xdr:col>
      <xdr:colOff>0</xdr:colOff>
      <xdr:row>1</xdr:row>
      <xdr:rowOff>257175</xdr:rowOff>
    </xdr:to>
    <xdr:sp macro="" textlink="">
      <xdr:nvSpPr>
        <xdr:cNvPr id="26" name="Fluxograma: Processo alternativo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3733800" y="28576"/>
          <a:ext cx="1362075" cy="561974"/>
        </a:xfrm>
        <a:prstGeom prst="flowChartAlternateProcess">
          <a:avLst/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19050</xdr:colOff>
      <xdr:row>0</xdr:row>
      <xdr:rowOff>28574</xdr:rowOff>
    </xdr:from>
    <xdr:to>
      <xdr:col>10</xdr:col>
      <xdr:colOff>0</xdr:colOff>
      <xdr:row>1</xdr:row>
      <xdr:rowOff>257174</xdr:rowOff>
    </xdr:to>
    <xdr:sp macro="" textlink="">
      <xdr:nvSpPr>
        <xdr:cNvPr id="27" name="Fluxograma: Processo alternativo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5114925" y="28574"/>
          <a:ext cx="1362075" cy="561975"/>
        </a:xfrm>
        <a:prstGeom prst="flowChartAlternateProcess">
          <a:avLst/>
        </a:prstGeom>
        <a:solidFill>
          <a:schemeClr val="accent3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19050</xdr:colOff>
      <xdr:row>0</xdr:row>
      <xdr:rowOff>19049</xdr:rowOff>
    </xdr:from>
    <xdr:to>
      <xdr:col>12</xdr:col>
      <xdr:colOff>0</xdr:colOff>
      <xdr:row>1</xdr:row>
      <xdr:rowOff>266699</xdr:rowOff>
    </xdr:to>
    <xdr:sp macro="" textlink="">
      <xdr:nvSpPr>
        <xdr:cNvPr id="28" name="Fluxograma: Processo alternativo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6496050" y="19049"/>
          <a:ext cx="1362075" cy="581025"/>
        </a:xfrm>
        <a:prstGeom prst="flowChartAlternateProcess">
          <a:avLst/>
        </a:prstGeom>
        <a:solidFill>
          <a:srgbClr val="7030A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19050</xdr:colOff>
      <xdr:row>0</xdr:row>
      <xdr:rowOff>9525</xdr:rowOff>
    </xdr:from>
    <xdr:to>
      <xdr:col>14</xdr:col>
      <xdr:colOff>0</xdr:colOff>
      <xdr:row>2</xdr:row>
      <xdr:rowOff>0</xdr:rowOff>
    </xdr:to>
    <xdr:sp macro="" textlink="">
      <xdr:nvSpPr>
        <xdr:cNvPr id="29" name="Fluxograma: Processo alternativo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7877175" y="9525"/>
          <a:ext cx="1362075" cy="590550"/>
        </a:xfrm>
        <a:prstGeom prst="flowChartAlternateProcess">
          <a:avLst/>
        </a:prstGeom>
        <a:solidFill>
          <a:schemeClr val="tx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5</xdr:col>
      <xdr:colOff>514350</xdr:colOff>
      <xdr:row>12</xdr:row>
      <xdr:rowOff>9525</xdr:rowOff>
    </xdr:from>
    <xdr:ext cx="1347420" cy="311496"/>
    <xdr:sp macro="" textlink="Dados!B1">
      <xdr:nvSpPr>
        <xdr:cNvPr id="30" name="CaixaDeTexto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 txBox="1"/>
      </xdr:nvSpPr>
      <xdr:spPr>
        <a:xfrm>
          <a:off x="3619500" y="2400300"/>
          <a:ext cx="134742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95B70FA1-28A8-46FC-9D05-695D29FC98C7}" type="TxLink">
            <a:rPr lang="pt-BR" sz="1400" b="1">
              <a:solidFill>
                <a:srgbClr val="FF0000"/>
              </a:solidFill>
            </a:rPr>
            <a:pPr/>
            <a:t>Disponibilidade</a:t>
          </a:fld>
          <a:endParaRPr lang="pt-BR" sz="14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190500</xdr:colOff>
      <xdr:row>12</xdr:row>
      <xdr:rowOff>9525</xdr:rowOff>
    </xdr:from>
    <xdr:ext cx="1148135" cy="311496"/>
    <xdr:sp macro="" textlink="Dados!D1">
      <xdr:nvSpPr>
        <xdr:cNvPr id="31" name="CaixaDeTexto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 txBox="1"/>
      </xdr:nvSpPr>
      <xdr:spPr>
        <a:xfrm>
          <a:off x="6057900" y="2400300"/>
          <a:ext cx="11481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3996441F-9517-49EB-9FB7-4DD4023D55E6}" type="TxLink">
            <a:rPr lang="pt-BR" sz="1400" b="1">
              <a:solidFill>
                <a:schemeClr val="accent3">
                  <a:lumMod val="50000"/>
                </a:schemeClr>
              </a:solidFill>
            </a:rPr>
            <a:pPr/>
            <a:t>Performance</a:t>
          </a:fld>
          <a:endParaRPr lang="pt-BR" sz="1400" b="1">
            <a:solidFill>
              <a:schemeClr val="accent3">
                <a:lumMod val="50000"/>
              </a:schemeClr>
            </a:solidFill>
          </a:endParaRPr>
        </a:p>
      </xdr:txBody>
    </xdr:sp>
    <xdr:clientData/>
  </xdr:oneCellAnchor>
  <xdr:oneCellAnchor>
    <xdr:from>
      <xdr:col>6</xdr:col>
      <xdr:colOff>114300</xdr:colOff>
      <xdr:row>22</xdr:row>
      <xdr:rowOff>123825</xdr:rowOff>
    </xdr:from>
    <xdr:ext cx="952825" cy="311496"/>
    <xdr:sp macro="" textlink="Dados!F1">
      <xdr:nvSpPr>
        <xdr:cNvPr id="32" name="CaixaDeTexto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 txBox="1"/>
      </xdr:nvSpPr>
      <xdr:spPr>
        <a:xfrm>
          <a:off x="3829050" y="4419600"/>
          <a:ext cx="9528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5F09CAE6-8F34-41D3-BD1F-C4F03F7A139B}" type="TxLink">
            <a:rPr lang="pt-BR" sz="1400" b="0">
              <a:solidFill>
                <a:srgbClr val="FFC000"/>
              </a:solidFill>
            </a:rPr>
            <a:pPr/>
            <a:t>Qualidade</a:t>
          </a:fld>
          <a:endParaRPr lang="pt-BR" sz="1400" b="0">
            <a:solidFill>
              <a:srgbClr val="FFC000"/>
            </a:solidFill>
          </a:endParaRPr>
        </a:p>
      </xdr:txBody>
    </xdr:sp>
    <xdr:clientData/>
  </xdr:oneCellAnchor>
  <xdr:oneCellAnchor>
    <xdr:from>
      <xdr:col>9</xdr:col>
      <xdr:colOff>495300</xdr:colOff>
      <xdr:row>22</xdr:row>
      <xdr:rowOff>104775</xdr:rowOff>
    </xdr:from>
    <xdr:ext cx="478849" cy="311496"/>
    <xdr:sp macro="" textlink="Dados!H1">
      <xdr:nvSpPr>
        <xdr:cNvPr id="33" name="CaixaDeTexto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 txBox="1"/>
      </xdr:nvSpPr>
      <xdr:spPr>
        <a:xfrm>
          <a:off x="6362700" y="4400550"/>
          <a:ext cx="47884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9ED3176-8D44-4F8F-A737-5D0E59DFFC37}" type="TxLink">
            <a:rPr lang="pt-BR" sz="1400" b="1">
              <a:solidFill>
                <a:schemeClr val="tx2"/>
              </a:solidFill>
            </a:rPr>
            <a:pPr/>
            <a:t>OEE</a:t>
          </a:fld>
          <a:endParaRPr lang="pt-BR" sz="1400" b="1">
            <a:solidFill>
              <a:schemeClr val="tx2"/>
            </a:solidFill>
          </a:endParaRPr>
        </a:p>
      </xdr:txBody>
    </xdr:sp>
    <xdr:clientData/>
  </xdr:oneCellAnchor>
  <xdr:twoCellAnchor>
    <xdr:from>
      <xdr:col>5</xdr:col>
      <xdr:colOff>19051</xdr:colOff>
      <xdr:row>13</xdr:row>
      <xdr:rowOff>61912</xdr:rowOff>
    </xdr:from>
    <xdr:to>
      <xdr:col>8</xdr:col>
      <xdr:colOff>304800</xdr:colOff>
      <xdr:row>24</xdr:row>
      <xdr:rowOff>9525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oneCellAnchor>
    <xdr:from>
      <xdr:col>6</xdr:col>
      <xdr:colOff>142875</xdr:colOff>
      <xdr:row>17</xdr:row>
      <xdr:rowOff>104775</xdr:rowOff>
    </xdr:from>
    <xdr:ext cx="821892" cy="405432"/>
    <xdr:sp macro="" textlink="$K$2">
      <xdr:nvSpPr>
        <xdr:cNvPr id="35" name="CaixaDeTexto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 txBox="1"/>
      </xdr:nvSpPr>
      <xdr:spPr>
        <a:xfrm>
          <a:off x="3857625" y="3448050"/>
          <a:ext cx="821892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ADAC5A51-8A0D-49EA-9731-C4FDD9A9B897}" type="TxLink">
            <a:rPr lang="pt-BR" sz="2000" b="1">
              <a:solidFill>
                <a:srgbClr val="7030A0"/>
              </a:solidFill>
            </a:rPr>
            <a:pPr/>
            <a:t>92,0%</a:t>
          </a:fld>
          <a:endParaRPr lang="pt-BR" sz="2000" b="1">
            <a:solidFill>
              <a:srgbClr val="7030A0"/>
            </a:solidFill>
          </a:endParaRPr>
        </a:p>
      </xdr:txBody>
    </xdr:sp>
    <xdr:clientData/>
  </xdr:oneCellAnchor>
  <xdr:oneCellAnchor>
    <xdr:from>
      <xdr:col>6</xdr:col>
      <xdr:colOff>85725</xdr:colOff>
      <xdr:row>22</xdr:row>
      <xdr:rowOff>114300</xdr:rowOff>
    </xdr:from>
    <xdr:ext cx="952825" cy="311496"/>
    <xdr:sp macro="" textlink="Dados!F1">
      <xdr:nvSpPr>
        <xdr:cNvPr id="36" name="CaixaDeTexto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 txBox="1"/>
      </xdr:nvSpPr>
      <xdr:spPr>
        <a:xfrm>
          <a:off x="3800475" y="4410075"/>
          <a:ext cx="9528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446EA3F-E7F0-4A7E-873C-6578EAB0AF24}" type="TxLink">
            <a:rPr lang="pt-BR" sz="1400" b="1">
              <a:solidFill>
                <a:srgbClr val="7030A0"/>
              </a:solidFill>
            </a:rPr>
            <a:pPr/>
            <a:t>Qualidade</a:t>
          </a:fld>
          <a:endParaRPr lang="pt-BR" sz="1400" b="1">
            <a:solidFill>
              <a:srgbClr val="7030A0"/>
            </a:solidFill>
          </a:endParaRPr>
        </a:p>
      </xdr:txBody>
    </xdr:sp>
    <xdr:clientData/>
  </xdr:oneCellAnchor>
  <xdr:oneCellAnchor>
    <xdr:from>
      <xdr:col>5</xdr:col>
      <xdr:colOff>581025</xdr:colOff>
      <xdr:row>0</xdr:row>
      <xdr:rowOff>142875</xdr:rowOff>
    </xdr:from>
    <xdr:ext cx="1513235" cy="342786"/>
    <xdr:sp macro="" textlink="Dados!B1">
      <xdr:nvSpPr>
        <xdr:cNvPr id="37" name="CaixaDeTexto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 txBox="1"/>
      </xdr:nvSpPr>
      <xdr:spPr>
        <a:xfrm>
          <a:off x="3686175" y="142875"/>
          <a:ext cx="151323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53A86099-576A-457F-9667-76A0E5E274B6}" type="TxLink">
            <a:rPr lang="pt-BR" sz="1600" b="1">
              <a:solidFill>
                <a:schemeClr val="bg1"/>
              </a:solidFill>
            </a:rPr>
            <a:pPr/>
            <a:t>Disponibilidade</a:t>
          </a:fld>
          <a:endParaRPr lang="pt-BR" sz="1600" b="1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590550</xdr:colOff>
      <xdr:row>0</xdr:row>
      <xdr:rowOff>123825</xdr:rowOff>
    </xdr:from>
    <xdr:ext cx="1423338" cy="374141"/>
    <xdr:sp macro="" textlink="Dados!D1">
      <xdr:nvSpPr>
        <xdr:cNvPr id="38" name="CaixaDeTexto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 txBox="1"/>
      </xdr:nvSpPr>
      <xdr:spPr>
        <a:xfrm>
          <a:off x="5076825" y="123825"/>
          <a:ext cx="1423338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275AA76A-DB77-4E5E-AE72-EC23064E9200}" type="TxLink">
            <a:rPr lang="pt-BR" sz="1800" b="1">
              <a:solidFill>
                <a:schemeClr val="bg1"/>
              </a:solidFill>
            </a:rPr>
            <a:pPr/>
            <a:t>Performance</a:t>
          </a:fld>
          <a:endParaRPr lang="pt-BR" sz="1800" b="1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57150</xdr:colOff>
      <xdr:row>0</xdr:row>
      <xdr:rowOff>123825</xdr:rowOff>
    </xdr:from>
    <xdr:ext cx="1281761" cy="405432"/>
    <xdr:sp macro="" textlink="Dados!F1">
      <xdr:nvSpPr>
        <xdr:cNvPr id="39" name="CaixaDeTexto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 txBox="1"/>
      </xdr:nvSpPr>
      <xdr:spPr>
        <a:xfrm>
          <a:off x="6534150" y="123825"/>
          <a:ext cx="128176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B2513438-FEA2-40AC-9F4C-359C089458D6}" type="TxLink">
            <a:rPr lang="pt-BR" sz="2000" b="1">
              <a:solidFill>
                <a:schemeClr val="bg1"/>
              </a:solidFill>
            </a:rPr>
            <a:pPr/>
            <a:t>Qualidade</a:t>
          </a:fld>
          <a:endParaRPr lang="pt-BR" sz="2000" b="1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276225</xdr:colOff>
      <xdr:row>0</xdr:row>
      <xdr:rowOff>0</xdr:rowOff>
    </xdr:from>
    <xdr:ext cx="862544" cy="593304"/>
    <xdr:sp macro="" textlink="Dados!H1">
      <xdr:nvSpPr>
        <xdr:cNvPr id="40" name="CaixaDeTexto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 txBox="1"/>
      </xdr:nvSpPr>
      <xdr:spPr>
        <a:xfrm>
          <a:off x="8134350" y="0"/>
          <a:ext cx="862544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60F3507-B4C0-48BE-8637-406A1F0C5E35}" type="TxLink">
            <a:rPr lang="pt-BR" sz="3200" b="1">
              <a:solidFill>
                <a:schemeClr val="bg1"/>
              </a:solidFill>
            </a:rPr>
            <a:pPr/>
            <a:t>OEE</a:t>
          </a:fld>
          <a:endParaRPr lang="pt-BR" sz="3200" b="1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115370</xdr:colOff>
      <xdr:row>6</xdr:row>
      <xdr:rowOff>84655</xdr:rowOff>
    </xdr:from>
    <xdr:ext cx="264560" cy="704850"/>
    <xdr:sp macro="" textlink="Dados!A2">
      <xdr:nvSpPr>
        <xdr:cNvPr id="41" name="CaixaDeTexto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 txBox="1"/>
      </xdr:nvSpPr>
      <xdr:spPr>
        <a:xfrm rot="16200000">
          <a:off x="-19050" y="1552575"/>
          <a:ext cx="7048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B06354A9-D663-4F49-94C6-DD661586AF9C}" type="TxLink">
            <a:rPr lang="pt-BR" sz="1100" b="1">
              <a:solidFill>
                <a:schemeClr val="tx1"/>
              </a:solidFill>
            </a:rPr>
            <a:pPr/>
            <a:t>Torno 01</a:t>
          </a:fld>
          <a:endParaRPr lang="pt-BR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2</xdr:col>
      <xdr:colOff>465530</xdr:colOff>
      <xdr:row>6</xdr:row>
      <xdr:rowOff>67870</xdr:rowOff>
    </xdr:from>
    <xdr:ext cx="264560" cy="700320"/>
    <xdr:sp macro="" textlink="Dados!A3">
      <xdr:nvSpPr>
        <xdr:cNvPr id="42" name="CaixaDeTexto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 txBox="1"/>
      </xdr:nvSpPr>
      <xdr:spPr>
        <a:xfrm rot="16200000">
          <a:off x="1343025" y="1533525"/>
          <a:ext cx="7003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9970E78-CF73-4667-AD2C-F98195AA262F}" type="TxLink">
            <a:rPr lang="pt-BR" sz="1100" b="1"/>
            <a:pPr/>
            <a:t>Torno 02</a:t>
          </a:fld>
          <a:endParaRPr lang="pt-BR" sz="1100" b="1"/>
        </a:p>
      </xdr:txBody>
    </xdr:sp>
    <xdr:clientData/>
  </xdr:oneCellAnchor>
  <xdr:oneCellAnchor>
    <xdr:from>
      <xdr:col>1</xdr:col>
      <xdr:colOff>124752</xdr:colOff>
      <xdr:row>12</xdr:row>
      <xdr:rowOff>56223</xdr:rowOff>
    </xdr:from>
    <xdr:ext cx="264560" cy="666464"/>
    <xdr:sp macro="" textlink="Dados!A4">
      <xdr:nvSpPr>
        <xdr:cNvPr id="43" name="CaixaDeTexto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 txBox="1"/>
      </xdr:nvSpPr>
      <xdr:spPr>
        <a:xfrm rot="16200000">
          <a:off x="9525" y="2647950"/>
          <a:ext cx="6664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0732C42D-E488-436E-9189-AFF2B57BB39E}" type="TxLink">
            <a:rPr lang="pt-BR" sz="1100" b="1"/>
            <a:pPr/>
            <a:t>Fresa 01</a:t>
          </a:fld>
          <a:endParaRPr lang="pt-BR" sz="1100" b="1"/>
        </a:p>
      </xdr:txBody>
    </xdr:sp>
    <xdr:clientData/>
  </xdr:oneCellAnchor>
  <xdr:oneCellAnchor>
    <xdr:from>
      <xdr:col>2</xdr:col>
      <xdr:colOff>467652</xdr:colOff>
      <xdr:row>12</xdr:row>
      <xdr:rowOff>65748</xdr:rowOff>
    </xdr:from>
    <xdr:ext cx="264560" cy="666464"/>
    <xdr:sp macro="" textlink="Dados!A5">
      <xdr:nvSpPr>
        <xdr:cNvPr id="44" name="CaixaDeTexto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 txBox="1"/>
      </xdr:nvSpPr>
      <xdr:spPr>
        <a:xfrm rot="16200000">
          <a:off x="1362075" y="2657475"/>
          <a:ext cx="6664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A0AA346-7E0A-4061-B22F-5E0BFF6CFD61}" type="TxLink">
            <a:rPr lang="pt-BR" sz="1100" b="1"/>
            <a:pPr/>
            <a:t>Fresa 02</a:t>
          </a:fld>
          <a:endParaRPr lang="pt-BR" sz="1100" b="1"/>
        </a:p>
      </xdr:txBody>
    </xdr:sp>
    <xdr:clientData/>
  </xdr:oneCellAnchor>
  <xdr:oneCellAnchor>
    <xdr:from>
      <xdr:col>1</xdr:col>
      <xdr:colOff>128678</xdr:colOff>
      <xdr:row>16</xdr:row>
      <xdr:rowOff>179204</xdr:rowOff>
    </xdr:from>
    <xdr:ext cx="264560" cy="801501"/>
    <xdr:sp macro="" textlink="Dados!A6">
      <xdr:nvSpPr>
        <xdr:cNvPr id="45" name="CaixaDeTexto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 txBox="1"/>
      </xdr:nvSpPr>
      <xdr:spPr>
        <a:xfrm rot="16200000">
          <a:off x="-54068" y="3600450"/>
          <a:ext cx="8015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76C38915-DBD9-4286-8C93-3825F1C56FA7}" type="TxLink">
            <a:rPr lang="pt-BR" sz="1100" b="1"/>
            <a:pPr/>
            <a:t>Retífica 01</a:t>
          </a:fld>
          <a:endParaRPr lang="pt-BR" sz="1100" b="1"/>
        </a:p>
      </xdr:txBody>
    </xdr:sp>
    <xdr:clientData/>
  </xdr:oneCellAnchor>
  <xdr:oneCellAnchor>
    <xdr:from>
      <xdr:col>2</xdr:col>
      <xdr:colOff>471579</xdr:colOff>
      <xdr:row>17</xdr:row>
      <xdr:rowOff>17279</xdr:rowOff>
    </xdr:from>
    <xdr:ext cx="264560" cy="801501"/>
    <xdr:sp macro="" textlink="Dados!A7">
      <xdr:nvSpPr>
        <xdr:cNvPr id="46" name="CaixaDeTexto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 txBox="1"/>
      </xdr:nvSpPr>
      <xdr:spPr>
        <a:xfrm rot="16200000">
          <a:off x="1298483" y="3629025"/>
          <a:ext cx="8015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7A846780-BEAA-4B26-9243-ED3364231CF5}" type="TxLink">
            <a:rPr lang="pt-BR" sz="1100" b="1"/>
            <a:pPr/>
            <a:t>Retífica 02</a:t>
          </a:fld>
          <a:endParaRPr lang="pt-BR" sz="1100" b="1"/>
        </a:p>
      </xdr:txBody>
    </xdr:sp>
    <xdr:clientData/>
  </xdr:one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0.39065</cdr:x>
      <cdr:y>0.86221</cdr:y>
    </cdr:from>
    <cdr:to>
      <cdr:x>0.48209</cdr:x>
      <cdr:y>1</cdr:y>
    </cdr:to>
    <cdr:sp macro="" textlink="'Fresa 01'!$M$1">
      <cdr:nvSpPr>
        <cdr:cNvPr id="2" name="CaixaDeTexto 19"/>
        <cdr:cNvSpPr txBox="1"/>
      </cdr:nvSpPr>
      <cdr:spPr>
        <a:xfrm xmlns:a="http://schemas.openxmlformats.org/drawingml/2006/main">
          <a:off x="937677" y="1753380"/>
          <a:ext cx="219484" cy="28020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EF130C02-9DC0-4774-95CC-30109ADF961E}" type="TxLink">
            <a:rPr lang="pt-BR" sz="1200" b="1">
              <a:solidFill>
                <a:schemeClr val="tx2"/>
              </a:solidFill>
            </a:rPr>
            <a:pPr/>
            <a:t> </a:t>
          </a:fld>
          <a:endParaRPr lang="pt-BR" sz="1200" b="1">
            <a:solidFill>
              <a:schemeClr val="tx2"/>
            </a:solidFill>
          </a:endParaRP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0.19242</cdr:x>
      <cdr:y>0.85823</cdr:y>
    </cdr:from>
    <cdr:to>
      <cdr:x>0.28314</cdr:x>
      <cdr:y>1</cdr:y>
    </cdr:to>
    <cdr:sp macro="" textlink="'Fresa 01'!$I$1">
      <cdr:nvSpPr>
        <cdr:cNvPr id="2" name="CaixaDeTexto 19"/>
        <cdr:cNvSpPr txBox="1"/>
      </cdr:nvSpPr>
      <cdr:spPr>
        <a:xfrm xmlns:a="http://schemas.openxmlformats.org/drawingml/2006/main">
          <a:off x="465532" y="1696234"/>
          <a:ext cx="219484" cy="28020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EF0CA3B1-4B69-43D4-B430-DBFDF51F9170}" type="TxLink">
            <a:rPr lang="pt-BR" sz="1200" b="1">
              <a:solidFill>
                <a:schemeClr val="accent3">
                  <a:lumMod val="50000"/>
                </a:schemeClr>
              </a:solidFill>
            </a:rPr>
            <a:pPr/>
            <a:t> </a:t>
          </a:fld>
          <a:endParaRPr lang="pt-BR" sz="1200" b="1">
            <a:solidFill>
              <a:schemeClr val="accent3">
                <a:lumMod val="50000"/>
              </a:schemeClr>
            </a:solidFill>
          </a:endParaRP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0.28849</cdr:x>
      <cdr:y>0.86221</cdr:y>
    </cdr:from>
    <cdr:to>
      <cdr:x>0.3845</cdr:x>
      <cdr:y>1</cdr:y>
    </cdr:to>
    <cdr:sp macro="" textlink="'Fresa 01'!$K$1">
      <cdr:nvSpPr>
        <cdr:cNvPr id="2" name="CaixaDeTexto 19"/>
        <cdr:cNvSpPr txBox="1"/>
      </cdr:nvSpPr>
      <cdr:spPr>
        <a:xfrm xmlns:a="http://schemas.openxmlformats.org/drawingml/2006/main">
          <a:off x="659488" y="1753380"/>
          <a:ext cx="219484" cy="28020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866A083E-137A-4917-98FC-33B8A9AC7D8A}" type="TxLink">
            <a:rPr lang="pt-BR" sz="1200" b="1">
              <a:solidFill>
                <a:srgbClr val="FFC000"/>
              </a:solidFill>
            </a:rPr>
            <a:pPr/>
            <a:t> </a:t>
          </a:fld>
          <a:endParaRPr lang="pt-BR" sz="1200" b="1">
            <a:solidFill>
              <a:srgbClr val="FFC000"/>
            </a:solidFill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3</xdr:row>
      <xdr:rowOff>0</xdr:rowOff>
    </xdr:from>
    <xdr:to>
      <xdr:col>4</xdr:col>
      <xdr:colOff>733426</xdr:colOff>
      <xdr:row>24</xdr:row>
      <xdr:rowOff>28575</xdr:rowOff>
    </xdr:to>
    <xdr:sp macro="" textlink="">
      <xdr:nvSpPr>
        <xdr:cNvPr id="2" name="Fluxograma: Processo alternativ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5251" y="676275"/>
          <a:ext cx="2952750" cy="4029075"/>
        </a:xfrm>
        <a:prstGeom prst="flowChartAlternateProcess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6</xdr:col>
      <xdr:colOff>542925</xdr:colOff>
      <xdr:row>10</xdr:row>
      <xdr:rowOff>0</xdr:rowOff>
    </xdr:from>
    <xdr:ext cx="289053" cy="655885"/>
    <xdr:sp macro="" textlink="$C$28">
      <xdr:nvSpPr>
        <xdr:cNvPr id="3" name="CaixaDeText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4257675" y="2009775"/>
          <a:ext cx="289053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54D4EAB5-5DF2-443B-823D-FA5B655FE8BA}" type="TxLink">
            <a:rPr lang="pt-BR" sz="3600" b="1">
              <a:solidFill>
                <a:schemeClr val="tx2">
                  <a:lumMod val="60000"/>
                  <a:lumOff val="40000"/>
                </a:schemeClr>
              </a:solidFill>
            </a:rPr>
            <a:pPr/>
            <a:t> </a:t>
          </a:fld>
          <a:endParaRPr lang="pt-BR" sz="3600" b="1">
            <a:solidFill>
              <a:schemeClr val="tx2">
                <a:lumMod val="60000"/>
                <a:lumOff val="40000"/>
              </a:schemeClr>
            </a:solidFill>
          </a:endParaRPr>
        </a:p>
      </xdr:txBody>
    </xdr:sp>
    <xdr:clientData/>
  </xdr:oneCellAnchor>
  <xdr:oneCellAnchor>
    <xdr:from>
      <xdr:col>6</xdr:col>
      <xdr:colOff>57150</xdr:colOff>
      <xdr:row>16</xdr:row>
      <xdr:rowOff>114300</xdr:rowOff>
    </xdr:from>
    <xdr:ext cx="242631" cy="405432"/>
    <xdr:sp macro="" textlink="$B$28">
      <xdr:nvSpPr>
        <xdr:cNvPr id="4" name="CaixaDeText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3771900" y="3267075"/>
          <a:ext cx="2426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36FF6A8-FDA4-4DD6-8659-F9D16B28CFAA}" type="TxLink">
            <a:rPr lang="pt-BR" sz="2000" b="1">
              <a:solidFill>
                <a:schemeClr val="tx2">
                  <a:lumMod val="60000"/>
                  <a:lumOff val="40000"/>
                </a:schemeClr>
              </a:solidFill>
            </a:rPr>
            <a:pPr/>
            <a:t> </a:t>
          </a:fld>
          <a:endParaRPr lang="pt-BR" sz="2000" b="1">
            <a:solidFill>
              <a:schemeClr val="tx2">
                <a:lumMod val="60000"/>
                <a:lumOff val="40000"/>
              </a:schemeClr>
            </a:solidFill>
          </a:endParaRPr>
        </a:p>
      </xdr:txBody>
    </xdr:sp>
    <xdr:clientData/>
  </xdr:oneCellAnchor>
  <xdr:oneCellAnchor>
    <xdr:from>
      <xdr:col>8</xdr:col>
      <xdr:colOff>295275</xdr:colOff>
      <xdr:row>26</xdr:row>
      <xdr:rowOff>19050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39115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11</xdr:col>
      <xdr:colOff>66675</xdr:colOff>
      <xdr:row>9</xdr:row>
      <xdr:rowOff>180975</xdr:rowOff>
    </xdr:from>
    <xdr:ext cx="289053" cy="655885"/>
    <xdr:sp macro="" textlink="$C$29">
      <xdr:nvSpPr>
        <xdr:cNvPr id="6" name="CaixaDeText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7315200" y="2000250"/>
          <a:ext cx="289053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FCF3FF7-52EF-4A46-9C4E-FDDF8513E9F0}" type="TxLink">
            <a:rPr lang="pt-BR" sz="3600" b="1">
              <a:solidFill>
                <a:schemeClr val="accent3">
                  <a:lumMod val="75000"/>
                </a:schemeClr>
              </a:solidFill>
            </a:rPr>
            <a:pPr/>
            <a:t> </a:t>
          </a:fld>
          <a:endParaRPr lang="pt-BR" sz="3600" b="1">
            <a:solidFill>
              <a:schemeClr val="accent3">
                <a:lumMod val="75000"/>
              </a:schemeClr>
            </a:solidFill>
          </a:endParaRPr>
        </a:p>
      </xdr:txBody>
    </xdr:sp>
    <xdr:clientData/>
  </xdr:oneCellAnchor>
  <xdr:oneCellAnchor>
    <xdr:from>
      <xdr:col>7</xdr:col>
      <xdr:colOff>57150</xdr:colOff>
      <xdr:row>22</xdr:row>
      <xdr:rowOff>133350</xdr:rowOff>
    </xdr:from>
    <xdr:ext cx="289053" cy="655885"/>
    <xdr:sp macro="" textlink="$C$30">
      <xdr:nvSpPr>
        <xdr:cNvPr id="7" name="CaixaDeTexto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4543425" y="4429125"/>
          <a:ext cx="289053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008D394-C014-4900-AB36-25F9709E43F8}" type="TxLink">
            <a:rPr lang="pt-BR" sz="3600" b="1">
              <a:solidFill>
                <a:srgbClr val="FFC000"/>
              </a:solidFill>
            </a:rPr>
            <a:pPr/>
            <a:t> </a:t>
          </a:fld>
          <a:endParaRPr lang="pt-BR" sz="3600" b="1">
            <a:solidFill>
              <a:srgbClr val="FFC000"/>
            </a:solidFill>
          </a:endParaRPr>
        </a:p>
      </xdr:txBody>
    </xdr:sp>
    <xdr:clientData/>
  </xdr:oneCellAnchor>
  <xdr:oneCellAnchor>
    <xdr:from>
      <xdr:col>6</xdr:col>
      <xdr:colOff>542925</xdr:colOff>
      <xdr:row>29</xdr:row>
      <xdr:rowOff>47625</xdr:rowOff>
    </xdr:from>
    <xdr:ext cx="242631" cy="405432"/>
    <xdr:sp macro="" textlink="$B$30">
      <xdr:nvSpPr>
        <xdr:cNvPr id="8" name="CaixaDeTexto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4257675" y="5676900"/>
          <a:ext cx="2426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032C7AE-FE12-4436-9BBA-EC8B91D299CC}" type="TxLink">
            <a:rPr lang="pt-BR" sz="2000" b="1">
              <a:solidFill>
                <a:srgbClr val="FFC000"/>
              </a:solidFill>
            </a:rPr>
            <a:pPr/>
            <a:t> </a:t>
          </a:fld>
          <a:endParaRPr lang="pt-BR" sz="2000" b="1">
            <a:solidFill>
              <a:srgbClr val="FFC000"/>
            </a:solidFill>
          </a:endParaRPr>
        </a:p>
      </xdr:txBody>
    </xdr:sp>
    <xdr:clientData/>
  </xdr:oneCellAnchor>
  <xdr:twoCellAnchor editAs="oneCell">
    <xdr:from>
      <xdr:col>1</xdr:col>
      <xdr:colOff>152400</xdr:colOff>
      <xdr:row>5</xdr:row>
      <xdr:rowOff>123825</xdr:rowOff>
    </xdr:from>
    <xdr:to>
      <xdr:col>2</xdr:col>
      <xdr:colOff>571500</xdr:colOff>
      <xdr:row>10</xdr:row>
      <xdr:rowOff>122093</xdr:rowOff>
    </xdr:to>
    <xdr:pic>
      <xdr:nvPicPr>
        <xdr:cNvPr id="9" name="Imagem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1181100"/>
          <a:ext cx="1428750" cy="950768"/>
        </a:xfrm>
        <a:prstGeom prst="rect">
          <a:avLst/>
        </a:prstGeom>
      </xdr:spPr>
    </xdr:pic>
    <xdr:clientData/>
  </xdr:twoCellAnchor>
  <xdr:twoCellAnchor editAs="oneCell">
    <xdr:from>
      <xdr:col>2</xdr:col>
      <xdr:colOff>504825</xdr:colOff>
      <xdr:row>5</xdr:row>
      <xdr:rowOff>142874</xdr:rowOff>
    </xdr:from>
    <xdr:to>
      <xdr:col>4</xdr:col>
      <xdr:colOff>714375</xdr:colOff>
      <xdr:row>10</xdr:row>
      <xdr:rowOff>141142</xdr:rowOff>
    </xdr:to>
    <xdr:pic>
      <xdr:nvPicPr>
        <xdr:cNvPr id="10" name="Imagem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0200" y="1200149"/>
          <a:ext cx="1428750" cy="950768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11</xdr:row>
      <xdr:rowOff>57150</xdr:rowOff>
    </xdr:from>
    <xdr:to>
      <xdr:col>2</xdr:col>
      <xdr:colOff>413832</xdr:colOff>
      <xdr:row>16</xdr:row>
      <xdr:rowOff>76200</xdr:rowOff>
    </xdr:to>
    <xdr:pic>
      <xdr:nvPicPr>
        <xdr:cNvPr id="11" name="Imagem 10" descr="Resultado de imagem para foto FRESADORA cnc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2257425"/>
          <a:ext cx="1032957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95249</xdr:colOff>
      <xdr:row>11</xdr:row>
      <xdr:rowOff>76200</xdr:rowOff>
    </xdr:from>
    <xdr:to>
      <xdr:col>4</xdr:col>
      <xdr:colOff>547182</xdr:colOff>
      <xdr:row>16</xdr:row>
      <xdr:rowOff>95250</xdr:rowOff>
    </xdr:to>
    <xdr:pic>
      <xdr:nvPicPr>
        <xdr:cNvPr id="12" name="Imagem 11" descr="Resultado de imagem para foto FRESADORA cnc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4" y="2276475"/>
          <a:ext cx="1061533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400050</xdr:colOff>
      <xdr:row>17</xdr:row>
      <xdr:rowOff>76201</xdr:rowOff>
    </xdr:from>
    <xdr:to>
      <xdr:col>2</xdr:col>
      <xdr:colOff>420750</xdr:colOff>
      <xdr:row>21</xdr:row>
      <xdr:rowOff>123825</xdr:rowOff>
    </xdr:to>
    <xdr:pic>
      <xdr:nvPicPr>
        <xdr:cNvPr id="13" name="Imagem 12" descr="Resultado de imagem para foto RETIFICA cnc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419476"/>
          <a:ext cx="1030350" cy="809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152399</xdr:colOff>
      <xdr:row>17</xdr:row>
      <xdr:rowOff>133350</xdr:rowOff>
    </xdr:from>
    <xdr:to>
      <xdr:col>4</xdr:col>
      <xdr:colOff>601724</xdr:colOff>
      <xdr:row>21</xdr:row>
      <xdr:rowOff>180974</xdr:rowOff>
    </xdr:to>
    <xdr:pic>
      <xdr:nvPicPr>
        <xdr:cNvPr id="14" name="Imagem 13" descr="Resultado de imagem para foto RETIFICA cnc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4" y="3476625"/>
          <a:ext cx="1058925" cy="809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19050</xdr:colOff>
      <xdr:row>3</xdr:row>
      <xdr:rowOff>14287</xdr:rowOff>
    </xdr:from>
    <xdr:to>
      <xdr:col>8</xdr:col>
      <xdr:colOff>304800</xdr:colOff>
      <xdr:row>13</xdr:row>
      <xdr:rowOff>76200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304800</xdr:colOff>
      <xdr:row>13</xdr:row>
      <xdr:rowOff>71437</xdr:rowOff>
    </xdr:from>
    <xdr:to>
      <xdr:col>11</xdr:col>
      <xdr:colOff>561976</xdr:colOff>
      <xdr:row>24</xdr:row>
      <xdr:rowOff>9525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304800</xdr:colOff>
      <xdr:row>3</xdr:row>
      <xdr:rowOff>14286</xdr:rowOff>
    </xdr:from>
    <xdr:to>
      <xdr:col>11</xdr:col>
      <xdr:colOff>561975</xdr:colOff>
      <xdr:row>13</xdr:row>
      <xdr:rowOff>66675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19049</xdr:colOff>
      <xdr:row>13</xdr:row>
      <xdr:rowOff>71438</xdr:rowOff>
    </xdr:from>
    <xdr:to>
      <xdr:col>8</xdr:col>
      <xdr:colOff>314324</xdr:colOff>
      <xdr:row>24</xdr:row>
      <xdr:rowOff>9526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oneCellAnchor>
    <xdr:from>
      <xdr:col>6</xdr:col>
      <xdr:colOff>114300</xdr:colOff>
      <xdr:row>7</xdr:row>
      <xdr:rowOff>19050</xdr:rowOff>
    </xdr:from>
    <xdr:ext cx="827662" cy="405432"/>
    <xdr:sp macro="" textlink="$G$2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3829050" y="1457325"/>
          <a:ext cx="827662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B1003B4-CEEF-4E95-A4B7-4A9698269671}" type="TxLink">
            <a:rPr lang="pt-BR" sz="2000" b="1">
              <a:solidFill>
                <a:srgbClr val="FF0000"/>
              </a:solidFill>
            </a:rPr>
            <a:pPr/>
            <a:t>93,0%</a:t>
          </a:fld>
          <a:endParaRPr lang="pt-BR" sz="20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342900</xdr:colOff>
      <xdr:row>7</xdr:row>
      <xdr:rowOff>19050</xdr:rowOff>
    </xdr:from>
    <xdr:ext cx="827662" cy="405432"/>
    <xdr:sp macro="" textlink="$I$2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6210300" y="1457325"/>
          <a:ext cx="827662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7A78595-C298-48BB-A4DE-C9D898AF9052}" type="TxLink">
            <a:rPr lang="pt-BR" sz="2000" b="1">
              <a:solidFill>
                <a:schemeClr val="accent3">
                  <a:lumMod val="75000"/>
                </a:schemeClr>
              </a:solidFill>
            </a:rPr>
            <a:pPr/>
            <a:t>80,0%</a:t>
          </a:fld>
          <a:endParaRPr lang="pt-BR" sz="2000" b="1">
            <a:solidFill>
              <a:schemeClr val="accent3">
                <a:lumMod val="75000"/>
              </a:schemeClr>
            </a:solidFill>
          </a:endParaRPr>
        </a:p>
      </xdr:txBody>
    </xdr:sp>
    <xdr:clientData/>
  </xdr:oneCellAnchor>
  <xdr:oneCellAnchor>
    <xdr:from>
      <xdr:col>9</xdr:col>
      <xdr:colOff>333375</xdr:colOff>
      <xdr:row>17</xdr:row>
      <xdr:rowOff>142875</xdr:rowOff>
    </xdr:from>
    <xdr:ext cx="827662" cy="405432"/>
    <xdr:sp macro="" textlink="$M$2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6200775" y="3486150"/>
          <a:ext cx="827662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1CE80407-BC3F-41DD-AB79-9D171A8567B3}" type="TxLink">
            <a:rPr lang="pt-BR" sz="2000" b="1">
              <a:solidFill>
                <a:schemeClr val="tx2"/>
              </a:solidFill>
            </a:rPr>
            <a:pPr/>
            <a:t>67,7%</a:t>
          </a:fld>
          <a:endParaRPr lang="pt-BR" sz="2000" b="1">
            <a:solidFill>
              <a:schemeClr val="tx2"/>
            </a:solidFill>
          </a:endParaRPr>
        </a:p>
      </xdr:txBody>
    </xdr:sp>
    <xdr:clientData/>
  </xdr:oneCellAnchor>
  <xdr:twoCellAnchor>
    <xdr:from>
      <xdr:col>11</xdr:col>
      <xdr:colOff>571500</xdr:colOff>
      <xdr:row>3</xdr:row>
      <xdr:rowOff>14287</xdr:rowOff>
    </xdr:from>
    <xdr:to>
      <xdr:col>14</xdr:col>
      <xdr:colOff>19050</xdr:colOff>
      <xdr:row>24</xdr:row>
      <xdr:rowOff>9525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oneCellAnchor>
    <xdr:from>
      <xdr:col>5</xdr:col>
      <xdr:colOff>428625</xdr:colOff>
      <xdr:row>11</xdr:row>
      <xdr:rowOff>180975</xdr:rowOff>
    </xdr:from>
    <xdr:ext cx="219484" cy="280205"/>
    <xdr:sp macro="" textlink="$G$1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3533775" y="2381250"/>
          <a:ext cx="21948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A61A9D9-2F17-48D9-81EC-C756931A9E72}" type="TxLink">
            <a:rPr lang="pt-BR" sz="1200" b="1">
              <a:solidFill>
                <a:srgbClr val="FF0000"/>
              </a:solidFill>
            </a:rPr>
            <a:pPr/>
            <a:t> </a:t>
          </a:fld>
          <a:endParaRPr lang="pt-BR" sz="1200" b="1">
            <a:solidFill>
              <a:srgbClr val="FF0000"/>
            </a:solidFill>
          </a:endParaRPr>
        </a:p>
      </xdr:txBody>
    </xdr:sp>
    <xdr:clientData/>
  </xdr:oneCellAnchor>
  <xdr:twoCellAnchor>
    <xdr:from>
      <xdr:col>0</xdr:col>
      <xdr:colOff>76199</xdr:colOff>
      <xdr:row>0</xdr:row>
      <xdr:rowOff>47625</xdr:rowOff>
    </xdr:from>
    <xdr:to>
      <xdr:col>5</xdr:col>
      <xdr:colOff>600074</xdr:colOff>
      <xdr:row>0</xdr:row>
      <xdr:rowOff>323850</xdr:rowOff>
    </xdr:to>
    <xdr:sp macro="" textlink="">
      <xdr:nvSpPr>
        <xdr:cNvPr id="24" name="Fluxograma: Processo alternativo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76199" y="47625"/>
          <a:ext cx="3629025" cy="276225"/>
        </a:xfrm>
        <a:prstGeom prst="flowChartAlternateProcess">
          <a:avLst/>
        </a:prstGeom>
        <a:solidFill>
          <a:schemeClr val="accent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142875</xdr:colOff>
      <xdr:row>0</xdr:row>
      <xdr:rowOff>38100</xdr:rowOff>
    </xdr:from>
    <xdr:ext cx="3335016" cy="294953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/>
      </xdr:nvSpPr>
      <xdr:spPr>
        <a:xfrm>
          <a:off x="228600" y="38100"/>
          <a:ext cx="3335016" cy="2949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300" b="1">
              <a:solidFill>
                <a:schemeClr val="bg1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INDICADORES DO EQUIPAMENTO</a:t>
          </a:r>
        </a:p>
      </xdr:txBody>
    </xdr:sp>
    <xdr:clientData/>
  </xdr:oneCellAnchor>
  <xdr:twoCellAnchor>
    <xdr:from>
      <xdr:col>6</xdr:col>
      <xdr:colOff>19050</xdr:colOff>
      <xdr:row>0</xdr:row>
      <xdr:rowOff>28576</xdr:rowOff>
    </xdr:from>
    <xdr:to>
      <xdr:col>8</xdr:col>
      <xdr:colOff>0</xdr:colOff>
      <xdr:row>1</xdr:row>
      <xdr:rowOff>257175</xdr:rowOff>
    </xdr:to>
    <xdr:sp macro="" textlink="">
      <xdr:nvSpPr>
        <xdr:cNvPr id="26" name="Fluxograma: Processo alternativo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3733800" y="28576"/>
          <a:ext cx="1362075" cy="561974"/>
        </a:xfrm>
        <a:prstGeom prst="flowChartAlternateProcess">
          <a:avLst/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19050</xdr:colOff>
      <xdr:row>0</xdr:row>
      <xdr:rowOff>28574</xdr:rowOff>
    </xdr:from>
    <xdr:to>
      <xdr:col>10</xdr:col>
      <xdr:colOff>0</xdr:colOff>
      <xdr:row>1</xdr:row>
      <xdr:rowOff>257174</xdr:rowOff>
    </xdr:to>
    <xdr:sp macro="" textlink="">
      <xdr:nvSpPr>
        <xdr:cNvPr id="27" name="Fluxograma: Processo alternativo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5114925" y="28574"/>
          <a:ext cx="1362075" cy="561975"/>
        </a:xfrm>
        <a:prstGeom prst="flowChartAlternateProcess">
          <a:avLst/>
        </a:prstGeom>
        <a:solidFill>
          <a:schemeClr val="accent3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19050</xdr:colOff>
      <xdr:row>0</xdr:row>
      <xdr:rowOff>19049</xdr:rowOff>
    </xdr:from>
    <xdr:to>
      <xdr:col>12</xdr:col>
      <xdr:colOff>0</xdr:colOff>
      <xdr:row>1</xdr:row>
      <xdr:rowOff>266699</xdr:rowOff>
    </xdr:to>
    <xdr:sp macro="" textlink="">
      <xdr:nvSpPr>
        <xdr:cNvPr id="28" name="Fluxograma: Processo alternativo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6496050" y="19049"/>
          <a:ext cx="1362075" cy="581025"/>
        </a:xfrm>
        <a:prstGeom prst="flowChartAlternateProcess">
          <a:avLst/>
        </a:prstGeom>
        <a:solidFill>
          <a:srgbClr val="7030A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19050</xdr:colOff>
      <xdr:row>0</xdr:row>
      <xdr:rowOff>9525</xdr:rowOff>
    </xdr:from>
    <xdr:to>
      <xdr:col>14</xdr:col>
      <xdr:colOff>0</xdr:colOff>
      <xdr:row>2</xdr:row>
      <xdr:rowOff>0</xdr:rowOff>
    </xdr:to>
    <xdr:sp macro="" textlink="">
      <xdr:nvSpPr>
        <xdr:cNvPr id="29" name="Fluxograma: Processo alternativo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7877175" y="9525"/>
          <a:ext cx="1362075" cy="590550"/>
        </a:xfrm>
        <a:prstGeom prst="flowChartAlternateProcess">
          <a:avLst/>
        </a:prstGeom>
        <a:solidFill>
          <a:schemeClr val="tx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5</xdr:col>
      <xdr:colOff>514350</xdr:colOff>
      <xdr:row>12</xdr:row>
      <xdr:rowOff>9525</xdr:rowOff>
    </xdr:from>
    <xdr:ext cx="1347420" cy="311496"/>
    <xdr:sp macro="" textlink="Dados!B1">
      <xdr:nvSpPr>
        <xdr:cNvPr id="30" name="CaixaDeTexto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/>
      </xdr:nvSpPr>
      <xdr:spPr>
        <a:xfrm>
          <a:off x="3619500" y="2400300"/>
          <a:ext cx="134742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95B70FA1-28A8-46FC-9D05-695D29FC98C7}" type="TxLink">
            <a:rPr lang="pt-BR" sz="1400" b="1">
              <a:solidFill>
                <a:srgbClr val="FF0000"/>
              </a:solidFill>
            </a:rPr>
            <a:pPr/>
            <a:t>Disponibilidade</a:t>
          </a:fld>
          <a:endParaRPr lang="pt-BR" sz="14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190500</xdr:colOff>
      <xdr:row>12</xdr:row>
      <xdr:rowOff>9525</xdr:rowOff>
    </xdr:from>
    <xdr:ext cx="1148135" cy="311496"/>
    <xdr:sp macro="" textlink="Dados!D1">
      <xdr:nvSpPr>
        <xdr:cNvPr id="31" name="CaixaDeTexto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/>
      </xdr:nvSpPr>
      <xdr:spPr>
        <a:xfrm>
          <a:off x="6057900" y="2400300"/>
          <a:ext cx="11481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3996441F-9517-49EB-9FB7-4DD4023D55E6}" type="TxLink">
            <a:rPr lang="pt-BR" sz="1400" b="1">
              <a:solidFill>
                <a:schemeClr val="accent3">
                  <a:lumMod val="50000"/>
                </a:schemeClr>
              </a:solidFill>
            </a:rPr>
            <a:pPr/>
            <a:t>Performance</a:t>
          </a:fld>
          <a:endParaRPr lang="pt-BR" sz="1400" b="1">
            <a:solidFill>
              <a:schemeClr val="accent3">
                <a:lumMod val="50000"/>
              </a:schemeClr>
            </a:solidFill>
          </a:endParaRPr>
        </a:p>
      </xdr:txBody>
    </xdr:sp>
    <xdr:clientData/>
  </xdr:oneCellAnchor>
  <xdr:oneCellAnchor>
    <xdr:from>
      <xdr:col>6</xdr:col>
      <xdr:colOff>114300</xdr:colOff>
      <xdr:row>22</xdr:row>
      <xdr:rowOff>123825</xdr:rowOff>
    </xdr:from>
    <xdr:ext cx="952825" cy="311496"/>
    <xdr:sp macro="" textlink="Dados!F1">
      <xdr:nvSpPr>
        <xdr:cNvPr id="32" name="CaixaDeTexto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 txBox="1"/>
      </xdr:nvSpPr>
      <xdr:spPr>
        <a:xfrm>
          <a:off x="3829050" y="4419600"/>
          <a:ext cx="9528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5F09CAE6-8F34-41D3-BD1F-C4F03F7A139B}" type="TxLink">
            <a:rPr lang="pt-BR" sz="1400" b="0">
              <a:solidFill>
                <a:srgbClr val="FFC000"/>
              </a:solidFill>
            </a:rPr>
            <a:pPr/>
            <a:t>Qualidade</a:t>
          </a:fld>
          <a:endParaRPr lang="pt-BR" sz="1400" b="0">
            <a:solidFill>
              <a:srgbClr val="FFC000"/>
            </a:solidFill>
          </a:endParaRPr>
        </a:p>
      </xdr:txBody>
    </xdr:sp>
    <xdr:clientData/>
  </xdr:oneCellAnchor>
  <xdr:oneCellAnchor>
    <xdr:from>
      <xdr:col>9</xdr:col>
      <xdr:colOff>495300</xdr:colOff>
      <xdr:row>22</xdr:row>
      <xdr:rowOff>104775</xdr:rowOff>
    </xdr:from>
    <xdr:ext cx="478849" cy="311496"/>
    <xdr:sp macro="" textlink="Dados!H1">
      <xdr:nvSpPr>
        <xdr:cNvPr id="33" name="CaixaDeTexto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 txBox="1"/>
      </xdr:nvSpPr>
      <xdr:spPr>
        <a:xfrm>
          <a:off x="6362700" y="4400550"/>
          <a:ext cx="47884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9ED3176-8D44-4F8F-A737-5D0E59DFFC37}" type="TxLink">
            <a:rPr lang="pt-BR" sz="1400" b="1">
              <a:solidFill>
                <a:schemeClr val="tx2"/>
              </a:solidFill>
            </a:rPr>
            <a:pPr/>
            <a:t>OEE</a:t>
          </a:fld>
          <a:endParaRPr lang="pt-BR" sz="1400" b="1">
            <a:solidFill>
              <a:schemeClr val="tx2"/>
            </a:solidFill>
          </a:endParaRPr>
        </a:p>
      </xdr:txBody>
    </xdr:sp>
    <xdr:clientData/>
  </xdr:oneCellAnchor>
  <xdr:twoCellAnchor>
    <xdr:from>
      <xdr:col>5</xdr:col>
      <xdr:colOff>19051</xdr:colOff>
      <xdr:row>13</xdr:row>
      <xdr:rowOff>61912</xdr:rowOff>
    </xdr:from>
    <xdr:to>
      <xdr:col>8</xdr:col>
      <xdr:colOff>304800</xdr:colOff>
      <xdr:row>24</xdr:row>
      <xdr:rowOff>9525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oneCellAnchor>
    <xdr:from>
      <xdr:col>6</xdr:col>
      <xdr:colOff>142875</xdr:colOff>
      <xdr:row>17</xdr:row>
      <xdr:rowOff>104775</xdr:rowOff>
    </xdr:from>
    <xdr:ext cx="821892" cy="405432"/>
    <xdr:sp macro="" textlink="$K$2">
      <xdr:nvSpPr>
        <xdr:cNvPr id="35" name="CaixaDeTexto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 txBox="1"/>
      </xdr:nvSpPr>
      <xdr:spPr>
        <a:xfrm>
          <a:off x="3857625" y="3448050"/>
          <a:ext cx="821892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ADAC5A51-8A0D-49EA-9731-C4FDD9A9B897}" type="TxLink">
            <a:rPr lang="pt-BR" sz="2000" b="1">
              <a:solidFill>
                <a:srgbClr val="7030A0"/>
              </a:solidFill>
            </a:rPr>
            <a:pPr/>
            <a:t>91,0%</a:t>
          </a:fld>
          <a:endParaRPr lang="pt-BR" sz="2000" b="1">
            <a:solidFill>
              <a:srgbClr val="7030A0"/>
            </a:solidFill>
          </a:endParaRPr>
        </a:p>
      </xdr:txBody>
    </xdr:sp>
    <xdr:clientData/>
  </xdr:oneCellAnchor>
  <xdr:oneCellAnchor>
    <xdr:from>
      <xdr:col>6</xdr:col>
      <xdr:colOff>85725</xdr:colOff>
      <xdr:row>22</xdr:row>
      <xdr:rowOff>114300</xdr:rowOff>
    </xdr:from>
    <xdr:ext cx="952825" cy="311496"/>
    <xdr:sp macro="" textlink="Dados!F1">
      <xdr:nvSpPr>
        <xdr:cNvPr id="36" name="CaixaDeTexto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 txBox="1"/>
      </xdr:nvSpPr>
      <xdr:spPr>
        <a:xfrm>
          <a:off x="3800475" y="4410075"/>
          <a:ext cx="9528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446EA3F-E7F0-4A7E-873C-6578EAB0AF24}" type="TxLink">
            <a:rPr lang="pt-BR" sz="1400" b="1">
              <a:solidFill>
                <a:srgbClr val="7030A0"/>
              </a:solidFill>
            </a:rPr>
            <a:pPr/>
            <a:t>Qualidade</a:t>
          </a:fld>
          <a:endParaRPr lang="pt-BR" sz="1400" b="1">
            <a:solidFill>
              <a:srgbClr val="7030A0"/>
            </a:solidFill>
          </a:endParaRPr>
        </a:p>
      </xdr:txBody>
    </xdr:sp>
    <xdr:clientData/>
  </xdr:oneCellAnchor>
  <xdr:oneCellAnchor>
    <xdr:from>
      <xdr:col>5</xdr:col>
      <xdr:colOff>581025</xdr:colOff>
      <xdr:row>0</xdr:row>
      <xdr:rowOff>142875</xdr:rowOff>
    </xdr:from>
    <xdr:ext cx="1513235" cy="342786"/>
    <xdr:sp macro="" textlink="Dados!B1">
      <xdr:nvSpPr>
        <xdr:cNvPr id="37" name="CaixaDeTexto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 txBox="1"/>
      </xdr:nvSpPr>
      <xdr:spPr>
        <a:xfrm>
          <a:off x="3686175" y="142875"/>
          <a:ext cx="151323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53A86099-576A-457F-9667-76A0E5E274B6}" type="TxLink">
            <a:rPr lang="pt-BR" sz="1600" b="1">
              <a:solidFill>
                <a:schemeClr val="bg1"/>
              </a:solidFill>
            </a:rPr>
            <a:pPr/>
            <a:t>Disponibilidade</a:t>
          </a:fld>
          <a:endParaRPr lang="pt-BR" sz="1600" b="1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590550</xdr:colOff>
      <xdr:row>0</xdr:row>
      <xdr:rowOff>123825</xdr:rowOff>
    </xdr:from>
    <xdr:ext cx="1423338" cy="374141"/>
    <xdr:sp macro="" textlink="Dados!D1">
      <xdr:nvSpPr>
        <xdr:cNvPr id="38" name="CaixaDeTexto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 txBox="1"/>
      </xdr:nvSpPr>
      <xdr:spPr>
        <a:xfrm>
          <a:off x="5076825" y="123825"/>
          <a:ext cx="1423338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275AA76A-DB77-4E5E-AE72-EC23064E9200}" type="TxLink">
            <a:rPr lang="pt-BR" sz="1800" b="1">
              <a:solidFill>
                <a:schemeClr val="bg1"/>
              </a:solidFill>
            </a:rPr>
            <a:pPr/>
            <a:t>Performance</a:t>
          </a:fld>
          <a:endParaRPr lang="pt-BR" sz="1800" b="1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57150</xdr:colOff>
      <xdr:row>0</xdr:row>
      <xdr:rowOff>123825</xdr:rowOff>
    </xdr:from>
    <xdr:ext cx="1281761" cy="405432"/>
    <xdr:sp macro="" textlink="Dados!F1">
      <xdr:nvSpPr>
        <xdr:cNvPr id="39" name="CaixaDeTexto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 txBox="1"/>
      </xdr:nvSpPr>
      <xdr:spPr>
        <a:xfrm>
          <a:off x="6534150" y="123825"/>
          <a:ext cx="128176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B2513438-FEA2-40AC-9F4C-359C089458D6}" type="TxLink">
            <a:rPr lang="pt-BR" sz="2000" b="1">
              <a:solidFill>
                <a:schemeClr val="bg1"/>
              </a:solidFill>
            </a:rPr>
            <a:pPr/>
            <a:t>Qualidade</a:t>
          </a:fld>
          <a:endParaRPr lang="pt-BR" sz="2000" b="1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276225</xdr:colOff>
      <xdr:row>0</xdr:row>
      <xdr:rowOff>0</xdr:rowOff>
    </xdr:from>
    <xdr:ext cx="862544" cy="593304"/>
    <xdr:sp macro="" textlink="Dados!H1">
      <xdr:nvSpPr>
        <xdr:cNvPr id="40" name="CaixaDeTexto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 txBox="1"/>
      </xdr:nvSpPr>
      <xdr:spPr>
        <a:xfrm>
          <a:off x="8134350" y="0"/>
          <a:ext cx="862544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60F3507-B4C0-48BE-8637-406A1F0C5E35}" type="TxLink">
            <a:rPr lang="pt-BR" sz="3200" b="1">
              <a:solidFill>
                <a:schemeClr val="bg1"/>
              </a:solidFill>
            </a:rPr>
            <a:pPr/>
            <a:t>OEE</a:t>
          </a:fld>
          <a:endParaRPr lang="pt-BR" sz="3200" b="1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115370</xdr:colOff>
      <xdr:row>6</xdr:row>
      <xdr:rowOff>84655</xdr:rowOff>
    </xdr:from>
    <xdr:ext cx="264560" cy="704850"/>
    <xdr:sp macro="" textlink="Dados!A2">
      <xdr:nvSpPr>
        <xdr:cNvPr id="41" name="CaixaDeTexto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 txBox="1"/>
      </xdr:nvSpPr>
      <xdr:spPr>
        <a:xfrm rot="16200000">
          <a:off x="-19050" y="1552575"/>
          <a:ext cx="7048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B06354A9-D663-4F49-94C6-DD661586AF9C}" type="TxLink">
            <a:rPr lang="pt-BR" sz="1100" b="1">
              <a:solidFill>
                <a:schemeClr val="tx1"/>
              </a:solidFill>
            </a:rPr>
            <a:pPr/>
            <a:t>Torno 01</a:t>
          </a:fld>
          <a:endParaRPr lang="pt-BR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2</xdr:col>
      <xdr:colOff>465530</xdr:colOff>
      <xdr:row>6</xdr:row>
      <xdr:rowOff>67870</xdr:rowOff>
    </xdr:from>
    <xdr:ext cx="264560" cy="700320"/>
    <xdr:sp macro="" textlink="Dados!A3">
      <xdr:nvSpPr>
        <xdr:cNvPr id="42" name="CaixaDeTexto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 txBox="1"/>
      </xdr:nvSpPr>
      <xdr:spPr>
        <a:xfrm rot="16200000">
          <a:off x="1343025" y="1533525"/>
          <a:ext cx="7003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9970E78-CF73-4667-AD2C-F98195AA262F}" type="TxLink">
            <a:rPr lang="pt-BR" sz="1100" b="1"/>
            <a:pPr/>
            <a:t>Torno 02</a:t>
          </a:fld>
          <a:endParaRPr lang="pt-BR" sz="1100" b="1"/>
        </a:p>
      </xdr:txBody>
    </xdr:sp>
    <xdr:clientData/>
  </xdr:oneCellAnchor>
  <xdr:oneCellAnchor>
    <xdr:from>
      <xdr:col>1</xdr:col>
      <xdr:colOff>124752</xdr:colOff>
      <xdr:row>12</xdr:row>
      <xdr:rowOff>56223</xdr:rowOff>
    </xdr:from>
    <xdr:ext cx="264560" cy="666464"/>
    <xdr:sp macro="" textlink="Dados!A4">
      <xdr:nvSpPr>
        <xdr:cNvPr id="43" name="CaixaDeTexto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 txBox="1"/>
      </xdr:nvSpPr>
      <xdr:spPr>
        <a:xfrm rot="16200000">
          <a:off x="9525" y="2647950"/>
          <a:ext cx="6664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0732C42D-E488-436E-9189-AFF2B57BB39E}" type="TxLink">
            <a:rPr lang="pt-BR" sz="1100" b="1"/>
            <a:pPr/>
            <a:t>Fresa 01</a:t>
          </a:fld>
          <a:endParaRPr lang="pt-BR" sz="1100" b="1"/>
        </a:p>
      </xdr:txBody>
    </xdr:sp>
    <xdr:clientData/>
  </xdr:oneCellAnchor>
  <xdr:oneCellAnchor>
    <xdr:from>
      <xdr:col>2</xdr:col>
      <xdr:colOff>467652</xdr:colOff>
      <xdr:row>12</xdr:row>
      <xdr:rowOff>65748</xdr:rowOff>
    </xdr:from>
    <xdr:ext cx="264560" cy="666464"/>
    <xdr:sp macro="" textlink="Dados!A5">
      <xdr:nvSpPr>
        <xdr:cNvPr id="44" name="CaixaDeTexto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 txBox="1"/>
      </xdr:nvSpPr>
      <xdr:spPr>
        <a:xfrm rot="16200000">
          <a:off x="1362075" y="2657475"/>
          <a:ext cx="6664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A0AA346-7E0A-4061-B22F-5E0BFF6CFD61}" type="TxLink">
            <a:rPr lang="pt-BR" sz="1100" b="1"/>
            <a:pPr/>
            <a:t>Fresa 02</a:t>
          </a:fld>
          <a:endParaRPr lang="pt-BR" sz="1100" b="1"/>
        </a:p>
      </xdr:txBody>
    </xdr:sp>
    <xdr:clientData/>
  </xdr:oneCellAnchor>
  <xdr:oneCellAnchor>
    <xdr:from>
      <xdr:col>1</xdr:col>
      <xdr:colOff>128678</xdr:colOff>
      <xdr:row>16</xdr:row>
      <xdr:rowOff>179204</xdr:rowOff>
    </xdr:from>
    <xdr:ext cx="264560" cy="801501"/>
    <xdr:sp macro="" textlink="Dados!A6">
      <xdr:nvSpPr>
        <xdr:cNvPr id="45" name="CaixaDeTexto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 txBox="1"/>
      </xdr:nvSpPr>
      <xdr:spPr>
        <a:xfrm rot="16200000">
          <a:off x="-54068" y="3600450"/>
          <a:ext cx="8015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76C38915-DBD9-4286-8C93-3825F1C56FA7}" type="TxLink">
            <a:rPr lang="pt-BR" sz="1100" b="1"/>
            <a:pPr/>
            <a:t>Retífica 01</a:t>
          </a:fld>
          <a:endParaRPr lang="pt-BR" sz="1100" b="1"/>
        </a:p>
      </xdr:txBody>
    </xdr:sp>
    <xdr:clientData/>
  </xdr:oneCellAnchor>
  <xdr:oneCellAnchor>
    <xdr:from>
      <xdr:col>2</xdr:col>
      <xdr:colOff>471579</xdr:colOff>
      <xdr:row>17</xdr:row>
      <xdr:rowOff>17279</xdr:rowOff>
    </xdr:from>
    <xdr:ext cx="264560" cy="801501"/>
    <xdr:sp macro="" textlink="Dados!A7">
      <xdr:nvSpPr>
        <xdr:cNvPr id="46" name="CaixaDeTexto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 txBox="1"/>
      </xdr:nvSpPr>
      <xdr:spPr>
        <a:xfrm rot="16200000">
          <a:off x="1298483" y="3629025"/>
          <a:ext cx="8015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7A846780-BEAA-4B26-9243-ED3364231CF5}" type="TxLink">
            <a:rPr lang="pt-BR" sz="1100" b="1"/>
            <a:pPr/>
            <a:t>Retífica 02</a:t>
          </a:fld>
          <a:endParaRPr lang="pt-BR" sz="1100" b="1"/>
        </a:p>
      </xdr:txBody>
    </xdr:sp>
    <xdr:clientData/>
  </xdr:one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0.39065</cdr:x>
      <cdr:y>0.86221</cdr:y>
    </cdr:from>
    <cdr:to>
      <cdr:x>0.48209</cdr:x>
      <cdr:y>1</cdr:y>
    </cdr:to>
    <cdr:sp macro="" textlink="'Fresa 02'!$M$1">
      <cdr:nvSpPr>
        <cdr:cNvPr id="2" name="CaixaDeTexto 19"/>
        <cdr:cNvSpPr txBox="1"/>
      </cdr:nvSpPr>
      <cdr:spPr>
        <a:xfrm xmlns:a="http://schemas.openxmlformats.org/drawingml/2006/main">
          <a:off x="937677" y="1753380"/>
          <a:ext cx="219484" cy="28020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EF130C02-9DC0-4774-95CC-30109ADF961E}" type="TxLink">
            <a:rPr lang="pt-BR" sz="1200" b="1">
              <a:solidFill>
                <a:schemeClr val="tx2"/>
              </a:solidFill>
            </a:rPr>
            <a:pPr/>
            <a:t> </a:t>
          </a:fld>
          <a:endParaRPr lang="pt-BR" sz="1200" b="1">
            <a:solidFill>
              <a:schemeClr val="tx2"/>
            </a:solidFill>
          </a:endParaRP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0.19242</cdr:x>
      <cdr:y>0.85823</cdr:y>
    </cdr:from>
    <cdr:to>
      <cdr:x>0.28314</cdr:x>
      <cdr:y>1</cdr:y>
    </cdr:to>
    <cdr:sp macro="" textlink="'Fresa 02'!$I$1">
      <cdr:nvSpPr>
        <cdr:cNvPr id="2" name="CaixaDeTexto 19"/>
        <cdr:cNvSpPr txBox="1"/>
      </cdr:nvSpPr>
      <cdr:spPr>
        <a:xfrm xmlns:a="http://schemas.openxmlformats.org/drawingml/2006/main">
          <a:off x="465532" y="1696234"/>
          <a:ext cx="219484" cy="28020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EF0CA3B1-4B69-43D4-B430-DBFDF51F9170}" type="TxLink">
            <a:rPr lang="pt-BR" sz="1200" b="1">
              <a:solidFill>
                <a:schemeClr val="accent3">
                  <a:lumMod val="50000"/>
                </a:schemeClr>
              </a:solidFill>
            </a:rPr>
            <a:pPr/>
            <a:t> </a:t>
          </a:fld>
          <a:endParaRPr lang="pt-BR" sz="1200" b="1">
            <a:solidFill>
              <a:schemeClr val="accent3">
                <a:lumMod val="50000"/>
              </a:schemeClr>
            </a:solidFill>
          </a:endParaRP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0.28849</cdr:x>
      <cdr:y>0.86221</cdr:y>
    </cdr:from>
    <cdr:to>
      <cdr:x>0.3845</cdr:x>
      <cdr:y>1</cdr:y>
    </cdr:to>
    <cdr:sp macro="" textlink="'Fresa 02'!$K$1">
      <cdr:nvSpPr>
        <cdr:cNvPr id="2" name="CaixaDeTexto 19"/>
        <cdr:cNvSpPr txBox="1"/>
      </cdr:nvSpPr>
      <cdr:spPr>
        <a:xfrm xmlns:a="http://schemas.openxmlformats.org/drawingml/2006/main">
          <a:off x="659488" y="1753380"/>
          <a:ext cx="219484" cy="28020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866A083E-137A-4917-98FC-33B8A9AC7D8A}" type="TxLink">
            <a:rPr lang="pt-BR" sz="1200" b="1">
              <a:solidFill>
                <a:srgbClr val="FFC000"/>
              </a:solidFill>
            </a:rPr>
            <a:pPr/>
            <a:t> </a:t>
          </a:fld>
          <a:endParaRPr lang="pt-BR" sz="1200" b="1">
            <a:solidFill>
              <a:srgbClr val="FFC000"/>
            </a:solidFill>
          </a:endParaRP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3</xdr:row>
      <xdr:rowOff>0</xdr:rowOff>
    </xdr:from>
    <xdr:to>
      <xdr:col>4</xdr:col>
      <xdr:colOff>733426</xdr:colOff>
      <xdr:row>24</xdr:row>
      <xdr:rowOff>28575</xdr:rowOff>
    </xdr:to>
    <xdr:sp macro="" textlink="">
      <xdr:nvSpPr>
        <xdr:cNvPr id="2" name="Fluxograma: Processo alternativ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95251" y="676275"/>
          <a:ext cx="2952750" cy="4029075"/>
        </a:xfrm>
        <a:prstGeom prst="flowChartAlternateProcess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6</xdr:col>
      <xdr:colOff>542925</xdr:colOff>
      <xdr:row>10</xdr:row>
      <xdr:rowOff>0</xdr:rowOff>
    </xdr:from>
    <xdr:ext cx="289053" cy="655885"/>
    <xdr:sp macro="" textlink="$C$28">
      <xdr:nvSpPr>
        <xdr:cNvPr id="3" name="CaixaDeText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4257675" y="2009775"/>
          <a:ext cx="289053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54D4EAB5-5DF2-443B-823D-FA5B655FE8BA}" type="TxLink">
            <a:rPr lang="pt-BR" sz="3600" b="1">
              <a:solidFill>
                <a:schemeClr val="tx2">
                  <a:lumMod val="60000"/>
                  <a:lumOff val="40000"/>
                </a:schemeClr>
              </a:solidFill>
            </a:rPr>
            <a:pPr/>
            <a:t> </a:t>
          </a:fld>
          <a:endParaRPr lang="pt-BR" sz="3600" b="1">
            <a:solidFill>
              <a:schemeClr val="tx2">
                <a:lumMod val="60000"/>
                <a:lumOff val="40000"/>
              </a:schemeClr>
            </a:solidFill>
          </a:endParaRPr>
        </a:p>
      </xdr:txBody>
    </xdr:sp>
    <xdr:clientData/>
  </xdr:oneCellAnchor>
  <xdr:oneCellAnchor>
    <xdr:from>
      <xdr:col>6</xdr:col>
      <xdr:colOff>57150</xdr:colOff>
      <xdr:row>16</xdr:row>
      <xdr:rowOff>114300</xdr:rowOff>
    </xdr:from>
    <xdr:ext cx="242631" cy="405432"/>
    <xdr:sp macro="" textlink="$B$28">
      <xdr:nvSpPr>
        <xdr:cNvPr id="4" name="CaixaDeText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3771900" y="3267075"/>
          <a:ext cx="2426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36FF6A8-FDA4-4DD6-8659-F9D16B28CFAA}" type="TxLink">
            <a:rPr lang="pt-BR" sz="2000" b="1">
              <a:solidFill>
                <a:schemeClr val="tx2">
                  <a:lumMod val="60000"/>
                  <a:lumOff val="40000"/>
                </a:schemeClr>
              </a:solidFill>
            </a:rPr>
            <a:pPr/>
            <a:t> </a:t>
          </a:fld>
          <a:endParaRPr lang="pt-BR" sz="2000" b="1">
            <a:solidFill>
              <a:schemeClr val="tx2">
                <a:lumMod val="60000"/>
                <a:lumOff val="40000"/>
              </a:schemeClr>
            </a:solidFill>
          </a:endParaRPr>
        </a:p>
      </xdr:txBody>
    </xdr:sp>
    <xdr:clientData/>
  </xdr:oneCellAnchor>
  <xdr:oneCellAnchor>
    <xdr:from>
      <xdr:col>8</xdr:col>
      <xdr:colOff>295275</xdr:colOff>
      <xdr:row>26</xdr:row>
      <xdr:rowOff>19050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539115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11</xdr:col>
      <xdr:colOff>66675</xdr:colOff>
      <xdr:row>9</xdr:row>
      <xdr:rowOff>180975</xdr:rowOff>
    </xdr:from>
    <xdr:ext cx="289053" cy="655885"/>
    <xdr:sp macro="" textlink="$C$29">
      <xdr:nvSpPr>
        <xdr:cNvPr id="6" name="CaixaDeTexto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7315200" y="2000250"/>
          <a:ext cx="289053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FCF3FF7-52EF-4A46-9C4E-FDDF8513E9F0}" type="TxLink">
            <a:rPr lang="pt-BR" sz="3600" b="1">
              <a:solidFill>
                <a:schemeClr val="accent3">
                  <a:lumMod val="75000"/>
                </a:schemeClr>
              </a:solidFill>
            </a:rPr>
            <a:pPr/>
            <a:t> </a:t>
          </a:fld>
          <a:endParaRPr lang="pt-BR" sz="3600" b="1">
            <a:solidFill>
              <a:schemeClr val="accent3">
                <a:lumMod val="75000"/>
              </a:schemeClr>
            </a:solidFill>
          </a:endParaRPr>
        </a:p>
      </xdr:txBody>
    </xdr:sp>
    <xdr:clientData/>
  </xdr:oneCellAnchor>
  <xdr:oneCellAnchor>
    <xdr:from>
      <xdr:col>7</xdr:col>
      <xdr:colOff>57150</xdr:colOff>
      <xdr:row>22</xdr:row>
      <xdr:rowOff>133350</xdr:rowOff>
    </xdr:from>
    <xdr:ext cx="289053" cy="655885"/>
    <xdr:sp macro="" textlink="$C$30">
      <xdr:nvSpPr>
        <xdr:cNvPr id="7" name="CaixaDeTexto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4543425" y="4429125"/>
          <a:ext cx="289053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008D394-C014-4900-AB36-25F9709E43F8}" type="TxLink">
            <a:rPr lang="pt-BR" sz="3600" b="1">
              <a:solidFill>
                <a:srgbClr val="FFC000"/>
              </a:solidFill>
            </a:rPr>
            <a:pPr/>
            <a:t> </a:t>
          </a:fld>
          <a:endParaRPr lang="pt-BR" sz="3600" b="1">
            <a:solidFill>
              <a:srgbClr val="FFC000"/>
            </a:solidFill>
          </a:endParaRPr>
        </a:p>
      </xdr:txBody>
    </xdr:sp>
    <xdr:clientData/>
  </xdr:oneCellAnchor>
  <xdr:oneCellAnchor>
    <xdr:from>
      <xdr:col>6</xdr:col>
      <xdr:colOff>542925</xdr:colOff>
      <xdr:row>29</xdr:row>
      <xdr:rowOff>47625</xdr:rowOff>
    </xdr:from>
    <xdr:ext cx="242631" cy="405432"/>
    <xdr:sp macro="" textlink="$B$30">
      <xdr:nvSpPr>
        <xdr:cNvPr id="8" name="CaixaDeTexto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4257675" y="5676900"/>
          <a:ext cx="2426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032C7AE-FE12-4436-9BBA-EC8B91D299CC}" type="TxLink">
            <a:rPr lang="pt-BR" sz="2000" b="1">
              <a:solidFill>
                <a:srgbClr val="FFC000"/>
              </a:solidFill>
            </a:rPr>
            <a:pPr/>
            <a:t> </a:t>
          </a:fld>
          <a:endParaRPr lang="pt-BR" sz="2000" b="1">
            <a:solidFill>
              <a:srgbClr val="FFC000"/>
            </a:solidFill>
          </a:endParaRPr>
        </a:p>
      </xdr:txBody>
    </xdr:sp>
    <xdr:clientData/>
  </xdr:oneCellAnchor>
  <xdr:twoCellAnchor editAs="oneCell">
    <xdr:from>
      <xdr:col>1</xdr:col>
      <xdr:colOff>152400</xdr:colOff>
      <xdr:row>5</xdr:row>
      <xdr:rowOff>123825</xdr:rowOff>
    </xdr:from>
    <xdr:to>
      <xdr:col>2</xdr:col>
      <xdr:colOff>571500</xdr:colOff>
      <xdr:row>10</xdr:row>
      <xdr:rowOff>122093</xdr:rowOff>
    </xdr:to>
    <xdr:pic>
      <xdr:nvPicPr>
        <xdr:cNvPr id="9" name="Imagem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1181100"/>
          <a:ext cx="1428750" cy="950768"/>
        </a:xfrm>
        <a:prstGeom prst="rect">
          <a:avLst/>
        </a:prstGeom>
      </xdr:spPr>
    </xdr:pic>
    <xdr:clientData/>
  </xdr:twoCellAnchor>
  <xdr:twoCellAnchor editAs="oneCell">
    <xdr:from>
      <xdr:col>2</xdr:col>
      <xdr:colOff>504825</xdr:colOff>
      <xdr:row>5</xdr:row>
      <xdr:rowOff>142874</xdr:rowOff>
    </xdr:from>
    <xdr:to>
      <xdr:col>4</xdr:col>
      <xdr:colOff>714375</xdr:colOff>
      <xdr:row>10</xdr:row>
      <xdr:rowOff>141142</xdr:rowOff>
    </xdr:to>
    <xdr:pic>
      <xdr:nvPicPr>
        <xdr:cNvPr id="10" name="Imagem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0200" y="1200149"/>
          <a:ext cx="1428750" cy="950768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11</xdr:row>
      <xdr:rowOff>57150</xdr:rowOff>
    </xdr:from>
    <xdr:to>
      <xdr:col>2</xdr:col>
      <xdr:colOff>413832</xdr:colOff>
      <xdr:row>16</xdr:row>
      <xdr:rowOff>76200</xdr:rowOff>
    </xdr:to>
    <xdr:pic>
      <xdr:nvPicPr>
        <xdr:cNvPr id="11" name="Imagem 10" descr="Resultado de imagem para foto FRESADORA cnc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2257425"/>
          <a:ext cx="1032957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95249</xdr:colOff>
      <xdr:row>11</xdr:row>
      <xdr:rowOff>76200</xdr:rowOff>
    </xdr:from>
    <xdr:to>
      <xdr:col>4</xdr:col>
      <xdr:colOff>547182</xdr:colOff>
      <xdr:row>16</xdr:row>
      <xdr:rowOff>95250</xdr:rowOff>
    </xdr:to>
    <xdr:pic>
      <xdr:nvPicPr>
        <xdr:cNvPr id="12" name="Imagem 11" descr="Resultado de imagem para foto FRESADORA cnc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4" y="2276475"/>
          <a:ext cx="1061533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400050</xdr:colOff>
      <xdr:row>17</xdr:row>
      <xdr:rowOff>76201</xdr:rowOff>
    </xdr:from>
    <xdr:to>
      <xdr:col>2</xdr:col>
      <xdr:colOff>420750</xdr:colOff>
      <xdr:row>21</xdr:row>
      <xdr:rowOff>123825</xdr:rowOff>
    </xdr:to>
    <xdr:pic>
      <xdr:nvPicPr>
        <xdr:cNvPr id="13" name="Imagem 12" descr="Resultado de imagem para foto RETIFICA cnc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419476"/>
          <a:ext cx="1030350" cy="809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152399</xdr:colOff>
      <xdr:row>17</xdr:row>
      <xdr:rowOff>133350</xdr:rowOff>
    </xdr:from>
    <xdr:to>
      <xdr:col>4</xdr:col>
      <xdr:colOff>601724</xdr:colOff>
      <xdr:row>21</xdr:row>
      <xdr:rowOff>180974</xdr:rowOff>
    </xdr:to>
    <xdr:pic>
      <xdr:nvPicPr>
        <xdr:cNvPr id="14" name="Imagem 13" descr="Resultado de imagem para foto RETIFICA cnc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4" y="3476625"/>
          <a:ext cx="1058925" cy="809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19050</xdr:colOff>
      <xdr:row>3</xdr:row>
      <xdr:rowOff>14287</xdr:rowOff>
    </xdr:from>
    <xdr:to>
      <xdr:col>8</xdr:col>
      <xdr:colOff>304800</xdr:colOff>
      <xdr:row>13</xdr:row>
      <xdr:rowOff>76200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304800</xdr:colOff>
      <xdr:row>13</xdr:row>
      <xdr:rowOff>71437</xdr:rowOff>
    </xdr:from>
    <xdr:to>
      <xdr:col>11</xdr:col>
      <xdr:colOff>561976</xdr:colOff>
      <xdr:row>24</xdr:row>
      <xdr:rowOff>9525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304800</xdr:colOff>
      <xdr:row>3</xdr:row>
      <xdr:rowOff>14286</xdr:rowOff>
    </xdr:from>
    <xdr:to>
      <xdr:col>11</xdr:col>
      <xdr:colOff>561975</xdr:colOff>
      <xdr:row>13</xdr:row>
      <xdr:rowOff>66675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19049</xdr:colOff>
      <xdr:row>13</xdr:row>
      <xdr:rowOff>71438</xdr:rowOff>
    </xdr:from>
    <xdr:to>
      <xdr:col>8</xdr:col>
      <xdr:colOff>314324</xdr:colOff>
      <xdr:row>24</xdr:row>
      <xdr:rowOff>9526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oneCellAnchor>
    <xdr:from>
      <xdr:col>6</xdr:col>
      <xdr:colOff>114300</xdr:colOff>
      <xdr:row>7</xdr:row>
      <xdr:rowOff>19050</xdr:rowOff>
    </xdr:from>
    <xdr:ext cx="827662" cy="405432"/>
    <xdr:sp macro="" textlink="$G$2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 txBox="1"/>
      </xdr:nvSpPr>
      <xdr:spPr>
        <a:xfrm>
          <a:off x="3829050" y="1457325"/>
          <a:ext cx="827662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B1003B4-CEEF-4E95-A4B7-4A9698269671}" type="TxLink">
            <a:rPr lang="pt-BR" sz="2000" b="1">
              <a:solidFill>
                <a:srgbClr val="FF0000"/>
              </a:solidFill>
            </a:rPr>
            <a:pPr/>
            <a:t>94,0%</a:t>
          </a:fld>
          <a:endParaRPr lang="pt-BR" sz="20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342900</xdr:colOff>
      <xdr:row>7</xdr:row>
      <xdr:rowOff>19050</xdr:rowOff>
    </xdr:from>
    <xdr:ext cx="827662" cy="405432"/>
    <xdr:sp macro="" textlink="$I$2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 txBox="1"/>
      </xdr:nvSpPr>
      <xdr:spPr>
        <a:xfrm>
          <a:off x="6210300" y="1457325"/>
          <a:ext cx="827662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7A78595-C298-48BB-A4DE-C9D898AF9052}" type="TxLink">
            <a:rPr lang="pt-BR" sz="2000" b="1">
              <a:solidFill>
                <a:schemeClr val="accent3">
                  <a:lumMod val="75000"/>
                </a:schemeClr>
              </a:solidFill>
            </a:rPr>
            <a:pPr/>
            <a:t>90,0%</a:t>
          </a:fld>
          <a:endParaRPr lang="pt-BR" sz="2000" b="1">
            <a:solidFill>
              <a:schemeClr val="accent3">
                <a:lumMod val="75000"/>
              </a:schemeClr>
            </a:solidFill>
          </a:endParaRPr>
        </a:p>
      </xdr:txBody>
    </xdr:sp>
    <xdr:clientData/>
  </xdr:oneCellAnchor>
  <xdr:oneCellAnchor>
    <xdr:from>
      <xdr:col>9</xdr:col>
      <xdr:colOff>333375</xdr:colOff>
      <xdr:row>17</xdr:row>
      <xdr:rowOff>142875</xdr:rowOff>
    </xdr:from>
    <xdr:ext cx="827662" cy="405432"/>
    <xdr:sp macro="" textlink="$M$2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 txBox="1"/>
      </xdr:nvSpPr>
      <xdr:spPr>
        <a:xfrm>
          <a:off x="6200775" y="3486150"/>
          <a:ext cx="827662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1CE80407-BC3F-41DD-AB79-9D171A8567B3}" type="TxLink">
            <a:rPr lang="pt-BR" sz="2000" b="1">
              <a:solidFill>
                <a:schemeClr val="tx2"/>
              </a:solidFill>
            </a:rPr>
            <a:pPr/>
            <a:t>70,2%</a:t>
          </a:fld>
          <a:endParaRPr lang="pt-BR" sz="2000" b="1">
            <a:solidFill>
              <a:schemeClr val="tx2"/>
            </a:solidFill>
          </a:endParaRPr>
        </a:p>
      </xdr:txBody>
    </xdr:sp>
    <xdr:clientData/>
  </xdr:oneCellAnchor>
  <xdr:twoCellAnchor>
    <xdr:from>
      <xdr:col>11</xdr:col>
      <xdr:colOff>571500</xdr:colOff>
      <xdr:row>3</xdr:row>
      <xdr:rowOff>14287</xdr:rowOff>
    </xdr:from>
    <xdr:to>
      <xdr:col>14</xdr:col>
      <xdr:colOff>19050</xdr:colOff>
      <xdr:row>24</xdr:row>
      <xdr:rowOff>9525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oneCellAnchor>
    <xdr:from>
      <xdr:col>5</xdr:col>
      <xdr:colOff>428625</xdr:colOff>
      <xdr:row>11</xdr:row>
      <xdr:rowOff>180975</xdr:rowOff>
    </xdr:from>
    <xdr:ext cx="219484" cy="280205"/>
    <xdr:sp macro="" textlink="$G$1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 txBox="1"/>
      </xdr:nvSpPr>
      <xdr:spPr>
        <a:xfrm>
          <a:off x="3533775" y="2381250"/>
          <a:ext cx="21948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A61A9D9-2F17-48D9-81EC-C756931A9E72}" type="TxLink">
            <a:rPr lang="pt-BR" sz="1200" b="1">
              <a:solidFill>
                <a:srgbClr val="FF0000"/>
              </a:solidFill>
            </a:rPr>
            <a:pPr/>
            <a:t> </a:t>
          </a:fld>
          <a:endParaRPr lang="pt-BR" sz="1200" b="1">
            <a:solidFill>
              <a:srgbClr val="FF0000"/>
            </a:solidFill>
          </a:endParaRPr>
        </a:p>
      </xdr:txBody>
    </xdr:sp>
    <xdr:clientData/>
  </xdr:oneCellAnchor>
  <xdr:twoCellAnchor>
    <xdr:from>
      <xdr:col>0</xdr:col>
      <xdr:colOff>76199</xdr:colOff>
      <xdr:row>0</xdr:row>
      <xdr:rowOff>47625</xdr:rowOff>
    </xdr:from>
    <xdr:to>
      <xdr:col>5</xdr:col>
      <xdr:colOff>600074</xdr:colOff>
      <xdr:row>0</xdr:row>
      <xdr:rowOff>323850</xdr:rowOff>
    </xdr:to>
    <xdr:sp macro="" textlink="">
      <xdr:nvSpPr>
        <xdr:cNvPr id="24" name="Fluxograma: Processo alternativo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>
          <a:off x="76199" y="47625"/>
          <a:ext cx="3629025" cy="276225"/>
        </a:xfrm>
        <a:prstGeom prst="flowChartAlternateProcess">
          <a:avLst/>
        </a:prstGeom>
        <a:solidFill>
          <a:schemeClr val="accent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142875</xdr:colOff>
      <xdr:row>0</xdr:row>
      <xdr:rowOff>38100</xdr:rowOff>
    </xdr:from>
    <xdr:ext cx="3335016" cy="294953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 txBox="1"/>
      </xdr:nvSpPr>
      <xdr:spPr>
        <a:xfrm>
          <a:off x="228600" y="38100"/>
          <a:ext cx="3335016" cy="2949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300" b="1">
              <a:solidFill>
                <a:schemeClr val="bg1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INDICADORES DO EQUIPAMENTO</a:t>
          </a:r>
        </a:p>
      </xdr:txBody>
    </xdr:sp>
    <xdr:clientData/>
  </xdr:oneCellAnchor>
  <xdr:twoCellAnchor>
    <xdr:from>
      <xdr:col>6</xdr:col>
      <xdr:colOff>19050</xdr:colOff>
      <xdr:row>0</xdr:row>
      <xdr:rowOff>28576</xdr:rowOff>
    </xdr:from>
    <xdr:to>
      <xdr:col>8</xdr:col>
      <xdr:colOff>0</xdr:colOff>
      <xdr:row>1</xdr:row>
      <xdr:rowOff>257175</xdr:rowOff>
    </xdr:to>
    <xdr:sp macro="" textlink="">
      <xdr:nvSpPr>
        <xdr:cNvPr id="26" name="Fluxograma: Processo alternativo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3733800" y="28576"/>
          <a:ext cx="1362075" cy="561974"/>
        </a:xfrm>
        <a:prstGeom prst="flowChartAlternateProcess">
          <a:avLst/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19050</xdr:colOff>
      <xdr:row>0</xdr:row>
      <xdr:rowOff>28574</xdr:rowOff>
    </xdr:from>
    <xdr:to>
      <xdr:col>10</xdr:col>
      <xdr:colOff>0</xdr:colOff>
      <xdr:row>1</xdr:row>
      <xdr:rowOff>257174</xdr:rowOff>
    </xdr:to>
    <xdr:sp macro="" textlink="">
      <xdr:nvSpPr>
        <xdr:cNvPr id="27" name="Fluxograma: Processo alternativo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5114925" y="28574"/>
          <a:ext cx="1362075" cy="561975"/>
        </a:xfrm>
        <a:prstGeom prst="flowChartAlternateProcess">
          <a:avLst/>
        </a:prstGeom>
        <a:solidFill>
          <a:schemeClr val="accent3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19050</xdr:colOff>
      <xdr:row>0</xdr:row>
      <xdr:rowOff>19049</xdr:rowOff>
    </xdr:from>
    <xdr:to>
      <xdr:col>12</xdr:col>
      <xdr:colOff>0</xdr:colOff>
      <xdr:row>1</xdr:row>
      <xdr:rowOff>266699</xdr:rowOff>
    </xdr:to>
    <xdr:sp macro="" textlink="">
      <xdr:nvSpPr>
        <xdr:cNvPr id="28" name="Fluxograma: Processo alternativo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6496050" y="19049"/>
          <a:ext cx="1362075" cy="581025"/>
        </a:xfrm>
        <a:prstGeom prst="flowChartAlternateProcess">
          <a:avLst/>
        </a:prstGeom>
        <a:solidFill>
          <a:srgbClr val="7030A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19050</xdr:colOff>
      <xdr:row>0</xdr:row>
      <xdr:rowOff>9525</xdr:rowOff>
    </xdr:from>
    <xdr:to>
      <xdr:col>14</xdr:col>
      <xdr:colOff>0</xdr:colOff>
      <xdr:row>2</xdr:row>
      <xdr:rowOff>0</xdr:rowOff>
    </xdr:to>
    <xdr:sp macro="" textlink="">
      <xdr:nvSpPr>
        <xdr:cNvPr id="29" name="Fluxograma: Processo alternativo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/>
      </xdr:nvSpPr>
      <xdr:spPr>
        <a:xfrm>
          <a:off x="7877175" y="9525"/>
          <a:ext cx="1362075" cy="590550"/>
        </a:xfrm>
        <a:prstGeom prst="flowChartAlternateProcess">
          <a:avLst/>
        </a:prstGeom>
        <a:solidFill>
          <a:schemeClr val="tx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5</xdr:col>
      <xdr:colOff>514350</xdr:colOff>
      <xdr:row>12</xdr:row>
      <xdr:rowOff>9525</xdr:rowOff>
    </xdr:from>
    <xdr:ext cx="1347420" cy="311496"/>
    <xdr:sp macro="" textlink="Dados!B1">
      <xdr:nvSpPr>
        <xdr:cNvPr id="30" name="CaixaDeTexto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/>
      </xdr:nvSpPr>
      <xdr:spPr>
        <a:xfrm>
          <a:off x="3619500" y="2400300"/>
          <a:ext cx="134742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95B70FA1-28A8-46FC-9D05-695D29FC98C7}" type="TxLink">
            <a:rPr lang="pt-BR" sz="1400" b="1">
              <a:solidFill>
                <a:srgbClr val="FF0000"/>
              </a:solidFill>
            </a:rPr>
            <a:pPr/>
            <a:t>Disponibilidade</a:t>
          </a:fld>
          <a:endParaRPr lang="pt-BR" sz="14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190500</xdr:colOff>
      <xdr:row>12</xdr:row>
      <xdr:rowOff>9525</xdr:rowOff>
    </xdr:from>
    <xdr:ext cx="1148135" cy="311496"/>
    <xdr:sp macro="" textlink="Dados!D1">
      <xdr:nvSpPr>
        <xdr:cNvPr id="31" name="CaixaDeTexto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 txBox="1"/>
      </xdr:nvSpPr>
      <xdr:spPr>
        <a:xfrm>
          <a:off x="6057900" y="2400300"/>
          <a:ext cx="11481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3996441F-9517-49EB-9FB7-4DD4023D55E6}" type="TxLink">
            <a:rPr lang="pt-BR" sz="1400" b="1">
              <a:solidFill>
                <a:schemeClr val="accent3">
                  <a:lumMod val="50000"/>
                </a:schemeClr>
              </a:solidFill>
            </a:rPr>
            <a:pPr/>
            <a:t>Performance</a:t>
          </a:fld>
          <a:endParaRPr lang="pt-BR" sz="1400" b="1">
            <a:solidFill>
              <a:schemeClr val="accent3">
                <a:lumMod val="50000"/>
              </a:schemeClr>
            </a:solidFill>
          </a:endParaRPr>
        </a:p>
      </xdr:txBody>
    </xdr:sp>
    <xdr:clientData/>
  </xdr:oneCellAnchor>
  <xdr:oneCellAnchor>
    <xdr:from>
      <xdr:col>6</xdr:col>
      <xdr:colOff>114300</xdr:colOff>
      <xdr:row>22</xdr:row>
      <xdr:rowOff>123825</xdr:rowOff>
    </xdr:from>
    <xdr:ext cx="952825" cy="311496"/>
    <xdr:sp macro="" textlink="Dados!F1">
      <xdr:nvSpPr>
        <xdr:cNvPr id="32" name="CaixaDeTexto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/>
      </xdr:nvSpPr>
      <xdr:spPr>
        <a:xfrm>
          <a:off x="3829050" y="4419600"/>
          <a:ext cx="9528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5F09CAE6-8F34-41D3-BD1F-C4F03F7A139B}" type="TxLink">
            <a:rPr lang="pt-BR" sz="1400" b="0">
              <a:solidFill>
                <a:srgbClr val="FFC000"/>
              </a:solidFill>
            </a:rPr>
            <a:pPr/>
            <a:t>Qualidade</a:t>
          </a:fld>
          <a:endParaRPr lang="pt-BR" sz="1400" b="0">
            <a:solidFill>
              <a:srgbClr val="FFC000"/>
            </a:solidFill>
          </a:endParaRPr>
        </a:p>
      </xdr:txBody>
    </xdr:sp>
    <xdr:clientData/>
  </xdr:oneCellAnchor>
  <xdr:oneCellAnchor>
    <xdr:from>
      <xdr:col>9</xdr:col>
      <xdr:colOff>495300</xdr:colOff>
      <xdr:row>22</xdr:row>
      <xdr:rowOff>104775</xdr:rowOff>
    </xdr:from>
    <xdr:ext cx="478849" cy="311496"/>
    <xdr:sp macro="" textlink="Dados!H1">
      <xdr:nvSpPr>
        <xdr:cNvPr id="33" name="CaixaDeTexto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 txBox="1"/>
      </xdr:nvSpPr>
      <xdr:spPr>
        <a:xfrm>
          <a:off x="6362700" y="4400550"/>
          <a:ext cx="47884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9ED3176-8D44-4F8F-A737-5D0E59DFFC37}" type="TxLink">
            <a:rPr lang="pt-BR" sz="1400" b="1">
              <a:solidFill>
                <a:schemeClr val="tx2"/>
              </a:solidFill>
            </a:rPr>
            <a:pPr/>
            <a:t>OEE</a:t>
          </a:fld>
          <a:endParaRPr lang="pt-BR" sz="1400" b="1">
            <a:solidFill>
              <a:schemeClr val="tx2"/>
            </a:solidFill>
          </a:endParaRPr>
        </a:p>
      </xdr:txBody>
    </xdr:sp>
    <xdr:clientData/>
  </xdr:oneCellAnchor>
  <xdr:twoCellAnchor>
    <xdr:from>
      <xdr:col>5</xdr:col>
      <xdr:colOff>19051</xdr:colOff>
      <xdr:row>13</xdr:row>
      <xdr:rowOff>61912</xdr:rowOff>
    </xdr:from>
    <xdr:to>
      <xdr:col>8</xdr:col>
      <xdr:colOff>304800</xdr:colOff>
      <xdr:row>24</xdr:row>
      <xdr:rowOff>9525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oneCellAnchor>
    <xdr:from>
      <xdr:col>6</xdr:col>
      <xdr:colOff>142875</xdr:colOff>
      <xdr:row>17</xdr:row>
      <xdr:rowOff>104775</xdr:rowOff>
    </xdr:from>
    <xdr:ext cx="821892" cy="405432"/>
    <xdr:sp macro="" textlink="$K$2">
      <xdr:nvSpPr>
        <xdr:cNvPr id="35" name="CaixaDeTexto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 txBox="1"/>
      </xdr:nvSpPr>
      <xdr:spPr>
        <a:xfrm>
          <a:off x="3857625" y="3448050"/>
          <a:ext cx="821892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ADAC5A51-8A0D-49EA-9731-C4FDD9A9B897}" type="TxLink">
            <a:rPr lang="pt-BR" sz="2000" b="1">
              <a:solidFill>
                <a:srgbClr val="7030A0"/>
              </a:solidFill>
            </a:rPr>
            <a:pPr/>
            <a:t>83,0%</a:t>
          </a:fld>
          <a:endParaRPr lang="pt-BR" sz="2000" b="1">
            <a:solidFill>
              <a:srgbClr val="7030A0"/>
            </a:solidFill>
          </a:endParaRPr>
        </a:p>
      </xdr:txBody>
    </xdr:sp>
    <xdr:clientData/>
  </xdr:oneCellAnchor>
  <xdr:oneCellAnchor>
    <xdr:from>
      <xdr:col>6</xdr:col>
      <xdr:colOff>85725</xdr:colOff>
      <xdr:row>22</xdr:row>
      <xdr:rowOff>114300</xdr:rowOff>
    </xdr:from>
    <xdr:ext cx="952825" cy="311496"/>
    <xdr:sp macro="" textlink="Dados!F1">
      <xdr:nvSpPr>
        <xdr:cNvPr id="36" name="CaixaDeTexto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 txBox="1"/>
      </xdr:nvSpPr>
      <xdr:spPr>
        <a:xfrm>
          <a:off x="3800475" y="4410075"/>
          <a:ext cx="9528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446EA3F-E7F0-4A7E-873C-6578EAB0AF24}" type="TxLink">
            <a:rPr lang="pt-BR" sz="1400" b="1">
              <a:solidFill>
                <a:srgbClr val="7030A0"/>
              </a:solidFill>
            </a:rPr>
            <a:pPr/>
            <a:t>Qualidade</a:t>
          </a:fld>
          <a:endParaRPr lang="pt-BR" sz="1400" b="1">
            <a:solidFill>
              <a:srgbClr val="7030A0"/>
            </a:solidFill>
          </a:endParaRPr>
        </a:p>
      </xdr:txBody>
    </xdr:sp>
    <xdr:clientData/>
  </xdr:oneCellAnchor>
  <xdr:oneCellAnchor>
    <xdr:from>
      <xdr:col>5</xdr:col>
      <xdr:colOff>581025</xdr:colOff>
      <xdr:row>0</xdr:row>
      <xdr:rowOff>142875</xdr:rowOff>
    </xdr:from>
    <xdr:ext cx="1513235" cy="342786"/>
    <xdr:sp macro="" textlink="Dados!B1">
      <xdr:nvSpPr>
        <xdr:cNvPr id="37" name="CaixaDeTexto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 txBox="1"/>
      </xdr:nvSpPr>
      <xdr:spPr>
        <a:xfrm>
          <a:off x="3686175" y="142875"/>
          <a:ext cx="151323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53A86099-576A-457F-9667-76A0E5E274B6}" type="TxLink">
            <a:rPr lang="pt-BR" sz="1600" b="1">
              <a:solidFill>
                <a:schemeClr val="bg1"/>
              </a:solidFill>
            </a:rPr>
            <a:pPr/>
            <a:t>Disponibilidade</a:t>
          </a:fld>
          <a:endParaRPr lang="pt-BR" sz="1600" b="1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590550</xdr:colOff>
      <xdr:row>0</xdr:row>
      <xdr:rowOff>123825</xdr:rowOff>
    </xdr:from>
    <xdr:ext cx="1423338" cy="374141"/>
    <xdr:sp macro="" textlink="Dados!D1">
      <xdr:nvSpPr>
        <xdr:cNvPr id="38" name="CaixaDeTexto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 txBox="1"/>
      </xdr:nvSpPr>
      <xdr:spPr>
        <a:xfrm>
          <a:off x="5076825" y="123825"/>
          <a:ext cx="1423338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275AA76A-DB77-4E5E-AE72-EC23064E9200}" type="TxLink">
            <a:rPr lang="pt-BR" sz="1800" b="1">
              <a:solidFill>
                <a:schemeClr val="bg1"/>
              </a:solidFill>
            </a:rPr>
            <a:pPr/>
            <a:t>Performance</a:t>
          </a:fld>
          <a:endParaRPr lang="pt-BR" sz="1800" b="1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57150</xdr:colOff>
      <xdr:row>0</xdr:row>
      <xdr:rowOff>123825</xdr:rowOff>
    </xdr:from>
    <xdr:ext cx="1281761" cy="405432"/>
    <xdr:sp macro="" textlink="Dados!F1">
      <xdr:nvSpPr>
        <xdr:cNvPr id="39" name="CaixaDeTexto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 txBox="1"/>
      </xdr:nvSpPr>
      <xdr:spPr>
        <a:xfrm>
          <a:off x="6534150" y="123825"/>
          <a:ext cx="128176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B2513438-FEA2-40AC-9F4C-359C089458D6}" type="TxLink">
            <a:rPr lang="pt-BR" sz="2000" b="1">
              <a:solidFill>
                <a:schemeClr val="bg1"/>
              </a:solidFill>
            </a:rPr>
            <a:pPr/>
            <a:t>Qualidade</a:t>
          </a:fld>
          <a:endParaRPr lang="pt-BR" sz="2000" b="1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276225</xdr:colOff>
      <xdr:row>0</xdr:row>
      <xdr:rowOff>0</xdr:rowOff>
    </xdr:from>
    <xdr:ext cx="862544" cy="593304"/>
    <xdr:sp macro="" textlink="Dados!H1">
      <xdr:nvSpPr>
        <xdr:cNvPr id="40" name="CaixaDeTexto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 txBox="1"/>
      </xdr:nvSpPr>
      <xdr:spPr>
        <a:xfrm>
          <a:off x="8134350" y="0"/>
          <a:ext cx="862544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60F3507-B4C0-48BE-8637-406A1F0C5E35}" type="TxLink">
            <a:rPr lang="pt-BR" sz="3200" b="1">
              <a:solidFill>
                <a:schemeClr val="bg1"/>
              </a:solidFill>
            </a:rPr>
            <a:pPr/>
            <a:t>OEE</a:t>
          </a:fld>
          <a:endParaRPr lang="pt-BR" sz="3200" b="1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115370</xdr:colOff>
      <xdr:row>6</xdr:row>
      <xdr:rowOff>84655</xdr:rowOff>
    </xdr:from>
    <xdr:ext cx="264560" cy="704850"/>
    <xdr:sp macro="" textlink="Dados!A2">
      <xdr:nvSpPr>
        <xdr:cNvPr id="41" name="CaixaDeTexto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 txBox="1"/>
      </xdr:nvSpPr>
      <xdr:spPr>
        <a:xfrm rot="16200000">
          <a:off x="-19050" y="1552575"/>
          <a:ext cx="7048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B06354A9-D663-4F49-94C6-DD661586AF9C}" type="TxLink">
            <a:rPr lang="pt-BR" sz="1100" b="1">
              <a:solidFill>
                <a:schemeClr val="tx1"/>
              </a:solidFill>
            </a:rPr>
            <a:pPr/>
            <a:t>Torno 01</a:t>
          </a:fld>
          <a:endParaRPr lang="pt-BR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2</xdr:col>
      <xdr:colOff>465530</xdr:colOff>
      <xdr:row>6</xdr:row>
      <xdr:rowOff>67870</xdr:rowOff>
    </xdr:from>
    <xdr:ext cx="264560" cy="700320"/>
    <xdr:sp macro="" textlink="Dados!A3">
      <xdr:nvSpPr>
        <xdr:cNvPr id="42" name="CaixaDeTexto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 rot="16200000">
          <a:off x="1343025" y="1533525"/>
          <a:ext cx="7003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9970E78-CF73-4667-AD2C-F98195AA262F}" type="TxLink">
            <a:rPr lang="pt-BR" sz="1100" b="1"/>
            <a:pPr/>
            <a:t>Torno 02</a:t>
          </a:fld>
          <a:endParaRPr lang="pt-BR" sz="1100" b="1"/>
        </a:p>
      </xdr:txBody>
    </xdr:sp>
    <xdr:clientData/>
  </xdr:oneCellAnchor>
  <xdr:oneCellAnchor>
    <xdr:from>
      <xdr:col>1</xdr:col>
      <xdr:colOff>124752</xdr:colOff>
      <xdr:row>12</xdr:row>
      <xdr:rowOff>56223</xdr:rowOff>
    </xdr:from>
    <xdr:ext cx="264560" cy="666464"/>
    <xdr:sp macro="" textlink="Dados!A4">
      <xdr:nvSpPr>
        <xdr:cNvPr id="43" name="CaixaDeTexto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 txBox="1"/>
      </xdr:nvSpPr>
      <xdr:spPr>
        <a:xfrm rot="16200000">
          <a:off x="9525" y="2647950"/>
          <a:ext cx="6664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0732C42D-E488-436E-9189-AFF2B57BB39E}" type="TxLink">
            <a:rPr lang="pt-BR" sz="1100" b="1"/>
            <a:pPr/>
            <a:t>Fresa 01</a:t>
          </a:fld>
          <a:endParaRPr lang="pt-BR" sz="1100" b="1"/>
        </a:p>
      </xdr:txBody>
    </xdr:sp>
    <xdr:clientData/>
  </xdr:oneCellAnchor>
  <xdr:oneCellAnchor>
    <xdr:from>
      <xdr:col>2</xdr:col>
      <xdr:colOff>467652</xdr:colOff>
      <xdr:row>12</xdr:row>
      <xdr:rowOff>65748</xdr:rowOff>
    </xdr:from>
    <xdr:ext cx="264560" cy="666464"/>
    <xdr:sp macro="" textlink="Dados!A5">
      <xdr:nvSpPr>
        <xdr:cNvPr id="44" name="CaixaDeTexto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 txBox="1"/>
      </xdr:nvSpPr>
      <xdr:spPr>
        <a:xfrm rot="16200000">
          <a:off x="1362075" y="2657475"/>
          <a:ext cx="6664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A0AA346-7E0A-4061-B22F-5E0BFF6CFD61}" type="TxLink">
            <a:rPr lang="pt-BR" sz="1100" b="1"/>
            <a:pPr/>
            <a:t>Fresa 02</a:t>
          </a:fld>
          <a:endParaRPr lang="pt-BR" sz="1100" b="1"/>
        </a:p>
      </xdr:txBody>
    </xdr:sp>
    <xdr:clientData/>
  </xdr:oneCellAnchor>
  <xdr:oneCellAnchor>
    <xdr:from>
      <xdr:col>1</xdr:col>
      <xdr:colOff>128678</xdr:colOff>
      <xdr:row>16</xdr:row>
      <xdr:rowOff>179204</xdr:rowOff>
    </xdr:from>
    <xdr:ext cx="264560" cy="801501"/>
    <xdr:sp macro="" textlink="Dados!A6">
      <xdr:nvSpPr>
        <xdr:cNvPr id="45" name="CaixaDeTexto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 txBox="1"/>
      </xdr:nvSpPr>
      <xdr:spPr>
        <a:xfrm rot="16200000">
          <a:off x="-54068" y="3600450"/>
          <a:ext cx="8015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76C38915-DBD9-4286-8C93-3825F1C56FA7}" type="TxLink">
            <a:rPr lang="pt-BR" sz="1100" b="1"/>
            <a:pPr/>
            <a:t>Retífica 01</a:t>
          </a:fld>
          <a:endParaRPr lang="pt-BR" sz="1100" b="1"/>
        </a:p>
      </xdr:txBody>
    </xdr:sp>
    <xdr:clientData/>
  </xdr:oneCellAnchor>
  <xdr:oneCellAnchor>
    <xdr:from>
      <xdr:col>2</xdr:col>
      <xdr:colOff>471579</xdr:colOff>
      <xdr:row>17</xdr:row>
      <xdr:rowOff>17279</xdr:rowOff>
    </xdr:from>
    <xdr:ext cx="264560" cy="801501"/>
    <xdr:sp macro="" textlink="Dados!A7">
      <xdr:nvSpPr>
        <xdr:cNvPr id="46" name="CaixaDeTexto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 txBox="1"/>
      </xdr:nvSpPr>
      <xdr:spPr>
        <a:xfrm rot="16200000">
          <a:off x="1298483" y="3629025"/>
          <a:ext cx="8015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7A846780-BEAA-4B26-9243-ED3364231CF5}" type="TxLink">
            <a:rPr lang="pt-BR" sz="1100" b="1"/>
            <a:pPr/>
            <a:t>Retífica 02</a:t>
          </a:fld>
          <a:endParaRPr lang="pt-BR" sz="1100" b="1"/>
        </a:p>
      </xdr:txBody>
    </xdr:sp>
    <xdr:clientData/>
  </xdr:one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0.39065</cdr:x>
      <cdr:y>0.86221</cdr:y>
    </cdr:from>
    <cdr:to>
      <cdr:x>0.48209</cdr:x>
      <cdr:y>1</cdr:y>
    </cdr:to>
    <cdr:sp macro="" textlink="'Retífica 01'!$M$1">
      <cdr:nvSpPr>
        <cdr:cNvPr id="2" name="CaixaDeTexto 19"/>
        <cdr:cNvSpPr txBox="1"/>
      </cdr:nvSpPr>
      <cdr:spPr>
        <a:xfrm xmlns:a="http://schemas.openxmlformats.org/drawingml/2006/main">
          <a:off x="937677" y="1753380"/>
          <a:ext cx="219484" cy="28020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EF130C02-9DC0-4774-95CC-30109ADF961E}" type="TxLink">
            <a:rPr lang="pt-BR" sz="1200" b="1">
              <a:solidFill>
                <a:schemeClr val="tx2"/>
              </a:solidFill>
            </a:rPr>
            <a:pPr/>
            <a:t> </a:t>
          </a:fld>
          <a:endParaRPr lang="pt-BR" sz="1200" b="1">
            <a:solidFill>
              <a:schemeClr val="tx2"/>
            </a:solidFill>
          </a:endParaRP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0.19242</cdr:x>
      <cdr:y>0.85823</cdr:y>
    </cdr:from>
    <cdr:to>
      <cdr:x>0.28314</cdr:x>
      <cdr:y>1</cdr:y>
    </cdr:to>
    <cdr:sp macro="" textlink="'Retífica 01'!$I$1">
      <cdr:nvSpPr>
        <cdr:cNvPr id="2" name="CaixaDeTexto 19"/>
        <cdr:cNvSpPr txBox="1"/>
      </cdr:nvSpPr>
      <cdr:spPr>
        <a:xfrm xmlns:a="http://schemas.openxmlformats.org/drawingml/2006/main">
          <a:off x="465532" y="1696234"/>
          <a:ext cx="219484" cy="28020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EF0CA3B1-4B69-43D4-B430-DBFDF51F9170}" type="TxLink">
            <a:rPr lang="pt-BR" sz="1200" b="1">
              <a:solidFill>
                <a:schemeClr val="accent3">
                  <a:lumMod val="50000"/>
                </a:schemeClr>
              </a:solidFill>
            </a:rPr>
            <a:pPr/>
            <a:t> </a:t>
          </a:fld>
          <a:endParaRPr lang="pt-BR" sz="1200" b="1">
            <a:solidFill>
              <a:schemeClr val="accent3">
                <a:lumMod val="50000"/>
              </a:schemeClr>
            </a:solidFill>
          </a:endParaRP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0.28849</cdr:x>
      <cdr:y>0.86221</cdr:y>
    </cdr:from>
    <cdr:to>
      <cdr:x>0.3845</cdr:x>
      <cdr:y>1</cdr:y>
    </cdr:to>
    <cdr:sp macro="" textlink="'Retífica 01'!$K$1">
      <cdr:nvSpPr>
        <cdr:cNvPr id="2" name="CaixaDeTexto 19"/>
        <cdr:cNvSpPr txBox="1"/>
      </cdr:nvSpPr>
      <cdr:spPr>
        <a:xfrm xmlns:a="http://schemas.openxmlformats.org/drawingml/2006/main">
          <a:off x="659488" y="1753380"/>
          <a:ext cx="219484" cy="28020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866A083E-137A-4917-98FC-33B8A9AC7D8A}" type="TxLink">
            <a:rPr lang="pt-BR" sz="1200" b="1">
              <a:solidFill>
                <a:srgbClr val="FFC000"/>
              </a:solidFill>
            </a:rPr>
            <a:pPr/>
            <a:t> </a:t>
          </a:fld>
          <a:endParaRPr lang="pt-BR" sz="1200" b="1">
            <a:solidFill>
              <a:srgbClr val="FFC000"/>
            </a:solidFill>
          </a:endParaRP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3</xdr:row>
      <xdr:rowOff>0</xdr:rowOff>
    </xdr:from>
    <xdr:to>
      <xdr:col>4</xdr:col>
      <xdr:colOff>733426</xdr:colOff>
      <xdr:row>24</xdr:row>
      <xdr:rowOff>28575</xdr:rowOff>
    </xdr:to>
    <xdr:sp macro="" textlink="">
      <xdr:nvSpPr>
        <xdr:cNvPr id="2" name="Fluxograma: Processo alternativ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95251" y="676275"/>
          <a:ext cx="2952750" cy="4029075"/>
        </a:xfrm>
        <a:prstGeom prst="flowChartAlternateProcess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6</xdr:col>
      <xdr:colOff>542925</xdr:colOff>
      <xdr:row>10</xdr:row>
      <xdr:rowOff>0</xdr:rowOff>
    </xdr:from>
    <xdr:ext cx="289053" cy="655885"/>
    <xdr:sp macro="" textlink="$C$28">
      <xdr:nvSpPr>
        <xdr:cNvPr id="3" name="CaixaDeText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4257675" y="2009775"/>
          <a:ext cx="289053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54D4EAB5-5DF2-443B-823D-FA5B655FE8BA}" type="TxLink">
            <a:rPr lang="pt-BR" sz="3600" b="1">
              <a:solidFill>
                <a:schemeClr val="tx2">
                  <a:lumMod val="60000"/>
                  <a:lumOff val="40000"/>
                </a:schemeClr>
              </a:solidFill>
            </a:rPr>
            <a:pPr/>
            <a:t> </a:t>
          </a:fld>
          <a:endParaRPr lang="pt-BR" sz="3600" b="1">
            <a:solidFill>
              <a:schemeClr val="tx2">
                <a:lumMod val="60000"/>
                <a:lumOff val="40000"/>
              </a:schemeClr>
            </a:solidFill>
          </a:endParaRPr>
        </a:p>
      </xdr:txBody>
    </xdr:sp>
    <xdr:clientData/>
  </xdr:oneCellAnchor>
  <xdr:oneCellAnchor>
    <xdr:from>
      <xdr:col>6</xdr:col>
      <xdr:colOff>57150</xdr:colOff>
      <xdr:row>16</xdr:row>
      <xdr:rowOff>114300</xdr:rowOff>
    </xdr:from>
    <xdr:ext cx="242631" cy="405432"/>
    <xdr:sp macro="" textlink="$B$28">
      <xdr:nvSpPr>
        <xdr:cNvPr id="4" name="CaixaDeText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3771900" y="3267075"/>
          <a:ext cx="2426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36FF6A8-FDA4-4DD6-8659-F9D16B28CFAA}" type="TxLink">
            <a:rPr lang="pt-BR" sz="2000" b="1">
              <a:solidFill>
                <a:schemeClr val="tx2">
                  <a:lumMod val="60000"/>
                  <a:lumOff val="40000"/>
                </a:schemeClr>
              </a:solidFill>
            </a:rPr>
            <a:pPr/>
            <a:t> </a:t>
          </a:fld>
          <a:endParaRPr lang="pt-BR" sz="2000" b="1">
            <a:solidFill>
              <a:schemeClr val="tx2">
                <a:lumMod val="60000"/>
                <a:lumOff val="40000"/>
              </a:schemeClr>
            </a:solidFill>
          </a:endParaRPr>
        </a:p>
      </xdr:txBody>
    </xdr:sp>
    <xdr:clientData/>
  </xdr:oneCellAnchor>
  <xdr:oneCellAnchor>
    <xdr:from>
      <xdr:col>8</xdr:col>
      <xdr:colOff>295275</xdr:colOff>
      <xdr:row>26</xdr:row>
      <xdr:rowOff>19050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391150" y="507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11</xdr:col>
      <xdr:colOff>66675</xdr:colOff>
      <xdr:row>9</xdr:row>
      <xdr:rowOff>180975</xdr:rowOff>
    </xdr:from>
    <xdr:ext cx="289053" cy="655885"/>
    <xdr:sp macro="" textlink="$C$29">
      <xdr:nvSpPr>
        <xdr:cNvPr id="6" name="CaixaDeTexto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7315200" y="2000250"/>
          <a:ext cx="289053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FCF3FF7-52EF-4A46-9C4E-FDDF8513E9F0}" type="TxLink">
            <a:rPr lang="pt-BR" sz="3600" b="1">
              <a:solidFill>
                <a:schemeClr val="accent3">
                  <a:lumMod val="75000"/>
                </a:schemeClr>
              </a:solidFill>
            </a:rPr>
            <a:pPr/>
            <a:t> </a:t>
          </a:fld>
          <a:endParaRPr lang="pt-BR" sz="3600" b="1">
            <a:solidFill>
              <a:schemeClr val="accent3">
                <a:lumMod val="75000"/>
              </a:schemeClr>
            </a:solidFill>
          </a:endParaRPr>
        </a:p>
      </xdr:txBody>
    </xdr:sp>
    <xdr:clientData/>
  </xdr:oneCellAnchor>
  <xdr:oneCellAnchor>
    <xdr:from>
      <xdr:col>7</xdr:col>
      <xdr:colOff>57150</xdr:colOff>
      <xdr:row>22</xdr:row>
      <xdr:rowOff>133350</xdr:rowOff>
    </xdr:from>
    <xdr:ext cx="289053" cy="655885"/>
    <xdr:sp macro="" textlink="$C$30">
      <xdr:nvSpPr>
        <xdr:cNvPr id="7" name="CaixaDeTexto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4543425" y="4429125"/>
          <a:ext cx="289053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008D394-C014-4900-AB36-25F9709E43F8}" type="TxLink">
            <a:rPr lang="pt-BR" sz="3600" b="1">
              <a:solidFill>
                <a:srgbClr val="FFC000"/>
              </a:solidFill>
            </a:rPr>
            <a:pPr/>
            <a:t> </a:t>
          </a:fld>
          <a:endParaRPr lang="pt-BR" sz="3600" b="1">
            <a:solidFill>
              <a:srgbClr val="FFC000"/>
            </a:solidFill>
          </a:endParaRPr>
        </a:p>
      </xdr:txBody>
    </xdr:sp>
    <xdr:clientData/>
  </xdr:oneCellAnchor>
  <xdr:oneCellAnchor>
    <xdr:from>
      <xdr:col>6</xdr:col>
      <xdr:colOff>542925</xdr:colOff>
      <xdr:row>29</xdr:row>
      <xdr:rowOff>47625</xdr:rowOff>
    </xdr:from>
    <xdr:ext cx="242631" cy="405432"/>
    <xdr:sp macro="" textlink="$B$30">
      <xdr:nvSpPr>
        <xdr:cNvPr id="8" name="CaixaDeTexto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4257675" y="5676900"/>
          <a:ext cx="2426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032C7AE-FE12-4436-9BBA-EC8B91D299CC}" type="TxLink">
            <a:rPr lang="pt-BR" sz="2000" b="1">
              <a:solidFill>
                <a:srgbClr val="FFC000"/>
              </a:solidFill>
            </a:rPr>
            <a:pPr/>
            <a:t> </a:t>
          </a:fld>
          <a:endParaRPr lang="pt-BR" sz="2000" b="1">
            <a:solidFill>
              <a:srgbClr val="FFC000"/>
            </a:solidFill>
          </a:endParaRPr>
        </a:p>
      </xdr:txBody>
    </xdr:sp>
    <xdr:clientData/>
  </xdr:oneCellAnchor>
  <xdr:twoCellAnchor editAs="oneCell">
    <xdr:from>
      <xdr:col>1</xdr:col>
      <xdr:colOff>152400</xdr:colOff>
      <xdr:row>5</xdr:row>
      <xdr:rowOff>123825</xdr:rowOff>
    </xdr:from>
    <xdr:to>
      <xdr:col>2</xdr:col>
      <xdr:colOff>571500</xdr:colOff>
      <xdr:row>10</xdr:row>
      <xdr:rowOff>122093</xdr:rowOff>
    </xdr:to>
    <xdr:pic>
      <xdr:nvPicPr>
        <xdr:cNvPr id="9" name="Imagem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1181100"/>
          <a:ext cx="1428750" cy="950768"/>
        </a:xfrm>
        <a:prstGeom prst="rect">
          <a:avLst/>
        </a:prstGeom>
      </xdr:spPr>
    </xdr:pic>
    <xdr:clientData/>
  </xdr:twoCellAnchor>
  <xdr:twoCellAnchor editAs="oneCell">
    <xdr:from>
      <xdr:col>2</xdr:col>
      <xdr:colOff>504825</xdr:colOff>
      <xdr:row>5</xdr:row>
      <xdr:rowOff>142874</xdr:rowOff>
    </xdr:from>
    <xdr:to>
      <xdr:col>4</xdr:col>
      <xdr:colOff>714375</xdr:colOff>
      <xdr:row>10</xdr:row>
      <xdr:rowOff>141142</xdr:rowOff>
    </xdr:to>
    <xdr:pic>
      <xdr:nvPicPr>
        <xdr:cNvPr id="10" name="Imagem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0200" y="1200149"/>
          <a:ext cx="1428750" cy="950768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11</xdr:row>
      <xdr:rowOff>57150</xdr:rowOff>
    </xdr:from>
    <xdr:to>
      <xdr:col>2</xdr:col>
      <xdr:colOff>413832</xdr:colOff>
      <xdr:row>16</xdr:row>
      <xdr:rowOff>76200</xdr:rowOff>
    </xdr:to>
    <xdr:pic>
      <xdr:nvPicPr>
        <xdr:cNvPr id="11" name="Imagem 10" descr="Resultado de imagem para foto FRESADORA cnc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2257425"/>
          <a:ext cx="1032957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95249</xdr:colOff>
      <xdr:row>11</xdr:row>
      <xdr:rowOff>76200</xdr:rowOff>
    </xdr:from>
    <xdr:to>
      <xdr:col>4</xdr:col>
      <xdr:colOff>547182</xdr:colOff>
      <xdr:row>16</xdr:row>
      <xdr:rowOff>95250</xdr:rowOff>
    </xdr:to>
    <xdr:pic>
      <xdr:nvPicPr>
        <xdr:cNvPr id="12" name="Imagem 11" descr="Resultado de imagem para foto FRESADORA cnc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4" y="2276475"/>
          <a:ext cx="1061533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400050</xdr:colOff>
      <xdr:row>17</xdr:row>
      <xdr:rowOff>76201</xdr:rowOff>
    </xdr:from>
    <xdr:to>
      <xdr:col>2</xdr:col>
      <xdr:colOff>420750</xdr:colOff>
      <xdr:row>21</xdr:row>
      <xdr:rowOff>123825</xdr:rowOff>
    </xdr:to>
    <xdr:pic>
      <xdr:nvPicPr>
        <xdr:cNvPr id="13" name="Imagem 12" descr="Resultado de imagem para foto RETIFICA cnc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419476"/>
          <a:ext cx="1030350" cy="809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152399</xdr:colOff>
      <xdr:row>17</xdr:row>
      <xdr:rowOff>133350</xdr:rowOff>
    </xdr:from>
    <xdr:to>
      <xdr:col>4</xdr:col>
      <xdr:colOff>601724</xdr:colOff>
      <xdr:row>21</xdr:row>
      <xdr:rowOff>180974</xdr:rowOff>
    </xdr:to>
    <xdr:pic>
      <xdr:nvPicPr>
        <xdr:cNvPr id="14" name="Imagem 13" descr="Resultado de imagem para foto RETIFICA cnc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4" y="3476625"/>
          <a:ext cx="1058925" cy="809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19050</xdr:colOff>
      <xdr:row>3</xdr:row>
      <xdr:rowOff>14287</xdr:rowOff>
    </xdr:from>
    <xdr:to>
      <xdr:col>8</xdr:col>
      <xdr:colOff>304800</xdr:colOff>
      <xdr:row>13</xdr:row>
      <xdr:rowOff>76200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304800</xdr:colOff>
      <xdr:row>13</xdr:row>
      <xdr:rowOff>71437</xdr:rowOff>
    </xdr:from>
    <xdr:to>
      <xdr:col>11</xdr:col>
      <xdr:colOff>561976</xdr:colOff>
      <xdr:row>24</xdr:row>
      <xdr:rowOff>9525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304800</xdr:colOff>
      <xdr:row>3</xdr:row>
      <xdr:rowOff>14286</xdr:rowOff>
    </xdr:from>
    <xdr:to>
      <xdr:col>11</xdr:col>
      <xdr:colOff>561975</xdr:colOff>
      <xdr:row>13</xdr:row>
      <xdr:rowOff>66675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19049</xdr:colOff>
      <xdr:row>13</xdr:row>
      <xdr:rowOff>71438</xdr:rowOff>
    </xdr:from>
    <xdr:to>
      <xdr:col>8</xdr:col>
      <xdr:colOff>314324</xdr:colOff>
      <xdr:row>24</xdr:row>
      <xdr:rowOff>9526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oneCellAnchor>
    <xdr:from>
      <xdr:col>6</xdr:col>
      <xdr:colOff>114300</xdr:colOff>
      <xdr:row>7</xdr:row>
      <xdr:rowOff>19050</xdr:rowOff>
    </xdr:from>
    <xdr:ext cx="827662" cy="405432"/>
    <xdr:sp macro="" textlink="$G$2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3829050" y="1457325"/>
          <a:ext cx="827662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B1003B4-CEEF-4E95-A4B7-4A9698269671}" type="TxLink">
            <a:rPr lang="pt-BR" sz="2000" b="1">
              <a:solidFill>
                <a:srgbClr val="FF0000"/>
              </a:solidFill>
            </a:rPr>
            <a:pPr/>
            <a:t>98,0%</a:t>
          </a:fld>
          <a:endParaRPr lang="pt-BR" sz="20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342900</xdr:colOff>
      <xdr:row>7</xdr:row>
      <xdr:rowOff>19050</xdr:rowOff>
    </xdr:from>
    <xdr:ext cx="827662" cy="405432"/>
    <xdr:sp macro="" textlink="$I$2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 txBox="1"/>
      </xdr:nvSpPr>
      <xdr:spPr>
        <a:xfrm>
          <a:off x="6210300" y="1457325"/>
          <a:ext cx="827662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7A78595-C298-48BB-A4DE-C9D898AF9052}" type="TxLink">
            <a:rPr lang="pt-BR" sz="2000" b="1">
              <a:solidFill>
                <a:schemeClr val="accent3">
                  <a:lumMod val="75000"/>
                </a:schemeClr>
              </a:solidFill>
            </a:rPr>
            <a:pPr/>
            <a:t>82,0%</a:t>
          </a:fld>
          <a:endParaRPr lang="pt-BR" sz="2000" b="1">
            <a:solidFill>
              <a:schemeClr val="accent3">
                <a:lumMod val="75000"/>
              </a:schemeClr>
            </a:solidFill>
          </a:endParaRPr>
        </a:p>
      </xdr:txBody>
    </xdr:sp>
    <xdr:clientData/>
  </xdr:oneCellAnchor>
  <xdr:oneCellAnchor>
    <xdr:from>
      <xdr:col>9</xdr:col>
      <xdr:colOff>333375</xdr:colOff>
      <xdr:row>17</xdr:row>
      <xdr:rowOff>142875</xdr:rowOff>
    </xdr:from>
    <xdr:ext cx="827662" cy="405432"/>
    <xdr:sp macro="" textlink="$M$2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/>
      </xdr:nvSpPr>
      <xdr:spPr>
        <a:xfrm>
          <a:off x="6200775" y="3486150"/>
          <a:ext cx="827662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1CE80407-BC3F-41DD-AB79-9D171A8567B3}" type="TxLink">
            <a:rPr lang="pt-BR" sz="2000" b="1">
              <a:solidFill>
                <a:schemeClr val="tx2"/>
              </a:solidFill>
            </a:rPr>
            <a:pPr/>
            <a:t>73,1%</a:t>
          </a:fld>
          <a:endParaRPr lang="pt-BR" sz="2000" b="1">
            <a:solidFill>
              <a:schemeClr val="tx2"/>
            </a:solidFill>
          </a:endParaRPr>
        </a:p>
      </xdr:txBody>
    </xdr:sp>
    <xdr:clientData/>
  </xdr:oneCellAnchor>
  <xdr:twoCellAnchor>
    <xdr:from>
      <xdr:col>11</xdr:col>
      <xdr:colOff>571500</xdr:colOff>
      <xdr:row>3</xdr:row>
      <xdr:rowOff>14287</xdr:rowOff>
    </xdr:from>
    <xdr:to>
      <xdr:col>14</xdr:col>
      <xdr:colOff>19050</xdr:colOff>
      <xdr:row>24</xdr:row>
      <xdr:rowOff>9525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oneCellAnchor>
    <xdr:from>
      <xdr:col>5</xdr:col>
      <xdr:colOff>428625</xdr:colOff>
      <xdr:row>11</xdr:row>
      <xdr:rowOff>180975</xdr:rowOff>
    </xdr:from>
    <xdr:ext cx="219484" cy="280205"/>
    <xdr:sp macro="" textlink="$G$1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 txBox="1"/>
      </xdr:nvSpPr>
      <xdr:spPr>
        <a:xfrm>
          <a:off x="3533775" y="2381250"/>
          <a:ext cx="21948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A61A9D9-2F17-48D9-81EC-C756931A9E72}" type="TxLink">
            <a:rPr lang="pt-BR" sz="1200" b="1">
              <a:solidFill>
                <a:srgbClr val="FF0000"/>
              </a:solidFill>
            </a:rPr>
            <a:pPr/>
            <a:t> </a:t>
          </a:fld>
          <a:endParaRPr lang="pt-BR" sz="1200" b="1">
            <a:solidFill>
              <a:srgbClr val="FF0000"/>
            </a:solidFill>
          </a:endParaRPr>
        </a:p>
      </xdr:txBody>
    </xdr:sp>
    <xdr:clientData/>
  </xdr:oneCellAnchor>
  <xdr:twoCellAnchor>
    <xdr:from>
      <xdr:col>0</xdr:col>
      <xdr:colOff>76199</xdr:colOff>
      <xdr:row>0</xdr:row>
      <xdr:rowOff>47625</xdr:rowOff>
    </xdr:from>
    <xdr:to>
      <xdr:col>5</xdr:col>
      <xdr:colOff>600074</xdr:colOff>
      <xdr:row>0</xdr:row>
      <xdr:rowOff>323850</xdr:rowOff>
    </xdr:to>
    <xdr:sp macro="" textlink="">
      <xdr:nvSpPr>
        <xdr:cNvPr id="24" name="Fluxograma: Processo alternativo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/>
      </xdr:nvSpPr>
      <xdr:spPr>
        <a:xfrm>
          <a:off x="76199" y="47625"/>
          <a:ext cx="3629025" cy="276225"/>
        </a:xfrm>
        <a:prstGeom prst="flowChartAlternateProcess">
          <a:avLst/>
        </a:prstGeom>
        <a:solidFill>
          <a:schemeClr val="accent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142875</xdr:colOff>
      <xdr:row>0</xdr:row>
      <xdr:rowOff>38100</xdr:rowOff>
    </xdr:from>
    <xdr:ext cx="3335016" cy="294953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 txBox="1"/>
      </xdr:nvSpPr>
      <xdr:spPr>
        <a:xfrm>
          <a:off x="228600" y="38100"/>
          <a:ext cx="3335016" cy="2949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300" b="1">
              <a:solidFill>
                <a:schemeClr val="bg1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INDICADORES DO EQUIPAMENTO</a:t>
          </a:r>
        </a:p>
      </xdr:txBody>
    </xdr:sp>
    <xdr:clientData/>
  </xdr:oneCellAnchor>
  <xdr:twoCellAnchor>
    <xdr:from>
      <xdr:col>6</xdr:col>
      <xdr:colOff>19050</xdr:colOff>
      <xdr:row>0</xdr:row>
      <xdr:rowOff>28576</xdr:rowOff>
    </xdr:from>
    <xdr:to>
      <xdr:col>8</xdr:col>
      <xdr:colOff>0</xdr:colOff>
      <xdr:row>1</xdr:row>
      <xdr:rowOff>257175</xdr:rowOff>
    </xdr:to>
    <xdr:sp macro="" textlink="">
      <xdr:nvSpPr>
        <xdr:cNvPr id="26" name="Fluxograma: Processo alternativo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/>
      </xdr:nvSpPr>
      <xdr:spPr>
        <a:xfrm>
          <a:off x="3733800" y="28576"/>
          <a:ext cx="1362075" cy="561974"/>
        </a:xfrm>
        <a:prstGeom prst="flowChartAlternateProcess">
          <a:avLst/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19050</xdr:colOff>
      <xdr:row>0</xdr:row>
      <xdr:rowOff>28574</xdr:rowOff>
    </xdr:from>
    <xdr:to>
      <xdr:col>10</xdr:col>
      <xdr:colOff>0</xdr:colOff>
      <xdr:row>1</xdr:row>
      <xdr:rowOff>257174</xdr:rowOff>
    </xdr:to>
    <xdr:sp macro="" textlink="">
      <xdr:nvSpPr>
        <xdr:cNvPr id="27" name="Fluxograma: Processo alternativo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>
        <a:xfrm>
          <a:off x="5114925" y="28574"/>
          <a:ext cx="1362075" cy="561975"/>
        </a:xfrm>
        <a:prstGeom prst="flowChartAlternateProcess">
          <a:avLst/>
        </a:prstGeom>
        <a:solidFill>
          <a:schemeClr val="accent3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19050</xdr:colOff>
      <xdr:row>0</xdr:row>
      <xdr:rowOff>19049</xdr:rowOff>
    </xdr:from>
    <xdr:to>
      <xdr:col>12</xdr:col>
      <xdr:colOff>0</xdr:colOff>
      <xdr:row>1</xdr:row>
      <xdr:rowOff>266699</xdr:rowOff>
    </xdr:to>
    <xdr:sp macro="" textlink="">
      <xdr:nvSpPr>
        <xdr:cNvPr id="28" name="Fluxograma: Processo alternativo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/>
      </xdr:nvSpPr>
      <xdr:spPr>
        <a:xfrm>
          <a:off x="6496050" y="19049"/>
          <a:ext cx="1362075" cy="581025"/>
        </a:xfrm>
        <a:prstGeom prst="flowChartAlternateProcess">
          <a:avLst/>
        </a:prstGeom>
        <a:solidFill>
          <a:srgbClr val="7030A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19050</xdr:colOff>
      <xdr:row>0</xdr:row>
      <xdr:rowOff>9525</xdr:rowOff>
    </xdr:from>
    <xdr:to>
      <xdr:col>14</xdr:col>
      <xdr:colOff>0</xdr:colOff>
      <xdr:row>2</xdr:row>
      <xdr:rowOff>0</xdr:rowOff>
    </xdr:to>
    <xdr:sp macro="" textlink="">
      <xdr:nvSpPr>
        <xdr:cNvPr id="29" name="Fluxograma: Processo alternativo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>
        <a:xfrm>
          <a:off x="7877175" y="9525"/>
          <a:ext cx="1362075" cy="590550"/>
        </a:xfrm>
        <a:prstGeom prst="flowChartAlternateProcess">
          <a:avLst/>
        </a:prstGeom>
        <a:solidFill>
          <a:schemeClr val="tx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5</xdr:col>
      <xdr:colOff>514350</xdr:colOff>
      <xdr:row>12</xdr:row>
      <xdr:rowOff>9525</xdr:rowOff>
    </xdr:from>
    <xdr:ext cx="1347420" cy="311496"/>
    <xdr:sp macro="" textlink="Dados!B1">
      <xdr:nvSpPr>
        <xdr:cNvPr id="30" name="CaixaDeTexto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 txBox="1"/>
      </xdr:nvSpPr>
      <xdr:spPr>
        <a:xfrm>
          <a:off x="3619500" y="2400300"/>
          <a:ext cx="134742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95B70FA1-28A8-46FC-9D05-695D29FC98C7}" type="TxLink">
            <a:rPr lang="pt-BR" sz="1400" b="1">
              <a:solidFill>
                <a:srgbClr val="FF0000"/>
              </a:solidFill>
            </a:rPr>
            <a:pPr/>
            <a:t>Disponibilidade</a:t>
          </a:fld>
          <a:endParaRPr lang="pt-BR" sz="14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190500</xdr:colOff>
      <xdr:row>12</xdr:row>
      <xdr:rowOff>9525</xdr:rowOff>
    </xdr:from>
    <xdr:ext cx="1148135" cy="311496"/>
    <xdr:sp macro="" textlink="Dados!D1">
      <xdr:nvSpPr>
        <xdr:cNvPr id="31" name="CaixaDeTexto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/>
      </xdr:nvSpPr>
      <xdr:spPr>
        <a:xfrm>
          <a:off x="6057900" y="2400300"/>
          <a:ext cx="11481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3996441F-9517-49EB-9FB7-4DD4023D55E6}" type="TxLink">
            <a:rPr lang="pt-BR" sz="1400" b="1">
              <a:solidFill>
                <a:schemeClr val="accent3">
                  <a:lumMod val="50000"/>
                </a:schemeClr>
              </a:solidFill>
            </a:rPr>
            <a:pPr/>
            <a:t>Performance</a:t>
          </a:fld>
          <a:endParaRPr lang="pt-BR" sz="1400" b="1">
            <a:solidFill>
              <a:schemeClr val="accent3">
                <a:lumMod val="50000"/>
              </a:schemeClr>
            </a:solidFill>
          </a:endParaRPr>
        </a:p>
      </xdr:txBody>
    </xdr:sp>
    <xdr:clientData/>
  </xdr:oneCellAnchor>
  <xdr:oneCellAnchor>
    <xdr:from>
      <xdr:col>6</xdr:col>
      <xdr:colOff>114300</xdr:colOff>
      <xdr:row>22</xdr:row>
      <xdr:rowOff>123825</xdr:rowOff>
    </xdr:from>
    <xdr:ext cx="952825" cy="311496"/>
    <xdr:sp macro="" textlink="Dados!F1">
      <xdr:nvSpPr>
        <xdr:cNvPr id="32" name="CaixaDeTexto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 txBox="1"/>
      </xdr:nvSpPr>
      <xdr:spPr>
        <a:xfrm>
          <a:off x="3829050" y="4419600"/>
          <a:ext cx="9528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5F09CAE6-8F34-41D3-BD1F-C4F03F7A139B}" type="TxLink">
            <a:rPr lang="pt-BR" sz="1400" b="0">
              <a:solidFill>
                <a:srgbClr val="FFC000"/>
              </a:solidFill>
            </a:rPr>
            <a:pPr/>
            <a:t>Qualidade</a:t>
          </a:fld>
          <a:endParaRPr lang="pt-BR" sz="1400" b="0">
            <a:solidFill>
              <a:srgbClr val="FFC000"/>
            </a:solidFill>
          </a:endParaRPr>
        </a:p>
      </xdr:txBody>
    </xdr:sp>
    <xdr:clientData/>
  </xdr:oneCellAnchor>
  <xdr:oneCellAnchor>
    <xdr:from>
      <xdr:col>9</xdr:col>
      <xdr:colOff>495300</xdr:colOff>
      <xdr:row>22</xdr:row>
      <xdr:rowOff>104775</xdr:rowOff>
    </xdr:from>
    <xdr:ext cx="478849" cy="311496"/>
    <xdr:sp macro="" textlink="Dados!H1">
      <xdr:nvSpPr>
        <xdr:cNvPr id="33" name="CaixaDeTexto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 txBox="1"/>
      </xdr:nvSpPr>
      <xdr:spPr>
        <a:xfrm>
          <a:off x="6362700" y="4400550"/>
          <a:ext cx="47884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9ED3176-8D44-4F8F-A737-5D0E59DFFC37}" type="TxLink">
            <a:rPr lang="pt-BR" sz="1400" b="1">
              <a:solidFill>
                <a:schemeClr val="tx2"/>
              </a:solidFill>
            </a:rPr>
            <a:pPr/>
            <a:t>OEE</a:t>
          </a:fld>
          <a:endParaRPr lang="pt-BR" sz="1400" b="1">
            <a:solidFill>
              <a:schemeClr val="tx2"/>
            </a:solidFill>
          </a:endParaRPr>
        </a:p>
      </xdr:txBody>
    </xdr:sp>
    <xdr:clientData/>
  </xdr:oneCellAnchor>
  <xdr:twoCellAnchor>
    <xdr:from>
      <xdr:col>5</xdr:col>
      <xdr:colOff>19051</xdr:colOff>
      <xdr:row>13</xdr:row>
      <xdr:rowOff>61912</xdr:rowOff>
    </xdr:from>
    <xdr:to>
      <xdr:col>8</xdr:col>
      <xdr:colOff>304800</xdr:colOff>
      <xdr:row>24</xdr:row>
      <xdr:rowOff>9525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oneCellAnchor>
    <xdr:from>
      <xdr:col>6</xdr:col>
      <xdr:colOff>142875</xdr:colOff>
      <xdr:row>17</xdr:row>
      <xdr:rowOff>104775</xdr:rowOff>
    </xdr:from>
    <xdr:ext cx="821892" cy="405432"/>
    <xdr:sp macro="" textlink="$K$2">
      <xdr:nvSpPr>
        <xdr:cNvPr id="35" name="CaixaDeTexto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 txBox="1"/>
      </xdr:nvSpPr>
      <xdr:spPr>
        <a:xfrm>
          <a:off x="3857625" y="3448050"/>
          <a:ext cx="821892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ADAC5A51-8A0D-49EA-9731-C4FDD9A9B897}" type="TxLink">
            <a:rPr lang="pt-BR" sz="2000" b="1">
              <a:solidFill>
                <a:srgbClr val="7030A0"/>
              </a:solidFill>
            </a:rPr>
            <a:pPr/>
            <a:t>91,0%</a:t>
          </a:fld>
          <a:endParaRPr lang="pt-BR" sz="2000" b="1">
            <a:solidFill>
              <a:srgbClr val="7030A0"/>
            </a:solidFill>
          </a:endParaRPr>
        </a:p>
      </xdr:txBody>
    </xdr:sp>
    <xdr:clientData/>
  </xdr:oneCellAnchor>
  <xdr:oneCellAnchor>
    <xdr:from>
      <xdr:col>6</xdr:col>
      <xdr:colOff>85725</xdr:colOff>
      <xdr:row>22</xdr:row>
      <xdr:rowOff>114300</xdr:rowOff>
    </xdr:from>
    <xdr:ext cx="952825" cy="311496"/>
    <xdr:sp macro="" textlink="Dados!F1">
      <xdr:nvSpPr>
        <xdr:cNvPr id="36" name="CaixaDeTexto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 txBox="1"/>
      </xdr:nvSpPr>
      <xdr:spPr>
        <a:xfrm>
          <a:off x="3800475" y="4410075"/>
          <a:ext cx="9528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446EA3F-E7F0-4A7E-873C-6578EAB0AF24}" type="TxLink">
            <a:rPr lang="pt-BR" sz="1400" b="1">
              <a:solidFill>
                <a:srgbClr val="7030A0"/>
              </a:solidFill>
            </a:rPr>
            <a:pPr/>
            <a:t>Qualidade</a:t>
          </a:fld>
          <a:endParaRPr lang="pt-BR" sz="1400" b="1">
            <a:solidFill>
              <a:srgbClr val="7030A0"/>
            </a:solidFill>
          </a:endParaRPr>
        </a:p>
      </xdr:txBody>
    </xdr:sp>
    <xdr:clientData/>
  </xdr:oneCellAnchor>
  <xdr:oneCellAnchor>
    <xdr:from>
      <xdr:col>5</xdr:col>
      <xdr:colOff>581025</xdr:colOff>
      <xdr:row>0</xdr:row>
      <xdr:rowOff>142875</xdr:rowOff>
    </xdr:from>
    <xdr:ext cx="1513235" cy="342786"/>
    <xdr:sp macro="" textlink="Dados!B1">
      <xdr:nvSpPr>
        <xdr:cNvPr id="37" name="CaixaDeTexto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 txBox="1"/>
      </xdr:nvSpPr>
      <xdr:spPr>
        <a:xfrm>
          <a:off x="3686175" y="142875"/>
          <a:ext cx="151323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53A86099-576A-457F-9667-76A0E5E274B6}" type="TxLink">
            <a:rPr lang="pt-BR" sz="1600" b="1">
              <a:solidFill>
                <a:schemeClr val="bg1"/>
              </a:solidFill>
            </a:rPr>
            <a:pPr/>
            <a:t>Disponibilidade</a:t>
          </a:fld>
          <a:endParaRPr lang="pt-BR" sz="1600" b="1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590550</xdr:colOff>
      <xdr:row>0</xdr:row>
      <xdr:rowOff>123825</xdr:rowOff>
    </xdr:from>
    <xdr:ext cx="1423338" cy="374141"/>
    <xdr:sp macro="" textlink="Dados!D1">
      <xdr:nvSpPr>
        <xdr:cNvPr id="38" name="CaixaDeTexto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 txBox="1"/>
      </xdr:nvSpPr>
      <xdr:spPr>
        <a:xfrm>
          <a:off x="5076825" y="123825"/>
          <a:ext cx="1423338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275AA76A-DB77-4E5E-AE72-EC23064E9200}" type="TxLink">
            <a:rPr lang="pt-BR" sz="1800" b="1">
              <a:solidFill>
                <a:schemeClr val="bg1"/>
              </a:solidFill>
            </a:rPr>
            <a:pPr/>
            <a:t>Performance</a:t>
          </a:fld>
          <a:endParaRPr lang="pt-BR" sz="1800" b="1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57150</xdr:colOff>
      <xdr:row>0</xdr:row>
      <xdr:rowOff>123825</xdr:rowOff>
    </xdr:from>
    <xdr:ext cx="1281761" cy="405432"/>
    <xdr:sp macro="" textlink="Dados!F1">
      <xdr:nvSpPr>
        <xdr:cNvPr id="39" name="CaixaDeTexto 3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 txBox="1"/>
      </xdr:nvSpPr>
      <xdr:spPr>
        <a:xfrm>
          <a:off x="6534150" y="123825"/>
          <a:ext cx="128176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B2513438-FEA2-40AC-9F4C-359C089458D6}" type="TxLink">
            <a:rPr lang="pt-BR" sz="2000" b="1">
              <a:solidFill>
                <a:schemeClr val="bg1"/>
              </a:solidFill>
            </a:rPr>
            <a:pPr/>
            <a:t>Qualidade</a:t>
          </a:fld>
          <a:endParaRPr lang="pt-BR" sz="2000" b="1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276225</xdr:colOff>
      <xdr:row>0</xdr:row>
      <xdr:rowOff>0</xdr:rowOff>
    </xdr:from>
    <xdr:ext cx="862544" cy="593304"/>
    <xdr:sp macro="" textlink="Dados!H1">
      <xdr:nvSpPr>
        <xdr:cNvPr id="40" name="CaixaDeTexto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 txBox="1"/>
      </xdr:nvSpPr>
      <xdr:spPr>
        <a:xfrm>
          <a:off x="8134350" y="0"/>
          <a:ext cx="862544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60F3507-B4C0-48BE-8637-406A1F0C5E35}" type="TxLink">
            <a:rPr lang="pt-BR" sz="3200" b="1">
              <a:solidFill>
                <a:schemeClr val="bg1"/>
              </a:solidFill>
            </a:rPr>
            <a:pPr/>
            <a:t>OEE</a:t>
          </a:fld>
          <a:endParaRPr lang="pt-BR" sz="3200" b="1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115370</xdr:colOff>
      <xdr:row>6</xdr:row>
      <xdr:rowOff>84655</xdr:rowOff>
    </xdr:from>
    <xdr:ext cx="264560" cy="704850"/>
    <xdr:sp macro="" textlink="Dados!A2">
      <xdr:nvSpPr>
        <xdr:cNvPr id="41" name="CaixaDeTexto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 txBox="1"/>
      </xdr:nvSpPr>
      <xdr:spPr>
        <a:xfrm rot="16200000">
          <a:off x="-19050" y="1552575"/>
          <a:ext cx="7048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B06354A9-D663-4F49-94C6-DD661586AF9C}" type="TxLink">
            <a:rPr lang="pt-BR" sz="1100" b="1">
              <a:solidFill>
                <a:schemeClr val="tx1"/>
              </a:solidFill>
            </a:rPr>
            <a:pPr/>
            <a:t>Torno 01</a:t>
          </a:fld>
          <a:endParaRPr lang="pt-BR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2</xdr:col>
      <xdr:colOff>465530</xdr:colOff>
      <xdr:row>6</xdr:row>
      <xdr:rowOff>67870</xdr:rowOff>
    </xdr:from>
    <xdr:ext cx="264560" cy="700320"/>
    <xdr:sp macro="" textlink="Dados!A3">
      <xdr:nvSpPr>
        <xdr:cNvPr id="42" name="CaixaDeTexto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 txBox="1"/>
      </xdr:nvSpPr>
      <xdr:spPr>
        <a:xfrm rot="16200000">
          <a:off x="1343025" y="1533525"/>
          <a:ext cx="7003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9970E78-CF73-4667-AD2C-F98195AA262F}" type="TxLink">
            <a:rPr lang="pt-BR" sz="1100" b="1"/>
            <a:pPr/>
            <a:t>Torno 02</a:t>
          </a:fld>
          <a:endParaRPr lang="pt-BR" sz="1100" b="1"/>
        </a:p>
      </xdr:txBody>
    </xdr:sp>
    <xdr:clientData/>
  </xdr:oneCellAnchor>
  <xdr:oneCellAnchor>
    <xdr:from>
      <xdr:col>1</xdr:col>
      <xdr:colOff>124752</xdr:colOff>
      <xdr:row>12</xdr:row>
      <xdr:rowOff>56223</xdr:rowOff>
    </xdr:from>
    <xdr:ext cx="264560" cy="666464"/>
    <xdr:sp macro="" textlink="Dados!A4">
      <xdr:nvSpPr>
        <xdr:cNvPr id="43" name="CaixaDeTexto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 txBox="1"/>
      </xdr:nvSpPr>
      <xdr:spPr>
        <a:xfrm rot="16200000">
          <a:off x="9525" y="2647950"/>
          <a:ext cx="6664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0732C42D-E488-436E-9189-AFF2B57BB39E}" type="TxLink">
            <a:rPr lang="pt-BR" sz="1100" b="1"/>
            <a:pPr/>
            <a:t>Fresa 01</a:t>
          </a:fld>
          <a:endParaRPr lang="pt-BR" sz="1100" b="1"/>
        </a:p>
      </xdr:txBody>
    </xdr:sp>
    <xdr:clientData/>
  </xdr:oneCellAnchor>
  <xdr:oneCellAnchor>
    <xdr:from>
      <xdr:col>2</xdr:col>
      <xdr:colOff>467652</xdr:colOff>
      <xdr:row>12</xdr:row>
      <xdr:rowOff>65748</xdr:rowOff>
    </xdr:from>
    <xdr:ext cx="264560" cy="666464"/>
    <xdr:sp macro="" textlink="Dados!A5">
      <xdr:nvSpPr>
        <xdr:cNvPr id="44" name="CaixaDeTexto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 txBox="1"/>
      </xdr:nvSpPr>
      <xdr:spPr>
        <a:xfrm rot="16200000">
          <a:off x="1362075" y="2657475"/>
          <a:ext cx="6664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A0AA346-7E0A-4061-B22F-5E0BFF6CFD61}" type="TxLink">
            <a:rPr lang="pt-BR" sz="1100" b="1"/>
            <a:pPr/>
            <a:t>Fresa 02</a:t>
          </a:fld>
          <a:endParaRPr lang="pt-BR" sz="1100" b="1"/>
        </a:p>
      </xdr:txBody>
    </xdr:sp>
    <xdr:clientData/>
  </xdr:oneCellAnchor>
  <xdr:oneCellAnchor>
    <xdr:from>
      <xdr:col>1</xdr:col>
      <xdr:colOff>128678</xdr:colOff>
      <xdr:row>16</xdr:row>
      <xdr:rowOff>179204</xdr:rowOff>
    </xdr:from>
    <xdr:ext cx="264560" cy="801501"/>
    <xdr:sp macro="" textlink="Dados!A6">
      <xdr:nvSpPr>
        <xdr:cNvPr id="45" name="CaixaDeTexto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 txBox="1"/>
      </xdr:nvSpPr>
      <xdr:spPr>
        <a:xfrm rot="16200000">
          <a:off x="-54068" y="3600450"/>
          <a:ext cx="8015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76C38915-DBD9-4286-8C93-3825F1C56FA7}" type="TxLink">
            <a:rPr lang="pt-BR" sz="1100" b="1"/>
            <a:pPr/>
            <a:t>Retífica 01</a:t>
          </a:fld>
          <a:endParaRPr lang="pt-BR" sz="1100" b="1"/>
        </a:p>
      </xdr:txBody>
    </xdr:sp>
    <xdr:clientData/>
  </xdr:oneCellAnchor>
  <xdr:oneCellAnchor>
    <xdr:from>
      <xdr:col>2</xdr:col>
      <xdr:colOff>471579</xdr:colOff>
      <xdr:row>17</xdr:row>
      <xdr:rowOff>17279</xdr:rowOff>
    </xdr:from>
    <xdr:ext cx="264560" cy="801501"/>
    <xdr:sp macro="" textlink="Dados!A7">
      <xdr:nvSpPr>
        <xdr:cNvPr id="46" name="CaixaDeTexto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 txBox="1"/>
      </xdr:nvSpPr>
      <xdr:spPr>
        <a:xfrm rot="16200000">
          <a:off x="1298483" y="3629025"/>
          <a:ext cx="8015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7A846780-BEAA-4B26-9243-ED3364231CF5}" type="TxLink">
            <a:rPr lang="pt-BR" sz="1100" b="1"/>
            <a:pPr/>
            <a:t>Retífica 02</a:t>
          </a:fld>
          <a:endParaRPr lang="pt-BR" sz="1100" b="1"/>
        </a:p>
      </xdr:txBody>
    </xdr:sp>
    <xdr:clientData/>
  </xdr:one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0.39065</cdr:x>
      <cdr:y>0.86221</cdr:y>
    </cdr:from>
    <cdr:to>
      <cdr:x>0.48209</cdr:x>
      <cdr:y>1</cdr:y>
    </cdr:to>
    <cdr:sp macro="" textlink="'Retífica 02'!$M$1">
      <cdr:nvSpPr>
        <cdr:cNvPr id="2" name="CaixaDeTexto 19"/>
        <cdr:cNvSpPr txBox="1"/>
      </cdr:nvSpPr>
      <cdr:spPr>
        <a:xfrm xmlns:a="http://schemas.openxmlformats.org/drawingml/2006/main">
          <a:off x="937677" y="1753380"/>
          <a:ext cx="219484" cy="28020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EF130C02-9DC0-4774-95CC-30109ADF961E}" type="TxLink">
            <a:rPr lang="pt-BR" sz="1200" b="1">
              <a:solidFill>
                <a:schemeClr val="tx2"/>
              </a:solidFill>
            </a:rPr>
            <a:pPr/>
            <a:t> </a:t>
          </a:fld>
          <a:endParaRPr lang="pt-BR" sz="1200" b="1">
            <a:solidFill>
              <a:schemeClr val="tx2"/>
            </a:solidFill>
          </a:endParaRP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0.19242</cdr:x>
      <cdr:y>0.85823</cdr:y>
    </cdr:from>
    <cdr:to>
      <cdr:x>0.28314</cdr:x>
      <cdr:y>1</cdr:y>
    </cdr:to>
    <cdr:sp macro="" textlink="'Retífica 02'!$I$1">
      <cdr:nvSpPr>
        <cdr:cNvPr id="2" name="CaixaDeTexto 19"/>
        <cdr:cNvSpPr txBox="1"/>
      </cdr:nvSpPr>
      <cdr:spPr>
        <a:xfrm xmlns:a="http://schemas.openxmlformats.org/drawingml/2006/main">
          <a:off x="465532" y="1696234"/>
          <a:ext cx="219484" cy="28020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EF0CA3B1-4B69-43D4-B430-DBFDF51F9170}" type="TxLink">
            <a:rPr lang="pt-BR" sz="1200" b="1">
              <a:solidFill>
                <a:schemeClr val="accent3">
                  <a:lumMod val="50000"/>
                </a:schemeClr>
              </a:solidFill>
            </a:rPr>
            <a:pPr/>
            <a:t> </a:t>
          </a:fld>
          <a:endParaRPr lang="pt-BR" sz="1200" b="1">
            <a:solidFill>
              <a:schemeClr val="accent3">
                <a:lumMod val="50000"/>
              </a:schemeClr>
            </a:solidFill>
          </a:endParaRPr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0.28849</cdr:x>
      <cdr:y>0.86221</cdr:y>
    </cdr:from>
    <cdr:to>
      <cdr:x>0.3845</cdr:x>
      <cdr:y>1</cdr:y>
    </cdr:to>
    <cdr:sp macro="" textlink="'Retífica 02'!$K$1">
      <cdr:nvSpPr>
        <cdr:cNvPr id="2" name="CaixaDeTexto 19"/>
        <cdr:cNvSpPr txBox="1"/>
      </cdr:nvSpPr>
      <cdr:spPr>
        <a:xfrm xmlns:a="http://schemas.openxmlformats.org/drawingml/2006/main">
          <a:off x="659488" y="1753380"/>
          <a:ext cx="219484" cy="28020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866A083E-137A-4917-98FC-33B8A9AC7D8A}" type="TxLink">
            <a:rPr lang="pt-BR" sz="1200" b="1">
              <a:solidFill>
                <a:srgbClr val="FFC000"/>
              </a:solidFill>
            </a:rPr>
            <a:pPr/>
            <a:t> </a:t>
          </a:fld>
          <a:endParaRPr lang="pt-BR" sz="1200" b="1">
            <a:solidFill>
              <a:srgbClr val="FFC000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 /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 /><Relationship Id="rId1" Type="http://schemas.openxmlformats.org/officeDocument/2006/relationships/printerSettings" Target="../printerSettings/printerSettings3.bin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 /><Relationship Id="rId1" Type="http://schemas.openxmlformats.org/officeDocument/2006/relationships/printerSettings" Target="../printerSettings/printerSettings4.bin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 /><Relationship Id="rId1" Type="http://schemas.openxmlformats.org/officeDocument/2006/relationships/printerSettings" Target="../printerSettings/printerSettings5.bin" 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 /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workbookViewId="0" xr3:uid="{AEA406A1-0E4B-5B11-9CD5-51D6E497D94C}">
      <selection activeCell="C13" sqref="C13"/>
    </sheetView>
  </sheetViews>
  <sheetFormatPr defaultRowHeight="15" x14ac:dyDescent="0.2"/>
  <cols>
    <col min="1" max="1" width="15.19921875" bestFit="1" customWidth="1"/>
    <col min="6" max="6" width="10.0859375" bestFit="1" customWidth="1"/>
    <col min="7" max="7" width="10.0859375" customWidth="1"/>
  </cols>
  <sheetData>
    <row r="1" spans="1:10" x14ac:dyDescent="0.2">
      <c r="A1" s="3" t="s">
        <v>4</v>
      </c>
      <c r="B1" s="10" t="s">
        <v>0</v>
      </c>
      <c r="C1" s="10"/>
      <c r="D1" s="10" t="s">
        <v>1</v>
      </c>
      <c r="E1" s="10"/>
      <c r="F1" s="10" t="s">
        <v>2</v>
      </c>
      <c r="G1" s="10"/>
      <c r="H1" s="10" t="s">
        <v>3</v>
      </c>
      <c r="I1" s="10"/>
      <c r="J1" s="4" t="s">
        <v>5</v>
      </c>
    </row>
    <row r="2" spans="1:10" x14ac:dyDescent="0.2">
      <c r="A2" t="s">
        <v>6</v>
      </c>
      <c r="B2" s="8">
        <v>0.92</v>
      </c>
      <c r="C2" s="8">
        <f>1-B2</f>
        <v>7.999999999999996E-2</v>
      </c>
      <c r="D2" s="8">
        <v>0.82</v>
      </c>
      <c r="E2" s="8">
        <f>1-D2</f>
        <v>0.18000000000000005</v>
      </c>
      <c r="F2" s="8">
        <v>0.9</v>
      </c>
      <c r="G2" s="8">
        <f>1-F2</f>
        <v>9.9999999999999978E-2</v>
      </c>
      <c r="H2" s="9">
        <f>B2*D2*F2</f>
        <v>0.67896000000000001</v>
      </c>
      <c r="I2" s="8">
        <f>1-H2</f>
        <v>0.32103999999999999</v>
      </c>
      <c r="J2" s="4">
        <v>100</v>
      </c>
    </row>
    <row r="3" spans="1:10" x14ac:dyDescent="0.2">
      <c r="A3" t="s">
        <v>11</v>
      </c>
      <c r="B3" s="8">
        <v>0.98</v>
      </c>
      <c r="C3" s="8">
        <f t="shared" ref="C3:C7" si="0">1-B3</f>
        <v>2.0000000000000018E-2</v>
      </c>
      <c r="D3" s="8">
        <v>0.85</v>
      </c>
      <c r="E3" s="8">
        <f t="shared" ref="E3:E7" si="1">1-D3</f>
        <v>0.15000000000000002</v>
      </c>
      <c r="F3" s="8">
        <v>0.87</v>
      </c>
      <c r="G3" s="8">
        <f t="shared" ref="G3:G7" si="2">1-F3</f>
        <v>0.13</v>
      </c>
      <c r="H3" s="9">
        <f t="shared" ref="H3:H7" si="3">B3*D3*F3</f>
        <v>0.72470999999999997</v>
      </c>
      <c r="I3" s="8">
        <f t="shared" ref="I3:I7" si="4">1-H3</f>
        <v>0.27529000000000003</v>
      </c>
      <c r="J3" s="4">
        <v>150</v>
      </c>
    </row>
    <row r="4" spans="1:10" x14ac:dyDescent="0.2">
      <c r="A4" t="s">
        <v>7</v>
      </c>
      <c r="B4" s="8">
        <v>0.95</v>
      </c>
      <c r="C4" s="8">
        <f t="shared" si="0"/>
        <v>5.0000000000000044E-2</v>
      </c>
      <c r="D4" s="8">
        <v>0.83</v>
      </c>
      <c r="E4" s="8">
        <f t="shared" si="1"/>
        <v>0.17000000000000004</v>
      </c>
      <c r="F4" s="8">
        <v>0.92</v>
      </c>
      <c r="G4" s="8">
        <f t="shared" si="2"/>
        <v>7.999999999999996E-2</v>
      </c>
      <c r="H4" s="9">
        <f t="shared" si="3"/>
        <v>0.72542000000000006</v>
      </c>
      <c r="I4" s="8">
        <f t="shared" si="4"/>
        <v>0.27457999999999994</v>
      </c>
      <c r="J4" s="4">
        <v>210</v>
      </c>
    </row>
    <row r="5" spans="1:10" x14ac:dyDescent="0.2">
      <c r="A5" t="s">
        <v>8</v>
      </c>
      <c r="B5" s="8">
        <v>0.93</v>
      </c>
      <c r="C5" s="8">
        <f t="shared" si="0"/>
        <v>6.9999999999999951E-2</v>
      </c>
      <c r="D5" s="8">
        <v>0.8</v>
      </c>
      <c r="E5" s="8">
        <f t="shared" si="1"/>
        <v>0.19999999999999996</v>
      </c>
      <c r="F5" s="8">
        <v>0.91</v>
      </c>
      <c r="G5" s="8">
        <f t="shared" si="2"/>
        <v>8.9999999999999969E-2</v>
      </c>
      <c r="H5" s="9">
        <f t="shared" si="3"/>
        <v>0.67704000000000009</v>
      </c>
      <c r="I5" s="8">
        <f t="shared" si="4"/>
        <v>0.32295999999999991</v>
      </c>
      <c r="J5" s="4">
        <v>100</v>
      </c>
    </row>
    <row r="6" spans="1:10" x14ac:dyDescent="0.2">
      <c r="A6" t="s">
        <v>9</v>
      </c>
      <c r="B6" s="8">
        <v>0.94</v>
      </c>
      <c r="C6" s="8">
        <f t="shared" si="0"/>
        <v>6.0000000000000053E-2</v>
      </c>
      <c r="D6" s="8">
        <v>0.9</v>
      </c>
      <c r="E6" s="8">
        <f t="shared" si="1"/>
        <v>9.9999999999999978E-2</v>
      </c>
      <c r="F6" s="8">
        <v>0.83</v>
      </c>
      <c r="G6" s="8">
        <f t="shared" si="2"/>
        <v>0.17000000000000004</v>
      </c>
      <c r="H6" s="9">
        <f t="shared" si="3"/>
        <v>0.70217999999999992</v>
      </c>
      <c r="I6" s="8">
        <f t="shared" si="4"/>
        <v>0.29782000000000008</v>
      </c>
      <c r="J6" s="4">
        <v>98</v>
      </c>
    </row>
    <row r="7" spans="1:10" x14ac:dyDescent="0.2">
      <c r="A7" t="s">
        <v>10</v>
      </c>
      <c r="B7" s="8">
        <v>0.98</v>
      </c>
      <c r="C7" s="8">
        <f t="shared" si="0"/>
        <v>2.0000000000000018E-2</v>
      </c>
      <c r="D7" s="8">
        <v>0.82</v>
      </c>
      <c r="E7" s="8">
        <f t="shared" si="1"/>
        <v>0.18000000000000005</v>
      </c>
      <c r="F7" s="8">
        <v>0.91</v>
      </c>
      <c r="G7" s="8">
        <f t="shared" si="2"/>
        <v>8.9999999999999969E-2</v>
      </c>
      <c r="H7" s="9">
        <f t="shared" si="3"/>
        <v>0.73127600000000004</v>
      </c>
      <c r="I7" s="8">
        <f t="shared" si="4"/>
        <v>0.26872399999999996</v>
      </c>
      <c r="J7" s="4">
        <v>112</v>
      </c>
    </row>
  </sheetData>
  <mergeCells count="4">
    <mergeCell ref="B1:C1"/>
    <mergeCell ref="D1:E1"/>
    <mergeCell ref="F1:G1"/>
    <mergeCell ref="H1:I1"/>
  </mergeCells>
  <pageMargins left="0.511811024" right="0.511811024" top="0.78740157499999996" bottom="0.78740157499999996" header="0.31496062000000002" footer="0.31496062000000002"/>
  <ignoredErrors>
    <ignoredError sqref="H2 H3:H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"/>
  <sheetViews>
    <sheetView showGridLines="0" tabSelected="1" topLeftCell="G1" workbookViewId="0" xr3:uid="{958C4451-9541-5A59-BF78-D2F731DF1C81}"/>
  </sheetViews>
  <sheetFormatPr defaultRowHeight="15" x14ac:dyDescent="0.2"/>
  <cols>
    <col min="1" max="1" width="1.34375" customWidth="1"/>
    <col min="2" max="2" width="15.19921875" bestFit="1" customWidth="1"/>
    <col min="5" max="5" width="11.8359375" customWidth="1"/>
    <col min="7" max="7" width="11.56640625" bestFit="1" customWidth="1"/>
    <col min="9" max="9" width="11.56640625" bestFit="1" customWidth="1"/>
    <col min="11" max="11" width="11.56640625" bestFit="1" customWidth="1"/>
    <col min="13" max="13" width="11.56640625" bestFit="1" customWidth="1"/>
    <col min="15" max="15" width="0.40234375" customWidth="1"/>
  </cols>
  <sheetData>
    <row r="1" spans="1:15" ht="25.5" x14ac:dyDescent="0.35">
      <c r="A1" s="5"/>
      <c r="B1" s="13"/>
      <c r="C1" s="13"/>
      <c r="D1" s="13"/>
      <c r="E1" s="13"/>
      <c r="F1" s="13"/>
      <c r="G1" s="12"/>
      <c r="H1" s="12"/>
      <c r="I1" s="12"/>
      <c r="J1" s="12"/>
      <c r="K1" s="12"/>
      <c r="L1" s="12"/>
      <c r="M1" s="12"/>
      <c r="N1" s="12"/>
      <c r="O1" s="5"/>
    </row>
    <row r="2" spans="1:15" ht="21" x14ac:dyDescent="0.3">
      <c r="A2" s="5"/>
      <c r="B2" s="11" t="str">
        <f>Dados!A2</f>
        <v>Torno 01</v>
      </c>
      <c r="C2" s="11"/>
      <c r="D2" s="11"/>
      <c r="E2" s="11"/>
      <c r="F2" s="11"/>
      <c r="G2" s="6">
        <f>VLOOKUP($B$2,Dados!$A$2:$I$7,2,FALSE)</f>
        <v>0.92</v>
      </c>
      <c r="H2" s="7">
        <f>VLOOKUP($B$2,Dados!$A$2:$I$7,3,FALSE)</f>
        <v>7.999999999999996E-2</v>
      </c>
      <c r="I2" s="6">
        <f>VLOOKUP($B$2,Dados!$A$2:$I$7,4,FALSE)</f>
        <v>0.82</v>
      </c>
      <c r="J2" s="7">
        <f>VLOOKUP($B$2,Dados!$A$2:$I$7,5,FALSE)</f>
        <v>0.18000000000000005</v>
      </c>
      <c r="K2" s="6">
        <f>VLOOKUP($B$2,Dados!$A$2:$I$7,6,FALSE)</f>
        <v>0.9</v>
      </c>
      <c r="L2" s="7">
        <f>VLOOKUP($B$2,Dados!$A$2:$I$7,7,FALSE)</f>
        <v>9.9999999999999978E-2</v>
      </c>
      <c r="M2" s="6">
        <f>VLOOKUP($B$2,Dados!$A$2:$I$7,8,FALSE)</f>
        <v>0.67896000000000001</v>
      </c>
      <c r="N2" s="7">
        <f>VLOOKUP($B$2,Dados!$A$2:$I$7,9,FALSE)</f>
        <v>0.32103999999999999</v>
      </c>
      <c r="O2" s="5"/>
    </row>
    <row r="3" spans="1:15" ht="6" customHeight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8" spans="1:15" x14ac:dyDescent="0.2">
      <c r="C28" s="1"/>
      <c r="D28" s="1"/>
    </row>
    <row r="29" spans="1:15" x14ac:dyDescent="0.2">
      <c r="C29" s="1"/>
      <c r="D29" s="1"/>
    </row>
    <row r="30" spans="1:15" x14ac:dyDescent="0.2">
      <c r="C30" s="1"/>
      <c r="D30" s="1"/>
    </row>
    <row r="31" spans="1:15" x14ac:dyDescent="0.2">
      <c r="C31" s="2"/>
      <c r="D31" s="1"/>
    </row>
  </sheetData>
  <mergeCells count="6">
    <mergeCell ref="B2:F2"/>
    <mergeCell ref="K1:L1"/>
    <mergeCell ref="M1:N1"/>
    <mergeCell ref="G1:H1"/>
    <mergeCell ref="I1:J1"/>
    <mergeCell ref="B1:F1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1"/>
  <sheetViews>
    <sheetView showGridLines="0" workbookViewId="0" xr3:uid="{842E5F09-E766-5B8D-85AF-A39847EA96FD}"/>
  </sheetViews>
  <sheetFormatPr defaultRowHeight="15" x14ac:dyDescent="0.2"/>
  <cols>
    <col min="1" max="1" width="1.34375" customWidth="1"/>
    <col min="2" max="2" width="15.19921875" bestFit="1" customWidth="1"/>
    <col min="5" max="5" width="11.8359375" customWidth="1"/>
    <col min="7" max="7" width="11.56640625" bestFit="1" customWidth="1"/>
    <col min="9" max="9" width="11.56640625" bestFit="1" customWidth="1"/>
    <col min="11" max="11" width="11.56640625" bestFit="1" customWidth="1"/>
    <col min="13" max="13" width="11.56640625" bestFit="1" customWidth="1"/>
    <col min="15" max="15" width="0.40234375" customWidth="1"/>
  </cols>
  <sheetData>
    <row r="1" spans="1:15" ht="25.5" x14ac:dyDescent="0.35">
      <c r="A1" s="5"/>
      <c r="B1" s="13"/>
      <c r="C1" s="13"/>
      <c r="D1" s="13"/>
      <c r="E1" s="13"/>
      <c r="F1" s="13"/>
      <c r="G1" s="12"/>
      <c r="H1" s="12"/>
      <c r="I1" s="12"/>
      <c r="J1" s="12"/>
      <c r="K1" s="12"/>
      <c r="L1" s="12"/>
      <c r="M1" s="12"/>
      <c r="N1" s="12"/>
      <c r="O1" s="5"/>
    </row>
    <row r="2" spans="1:15" ht="21" x14ac:dyDescent="0.3">
      <c r="A2" s="5"/>
      <c r="B2" s="11" t="str">
        <f>Dados!A3</f>
        <v>Torno 02</v>
      </c>
      <c r="C2" s="11"/>
      <c r="D2" s="11"/>
      <c r="E2" s="11"/>
      <c r="F2" s="11"/>
      <c r="G2" s="6">
        <f>VLOOKUP($B$2,Dados!$A$2:$I$7,2,FALSE)</f>
        <v>0.98</v>
      </c>
      <c r="H2" s="7">
        <f>VLOOKUP($B$2,Dados!$A$2:$I$7,3,FALSE)</f>
        <v>2.0000000000000018E-2</v>
      </c>
      <c r="I2" s="6">
        <f>VLOOKUP($B$2,Dados!$A$2:$I$7,4,FALSE)</f>
        <v>0.85</v>
      </c>
      <c r="J2" s="7">
        <f>VLOOKUP($B$2,Dados!$A$2:$I$7,5,FALSE)</f>
        <v>0.15000000000000002</v>
      </c>
      <c r="K2" s="6">
        <f>VLOOKUP($B$2,Dados!$A$2:$I$7,6,FALSE)</f>
        <v>0.87</v>
      </c>
      <c r="L2" s="7">
        <f>VLOOKUP($B$2,Dados!$A$2:$I$7,7,FALSE)</f>
        <v>0.13</v>
      </c>
      <c r="M2" s="6">
        <f>VLOOKUP($B$2,Dados!$A$2:$I$7,8,FALSE)</f>
        <v>0.72470999999999997</v>
      </c>
      <c r="N2" s="7">
        <f>VLOOKUP($B$2,Dados!$A$2:$I$7,9,FALSE)</f>
        <v>0.27529000000000003</v>
      </c>
      <c r="O2" s="5"/>
    </row>
    <row r="3" spans="1:15" ht="6" customHeight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8" spans="1:15" x14ac:dyDescent="0.2">
      <c r="C28" s="1"/>
      <c r="D28" s="1"/>
    </row>
    <row r="29" spans="1:15" x14ac:dyDescent="0.2">
      <c r="C29" s="1"/>
      <c r="D29" s="1"/>
    </row>
    <row r="30" spans="1:15" x14ac:dyDescent="0.2">
      <c r="C30" s="1"/>
      <c r="D30" s="1"/>
    </row>
    <row r="31" spans="1:15" x14ac:dyDescent="0.2">
      <c r="C31" s="2"/>
      <c r="D31" s="1"/>
    </row>
  </sheetData>
  <mergeCells count="6">
    <mergeCell ref="M1:N1"/>
    <mergeCell ref="B2:F2"/>
    <mergeCell ref="B1:F1"/>
    <mergeCell ref="G1:H1"/>
    <mergeCell ref="I1:J1"/>
    <mergeCell ref="K1:L1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1"/>
  <sheetViews>
    <sheetView showGridLines="0" workbookViewId="0" xr3:uid="{51F8DEE0-4D01-5F28-A812-FC0BD7CAC4A5}"/>
  </sheetViews>
  <sheetFormatPr defaultRowHeight="15" x14ac:dyDescent="0.2"/>
  <cols>
    <col min="1" max="1" width="1.34375" customWidth="1"/>
    <col min="2" max="2" width="15.19921875" bestFit="1" customWidth="1"/>
    <col min="5" max="5" width="11.8359375" customWidth="1"/>
    <col min="7" max="7" width="11.56640625" bestFit="1" customWidth="1"/>
    <col min="9" max="9" width="11.56640625" bestFit="1" customWidth="1"/>
    <col min="11" max="11" width="11.56640625" bestFit="1" customWidth="1"/>
    <col min="13" max="13" width="11.56640625" bestFit="1" customWidth="1"/>
    <col min="15" max="15" width="0.40234375" customWidth="1"/>
  </cols>
  <sheetData>
    <row r="1" spans="1:15" ht="25.5" x14ac:dyDescent="0.35">
      <c r="A1" s="5"/>
      <c r="B1" s="13"/>
      <c r="C1" s="13"/>
      <c r="D1" s="13"/>
      <c r="E1" s="13"/>
      <c r="F1" s="13"/>
      <c r="G1" s="12"/>
      <c r="H1" s="12"/>
      <c r="I1" s="12"/>
      <c r="J1" s="12"/>
      <c r="K1" s="12"/>
      <c r="L1" s="12"/>
      <c r="M1" s="12"/>
      <c r="N1" s="12"/>
      <c r="O1" s="5"/>
    </row>
    <row r="2" spans="1:15" ht="21" x14ac:dyDescent="0.3">
      <c r="A2" s="5"/>
      <c r="B2" s="11" t="str">
        <f>Dados!A4</f>
        <v>Fresa 01</v>
      </c>
      <c r="C2" s="11"/>
      <c r="D2" s="11"/>
      <c r="E2" s="11"/>
      <c r="F2" s="11"/>
      <c r="G2" s="6">
        <f>VLOOKUP($B$2,Dados!$A$2:$I$7,2,FALSE)</f>
        <v>0.95</v>
      </c>
      <c r="H2" s="7">
        <f>VLOOKUP($B$2,Dados!$A$2:$I$7,3,FALSE)</f>
        <v>5.0000000000000044E-2</v>
      </c>
      <c r="I2" s="6">
        <f>VLOOKUP($B$2,Dados!$A$2:$I$7,4,FALSE)</f>
        <v>0.83</v>
      </c>
      <c r="J2" s="7">
        <f>VLOOKUP($B$2,Dados!$A$2:$I$7,5,FALSE)</f>
        <v>0.17000000000000004</v>
      </c>
      <c r="K2" s="6">
        <f>VLOOKUP($B$2,Dados!$A$2:$I$7,6,FALSE)</f>
        <v>0.92</v>
      </c>
      <c r="L2" s="7">
        <f>VLOOKUP($B$2,Dados!$A$2:$I$7,7,FALSE)</f>
        <v>7.999999999999996E-2</v>
      </c>
      <c r="M2" s="6">
        <f>VLOOKUP($B$2,Dados!$A$2:$I$7,8,FALSE)</f>
        <v>0.72542000000000006</v>
      </c>
      <c r="N2" s="7">
        <f>VLOOKUP($B$2,Dados!$A$2:$I$7,9,FALSE)</f>
        <v>0.27457999999999994</v>
      </c>
      <c r="O2" s="5"/>
    </row>
    <row r="3" spans="1:15" ht="6" customHeight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8" spans="1:15" x14ac:dyDescent="0.2">
      <c r="C28" s="1"/>
      <c r="D28" s="1"/>
    </row>
    <row r="29" spans="1:15" x14ac:dyDescent="0.2">
      <c r="C29" s="1"/>
      <c r="D29" s="1"/>
    </row>
    <row r="30" spans="1:15" x14ac:dyDescent="0.2">
      <c r="C30" s="1"/>
      <c r="D30" s="1"/>
    </row>
    <row r="31" spans="1:15" x14ac:dyDescent="0.2">
      <c r="C31" s="2"/>
      <c r="D31" s="1"/>
    </row>
  </sheetData>
  <mergeCells count="6">
    <mergeCell ref="M1:N1"/>
    <mergeCell ref="B2:F2"/>
    <mergeCell ref="B1:F1"/>
    <mergeCell ref="G1:H1"/>
    <mergeCell ref="I1:J1"/>
    <mergeCell ref="K1:L1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1"/>
  <sheetViews>
    <sheetView showGridLines="0" workbookViewId="0" xr3:uid="{F9CF3CF3-643B-5BE6-8B46-32C596A47465}"/>
  </sheetViews>
  <sheetFormatPr defaultRowHeight="15" x14ac:dyDescent="0.2"/>
  <cols>
    <col min="1" max="1" width="1.34375" customWidth="1"/>
    <col min="2" max="2" width="15.19921875" bestFit="1" customWidth="1"/>
    <col min="5" max="5" width="11.8359375" customWidth="1"/>
    <col min="7" max="7" width="11.56640625" bestFit="1" customWidth="1"/>
    <col min="9" max="9" width="11.56640625" bestFit="1" customWidth="1"/>
    <col min="11" max="11" width="11.56640625" bestFit="1" customWidth="1"/>
    <col min="13" max="13" width="11.56640625" bestFit="1" customWidth="1"/>
    <col min="15" max="15" width="0.40234375" customWidth="1"/>
  </cols>
  <sheetData>
    <row r="1" spans="1:15" ht="25.5" x14ac:dyDescent="0.35">
      <c r="A1" s="5"/>
      <c r="B1" s="13"/>
      <c r="C1" s="13"/>
      <c r="D1" s="13"/>
      <c r="E1" s="13"/>
      <c r="F1" s="13"/>
      <c r="G1" s="12"/>
      <c r="H1" s="12"/>
      <c r="I1" s="12"/>
      <c r="J1" s="12"/>
      <c r="K1" s="12"/>
      <c r="L1" s="12"/>
      <c r="M1" s="12"/>
      <c r="N1" s="12"/>
      <c r="O1" s="5"/>
    </row>
    <row r="2" spans="1:15" ht="21" x14ac:dyDescent="0.3">
      <c r="A2" s="5"/>
      <c r="B2" s="11" t="str">
        <f>Dados!A5</f>
        <v>Fresa 02</v>
      </c>
      <c r="C2" s="11"/>
      <c r="D2" s="11"/>
      <c r="E2" s="11"/>
      <c r="F2" s="11"/>
      <c r="G2" s="6">
        <f>VLOOKUP($B$2,Dados!$A$2:$I$7,2,FALSE)</f>
        <v>0.93</v>
      </c>
      <c r="H2" s="7">
        <f>VLOOKUP($B$2,Dados!$A$2:$I$7,3,FALSE)</f>
        <v>6.9999999999999951E-2</v>
      </c>
      <c r="I2" s="6">
        <f>VLOOKUP($B$2,Dados!$A$2:$I$7,4,FALSE)</f>
        <v>0.8</v>
      </c>
      <c r="J2" s="7">
        <f>VLOOKUP($B$2,Dados!$A$2:$I$7,5,FALSE)</f>
        <v>0.19999999999999996</v>
      </c>
      <c r="K2" s="6">
        <f>VLOOKUP($B$2,Dados!$A$2:$I$7,6,FALSE)</f>
        <v>0.91</v>
      </c>
      <c r="L2" s="7">
        <f>VLOOKUP($B$2,Dados!$A$2:$I$7,7,FALSE)</f>
        <v>8.9999999999999969E-2</v>
      </c>
      <c r="M2" s="6">
        <f>VLOOKUP($B$2,Dados!$A$2:$I$7,8,FALSE)</f>
        <v>0.67704000000000009</v>
      </c>
      <c r="N2" s="7">
        <f>VLOOKUP($B$2,Dados!$A$2:$I$7,9,FALSE)</f>
        <v>0.32295999999999991</v>
      </c>
      <c r="O2" s="5"/>
    </row>
    <row r="3" spans="1:15" ht="6" customHeight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8" spans="1:15" x14ac:dyDescent="0.2">
      <c r="C28" s="1"/>
      <c r="D28" s="1"/>
    </row>
    <row r="29" spans="1:15" x14ac:dyDescent="0.2">
      <c r="C29" s="1"/>
      <c r="D29" s="1"/>
    </row>
    <row r="30" spans="1:15" x14ac:dyDescent="0.2">
      <c r="C30" s="1"/>
      <c r="D30" s="1"/>
    </row>
    <row r="31" spans="1:15" x14ac:dyDescent="0.2">
      <c r="C31" s="2"/>
      <c r="D31" s="1"/>
    </row>
  </sheetData>
  <mergeCells count="6">
    <mergeCell ref="M1:N1"/>
    <mergeCell ref="B2:F2"/>
    <mergeCell ref="B1:F1"/>
    <mergeCell ref="G1:H1"/>
    <mergeCell ref="I1:J1"/>
    <mergeCell ref="K1:L1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1"/>
  <sheetViews>
    <sheetView showGridLines="0" workbookViewId="0" xr3:uid="{78B4E459-6924-5F8B-B7BA-2DD04133E49E}"/>
  </sheetViews>
  <sheetFormatPr defaultRowHeight="15" x14ac:dyDescent="0.2"/>
  <cols>
    <col min="1" max="1" width="1.34375" customWidth="1"/>
    <col min="2" max="2" width="15.19921875" bestFit="1" customWidth="1"/>
    <col min="5" max="5" width="11.8359375" customWidth="1"/>
    <col min="7" max="7" width="11.56640625" bestFit="1" customWidth="1"/>
    <col min="9" max="9" width="11.56640625" bestFit="1" customWidth="1"/>
    <col min="11" max="11" width="11.56640625" bestFit="1" customWidth="1"/>
    <col min="13" max="13" width="11.56640625" bestFit="1" customWidth="1"/>
    <col min="15" max="15" width="0.40234375" customWidth="1"/>
  </cols>
  <sheetData>
    <row r="1" spans="1:15" ht="25.5" x14ac:dyDescent="0.35">
      <c r="A1" s="5"/>
      <c r="B1" s="13"/>
      <c r="C1" s="13"/>
      <c r="D1" s="13"/>
      <c r="E1" s="13"/>
      <c r="F1" s="13"/>
      <c r="G1" s="12"/>
      <c r="H1" s="12"/>
      <c r="I1" s="12"/>
      <c r="J1" s="12"/>
      <c r="K1" s="12"/>
      <c r="L1" s="12"/>
      <c r="M1" s="12"/>
      <c r="N1" s="12"/>
      <c r="O1" s="5"/>
    </row>
    <row r="2" spans="1:15" ht="21" x14ac:dyDescent="0.3">
      <c r="A2" s="5"/>
      <c r="B2" s="11" t="str">
        <f>Dados!A6</f>
        <v>Retífica 01</v>
      </c>
      <c r="C2" s="11"/>
      <c r="D2" s="11"/>
      <c r="E2" s="11"/>
      <c r="F2" s="11"/>
      <c r="G2" s="6">
        <f>VLOOKUP($B$2,Dados!$A$2:$I$7,2,FALSE)</f>
        <v>0.94</v>
      </c>
      <c r="H2" s="7">
        <f>VLOOKUP($B$2,Dados!$A$2:$I$7,3,FALSE)</f>
        <v>6.0000000000000053E-2</v>
      </c>
      <c r="I2" s="6">
        <f>VLOOKUP($B$2,Dados!$A$2:$I$7,4,FALSE)</f>
        <v>0.9</v>
      </c>
      <c r="J2" s="7">
        <f>VLOOKUP($B$2,Dados!$A$2:$I$7,5,FALSE)</f>
        <v>9.9999999999999978E-2</v>
      </c>
      <c r="K2" s="6">
        <f>VLOOKUP($B$2,Dados!$A$2:$I$7,6,FALSE)</f>
        <v>0.83</v>
      </c>
      <c r="L2" s="7">
        <f>VLOOKUP($B$2,Dados!$A$2:$I$7,7,FALSE)</f>
        <v>0.17000000000000004</v>
      </c>
      <c r="M2" s="6">
        <f>VLOOKUP($B$2,Dados!$A$2:$I$7,8,FALSE)</f>
        <v>0.70217999999999992</v>
      </c>
      <c r="N2" s="7">
        <f>VLOOKUP($B$2,Dados!$A$2:$I$7,9,FALSE)</f>
        <v>0.29782000000000008</v>
      </c>
      <c r="O2" s="5"/>
    </row>
    <row r="3" spans="1:15" ht="6" customHeight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8" spans="1:15" x14ac:dyDescent="0.2">
      <c r="C28" s="1"/>
      <c r="D28" s="1"/>
    </row>
    <row r="29" spans="1:15" x14ac:dyDescent="0.2">
      <c r="C29" s="1"/>
      <c r="D29" s="1"/>
    </row>
    <row r="30" spans="1:15" x14ac:dyDescent="0.2">
      <c r="C30" s="1"/>
      <c r="D30" s="1"/>
    </row>
    <row r="31" spans="1:15" x14ac:dyDescent="0.2">
      <c r="C31" s="2"/>
      <c r="D31" s="1"/>
    </row>
  </sheetData>
  <mergeCells count="6">
    <mergeCell ref="M1:N1"/>
    <mergeCell ref="B2:F2"/>
    <mergeCell ref="B1:F1"/>
    <mergeCell ref="G1:H1"/>
    <mergeCell ref="I1:J1"/>
    <mergeCell ref="K1:L1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1"/>
  <sheetViews>
    <sheetView showGridLines="0" workbookViewId="0" xr3:uid="{9B253EF2-77E0-53E3-AE26-4D66ECD923F3}"/>
  </sheetViews>
  <sheetFormatPr defaultRowHeight="15" x14ac:dyDescent="0.2"/>
  <cols>
    <col min="1" max="1" width="1.34375" customWidth="1"/>
    <col min="2" max="2" width="15.19921875" bestFit="1" customWidth="1"/>
    <col min="5" max="5" width="11.8359375" customWidth="1"/>
    <col min="7" max="7" width="11.56640625" bestFit="1" customWidth="1"/>
    <col min="9" max="9" width="11.56640625" bestFit="1" customWidth="1"/>
    <col min="11" max="11" width="11.56640625" bestFit="1" customWidth="1"/>
    <col min="13" max="13" width="11.56640625" bestFit="1" customWidth="1"/>
    <col min="15" max="15" width="0.40234375" customWidth="1"/>
  </cols>
  <sheetData>
    <row r="1" spans="1:15" ht="25.5" x14ac:dyDescent="0.35">
      <c r="A1" s="5"/>
      <c r="B1" s="13"/>
      <c r="C1" s="13"/>
      <c r="D1" s="13"/>
      <c r="E1" s="13"/>
      <c r="F1" s="13"/>
      <c r="G1" s="12"/>
      <c r="H1" s="12"/>
      <c r="I1" s="12"/>
      <c r="J1" s="12"/>
      <c r="K1" s="12"/>
      <c r="L1" s="12"/>
      <c r="M1" s="12"/>
      <c r="N1" s="12"/>
      <c r="O1" s="5"/>
    </row>
    <row r="2" spans="1:15" ht="21" x14ac:dyDescent="0.3">
      <c r="A2" s="5"/>
      <c r="B2" s="11" t="str">
        <f>Dados!A7</f>
        <v>Retífica 02</v>
      </c>
      <c r="C2" s="11"/>
      <c r="D2" s="11"/>
      <c r="E2" s="11"/>
      <c r="F2" s="11"/>
      <c r="G2" s="6">
        <f>VLOOKUP($B$2,Dados!$A$2:$I$7,2,FALSE)</f>
        <v>0.98</v>
      </c>
      <c r="H2" s="7">
        <f>VLOOKUP($B$2,Dados!$A$2:$I$7,3,FALSE)</f>
        <v>2.0000000000000018E-2</v>
      </c>
      <c r="I2" s="6">
        <f>VLOOKUP($B$2,Dados!$A$2:$I$7,4,FALSE)</f>
        <v>0.82</v>
      </c>
      <c r="J2" s="7">
        <f>VLOOKUP($B$2,Dados!$A$2:$I$7,5,FALSE)</f>
        <v>0.18000000000000005</v>
      </c>
      <c r="K2" s="6">
        <f>VLOOKUP($B$2,Dados!$A$2:$I$7,6,FALSE)</f>
        <v>0.91</v>
      </c>
      <c r="L2" s="7">
        <f>VLOOKUP($B$2,Dados!$A$2:$I$7,7,FALSE)</f>
        <v>8.9999999999999969E-2</v>
      </c>
      <c r="M2" s="6">
        <f>VLOOKUP($B$2,Dados!$A$2:$I$7,8,FALSE)</f>
        <v>0.73127600000000004</v>
      </c>
      <c r="N2" s="7">
        <f>VLOOKUP($B$2,Dados!$A$2:$I$7,9,FALSE)</f>
        <v>0.26872399999999996</v>
      </c>
      <c r="O2" s="5"/>
    </row>
    <row r="3" spans="1:15" ht="6" customHeight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8" spans="1:15" x14ac:dyDescent="0.2">
      <c r="C28" s="1"/>
      <c r="D28" s="1"/>
    </row>
    <row r="29" spans="1:15" x14ac:dyDescent="0.2">
      <c r="C29" s="1"/>
      <c r="D29" s="1"/>
    </row>
    <row r="30" spans="1:15" x14ac:dyDescent="0.2">
      <c r="C30" s="1"/>
      <c r="D30" s="1"/>
    </row>
    <row r="31" spans="1:15" x14ac:dyDescent="0.2">
      <c r="C31" s="2"/>
      <c r="D31" s="1"/>
    </row>
  </sheetData>
  <mergeCells count="6">
    <mergeCell ref="M1:N1"/>
    <mergeCell ref="B2:F2"/>
    <mergeCell ref="B1:F1"/>
    <mergeCell ref="G1:H1"/>
    <mergeCell ref="I1:J1"/>
    <mergeCell ref="K1:L1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Dados</vt:lpstr>
      <vt:lpstr>Torno 01</vt:lpstr>
      <vt:lpstr>Torno 02</vt:lpstr>
      <vt:lpstr>Fresa 01</vt:lpstr>
      <vt:lpstr>Fresa 02</vt:lpstr>
      <vt:lpstr>Retífica 01</vt:lpstr>
      <vt:lpstr>Retífica 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JRoberto</dc:creator>
  <cp:lastModifiedBy>JRoberto</cp:lastModifiedBy>
  <dcterms:created xsi:type="dcterms:W3CDTF">2018-06-09T13:57:44Z</dcterms:created>
  <dcterms:modified xsi:type="dcterms:W3CDTF">2018-08-09T18:30:49Z</dcterms:modified>
</cp:coreProperties>
</file>